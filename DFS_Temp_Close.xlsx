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duanefurlong/Desktop/PSA Grading Tool/"/>
    </mc:Choice>
  </mc:AlternateContent>
  <xr:revisionPtr revIDLastSave="0" documentId="8_{29C7F782-8688-B542-8CC5-BB182C921906}" xr6:coauthVersionLast="47" xr6:coauthVersionMax="47" xr10:uidLastSave="{00000000-0000-0000-0000-000000000000}"/>
  <bookViews>
    <workbookView xWindow="0" yWindow="760" windowWidth="34560" windowHeight="20200" tabRatio="500" firstSheet="10" activeTab="11" xr2:uid="{00000000-000D-0000-FFFF-FFFF00000000}"/>
  </bookViews>
  <sheets>
    <sheet name="Start Here" sheetId="1" r:id="rId1"/>
    <sheet name="Dashboard" sheetId="2" r:id="rId2"/>
    <sheet name="Target Card List" sheetId="3" r:id="rId3"/>
    <sheet name="Inventory Intel" sheetId="4" r:id="rId4"/>
    <sheet name="Stale Action Plan" sheetId="5" r:id="rId5"/>
    <sheet name="14-Day Volume Ramp" sheetId="6" r:id="rId6"/>
    <sheet name="Sales Log" sheetId="7" r:id="rId7"/>
    <sheet name="Consignment Tracker" sheetId="8" r:id="rId8"/>
    <sheet name="DcSports87 May 2026" sheetId="9" r:id="rId9"/>
    <sheet name="DcSports87 — Normal Batch" sheetId="10" r:id="rId10"/>
    <sheet name="Inventory &amp; Aging" sheetId="11" r:id="rId11"/>
    <sheet name="Reprice Queue" sheetId="12" r:id="rId12"/>
    <sheet name="Lot Evaluator" sheetId="13" r:id="rId13"/>
    <sheet name="Channel Fees" sheetId="14" r:id="rId14"/>
    <sheet name="Capital Velocity" sheetId="15" r:id="rId15"/>
    <sheet name="Helper ROI" sheetId="16" r:id="rId16"/>
    <sheet name="Path to $40k" sheetId="17" r:id="rId17"/>
    <sheet name="Stale Action — Market Comps" sheetId="18" r:id="rId18"/>
    <sheet name="PSA Fee Schedule" sheetId="19" r:id="rId19"/>
    <sheet name="Grading ROI Calculator" sheetId="20" r:id="rId20"/>
    <sheet name="Grading Tracker" sheetId="21" r:id="rId21"/>
    <sheet name="Grading Candidates" sheetId="22" r:id="rId22"/>
  </sheets>
  <definedNames>
    <definedName name="_xlnm._FilterDatabase" localSheetId="11" hidden="1">'Reprice Queue'!$A$4:$J$4600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21" l="1"/>
  <c r="B55" i="21"/>
  <c r="B54" i="21"/>
  <c r="M5" i="21"/>
  <c r="N5" i="21" s="1"/>
  <c r="J5" i="21"/>
  <c r="L5" i="21" s="1"/>
  <c r="M4" i="21"/>
  <c r="N4" i="21" s="1"/>
  <c r="J4" i="21"/>
  <c r="L4" i="21" s="1"/>
  <c r="N3" i="21"/>
  <c r="M3" i="21"/>
  <c r="B56" i="21" s="1"/>
  <c r="J3" i="21"/>
  <c r="L3" i="21" s="1"/>
  <c r="B58" i="21" s="1"/>
  <c r="D10" i="19"/>
  <c r="D9" i="19"/>
  <c r="D8" i="19"/>
  <c r="D7" i="19"/>
  <c r="D6" i="19"/>
  <c r="D5" i="19"/>
  <c r="D4" i="19"/>
  <c r="K11" i="17"/>
  <c r="K10" i="17"/>
  <c r="K9" i="17"/>
  <c r="J9" i="17"/>
  <c r="J10" i="17" s="1"/>
  <c r="H9" i="17"/>
  <c r="H10" i="17" s="1"/>
  <c r="E9" i="17"/>
  <c r="E11" i="17" s="1"/>
  <c r="K8" i="17"/>
  <c r="J8" i="17"/>
  <c r="I8" i="17"/>
  <c r="I9" i="17" s="1"/>
  <c r="H8" i="17"/>
  <c r="G8" i="17"/>
  <c r="G9" i="17" s="1"/>
  <c r="F8" i="17"/>
  <c r="F9" i="17" s="1"/>
  <c r="E8" i="17"/>
  <c r="D8" i="17"/>
  <c r="D9" i="17" s="1"/>
  <c r="C8" i="17"/>
  <c r="C9" i="17" s="1"/>
  <c r="F8" i="16"/>
  <c r="F9" i="16" s="1"/>
  <c r="F10" i="16" s="1"/>
  <c r="F7" i="16"/>
  <c r="F5" i="16"/>
  <c r="F6" i="16" s="1"/>
  <c r="G18" i="15"/>
  <c r="F18" i="15"/>
  <c r="E18" i="15"/>
  <c r="D18" i="15"/>
  <c r="C18" i="15"/>
  <c r="G17" i="15"/>
  <c r="F17" i="15"/>
  <c r="E17" i="15"/>
  <c r="D17" i="15"/>
  <c r="C17" i="15"/>
  <c r="G16" i="15"/>
  <c r="F16" i="15"/>
  <c r="E16" i="15"/>
  <c r="D16" i="15"/>
  <c r="C16" i="15"/>
  <c r="G15" i="15"/>
  <c r="F15" i="15"/>
  <c r="E15" i="15"/>
  <c r="D15" i="15"/>
  <c r="C15" i="15"/>
  <c r="G14" i="15"/>
  <c r="F14" i="15"/>
  <c r="E14" i="15"/>
  <c r="D14" i="15"/>
  <c r="C14" i="15"/>
  <c r="G13" i="15"/>
  <c r="F13" i="15"/>
  <c r="E13" i="15"/>
  <c r="D13" i="15"/>
  <c r="C13" i="15"/>
  <c r="C9" i="15"/>
  <c r="C8" i="15"/>
  <c r="I30" i="14"/>
  <c r="H30" i="14"/>
  <c r="G30" i="14"/>
  <c r="F30" i="14"/>
  <c r="E30" i="14"/>
  <c r="D30" i="14"/>
  <c r="C30" i="14"/>
  <c r="I29" i="14"/>
  <c r="H29" i="14"/>
  <c r="G29" i="14"/>
  <c r="F29" i="14"/>
  <c r="E29" i="14"/>
  <c r="D29" i="14"/>
  <c r="C29" i="14"/>
  <c r="I28" i="14"/>
  <c r="H28" i="14"/>
  <c r="G28" i="14"/>
  <c r="F28" i="14"/>
  <c r="E28" i="14"/>
  <c r="D28" i="14"/>
  <c r="C28" i="14"/>
  <c r="I27" i="14"/>
  <c r="H27" i="14"/>
  <c r="G27" i="14"/>
  <c r="F27" i="14"/>
  <c r="E27" i="14"/>
  <c r="D27" i="14"/>
  <c r="C27" i="14"/>
  <c r="I26" i="14"/>
  <c r="H26" i="14"/>
  <c r="G26" i="14"/>
  <c r="F26" i="14"/>
  <c r="E26" i="14"/>
  <c r="D26" i="14"/>
  <c r="C26" i="14"/>
  <c r="I25" i="14"/>
  <c r="H25" i="14"/>
  <c r="G25" i="14"/>
  <c r="F25" i="14"/>
  <c r="E25" i="14"/>
  <c r="D25" i="14"/>
  <c r="C25" i="14"/>
  <c r="I24" i="14"/>
  <c r="H24" i="14"/>
  <c r="G24" i="14"/>
  <c r="F24" i="14"/>
  <c r="E24" i="14"/>
  <c r="D24" i="14"/>
  <c r="C24" i="14"/>
  <c r="I23" i="14"/>
  <c r="H23" i="14"/>
  <c r="G23" i="14"/>
  <c r="F23" i="14"/>
  <c r="E23" i="14"/>
  <c r="D23" i="14"/>
  <c r="C23" i="14"/>
  <c r="I22" i="14"/>
  <c r="H22" i="14"/>
  <c r="G22" i="14"/>
  <c r="F22" i="14"/>
  <c r="E22" i="14"/>
  <c r="D22" i="14"/>
  <c r="C22" i="14"/>
  <c r="H16" i="14"/>
  <c r="G16" i="14"/>
  <c r="F16" i="14"/>
  <c r="H15" i="14"/>
  <c r="G15" i="14"/>
  <c r="F15" i="14"/>
  <c r="H14" i="14"/>
  <c r="G14" i="14"/>
  <c r="F14" i="14"/>
  <c r="F13" i="14"/>
  <c r="H13" i="14" s="1"/>
  <c r="F12" i="14"/>
  <c r="H12" i="14" s="1"/>
  <c r="F11" i="14"/>
  <c r="G11" i="14" s="1"/>
  <c r="F10" i="14"/>
  <c r="H10" i="14" s="1"/>
  <c r="H9" i="14"/>
  <c r="G9" i="14"/>
  <c r="F9" i="14"/>
  <c r="H8" i="14"/>
  <c r="F8" i="14"/>
  <c r="G8" i="14" s="1"/>
  <c r="F8" i="13"/>
  <c r="F7" i="13"/>
  <c r="F5" i="13"/>
  <c r="J4600" i="12"/>
  <c r="I4600" i="12"/>
  <c r="H4600" i="12"/>
  <c r="G4600" i="12"/>
  <c r="F4600" i="12"/>
  <c r="J4599" i="12"/>
  <c r="I4599" i="12"/>
  <c r="H4599" i="12"/>
  <c r="G4599" i="12"/>
  <c r="F4599" i="12"/>
  <c r="J4598" i="12"/>
  <c r="I4598" i="12"/>
  <c r="H4598" i="12"/>
  <c r="G4598" i="12"/>
  <c r="F4598" i="12"/>
  <c r="J4597" i="12"/>
  <c r="I4597" i="12"/>
  <c r="H4597" i="12"/>
  <c r="G4597" i="12"/>
  <c r="F4597" i="12"/>
  <c r="J4596" i="12"/>
  <c r="I4596" i="12"/>
  <c r="H4596" i="12"/>
  <c r="G4596" i="12"/>
  <c r="F4596" i="12"/>
  <c r="J4595" i="12"/>
  <c r="I4595" i="12"/>
  <c r="H4595" i="12"/>
  <c r="G4595" i="12"/>
  <c r="F4595" i="12"/>
  <c r="J4594" i="12"/>
  <c r="I4594" i="12"/>
  <c r="H4594" i="12"/>
  <c r="G4594" i="12"/>
  <c r="F4594" i="12"/>
  <c r="J4593" i="12"/>
  <c r="I4593" i="12"/>
  <c r="H4593" i="12"/>
  <c r="G4593" i="12"/>
  <c r="F4593" i="12"/>
  <c r="J4592" i="12"/>
  <c r="I4592" i="12"/>
  <c r="H4592" i="12"/>
  <c r="G4592" i="12"/>
  <c r="F4592" i="12"/>
  <c r="J4591" i="12"/>
  <c r="I4591" i="12"/>
  <c r="H4591" i="12"/>
  <c r="G4591" i="12"/>
  <c r="F4591" i="12"/>
  <c r="J4590" i="12"/>
  <c r="I4590" i="12"/>
  <c r="H4590" i="12"/>
  <c r="G4590" i="12"/>
  <c r="F4590" i="12"/>
  <c r="J4589" i="12"/>
  <c r="I4589" i="12"/>
  <c r="H4589" i="12"/>
  <c r="G4589" i="12"/>
  <c r="F4589" i="12"/>
  <c r="J4588" i="12"/>
  <c r="I4588" i="12"/>
  <c r="H4588" i="12"/>
  <c r="G4588" i="12"/>
  <c r="F4588" i="12"/>
  <c r="J4587" i="12"/>
  <c r="I4587" i="12"/>
  <c r="H4587" i="12"/>
  <c r="G4587" i="12"/>
  <c r="F4587" i="12"/>
  <c r="J4586" i="12"/>
  <c r="I4586" i="12"/>
  <c r="H4586" i="12"/>
  <c r="G4586" i="12"/>
  <c r="F4586" i="12"/>
  <c r="J4585" i="12"/>
  <c r="I4585" i="12"/>
  <c r="H4585" i="12"/>
  <c r="G4585" i="12"/>
  <c r="F4585" i="12"/>
  <c r="J4584" i="12"/>
  <c r="I4584" i="12"/>
  <c r="H4584" i="12"/>
  <c r="G4584" i="12"/>
  <c r="F4584" i="12"/>
  <c r="J4583" i="12"/>
  <c r="I4583" i="12"/>
  <c r="H4583" i="12"/>
  <c r="G4583" i="12"/>
  <c r="F4583" i="12"/>
  <c r="J4582" i="12"/>
  <c r="I4582" i="12"/>
  <c r="H4582" i="12"/>
  <c r="G4582" i="12"/>
  <c r="F4582" i="12"/>
  <c r="J4581" i="12"/>
  <c r="I4581" i="12"/>
  <c r="H4581" i="12"/>
  <c r="G4581" i="12"/>
  <c r="F4581" i="12"/>
  <c r="J4580" i="12"/>
  <c r="I4580" i="12"/>
  <c r="H4580" i="12"/>
  <c r="G4580" i="12"/>
  <c r="F4580" i="12"/>
  <c r="J4579" i="12"/>
  <c r="I4579" i="12"/>
  <c r="H4579" i="12"/>
  <c r="G4579" i="12"/>
  <c r="F4579" i="12"/>
  <c r="J4578" i="12"/>
  <c r="I4578" i="12"/>
  <c r="H4578" i="12"/>
  <c r="G4578" i="12"/>
  <c r="F4578" i="12"/>
  <c r="J4577" i="12"/>
  <c r="I4577" i="12"/>
  <c r="H4577" i="12"/>
  <c r="G4577" i="12"/>
  <c r="F4577" i="12"/>
  <c r="J4576" i="12"/>
  <c r="I4576" i="12"/>
  <c r="H4576" i="12"/>
  <c r="G4576" i="12"/>
  <c r="F4576" i="12"/>
  <c r="J4575" i="12"/>
  <c r="I4575" i="12"/>
  <c r="H4575" i="12"/>
  <c r="G4575" i="12"/>
  <c r="F4575" i="12"/>
  <c r="J4574" i="12"/>
  <c r="I4574" i="12"/>
  <c r="H4574" i="12"/>
  <c r="G4574" i="12"/>
  <c r="F4574" i="12"/>
  <c r="J4573" i="12"/>
  <c r="I4573" i="12"/>
  <c r="H4573" i="12"/>
  <c r="G4573" i="12"/>
  <c r="F4573" i="12"/>
  <c r="J4572" i="12"/>
  <c r="I4572" i="12"/>
  <c r="H4572" i="12"/>
  <c r="G4572" i="12"/>
  <c r="F4572" i="12"/>
  <c r="J4571" i="12"/>
  <c r="I4571" i="12"/>
  <c r="H4571" i="12"/>
  <c r="G4571" i="12"/>
  <c r="F4571" i="12"/>
  <c r="J4570" i="12"/>
  <c r="I4570" i="12"/>
  <c r="H4570" i="12"/>
  <c r="G4570" i="12"/>
  <c r="F4570" i="12"/>
  <c r="J4569" i="12"/>
  <c r="I4569" i="12"/>
  <c r="H4569" i="12"/>
  <c r="G4569" i="12"/>
  <c r="F4569" i="12"/>
  <c r="J4568" i="12"/>
  <c r="I4568" i="12"/>
  <c r="H4568" i="12"/>
  <c r="G4568" i="12"/>
  <c r="F4568" i="12"/>
  <c r="J4567" i="12"/>
  <c r="I4567" i="12"/>
  <c r="H4567" i="12"/>
  <c r="G4567" i="12"/>
  <c r="F4567" i="12"/>
  <c r="J4566" i="12"/>
  <c r="I4566" i="12"/>
  <c r="H4566" i="12"/>
  <c r="G4566" i="12"/>
  <c r="F4566" i="12"/>
  <c r="J4565" i="12"/>
  <c r="I4565" i="12"/>
  <c r="H4565" i="12"/>
  <c r="G4565" i="12"/>
  <c r="F4565" i="12"/>
  <c r="J4564" i="12"/>
  <c r="I4564" i="12"/>
  <c r="H4564" i="12"/>
  <c r="G4564" i="12"/>
  <c r="F4564" i="12"/>
  <c r="J4563" i="12"/>
  <c r="I4563" i="12"/>
  <c r="H4563" i="12"/>
  <c r="G4563" i="12"/>
  <c r="F4563" i="12"/>
  <c r="J4562" i="12"/>
  <c r="I4562" i="12"/>
  <c r="H4562" i="12"/>
  <c r="G4562" i="12"/>
  <c r="F4562" i="12"/>
  <c r="J4561" i="12"/>
  <c r="I4561" i="12"/>
  <c r="H4561" i="12"/>
  <c r="G4561" i="12"/>
  <c r="F4561" i="12"/>
  <c r="J4560" i="12"/>
  <c r="I4560" i="12"/>
  <c r="H4560" i="12"/>
  <c r="G4560" i="12"/>
  <c r="F4560" i="12"/>
  <c r="J4559" i="12"/>
  <c r="I4559" i="12"/>
  <c r="H4559" i="12"/>
  <c r="G4559" i="12"/>
  <c r="F4559" i="12"/>
  <c r="J4558" i="12"/>
  <c r="I4558" i="12"/>
  <c r="H4558" i="12"/>
  <c r="G4558" i="12"/>
  <c r="F4558" i="12"/>
  <c r="J4557" i="12"/>
  <c r="I4557" i="12"/>
  <c r="H4557" i="12"/>
  <c r="G4557" i="12"/>
  <c r="F4557" i="12"/>
  <c r="J4556" i="12"/>
  <c r="I4556" i="12"/>
  <c r="H4556" i="12"/>
  <c r="G4556" i="12"/>
  <c r="F4556" i="12"/>
  <c r="J4555" i="12"/>
  <c r="I4555" i="12"/>
  <c r="H4555" i="12"/>
  <c r="G4555" i="12"/>
  <c r="F4555" i="12"/>
  <c r="J4554" i="12"/>
  <c r="I4554" i="12"/>
  <c r="H4554" i="12"/>
  <c r="G4554" i="12"/>
  <c r="F4554" i="12"/>
  <c r="J4553" i="12"/>
  <c r="I4553" i="12"/>
  <c r="H4553" i="12"/>
  <c r="G4553" i="12"/>
  <c r="F4553" i="12"/>
  <c r="J4552" i="12"/>
  <c r="I4552" i="12"/>
  <c r="H4552" i="12"/>
  <c r="G4552" i="12"/>
  <c r="F4552" i="12"/>
  <c r="J4551" i="12"/>
  <c r="I4551" i="12"/>
  <c r="H4551" i="12"/>
  <c r="G4551" i="12"/>
  <c r="F4551" i="12"/>
  <c r="J4550" i="12"/>
  <c r="I4550" i="12"/>
  <c r="H4550" i="12"/>
  <c r="G4550" i="12"/>
  <c r="F4550" i="12"/>
  <c r="J4549" i="12"/>
  <c r="I4549" i="12"/>
  <c r="H4549" i="12"/>
  <c r="G4549" i="12"/>
  <c r="F4549" i="12"/>
  <c r="J4548" i="12"/>
  <c r="I4548" i="12"/>
  <c r="H4548" i="12"/>
  <c r="G4548" i="12"/>
  <c r="F4548" i="12"/>
  <c r="J4547" i="12"/>
  <c r="I4547" i="12"/>
  <c r="H4547" i="12"/>
  <c r="G4547" i="12"/>
  <c r="F4547" i="12"/>
  <c r="J4546" i="12"/>
  <c r="I4546" i="12"/>
  <c r="H4546" i="12"/>
  <c r="G4546" i="12"/>
  <c r="F4546" i="12"/>
  <c r="J4545" i="12"/>
  <c r="I4545" i="12"/>
  <c r="H4545" i="12"/>
  <c r="G4545" i="12"/>
  <c r="F4545" i="12"/>
  <c r="J4544" i="12"/>
  <c r="I4544" i="12"/>
  <c r="H4544" i="12"/>
  <c r="G4544" i="12"/>
  <c r="F4544" i="12"/>
  <c r="J4543" i="12"/>
  <c r="I4543" i="12"/>
  <c r="H4543" i="12"/>
  <c r="G4543" i="12"/>
  <c r="F4543" i="12"/>
  <c r="J4542" i="12"/>
  <c r="I4542" i="12"/>
  <c r="H4542" i="12"/>
  <c r="G4542" i="12"/>
  <c r="F4542" i="12"/>
  <c r="J4541" i="12"/>
  <c r="I4541" i="12"/>
  <c r="H4541" i="12"/>
  <c r="G4541" i="12"/>
  <c r="F4541" i="12"/>
  <c r="J4540" i="12"/>
  <c r="I4540" i="12"/>
  <c r="H4540" i="12"/>
  <c r="G4540" i="12"/>
  <c r="F4540" i="12"/>
  <c r="J4539" i="12"/>
  <c r="I4539" i="12"/>
  <c r="H4539" i="12"/>
  <c r="G4539" i="12"/>
  <c r="F4539" i="12"/>
  <c r="J4538" i="12"/>
  <c r="I4538" i="12"/>
  <c r="H4538" i="12"/>
  <c r="G4538" i="12"/>
  <c r="F4538" i="12"/>
  <c r="J4537" i="12"/>
  <c r="I4537" i="12"/>
  <c r="H4537" i="12"/>
  <c r="G4537" i="12"/>
  <c r="F4537" i="12"/>
  <c r="J4536" i="12"/>
  <c r="I4536" i="12"/>
  <c r="H4536" i="12"/>
  <c r="G4536" i="12"/>
  <c r="F4536" i="12"/>
  <c r="J4535" i="12"/>
  <c r="I4535" i="12"/>
  <c r="H4535" i="12"/>
  <c r="G4535" i="12"/>
  <c r="F4535" i="12"/>
  <c r="J4534" i="12"/>
  <c r="I4534" i="12"/>
  <c r="H4534" i="12"/>
  <c r="G4534" i="12"/>
  <c r="F4534" i="12"/>
  <c r="J4533" i="12"/>
  <c r="I4533" i="12"/>
  <c r="H4533" i="12"/>
  <c r="G4533" i="12"/>
  <c r="F4533" i="12"/>
  <c r="J4532" i="12"/>
  <c r="I4532" i="12"/>
  <c r="H4532" i="12"/>
  <c r="G4532" i="12"/>
  <c r="F4532" i="12"/>
  <c r="J4531" i="12"/>
  <c r="I4531" i="12"/>
  <c r="H4531" i="12"/>
  <c r="G4531" i="12"/>
  <c r="F4531" i="12"/>
  <c r="J4530" i="12"/>
  <c r="I4530" i="12"/>
  <c r="H4530" i="12"/>
  <c r="G4530" i="12"/>
  <c r="F4530" i="12"/>
  <c r="J4529" i="12"/>
  <c r="I4529" i="12"/>
  <c r="H4529" i="12"/>
  <c r="G4529" i="12"/>
  <c r="F4529" i="12"/>
  <c r="J4528" i="12"/>
  <c r="I4528" i="12"/>
  <c r="H4528" i="12"/>
  <c r="G4528" i="12"/>
  <c r="F4528" i="12"/>
  <c r="J4527" i="12"/>
  <c r="I4527" i="12"/>
  <c r="H4527" i="12"/>
  <c r="G4527" i="12"/>
  <c r="F4527" i="12"/>
  <c r="J4526" i="12"/>
  <c r="I4526" i="12"/>
  <c r="H4526" i="12"/>
  <c r="G4526" i="12"/>
  <c r="F4526" i="12"/>
  <c r="J4525" i="12"/>
  <c r="I4525" i="12"/>
  <c r="H4525" i="12"/>
  <c r="G4525" i="12"/>
  <c r="F4525" i="12"/>
  <c r="J4524" i="12"/>
  <c r="I4524" i="12"/>
  <c r="H4524" i="12"/>
  <c r="G4524" i="12"/>
  <c r="F4524" i="12"/>
  <c r="J4523" i="12"/>
  <c r="I4523" i="12"/>
  <c r="H4523" i="12"/>
  <c r="G4523" i="12"/>
  <c r="F4523" i="12"/>
  <c r="J4522" i="12"/>
  <c r="I4522" i="12"/>
  <c r="H4522" i="12"/>
  <c r="G4522" i="12"/>
  <c r="F4522" i="12"/>
  <c r="J4521" i="12"/>
  <c r="I4521" i="12"/>
  <c r="H4521" i="12"/>
  <c r="G4521" i="12"/>
  <c r="F4521" i="12"/>
  <c r="J4520" i="12"/>
  <c r="I4520" i="12"/>
  <c r="H4520" i="12"/>
  <c r="G4520" i="12"/>
  <c r="F4520" i="12"/>
  <c r="J4519" i="12"/>
  <c r="I4519" i="12"/>
  <c r="H4519" i="12"/>
  <c r="G4519" i="12"/>
  <c r="F4519" i="12"/>
  <c r="J4518" i="12"/>
  <c r="I4518" i="12"/>
  <c r="H4518" i="12"/>
  <c r="G4518" i="12"/>
  <c r="F4518" i="12"/>
  <c r="J4517" i="12"/>
  <c r="I4517" i="12"/>
  <c r="H4517" i="12"/>
  <c r="G4517" i="12"/>
  <c r="F4517" i="12"/>
  <c r="J4516" i="12"/>
  <c r="I4516" i="12"/>
  <c r="H4516" i="12"/>
  <c r="G4516" i="12"/>
  <c r="F4516" i="12"/>
  <c r="J4515" i="12"/>
  <c r="I4515" i="12"/>
  <c r="H4515" i="12"/>
  <c r="G4515" i="12"/>
  <c r="F4515" i="12"/>
  <c r="J4514" i="12"/>
  <c r="I4514" i="12"/>
  <c r="H4514" i="12"/>
  <c r="G4514" i="12"/>
  <c r="F4514" i="12"/>
  <c r="J4513" i="12"/>
  <c r="I4513" i="12"/>
  <c r="H4513" i="12"/>
  <c r="G4513" i="12"/>
  <c r="F4513" i="12"/>
  <c r="J4512" i="12"/>
  <c r="I4512" i="12"/>
  <c r="H4512" i="12"/>
  <c r="G4512" i="12"/>
  <c r="F4512" i="12"/>
  <c r="J4511" i="12"/>
  <c r="I4511" i="12"/>
  <c r="H4511" i="12"/>
  <c r="G4511" i="12"/>
  <c r="F4511" i="12"/>
  <c r="J4510" i="12"/>
  <c r="I4510" i="12"/>
  <c r="H4510" i="12"/>
  <c r="G4510" i="12"/>
  <c r="F4510" i="12"/>
  <c r="J4509" i="12"/>
  <c r="I4509" i="12"/>
  <c r="H4509" i="12"/>
  <c r="G4509" i="12"/>
  <c r="F4509" i="12"/>
  <c r="J4508" i="12"/>
  <c r="I4508" i="12"/>
  <c r="H4508" i="12"/>
  <c r="G4508" i="12"/>
  <c r="F4508" i="12"/>
  <c r="J4507" i="12"/>
  <c r="I4507" i="12"/>
  <c r="H4507" i="12"/>
  <c r="G4507" i="12"/>
  <c r="F4507" i="12"/>
  <c r="J4506" i="12"/>
  <c r="I4506" i="12"/>
  <c r="H4506" i="12"/>
  <c r="G4506" i="12"/>
  <c r="F4506" i="12"/>
  <c r="J4505" i="12"/>
  <c r="I4505" i="12"/>
  <c r="H4505" i="12"/>
  <c r="G4505" i="12"/>
  <c r="F4505" i="12"/>
  <c r="J4504" i="12"/>
  <c r="I4504" i="12"/>
  <c r="H4504" i="12"/>
  <c r="G4504" i="12"/>
  <c r="F4504" i="12"/>
  <c r="J4503" i="12"/>
  <c r="I4503" i="12"/>
  <c r="H4503" i="12"/>
  <c r="G4503" i="12"/>
  <c r="F4503" i="12"/>
  <c r="J4502" i="12"/>
  <c r="I4502" i="12"/>
  <c r="H4502" i="12"/>
  <c r="G4502" i="12"/>
  <c r="F4502" i="12"/>
  <c r="J4501" i="12"/>
  <c r="I4501" i="12"/>
  <c r="H4501" i="12"/>
  <c r="G4501" i="12"/>
  <c r="F4501" i="12"/>
  <c r="J4500" i="12"/>
  <c r="I4500" i="12"/>
  <c r="H4500" i="12"/>
  <c r="G4500" i="12"/>
  <c r="F4500" i="12"/>
  <c r="J4499" i="12"/>
  <c r="I4499" i="12"/>
  <c r="H4499" i="12"/>
  <c r="G4499" i="12"/>
  <c r="F4499" i="12"/>
  <c r="J4498" i="12"/>
  <c r="I4498" i="12"/>
  <c r="H4498" i="12"/>
  <c r="G4498" i="12"/>
  <c r="F4498" i="12"/>
  <c r="J4497" i="12"/>
  <c r="I4497" i="12"/>
  <c r="H4497" i="12"/>
  <c r="G4497" i="12"/>
  <c r="F4497" i="12"/>
  <c r="J4496" i="12"/>
  <c r="I4496" i="12"/>
  <c r="H4496" i="12"/>
  <c r="G4496" i="12"/>
  <c r="F4496" i="12"/>
  <c r="J4495" i="12"/>
  <c r="I4495" i="12"/>
  <c r="H4495" i="12"/>
  <c r="G4495" i="12"/>
  <c r="F4495" i="12"/>
  <c r="J4494" i="12"/>
  <c r="I4494" i="12"/>
  <c r="H4494" i="12"/>
  <c r="G4494" i="12"/>
  <c r="F4494" i="12"/>
  <c r="J4493" i="12"/>
  <c r="I4493" i="12"/>
  <c r="H4493" i="12"/>
  <c r="G4493" i="12"/>
  <c r="F4493" i="12"/>
  <c r="J4492" i="12"/>
  <c r="I4492" i="12"/>
  <c r="H4492" i="12"/>
  <c r="G4492" i="12"/>
  <c r="F4492" i="12"/>
  <c r="J4491" i="12"/>
  <c r="I4491" i="12"/>
  <c r="H4491" i="12"/>
  <c r="G4491" i="12"/>
  <c r="F4491" i="12"/>
  <c r="J4490" i="12"/>
  <c r="I4490" i="12"/>
  <c r="H4490" i="12"/>
  <c r="G4490" i="12"/>
  <c r="F4490" i="12"/>
  <c r="J4489" i="12"/>
  <c r="I4489" i="12"/>
  <c r="H4489" i="12"/>
  <c r="G4489" i="12"/>
  <c r="F4489" i="12"/>
  <c r="J4488" i="12"/>
  <c r="I4488" i="12"/>
  <c r="H4488" i="12"/>
  <c r="G4488" i="12"/>
  <c r="F4488" i="12"/>
  <c r="J4487" i="12"/>
  <c r="I4487" i="12"/>
  <c r="H4487" i="12"/>
  <c r="G4487" i="12"/>
  <c r="F4487" i="12"/>
  <c r="J4486" i="12"/>
  <c r="I4486" i="12"/>
  <c r="H4486" i="12"/>
  <c r="G4486" i="12"/>
  <c r="F4486" i="12"/>
  <c r="J4485" i="12"/>
  <c r="I4485" i="12"/>
  <c r="H4485" i="12"/>
  <c r="G4485" i="12"/>
  <c r="F4485" i="12"/>
  <c r="J4484" i="12"/>
  <c r="I4484" i="12"/>
  <c r="H4484" i="12"/>
  <c r="G4484" i="12"/>
  <c r="F4484" i="12"/>
  <c r="J4483" i="12"/>
  <c r="I4483" i="12"/>
  <c r="H4483" i="12"/>
  <c r="G4483" i="12"/>
  <c r="F4483" i="12"/>
  <c r="J4482" i="12"/>
  <c r="I4482" i="12"/>
  <c r="H4482" i="12"/>
  <c r="G4482" i="12"/>
  <c r="F4482" i="12"/>
  <c r="J4481" i="12"/>
  <c r="I4481" i="12"/>
  <c r="H4481" i="12"/>
  <c r="G4481" i="12"/>
  <c r="F4481" i="12"/>
  <c r="J4480" i="12"/>
  <c r="I4480" i="12"/>
  <c r="H4480" i="12"/>
  <c r="G4480" i="12"/>
  <c r="F4480" i="12"/>
  <c r="J4479" i="12"/>
  <c r="I4479" i="12"/>
  <c r="H4479" i="12"/>
  <c r="G4479" i="12"/>
  <c r="F4479" i="12"/>
  <c r="J4478" i="12"/>
  <c r="I4478" i="12"/>
  <c r="H4478" i="12"/>
  <c r="G4478" i="12"/>
  <c r="F4478" i="12"/>
  <c r="J4477" i="12"/>
  <c r="I4477" i="12"/>
  <c r="H4477" i="12"/>
  <c r="G4477" i="12"/>
  <c r="F4477" i="12"/>
  <c r="J4476" i="12"/>
  <c r="I4476" i="12"/>
  <c r="H4476" i="12"/>
  <c r="G4476" i="12"/>
  <c r="F4476" i="12"/>
  <c r="J4475" i="12"/>
  <c r="I4475" i="12"/>
  <c r="H4475" i="12"/>
  <c r="G4475" i="12"/>
  <c r="F4475" i="12"/>
  <c r="J4474" i="12"/>
  <c r="I4474" i="12"/>
  <c r="H4474" i="12"/>
  <c r="G4474" i="12"/>
  <c r="F4474" i="12"/>
  <c r="J4473" i="12"/>
  <c r="I4473" i="12"/>
  <c r="H4473" i="12"/>
  <c r="G4473" i="12"/>
  <c r="F4473" i="12"/>
  <c r="J4472" i="12"/>
  <c r="I4472" i="12"/>
  <c r="H4472" i="12"/>
  <c r="G4472" i="12"/>
  <c r="F4472" i="12"/>
  <c r="J4471" i="12"/>
  <c r="I4471" i="12"/>
  <c r="H4471" i="12"/>
  <c r="G4471" i="12"/>
  <c r="F4471" i="12"/>
  <c r="J4470" i="12"/>
  <c r="I4470" i="12"/>
  <c r="H4470" i="12"/>
  <c r="G4470" i="12"/>
  <c r="F4470" i="12"/>
  <c r="J4469" i="12"/>
  <c r="I4469" i="12"/>
  <c r="H4469" i="12"/>
  <c r="G4469" i="12"/>
  <c r="F4469" i="12"/>
  <c r="J4468" i="12"/>
  <c r="I4468" i="12"/>
  <c r="H4468" i="12"/>
  <c r="G4468" i="12"/>
  <c r="F4468" i="12"/>
  <c r="J4467" i="12"/>
  <c r="I4467" i="12"/>
  <c r="H4467" i="12"/>
  <c r="G4467" i="12"/>
  <c r="F4467" i="12"/>
  <c r="J4466" i="12"/>
  <c r="I4466" i="12"/>
  <c r="H4466" i="12"/>
  <c r="G4466" i="12"/>
  <c r="F4466" i="12"/>
  <c r="J4465" i="12"/>
  <c r="I4465" i="12"/>
  <c r="H4465" i="12"/>
  <c r="G4465" i="12"/>
  <c r="F4465" i="12"/>
  <c r="J4464" i="12"/>
  <c r="I4464" i="12"/>
  <c r="H4464" i="12"/>
  <c r="G4464" i="12"/>
  <c r="F4464" i="12"/>
  <c r="J4463" i="12"/>
  <c r="I4463" i="12"/>
  <c r="H4463" i="12"/>
  <c r="G4463" i="12"/>
  <c r="F4463" i="12"/>
  <c r="J4462" i="12"/>
  <c r="I4462" i="12"/>
  <c r="H4462" i="12"/>
  <c r="G4462" i="12"/>
  <c r="F4462" i="12"/>
  <c r="J4461" i="12"/>
  <c r="I4461" i="12"/>
  <c r="H4461" i="12"/>
  <c r="G4461" i="12"/>
  <c r="F4461" i="12"/>
  <c r="J4460" i="12"/>
  <c r="I4460" i="12"/>
  <c r="H4460" i="12"/>
  <c r="G4460" i="12"/>
  <c r="F4460" i="12"/>
  <c r="J4459" i="12"/>
  <c r="I4459" i="12"/>
  <c r="H4459" i="12"/>
  <c r="G4459" i="12"/>
  <c r="F4459" i="12"/>
  <c r="J4458" i="12"/>
  <c r="I4458" i="12"/>
  <c r="H4458" i="12"/>
  <c r="G4458" i="12"/>
  <c r="F4458" i="12"/>
  <c r="J4457" i="12"/>
  <c r="I4457" i="12"/>
  <c r="H4457" i="12"/>
  <c r="G4457" i="12"/>
  <c r="F4457" i="12"/>
  <c r="J4456" i="12"/>
  <c r="I4456" i="12"/>
  <c r="H4456" i="12"/>
  <c r="G4456" i="12"/>
  <c r="F4456" i="12"/>
  <c r="J4455" i="12"/>
  <c r="I4455" i="12"/>
  <c r="H4455" i="12"/>
  <c r="G4455" i="12"/>
  <c r="F4455" i="12"/>
  <c r="J4454" i="12"/>
  <c r="I4454" i="12"/>
  <c r="H4454" i="12"/>
  <c r="G4454" i="12"/>
  <c r="F4454" i="12"/>
  <c r="J4453" i="12"/>
  <c r="I4453" i="12"/>
  <c r="H4453" i="12"/>
  <c r="G4453" i="12"/>
  <c r="F4453" i="12"/>
  <c r="J4452" i="12"/>
  <c r="I4452" i="12"/>
  <c r="H4452" i="12"/>
  <c r="G4452" i="12"/>
  <c r="F4452" i="12"/>
  <c r="J4451" i="12"/>
  <c r="I4451" i="12"/>
  <c r="H4451" i="12"/>
  <c r="G4451" i="12"/>
  <c r="F4451" i="12"/>
  <c r="J4450" i="12"/>
  <c r="I4450" i="12"/>
  <c r="H4450" i="12"/>
  <c r="G4450" i="12"/>
  <c r="F4450" i="12"/>
  <c r="J4449" i="12"/>
  <c r="I4449" i="12"/>
  <c r="H4449" i="12"/>
  <c r="G4449" i="12"/>
  <c r="F4449" i="12"/>
  <c r="J4448" i="12"/>
  <c r="I4448" i="12"/>
  <c r="H4448" i="12"/>
  <c r="G4448" i="12"/>
  <c r="F4448" i="12"/>
  <c r="J4447" i="12"/>
  <c r="I4447" i="12"/>
  <c r="H4447" i="12"/>
  <c r="G4447" i="12"/>
  <c r="F4447" i="12"/>
  <c r="J4446" i="12"/>
  <c r="I4446" i="12"/>
  <c r="H4446" i="12"/>
  <c r="G4446" i="12"/>
  <c r="F4446" i="12"/>
  <c r="J4445" i="12"/>
  <c r="I4445" i="12"/>
  <c r="H4445" i="12"/>
  <c r="G4445" i="12"/>
  <c r="F4445" i="12"/>
  <c r="J4444" i="12"/>
  <c r="I4444" i="12"/>
  <c r="H4444" i="12"/>
  <c r="G4444" i="12"/>
  <c r="F4444" i="12"/>
  <c r="J4443" i="12"/>
  <c r="I4443" i="12"/>
  <c r="H4443" i="12"/>
  <c r="G4443" i="12"/>
  <c r="F4443" i="12"/>
  <c r="J4442" i="12"/>
  <c r="I4442" i="12"/>
  <c r="H4442" i="12"/>
  <c r="G4442" i="12"/>
  <c r="F4442" i="12"/>
  <c r="J4441" i="12"/>
  <c r="I4441" i="12"/>
  <c r="H4441" i="12"/>
  <c r="G4441" i="12"/>
  <c r="F4441" i="12"/>
  <c r="J4440" i="12"/>
  <c r="I4440" i="12"/>
  <c r="H4440" i="12"/>
  <c r="G4440" i="12"/>
  <c r="F4440" i="12"/>
  <c r="J4439" i="12"/>
  <c r="I4439" i="12"/>
  <c r="H4439" i="12"/>
  <c r="G4439" i="12"/>
  <c r="F4439" i="12"/>
  <c r="J4438" i="12"/>
  <c r="I4438" i="12"/>
  <c r="H4438" i="12"/>
  <c r="G4438" i="12"/>
  <c r="F4438" i="12"/>
  <c r="J4437" i="12"/>
  <c r="I4437" i="12"/>
  <c r="H4437" i="12"/>
  <c r="G4437" i="12"/>
  <c r="F4437" i="12"/>
  <c r="J4436" i="12"/>
  <c r="I4436" i="12"/>
  <c r="H4436" i="12"/>
  <c r="G4436" i="12"/>
  <c r="F4436" i="12"/>
  <c r="J4435" i="12"/>
  <c r="I4435" i="12"/>
  <c r="H4435" i="12"/>
  <c r="G4435" i="12"/>
  <c r="F4435" i="12"/>
  <c r="J4434" i="12"/>
  <c r="I4434" i="12"/>
  <c r="H4434" i="12"/>
  <c r="G4434" i="12"/>
  <c r="F4434" i="12"/>
  <c r="J4433" i="12"/>
  <c r="I4433" i="12"/>
  <c r="H4433" i="12"/>
  <c r="G4433" i="12"/>
  <c r="F4433" i="12"/>
  <c r="J4432" i="12"/>
  <c r="I4432" i="12"/>
  <c r="H4432" i="12"/>
  <c r="G4432" i="12"/>
  <c r="F4432" i="12"/>
  <c r="J4431" i="12"/>
  <c r="I4431" i="12"/>
  <c r="H4431" i="12"/>
  <c r="G4431" i="12"/>
  <c r="F4431" i="12"/>
  <c r="J4430" i="12"/>
  <c r="I4430" i="12"/>
  <c r="H4430" i="12"/>
  <c r="G4430" i="12"/>
  <c r="F4430" i="12"/>
  <c r="J4429" i="12"/>
  <c r="I4429" i="12"/>
  <c r="H4429" i="12"/>
  <c r="G4429" i="12"/>
  <c r="F4429" i="12"/>
  <c r="J4428" i="12"/>
  <c r="I4428" i="12"/>
  <c r="H4428" i="12"/>
  <c r="G4428" i="12"/>
  <c r="F4428" i="12"/>
  <c r="J4427" i="12"/>
  <c r="I4427" i="12"/>
  <c r="H4427" i="12"/>
  <c r="G4427" i="12"/>
  <c r="F4427" i="12"/>
  <c r="J4426" i="12"/>
  <c r="I4426" i="12"/>
  <c r="H4426" i="12"/>
  <c r="G4426" i="12"/>
  <c r="F4426" i="12"/>
  <c r="J4425" i="12"/>
  <c r="I4425" i="12"/>
  <c r="H4425" i="12"/>
  <c r="G4425" i="12"/>
  <c r="F4425" i="12"/>
  <c r="J4424" i="12"/>
  <c r="I4424" i="12"/>
  <c r="H4424" i="12"/>
  <c r="G4424" i="12"/>
  <c r="F4424" i="12"/>
  <c r="J4423" i="12"/>
  <c r="I4423" i="12"/>
  <c r="H4423" i="12"/>
  <c r="G4423" i="12"/>
  <c r="F4423" i="12"/>
  <c r="J4422" i="12"/>
  <c r="I4422" i="12"/>
  <c r="H4422" i="12"/>
  <c r="G4422" i="12"/>
  <c r="F4422" i="12"/>
  <c r="J4421" i="12"/>
  <c r="I4421" i="12"/>
  <c r="H4421" i="12"/>
  <c r="G4421" i="12"/>
  <c r="F4421" i="12"/>
  <c r="J4420" i="12"/>
  <c r="I4420" i="12"/>
  <c r="H4420" i="12"/>
  <c r="G4420" i="12"/>
  <c r="F4420" i="12"/>
  <c r="J4419" i="12"/>
  <c r="I4419" i="12"/>
  <c r="H4419" i="12"/>
  <c r="G4419" i="12"/>
  <c r="F4419" i="12"/>
  <c r="J4418" i="12"/>
  <c r="I4418" i="12"/>
  <c r="H4418" i="12"/>
  <c r="G4418" i="12"/>
  <c r="F4418" i="12"/>
  <c r="J4417" i="12"/>
  <c r="I4417" i="12"/>
  <c r="H4417" i="12"/>
  <c r="G4417" i="12"/>
  <c r="F4417" i="12"/>
  <c r="J4416" i="12"/>
  <c r="I4416" i="12"/>
  <c r="H4416" i="12"/>
  <c r="G4416" i="12"/>
  <c r="F4416" i="12"/>
  <c r="J4415" i="12"/>
  <c r="I4415" i="12"/>
  <c r="H4415" i="12"/>
  <c r="G4415" i="12"/>
  <c r="F4415" i="12"/>
  <c r="J4414" i="12"/>
  <c r="I4414" i="12"/>
  <c r="H4414" i="12"/>
  <c r="G4414" i="12"/>
  <c r="F4414" i="12"/>
  <c r="J4413" i="12"/>
  <c r="I4413" i="12"/>
  <c r="H4413" i="12"/>
  <c r="G4413" i="12"/>
  <c r="F4413" i="12"/>
  <c r="J4412" i="12"/>
  <c r="I4412" i="12"/>
  <c r="H4412" i="12"/>
  <c r="G4412" i="12"/>
  <c r="F4412" i="12"/>
  <c r="J4411" i="12"/>
  <c r="I4411" i="12"/>
  <c r="H4411" i="12"/>
  <c r="G4411" i="12"/>
  <c r="F4411" i="12"/>
  <c r="J4410" i="12"/>
  <c r="I4410" i="12"/>
  <c r="H4410" i="12"/>
  <c r="G4410" i="12"/>
  <c r="F4410" i="12"/>
  <c r="J4409" i="12"/>
  <c r="I4409" i="12"/>
  <c r="H4409" i="12"/>
  <c r="G4409" i="12"/>
  <c r="F4409" i="12"/>
  <c r="J4408" i="12"/>
  <c r="I4408" i="12"/>
  <c r="H4408" i="12"/>
  <c r="G4408" i="12"/>
  <c r="F4408" i="12"/>
  <c r="J4407" i="12"/>
  <c r="I4407" i="12"/>
  <c r="H4407" i="12"/>
  <c r="G4407" i="12"/>
  <c r="F4407" i="12"/>
  <c r="J4406" i="12"/>
  <c r="I4406" i="12"/>
  <c r="H4406" i="12"/>
  <c r="G4406" i="12"/>
  <c r="F4406" i="12"/>
  <c r="J4405" i="12"/>
  <c r="I4405" i="12"/>
  <c r="H4405" i="12"/>
  <c r="G4405" i="12"/>
  <c r="F4405" i="12"/>
  <c r="J4404" i="12"/>
  <c r="I4404" i="12"/>
  <c r="H4404" i="12"/>
  <c r="G4404" i="12"/>
  <c r="F4404" i="12"/>
  <c r="J4403" i="12"/>
  <c r="I4403" i="12"/>
  <c r="H4403" i="12"/>
  <c r="G4403" i="12"/>
  <c r="F4403" i="12"/>
  <c r="J4402" i="12"/>
  <c r="I4402" i="12"/>
  <c r="H4402" i="12"/>
  <c r="G4402" i="12"/>
  <c r="F4402" i="12"/>
  <c r="J4401" i="12"/>
  <c r="I4401" i="12"/>
  <c r="H4401" i="12"/>
  <c r="G4401" i="12"/>
  <c r="F4401" i="12"/>
  <c r="J4400" i="12"/>
  <c r="I4400" i="12"/>
  <c r="H4400" i="12"/>
  <c r="G4400" i="12"/>
  <c r="F4400" i="12"/>
  <c r="J4399" i="12"/>
  <c r="I4399" i="12"/>
  <c r="H4399" i="12"/>
  <c r="G4399" i="12"/>
  <c r="F4399" i="12"/>
  <c r="J4398" i="12"/>
  <c r="I4398" i="12"/>
  <c r="H4398" i="12"/>
  <c r="G4398" i="12"/>
  <c r="F4398" i="12"/>
  <c r="J4397" i="12"/>
  <c r="I4397" i="12"/>
  <c r="H4397" i="12"/>
  <c r="G4397" i="12"/>
  <c r="F4397" i="12"/>
  <c r="J4396" i="12"/>
  <c r="I4396" i="12"/>
  <c r="H4396" i="12"/>
  <c r="G4396" i="12"/>
  <c r="F4396" i="12"/>
  <c r="J4395" i="12"/>
  <c r="I4395" i="12"/>
  <c r="H4395" i="12"/>
  <c r="G4395" i="12"/>
  <c r="F4395" i="12"/>
  <c r="J4394" i="12"/>
  <c r="I4394" i="12"/>
  <c r="H4394" i="12"/>
  <c r="G4394" i="12"/>
  <c r="F4394" i="12"/>
  <c r="J4393" i="12"/>
  <c r="I4393" i="12"/>
  <c r="H4393" i="12"/>
  <c r="G4393" i="12"/>
  <c r="F4393" i="12"/>
  <c r="J4392" i="12"/>
  <c r="I4392" i="12"/>
  <c r="H4392" i="12"/>
  <c r="G4392" i="12"/>
  <c r="F4392" i="12"/>
  <c r="J4391" i="12"/>
  <c r="I4391" i="12"/>
  <c r="H4391" i="12"/>
  <c r="G4391" i="12"/>
  <c r="F4391" i="12"/>
  <c r="J4390" i="12"/>
  <c r="I4390" i="12"/>
  <c r="H4390" i="12"/>
  <c r="G4390" i="12"/>
  <c r="F4390" i="12"/>
  <c r="J4389" i="12"/>
  <c r="I4389" i="12"/>
  <c r="H4389" i="12"/>
  <c r="G4389" i="12"/>
  <c r="F4389" i="12"/>
  <c r="J4388" i="12"/>
  <c r="I4388" i="12"/>
  <c r="H4388" i="12"/>
  <c r="G4388" i="12"/>
  <c r="F4388" i="12"/>
  <c r="J4387" i="12"/>
  <c r="I4387" i="12"/>
  <c r="H4387" i="12"/>
  <c r="G4387" i="12"/>
  <c r="F4387" i="12"/>
  <c r="J4386" i="12"/>
  <c r="I4386" i="12"/>
  <c r="H4386" i="12"/>
  <c r="G4386" i="12"/>
  <c r="F4386" i="12"/>
  <c r="J4385" i="12"/>
  <c r="I4385" i="12"/>
  <c r="H4385" i="12"/>
  <c r="G4385" i="12"/>
  <c r="F4385" i="12"/>
  <c r="J4384" i="12"/>
  <c r="I4384" i="12"/>
  <c r="H4384" i="12"/>
  <c r="G4384" i="12"/>
  <c r="F4384" i="12"/>
  <c r="J4383" i="12"/>
  <c r="I4383" i="12"/>
  <c r="H4383" i="12"/>
  <c r="G4383" i="12"/>
  <c r="F4383" i="12"/>
  <c r="J4382" i="12"/>
  <c r="I4382" i="12"/>
  <c r="H4382" i="12"/>
  <c r="G4382" i="12"/>
  <c r="F4382" i="12"/>
  <c r="J4381" i="12"/>
  <c r="I4381" i="12"/>
  <c r="H4381" i="12"/>
  <c r="G4381" i="12"/>
  <c r="F4381" i="12"/>
  <c r="J4380" i="12"/>
  <c r="I4380" i="12"/>
  <c r="H4380" i="12"/>
  <c r="G4380" i="12"/>
  <c r="F4380" i="12"/>
  <c r="J4379" i="12"/>
  <c r="I4379" i="12"/>
  <c r="H4379" i="12"/>
  <c r="G4379" i="12"/>
  <c r="F4379" i="12"/>
  <c r="J4378" i="12"/>
  <c r="I4378" i="12"/>
  <c r="H4378" i="12"/>
  <c r="G4378" i="12"/>
  <c r="F4378" i="12"/>
  <c r="J4377" i="12"/>
  <c r="I4377" i="12"/>
  <c r="H4377" i="12"/>
  <c r="G4377" i="12"/>
  <c r="F4377" i="12"/>
  <c r="J4376" i="12"/>
  <c r="I4376" i="12"/>
  <c r="H4376" i="12"/>
  <c r="G4376" i="12"/>
  <c r="F4376" i="12"/>
  <c r="J4375" i="12"/>
  <c r="I4375" i="12"/>
  <c r="H4375" i="12"/>
  <c r="G4375" i="12"/>
  <c r="F4375" i="12"/>
  <c r="J4374" i="12"/>
  <c r="I4374" i="12"/>
  <c r="H4374" i="12"/>
  <c r="G4374" i="12"/>
  <c r="F4374" i="12"/>
  <c r="J4373" i="12"/>
  <c r="I4373" i="12"/>
  <c r="H4373" i="12"/>
  <c r="G4373" i="12"/>
  <c r="F4373" i="12"/>
  <c r="J4372" i="12"/>
  <c r="I4372" i="12"/>
  <c r="H4372" i="12"/>
  <c r="G4372" i="12"/>
  <c r="F4372" i="12"/>
  <c r="J4371" i="12"/>
  <c r="I4371" i="12"/>
  <c r="H4371" i="12"/>
  <c r="G4371" i="12"/>
  <c r="F4371" i="12"/>
  <c r="J4370" i="12"/>
  <c r="I4370" i="12"/>
  <c r="H4370" i="12"/>
  <c r="G4370" i="12"/>
  <c r="F4370" i="12"/>
  <c r="J4369" i="12"/>
  <c r="I4369" i="12"/>
  <c r="H4369" i="12"/>
  <c r="G4369" i="12"/>
  <c r="F4369" i="12"/>
  <c r="J4368" i="12"/>
  <c r="I4368" i="12"/>
  <c r="H4368" i="12"/>
  <c r="G4368" i="12"/>
  <c r="F4368" i="12"/>
  <c r="J4367" i="12"/>
  <c r="I4367" i="12"/>
  <c r="H4367" i="12"/>
  <c r="G4367" i="12"/>
  <c r="F4367" i="12"/>
  <c r="J4366" i="12"/>
  <c r="I4366" i="12"/>
  <c r="H4366" i="12"/>
  <c r="G4366" i="12"/>
  <c r="F4366" i="12"/>
  <c r="J4365" i="12"/>
  <c r="I4365" i="12"/>
  <c r="H4365" i="12"/>
  <c r="G4365" i="12"/>
  <c r="F4365" i="12"/>
  <c r="J4364" i="12"/>
  <c r="I4364" i="12"/>
  <c r="H4364" i="12"/>
  <c r="G4364" i="12"/>
  <c r="F4364" i="12"/>
  <c r="J4363" i="12"/>
  <c r="I4363" i="12"/>
  <c r="H4363" i="12"/>
  <c r="G4363" i="12"/>
  <c r="F4363" i="12"/>
  <c r="J4362" i="12"/>
  <c r="I4362" i="12"/>
  <c r="H4362" i="12"/>
  <c r="G4362" i="12"/>
  <c r="F4362" i="12"/>
  <c r="J4361" i="12"/>
  <c r="I4361" i="12"/>
  <c r="H4361" i="12"/>
  <c r="G4361" i="12"/>
  <c r="F4361" i="12"/>
  <c r="J4360" i="12"/>
  <c r="I4360" i="12"/>
  <c r="H4360" i="12"/>
  <c r="G4360" i="12"/>
  <c r="F4360" i="12"/>
  <c r="J4359" i="12"/>
  <c r="I4359" i="12"/>
  <c r="H4359" i="12"/>
  <c r="G4359" i="12"/>
  <c r="F4359" i="12"/>
  <c r="J4358" i="12"/>
  <c r="I4358" i="12"/>
  <c r="H4358" i="12"/>
  <c r="G4358" i="12"/>
  <c r="F4358" i="12"/>
  <c r="J4357" i="12"/>
  <c r="I4357" i="12"/>
  <c r="H4357" i="12"/>
  <c r="G4357" i="12"/>
  <c r="F4357" i="12"/>
  <c r="J4356" i="12"/>
  <c r="I4356" i="12"/>
  <c r="H4356" i="12"/>
  <c r="G4356" i="12"/>
  <c r="F4356" i="12"/>
  <c r="J4355" i="12"/>
  <c r="I4355" i="12"/>
  <c r="H4355" i="12"/>
  <c r="G4355" i="12"/>
  <c r="F4355" i="12"/>
  <c r="J4354" i="12"/>
  <c r="I4354" i="12"/>
  <c r="H4354" i="12"/>
  <c r="G4354" i="12"/>
  <c r="F4354" i="12"/>
  <c r="J4353" i="12"/>
  <c r="I4353" i="12"/>
  <c r="H4353" i="12"/>
  <c r="G4353" i="12"/>
  <c r="F4353" i="12"/>
  <c r="J4352" i="12"/>
  <c r="I4352" i="12"/>
  <c r="H4352" i="12"/>
  <c r="G4352" i="12"/>
  <c r="F4352" i="12"/>
  <c r="J4351" i="12"/>
  <c r="I4351" i="12"/>
  <c r="H4351" i="12"/>
  <c r="G4351" i="12"/>
  <c r="F4351" i="12"/>
  <c r="J4350" i="12"/>
  <c r="I4350" i="12"/>
  <c r="H4350" i="12"/>
  <c r="G4350" i="12"/>
  <c r="F4350" i="12"/>
  <c r="J4349" i="12"/>
  <c r="I4349" i="12"/>
  <c r="H4349" i="12"/>
  <c r="G4349" i="12"/>
  <c r="F4349" i="12"/>
  <c r="J4348" i="12"/>
  <c r="I4348" i="12"/>
  <c r="H4348" i="12"/>
  <c r="G4348" i="12"/>
  <c r="F4348" i="12"/>
  <c r="J4347" i="12"/>
  <c r="I4347" i="12"/>
  <c r="H4347" i="12"/>
  <c r="G4347" i="12"/>
  <c r="F4347" i="12"/>
  <c r="J4346" i="12"/>
  <c r="I4346" i="12"/>
  <c r="H4346" i="12"/>
  <c r="G4346" i="12"/>
  <c r="F4346" i="12"/>
  <c r="J4345" i="12"/>
  <c r="I4345" i="12"/>
  <c r="H4345" i="12"/>
  <c r="G4345" i="12"/>
  <c r="F4345" i="12"/>
  <c r="J4344" i="12"/>
  <c r="I4344" i="12"/>
  <c r="H4344" i="12"/>
  <c r="G4344" i="12"/>
  <c r="F4344" i="12"/>
  <c r="J4343" i="12"/>
  <c r="I4343" i="12"/>
  <c r="H4343" i="12"/>
  <c r="G4343" i="12"/>
  <c r="F4343" i="12"/>
  <c r="J4342" i="12"/>
  <c r="I4342" i="12"/>
  <c r="H4342" i="12"/>
  <c r="G4342" i="12"/>
  <c r="F4342" i="12"/>
  <c r="J4341" i="12"/>
  <c r="I4341" i="12"/>
  <c r="H4341" i="12"/>
  <c r="G4341" i="12"/>
  <c r="F4341" i="12"/>
  <c r="J4340" i="12"/>
  <c r="I4340" i="12"/>
  <c r="H4340" i="12"/>
  <c r="G4340" i="12"/>
  <c r="F4340" i="12"/>
  <c r="J4339" i="12"/>
  <c r="I4339" i="12"/>
  <c r="H4339" i="12"/>
  <c r="G4339" i="12"/>
  <c r="F4339" i="12"/>
  <c r="J4338" i="12"/>
  <c r="I4338" i="12"/>
  <c r="H4338" i="12"/>
  <c r="G4338" i="12"/>
  <c r="F4338" i="12"/>
  <c r="J4337" i="12"/>
  <c r="I4337" i="12"/>
  <c r="H4337" i="12"/>
  <c r="G4337" i="12"/>
  <c r="F4337" i="12"/>
  <c r="J4336" i="12"/>
  <c r="I4336" i="12"/>
  <c r="H4336" i="12"/>
  <c r="G4336" i="12"/>
  <c r="F4336" i="12"/>
  <c r="J4335" i="12"/>
  <c r="I4335" i="12"/>
  <c r="H4335" i="12"/>
  <c r="G4335" i="12"/>
  <c r="F4335" i="12"/>
  <c r="J4334" i="12"/>
  <c r="I4334" i="12"/>
  <c r="H4334" i="12"/>
  <c r="G4334" i="12"/>
  <c r="F4334" i="12"/>
  <c r="J4333" i="12"/>
  <c r="I4333" i="12"/>
  <c r="H4333" i="12"/>
  <c r="G4333" i="12"/>
  <c r="F4333" i="12"/>
  <c r="J4332" i="12"/>
  <c r="I4332" i="12"/>
  <c r="H4332" i="12"/>
  <c r="G4332" i="12"/>
  <c r="F4332" i="12"/>
  <c r="J4331" i="12"/>
  <c r="I4331" i="12"/>
  <c r="H4331" i="12"/>
  <c r="G4331" i="12"/>
  <c r="F4331" i="12"/>
  <c r="J4330" i="12"/>
  <c r="I4330" i="12"/>
  <c r="H4330" i="12"/>
  <c r="G4330" i="12"/>
  <c r="F4330" i="12"/>
  <c r="J4329" i="12"/>
  <c r="I4329" i="12"/>
  <c r="H4329" i="12"/>
  <c r="G4329" i="12"/>
  <c r="F4329" i="12"/>
  <c r="J4328" i="12"/>
  <c r="I4328" i="12"/>
  <c r="H4328" i="12"/>
  <c r="G4328" i="12"/>
  <c r="F4328" i="12"/>
  <c r="J4327" i="12"/>
  <c r="I4327" i="12"/>
  <c r="H4327" i="12"/>
  <c r="G4327" i="12"/>
  <c r="F4327" i="12"/>
  <c r="J4326" i="12"/>
  <c r="I4326" i="12"/>
  <c r="H4326" i="12"/>
  <c r="G4326" i="12"/>
  <c r="F4326" i="12"/>
  <c r="J4325" i="12"/>
  <c r="I4325" i="12"/>
  <c r="H4325" i="12"/>
  <c r="G4325" i="12"/>
  <c r="F4325" i="12"/>
  <c r="J4324" i="12"/>
  <c r="I4324" i="12"/>
  <c r="H4324" i="12"/>
  <c r="G4324" i="12"/>
  <c r="F4324" i="12"/>
  <c r="J4323" i="12"/>
  <c r="I4323" i="12"/>
  <c r="H4323" i="12"/>
  <c r="G4323" i="12"/>
  <c r="F4323" i="12"/>
  <c r="J4322" i="12"/>
  <c r="I4322" i="12"/>
  <c r="H4322" i="12"/>
  <c r="G4322" i="12"/>
  <c r="F4322" i="12"/>
  <c r="J4321" i="12"/>
  <c r="I4321" i="12"/>
  <c r="H4321" i="12"/>
  <c r="G4321" i="12"/>
  <c r="F4321" i="12"/>
  <c r="J4320" i="12"/>
  <c r="I4320" i="12"/>
  <c r="H4320" i="12"/>
  <c r="G4320" i="12"/>
  <c r="F4320" i="12"/>
  <c r="J4319" i="12"/>
  <c r="I4319" i="12"/>
  <c r="H4319" i="12"/>
  <c r="G4319" i="12"/>
  <c r="F4319" i="12"/>
  <c r="J4318" i="12"/>
  <c r="I4318" i="12"/>
  <c r="H4318" i="12"/>
  <c r="G4318" i="12"/>
  <c r="F4318" i="12"/>
  <c r="J4317" i="12"/>
  <c r="I4317" i="12"/>
  <c r="H4317" i="12"/>
  <c r="G4317" i="12"/>
  <c r="F4317" i="12"/>
  <c r="J4316" i="12"/>
  <c r="I4316" i="12"/>
  <c r="H4316" i="12"/>
  <c r="G4316" i="12"/>
  <c r="F4316" i="12"/>
  <c r="J4315" i="12"/>
  <c r="I4315" i="12"/>
  <c r="H4315" i="12"/>
  <c r="G4315" i="12"/>
  <c r="F4315" i="12"/>
  <c r="J4314" i="12"/>
  <c r="I4314" i="12"/>
  <c r="H4314" i="12"/>
  <c r="G4314" i="12"/>
  <c r="F4314" i="12"/>
  <c r="J4313" i="12"/>
  <c r="I4313" i="12"/>
  <c r="H4313" i="12"/>
  <c r="G4313" i="12"/>
  <c r="F4313" i="12"/>
  <c r="J4312" i="12"/>
  <c r="I4312" i="12"/>
  <c r="H4312" i="12"/>
  <c r="G4312" i="12"/>
  <c r="F4312" i="12"/>
  <c r="J4311" i="12"/>
  <c r="I4311" i="12"/>
  <c r="H4311" i="12"/>
  <c r="G4311" i="12"/>
  <c r="F4311" i="12"/>
  <c r="J4310" i="12"/>
  <c r="I4310" i="12"/>
  <c r="H4310" i="12"/>
  <c r="G4310" i="12"/>
  <c r="F4310" i="12"/>
  <c r="J4309" i="12"/>
  <c r="I4309" i="12"/>
  <c r="H4309" i="12"/>
  <c r="G4309" i="12"/>
  <c r="F4309" i="12"/>
  <c r="J4308" i="12"/>
  <c r="I4308" i="12"/>
  <c r="H4308" i="12"/>
  <c r="G4308" i="12"/>
  <c r="F4308" i="12"/>
  <c r="J4307" i="12"/>
  <c r="I4307" i="12"/>
  <c r="H4307" i="12"/>
  <c r="G4307" i="12"/>
  <c r="F4307" i="12"/>
  <c r="J4306" i="12"/>
  <c r="I4306" i="12"/>
  <c r="H4306" i="12"/>
  <c r="G4306" i="12"/>
  <c r="F4306" i="12"/>
  <c r="J4305" i="12"/>
  <c r="I4305" i="12"/>
  <c r="H4305" i="12"/>
  <c r="G4305" i="12"/>
  <c r="F4305" i="12"/>
  <c r="J4304" i="12"/>
  <c r="I4304" i="12"/>
  <c r="H4304" i="12"/>
  <c r="G4304" i="12"/>
  <c r="F4304" i="12"/>
  <c r="J4303" i="12"/>
  <c r="I4303" i="12"/>
  <c r="H4303" i="12"/>
  <c r="G4303" i="12"/>
  <c r="F4303" i="12"/>
  <c r="J4302" i="12"/>
  <c r="I4302" i="12"/>
  <c r="H4302" i="12"/>
  <c r="G4302" i="12"/>
  <c r="F4302" i="12"/>
  <c r="J4301" i="12"/>
  <c r="I4301" i="12"/>
  <c r="H4301" i="12"/>
  <c r="G4301" i="12"/>
  <c r="F4301" i="12"/>
  <c r="J4300" i="12"/>
  <c r="I4300" i="12"/>
  <c r="H4300" i="12"/>
  <c r="G4300" i="12"/>
  <c r="F4300" i="12"/>
  <c r="J4299" i="12"/>
  <c r="I4299" i="12"/>
  <c r="H4299" i="12"/>
  <c r="G4299" i="12"/>
  <c r="F4299" i="12"/>
  <c r="J4298" i="12"/>
  <c r="I4298" i="12"/>
  <c r="H4298" i="12"/>
  <c r="G4298" i="12"/>
  <c r="F4298" i="12"/>
  <c r="J4297" i="12"/>
  <c r="I4297" i="12"/>
  <c r="H4297" i="12"/>
  <c r="G4297" i="12"/>
  <c r="F4297" i="12"/>
  <c r="J4296" i="12"/>
  <c r="I4296" i="12"/>
  <c r="H4296" i="12"/>
  <c r="G4296" i="12"/>
  <c r="F4296" i="12"/>
  <c r="J4295" i="12"/>
  <c r="I4295" i="12"/>
  <c r="H4295" i="12"/>
  <c r="G4295" i="12"/>
  <c r="F4295" i="12"/>
  <c r="J4294" i="12"/>
  <c r="I4294" i="12"/>
  <c r="H4294" i="12"/>
  <c r="G4294" i="12"/>
  <c r="F4294" i="12"/>
  <c r="J4293" i="12"/>
  <c r="I4293" i="12"/>
  <c r="H4293" i="12"/>
  <c r="G4293" i="12"/>
  <c r="F4293" i="12"/>
  <c r="J4292" i="12"/>
  <c r="I4292" i="12"/>
  <c r="H4292" i="12"/>
  <c r="G4292" i="12"/>
  <c r="F4292" i="12"/>
  <c r="J4291" i="12"/>
  <c r="I4291" i="12"/>
  <c r="H4291" i="12"/>
  <c r="G4291" i="12"/>
  <c r="F4291" i="12"/>
  <c r="J4290" i="12"/>
  <c r="I4290" i="12"/>
  <c r="H4290" i="12"/>
  <c r="G4290" i="12"/>
  <c r="F4290" i="12"/>
  <c r="J4289" i="12"/>
  <c r="I4289" i="12"/>
  <c r="H4289" i="12"/>
  <c r="G4289" i="12"/>
  <c r="F4289" i="12"/>
  <c r="J4288" i="12"/>
  <c r="I4288" i="12"/>
  <c r="H4288" i="12"/>
  <c r="G4288" i="12"/>
  <c r="F4288" i="12"/>
  <c r="J4287" i="12"/>
  <c r="I4287" i="12"/>
  <c r="H4287" i="12"/>
  <c r="G4287" i="12"/>
  <c r="F4287" i="12"/>
  <c r="J4286" i="12"/>
  <c r="I4286" i="12"/>
  <c r="H4286" i="12"/>
  <c r="G4286" i="12"/>
  <c r="F4286" i="12"/>
  <c r="J4285" i="12"/>
  <c r="I4285" i="12"/>
  <c r="H4285" i="12"/>
  <c r="G4285" i="12"/>
  <c r="F4285" i="12"/>
  <c r="J4284" i="12"/>
  <c r="I4284" i="12"/>
  <c r="H4284" i="12"/>
  <c r="G4284" i="12"/>
  <c r="F4284" i="12"/>
  <c r="J4283" i="12"/>
  <c r="I4283" i="12"/>
  <c r="H4283" i="12"/>
  <c r="G4283" i="12"/>
  <c r="F4283" i="12"/>
  <c r="J4282" i="12"/>
  <c r="I4282" i="12"/>
  <c r="H4282" i="12"/>
  <c r="G4282" i="12"/>
  <c r="F4282" i="12"/>
  <c r="J4281" i="12"/>
  <c r="I4281" i="12"/>
  <c r="H4281" i="12"/>
  <c r="G4281" i="12"/>
  <c r="F4281" i="12"/>
  <c r="J4280" i="12"/>
  <c r="I4280" i="12"/>
  <c r="H4280" i="12"/>
  <c r="G4280" i="12"/>
  <c r="F4280" i="12"/>
  <c r="J4279" i="12"/>
  <c r="I4279" i="12"/>
  <c r="H4279" i="12"/>
  <c r="G4279" i="12"/>
  <c r="F4279" i="12"/>
  <c r="J4278" i="12"/>
  <c r="I4278" i="12"/>
  <c r="H4278" i="12"/>
  <c r="G4278" i="12"/>
  <c r="F4278" i="12"/>
  <c r="J4277" i="12"/>
  <c r="I4277" i="12"/>
  <c r="H4277" i="12"/>
  <c r="G4277" i="12"/>
  <c r="F4277" i="12"/>
  <c r="J4276" i="12"/>
  <c r="I4276" i="12"/>
  <c r="H4276" i="12"/>
  <c r="G4276" i="12"/>
  <c r="F4276" i="12"/>
  <c r="J4275" i="12"/>
  <c r="I4275" i="12"/>
  <c r="H4275" i="12"/>
  <c r="G4275" i="12"/>
  <c r="F4275" i="12"/>
  <c r="J4274" i="12"/>
  <c r="I4274" i="12"/>
  <c r="H4274" i="12"/>
  <c r="G4274" i="12"/>
  <c r="F4274" i="12"/>
  <c r="J4273" i="12"/>
  <c r="I4273" i="12"/>
  <c r="H4273" i="12"/>
  <c r="G4273" i="12"/>
  <c r="F4273" i="12"/>
  <c r="J4272" i="12"/>
  <c r="I4272" i="12"/>
  <c r="H4272" i="12"/>
  <c r="G4272" i="12"/>
  <c r="F4272" i="12"/>
  <c r="J4271" i="12"/>
  <c r="I4271" i="12"/>
  <c r="H4271" i="12"/>
  <c r="G4271" i="12"/>
  <c r="F4271" i="12"/>
  <c r="J4270" i="12"/>
  <c r="I4270" i="12"/>
  <c r="H4270" i="12"/>
  <c r="G4270" i="12"/>
  <c r="F4270" i="12"/>
  <c r="J4269" i="12"/>
  <c r="I4269" i="12"/>
  <c r="H4269" i="12"/>
  <c r="G4269" i="12"/>
  <c r="F4269" i="12"/>
  <c r="J4268" i="12"/>
  <c r="I4268" i="12"/>
  <c r="H4268" i="12"/>
  <c r="G4268" i="12"/>
  <c r="F4268" i="12"/>
  <c r="J4267" i="12"/>
  <c r="I4267" i="12"/>
  <c r="H4267" i="12"/>
  <c r="G4267" i="12"/>
  <c r="F4267" i="12"/>
  <c r="J4266" i="12"/>
  <c r="I4266" i="12"/>
  <c r="H4266" i="12"/>
  <c r="G4266" i="12"/>
  <c r="F4266" i="12"/>
  <c r="J4265" i="12"/>
  <c r="I4265" i="12"/>
  <c r="H4265" i="12"/>
  <c r="G4265" i="12"/>
  <c r="F4265" i="12"/>
  <c r="J4264" i="12"/>
  <c r="I4264" i="12"/>
  <c r="H4264" i="12"/>
  <c r="G4264" i="12"/>
  <c r="F4264" i="12"/>
  <c r="J4263" i="12"/>
  <c r="I4263" i="12"/>
  <c r="H4263" i="12"/>
  <c r="G4263" i="12"/>
  <c r="F4263" i="12"/>
  <c r="J4262" i="12"/>
  <c r="I4262" i="12"/>
  <c r="H4262" i="12"/>
  <c r="G4262" i="12"/>
  <c r="F4262" i="12"/>
  <c r="J4261" i="12"/>
  <c r="I4261" i="12"/>
  <c r="H4261" i="12"/>
  <c r="G4261" i="12"/>
  <c r="F4261" i="12"/>
  <c r="J4260" i="12"/>
  <c r="I4260" i="12"/>
  <c r="H4260" i="12"/>
  <c r="G4260" i="12"/>
  <c r="F4260" i="12"/>
  <c r="J4259" i="12"/>
  <c r="I4259" i="12"/>
  <c r="H4259" i="12"/>
  <c r="G4259" i="12"/>
  <c r="F4259" i="12"/>
  <c r="J4258" i="12"/>
  <c r="I4258" i="12"/>
  <c r="H4258" i="12"/>
  <c r="G4258" i="12"/>
  <c r="F4258" i="12"/>
  <c r="J4257" i="12"/>
  <c r="I4257" i="12"/>
  <c r="H4257" i="12"/>
  <c r="G4257" i="12"/>
  <c r="F4257" i="12"/>
  <c r="J4256" i="12"/>
  <c r="I4256" i="12"/>
  <c r="H4256" i="12"/>
  <c r="G4256" i="12"/>
  <c r="F4256" i="12"/>
  <c r="J4255" i="12"/>
  <c r="I4255" i="12"/>
  <c r="H4255" i="12"/>
  <c r="G4255" i="12"/>
  <c r="F4255" i="12"/>
  <c r="J4254" i="12"/>
  <c r="I4254" i="12"/>
  <c r="H4254" i="12"/>
  <c r="G4254" i="12"/>
  <c r="F4254" i="12"/>
  <c r="J4253" i="12"/>
  <c r="I4253" i="12"/>
  <c r="H4253" i="12"/>
  <c r="G4253" i="12"/>
  <c r="F4253" i="12"/>
  <c r="J4252" i="12"/>
  <c r="I4252" i="12"/>
  <c r="H4252" i="12"/>
  <c r="G4252" i="12"/>
  <c r="F4252" i="12"/>
  <c r="J4251" i="12"/>
  <c r="I4251" i="12"/>
  <c r="H4251" i="12"/>
  <c r="G4251" i="12"/>
  <c r="F4251" i="12"/>
  <c r="J4250" i="12"/>
  <c r="I4250" i="12"/>
  <c r="H4250" i="12"/>
  <c r="G4250" i="12"/>
  <c r="F4250" i="12"/>
  <c r="J4249" i="12"/>
  <c r="I4249" i="12"/>
  <c r="H4249" i="12"/>
  <c r="G4249" i="12"/>
  <c r="F4249" i="12"/>
  <c r="J4248" i="12"/>
  <c r="I4248" i="12"/>
  <c r="H4248" i="12"/>
  <c r="G4248" i="12"/>
  <c r="F4248" i="12"/>
  <c r="J4247" i="12"/>
  <c r="I4247" i="12"/>
  <c r="H4247" i="12"/>
  <c r="G4247" i="12"/>
  <c r="F4247" i="12"/>
  <c r="J4246" i="12"/>
  <c r="I4246" i="12"/>
  <c r="H4246" i="12"/>
  <c r="G4246" i="12"/>
  <c r="F4246" i="12"/>
  <c r="J4245" i="12"/>
  <c r="I4245" i="12"/>
  <c r="H4245" i="12"/>
  <c r="G4245" i="12"/>
  <c r="F4245" i="12"/>
  <c r="J4244" i="12"/>
  <c r="I4244" i="12"/>
  <c r="H4244" i="12"/>
  <c r="G4244" i="12"/>
  <c r="F4244" i="12"/>
  <c r="J4243" i="12"/>
  <c r="I4243" i="12"/>
  <c r="H4243" i="12"/>
  <c r="G4243" i="12"/>
  <c r="F4243" i="12"/>
  <c r="J4242" i="12"/>
  <c r="I4242" i="12"/>
  <c r="H4242" i="12"/>
  <c r="G4242" i="12"/>
  <c r="F4242" i="12"/>
  <c r="J4241" i="12"/>
  <c r="I4241" i="12"/>
  <c r="H4241" i="12"/>
  <c r="G4241" i="12"/>
  <c r="F4241" i="12"/>
  <c r="J4240" i="12"/>
  <c r="I4240" i="12"/>
  <c r="H4240" i="12"/>
  <c r="G4240" i="12"/>
  <c r="F4240" i="12"/>
  <c r="J4239" i="12"/>
  <c r="I4239" i="12"/>
  <c r="H4239" i="12"/>
  <c r="G4239" i="12"/>
  <c r="F4239" i="12"/>
  <c r="J4238" i="12"/>
  <c r="I4238" i="12"/>
  <c r="H4238" i="12"/>
  <c r="G4238" i="12"/>
  <c r="F4238" i="12"/>
  <c r="J4237" i="12"/>
  <c r="I4237" i="12"/>
  <c r="H4237" i="12"/>
  <c r="G4237" i="12"/>
  <c r="F4237" i="12"/>
  <c r="J4236" i="12"/>
  <c r="I4236" i="12"/>
  <c r="H4236" i="12"/>
  <c r="G4236" i="12"/>
  <c r="F4236" i="12"/>
  <c r="J4235" i="12"/>
  <c r="I4235" i="12"/>
  <c r="H4235" i="12"/>
  <c r="G4235" i="12"/>
  <c r="F4235" i="12"/>
  <c r="J4234" i="12"/>
  <c r="I4234" i="12"/>
  <c r="H4234" i="12"/>
  <c r="G4234" i="12"/>
  <c r="F4234" i="12"/>
  <c r="J4233" i="12"/>
  <c r="I4233" i="12"/>
  <c r="H4233" i="12"/>
  <c r="G4233" i="12"/>
  <c r="F4233" i="12"/>
  <c r="J4232" i="12"/>
  <c r="I4232" i="12"/>
  <c r="H4232" i="12"/>
  <c r="G4232" i="12"/>
  <c r="F4232" i="12"/>
  <c r="J4231" i="12"/>
  <c r="I4231" i="12"/>
  <c r="H4231" i="12"/>
  <c r="G4231" i="12"/>
  <c r="F4231" i="12"/>
  <c r="J4230" i="12"/>
  <c r="I4230" i="12"/>
  <c r="H4230" i="12"/>
  <c r="G4230" i="12"/>
  <c r="F4230" i="12"/>
  <c r="J4229" i="12"/>
  <c r="I4229" i="12"/>
  <c r="H4229" i="12"/>
  <c r="G4229" i="12"/>
  <c r="F4229" i="12"/>
  <c r="J4228" i="12"/>
  <c r="I4228" i="12"/>
  <c r="H4228" i="12"/>
  <c r="G4228" i="12"/>
  <c r="F4228" i="12"/>
  <c r="J4227" i="12"/>
  <c r="I4227" i="12"/>
  <c r="H4227" i="12"/>
  <c r="G4227" i="12"/>
  <c r="F4227" i="12"/>
  <c r="J4226" i="12"/>
  <c r="I4226" i="12"/>
  <c r="H4226" i="12"/>
  <c r="G4226" i="12"/>
  <c r="F4226" i="12"/>
  <c r="J4225" i="12"/>
  <c r="I4225" i="12"/>
  <c r="H4225" i="12"/>
  <c r="G4225" i="12"/>
  <c r="F4225" i="12"/>
  <c r="J4224" i="12"/>
  <c r="I4224" i="12"/>
  <c r="H4224" i="12"/>
  <c r="G4224" i="12"/>
  <c r="F4224" i="12"/>
  <c r="J4223" i="12"/>
  <c r="I4223" i="12"/>
  <c r="H4223" i="12"/>
  <c r="G4223" i="12"/>
  <c r="F4223" i="12"/>
  <c r="J4222" i="12"/>
  <c r="I4222" i="12"/>
  <c r="H4222" i="12"/>
  <c r="G4222" i="12"/>
  <c r="F4222" i="12"/>
  <c r="J4221" i="12"/>
  <c r="I4221" i="12"/>
  <c r="H4221" i="12"/>
  <c r="G4221" i="12"/>
  <c r="F4221" i="12"/>
  <c r="J4220" i="12"/>
  <c r="I4220" i="12"/>
  <c r="H4220" i="12"/>
  <c r="G4220" i="12"/>
  <c r="F4220" i="12"/>
  <c r="J4219" i="12"/>
  <c r="I4219" i="12"/>
  <c r="H4219" i="12"/>
  <c r="G4219" i="12"/>
  <c r="F4219" i="12"/>
  <c r="J4218" i="12"/>
  <c r="I4218" i="12"/>
  <c r="H4218" i="12"/>
  <c r="G4218" i="12"/>
  <c r="F4218" i="12"/>
  <c r="J4217" i="12"/>
  <c r="I4217" i="12"/>
  <c r="H4217" i="12"/>
  <c r="G4217" i="12"/>
  <c r="F4217" i="12"/>
  <c r="J4216" i="12"/>
  <c r="I4216" i="12"/>
  <c r="H4216" i="12"/>
  <c r="G4216" i="12"/>
  <c r="F4216" i="12"/>
  <c r="J4215" i="12"/>
  <c r="I4215" i="12"/>
  <c r="H4215" i="12"/>
  <c r="G4215" i="12"/>
  <c r="F4215" i="12"/>
  <c r="J4214" i="12"/>
  <c r="I4214" i="12"/>
  <c r="H4214" i="12"/>
  <c r="G4214" i="12"/>
  <c r="F4214" i="12"/>
  <c r="J4213" i="12"/>
  <c r="I4213" i="12"/>
  <c r="H4213" i="12"/>
  <c r="G4213" i="12"/>
  <c r="F4213" i="12"/>
  <c r="J4212" i="12"/>
  <c r="I4212" i="12"/>
  <c r="H4212" i="12"/>
  <c r="G4212" i="12"/>
  <c r="F4212" i="12"/>
  <c r="J4211" i="12"/>
  <c r="I4211" i="12"/>
  <c r="H4211" i="12"/>
  <c r="G4211" i="12"/>
  <c r="F4211" i="12"/>
  <c r="J4210" i="12"/>
  <c r="I4210" i="12"/>
  <c r="H4210" i="12"/>
  <c r="G4210" i="12"/>
  <c r="F4210" i="12"/>
  <c r="J4209" i="12"/>
  <c r="I4209" i="12"/>
  <c r="H4209" i="12"/>
  <c r="G4209" i="12"/>
  <c r="F4209" i="12"/>
  <c r="J4208" i="12"/>
  <c r="I4208" i="12"/>
  <c r="H4208" i="12"/>
  <c r="G4208" i="12"/>
  <c r="F4208" i="12"/>
  <c r="J4207" i="12"/>
  <c r="I4207" i="12"/>
  <c r="H4207" i="12"/>
  <c r="G4207" i="12"/>
  <c r="F4207" i="12"/>
  <c r="J4206" i="12"/>
  <c r="I4206" i="12"/>
  <c r="H4206" i="12"/>
  <c r="G4206" i="12"/>
  <c r="F4206" i="12"/>
  <c r="J4205" i="12"/>
  <c r="I4205" i="12"/>
  <c r="H4205" i="12"/>
  <c r="G4205" i="12"/>
  <c r="F4205" i="12"/>
  <c r="J4204" i="12"/>
  <c r="I4204" i="12"/>
  <c r="H4204" i="12"/>
  <c r="G4204" i="12"/>
  <c r="F4204" i="12"/>
  <c r="J4203" i="12"/>
  <c r="I4203" i="12"/>
  <c r="H4203" i="12"/>
  <c r="G4203" i="12"/>
  <c r="F4203" i="12"/>
  <c r="J4202" i="12"/>
  <c r="I4202" i="12"/>
  <c r="H4202" i="12"/>
  <c r="G4202" i="12"/>
  <c r="F4202" i="12"/>
  <c r="J4201" i="12"/>
  <c r="I4201" i="12"/>
  <c r="H4201" i="12"/>
  <c r="G4201" i="12"/>
  <c r="F4201" i="12"/>
  <c r="J4200" i="12"/>
  <c r="I4200" i="12"/>
  <c r="H4200" i="12"/>
  <c r="G4200" i="12"/>
  <c r="F4200" i="12"/>
  <c r="J4199" i="12"/>
  <c r="I4199" i="12"/>
  <c r="H4199" i="12"/>
  <c r="G4199" i="12"/>
  <c r="F4199" i="12"/>
  <c r="J4198" i="12"/>
  <c r="I4198" i="12"/>
  <c r="H4198" i="12"/>
  <c r="G4198" i="12"/>
  <c r="F4198" i="12"/>
  <c r="J4197" i="12"/>
  <c r="I4197" i="12"/>
  <c r="H4197" i="12"/>
  <c r="G4197" i="12"/>
  <c r="F4197" i="12"/>
  <c r="J4196" i="12"/>
  <c r="I4196" i="12"/>
  <c r="H4196" i="12"/>
  <c r="G4196" i="12"/>
  <c r="F4196" i="12"/>
  <c r="J4195" i="12"/>
  <c r="I4195" i="12"/>
  <c r="H4195" i="12"/>
  <c r="G4195" i="12"/>
  <c r="F4195" i="12"/>
  <c r="J4194" i="12"/>
  <c r="I4194" i="12"/>
  <c r="H4194" i="12"/>
  <c r="G4194" i="12"/>
  <c r="F4194" i="12"/>
  <c r="J4193" i="12"/>
  <c r="I4193" i="12"/>
  <c r="H4193" i="12"/>
  <c r="G4193" i="12"/>
  <c r="F4193" i="12"/>
  <c r="J4192" i="12"/>
  <c r="I4192" i="12"/>
  <c r="H4192" i="12"/>
  <c r="G4192" i="12"/>
  <c r="F4192" i="12"/>
  <c r="J4191" i="12"/>
  <c r="I4191" i="12"/>
  <c r="H4191" i="12"/>
  <c r="G4191" i="12"/>
  <c r="F4191" i="12"/>
  <c r="J4190" i="12"/>
  <c r="I4190" i="12"/>
  <c r="H4190" i="12"/>
  <c r="G4190" i="12"/>
  <c r="F4190" i="12"/>
  <c r="J4189" i="12"/>
  <c r="I4189" i="12"/>
  <c r="H4189" i="12"/>
  <c r="G4189" i="12"/>
  <c r="F4189" i="12"/>
  <c r="J4188" i="12"/>
  <c r="I4188" i="12"/>
  <c r="H4188" i="12"/>
  <c r="G4188" i="12"/>
  <c r="F4188" i="12"/>
  <c r="J4187" i="12"/>
  <c r="I4187" i="12"/>
  <c r="H4187" i="12"/>
  <c r="G4187" i="12"/>
  <c r="F4187" i="12"/>
  <c r="J4186" i="12"/>
  <c r="I4186" i="12"/>
  <c r="H4186" i="12"/>
  <c r="G4186" i="12"/>
  <c r="F4186" i="12"/>
  <c r="J4185" i="12"/>
  <c r="I4185" i="12"/>
  <c r="H4185" i="12"/>
  <c r="G4185" i="12"/>
  <c r="F4185" i="12"/>
  <c r="J4184" i="12"/>
  <c r="I4184" i="12"/>
  <c r="H4184" i="12"/>
  <c r="G4184" i="12"/>
  <c r="F4184" i="12"/>
  <c r="J4183" i="12"/>
  <c r="I4183" i="12"/>
  <c r="H4183" i="12"/>
  <c r="G4183" i="12"/>
  <c r="F4183" i="12"/>
  <c r="J4182" i="12"/>
  <c r="I4182" i="12"/>
  <c r="H4182" i="12"/>
  <c r="G4182" i="12"/>
  <c r="F4182" i="12"/>
  <c r="J4181" i="12"/>
  <c r="I4181" i="12"/>
  <c r="H4181" i="12"/>
  <c r="G4181" i="12"/>
  <c r="F4181" i="12"/>
  <c r="J4180" i="12"/>
  <c r="I4180" i="12"/>
  <c r="H4180" i="12"/>
  <c r="G4180" i="12"/>
  <c r="F4180" i="12"/>
  <c r="J4179" i="12"/>
  <c r="I4179" i="12"/>
  <c r="H4179" i="12"/>
  <c r="G4179" i="12"/>
  <c r="F4179" i="12"/>
  <c r="J4178" i="12"/>
  <c r="I4178" i="12"/>
  <c r="H4178" i="12"/>
  <c r="G4178" i="12"/>
  <c r="F4178" i="12"/>
  <c r="J4177" i="12"/>
  <c r="I4177" i="12"/>
  <c r="H4177" i="12"/>
  <c r="G4177" i="12"/>
  <c r="F4177" i="12"/>
  <c r="J4176" i="12"/>
  <c r="I4176" i="12"/>
  <c r="H4176" i="12"/>
  <c r="G4176" i="12"/>
  <c r="F4176" i="12"/>
  <c r="J4175" i="12"/>
  <c r="I4175" i="12"/>
  <c r="H4175" i="12"/>
  <c r="G4175" i="12"/>
  <c r="F4175" i="12"/>
  <c r="J4174" i="12"/>
  <c r="I4174" i="12"/>
  <c r="H4174" i="12"/>
  <c r="G4174" i="12"/>
  <c r="F4174" i="12"/>
  <c r="J4173" i="12"/>
  <c r="I4173" i="12"/>
  <c r="H4173" i="12"/>
  <c r="G4173" i="12"/>
  <c r="F4173" i="12"/>
  <c r="J4172" i="12"/>
  <c r="I4172" i="12"/>
  <c r="H4172" i="12"/>
  <c r="G4172" i="12"/>
  <c r="F4172" i="12"/>
  <c r="J4171" i="12"/>
  <c r="I4171" i="12"/>
  <c r="H4171" i="12"/>
  <c r="G4171" i="12"/>
  <c r="F4171" i="12"/>
  <c r="J4170" i="12"/>
  <c r="I4170" i="12"/>
  <c r="H4170" i="12"/>
  <c r="G4170" i="12"/>
  <c r="F4170" i="12"/>
  <c r="J4169" i="12"/>
  <c r="I4169" i="12"/>
  <c r="H4169" i="12"/>
  <c r="G4169" i="12"/>
  <c r="F4169" i="12"/>
  <c r="J4168" i="12"/>
  <c r="I4168" i="12"/>
  <c r="H4168" i="12"/>
  <c r="G4168" i="12"/>
  <c r="F4168" i="12"/>
  <c r="J4167" i="12"/>
  <c r="I4167" i="12"/>
  <c r="H4167" i="12"/>
  <c r="G4167" i="12"/>
  <c r="F4167" i="12"/>
  <c r="J4166" i="12"/>
  <c r="I4166" i="12"/>
  <c r="H4166" i="12"/>
  <c r="G4166" i="12"/>
  <c r="F4166" i="12"/>
  <c r="J4165" i="12"/>
  <c r="I4165" i="12"/>
  <c r="H4165" i="12"/>
  <c r="G4165" i="12"/>
  <c r="F4165" i="12"/>
  <c r="J4164" i="12"/>
  <c r="I4164" i="12"/>
  <c r="H4164" i="12"/>
  <c r="G4164" i="12"/>
  <c r="F4164" i="12"/>
  <c r="J4163" i="12"/>
  <c r="I4163" i="12"/>
  <c r="H4163" i="12"/>
  <c r="G4163" i="12"/>
  <c r="F4163" i="12"/>
  <c r="J4162" i="12"/>
  <c r="I4162" i="12"/>
  <c r="H4162" i="12"/>
  <c r="G4162" i="12"/>
  <c r="F4162" i="12"/>
  <c r="J4161" i="12"/>
  <c r="I4161" i="12"/>
  <c r="H4161" i="12"/>
  <c r="G4161" i="12"/>
  <c r="F4161" i="12"/>
  <c r="J4160" i="12"/>
  <c r="I4160" i="12"/>
  <c r="H4160" i="12"/>
  <c r="G4160" i="12"/>
  <c r="F4160" i="12"/>
  <c r="J4159" i="12"/>
  <c r="I4159" i="12"/>
  <c r="H4159" i="12"/>
  <c r="G4159" i="12"/>
  <c r="F4159" i="12"/>
  <c r="J4158" i="12"/>
  <c r="I4158" i="12"/>
  <c r="H4158" i="12"/>
  <c r="G4158" i="12"/>
  <c r="F4158" i="12"/>
  <c r="J4157" i="12"/>
  <c r="I4157" i="12"/>
  <c r="H4157" i="12"/>
  <c r="G4157" i="12"/>
  <c r="F4157" i="12"/>
  <c r="J4156" i="12"/>
  <c r="I4156" i="12"/>
  <c r="H4156" i="12"/>
  <c r="G4156" i="12"/>
  <c r="F4156" i="12"/>
  <c r="J4155" i="12"/>
  <c r="I4155" i="12"/>
  <c r="H4155" i="12"/>
  <c r="G4155" i="12"/>
  <c r="F4155" i="12"/>
  <c r="J4154" i="12"/>
  <c r="I4154" i="12"/>
  <c r="H4154" i="12"/>
  <c r="G4154" i="12"/>
  <c r="F4154" i="12"/>
  <c r="J4153" i="12"/>
  <c r="I4153" i="12"/>
  <c r="H4153" i="12"/>
  <c r="G4153" i="12"/>
  <c r="F4153" i="12"/>
  <c r="J4152" i="12"/>
  <c r="I4152" i="12"/>
  <c r="H4152" i="12"/>
  <c r="G4152" i="12"/>
  <c r="F4152" i="12"/>
  <c r="J4151" i="12"/>
  <c r="I4151" i="12"/>
  <c r="H4151" i="12"/>
  <c r="G4151" i="12"/>
  <c r="F4151" i="12"/>
  <c r="J4150" i="12"/>
  <c r="I4150" i="12"/>
  <c r="H4150" i="12"/>
  <c r="G4150" i="12"/>
  <c r="F4150" i="12"/>
  <c r="J4149" i="12"/>
  <c r="I4149" i="12"/>
  <c r="H4149" i="12"/>
  <c r="G4149" i="12"/>
  <c r="F4149" i="12"/>
  <c r="J4148" i="12"/>
  <c r="I4148" i="12"/>
  <c r="H4148" i="12"/>
  <c r="G4148" i="12"/>
  <c r="F4148" i="12"/>
  <c r="J4147" i="12"/>
  <c r="I4147" i="12"/>
  <c r="H4147" i="12"/>
  <c r="G4147" i="12"/>
  <c r="F4147" i="12"/>
  <c r="J4146" i="12"/>
  <c r="I4146" i="12"/>
  <c r="H4146" i="12"/>
  <c r="G4146" i="12"/>
  <c r="F4146" i="12"/>
  <c r="J4145" i="12"/>
  <c r="I4145" i="12"/>
  <c r="H4145" i="12"/>
  <c r="G4145" i="12"/>
  <c r="F4145" i="12"/>
  <c r="J4144" i="12"/>
  <c r="I4144" i="12"/>
  <c r="H4144" i="12"/>
  <c r="G4144" i="12"/>
  <c r="F4144" i="12"/>
  <c r="J4143" i="12"/>
  <c r="I4143" i="12"/>
  <c r="H4143" i="12"/>
  <c r="G4143" i="12"/>
  <c r="F4143" i="12"/>
  <c r="J4142" i="12"/>
  <c r="I4142" i="12"/>
  <c r="H4142" i="12"/>
  <c r="G4142" i="12"/>
  <c r="F4142" i="12"/>
  <c r="J4141" i="12"/>
  <c r="I4141" i="12"/>
  <c r="H4141" i="12"/>
  <c r="G4141" i="12"/>
  <c r="F4141" i="12"/>
  <c r="J4140" i="12"/>
  <c r="I4140" i="12"/>
  <c r="H4140" i="12"/>
  <c r="G4140" i="12"/>
  <c r="F4140" i="12"/>
  <c r="J4139" i="12"/>
  <c r="I4139" i="12"/>
  <c r="H4139" i="12"/>
  <c r="G4139" i="12"/>
  <c r="F4139" i="12"/>
  <c r="J4138" i="12"/>
  <c r="I4138" i="12"/>
  <c r="H4138" i="12"/>
  <c r="G4138" i="12"/>
  <c r="F4138" i="12"/>
  <c r="J4137" i="12"/>
  <c r="I4137" i="12"/>
  <c r="H4137" i="12"/>
  <c r="G4137" i="12"/>
  <c r="F4137" i="12"/>
  <c r="J4136" i="12"/>
  <c r="I4136" i="12"/>
  <c r="H4136" i="12"/>
  <c r="G4136" i="12"/>
  <c r="F4136" i="12"/>
  <c r="J4135" i="12"/>
  <c r="I4135" i="12"/>
  <c r="H4135" i="12"/>
  <c r="G4135" i="12"/>
  <c r="F4135" i="12"/>
  <c r="J4134" i="12"/>
  <c r="I4134" i="12"/>
  <c r="H4134" i="12"/>
  <c r="G4134" i="12"/>
  <c r="F4134" i="12"/>
  <c r="J4133" i="12"/>
  <c r="I4133" i="12"/>
  <c r="H4133" i="12"/>
  <c r="G4133" i="12"/>
  <c r="F4133" i="12"/>
  <c r="J4132" i="12"/>
  <c r="I4132" i="12"/>
  <c r="H4132" i="12"/>
  <c r="G4132" i="12"/>
  <c r="F4132" i="12"/>
  <c r="J4131" i="12"/>
  <c r="I4131" i="12"/>
  <c r="H4131" i="12"/>
  <c r="G4131" i="12"/>
  <c r="F4131" i="12"/>
  <c r="J4130" i="12"/>
  <c r="I4130" i="12"/>
  <c r="H4130" i="12"/>
  <c r="G4130" i="12"/>
  <c r="F4130" i="12"/>
  <c r="J4129" i="12"/>
  <c r="I4129" i="12"/>
  <c r="H4129" i="12"/>
  <c r="G4129" i="12"/>
  <c r="F4129" i="12"/>
  <c r="J4128" i="12"/>
  <c r="I4128" i="12"/>
  <c r="H4128" i="12"/>
  <c r="G4128" i="12"/>
  <c r="F4128" i="12"/>
  <c r="J4127" i="12"/>
  <c r="I4127" i="12"/>
  <c r="H4127" i="12"/>
  <c r="G4127" i="12"/>
  <c r="F4127" i="12"/>
  <c r="J4126" i="12"/>
  <c r="I4126" i="12"/>
  <c r="H4126" i="12"/>
  <c r="G4126" i="12"/>
  <c r="F4126" i="12"/>
  <c r="J4125" i="12"/>
  <c r="I4125" i="12"/>
  <c r="H4125" i="12"/>
  <c r="G4125" i="12"/>
  <c r="F4125" i="12"/>
  <c r="J4124" i="12"/>
  <c r="I4124" i="12"/>
  <c r="H4124" i="12"/>
  <c r="G4124" i="12"/>
  <c r="F4124" i="12"/>
  <c r="J4123" i="12"/>
  <c r="I4123" i="12"/>
  <c r="H4123" i="12"/>
  <c r="G4123" i="12"/>
  <c r="F4123" i="12"/>
  <c r="J4122" i="12"/>
  <c r="I4122" i="12"/>
  <c r="H4122" i="12"/>
  <c r="G4122" i="12"/>
  <c r="F4122" i="12"/>
  <c r="J4121" i="12"/>
  <c r="I4121" i="12"/>
  <c r="H4121" i="12"/>
  <c r="G4121" i="12"/>
  <c r="F4121" i="12"/>
  <c r="J4120" i="12"/>
  <c r="I4120" i="12"/>
  <c r="H4120" i="12"/>
  <c r="G4120" i="12"/>
  <c r="F4120" i="12"/>
  <c r="J4119" i="12"/>
  <c r="I4119" i="12"/>
  <c r="H4119" i="12"/>
  <c r="G4119" i="12"/>
  <c r="F4119" i="12"/>
  <c r="J4118" i="12"/>
  <c r="I4118" i="12"/>
  <c r="H4118" i="12"/>
  <c r="G4118" i="12"/>
  <c r="F4118" i="12"/>
  <c r="J4117" i="12"/>
  <c r="I4117" i="12"/>
  <c r="H4117" i="12"/>
  <c r="G4117" i="12"/>
  <c r="F4117" i="12"/>
  <c r="J4116" i="12"/>
  <c r="I4116" i="12"/>
  <c r="H4116" i="12"/>
  <c r="G4116" i="12"/>
  <c r="F4116" i="12"/>
  <c r="J4115" i="12"/>
  <c r="I4115" i="12"/>
  <c r="H4115" i="12"/>
  <c r="G4115" i="12"/>
  <c r="F4115" i="12"/>
  <c r="J4114" i="12"/>
  <c r="I4114" i="12"/>
  <c r="H4114" i="12"/>
  <c r="G4114" i="12"/>
  <c r="F4114" i="12"/>
  <c r="J4113" i="12"/>
  <c r="I4113" i="12"/>
  <c r="H4113" i="12"/>
  <c r="G4113" i="12"/>
  <c r="F4113" i="12"/>
  <c r="J4112" i="12"/>
  <c r="I4112" i="12"/>
  <c r="H4112" i="12"/>
  <c r="G4112" i="12"/>
  <c r="F4112" i="12"/>
  <c r="J4111" i="12"/>
  <c r="I4111" i="12"/>
  <c r="H4111" i="12"/>
  <c r="G4111" i="12"/>
  <c r="F4111" i="12"/>
  <c r="J4110" i="12"/>
  <c r="I4110" i="12"/>
  <c r="H4110" i="12"/>
  <c r="G4110" i="12"/>
  <c r="F4110" i="12"/>
  <c r="J4109" i="12"/>
  <c r="I4109" i="12"/>
  <c r="H4109" i="12"/>
  <c r="G4109" i="12"/>
  <c r="F4109" i="12"/>
  <c r="J4108" i="12"/>
  <c r="I4108" i="12"/>
  <c r="H4108" i="12"/>
  <c r="G4108" i="12"/>
  <c r="F4108" i="12"/>
  <c r="J4107" i="12"/>
  <c r="I4107" i="12"/>
  <c r="H4107" i="12"/>
  <c r="G4107" i="12"/>
  <c r="F4107" i="12"/>
  <c r="J4106" i="12"/>
  <c r="I4106" i="12"/>
  <c r="H4106" i="12"/>
  <c r="G4106" i="12"/>
  <c r="F4106" i="12"/>
  <c r="J4105" i="12"/>
  <c r="I4105" i="12"/>
  <c r="H4105" i="12"/>
  <c r="G4105" i="12"/>
  <c r="F4105" i="12"/>
  <c r="J4104" i="12"/>
  <c r="I4104" i="12"/>
  <c r="H4104" i="12"/>
  <c r="G4104" i="12"/>
  <c r="F4104" i="12"/>
  <c r="J4103" i="12"/>
  <c r="I4103" i="12"/>
  <c r="H4103" i="12"/>
  <c r="G4103" i="12"/>
  <c r="F4103" i="12"/>
  <c r="J4102" i="12"/>
  <c r="I4102" i="12"/>
  <c r="H4102" i="12"/>
  <c r="G4102" i="12"/>
  <c r="F4102" i="12"/>
  <c r="J4101" i="12"/>
  <c r="I4101" i="12"/>
  <c r="H4101" i="12"/>
  <c r="G4101" i="12"/>
  <c r="F4101" i="12"/>
  <c r="J4100" i="12"/>
  <c r="I4100" i="12"/>
  <c r="H4100" i="12"/>
  <c r="G4100" i="12"/>
  <c r="F4100" i="12"/>
  <c r="J4099" i="12"/>
  <c r="I4099" i="12"/>
  <c r="H4099" i="12"/>
  <c r="G4099" i="12"/>
  <c r="F4099" i="12"/>
  <c r="J4098" i="12"/>
  <c r="I4098" i="12"/>
  <c r="H4098" i="12"/>
  <c r="G4098" i="12"/>
  <c r="F4098" i="12"/>
  <c r="J4097" i="12"/>
  <c r="I4097" i="12"/>
  <c r="H4097" i="12"/>
  <c r="G4097" i="12"/>
  <c r="F4097" i="12"/>
  <c r="J4096" i="12"/>
  <c r="I4096" i="12"/>
  <c r="H4096" i="12"/>
  <c r="G4096" i="12"/>
  <c r="F4096" i="12"/>
  <c r="J4095" i="12"/>
  <c r="I4095" i="12"/>
  <c r="H4095" i="12"/>
  <c r="G4095" i="12"/>
  <c r="F4095" i="12"/>
  <c r="J4094" i="12"/>
  <c r="I4094" i="12"/>
  <c r="H4094" i="12"/>
  <c r="G4094" i="12"/>
  <c r="F4094" i="12"/>
  <c r="J4093" i="12"/>
  <c r="I4093" i="12"/>
  <c r="H4093" i="12"/>
  <c r="G4093" i="12"/>
  <c r="F4093" i="12"/>
  <c r="J4092" i="12"/>
  <c r="I4092" i="12"/>
  <c r="H4092" i="12"/>
  <c r="G4092" i="12"/>
  <c r="F4092" i="12"/>
  <c r="J4091" i="12"/>
  <c r="I4091" i="12"/>
  <c r="H4091" i="12"/>
  <c r="G4091" i="12"/>
  <c r="F4091" i="12"/>
  <c r="J4090" i="12"/>
  <c r="I4090" i="12"/>
  <c r="H4090" i="12"/>
  <c r="G4090" i="12"/>
  <c r="F4090" i="12"/>
  <c r="J4089" i="12"/>
  <c r="I4089" i="12"/>
  <c r="H4089" i="12"/>
  <c r="G4089" i="12"/>
  <c r="F4089" i="12"/>
  <c r="J4088" i="12"/>
  <c r="I4088" i="12"/>
  <c r="H4088" i="12"/>
  <c r="G4088" i="12"/>
  <c r="F4088" i="12"/>
  <c r="J4087" i="12"/>
  <c r="I4087" i="12"/>
  <c r="H4087" i="12"/>
  <c r="G4087" i="12"/>
  <c r="F4087" i="12"/>
  <c r="J4086" i="12"/>
  <c r="I4086" i="12"/>
  <c r="H4086" i="12"/>
  <c r="G4086" i="12"/>
  <c r="F4086" i="12"/>
  <c r="J4085" i="12"/>
  <c r="I4085" i="12"/>
  <c r="H4085" i="12"/>
  <c r="G4085" i="12"/>
  <c r="F4085" i="12"/>
  <c r="J4084" i="12"/>
  <c r="I4084" i="12"/>
  <c r="H4084" i="12"/>
  <c r="G4084" i="12"/>
  <c r="F4084" i="12"/>
  <c r="J4083" i="12"/>
  <c r="I4083" i="12"/>
  <c r="H4083" i="12"/>
  <c r="G4083" i="12"/>
  <c r="F4083" i="12"/>
  <c r="J4082" i="12"/>
  <c r="I4082" i="12"/>
  <c r="H4082" i="12"/>
  <c r="G4082" i="12"/>
  <c r="F4082" i="12"/>
  <c r="J4081" i="12"/>
  <c r="I4081" i="12"/>
  <c r="H4081" i="12"/>
  <c r="G4081" i="12"/>
  <c r="F4081" i="12"/>
  <c r="J4080" i="12"/>
  <c r="I4080" i="12"/>
  <c r="H4080" i="12"/>
  <c r="G4080" i="12"/>
  <c r="F4080" i="12"/>
  <c r="J4079" i="12"/>
  <c r="I4079" i="12"/>
  <c r="H4079" i="12"/>
  <c r="G4079" i="12"/>
  <c r="F4079" i="12"/>
  <c r="J4078" i="12"/>
  <c r="I4078" i="12"/>
  <c r="H4078" i="12"/>
  <c r="G4078" i="12"/>
  <c r="F4078" i="12"/>
  <c r="J4077" i="12"/>
  <c r="I4077" i="12"/>
  <c r="H4077" i="12"/>
  <c r="G4077" i="12"/>
  <c r="F4077" i="12"/>
  <c r="J4076" i="12"/>
  <c r="I4076" i="12"/>
  <c r="H4076" i="12"/>
  <c r="G4076" i="12"/>
  <c r="F4076" i="12"/>
  <c r="J4075" i="12"/>
  <c r="I4075" i="12"/>
  <c r="H4075" i="12"/>
  <c r="G4075" i="12"/>
  <c r="F4075" i="12"/>
  <c r="J4074" i="12"/>
  <c r="I4074" i="12"/>
  <c r="H4074" i="12"/>
  <c r="G4074" i="12"/>
  <c r="F4074" i="12"/>
  <c r="J4073" i="12"/>
  <c r="I4073" i="12"/>
  <c r="H4073" i="12"/>
  <c r="G4073" i="12"/>
  <c r="F4073" i="12"/>
  <c r="J4072" i="12"/>
  <c r="I4072" i="12"/>
  <c r="H4072" i="12"/>
  <c r="G4072" i="12"/>
  <c r="F4072" i="12"/>
  <c r="J4071" i="12"/>
  <c r="I4071" i="12"/>
  <c r="H4071" i="12"/>
  <c r="G4071" i="12"/>
  <c r="F4071" i="12"/>
  <c r="J4070" i="12"/>
  <c r="I4070" i="12"/>
  <c r="H4070" i="12"/>
  <c r="G4070" i="12"/>
  <c r="F4070" i="12"/>
  <c r="J4069" i="12"/>
  <c r="I4069" i="12"/>
  <c r="H4069" i="12"/>
  <c r="G4069" i="12"/>
  <c r="F4069" i="12"/>
  <c r="J4068" i="12"/>
  <c r="I4068" i="12"/>
  <c r="H4068" i="12"/>
  <c r="G4068" i="12"/>
  <c r="F4068" i="12"/>
  <c r="J4067" i="12"/>
  <c r="I4067" i="12"/>
  <c r="H4067" i="12"/>
  <c r="G4067" i="12"/>
  <c r="F4067" i="12"/>
  <c r="J4066" i="12"/>
  <c r="I4066" i="12"/>
  <c r="H4066" i="12"/>
  <c r="G4066" i="12"/>
  <c r="F4066" i="12"/>
  <c r="J4065" i="12"/>
  <c r="I4065" i="12"/>
  <c r="H4065" i="12"/>
  <c r="G4065" i="12"/>
  <c r="F4065" i="12"/>
  <c r="J4064" i="12"/>
  <c r="I4064" i="12"/>
  <c r="H4064" i="12"/>
  <c r="G4064" i="12"/>
  <c r="F4064" i="12"/>
  <c r="J4063" i="12"/>
  <c r="I4063" i="12"/>
  <c r="H4063" i="12"/>
  <c r="G4063" i="12"/>
  <c r="F4063" i="12"/>
  <c r="J4062" i="12"/>
  <c r="I4062" i="12"/>
  <c r="H4062" i="12"/>
  <c r="G4062" i="12"/>
  <c r="F4062" i="12"/>
  <c r="J4061" i="12"/>
  <c r="I4061" i="12"/>
  <c r="H4061" i="12"/>
  <c r="G4061" i="12"/>
  <c r="F4061" i="12"/>
  <c r="J4060" i="12"/>
  <c r="I4060" i="12"/>
  <c r="H4060" i="12"/>
  <c r="G4060" i="12"/>
  <c r="F4060" i="12"/>
  <c r="J4059" i="12"/>
  <c r="I4059" i="12"/>
  <c r="H4059" i="12"/>
  <c r="G4059" i="12"/>
  <c r="F4059" i="12"/>
  <c r="J4058" i="12"/>
  <c r="I4058" i="12"/>
  <c r="H4058" i="12"/>
  <c r="G4058" i="12"/>
  <c r="F4058" i="12"/>
  <c r="J4057" i="12"/>
  <c r="I4057" i="12"/>
  <c r="H4057" i="12"/>
  <c r="G4057" i="12"/>
  <c r="F4057" i="12"/>
  <c r="J4056" i="12"/>
  <c r="I4056" i="12"/>
  <c r="H4056" i="12"/>
  <c r="G4056" i="12"/>
  <c r="F4056" i="12"/>
  <c r="J4055" i="12"/>
  <c r="I4055" i="12"/>
  <c r="H4055" i="12"/>
  <c r="G4055" i="12"/>
  <c r="F4055" i="12"/>
  <c r="J4054" i="12"/>
  <c r="I4054" i="12"/>
  <c r="H4054" i="12"/>
  <c r="G4054" i="12"/>
  <c r="F4054" i="12"/>
  <c r="J4053" i="12"/>
  <c r="I4053" i="12"/>
  <c r="H4053" i="12"/>
  <c r="G4053" i="12"/>
  <c r="F4053" i="12"/>
  <c r="J4052" i="12"/>
  <c r="I4052" i="12"/>
  <c r="H4052" i="12"/>
  <c r="G4052" i="12"/>
  <c r="F4052" i="12"/>
  <c r="J4051" i="12"/>
  <c r="I4051" i="12"/>
  <c r="H4051" i="12"/>
  <c r="G4051" i="12"/>
  <c r="F4051" i="12"/>
  <c r="J4050" i="12"/>
  <c r="I4050" i="12"/>
  <c r="H4050" i="12"/>
  <c r="G4050" i="12"/>
  <c r="F4050" i="12"/>
  <c r="J4049" i="12"/>
  <c r="I4049" i="12"/>
  <c r="H4049" i="12"/>
  <c r="G4049" i="12"/>
  <c r="F4049" i="12"/>
  <c r="J4048" i="12"/>
  <c r="I4048" i="12"/>
  <c r="H4048" i="12"/>
  <c r="G4048" i="12"/>
  <c r="F4048" i="12"/>
  <c r="J4047" i="12"/>
  <c r="I4047" i="12"/>
  <c r="H4047" i="12"/>
  <c r="G4047" i="12"/>
  <c r="F4047" i="12"/>
  <c r="J4046" i="12"/>
  <c r="I4046" i="12"/>
  <c r="H4046" i="12"/>
  <c r="G4046" i="12"/>
  <c r="F4046" i="12"/>
  <c r="J4045" i="12"/>
  <c r="I4045" i="12"/>
  <c r="H4045" i="12"/>
  <c r="G4045" i="12"/>
  <c r="F4045" i="12"/>
  <c r="J4044" i="12"/>
  <c r="I4044" i="12"/>
  <c r="H4044" i="12"/>
  <c r="G4044" i="12"/>
  <c r="F4044" i="12"/>
  <c r="J4043" i="12"/>
  <c r="I4043" i="12"/>
  <c r="H4043" i="12"/>
  <c r="G4043" i="12"/>
  <c r="F4043" i="12"/>
  <c r="J4042" i="12"/>
  <c r="I4042" i="12"/>
  <c r="H4042" i="12"/>
  <c r="G4042" i="12"/>
  <c r="F4042" i="12"/>
  <c r="J4041" i="12"/>
  <c r="I4041" i="12"/>
  <c r="H4041" i="12"/>
  <c r="G4041" i="12"/>
  <c r="F4041" i="12"/>
  <c r="J4040" i="12"/>
  <c r="I4040" i="12"/>
  <c r="H4040" i="12"/>
  <c r="G4040" i="12"/>
  <c r="F4040" i="12"/>
  <c r="J4039" i="12"/>
  <c r="I4039" i="12"/>
  <c r="H4039" i="12"/>
  <c r="G4039" i="12"/>
  <c r="F4039" i="12"/>
  <c r="J4038" i="12"/>
  <c r="I4038" i="12"/>
  <c r="H4038" i="12"/>
  <c r="G4038" i="12"/>
  <c r="F4038" i="12"/>
  <c r="J4037" i="12"/>
  <c r="I4037" i="12"/>
  <c r="H4037" i="12"/>
  <c r="G4037" i="12"/>
  <c r="F4037" i="12"/>
  <c r="J4036" i="12"/>
  <c r="I4036" i="12"/>
  <c r="H4036" i="12"/>
  <c r="G4036" i="12"/>
  <c r="F4036" i="12"/>
  <c r="J4035" i="12"/>
  <c r="I4035" i="12"/>
  <c r="H4035" i="12"/>
  <c r="G4035" i="12"/>
  <c r="F4035" i="12"/>
  <c r="J4034" i="12"/>
  <c r="I4034" i="12"/>
  <c r="H4034" i="12"/>
  <c r="G4034" i="12"/>
  <c r="F4034" i="12"/>
  <c r="J4033" i="12"/>
  <c r="I4033" i="12"/>
  <c r="H4033" i="12"/>
  <c r="G4033" i="12"/>
  <c r="F4033" i="12"/>
  <c r="J4032" i="12"/>
  <c r="I4032" i="12"/>
  <c r="H4032" i="12"/>
  <c r="G4032" i="12"/>
  <c r="F4032" i="12"/>
  <c r="J4031" i="12"/>
  <c r="I4031" i="12"/>
  <c r="H4031" i="12"/>
  <c r="G4031" i="12"/>
  <c r="F4031" i="12"/>
  <c r="J4030" i="12"/>
  <c r="I4030" i="12"/>
  <c r="H4030" i="12"/>
  <c r="G4030" i="12"/>
  <c r="F4030" i="12"/>
  <c r="J4029" i="12"/>
  <c r="I4029" i="12"/>
  <c r="H4029" i="12"/>
  <c r="G4029" i="12"/>
  <c r="F4029" i="12"/>
  <c r="J4028" i="12"/>
  <c r="I4028" i="12"/>
  <c r="H4028" i="12"/>
  <c r="G4028" i="12"/>
  <c r="F4028" i="12"/>
  <c r="J4027" i="12"/>
  <c r="I4027" i="12"/>
  <c r="H4027" i="12"/>
  <c r="G4027" i="12"/>
  <c r="F4027" i="12"/>
  <c r="J4026" i="12"/>
  <c r="I4026" i="12"/>
  <c r="H4026" i="12"/>
  <c r="G4026" i="12"/>
  <c r="F4026" i="12"/>
  <c r="J4025" i="12"/>
  <c r="I4025" i="12"/>
  <c r="H4025" i="12"/>
  <c r="G4025" i="12"/>
  <c r="F4025" i="12"/>
  <c r="J4024" i="12"/>
  <c r="I4024" i="12"/>
  <c r="H4024" i="12"/>
  <c r="G4024" i="12"/>
  <c r="F4024" i="12"/>
  <c r="J4023" i="12"/>
  <c r="I4023" i="12"/>
  <c r="H4023" i="12"/>
  <c r="G4023" i="12"/>
  <c r="F4023" i="12"/>
  <c r="J4022" i="12"/>
  <c r="I4022" i="12"/>
  <c r="H4022" i="12"/>
  <c r="G4022" i="12"/>
  <c r="F4022" i="12"/>
  <c r="J4021" i="12"/>
  <c r="I4021" i="12"/>
  <c r="H4021" i="12"/>
  <c r="G4021" i="12"/>
  <c r="F4021" i="12"/>
  <c r="J4020" i="12"/>
  <c r="I4020" i="12"/>
  <c r="H4020" i="12"/>
  <c r="G4020" i="12"/>
  <c r="F4020" i="12"/>
  <c r="J4019" i="12"/>
  <c r="I4019" i="12"/>
  <c r="H4019" i="12"/>
  <c r="G4019" i="12"/>
  <c r="F4019" i="12"/>
  <c r="J4018" i="12"/>
  <c r="I4018" i="12"/>
  <c r="H4018" i="12"/>
  <c r="G4018" i="12"/>
  <c r="F4018" i="12"/>
  <c r="J4017" i="12"/>
  <c r="I4017" i="12"/>
  <c r="H4017" i="12"/>
  <c r="G4017" i="12"/>
  <c r="F4017" i="12"/>
  <c r="J4016" i="12"/>
  <c r="I4016" i="12"/>
  <c r="H4016" i="12"/>
  <c r="G4016" i="12"/>
  <c r="F4016" i="12"/>
  <c r="J4015" i="12"/>
  <c r="I4015" i="12"/>
  <c r="H4015" i="12"/>
  <c r="G4015" i="12"/>
  <c r="F4015" i="12"/>
  <c r="J4014" i="12"/>
  <c r="I4014" i="12"/>
  <c r="H4014" i="12"/>
  <c r="G4014" i="12"/>
  <c r="F4014" i="12"/>
  <c r="J4013" i="12"/>
  <c r="I4013" i="12"/>
  <c r="H4013" i="12"/>
  <c r="G4013" i="12"/>
  <c r="F4013" i="12"/>
  <c r="J4012" i="12"/>
  <c r="I4012" i="12"/>
  <c r="H4012" i="12"/>
  <c r="G4012" i="12"/>
  <c r="F4012" i="12"/>
  <c r="J4011" i="12"/>
  <c r="I4011" i="12"/>
  <c r="H4011" i="12"/>
  <c r="G4011" i="12"/>
  <c r="F4011" i="12"/>
  <c r="J4010" i="12"/>
  <c r="I4010" i="12"/>
  <c r="H4010" i="12"/>
  <c r="G4010" i="12"/>
  <c r="F4010" i="12"/>
  <c r="J4009" i="12"/>
  <c r="I4009" i="12"/>
  <c r="H4009" i="12"/>
  <c r="G4009" i="12"/>
  <c r="F4009" i="12"/>
  <c r="J4008" i="12"/>
  <c r="I4008" i="12"/>
  <c r="H4008" i="12"/>
  <c r="G4008" i="12"/>
  <c r="F4008" i="12"/>
  <c r="J4007" i="12"/>
  <c r="I4007" i="12"/>
  <c r="H4007" i="12"/>
  <c r="G4007" i="12"/>
  <c r="F4007" i="12"/>
  <c r="J4006" i="12"/>
  <c r="I4006" i="12"/>
  <c r="H4006" i="12"/>
  <c r="G4006" i="12"/>
  <c r="F4006" i="12"/>
  <c r="J4005" i="12"/>
  <c r="I4005" i="12"/>
  <c r="H4005" i="12"/>
  <c r="G4005" i="12"/>
  <c r="F4005" i="12"/>
  <c r="J4004" i="12"/>
  <c r="I4004" i="12"/>
  <c r="H4004" i="12"/>
  <c r="G4004" i="12"/>
  <c r="F4004" i="12"/>
  <c r="J4003" i="12"/>
  <c r="I4003" i="12"/>
  <c r="H4003" i="12"/>
  <c r="G4003" i="12"/>
  <c r="F4003" i="12"/>
  <c r="J4002" i="12"/>
  <c r="I4002" i="12"/>
  <c r="H4002" i="12"/>
  <c r="G4002" i="12"/>
  <c r="F4002" i="12"/>
  <c r="J4001" i="12"/>
  <c r="I4001" i="12"/>
  <c r="H4001" i="12"/>
  <c r="G4001" i="12"/>
  <c r="F4001" i="12"/>
  <c r="J4000" i="12"/>
  <c r="I4000" i="12"/>
  <c r="H4000" i="12"/>
  <c r="G4000" i="12"/>
  <c r="F4000" i="12"/>
  <c r="J3999" i="12"/>
  <c r="I3999" i="12"/>
  <c r="H3999" i="12"/>
  <c r="G3999" i="12"/>
  <c r="F3999" i="12"/>
  <c r="J3998" i="12"/>
  <c r="I3998" i="12"/>
  <c r="H3998" i="12"/>
  <c r="G3998" i="12"/>
  <c r="F3998" i="12"/>
  <c r="J3997" i="12"/>
  <c r="I3997" i="12"/>
  <c r="H3997" i="12"/>
  <c r="G3997" i="12"/>
  <c r="F3997" i="12"/>
  <c r="J3996" i="12"/>
  <c r="I3996" i="12"/>
  <c r="H3996" i="12"/>
  <c r="G3996" i="12"/>
  <c r="F3996" i="12"/>
  <c r="J3995" i="12"/>
  <c r="I3995" i="12"/>
  <c r="H3995" i="12"/>
  <c r="G3995" i="12"/>
  <c r="F3995" i="12"/>
  <c r="J3994" i="12"/>
  <c r="I3994" i="12"/>
  <c r="H3994" i="12"/>
  <c r="G3994" i="12"/>
  <c r="F3994" i="12"/>
  <c r="J3993" i="12"/>
  <c r="I3993" i="12"/>
  <c r="H3993" i="12"/>
  <c r="G3993" i="12"/>
  <c r="F3993" i="12"/>
  <c r="J3992" i="12"/>
  <c r="I3992" i="12"/>
  <c r="H3992" i="12"/>
  <c r="G3992" i="12"/>
  <c r="F3992" i="12"/>
  <c r="J3991" i="12"/>
  <c r="I3991" i="12"/>
  <c r="H3991" i="12"/>
  <c r="G3991" i="12"/>
  <c r="F3991" i="12"/>
  <c r="J3990" i="12"/>
  <c r="I3990" i="12"/>
  <c r="H3990" i="12"/>
  <c r="G3990" i="12"/>
  <c r="F3990" i="12"/>
  <c r="J3989" i="12"/>
  <c r="I3989" i="12"/>
  <c r="H3989" i="12"/>
  <c r="G3989" i="12"/>
  <c r="F3989" i="12"/>
  <c r="J3988" i="12"/>
  <c r="I3988" i="12"/>
  <c r="H3988" i="12"/>
  <c r="G3988" i="12"/>
  <c r="F3988" i="12"/>
  <c r="J3987" i="12"/>
  <c r="I3987" i="12"/>
  <c r="H3987" i="12"/>
  <c r="G3987" i="12"/>
  <c r="F3987" i="12"/>
  <c r="J3986" i="12"/>
  <c r="I3986" i="12"/>
  <c r="H3986" i="12"/>
  <c r="G3986" i="12"/>
  <c r="F3986" i="12"/>
  <c r="J3985" i="12"/>
  <c r="I3985" i="12"/>
  <c r="H3985" i="12"/>
  <c r="G3985" i="12"/>
  <c r="F3985" i="12"/>
  <c r="J3984" i="12"/>
  <c r="I3984" i="12"/>
  <c r="H3984" i="12"/>
  <c r="G3984" i="12"/>
  <c r="F3984" i="12"/>
  <c r="J3983" i="12"/>
  <c r="I3983" i="12"/>
  <c r="H3983" i="12"/>
  <c r="G3983" i="12"/>
  <c r="F3983" i="12"/>
  <c r="J3982" i="12"/>
  <c r="I3982" i="12"/>
  <c r="H3982" i="12"/>
  <c r="G3982" i="12"/>
  <c r="F3982" i="12"/>
  <c r="J3981" i="12"/>
  <c r="I3981" i="12"/>
  <c r="H3981" i="12"/>
  <c r="G3981" i="12"/>
  <c r="F3981" i="12"/>
  <c r="J3980" i="12"/>
  <c r="I3980" i="12"/>
  <c r="H3980" i="12"/>
  <c r="G3980" i="12"/>
  <c r="F3980" i="12"/>
  <c r="J3979" i="12"/>
  <c r="I3979" i="12"/>
  <c r="H3979" i="12"/>
  <c r="G3979" i="12"/>
  <c r="F3979" i="12"/>
  <c r="J3978" i="12"/>
  <c r="I3978" i="12"/>
  <c r="H3978" i="12"/>
  <c r="G3978" i="12"/>
  <c r="F3978" i="12"/>
  <c r="J3977" i="12"/>
  <c r="I3977" i="12"/>
  <c r="H3977" i="12"/>
  <c r="G3977" i="12"/>
  <c r="F3977" i="12"/>
  <c r="J3976" i="12"/>
  <c r="I3976" i="12"/>
  <c r="H3976" i="12"/>
  <c r="G3976" i="12"/>
  <c r="F3976" i="12"/>
  <c r="J3975" i="12"/>
  <c r="I3975" i="12"/>
  <c r="H3975" i="12"/>
  <c r="G3975" i="12"/>
  <c r="F3975" i="12"/>
  <c r="J3974" i="12"/>
  <c r="I3974" i="12"/>
  <c r="H3974" i="12"/>
  <c r="G3974" i="12"/>
  <c r="F3974" i="12"/>
  <c r="J3973" i="12"/>
  <c r="I3973" i="12"/>
  <c r="H3973" i="12"/>
  <c r="G3973" i="12"/>
  <c r="F3973" i="12"/>
  <c r="J3972" i="12"/>
  <c r="I3972" i="12"/>
  <c r="H3972" i="12"/>
  <c r="G3972" i="12"/>
  <c r="F3972" i="12"/>
  <c r="J3971" i="12"/>
  <c r="I3971" i="12"/>
  <c r="H3971" i="12"/>
  <c r="G3971" i="12"/>
  <c r="F3971" i="12"/>
  <c r="J3970" i="12"/>
  <c r="I3970" i="12"/>
  <c r="H3970" i="12"/>
  <c r="G3970" i="12"/>
  <c r="F3970" i="12"/>
  <c r="J3969" i="12"/>
  <c r="I3969" i="12"/>
  <c r="H3969" i="12"/>
  <c r="G3969" i="12"/>
  <c r="F3969" i="12"/>
  <c r="J3968" i="12"/>
  <c r="I3968" i="12"/>
  <c r="H3968" i="12"/>
  <c r="G3968" i="12"/>
  <c r="F3968" i="12"/>
  <c r="J3967" i="12"/>
  <c r="I3967" i="12"/>
  <c r="H3967" i="12"/>
  <c r="G3967" i="12"/>
  <c r="F3967" i="12"/>
  <c r="J3966" i="12"/>
  <c r="I3966" i="12"/>
  <c r="H3966" i="12"/>
  <c r="G3966" i="12"/>
  <c r="F3966" i="12"/>
  <c r="J3965" i="12"/>
  <c r="I3965" i="12"/>
  <c r="H3965" i="12"/>
  <c r="G3965" i="12"/>
  <c r="F3965" i="12"/>
  <c r="J3964" i="12"/>
  <c r="I3964" i="12"/>
  <c r="H3964" i="12"/>
  <c r="G3964" i="12"/>
  <c r="F3964" i="12"/>
  <c r="J3963" i="12"/>
  <c r="I3963" i="12"/>
  <c r="H3963" i="12"/>
  <c r="G3963" i="12"/>
  <c r="F3963" i="12"/>
  <c r="J3962" i="12"/>
  <c r="I3962" i="12"/>
  <c r="H3962" i="12"/>
  <c r="G3962" i="12"/>
  <c r="F3962" i="12"/>
  <c r="J3961" i="12"/>
  <c r="I3961" i="12"/>
  <c r="H3961" i="12"/>
  <c r="G3961" i="12"/>
  <c r="F3961" i="12"/>
  <c r="J3960" i="12"/>
  <c r="I3960" i="12"/>
  <c r="H3960" i="12"/>
  <c r="G3960" i="12"/>
  <c r="F3960" i="12"/>
  <c r="J3959" i="12"/>
  <c r="I3959" i="12"/>
  <c r="H3959" i="12"/>
  <c r="G3959" i="12"/>
  <c r="F3959" i="12"/>
  <c r="J3958" i="12"/>
  <c r="I3958" i="12"/>
  <c r="H3958" i="12"/>
  <c r="G3958" i="12"/>
  <c r="F3958" i="12"/>
  <c r="J3957" i="12"/>
  <c r="I3957" i="12"/>
  <c r="H3957" i="12"/>
  <c r="G3957" i="12"/>
  <c r="F3957" i="12"/>
  <c r="J3956" i="12"/>
  <c r="I3956" i="12"/>
  <c r="H3956" i="12"/>
  <c r="G3956" i="12"/>
  <c r="F3956" i="12"/>
  <c r="J3955" i="12"/>
  <c r="I3955" i="12"/>
  <c r="H3955" i="12"/>
  <c r="G3955" i="12"/>
  <c r="F3955" i="12"/>
  <c r="J3954" i="12"/>
  <c r="I3954" i="12"/>
  <c r="H3954" i="12"/>
  <c r="G3954" i="12"/>
  <c r="F3954" i="12"/>
  <c r="J3953" i="12"/>
  <c r="I3953" i="12"/>
  <c r="H3953" i="12"/>
  <c r="G3953" i="12"/>
  <c r="F3953" i="12"/>
  <c r="J3952" i="12"/>
  <c r="I3952" i="12"/>
  <c r="H3952" i="12"/>
  <c r="G3952" i="12"/>
  <c r="F3952" i="12"/>
  <c r="J3951" i="12"/>
  <c r="I3951" i="12"/>
  <c r="H3951" i="12"/>
  <c r="G3951" i="12"/>
  <c r="F3951" i="12"/>
  <c r="J3950" i="12"/>
  <c r="I3950" i="12"/>
  <c r="H3950" i="12"/>
  <c r="G3950" i="12"/>
  <c r="F3950" i="12"/>
  <c r="J3949" i="12"/>
  <c r="I3949" i="12"/>
  <c r="H3949" i="12"/>
  <c r="G3949" i="12"/>
  <c r="F3949" i="12"/>
  <c r="J3948" i="12"/>
  <c r="I3948" i="12"/>
  <c r="H3948" i="12"/>
  <c r="G3948" i="12"/>
  <c r="F3948" i="12"/>
  <c r="J3947" i="12"/>
  <c r="I3947" i="12"/>
  <c r="H3947" i="12"/>
  <c r="G3947" i="12"/>
  <c r="F3947" i="12"/>
  <c r="J3946" i="12"/>
  <c r="I3946" i="12"/>
  <c r="H3946" i="12"/>
  <c r="G3946" i="12"/>
  <c r="F3946" i="12"/>
  <c r="J3945" i="12"/>
  <c r="I3945" i="12"/>
  <c r="H3945" i="12"/>
  <c r="G3945" i="12"/>
  <c r="F3945" i="12"/>
  <c r="J3944" i="12"/>
  <c r="I3944" i="12"/>
  <c r="H3944" i="12"/>
  <c r="G3944" i="12"/>
  <c r="F3944" i="12"/>
  <c r="J3943" i="12"/>
  <c r="I3943" i="12"/>
  <c r="H3943" i="12"/>
  <c r="G3943" i="12"/>
  <c r="F3943" i="12"/>
  <c r="J3942" i="12"/>
  <c r="I3942" i="12"/>
  <c r="H3942" i="12"/>
  <c r="G3942" i="12"/>
  <c r="F3942" i="12"/>
  <c r="J3941" i="12"/>
  <c r="I3941" i="12"/>
  <c r="H3941" i="12"/>
  <c r="G3941" i="12"/>
  <c r="F3941" i="12"/>
  <c r="J3940" i="12"/>
  <c r="I3940" i="12"/>
  <c r="H3940" i="12"/>
  <c r="G3940" i="12"/>
  <c r="F3940" i="12"/>
  <c r="J3939" i="12"/>
  <c r="I3939" i="12"/>
  <c r="H3939" i="12"/>
  <c r="G3939" i="12"/>
  <c r="F3939" i="12"/>
  <c r="J3938" i="12"/>
  <c r="I3938" i="12"/>
  <c r="H3938" i="12"/>
  <c r="G3938" i="12"/>
  <c r="F3938" i="12"/>
  <c r="J3937" i="12"/>
  <c r="I3937" i="12"/>
  <c r="H3937" i="12"/>
  <c r="G3937" i="12"/>
  <c r="F3937" i="12"/>
  <c r="J3936" i="12"/>
  <c r="I3936" i="12"/>
  <c r="H3936" i="12"/>
  <c r="G3936" i="12"/>
  <c r="F3936" i="12"/>
  <c r="J3935" i="12"/>
  <c r="I3935" i="12"/>
  <c r="H3935" i="12"/>
  <c r="G3935" i="12"/>
  <c r="F3935" i="12"/>
  <c r="J3934" i="12"/>
  <c r="I3934" i="12"/>
  <c r="H3934" i="12"/>
  <c r="G3934" i="12"/>
  <c r="F3934" i="12"/>
  <c r="J3933" i="12"/>
  <c r="I3933" i="12"/>
  <c r="H3933" i="12"/>
  <c r="G3933" i="12"/>
  <c r="F3933" i="12"/>
  <c r="J3932" i="12"/>
  <c r="I3932" i="12"/>
  <c r="H3932" i="12"/>
  <c r="G3932" i="12"/>
  <c r="F3932" i="12"/>
  <c r="J3931" i="12"/>
  <c r="I3931" i="12"/>
  <c r="H3931" i="12"/>
  <c r="G3931" i="12"/>
  <c r="F3931" i="12"/>
  <c r="J3930" i="12"/>
  <c r="I3930" i="12"/>
  <c r="H3930" i="12"/>
  <c r="G3930" i="12"/>
  <c r="F3930" i="12"/>
  <c r="J3929" i="12"/>
  <c r="I3929" i="12"/>
  <c r="H3929" i="12"/>
  <c r="G3929" i="12"/>
  <c r="F3929" i="12"/>
  <c r="J3928" i="12"/>
  <c r="I3928" i="12"/>
  <c r="H3928" i="12"/>
  <c r="G3928" i="12"/>
  <c r="F3928" i="12"/>
  <c r="J3927" i="12"/>
  <c r="I3927" i="12"/>
  <c r="H3927" i="12"/>
  <c r="G3927" i="12"/>
  <c r="F3927" i="12"/>
  <c r="J3926" i="12"/>
  <c r="I3926" i="12"/>
  <c r="H3926" i="12"/>
  <c r="G3926" i="12"/>
  <c r="F3926" i="12"/>
  <c r="J3925" i="12"/>
  <c r="I3925" i="12"/>
  <c r="H3925" i="12"/>
  <c r="G3925" i="12"/>
  <c r="F3925" i="12"/>
  <c r="J3924" i="12"/>
  <c r="I3924" i="12"/>
  <c r="H3924" i="12"/>
  <c r="G3924" i="12"/>
  <c r="F3924" i="12"/>
  <c r="J3923" i="12"/>
  <c r="I3923" i="12"/>
  <c r="H3923" i="12"/>
  <c r="G3923" i="12"/>
  <c r="F3923" i="12"/>
  <c r="J3922" i="12"/>
  <c r="I3922" i="12"/>
  <c r="H3922" i="12"/>
  <c r="G3922" i="12"/>
  <c r="F3922" i="12"/>
  <c r="J3921" i="12"/>
  <c r="I3921" i="12"/>
  <c r="H3921" i="12"/>
  <c r="G3921" i="12"/>
  <c r="F3921" i="12"/>
  <c r="J3920" i="12"/>
  <c r="I3920" i="12"/>
  <c r="H3920" i="12"/>
  <c r="G3920" i="12"/>
  <c r="F3920" i="12"/>
  <c r="J3919" i="12"/>
  <c r="I3919" i="12"/>
  <c r="H3919" i="12"/>
  <c r="G3919" i="12"/>
  <c r="F3919" i="12"/>
  <c r="J3918" i="12"/>
  <c r="I3918" i="12"/>
  <c r="H3918" i="12"/>
  <c r="G3918" i="12"/>
  <c r="F3918" i="12"/>
  <c r="J3917" i="12"/>
  <c r="I3917" i="12"/>
  <c r="H3917" i="12"/>
  <c r="G3917" i="12"/>
  <c r="F3917" i="12"/>
  <c r="J3916" i="12"/>
  <c r="I3916" i="12"/>
  <c r="H3916" i="12"/>
  <c r="G3916" i="12"/>
  <c r="F3916" i="12"/>
  <c r="J3915" i="12"/>
  <c r="I3915" i="12"/>
  <c r="H3915" i="12"/>
  <c r="G3915" i="12"/>
  <c r="F3915" i="12"/>
  <c r="J3914" i="12"/>
  <c r="I3914" i="12"/>
  <c r="H3914" i="12"/>
  <c r="G3914" i="12"/>
  <c r="F3914" i="12"/>
  <c r="J3913" i="12"/>
  <c r="I3913" i="12"/>
  <c r="H3913" i="12"/>
  <c r="G3913" i="12"/>
  <c r="F3913" i="12"/>
  <c r="J3912" i="12"/>
  <c r="I3912" i="12"/>
  <c r="H3912" i="12"/>
  <c r="G3912" i="12"/>
  <c r="F3912" i="12"/>
  <c r="J3911" i="12"/>
  <c r="I3911" i="12"/>
  <c r="H3911" i="12"/>
  <c r="G3911" i="12"/>
  <c r="F3911" i="12"/>
  <c r="J3910" i="12"/>
  <c r="I3910" i="12"/>
  <c r="H3910" i="12"/>
  <c r="G3910" i="12"/>
  <c r="F3910" i="12"/>
  <c r="J3909" i="12"/>
  <c r="I3909" i="12"/>
  <c r="H3909" i="12"/>
  <c r="G3909" i="12"/>
  <c r="F3909" i="12"/>
  <c r="J3908" i="12"/>
  <c r="I3908" i="12"/>
  <c r="H3908" i="12"/>
  <c r="G3908" i="12"/>
  <c r="F3908" i="12"/>
  <c r="J3907" i="12"/>
  <c r="I3907" i="12"/>
  <c r="H3907" i="12"/>
  <c r="G3907" i="12"/>
  <c r="F3907" i="12"/>
  <c r="J3906" i="12"/>
  <c r="I3906" i="12"/>
  <c r="H3906" i="12"/>
  <c r="G3906" i="12"/>
  <c r="F3906" i="12"/>
  <c r="J3905" i="12"/>
  <c r="I3905" i="12"/>
  <c r="H3905" i="12"/>
  <c r="G3905" i="12"/>
  <c r="F3905" i="12"/>
  <c r="J3904" i="12"/>
  <c r="I3904" i="12"/>
  <c r="H3904" i="12"/>
  <c r="G3904" i="12"/>
  <c r="F3904" i="12"/>
  <c r="J3903" i="12"/>
  <c r="I3903" i="12"/>
  <c r="H3903" i="12"/>
  <c r="G3903" i="12"/>
  <c r="F3903" i="12"/>
  <c r="J3902" i="12"/>
  <c r="I3902" i="12"/>
  <c r="H3902" i="12"/>
  <c r="G3902" i="12"/>
  <c r="F3902" i="12"/>
  <c r="J3901" i="12"/>
  <c r="I3901" i="12"/>
  <c r="H3901" i="12"/>
  <c r="G3901" i="12"/>
  <c r="F3901" i="12"/>
  <c r="J3900" i="12"/>
  <c r="I3900" i="12"/>
  <c r="H3900" i="12"/>
  <c r="G3900" i="12"/>
  <c r="F3900" i="12"/>
  <c r="J3899" i="12"/>
  <c r="I3899" i="12"/>
  <c r="H3899" i="12"/>
  <c r="G3899" i="12"/>
  <c r="F3899" i="12"/>
  <c r="J3898" i="12"/>
  <c r="I3898" i="12"/>
  <c r="H3898" i="12"/>
  <c r="G3898" i="12"/>
  <c r="F3898" i="12"/>
  <c r="J3897" i="12"/>
  <c r="I3897" i="12"/>
  <c r="H3897" i="12"/>
  <c r="G3897" i="12"/>
  <c r="F3897" i="12"/>
  <c r="J3896" i="12"/>
  <c r="I3896" i="12"/>
  <c r="H3896" i="12"/>
  <c r="G3896" i="12"/>
  <c r="F3896" i="12"/>
  <c r="J3895" i="12"/>
  <c r="I3895" i="12"/>
  <c r="H3895" i="12"/>
  <c r="G3895" i="12"/>
  <c r="F3895" i="12"/>
  <c r="J3894" i="12"/>
  <c r="I3894" i="12"/>
  <c r="H3894" i="12"/>
  <c r="G3894" i="12"/>
  <c r="F3894" i="12"/>
  <c r="J3893" i="12"/>
  <c r="I3893" i="12"/>
  <c r="H3893" i="12"/>
  <c r="G3893" i="12"/>
  <c r="F3893" i="12"/>
  <c r="J3892" i="12"/>
  <c r="I3892" i="12"/>
  <c r="H3892" i="12"/>
  <c r="G3892" i="12"/>
  <c r="F3892" i="12"/>
  <c r="J3891" i="12"/>
  <c r="I3891" i="12"/>
  <c r="H3891" i="12"/>
  <c r="G3891" i="12"/>
  <c r="F3891" i="12"/>
  <c r="J3890" i="12"/>
  <c r="I3890" i="12"/>
  <c r="H3890" i="12"/>
  <c r="G3890" i="12"/>
  <c r="F3890" i="12"/>
  <c r="J3889" i="12"/>
  <c r="I3889" i="12"/>
  <c r="H3889" i="12"/>
  <c r="G3889" i="12"/>
  <c r="F3889" i="12"/>
  <c r="J3888" i="12"/>
  <c r="I3888" i="12"/>
  <c r="H3888" i="12"/>
  <c r="G3888" i="12"/>
  <c r="F3888" i="12"/>
  <c r="J3887" i="12"/>
  <c r="I3887" i="12"/>
  <c r="H3887" i="12"/>
  <c r="G3887" i="12"/>
  <c r="F3887" i="12"/>
  <c r="J3886" i="12"/>
  <c r="I3886" i="12"/>
  <c r="H3886" i="12"/>
  <c r="G3886" i="12"/>
  <c r="F3886" i="12"/>
  <c r="J3885" i="12"/>
  <c r="I3885" i="12"/>
  <c r="H3885" i="12"/>
  <c r="G3885" i="12"/>
  <c r="F3885" i="12"/>
  <c r="J3884" i="12"/>
  <c r="I3884" i="12"/>
  <c r="H3884" i="12"/>
  <c r="G3884" i="12"/>
  <c r="F3884" i="12"/>
  <c r="J3883" i="12"/>
  <c r="I3883" i="12"/>
  <c r="H3883" i="12"/>
  <c r="G3883" i="12"/>
  <c r="F3883" i="12"/>
  <c r="J3882" i="12"/>
  <c r="I3882" i="12"/>
  <c r="H3882" i="12"/>
  <c r="G3882" i="12"/>
  <c r="F3882" i="12"/>
  <c r="J3881" i="12"/>
  <c r="I3881" i="12"/>
  <c r="H3881" i="12"/>
  <c r="G3881" i="12"/>
  <c r="F3881" i="12"/>
  <c r="J3880" i="12"/>
  <c r="I3880" i="12"/>
  <c r="H3880" i="12"/>
  <c r="G3880" i="12"/>
  <c r="F3880" i="12"/>
  <c r="J3879" i="12"/>
  <c r="I3879" i="12"/>
  <c r="H3879" i="12"/>
  <c r="G3879" i="12"/>
  <c r="F3879" i="12"/>
  <c r="J3878" i="12"/>
  <c r="I3878" i="12"/>
  <c r="H3878" i="12"/>
  <c r="G3878" i="12"/>
  <c r="F3878" i="12"/>
  <c r="J3877" i="12"/>
  <c r="I3877" i="12"/>
  <c r="H3877" i="12"/>
  <c r="G3877" i="12"/>
  <c r="F3877" i="12"/>
  <c r="J3876" i="12"/>
  <c r="I3876" i="12"/>
  <c r="H3876" i="12"/>
  <c r="G3876" i="12"/>
  <c r="F3876" i="12"/>
  <c r="J3875" i="12"/>
  <c r="I3875" i="12"/>
  <c r="H3875" i="12"/>
  <c r="G3875" i="12"/>
  <c r="F3875" i="12"/>
  <c r="J3874" i="12"/>
  <c r="I3874" i="12"/>
  <c r="H3874" i="12"/>
  <c r="G3874" i="12"/>
  <c r="F3874" i="12"/>
  <c r="J3873" i="12"/>
  <c r="I3873" i="12"/>
  <c r="H3873" i="12"/>
  <c r="G3873" i="12"/>
  <c r="F3873" i="12"/>
  <c r="J3872" i="12"/>
  <c r="I3872" i="12"/>
  <c r="H3872" i="12"/>
  <c r="G3872" i="12"/>
  <c r="F3872" i="12"/>
  <c r="J3871" i="12"/>
  <c r="I3871" i="12"/>
  <c r="H3871" i="12"/>
  <c r="G3871" i="12"/>
  <c r="F3871" i="12"/>
  <c r="J3870" i="12"/>
  <c r="I3870" i="12"/>
  <c r="H3870" i="12"/>
  <c r="G3870" i="12"/>
  <c r="F3870" i="12"/>
  <c r="J3869" i="12"/>
  <c r="I3869" i="12"/>
  <c r="H3869" i="12"/>
  <c r="G3869" i="12"/>
  <c r="F3869" i="12"/>
  <c r="J3868" i="12"/>
  <c r="I3868" i="12"/>
  <c r="H3868" i="12"/>
  <c r="G3868" i="12"/>
  <c r="F3868" i="12"/>
  <c r="J3867" i="12"/>
  <c r="I3867" i="12"/>
  <c r="H3867" i="12"/>
  <c r="G3867" i="12"/>
  <c r="F3867" i="12"/>
  <c r="J3866" i="12"/>
  <c r="I3866" i="12"/>
  <c r="H3866" i="12"/>
  <c r="G3866" i="12"/>
  <c r="F3866" i="12"/>
  <c r="J3865" i="12"/>
  <c r="I3865" i="12"/>
  <c r="H3865" i="12"/>
  <c r="G3865" i="12"/>
  <c r="F3865" i="12"/>
  <c r="J3864" i="12"/>
  <c r="I3864" i="12"/>
  <c r="H3864" i="12"/>
  <c r="G3864" i="12"/>
  <c r="F3864" i="12"/>
  <c r="J3863" i="12"/>
  <c r="I3863" i="12"/>
  <c r="H3863" i="12"/>
  <c r="G3863" i="12"/>
  <c r="F3863" i="12"/>
  <c r="J3862" i="12"/>
  <c r="I3862" i="12"/>
  <c r="H3862" i="12"/>
  <c r="G3862" i="12"/>
  <c r="F3862" i="12"/>
  <c r="J3861" i="12"/>
  <c r="I3861" i="12"/>
  <c r="H3861" i="12"/>
  <c r="G3861" i="12"/>
  <c r="F3861" i="12"/>
  <c r="J3860" i="12"/>
  <c r="I3860" i="12"/>
  <c r="H3860" i="12"/>
  <c r="G3860" i="12"/>
  <c r="F3860" i="12"/>
  <c r="J3859" i="12"/>
  <c r="I3859" i="12"/>
  <c r="H3859" i="12"/>
  <c r="G3859" i="12"/>
  <c r="F3859" i="12"/>
  <c r="J3858" i="12"/>
  <c r="I3858" i="12"/>
  <c r="H3858" i="12"/>
  <c r="G3858" i="12"/>
  <c r="F3858" i="12"/>
  <c r="J3857" i="12"/>
  <c r="I3857" i="12"/>
  <c r="H3857" i="12"/>
  <c r="G3857" i="12"/>
  <c r="F3857" i="12"/>
  <c r="J3856" i="12"/>
  <c r="I3856" i="12"/>
  <c r="H3856" i="12"/>
  <c r="G3856" i="12"/>
  <c r="F3856" i="12"/>
  <c r="J3855" i="12"/>
  <c r="I3855" i="12"/>
  <c r="H3855" i="12"/>
  <c r="G3855" i="12"/>
  <c r="F3855" i="12"/>
  <c r="J3854" i="12"/>
  <c r="I3854" i="12"/>
  <c r="H3854" i="12"/>
  <c r="G3854" i="12"/>
  <c r="F3854" i="12"/>
  <c r="J3853" i="12"/>
  <c r="I3853" i="12"/>
  <c r="H3853" i="12"/>
  <c r="G3853" i="12"/>
  <c r="F3853" i="12"/>
  <c r="J3852" i="12"/>
  <c r="I3852" i="12"/>
  <c r="H3852" i="12"/>
  <c r="G3852" i="12"/>
  <c r="F3852" i="12"/>
  <c r="J3851" i="12"/>
  <c r="I3851" i="12"/>
  <c r="H3851" i="12"/>
  <c r="G3851" i="12"/>
  <c r="F3851" i="12"/>
  <c r="J3850" i="12"/>
  <c r="I3850" i="12"/>
  <c r="H3850" i="12"/>
  <c r="G3850" i="12"/>
  <c r="F3850" i="12"/>
  <c r="J3849" i="12"/>
  <c r="I3849" i="12"/>
  <c r="H3849" i="12"/>
  <c r="G3849" i="12"/>
  <c r="F3849" i="12"/>
  <c r="J3848" i="12"/>
  <c r="I3848" i="12"/>
  <c r="H3848" i="12"/>
  <c r="G3848" i="12"/>
  <c r="F3848" i="12"/>
  <c r="J3847" i="12"/>
  <c r="I3847" i="12"/>
  <c r="H3847" i="12"/>
  <c r="G3847" i="12"/>
  <c r="F3847" i="12"/>
  <c r="J3846" i="12"/>
  <c r="I3846" i="12"/>
  <c r="H3846" i="12"/>
  <c r="G3846" i="12"/>
  <c r="F3846" i="12"/>
  <c r="J3845" i="12"/>
  <c r="I3845" i="12"/>
  <c r="H3845" i="12"/>
  <c r="G3845" i="12"/>
  <c r="F3845" i="12"/>
  <c r="J3844" i="12"/>
  <c r="I3844" i="12"/>
  <c r="H3844" i="12"/>
  <c r="G3844" i="12"/>
  <c r="F3844" i="12"/>
  <c r="J3843" i="12"/>
  <c r="I3843" i="12"/>
  <c r="H3843" i="12"/>
  <c r="G3843" i="12"/>
  <c r="F3843" i="12"/>
  <c r="J3842" i="12"/>
  <c r="I3842" i="12"/>
  <c r="H3842" i="12"/>
  <c r="G3842" i="12"/>
  <c r="F3842" i="12"/>
  <c r="J3841" i="12"/>
  <c r="I3841" i="12"/>
  <c r="H3841" i="12"/>
  <c r="G3841" i="12"/>
  <c r="F3841" i="12"/>
  <c r="J3840" i="12"/>
  <c r="I3840" i="12"/>
  <c r="H3840" i="12"/>
  <c r="G3840" i="12"/>
  <c r="F3840" i="12"/>
  <c r="J3839" i="12"/>
  <c r="I3839" i="12"/>
  <c r="H3839" i="12"/>
  <c r="G3839" i="12"/>
  <c r="F3839" i="12"/>
  <c r="J3838" i="12"/>
  <c r="I3838" i="12"/>
  <c r="H3838" i="12"/>
  <c r="G3838" i="12"/>
  <c r="F3838" i="12"/>
  <c r="J3837" i="12"/>
  <c r="I3837" i="12"/>
  <c r="H3837" i="12"/>
  <c r="G3837" i="12"/>
  <c r="F3837" i="12"/>
  <c r="J3836" i="12"/>
  <c r="I3836" i="12"/>
  <c r="H3836" i="12"/>
  <c r="G3836" i="12"/>
  <c r="F3836" i="12"/>
  <c r="J3835" i="12"/>
  <c r="I3835" i="12"/>
  <c r="H3835" i="12"/>
  <c r="G3835" i="12"/>
  <c r="F3835" i="12"/>
  <c r="J3834" i="12"/>
  <c r="I3834" i="12"/>
  <c r="H3834" i="12"/>
  <c r="G3834" i="12"/>
  <c r="F3834" i="12"/>
  <c r="J3833" i="12"/>
  <c r="I3833" i="12"/>
  <c r="H3833" i="12"/>
  <c r="G3833" i="12"/>
  <c r="F3833" i="12"/>
  <c r="J3832" i="12"/>
  <c r="I3832" i="12"/>
  <c r="H3832" i="12"/>
  <c r="G3832" i="12"/>
  <c r="F3832" i="12"/>
  <c r="J3831" i="12"/>
  <c r="I3831" i="12"/>
  <c r="H3831" i="12"/>
  <c r="G3831" i="12"/>
  <c r="F3831" i="12"/>
  <c r="J3830" i="12"/>
  <c r="I3830" i="12"/>
  <c r="H3830" i="12"/>
  <c r="G3830" i="12"/>
  <c r="F3830" i="12"/>
  <c r="J3829" i="12"/>
  <c r="I3829" i="12"/>
  <c r="H3829" i="12"/>
  <c r="G3829" i="12"/>
  <c r="F3829" i="12"/>
  <c r="J3828" i="12"/>
  <c r="I3828" i="12"/>
  <c r="H3828" i="12"/>
  <c r="G3828" i="12"/>
  <c r="F3828" i="12"/>
  <c r="J3827" i="12"/>
  <c r="I3827" i="12"/>
  <c r="H3827" i="12"/>
  <c r="G3827" i="12"/>
  <c r="F3827" i="12"/>
  <c r="J3826" i="12"/>
  <c r="I3826" i="12"/>
  <c r="H3826" i="12"/>
  <c r="G3826" i="12"/>
  <c r="F3826" i="12"/>
  <c r="J3825" i="12"/>
  <c r="I3825" i="12"/>
  <c r="H3825" i="12"/>
  <c r="G3825" i="12"/>
  <c r="F3825" i="12"/>
  <c r="J3824" i="12"/>
  <c r="I3824" i="12"/>
  <c r="H3824" i="12"/>
  <c r="G3824" i="12"/>
  <c r="F3824" i="12"/>
  <c r="J3823" i="12"/>
  <c r="I3823" i="12"/>
  <c r="H3823" i="12"/>
  <c r="G3823" i="12"/>
  <c r="F3823" i="12"/>
  <c r="J3822" i="12"/>
  <c r="I3822" i="12"/>
  <c r="H3822" i="12"/>
  <c r="G3822" i="12"/>
  <c r="F3822" i="12"/>
  <c r="J3821" i="12"/>
  <c r="I3821" i="12"/>
  <c r="H3821" i="12"/>
  <c r="G3821" i="12"/>
  <c r="F3821" i="12"/>
  <c r="J3820" i="12"/>
  <c r="I3820" i="12"/>
  <c r="H3820" i="12"/>
  <c r="G3820" i="12"/>
  <c r="F3820" i="12"/>
  <c r="J3819" i="12"/>
  <c r="I3819" i="12"/>
  <c r="H3819" i="12"/>
  <c r="G3819" i="12"/>
  <c r="F3819" i="12"/>
  <c r="J3818" i="12"/>
  <c r="I3818" i="12"/>
  <c r="H3818" i="12"/>
  <c r="G3818" i="12"/>
  <c r="F3818" i="12"/>
  <c r="J3817" i="12"/>
  <c r="I3817" i="12"/>
  <c r="H3817" i="12"/>
  <c r="G3817" i="12"/>
  <c r="F3817" i="12"/>
  <c r="J3816" i="12"/>
  <c r="I3816" i="12"/>
  <c r="H3816" i="12"/>
  <c r="G3816" i="12"/>
  <c r="F3816" i="12"/>
  <c r="J3815" i="12"/>
  <c r="I3815" i="12"/>
  <c r="H3815" i="12"/>
  <c r="G3815" i="12"/>
  <c r="F3815" i="12"/>
  <c r="J3814" i="12"/>
  <c r="I3814" i="12"/>
  <c r="H3814" i="12"/>
  <c r="G3814" i="12"/>
  <c r="F3814" i="12"/>
  <c r="J3813" i="12"/>
  <c r="I3813" i="12"/>
  <c r="H3813" i="12"/>
  <c r="G3813" i="12"/>
  <c r="F3813" i="12"/>
  <c r="J3812" i="12"/>
  <c r="I3812" i="12"/>
  <c r="H3812" i="12"/>
  <c r="G3812" i="12"/>
  <c r="F3812" i="12"/>
  <c r="J3811" i="12"/>
  <c r="I3811" i="12"/>
  <c r="H3811" i="12"/>
  <c r="G3811" i="12"/>
  <c r="F3811" i="12"/>
  <c r="J3810" i="12"/>
  <c r="I3810" i="12"/>
  <c r="H3810" i="12"/>
  <c r="G3810" i="12"/>
  <c r="F3810" i="12"/>
  <c r="J3809" i="12"/>
  <c r="I3809" i="12"/>
  <c r="H3809" i="12"/>
  <c r="G3809" i="12"/>
  <c r="F3809" i="12"/>
  <c r="J3808" i="12"/>
  <c r="I3808" i="12"/>
  <c r="H3808" i="12"/>
  <c r="G3808" i="12"/>
  <c r="F3808" i="12"/>
  <c r="J3807" i="12"/>
  <c r="I3807" i="12"/>
  <c r="H3807" i="12"/>
  <c r="G3807" i="12"/>
  <c r="F3807" i="12"/>
  <c r="J3806" i="12"/>
  <c r="I3806" i="12"/>
  <c r="H3806" i="12"/>
  <c r="G3806" i="12"/>
  <c r="F3806" i="12"/>
  <c r="J3805" i="12"/>
  <c r="I3805" i="12"/>
  <c r="H3805" i="12"/>
  <c r="G3805" i="12"/>
  <c r="F3805" i="12"/>
  <c r="J3804" i="12"/>
  <c r="I3804" i="12"/>
  <c r="H3804" i="12"/>
  <c r="G3804" i="12"/>
  <c r="F3804" i="12"/>
  <c r="J3803" i="12"/>
  <c r="I3803" i="12"/>
  <c r="H3803" i="12"/>
  <c r="G3803" i="12"/>
  <c r="F3803" i="12"/>
  <c r="J3802" i="12"/>
  <c r="I3802" i="12"/>
  <c r="H3802" i="12"/>
  <c r="G3802" i="12"/>
  <c r="F3802" i="12"/>
  <c r="J3801" i="12"/>
  <c r="I3801" i="12"/>
  <c r="H3801" i="12"/>
  <c r="G3801" i="12"/>
  <c r="F3801" i="12"/>
  <c r="J3800" i="12"/>
  <c r="I3800" i="12"/>
  <c r="H3800" i="12"/>
  <c r="G3800" i="12"/>
  <c r="F3800" i="12"/>
  <c r="J3799" i="12"/>
  <c r="I3799" i="12"/>
  <c r="H3799" i="12"/>
  <c r="G3799" i="12"/>
  <c r="F3799" i="12"/>
  <c r="J3798" i="12"/>
  <c r="I3798" i="12"/>
  <c r="H3798" i="12"/>
  <c r="G3798" i="12"/>
  <c r="F3798" i="12"/>
  <c r="J3797" i="12"/>
  <c r="I3797" i="12"/>
  <c r="H3797" i="12"/>
  <c r="G3797" i="12"/>
  <c r="F3797" i="12"/>
  <c r="J3796" i="12"/>
  <c r="I3796" i="12"/>
  <c r="H3796" i="12"/>
  <c r="G3796" i="12"/>
  <c r="F3796" i="12"/>
  <c r="J3795" i="12"/>
  <c r="I3795" i="12"/>
  <c r="H3795" i="12"/>
  <c r="G3795" i="12"/>
  <c r="F3795" i="12"/>
  <c r="J3794" i="12"/>
  <c r="I3794" i="12"/>
  <c r="H3794" i="12"/>
  <c r="G3794" i="12"/>
  <c r="F3794" i="12"/>
  <c r="J3793" i="12"/>
  <c r="I3793" i="12"/>
  <c r="H3793" i="12"/>
  <c r="G3793" i="12"/>
  <c r="F3793" i="12"/>
  <c r="J3792" i="12"/>
  <c r="I3792" i="12"/>
  <c r="H3792" i="12"/>
  <c r="G3792" i="12"/>
  <c r="F3792" i="12"/>
  <c r="J3791" i="12"/>
  <c r="I3791" i="12"/>
  <c r="H3791" i="12"/>
  <c r="G3791" i="12"/>
  <c r="F3791" i="12"/>
  <c r="J3790" i="12"/>
  <c r="I3790" i="12"/>
  <c r="H3790" i="12"/>
  <c r="G3790" i="12"/>
  <c r="F3790" i="12"/>
  <c r="J3789" i="12"/>
  <c r="I3789" i="12"/>
  <c r="H3789" i="12"/>
  <c r="G3789" i="12"/>
  <c r="F3789" i="12"/>
  <c r="J3788" i="12"/>
  <c r="I3788" i="12"/>
  <c r="H3788" i="12"/>
  <c r="G3788" i="12"/>
  <c r="F3788" i="12"/>
  <c r="J3787" i="12"/>
  <c r="I3787" i="12"/>
  <c r="H3787" i="12"/>
  <c r="G3787" i="12"/>
  <c r="F3787" i="12"/>
  <c r="J3786" i="12"/>
  <c r="I3786" i="12"/>
  <c r="H3786" i="12"/>
  <c r="G3786" i="12"/>
  <c r="F3786" i="12"/>
  <c r="J3785" i="12"/>
  <c r="I3785" i="12"/>
  <c r="H3785" i="12"/>
  <c r="G3785" i="12"/>
  <c r="F3785" i="12"/>
  <c r="J3784" i="12"/>
  <c r="I3784" i="12"/>
  <c r="H3784" i="12"/>
  <c r="G3784" i="12"/>
  <c r="F3784" i="12"/>
  <c r="J3783" i="12"/>
  <c r="I3783" i="12"/>
  <c r="H3783" i="12"/>
  <c r="G3783" i="12"/>
  <c r="F3783" i="12"/>
  <c r="J3782" i="12"/>
  <c r="I3782" i="12"/>
  <c r="H3782" i="12"/>
  <c r="G3782" i="12"/>
  <c r="F3782" i="12"/>
  <c r="J3781" i="12"/>
  <c r="I3781" i="12"/>
  <c r="H3781" i="12"/>
  <c r="G3781" i="12"/>
  <c r="F3781" i="12"/>
  <c r="J3780" i="12"/>
  <c r="I3780" i="12"/>
  <c r="H3780" i="12"/>
  <c r="G3780" i="12"/>
  <c r="F3780" i="12"/>
  <c r="J3779" i="12"/>
  <c r="I3779" i="12"/>
  <c r="H3779" i="12"/>
  <c r="G3779" i="12"/>
  <c r="F3779" i="12"/>
  <c r="J3778" i="12"/>
  <c r="I3778" i="12"/>
  <c r="H3778" i="12"/>
  <c r="G3778" i="12"/>
  <c r="F3778" i="12"/>
  <c r="J3777" i="12"/>
  <c r="I3777" i="12"/>
  <c r="H3777" i="12"/>
  <c r="G3777" i="12"/>
  <c r="F3777" i="12"/>
  <c r="J3776" i="12"/>
  <c r="I3776" i="12"/>
  <c r="H3776" i="12"/>
  <c r="G3776" i="12"/>
  <c r="F3776" i="12"/>
  <c r="J3775" i="12"/>
  <c r="I3775" i="12"/>
  <c r="H3775" i="12"/>
  <c r="G3775" i="12"/>
  <c r="F3775" i="12"/>
  <c r="J3774" i="12"/>
  <c r="I3774" i="12"/>
  <c r="H3774" i="12"/>
  <c r="G3774" i="12"/>
  <c r="F3774" i="12"/>
  <c r="J3773" i="12"/>
  <c r="I3773" i="12"/>
  <c r="H3773" i="12"/>
  <c r="G3773" i="12"/>
  <c r="F3773" i="12"/>
  <c r="J3772" i="12"/>
  <c r="I3772" i="12"/>
  <c r="H3772" i="12"/>
  <c r="G3772" i="12"/>
  <c r="F3772" i="12"/>
  <c r="J3771" i="12"/>
  <c r="I3771" i="12"/>
  <c r="H3771" i="12"/>
  <c r="G3771" i="12"/>
  <c r="F3771" i="12"/>
  <c r="J3770" i="12"/>
  <c r="I3770" i="12"/>
  <c r="H3770" i="12"/>
  <c r="G3770" i="12"/>
  <c r="F3770" i="12"/>
  <c r="J3769" i="12"/>
  <c r="I3769" i="12"/>
  <c r="H3769" i="12"/>
  <c r="G3769" i="12"/>
  <c r="F3769" i="12"/>
  <c r="J3768" i="12"/>
  <c r="I3768" i="12"/>
  <c r="H3768" i="12"/>
  <c r="G3768" i="12"/>
  <c r="F3768" i="12"/>
  <c r="J3767" i="12"/>
  <c r="I3767" i="12"/>
  <c r="H3767" i="12"/>
  <c r="G3767" i="12"/>
  <c r="F3767" i="12"/>
  <c r="J3766" i="12"/>
  <c r="I3766" i="12"/>
  <c r="H3766" i="12"/>
  <c r="G3766" i="12"/>
  <c r="F3766" i="12"/>
  <c r="J3765" i="12"/>
  <c r="I3765" i="12"/>
  <c r="H3765" i="12"/>
  <c r="G3765" i="12"/>
  <c r="F3765" i="12"/>
  <c r="J3764" i="12"/>
  <c r="I3764" i="12"/>
  <c r="H3764" i="12"/>
  <c r="G3764" i="12"/>
  <c r="F3764" i="12"/>
  <c r="J3763" i="12"/>
  <c r="I3763" i="12"/>
  <c r="H3763" i="12"/>
  <c r="G3763" i="12"/>
  <c r="F3763" i="12"/>
  <c r="J3762" i="12"/>
  <c r="I3762" i="12"/>
  <c r="H3762" i="12"/>
  <c r="G3762" i="12"/>
  <c r="F3762" i="12"/>
  <c r="J3761" i="12"/>
  <c r="I3761" i="12"/>
  <c r="H3761" i="12"/>
  <c r="G3761" i="12"/>
  <c r="F3761" i="12"/>
  <c r="J3760" i="12"/>
  <c r="I3760" i="12"/>
  <c r="H3760" i="12"/>
  <c r="G3760" i="12"/>
  <c r="F3760" i="12"/>
  <c r="J3759" i="12"/>
  <c r="I3759" i="12"/>
  <c r="H3759" i="12"/>
  <c r="G3759" i="12"/>
  <c r="F3759" i="12"/>
  <c r="J3758" i="12"/>
  <c r="I3758" i="12"/>
  <c r="H3758" i="12"/>
  <c r="G3758" i="12"/>
  <c r="F3758" i="12"/>
  <c r="J3757" i="12"/>
  <c r="I3757" i="12"/>
  <c r="H3757" i="12"/>
  <c r="G3757" i="12"/>
  <c r="F3757" i="12"/>
  <c r="J3756" i="12"/>
  <c r="I3756" i="12"/>
  <c r="H3756" i="12"/>
  <c r="G3756" i="12"/>
  <c r="F3756" i="12"/>
  <c r="J3755" i="12"/>
  <c r="I3755" i="12"/>
  <c r="H3755" i="12"/>
  <c r="G3755" i="12"/>
  <c r="F3755" i="12"/>
  <c r="J3754" i="12"/>
  <c r="I3754" i="12"/>
  <c r="H3754" i="12"/>
  <c r="G3754" i="12"/>
  <c r="F3754" i="12"/>
  <c r="J3753" i="12"/>
  <c r="I3753" i="12"/>
  <c r="H3753" i="12"/>
  <c r="G3753" i="12"/>
  <c r="F3753" i="12"/>
  <c r="J3752" i="12"/>
  <c r="I3752" i="12"/>
  <c r="H3752" i="12"/>
  <c r="G3752" i="12"/>
  <c r="F3752" i="12"/>
  <c r="J3751" i="12"/>
  <c r="I3751" i="12"/>
  <c r="H3751" i="12"/>
  <c r="G3751" i="12"/>
  <c r="F3751" i="12"/>
  <c r="J3750" i="12"/>
  <c r="I3750" i="12"/>
  <c r="H3750" i="12"/>
  <c r="G3750" i="12"/>
  <c r="F3750" i="12"/>
  <c r="J3749" i="12"/>
  <c r="I3749" i="12"/>
  <c r="H3749" i="12"/>
  <c r="G3749" i="12"/>
  <c r="F3749" i="12"/>
  <c r="J3748" i="12"/>
  <c r="I3748" i="12"/>
  <c r="H3748" i="12"/>
  <c r="G3748" i="12"/>
  <c r="F3748" i="12"/>
  <c r="J3747" i="12"/>
  <c r="I3747" i="12"/>
  <c r="H3747" i="12"/>
  <c r="G3747" i="12"/>
  <c r="F3747" i="12"/>
  <c r="J3746" i="12"/>
  <c r="I3746" i="12"/>
  <c r="H3746" i="12"/>
  <c r="G3746" i="12"/>
  <c r="F3746" i="12"/>
  <c r="J3745" i="12"/>
  <c r="I3745" i="12"/>
  <c r="H3745" i="12"/>
  <c r="G3745" i="12"/>
  <c r="F3745" i="12"/>
  <c r="J3744" i="12"/>
  <c r="I3744" i="12"/>
  <c r="H3744" i="12"/>
  <c r="G3744" i="12"/>
  <c r="F3744" i="12"/>
  <c r="J3743" i="12"/>
  <c r="I3743" i="12"/>
  <c r="H3743" i="12"/>
  <c r="G3743" i="12"/>
  <c r="F3743" i="12"/>
  <c r="J3742" i="12"/>
  <c r="I3742" i="12"/>
  <c r="H3742" i="12"/>
  <c r="G3742" i="12"/>
  <c r="F3742" i="12"/>
  <c r="J3741" i="12"/>
  <c r="I3741" i="12"/>
  <c r="H3741" i="12"/>
  <c r="G3741" i="12"/>
  <c r="F3741" i="12"/>
  <c r="J3740" i="12"/>
  <c r="I3740" i="12"/>
  <c r="H3740" i="12"/>
  <c r="G3740" i="12"/>
  <c r="F3740" i="12"/>
  <c r="J3739" i="12"/>
  <c r="I3739" i="12"/>
  <c r="H3739" i="12"/>
  <c r="G3739" i="12"/>
  <c r="F3739" i="12"/>
  <c r="J3738" i="12"/>
  <c r="I3738" i="12"/>
  <c r="H3738" i="12"/>
  <c r="G3738" i="12"/>
  <c r="F3738" i="12"/>
  <c r="J3737" i="12"/>
  <c r="I3737" i="12"/>
  <c r="H3737" i="12"/>
  <c r="G3737" i="12"/>
  <c r="F3737" i="12"/>
  <c r="J3736" i="12"/>
  <c r="I3736" i="12"/>
  <c r="H3736" i="12"/>
  <c r="G3736" i="12"/>
  <c r="F3736" i="12"/>
  <c r="J3735" i="12"/>
  <c r="I3735" i="12"/>
  <c r="H3735" i="12"/>
  <c r="G3735" i="12"/>
  <c r="F3735" i="12"/>
  <c r="J3734" i="12"/>
  <c r="I3734" i="12"/>
  <c r="H3734" i="12"/>
  <c r="G3734" i="12"/>
  <c r="F3734" i="12"/>
  <c r="J3733" i="12"/>
  <c r="I3733" i="12"/>
  <c r="H3733" i="12"/>
  <c r="G3733" i="12"/>
  <c r="F3733" i="12"/>
  <c r="J3732" i="12"/>
  <c r="I3732" i="12"/>
  <c r="H3732" i="12"/>
  <c r="G3732" i="12"/>
  <c r="F3732" i="12"/>
  <c r="J3731" i="12"/>
  <c r="I3731" i="12"/>
  <c r="H3731" i="12"/>
  <c r="G3731" i="12"/>
  <c r="F3731" i="12"/>
  <c r="J3730" i="12"/>
  <c r="I3730" i="12"/>
  <c r="H3730" i="12"/>
  <c r="G3730" i="12"/>
  <c r="F3730" i="12"/>
  <c r="J3729" i="12"/>
  <c r="I3729" i="12"/>
  <c r="H3729" i="12"/>
  <c r="G3729" i="12"/>
  <c r="F3729" i="12"/>
  <c r="J3728" i="12"/>
  <c r="I3728" i="12"/>
  <c r="H3728" i="12"/>
  <c r="G3728" i="12"/>
  <c r="F3728" i="12"/>
  <c r="J3727" i="12"/>
  <c r="I3727" i="12"/>
  <c r="H3727" i="12"/>
  <c r="G3727" i="12"/>
  <c r="F3727" i="12"/>
  <c r="J3726" i="12"/>
  <c r="I3726" i="12"/>
  <c r="H3726" i="12"/>
  <c r="G3726" i="12"/>
  <c r="F3726" i="12"/>
  <c r="J3725" i="12"/>
  <c r="I3725" i="12"/>
  <c r="H3725" i="12"/>
  <c r="G3725" i="12"/>
  <c r="F3725" i="12"/>
  <c r="J3724" i="12"/>
  <c r="I3724" i="12"/>
  <c r="H3724" i="12"/>
  <c r="G3724" i="12"/>
  <c r="F3724" i="12"/>
  <c r="J3723" i="12"/>
  <c r="I3723" i="12"/>
  <c r="H3723" i="12"/>
  <c r="G3723" i="12"/>
  <c r="F3723" i="12"/>
  <c r="J3722" i="12"/>
  <c r="I3722" i="12"/>
  <c r="H3722" i="12"/>
  <c r="G3722" i="12"/>
  <c r="F3722" i="12"/>
  <c r="J3721" i="12"/>
  <c r="I3721" i="12"/>
  <c r="H3721" i="12"/>
  <c r="G3721" i="12"/>
  <c r="F3721" i="12"/>
  <c r="J3720" i="12"/>
  <c r="I3720" i="12"/>
  <c r="H3720" i="12"/>
  <c r="G3720" i="12"/>
  <c r="F3720" i="12"/>
  <c r="J3719" i="12"/>
  <c r="I3719" i="12"/>
  <c r="H3719" i="12"/>
  <c r="G3719" i="12"/>
  <c r="F3719" i="12"/>
  <c r="J3718" i="12"/>
  <c r="I3718" i="12"/>
  <c r="H3718" i="12"/>
  <c r="G3718" i="12"/>
  <c r="F3718" i="12"/>
  <c r="J3717" i="12"/>
  <c r="I3717" i="12"/>
  <c r="H3717" i="12"/>
  <c r="G3717" i="12"/>
  <c r="F3717" i="12"/>
  <c r="J3716" i="12"/>
  <c r="I3716" i="12"/>
  <c r="H3716" i="12"/>
  <c r="G3716" i="12"/>
  <c r="F3716" i="12"/>
  <c r="J3715" i="12"/>
  <c r="I3715" i="12"/>
  <c r="H3715" i="12"/>
  <c r="G3715" i="12"/>
  <c r="F3715" i="12"/>
  <c r="J3714" i="12"/>
  <c r="I3714" i="12"/>
  <c r="H3714" i="12"/>
  <c r="G3714" i="12"/>
  <c r="F3714" i="12"/>
  <c r="J3713" i="12"/>
  <c r="I3713" i="12"/>
  <c r="H3713" i="12"/>
  <c r="G3713" i="12"/>
  <c r="F3713" i="12"/>
  <c r="J3712" i="12"/>
  <c r="I3712" i="12"/>
  <c r="H3712" i="12"/>
  <c r="G3712" i="12"/>
  <c r="F3712" i="12"/>
  <c r="J3711" i="12"/>
  <c r="I3711" i="12"/>
  <c r="H3711" i="12"/>
  <c r="G3711" i="12"/>
  <c r="F3711" i="12"/>
  <c r="J3710" i="12"/>
  <c r="I3710" i="12"/>
  <c r="H3710" i="12"/>
  <c r="G3710" i="12"/>
  <c r="F3710" i="12"/>
  <c r="J3709" i="12"/>
  <c r="I3709" i="12"/>
  <c r="H3709" i="12"/>
  <c r="G3709" i="12"/>
  <c r="F3709" i="12"/>
  <c r="J3708" i="12"/>
  <c r="I3708" i="12"/>
  <c r="H3708" i="12"/>
  <c r="G3708" i="12"/>
  <c r="F3708" i="12"/>
  <c r="J3707" i="12"/>
  <c r="I3707" i="12"/>
  <c r="H3707" i="12"/>
  <c r="G3707" i="12"/>
  <c r="F3707" i="12"/>
  <c r="J3706" i="12"/>
  <c r="I3706" i="12"/>
  <c r="H3706" i="12"/>
  <c r="G3706" i="12"/>
  <c r="F3706" i="12"/>
  <c r="J3705" i="12"/>
  <c r="I3705" i="12"/>
  <c r="H3705" i="12"/>
  <c r="G3705" i="12"/>
  <c r="F3705" i="12"/>
  <c r="J3704" i="12"/>
  <c r="I3704" i="12"/>
  <c r="H3704" i="12"/>
  <c r="G3704" i="12"/>
  <c r="F3704" i="12"/>
  <c r="J3703" i="12"/>
  <c r="I3703" i="12"/>
  <c r="H3703" i="12"/>
  <c r="G3703" i="12"/>
  <c r="F3703" i="12"/>
  <c r="J3702" i="12"/>
  <c r="I3702" i="12"/>
  <c r="H3702" i="12"/>
  <c r="G3702" i="12"/>
  <c r="F3702" i="12"/>
  <c r="J3701" i="12"/>
  <c r="I3701" i="12"/>
  <c r="H3701" i="12"/>
  <c r="G3701" i="12"/>
  <c r="F3701" i="12"/>
  <c r="J3700" i="12"/>
  <c r="I3700" i="12"/>
  <c r="H3700" i="12"/>
  <c r="G3700" i="12"/>
  <c r="F3700" i="12"/>
  <c r="J3699" i="12"/>
  <c r="I3699" i="12"/>
  <c r="H3699" i="12"/>
  <c r="G3699" i="12"/>
  <c r="F3699" i="12"/>
  <c r="J3698" i="12"/>
  <c r="I3698" i="12"/>
  <c r="H3698" i="12"/>
  <c r="G3698" i="12"/>
  <c r="F3698" i="12"/>
  <c r="J3697" i="12"/>
  <c r="I3697" i="12"/>
  <c r="H3697" i="12"/>
  <c r="G3697" i="12"/>
  <c r="F3697" i="12"/>
  <c r="J3696" i="12"/>
  <c r="I3696" i="12"/>
  <c r="H3696" i="12"/>
  <c r="G3696" i="12"/>
  <c r="F3696" i="12"/>
  <c r="J3695" i="12"/>
  <c r="I3695" i="12"/>
  <c r="H3695" i="12"/>
  <c r="G3695" i="12"/>
  <c r="F3695" i="12"/>
  <c r="J3694" i="12"/>
  <c r="I3694" i="12"/>
  <c r="H3694" i="12"/>
  <c r="G3694" i="12"/>
  <c r="F3694" i="12"/>
  <c r="J3693" i="12"/>
  <c r="I3693" i="12"/>
  <c r="H3693" i="12"/>
  <c r="G3693" i="12"/>
  <c r="F3693" i="12"/>
  <c r="J3692" i="12"/>
  <c r="I3692" i="12"/>
  <c r="H3692" i="12"/>
  <c r="G3692" i="12"/>
  <c r="F3692" i="12"/>
  <c r="J3691" i="12"/>
  <c r="I3691" i="12"/>
  <c r="H3691" i="12"/>
  <c r="G3691" i="12"/>
  <c r="F3691" i="12"/>
  <c r="J3690" i="12"/>
  <c r="I3690" i="12"/>
  <c r="H3690" i="12"/>
  <c r="G3690" i="12"/>
  <c r="F3690" i="12"/>
  <c r="J3689" i="12"/>
  <c r="I3689" i="12"/>
  <c r="H3689" i="12"/>
  <c r="G3689" i="12"/>
  <c r="F3689" i="12"/>
  <c r="J3688" i="12"/>
  <c r="I3688" i="12"/>
  <c r="H3688" i="12"/>
  <c r="G3688" i="12"/>
  <c r="F3688" i="12"/>
  <c r="J3687" i="12"/>
  <c r="I3687" i="12"/>
  <c r="H3687" i="12"/>
  <c r="G3687" i="12"/>
  <c r="F3687" i="12"/>
  <c r="J3686" i="12"/>
  <c r="I3686" i="12"/>
  <c r="H3686" i="12"/>
  <c r="G3686" i="12"/>
  <c r="F3686" i="12"/>
  <c r="J3685" i="12"/>
  <c r="I3685" i="12"/>
  <c r="H3685" i="12"/>
  <c r="G3685" i="12"/>
  <c r="F3685" i="12"/>
  <c r="J3684" i="12"/>
  <c r="I3684" i="12"/>
  <c r="H3684" i="12"/>
  <c r="G3684" i="12"/>
  <c r="F3684" i="12"/>
  <c r="J3683" i="12"/>
  <c r="I3683" i="12"/>
  <c r="H3683" i="12"/>
  <c r="G3683" i="12"/>
  <c r="F3683" i="12"/>
  <c r="J3682" i="12"/>
  <c r="I3682" i="12"/>
  <c r="H3682" i="12"/>
  <c r="G3682" i="12"/>
  <c r="F3682" i="12"/>
  <c r="J3681" i="12"/>
  <c r="I3681" i="12"/>
  <c r="H3681" i="12"/>
  <c r="G3681" i="12"/>
  <c r="F3681" i="12"/>
  <c r="J3680" i="12"/>
  <c r="I3680" i="12"/>
  <c r="H3680" i="12"/>
  <c r="G3680" i="12"/>
  <c r="F3680" i="12"/>
  <c r="J3679" i="12"/>
  <c r="I3679" i="12"/>
  <c r="H3679" i="12"/>
  <c r="G3679" i="12"/>
  <c r="F3679" i="12"/>
  <c r="J3678" i="12"/>
  <c r="I3678" i="12"/>
  <c r="H3678" i="12"/>
  <c r="G3678" i="12"/>
  <c r="F3678" i="12"/>
  <c r="J3677" i="12"/>
  <c r="I3677" i="12"/>
  <c r="H3677" i="12"/>
  <c r="G3677" i="12"/>
  <c r="F3677" i="12"/>
  <c r="J3676" i="12"/>
  <c r="I3676" i="12"/>
  <c r="H3676" i="12"/>
  <c r="G3676" i="12"/>
  <c r="F3676" i="12"/>
  <c r="J3675" i="12"/>
  <c r="I3675" i="12"/>
  <c r="H3675" i="12"/>
  <c r="G3675" i="12"/>
  <c r="F3675" i="12"/>
  <c r="J3674" i="12"/>
  <c r="I3674" i="12"/>
  <c r="H3674" i="12"/>
  <c r="G3674" i="12"/>
  <c r="F3674" i="12"/>
  <c r="J3673" i="12"/>
  <c r="I3673" i="12"/>
  <c r="H3673" i="12"/>
  <c r="G3673" i="12"/>
  <c r="F3673" i="12"/>
  <c r="J3672" i="12"/>
  <c r="I3672" i="12"/>
  <c r="H3672" i="12"/>
  <c r="G3672" i="12"/>
  <c r="F3672" i="12"/>
  <c r="J3671" i="12"/>
  <c r="I3671" i="12"/>
  <c r="H3671" i="12"/>
  <c r="G3671" i="12"/>
  <c r="F3671" i="12"/>
  <c r="J3670" i="12"/>
  <c r="I3670" i="12"/>
  <c r="H3670" i="12"/>
  <c r="G3670" i="12"/>
  <c r="F3670" i="12"/>
  <c r="J3669" i="12"/>
  <c r="I3669" i="12"/>
  <c r="H3669" i="12"/>
  <c r="G3669" i="12"/>
  <c r="F3669" i="12"/>
  <c r="J3668" i="12"/>
  <c r="I3668" i="12"/>
  <c r="H3668" i="12"/>
  <c r="G3668" i="12"/>
  <c r="F3668" i="12"/>
  <c r="J3667" i="12"/>
  <c r="I3667" i="12"/>
  <c r="H3667" i="12"/>
  <c r="G3667" i="12"/>
  <c r="F3667" i="12"/>
  <c r="J3666" i="12"/>
  <c r="I3666" i="12"/>
  <c r="H3666" i="12"/>
  <c r="G3666" i="12"/>
  <c r="F3666" i="12"/>
  <c r="J3665" i="12"/>
  <c r="I3665" i="12"/>
  <c r="H3665" i="12"/>
  <c r="G3665" i="12"/>
  <c r="F3665" i="12"/>
  <c r="J3664" i="12"/>
  <c r="I3664" i="12"/>
  <c r="H3664" i="12"/>
  <c r="G3664" i="12"/>
  <c r="F3664" i="12"/>
  <c r="J3663" i="12"/>
  <c r="I3663" i="12"/>
  <c r="H3663" i="12"/>
  <c r="G3663" i="12"/>
  <c r="F3663" i="12"/>
  <c r="J3662" i="12"/>
  <c r="I3662" i="12"/>
  <c r="H3662" i="12"/>
  <c r="G3662" i="12"/>
  <c r="F3662" i="12"/>
  <c r="J3661" i="12"/>
  <c r="I3661" i="12"/>
  <c r="H3661" i="12"/>
  <c r="G3661" i="12"/>
  <c r="F3661" i="12"/>
  <c r="J3660" i="12"/>
  <c r="I3660" i="12"/>
  <c r="H3660" i="12"/>
  <c r="G3660" i="12"/>
  <c r="F3660" i="12"/>
  <c r="J3659" i="12"/>
  <c r="I3659" i="12"/>
  <c r="H3659" i="12"/>
  <c r="G3659" i="12"/>
  <c r="F3659" i="12"/>
  <c r="J3658" i="12"/>
  <c r="I3658" i="12"/>
  <c r="H3658" i="12"/>
  <c r="G3658" i="12"/>
  <c r="F3658" i="12"/>
  <c r="J3657" i="12"/>
  <c r="I3657" i="12"/>
  <c r="H3657" i="12"/>
  <c r="G3657" i="12"/>
  <c r="F3657" i="12"/>
  <c r="J3656" i="12"/>
  <c r="I3656" i="12"/>
  <c r="H3656" i="12"/>
  <c r="G3656" i="12"/>
  <c r="F3656" i="12"/>
  <c r="J3655" i="12"/>
  <c r="I3655" i="12"/>
  <c r="H3655" i="12"/>
  <c r="G3655" i="12"/>
  <c r="F3655" i="12"/>
  <c r="J3654" i="12"/>
  <c r="I3654" i="12"/>
  <c r="H3654" i="12"/>
  <c r="G3654" i="12"/>
  <c r="F3654" i="12"/>
  <c r="J3653" i="12"/>
  <c r="I3653" i="12"/>
  <c r="H3653" i="12"/>
  <c r="G3653" i="12"/>
  <c r="F3653" i="12"/>
  <c r="J3652" i="12"/>
  <c r="I3652" i="12"/>
  <c r="H3652" i="12"/>
  <c r="G3652" i="12"/>
  <c r="F3652" i="12"/>
  <c r="J3651" i="12"/>
  <c r="I3651" i="12"/>
  <c r="H3651" i="12"/>
  <c r="G3651" i="12"/>
  <c r="F3651" i="12"/>
  <c r="J3650" i="12"/>
  <c r="I3650" i="12"/>
  <c r="H3650" i="12"/>
  <c r="G3650" i="12"/>
  <c r="F3650" i="12"/>
  <c r="J3649" i="12"/>
  <c r="I3649" i="12"/>
  <c r="H3649" i="12"/>
  <c r="G3649" i="12"/>
  <c r="F3649" i="12"/>
  <c r="J3648" i="12"/>
  <c r="I3648" i="12"/>
  <c r="H3648" i="12"/>
  <c r="G3648" i="12"/>
  <c r="F3648" i="12"/>
  <c r="J3647" i="12"/>
  <c r="I3647" i="12"/>
  <c r="H3647" i="12"/>
  <c r="G3647" i="12"/>
  <c r="F3647" i="12"/>
  <c r="J3646" i="12"/>
  <c r="I3646" i="12"/>
  <c r="H3646" i="12"/>
  <c r="G3646" i="12"/>
  <c r="F3646" i="12"/>
  <c r="J3645" i="12"/>
  <c r="I3645" i="12"/>
  <c r="H3645" i="12"/>
  <c r="G3645" i="12"/>
  <c r="F3645" i="12"/>
  <c r="J3644" i="12"/>
  <c r="I3644" i="12"/>
  <c r="H3644" i="12"/>
  <c r="G3644" i="12"/>
  <c r="F3644" i="12"/>
  <c r="J3643" i="12"/>
  <c r="I3643" i="12"/>
  <c r="H3643" i="12"/>
  <c r="G3643" i="12"/>
  <c r="F3643" i="12"/>
  <c r="J3642" i="12"/>
  <c r="I3642" i="12"/>
  <c r="H3642" i="12"/>
  <c r="G3642" i="12"/>
  <c r="F3642" i="12"/>
  <c r="J3641" i="12"/>
  <c r="I3641" i="12"/>
  <c r="H3641" i="12"/>
  <c r="G3641" i="12"/>
  <c r="F3641" i="12"/>
  <c r="J3640" i="12"/>
  <c r="I3640" i="12"/>
  <c r="H3640" i="12"/>
  <c r="G3640" i="12"/>
  <c r="F3640" i="12"/>
  <c r="J3639" i="12"/>
  <c r="I3639" i="12"/>
  <c r="H3639" i="12"/>
  <c r="G3639" i="12"/>
  <c r="F3639" i="12"/>
  <c r="J3638" i="12"/>
  <c r="I3638" i="12"/>
  <c r="H3638" i="12"/>
  <c r="G3638" i="12"/>
  <c r="F3638" i="12"/>
  <c r="J3637" i="12"/>
  <c r="I3637" i="12"/>
  <c r="H3637" i="12"/>
  <c r="G3637" i="12"/>
  <c r="F3637" i="12"/>
  <c r="J3636" i="12"/>
  <c r="I3636" i="12"/>
  <c r="H3636" i="12"/>
  <c r="G3636" i="12"/>
  <c r="F3636" i="12"/>
  <c r="J3635" i="12"/>
  <c r="I3635" i="12"/>
  <c r="H3635" i="12"/>
  <c r="G3635" i="12"/>
  <c r="F3635" i="12"/>
  <c r="J3634" i="12"/>
  <c r="I3634" i="12"/>
  <c r="H3634" i="12"/>
  <c r="G3634" i="12"/>
  <c r="F3634" i="12"/>
  <c r="J3633" i="12"/>
  <c r="I3633" i="12"/>
  <c r="H3633" i="12"/>
  <c r="G3633" i="12"/>
  <c r="F3633" i="12"/>
  <c r="J3632" i="12"/>
  <c r="I3632" i="12"/>
  <c r="H3632" i="12"/>
  <c r="G3632" i="12"/>
  <c r="F3632" i="12"/>
  <c r="J3631" i="12"/>
  <c r="I3631" i="12"/>
  <c r="H3631" i="12"/>
  <c r="G3631" i="12"/>
  <c r="F3631" i="12"/>
  <c r="J3630" i="12"/>
  <c r="I3630" i="12"/>
  <c r="H3630" i="12"/>
  <c r="G3630" i="12"/>
  <c r="F3630" i="12"/>
  <c r="J3629" i="12"/>
  <c r="I3629" i="12"/>
  <c r="H3629" i="12"/>
  <c r="G3629" i="12"/>
  <c r="F3629" i="12"/>
  <c r="J3628" i="12"/>
  <c r="I3628" i="12"/>
  <c r="H3628" i="12"/>
  <c r="G3628" i="12"/>
  <c r="F3628" i="12"/>
  <c r="J3627" i="12"/>
  <c r="I3627" i="12"/>
  <c r="H3627" i="12"/>
  <c r="G3627" i="12"/>
  <c r="F3627" i="12"/>
  <c r="J3626" i="12"/>
  <c r="I3626" i="12"/>
  <c r="H3626" i="12"/>
  <c r="G3626" i="12"/>
  <c r="F3626" i="12"/>
  <c r="J3625" i="12"/>
  <c r="I3625" i="12"/>
  <c r="H3625" i="12"/>
  <c r="G3625" i="12"/>
  <c r="F3625" i="12"/>
  <c r="J3624" i="12"/>
  <c r="I3624" i="12"/>
  <c r="H3624" i="12"/>
  <c r="G3624" i="12"/>
  <c r="F3624" i="12"/>
  <c r="J3623" i="12"/>
  <c r="I3623" i="12"/>
  <c r="H3623" i="12"/>
  <c r="G3623" i="12"/>
  <c r="F3623" i="12"/>
  <c r="J3622" i="12"/>
  <c r="I3622" i="12"/>
  <c r="H3622" i="12"/>
  <c r="G3622" i="12"/>
  <c r="F3622" i="12"/>
  <c r="J3621" i="12"/>
  <c r="I3621" i="12"/>
  <c r="H3621" i="12"/>
  <c r="G3621" i="12"/>
  <c r="F3621" i="12"/>
  <c r="J3620" i="12"/>
  <c r="I3620" i="12"/>
  <c r="H3620" i="12"/>
  <c r="G3620" i="12"/>
  <c r="F3620" i="12"/>
  <c r="J3619" i="12"/>
  <c r="I3619" i="12"/>
  <c r="H3619" i="12"/>
  <c r="G3619" i="12"/>
  <c r="F3619" i="12"/>
  <c r="J3618" i="12"/>
  <c r="I3618" i="12"/>
  <c r="H3618" i="12"/>
  <c r="G3618" i="12"/>
  <c r="F3618" i="12"/>
  <c r="J3617" i="12"/>
  <c r="I3617" i="12"/>
  <c r="H3617" i="12"/>
  <c r="G3617" i="12"/>
  <c r="F3617" i="12"/>
  <c r="J3616" i="12"/>
  <c r="I3616" i="12"/>
  <c r="H3616" i="12"/>
  <c r="G3616" i="12"/>
  <c r="F3616" i="12"/>
  <c r="J3615" i="12"/>
  <c r="I3615" i="12"/>
  <c r="H3615" i="12"/>
  <c r="G3615" i="12"/>
  <c r="F3615" i="12"/>
  <c r="J3614" i="12"/>
  <c r="I3614" i="12"/>
  <c r="H3614" i="12"/>
  <c r="G3614" i="12"/>
  <c r="F3614" i="12"/>
  <c r="J3613" i="12"/>
  <c r="I3613" i="12"/>
  <c r="H3613" i="12"/>
  <c r="G3613" i="12"/>
  <c r="F3613" i="12"/>
  <c r="J3612" i="12"/>
  <c r="I3612" i="12"/>
  <c r="H3612" i="12"/>
  <c r="G3612" i="12"/>
  <c r="F3612" i="12"/>
  <c r="J3611" i="12"/>
  <c r="I3611" i="12"/>
  <c r="H3611" i="12"/>
  <c r="G3611" i="12"/>
  <c r="F3611" i="12"/>
  <c r="J3610" i="12"/>
  <c r="I3610" i="12"/>
  <c r="H3610" i="12"/>
  <c r="G3610" i="12"/>
  <c r="F3610" i="12"/>
  <c r="J3609" i="12"/>
  <c r="I3609" i="12"/>
  <c r="H3609" i="12"/>
  <c r="G3609" i="12"/>
  <c r="F3609" i="12"/>
  <c r="J3608" i="12"/>
  <c r="I3608" i="12"/>
  <c r="H3608" i="12"/>
  <c r="G3608" i="12"/>
  <c r="F3608" i="12"/>
  <c r="J3607" i="12"/>
  <c r="I3607" i="12"/>
  <c r="H3607" i="12"/>
  <c r="G3607" i="12"/>
  <c r="F3607" i="12"/>
  <c r="J3606" i="12"/>
  <c r="I3606" i="12"/>
  <c r="H3606" i="12"/>
  <c r="G3606" i="12"/>
  <c r="F3606" i="12"/>
  <c r="J3605" i="12"/>
  <c r="I3605" i="12"/>
  <c r="H3605" i="12"/>
  <c r="G3605" i="12"/>
  <c r="F3605" i="12"/>
  <c r="J3604" i="12"/>
  <c r="I3604" i="12"/>
  <c r="H3604" i="12"/>
  <c r="G3604" i="12"/>
  <c r="F3604" i="12"/>
  <c r="J3603" i="12"/>
  <c r="I3603" i="12"/>
  <c r="H3603" i="12"/>
  <c r="G3603" i="12"/>
  <c r="F3603" i="12"/>
  <c r="J3602" i="12"/>
  <c r="I3602" i="12"/>
  <c r="H3602" i="12"/>
  <c r="G3602" i="12"/>
  <c r="F3602" i="12"/>
  <c r="J3601" i="12"/>
  <c r="I3601" i="12"/>
  <c r="H3601" i="12"/>
  <c r="G3601" i="12"/>
  <c r="F3601" i="12"/>
  <c r="J3600" i="12"/>
  <c r="I3600" i="12"/>
  <c r="H3600" i="12"/>
  <c r="G3600" i="12"/>
  <c r="F3600" i="12"/>
  <c r="J3599" i="12"/>
  <c r="I3599" i="12"/>
  <c r="H3599" i="12"/>
  <c r="G3599" i="12"/>
  <c r="F3599" i="12"/>
  <c r="J3598" i="12"/>
  <c r="I3598" i="12"/>
  <c r="H3598" i="12"/>
  <c r="G3598" i="12"/>
  <c r="F3598" i="12"/>
  <c r="J3597" i="12"/>
  <c r="I3597" i="12"/>
  <c r="H3597" i="12"/>
  <c r="G3597" i="12"/>
  <c r="F3597" i="12"/>
  <c r="J3596" i="12"/>
  <c r="I3596" i="12"/>
  <c r="H3596" i="12"/>
  <c r="G3596" i="12"/>
  <c r="F3596" i="12"/>
  <c r="J3595" i="12"/>
  <c r="I3595" i="12"/>
  <c r="H3595" i="12"/>
  <c r="G3595" i="12"/>
  <c r="F3595" i="12"/>
  <c r="J3594" i="12"/>
  <c r="I3594" i="12"/>
  <c r="H3594" i="12"/>
  <c r="G3594" i="12"/>
  <c r="F3594" i="12"/>
  <c r="J3593" i="12"/>
  <c r="I3593" i="12"/>
  <c r="H3593" i="12"/>
  <c r="G3593" i="12"/>
  <c r="F3593" i="12"/>
  <c r="J3592" i="12"/>
  <c r="I3592" i="12"/>
  <c r="H3592" i="12"/>
  <c r="G3592" i="12"/>
  <c r="F3592" i="12"/>
  <c r="J3591" i="12"/>
  <c r="I3591" i="12"/>
  <c r="H3591" i="12"/>
  <c r="G3591" i="12"/>
  <c r="F3591" i="12"/>
  <c r="J3590" i="12"/>
  <c r="I3590" i="12"/>
  <c r="H3590" i="12"/>
  <c r="G3590" i="12"/>
  <c r="F3590" i="12"/>
  <c r="J3589" i="12"/>
  <c r="I3589" i="12"/>
  <c r="H3589" i="12"/>
  <c r="G3589" i="12"/>
  <c r="F3589" i="12"/>
  <c r="J3588" i="12"/>
  <c r="I3588" i="12"/>
  <c r="H3588" i="12"/>
  <c r="G3588" i="12"/>
  <c r="F3588" i="12"/>
  <c r="J3587" i="12"/>
  <c r="I3587" i="12"/>
  <c r="H3587" i="12"/>
  <c r="G3587" i="12"/>
  <c r="F3587" i="12"/>
  <c r="J3586" i="12"/>
  <c r="I3586" i="12"/>
  <c r="H3586" i="12"/>
  <c r="G3586" i="12"/>
  <c r="F3586" i="12"/>
  <c r="J3585" i="12"/>
  <c r="I3585" i="12"/>
  <c r="H3585" i="12"/>
  <c r="G3585" i="12"/>
  <c r="F3585" i="12"/>
  <c r="J3584" i="12"/>
  <c r="I3584" i="12"/>
  <c r="H3584" i="12"/>
  <c r="G3584" i="12"/>
  <c r="F3584" i="12"/>
  <c r="J3583" i="12"/>
  <c r="I3583" i="12"/>
  <c r="H3583" i="12"/>
  <c r="G3583" i="12"/>
  <c r="F3583" i="12"/>
  <c r="J3582" i="12"/>
  <c r="I3582" i="12"/>
  <c r="H3582" i="12"/>
  <c r="G3582" i="12"/>
  <c r="F3582" i="12"/>
  <c r="J3581" i="12"/>
  <c r="I3581" i="12"/>
  <c r="H3581" i="12"/>
  <c r="G3581" i="12"/>
  <c r="F3581" i="12"/>
  <c r="J3580" i="12"/>
  <c r="I3580" i="12"/>
  <c r="H3580" i="12"/>
  <c r="G3580" i="12"/>
  <c r="F3580" i="12"/>
  <c r="J3579" i="12"/>
  <c r="I3579" i="12"/>
  <c r="H3579" i="12"/>
  <c r="G3579" i="12"/>
  <c r="F3579" i="12"/>
  <c r="J3578" i="12"/>
  <c r="I3578" i="12"/>
  <c r="H3578" i="12"/>
  <c r="G3578" i="12"/>
  <c r="F3578" i="12"/>
  <c r="J3577" i="12"/>
  <c r="I3577" i="12"/>
  <c r="H3577" i="12"/>
  <c r="G3577" i="12"/>
  <c r="F3577" i="12"/>
  <c r="J3576" i="12"/>
  <c r="I3576" i="12"/>
  <c r="H3576" i="12"/>
  <c r="G3576" i="12"/>
  <c r="F3576" i="12"/>
  <c r="J3575" i="12"/>
  <c r="I3575" i="12"/>
  <c r="H3575" i="12"/>
  <c r="G3575" i="12"/>
  <c r="F3575" i="12"/>
  <c r="J3574" i="12"/>
  <c r="I3574" i="12"/>
  <c r="H3574" i="12"/>
  <c r="G3574" i="12"/>
  <c r="F3574" i="12"/>
  <c r="J3573" i="12"/>
  <c r="I3573" i="12"/>
  <c r="H3573" i="12"/>
  <c r="G3573" i="12"/>
  <c r="F3573" i="12"/>
  <c r="J3572" i="12"/>
  <c r="I3572" i="12"/>
  <c r="H3572" i="12"/>
  <c r="G3572" i="12"/>
  <c r="F3572" i="12"/>
  <c r="J3571" i="12"/>
  <c r="I3571" i="12"/>
  <c r="H3571" i="12"/>
  <c r="G3571" i="12"/>
  <c r="F3571" i="12"/>
  <c r="J3570" i="12"/>
  <c r="I3570" i="12"/>
  <c r="H3570" i="12"/>
  <c r="G3570" i="12"/>
  <c r="F3570" i="12"/>
  <c r="J3569" i="12"/>
  <c r="I3569" i="12"/>
  <c r="H3569" i="12"/>
  <c r="G3569" i="12"/>
  <c r="F3569" i="12"/>
  <c r="J3568" i="12"/>
  <c r="I3568" i="12"/>
  <c r="H3568" i="12"/>
  <c r="G3568" i="12"/>
  <c r="F3568" i="12"/>
  <c r="J3567" i="12"/>
  <c r="I3567" i="12"/>
  <c r="H3567" i="12"/>
  <c r="G3567" i="12"/>
  <c r="F3567" i="12"/>
  <c r="J3566" i="12"/>
  <c r="I3566" i="12"/>
  <c r="H3566" i="12"/>
  <c r="G3566" i="12"/>
  <c r="F3566" i="12"/>
  <c r="J3565" i="12"/>
  <c r="I3565" i="12"/>
  <c r="H3565" i="12"/>
  <c r="G3565" i="12"/>
  <c r="F3565" i="12"/>
  <c r="J3564" i="12"/>
  <c r="I3564" i="12"/>
  <c r="H3564" i="12"/>
  <c r="G3564" i="12"/>
  <c r="F3564" i="12"/>
  <c r="J3563" i="12"/>
  <c r="I3563" i="12"/>
  <c r="H3563" i="12"/>
  <c r="G3563" i="12"/>
  <c r="F3563" i="12"/>
  <c r="J3562" i="12"/>
  <c r="I3562" i="12"/>
  <c r="H3562" i="12"/>
  <c r="G3562" i="12"/>
  <c r="F3562" i="12"/>
  <c r="J3561" i="12"/>
  <c r="I3561" i="12"/>
  <c r="H3561" i="12"/>
  <c r="G3561" i="12"/>
  <c r="F3561" i="12"/>
  <c r="J3560" i="12"/>
  <c r="I3560" i="12"/>
  <c r="H3560" i="12"/>
  <c r="G3560" i="12"/>
  <c r="F3560" i="12"/>
  <c r="J3559" i="12"/>
  <c r="I3559" i="12"/>
  <c r="H3559" i="12"/>
  <c r="G3559" i="12"/>
  <c r="F3559" i="12"/>
  <c r="J3558" i="12"/>
  <c r="I3558" i="12"/>
  <c r="H3558" i="12"/>
  <c r="G3558" i="12"/>
  <c r="F3558" i="12"/>
  <c r="J3557" i="12"/>
  <c r="I3557" i="12"/>
  <c r="H3557" i="12"/>
  <c r="G3557" i="12"/>
  <c r="F3557" i="12"/>
  <c r="J3556" i="12"/>
  <c r="I3556" i="12"/>
  <c r="H3556" i="12"/>
  <c r="G3556" i="12"/>
  <c r="F3556" i="12"/>
  <c r="J3555" i="12"/>
  <c r="I3555" i="12"/>
  <c r="H3555" i="12"/>
  <c r="G3555" i="12"/>
  <c r="F3555" i="12"/>
  <c r="J3554" i="12"/>
  <c r="I3554" i="12"/>
  <c r="H3554" i="12"/>
  <c r="G3554" i="12"/>
  <c r="F3554" i="12"/>
  <c r="J3553" i="12"/>
  <c r="I3553" i="12"/>
  <c r="H3553" i="12"/>
  <c r="G3553" i="12"/>
  <c r="F3553" i="12"/>
  <c r="J3552" i="12"/>
  <c r="I3552" i="12"/>
  <c r="H3552" i="12"/>
  <c r="G3552" i="12"/>
  <c r="F3552" i="12"/>
  <c r="J3551" i="12"/>
  <c r="I3551" i="12"/>
  <c r="H3551" i="12"/>
  <c r="G3551" i="12"/>
  <c r="F3551" i="12"/>
  <c r="J3550" i="12"/>
  <c r="I3550" i="12"/>
  <c r="H3550" i="12"/>
  <c r="G3550" i="12"/>
  <c r="F3550" i="12"/>
  <c r="J3549" i="12"/>
  <c r="I3549" i="12"/>
  <c r="H3549" i="12"/>
  <c r="G3549" i="12"/>
  <c r="F3549" i="12"/>
  <c r="J3548" i="12"/>
  <c r="I3548" i="12"/>
  <c r="H3548" i="12"/>
  <c r="G3548" i="12"/>
  <c r="F3548" i="12"/>
  <c r="J3547" i="12"/>
  <c r="I3547" i="12"/>
  <c r="H3547" i="12"/>
  <c r="G3547" i="12"/>
  <c r="F3547" i="12"/>
  <c r="J3546" i="12"/>
  <c r="I3546" i="12"/>
  <c r="H3546" i="12"/>
  <c r="G3546" i="12"/>
  <c r="F3546" i="12"/>
  <c r="J3545" i="12"/>
  <c r="I3545" i="12"/>
  <c r="H3545" i="12"/>
  <c r="G3545" i="12"/>
  <c r="F3545" i="12"/>
  <c r="J3544" i="12"/>
  <c r="I3544" i="12"/>
  <c r="H3544" i="12"/>
  <c r="G3544" i="12"/>
  <c r="F3544" i="12"/>
  <c r="J3543" i="12"/>
  <c r="I3543" i="12"/>
  <c r="H3543" i="12"/>
  <c r="G3543" i="12"/>
  <c r="F3543" i="12"/>
  <c r="J3542" i="12"/>
  <c r="I3542" i="12"/>
  <c r="H3542" i="12"/>
  <c r="G3542" i="12"/>
  <c r="F3542" i="12"/>
  <c r="J3541" i="12"/>
  <c r="I3541" i="12"/>
  <c r="H3541" i="12"/>
  <c r="G3541" i="12"/>
  <c r="F3541" i="12"/>
  <c r="J3540" i="12"/>
  <c r="I3540" i="12"/>
  <c r="H3540" i="12"/>
  <c r="G3540" i="12"/>
  <c r="F3540" i="12"/>
  <c r="J3539" i="12"/>
  <c r="I3539" i="12"/>
  <c r="H3539" i="12"/>
  <c r="G3539" i="12"/>
  <c r="F3539" i="12"/>
  <c r="J3538" i="12"/>
  <c r="I3538" i="12"/>
  <c r="H3538" i="12"/>
  <c r="G3538" i="12"/>
  <c r="F3538" i="12"/>
  <c r="J3537" i="12"/>
  <c r="I3537" i="12"/>
  <c r="H3537" i="12"/>
  <c r="G3537" i="12"/>
  <c r="F3537" i="12"/>
  <c r="J3536" i="12"/>
  <c r="I3536" i="12"/>
  <c r="H3536" i="12"/>
  <c r="G3536" i="12"/>
  <c r="F3536" i="12"/>
  <c r="J3535" i="12"/>
  <c r="I3535" i="12"/>
  <c r="H3535" i="12"/>
  <c r="G3535" i="12"/>
  <c r="F3535" i="12"/>
  <c r="J3534" i="12"/>
  <c r="I3534" i="12"/>
  <c r="H3534" i="12"/>
  <c r="G3534" i="12"/>
  <c r="F3534" i="12"/>
  <c r="J3533" i="12"/>
  <c r="I3533" i="12"/>
  <c r="H3533" i="12"/>
  <c r="G3533" i="12"/>
  <c r="F3533" i="12"/>
  <c r="J3532" i="12"/>
  <c r="I3532" i="12"/>
  <c r="H3532" i="12"/>
  <c r="G3532" i="12"/>
  <c r="F3532" i="12"/>
  <c r="J3531" i="12"/>
  <c r="I3531" i="12"/>
  <c r="H3531" i="12"/>
  <c r="G3531" i="12"/>
  <c r="F3531" i="12"/>
  <c r="J3530" i="12"/>
  <c r="I3530" i="12"/>
  <c r="H3530" i="12"/>
  <c r="G3530" i="12"/>
  <c r="F3530" i="12"/>
  <c r="J3529" i="12"/>
  <c r="I3529" i="12"/>
  <c r="H3529" i="12"/>
  <c r="G3529" i="12"/>
  <c r="F3529" i="12"/>
  <c r="J3528" i="12"/>
  <c r="I3528" i="12"/>
  <c r="H3528" i="12"/>
  <c r="G3528" i="12"/>
  <c r="F3528" i="12"/>
  <c r="J3527" i="12"/>
  <c r="I3527" i="12"/>
  <c r="H3527" i="12"/>
  <c r="G3527" i="12"/>
  <c r="F3527" i="12"/>
  <c r="J3526" i="12"/>
  <c r="I3526" i="12"/>
  <c r="H3526" i="12"/>
  <c r="G3526" i="12"/>
  <c r="F3526" i="12"/>
  <c r="J3525" i="12"/>
  <c r="I3525" i="12"/>
  <c r="H3525" i="12"/>
  <c r="G3525" i="12"/>
  <c r="F3525" i="12"/>
  <c r="J3524" i="12"/>
  <c r="I3524" i="12"/>
  <c r="H3524" i="12"/>
  <c r="G3524" i="12"/>
  <c r="F3524" i="12"/>
  <c r="J3523" i="12"/>
  <c r="I3523" i="12"/>
  <c r="H3523" i="12"/>
  <c r="G3523" i="12"/>
  <c r="F3523" i="12"/>
  <c r="J3522" i="12"/>
  <c r="I3522" i="12"/>
  <c r="H3522" i="12"/>
  <c r="G3522" i="12"/>
  <c r="F3522" i="12"/>
  <c r="J3521" i="12"/>
  <c r="I3521" i="12"/>
  <c r="H3521" i="12"/>
  <c r="G3521" i="12"/>
  <c r="F3521" i="12"/>
  <c r="J3520" i="12"/>
  <c r="I3520" i="12"/>
  <c r="H3520" i="12"/>
  <c r="G3520" i="12"/>
  <c r="F3520" i="12"/>
  <c r="J3519" i="12"/>
  <c r="I3519" i="12"/>
  <c r="H3519" i="12"/>
  <c r="G3519" i="12"/>
  <c r="F3519" i="12"/>
  <c r="J3518" i="12"/>
  <c r="I3518" i="12"/>
  <c r="H3518" i="12"/>
  <c r="G3518" i="12"/>
  <c r="F3518" i="12"/>
  <c r="J3517" i="12"/>
  <c r="I3517" i="12"/>
  <c r="H3517" i="12"/>
  <c r="G3517" i="12"/>
  <c r="F3517" i="12"/>
  <c r="J3516" i="12"/>
  <c r="I3516" i="12"/>
  <c r="H3516" i="12"/>
  <c r="G3516" i="12"/>
  <c r="F3516" i="12"/>
  <c r="J3515" i="12"/>
  <c r="I3515" i="12"/>
  <c r="H3515" i="12"/>
  <c r="G3515" i="12"/>
  <c r="F3515" i="12"/>
  <c r="J3514" i="12"/>
  <c r="I3514" i="12"/>
  <c r="H3514" i="12"/>
  <c r="G3514" i="12"/>
  <c r="F3514" i="12"/>
  <c r="J3513" i="12"/>
  <c r="I3513" i="12"/>
  <c r="H3513" i="12"/>
  <c r="G3513" i="12"/>
  <c r="F3513" i="12"/>
  <c r="J3512" i="12"/>
  <c r="I3512" i="12"/>
  <c r="H3512" i="12"/>
  <c r="G3512" i="12"/>
  <c r="F3512" i="12"/>
  <c r="J3511" i="12"/>
  <c r="I3511" i="12"/>
  <c r="H3511" i="12"/>
  <c r="G3511" i="12"/>
  <c r="F3511" i="12"/>
  <c r="J3510" i="12"/>
  <c r="I3510" i="12"/>
  <c r="H3510" i="12"/>
  <c r="G3510" i="12"/>
  <c r="F3510" i="12"/>
  <c r="J3509" i="12"/>
  <c r="I3509" i="12"/>
  <c r="H3509" i="12"/>
  <c r="G3509" i="12"/>
  <c r="F3509" i="12"/>
  <c r="J3508" i="12"/>
  <c r="I3508" i="12"/>
  <c r="H3508" i="12"/>
  <c r="G3508" i="12"/>
  <c r="F3508" i="12"/>
  <c r="J3507" i="12"/>
  <c r="I3507" i="12"/>
  <c r="H3507" i="12"/>
  <c r="G3507" i="12"/>
  <c r="F3507" i="12"/>
  <c r="J3506" i="12"/>
  <c r="I3506" i="12"/>
  <c r="H3506" i="12"/>
  <c r="G3506" i="12"/>
  <c r="F3506" i="12"/>
  <c r="J3505" i="12"/>
  <c r="I3505" i="12"/>
  <c r="H3505" i="12"/>
  <c r="G3505" i="12"/>
  <c r="F3505" i="12"/>
  <c r="J3504" i="12"/>
  <c r="I3504" i="12"/>
  <c r="H3504" i="12"/>
  <c r="G3504" i="12"/>
  <c r="F3504" i="12"/>
  <c r="J3503" i="12"/>
  <c r="I3503" i="12"/>
  <c r="H3503" i="12"/>
  <c r="G3503" i="12"/>
  <c r="F3503" i="12"/>
  <c r="J3502" i="12"/>
  <c r="I3502" i="12"/>
  <c r="H3502" i="12"/>
  <c r="G3502" i="12"/>
  <c r="F3502" i="12"/>
  <c r="J3501" i="12"/>
  <c r="I3501" i="12"/>
  <c r="H3501" i="12"/>
  <c r="G3501" i="12"/>
  <c r="F3501" i="12"/>
  <c r="J3500" i="12"/>
  <c r="I3500" i="12"/>
  <c r="H3500" i="12"/>
  <c r="G3500" i="12"/>
  <c r="F3500" i="12"/>
  <c r="J3499" i="12"/>
  <c r="I3499" i="12"/>
  <c r="H3499" i="12"/>
  <c r="G3499" i="12"/>
  <c r="F3499" i="12"/>
  <c r="J3498" i="12"/>
  <c r="I3498" i="12"/>
  <c r="H3498" i="12"/>
  <c r="G3498" i="12"/>
  <c r="F3498" i="12"/>
  <c r="J3497" i="12"/>
  <c r="I3497" i="12"/>
  <c r="H3497" i="12"/>
  <c r="G3497" i="12"/>
  <c r="F3497" i="12"/>
  <c r="J3496" i="12"/>
  <c r="I3496" i="12"/>
  <c r="H3496" i="12"/>
  <c r="G3496" i="12"/>
  <c r="F3496" i="12"/>
  <c r="J3495" i="12"/>
  <c r="I3495" i="12"/>
  <c r="H3495" i="12"/>
  <c r="G3495" i="12"/>
  <c r="F3495" i="12"/>
  <c r="J3494" i="12"/>
  <c r="I3494" i="12"/>
  <c r="H3494" i="12"/>
  <c r="G3494" i="12"/>
  <c r="F3494" i="12"/>
  <c r="J3493" i="12"/>
  <c r="I3493" i="12"/>
  <c r="H3493" i="12"/>
  <c r="G3493" i="12"/>
  <c r="F3493" i="12"/>
  <c r="J3492" i="12"/>
  <c r="I3492" i="12"/>
  <c r="H3492" i="12"/>
  <c r="G3492" i="12"/>
  <c r="F3492" i="12"/>
  <c r="J3491" i="12"/>
  <c r="I3491" i="12"/>
  <c r="H3491" i="12"/>
  <c r="G3491" i="12"/>
  <c r="F3491" i="12"/>
  <c r="J3490" i="12"/>
  <c r="I3490" i="12"/>
  <c r="H3490" i="12"/>
  <c r="G3490" i="12"/>
  <c r="F3490" i="12"/>
  <c r="J3489" i="12"/>
  <c r="I3489" i="12"/>
  <c r="H3489" i="12"/>
  <c r="G3489" i="12"/>
  <c r="F3489" i="12"/>
  <c r="J3488" i="12"/>
  <c r="I3488" i="12"/>
  <c r="H3488" i="12"/>
  <c r="G3488" i="12"/>
  <c r="F3488" i="12"/>
  <c r="J3487" i="12"/>
  <c r="I3487" i="12"/>
  <c r="H3487" i="12"/>
  <c r="G3487" i="12"/>
  <c r="F3487" i="12"/>
  <c r="J3486" i="12"/>
  <c r="I3486" i="12"/>
  <c r="H3486" i="12"/>
  <c r="G3486" i="12"/>
  <c r="F3486" i="12"/>
  <c r="J3485" i="12"/>
  <c r="I3485" i="12"/>
  <c r="H3485" i="12"/>
  <c r="G3485" i="12"/>
  <c r="F3485" i="12"/>
  <c r="J3484" i="12"/>
  <c r="I3484" i="12"/>
  <c r="H3484" i="12"/>
  <c r="G3484" i="12"/>
  <c r="F3484" i="12"/>
  <c r="J3483" i="12"/>
  <c r="I3483" i="12"/>
  <c r="H3483" i="12"/>
  <c r="G3483" i="12"/>
  <c r="F3483" i="12"/>
  <c r="J3482" i="12"/>
  <c r="I3482" i="12"/>
  <c r="H3482" i="12"/>
  <c r="G3482" i="12"/>
  <c r="F3482" i="12"/>
  <c r="J3481" i="12"/>
  <c r="I3481" i="12"/>
  <c r="H3481" i="12"/>
  <c r="G3481" i="12"/>
  <c r="F3481" i="12"/>
  <c r="J3480" i="12"/>
  <c r="I3480" i="12"/>
  <c r="H3480" i="12"/>
  <c r="G3480" i="12"/>
  <c r="F3480" i="12"/>
  <c r="J3479" i="12"/>
  <c r="I3479" i="12"/>
  <c r="H3479" i="12"/>
  <c r="G3479" i="12"/>
  <c r="F3479" i="12"/>
  <c r="J3478" i="12"/>
  <c r="I3478" i="12"/>
  <c r="H3478" i="12"/>
  <c r="G3478" i="12"/>
  <c r="F3478" i="12"/>
  <c r="J3477" i="12"/>
  <c r="I3477" i="12"/>
  <c r="H3477" i="12"/>
  <c r="G3477" i="12"/>
  <c r="F3477" i="12"/>
  <c r="J3476" i="12"/>
  <c r="I3476" i="12"/>
  <c r="H3476" i="12"/>
  <c r="G3476" i="12"/>
  <c r="F3476" i="12"/>
  <c r="J3475" i="12"/>
  <c r="I3475" i="12"/>
  <c r="H3475" i="12"/>
  <c r="G3475" i="12"/>
  <c r="F3475" i="12"/>
  <c r="J3474" i="12"/>
  <c r="I3474" i="12"/>
  <c r="H3474" i="12"/>
  <c r="G3474" i="12"/>
  <c r="F3474" i="12"/>
  <c r="J3473" i="12"/>
  <c r="I3473" i="12"/>
  <c r="H3473" i="12"/>
  <c r="G3473" i="12"/>
  <c r="F3473" i="12"/>
  <c r="J3472" i="12"/>
  <c r="I3472" i="12"/>
  <c r="H3472" i="12"/>
  <c r="G3472" i="12"/>
  <c r="F3472" i="12"/>
  <c r="J3471" i="12"/>
  <c r="I3471" i="12"/>
  <c r="H3471" i="12"/>
  <c r="G3471" i="12"/>
  <c r="F3471" i="12"/>
  <c r="J3470" i="12"/>
  <c r="I3470" i="12"/>
  <c r="H3470" i="12"/>
  <c r="G3470" i="12"/>
  <c r="F3470" i="12"/>
  <c r="J3469" i="12"/>
  <c r="I3469" i="12"/>
  <c r="H3469" i="12"/>
  <c r="G3469" i="12"/>
  <c r="F3469" i="12"/>
  <c r="J3468" i="12"/>
  <c r="I3468" i="12"/>
  <c r="H3468" i="12"/>
  <c r="G3468" i="12"/>
  <c r="F3468" i="12"/>
  <c r="J3467" i="12"/>
  <c r="I3467" i="12"/>
  <c r="H3467" i="12"/>
  <c r="G3467" i="12"/>
  <c r="F3467" i="12"/>
  <c r="J3466" i="12"/>
  <c r="I3466" i="12"/>
  <c r="H3466" i="12"/>
  <c r="G3466" i="12"/>
  <c r="F3466" i="12"/>
  <c r="J3465" i="12"/>
  <c r="I3465" i="12"/>
  <c r="H3465" i="12"/>
  <c r="G3465" i="12"/>
  <c r="F3465" i="12"/>
  <c r="J3464" i="12"/>
  <c r="I3464" i="12"/>
  <c r="H3464" i="12"/>
  <c r="G3464" i="12"/>
  <c r="F3464" i="12"/>
  <c r="J3463" i="12"/>
  <c r="I3463" i="12"/>
  <c r="H3463" i="12"/>
  <c r="G3463" i="12"/>
  <c r="F3463" i="12"/>
  <c r="J3462" i="12"/>
  <c r="I3462" i="12"/>
  <c r="H3462" i="12"/>
  <c r="G3462" i="12"/>
  <c r="F3462" i="12"/>
  <c r="J3461" i="12"/>
  <c r="I3461" i="12"/>
  <c r="H3461" i="12"/>
  <c r="G3461" i="12"/>
  <c r="F3461" i="12"/>
  <c r="J3460" i="12"/>
  <c r="I3460" i="12"/>
  <c r="H3460" i="12"/>
  <c r="G3460" i="12"/>
  <c r="F3460" i="12"/>
  <c r="J3459" i="12"/>
  <c r="I3459" i="12"/>
  <c r="H3459" i="12"/>
  <c r="G3459" i="12"/>
  <c r="F3459" i="12"/>
  <c r="J3458" i="12"/>
  <c r="I3458" i="12"/>
  <c r="H3458" i="12"/>
  <c r="G3458" i="12"/>
  <c r="F3458" i="12"/>
  <c r="J3457" i="12"/>
  <c r="I3457" i="12"/>
  <c r="H3457" i="12"/>
  <c r="G3457" i="12"/>
  <c r="F3457" i="12"/>
  <c r="J3456" i="12"/>
  <c r="I3456" i="12"/>
  <c r="H3456" i="12"/>
  <c r="G3456" i="12"/>
  <c r="F3456" i="12"/>
  <c r="J3455" i="12"/>
  <c r="I3455" i="12"/>
  <c r="H3455" i="12"/>
  <c r="G3455" i="12"/>
  <c r="F3455" i="12"/>
  <c r="J3454" i="12"/>
  <c r="I3454" i="12"/>
  <c r="H3454" i="12"/>
  <c r="G3454" i="12"/>
  <c r="F3454" i="12"/>
  <c r="J3453" i="12"/>
  <c r="I3453" i="12"/>
  <c r="H3453" i="12"/>
  <c r="G3453" i="12"/>
  <c r="F3453" i="12"/>
  <c r="J3452" i="12"/>
  <c r="I3452" i="12"/>
  <c r="H3452" i="12"/>
  <c r="G3452" i="12"/>
  <c r="F3452" i="12"/>
  <c r="J3451" i="12"/>
  <c r="I3451" i="12"/>
  <c r="H3451" i="12"/>
  <c r="G3451" i="12"/>
  <c r="F3451" i="12"/>
  <c r="J3450" i="12"/>
  <c r="I3450" i="12"/>
  <c r="H3450" i="12"/>
  <c r="G3450" i="12"/>
  <c r="F3450" i="12"/>
  <c r="J3449" i="12"/>
  <c r="I3449" i="12"/>
  <c r="H3449" i="12"/>
  <c r="G3449" i="12"/>
  <c r="F3449" i="12"/>
  <c r="J3448" i="12"/>
  <c r="I3448" i="12"/>
  <c r="H3448" i="12"/>
  <c r="G3448" i="12"/>
  <c r="F3448" i="12"/>
  <c r="J3447" i="12"/>
  <c r="I3447" i="12"/>
  <c r="H3447" i="12"/>
  <c r="G3447" i="12"/>
  <c r="F3447" i="12"/>
  <c r="J3446" i="12"/>
  <c r="I3446" i="12"/>
  <c r="H3446" i="12"/>
  <c r="G3446" i="12"/>
  <c r="F3446" i="12"/>
  <c r="J3445" i="12"/>
  <c r="I3445" i="12"/>
  <c r="H3445" i="12"/>
  <c r="G3445" i="12"/>
  <c r="F3445" i="12"/>
  <c r="J3444" i="12"/>
  <c r="I3444" i="12"/>
  <c r="H3444" i="12"/>
  <c r="G3444" i="12"/>
  <c r="F3444" i="12"/>
  <c r="J3443" i="12"/>
  <c r="I3443" i="12"/>
  <c r="H3443" i="12"/>
  <c r="G3443" i="12"/>
  <c r="F3443" i="12"/>
  <c r="J3442" i="12"/>
  <c r="I3442" i="12"/>
  <c r="H3442" i="12"/>
  <c r="G3442" i="12"/>
  <c r="F3442" i="12"/>
  <c r="J3441" i="12"/>
  <c r="I3441" i="12"/>
  <c r="H3441" i="12"/>
  <c r="G3441" i="12"/>
  <c r="F3441" i="12"/>
  <c r="J3440" i="12"/>
  <c r="I3440" i="12"/>
  <c r="H3440" i="12"/>
  <c r="G3440" i="12"/>
  <c r="F3440" i="12"/>
  <c r="J3439" i="12"/>
  <c r="I3439" i="12"/>
  <c r="H3439" i="12"/>
  <c r="G3439" i="12"/>
  <c r="F3439" i="12"/>
  <c r="J3438" i="12"/>
  <c r="I3438" i="12"/>
  <c r="H3438" i="12"/>
  <c r="G3438" i="12"/>
  <c r="F3438" i="12"/>
  <c r="J3437" i="12"/>
  <c r="I3437" i="12"/>
  <c r="H3437" i="12"/>
  <c r="G3437" i="12"/>
  <c r="F3437" i="12"/>
  <c r="J3436" i="12"/>
  <c r="I3436" i="12"/>
  <c r="H3436" i="12"/>
  <c r="G3436" i="12"/>
  <c r="F3436" i="12"/>
  <c r="J3435" i="12"/>
  <c r="I3435" i="12"/>
  <c r="H3435" i="12"/>
  <c r="G3435" i="12"/>
  <c r="F3435" i="12"/>
  <c r="J3434" i="12"/>
  <c r="I3434" i="12"/>
  <c r="H3434" i="12"/>
  <c r="G3434" i="12"/>
  <c r="F3434" i="12"/>
  <c r="J3433" i="12"/>
  <c r="I3433" i="12"/>
  <c r="H3433" i="12"/>
  <c r="G3433" i="12"/>
  <c r="F3433" i="12"/>
  <c r="J3432" i="12"/>
  <c r="I3432" i="12"/>
  <c r="H3432" i="12"/>
  <c r="G3432" i="12"/>
  <c r="F3432" i="12"/>
  <c r="J3431" i="12"/>
  <c r="I3431" i="12"/>
  <c r="H3431" i="12"/>
  <c r="G3431" i="12"/>
  <c r="F3431" i="12"/>
  <c r="J3430" i="12"/>
  <c r="I3430" i="12"/>
  <c r="H3430" i="12"/>
  <c r="G3430" i="12"/>
  <c r="F3430" i="12"/>
  <c r="J3429" i="12"/>
  <c r="I3429" i="12"/>
  <c r="H3429" i="12"/>
  <c r="G3429" i="12"/>
  <c r="F3429" i="12"/>
  <c r="J3428" i="12"/>
  <c r="I3428" i="12"/>
  <c r="H3428" i="12"/>
  <c r="G3428" i="12"/>
  <c r="F3428" i="12"/>
  <c r="J3427" i="12"/>
  <c r="I3427" i="12"/>
  <c r="H3427" i="12"/>
  <c r="G3427" i="12"/>
  <c r="F3427" i="12"/>
  <c r="J3426" i="12"/>
  <c r="I3426" i="12"/>
  <c r="H3426" i="12"/>
  <c r="G3426" i="12"/>
  <c r="F3426" i="12"/>
  <c r="J3425" i="12"/>
  <c r="I3425" i="12"/>
  <c r="H3425" i="12"/>
  <c r="G3425" i="12"/>
  <c r="F3425" i="12"/>
  <c r="J3424" i="12"/>
  <c r="I3424" i="12"/>
  <c r="H3424" i="12"/>
  <c r="G3424" i="12"/>
  <c r="F3424" i="12"/>
  <c r="J3423" i="12"/>
  <c r="I3423" i="12"/>
  <c r="H3423" i="12"/>
  <c r="G3423" i="12"/>
  <c r="F3423" i="12"/>
  <c r="J3422" i="12"/>
  <c r="I3422" i="12"/>
  <c r="H3422" i="12"/>
  <c r="G3422" i="12"/>
  <c r="F3422" i="12"/>
  <c r="J3421" i="12"/>
  <c r="I3421" i="12"/>
  <c r="H3421" i="12"/>
  <c r="G3421" i="12"/>
  <c r="F3421" i="12"/>
  <c r="J3420" i="12"/>
  <c r="I3420" i="12"/>
  <c r="H3420" i="12"/>
  <c r="G3420" i="12"/>
  <c r="F3420" i="12"/>
  <c r="J3419" i="12"/>
  <c r="I3419" i="12"/>
  <c r="H3419" i="12"/>
  <c r="G3419" i="12"/>
  <c r="F3419" i="12"/>
  <c r="J3418" i="12"/>
  <c r="I3418" i="12"/>
  <c r="H3418" i="12"/>
  <c r="G3418" i="12"/>
  <c r="F3418" i="12"/>
  <c r="J3417" i="12"/>
  <c r="I3417" i="12"/>
  <c r="H3417" i="12"/>
  <c r="G3417" i="12"/>
  <c r="F3417" i="12"/>
  <c r="J3416" i="12"/>
  <c r="I3416" i="12"/>
  <c r="H3416" i="12"/>
  <c r="G3416" i="12"/>
  <c r="F3416" i="12"/>
  <c r="J3415" i="12"/>
  <c r="I3415" i="12"/>
  <c r="H3415" i="12"/>
  <c r="G3415" i="12"/>
  <c r="F3415" i="12"/>
  <c r="J3414" i="12"/>
  <c r="I3414" i="12"/>
  <c r="H3414" i="12"/>
  <c r="G3414" i="12"/>
  <c r="F3414" i="12"/>
  <c r="J3413" i="12"/>
  <c r="I3413" i="12"/>
  <c r="H3413" i="12"/>
  <c r="G3413" i="12"/>
  <c r="F3413" i="12"/>
  <c r="J3412" i="12"/>
  <c r="I3412" i="12"/>
  <c r="H3412" i="12"/>
  <c r="G3412" i="12"/>
  <c r="F3412" i="12"/>
  <c r="J3411" i="12"/>
  <c r="I3411" i="12"/>
  <c r="H3411" i="12"/>
  <c r="G3411" i="12"/>
  <c r="F3411" i="12"/>
  <c r="J3410" i="12"/>
  <c r="I3410" i="12"/>
  <c r="H3410" i="12"/>
  <c r="G3410" i="12"/>
  <c r="F3410" i="12"/>
  <c r="J3409" i="12"/>
  <c r="I3409" i="12"/>
  <c r="H3409" i="12"/>
  <c r="G3409" i="12"/>
  <c r="F3409" i="12"/>
  <c r="J3408" i="12"/>
  <c r="I3408" i="12"/>
  <c r="H3408" i="12"/>
  <c r="G3408" i="12"/>
  <c r="F3408" i="12"/>
  <c r="J3407" i="12"/>
  <c r="I3407" i="12"/>
  <c r="H3407" i="12"/>
  <c r="G3407" i="12"/>
  <c r="F3407" i="12"/>
  <c r="J3406" i="12"/>
  <c r="I3406" i="12"/>
  <c r="H3406" i="12"/>
  <c r="G3406" i="12"/>
  <c r="F3406" i="12"/>
  <c r="J3405" i="12"/>
  <c r="I3405" i="12"/>
  <c r="H3405" i="12"/>
  <c r="G3405" i="12"/>
  <c r="F3405" i="12"/>
  <c r="J3404" i="12"/>
  <c r="I3404" i="12"/>
  <c r="H3404" i="12"/>
  <c r="G3404" i="12"/>
  <c r="F3404" i="12"/>
  <c r="J3403" i="12"/>
  <c r="I3403" i="12"/>
  <c r="H3403" i="12"/>
  <c r="G3403" i="12"/>
  <c r="F3403" i="12"/>
  <c r="J3402" i="12"/>
  <c r="I3402" i="12"/>
  <c r="H3402" i="12"/>
  <c r="G3402" i="12"/>
  <c r="F3402" i="12"/>
  <c r="J3401" i="12"/>
  <c r="I3401" i="12"/>
  <c r="H3401" i="12"/>
  <c r="G3401" i="12"/>
  <c r="F3401" i="12"/>
  <c r="J3400" i="12"/>
  <c r="I3400" i="12"/>
  <c r="H3400" i="12"/>
  <c r="G3400" i="12"/>
  <c r="F3400" i="12"/>
  <c r="J3399" i="12"/>
  <c r="I3399" i="12"/>
  <c r="H3399" i="12"/>
  <c r="G3399" i="12"/>
  <c r="F3399" i="12"/>
  <c r="J3398" i="12"/>
  <c r="I3398" i="12"/>
  <c r="H3398" i="12"/>
  <c r="G3398" i="12"/>
  <c r="F3398" i="12"/>
  <c r="J3397" i="12"/>
  <c r="I3397" i="12"/>
  <c r="H3397" i="12"/>
  <c r="G3397" i="12"/>
  <c r="F3397" i="12"/>
  <c r="J3396" i="12"/>
  <c r="I3396" i="12"/>
  <c r="H3396" i="12"/>
  <c r="G3396" i="12"/>
  <c r="F3396" i="12"/>
  <c r="J3395" i="12"/>
  <c r="I3395" i="12"/>
  <c r="H3395" i="12"/>
  <c r="G3395" i="12"/>
  <c r="F3395" i="12"/>
  <c r="J3394" i="12"/>
  <c r="I3394" i="12"/>
  <c r="H3394" i="12"/>
  <c r="G3394" i="12"/>
  <c r="F3394" i="12"/>
  <c r="J3393" i="12"/>
  <c r="I3393" i="12"/>
  <c r="H3393" i="12"/>
  <c r="G3393" i="12"/>
  <c r="F3393" i="12"/>
  <c r="J3392" i="12"/>
  <c r="I3392" i="12"/>
  <c r="H3392" i="12"/>
  <c r="G3392" i="12"/>
  <c r="F3392" i="12"/>
  <c r="J3391" i="12"/>
  <c r="I3391" i="12"/>
  <c r="H3391" i="12"/>
  <c r="G3391" i="12"/>
  <c r="F3391" i="12"/>
  <c r="J3390" i="12"/>
  <c r="I3390" i="12"/>
  <c r="H3390" i="12"/>
  <c r="G3390" i="12"/>
  <c r="F3390" i="12"/>
  <c r="J3389" i="12"/>
  <c r="I3389" i="12"/>
  <c r="H3389" i="12"/>
  <c r="G3389" i="12"/>
  <c r="F3389" i="12"/>
  <c r="J3388" i="12"/>
  <c r="I3388" i="12"/>
  <c r="H3388" i="12"/>
  <c r="G3388" i="12"/>
  <c r="F3388" i="12"/>
  <c r="J3387" i="12"/>
  <c r="I3387" i="12"/>
  <c r="H3387" i="12"/>
  <c r="G3387" i="12"/>
  <c r="F3387" i="12"/>
  <c r="J3386" i="12"/>
  <c r="I3386" i="12"/>
  <c r="H3386" i="12"/>
  <c r="G3386" i="12"/>
  <c r="F3386" i="12"/>
  <c r="J3385" i="12"/>
  <c r="I3385" i="12"/>
  <c r="H3385" i="12"/>
  <c r="G3385" i="12"/>
  <c r="F3385" i="12"/>
  <c r="J3384" i="12"/>
  <c r="I3384" i="12"/>
  <c r="H3384" i="12"/>
  <c r="G3384" i="12"/>
  <c r="F3384" i="12"/>
  <c r="J3383" i="12"/>
  <c r="I3383" i="12"/>
  <c r="H3383" i="12"/>
  <c r="G3383" i="12"/>
  <c r="F3383" i="12"/>
  <c r="J3382" i="12"/>
  <c r="I3382" i="12"/>
  <c r="H3382" i="12"/>
  <c r="G3382" i="12"/>
  <c r="F3382" i="12"/>
  <c r="J3381" i="12"/>
  <c r="I3381" i="12"/>
  <c r="H3381" i="12"/>
  <c r="G3381" i="12"/>
  <c r="F3381" i="12"/>
  <c r="J3380" i="12"/>
  <c r="I3380" i="12"/>
  <c r="H3380" i="12"/>
  <c r="G3380" i="12"/>
  <c r="F3380" i="12"/>
  <c r="J3379" i="12"/>
  <c r="I3379" i="12"/>
  <c r="H3379" i="12"/>
  <c r="G3379" i="12"/>
  <c r="F3379" i="12"/>
  <c r="J3378" i="12"/>
  <c r="I3378" i="12"/>
  <c r="H3378" i="12"/>
  <c r="G3378" i="12"/>
  <c r="F3378" i="12"/>
  <c r="J3377" i="12"/>
  <c r="I3377" i="12"/>
  <c r="H3377" i="12"/>
  <c r="G3377" i="12"/>
  <c r="F3377" i="12"/>
  <c r="J3376" i="12"/>
  <c r="I3376" i="12"/>
  <c r="H3376" i="12"/>
  <c r="G3376" i="12"/>
  <c r="F3376" i="12"/>
  <c r="J3375" i="12"/>
  <c r="I3375" i="12"/>
  <c r="H3375" i="12"/>
  <c r="G3375" i="12"/>
  <c r="F3375" i="12"/>
  <c r="J3374" i="12"/>
  <c r="I3374" i="12"/>
  <c r="H3374" i="12"/>
  <c r="G3374" i="12"/>
  <c r="F3374" i="12"/>
  <c r="J3373" i="12"/>
  <c r="I3373" i="12"/>
  <c r="H3373" i="12"/>
  <c r="G3373" i="12"/>
  <c r="F3373" i="12"/>
  <c r="J3372" i="12"/>
  <c r="I3372" i="12"/>
  <c r="H3372" i="12"/>
  <c r="G3372" i="12"/>
  <c r="F3372" i="12"/>
  <c r="J3371" i="12"/>
  <c r="I3371" i="12"/>
  <c r="H3371" i="12"/>
  <c r="G3371" i="12"/>
  <c r="F3371" i="12"/>
  <c r="J3370" i="12"/>
  <c r="I3370" i="12"/>
  <c r="H3370" i="12"/>
  <c r="G3370" i="12"/>
  <c r="F3370" i="12"/>
  <c r="J3369" i="12"/>
  <c r="I3369" i="12"/>
  <c r="H3369" i="12"/>
  <c r="G3369" i="12"/>
  <c r="F3369" i="12"/>
  <c r="J3368" i="12"/>
  <c r="I3368" i="12"/>
  <c r="H3368" i="12"/>
  <c r="G3368" i="12"/>
  <c r="F3368" i="12"/>
  <c r="J3367" i="12"/>
  <c r="I3367" i="12"/>
  <c r="H3367" i="12"/>
  <c r="G3367" i="12"/>
  <c r="F3367" i="12"/>
  <c r="J3366" i="12"/>
  <c r="I3366" i="12"/>
  <c r="H3366" i="12"/>
  <c r="G3366" i="12"/>
  <c r="F3366" i="12"/>
  <c r="J3365" i="12"/>
  <c r="I3365" i="12"/>
  <c r="H3365" i="12"/>
  <c r="G3365" i="12"/>
  <c r="F3365" i="12"/>
  <c r="J3364" i="12"/>
  <c r="I3364" i="12"/>
  <c r="H3364" i="12"/>
  <c r="G3364" i="12"/>
  <c r="F3364" i="12"/>
  <c r="J3363" i="12"/>
  <c r="I3363" i="12"/>
  <c r="H3363" i="12"/>
  <c r="G3363" i="12"/>
  <c r="F3363" i="12"/>
  <c r="J3362" i="12"/>
  <c r="I3362" i="12"/>
  <c r="H3362" i="12"/>
  <c r="G3362" i="12"/>
  <c r="F3362" i="12"/>
  <c r="J3361" i="12"/>
  <c r="I3361" i="12"/>
  <c r="H3361" i="12"/>
  <c r="G3361" i="12"/>
  <c r="F3361" i="12"/>
  <c r="J3360" i="12"/>
  <c r="I3360" i="12"/>
  <c r="H3360" i="12"/>
  <c r="G3360" i="12"/>
  <c r="F3360" i="12"/>
  <c r="J3359" i="12"/>
  <c r="I3359" i="12"/>
  <c r="H3359" i="12"/>
  <c r="G3359" i="12"/>
  <c r="F3359" i="12"/>
  <c r="J3358" i="12"/>
  <c r="I3358" i="12"/>
  <c r="H3358" i="12"/>
  <c r="G3358" i="12"/>
  <c r="F3358" i="12"/>
  <c r="J3357" i="12"/>
  <c r="I3357" i="12"/>
  <c r="H3357" i="12"/>
  <c r="G3357" i="12"/>
  <c r="F3357" i="12"/>
  <c r="J3356" i="12"/>
  <c r="I3356" i="12"/>
  <c r="H3356" i="12"/>
  <c r="G3356" i="12"/>
  <c r="F3356" i="12"/>
  <c r="J3355" i="12"/>
  <c r="I3355" i="12"/>
  <c r="H3355" i="12"/>
  <c r="G3355" i="12"/>
  <c r="F3355" i="12"/>
  <c r="J3354" i="12"/>
  <c r="I3354" i="12"/>
  <c r="H3354" i="12"/>
  <c r="G3354" i="12"/>
  <c r="F3354" i="12"/>
  <c r="J3353" i="12"/>
  <c r="I3353" i="12"/>
  <c r="H3353" i="12"/>
  <c r="G3353" i="12"/>
  <c r="F3353" i="12"/>
  <c r="J3352" i="12"/>
  <c r="I3352" i="12"/>
  <c r="H3352" i="12"/>
  <c r="G3352" i="12"/>
  <c r="F3352" i="12"/>
  <c r="J3351" i="12"/>
  <c r="I3351" i="12"/>
  <c r="H3351" i="12"/>
  <c r="G3351" i="12"/>
  <c r="F3351" i="12"/>
  <c r="J3350" i="12"/>
  <c r="I3350" i="12"/>
  <c r="H3350" i="12"/>
  <c r="G3350" i="12"/>
  <c r="F3350" i="12"/>
  <c r="J3349" i="12"/>
  <c r="I3349" i="12"/>
  <c r="H3349" i="12"/>
  <c r="G3349" i="12"/>
  <c r="F3349" i="12"/>
  <c r="J3348" i="12"/>
  <c r="I3348" i="12"/>
  <c r="H3348" i="12"/>
  <c r="G3348" i="12"/>
  <c r="F3348" i="12"/>
  <c r="J3347" i="12"/>
  <c r="I3347" i="12"/>
  <c r="H3347" i="12"/>
  <c r="G3347" i="12"/>
  <c r="F3347" i="12"/>
  <c r="J3346" i="12"/>
  <c r="I3346" i="12"/>
  <c r="H3346" i="12"/>
  <c r="G3346" i="12"/>
  <c r="F3346" i="12"/>
  <c r="J3345" i="12"/>
  <c r="I3345" i="12"/>
  <c r="H3345" i="12"/>
  <c r="G3345" i="12"/>
  <c r="F3345" i="12"/>
  <c r="J3344" i="12"/>
  <c r="I3344" i="12"/>
  <c r="H3344" i="12"/>
  <c r="G3344" i="12"/>
  <c r="F3344" i="12"/>
  <c r="J3343" i="12"/>
  <c r="I3343" i="12"/>
  <c r="H3343" i="12"/>
  <c r="G3343" i="12"/>
  <c r="F3343" i="12"/>
  <c r="J3342" i="12"/>
  <c r="I3342" i="12"/>
  <c r="H3342" i="12"/>
  <c r="G3342" i="12"/>
  <c r="F3342" i="12"/>
  <c r="J3341" i="12"/>
  <c r="I3341" i="12"/>
  <c r="H3341" i="12"/>
  <c r="G3341" i="12"/>
  <c r="F3341" i="12"/>
  <c r="J3340" i="12"/>
  <c r="I3340" i="12"/>
  <c r="H3340" i="12"/>
  <c r="G3340" i="12"/>
  <c r="F3340" i="12"/>
  <c r="J3339" i="12"/>
  <c r="I3339" i="12"/>
  <c r="H3339" i="12"/>
  <c r="G3339" i="12"/>
  <c r="F3339" i="12"/>
  <c r="J3338" i="12"/>
  <c r="I3338" i="12"/>
  <c r="H3338" i="12"/>
  <c r="G3338" i="12"/>
  <c r="F3338" i="12"/>
  <c r="J3337" i="12"/>
  <c r="I3337" i="12"/>
  <c r="H3337" i="12"/>
  <c r="G3337" i="12"/>
  <c r="F3337" i="12"/>
  <c r="J3336" i="12"/>
  <c r="I3336" i="12"/>
  <c r="H3336" i="12"/>
  <c r="G3336" i="12"/>
  <c r="F3336" i="12"/>
  <c r="J3335" i="12"/>
  <c r="I3335" i="12"/>
  <c r="H3335" i="12"/>
  <c r="G3335" i="12"/>
  <c r="F3335" i="12"/>
  <c r="J3334" i="12"/>
  <c r="I3334" i="12"/>
  <c r="H3334" i="12"/>
  <c r="G3334" i="12"/>
  <c r="F3334" i="12"/>
  <c r="J3333" i="12"/>
  <c r="I3333" i="12"/>
  <c r="H3333" i="12"/>
  <c r="G3333" i="12"/>
  <c r="F3333" i="12"/>
  <c r="J3332" i="12"/>
  <c r="I3332" i="12"/>
  <c r="H3332" i="12"/>
  <c r="G3332" i="12"/>
  <c r="F3332" i="12"/>
  <c r="J3331" i="12"/>
  <c r="I3331" i="12"/>
  <c r="H3331" i="12"/>
  <c r="G3331" i="12"/>
  <c r="F3331" i="12"/>
  <c r="J3330" i="12"/>
  <c r="I3330" i="12"/>
  <c r="H3330" i="12"/>
  <c r="G3330" i="12"/>
  <c r="F3330" i="12"/>
  <c r="J3329" i="12"/>
  <c r="I3329" i="12"/>
  <c r="H3329" i="12"/>
  <c r="G3329" i="12"/>
  <c r="F3329" i="12"/>
  <c r="J3328" i="12"/>
  <c r="I3328" i="12"/>
  <c r="H3328" i="12"/>
  <c r="G3328" i="12"/>
  <c r="F3328" i="12"/>
  <c r="J3327" i="12"/>
  <c r="I3327" i="12"/>
  <c r="H3327" i="12"/>
  <c r="G3327" i="12"/>
  <c r="F3327" i="12"/>
  <c r="J3326" i="12"/>
  <c r="I3326" i="12"/>
  <c r="H3326" i="12"/>
  <c r="G3326" i="12"/>
  <c r="F3326" i="12"/>
  <c r="J3325" i="12"/>
  <c r="I3325" i="12"/>
  <c r="H3325" i="12"/>
  <c r="G3325" i="12"/>
  <c r="F3325" i="12"/>
  <c r="J3324" i="12"/>
  <c r="I3324" i="12"/>
  <c r="H3324" i="12"/>
  <c r="G3324" i="12"/>
  <c r="F3324" i="12"/>
  <c r="J3323" i="12"/>
  <c r="I3323" i="12"/>
  <c r="H3323" i="12"/>
  <c r="G3323" i="12"/>
  <c r="F3323" i="12"/>
  <c r="J3322" i="12"/>
  <c r="I3322" i="12"/>
  <c r="H3322" i="12"/>
  <c r="G3322" i="12"/>
  <c r="F3322" i="12"/>
  <c r="J3321" i="12"/>
  <c r="I3321" i="12"/>
  <c r="H3321" i="12"/>
  <c r="G3321" i="12"/>
  <c r="F3321" i="12"/>
  <c r="J3320" i="12"/>
  <c r="I3320" i="12"/>
  <c r="H3320" i="12"/>
  <c r="G3320" i="12"/>
  <c r="F3320" i="12"/>
  <c r="J3319" i="12"/>
  <c r="I3319" i="12"/>
  <c r="H3319" i="12"/>
  <c r="G3319" i="12"/>
  <c r="F3319" i="12"/>
  <c r="J3318" i="12"/>
  <c r="I3318" i="12"/>
  <c r="H3318" i="12"/>
  <c r="G3318" i="12"/>
  <c r="F3318" i="12"/>
  <c r="J3317" i="12"/>
  <c r="I3317" i="12"/>
  <c r="H3317" i="12"/>
  <c r="G3317" i="12"/>
  <c r="F3317" i="12"/>
  <c r="J3316" i="12"/>
  <c r="I3316" i="12"/>
  <c r="H3316" i="12"/>
  <c r="G3316" i="12"/>
  <c r="F3316" i="12"/>
  <c r="J3315" i="12"/>
  <c r="I3315" i="12"/>
  <c r="H3315" i="12"/>
  <c r="G3315" i="12"/>
  <c r="F3315" i="12"/>
  <c r="J3314" i="12"/>
  <c r="I3314" i="12"/>
  <c r="H3314" i="12"/>
  <c r="G3314" i="12"/>
  <c r="F3314" i="12"/>
  <c r="J3313" i="12"/>
  <c r="I3313" i="12"/>
  <c r="H3313" i="12"/>
  <c r="G3313" i="12"/>
  <c r="F3313" i="12"/>
  <c r="J3312" i="12"/>
  <c r="I3312" i="12"/>
  <c r="H3312" i="12"/>
  <c r="G3312" i="12"/>
  <c r="F3312" i="12"/>
  <c r="J3311" i="12"/>
  <c r="I3311" i="12"/>
  <c r="H3311" i="12"/>
  <c r="G3311" i="12"/>
  <c r="F3311" i="12"/>
  <c r="J3310" i="12"/>
  <c r="I3310" i="12"/>
  <c r="H3310" i="12"/>
  <c r="G3310" i="12"/>
  <c r="F3310" i="12"/>
  <c r="J3309" i="12"/>
  <c r="I3309" i="12"/>
  <c r="H3309" i="12"/>
  <c r="G3309" i="12"/>
  <c r="F3309" i="12"/>
  <c r="J3308" i="12"/>
  <c r="I3308" i="12"/>
  <c r="H3308" i="12"/>
  <c r="G3308" i="12"/>
  <c r="F3308" i="12"/>
  <c r="J3307" i="12"/>
  <c r="I3307" i="12"/>
  <c r="H3307" i="12"/>
  <c r="G3307" i="12"/>
  <c r="F3307" i="12"/>
  <c r="J3306" i="12"/>
  <c r="I3306" i="12"/>
  <c r="H3306" i="12"/>
  <c r="G3306" i="12"/>
  <c r="F3306" i="12"/>
  <c r="J3305" i="12"/>
  <c r="I3305" i="12"/>
  <c r="H3305" i="12"/>
  <c r="G3305" i="12"/>
  <c r="F3305" i="12"/>
  <c r="J3304" i="12"/>
  <c r="I3304" i="12"/>
  <c r="H3304" i="12"/>
  <c r="G3304" i="12"/>
  <c r="F3304" i="12"/>
  <c r="J3303" i="12"/>
  <c r="I3303" i="12"/>
  <c r="H3303" i="12"/>
  <c r="G3303" i="12"/>
  <c r="F3303" i="12"/>
  <c r="J3302" i="12"/>
  <c r="I3302" i="12"/>
  <c r="H3302" i="12"/>
  <c r="G3302" i="12"/>
  <c r="F3302" i="12"/>
  <c r="J3301" i="12"/>
  <c r="I3301" i="12"/>
  <c r="H3301" i="12"/>
  <c r="G3301" i="12"/>
  <c r="F3301" i="12"/>
  <c r="J3300" i="12"/>
  <c r="I3300" i="12"/>
  <c r="H3300" i="12"/>
  <c r="G3300" i="12"/>
  <c r="F3300" i="12"/>
  <c r="J3299" i="12"/>
  <c r="I3299" i="12"/>
  <c r="H3299" i="12"/>
  <c r="G3299" i="12"/>
  <c r="F3299" i="12"/>
  <c r="J3298" i="12"/>
  <c r="I3298" i="12"/>
  <c r="H3298" i="12"/>
  <c r="G3298" i="12"/>
  <c r="F3298" i="12"/>
  <c r="J3297" i="12"/>
  <c r="I3297" i="12"/>
  <c r="H3297" i="12"/>
  <c r="G3297" i="12"/>
  <c r="F3297" i="12"/>
  <c r="J3296" i="12"/>
  <c r="I3296" i="12"/>
  <c r="H3296" i="12"/>
  <c r="G3296" i="12"/>
  <c r="F3296" i="12"/>
  <c r="J3295" i="12"/>
  <c r="I3295" i="12"/>
  <c r="H3295" i="12"/>
  <c r="G3295" i="12"/>
  <c r="F3295" i="12"/>
  <c r="J3294" i="12"/>
  <c r="I3294" i="12"/>
  <c r="H3294" i="12"/>
  <c r="G3294" i="12"/>
  <c r="F3294" i="12"/>
  <c r="J3293" i="12"/>
  <c r="I3293" i="12"/>
  <c r="H3293" i="12"/>
  <c r="G3293" i="12"/>
  <c r="F3293" i="12"/>
  <c r="J3292" i="12"/>
  <c r="I3292" i="12"/>
  <c r="H3292" i="12"/>
  <c r="G3292" i="12"/>
  <c r="F3292" i="12"/>
  <c r="J3291" i="12"/>
  <c r="I3291" i="12"/>
  <c r="H3291" i="12"/>
  <c r="G3291" i="12"/>
  <c r="F3291" i="12"/>
  <c r="J3290" i="12"/>
  <c r="I3290" i="12"/>
  <c r="H3290" i="12"/>
  <c r="G3290" i="12"/>
  <c r="F3290" i="12"/>
  <c r="J3289" i="12"/>
  <c r="I3289" i="12"/>
  <c r="H3289" i="12"/>
  <c r="G3289" i="12"/>
  <c r="F3289" i="12"/>
  <c r="J3288" i="12"/>
  <c r="I3288" i="12"/>
  <c r="H3288" i="12"/>
  <c r="G3288" i="12"/>
  <c r="F3288" i="12"/>
  <c r="J3287" i="12"/>
  <c r="I3287" i="12"/>
  <c r="H3287" i="12"/>
  <c r="G3287" i="12"/>
  <c r="F3287" i="12"/>
  <c r="J3286" i="12"/>
  <c r="I3286" i="12"/>
  <c r="H3286" i="12"/>
  <c r="G3286" i="12"/>
  <c r="F3286" i="12"/>
  <c r="J3285" i="12"/>
  <c r="I3285" i="12"/>
  <c r="H3285" i="12"/>
  <c r="G3285" i="12"/>
  <c r="F3285" i="12"/>
  <c r="J3284" i="12"/>
  <c r="I3284" i="12"/>
  <c r="H3284" i="12"/>
  <c r="G3284" i="12"/>
  <c r="F3284" i="12"/>
  <c r="J3283" i="12"/>
  <c r="I3283" i="12"/>
  <c r="H3283" i="12"/>
  <c r="G3283" i="12"/>
  <c r="F3283" i="12"/>
  <c r="J3282" i="12"/>
  <c r="I3282" i="12"/>
  <c r="H3282" i="12"/>
  <c r="G3282" i="12"/>
  <c r="F3282" i="12"/>
  <c r="J3281" i="12"/>
  <c r="I3281" i="12"/>
  <c r="H3281" i="12"/>
  <c r="G3281" i="12"/>
  <c r="F3281" i="12"/>
  <c r="J3280" i="12"/>
  <c r="I3280" i="12"/>
  <c r="H3280" i="12"/>
  <c r="G3280" i="12"/>
  <c r="F3280" i="12"/>
  <c r="J3279" i="12"/>
  <c r="I3279" i="12"/>
  <c r="H3279" i="12"/>
  <c r="G3279" i="12"/>
  <c r="F3279" i="12"/>
  <c r="J3278" i="12"/>
  <c r="I3278" i="12"/>
  <c r="H3278" i="12"/>
  <c r="G3278" i="12"/>
  <c r="F3278" i="12"/>
  <c r="J3277" i="12"/>
  <c r="I3277" i="12"/>
  <c r="H3277" i="12"/>
  <c r="G3277" i="12"/>
  <c r="F3277" i="12"/>
  <c r="J3276" i="12"/>
  <c r="I3276" i="12"/>
  <c r="H3276" i="12"/>
  <c r="G3276" i="12"/>
  <c r="F3276" i="12"/>
  <c r="J3275" i="12"/>
  <c r="I3275" i="12"/>
  <c r="H3275" i="12"/>
  <c r="G3275" i="12"/>
  <c r="F3275" i="12"/>
  <c r="J3274" i="12"/>
  <c r="I3274" i="12"/>
  <c r="H3274" i="12"/>
  <c r="G3274" i="12"/>
  <c r="F3274" i="12"/>
  <c r="J3273" i="12"/>
  <c r="I3273" i="12"/>
  <c r="H3273" i="12"/>
  <c r="G3273" i="12"/>
  <c r="F3273" i="12"/>
  <c r="J3272" i="12"/>
  <c r="I3272" i="12"/>
  <c r="H3272" i="12"/>
  <c r="G3272" i="12"/>
  <c r="F3272" i="12"/>
  <c r="J3271" i="12"/>
  <c r="I3271" i="12"/>
  <c r="H3271" i="12"/>
  <c r="G3271" i="12"/>
  <c r="F3271" i="12"/>
  <c r="J3270" i="12"/>
  <c r="I3270" i="12"/>
  <c r="H3270" i="12"/>
  <c r="G3270" i="12"/>
  <c r="F3270" i="12"/>
  <c r="J3269" i="12"/>
  <c r="I3269" i="12"/>
  <c r="H3269" i="12"/>
  <c r="G3269" i="12"/>
  <c r="F3269" i="12"/>
  <c r="J3268" i="12"/>
  <c r="I3268" i="12"/>
  <c r="H3268" i="12"/>
  <c r="G3268" i="12"/>
  <c r="F3268" i="12"/>
  <c r="J3267" i="12"/>
  <c r="I3267" i="12"/>
  <c r="H3267" i="12"/>
  <c r="G3267" i="12"/>
  <c r="F3267" i="12"/>
  <c r="J3266" i="12"/>
  <c r="I3266" i="12"/>
  <c r="H3266" i="12"/>
  <c r="G3266" i="12"/>
  <c r="F3266" i="12"/>
  <c r="J3265" i="12"/>
  <c r="I3265" i="12"/>
  <c r="H3265" i="12"/>
  <c r="G3265" i="12"/>
  <c r="F3265" i="12"/>
  <c r="J3264" i="12"/>
  <c r="I3264" i="12"/>
  <c r="H3264" i="12"/>
  <c r="G3264" i="12"/>
  <c r="F3264" i="12"/>
  <c r="J3263" i="12"/>
  <c r="I3263" i="12"/>
  <c r="H3263" i="12"/>
  <c r="G3263" i="12"/>
  <c r="F3263" i="12"/>
  <c r="J3262" i="12"/>
  <c r="I3262" i="12"/>
  <c r="H3262" i="12"/>
  <c r="G3262" i="12"/>
  <c r="F3262" i="12"/>
  <c r="J3261" i="12"/>
  <c r="I3261" i="12"/>
  <c r="H3261" i="12"/>
  <c r="G3261" i="12"/>
  <c r="F3261" i="12"/>
  <c r="J3260" i="12"/>
  <c r="I3260" i="12"/>
  <c r="H3260" i="12"/>
  <c r="G3260" i="12"/>
  <c r="F3260" i="12"/>
  <c r="J3259" i="12"/>
  <c r="I3259" i="12"/>
  <c r="H3259" i="12"/>
  <c r="G3259" i="12"/>
  <c r="F3259" i="12"/>
  <c r="J3258" i="12"/>
  <c r="I3258" i="12"/>
  <c r="H3258" i="12"/>
  <c r="G3258" i="12"/>
  <c r="F3258" i="12"/>
  <c r="J3257" i="12"/>
  <c r="I3257" i="12"/>
  <c r="H3257" i="12"/>
  <c r="G3257" i="12"/>
  <c r="F3257" i="12"/>
  <c r="J3256" i="12"/>
  <c r="I3256" i="12"/>
  <c r="H3256" i="12"/>
  <c r="G3256" i="12"/>
  <c r="F3256" i="12"/>
  <c r="J3255" i="12"/>
  <c r="I3255" i="12"/>
  <c r="H3255" i="12"/>
  <c r="G3255" i="12"/>
  <c r="F3255" i="12"/>
  <c r="J3254" i="12"/>
  <c r="I3254" i="12"/>
  <c r="H3254" i="12"/>
  <c r="G3254" i="12"/>
  <c r="F3254" i="12"/>
  <c r="J3253" i="12"/>
  <c r="I3253" i="12"/>
  <c r="H3253" i="12"/>
  <c r="G3253" i="12"/>
  <c r="F3253" i="12"/>
  <c r="J3252" i="12"/>
  <c r="I3252" i="12"/>
  <c r="H3252" i="12"/>
  <c r="G3252" i="12"/>
  <c r="F3252" i="12"/>
  <c r="J3251" i="12"/>
  <c r="I3251" i="12"/>
  <c r="H3251" i="12"/>
  <c r="G3251" i="12"/>
  <c r="F3251" i="12"/>
  <c r="J3250" i="12"/>
  <c r="I3250" i="12"/>
  <c r="H3250" i="12"/>
  <c r="G3250" i="12"/>
  <c r="F3250" i="12"/>
  <c r="J3249" i="12"/>
  <c r="I3249" i="12"/>
  <c r="H3249" i="12"/>
  <c r="G3249" i="12"/>
  <c r="F3249" i="12"/>
  <c r="J3248" i="12"/>
  <c r="I3248" i="12"/>
  <c r="H3248" i="12"/>
  <c r="G3248" i="12"/>
  <c r="F3248" i="12"/>
  <c r="J3247" i="12"/>
  <c r="I3247" i="12"/>
  <c r="H3247" i="12"/>
  <c r="G3247" i="12"/>
  <c r="F3247" i="12"/>
  <c r="J3246" i="12"/>
  <c r="I3246" i="12"/>
  <c r="H3246" i="12"/>
  <c r="G3246" i="12"/>
  <c r="F3246" i="12"/>
  <c r="J3245" i="12"/>
  <c r="I3245" i="12"/>
  <c r="H3245" i="12"/>
  <c r="G3245" i="12"/>
  <c r="F3245" i="12"/>
  <c r="J3244" i="12"/>
  <c r="I3244" i="12"/>
  <c r="H3244" i="12"/>
  <c r="G3244" i="12"/>
  <c r="F3244" i="12"/>
  <c r="J3243" i="12"/>
  <c r="I3243" i="12"/>
  <c r="H3243" i="12"/>
  <c r="G3243" i="12"/>
  <c r="F3243" i="12"/>
  <c r="J3242" i="12"/>
  <c r="I3242" i="12"/>
  <c r="H3242" i="12"/>
  <c r="G3242" i="12"/>
  <c r="F3242" i="12"/>
  <c r="J3241" i="12"/>
  <c r="I3241" i="12"/>
  <c r="H3241" i="12"/>
  <c r="G3241" i="12"/>
  <c r="F3241" i="12"/>
  <c r="J3240" i="12"/>
  <c r="I3240" i="12"/>
  <c r="H3240" i="12"/>
  <c r="G3240" i="12"/>
  <c r="F3240" i="12"/>
  <c r="J3239" i="12"/>
  <c r="I3239" i="12"/>
  <c r="H3239" i="12"/>
  <c r="G3239" i="12"/>
  <c r="F3239" i="12"/>
  <c r="J3238" i="12"/>
  <c r="I3238" i="12"/>
  <c r="H3238" i="12"/>
  <c r="G3238" i="12"/>
  <c r="F3238" i="12"/>
  <c r="J3237" i="12"/>
  <c r="I3237" i="12"/>
  <c r="H3237" i="12"/>
  <c r="G3237" i="12"/>
  <c r="F3237" i="12"/>
  <c r="J3236" i="12"/>
  <c r="I3236" i="12"/>
  <c r="H3236" i="12"/>
  <c r="G3236" i="12"/>
  <c r="F3236" i="12"/>
  <c r="J3235" i="12"/>
  <c r="I3235" i="12"/>
  <c r="H3235" i="12"/>
  <c r="G3235" i="12"/>
  <c r="F3235" i="12"/>
  <c r="J3234" i="12"/>
  <c r="I3234" i="12"/>
  <c r="H3234" i="12"/>
  <c r="G3234" i="12"/>
  <c r="F3234" i="12"/>
  <c r="J3233" i="12"/>
  <c r="I3233" i="12"/>
  <c r="H3233" i="12"/>
  <c r="G3233" i="12"/>
  <c r="F3233" i="12"/>
  <c r="J3232" i="12"/>
  <c r="I3232" i="12"/>
  <c r="H3232" i="12"/>
  <c r="G3232" i="12"/>
  <c r="F3232" i="12"/>
  <c r="J3231" i="12"/>
  <c r="I3231" i="12"/>
  <c r="H3231" i="12"/>
  <c r="G3231" i="12"/>
  <c r="F3231" i="12"/>
  <c r="J3230" i="12"/>
  <c r="I3230" i="12"/>
  <c r="H3230" i="12"/>
  <c r="G3230" i="12"/>
  <c r="F3230" i="12"/>
  <c r="J3229" i="12"/>
  <c r="I3229" i="12"/>
  <c r="H3229" i="12"/>
  <c r="G3229" i="12"/>
  <c r="F3229" i="12"/>
  <c r="J3228" i="12"/>
  <c r="I3228" i="12"/>
  <c r="H3228" i="12"/>
  <c r="G3228" i="12"/>
  <c r="F3228" i="12"/>
  <c r="J3227" i="12"/>
  <c r="I3227" i="12"/>
  <c r="H3227" i="12"/>
  <c r="G3227" i="12"/>
  <c r="F3227" i="12"/>
  <c r="J3226" i="12"/>
  <c r="I3226" i="12"/>
  <c r="H3226" i="12"/>
  <c r="G3226" i="12"/>
  <c r="F3226" i="12"/>
  <c r="J3225" i="12"/>
  <c r="I3225" i="12"/>
  <c r="H3225" i="12"/>
  <c r="G3225" i="12"/>
  <c r="F3225" i="12"/>
  <c r="J3224" i="12"/>
  <c r="I3224" i="12"/>
  <c r="H3224" i="12"/>
  <c r="G3224" i="12"/>
  <c r="F3224" i="12"/>
  <c r="J3223" i="12"/>
  <c r="I3223" i="12"/>
  <c r="H3223" i="12"/>
  <c r="G3223" i="12"/>
  <c r="F3223" i="12"/>
  <c r="J3222" i="12"/>
  <c r="I3222" i="12"/>
  <c r="H3222" i="12"/>
  <c r="G3222" i="12"/>
  <c r="F3222" i="12"/>
  <c r="J3221" i="12"/>
  <c r="I3221" i="12"/>
  <c r="H3221" i="12"/>
  <c r="G3221" i="12"/>
  <c r="F3221" i="12"/>
  <c r="J3220" i="12"/>
  <c r="I3220" i="12"/>
  <c r="H3220" i="12"/>
  <c r="G3220" i="12"/>
  <c r="F3220" i="12"/>
  <c r="J3219" i="12"/>
  <c r="I3219" i="12"/>
  <c r="H3219" i="12"/>
  <c r="G3219" i="12"/>
  <c r="F3219" i="12"/>
  <c r="J3218" i="12"/>
  <c r="I3218" i="12"/>
  <c r="H3218" i="12"/>
  <c r="G3218" i="12"/>
  <c r="F3218" i="12"/>
  <c r="J3217" i="12"/>
  <c r="I3217" i="12"/>
  <c r="H3217" i="12"/>
  <c r="G3217" i="12"/>
  <c r="F3217" i="12"/>
  <c r="J3216" i="12"/>
  <c r="I3216" i="12"/>
  <c r="H3216" i="12"/>
  <c r="G3216" i="12"/>
  <c r="F3216" i="12"/>
  <c r="J3215" i="12"/>
  <c r="I3215" i="12"/>
  <c r="H3215" i="12"/>
  <c r="G3215" i="12"/>
  <c r="F3215" i="12"/>
  <c r="J3214" i="12"/>
  <c r="I3214" i="12"/>
  <c r="H3214" i="12"/>
  <c r="G3214" i="12"/>
  <c r="F3214" i="12"/>
  <c r="J3213" i="12"/>
  <c r="I3213" i="12"/>
  <c r="H3213" i="12"/>
  <c r="G3213" i="12"/>
  <c r="F3213" i="12"/>
  <c r="J3212" i="12"/>
  <c r="I3212" i="12"/>
  <c r="H3212" i="12"/>
  <c r="G3212" i="12"/>
  <c r="F3212" i="12"/>
  <c r="J3211" i="12"/>
  <c r="I3211" i="12"/>
  <c r="H3211" i="12"/>
  <c r="G3211" i="12"/>
  <c r="F3211" i="12"/>
  <c r="J3210" i="12"/>
  <c r="I3210" i="12"/>
  <c r="H3210" i="12"/>
  <c r="G3210" i="12"/>
  <c r="F3210" i="12"/>
  <c r="J3209" i="12"/>
  <c r="I3209" i="12"/>
  <c r="H3209" i="12"/>
  <c r="G3209" i="12"/>
  <c r="F3209" i="12"/>
  <c r="J3208" i="12"/>
  <c r="I3208" i="12"/>
  <c r="H3208" i="12"/>
  <c r="G3208" i="12"/>
  <c r="F3208" i="12"/>
  <c r="J3207" i="12"/>
  <c r="I3207" i="12"/>
  <c r="H3207" i="12"/>
  <c r="G3207" i="12"/>
  <c r="F3207" i="12"/>
  <c r="J3206" i="12"/>
  <c r="I3206" i="12"/>
  <c r="H3206" i="12"/>
  <c r="G3206" i="12"/>
  <c r="F3206" i="12"/>
  <c r="J3205" i="12"/>
  <c r="I3205" i="12"/>
  <c r="H3205" i="12"/>
  <c r="G3205" i="12"/>
  <c r="F3205" i="12"/>
  <c r="J3204" i="12"/>
  <c r="I3204" i="12"/>
  <c r="H3204" i="12"/>
  <c r="G3204" i="12"/>
  <c r="F3204" i="12"/>
  <c r="J3203" i="12"/>
  <c r="I3203" i="12"/>
  <c r="H3203" i="12"/>
  <c r="G3203" i="12"/>
  <c r="F3203" i="12"/>
  <c r="J3202" i="12"/>
  <c r="I3202" i="12"/>
  <c r="H3202" i="12"/>
  <c r="G3202" i="12"/>
  <c r="F3202" i="12"/>
  <c r="J3201" i="12"/>
  <c r="I3201" i="12"/>
  <c r="H3201" i="12"/>
  <c r="G3201" i="12"/>
  <c r="F3201" i="12"/>
  <c r="J3200" i="12"/>
  <c r="I3200" i="12"/>
  <c r="H3200" i="12"/>
  <c r="G3200" i="12"/>
  <c r="F3200" i="12"/>
  <c r="J3199" i="12"/>
  <c r="I3199" i="12"/>
  <c r="H3199" i="12"/>
  <c r="G3199" i="12"/>
  <c r="F3199" i="12"/>
  <c r="J3198" i="12"/>
  <c r="I3198" i="12"/>
  <c r="H3198" i="12"/>
  <c r="G3198" i="12"/>
  <c r="F3198" i="12"/>
  <c r="J3197" i="12"/>
  <c r="I3197" i="12"/>
  <c r="H3197" i="12"/>
  <c r="G3197" i="12"/>
  <c r="F3197" i="12"/>
  <c r="J3196" i="12"/>
  <c r="I3196" i="12"/>
  <c r="H3196" i="12"/>
  <c r="G3196" i="12"/>
  <c r="F3196" i="12"/>
  <c r="J3195" i="12"/>
  <c r="I3195" i="12"/>
  <c r="H3195" i="12"/>
  <c r="G3195" i="12"/>
  <c r="F3195" i="12"/>
  <c r="J3194" i="12"/>
  <c r="I3194" i="12"/>
  <c r="H3194" i="12"/>
  <c r="G3194" i="12"/>
  <c r="F3194" i="12"/>
  <c r="J3193" i="12"/>
  <c r="I3193" i="12"/>
  <c r="H3193" i="12"/>
  <c r="G3193" i="12"/>
  <c r="F3193" i="12"/>
  <c r="J3192" i="12"/>
  <c r="I3192" i="12"/>
  <c r="H3192" i="12"/>
  <c r="G3192" i="12"/>
  <c r="F3192" i="12"/>
  <c r="J3191" i="12"/>
  <c r="I3191" i="12"/>
  <c r="H3191" i="12"/>
  <c r="G3191" i="12"/>
  <c r="F3191" i="12"/>
  <c r="J3190" i="12"/>
  <c r="I3190" i="12"/>
  <c r="H3190" i="12"/>
  <c r="G3190" i="12"/>
  <c r="F3190" i="12"/>
  <c r="J3189" i="12"/>
  <c r="I3189" i="12"/>
  <c r="H3189" i="12"/>
  <c r="G3189" i="12"/>
  <c r="F3189" i="12"/>
  <c r="J3188" i="12"/>
  <c r="I3188" i="12"/>
  <c r="H3188" i="12"/>
  <c r="G3188" i="12"/>
  <c r="F3188" i="12"/>
  <c r="J3187" i="12"/>
  <c r="I3187" i="12"/>
  <c r="H3187" i="12"/>
  <c r="G3187" i="12"/>
  <c r="F3187" i="12"/>
  <c r="J3186" i="12"/>
  <c r="I3186" i="12"/>
  <c r="H3186" i="12"/>
  <c r="G3186" i="12"/>
  <c r="F3186" i="12"/>
  <c r="J3185" i="12"/>
  <c r="I3185" i="12"/>
  <c r="H3185" i="12"/>
  <c r="G3185" i="12"/>
  <c r="F3185" i="12"/>
  <c r="J3184" i="12"/>
  <c r="I3184" i="12"/>
  <c r="H3184" i="12"/>
  <c r="G3184" i="12"/>
  <c r="F3184" i="12"/>
  <c r="J3183" i="12"/>
  <c r="I3183" i="12"/>
  <c r="H3183" i="12"/>
  <c r="G3183" i="12"/>
  <c r="F3183" i="12"/>
  <c r="J3182" i="12"/>
  <c r="I3182" i="12"/>
  <c r="H3182" i="12"/>
  <c r="G3182" i="12"/>
  <c r="F3182" i="12"/>
  <c r="J3181" i="12"/>
  <c r="I3181" i="12"/>
  <c r="H3181" i="12"/>
  <c r="G3181" i="12"/>
  <c r="F3181" i="12"/>
  <c r="J3180" i="12"/>
  <c r="I3180" i="12"/>
  <c r="H3180" i="12"/>
  <c r="G3180" i="12"/>
  <c r="F3180" i="12"/>
  <c r="J3179" i="12"/>
  <c r="I3179" i="12"/>
  <c r="H3179" i="12"/>
  <c r="G3179" i="12"/>
  <c r="F3179" i="12"/>
  <c r="J3178" i="12"/>
  <c r="I3178" i="12"/>
  <c r="H3178" i="12"/>
  <c r="G3178" i="12"/>
  <c r="F3178" i="12"/>
  <c r="J3177" i="12"/>
  <c r="I3177" i="12"/>
  <c r="H3177" i="12"/>
  <c r="G3177" i="12"/>
  <c r="F3177" i="12"/>
  <c r="J3176" i="12"/>
  <c r="I3176" i="12"/>
  <c r="H3176" i="12"/>
  <c r="G3176" i="12"/>
  <c r="F3176" i="12"/>
  <c r="J3175" i="12"/>
  <c r="I3175" i="12"/>
  <c r="H3175" i="12"/>
  <c r="G3175" i="12"/>
  <c r="F3175" i="12"/>
  <c r="J3174" i="12"/>
  <c r="I3174" i="12"/>
  <c r="H3174" i="12"/>
  <c r="G3174" i="12"/>
  <c r="F3174" i="12"/>
  <c r="J3173" i="12"/>
  <c r="I3173" i="12"/>
  <c r="H3173" i="12"/>
  <c r="G3173" i="12"/>
  <c r="F3173" i="12"/>
  <c r="J3172" i="12"/>
  <c r="I3172" i="12"/>
  <c r="H3172" i="12"/>
  <c r="G3172" i="12"/>
  <c r="F3172" i="12"/>
  <c r="J3171" i="12"/>
  <c r="I3171" i="12"/>
  <c r="H3171" i="12"/>
  <c r="G3171" i="12"/>
  <c r="F3171" i="12"/>
  <c r="J3170" i="12"/>
  <c r="I3170" i="12"/>
  <c r="H3170" i="12"/>
  <c r="G3170" i="12"/>
  <c r="F3170" i="12"/>
  <c r="J3169" i="12"/>
  <c r="I3169" i="12"/>
  <c r="H3169" i="12"/>
  <c r="G3169" i="12"/>
  <c r="F3169" i="12"/>
  <c r="J3168" i="12"/>
  <c r="I3168" i="12"/>
  <c r="H3168" i="12"/>
  <c r="G3168" i="12"/>
  <c r="F3168" i="12"/>
  <c r="J3167" i="12"/>
  <c r="I3167" i="12"/>
  <c r="H3167" i="12"/>
  <c r="G3167" i="12"/>
  <c r="F3167" i="12"/>
  <c r="J3166" i="12"/>
  <c r="I3166" i="12"/>
  <c r="H3166" i="12"/>
  <c r="G3166" i="12"/>
  <c r="F3166" i="12"/>
  <c r="J3165" i="12"/>
  <c r="I3165" i="12"/>
  <c r="H3165" i="12"/>
  <c r="G3165" i="12"/>
  <c r="F3165" i="12"/>
  <c r="J3164" i="12"/>
  <c r="I3164" i="12"/>
  <c r="H3164" i="12"/>
  <c r="G3164" i="12"/>
  <c r="F3164" i="12"/>
  <c r="J3163" i="12"/>
  <c r="I3163" i="12"/>
  <c r="H3163" i="12"/>
  <c r="G3163" i="12"/>
  <c r="F3163" i="12"/>
  <c r="J3162" i="12"/>
  <c r="I3162" i="12"/>
  <c r="H3162" i="12"/>
  <c r="G3162" i="12"/>
  <c r="F3162" i="12"/>
  <c r="J3161" i="12"/>
  <c r="I3161" i="12"/>
  <c r="H3161" i="12"/>
  <c r="G3161" i="12"/>
  <c r="F3161" i="12"/>
  <c r="J3160" i="12"/>
  <c r="I3160" i="12"/>
  <c r="H3160" i="12"/>
  <c r="G3160" i="12"/>
  <c r="F3160" i="12"/>
  <c r="J3159" i="12"/>
  <c r="I3159" i="12"/>
  <c r="H3159" i="12"/>
  <c r="G3159" i="12"/>
  <c r="F3159" i="12"/>
  <c r="J3158" i="12"/>
  <c r="I3158" i="12"/>
  <c r="H3158" i="12"/>
  <c r="G3158" i="12"/>
  <c r="F3158" i="12"/>
  <c r="J3157" i="12"/>
  <c r="I3157" i="12"/>
  <c r="H3157" i="12"/>
  <c r="G3157" i="12"/>
  <c r="F3157" i="12"/>
  <c r="J3156" i="12"/>
  <c r="I3156" i="12"/>
  <c r="H3156" i="12"/>
  <c r="G3156" i="12"/>
  <c r="F3156" i="12"/>
  <c r="J3155" i="12"/>
  <c r="I3155" i="12"/>
  <c r="H3155" i="12"/>
  <c r="G3155" i="12"/>
  <c r="F3155" i="12"/>
  <c r="J3154" i="12"/>
  <c r="I3154" i="12"/>
  <c r="H3154" i="12"/>
  <c r="G3154" i="12"/>
  <c r="F3154" i="12"/>
  <c r="J3153" i="12"/>
  <c r="I3153" i="12"/>
  <c r="H3153" i="12"/>
  <c r="G3153" i="12"/>
  <c r="F3153" i="12"/>
  <c r="J3152" i="12"/>
  <c r="I3152" i="12"/>
  <c r="H3152" i="12"/>
  <c r="G3152" i="12"/>
  <c r="F3152" i="12"/>
  <c r="J3151" i="12"/>
  <c r="I3151" i="12"/>
  <c r="H3151" i="12"/>
  <c r="G3151" i="12"/>
  <c r="F3151" i="12"/>
  <c r="J3150" i="12"/>
  <c r="I3150" i="12"/>
  <c r="H3150" i="12"/>
  <c r="G3150" i="12"/>
  <c r="F3150" i="12"/>
  <c r="J3149" i="12"/>
  <c r="I3149" i="12"/>
  <c r="H3149" i="12"/>
  <c r="G3149" i="12"/>
  <c r="F3149" i="12"/>
  <c r="J3148" i="12"/>
  <c r="I3148" i="12"/>
  <c r="H3148" i="12"/>
  <c r="G3148" i="12"/>
  <c r="F3148" i="12"/>
  <c r="J3147" i="12"/>
  <c r="I3147" i="12"/>
  <c r="H3147" i="12"/>
  <c r="G3147" i="12"/>
  <c r="F3147" i="12"/>
  <c r="J3146" i="12"/>
  <c r="I3146" i="12"/>
  <c r="H3146" i="12"/>
  <c r="G3146" i="12"/>
  <c r="F3146" i="12"/>
  <c r="J3145" i="12"/>
  <c r="I3145" i="12"/>
  <c r="H3145" i="12"/>
  <c r="G3145" i="12"/>
  <c r="F3145" i="12"/>
  <c r="J3144" i="12"/>
  <c r="I3144" i="12"/>
  <c r="H3144" i="12"/>
  <c r="G3144" i="12"/>
  <c r="F3144" i="12"/>
  <c r="J3143" i="12"/>
  <c r="I3143" i="12"/>
  <c r="H3143" i="12"/>
  <c r="G3143" i="12"/>
  <c r="F3143" i="12"/>
  <c r="J3142" i="12"/>
  <c r="I3142" i="12"/>
  <c r="H3142" i="12"/>
  <c r="G3142" i="12"/>
  <c r="F3142" i="12"/>
  <c r="J3141" i="12"/>
  <c r="I3141" i="12"/>
  <c r="H3141" i="12"/>
  <c r="G3141" i="12"/>
  <c r="F3141" i="12"/>
  <c r="J3140" i="12"/>
  <c r="I3140" i="12"/>
  <c r="H3140" i="12"/>
  <c r="G3140" i="12"/>
  <c r="F3140" i="12"/>
  <c r="J3139" i="12"/>
  <c r="I3139" i="12"/>
  <c r="H3139" i="12"/>
  <c r="G3139" i="12"/>
  <c r="F3139" i="12"/>
  <c r="J3138" i="12"/>
  <c r="I3138" i="12"/>
  <c r="H3138" i="12"/>
  <c r="G3138" i="12"/>
  <c r="F3138" i="12"/>
  <c r="J3137" i="12"/>
  <c r="I3137" i="12"/>
  <c r="H3137" i="12"/>
  <c r="G3137" i="12"/>
  <c r="F3137" i="12"/>
  <c r="J3136" i="12"/>
  <c r="I3136" i="12"/>
  <c r="H3136" i="12"/>
  <c r="G3136" i="12"/>
  <c r="F3136" i="12"/>
  <c r="J3135" i="12"/>
  <c r="I3135" i="12"/>
  <c r="H3135" i="12"/>
  <c r="G3135" i="12"/>
  <c r="F3135" i="12"/>
  <c r="J3134" i="12"/>
  <c r="I3134" i="12"/>
  <c r="H3134" i="12"/>
  <c r="G3134" i="12"/>
  <c r="F3134" i="12"/>
  <c r="J3133" i="12"/>
  <c r="I3133" i="12"/>
  <c r="H3133" i="12"/>
  <c r="G3133" i="12"/>
  <c r="F3133" i="12"/>
  <c r="J3132" i="12"/>
  <c r="I3132" i="12"/>
  <c r="H3132" i="12"/>
  <c r="G3132" i="12"/>
  <c r="F3132" i="12"/>
  <c r="J3131" i="12"/>
  <c r="I3131" i="12"/>
  <c r="H3131" i="12"/>
  <c r="G3131" i="12"/>
  <c r="F3131" i="12"/>
  <c r="J3130" i="12"/>
  <c r="I3130" i="12"/>
  <c r="H3130" i="12"/>
  <c r="G3130" i="12"/>
  <c r="F3130" i="12"/>
  <c r="J3129" i="12"/>
  <c r="I3129" i="12"/>
  <c r="H3129" i="12"/>
  <c r="G3129" i="12"/>
  <c r="F3129" i="12"/>
  <c r="J3128" i="12"/>
  <c r="I3128" i="12"/>
  <c r="H3128" i="12"/>
  <c r="G3128" i="12"/>
  <c r="F3128" i="12"/>
  <c r="J3127" i="12"/>
  <c r="I3127" i="12"/>
  <c r="H3127" i="12"/>
  <c r="G3127" i="12"/>
  <c r="F3127" i="12"/>
  <c r="J3126" i="12"/>
  <c r="I3126" i="12"/>
  <c r="H3126" i="12"/>
  <c r="G3126" i="12"/>
  <c r="F3126" i="12"/>
  <c r="J3125" i="12"/>
  <c r="I3125" i="12"/>
  <c r="H3125" i="12"/>
  <c r="G3125" i="12"/>
  <c r="F3125" i="12"/>
  <c r="J3124" i="12"/>
  <c r="I3124" i="12"/>
  <c r="H3124" i="12"/>
  <c r="G3124" i="12"/>
  <c r="F3124" i="12"/>
  <c r="J3123" i="12"/>
  <c r="I3123" i="12"/>
  <c r="H3123" i="12"/>
  <c r="G3123" i="12"/>
  <c r="F3123" i="12"/>
  <c r="J3122" i="12"/>
  <c r="I3122" i="12"/>
  <c r="H3122" i="12"/>
  <c r="G3122" i="12"/>
  <c r="F3122" i="12"/>
  <c r="J3121" i="12"/>
  <c r="I3121" i="12"/>
  <c r="H3121" i="12"/>
  <c r="G3121" i="12"/>
  <c r="F3121" i="12"/>
  <c r="J3120" i="12"/>
  <c r="I3120" i="12"/>
  <c r="H3120" i="12"/>
  <c r="G3120" i="12"/>
  <c r="F3120" i="12"/>
  <c r="J3119" i="12"/>
  <c r="I3119" i="12"/>
  <c r="H3119" i="12"/>
  <c r="G3119" i="12"/>
  <c r="F3119" i="12"/>
  <c r="J3118" i="12"/>
  <c r="I3118" i="12"/>
  <c r="H3118" i="12"/>
  <c r="G3118" i="12"/>
  <c r="F3118" i="12"/>
  <c r="J3117" i="12"/>
  <c r="I3117" i="12"/>
  <c r="H3117" i="12"/>
  <c r="G3117" i="12"/>
  <c r="F3117" i="12"/>
  <c r="J3116" i="12"/>
  <c r="I3116" i="12"/>
  <c r="H3116" i="12"/>
  <c r="G3116" i="12"/>
  <c r="F3116" i="12"/>
  <c r="J3115" i="12"/>
  <c r="I3115" i="12"/>
  <c r="H3115" i="12"/>
  <c r="G3115" i="12"/>
  <c r="F3115" i="12"/>
  <c r="J3114" i="12"/>
  <c r="I3114" i="12"/>
  <c r="H3114" i="12"/>
  <c r="G3114" i="12"/>
  <c r="F3114" i="12"/>
  <c r="J3113" i="12"/>
  <c r="I3113" i="12"/>
  <c r="H3113" i="12"/>
  <c r="G3113" i="12"/>
  <c r="F3113" i="12"/>
  <c r="J3112" i="12"/>
  <c r="I3112" i="12"/>
  <c r="H3112" i="12"/>
  <c r="G3112" i="12"/>
  <c r="F3112" i="12"/>
  <c r="J3111" i="12"/>
  <c r="I3111" i="12"/>
  <c r="H3111" i="12"/>
  <c r="G3111" i="12"/>
  <c r="F3111" i="12"/>
  <c r="J3110" i="12"/>
  <c r="I3110" i="12"/>
  <c r="H3110" i="12"/>
  <c r="G3110" i="12"/>
  <c r="F3110" i="12"/>
  <c r="J3109" i="12"/>
  <c r="I3109" i="12"/>
  <c r="H3109" i="12"/>
  <c r="G3109" i="12"/>
  <c r="F3109" i="12"/>
  <c r="J3108" i="12"/>
  <c r="I3108" i="12"/>
  <c r="H3108" i="12"/>
  <c r="G3108" i="12"/>
  <c r="F3108" i="12"/>
  <c r="J3107" i="12"/>
  <c r="I3107" i="12"/>
  <c r="H3107" i="12"/>
  <c r="G3107" i="12"/>
  <c r="F3107" i="12"/>
  <c r="J3106" i="12"/>
  <c r="I3106" i="12"/>
  <c r="H3106" i="12"/>
  <c r="G3106" i="12"/>
  <c r="F3106" i="12"/>
  <c r="J3105" i="12"/>
  <c r="I3105" i="12"/>
  <c r="H3105" i="12"/>
  <c r="G3105" i="12"/>
  <c r="F3105" i="12"/>
  <c r="J3104" i="12"/>
  <c r="I3104" i="12"/>
  <c r="H3104" i="12"/>
  <c r="G3104" i="12"/>
  <c r="F3104" i="12"/>
  <c r="J3103" i="12"/>
  <c r="I3103" i="12"/>
  <c r="H3103" i="12"/>
  <c r="G3103" i="12"/>
  <c r="F3103" i="12"/>
  <c r="J3102" i="12"/>
  <c r="I3102" i="12"/>
  <c r="H3102" i="12"/>
  <c r="G3102" i="12"/>
  <c r="F3102" i="12"/>
  <c r="J3101" i="12"/>
  <c r="I3101" i="12"/>
  <c r="H3101" i="12"/>
  <c r="G3101" i="12"/>
  <c r="F3101" i="12"/>
  <c r="J3100" i="12"/>
  <c r="I3100" i="12"/>
  <c r="H3100" i="12"/>
  <c r="G3100" i="12"/>
  <c r="F3100" i="12"/>
  <c r="J3099" i="12"/>
  <c r="I3099" i="12"/>
  <c r="H3099" i="12"/>
  <c r="G3099" i="12"/>
  <c r="F3099" i="12"/>
  <c r="J3098" i="12"/>
  <c r="I3098" i="12"/>
  <c r="H3098" i="12"/>
  <c r="G3098" i="12"/>
  <c r="F3098" i="12"/>
  <c r="J3097" i="12"/>
  <c r="I3097" i="12"/>
  <c r="H3097" i="12"/>
  <c r="G3097" i="12"/>
  <c r="F3097" i="12"/>
  <c r="J3096" i="12"/>
  <c r="I3096" i="12"/>
  <c r="H3096" i="12"/>
  <c r="G3096" i="12"/>
  <c r="F3096" i="12"/>
  <c r="J3095" i="12"/>
  <c r="I3095" i="12"/>
  <c r="H3095" i="12"/>
  <c r="G3095" i="12"/>
  <c r="F3095" i="12"/>
  <c r="J3094" i="12"/>
  <c r="I3094" i="12"/>
  <c r="H3094" i="12"/>
  <c r="G3094" i="12"/>
  <c r="F3094" i="12"/>
  <c r="J3093" i="12"/>
  <c r="I3093" i="12"/>
  <c r="H3093" i="12"/>
  <c r="G3093" i="12"/>
  <c r="F3093" i="12"/>
  <c r="J3092" i="12"/>
  <c r="I3092" i="12"/>
  <c r="H3092" i="12"/>
  <c r="G3092" i="12"/>
  <c r="F3092" i="12"/>
  <c r="J3091" i="12"/>
  <c r="I3091" i="12"/>
  <c r="H3091" i="12"/>
  <c r="G3091" i="12"/>
  <c r="F3091" i="12"/>
  <c r="J3090" i="12"/>
  <c r="I3090" i="12"/>
  <c r="H3090" i="12"/>
  <c r="G3090" i="12"/>
  <c r="F3090" i="12"/>
  <c r="J3089" i="12"/>
  <c r="I3089" i="12"/>
  <c r="H3089" i="12"/>
  <c r="G3089" i="12"/>
  <c r="F3089" i="12"/>
  <c r="J3088" i="12"/>
  <c r="I3088" i="12"/>
  <c r="H3088" i="12"/>
  <c r="G3088" i="12"/>
  <c r="F3088" i="12"/>
  <c r="J3087" i="12"/>
  <c r="I3087" i="12"/>
  <c r="H3087" i="12"/>
  <c r="G3087" i="12"/>
  <c r="F3087" i="12"/>
  <c r="J3086" i="12"/>
  <c r="I3086" i="12"/>
  <c r="H3086" i="12"/>
  <c r="G3086" i="12"/>
  <c r="F3086" i="12"/>
  <c r="J3085" i="12"/>
  <c r="I3085" i="12"/>
  <c r="H3085" i="12"/>
  <c r="G3085" i="12"/>
  <c r="F3085" i="12"/>
  <c r="J3084" i="12"/>
  <c r="I3084" i="12"/>
  <c r="H3084" i="12"/>
  <c r="G3084" i="12"/>
  <c r="F3084" i="12"/>
  <c r="J3083" i="12"/>
  <c r="I3083" i="12"/>
  <c r="H3083" i="12"/>
  <c r="G3083" i="12"/>
  <c r="F3083" i="12"/>
  <c r="J3082" i="12"/>
  <c r="I3082" i="12"/>
  <c r="H3082" i="12"/>
  <c r="G3082" i="12"/>
  <c r="F3082" i="12"/>
  <c r="J3081" i="12"/>
  <c r="I3081" i="12"/>
  <c r="H3081" i="12"/>
  <c r="G3081" i="12"/>
  <c r="F3081" i="12"/>
  <c r="J3080" i="12"/>
  <c r="I3080" i="12"/>
  <c r="H3080" i="12"/>
  <c r="G3080" i="12"/>
  <c r="F3080" i="12"/>
  <c r="J3079" i="12"/>
  <c r="I3079" i="12"/>
  <c r="H3079" i="12"/>
  <c r="G3079" i="12"/>
  <c r="F3079" i="12"/>
  <c r="J3078" i="12"/>
  <c r="I3078" i="12"/>
  <c r="H3078" i="12"/>
  <c r="G3078" i="12"/>
  <c r="F3078" i="12"/>
  <c r="J3077" i="12"/>
  <c r="I3077" i="12"/>
  <c r="H3077" i="12"/>
  <c r="G3077" i="12"/>
  <c r="F3077" i="12"/>
  <c r="J3076" i="12"/>
  <c r="I3076" i="12"/>
  <c r="H3076" i="12"/>
  <c r="G3076" i="12"/>
  <c r="F3076" i="12"/>
  <c r="J3075" i="12"/>
  <c r="I3075" i="12"/>
  <c r="H3075" i="12"/>
  <c r="G3075" i="12"/>
  <c r="F3075" i="12"/>
  <c r="J3074" i="12"/>
  <c r="I3074" i="12"/>
  <c r="H3074" i="12"/>
  <c r="G3074" i="12"/>
  <c r="F3074" i="12"/>
  <c r="J3073" i="12"/>
  <c r="I3073" i="12"/>
  <c r="H3073" i="12"/>
  <c r="G3073" i="12"/>
  <c r="F3073" i="12"/>
  <c r="J3072" i="12"/>
  <c r="I3072" i="12"/>
  <c r="H3072" i="12"/>
  <c r="G3072" i="12"/>
  <c r="F3072" i="12"/>
  <c r="J3071" i="12"/>
  <c r="I3071" i="12"/>
  <c r="H3071" i="12"/>
  <c r="G3071" i="12"/>
  <c r="F3071" i="12"/>
  <c r="J3070" i="12"/>
  <c r="I3070" i="12"/>
  <c r="H3070" i="12"/>
  <c r="G3070" i="12"/>
  <c r="F3070" i="12"/>
  <c r="J3069" i="12"/>
  <c r="I3069" i="12"/>
  <c r="H3069" i="12"/>
  <c r="G3069" i="12"/>
  <c r="F3069" i="12"/>
  <c r="J3068" i="12"/>
  <c r="I3068" i="12"/>
  <c r="H3068" i="12"/>
  <c r="G3068" i="12"/>
  <c r="F3068" i="12"/>
  <c r="J3067" i="12"/>
  <c r="I3067" i="12"/>
  <c r="H3067" i="12"/>
  <c r="G3067" i="12"/>
  <c r="F3067" i="12"/>
  <c r="J3066" i="12"/>
  <c r="I3066" i="12"/>
  <c r="H3066" i="12"/>
  <c r="G3066" i="12"/>
  <c r="F3066" i="12"/>
  <c r="J3065" i="12"/>
  <c r="I3065" i="12"/>
  <c r="H3065" i="12"/>
  <c r="G3065" i="12"/>
  <c r="F3065" i="12"/>
  <c r="J3064" i="12"/>
  <c r="I3064" i="12"/>
  <c r="H3064" i="12"/>
  <c r="G3064" i="12"/>
  <c r="F3064" i="12"/>
  <c r="J3063" i="12"/>
  <c r="I3063" i="12"/>
  <c r="H3063" i="12"/>
  <c r="G3063" i="12"/>
  <c r="F3063" i="12"/>
  <c r="J3062" i="12"/>
  <c r="I3062" i="12"/>
  <c r="H3062" i="12"/>
  <c r="G3062" i="12"/>
  <c r="F3062" i="12"/>
  <c r="J3061" i="12"/>
  <c r="I3061" i="12"/>
  <c r="H3061" i="12"/>
  <c r="G3061" i="12"/>
  <c r="F3061" i="12"/>
  <c r="J3060" i="12"/>
  <c r="I3060" i="12"/>
  <c r="H3060" i="12"/>
  <c r="G3060" i="12"/>
  <c r="F3060" i="12"/>
  <c r="J3059" i="12"/>
  <c r="I3059" i="12"/>
  <c r="H3059" i="12"/>
  <c r="G3059" i="12"/>
  <c r="F3059" i="12"/>
  <c r="J3058" i="12"/>
  <c r="I3058" i="12"/>
  <c r="H3058" i="12"/>
  <c r="G3058" i="12"/>
  <c r="F3058" i="12"/>
  <c r="J3057" i="12"/>
  <c r="I3057" i="12"/>
  <c r="H3057" i="12"/>
  <c r="G3057" i="12"/>
  <c r="F3057" i="12"/>
  <c r="J3056" i="12"/>
  <c r="I3056" i="12"/>
  <c r="H3056" i="12"/>
  <c r="G3056" i="12"/>
  <c r="F3056" i="12"/>
  <c r="J3055" i="12"/>
  <c r="I3055" i="12"/>
  <c r="H3055" i="12"/>
  <c r="G3055" i="12"/>
  <c r="F3055" i="12"/>
  <c r="J3054" i="12"/>
  <c r="I3054" i="12"/>
  <c r="H3054" i="12"/>
  <c r="G3054" i="12"/>
  <c r="F3054" i="12"/>
  <c r="J3053" i="12"/>
  <c r="I3053" i="12"/>
  <c r="H3053" i="12"/>
  <c r="G3053" i="12"/>
  <c r="F3053" i="12"/>
  <c r="J3052" i="12"/>
  <c r="I3052" i="12"/>
  <c r="H3052" i="12"/>
  <c r="G3052" i="12"/>
  <c r="F3052" i="12"/>
  <c r="J3051" i="12"/>
  <c r="I3051" i="12"/>
  <c r="H3051" i="12"/>
  <c r="G3051" i="12"/>
  <c r="F3051" i="12"/>
  <c r="J3050" i="12"/>
  <c r="I3050" i="12"/>
  <c r="H3050" i="12"/>
  <c r="G3050" i="12"/>
  <c r="F3050" i="12"/>
  <c r="J3049" i="12"/>
  <c r="I3049" i="12"/>
  <c r="H3049" i="12"/>
  <c r="G3049" i="12"/>
  <c r="F3049" i="12"/>
  <c r="J3048" i="12"/>
  <c r="I3048" i="12"/>
  <c r="H3048" i="12"/>
  <c r="G3048" i="12"/>
  <c r="F3048" i="12"/>
  <c r="J3047" i="12"/>
  <c r="I3047" i="12"/>
  <c r="H3047" i="12"/>
  <c r="G3047" i="12"/>
  <c r="F3047" i="12"/>
  <c r="J3046" i="12"/>
  <c r="I3046" i="12"/>
  <c r="H3046" i="12"/>
  <c r="G3046" i="12"/>
  <c r="F3046" i="12"/>
  <c r="J3045" i="12"/>
  <c r="I3045" i="12"/>
  <c r="H3045" i="12"/>
  <c r="G3045" i="12"/>
  <c r="F3045" i="12"/>
  <c r="J3044" i="12"/>
  <c r="I3044" i="12"/>
  <c r="H3044" i="12"/>
  <c r="G3044" i="12"/>
  <c r="F3044" i="12"/>
  <c r="J3043" i="12"/>
  <c r="I3043" i="12"/>
  <c r="H3043" i="12"/>
  <c r="G3043" i="12"/>
  <c r="F3043" i="12"/>
  <c r="J3042" i="12"/>
  <c r="I3042" i="12"/>
  <c r="H3042" i="12"/>
  <c r="G3042" i="12"/>
  <c r="F3042" i="12"/>
  <c r="J3041" i="12"/>
  <c r="I3041" i="12"/>
  <c r="H3041" i="12"/>
  <c r="G3041" i="12"/>
  <c r="F3041" i="12"/>
  <c r="J3040" i="12"/>
  <c r="I3040" i="12"/>
  <c r="H3040" i="12"/>
  <c r="G3040" i="12"/>
  <c r="F3040" i="12"/>
  <c r="J3039" i="12"/>
  <c r="I3039" i="12"/>
  <c r="H3039" i="12"/>
  <c r="G3039" i="12"/>
  <c r="F3039" i="12"/>
  <c r="J3038" i="12"/>
  <c r="I3038" i="12"/>
  <c r="H3038" i="12"/>
  <c r="G3038" i="12"/>
  <c r="F3038" i="12"/>
  <c r="J3037" i="12"/>
  <c r="I3037" i="12"/>
  <c r="H3037" i="12"/>
  <c r="G3037" i="12"/>
  <c r="F3037" i="12"/>
  <c r="J3036" i="12"/>
  <c r="I3036" i="12"/>
  <c r="H3036" i="12"/>
  <c r="G3036" i="12"/>
  <c r="F3036" i="12"/>
  <c r="J3035" i="12"/>
  <c r="I3035" i="12"/>
  <c r="H3035" i="12"/>
  <c r="G3035" i="12"/>
  <c r="F3035" i="12"/>
  <c r="J3034" i="12"/>
  <c r="I3034" i="12"/>
  <c r="H3034" i="12"/>
  <c r="G3034" i="12"/>
  <c r="F3034" i="12"/>
  <c r="J3033" i="12"/>
  <c r="I3033" i="12"/>
  <c r="H3033" i="12"/>
  <c r="G3033" i="12"/>
  <c r="F3033" i="12"/>
  <c r="J3032" i="12"/>
  <c r="I3032" i="12"/>
  <c r="H3032" i="12"/>
  <c r="G3032" i="12"/>
  <c r="F3032" i="12"/>
  <c r="J3031" i="12"/>
  <c r="I3031" i="12"/>
  <c r="H3031" i="12"/>
  <c r="G3031" i="12"/>
  <c r="F3031" i="12"/>
  <c r="J3030" i="12"/>
  <c r="I3030" i="12"/>
  <c r="H3030" i="12"/>
  <c r="G3030" i="12"/>
  <c r="F3030" i="12"/>
  <c r="J3029" i="12"/>
  <c r="I3029" i="12"/>
  <c r="H3029" i="12"/>
  <c r="G3029" i="12"/>
  <c r="F3029" i="12"/>
  <c r="J3028" i="12"/>
  <c r="I3028" i="12"/>
  <c r="H3028" i="12"/>
  <c r="G3028" i="12"/>
  <c r="F3028" i="12"/>
  <c r="J3027" i="12"/>
  <c r="I3027" i="12"/>
  <c r="H3027" i="12"/>
  <c r="G3027" i="12"/>
  <c r="F3027" i="12"/>
  <c r="J3026" i="12"/>
  <c r="I3026" i="12"/>
  <c r="H3026" i="12"/>
  <c r="G3026" i="12"/>
  <c r="F3026" i="12"/>
  <c r="J3025" i="12"/>
  <c r="I3025" i="12"/>
  <c r="H3025" i="12"/>
  <c r="G3025" i="12"/>
  <c r="F3025" i="12"/>
  <c r="J3024" i="12"/>
  <c r="I3024" i="12"/>
  <c r="H3024" i="12"/>
  <c r="G3024" i="12"/>
  <c r="F3024" i="12"/>
  <c r="J3023" i="12"/>
  <c r="I3023" i="12"/>
  <c r="H3023" i="12"/>
  <c r="G3023" i="12"/>
  <c r="F3023" i="12"/>
  <c r="J3022" i="12"/>
  <c r="I3022" i="12"/>
  <c r="H3022" i="12"/>
  <c r="G3022" i="12"/>
  <c r="F3022" i="12"/>
  <c r="J3021" i="12"/>
  <c r="I3021" i="12"/>
  <c r="H3021" i="12"/>
  <c r="G3021" i="12"/>
  <c r="F3021" i="12"/>
  <c r="J3020" i="12"/>
  <c r="I3020" i="12"/>
  <c r="H3020" i="12"/>
  <c r="G3020" i="12"/>
  <c r="F3020" i="12"/>
  <c r="J3019" i="12"/>
  <c r="I3019" i="12"/>
  <c r="H3019" i="12"/>
  <c r="G3019" i="12"/>
  <c r="F3019" i="12"/>
  <c r="J3018" i="12"/>
  <c r="I3018" i="12"/>
  <c r="H3018" i="12"/>
  <c r="G3018" i="12"/>
  <c r="F3018" i="12"/>
  <c r="J3017" i="12"/>
  <c r="I3017" i="12"/>
  <c r="H3017" i="12"/>
  <c r="G3017" i="12"/>
  <c r="F3017" i="12"/>
  <c r="J3016" i="12"/>
  <c r="I3016" i="12"/>
  <c r="H3016" i="12"/>
  <c r="G3016" i="12"/>
  <c r="F3016" i="12"/>
  <c r="J3015" i="12"/>
  <c r="I3015" i="12"/>
  <c r="H3015" i="12"/>
  <c r="G3015" i="12"/>
  <c r="F3015" i="12"/>
  <c r="J3014" i="12"/>
  <c r="I3014" i="12"/>
  <c r="H3014" i="12"/>
  <c r="G3014" i="12"/>
  <c r="F3014" i="12"/>
  <c r="J3013" i="12"/>
  <c r="I3013" i="12"/>
  <c r="H3013" i="12"/>
  <c r="G3013" i="12"/>
  <c r="F3013" i="12"/>
  <c r="J3012" i="12"/>
  <c r="I3012" i="12"/>
  <c r="H3012" i="12"/>
  <c r="G3012" i="12"/>
  <c r="F3012" i="12"/>
  <c r="J3011" i="12"/>
  <c r="I3011" i="12"/>
  <c r="H3011" i="12"/>
  <c r="G3011" i="12"/>
  <c r="F3011" i="12"/>
  <c r="J3010" i="12"/>
  <c r="I3010" i="12"/>
  <c r="H3010" i="12"/>
  <c r="G3010" i="12"/>
  <c r="F3010" i="12"/>
  <c r="J3009" i="12"/>
  <c r="I3009" i="12"/>
  <c r="H3009" i="12"/>
  <c r="G3009" i="12"/>
  <c r="F3009" i="12"/>
  <c r="J3008" i="12"/>
  <c r="I3008" i="12"/>
  <c r="H3008" i="12"/>
  <c r="G3008" i="12"/>
  <c r="F3008" i="12"/>
  <c r="J3007" i="12"/>
  <c r="I3007" i="12"/>
  <c r="H3007" i="12"/>
  <c r="G3007" i="12"/>
  <c r="F3007" i="12"/>
  <c r="J3006" i="12"/>
  <c r="I3006" i="12"/>
  <c r="H3006" i="12"/>
  <c r="G3006" i="12"/>
  <c r="F3006" i="12"/>
  <c r="J3005" i="12"/>
  <c r="I3005" i="12"/>
  <c r="H3005" i="12"/>
  <c r="G3005" i="12"/>
  <c r="F3005" i="12"/>
  <c r="J3004" i="12"/>
  <c r="I3004" i="12"/>
  <c r="H3004" i="12"/>
  <c r="G3004" i="12"/>
  <c r="F3004" i="12"/>
  <c r="J3003" i="12"/>
  <c r="I3003" i="12"/>
  <c r="H3003" i="12"/>
  <c r="G3003" i="12"/>
  <c r="F3003" i="12"/>
  <c r="J3002" i="12"/>
  <c r="I3002" i="12"/>
  <c r="H3002" i="12"/>
  <c r="G3002" i="12"/>
  <c r="F3002" i="12"/>
  <c r="J3001" i="12"/>
  <c r="I3001" i="12"/>
  <c r="H3001" i="12"/>
  <c r="G3001" i="12"/>
  <c r="F3001" i="12"/>
  <c r="J3000" i="12"/>
  <c r="I3000" i="12"/>
  <c r="H3000" i="12"/>
  <c r="G3000" i="12"/>
  <c r="F3000" i="12"/>
  <c r="J2999" i="12"/>
  <c r="I2999" i="12"/>
  <c r="H2999" i="12"/>
  <c r="G2999" i="12"/>
  <c r="F2999" i="12"/>
  <c r="J2998" i="12"/>
  <c r="I2998" i="12"/>
  <c r="H2998" i="12"/>
  <c r="G2998" i="12"/>
  <c r="F2998" i="12"/>
  <c r="J2997" i="12"/>
  <c r="I2997" i="12"/>
  <c r="H2997" i="12"/>
  <c r="G2997" i="12"/>
  <c r="F2997" i="12"/>
  <c r="J2996" i="12"/>
  <c r="I2996" i="12"/>
  <c r="H2996" i="12"/>
  <c r="G2996" i="12"/>
  <c r="F2996" i="12"/>
  <c r="J2995" i="12"/>
  <c r="I2995" i="12"/>
  <c r="H2995" i="12"/>
  <c r="G2995" i="12"/>
  <c r="F2995" i="12"/>
  <c r="J2994" i="12"/>
  <c r="I2994" i="12"/>
  <c r="H2994" i="12"/>
  <c r="G2994" i="12"/>
  <c r="F2994" i="12"/>
  <c r="J2993" i="12"/>
  <c r="I2993" i="12"/>
  <c r="H2993" i="12"/>
  <c r="G2993" i="12"/>
  <c r="F2993" i="12"/>
  <c r="J2992" i="12"/>
  <c r="I2992" i="12"/>
  <c r="H2992" i="12"/>
  <c r="G2992" i="12"/>
  <c r="F2992" i="12"/>
  <c r="J2991" i="12"/>
  <c r="I2991" i="12"/>
  <c r="H2991" i="12"/>
  <c r="G2991" i="12"/>
  <c r="F2991" i="12"/>
  <c r="J2990" i="12"/>
  <c r="I2990" i="12"/>
  <c r="H2990" i="12"/>
  <c r="G2990" i="12"/>
  <c r="F2990" i="12"/>
  <c r="J2989" i="12"/>
  <c r="I2989" i="12"/>
  <c r="H2989" i="12"/>
  <c r="G2989" i="12"/>
  <c r="F2989" i="12"/>
  <c r="J2988" i="12"/>
  <c r="I2988" i="12"/>
  <c r="H2988" i="12"/>
  <c r="G2988" i="12"/>
  <c r="F2988" i="12"/>
  <c r="J2987" i="12"/>
  <c r="I2987" i="12"/>
  <c r="H2987" i="12"/>
  <c r="G2987" i="12"/>
  <c r="F2987" i="12"/>
  <c r="J2986" i="12"/>
  <c r="I2986" i="12"/>
  <c r="H2986" i="12"/>
  <c r="G2986" i="12"/>
  <c r="F2986" i="12"/>
  <c r="J2985" i="12"/>
  <c r="I2985" i="12"/>
  <c r="H2985" i="12"/>
  <c r="G2985" i="12"/>
  <c r="F2985" i="12"/>
  <c r="J2984" i="12"/>
  <c r="I2984" i="12"/>
  <c r="H2984" i="12"/>
  <c r="G2984" i="12"/>
  <c r="F2984" i="12"/>
  <c r="J2983" i="12"/>
  <c r="I2983" i="12"/>
  <c r="H2983" i="12"/>
  <c r="G2983" i="12"/>
  <c r="F2983" i="12"/>
  <c r="J2982" i="12"/>
  <c r="I2982" i="12"/>
  <c r="H2982" i="12"/>
  <c r="G2982" i="12"/>
  <c r="F2982" i="12"/>
  <c r="J2981" i="12"/>
  <c r="I2981" i="12"/>
  <c r="H2981" i="12"/>
  <c r="G2981" i="12"/>
  <c r="F2981" i="12"/>
  <c r="J2980" i="12"/>
  <c r="I2980" i="12"/>
  <c r="H2980" i="12"/>
  <c r="G2980" i="12"/>
  <c r="F2980" i="12"/>
  <c r="J2979" i="12"/>
  <c r="I2979" i="12"/>
  <c r="H2979" i="12"/>
  <c r="G2979" i="12"/>
  <c r="F2979" i="12"/>
  <c r="J2978" i="12"/>
  <c r="I2978" i="12"/>
  <c r="H2978" i="12"/>
  <c r="G2978" i="12"/>
  <c r="F2978" i="12"/>
  <c r="J2977" i="12"/>
  <c r="I2977" i="12"/>
  <c r="H2977" i="12"/>
  <c r="G2977" i="12"/>
  <c r="F2977" i="12"/>
  <c r="J2976" i="12"/>
  <c r="I2976" i="12"/>
  <c r="H2976" i="12"/>
  <c r="G2976" i="12"/>
  <c r="F2976" i="12"/>
  <c r="J2975" i="12"/>
  <c r="I2975" i="12"/>
  <c r="H2975" i="12"/>
  <c r="G2975" i="12"/>
  <c r="F2975" i="12"/>
  <c r="J2974" i="12"/>
  <c r="I2974" i="12"/>
  <c r="H2974" i="12"/>
  <c r="G2974" i="12"/>
  <c r="F2974" i="12"/>
  <c r="J2973" i="12"/>
  <c r="I2973" i="12"/>
  <c r="H2973" i="12"/>
  <c r="G2973" i="12"/>
  <c r="F2973" i="12"/>
  <c r="J2972" i="12"/>
  <c r="I2972" i="12"/>
  <c r="H2972" i="12"/>
  <c r="G2972" i="12"/>
  <c r="F2972" i="12"/>
  <c r="J2971" i="12"/>
  <c r="I2971" i="12"/>
  <c r="H2971" i="12"/>
  <c r="G2971" i="12"/>
  <c r="F2971" i="12"/>
  <c r="J2970" i="12"/>
  <c r="I2970" i="12"/>
  <c r="H2970" i="12"/>
  <c r="G2970" i="12"/>
  <c r="F2970" i="12"/>
  <c r="J2969" i="12"/>
  <c r="I2969" i="12"/>
  <c r="H2969" i="12"/>
  <c r="G2969" i="12"/>
  <c r="F2969" i="12"/>
  <c r="J2968" i="12"/>
  <c r="I2968" i="12"/>
  <c r="H2968" i="12"/>
  <c r="G2968" i="12"/>
  <c r="F2968" i="12"/>
  <c r="J2967" i="12"/>
  <c r="I2967" i="12"/>
  <c r="H2967" i="12"/>
  <c r="G2967" i="12"/>
  <c r="F2967" i="12"/>
  <c r="J2966" i="12"/>
  <c r="I2966" i="12"/>
  <c r="H2966" i="12"/>
  <c r="G2966" i="12"/>
  <c r="F2966" i="12"/>
  <c r="J2965" i="12"/>
  <c r="I2965" i="12"/>
  <c r="H2965" i="12"/>
  <c r="G2965" i="12"/>
  <c r="F2965" i="12"/>
  <c r="J2964" i="12"/>
  <c r="I2964" i="12"/>
  <c r="H2964" i="12"/>
  <c r="G2964" i="12"/>
  <c r="F2964" i="12"/>
  <c r="J2963" i="12"/>
  <c r="I2963" i="12"/>
  <c r="H2963" i="12"/>
  <c r="G2963" i="12"/>
  <c r="F2963" i="12"/>
  <c r="J2962" i="12"/>
  <c r="I2962" i="12"/>
  <c r="H2962" i="12"/>
  <c r="G2962" i="12"/>
  <c r="F2962" i="12"/>
  <c r="J2961" i="12"/>
  <c r="I2961" i="12"/>
  <c r="H2961" i="12"/>
  <c r="G2961" i="12"/>
  <c r="F2961" i="12"/>
  <c r="J2960" i="12"/>
  <c r="I2960" i="12"/>
  <c r="H2960" i="12"/>
  <c r="G2960" i="12"/>
  <c r="F2960" i="12"/>
  <c r="J2959" i="12"/>
  <c r="I2959" i="12"/>
  <c r="H2959" i="12"/>
  <c r="G2959" i="12"/>
  <c r="F2959" i="12"/>
  <c r="J2958" i="12"/>
  <c r="I2958" i="12"/>
  <c r="H2958" i="12"/>
  <c r="G2958" i="12"/>
  <c r="F2958" i="12"/>
  <c r="J2957" i="12"/>
  <c r="I2957" i="12"/>
  <c r="H2957" i="12"/>
  <c r="G2957" i="12"/>
  <c r="F2957" i="12"/>
  <c r="J2956" i="12"/>
  <c r="I2956" i="12"/>
  <c r="H2956" i="12"/>
  <c r="G2956" i="12"/>
  <c r="F2956" i="12"/>
  <c r="J2955" i="12"/>
  <c r="I2955" i="12"/>
  <c r="H2955" i="12"/>
  <c r="G2955" i="12"/>
  <c r="F2955" i="12"/>
  <c r="J2954" i="12"/>
  <c r="I2954" i="12"/>
  <c r="H2954" i="12"/>
  <c r="G2954" i="12"/>
  <c r="F2954" i="12"/>
  <c r="J2953" i="12"/>
  <c r="I2953" i="12"/>
  <c r="H2953" i="12"/>
  <c r="G2953" i="12"/>
  <c r="F2953" i="12"/>
  <c r="J2952" i="12"/>
  <c r="I2952" i="12"/>
  <c r="H2952" i="12"/>
  <c r="G2952" i="12"/>
  <c r="F2952" i="12"/>
  <c r="J2951" i="12"/>
  <c r="I2951" i="12"/>
  <c r="H2951" i="12"/>
  <c r="G2951" i="12"/>
  <c r="F2951" i="12"/>
  <c r="J2950" i="12"/>
  <c r="I2950" i="12"/>
  <c r="H2950" i="12"/>
  <c r="G2950" i="12"/>
  <c r="F2950" i="12"/>
  <c r="J2949" i="12"/>
  <c r="I2949" i="12"/>
  <c r="H2949" i="12"/>
  <c r="G2949" i="12"/>
  <c r="F2949" i="12"/>
  <c r="J2948" i="12"/>
  <c r="I2948" i="12"/>
  <c r="H2948" i="12"/>
  <c r="G2948" i="12"/>
  <c r="F2948" i="12"/>
  <c r="J2947" i="12"/>
  <c r="I2947" i="12"/>
  <c r="H2947" i="12"/>
  <c r="G2947" i="12"/>
  <c r="F2947" i="12"/>
  <c r="J2946" i="12"/>
  <c r="I2946" i="12"/>
  <c r="H2946" i="12"/>
  <c r="G2946" i="12"/>
  <c r="F2946" i="12"/>
  <c r="J2945" i="12"/>
  <c r="I2945" i="12"/>
  <c r="H2945" i="12"/>
  <c r="G2945" i="12"/>
  <c r="F2945" i="12"/>
  <c r="J2944" i="12"/>
  <c r="I2944" i="12"/>
  <c r="H2944" i="12"/>
  <c r="G2944" i="12"/>
  <c r="F2944" i="12"/>
  <c r="J2943" i="12"/>
  <c r="I2943" i="12"/>
  <c r="H2943" i="12"/>
  <c r="G2943" i="12"/>
  <c r="F2943" i="12"/>
  <c r="J2942" i="12"/>
  <c r="I2942" i="12"/>
  <c r="H2942" i="12"/>
  <c r="G2942" i="12"/>
  <c r="F2942" i="12"/>
  <c r="J2941" i="12"/>
  <c r="I2941" i="12"/>
  <c r="H2941" i="12"/>
  <c r="G2941" i="12"/>
  <c r="F2941" i="12"/>
  <c r="J2940" i="12"/>
  <c r="I2940" i="12"/>
  <c r="H2940" i="12"/>
  <c r="G2940" i="12"/>
  <c r="F2940" i="12"/>
  <c r="J2939" i="12"/>
  <c r="I2939" i="12"/>
  <c r="H2939" i="12"/>
  <c r="G2939" i="12"/>
  <c r="F2939" i="12"/>
  <c r="J2938" i="12"/>
  <c r="I2938" i="12"/>
  <c r="H2938" i="12"/>
  <c r="G2938" i="12"/>
  <c r="F2938" i="12"/>
  <c r="J2937" i="12"/>
  <c r="I2937" i="12"/>
  <c r="H2937" i="12"/>
  <c r="G2937" i="12"/>
  <c r="F2937" i="12"/>
  <c r="J2936" i="12"/>
  <c r="I2936" i="12"/>
  <c r="H2936" i="12"/>
  <c r="G2936" i="12"/>
  <c r="F2936" i="12"/>
  <c r="J2935" i="12"/>
  <c r="I2935" i="12"/>
  <c r="H2935" i="12"/>
  <c r="G2935" i="12"/>
  <c r="F2935" i="12"/>
  <c r="J2934" i="12"/>
  <c r="I2934" i="12"/>
  <c r="H2934" i="12"/>
  <c r="G2934" i="12"/>
  <c r="F2934" i="12"/>
  <c r="J2933" i="12"/>
  <c r="I2933" i="12"/>
  <c r="H2933" i="12"/>
  <c r="G2933" i="12"/>
  <c r="F2933" i="12"/>
  <c r="J2932" i="12"/>
  <c r="I2932" i="12"/>
  <c r="H2932" i="12"/>
  <c r="G2932" i="12"/>
  <c r="F2932" i="12"/>
  <c r="J2931" i="12"/>
  <c r="I2931" i="12"/>
  <c r="H2931" i="12"/>
  <c r="G2931" i="12"/>
  <c r="F2931" i="12"/>
  <c r="J2930" i="12"/>
  <c r="I2930" i="12"/>
  <c r="H2930" i="12"/>
  <c r="G2930" i="12"/>
  <c r="F2930" i="12"/>
  <c r="J2929" i="12"/>
  <c r="I2929" i="12"/>
  <c r="H2929" i="12"/>
  <c r="G2929" i="12"/>
  <c r="F2929" i="12"/>
  <c r="J2928" i="12"/>
  <c r="I2928" i="12"/>
  <c r="H2928" i="12"/>
  <c r="G2928" i="12"/>
  <c r="F2928" i="12"/>
  <c r="J2927" i="12"/>
  <c r="I2927" i="12"/>
  <c r="H2927" i="12"/>
  <c r="G2927" i="12"/>
  <c r="F2927" i="12"/>
  <c r="J2926" i="12"/>
  <c r="I2926" i="12"/>
  <c r="H2926" i="12"/>
  <c r="G2926" i="12"/>
  <c r="F2926" i="12"/>
  <c r="J2925" i="12"/>
  <c r="I2925" i="12"/>
  <c r="H2925" i="12"/>
  <c r="G2925" i="12"/>
  <c r="F2925" i="12"/>
  <c r="J2924" i="12"/>
  <c r="I2924" i="12"/>
  <c r="H2924" i="12"/>
  <c r="G2924" i="12"/>
  <c r="F2924" i="12"/>
  <c r="J2923" i="12"/>
  <c r="I2923" i="12"/>
  <c r="H2923" i="12"/>
  <c r="G2923" i="12"/>
  <c r="F2923" i="12"/>
  <c r="J2922" i="12"/>
  <c r="I2922" i="12"/>
  <c r="H2922" i="12"/>
  <c r="G2922" i="12"/>
  <c r="F2922" i="12"/>
  <c r="J2921" i="12"/>
  <c r="I2921" i="12"/>
  <c r="H2921" i="12"/>
  <c r="G2921" i="12"/>
  <c r="F2921" i="12"/>
  <c r="J2920" i="12"/>
  <c r="I2920" i="12"/>
  <c r="H2920" i="12"/>
  <c r="G2920" i="12"/>
  <c r="F2920" i="12"/>
  <c r="J2919" i="12"/>
  <c r="I2919" i="12"/>
  <c r="H2919" i="12"/>
  <c r="G2919" i="12"/>
  <c r="F2919" i="12"/>
  <c r="J2918" i="12"/>
  <c r="I2918" i="12"/>
  <c r="H2918" i="12"/>
  <c r="G2918" i="12"/>
  <c r="F2918" i="12"/>
  <c r="J2917" i="12"/>
  <c r="I2917" i="12"/>
  <c r="H2917" i="12"/>
  <c r="G2917" i="12"/>
  <c r="F2917" i="12"/>
  <c r="J2916" i="12"/>
  <c r="I2916" i="12"/>
  <c r="H2916" i="12"/>
  <c r="G2916" i="12"/>
  <c r="F2916" i="12"/>
  <c r="J2915" i="12"/>
  <c r="I2915" i="12"/>
  <c r="H2915" i="12"/>
  <c r="G2915" i="12"/>
  <c r="F2915" i="12"/>
  <c r="J2914" i="12"/>
  <c r="I2914" i="12"/>
  <c r="H2914" i="12"/>
  <c r="G2914" i="12"/>
  <c r="F2914" i="12"/>
  <c r="J2913" i="12"/>
  <c r="I2913" i="12"/>
  <c r="H2913" i="12"/>
  <c r="G2913" i="12"/>
  <c r="F2913" i="12"/>
  <c r="J2912" i="12"/>
  <c r="I2912" i="12"/>
  <c r="H2912" i="12"/>
  <c r="G2912" i="12"/>
  <c r="F2912" i="12"/>
  <c r="J2911" i="12"/>
  <c r="I2911" i="12"/>
  <c r="H2911" i="12"/>
  <c r="G2911" i="12"/>
  <c r="F2911" i="12"/>
  <c r="J2910" i="12"/>
  <c r="I2910" i="12"/>
  <c r="H2910" i="12"/>
  <c r="G2910" i="12"/>
  <c r="F2910" i="12"/>
  <c r="J2909" i="12"/>
  <c r="I2909" i="12"/>
  <c r="H2909" i="12"/>
  <c r="G2909" i="12"/>
  <c r="F2909" i="12"/>
  <c r="J2908" i="12"/>
  <c r="I2908" i="12"/>
  <c r="H2908" i="12"/>
  <c r="G2908" i="12"/>
  <c r="F2908" i="12"/>
  <c r="J2907" i="12"/>
  <c r="I2907" i="12"/>
  <c r="H2907" i="12"/>
  <c r="G2907" i="12"/>
  <c r="F2907" i="12"/>
  <c r="J2906" i="12"/>
  <c r="I2906" i="12"/>
  <c r="H2906" i="12"/>
  <c r="G2906" i="12"/>
  <c r="F2906" i="12"/>
  <c r="J2905" i="12"/>
  <c r="I2905" i="12"/>
  <c r="H2905" i="12"/>
  <c r="G2905" i="12"/>
  <c r="F2905" i="12"/>
  <c r="J2904" i="12"/>
  <c r="I2904" i="12"/>
  <c r="H2904" i="12"/>
  <c r="G2904" i="12"/>
  <c r="F2904" i="12"/>
  <c r="J2903" i="12"/>
  <c r="I2903" i="12"/>
  <c r="H2903" i="12"/>
  <c r="G2903" i="12"/>
  <c r="F2903" i="12"/>
  <c r="J2902" i="12"/>
  <c r="I2902" i="12"/>
  <c r="H2902" i="12"/>
  <c r="G2902" i="12"/>
  <c r="F2902" i="12"/>
  <c r="J2901" i="12"/>
  <c r="I2901" i="12"/>
  <c r="H2901" i="12"/>
  <c r="G2901" i="12"/>
  <c r="F2901" i="12"/>
  <c r="J2900" i="12"/>
  <c r="I2900" i="12"/>
  <c r="H2900" i="12"/>
  <c r="G2900" i="12"/>
  <c r="F2900" i="12"/>
  <c r="J2899" i="12"/>
  <c r="I2899" i="12"/>
  <c r="H2899" i="12"/>
  <c r="G2899" i="12"/>
  <c r="F2899" i="12"/>
  <c r="J2898" i="12"/>
  <c r="I2898" i="12"/>
  <c r="H2898" i="12"/>
  <c r="G2898" i="12"/>
  <c r="F2898" i="12"/>
  <c r="J2897" i="12"/>
  <c r="I2897" i="12"/>
  <c r="H2897" i="12"/>
  <c r="G2897" i="12"/>
  <c r="F2897" i="12"/>
  <c r="J2896" i="12"/>
  <c r="I2896" i="12"/>
  <c r="H2896" i="12"/>
  <c r="G2896" i="12"/>
  <c r="F2896" i="12"/>
  <c r="J2895" i="12"/>
  <c r="I2895" i="12"/>
  <c r="H2895" i="12"/>
  <c r="G2895" i="12"/>
  <c r="F2895" i="12"/>
  <c r="J2894" i="12"/>
  <c r="I2894" i="12"/>
  <c r="H2894" i="12"/>
  <c r="G2894" i="12"/>
  <c r="F2894" i="12"/>
  <c r="J2893" i="12"/>
  <c r="I2893" i="12"/>
  <c r="H2893" i="12"/>
  <c r="G2893" i="12"/>
  <c r="F2893" i="12"/>
  <c r="J2892" i="12"/>
  <c r="I2892" i="12"/>
  <c r="H2892" i="12"/>
  <c r="G2892" i="12"/>
  <c r="F2892" i="12"/>
  <c r="J2891" i="12"/>
  <c r="I2891" i="12"/>
  <c r="H2891" i="12"/>
  <c r="G2891" i="12"/>
  <c r="F2891" i="12"/>
  <c r="J2890" i="12"/>
  <c r="I2890" i="12"/>
  <c r="H2890" i="12"/>
  <c r="G2890" i="12"/>
  <c r="F2890" i="12"/>
  <c r="J2889" i="12"/>
  <c r="I2889" i="12"/>
  <c r="H2889" i="12"/>
  <c r="G2889" i="12"/>
  <c r="F2889" i="12"/>
  <c r="J2888" i="12"/>
  <c r="I2888" i="12"/>
  <c r="H2888" i="12"/>
  <c r="G2888" i="12"/>
  <c r="F2888" i="12"/>
  <c r="J2887" i="12"/>
  <c r="I2887" i="12"/>
  <c r="H2887" i="12"/>
  <c r="G2887" i="12"/>
  <c r="F2887" i="12"/>
  <c r="J2886" i="12"/>
  <c r="I2886" i="12"/>
  <c r="H2886" i="12"/>
  <c r="G2886" i="12"/>
  <c r="F2886" i="12"/>
  <c r="J2885" i="12"/>
  <c r="I2885" i="12"/>
  <c r="H2885" i="12"/>
  <c r="G2885" i="12"/>
  <c r="F2885" i="12"/>
  <c r="J2884" i="12"/>
  <c r="I2884" i="12"/>
  <c r="H2884" i="12"/>
  <c r="G2884" i="12"/>
  <c r="F2884" i="12"/>
  <c r="J2883" i="12"/>
  <c r="I2883" i="12"/>
  <c r="H2883" i="12"/>
  <c r="G2883" i="12"/>
  <c r="F2883" i="12"/>
  <c r="J2882" i="12"/>
  <c r="I2882" i="12"/>
  <c r="H2882" i="12"/>
  <c r="G2882" i="12"/>
  <c r="F2882" i="12"/>
  <c r="J2881" i="12"/>
  <c r="I2881" i="12"/>
  <c r="H2881" i="12"/>
  <c r="G2881" i="12"/>
  <c r="F2881" i="12"/>
  <c r="J2880" i="12"/>
  <c r="I2880" i="12"/>
  <c r="H2880" i="12"/>
  <c r="G2880" i="12"/>
  <c r="F2880" i="12"/>
  <c r="J2879" i="12"/>
  <c r="I2879" i="12"/>
  <c r="H2879" i="12"/>
  <c r="G2879" i="12"/>
  <c r="F2879" i="12"/>
  <c r="J2878" i="12"/>
  <c r="I2878" i="12"/>
  <c r="H2878" i="12"/>
  <c r="G2878" i="12"/>
  <c r="F2878" i="12"/>
  <c r="J2877" i="12"/>
  <c r="I2877" i="12"/>
  <c r="H2877" i="12"/>
  <c r="G2877" i="12"/>
  <c r="F2877" i="12"/>
  <c r="J2876" i="12"/>
  <c r="I2876" i="12"/>
  <c r="H2876" i="12"/>
  <c r="G2876" i="12"/>
  <c r="F2876" i="12"/>
  <c r="J2875" i="12"/>
  <c r="I2875" i="12"/>
  <c r="H2875" i="12"/>
  <c r="G2875" i="12"/>
  <c r="F2875" i="12"/>
  <c r="J2874" i="12"/>
  <c r="I2874" i="12"/>
  <c r="H2874" i="12"/>
  <c r="G2874" i="12"/>
  <c r="F2874" i="12"/>
  <c r="J2873" i="12"/>
  <c r="I2873" i="12"/>
  <c r="H2873" i="12"/>
  <c r="G2873" i="12"/>
  <c r="F2873" i="12"/>
  <c r="J2872" i="12"/>
  <c r="I2872" i="12"/>
  <c r="H2872" i="12"/>
  <c r="G2872" i="12"/>
  <c r="F2872" i="12"/>
  <c r="J2871" i="12"/>
  <c r="I2871" i="12"/>
  <c r="H2871" i="12"/>
  <c r="G2871" i="12"/>
  <c r="F2871" i="12"/>
  <c r="J2870" i="12"/>
  <c r="I2870" i="12"/>
  <c r="H2870" i="12"/>
  <c r="G2870" i="12"/>
  <c r="F2870" i="12"/>
  <c r="J2869" i="12"/>
  <c r="I2869" i="12"/>
  <c r="H2869" i="12"/>
  <c r="G2869" i="12"/>
  <c r="F2869" i="12"/>
  <c r="J2868" i="12"/>
  <c r="I2868" i="12"/>
  <c r="H2868" i="12"/>
  <c r="G2868" i="12"/>
  <c r="F2868" i="12"/>
  <c r="J2867" i="12"/>
  <c r="I2867" i="12"/>
  <c r="H2867" i="12"/>
  <c r="G2867" i="12"/>
  <c r="F2867" i="12"/>
  <c r="J2866" i="12"/>
  <c r="I2866" i="12"/>
  <c r="H2866" i="12"/>
  <c r="G2866" i="12"/>
  <c r="F2866" i="12"/>
  <c r="J2865" i="12"/>
  <c r="I2865" i="12"/>
  <c r="H2865" i="12"/>
  <c r="G2865" i="12"/>
  <c r="F2865" i="12"/>
  <c r="J2864" i="12"/>
  <c r="I2864" i="12"/>
  <c r="H2864" i="12"/>
  <c r="G2864" i="12"/>
  <c r="F2864" i="12"/>
  <c r="J2863" i="12"/>
  <c r="I2863" i="12"/>
  <c r="H2863" i="12"/>
  <c r="G2863" i="12"/>
  <c r="F2863" i="12"/>
  <c r="J2862" i="12"/>
  <c r="I2862" i="12"/>
  <c r="H2862" i="12"/>
  <c r="G2862" i="12"/>
  <c r="F2862" i="12"/>
  <c r="J2861" i="12"/>
  <c r="I2861" i="12"/>
  <c r="H2861" i="12"/>
  <c r="G2861" i="12"/>
  <c r="F2861" i="12"/>
  <c r="J2860" i="12"/>
  <c r="I2860" i="12"/>
  <c r="H2860" i="12"/>
  <c r="G2860" i="12"/>
  <c r="F2860" i="12"/>
  <c r="J2859" i="12"/>
  <c r="I2859" i="12"/>
  <c r="H2859" i="12"/>
  <c r="G2859" i="12"/>
  <c r="F2859" i="12"/>
  <c r="J2858" i="12"/>
  <c r="I2858" i="12"/>
  <c r="H2858" i="12"/>
  <c r="G2858" i="12"/>
  <c r="F2858" i="12"/>
  <c r="J2857" i="12"/>
  <c r="I2857" i="12"/>
  <c r="H2857" i="12"/>
  <c r="G2857" i="12"/>
  <c r="F2857" i="12"/>
  <c r="J2856" i="12"/>
  <c r="I2856" i="12"/>
  <c r="H2856" i="12"/>
  <c r="G2856" i="12"/>
  <c r="F2856" i="12"/>
  <c r="J2855" i="12"/>
  <c r="I2855" i="12"/>
  <c r="H2855" i="12"/>
  <c r="G2855" i="12"/>
  <c r="F2855" i="12"/>
  <c r="J2854" i="12"/>
  <c r="I2854" i="12"/>
  <c r="H2854" i="12"/>
  <c r="G2854" i="12"/>
  <c r="F2854" i="12"/>
  <c r="J2853" i="12"/>
  <c r="I2853" i="12"/>
  <c r="H2853" i="12"/>
  <c r="G2853" i="12"/>
  <c r="F2853" i="12"/>
  <c r="J2852" i="12"/>
  <c r="I2852" i="12"/>
  <c r="H2852" i="12"/>
  <c r="G2852" i="12"/>
  <c r="F2852" i="12"/>
  <c r="J2851" i="12"/>
  <c r="I2851" i="12"/>
  <c r="H2851" i="12"/>
  <c r="G2851" i="12"/>
  <c r="F2851" i="12"/>
  <c r="J2850" i="12"/>
  <c r="I2850" i="12"/>
  <c r="H2850" i="12"/>
  <c r="G2850" i="12"/>
  <c r="F2850" i="12"/>
  <c r="J2849" i="12"/>
  <c r="I2849" i="12"/>
  <c r="H2849" i="12"/>
  <c r="G2849" i="12"/>
  <c r="F2849" i="12"/>
  <c r="J2848" i="12"/>
  <c r="I2848" i="12"/>
  <c r="H2848" i="12"/>
  <c r="G2848" i="12"/>
  <c r="F2848" i="12"/>
  <c r="J2847" i="12"/>
  <c r="I2847" i="12"/>
  <c r="H2847" i="12"/>
  <c r="G2847" i="12"/>
  <c r="F2847" i="12"/>
  <c r="J2846" i="12"/>
  <c r="I2846" i="12"/>
  <c r="H2846" i="12"/>
  <c r="G2846" i="12"/>
  <c r="F2846" i="12"/>
  <c r="J2845" i="12"/>
  <c r="I2845" i="12"/>
  <c r="H2845" i="12"/>
  <c r="G2845" i="12"/>
  <c r="F2845" i="12"/>
  <c r="J2844" i="12"/>
  <c r="I2844" i="12"/>
  <c r="H2844" i="12"/>
  <c r="G2844" i="12"/>
  <c r="F2844" i="12"/>
  <c r="J2843" i="12"/>
  <c r="I2843" i="12"/>
  <c r="H2843" i="12"/>
  <c r="G2843" i="12"/>
  <c r="F2843" i="12"/>
  <c r="J2842" i="12"/>
  <c r="I2842" i="12"/>
  <c r="H2842" i="12"/>
  <c r="G2842" i="12"/>
  <c r="F2842" i="12"/>
  <c r="J2841" i="12"/>
  <c r="I2841" i="12"/>
  <c r="H2841" i="12"/>
  <c r="G2841" i="12"/>
  <c r="F2841" i="12"/>
  <c r="J2840" i="12"/>
  <c r="I2840" i="12"/>
  <c r="H2840" i="12"/>
  <c r="G2840" i="12"/>
  <c r="F2840" i="12"/>
  <c r="J2839" i="12"/>
  <c r="I2839" i="12"/>
  <c r="H2839" i="12"/>
  <c r="G2839" i="12"/>
  <c r="F2839" i="12"/>
  <c r="J2838" i="12"/>
  <c r="I2838" i="12"/>
  <c r="H2838" i="12"/>
  <c r="G2838" i="12"/>
  <c r="F2838" i="12"/>
  <c r="J2837" i="12"/>
  <c r="I2837" i="12"/>
  <c r="H2837" i="12"/>
  <c r="G2837" i="12"/>
  <c r="F2837" i="12"/>
  <c r="J2836" i="12"/>
  <c r="I2836" i="12"/>
  <c r="H2836" i="12"/>
  <c r="G2836" i="12"/>
  <c r="F2836" i="12"/>
  <c r="J2835" i="12"/>
  <c r="I2835" i="12"/>
  <c r="H2835" i="12"/>
  <c r="G2835" i="12"/>
  <c r="F2835" i="12"/>
  <c r="J2834" i="12"/>
  <c r="I2834" i="12"/>
  <c r="H2834" i="12"/>
  <c r="G2834" i="12"/>
  <c r="F2834" i="12"/>
  <c r="J2833" i="12"/>
  <c r="I2833" i="12"/>
  <c r="H2833" i="12"/>
  <c r="G2833" i="12"/>
  <c r="F2833" i="12"/>
  <c r="J2832" i="12"/>
  <c r="I2832" i="12"/>
  <c r="H2832" i="12"/>
  <c r="G2832" i="12"/>
  <c r="F2832" i="12"/>
  <c r="J2831" i="12"/>
  <c r="I2831" i="12"/>
  <c r="H2831" i="12"/>
  <c r="G2831" i="12"/>
  <c r="F2831" i="12"/>
  <c r="J2830" i="12"/>
  <c r="I2830" i="12"/>
  <c r="H2830" i="12"/>
  <c r="G2830" i="12"/>
  <c r="F2830" i="12"/>
  <c r="J2829" i="12"/>
  <c r="I2829" i="12"/>
  <c r="H2829" i="12"/>
  <c r="G2829" i="12"/>
  <c r="F2829" i="12"/>
  <c r="J2828" i="12"/>
  <c r="I2828" i="12"/>
  <c r="H2828" i="12"/>
  <c r="G2828" i="12"/>
  <c r="F2828" i="12"/>
  <c r="J2827" i="12"/>
  <c r="I2827" i="12"/>
  <c r="H2827" i="12"/>
  <c r="G2827" i="12"/>
  <c r="F2827" i="12"/>
  <c r="J2826" i="12"/>
  <c r="I2826" i="12"/>
  <c r="H2826" i="12"/>
  <c r="G2826" i="12"/>
  <c r="F2826" i="12"/>
  <c r="J2825" i="12"/>
  <c r="I2825" i="12"/>
  <c r="H2825" i="12"/>
  <c r="G2825" i="12"/>
  <c r="F2825" i="12"/>
  <c r="J2824" i="12"/>
  <c r="I2824" i="12"/>
  <c r="H2824" i="12"/>
  <c r="G2824" i="12"/>
  <c r="F2824" i="12"/>
  <c r="J2823" i="12"/>
  <c r="I2823" i="12"/>
  <c r="H2823" i="12"/>
  <c r="G2823" i="12"/>
  <c r="F2823" i="12"/>
  <c r="J2822" i="12"/>
  <c r="I2822" i="12"/>
  <c r="H2822" i="12"/>
  <c r="G2822" i="12"/>
  <c r="F2822" i="12"/>
  <c r="J2821" i="12"/>
  <c r="I2821" i="12"/>
  <c r="H2821" i="12"/>
  <c r="G2821" i="12"/>
  <c r="F2821" i="12"/>
  <c r="J2820" i="12"/>
  <c r="I2820" i="12"/>
  <c r="H2820" i="12"/>
  <c r="G2820" i="12"/>
  <c r="F2820" i="12"/>
  <c r="J2819" i="12"/>
  <c r="I2819" i="12"/>
  <c r="H2819" i="12"/>
  <c r="G2819" i="12"/>
  <c r="F2819" i="12"/>
  <c r="J2818" i="12"/>
  <c r="I2818" i="12"/>
  <c r="H2818" i="12"/>
  <c r="G2818" i="12"/>
  <c r="F2818" i="12"/>
  <c r="J2817" i="12"/>
  <c r="I2817" i="12"/>
  <c r="H2817" i="12"/>
  <c r="G2817" i="12"/>
  <c r="F2817" i="12"/>
  <c r="J2816" i="12"/>
  <c r="I2816" i="12"/>
  <c r="H2816" i="12"/>
  <c r="G2816" i="12"/>
  <c r="F2816" i="12"/>
  <c r="J2815" i="12"/>
  <c r="I2815" i="12"/>
  <c r="H2815" i="12"/>
  <c r="G2815" i="12"/>
  <c r="F2815" i="12"/>
  <c r="J2814" i="12"/>
  <c r="I2814" i="12"/>
  <c r="H2814" i="12"/>
  <c r="G2814" i="12"/>
  <c r="F2814" i="12"/>
  <c r="J2813" i="12"/>
  <c r="I2813" i="12"/>
  <c r="H2813" i="12"/>
  <c r="G2813" i="12"/>
  <c r="F2813" i="12"/>
  <c r="J2812" i="12"/>
  <c r="I2812" i="12"/>
  <c r="H2812" i="12"/>
  <c r="G2812" i="12"/>
  <c r="F2812" i="12"/>
  <c r="J2811" i="12"/>
  <c r="I2811" i="12"/>
  <c r="H2811" i="12"/>
  <c r="G2811" i="12"/>
  <c r="F2811" i="12"/>
  <c r="J2810" i="12"/>
  <c r="I2810" i="12"/>
  <c r="H2810" i="12"/>
  <c r="G2810" i="12"/>
  <c r="F2810" i="12"/>
  <c r="J2809" i="12"/>
  <c r="I2809" i="12"/>
  <c r="H2809" i="12"/>
  <c r="G2809" i="12"/>
  <c r="F2809" i="12"/>
  <c r="J2808" i="12"/>
  <c r="I2808" i="12"/>
  <c r="H2808" i="12"/>
  <c r="G2808" i="12"/>
  <c r="F2808" i="12"/>
  <c r="J2807" i="12"/>
  <c r="I2807" i="12"/>
  <c r="H2807" i="12"/>
  <c r="G2807" i="12"/>
  <c r="F2807" i="12"/>
  <c r="J2806" i="12"/>
  <c r="I2806" i="12"/>
  <c r="H2806" i="12"/>
  <c r="G2806" i="12"/>
  <c r="F2806" i="12"/>
  <c r="J2805" i="12"/>
  <c r="I2805" i="12"/>
  <c r="H2805" i="12"/>
  <c r="G2805" i="12"/>
  <c r="F2805" i="12"/>
  <c r="J2804" i="12"/>
  <c r="I2804" i="12"/>
  <c r="H2804" i="12"/>
  <c r="G2804" i="12"/>
  <c r="F2804" i="12"/>
  <c r="J2803" i="12"/>
  <c r="I2803" i="12"/>
  <c r="H2803" i="12"/>
  <c r="G2803" i="12"/>
  <c r="F2803" i="12"/>
  <c r="J2802" i="12"/>
  <c r="I2802" i="12"/>
  <c r="H2802" i="12"/>
  <c r="G2802" i="12"/>
  <c r="F2802" i="12"/>
  <c r="J2801" i="12"/>
  <c r="I2801" i="12"/>
  <c r="H2801" i="12"/>
  <c r="G2801" i="12"/>
  <c r="F2801" i="12"/>
  <c r="J2800" i="12"/>
  <c r="I2800" i="12"/>
  <c r="H2800" i="12"/>
  <c r="G2800" i="12"/>
  <c r="F2800" i="12"/>
  <c r="J2799" i="12"/>
  <c r="I2799" i="12"/>
  <c r="H2799" i="12"/>
  <c r="G2799" i="12"/>
  <c r="F2799" i="12"/>
  <c r="J2798" i="12"/>
  <c r="I2798" i="12"/>
  <c r="H2798" i="12"/>
  <c r="G2798" i="12"/>
  <c r="F2798" i="12"/>
  <c r="J2797" i="12"/>
  <c r="I2797" i="12"/>
  <c r="H2797" i="12"/>
  <c r="G2797" i="12"/>
  <c r="F2797" i="12"/>
  <c r="J2796" i="12"/>
  <c r="I2796" i="12"/>
  <c r="H2796" i="12"/>
  <c r="G2796" i="12"/>
  <c r="F2796" i="12"/>
  <c r="J2795" i="12"/>
  <c r="I2795" i="12"/>
  <c r="H2795" i="12"/>
  <c r="G2795" i="12"/>
  <c r="F2795" i="12"/>
  <c r="J2794" i="12"/>
  <c r="I2794" i="12"/>
  <c r="H2794" i="12"/>
  <c r="G2794" i="12"/>
  <c r="F2794" i="12"/>
  <c r="J2793" i="12"/>
  <c r="I2793" i="12"/>
  <c r="H2793" i="12"/>
  <c r="G2793" i="12"/>
  <c r="F2793" i="12"/>
  <c r="J2792" i="12"/>
  <c r="I2792" i="12"/>
  <c r="H2792" i="12"/>
  <c r="G2792" i="12"/>
  <c r="F2792" i="12"/>
  <c r="J2791" i="12"/>
  <c r="I2791" i="12"/>
  <c r="H2791" i="12"/>
  <c r="G2791" i="12"/>
  <c r="F2791" i="12"/>
  <c r="J2790" i="12"/>
  <c r="I2790" i="12"/>
  <c r="H2790" i="12"/>
  <c r="G2790" i="12"/>
  <c r="F2790" i="12"/>
  <c r="J2789" i="12"/>
  <c r="I2789" i="12"/>
  <c r="H2789" i="12"/>
  <c r="G2789" i="12"/>
  <c r="F2789" i="12"/>
  <c r="J2788" i="12"/>
  <c r="I2788" i="12"/>
  <c r="H2788" i="12"/>
  <c r="G2788" i="12"/>
  <c r="F2788" i="12"/>
  <c r="J2787" i="12"/>
  <c r="I2787" i="12"/>
  <c r="H2787" i="12"/>
  <c r="G2787" i="12"/>
  <c r="F2787" i="12"/>
  <c r="J2786" i="12"/>
  <c r="I2786" i="12"/>
  <c r="H2786" i="12"/>
  <c r="G2786" i="12"/>
  <c r="F2786" i="12"/>
  <c r="J2785" i="12"/>
  <c r="I2785" i="12"/>
  <c r="H2785" i="12"/>
  <c r="G2785" i="12"/>
  <c r="F2785" i="12"/>
  <c r="J2784" i="12"/>
  <c r="I2784" i="12"/>
  <c r="H2784" i="12"/>
  <c r="G2784" i="12"/>
  <c r="F2784" i="12"/>
  <c r="J2783" i="12"/>
  <c r="I2783" i="12"/>
  <c r="H2783" i="12"/>
  <c r="G2783" i="12"/>
  <c r="F2783" i="12"/>
  <c r="J2782" i="12"/>
  <c r="I2782" i="12"/>
  <c r="H2782" i="12"/>
  <c r="G2782" i="12"/>
  <c r="F2782" i="12"/>
  <c r="J2781" i="12"/>
  <c r="I2781" i="12"/>
  <c r="H2781" i="12"/>
  <c r="G2781" i="12"/>
  <c r="F2781" i="12"/>
  <c r="J2780" i="12"/>
  <c r="I2780" i="12"/>
  <c r="H2780" i="12"/>
  <c r="G2780" i="12"/>
  <c r="F2780" i="12"/>
  <c r="J2779" i="12"/>
  <c r="I2779" i="12"/>
  <c r="H2779" i="12"/>
  <c r="G2779" i="12"/>
  <c r="F2779" i="12"/>
  <c r="J2778" i="12"/>
  <c r="I2778" i="12"/>
  <c r="H2778" i="12"/>
  <c r="G2778" i="12"/>
  <c r="F2778" i="12"/>
  <c r="J2777" i="12"/>
  <c r="I2777" i="12"/>
  <c r="H2777" i="12"/>
  <c r="G2777" i="12"/>
  <c r="F2777" i="12"/>
  <c r="J2776" i="12"/>
  <c r="I2776" i="12"/>
  <c r="H2776" i="12"/>
  <c r="G2776" i="12"/>
  <c r="F2776" i="12"/>
  <c r="J2775" i="12"/>
  <c r="I2775" i="12"/>
  <c r="H2775" i="12"/>
  <c r="G2775" i="12"/>
  <c r="F2775" i="12"/>
  <c r="J2774" i="12"/>
  <c r="I2774" i="12"/>
  <c r="H2774" i="12"/>
  <c r="G2774" i="12"/>
  <c r="F2774" i="12"/>
  <c r="J2773" i="12"/>
  <c r="I2773" i="12"/>
  <c r="H2773" i="12"/>
  <c r="G2773" i="12"/>
  <c r="F2773" i="12"/>
  <c r="J2772" i="12"/>
  <c r="I2772" i="12"/>
  <c r="H2772" i="12"/>
  <c r="G2772" i="12"/>
  <c r="F2772" i="12"/>
  <c r="J2771" i="12"/>
  <c r="I2771" i="12"/>
  <c r="H2771" i="12"/>
  <c r="G2771" i="12"/>
  <c r="F2771" i="12"/>
  <c r="J2770" i="12"/>
  <c r="I2770" i="12"/>
  <c r="H2770" i="12"/>
  <c r="G2770" i="12"/>
  <c r="F2770" i="12"/>
  <c r="J2769" i="12"/>
  <c r="I2769" i="12"/>
  <c r="H2769" i="12"/>
  <c r="G2769" i="12"/>
  <c r="F2769" i="12"/>
  <c r="J2768" i="12"/>
  <c r="I2768" i="12"/>
  <c r="H2768" i="12"/>
  <c r="G2768" i="12"/>
  <c r="F2768" i="12"/>
  <c r="J2767" i="12"/>
  <c r="I2767" i="12"/>
  <c r="H2767" i="12"/>
  <c r="G2767" i="12"/>
  <c r="F2767" i="12"/>
  <c r="J2766" i="12"/>
  <c r="I2766" i="12"/>
  <c r="H2766" i="12"/>
  <c r="G2766" i="12"/>
  <c r="F2766" i="12"/>
  <c r="J2765" i="12"/>
  <c r="I2765" i="12"/>
  <c r="H2765" i="12"/>
  <c r="G2765" i="12"/>
  <c r="F2765" i="12"/>
  <c r="J2764" i="12"/>
  <c r="I2764" i="12"/>
  <c r="H2764" i="12"/>
  <c r="G2764" i="12"/>
  <c r="F2764" i="12"/>
  <c r="J2763" i="12"/>
  <c r="I2763" i="12"/>
  <c r="H2763" i="12"/>
  <c r="G2763" i="12"/>
  <c r="F2763" i="12"/>
  <c r="J2762" i="12"/>
  <c r="I2762" i="12"/>
  <c r="H2762" i="12"/>
  <c r="G2762" i="12"/>
  <c r="F2762" i="12"/>
  <c r="J2761" i="12"/>
  <c r="I2761" i="12"/>
  <c r="H2761" i="12"/>
  <c r="G2761" i="12"/>
  <c r="F2761" i="12"/>
  <c r="J2760" i="12"/>
  <c r="I2760" i="12"/>
  <c r="H2760" i="12"/>
  <c r="G2760" i="12"/>
  <c r="F2760" i="12"/>
  <c r="J2759" i="12"/>
  <c r="I2759" i="12"/>
  <c r="H2759" i="12"/>
  <c r="G2759" i="12"/>
  <c r="F2759" i="12"/>
  <c r="J2758" i="12"/>
  <c r="I2758" i="12"/>
  <c r="H2758" i="12"/>
  <c r="G2758" i="12"/>
  <c r="F2758" i="12"/>
  <c r="J2757" i="12"/>
  <c r="I2757" i="12"/>
  <c r="H2757" i="12"/>
  <c r="G2757" i="12"/>
  <c r="F2757" i="12"/>
  <c r="J2756" i="12"/>
  <c r="I2756" i="12"/>
  <c r="H2756" i="12"/>
  <c r="G2756" i="12"/>
  <c r="F2756" i="12"/>
  <c r="J2755" i="12"/>
  <c r="I2755" i="12"/>
  <c r="H2755" i="12"/>
  <c r="G2755" i="12"/>
  <c r="F2755" i="12"/>
  <c r="J2754" i="12"/>
  <c r="I2754" i="12"/>
  <c r="H2754" i="12"/>
  <c r="G2754" i="12"/>
  <c r="F2754" i="12"/>
  <c r="J2753" i="12"/>
  <c r="I2753" i="12"/>
  <c r="H2753" i="12"/>
  <c r="G2753" i="12"/>
  <c r="F2753" i="12"/>
  <c r="J2752" i="12"/>
  <c r="I2752" i="12"/>
  <c r="H2752" i="12"/>
  <c r="G2752" i="12"/>
  <c r="F2752" i="12"/>
  <c r="J2751" i="12"/>
  <c r="I2751" i="12"/>
  <c r="H2751" i="12"/>
  <c r="G2751" i="12"/>
  <c r="F2751" i="12"/>
  <c r="J2750" i="12"/>
  <c r="I2750" i="12"/>
  <c r="H2750" i="12"/>
  <c r="G2750" i="12"/>
  <c r="F2750" i="12"/>
  <c r="J2749" i="12"/>
  <c r="I2749" i="12"/>
  <c r="H2749" i="12"/>
  <c r="G2749" i="12"/>
  <c r="F2749" i="12"/>
  <c r="J2748" i="12"/>
  <c r="I2748" i="12"/>
  <c r="H2748" i="12"/>
  <c r="G2748" i="12"/>
  <c r="F2748" i="12"/>
  <c r="J2747" i="12"/>
  <c r="I2747" i="12"/>
  <c r="H2747" i="12"/>
  <c r="G2747" i="12"/>
  <c r="F2747" i="12"/>
  <c r="J2746" i="12"/>
  <c r="I2746" i="12"/>
  <c r="H2746" i="12"/>
  <c r="G2746" i="12"/>
  <c r="F2746" i="12"/>
  <c r="J2745" i="12"/>
  <c r="I2745" i="12"/>
  <c r="H2745" i="12"/>
  <c r="G2745" i="12"/>
  <c r="F2745" i="12"/>
  <c r="J2744" i="12"/>
  <c r="I2744" i="12"/>
  <c r="H2744" i="12"/>
  <c r="G2744" i="12"/>
  <c r="F2744" i="12"/>
  <c r="J2743" i="12"/>
  <c r="I2743" i="12"/>
  <c r="H2743" i="12"/>
  <c r="G2743" i="12"/>
  <c r="F2743" i="12"/>
  <c r="J2742" i="12"/>
  <c r="I2742" i="12"/>
  <c r="H2742" i="12"/>
  <c r="G2742" i="12"/>
  <c r="F2742" i="12"/>
  <c r="J2741" i="12"/>
  <c r="I2741" i="12"/>
  <c r="H2741" i="12"/>
  <c r="G2741" i="12"/>
  <c r="F2741" i="12"/>
  <c r="J2740" i="12"/>
  <c r="I2740" i="12"/>
  <c r="H2740" i="12"/>
  <c r="G2740" i="12"/>
  <c r="F2740" i="12"/>
  <c r="J2739" i="12"/>
  <c r="I2739" i="12"/>
  <c r="H2739" i="12"/>
  <c r="G2739" i="12"/>
  <c r="F2739" i="12"/>
  <c r="J2738" i="12"/>
  <c r="I2738" i="12"/>
  <c r="H2738" i="12"/>
  <c r="G2738" i="12"/>
  <c r="F2738" i="12"/>
  <c r="J2737" i="12"/>
  <c r="I2737" i="12"/>
  <c r="H2737" i="12"/>
  <c r="G2737" i="12"/>
  <c r="F2737" i="12"/>
  <c r="J2736" i="12"/>
  <c r="I2736" i="12"/>
  <c r="H2736" i="12"/>
  <c r="G2736" i="12"/>
  <c r="F2736" i="12"/>
  <c r="J2735" i="12"/>
  <c r="I2735" i="12"/>
  <c r="H2735" i="12"/>
  <c r="G2735" i="12"/>
  <c r="F2735" i="12"/>
  <c r="J2734" i="12"/>
  <c r="I2734" i="12"/>
  <c r="H2734" i="12"/>
  <c r="G2734" i="12"/>
  <c r="F2734" i="12"/>
  <c r="J2733" i="12"/>
  <c r="I2733" i="12"/>
  <c r="H2733" i="12"/>
  <c r="G2733" i="12"/>
  <c r="F2733" i="12"/>
  <c r="J2732" i="12"/>
  <c r="I2732" i="12"/>
  <c r="H2732" i="12"/>
  <c r="G2732" i="12"/>
  <c r="F2732" i="12"/>
  <c r="J2731" i="12"/>
  <c r="I2731" i="12"/>
  <c r="H2731" i="12"/>
  <c r="G2731" i="12"/>
  <c r="F2731" i="12"/>
  <c r="J2730" i="12"/>
  <c r="I2730" i="12"/>
  <c r="H2730" i="12"/>
  <c r="G2730" i="12"/>
  <c r="F2730" i="12"/>
  <c r="J2729" i="12"/>
  <c r="I2729" i="12"/>
  <c r="H2729" i="12"/>
  <c r="G2729" i="12"/>
  <c r="F2729" i="12"/>
  <c r="J2728" i="12"/>
  <c r="I2728" i="12"/>
  <c r="H2728" i="12"/>
  <c r="G2728" i="12"/>
  <c r="F2728" i="12"/>
  <c r="J2727" i="12"/>
  <c r="I2727" i="12"/>
  <c r="H2727" i="12"/>
  <c r="G2727" i="12"/>
  <c r="F2727" i="12"/>
  <c r="J2726" i="12"/>
  <c r="I2726" i="12"/>
  <c r="H2726" i="12"/>
  <c r="G2726" i="12"/>
  <c r="F2726" i="12"/>
  <c r="J2725" i="12"/>
  <c r="I2725" i="12"/>
  <c r="H2725" i="12"/>
  <c r="G2725" i="12"/>
  <c r="F2725" i="12"/>
  <c r="J2724" i="12"/>
  <c r="I2724" i="12"/>
  <c r="H2724" i="12"/>
  <c r="G2724" i="12"/>
  <c r="F2724" i="12"/>
  <c r="J2723" i="12"/>
  <c r="I2723" i="12"/>
  <c r="H2723" i="12"/>
  <c r="G2723" i="12"/>
  <c r="F2723" i="12"/>
  <c r="J2722" i="12"/>
  <c r="I2722" i="12"/>
  <c r="H2722" i="12"/>
  <c r="G2722" i="12"/>
  <c r="F2722" i="12"/>
  <c r="J2721" i="12"/>
  <c r="I2721" i="12"/>
  <c r="H2721" i="12"/>
  <c r="G2721" i="12"/>
  <c r="F2721" i="12"/>
  <c r="J2720" i="12"/>
  <c r="I2720" i="12"/>
  <c r="H2720" i="12"/>
  <c r="G2720" i="12"/>
  <c r="F2720" i="12"/>
  <c r="J2719" i="12"/>
  <c r="I2719" i="12"/>
  <c r="H2719" i="12"/>
  <c r="G2719" i="12"/>
  <c r="F2719" i="12"/>
  <c r="J2718" i="12"/>
  <c r="I2718" i="12"/>
  <c r="H2718" i="12"/>
  <c r="G2718" i="12"/>
  <c r="F2718" i="12"/>
  <c r="J2717" i="12"/>
  <c r="I2717" i="12"/>
  <c r="H2717" i="12"/>
  <c r="G2717" i="12"/>
  <c r="F2717" i="12"/>
  <c r="J2716" i="12"/>
  <c r="I2716" i="12"/>
  <c r="H2716" i="12"/>
  <c r="G2716" i="12"/>
  <c r="F2716" i="12"/>
  <c r="J2715" i="12"/>
  <c r="I2715" i="12"/>
  <c r="H2715" i="12"/>
  <c r="G2715" i="12"/>
  <c r="F2715" i="12"/>
  <c r="J2714" i="12"/>
  <c r="I2714" i="12"/>
  <c r="H2714" i="12"/>
  <c r="G2714" i="12"/>
  <c r="F2714" i="12"/>
  <c r="J2713" i="12"/>
  <c r="I2713" i="12"/>
  <c r="H2713" i="12"/>
  <c r="G2713" i="12"/>
  <c r="F2713" i="12"/>
  <c r="J2712" i="12"/>
  <c r="I2712" i="12"/>
  <c r="H2712" i="12"/>
  <c r="G2712" i="12"/>
  <c r="F2712" i="12"/>
  <c r="J2711" i="12"/>
  <c r="I2711" i="12"/>
  <c r="H2711" i="12"/>
  <c r="G2711" i="12"/>
  <c r="F2711" i="12"/>
  <c r="J2710" i="12"/>
  <c r="I2710" i="12"/>
  <c r="H2710" i="12"/>
  <c r="G2710" i="12"/>
  <c r="F2710" i="12"/>
  <c r="J2709" i="12"/>
  <c r="I2709" i="12"/>
  <c r="H2709" i="12"/>
  <c r="G2709" i="12"/>
  <c r="F2709" i="12"/>
  <c r="J2708" i="12"/>
  <c r="I2708" i="12"/>
  <c r="H2708" i="12"/>
  <c r="G2708" i="12"/>
  <c r="F2708" i="12"/>
  <c r="J2707" i="12"/>
  <c r="I2707" i="12"/>
  <c r="H2707" i="12"/>
  <c r="G2707" i="12"/>
  <c r="F2707" i="12"/>
  <c r="J2706" i="12"/>
  <c r="I2706" i="12"/>
  <c r="H2706" i="12"/>
  <c r="G2706" i="12"/>
  <c r="F2706" i="12"/>
  <c r="J2705" i="12"/>
  <c r="I2705" i="12"/>
  <c r="H2705" i="12"/>
  <c r="G2705" i="12"/>
  <c r="F2705" i="12"/>
  <c r="J2704" i="12"/>
  <c r="I2704" i="12"/>
  <c r="H2704" i="12"/>
  <c r="G2704" i="12"/>
  <c r="F2704" i="12"/>
  <c r="J2703" i="12"/>
  <c r="I2703" i="12"/>
  <c r="H2703" i="12"/>
  <c r="G2703" i="12"/>
  <c r="F2703" i="12"/>
  <c r="J2702" i="12"/>
  <c r="I2702" i="12"/>
  <c r="H2702" i="12"/>
  <c r="G2702" i="12"/>
  <c r="F2702" i="12"/>
  <c r="J2701" i="12"/>
  <c r="I2701" i="12"/>
  <c r="H2701" i="12"/>
  <c r="G2701" i="12"/>
  <c r="F2701" i="12"/>
  <c r="J2700" i="12"/>
  <c r="I2700" i="12"/>
  <c r="H2700" i="12"/>
  <c r="G2700" i="12"/>
  <c r="F2700" i="12"/>
  <c r="J2699" i="12"/>
  <c r="I2699" i="12"/>
  <c r="H2699" i="12"/>
  <c r="G2699" i="12"/>
  <c r="F2699" i="12"/>
  <c r="J2698" i="12"/>
  <c r="I2698" i="12"/>
  <c r="H2698" i="12"/>
  <c r="G2698" i="12"/>
  <c r="F2698" i="12"/>
  <c r="J2697" i="12"/>
  <c r="I2697" i="12"/>
  <c r="H2697" i="12"/>
  <c r="G2697" i="12"/>
  <c r="F2697" i="12"/>
  <c r="J2696" i="12"/>
  <c r="I2696" i="12"/>
  <c r="H2696" i="12"/>
  <c r="G2696" i="12"/>
  <c r="F2696" i="12"/>
  <c r="J2695" i="12"/>
  <c r="I2695" i="12"/>
  <c r="H2695" i="12"/>
  <c r="G2695" i="12"/>
  <c r="F2695" i="12"/>
  <c r="J2694" i="12"/>
  <c r="I2694" i="12"/>
  <c r="H2694" i="12"/>
  <c r="G2694" i="12"/>
  <c r="F2694" i="12"/>
  <c r="J2693" i="12"/>
  <c r="I2693" i="12"/>
  <c r="H2693" i="12"/>
  <c r="G2693" i="12"/>
  <c r="F2693" i="12"/>
  <c r="J2692" i="12"/>
  <c r="I2692" i="12"/>
  <c r="H2692" i="12"/>
  <c r="G2692" i="12"/>
  <c r="F2692" i="12"/>
  <c r="J2691" i="12"/>
  <c r="I2691" i="12"/>
  <c r="H2691" i="12"/>
  <c r="G2691" i="12"/>
  <c r="F2691" i="12"/>
  <c r="J2690" i="12"/>
  <c r="I2690" i="12"/>
  <c r="H2690" i="12"/>
  <c r="G2690" i="12"/>
  <c r="F2690" i="12"/>
  <c r="J2689" i="12"/>
  <c r="I2689" i="12"/>
  <c r="H2689" i="12"/>
  <c r="G2689" i="12"/>
  <c r="F2689" i="12"/>
  <c r="J2688" i="12"/>
  <c r="I2688" i="12"/>
  <c r="H2688" i="12"/>
  <c r="G2688" i="12"/>
  <c r="F2688" i="12"/>
  <c r="J2687" i="12"/>
  <c r="I2687" i="12"/>
  <c r="H2687" i="12"/>
  <c r="G2687" i="12"/>
  <c r="F2687" i="12"/>
  <c r="J2686" i="12"/>
  <c r="I2686" i="12"/>
  <c r="H2686" i="12"/>
  <c r="G2686" i="12"/>
  <c r="F2686" i="12"/>
  <c r="J2685" i="12"/>
  <c r="I2685" i="12"/>
  <c r="H2685" i="12"/>
  <c r="G2685" i="12"/>
  <c r="F2685" i="12"/>
  <c r="J2684" i="12"/>
  <c r="I2684" i="12"/>
  <c r="H2684" i="12"/>
  <c r="G2684" i="12"/>
  <c r="F2684" i="12"/>
  <c r="J2683" i="12"/>
  <c r="I2683" i="12"/>
  <c r="H2683" i="12"/>
  <c r="G2683" i="12"/>
  <c r="F2683" i="12"/>
  <c r="J2682" i="12"/>
  <c r="I2682" i="12"/>
  <c r="H2682" i="12"/>
  <c r="G2682" i="12"/>
  <c r="F2682" i="12"/>
  <c r="J2681" i="12"/>
  <c r="I2681" i="12"/>
  <c r="H2681" i="12"/>
  <c r="G2681" i="12"/>
  <c r="F2681" i="12"/>
  <c r="J2680" i="12"/>
  <c r="I2680" i="12"/>
  <c r="H2680" i="12"/>
  <c r="G2680" i="12"/>
  <c r="F2680" i="12"/>
  <c r="J2679" i="12"/>
  <c r="I2679" i="12"/>
  <c r="H2679" i="12"/>
  <c r="G2679" i="12"/>
  <c r="F2679" i="12"/>
  <c r="J2678" i="12"/>
  <c r="I2678" i="12"/>
  <c r="H2678" i="12"/>
  <c r="G2678" i="12"/>
  <c r="F2678" i="12"/>
  <c r="J2677" i="12"/>
  <c r="I2677" i="12"/>
  <c r="H2677" i="12"/>
  <c r="G2677" i="12"/>
  <c r="F2677" i="12"/>
  <c r="J2676" i="12"/>
  <c r="I2676" i="12"/>
  <c r="H2676" i="12"/>
  <c r="G2676" i="12"/>
  <c r="F2676" i="12"/>
  <c r="J2675" i="12"/>
  <c r="I2675" i="12"/>
  <c r="H2675" i="12"/>
  <c r="G2675" i="12"/>
  <c r="F2675" i="12"/>
  <c r="J2674" i="12"/>
  <c r="I2674" i="12"/>
  <c r="H2674" i="12"/>
  <c r="G2674" i="12"/>
  <c r="F2674" i="12"/>
  <c r="J2673" i="12"/>
  <c r="I2673" i="12"/>
  <c r="H2673" i="12"/>
  <c r="G2673" i="12"/>
  <c r="F2673" i="12"/>
  <c r="J2672" i="12"/>
  <c r="I2672" i="12"/>
  <c r="H2672" i="12"/>
  <c r="G2672" i="12"/>
  <c r="F2672" i="12"/>
  <c r="J2671" i="12"/>
  <c r="I2671" i="12"/>
  <c r="H2671" i="12"/>
  <c r="G2671" i="12"/>
  <c r="F2671" i="12"/>
  <c r="J2670" i="12"/>
  <c r="I2670" i="12"/>
  <c r="H2670" i="12"/>
  <c r="G2670" i="12"/>
  <c r="F2670" i="12"/>
  <c r="J2669" i="12"/>
  <c r="I2669" i="12"/>
  <c r="H2669" i="12"/>
  <c r="G2669" i="12"/>
  <c r="F2669" i="12"/>
  <c r="J2668" i="12"/>
  <c r="I2668" i="12"/>
  <c r="H2668" i="12"/>
  <c r="G2668" i="12"/>
  <c r="F2668" i="12"/>
  <c r="J2667" i="12"/>
  <c r="I2667" i="12"/>
  <c r="H2667" i="12"/>
  <c r="G2667" i="12"/>
  <c r="F2667" i="12"/>
  <c r="J2666" i="12"/>
  <c r="I2666" i="12"/>
  <c r="H2666" i="12"/>
  <c r="G2666" i="12"/>
  <c r="F2666" i="12"/>
  <c r="J2665" i="12"/>
  <c r="I2665" i="12"/>
  <c r="H2665" i="12"/>
  <c r="G2665" i="12"/>
  <c r="F2665" i="12"/>
  <c r="J2664" i="12"/>
  <c r="I2664" i="12"/>
  <c r="H2664" i="12"/>
  <c r="G2664" i="12"/>
  <c r="F2664" i="12"/>
  <c r="J2663" i="12"/>
  <c r="I2663" i="12"/>
  <c r="H2663" i="12"/>
  <c r="G2663" i="12"/>
  <c r="F2663" i="12"/>
  <c r="J2662" i="12"/>
  <c r="I2662" i="12"/>
  <c r="H2662" i="12"/>
  <c r="G2662" i="12"/>
  <c r="F2662" i="12"/>
  <c r="J2661" i="12"/>
  <c r="I2661" i="12"/>
  <c r="H2661" i="12"/>
  <c r="G2661" i="12"/>
  <c r="F2661" i="12"/>
  <c r="J2660" i="12"/>
  <c r="I2660" i="12"/>
  <c r="H2660" i="12"/>
  <c r="G2660" i="12"/>
  <c r="F2660" i="12"/>
  <c r="J2659" i="12"/>
  <c r="I2659" i="12"/>
  <c r="H2659" i="12"/>
  <c r="G2659" i="12"/>
  <c r="F2659" i="12"/>
  <c r="J2658" i="12"/>
  <c r="I2658" i="12"/>
  <c r="H2658" i="12"/>
  <c r="G2658" i="12"/>
  <c r="F2658" i="12"/>
  <c r="J2657" i="12"/>
  <c r="I2657" i="12"/>
  <c r="H2657" i="12"/>
  <c r="G2657" i="12"/>
  <c r="F2657" i="12"/>
  <c r="J2656" i="12"/>
  <c r="I2656" i="12"/>
  <c r="H2656" i="12"/>
  <c r="G2656" i="12"/>
  <c r="F2656" i="12"/>
  <c r="J2655" i="12"/>
  <c r="I2655" i="12"/>
  <c r="H2655" i="12"/>
  <c r="G2655" i="12"/>
  <c r="F2655" i="12"/>
  <c r="J2654" i="12"/>
  <c r="I2654" i="12"/>
  <c r="H2654" i="12"/>
  <c r="G2654" i="12"/>
  <c r="F2654" i="12"/>
  <c r="J2653" i="12"/>
  <c r="I2653" i="12"/>
  <c r="H2653" i="12"/>
  <c r="G2653" i="12"/>
  <c r="F2653" i="12"/>
  <c r="J2652" i="12"/>
  <c r="I2652" i="12"/>
  <c r="H2652" i="12"/>
  <c r="G2652" i="12"/>
  <c r="F2652" i="12"/>
  <c r="J2651" i="12"/>
  <c r="I2651" i="12"/>
  <c r="H2651" i="12"/>
  <c r="G2651" i="12"/>
  <c r="F2651" i="12"/>
  <c r="J2650" i="12"/>
  <c r="I2650" i="12"/>
  <c r="H2650" i="12"/>
  <c r="G2650" i="12"/>
  <c r="F2650" i="12"/>
  <c r="J2649" i="12"/>
  <c r="I2649" i="12"/>
  <c r="H2649" i="12"/>
  <c r="G2649" i="12"/>
  <c r="F2649" i="12"/>
  <c r="J2648" i="12"/>
  <c r="I2648" i="12"/>
  <c r="H2648" i="12"/>
  <c r="G2648" i="12"/>
  <c r="F2648" i="12"/>
  <c r="J2647" i="12"/>
  <c r="I2647" i="12"/>
  <c r="H2647" i="12"/>
  <c r="G2647" i="12"/>
  <c r="F2647" i="12"/>
  <c r="J2646" i="12"/>
  <c r="I2646" i="12"/>
  <c r="H2646" i="12"/>
  <c r="G2646" i="12"/>
  <c r="F2646" i="12"/>
  <c r="J2645" i="12"/>
  <c r="I2645" i="12"/>
  <c r="H2645" i="12"/>
  <c r="G2645" i="12"/>
  <c r="F2645" i="12"/>
  <c r="J2644" i="12"/>
  <c r="I2644" i="12"/>
  <c r="H2644" i="12"/>
  <c r="G2644" i="12"/>
  <c r="F2644" i="12"/>
  <c r="J2643" i="12"/>
  <c r="I2643" i="12"/>
  <c r="H2643" i="12"/>
  <c r="G2643" i="12"/>
  <c r="F2643" i="12"/>
  <c r="J2642" i="12"/>
  <c r="I2642" i="12"/>
  <c r="H2642" i="12"/>
  <c r="G2642" i="12"/>
  <c r="F2642" i="12"/>
  <c r="J2641" i="12"/>
  <c r="I2641" i="12"/>
  <c r="H2641" i="12"/>
  <c r="G2641" i="12"/>
  <c r="F2641" i="12"/>
  <c r="J2640" i="12"/>
  <c r="I2640" i="12"/>
  <c r="H2640" i="12"/>
  <c r="G2640" i="12"/>
  <c r="F2640" i="12"/>
  <c r="J2639" i="12"/>
  <c r="I2639" i="12"/>
  <c r="H2639" i="12"/>
  <c r="G2639" i="12"/>
  <c r="F2639" i="12"/>
  <c r="J2638" i="12"/>
  <c r="I2638" i="12"/>
  <c r="H2638" i="12"/>
  <c r="G2638" i="12"/>
  <c r="F2638" i="12"/>
  <c r="J2637" i="12"/>
  <c r="I2637" i="12"/>
  <c r="H2637" i="12"/>
  <c r="G2637" i="12"/>
  <c r="F2637" i="12"/>
  <c r="J2636" i="12"/>
  <c r="I2636" i="12"/>
  <c r="H2636" i="12"/>
  <c r="G2636" i="12"/>
  <c r="F2636" i="12"/>
  <c r="J2635" i="12"/>
  <c r="I2635" i="12"/>
  <c r="H2635" i="12"/>
  <c r="G2635" i="12"/>
  <c r="F2635" i="12"/>
  <c r="J2634" i="12"/>
  <c r="I2634" i="12"/>
  <c r="H2634" i="12"/>
  <c r="G2634" i="12"/>
  <c r="F2634" i="12"/>
  <c r="J2633" i="12"/>
  <c r="I2633" i="12"/>
  <c r="H2633" i="12"/>
  <c r="G2633" i="12"/>
  <c r="F2633" i="12"/>
  <c r="J2632" i="12"/>
  <c r="I2632" i="12"/>
  <c r="H2632" i="12"/>
  <c r="G2632" i="12"/>
  <c r="F2632" i="12"/>
  <c r="J2631" i="12"/>
  <c r="I2631" i="12"/>
  <c r="H2631" i="12"/>
  <c r="G2631" i="12"/>
  <c r="F2631" i="12"/>
  <c r="J2630" i="12"/>
  <c r="I2630" i="12"/>
  <c r="H2630" i="12"/>
  <c r="G2630" i="12"/>
  <c r="F2630" i="12"/>
  <c r="J2629" i="12"/>
  <c r="I2629" i="12"/>
  <c r="H2629" i="12"/>
  <c r="G2629" i="12"/>
  <c r="F2629" i="12"/>
  <c r="J2628" i="12"/>
  <c r="I2628" i="12"/>
  <c r="H2628" i="12"/>
  <c r="G2628" i="12"/>
  <c r="F2628" i="12"/>
  <c r="J2627" i="12"/>
  <c r="I2627" i="12"/>
  <c r="H2627" i="12"/>
  <c r="G2627" i="12"/>
  <c r="F2627" i="12"/>
  <c r="J2626" i="12"/>
  <c r="I2626" i="12"/>
  <c r="H2626" i="12"/>
  <c r="G2626" i="12"/>
  <c r="F2626" i="12"/>
  <c r="J2625" i="12"/>
  <c r="I2625" i="12"/>
  <c r="H2625" i="12"/>
  <c r="G2625" i="12"/>
  <c r="F2625" i="12"/>
  <c r="J2624" i="12"/>
  <c r="I2624" i="12"/>
  <c r="H2624" i="12"/>
  <c r="G2624" i="12"/>
  <c r="F2624" i="12"/>
  <c r="J2623" i="12"/>
  <c r="I2623" i="12"/>
  <c r="H2623" i="12"/>
  <c r="G2623" i="12"/>
  <c r="F2623" i="12"/>
  <c r="J2622" i="12"/>
  <c r="I2622" i="12"/>
  <c r="H2622" i="12"/>
  <c r="G2622" i="12"/>
  <c r="F2622" i="12"/>
  <c r="J2621" i="12"/>
  <c r="I2621" i="12"/>
  <c r="H2621" i="12"/>
  <c r="G2621" i="12"/>
  <c r="F2621" i="12"/>
  <c r="J2620" i="12"/>
  <c r="I2620" i="12"/>
  <c r="H2620" i="12"/>
  <c r="G2620" i="12"/>
  <c r="F2620" i="12"/>
  <c r="J2619" i="12"/>
  <c r="I2619" i="12"/>
  <c r="H2619" i="12"/>
  <c r="G2619" i="12"/>
  <c r="F2619" i="12"/>
  <c r="J2618" i="12"/>
  <c r="I2618" i="12"/>
  <c r="H2618" i="12"/>
  <c r="G2618" i="12"/>
  <c r="F2618" i="12"/>
  <c r="J2617" i="12"/>
  <c r="I2617" i="12"/>
  <c r="H2617" i="12"/>
  <c r="G2617" i="12"/>
  <c r="F2617" i="12"/>
  <c r="J2616" i="12"/>
  <c r="I2616" i="12"/>
  <c r="H2616" i="12"/>
  <c r="G2616" i="12"/>
  <c r="F2616" i="12"/>
  <c r="J2615" i="12"/>
  <c r="I2615" i="12"/>
  <c r="H2615" i="12"/>
  <c r="G2615" i="12"/>
  <c r="F2615" i="12"/>
  <c r="J2614" i="12"/>
  <c r="I2614" i="12"/>
  <c r="H2614" i="12"/>
  <c r="G2614" i="12"/>
  <c r="F2614" i="12"/>
  <c r="J2613" i="12"/>
  <c r="I2613" i="12"/>
  <c r="H2613" i="12"/>
  <c r="G2613" i="12"/>
  <c r="F2613" i="12"/>
  <c r="J2612" i="12"/>
  <c r="I2612" i="12"/>
  <c r="H2612" i="12"/>
  <c r="G2612" i="12"/>
  <c r="F2612" i="12"/>
  <c r="J2611" i="12"/>
  <c r="I2611" i="12"/>
  <c r="H2611" i="12"/>
  <c r="G2611" i="12"/>
  <c r="F2611" i="12"/>
  <c r="J2610" i="12"/>
  <c r="I2610" i="12"/>
  <c r="H2610" i="12"/>
  <c r="G2610" i="12"/>
  <c r="F2610" i="12"/>
  <c r="J2609" i="12"/>
  <c r="I2609" i="12"/>
  <c r="H2609" i="12"/>
  <c r="G2609" i="12"/>
  <c r="F2609" i="12"/>
  <c r="J2608" i="12"/>
  <c r="I2608" i="12"/>
  <c r="H2608" i="12"/>
  <c r="G2608" i="12"/>
  <c r="F2608" i="12"/>
  <c r="J2607" i="12"/>
  <c r="I2607" i="12"/>
  <c r="H2607" i="12"/>
  <c r="G2607" i="12"/>
  <c r="F2607" i="12"/>
  <c r="J2606" i="12"/>
  <c r="I2606" i="12"/>
  <c r="H2606" i="12"/>
  <c r="G2606" i="12"/>
  <c r="F2606" i="12"/>
  <c r="J2605" i="12"/>
  <c r="I2605" i="12"/>
  <c r="H2605" i="12"/>
  <c r="G2605" i="12"/>
  <c r="F2605" i="12"/>
  <c r="J2604" i="12"/>
  <c r="I2604" i="12"/>
  <c r="H2604" i="12"/>
  <c r="G2604" i="12"/>
  <c r="F2604" i="12"/>
  <c r="J2603" i="12"/>
  <c r="I2603" i="12"/>
  <c r="H2603" i="12"/>
  <c r="G2603" i="12"/>
  <c r="F2603" i="12"/>
  <c r="J2602" i="12"/>
  <c r="I2602" i="12"/>
  <c r="H2602" i="12"/>
  <c r="G2602" i="12"/>
  <c r="F2602" i="12"/>
  <c r="J2601" i="12"/>
  <c r="I2601" i="12"/>
  <c r="H2601" i="12"/>
  <c r="G2601" i="12"/>
  <c r="F2601" i="12"/>
  <c r="J2600" i="12"/>
  <c r="I2600" i="12"/>
  <c r="H2600" i="12"/>
  <c r="G2600" i="12"/>
  <c r="F2600" i="12"/>
  <c r="J2599" i="12"/>
  <c r="I2599" i="12"/>
  <c r="H2599" i="12"/>
  <c r="G2599" i="12"/>
  <c r="F2599" i="12"/>
  <c r="J2598" i="12"/>
  <c r="I2598" i="12"/>
  <c r="H2598" i="12"/>
  <c r="G2598" i="12"/>
  <c r="F2598" i="12"/>
  <c r="J2597" i="12"/>
  <c r="I2597" i="12"/>
  <c r="H2597" i="12"/>
  <c r="G2597" i="12"/>
  <c r="F2597" i="12"/>
  <c r="J2596" i="12"/>
  <c r="I2596" i="12"/>
  <c r="H2596" i="12"/>
  <c r="G2596" i="12"/>
  <c r="F2596" i="12"/>
  <c r="J2595" i="12"/>
  <c r="I2595" i="12"/>
  <c r="H2595" i="12"/>
  <c r="G2595" i="12"/>
  <c r="F2595" i="12"/>
  <c r="J2594" i="12"/>
  <c r="I2594" i="12"/>
  <c r="H2594" i="12"/>
  <c r="G2594" i="12"/>
  <c r="F2594" i="12"/>
  <c r="J2593" i="12"/>
  <c r="I2593" i="12"/>
  <c r="H2593" i="12"/>
  <c r="G2593" i="12"/>
  <c r="F2593" i="12"/>
  <c r="J2592" i="12"/>
  <c r="I2592" i="12"/>
  <c r="H2592" i="12"/>
  <c r="G2592" i="12"/>
  <c r="F2592" i="12"/>
  <c r="J2591" i="12"/>
  <c r="I2591" i="12"/>
  <c r="H2591" i="12"/>
  <c r="G2591" i="12"/>
  <c r="F2591" i="12"/>
  <c r="J2590" i="12"/>
  <c r="I2590" i="12"/>
  <c r="H2590" i="12"/>
  <c r="G2590" i="12"/>
  <c r="F2590" i="12"/>
  <c r="J2589" i="12"/>
  <c r="I2589" i="12"/>
  <c r="H2589" i="12"/>
  <c r="G2589" i="12"/>
  <c r="F2589" i="12"/>
  <c r="J2588" i="12"/>
  <c r="I2588" i="12"/>
  <c r="H2588" i="12"/>
  <c r="G2588" i="12"/>
  <c r="F2588" i="12"/>
  <c r="J2587" i="12"/>
  <c r="I2587" i="12"/>
  <c r="H2587" i="12"/>
  <c r="G2587" i="12"/>
  <c r="F2587" i="12"/>
  <c r="J2586" i="12"/>
  <c r="I2586" i="12"/>
  <c r="H2586" i="12"/>
  <c r="G2586" i="12"/>
  <c r="F2586" i="12"/>
  <c r="J2585" i="12"/>
  <c r="I2585" i="12"/>
  <c r="H2585" i="12"/>
  <c r="G2585" i="12"/>
  <c r="F2585" i="12"/>
  <c r="J2584" i="12"/>
  <c r="I2584" i="12"/>
  <c r="H2584" i="12"/>
  <c r="G2584" i="12"/>
  <c r="F2584" i="12"/>
  <c r="J2583" i="12"/>
  <c r="I2583" i="12"/>
  <c r="H2583" i="12"/>
  <c r="G2583" i="12"/>
  <c r="F2583" i="12"/>
  <c r="J2582" i="12"/>
  <c r="I2582" i="12"/>
  <c r="H2582" i="12"/>
  <c r="G2582" i="12"/>
  <c r="F2582" i="12"/>
  <c r="J2581" i="12"/>
  <c r="I2581" i="12"/>
  <c r="H2581" i="12"/>
  <c r="G2581" i="12"/>
  <c r="F2581" i="12"/>
  <c r="J2580" i="12"/>
  <c r="I2580" i="12"/>
  <c r="H2580" i="12"/>
  <c r="G2580" i="12"/>
  <c r="F2580" i="12"/>
  <c r="J2579" i="12"/>
  <c r="I2579" i="12"/>
  <c r="H2579" i="12"/>
  <c r="G2579" i="12"/>
  <c r="F2579" i="12"/>
  <c r="J2578" i="12"/>
  <c r="I2578" i="12"/>
  <c r="H2578" i="12"/>
  <c r="G2578" i="12"/>
  <c r="F2578" i="12"/>
  <c r="J2577" i="12"/>
  <c r="I2577" i="12"/>
  <c r="H2577" i="12"/>
  <c r="G2577" i="12"/>
  <c r="F2577" i="12"/>
  <c r="J2576" i="12"/>
  <c r="I2576" i="12"/>
  <c r="H2576" i="12"/>
  <c r="G2576" i="12"/>
  <c r="F2576" i="12"/>
  <c r="J2575" i="12"/>
  <c r="I2575" i="12"/>
  <c r="H2575" i="12"/>
  <c r="G2575" i="12"/>
  <c r="F2575" i="12"/>
  <c r="J2574" i="12"/>
  <c r="I2574" i="12"/>
  <c r="H2574" i="12"/>
  <c r="G2574" i="12"/>
  <c r="F2574" i="12"/>
  <c r="J2573" i="12"/>
  <c r="I2573" i="12"/>
  <c r="H2573" i="12"/>
  <c r="G2573" i="12"/>
  <c r="F2573" i="12"/>
  <c r="J2572" i="12"/>
  <c r="I2572" i="12"/>
  <c r="H2572" i="12"/>
  <c r="G2572" i="12"/>
  <c r="F2572" i="12"/>
  <c r="J2571" i="12"/>
  <c r="I2571" i="12"/>
  <c r="H2571" i="12"/>
  <c r="G2571" i="12"/>
  <c r="F2571" i="12"/>
  <c r="J2570" i="12"/>
  <c r="I2570" i="12"/>
  <c r="H2570" i="12"/>
  <c r="G2570" i="12"/>
  <c r="F2570" i="12"/>
  <c r="J2569" i="12"/>
  <c r="I2569" i="12"/>
  <c r="H2569" i="12"/>
  <c r="G2569" i="12"/>
  <c r="F2569" i="12"/>
  <c r="J2568" i="12"/>
  <c r="I2568" i="12"/>
  <c r="H2568" i="12"/>
  <c r="G2568" i="12"/>
  <c r="F2568" i="12"/>
  <c r="J2567" i="12"/>
  <c r="I2567" i="12"/>
  <c r="H2567" i="12"/>
  <c r="G2567" i="12"/>
  <c r="F2567" i="12"/>
  <c r="J2566" i="12"/>
  <c r="I2566" i="12"/>
  <c r="H2566" i="12"/>
  <c r="G2566" i="12"/>
  <c r="F2566" i="12"/>
  <c r="J2565" i="12"/>
  <c r="I2565" i="12"/>
  <c r="H2565" i="12"/>
  <c r="G2565" i="12"/>
  <c r="F2565" i="12"/>
  <c r="J2564" i="12"/>
  <c r="I2564" i="12"/>
  <c r="H2564" i="12"/>
  <c r="G2564" i="12"/>
  <c r="F2564" i="12"/>
  <c r="J2563" i="12"/>
  <c r="I2563" i="12"/>
  <c r="H2563" i="12"/>
  <c r="G2563" i="12"/>
  <c r="F2563" i="12"/>
  <c r="J2562" i="12"/>
  <c r="I2562" i="12"/>
  <c r="H2562" i="12"/>
  <c r="G2562" i="12"/>
  <c r="F2562" i="12"/>
  <c r="J2561" i="12"/>
  <c r="I2561" i="12"/>
  <c r="H2561" i="12"/>
  <c r="G2561" i="12"/>
  <c r="F2561" i="12"/>
  <c r="J2560" i="12"/>
  <c r="I2560" i="12"/>
  <c r="H2560" i="12"/>
  <c r="G2560" i="12"/>
  <c r="F2560" i="12"/>
  <c r="J2559" i="12"/>
  <c r="I2559" i="12"/>
  <c r="H2559" i="12"/>
  <c r="G2559" i="12"/>
  <c r="F2559" i="12"/>
  <c r="J2558" i="12"/>
  <c r="I2558" i="12"/>
  <c r="H2558" i="12"/>
  <c r="G2558" i="12"/>
  <c r="F2558" i="12"/>
  <c r="J2557" i="12"/>
  <c r="I2557" i="12"/>
  <c r="H2557" i="12"/>
  <c r="G2557" i="12"/>
  <c r="F2557" i="12"/>
  <c r="J2556" i="12"/>
  <c r="I2556" i="12"/>
  <c r="H2556" i="12"/>
  <c r="G2556" i="12"/>
  <c r="F2556" i="12"/>
  <c r="J2555" i="12"/>
  <c r="I2555" i="12"/>
  <c r="H2555" i="12"/>
  <c r="G2555" i="12"/>
  <c r="F2555" i="12"/>
  <c r="J2554" i="12"/>
  <c r="I2554" i="12"/>
  <c r="H2554" i="12"/>
  <c r="G2554" i="12"/>
  <c r="F2554" i="12"/>
  <c r="J2553" i="12"/>
  <c r="I2553" i="12"/>
  <c r="H2553" i="12"/>
  <c r="G2553" i="12"/>
  <c r="F2553" i="12"/>
  <c r="J2552" i="12"/>
  <c r="I2552" i="12"/>
  <c r="H2552" i="12"/>
  <c r="G2552" i="12"/>
  <c r="F2552" i="12"/>
  <c r="J2551" i="12"/>
  <c r="I2551" i="12"/>
  <c r="H2551" i="12"/>
  <c r="G2551" i="12"/>
  <c r="F2551" i="12"/>
  <c r="J2550" i="12"/>
  <c r="I2550" i="12"/>
  <c r="H2550" i="12"/>
  <c r="G2550" i="12"/>
  <c r="F2550" i="12"/>
  <c r="J2549" i="12"/>
  <c r="I2549" i="12"/>
  <c r="H2549" i="12"/>
  <c r="G2549" i="12"/>
  <c r="F2549" i="12"/>
  <c r="J2548" i="12"/>
  <c r="I2548" i="12"/>
  <c r="H2548" i="12"/>
  <c r="G2548" i="12"/>
  <c r="F2548" i="12"/>
  <c r="J2547" i="12"/>
  <c r="I2547" i="12"/>
  <c r="H2547" i="12"/>
  <c r="G2547" i="12"/>
  <c r="F2547" i="12"/>
  <c r="J2546" i="12"/>
  <c r="I2546" i="12"/>
  <c r="H2546" i="12"/>
  <c r="G2546" i="12"/>
  <c r="F2546" i="12"/>
  <c r="J2545" i="12"/>
  <c r="I2545" i="12"/>
  <c r="H2545" i="12"/>
  <c r="G2545" i="12"/>
  <c r="F2545" i="12"/>
  <c r="J2544" i="12"/>
  <c r="I2544" i="12"/>
  <c r="H2544" i="12"/>
  <c r="G2544" i="12"/>
  <c r="F2544" i="12"/>
  <c r="J2543" i="12"/>
  <c r="I2543" i="12"/>
  <c r="H2543" i="12"/>
  <c r="G2543" i="12"/>
  <c r="F2543" i="12"/>
  <c r="J2542" i="12"/>
  <c r="I2542" i="12"/>
  <c r="H2542" i="12"/>
  <c r="G2542" i="12"/>
  <c r="F2542" i="12"/>
  <c r="J2541" i="12"/>
  <c r="I2541" i="12"/>
  <c r="H2541" i="12"/>
  <c r="G2541" i="12"/>
  <c r="F2541" i="12"/>
  <c r="J2540" i="12"/>
  <c r="I2540" i="12"/>
  <c r="H2540" i="12"/>
  <c r="G2540" i="12"/>
  <c r="F2540" i="12"/>
  <c r="J2539" i="12"/>
  <c r="I2539" i="12"/>
  <c r="H2539" i="12"/>
  <c r="G2539" i="12"/>
  <c r="F2539" i="12"/>
  <c r="J2538" i="12"/>
  <c r="I2538" i="12"/>
  <c r="H2538" i="12"/>
  <c r="G2538" i="12"/>
  <c r="F2538" i="12"/>
  <c r="J2537" i="12"/>
  <c r="I2537" i="12"/>
  <c r="H2537" i="12"/>
  <c r="G2537" i="12"/>
  <c r="F2537" i="12"/>
  <c r="J2536" i="12"/>
  <c r="I2536" i="12"/>
  <c r="H2536" i="12"/>
  <c r="G2536" i="12"/>
  <c r="F2536" i="12"/>
  <c r="J2535" i="12"/>
  <c r="I2535" i="12"/>
  <c r="H2535" i="12"/>
  <c r="G2535" i="12"/>
  <c r="F2535" i="12"/>
  <c r="J2534" i="12"/>
  <c r="I2534" i="12"/>
  <c r="H2534" i="12"/>
  <c r="G2534" i="12"/>
  <c r="F2534" i="12"/>
  <c r="J2533" i="12"/>
  <c r="I2533" i="12"/>
  <c r="H2533" i="12"/>
  <c r="G2533" i="12"/>
  <c r="F2533" i="12"/>
  <c r="J2532" i="12"/>
  <c r="I2532" i="12"/>
  <c r="H2532" i="12"/>
  <c r="G2532" i="12"/>
  <c r="F2532" i="12"/>
  <c r="J2531" i="12"/>
  <c r="I2531" i="12"/>
  <c r="H2531" i="12"/>
  <c r="G2531" i="12"/>
  <c r="F2531" i="12"/>
  <c r="J2530" i="12"/>
  <c r="I2530" i="12"/>
  <c r="H2530" i="12"/>
  <c r="G2530" i="12"/>
  <c r="F2530" i="12"/>
  <c r="J2529" i="12"/>
  <c r="I2529" i="12"/>
  <c r="H2529" i="12"/>
  <c r="G2529" i="12"/>
  <c r="F2529" i="12"/>
  <c r="J2528" i="12"/>
  <c r="I2528" i="12"/>
  <c r="H2528" i="12"/>
  <c r="G2528" i="12"/>
  <c r="F2528" i="12"/>
  <c r="J2527" i="12"/>
  <c r="I2527" i="12"/>
  <c r="H2527" i="12"/>
  <c r="G2527" i="12"/>
  <c r="F2527" i="12"/>
  <c r="J2526" i="12"/>
  <c r="I2526" i="12"/>
  <c r="H2526" i="12"/>
  <c r="G2526" i="12"/>
  <c r="F2526" i="12"/>
  <c r="J2525" i="12"/>
  <c r="I2525" i="12"/>
  <c r="H2525" i="12"/>
  <c r="G2525" i="12"/>
  <c r="F2525" i="12"/>
  <c r="J2524" i="12"/>
  <c r="I2524" i="12"/>
  <c r="H2524" i="12"/>
  <c r="G2524" i="12"/>
  <c r="F2524" i="12"/>
  <c r="J2523" i="12"/>
  <c r="I2523" i="12"/>
  <c r="H2523" i="12"/>
  <c r="G2523" i="12"/>
  <c r="F2523" i="12"/>
  <c r="J2522" i="12"/>
  <c r="I2522" i="12"/>
  <c r="H2522" i="12"/>
  <c r="G2522" i="12"/>
  <c r="F2522" i="12"/>
  <c r="J2521" i="12"/>
  <c r="I2521" i="12"/>
  <c r="H2521" i="12"/>
  <c r="G2521" i="12"/>
  <c r="F2521" i="12"/>
  <c r="J2520" i="12"/>
  <c r="I2520" i="12"/>
  <c r="H2520" i="12"/>
  <c r="G2520" i="12"/>
  <c r="F2520" i="12"/>
  <c r="J2519" i="12"/>
  <c r="I2519" i="12"/>
  <c r="H2519" i="12"/>
  <c r="G2519" i="12"/>
  <c r="F2519" i="12"/>
  <c r="J2518" i="12"/>
  <c r="I2518" i="12"/>
  <c r="H2518" i="12"/>
  <c r="G2518" i="12"/>
  <c r="F2518" i="12"/>
  <c r="J2517" i="12"/>
  <c r="I2517" i="12"/>
  <c r="H2517" i="12"/>
  <c r="G2517" i="12"/>
  <c r="F2517" i="12"/>
  <c r="J2516" i="12"/>
  <c r="I2516" i="12"/>
  <c r="H2516" i="12"/>
  <c r="G2516" i="12"/>
  <c r="F2516" i="12"/>
  <c r="J2515" i="12"/>
  <c r="I2515" i="12"/>
  <c r="H2515" i="12"/>
  <c r="G2515" i="12"/>
  <c r="F2515" i="12"/>
  <c r="J2514" i="12"/>
  <c r="I2514" i="12"/>
  <c r="H2514" i="12"/>
  <c r="G2514" i="12"/>
  <c r="F2514" i="12"/>
  <c r="J2513" i="12"/>
  <c r="I2513" i="12"/>
  <c r="H2513" i="12"/>
  <c r="G2513" i="12"/>
  <c r="F2513" i="12"/>
  <c r="J2512" i="12"/>
  <c r="I2512" i="12"/>
  <c r="H2512" i="12"/>
  <c r="G2512" i="12"/>
  <c r="F2512" i="12"/>
  <c r="J2511" i="12"/>
  <c r="I2511" i="12"/>
  <c r="H2511" i="12"/>
  <c r="G2511" i="12"/>
  <c r="F2511" i="12"/>
  <c r="J2510" i="12"/>
  <c r="I2510" i="12"/>
  <c r="H2510" i="12"/>
  <c r="G2510" i="12"/>
  <c r="F2510" i="12"/>
  <c r="J2509" i="12"/>
  <c r="I2509" i="12"/>
  <c r="H2509" i="12"/>
  <c r="G2509" i="12"/>
  <c r="F2509" i="12"/>
  <c r="J2508" i="12"/>
  <c r="I2508" i="12"/>
  <c r="H2508" i="12"/>
  <c r="G2508" i="12"/>
  <c r="F2508" i="12"/>
  <c r="J2507" i="12"/>
  <c r="I2507" i="12"/>
  <c r="H2507" i="12"/>
  <c r="G2507" i="12"/>
  <c r="F2507" i="12"/>
  <c r="J2506" i="12"/>
  <c r="I2506" i="12"/>
  <c r="H2506" i="12"/>
  <c r="G2506" i="12"/>
  <c r="F2506" i="12"/>
  <c r="J2505" i="12"/>
  <c r="I2505" i="12"/>
  <c r="H2505" i="12"/>
  <c r="G2505" i="12"/>
  <c r="F2505" i="12"/>
  <c r="J2504" i="12"/>
  <c r="I2504" i="12"/>
  <c r="H2504" i="12"/>
  <c r="G2504" i="12"/>
  <c r="F2504" i="12"/>
  <c r="J2503" i="12"/>
  <c r="I2503" i="12"/>
  <c r="H2503" i="12"/>
  <c r="G2503" i="12"/>
  <c r="F2503" i="12"/>
  <c r="J2502" i="12"/>
  <c r="I2502" i="12"/>
  <c r="H2502" i="12"/>
  <c r="G2502" i="12"/>
  <c r="F2502" i="12"/>
  <c r="J2501" i="12"/>
  <c r="I2501" i="12"/>
  <c r="H2501" i="12"/>
  <c r="G2501" i="12"/>
  <c r="F2501" i="12"/>
  <c r="J2500" i="12"/>
  <c r="I2500" i="12"/>
  <c r="H2500" i="12"/>
  <c r="G2500" i="12"/>
  <c r="F2500" i="12"/>
  <c r="J2499" i="12"/>
  <c r="I2499" i="12"/>
  <c r="H2499" i="12"/>
  <c r="G2499" i="12"/>
  <c r="F2499" i="12"/>
  <c r="J2498" i="12"/>
  <c r="I2498" i="12"/>
  <c r="H2498" i="12"/>
  <c r="G2498" i="12"/>
  <c r="F2498" i="12"/>
  <c r="J2497" i="12"/>
  <c r="I2497" i="12"/>
  <c r="H2497" i="12"/>
  <c r="G2497" i="12"/>
  <c r="F2497" i="12"/>
  <c r="J2496" i="12"/>
  <c r="I2496" i="12"/>
  <c r="H2496" i="12"/>
  <c r="G2496" i="12"/>
  <c r="F2496" i="12"/>
  <c r="J2495" i="12"/>
  <c r="I2495" i="12"/>
  <c r="H2495" i="12"/>
  <c r="G2495" i="12"/>
  <c r="F2495" i="12"/>
  <c r="J2494" i="12"/>
  <c r="I2494" i="12"/>
  <c r="H2494" i="12"/>
  <c r="G2494" i="12"/>
  <c r="F2494" i="12"/>
  <c r="J2493" i="12"/>
  <c r="I2493" i="12"/>
  <c r="H2493" i="12"/>
  <c r="G2493" i="12"/>
  <c r="F2493" i="12"/>
  <c r="J2492" i="12"/>
  <c r="I2492" i="12"/>
  <c r="H2492" i="12"/>
  <c r="G2492" i="12"/>
  <c r="F2492" i="12"/>
  <c r="J2491" i="12"/>
  <c r="I2491" i="12"/>
  <c r="H2491" i="12"/>
  <c r="G2491" i="12"/>
  <c r="F2491" i="12"/>
  <c r="J2490" i="12"/>
  <c r="I2490" i="12"/>
  <c r="H2490" i="12"/>
  <c r="G2490" i="12"/>
  <c r="F2490" i="12"/>
  <c r="J2489" i="12"/>
  <c r="I2489" i="12"/>
  <c r="H2489" i="12"/>
  <c r="G2489" i="12"/>
  <c r="F2489" i="12"/>
  <c r="J2488" i="12"/>
  <c r="I2488" i="12"/>
  <c r="H2488" i="12"/>
  <c r="G2488" i="12"/>
  <c r="F2488" i="12"/>
  <c r="J2487" i="12"/>
  <c r="I2487" i="12"/>
  <c r="H2487" i="12"/>
  <c r="G2487" i="12"/>
  <c r="F2487" i="12"/>
  <c r="J2486" i="12"/>
  <c r="I2486" i="12"/>
  <c r="H2486" i="12"/>
  <c r="G2486" i="12"/>
  <c r="F2486" i="12"/>
  <c r="J2485" i="12"/>
  <c r="I2485" i="12"/>
  <c r="H2485" i="12"/>
  <c r="G2485" i="12"/>
  <c r="F2485" i="12"/>
  <c r="J2484" i="12"/>
  <c r="I2484" i="12"/>
  <c r="H2484" i="12"/>
  <c r="G2484" i="12"/>
  <c r="F2484" i="12"/>
  <c r="J2483" i="12"/>
  <c r="I2483" i="12"/>
  <c r="H2483" i="12"/>
  <c r="G2483" i="12"/>
  <c r="F2483" i="12"/>
  <c r="J2482" i="12"/>
  <c r="I2482" i="12"/>
  <c r="H2482" i="12"/>
  <c r="G2482" i="12"/>
  <c r="F2482" i="12"/>
  <c r="J2481" i="12"/>
  <c r="I2481" i="12"/>
  <c r="H2481" i="12"/>
  <c r="G2481" i="12"/>
  <c r="F2481" i="12"/>
  <c r="J2480" i="12"/>
  <c r="I2480" i="12"/>
  <c r="H2480" i="12"/>
  <c r="G2480" i="12"/>
  <c r="F2480" i="12"/>
  <c r="J2479" i="12"/>
  <c r="I2479" i="12"/>
  <c r="H2479" i="12"/>
  <c r="G2479" i="12"/>
  <c r="F2479" i="12"/>
  <c r="J2478" i="12"/>
  <c r="I2478" i="12"/>
  <c r="H2478" i="12"/>
  <c r="G2478" i="12"/>
  <c r="F2478" i="12"/>
  <c r="J2477" i="12"/>
  <c r="I2477" i="12"/>
  <c r="H2477" i="12"/>
  <c r="G2477" i="12"/>
  <c r="F2477" i="12"/>
  <c r="J2476" i="12"/>
  <c r="I2476" i="12"/>
  <c r="H2476" i="12"/>
  <c r="G2476" i="12"/>
  <c r="F2476" i="12"/>
  <c r="J2475" i="12"/>
  <c r="I2475" i="12"/>
  <c r="H2475" i="12"/>
  <c r="G2475" i="12"/>
  <c r="F2475" i="12"/>
  <c r="J2474" i="12"/>
  <c r="I2474" i="12"/>
  <c r="H2474" i="12"/>
  <c r="G2474" i="12"/>
  <c r="F2474" i="12"/>
  <c r="J2473" i="12"/>
  <c r="I2473" i="12"/>
  <c r="H2473" i="12"/>
  <c r="G2473" i="12"/>
  <c r="F2473" i="12"/>
  <c r="J2472" i="12"/>
  <c r="I2472" i="12"/>
  <c r="H2472" i="12"/>
  <c r="G2472" i="12"/>
  <c r="F2472" i="12"/>
  <c r="J2471" i="12"/>
  <c r="I2471" i="12"/>
  <c r="H2471" i="12"/>
  <c r="G2471" i="12"/>
  <c r="F2471" i="12"/>
  <c r="J2470" i="12"/>
  <c r="I2470" i="12"/>
  <c r="H2470" i="12"/>
  <c r="G2470" i="12"/>
  <c r="F2470" i="12"/>
  <c r="J2469" i="12"/>
  <c r="I2469" i="12"/>
  <c r="H2469" i="12"/>
  <c r="G2469" i="12"/>
  <c r="F2469" i="12"/>
  <c r="J2468" i="12"/>
  <c r="I2468" i="12"/>
  <c r="H2468" i="12"/>
  <c r="G2468" i="12"/>
  <c r="F2468" i="12"/>
  <c r="J2467" i="12"/>
  <c r="I2467" i="12"/>
  <c r="H2467" i="12"/>
  <c r="G2467" i="12"/>
  <c r="F2467" i="12"/>
  <c r="J2466" i="12"/>
  <c r="I2466" i="12"/>
  <c r="H2466" i="12"/>
  <c r="G2466" i="12"/>
  <c r="F2466" i="12"/>
  <c r="J2465" i="12"/>
  <c r="I2465" i="12"/>
  <c r="H2465" i="12"/>
  <c r="G2465" i="12"/>
  <c r="F2465" i="12"/>
  <c r="J2464" i="12"/>
  <c r="I2464" i="12"/>
  <c r="H2464" i="12"/>
  <c r="G2464" i="12"/>
  <c r="F2464" i="12"/>
  <c r="J2463" i="12"/>
  <c r="I2463" i="12"/>
  <c r="H2463" i="12"/>
  <c r="G2463" i="12"/>
  <c r="F2463" i="12"/>
  <c r="J2462" i="12"/>
  <c r="I2462" i="12"/>
  <c r="H2462" i="12"/>
  <c r="G2462" i="12"/>
  <c r="F2462" i="12"/>
  <c r="J2461" i="12"/>
  <c r="I2461" i="12"/>
  <c r="H2461" i="12"/>
  <c r="G2461" i="12"/>
  <c r="F2461" i="12"/>
  <c r="J2460" i="12"/>
  <c r="I2460" i="12"/>
  <c r="H2460" i="12"/>
  <c r="G2460" i="12"/>
  <c r="F2460" i="12"/>
  <c r="J2459" i="12"/>
  <c r="I2459" i="12"/>
  <c r="H2459" i="12"/>
  <c r="G2459" i="12"/>
  <c r="F2459" i="12"/>
  <c r="J2458" i="12"/>
  <c r="I2458" i="12"/>
  <c r="H2458" i="12"/>
  <c r="G2458" i="12"/>
  <c r="F2458" i="12"/>
  <c r="J2457" i="12"/>
  <c r="I2457" i="12"/>
  <c r="H2457" i="12"/>
  <c r="G2457" i="12"/>
  <c r="F2457" i="12"/>
  <c r="J2456" i="12"/>
  <c r="I2456" i="12"/>
  <c r="H2456" i="12"/>
  <c r="G2456" i="12"/>
  <c r="F2456" i="12"/>
  <c r="J2455" i="12"/>
  <c r="I2455" i="12"/>
  <c r="H2455" i="12"/>
  <c r="G2455" i="12"/>
  <c r="F2455" i="12"/>
  <c r="J2454" i="12"/>
  <c r="I2454" i="12"/>
  <c r="H2454" i="12"/>
  <c r="G2454" i="12"/>
  <c r="F2454" i="12"/>
  <c r="J2453" i="12"/>
  <c r="I2453" i="12"/>
  <c r="H2453" i="12"/>
  <c r="G2453" i="12"/>
  <c r="F2453" i="12"/>
  <c r="J2452" i="12"/>
  <c r="I2452" i="12"/>
  <c r="H2452" i="12"/>
  <c r="G2452" i="12"/>
  <c r="F2452" i="12"/>
  <c r="J2451" i="12"/>
  <c r="I2451" i="12"/>
  <c r="H2451" i="12"/>
  <c r="G2451" i="12"/>
  <c r="F2451" i="12"/>
  <c r="J2450" i="12"/>
  <c r="I2450" i="12"/>
  <c r="H2450" i="12"/>
  <c r="G2450" i="12"/>
  <c r="F2450" i="12"/>
  <c r="J2449" i="12"/>
  <c r="I2449" i="12"/>
  <c r="H2449" i="12"/>
  <c r="G2449" i="12"/>
  <c r="F2449" i="12"/>
  <c r="J2448" i="12"/>
  <c r="I2448" i="12"/>
  <c r="H2448" i="12"/>
  <c r="G2448" i="12"/>
  <c r="F2448" i="12"/>
  <c r="J2447" i="12"/>
  <c r="I2447" i="12"/>
  <c r="H2447" i="12"/>
  <c r="G2447" i="12"/>
  <c r="F2447" i="12"/>
  <c r="J2446" i="12"/>
  <c r="I2446" i="12"/>
  <c r="H2446" i="12"/>
  <c r="G2446" i="12"/>
  <c r="F2446" i="12"/>
  <c r="J2445" i="12"/>
  <c r="I2445" i="12"/>
  <c r="H2445" i="12"/>
  <c r="G2445" i="12"/>
  <c r="F2445" i="12"/>
  <c r="J2444" i="12"/>
  <c r="I2444" i="12"/>
  <c r="H2444" i="12"/>
  <c r="G2444" i="12"/>
  <c r="F2444" i="12"/>
  <c r="J2443" i="12"/>
  <c r="I2443" i="12"/>
  <c r="H2443" i="12"/>
  <c r="G2443" i="12"/>
  <c r="F2443" i="12"/>
  <c r="J2442" i="12"/>
  <c r="I2442" i="12"/>
  <c r="H2442" i="12"/>
  <c r="G2442" i="12"/>
  <c r="F2442" i="12"/>
  <c r="J2441" i="12"/>
  <c r="I2441" i="12"/>
  <c r="H2441" i="12"/>
  <c r="G2441" i="12"/>
  <c r="F2441" i="12"/>
  <c r="J2440" i="12"/>
  <c r="I2440" i="12"/>
  <c r="H2440" i="12"/>
  <c r="G2440" i="12"/>
  <c r="F2440" i="12"/>
  <c r="J2439" i="12"/>
  <c r="I2439" i="12"/>
  <c r="H2439" i="12"/>
  <c r="G2439" i="12"/>
  <c r="F2439" i="12"/>
  <c r="J2438" i="12"/>
  <c r="I2438" i="12"/>
  <c r="H2438" i="12"/>
  <c r="G2438" i="12"/>
  <c r="F2438" i="12"/>
  <c r="J2437" i="12"/>
  <c r="I2437" i="12"/>
  <c r="H2437" i="12"/>
  <c r="G2437" i="12"/>
  <c r="F2437" i="12"/>
  <c r="J2436" i="12"/>
  <c r="I2436" i="12"/>
  <c r="H2436" i="12"/>
  <c r="G2436" i="12"/>
  <c r="F2436" i="12"/>
  <c r="J2435" i="12"/>
  <c r="I2435" i="12"/>
  <c r="H2435" i="12"/>
  <c r="G2435" i="12"/>
  <c r="F2435" i="12"/>
  <c r="J2434" i="12"/>
  <c r="I2434" i="12"/>
  <c r="H2434" i="12"/>
  <c r="G2434" i="12"/>
  <c r="F2434" i="12"/>
  <c r="J2433" i="12"/>
  <c r="I2433" i="12"/>
  <c r="H2433" i="12"/>
  <c r="G2433" i="12"/>
  <c r="F2433" i="12"/>
  <c r="J2432" i="12"/>
  <c r="I2432" i="12"/>
  <c r="H2432" i="12"/>
  <c r="G2432" i="12"/>
  <c r="F2432" i="12"/>
  <c r="J2431" i="12"/>
  <c r="I2431" i="12"/>
  <c r="H2431" i="12"/>
  <c r="G2431" i="12"/>
  <c r="F2431" i="12"/>
  <c r="J2430" i="12"/>
  <c r="I2430" i="12"/>
  <c r="H2430" i="12"/>
  <c r="G2430" i="12"/>
  <c r="F2430" i="12"/>
  <c r="J2429" i="12"/>
  <c r="I2429" i="12"/>
  <c r="H2429" i="12"/>
  <c r="G2429" i="12"/>
  <c r="F2429" i="12"/>
  <c r="J2428" i="12"/>
  <c r="I2428" i="12"/>
  <c r="H2428" i="12"/>
  <c r="G2428" i="12"/>
  <c r="F2428" i="12"/>
  <c r="J2427" i="12"/>
  <c r="I2427" i="12"/>
  <c r="H2427" i="12"/>
  <c r="G2427" i="12"/>
  <c r="F2427" i="12"/>
  <c r="J2426" i="12"/>
  <c r="I2426" i="12"/>
  <c r="H2426" i="12"/>
  <c r="G2426" i="12"/>
  <c r="F2426" i="12"/>
  <c r="J2425" i="12"/>
  <c r="I2425" i="12"/>
  <c r="H2425" i="12"/>
  <c r="G2425" i="12"/>
  <c r="F2425" i="12"/>
  <c r="J2424" i="12"/>
  <c r="I2424" i="12"/>
  <c r="H2424" i="12"/>
  <c r="G2424" i="12"/>
  <c r="F2424" i="12"/>
  <c r="J2423" i="12"/>
  <c r="I2423" i="12"/>
  <c r="H2423" i="12"/>
  <c r="G2423" i="12"/>
  <c r="F2423" i="12"/>
  <c r="J2422" i="12"/>
  <c r="I2422" i="12"/>
  <c r="H2422" i="12"/>
  <c r="G2422" i="12"/>
  <c r="F2422" i="12"/>
  <c r="J2421" i="12"/>
  <c r="I2421" i="12"/>
  <c r="H2421" i="12"/>
  <c r="G2421" i="12"/>
  <c r="F2421" i="12"/>
  <c r="J2420" i="12"/>
  <c r="I2420" i="12"/>
  <c r="H2420" i="12"/>
  <c r="G2420" i="12"/>
  <c r="F2420" i="12"/>
  <c r="J2419" i="12"/>
  <c r="I2419" i="12"/>
  <c r="H2419" i="12"/>
  <c r="G2419" i="12"/>
  <c r="F2419" i="12"/>
  <c r="J2418" i="12"/>
  <c r="I2418" i="12"/>
  <c r="H2418" i="12"/>
  <c r="G2418" i="12"/>
  <c r="F2418" i="12"/>
  <c r="J2417" i="12"/>
  <c r="I2417" i="12"/>
  <c r="H2417" i="12"/>
  <c r="G2417" i="12"/>
  <c r="F2417" i="12"/>
  <c r="J2416" i="12"/>
  <c r="I2416" i="12"/>
  <c r="H2416" i="12"/>
  <c r="G2416" i="12"/>
  <c r="F2416" i="12"/>
  <c r="J2415" i="12"/>
  <c r="I2415" i="12"/>
  <c r="H2415" i="12"/>
  <c r="G2415" i="12"/>
  <c r="F2415" i="12"/>
  <c r="J2414" i="12"/>
  <c r="I2414" i="12"/>
  <c r="H2414" i="12"/>
  <c r="G2414" i="12"/>
  <c r="F2414" i="12"/>
  <c r="J2413" i="12"/>
  <c r="I2413" i="12"/>
  <c r="H2413" i="12"/>
  <c r="G2413" i="12"/>
  <c r="F2413" i="12"/>
  <c r="J2412" i="12"/>
  <c r="I2412" i="12"/>
  <c r="H2412" i="12"/>
  <c r="G2412" i="12"/>
  <c r="F2412" i="12"/>
  <c r="J2411" i="12"/>
  <c r="I2411" i="12"/>
  <c r="H2411" i="12"/>
  <c r="G2411" i="12"/>
  <c r="F2411" i="12"/>
  <c r="J2410" i="12"/>
  <c r="I2410" i="12"/>
  <c r="H2410" i="12"/>
  <c r="G2410" i="12"/>
  <c r="F2410" i="12"/>
  <c r="J2409" i="12"/>
  <c r="I2409" i="12"/>
  <c r="H2409" i="12"/>
  <c r="G2409" i="12"/>
  <c r="F2409" i="12"/>
  <c r="J2408" i="12"/>
  <c r="I2408" i="12"/>
  <c r="H2408" i="12"/>
  <c r="G2408" i="12"/>
  <c r="F2408" i="12"/>
  <c r="J2407" i="12"/>
  <c r="I2407" i="12"/>
  <c r="H2407" i="12"/>
  <c r="G2407" i="12"/>
  <c r="F2407" i="12"/>
  <c r="J2406" i="12"/>
  <c r="I2406" i="12"/>
  <c r="H2406" i="12"/>
  <c r="G2406" i="12"/>
  <c r="F2406" i="12"/>
  <c r="J2405" i="12"/>
  <c r="I2405" i="12"/>
  <c r="H2405" i="12"/>
  <c r="G2405" i="12"/>
  <c r="F2405" i="12"/>
  <c r="J2404" i="12"/>
  <c r="I2404" i="12"/>
  <c r="H2404" i="12"/>
  <c r="G2404" i="12"/>
  <c r="F2404" i="12"/>
  <c r="J2403" i="12"/>
  <c r="I2403" i="12"/>
  <c r="H2403" i="12"/>
  <c r="G2403" i="12"/>
  <c r="F2403" i="12"/>
  <c r="J2402" i="12"/>
  <c r="I2402" i="12"/>
  <c r="H2402" i="12"/>
  <c r="G2402" i="12"/>
  <c r="F2402" i="12"/>
  <c r="J2401" i="12"/>
  <c r="I2401" i="12"/>
  <c r="H2401" i="12"/>
  <c r="G2401" i="12"/>
  <c r="F2401" i="12"/>
  <c r="J2400" i="12"/>
  <c r="I2400" i="12"/>
  <c r="H2400" i="12"/>
  <c r="G2400" i="12"/>
  <c r="F2400" i="12"/>
  <c r="J2399" i="12"/>
  <c r="I2399" i="12"/>
  <c r="H2399" i="12"/>
  <c r="G2399" i="12"/>
  <c r="F2399" i="12"/>
  <c r="J2398" i="12"/>
  <c r="I2398" i="12"/>
  <c r="H2398" i="12"/>
  <c r="G2398" i="12"/>
  <c r="F2398" i="12"/>
  <c r="J2397" i="12"/>
  <c r="I2397" i="12"/>
  <c r="H2397" i="12"/>
  <c r="G2397" i="12"/>
  <c r="F2397" i="12"/>
  <c r="J2396" i="12"/>
  <c r="I2396" i="12"/>
  <c r="H2396" i="12"/>
  <c r="G2396" i="12"/>
  <c r="F2396" i="12"/>
  <c r="J2395" i="12"/>
  <c r="I2395" i="12"/>
  <c r="H2395" i="12"/>
  <c r="G2395" i="12"/>
  <c r="F2395" i="12"/>
  <c r="J2394" i="12"/>
  <c r="I2394" i="12"/>
  <c r="H2394" i="12"/>
  <c r="G2394" i="12"/>
  <c r="F2394" i="12"/>
  <c r="J2393" i="12"/>
  <c r="I2393" i="12"/>
  <c r="H2393" i="12"/>
  <c r="G2393" i="12"/>
  <c r="F2393" i="12"/>
  <c r="J2392" i="12"/>
  <c r="I2392" i="12"/>
  <c r="H2392" i="12"/>
  <c r="G2392" i="12"/>
  <c r="F2392" i="12"/>
  <c r="J2391" i="12"/>
  <c r="I2391" i="12"/>
  <c r="H2391" i="12"/>
  <c r="G2391" i="12"/>
  <c r="F2391" i="12"/>
  <c r="J2390" i="12"/>
  <c r="I2390" i="12"/>
  <c r="H2390" i="12"/>
  <c r="G2390" i="12"/>
  <c r="F2390" i="12"/>
  <c r="J2389" i="12"/>
  <c r="I2389" i="12"/>
  <c r="H2389" i="12"/>
  <c r="G2389" i="12"/>
  <c r="F2389" i="12"/>
  <c r="J2388" i="12"/>
  <c r="I2388" i="12"/>
  <c r="H2388" i="12"/>
  <c r="G2388" i="12"/>
  <c r="F2388" i="12"/>
  <c r="J2387" i="12"/>
  <c r="I2387" i="12"/>
  <c r="H2387" i="12"/>
  <c r="G2387" i="12"/>
  <c r="F2387" i="12"/>
  <c r="J2386" i="12"/>
  <c r="I2386" i="12"/>
  <c r="H2386" i="12"/>
  <c r="G2386" i="12"/>
  <c r="F2386" i="12"/>
  <c r="J2385" i="12"/>
  <c r="I2385" i="12"/>
  <c r="H2385" i="12"/>
  <c r="G2385" i="12"/>
  <c r="F2385" i="12"/>
  <c r="J2384" i="12"/>
  <c r="I2384" i="12"/>
  <c r="H2384" i="12"/>
  <c r="G2384" i="12"/>
  <c r="F2384" i="12"/>
  <c r="J2383" i="12"/>
  <c r="I2383" i="12"/>
  <c r="H2383" i="12"/>
  <c r="G2383" i="12"/>
  <c r="F2383" i="12"/>
  <c r="J2382" i="12"/>
  <c r="I2382" i="12"/>
  <c r="H2382" i="12"/>
  <c r="G2382" i="12"/>
  <c r="F2382" i="12"/>
  <c r="J2381" i="12"/>
  <c r="I2381" i="12"/>
  <c r="H2381" i="12"/>
  <c r="G2381" i="12"/>
  <c r="F2381" i="12"/>
  <c r="J2380" i="12"/>
  <c r="I2380" i="12"/>
  <c r="H2380" i="12"/>
  <c r="G2380" i="12"/>
  <c r="F2380" i="12"/>
  <c r="J2379" i="12"/>
  <c r="I2379" i="12"/>
  <c r="H2379" i="12"/>
  <c r="G2379" i="12"/>
  <c r="F2379" i="12"/>
  <c r="J2378" i="12"/>
  <c r="I2378" i="12"/>
  <c r="H2378" i="12"/>
  <c r="G2378" i="12"/>
  <c r="F2378" i="12"/>
  <c r="J2377" i="12"/>
  <c r="I2377" i="12"/>
  <c r="H2377" i="12"/>
  <c r="G2377" i="12"/>
  <c r="F2377" i="12"/>
  <c r="J2376" i="12"/>
  <c r="I2376" i="12"/>
  <c r="H2376" i="12"/>
  <c r="G2376" i="12"/>
  <c r="F2376" i="12"/>
  <c r="J2375" i="12"/>
  <c r="I2375" i="12"/>
  <c r="H2375" i="12"/>
  <c r="G2375" i="12"/>
  <c r="F2375" i="12"/>
  <c r="J2374" i="12"/>
  <c r="I2374" i="12"/>
  <c r="H2374" i="12"/>
  <c r="G2374" i="12"/>
  <c r="F2374" i="12"/>
  <c r="J2373" i="12"/>
  <c r="I2373" i="12"/>
  <c r="H2373" i="12"/>
  <c r="G2373" i="12"/>
  <c r="F2373" i="12"/>
  <c r="J2372" i="12"/>
  <c r="I2372" i="12"/>
  <c r="H2372" i="12"/>
  <c r="G2372" i="12"/>
  <c r="F2372" i="12"/>
  <c r="J2371" i="12"/>
  <c r="I2371" i="12"/>
  <c r="H2371" i="12"/>
  <c r="G2371" i="12"/>
  <c r="F2371" i="12"/>
  <c r="J2370" i="12"/>
  <c r="I2370" i="12"/>
  <c r="H2370" i="12"/>
  <c r="G2370" i="12"/>
  <c r="F2370" i="12"/>
  <c r="J2369" i="12"/>
  <c r="I2369" i="12"/>
  <c r="H2369" i="12"/>
  <c r="G2369" i="12"/>
  <c r="F2369" i="12"/>
  <c r="J2368" i="12"/>
  <c r="I2368" i="12"/>
  <c r="H2368" i="12"/>
  <c r="G2368" i="12"/>
  <c r="F2368" i="12"/>
  <c r="J2367" i="12"/>
  <c r="I2367" i="12"/>
  <c r="H2367" i="12"/>
  <c r="G2367" i="12"/>
  <c r="F2367" i="12"/>
  <c r="J2366" i="12"/>
  <c r="I2366" i="12"/>
  <c r="H2366" i="12"/>
  <c r="G2366" i="12"/>
  <c r="F2366" i="12"/>
  <c r="J2365" i="12"/>
  <c r="I2365" i="12"/>
  <c r="H2365" i="12"/>
  <c r="G2365" i="12"/>
  <c r="F2365" i="12"/>
  <c r="J2364" i="12"/>
  <c r="I2364" i="12"/>
  <c r="H2364" i="12"/>
  <c r="G2364" i="12"/>
  <c r="F2364" i="12"/>
  <c r="J2363" i="12"/>
  <c r="I2363" i="12"/>
  <c r="H2363" i="12"/>
  <c r="G2363" i="12"/>
  <c r="F2363" i="12"/>
  <c r="J2362" i="12"/>
  <c r="I2362" i="12"/>
  <c r="H2362" i="12"/>
  <c r="G2362" i="12"/>
  <c r="F2362" i="12"/>
  <c r="J2361" i="12"/>
  <c r="I2361" i="12"/>
  <c r="H2361" i="12"/>
  <c r="G2361" i="12"/>
  <c r="F2361" i="12"/>
  <c r="J2360" i="12"/>
  <c r="I2360" i="12"/>
  <c r="H2360" i="12"/>
  <c r="G2360" i="12"/>
  <c r="F2360" i="12"/>
  <c r="J2359" i="12"/>
  <c r="I2359" i="12"/>
  <c r="H2359" i="12"/>
  <c r="G2359" i="12"/>
  <c r="F2359" i="12"/>
  <c r="J2358" i="12"/>
  <c r="I2358" i="12"/>
  <c r="H2358" i="12"/>
  <c r="G2358" i="12"/>
  <c r="F2358" i="12"/>
  <c r="J2357" i="12"/>
  <c r="I2357" i="12"/>
  <c r="H2357" i="12"/>
  <c r="G2357" i="12"/>
  <c r="F2357" i="12"/>
  <c r="J2356" i="12"/>
  <c r="I2356" i="12"/>
  <c r="H2356" i="12"/>
  <c r="G2356" i="12"/>
  <c r="F2356" i="12"/>
  <c r="J2355" i="12"/>
  <c r="I2355" i="12"/>
  <c r="H2355" i="12"/>
  <c r="G2355" i="12"/>
  <c r="F2355" i="12"/>
  <c r="J2354" i="12"/>
  <c r="I2354" i="12"/>
  <c r="H2354" i="12"/>
  <c r="G2354" i="12"/>
  <c r="F2354" i="12"/>
  <c r="J2353" i="12"/>
  <c r="I2353" i="12"/>
  <c r="H2353" i="12"/>
  <c r="G2353" i="12"/>
  <c r="F2353" i="12"/>
  <c r="J2352" i="12"/>
  <c r="I2352" i="12"/>
  <c r="H2352" i="12"/>
  <c r="G2352" i="12"/>
  <c r="F2352" i="12"/>
  <c r="J2351" i="12"/>
  <c r="I2351" i="12"/>
  <c r="H2351" i="12"/>
  <c r="G2351" i="12"/>
  <c r="F2351" i="12"/>
  <c r="J2350" i="12"/>
  <c r="I2350" i="12"/>
  <c r="H2350" i="12"/>
  <c r="G2350" i="12"/>
  <c r="F2350" i="12"/>
  <c r="J2349" i="12"/>
  <c r="I2349" i="12"/>
  <c r="H2349" i="12"/>
  <c r="G2349" i="12"/>
  <c r="F2349" i="12"/>
  <c r="J2348" i="12"/>
  <c r="I2348" i="12"/>
  <c r="H2348" i="12"/>
  <c r="G2348" i="12"/>
  <c r="F2348" i="12"/>
  <c r="J2347" i="12"/>
  <c r="I2347" i="12"/>
  <c r="H2347" i="12"/>
  <c r="G2347" i="12"/>
  <c r="F2347" i="12"/>
  <c r="J2346" i="12"/>
  <c r="I2346" i="12"/>
  <c r="H2346" i="12"/>
  <c r="G2346" i="12"/>
  <c r="F2346" i="12"/>
  <c r="J2345" i="12"/>
  <c r="I2345" i="12"/>
  <c r="H2345" i="12"/>
  <c r="G2345" i="12"/>
  <c r="F2345" i="12"/>
  <c r="J2344" i="12"/>
  <c r="I2344" i="12"/>
  <c r="H2344" i="12"/>
  <c r="G2344" i="12"/>
  <c r="F2344" i="12"/>
  <c r="J2343" i="12"/>
  <c r="I2343" i="12"/>
  <c r="H2343" i="12"/>
  <c r="G2343" i="12"/>
  <c r="F2343" i="12"/>
  <c r="J2342" i="12"/>
  <c r="I2342" i="12"/>
  <c r="H2342" i="12"/>
  <c r="G2342" i="12"/>
  <c r="F2342" i="12"/>
  <c r="J2341" i="12"/>
  <c r="I2341" i="12"/>
  <c r="H2341" i="12"/>
  <c r="G2341" i="12"/>
  <c r="F2341" i="12"/>
  <c r="J2340" i="12"/>
  <c r="I2340" i="12"/>
  <c r="H2340" i="12"/>
  <c r="G2340" i="12"/>
  <c r="F2340" i="12"/>
  <c r="J2339" i="12"/>
  <c r="I2339" i="12"/>
  <c r="H2339" i="12"/>
  <c r="G2339" i="12"/>
  <c r="F2339" i="12"/>
  <c r="J2338" i="12"/>
  <c r="I2338" i="12"/>
  <c r="H2338" i="12"/>
  <c r="G2338" i="12"/>
  <c r="F2338" i="12"/>
  <c r="J2337" i="12"/>
  <c r="I2337" i="12"/>
  <c r="H2337" i="12"/>
  <c r="G2337" i="12"/>
  <c r="F2337" i="12"/>
  <c r="J2336" i="12"/>
  <c r="I2336" i="12"/>
  <c r="H2336" i="12"/>
  <c r="G2336" i="12"/>
  <c r="F2336" i="12"/>
  <c r="J2335" i="12"/>
  <c r="I2335" i="12"/>
  <c r="H2335" i="12"/>
  <c r="G2335" i="12"/>
  <c r="F2335" i="12"/>
  <c r="J2334" i="12"/>
  <c r="I2334" i="12"/>
  <c r="H2334" i="12"/>
  <c r="G2334" i="12"/>
  <c r="F2334" i="12"/>
  <c r="J2333" i="12"/>
  <c r="I2333" i="12"/>
  <c r="H2333" i="12"/>
  <c r="G2333" i="12"/>
  <c r="F2333" i="12"/>
  <c r="J2332" i="12"/>
  <c r="I2332" i="12"/>
  <c r="H2332" i="12"/>
  <c r="G2332" i="12"/>
  <c r="F2332" i="12"/>
  <c r="J2331" i="12"/>
  <c r="I2331" i="12"/>
  <c r="H2331" i="12"/>
  <c r="G2331" i="12"/>
  <c r="F2331" i="12"/>
  <c r="J2330" i="12"/>
  <c r="I2330" i="12"/>
  <c r="H2330" i="12"/>
  <c r="G2330" i="12"/>
  <c r="F2330" i="12"/>
  <c r="J2329" i="12"/>
  <c r="I2329" i="12"/>
  <c r="H2329" i="12"/>
  <c r="G2329" i="12"/>
  <c r="F2329" i="12"/>
  <c r="J2328" i="12"/>
  <c r="I2328" i="12"/>
  <c r="H2328" i="12"/>
  <c r="G2328" i="12"/>
  <c r="F2328" i="12"/>
  <c r="J2327" i="12"/>
  <c r="I2327" i="12"/>
  <c r="H2327" i="12"/>
  <c r="G2327" i="12"/>
  <c r="F2327" i="12"/>
  <c r="J2326" i="12"/>
  <c r="I2326" i="12"/>
  <c r="H2326" i="12"/>
  <c r="G2326" i="12"/>
  <c r="F2326" i="12"/>
  <c r="J2325" i="12"/>
  <c r="I2325" i="12"/>
  <c r="H2325" i="12"/>
  <c r="G2325" i="12"/>
  <c r="F2325" i="12"/>
  <c r="J2324" i="12"/>
  <c r="I2324" i="12"/>
  <c r="H2324" i="12"/>
  <c r="G2324" i="12"/>
  <c r="F2324" i="12"/>
  <c r="J2323" i="12"/>
  <c r="I2323" i="12"/>
  <c r="H2323" i="12"/>
  <c r="G2323" i="12"/>
  <c r="F2323" i="12"/>
  <c r="J2322" i="12"/>
  <c r="I2322" i="12"/>
  <c r="H2322" i="12"/>
  <c r="G2322" i="12"/>
  <c r="F2322" i="12"/>
  <c r="J2321" i="12"/>
  <c r="I2321" i="12"/>
  <c r="H2321" i="12"/>
  <c r="G2321" i="12"/>
  <c r="F2321" i="12"/>
  <c r="J2320" i="12"/>
  <c r="I2320" i="12"/>
  <c r="H2320" i="12"/>
  <c r="G2320" i="12"/>
  <c r="F2320" i="12"/>
  <c r="J2319" i="12"/>
  <c r="I2319" i="12"/>
  <c r="H2319" i="12"/>
  <c r="G2319" i="12"/>
  <c r="F2319" i="12"/>
  <c r="J2318" i="12"/>
  <c r="I2318" i="12"/>
  <c r="H2318" i="12"/>
  <c r="G2318" i="12"/>
  <c r="F2318" i="12"/>
  <c r="J2317" i="12"/>
  <c r="I2317" i="12"/>
  <c r="H2317" i="12"/>
  <c r="G2317" i="12"/>
  <c r="F2317" i="12"/>
  <c r="J2316" i="12"/>
  <c r="I2316" i="12"/>
  <c r="H2316" i="12"/>
  <c r="G2316" i="12"/>
  <c r="F2316" i="12"/>
  <c r="J2315" i="12"/>
  <c r="I2315" i="12"/>
  <c r="H2315" i="12"/>
  <c r="G2315" i="12"/>
  <c r="F2315" i="12"/>
  <c r="J2314" i="12"/>
  <c r="I2314" i="12"/>
  <c r="H2314" i="12"/>
  <c r="G2314" i="12"/>
  <c r="F2314" i="12"/>
  <c r="J2313" i="12"/>
  <c r="I2313" i="12"/>
  <c r="H2313" i="12"/>
  <c r="G2313" i="12"/>
  <c r="F2313" i="12"/>
  <c r="J2312" i="12"/>
  <c r="I2312" i="12"/>
  <c r="H2312" i="12"/>
  <c r="G2312" i="12"/>
  <c r="F2312" i="12"/>
  <c r="J2311" i="12"/>
  <c r="I2311" i="12"/>
  <c r="H2311" i="12"/>
  <c r="G2311" i="12"/>
  <c r="F2311" i="12"/>
  <c r="J2310" i="12"/>
  <c r="I2310" i="12"/>
  <c r="H2310" i="12"/>
  <c r="G2310" i="12"/>
  <c r="F2310" i="12"/>
  <c r="J2309" i="12"/>
  <c r="I2309" i="12"/>
  <c r="H2309" i="12"/>
  <c r="G2309" i="12"/>
  <c r="F2309" i="12"/>
  <c r="J2308" i="12"/>
  <c r="I2308" i="12"/>
  <c r="H2308" i="12"/>
  <c r="G2308" i="12"/>
  <c r="F2308" i="12"/>
  <c r="J2307" i="12"/>
  <c r="I2307" i="12"/>
  <c r="H2307" i="12"/>
  <c r="G2307" i="12"/>
  <c r="F2307" i="12"/>
  <c r="J2306" i="12"/>
  <c r="I2306" i="12"/>
  <c r="H2306" i="12"/>
  <c r="G2306" i="12"/>
  <c r="F2306" i="12"/>
  <c r="J2305" i="12"/>
  <c r="I2305" i="12"/>
  <c r="H2305" i="12"/>
  <c r="G2305" i="12"/>
  <c r="F2305" i="12"/>
  <c r="J2304" i="12"/>
  <c r="I2304" i="12"/>
  <c r="H2304" i="12"/>
  <c r="G2304" i="12"/>
  <c r="F2304" i="12"/>
  <c r="J2303" i="12"/>
  <c r="I2303" i="12"/>
  <c r="H2303" i="12"/>
  <c r="G2303" i="12"/>
  <c r="F2303" i="12"/>
  <c r="J2302" i="12"/>
  <c r="I2302" i="12"/>
  <c r="H2302" i="12"/>
  <c r="G2302" i="12"/>
  <c r="F2302" i="12"/>
  <c r="J2301" i="12"/>
  <c r="I2301" i="12"/>
  <c r="H2301" i="12"/>
  <c r="G2301" i="12"/>
  <c r="F2301" i="12"/>
  <c r="J2300" i="12"/>
  <c r="I2300" i="12"/>
  <c r="H2300" i="12"/>
  <c r="G2300" i="12"/>
  <c r="F2300" i="12"/>
  <c r="J2299" i="12"/>
  <c r="I2299" i="12"/>
  <c r="H2299" i="12"/>
  <c r="G2299" i="12"/>
  <c r="F2299" i="12"/>
  <c r="J2298" i="12"/>
  <c r="I2298" i="12"/>
  <c r="H2298" i="12"/>
  <c r="G2298" i="12"/>
  <c r="F2298" i="12"/>
  <c r="J2297" i="12"/>
  <c r="I2297" i="12"/>
  <c r="H2297" i="12"/>
  <c r="G2297" i="12"/>
  <c r="F2297" i="12"/>
  <c r="J2296" i="12"/>
  <c r="I2296" i="12"/>
  <c r="H2296" i="12"/>
  <c r="G2296" i="12"/>
  <c r="F2296" i="12"/>
  <c r="J2295" i="12"/>
  <c r="I2295" i="12"/>
  <c r="H2295" i="12"/>
  <c r="G2295" i="12"/>
  <c r="F2295" i="12"/>
  <c r="J2294" i="12"/>
  <c r="I2294" i="12"/>
  <c r="H2294" i="12"/>
  <c r="G2294" i="12"/>
  <c r="F2294" i="12"/>
  <c r="J2293" i="12"/>
  <c r="I2293" i="12"/>
  <c r="H2293" i="12"/>
  <c r="G2293" i="12"/>
  <c r="F2293" i="12"/>
  <c r="J2292" i="12"/>
  <c r="I2292" i="12"/>
  <c r="H2292" i="12"/>
  <c r="G2292" i="12"/>
  <c r="F2292" i="12"/>
  <c r="J2291" i="12"/>
  <c r="I2291" i="12"/>
  <c r="H2291" i="12"/>
  <c r="G2291" i="12"/>
  <c r="F2291" i="12"/>
  <c r="J2290" i="12"/>
  <c r="I2290" i="12"/>
  <c r="H2290" i="12"/>
  <c r="G2290" i="12"/>
  <c r="F2290" i="12"/>
  <c r="J2289" i="12"/>
  <c r="I2289" i="12"/>
  <c r="H2289" i="12"/>
  <c r="G2289" i="12"/>
  <c r="F2289" i="12"/>
  <c r="J2288" i="12"/>
  <c r="I2288" i="12"/>
  <c r="H2288" i="12"/>
  <c r="G2288" i="12"/>
  <c r="F2288" i="12"/>
  <c r="J2287" i="12"/>
  <c r="I2287" i="12"/>
  <c r="H2287" i="12"/>
  <c r="G2287" i="12"/>
  <c r="F2287" i="12"/>
  <c r="J2286" i="12"/>
  <c r="I2286" i="12"/>
  <c r="H2286" i="12"/>
  <c r="G2286" i="12"/>
  <c r="F2286" i="12"/>
  <c r="J2285" i="12"/>
  <c r="I2285" i="12"/>
  <c r="H2285" i="12"/>
  <c r="G2285" i="12"/>
  <c r="F2285" i="12"/>
  <c r="J2284" i="12"/>
  <c r="I2284" i="12"/>
  <c r="H2284" i="12"/>
  <c r="G2284" i="12"/>
  <c r="F2284" i="12"/>
  <c r="J2283" i="12"/>
  <c r="I2283" i="12"/>
  <c r="H2283" i="12"/>
  <c r="G2283" i="12"/>
  <c r="F2283" i="12"/>
  <c r="J2282" i="12"/>
  <c r="I2282" i="12"/>
  <c r="H2282" i="12"/>
  <c r="G2282" i="12"/>
  <c r="F2282" i="12"/>
  <c r="J2281" i="12"/>
  <c r="I2281" i="12"/>
  <c r="H2281" i="12"/>
  <c r="G2281" i="12"/>
  <c r="F2281" i="12"/>
  <c r="J2280" i="12"/>
  <c r="I2280" i="12"/>
  <c r="H2280" i="12"/>
  <c r="G2280" i="12"/>
  <c r="F2280" i="12"/>
  <c r="J2279" i="12"/>
  <c r="I2279" i="12"/>
  <c r="H2279" i="12"/>
  <c r="G2279" i="12"/>
  <c r="F2279" i="12"/>
  <c r="J2278" i="12"/>
  <c r="I2278" i="12"/>
  <c r="H2278" i="12"/>
  <c r="G2278" i="12"/>
  <c r="F2278" i="12"/>
  <c r="J2277" i="12"/>
  <c r="I2277" i="12"/>
  <c r="H2277" i="12"/>
  <c r="G2277" i="12"/>
  <c r="F2277" i="12"/>
  <c r="J2276" i="12"/>
  <c r="I2276" i="12"/>
  <c r="H2276" i="12"/>
  <c r="G2276" i="12"/>
  <c r="F2276" i="12"/>
  <c r="J2275" i="12"/>
  <c r="I2275" i="12"/>
  <c r="H2275" i="12"/>
  <c r="G2275" i="12"/>
  <c r="F2275" i="12"/>
  <c r="J2274" i="12"/>
  <c r="I2274" i="12"/>
  <c r="H2274" i="12"/>
  <c r="G2274" i="12"/>
  <c r="F2274" i="12"/>
  <c r="J2273" i="12"/>
  <c r="I2273" i="12"/>
  <c r="H2273" i="12"/>
  <c r="G2273" i="12"/>
  <c r="F2273" i="12"/>
  <c r="J2272" i="12"/>
  <c r="I2272" i="12"/>
  <c r="H2272" i="12"/>
  <c r="G2272" i="12"/>
  <c r="F2272" i="12"/>
  <c r="J2271" i="12"/>
  <c r="I2271" i="12"/>
  <c r="H2271" i="12"/>
  <c r="G2271" i="12"/>
  <c r="F2271" i="12"/>
  <c r="J2270" i="12"/>
  <c r="I2270" i="12"/>
  <c r="H2270" i="12"/>
  <c r="G2270" i="12"/>
  <c r="F2270" i="12"/>
  <c r="J2269" i="12"/>
  <c r="I2269" i="12"/>
  <c r="H2269" i="12"/>
  <c r="G2269" i="12"/>
  <c r="F2269" i="12"/>
  <c r="J2268" i="12"/>
  <c r="I2268" i="12"/>
  <c r="H2268" i="12"/>
  <c r="G2268" i="12"/>
  <c r="F2268" i="12"/>
  <c r="J2267" i="12"/>
  <c r="I2267" i="12"/>
  <c r="H2267" i="12"/>
  <c r="G2267" i="12"/>
  <c r="F2267" i="12"/>
  <c r="J2266" i="12"/>
  <c r="I2266" i="12"/>
  <c r="H2266" i="12"/>
  <c r="G2266" i="12"/>
  <c r="F2266" i="12"/>
  <c r="J2265" i="12"/>
  <c r="I2265" i="12"/>
  <c r="H2265" i="12"/>
  <c r="G2265" i="12"/>
  <c r="F2265" i="12"/>
  <c r="J2264" i="12"/>
  <c r="I2264" i="12"/>
  <c r="H2264" i="12"/>
  <c r="G2264" i="12"/>
  <c r="F2264" i="12"/>
  <c r="J2263" i="12"/>
  <c r="I2263" i="12"/>
  <c r="H2263" i="12"/>
  <c r="G2263" i="12"/>
  <c r="F2263" i="12"/>
  <c r="J2262" i="12"/>
  <c r="I2262" i="12"/>
  <c r="H2262" i="12"/>
  <c r="G2262" i="12"/>
  <c r="F2262" i="12"/>
  <c r="J2261" i="12"/>
  <c r="I2261" i="12"/>
  <c r="H2261" i="12"/>
  <c r="G2261" i="12"/>
  <c r="F2261" i="12"/>
  <c r="J2260" i="12"/>
  <c r="I2260" i="12"/>
  <c r="H2260" i="12"/>
  <c r="G2260" i="12"/>
  <c r="F2260" i="12"/>
  <c r="J2259" i="12"/>
  <c r="I2259" i="12"/>
  <c r="H2259" i="12"/>
  <c r="G2259" i="12"/>
  <c r="F2259" i="12"/>
  <c r="J2258" i="12"/>
  <c r="I2258" i="12"/>
  <c r="H2258" i="12"/>
  <c r="G2258" i="12"/>
  <c r="F2258" i="12"/>
  <c r="J2257" i="12"/>
  <c r="I2257" i="12"/>
  <c r="H2257" i="12"/>
  <c r="G2257" i="12"/>
  <c r="F2257" i="12"/>
  <c r="J2256" i="12"/>
  <c r="I2256" i="12"/>
  <c r="H2256" i="12"/>
  <c r="G2256" i="12"/>
  <c r="F2256" i="12"/>
  <c r="J2255" i="12"/>
  <c r="I2255" i="12"/>
  <c r="H2255" i="12"/>
  <c r="G2255" i="12"/>
  <c r="F2255" i="12"/>
  <c r="J2254" i="12"/>
  <c r="I2254" i="12"/>
  <c r="H2254" i="12"/>
  <c r="G2254" i="12"/>
  <c r="F2254" i="12"/>
  <c r="J2253" i="12"/>
  <c r="I2253" i="12"/>
  <c r="H2253" i="12"/>
  <c r="G2253" i="12"/>
  <c r="F2253" i="12"/>
  <c r="J2252" i="12"/>
  <c r="I2252" i="12"/>
  <c r="H2252" i="12"/>
  <c r="G2252" i="12"/>
  <c r="F2252" i="12"/>
  <c r="J2251" i="12"/>
  <c r="I2251" i="12"/>
  <c r="H2251" i="12"/>
  <c r="G2251" i="12"/>
  <c r="F2251" i="12"/>
  <c r="J2250" i="12"/>
  <c r="I2250" i="12"/>
  <c r="H2250" i="12"/>
  <c r="G2250" i="12"/>
  <c r="F2250" i="12"/>
  <c r="J2249" i="12"/>
  <c r="I2249" i="12"/>
  <c r="H2249" i="12"/>
  <c r="G2249" i="12"/>
  <c r="F2249" i="12"/>
  <c r="J2248" i="12"/>
  <c r="I2248" i="12"/>
  <c r="H2248" i="12"/>
  <c r="G2248" i="12"/>
  <c r="F2248" i="12"/>
  <c r="J2247" i="12"/>
  <c r="I2247" i="12"/>
  <c r="H2247" i="12"/>
  <c r="G2247" i="12"/>
  <c r="F2247" i="12"/>
  <c r="J2246" i="12"/>
  <c r="I2246" i="12"/>
  <c r="H2246" i="12"/>
  <c r="G2246" i="12"/>
  <c r="F2246" i="12"/>
  <c r="J2245" i="12"/>
  <c r="I2245" i="12"/>
  <c r="H2245" i="12"/>
  <c r="G2245" i="12"/>
  <c r="F2245" i="12"/>
  <c r="J2244" i="12"/>
  <c r="I2244" i="12"/>
  <c r="H2244" i="12"/>
  <c r="G2244" i="12"/>
  <c r="F2244" i="12"/>
  <c r="J2243" i="12"/>
  <c r="I2243" i="12"/>
  <c r="H2243" i="12"/>
  <c r="G2243" i="12"/>
  <c r="F2243" i="12"/>
  <c r="J2242" i="12"/>
  <c r="I2242" i="12"/>
  <c r="H2242" i="12"/>
  <c r="G2242" i="12"/>
  <c r="F2242" i="12"/>
  <c r="J2241" i="12"/>
  <c r="I2241" i="12"/>
  <c r="H2241" i="12"/>
  <c r="G2241" i="12"/>
  <c r="F2241" i="12"/>
  <c r="J2240" i="12"/>
  <c r="I2240" i="12"/>
  <c r="H2240" i="12"/>
  <c r="G2240" i="12"/>
  <c r="F2240" i="12"/>
  <c r="J2239" i="12"/>
  <c r="I2239" i="12"/>
  <c r="H2239" i="12"/>
  <c r="G2239" i="12"/>
  <c r="F2239" i="12"/>
  <c r="J2238" i="12"/>
  <c r="I2238" i="12"/>
  <c r="H2238" i="12"/>
  <c r="G2238" i="12"/>
  <c r="F2238" i="12"/>
  <c r="J2237" i="12"/>
  <c r="I2237" i="12"/>
  <c r="H2237" i="12"/>
  <c r="G2237" i="12"/>
  <c r="F2237" i="12"/>
  <c r="J2236" i="12"/>
  <c r="I2236" i="12"/>
  <c r="H2236" i="12"/>
  <c r="G2236" i="12"/>
  <c r="F2236" i="12"/>
  <c r="J2235" i="12"/>
  <c r="I2235" i="12"/>
  <c r="H2235" i="12"/>
  <c r="G2235" i="12"/>
  <c r="F2235" i="12"/>
  <c r="J2234" i="12"/>
  <c r="I2234" i="12"/>
  <c r="H2234" i="12"/>
  <c r="G2234" i="12"/>
  <c r="F2234" i="12"/>
  <c r="J2233" i="12"/>
  <c r="I2233" i="12"/>
  <c r="H2233" i="12"/>
  <c r="G2233" i="12"/>
  <c r="F2233" i="12"/>
  <c r="J2232" i="12"/>
  <c r="I2232" i="12"/>
  <c r="H2232" i="12"/>
  <c r="G2232" i="12"/>
  <c r="F2232" i="12"/>
  <c r="J2231" i="12"/>
  <c r="I2231" i="12"/>
  <c r="H2231" i="12"/>
  <c r="G2231" i="12"/>
  <c r="F2231" i="12"/>
  <c r="J2230" i="12"/>
  <c r="I2230" i="12"/>
  <c r="H2230" i="12"/>
  <c r="G2230" i="12"/>
  <c r="F2230" i="12"/>
  <c r="J2229" i="12"/>
  <c r="I2229" i="12"/>
  <c r="H2229" i="12"/>
  <c r="G2229" i="12"/>
  <c r="F2229" i="12"/>
  <c r="J2228" i="12"/>
  <c r="I2228" i="12"/>
  <c r="H2228" i="12"/>
  <c r="G2228" i="12"/>
  <c r="F2228" i="12"/>
  <c r="J2227" i="12"/>
  <c r="I2227" i="12"/>
  <c r="H2227" i="12"/>
  <c r="G2227" i="12"/>
  <c r="F2227" i="12"/>
  <c r="J2226" i="12"/>
  <c r="I2226" i="12"/>
  <c r="H2226" i="12"/>
  <c r="G2226" i="12"/>
  <c r="F2226" i="12"/>
  <c r="J2225" i="12"/>
  <c r="I2225" i="12"/>
  <c r="H2225" i="12"/>
  <c r="G2225" i="12"/>
  <c r="F2225" i="12"/>
  <c r="J2224" i="12"/>
  <c r="I2224" i="12"/>
  <c r="H2224" i="12"/>
  <c r="G2224" i="12"/>
  <c r="F2224" i="12"/>
  <c r="J2223" i="12"/>
  <c r="I2223" i="12"/>
  <c r="H2223" i="12"/>
  <c r="G2223" i="12"/>
  <c r="F2223" i="12"/>
  <c r="J2222" i="12"/>
  <c r="I2222" i="12"/>
  <c r="H2222" i="12"/>
  <c r="G2222" i="12"/>
  <c r="F2222" i="12"/>
  <c r="J2221" i="12"/>
  <c r="I2221" i="12"/>
  <c r="H2221" i="12"/>
  <c r="G2221" i="12"/>
  <c r="F2221" i="12"/>
  <c r="J2220" i="12"/>
  <c r="I2220" i="12"/>
  <c r="H2220" i="12"/>
  <c r="G2220" i="12"/>
  <c r="F2220" i="12"/>
  <c r="J2219" i="12"/>
  <c r="I2219" i="12"/>
  <c r="H2219" i="12"/>
  <c r="G2219" i="12"/>
  <c r="F2219" i="12"/>
  <c r="J2218" i="12"/>
  <c r="I2218" i="12"/>
  <c r="H2218" i="12"/>
  <c r="G2218" i="12"/>
  <c r="F2218" i="12"/>
  <c r="J2217" i="12"/>
  <c r="I2217" i="12"/>
  <c r="H2217" i="12"/>
  <c r="G2217" i="12"/>
  <c r="F2217" i="12"/>
  <c r="J2216" i="12"/>
  <c r="I2216" i="12"/>
  <c r="H2216" i="12"/>
  <c r="G2216" i="12"/>
  <c r="F2216" i="12"/>
  <c r="J2215" i="12"/>
  <c r="I2215" i="12"/>
  <c r="H2215" i="12"/>
  <c r="G2215" i="12"/>
  <c r="F2215" i="12"/>
  <c r="J2214" i="12"/>
  <c r="I2214" i="12"/>
  <c r="H2214" i="12"/>
  <c r="G2214" i="12"/>
  <c r="F2214" i="12"/>
  <c r="J2213" i="12"/>
  <c r="I2213" i="12"/>
  <c r="H2213" i="12"/>
  <c r="G2213" i="12"/>
  <c r="F2213" i="12"/>
  <c r="J2212" i="12"/>
  <c r="I2212" i="12"/>
  <c r="H2212" i="12"/>
  <c r="G2212" i="12"/>
  <c r="F2212" i="12"/>
  <c r="J2211" i="12"/>
  <c r="I2211" i="12"/>
  <c r="H2211" i="12"/>
  <c r="G2211" i="12"/>
  <c r="F2211" i="12"/>
  <c r="J2210" i="12"/>
  <c r="I2210" i="12"/>
  <c r="H2210" i="12"/>
  <c r="G2210" i="12"/>
  <c r="F2210" i="12"/>
  <c r="J2209" i="12"/>
  <c r="I2209" i="12"/>
  <c r="H2209" i="12"/>
  <c r="G2209" i="12"/>
  <c r="F2209" i="12"/>
  <c r="J2208" i="12"/>
  <c r="I2208" i="12"/>
  <c r="H2208" i="12"/>
  <c r="G2208" i="12"/>
  <c r="F2208" i="12"/>
  <c r="J2207" i="12"/>
  <c r="I2207" i="12"/>
  <c r="H2207" i="12"/>
  <c r="G2207" i="12"/>
  <c r="F2207" i="12"/>
  <c r="J2206" i="12"/>
  <c r="I2206" i="12"/>
  <c r="H2206" i="12"/>
  <c r="G2206" i="12"/>
  <c r="F2206" i="12"/>
  <c r="J2205" i="12"/>
  <c r="I2205" i="12"/>
  <c r="H2205" i="12"/>
  <c r="G2205" i="12"/>
  <c r="F2205" i="12"/>
  <c r="J2204" i="12"/>
  <c r="I2204" i="12"/>
  <c r="H2204" i="12"/>
  <c r="G2204" i="12"/>
  <c r="F2204" i="12"/>
  <c r="J2203" i="12"/>
  <c r="I2203" i="12"/>
  <c r="H2203" i="12"/>
  <c r="G2203" i="12"/>
  <c r="F2203" i="12"/>
  <c r="J2202" i="12"/>
  <c r="I2202" i="12"/>
  <c r="H2202" i="12"/>
  <c r="G2202" i="12"/>
  <c r="F2202" i="12"/>
  <c r="J2201" i="12"/>
  <c r="I2201" i="12"/>
  <c r="H2201" i="12"/>
  <c r="G2201" i="12"/>
  <c r="F2201" i="12"/>
  <c r="J2200" i="12"/>
  <c r="I2200" i="12"/>
  <c r="H2200" i="12"/>
  <c r="G2200" i="12"/>
  <c r="F2200" i="12"/>
  <c r="J2199" i="12"/>
  <c r="I2199" i="12"/>
  <c r="H2199" i="12"/>
  <c r="G2199" i="12"/>
  <c r="F2199" i="12"/>
  <c r="J2198" i="12"/>
  <c r="I2198" i="12"/>
  <c r="H2198" i="12"/>
  <c r="G2198" i="12"/>
  <c r="F2198" i="12"/>
  <c r="J2197" i="12"/>
  <c r="I2197" i="12"/>
  <c r="H2197" i="12"/>
  <c r="G2197" i="12"/>
  <c r="F2197" i="12"/>
  <c r="J2196" i="12"/>
  <c r="I2196" i="12"/>
  <c r="H2196" i="12"/>
  <c r="G2196" i="12"/>
  <c r="F2196" i="12"/>
  <c r="J2195" i="12"/>
  <c r="I2195" i="12"/>
  <c r="H2195" i="12"/>
  <c r="G2195" i="12"/>
  <c r="F2195" i="12"/>
  <c r="J2194" i="12"/>
  <c r="I2194" i="12"/>
  <c r="H2194" i="12"/>
  <c r="G2194" i="12"/>
  <c r="F2194" i="12"/>
  <c r="J2193" i="12"/>
  <c r="I2193" i="12"/>
  <c r="H2193" i="12"/>
  <c r="G2193" i="12"/>
  <c r="F2193" i="12"/>
  <c r="J2192" i="12"/>
  <c r="I2192" i="12"/>
  <c r="H2192" i="12"/>
  <c r="G2192" i="12"/>
  <c r="F2192" i="12"/>
  <c r="J2191" i="12"/>
  <c r="I2191" i="12"/>
  <c r="H2191" i="12"/>
  <c r="G2191" i="12"/>
  <c r="F2191" i="12"/>
  <c r="J2190" i="12"/>
  <c r="I2190" i="12"/>
  <c r="H2190" i="12"/>
  <c r="G2190" i="12"/>
  <c r="F2190" i="12"/>
  <c r="J2189" i="12"/>
  <c r="I2189" i="12"/>
  <c r="H2189" i="12"/>
  <c r="G2189" i="12"/>
  <c r="F2189" i="12"/>
  <c r="J2188" i="12"/>
  <c r="I2188" i="12"/>
  <c r="H2188" i="12"/>
  <c r="G2188" i="12"/>
  <c r="F2188" i="12"/>
  <c r="J2187" i="12"/>
  <c r="I2187" i="12"/>
  <c r="H2187" i="12"/>
  <c r="G2187" i="12"/>
  <c r="F2187" i="12"/>
  <c r="J2186" i="12"/>
  <c r="I2186" i="12"/>
  <c r="H2186" i="12"/>
  <c r="G2186" i="12"/>
  <c r="F2186" i="12"/>
  <c r="J2185" i="12"/>
  <c r="I2185" i="12"/>
  <c r="H2185" i="12"/>
  <c r="G2185" i="12"/>
  <c r="F2185" i="12"/>
  <c r="J2184" i="12"/>
  <c r="I2184" i="12"/>
  <c r="H2184" i="12"/>
  <c r="G2184" i="12"/>
  <c r="F2184" i="12"/>
  <c r="J2183" i="12"/>
  <c r="I2183" i="12"/>
  <c r="H2183" i="12"/>
  <c r="G2183" i="12"/>
  <c r="F2183" i="12"/>
  <c r="J2182" i="12"/>
  <c r="I2182" i="12"/>
  <c r="H2182" i="12"/>
  <c r="G2182" i="12"/>
  <c r="F2182" i="12"/>
  <c r="J2181" i="12"/>
  <c r="I2181" i="12"/>
  <c r="H2181" i="12"/>
  <c r="G2181" i="12"/>
  <c r="F2181" i="12"/>
  <c r="J2180" i="12"/>
  <c r="I2180" i="12"/>
  <c r="H2180" i="12"/>
  <c r="G2180" i="12"/>
  <c r="F2180" i="12"/>
  <c r="J2179" i="12"/>
  <c r="I2179" i="12"/>
  <c r="H2179" i="12"/>
  <c r="G2179" i="12"/>
  <c r="F2179" i="12"/>
  <c r="J2178" i="12"/>
  <c r="I2178" i="12"/>
  <c r="H2178" i="12"/>
  <c r="G2178" i="12"/>
  <c r="F2178" i="12"/>
  <c r="J2177" i="12"/>
  <c r="I2177" i="12"/>
  <c r="H2177" i="12"/>
  <c r="G2177" i="12"/>
  <c r="F2177" i="12"/>
  <c r="J2176" i="12"/>
  <c r="I2176" i="12"/>
  <c r="H2176" i="12"/>
  <c r="G2176" i="12"/>
  <c r="F2176" i="12"/>
  <c r="J2175" i="12"/>
  <c r="I2175" i="12"/>
  <c r="H2175" i="12"/>
  <c r="G2175" i="12"/>
  <c r="F2175" i="12"/>
  <c r="J2174" i="12"/>
  <c r="I2174" i="12"/>
  <c r="H2174" i="12"/>
  <c r="G2174" i="12"/>
  <c r="F2174" i="12"/>
  <c r="J2173" i="12"/>
  <c r="I2173" i="12"/>
  <c r="H2173" i="12"/>
  <c r="G2173" i="12"/>
  <c r="F2173" i="12"/>
  <c r="J2172" i="12"/>
  <c r="I2172" i="12"/>
  <c r="H2172" i="12"/>
  <c r="G2172" i="12"/>
  <c r="F2172" i="12"/>
  <c r="J2171" i="12"/>
  <c r="I2171" i="12"/>
  <c r="H2171" i="12"/>
  <c r="G2171" i="12"/>
  <c r="F2171" i="12"/>
  <c r="J2170" i="12"/>
  <c r="I2170" i="12"/>
  <c r="H2170" i="12"/>
  <c r="G2170" i="12"/>
  <c r="F2170" i="12"/>
  <c r="J2169" i="12"/>
  <c r="I2169" i="12"/>
  <c r="H2169" i="12"/>
  <c r="G2169" i="12"/>
  <c r="F2169" i="12"/>
  <c r="J2168" i="12"/>
  <c r="I2168" i="12"/>
  <c r="H2168" i="12"/>
  <c r="G2168" i="12"/>
  <c r="F2168" i="12"/>
  <c r="J2167" i="12"/>
  <c r="I2167" i="12"/>
  <c r="H2167" i="12"/>
  <c r="G2167" i="12"/>
  <c r="F2167" i="12"/>
  <c r="J2166" i="12"/>
  <c r="I2166" i="12"/>
  <c r="H2166" i="12"/>
  <c r="G2166" i="12"/>
  <c r="F2166" i="12"/>
  <c r="J2165" i="12"/>
  <c r="I2165" i="12"/>
  <c r="H2165" i="12"/>
  <c r="G2165" i="12"/>
  <c r="F2165" i="12"/>
  <c r="J2164" i="12"/>
  <c r="I2164" i="12"/>
  <c r="H2164" i="12"/>
  <c r="G2164" i="12"/>
  <c r="F2164" i="12"/>
  <c r="J2163" i="12"/>
  <c r="I2163" i="12"/>
  <c r="H2163" i="12"/>
  <c r="G2163" i="12"/>
  <c r="F2163" i="12"/>
  <c r="J2162" i="12"/>
  <c r="I2162" i="12"/>
  <c r="H2162" i="12"/>
  <c r="G2162" i="12"/>
  <c r="F2162" i="12"/>
  <c r="J2161" i="12"/>
  <c r="I2161" i="12"/>
  <c r="H2161" i="12"/>
  <c r="G2161" i="12"/>
  <c r="F2161" i="12"/>
  <c r="J2160" i="12"/>
  <c r="I2160" i="12"/>
  <c r="H2160" i="12"/>
  <c r="G2160" i="12"/>
  <c r="F2160" i="12"/>
  <c r="J2159" i="12"/>
  <c r="I2159" i="12"/>
  <c r="H2159" i="12"/>
  <c r="G2159" i="12"/>
  <c r="F2159" i="12"/>
  <c r="J2158" i="12"/>
  <c r="I2158" i="12"/>
  <c r="H2158" i="12"/>
  <c r="G2158" i="12"/>
  <c r="F2158" i="12"/>
  <c r="J2157" i="12"/>
  <c r="I2157" i="12"/>
  <c r="H2157" i="12"/>
  <c r="G2157" i="12"/>
  <c r="F2157" i="12"/>
  <c r="J2156" i="12"/>
  <c r="I2156" i="12"/>
  <c r="H2156" i="12"/>
  <c r="G2156" i="12"/>
  <c r="F2156" i="12"/>
  <c r="J2155" i="12"/>
  <c r="I2155" i="12"/>
  <c r="H2155" i="12"/>
  <c r="G2155" i="12"/>
  <c r="F2155" i="12"/>
  <c r="J2154" i="12"/>
  <c r="I2154" i="12"/>
  <c r="H2154" i="12"/>
  <c r="G2154" i="12"/>
  <c r="F2154" i="12"/>
  <c r="J2153" i="12"/>
  <c r="I2153" i="12"/>
  <c r="H2153" i="12"/>
  <c r="G2153" i="12"/>
  <c r="F2153" i="12"/>
  <c r="J2152" i="12"/>
  <c r="I2152" i="12"/>
  <c r="H2152" i="12"/>
  <c r="G2152" i="12"/>
  <c r="F2152" i="12"/>
  <c r="J2151" i="12"/>
  <c r="I2151" i="12"/>
  <c r="H2151" i="12"/>
  <c r="G2151" i="12"/>
  <c r="F2151" i="12"/>
  <c r="J2150" i="12"/>
  <c r="I2150" i="12"/>
  <c r="H2150" i="12"/>
  <c r="G2150" i="12"/>
  <c r="F2150" i="12"/>
  <c r="J2149" i="12"/>
  <c r="I2149" i="12"/>
  <c r="H2149" i="12"/>
  <c r="G2149" i="12"/>
  <c r="F2149" i="12"/>
  <c r="J2148" i="12"/>
  <c r="I2148" i="12"/>
  <c r="H2148" i="12"/>
  <c r="G2148" i="12"/>
  <c r="F2148" i="12"/>
  <c r="J2147" i="12"/>
  <c r="I2147" i="12"/>
  <c r="H2147" i="12"/>
  <c r="G2147" i="12"/>
  <c r="F2147" i="12"/>
  <c r="J2146" i="12"/>
  <c r="I2146" i="12"/>
  <c r="H2146" i="12"/>
  <c r="G2146" i="12"/>
  <c r="F2146" i="12"/>
  <c r="J2145" i="12"/>
  <c r="I2145" i="12"/>
  <c r="H2145" i="12"/>
  <c r="G2145" i="12"/>
  <c r="F2145" i="12"/>
  <c r="J2144" i="12"/>
  <c r="I2144" i="12"/>
  <c r="H2144" i="12"/>
  <c r="G2144" i="12"/>
  <c r="F2144" i="12"/>
  <c r="J2143" i="12"/>
  <c r="I2143" i="12"/>
  <c r="H2143" i="12"/>
  <c r="G2143" i="12"/>
  <c r="F2143" i="12"/>
  <c r="J2142" i="12"/>
  <c r="I2142" i="12"/>
  <c r="H2142" i="12"/>
  <c r="G2142" i="12"/>
  <c r="F2142" i="12"/>
  <c r="J2141" i="12"/>
  <c r="I2141" i="12"/>
  <c r="H2141" i="12"/>
  <c r="G2141" i="12"/>
  <c r="F2141" i="12"/>
  <c r="J2140" i="12"/>
  <c r="I2140" i="12"/>
  <c r="H2140" i="12"/>
  <c r="G2140" i="12"/>
  <c r="F2140" i="12"/>
  <c r="J2139" i="12"/>
  <c r="I2139" i="12"/>
  <c r="H2139" i="12"/>
  <c r="G2139" i="12"/>
  <c r="F2139" i="12"/>
  <c r="J2138" i="12"/>
  <c r="I2138" i="12"/>
  <c r="H2138" i="12"/>
  <c r="G2138" i="12"/>
  <c r="F2138" i="12"/>
  <c r="J2137" i="12"/>
  <c r="I2137" i="12"/>
  <c r="H2137" i="12"/>
  <c r="G2137" i="12"/>
  <c r="F2137" i="12"/>
  <c r="J2136" i="12"/>
  <c r="I2136" i="12"/>
  <c r="H2136" i="12"/>
  <c r="G2136" i="12"/>
  <c r="F2136" i="12"/>
  <c r="J2135" i="12"/>
  <c r="I2135" i="12"/>
  <c r="H2135" i="12"/>
  <c r="G2135" i="12"/>
  <c r="F2135" i="12"/>
  <c r="J2134" i="12"/>
  <c r="I2134" i="12"/>
  <c r="H2134" i="12"/>
  <c r="G2134" i="12"/>
  <c r="F2134" i="12"/>
  <c r="J2133" i="12"/>
  <c r="I2133" i="12"/>
  <c r="H2133" i="12"/>
  <c r="G2133" i="12"/>
  <c r="F2133" i="12"/>
  <c r="J2132" i="12"/>
  <c r="I2132" i="12"/>
  <c r="H2132" i="12"/>
  <c r="G2132" i="12"/>
  <c r="F2132" i="12"/>
  <c r="J2131" i="12"/>
  <c r="I2131" i="12"/>
  <c r="H2131" i="12"/>
  <c r="G2131" i="12"/>
  <c r="F2131" i="12"/>
  <c r="J2130" i="12"/>
  <c r="I2130" i="12"/>
  <c r="H2130" i="12"/>
  <c r="G2130" i="12"/>
  <c r="F2130" i="12"/>
  <c r="J2129" i="12"/>
  <c r="I2129" i="12"/>
  <c r="H2129" i="12"/>
  <c r="G2129" i="12"/>
  <c r="F2129" i="12"/>
  <c r="J2128" i="12"/>
  <c r="I2128" i="12"/>
  <c r="H2128" i="12"/>
  <c r="G2128" i="12"/>
  <c r="F2128" i="12"/>
  <c r="J2127" i="12"/>
  <c r="I2127" i="12"/>
  <c r="H2127" i="12"/>
  <c r="G2127" i="12"/>
  <c r="F2127" i="12"/>
  <c r="J2126" i="12"/>
  <c r="I2126" i="12"/>
  <c r="H2126" i="12"/>
  <c r="G2126" i="12"/>
  <c r="F2126" i="12"/>
  <c r="J2125" i="12"/>
  <c r="I2125" i="12"/>
  <c r="H2125" i="12"/>
  <c r="G2125" i="12"/>
  <c r="F2125" i="12"/>
  <c r="J2124" i="12"/>
  <c r="I2124" i="12"/>
  <c r="H2124" i="12"/>
  <c r="G2124" i="12"/>
  <c r="F2124" i="12"/>
  <c r="J2123" i="12"/>
  <c r="I2123" i="12"/>
  <c r="H2123" i="12"/>
  <c r="G2123" i="12"/>
  <c r="F2123" i="12"/>
  <c r="J2122" i="12"/>
  <c r="I2122" i="12"/>
  <c r="H2122" i="12"/>
  <c r="G2122" i="12"/>
  <c r="F2122" i="12"/>
  <c r="J2121" i="12"/>
  <c r="I2121" i="12"/>
  <c r="H2121" i="12"/>
  <c r="G2121" i="12"/>
  <c r="F2121" i="12"/>
  <c r="J2120" i="12"/>
  <c r="I2120" i="12"/>
  <c r="H2120" i="12"/>
  <c r="G2120" i="12"/>
  <c r="F2120" i="12"/>
  <c r="J2119" i="12"/>
  <c r="I2119" i="12"/>
  <c r="H2119" i="12"/>
  <c r="G2119" i="12"/>
  <c r="F2119" i="12"/>
  <c r="J2118" i="12"/>
  <c r="I2118" i="12"/>
  <c r="H2118" i="12"/>
  <c r="G2118" i="12"/>
  <c r="F2118" i="12"/>
  <c r="J2117" i="12"/>
  <c r="I2117" i="12"/>
  <c r="H2117" i="12"/>
  <c r="G2117" i="12"/>
  <c r="F2117" i="12"/>
  <c r="J2116" i="12"/>
  <c r="I2116" i="12"/>
  <c r="H2116" i="12"/>
  <c r="G2116" i="12"/>
  <c r="F2116" i="12"/>
  <c r="J2115" i="12"/>
  <c r="I2115" i="12"/>
  <c r="H2115" i="12"/>
  <c r="G2115" i="12"/>
  <c r="F2115" i="12"/>
  <c r="J2114" i="12"/>
  <c r="I2114" i="12"/>
  <c r="H2114" i="12"/>
  <c r="G2114" i="12"/>
  <c r="F2114" i="12"/>
  <c r="J2113" i="12"/>
  <c r="I2113" i="12"/>
  <c r="H2113" i="12"/>
  <c r="G2113" i="12"/>
  <c r="F2113" i="12"/>
  <c r="J2112" i="12"/>
  <c r="I2112" i="12"/>
  <c r="H2112" i="12"/>
  <c r="G2112" i="12"/>
  <c r="F2112" i="12"/>
  <c r="J2111" i="12"/>
  <c r="I2111" i="12"/>
  <c r="H2111" i="12"/>
  <c r="G2111" i="12"/>
  <c r="F2111" i="12"/>
  <c r="J2110" i="12"/>
  <c r="I2110" i="12"/>
  <c r="H2110" i="12"/>
  <c r="G2110" i="12"/>
  <c r="F2110" i="12"/>
  <c r="J2109" i="12"/>
  <c r="I2109" i="12"/>
  <c r="H2109" i="12"/>
  <c r="G2109" i="12"/>
  <c r="F2109" i="12"/>
  <c r="J2108" i="12"/>
  <c r="I2108" i="12"/>
  <c r="H2108" i="12"/>
  <c r="G2108" i="12"/>
  <c r="F2108" i="12"/>
  <c r="J2107" i="12"/>
  <c r="I2107" i="12"/>
  <c r="H2107" i="12"/>
  <c r="G2107" i="12"/>
  <c r="F2107" i="12"/>
  <c r="J2106" i="12"/>
  <c r="I2106" i="12"/>
  <c r="H2106" i="12"/>
  <c r="G2106" i="12"/>
  <c r="F2106" i="12"/>
  <c r="J2105" i="12"/>
  <c r="I2105" i="12"/>
  <c r="H2105" i="12"/>
  <c r="G2105" i="12"/>
  <c r="F2105" i="12"/>
  <c r="J2104" i="12"/>
  <c r="I2104" i="12"/>
  <c r="H2104" i="12"/>
  <c r="G2104" i="12"/>
  <c r="F2104" i="12"/>
  <c r="J2103" i="12"/>
  <c r="I2103" i="12"/>
  <c r="H2103" i="12"/>
  <c r="G2103" i="12"/>
  <c r="F2103" i="12"/>
  <c r="J2102" i="12"/>
  <c r="I2102" i="12"/>
  <c r="H2102" i="12"/>
  <c r="G2102" i="12"/>
  <c r="F2102" i="12"/>
  <c r="J2101" i="12"/>
  <c r="I2101" i="12"/>
  <c r="H2101" i="12"/>
  <c r="G2101" i="12"/>
  <c r="F2101" i="12"/>
  <c r="J2100" i="12"/>
  <c r="I2100" i="12"/>
  <c r="H2100" i="12"/>
  <c r="G2100" i="12"/>
  <c r="F2100" i="12"/>
  <c r="J2099" i="12"/>
  <c r="I2099" i="12"/>
  <c r="H2099" i="12"/>
  <c r="G2099" i="12"/>
  <c r="F2099" i="12"/>
  <c r="J2098" i="12"/>
  <c r="I2098" i="12"/>
  <c r="H2098" i="12"/>
  <c r="G2098" i="12"/>
  <c r="F2098" i="12"/>
  <c r="J2097" i="12"/>
  <c r="I2097" i="12"/>
  <c r="H2097" i="12"/>
  <c r="G2097" i="12"/>
  <c r="F2097" i="12"/>
  <c r="J2096" i="12"/>
  <c r="I2096" i="12"/>
  <c r="H2096" i="12"/>
  <c r="G2096" i="12"/>
  <c r="F2096" i="12"/>
  <c r="J2095" i="12"/>
  <c r="I2095" i="12"/>
  <c r="H2095" i="12"/>
  <c r="G2095" i="12"/>
  <c r="F2095" i="12"/>
  <c r="J2094" i="12"/>
  <c r="I2094" i="12"/>
  <c r="H2094" i="12"/>
  <c r="G2094" i="12"/>
  <c r="F2094" i="12"/>
  <c r="J2093" i="12"/>
  <c r="I2093" i="12"/>
  <c r="H2093" i="12"/>
  <c r="G2093" i="12"/>
  <c r="F2093" i="12"/>
  <c r="J2092" i="12"/>
  <c r="I2092" i="12"/>
  <c r="H2092" i="12"/>
  <c r="G2092" i="12"/>
  <c r="F2092" i="12"/>
  <c r="J2091" i="12"/>
  <c r="I2091" i="12"/>
  <c r="H2091" i="12"/>
  <c r="G2091" i="12"/>
  <c r="F2091" i="12"/>
  <c r="J2090" i="12"/>
  <c r="I2090" i="12"/>
  <c r="H2090" i="12"/>
  <c r="G2090" i="12"/>
  <c r="F2090" i="12"/>
  <c r="J2089" i="12"/>
  <c r="I2089" i="12"/>
  <c r="H2089" i="12"/>
  <c r="G2089" i="12"/>
  <c r="F2089" i="12"/>
  <c r="J2088" i="12"/>
  <c r="I2088" i="12"/>
  <c r="H2088" i="12"/>
  <c r="G2088" i="12"/>
  <c r="F2088" i="12"/>
  <c r="J2087" i="12"/>
  <c r="I2087" i="12"/>
  <c r="H2087" i="12"/>
  <c r="G2087" i="12"/>
  <c r="F2087" i="12"/>
  <c r="J2086" i="12"/>
  <c r="I2086" i="12"/>
  <c r="H2086" i="12"/>
  <c r="G2086" i="12"/>
  <c r="F2086" i="12"/>
  <c r="J2085" i="12"/>
  <c r="I2085" i="12"/>
  <c r="H2085" i="12"/>
  <c r="G2085" i="12"/>
  <c r="F2085" i="12"/>
  <c r="J2084" i="12"/>
  <c r="I2084" i="12"/>
  <c r="H2084" i="12"/>
  <c r="G2084" i="12"/>
  <c r="F2084" i="12"/>
  <c r="J2083" i="12"/>
  <c r="I2083" i="12"/>
  <c r="H2083" i="12"/>
  <c r="G2083" i="12"/>
  <c r="F2083" i="12"/>
  <c r="J2082" i="12"/>
  <c r="I2082" i="12"/>
  <c r="H2082" i="12"/>
  <c r="G2082" i="12"/>
  <c r="F2082" i="12"/>
  <c r="J2081" i="12"/>
  <c r="I2081" i="12"/>
  <c r="H2081" i="12"/>
  <c r="G2081" i="12"/>
  <c r="F2081" i="12"/>
  <c r="J2080" i="12"/>
  <c r="I2080" i="12"/>
  <c r="H2080" i="12"/>
  <c r="G2080" i="12"/>
  <c r="F2080" i="12"/>
  <c r="J2079" i="12"/>
  <c r="I2079" i="12"/>
  <c r="H2079" i="12"/>
  <c r="G2079" i="12"/>
  <c r="F2079" i="12"/>
  <c r="J2078" i="12"/>
  <c r="I2078" i="12"/>
  <c r="H2078" i="12"/>
  <c r="G2078" i="12"/>
  <c r="F2078" i="12"/>
  <c r="J2077" i="12"/>
  <c r="I2077" i="12"/>
  <c r="H2077" i="12"/>
  <c r="G2077" i="12"/>
  <c r="F2077" i="12"/>
  <c r="J2076" i="12"/>
  <c r="I2076" i="12"/>
  <c r="H2076" i="12"/>
  <c r="G2076" i="12"/>
  <c r="F2076" i="12"/>
  <c r="J2075" i="12"/>
  <c r="I2075" i="12"/>
  <c r="H2075" i="12"/>
  <c r="G2075" i="12"/>
  <c r="F2075" i="12"/>
  <c r="J2074" i="12"/>
  <c r="I2074" i="12"/>
  <c r="H2074" i="12"/>
  <c r="G2074" i="12"/>
  <c r="F2074" i="12"/>
  <c r="J2073" i="12"/>
  <c r="I2073" i="12"/>
  <c r="H2073" i="12"/>
  <c r="G2073" i="12"/>
  <c r="F2073" i="12"/>
  <c r="J2072" i="12"/>
  <c r="I2072" i="12"/>
  <c r="H2072" i="12"/>
  <c r="G2072" i="12"/>
  <c r="F2072" i="12"/>
  <c r="J2071" i="12"/>
  <c r="I2071" i="12"/>
  <c r="H2071" i="12"/>
  <c r="G2071" i="12"/>
  <c r="F2071" i="12"/>
  <c r="J2070" i="12"/>
  <c r="I2070" i="12"/>
  <c r="H2070" i="12"/>
  <c r="G2070" i="12"/>
  <c r="F2070" i="12"/>
  <c r="J2069" i="12"/>
  <c r="I2069" i="12"/>
  <c r="H2069" i="12"/>
  <c r="G2069" i="12"/>
  <c r="F2069" i="12"/>
  <c r="J2068" i="12"/>
  <c r="I2068" i="12"/>
  <c r="H2068" i="12"/>
  <c r="G2068" i="12"/>
  <c r="F2068" i="12"/>
  <c r="J2067" i="12"/>
  <c r="I2067" i="12"/>
  <c r="H2067" i="12"/>
  <c r="G2067" i="12"/>
  <c r="F2067" i="12"/>
  <c r="J2066" i="12"/>
  <c r="I2066" i="12"/>
  <c r="H2066" i="12"/>
  <c r="G2066" i="12"/>
  <c r="F2066" i="12"/>
  <c r="J2065" i="12"/>
  <c r="I2065" i="12"/>
  <c r="H2065" i="12"/>
  <c r="G2065" i="12"/>
  <c r="F2065" i="12"/>
  <c r="J2064" i="12"/>
  <c r="I2064" i="12"/>
  <c r="H2064" i="12"/>
  <c r="G2064" i="12"/>
  <c r="F2064" i="12"/>
  <c r="J2063" i="12"/>
  <c r="I2063" i="12"/>
  <c r="H2063" i="12"/>
  <c r="G2063" i="12"/>
  <c r="F2063" i="12"/>
  <c r="J2062" i="12"/>
  <c r="I2062" i="12"/>
  <c r="H2062" i="12"/>
  <c r="G2062" i="12"/>
  <c r="F2062" i="12"/>
  <c r="J2061" i="12"/>
  <c r="I2061" i="12"/>
  <c r="H2061" i="12"/>
  <c r="G2061" i="12"/>
  <c r="F2061" i="12"/>
  <c r="J2060" i="12"/>
  <c r="I2060" i="12"/>
  <c r="H2060" i="12"/>
  <c r="G2060" i="12"/>
  <c r="F2060" i="12"/>
  <c r="J2059" i="12"/>
  <c r="I2059" i="12"/>
  <c r="H2059" i="12"/>
  <c r="G2059" i="12"/>
  <c r="F2059" i="12"/>
  <c r="J2058" i="12"/>
  <c r="I2058" i="12"/>
  <c r="H2058" i="12"/>
  <c r="G2058" i="12"/>
  <c r="F2058" i="12"/>
  <c r="J2057" i="12"/>
  <c r="I2057" i="12"/>
  <c r="H2057" i="12"/>
  <c r="G2057" i="12"/>
  <c r="F2057" i="12"/>
  <c r="J2056" i="12"/>
  <c r="I2056" i="12"/>
  <c r="H2056" i="12"/>
  <c r="G2056" i="12"/>
  <c r="F2056" i="12"/>
  <c r="J2055" i="12"/>
  <c r="I2055" i="12"/>
  <c r="H2055" i="12"/>
  <c r="G2055" i="12"/>
  <c r="F2055" i="12"/>
  <c r="J2054" i="12"/>
  <c r="I2054" i="12"/>
  <c r="H2054" i="12"/>
  <c r="G2054" i="12"/>
  <c r="F2054" i="12"/>
  <c r="J2053" i="12"/>
  <c r="I2053" i="12"/>
  <c r="H2053" i="12"/>
  <c r="G2053" i="12"/>
  <c r="F2053" i="12"/>
  <c r="J2052" i="12"/>
  <c r="I2052" i="12"/>
  <c r="H2052" i="12"/>
  <c r="G2052" i="12"/>
  <c r="F2052" i="12"/>
  <c r="J2051" i="12"/>
  <c r="I2051" i="12"/>
  <c r="H2051" i="12"/>
  <c r="G2051" i="12"/>
  <c r="F2051" i="12"/>
  <c r="J2050" i="12"/>
  <c r="I2050" i="12"/>
  <c r="H2050" i="12"/>
  <c r="G2050" i="12"/>
  <c r="F2050" i="12"/>
  <c r="J2049" i="12"/>
  <c r="I2049" i="12"/>
  <c r="H2049" i="12"/>
  <c r="G2049" i="12"/>
  <c r="F2049" i="12"/>
  <c r="J2048" i="12"/>
  <c r="I2048" i="12"/>
  <c r="H2048" i="12"/>
  <c r="G2048" i="12"/>
  <c r="F2048" i="12"/>
  <c r="J2047" i="12"/>
  <c r="I2047" i="12"/>
  <c r="H2047" i="12"/>
  <c r="G2047" i="12"/>
  <c r="F2047" i="12"/>
  <c r="J2046" i="12"/>
  <c r="I2046" i="12"/>
  <c r="H2046" i="12"/>
  <c r="G2046" i="12"/>
  <c r="F2046" i="12"/>
  <c r="J2045" i="12"/>
  <c r="I2045" i="12"/>
  <c r="H2045" i="12"/>
  <c r="G2045" i="12"/>
  <c r="F2045" i="12"/>
  <c r="J2044" i="12"/>
  <c r="I2044" i="12"/>
  <c r="H2044" i="12"/>
  <c r="G2044" i="12"/>
  <c r="F2044" i="12"/>
  <c r="J2043" i="12"/>
  <c r="I2043" i="12"/>
  <c r="H2043" i="12"/>
  <c r="G2043" i="12"/>
  <c r="F2043" i="12"/>
  <c r="J2042" i="12"/>
  <c r="I2042" i="12"/>
  <c r="H2042" i="12"/>
  <c r="G2042" i="12"/>
  <c r="F2042" i="12"/>
  <c r="J2041" i="12"/>
  <c r="I2041" i="12"/>
  <c r="H2041" i="12"/>
  <c r="G2041" i="12"/>
  <c r="F2041" i="12"/>
  <c r="J2040" i="12"/>
  <c r="I2040" i="12"/>
  <c r="H2040" i="12"/>
  <c r="G2040" i="12"/>
  <c r="F2040" i="12"/>
  <c r="J2039" i="12"/>
  <c r="I2039" i="12"/>
  <c r="H2039" i="12"/>
  <c r="G2039" i="12"/>
  <c r="F2039" i="12"/>
  <c r="J2038" i="12"/>
  <c r="I2038" i="12"/>
  <c r="H2038" i="12"/>
  <c r="G2038" i="12"/>
  <c r="F2038" i="12"/>
  <c r="J2037" i="12"/>
  <c r="I2037" i="12"/>
  <c r="H2037" i="12"/>
  <c r="G2037" i="12"/>
  <c r="F2037" i="12"/>
  <c r="J2036" i="12"/>
  <c r="I2036" i="12"/>
  <c r="H2036" i="12"/>
  <c r="G2036" i="12"/>
  <c r="F2036" i="12"/>
  <c r="J2035" i="12"/>
  <c r="I2035" i="12"/>
  <c r="H2035" i="12"/>
  <c r="G2035" i="12"/>
  <c r="F2035" i="12"/>
  <c r="J2034" i="12"/>
  <c r="I2034" i="12"/>
  <c r="H2034" i="12"/>
  <c r="G2034" i="12"/>
  <c r="F2034" i="12"/>
  <c r="J2033" i="12"/>
  <c r="I2033" i="12"/>
  <c r="H2033" i="12"/>
  <c r="G2033" i="12"/>
  <c r="F2033" i="12"/>
  <c r="J2032" i="12"/>
  <c r="I2032" i="12"/>
  <c r="H2032" i="12"/>
  <c r="G2032" i="12"/>
  <c r="F2032" i="12"/>
  <c r="J2031" i="12"/>
  <c r="I2031" i="12"/>
  <c r="H2031" i="12"/>
  <c r="G2031" i="12"/>
  <c r="F2031" i="12"/>
  <c r="J2030" i="12"/>
  <c r="I2030" i="12"/>
  <c r="H2030" i="12"/>
  <c r="G2030" i="12"/>
  <c r="F2030" i="12"/>
  <c r="J2029" i="12"/>
  <c r="I2029" i="12"/>
  <c r="H2029" i="12"/>
  <c r="G2029" i="12"/>
  <c r="F2029" i="12"/>
  <c r="J2028" i="12"/>
  <c r="I2028" i="12"/>
  <c r="H2028" i="12"/>
  <c r="G2028" i="12"/>
  <c r="F2028" i="12"/>
  <c r="J2027" i="12"/>
  <c r="I2027" i="12"/>
  <c r="H2027" i="12"/>
  <c r="G2027" i="12"/>
  <c r="F2027" i="12"/>
  <c r="J2026" i="12"/>
  <c r="I2026" i="12"/>
  <c r="H2026" i="12"/>
  <c r="G2026" i="12"/>
  <c r="F2026" i="12"/>
  <c r="J2025" i="12"/>
  <c r="I2025" i="12"/>
  <c r="H2025" i="12"/>
  <c r="G2025" i="12"/>
  <c r="F2025" i="12"/>
  <c r="J2024" i="12"/>
  <c r="I2024" i="12"/>
  <c r="H2024" i="12"/>
  <c r="G2024" i="12"/>
  <c r="F2024" i="12"/>
  <c r="J2023" i="12"/>
  <c r="I2023" i="12"/>
  <c r="H2023" i="12"/>
  <c r="G2023" i="12"/>
  <c r="F2023" i="12"/>
  <c r="J2022" i="12"/>
  <c r="I2022" i="12"/>
  <c r="H2022" i="12"/>
  <c r="G2022" i="12"/>
  <c r="F2022" i="12"/>
  <c r="J2021" i="12"/>
  <c r="I2021" i="12"/>
  <c r="H2021" i="12"/>
  <c r="G2021" i="12"/>
  <c r="F2021" i="12"/>
  <c r="J2020" i="12"/>
  <c r="I2020" i="12"/>
  <c r="H2020" i="12"/>
  <c r="G2020" i="12"/>
  <c r="F2020" i="12"/>
  <c r="J2019" i="12"/>
  <c r="I2019" i="12"/>
  <c r="H2019" i="12"/>
  <c r="G2019" i="12"/>
  <c r="F2019" i="12"/>
  <c r="J2018" i="12"/>
  <c r="I2018" i="12"/>
  <c r="H2018" i="12"/>
  <c r="G2018" i="12"/>
  <c r="F2018" i="12"/>
  <c r="J2017" i="12"/>
  <c r="I2017" i="12"/>
  <c r="H2017" i="12"/>
  <c r="G2017" i="12"/>
  <c r="F2017" i="12"/>
  <c r="J2016" i="12"/>
  <c r="I2016" i="12"/>
  <c r="H2016" i="12"/>
  <c r="G2016" i="12"/>
  <c r="F2016" i="12"/>
  <c r="J2015" i="12"/>
  <c r="I2015" i="12"/>
  <c r="H2015" i="12"/>
  <c r="G2015" i="12"/>
  <c r="F2015" i="12"/>
  <c r="J2014" i="12"/>
  <c r="I2014" i="12"/>
  <c r="H2014" i="12"/>
  <c r="G2014" i="12"/>
  <c r="F2014" i="12"/>
  <c r="J2013" i="12"/>
  <c r="I2013" i="12"/>
  <c r="H2013" i="12"/>
  <c r="G2013" i="12"/>
  <c r="F2013" i="12"/>
  <c r="J2012" i="12"/>
  <c r="I2012" i="12"/>
  <c r="H2012" i="12"/>
  <c r="G2012" i="12"/>
  <c r="F2012" i="12"/>
  <c r="J2011" i="12"/>
  <c r="I2011" i="12"/>
  <c r="H2011" i="12"/>
  <c r="G2011" i="12"/>
  <c r="F2011" i="12"/>
  <c r="J2010" i="12"/>
  <c r="I2010" i="12"/>
  <c r="H2010" i="12"/>
  <c r="G2010" i="12"/>
  <c r="F2010" i="12"/>
  <c r="J2009" i="12"/>
  <c r="I2009" i="12"/>
  <c r="H2009" i="12"/>
  <c r="G2009" i="12"/>
  <c r="F2009" i="12"/>
  <c r="J2008" i="12"/>
  <c r="I2008" i="12"/>
  <c r="H2008" i="12"/>
  <c r="G2008" i="12"/>
  <c r="F2008" i="12"/>
  <c r="J2007" i="12"/>
  <c r="I2007" i="12"/>
  <c r="H2007" i="12"/>
  <c r="G2007" i="12"/>
  <c r="F2007" i="12"/>
  <c r="J2006" i="12"/>
  <c r="I2006" i="12"/>
  <c r="H2006" i="12"/>
  <c r="G2006" i="12"/>
  <c r="F2006" i="12"/>
  <c r="J2005" i="12"/>
  <c r="I2005" i="12"/>
  <c r="H2005" i="12"/>
  <c r="G2005" i="12"/>
  <c r="F2005" i="12"/>
  <c r="J2004" i="12"/>
  <c r="I2004" i="12"/>
  <c r="H2004" i="12"/>
  <c r="G2004" i="12"/>
  <c r="F2004" i="12"/>
  <c r="J2003" i="12"/>
  <c r="I2003" i="12"/>
  <c r="H2003" i="12"/>
  <c r="G2003" i="12"/>
  <c r="F2003" i="12"/>
  <c r="J2002" i="12"/>
  <c r="I2002" i="12"/>
  <c r="H2002" i="12"/>
  <c r="G2002" i="12"/>
  <c r="F2002" i="12"/>
  <c r="J2001" i="12"/>
  <c r="I2001" i="12"/>
  <c r="H2001" i="12"/>
  <c r="G2001" i="12"/>
  <c r="F2001" i="12"/>
  <c r="J2000" i="12"/>
  <c r="I2000" i="12"/>
  <c r="H2000" i="12"/>
  <c r="G2000" i="12"/>
  <c r="F2000" i="12"/>
  <c r="J1999" i="12"/>
  <c r="I1999" i="12"/>
  <c r="H1999" i="12"/>
  <c r="G1999" i="12"/>
  <c r="F1999" i="12"/>
  <c r="J1998" i="12"/>
  <c r="I1998" i="12"/>
  <c r="H1998" i="12"/>
  <c r="G1998" i="12"/>
  <c r="F1998" i="12"/>
  <c r="J1997" i="12"/>
  <c r="I1997" i="12"/>
  <c r="H1997" i="12"/>
  <c r="G1997" i="12"/>
  <c r="F1997" i="12"/>
  <c r="J1996" i="12"/>
  <c r="I1996" i="12"/>
  <c r="H1996" i="12"/>
  <c r="G1996" i="12"/>
  <c r="F1996" i="12"/>
  <c r="J1995" i="12"/>
  <c r="I1995" i="12"/>
  <c r="H1995" i="12"/>
  <c r="G1995" i="12"/>
  <c r="F1995" i="12"/>
  <c r="J1994" i="12"/>
  <c r="I1994" i="12"/>
  <c r="H1994" i="12"/>
  <c r="G1994" i="12"/>
  <c r="F1994" i="12"/>
  <c r="J1993" i="12"/>
  <c r="I1993" i="12"/>
  <c r="H1993" i="12"/>
  <c r="G1993" i="12"/>
  <c r="F1993" i="12"/>
  <c r="J1992" i="12"/>
  <c r="I1992" i="12"/>
  <c r="H1992" i="12"/>
  <c r="G1992" i="12"/>
  <c r="F1992" i="12"/>
  <c r="J1991" i="12"/>
  <c r="I1991" i="12"/>
  <c r="H1991" i="12"/>
  <c r="G1991" i="12"/>
  <c r="F1991" i="12"/>
  <c r="J1990" i="12"/>
  <c r="I1990" i="12"/>
  <c r="H1990" i="12"/>
  <c r="G1990" i="12"/>
  <c r="F1990" i="12"/>
  <c r="J1989" i="12"/>
  <c r="I1989" i="12"/>
  <c r="H1989" i="12"/>
  <c r="G1989" i="12"/>
  <c r="F1989" i="12"/>
  <c r="J1988" i="12"/>
  <c r="I1988" i="12"/>
  <c r="H1988" i="12"/>
  <c r="G1988" i="12"/>
  <c r="F1988" i="12"/>
  <c r="J1987" i="12"/>
  <c r="I1987" i="12"/>
  <c r="H1987" i="12"/>
  <c r="G1987" i="12"/>
  <c r="F1987" i="12"/>
  <c r="J1986" i="12"/>
  <c r="I1986" i="12"/>
  <c r="H1986" i="12"/>
  <c r="G1986" i="12"/>
  <c r="F1986" i="12"/>
  <c r="J1985" i="12"/>
  <c r="I1985" i="12"/>
  <c r="H1985" i="12"/>
  <c r="G1985" i="12"/>
  <c r="F1985" i="12"/>
  <c r="J1984" i="12"/>
  <c r="I1984" i="12"/>
  <c r="H1984" i="12"/>
  <c r="G1984" i="12"/>
  <c r="F1984" i="12"/>
  <c r="J1983" i="12"/>
  <c r="I1983" i="12"/>
  <c r="H1983" i="12"/>
  <c r="G1983" i="12"/>
  <c r="F1983" i="12"/>
  <c r="J1982" i="12"/>
  <c r="I1982" i="12"/>
  <c r="H1982" i="12"/>
  <c r="G1982" i="12"/>
  <c r="F1982" i="12"/>
  <c r="J1981" i="12"/>
  <c r="I1981" i="12"/>
  <c r="H1981" i="12"/>
  <c r="G1981" i="12"/>
  <c r="F1981" i="12"/>
  <c r="J1980" i="12"/>
  <c r="I1980" i="12"/>
  <c r="H1980" i="12"/>
  <c r="G1980" i="12"/>
  <c r="F1980" i="12"/>
  <c r="J1979" i="12"/>
  <c r="I1979" i="12"/>
  <c r="H1979" i="12"/>
  <c r="G1979" i="12"/>
  <c r="F1979" i="12"/>
  <c r="J1978" i="12"/>
  <c r="I1978" i="12"/>
  <c r="H1978" i="12"/>
  <c r="G1978" i="12"/>
  <c r="F1978" i="12"/>
  <c r="J1977" i="12"/>
  <c r="I1977" i="12"/>
  <c r="H1977" i="12"/>
  <c r="G1977" i="12"/>
  <c r="F1977" i="12"/>
  <c r="J1976" i="12"/>
  <c r="I1976" i="12"/>
  <c r="H1976" i="12"/>
  <c r="G1976" i="12"/>
  <c r="F1976" i="12"/>
  <c r="J1975" i="12"/>
  <c r="I1975" i="12"/>
  <c r="H1975" i="12"/>
  <c r="G1975" i="12"/>
  <c r="F1975" i="12"/>
  <c r="J1974" i="12"/>
  <c r="I1974" i="12"/>
  <c r="H1974" i="12"/>
  <c r="G1974" i="12"/>
  <c r="F1974" i="12"/>
  <c r="J1973" i="12"/>
  <c r="I1973" i="12"/>
  <c r="H1973" i="12"/>
  <c r="G1973" i="12"/>
  <c r="F1973" i="12"/>
  <c r="J1972" i="12"/>
  <c r="I1972" i="12"/>
  <c r="H1972" i="12"/>
  <c r="G1972" i="12"/>
  <c r="F1972" i="12"/>
  <c r="J1971" i="12"/>
  <c r="I1971" i="12"/>
  <c r="H1971" i="12"/>
  <c r="G1971" i="12"/>
  <c r="F1971" i="12"/>
  <c r="J1970" i="12"/>
  <c r="I1970" i="12"/>
  <c r="H1970" i="12"/>
  <c r="G1970" i="12"/>
  <c r="F1970" i="12"/>
  <c r="J1969" i="12"/>
  <c r="I1969" i="12"/>
  <c r="H1969" i="12"/>
  <c r="G1969" i="12"/>
  <c r="F1969" i="12"/>
  <c r="J1968" i="12"/>
  <c r="I1968" i="12"/>
  <c r="H1968" i="12"/>
  <c r="G1968" i="12"/>
  <c r="F1968" i="12"/>
  <c r="J1967" i="12"/>
  <c r="I1967" i="12"/>
  <c r="H1967" i="12"/>
  <c r="G1967" i="12"/>
  <c r="F1967" i="12"/>
  <c r="J1966" i="12"/>
  <c r="I1966" i="12"/>
  <c r="H1966" i="12"/>
  <c r="G1966" i="12"/>
  <c r="F1966" i="12"/>
  <c r="J1965" i="12"/>
  <c r="I1965" i="12"/>
  <c r="H1965" i="12"/>
  <c r="G1965" i="12"/>
  <c r="F1965" i="12"/>
  <c r="J1964" i="12"/>
  <c r="I1964" i="12"/>
  <c r="H1964" i="12"/>
  <c r="G1964" i="12"/>
  <c r="F1964" i="12"/>
  <c r="J1963" i="12"/>
  <c r="I1963" i="12"/>
  <c r="H1963" i="12"/>
  <c r="G1963" i="12"/>
  <c r="F1963" i="12"/>
  <c r="J1962" i="12"/>
  <c r="I1962" i="12"/>
  <c r="H1962" i="12"/>
  <c r="G1962" i="12"/>
  <c r="F1962" i="12"/>
  <c r="J1961" i="12"/>
  <c r="I1961" i="12"/>
  <c r="H1961" i="12"/>
  <c r="G1961" i="12"/>
  <c r="F1961" i="12"/>
  <c r="J1960" i="12"/>
  <c r="I1960" i="12"/>
  <c r="H1960" i="12"/>
  <c r="G1960" i="12"/>
  <c r="F1960" i="12"/>
  <c r="J1959" i="12"/>
  <c r="I1959" i="12"/>
  <c r="H1959" i="12"/>
  <c r="G1959" i="12"/>
  <c r="F1959" i="12"/>
  <c r="J1958" i="12"/>
  <c r="I1958" i="12"/>
  <c r="H1958" i="12"/>
  <c r="G1958" i="12"/>
  <c r="F1958" i="12"/>
  <c r="J1957" i="12"/>
  <c r="I1957" i="12"/>
  <c r="H1957" i="12"/>
  <c r="G1957" i="12"/>
  <c r="F1957" i="12"/>
  <c r="J1956" i="12"/>
  <c r="I1956" i="12"/>
  <c r="H1956" i="12"/>
  <c r="G1956" i="12"/>
  <c r="F1956" i="12"/>
  <c r="J1955" i="12"/>
  <c r="I1955" i="12"/>
  <c r="H1955" i="12"/>
  <c r="G1955" i="12"/>
  <c r="F1955" i="12"/>
  <c r="J1954" i="12"/>
  <c r="I1954" i="12"/>
  <c r="H1954" i="12"/>
  <c r="G1954" i="12"/>
  <c r="F1954" i="12"/>
  <c r="J1953" i="12"/>
  <c r="I1953" i="12"/>
  <c r="H1953" i="12"/>
  <c r="G1953" i="12"/>
  <c r="F1953" i="12"/>
  <c r="J1952" i="12"/>
  <c r="I1952" i="12"/>
  <c r="H1952" i="12"/>
  <c r="G1952" i="12"/>
  <c r="F1952" i="12"/>
  <c r="J1951" i="12"/>
  <c r="I1951" i="12"/>
  <c r="H1951" i="12"/>
  <c r="G1951" i="12"/>
  <c r="F1951" i="12"/>
  <c r="J1950" i="12"/>
  <c r="I1950" i="12"/>
  <c r="H1950" i="12"/>
  <c r="G1950" i="12"/>
  <c r="F1950" i="12"/>
  <c r="J1949" i="12"/>
  <c r="I1949" i="12"/>
  <c r="H1949" i="12"/>
  <c r="G1949" i="12"/>
  <c r="F1949" i="12"/>
  <c r="J1948" i="12"/>
  <c r="I1948" i="12"/>
  <c r="H1948" i="12"/>
  <c r="G1948" i="12"/>
  <c r="F1948" i="12"/>
  <c r="J1947" i="12"/>
  <c r="I1947" i="12"/>
  <c r="H1947" i="12"/>
  <c r="G1947" i="12"/>
  <c r="F1947" i="12"/>
  <c r="J1946" i="12"/>
  <c r="I1946" i="12"/>
  <c r="H1946" i="12"/>
  <c r="G1946" i="12"/>
  <c r="F1946" i="12"/>
  <c r="J1945" i="12"/>
  <c r="I1945" i="12"/>
  <c r="H1945" i="12"/>
  <c r="G1945" i="12"/>
  <c r="F1945" i="12"/>
  <c r="J1944" i="12"/>
  <c r="I1944" i="12"/>
  <c r="H1944" i="12"/>
  <c r="G1944" i="12"/>
  <c r="F1944" i="12"/>
  <c r="J1943" i="12"/>
  <c r="I1943" i="12"/>
  <c r="H1943" i="12"/>
  <c r="G1943" i="12"/>
  <c r="F1943" i="12"/>
  <c r="J1942" i="12"/>
  <c r="I1942" i="12"/>
  <c r="H1942" i="12"/>
  <c r="G1942" i="12"/>
  <c r="F1942" i="12"/>
  <c r="J1941" i="12"/>
  <c r="I1941" i="12"/>
  <c r="H1941" i="12"/>
  <c r="G1941" i="12"/>
  <c r="F1941" i="12"/>
  <c r="J1940" i="12"/>
  <c r="I1940" i="12"/>
  <c r="H1940" i="12"/>
  <c r="G1940" i="12"/>
  <c r="F1940" i="12"/>
  <c r="J1939" i="12"/>
  <c r="I1939" i="12"/>
  <c r="H1939" i="12"/>
  <c r="G1939" i="12"/>
  <c r="F1939" i="12"/>
  <c r="J1938" i="12"/>
  <c r="I1938" i="12"/>
  <c r="H1938" i="12"/>
  <c r="G1938" i="12"/>
  <c r="F1938" i="12"/>
  <c r="J1937" i="12"/>
  <c r="I1937" i="12"/>
  <c r="H1937" i="12"/>
  <c r="G1937" i="12"/>
  <c r="F1937" i="12"/>
  <c r="J1936" i="12"/>
  <c r="I1936" i="12"/>
  <c r="H1936" i="12"/>
  <c r="G1936" i="12"/>
  <c r="F1936" i="12"/>
  <c r="J1935" i="12"/>
  <c r="I1935" i="12"/>
  <c r="H1935" i="12"/>
  <c r="G1935" i="12"/>
  <c r="F1935" i="12"/>
  <c r="J1934" i="12"/>
  <c r="I1934" i="12"/>
  <c r="H1934" i="12"/>
  <c r="G1934" i="12"/>
  <c r="F1934" i="12"/>
  <c r="J1933" i="12"/>
  <c r="I1933" i="12"/>
  <c r="H1933" i="12"/>
  <c r="G1933" i="12"/>
  <c r="F1933" i="12"/>
  <c r="J1932" i="12"/>
  <c r="I1932" i="12"/>
  <c r="H1932" i="12"/>
  <c r="G1932" i="12"/>
  <c r="F1932" i="12"/>
  <c r="J1931" i="12"/>
  <c r="I1931" i="12"/>
  <c r="H1931" i="12"/>
  <c r="G1931" i="12"/>
  <c r="F1931" i="12"/>
  <c r="J1930" i="12"/>
  <c r="I1930" i="12"/>
  <c r="H1930" i="12"/>
  <c r="G1930" i="12"/>
  <c r="F1930" i="12"/>
  <c r="J1929" i="12"/>
  <c r="I1929" i="12"/>
  <c r="H1929" i="12"/>
  <c r="G1929" i="12"/>
  <c r="F1929" i="12"/>
  <c r="J1928" i="12"/>
  <c r="I1928" i="12"/>
  <c r="H1928" i="12"/>
  <c r="G1928" i="12"/>
  <c r="F1928" i="12"/>
  <c r="J1927" i="12"/>
  <c r="I1927" i="12"/>
  <c r="H1927" i="12"/>
  <c r="G1927" i="12"/>
  <c r="F1927" i="12"/>
  <c r="J1926" i="12"/>
  <c r="I1926" i="12"/>
  <c r="H1926" i="12"/>
  <c r="G1926" i="12"/>
  <c r="F1926" i="12"/>
  <c r="J1925" i="12"/>
  <c r="I1925" i="12"/>
  <c r="H1925" i="12"/>
  <c r="G1925" i="12"/>
  <c r="F1925" i="12"/>
  <c r="J1924" i="12"/>
  <c r="I1924" i="12"/>
  <c r="H1924" i="12"/>
  <c r="G1924" i="12"/>
  <c r="F1924" i="12"/>
  <c r="J1923" i="12"/>
  <c r="I1923" i="12"/>
  <c r="H1923" i="12"/>
  <c r="G1923" i="12"/>
  <c r="F1923" i="12"/>
  <c r="J1922" i="12"/>
  <c r="I1922" i="12"/>
  <c r="H1922" i="12"/>
  <c r="G1922" i="12"/>
  <c r="F1922" i="12"/>
  <c r="J1921" i="12"/>
  <c r="I1921" i="12"/>
  <c r="H1921" i="12"/>
  <c r="G1921" i="12"/>
  <c r="F1921" i="12"/>
  <c r="J1920" i="12"/>
  <c r="I1920" i="12"/>
  <c r="H1920" i="12"/>
  <c r="G1920" i="12"/>
  <c r="F1920" i="12"/>
  <c r="J1919" i="12"/>
  <c r="I1919" i="12"/>
  <c r="H1919" i="12"/>
  <c r="G1919" i="12"/>
  <c r="F1919" i="12"/>
  <c r="J1918" i="12"/>
  <c r="I1918" i="12"/>
  <c r="H1918" i="12"/>
  <c r="G1918" i="12"/>
  <c r="F1918" i="12"/>
  <c r="J1917" i="12"/>
  <c r="I1917" i="12"/>
  <c r="H1917" i="12"/>
  <c r="G1917" i="12"/>
  <c r="F1917" i="12"/>
  <c r="J1916" i="12"/>
  <c r="I1916" i="12"/>
  <c r="H1916" i="12"/>
  <c r="G1916" i="12"/>
  <c r="F1916" i="12"/>
  <c r="J1915" i="12"/>
  <c r="I1915" i="12"/>
  <c r="H1915" i="12"/>
  <c r="G1915" i="12"/>
  <c r="F1915" i="12"/>
  <c r="J1914" i="12"/>
  <c r="I1914" i="12"/>
  <c r="H1914" i="12"/>
  <c r="G1914" i="12"/>
  <c r="F1914" i="12"/>
  <c r="J1913" i="12"/>
  <c r="I1913" i="12"/>
  <c r="H1913" i="12"/>
  <c r="G1913" i="12"/>
  <c r="F1913" i="12"/>
  <c r="J1912" i="12"/>
  <c r="I1912" i="12"/>
  <c r="H1912" i="12"/>
  <c r="G1912" i="12"/>
  <c r="F1912" i="12"/>
  <c r="J1911" i="12"/>
  <c r="I1911" i="12"/>
  <c r="H1911" i="12"/>
  <c r="G1911" i="12"/>
  <c r="F1911" i="12"/>
  <c r="J1910" i="12"/>
  <c r="I1910" i="12"/>
  <c r="H1910" i="12"/>
  <c r="G1910" i="12"/>
  <c r="F1910" i="12"/>
  <c r="J1909" i="12"/>
  <c r="I1909" i="12"/>
  <c r="H1909" i="12"/>
  <c r="G1909" i="12"/>
  <c r="F1909" i="12"/>
  <c r="J1908" i="12"/>
  <c r="I1908" i="12"/>
  <c r="H1908" i="12"/>
  <c r="G1908" i="12"/>
  <c r="F1908" i="12"/>
  <c r="J1907" i="12"/>
  <c r="I1907" i="12"/>
  <c r="H1907" i="12"/>
  <c r="G1907" i="12"/>
  <c r="F1907" i="12"/>
  <c r="J1906" i="12"/>
  <c r="I1906" i="12"/>
  <c r="H1906" i="12"/>
  <c r="G1906" i="12"/>
  <c r="F1906" i="12"/>
  <c r="J1905" i="12"/>
  <c r="I1905" i="12"/>
  <c r="H1905" i="12"/>
  <c r="G1905" i="12"/>
  <c r="F1905" i="12"/>
  <c r="J1904" i="12"/>
  <c r="I1904" i="12"/>
  <c r="H1904" i="12"/>
  <c r="G1904" i="12"/>
  <c r="F1904" i="12"/>
  <c r="J1903" i="12"/>
  <c r="I1903" i="12"/>
  <c r="H1903" i="12"/>
  <c r="G1903" i="12"/>
  <c r="F1903" i="12"/>
  <c r="J1902" i="12"/>
  <c r="I1902" i="12"/>
  <c r="H1902" i="12"/>
  <c r="G1902" i="12"/>
  <c r="F1902" i="12"/>
  <c r="J1901" i="12"/>
  <c r="I1901" i="12"/>
  <c r="H1901" i="12"/>
  <c r="G1901" i="12"/>
  <c r="F1901" i="12"/>
  <c r="J1900" i="12"/>
  <c r="I1900" i="12"/>
  <c r="H1900" i="12"/>
  <c r="G1900" i="12"/>
  <c r="F1900" i="12"/>
  <c r="J1899" i="12"/>
  <c r="I1899" i="12"/>
  <c r="H1899" i="12"/>
  <c r="G1899" i="12"/>
  <c r="F1899" i="12"/>
  <c r="J1898" i="12"/>
  <c r="I1898" i="12"/>
  <c r="H1898" i="12"/>
  <c r="G1898" i="12"/>
  <c r="F1898" i="12"/>
  <c r="J1897" i="12"/>
  <c r="I1897" i="12"/>
  <c r="H1897" i="12"/>
  <c r="G1897" i="12"/>
  <c r="F1897" i="12"/>
  <c r="J1896" i="12"/>
  <c r="I1896" i="12"/>
  <c r="H1896" i="12"/>
  <c r="G1896" i="12"/>
  <c r="F1896" i="12"/>
  <c r="J1895" i="12"/>
  <c r="I1895" i="12"/>
  <c r="H1895" i="12"/>
  <c r="G1895" i="12"/>
  <c r="F1895" i="12"/>
  <c r="J1894" i="12"/>
  <c r="I1894" i="12"/>
  <c r="H1894" i="12"/>
  <c r="G1894" i="12"/>
  <c r="F1894" i="12"/>
  <c r="J1893" i="12"/>
  <c r="I1893" i="12"/>
  <c r="H1893" i="12"/>
  <c r="G1893" i="12"/>
  <c r="F1893" i="12"/>
  <c r="J1892" i="12"/>
  <c r="I1892" i="12"/>
  <c r="H1892" i="12"/>
  <c r="G1892" i="12"/>
  <c r="F1892" i="12"/>
  <c r="J1891" i="12"/>
  <c r="I1891" i="12"/>
  <c r="H1891" i="12"/>
  <c r="G1891" i="12"/>
  <c r="F1891" i="12"/>
  <c r="J1890" i="12"/>
  <c r="I1890" i="12"/>
  <c r="H1890" i="12"/>
  <c r="G1890" i="12"/>
  <c r="F1890" i="12"/>
  <c r="J1889" i="12"/>
  <c r="I1889" i="12"/>
  <c r="H1889" i="12"/>
  <c r="G1889" i="12"/>
  <c r="F1889" i="12"/>
  <c r="J1888" i="12"/>
  <c r="I1888" i="12"/>
  <c r="H1888" i="12"/>
  <c r="G1888" i="12"/>
  <c r="F1888" i="12"/>
  <c r="J1887" i="12"/>
  <c r="I1887" i="12"/>
  <c r="H1887" i="12"/>
  <c r="G1887" i="12"/>
  <c r="F1887" i="12"/>
  <c r="J1886" i="12"/>
  <c r="I1886" i="12"/>
  <c r="H1886" i="12"/>
  <c r="G1886" i="12"/>
  <c r="F1886" i="12"/>
  <c r="J1885" i="12"/>
  <c r="I1885" i="12"/>
  <c r="H1885" i="12"/>
  <c r="G1885" i="12"/>
  <c r="F1885" i="12"/>
  <c r="J1884" i="12"/>
  <c r="I1884" i="12"/>
  <c r="H1884" i="12"/>
  <c r="G1884" i="12"/>
  <c r="F1884" i="12"/>
  <c r="J1883" i="12"/>
  <c r="I1883" i="12"/>
  <c r="H1883" i="12"/>
  <c r="G1883" i="12"/>
  <c r="F1883" i="12"/>
  <c r="J1882" i="12"/>
  <c r="I1882" i="12"/>
  <c r="H1882" i="12"/>
  <c r="G1882" i="12"/>
  <c r="F1882" i="12"/>
  <c r="J1881" i="12"/>
  <c r="I1881" i="12"/>
  <c r="H1881" i="12"/>
  <c r="G1881" i="12"/>
  <c r="F1881" i="12"/>
  <c r="J1880" i="12"/>
  <c r="I1880" i="12"/>
  <c r="H1880" i="12"/>
  <c r="G1880" i="12"/>
  <c r="F1880" i="12"/>
  <c r="J1879" i="12"/>
  <c r="I1879" i="12"/>
  <c r="H1879" i="12"/>
  <c r="G1879" i="12"/>
  <c r="F1879" i="12"/>
  <c r="J1878" i="12"/>
  <c r="I1878" i="12"/>
  <c r="H1878" i="12"/>
  <c r="G1878" i="12"/>
  <c r="F1878" i="12"/>
  <c r="J1877" i="12"/>
  <c r="I1877" i="12"/>
  <c r="H1877" i="12"/>
  <c r="G1877" i="12"/>
  <c r="F1877" i="12"/>
  <c r="J1876" i="12"/>
  <c r="I1876" i="12"/>
  <c r="H1876" i="12"/>
  <c r="G1876" i="12"/>
  <c r="F1876" i="12"/>
  <c r="J1875" i="12"/>
  <c r="I1875" i="12"/>
  <c r="H1875" i="12"/>
  <c r="G1875" i="12"/>
  <c r="F1875" i="12"/>
  <c r="J1874" i="12"/>
  <c r="I1874" i="12"/>
  <c r="H1874" i="12"/>
  <c r="G1874" i="12"/>
  <c r="F1874" i="12"/>
  <c r="J1873" i="12"/>
  <c r="I1873" i="12"/>
  <c r="H1873" i="12"/>
  <c r="G1873" i="12"/>
  <c r="F1873" i="12"/>
  <c r="J1872" i="12"/>
  <c r="I1872" i="12"/>
  <c r="H1872" i="12"/>
  <c r="G1872" i="12"/>
  <c r="F1872" i="12"/>
  <c r="J1871" i="12"/>
  <c r="I1871" i="12"/>
  <c r="H1871" i="12"/>
  <c r="G1871" i="12"/>
  <c r="F1871" i="12"/>
  <c r="J1870" i="12"/>
  <c r="I1870" i="12"/>
  <c r="H1870" i="12"/>
  <c r="G1870" i="12"/>
  <c r="F1870" i="12"/>
  <c r="J1869" i="12"/>
  <c r="I1869" i="12"/>
  <c r="H1869" i="12"/>
  <c r="G1869" i="12"/>
  <c r="F1869" i="12"/>
  <c r="J1868" i="12"/>
  <c r="I1868" i="12"/>
  <c r="H1868" i="12"/>
  <c r="G1868" i="12"/>
  <c r="F1868" i="12"/>
  <c r="J1867" i="12"/>
  <c r="I1867" i="12"/>
  <c r="H1867" i="12"/>
  <c r="G1867" i="12"/>
  <c r="F1867" i="12"/>
  <c r="J1866" i="12"/>
  <c r="I1866" i="12"/>
  <c r="H1866" i="12"/>
  <c r="G1866" i="12"/>
  <c r="F1866" i="12"/>
  <c r="J1865" i="12"/>
  <c r="I1865" i="12"/>
  <c r="H1865" i="12"/>
  <c r="G1865" i="12"/>
  <c r="F1865" i="12"/>
  <c r="J1864" i="12"/>
  <c r="I1864" i="12"/>
  <c r="H1864" i="12"/>
  <c r="G1864" i="12"/>
  <c r="F1864" i="12"/>
  <c r="J1863" i="12"/>
  <c r="I1863" i="12"/>
  <c r="H1863" i="12"/>
  <c r="G1863" i="12"/>
  <c r="F1863" i="12"/>
  <c r="J1862" i="12"/>
  <c r="I1862" i="12"/>
  <c r="H1862" i="12"/>
  <c r="G1862" i="12"/>
  <c r="F1862" i="12"/>
  <c r="J1861" i="12"/>
  <c r="I1861" i="12"/>
  <c r="H1861" i="12"/>
  <c r="G1861" i="12"/>
  <c r="F1861" i="12"/>
  <c r="J1860" i="12"/>
  <c r="I1860" i="12"/>
  <c r="H1860" i="12"/>
  <c r="G1860" i="12"/>
  <c r="F1860" i="12"/>
  <c r="J1859" i="12"/>
  <c r="I1859" i="12"/>
  <c r="H1859" i="12"/>
  <c r="G1859" i="12"/>
  <c r="F1859" i="12"/>
  <c r="J1858" i="12"/>
  <c r="I1858" i="12"/>
  <c r="H1858" i="12"/>
  <c r="G1858" i="12"/>
  <c r="F1858" i="12"/>
  <c r="J1857" i="12"/>
  <c r="I1857" i="12"/>
  <c r="H1857" i="12"/>
  <c r="G1857" i="12"/>
  <c r="F1857" i="12"/>
  <c r="J1856" i="12"/>
  <c r="I1856" i="12"/>
  <c r="H1856" i="12"/>
  <c r="G1856" i="12"/>
  <c r="F1856" i="12"/>
  <c r="J1855" i="12"/>
  <c r="I1855" i="12"/>
  <c r="H1855" i="12"/>
  <c r="G1855" i="12"/>
  <c r="F1855" i="12"/>
  <c r="J1854" i="12"/>
  <c r="I1854" i="12"/>
  <c r="H1854" i="12"/>
  <c r="G1854" i="12"/>
  <c r="F1854" i="12"/>
  <c r="J1853" i="12"/>
  <c r="I1853" i="12"/>
  <c r="H1853" i="12"/>
  <c r="G1853" i="12"/>
  <c r="F1853" i="12"/>
  <c r="J1852" i="12"/>
  <c r="I1852" i="12"/>
  <c r="H1852" i="12"/>
  <c r="G1852" i="12"/>
  <c r="F1852" i="12"/>
  <c r="J1851" i="12"/>
  <c r="I1851" i="12"/>
  <c r="H1851" i="12"/>
  <c r="G1851" i="12"/>
  <c r="F1851" i="12"/>
  <c r="J1850" i="12"/>
  <c r="I1850" i="12"/>
  <c r="H1850" i="12"/>
  <c r="G1850" i="12"/>
  <c r="F1850" i="12"/>
  <c r="J1849" i="12"/>
  <c r="I1849" i="12"/>
  <c r="H1849" i="12"/>
  <c r="G1849" i="12"/>
  <c r="F1849" i="12"/>
  <c r="J1848" i="12"/>
  <c r="I1848" i="12"/>
  <c r="H1848" i="12"/>
  <c r="G1848" i="12"/>
  <c r="F1848" i="12"/>
  <c r="J1847" i="12"/>
  <c r="I1847" i="12"/>
  <c r="H1847" i="12"/>
  <c r="G1847" i="12"/>
  <c r="F1847" i="12"/>
  <c r="J1846" i="12"/>
  <c r="I1846" i="12"/>
  <c r="H1846" i="12"/>
  <c r="G1846" i="12"/>
  <c r="F1846" i="12"/>
  <c r="J1845" i="12"/>
  <c r="I1845" i="12"/>
  <c r="H1845" i="12"/>
  <c r="G1845" i="12"/>
  <c r="F1845" i="12"/>
  <c r="J1844" i="12"/>
  <c r="I1844" i="12"/>
  <c r="H1844" i="12"/>
  <c r="G1844" i="12"/>
  <c r="F1844" i="12"/>
  <c r="J1843" i="12"/>
  <c r="I1843" i="12"/>
  <c r="H1843" i="12"/>
  <c r="G1843" i="12"/>
  <c r="F1843" i="12"/>
  <c r="J1842" i="12"/>
  <c r="I1842" i="12"/>
  <c r="H1842" i="12"/>
  <c r="G1842" i="12"/>
  <c r="F1842" i="12"/>
  <c r="J1841" i="12"/>
  <c r="I1841" i="12"/>
  <c r="H1841" i="12"/>
  <c r="G1841" i="12"/>
  <c r="F1841" i="12"/>
  <c r="J1840" i="12"/>
  <c r="I1840" i="12"/>
  <c r="H1840" i="12"/>
  <c r="G1840" i="12"/>
  <c r="F1840" i="12"/>
  <c r="J1839" i="12"/>
  <c r="I1839" i="12"/>
  <c r="H1839" i="12"/>
  <c r="G1839" i="12"/>
  <c r="F1839" i="12"/>
  <c r="J1838" i="12"/>
  <c r="I1838" i="12"/>
  <c r="H1838" i="12"/>
  <c r="G1838" i="12"/>
  <c r="F1838" i="12"/>
  <c r="J1837" i="12"/>
  <c r="I1837" i="12"/>
  <c r="H1837" i="12"/>
  <c r="G1837" i="12"/>
  <c r="F1837" i="12"/>
  <c r="J1836" i="12"/>
  <c r="I1836" i="12"/>
  <c r="H1836" i="12"/>
  <c r="G1836" i="12"/>
  <c r="F1836" i="12"/>
  <c r="J1835" i="12"/>
  <c r="I1835" i="12"/>
  <c r="H1835" i="12"/>
  <c r="G1835" i="12"/>
  <c r="F1835" i="12"/>
  <c r="J1834" i="12"/>
  <c r="I1834" i="12"/>
  <c r="H1834" i="12"/>
  <c r="G1834" i="12"/>
  <c r="F1834" i="12"/>
  <c r="J1833" i="12"/>
  <c r="I1833" i="12"/>
  <c r="H1833" i="12"/>
  <c r="G1833" i="12"/>
  <c r="F1833" i="12"/>
  <c r="J1832" i="12"/>
  <c r="I1832" i="12"/>
  <c r="H1832" i="12"/>
  <c r="G1832" i="12"/>
  <c r="F1832" i="12"/>
  <c r="J1831" i="12"/>
  <c r="I1831" i="12"/>
  <c r="H1831" i="12"/>
  <c r="G1831" i="12"/>
  <c r="F1831" i="12"/>
  <c r="J1830" i="12"/>
  <c r="I1830" i="12"/>
  <c r="H1830" i="12"/>
  <c r="G1830" i="12"/>
  <c r="F1830" i="12"/>
  <c r="J1829" i="12"/>
  <c r="I1829" i="12"/>
  <c r="H1829" i="12"/>
  <c r="G1829" i="12"/>
  <c r="F1829" i="12"/>
  <c r="J1828" i="12"/>
  <c r="I1828" i="12"/>
  <c r="H1828" i="12"/>
  <c r="G1828" i="12"/>
  <c r="F1828" i="12"/>
  <c r="J1827" i="12"/>
  <c r="I1827" i="12"/>
  <c r="H1827" i="12"/>
  <c r="G1827" i="12"/>
  <c r="F1827" i="12"/>
  <c r="J1826" i="12"/>
  <c r="I1826" i="12"/>
  <c r="H1826" i="12"/>
  <c r="G1826" i="12"/>
  <c r="F1826" i="12"/>
  <c r="J1825" i="12"/>
  <c r="I1825" i="12"/>
  <c r="H1825" i="12"/>
  <c r="G1825" i="12"/>
  <c r="F1825" i="12"/>
  <c r="J1824" i="12"/>
  <c r="I1824" i="12"/>
  <c r="H1824" i="12"/>
  <c r="G1824" i="12"/>
  <c r="F1824" i="12"/>
  <c r="J1823" i="12"/>
  <c r="I1823" i="12"/>
  <c r="H1823" i="12"/>
  <c r="G1823" i="12"/>
  <c r="F1823" i="12"/>
  <c r="J1822" i="12"/>
  <c r="I1822" i="12"/>
  <c r="H1822" i="12"/>
  <c r="G1822" i="12"/>
  <c r="F1822" i="12"/>
  <c r="J1821" i="12"/>
  <c r="I1821" i="12"/>
  <c r="H1821" i="12"/>
  <c r="G1821" i="12"/>
  <c r="F1821" i="12"/>
  <c r="J1820" i="12"/>
  <c r="I1820" i="12"/>
  <c r="H1820" i="12"/>
  <c r="G1820" i="12"/>
  <c r="F1820" i="12"/>
  <c r="J1819" i="12"/>
  <c r="I1819" i="12"/>
  <c r="H1819" i="12"/>
  <c r="G1819" i="12"/>
  <c r="F1819" i="12"/>
  <c r="J1818" i="12"/>
  <c r="I1818" i="12"/>
  <c r="H1818" i="12"/>
  <c r="G1818" i="12"/>
  <c r="F1818" i="12"/>
  <c r="J1817" i="12"/>
  <c r="I1817" i="12"/>
  <c r="H1817" i="12"/>
  <c r="G1817" i="12"/>
  <c r="F1817" i="12"/>
  <c r="J1816" i="12"/>
  <c r="I1816" i="12"/>
  <c r="H1816" i="12"/>
  <c r="G1816" i="12"/>
  <c r="F1816" i="12"/>
  <c r="J1815" i="12"/>
  <c r="I1815" i="12"/>
  <c r="H1815" i="12"/>
  <c r="G1815" i="12"/>
  <c r="F1815" i="12"/>
  <c r="J1814" i="12"/>
  <c r="I1814" i="12"/>
  <c r="H1814" i="12"/>
  <c r="G1814" i="12"/>
  <c r="F1814" i="12"/>
  <c r="J1813" i="12"/>
  <c r="I1813" i="12"/>
  <c r="H1813" i="12"/>
  <c r="G1813" i="12"/>
  <c r="F1813" i="12"/>
  <c r="J1812" i="12"/>
  <c r="I1812" i="12"/>
  <c r="H1812" i="12"/>
  <c r="G1812" i="12"/>
  <c r="F1812" i="12"/>
  <c r="J1811" i="12"/>
  <c r="I1811" i="12"/>
  <c r="H1811" i="12"/>
  <c r="G1811" i="12"/>
  <c r="F1811" i="12"/>
  <c r="J1810" i="12"/>
  <c r="I1810" i="12"/>
  <c r="H1810" i="12"/>
  <c r="G1810" i="12"/>
  <c r="F1810" i="12"/>
  <c r="J1809" i="12"/>
  <c r="I1809" i="12"/>
  <c r="H1809" i="12"/>
  <c r="G1809" i="12"/>
  <c r="F1809" i="12"/>
  <c r="J1808" i="12"/>
  <c r="I1808" i="12"/>
  <c r="H1808" i="12"/>
  <c r="G1808" i="12"/>
  <c r="F1808" i="12"/>
  <c r="J1807" i="12"/>
  <c r="I1807" i="12"/>
  <c r="H1807" i="12"/>
  <c r="G1807" i="12"/>
  <c r="F1807" i="12"/>
  <c r="J1806" i="12"/>
  <c r="I1806" i="12"/>
  <c r="H1806" i="12"/>
  <c r="G1806" i="12"/>
  <c r="F1806" i="12"/>
  <c r="J1805" i="12"/>
  <c r="I1805" i="12"/>
  <c r="H1805" i="12"/>
  <c r="G1805" i="12"/>
  <c r="F1805" i="12"/>
  <c r="J1804" i="12"/>
  <c r="I1804" i="12"/>
  <c r="H1804" i="12"/>
  <c r="G1804" i="12"/>
  <c r="F1804" i="12"/>
  <c r="J1803" i="12"/>
  <c r="I1803" i="12"/>
  <c r="H1803" i="12"/>
  <c r="G1803" i="12"/>
  <c r="F1803" i="12"/>
  <c r="J1802" i="12"/>
  <c r="I1802" i="12"/>
  <c r="H1802" i="12"/>
  <c r="G1802" i="12"/>
  <c r="F1802" i="12"/>
  <c r="J1801" i="12"/>
  <c r="I1801" i="12"/>
  <c r="H1801" i="12"/>
  <c r="G1801" i="12"/>
  <c r="F1801" i="12"/>
  <c r="J1800" i="12"/>
  <c r="I1800" i="12"/>
  <c r="H1800" i="12"/>
  <c r="G1800" i="12"/>
  <c r="F1800" i="12"/>
  <c r="J1799" i="12"/>
  <c r="I1799" i="12"/>
  <c r="H1799" i="12"/>
  <c r="G1799" i="12"/>
  <c r="F1799" i="12"/>
  <c r="J1798" i="12"/>
  <c r="I1798" i="12"/>
  <c r="H1798" i="12"/>
  <c r="G1798" i="12"/>
  <c r="F1798" i="12"/>
  <c r="J1797" i="12"/>
  <c r="I1797" i="12"/>
  <c r="H1797" i="12"/>
  <c r="G1797" i="12"/>
  <c r="F1797" i="12"/>
  <c r="J1796" i="12"/>
  <c r="I1796" i="12"/>
  <c r="H1796" i="12"/>
  <c r="G1796" i="12"/>
  <c r="F1796" i="12"/>
  <c r="J1795" i="12"/>
  <c r="I1795" i="12"/>
  <c r="H1795" i="12"/>
  <c r="G1795" i="12"/>
  <c r="F1795" i="12"/>
  <c r="J1794" i="12"/>
  <c r="I1794" i="12"/>
  <c r="H1794" i="12"/>
  <c r="G1794" i="12"/>
  <c r="F1794" i="12"/>
  <c r="J1793" i="12"/>
  <c r="I1793" i="12"/>
  <c r="H1793" i="12"/>
  <c r="G1793" i="12"/>
  <c r="F1793" i="12"/>
  <c r="J1792" i="12"/>
  <c r="I1792" i="12"/>
  <c r="H1792" i="12"/>
  <c r="G1792" i="12"/>
  <c r="F1792" i="12"/>
  <c r="J1791" i="12"/>
  <c r="I1791" i="12"/>
  <c r="H1791" i="12"/>
  <c r="G1791" i="12"/>
  <c r="F1791" i="12"/>
  <c r="J1790" i="12"/>
  <c r="I1790" i="12"/>
  <c r="H1790" i="12"/>
  <c r="G1790" i="12"/>
  <c r="F1790" i="12"/>
  <c r="J1789" i="12"/>
  <c r="I1789" i="12"/>
  <c r="H1789" i="12"/>
  <c r="G1789" i="12"/>
  <c r="F1789" i="12"/>
  <c r="J1788" i="12"/>
  <c r="I1788" i="12"/>
  <c r="H1788" i="12"/>
  <c r="G1788" i="12"/>
  <c r="F1788" i="12"/>
  <c r="J1787" i="12"/>
  <c r="I1787" i="12"/>
  <c r="H1787" i="12"/>
  <c r="G1787" i="12"/>
  <c r="F1787" i="12"/>
  <c r="J1786" i="12"/>
  <c r="I1786" i="12"/>
  <c r="H1786" i="12"/>
  <c r="G1786" i="12"/>
  <c r="F1786" i="12"/>
  <c r="J1785" i="12"/>
  <c r="I1785" i="12"/>
  <c r="H1785" i="12"/>
  <c r="G1785" i="12"/>
  <c r="F1785" i="12"/>
  <c r="J1784" i="12"/>
  <c r="I1784" i="12"/>
  <c r="H1784" i="12"/>
  <c r="G1784" i="12"/>
  <c r="F1784" i="12"/>
  <c r="J1783" i="12"/>
  <c r="I1783" i="12"/>
  <c r="H1783" i="12"/>
  <c r="G1783" i="12"/>
  <c r="F1783" i="12"/>
  <c r="J1782" i="12"/>
  <c r="I1782" i="12"/>
  <c r="H1782" i="12"/>
  <c r="G1782" i="12"/>
  <c r="F1782" i="12"/>
  <c r="J1781" i="12"/>
  <c r="I1781" i="12"/>
  <c r="H1781" i="12"/>
  <c r="G1781" i="12"/>
  <c r="F1781" i="12"/>
  <c r="J1780" i="12"/>
  <c r="I1780" i="12"/>
  <c r="H1780" i="12"/>
  <c r="G1780" i="12"/>
  <c r="F1780" i="12"/>
  <c r="J1779" i="12"/>
  <c r="I1779" i="12"/>
  <c r="H1779" i="12"/>
  <c r="G1779" i="12"/>
  <c r="F1779" i="12"/>
  <c r="J1778" i="12"/>
  <c r="I1778" i="12"/>
  <c r="H1778" i="12"/>
  <c r="G1778" i="12"/>
  <c r="F1778" i="12"/>
  <c r="J1777" i="12"/>
  <c r="I1777" i="12"/>
  <c r="H1777" i="12"/>
  <c r="G1777" i="12"/>
  <c r="F1777" i="12"/>
  <c r="J1776" i="12"/>
  <c r="I1776" i="12"/>
  <c r="H1776" i="12"/>
  <c r="G1776" i="12"/>
  <c r="F1776" i="12"/>
  <c r="J1775" i="12"/>
  <c r="I1775" i="12"/>
  <c r="H1775" i="12"/>
  <c r="G1775" i="12"/>
  <c r="F1775" i="12"/>
  <c r="J1774" i="12"/>
  <c r="I1774" i="12"/>
  <c r="H1774" i="12"/>
  <c r="G1774" i="12"/>
  <c r="F1774" i="12"/>
  <c r="J1773" i="12"/>
  <c r="I1773" i="12"/>
  <c r="H1773" i="12"/>
  <c r="G1773" i="12"/>
  <c r="F1773" i="12"/>
  <c r="J1772" i="12"/>
  <c r="I1772" i="12"/>
  <c r="H1772" i="12"/>
  <c r="G1772" i="12"/>
  <c r="F1772" i="12"/>
  <c r="J1771" i="12"/>
  <c r="I1771" i="12"/>
  <c r="H1771" i="12"/>
  <c r="G1771" i="12"/>
  <c r="F1771" i="12"/>
  <c r="J1770" i="12"/>
  <c r="I1770" i="12"/>
  <c r="H1770" i="12"/>
  <c r="G1770" i="12"/>
  <c r="F1770" i="12"/>
  <c r="J1769" i="12"/>
  <c r="I1769" i="12"/>
  <c r="H1769" i="12"/>
  <c r="G1769" i="12"/>
  <c r="F1769" i="12"/>
  <c r="J1768" i="12"/>
  <c r="I1768" i="12"/>
  <c r="H1768" i="12"/>
  <c r="G1768" i="12"/>
  <c r="F1768" i="12"/>
  <c r="J1767" i="12"/>
  <c r="I1767" i="12"/>
  <c r="H1767" i="12"/>
  <c r="G1767" i="12"/>
  <c r="F1767" i="12"/>
  <c r="J1766" i="12"/>
  <c r="I1766" i="12"/>
  <c r="H1766" i="12"/>
  <c r="G1766" i="12"/>
  <c r="F1766" i="12"/>
  <c r="J1765" i="12"/>
  <c r="I1765" i="12"/>
  <c r="H1765" i="12"/>
  <c r="G1765" i="12"/>
  <c r="F1765" i="12"/>
  <c r="J1764" i="12"/>
  <c r="I1764" i="12"/>
  <c r="H1764" i="12"/>
  <c r="G1764" i="12"/>
  <c r="F1764" i="12"/>
  <c r="J1763" i="12"/>
  <c r="I1763" i="12"/>
  <c r="H1763" i="12"/>
  <c r="G1763" i="12"/>
  <c r="F1763" i="12"/>
  <c r="J1762" i="12"/>
  <c r="I1762" i="12"/>
  <c r="H1762" i="12"/>
  <c r="G1762" i="12"/>
  <c r="F1762" i="12"/>
  <c r="J1761" i="12"/>
  <c r="I1761" i="12"/>
  <c r="H1761" i="12"/>
  <c r="G1761" i="12"/>
  <c r="F1761" i="12"/>
  <c r="J1760" i="12"/>
  <c r="I1760" i="12"/>
  <c r="H1760" i="12"/>
  <c r="G1760" i="12"/>
  <c r="F1760" i="12"/>
  <c r="J1759" i="12"/>
  <c r="I1759" i="12"/>
  <c r="H1759" i="12"/>
  <c r="G1759" i="12"/>
  <c r="F1759" i="12"/>
  <c r="J1758" i="12"/>
  <c r="I1758" i="12"/>
  <c r="H1758" i="12"/>
  <c r="G1758" i="12"/>
  <c r="F1758" i="12"/>
  <c r="J1757" i="12"/>
  <c r="I1757" i="12"/>
  <c r="H1757" i="12"/>
  <c r="G1757" i="12"/>
  <c r="F1757" i="12"/>
  <c r="J1756" i="12"/>
  <c r="I1756" i="12"/>
  <c r="H1756" i="12"/>
  <c r="G1756" i="12"/>
  <c r="F1756" i="12"/>
  <c r="J1755" i="12"/>
  <c r="I1755" i="12"/>
  <c r="H1755" i="12"/>
  <c r="G1755" i="12"/>
  <c r="F1755" i="12"/>
  <c r="J1754" i="12"/>
  <c r="I1754" i="12"/>
  <c r="H1754" i="12"/>
  <c r="G1754" i="12"/>
  <c r="F1754" i="12"/>
  <c r="J1753" i="12"/>
  <c r="I1753" i="12"/>
  <c r="H1753" i="12"/>
  <c r="G1753" i="12"/>
  <c r="F1753" i="12"/>
  <c r="J1752" i="12"/>
  <c r="I1752" i="12"/>
  <c r="H1752" i="12"/>
  <c r="G1752" i="12"/>
  <c r="F1752" i="12"/>
  <c r="J1751" i="12"/>
  <c r="I1751" i="12"/>
  <c r="H1751" i="12"/>
  <c r="G1751" i="12"/>
  <c r="F1751" i="12"/>
  <c r="J1750" i="12"/>
  <c r="I1750" i="12"/>
  <c r="H1750" i="12"/>
  <c r="G1750" i="12"/>
  <c r="F1750" i="12"/>
  <c r="J1749" i="12"/>
  <c r="I1749" i="12"/>
  <c r="H1749" i="12"/>
  <c r="G1749" i="12"/>
  <c r="F1749" i="12"/>
  <c r="J1748" i="12"/>
  <c r="I1748" i="12"/>
  <c r="H1748" i="12"/>
  <c r="G1748" i="12"/>
  <c r="F1748" i="12"/>
  <c r="J1747" i="12"/>
  <c r="I1747" i="12"/>
  <c r="H1747" i="12"/>
  <c r="G1747" i="12"/>
  <c r="F1747" i="12"/>
  <c r="J1746" i="12"/>
  <c r="I1746" i="12"/>
  <c r="H1746" i="12"/>
  <c r="G1746" i="12"/>
  <c r="F1746" i="12"/>
  <c r="J1745" i="12"/>
  <c r="I1745" i="12"/>
  <c r="H1745" i="12"/>
  <c r="G1745" i="12"/>
  <c r="F1745" i="12"/>
  <c r="J1744" i="12"/>
  <c r="I1744" i="12"/>
  <c r="H1744" i="12"/>
  <c r="G1744" i="12"/>
  <c r="F1744" i="12"/>
  <c r="J1743" i="12"/>
  <c r="I1743" i="12"/>
  <c r="H1743" i="12"/>
  <c r="G1743" i="12"/>
  <c r="F1743" i="12"/>
  <c r="J1742" i="12"/>
  <c r="I1742" i="12"/>
  <c r="H1742" i="12"/>
  <c r="G1742" i="12"/>
  <c r="F1742" i="12"/>
  <c r="J1741" i="12"/>
  <c r="I1741" i="12"/>
  <c r="H1741" i="12"/>
  <c r="G1741" i="12"/>
  <c r="F1741" i="12"/>
  <c r="J1740" i="12"/>
  <c r="I1740" i="12"/>
  <c r="H1740" i="12"/>
  <c r="G1740" i="12"/>
  <c r="F1740" i="12"/>
  <c r="J1739" i="12"/>
  <c r="I1739" i="12"/>
  <c r="H1739" i="12"/>
  <c r="G1739" i="12"/>
  <c r="F1739" i="12"/>
  <c r="J1738" i="12"/>
  <c r="I1738" i="12"/>
  <c r="H1738" i="12"/>
  <c r="G1738" i="12"/>
  <c r="F1738" i="12"/>
  <c r="J1737" i="12"/>
  <c r="I1737" i="12"/>
  <c r="H1737" i="12"/>
  <c r="G1737" i="12"/>
  <c r="F1737" i="12"/>
  <c r="J1736" i="12"/>
  <c r="I1736" i="12"/>
  <c r="H1736" i="12"/>
  <c r="G1736" i="12"/>
  <c r="F1736" i="12"/>
  <c r="J1735" i="12"/>
  <c r="I1735" i="12"/>
  <c r="H1735" i="12"/>
  <c r="G1735" i="12"/>
  <c r="F1735" i="12"/>
  <c r="J1734" i="12"/>
  <c r="I1734" i="12"/>
  <c r="H1734" i="12"/>
  <c r="G1734" i="12"/>
  <c r="F1734" i="12"/>
  <c r="J1733" i="12"/>
  <c r="I1733" i="12"/>
  <c r="H1733" i="12"/>
  <c r="G1733" i="12"/>
  <c r="F1733" i="12"/>
  <c r="J1732" i="12"/>
  <c r="I1732" i="12"/>
  <c r="H1732" i="12"/>
  <c r="G1732" i="12"/>
  <c r="F1732" i="12"/>
  <c r="J1731" i="12"/>
  <c r="I1731" i="12"/>
  <c r="H1731" i="12"/>
  <c r="G1731" i="12"/>
  <c r="F1731" i="12"/>
  <c r="J1730" i="12"/>
  <c r="I1730" i="12"/>
  <c r="H1730" i="12"/>
  <c r="G1730" i="12"/>
  <c r="F1730" i="12"/>
  <c r="J1729" i="12"/>
  <c r="I1729" i="12"/>
  <c r="H1729" i="12"/>
  <c r="G1729" i="12"/>
  <c r="F1729" i="12"/>
  <c r="J1728" i="12"/>
  <c r="I1728" i="12"/>
  <c r="H1728" i="12"/>
  <c r="G1728" i="12"/>
  <c r="F1728" i="12"/>
  <c r="J1727" i="12"/>
  <c r="I1727" i="12"/>
  <c r="H1727" i="12"/>
  <c r="G1727" i="12"/>
  <c r="F1727" i="12"/>
  <c r="J1726" i="12"/>
  <c r="I1726" i="12"/>
  <c r="H1726" i="12"/>
  <c r="G1726" i="12"/>
  <c r="F1726" i="12"/>
  <c r="J1725" i="12"/>
  <c r="I1725" i="12"/>
  <c r="H1725" i="12"/>
  <c r="G1725" i="12"/>
  <c r="F1725" i="12"/>
  <c r="J1724" i="12"/>
  <c r="I1724" i="12"/>
  <c r="H1724" i="12"/>
  <c r="G1724" i="12"/>
  <c r="F1724" i="12"/>
  <c r="J1723" i="12"/>
  <c r="I1723" i="12"/>
  <c r="H1723" i="12"/>
  <c r="G1723" i="12"/>
  <c r="F1723" i="12"/>
  <c r="J1722" i="12"/>
  <c r="I1722" i="12"/>
  <c r="H1722" i="12"/>
  <c r="G1722" i="12"/>
  <c r="F1722" i="12"/>
  <c r="J1721" i="12"/>
  <c r="I1721" i="12"/>
  <c r="H1721" i="12"/>
  <c r="G1721" i="12"/>
  <c r="F1721" i="12"/>
  <c r="J1720" i="12"/>
  <c r="I1720" i="12"/>
  <c r="H1720" i="12"/>
  <c r="G1720" i="12"/>
  <c r="F1720" i="12"/>
  <c r="J1719" i="12"/>
  <c r="I1719" i="12"/>
  <c r="H1719" i="12"/>
  <c r="G1719" i="12"/>
  <c r="F1719" i="12"/>
  <c r="J1718" i="12"/>
  <c r="I1718" i="12"/>
  <c r="H1718" i="12"/>
  <c r="G1718" i="12"/>
  <c r="F1718" i="12"/>
  <c r="J1717" i="12"/>
  <c r="I1717" i="12"/>
  <c r="H1717" i="12"/>
  <c r="G1717" i="12"/>
  <c r="F1717" i="12"/>
  <c r="J1716" i="12"/>
  <c r="I1716" i="12"/>
  <c r="H1716" i="12"/>
  <c r="G1716" i="12"/>
  <c r="F1716" i="12"/>
  <c r="J1715" i="12"/>
  <c r="I1715" i="12"/>
  <c r="H1715" i="12"/>
  <c r="G1715" i="12"/>
  <c r="F1715" i="12"/>
  <c r="J1714" i="12"/>
  <c r="I1714" i="12"/>
  <c r="H1714" i="12"/>
  <c r="G1714" i="12"/>
  <c r="F1714" i="12"/>
  <c r="J1713" i="12"/>
  <c r="I1713" i="12"/>
  <c r="H1713" i="12"/>
  <c r="G1713" i="12"/>
  <c r="F1713" i="12"/>
  <c r="J1712" i="12"/>
  <c r="I1712" i="12"/>
  <c r="H1712" i="12"/>
  <c r="G1712" i="12"/>
  <c r="F1712" i="12"/>
  <c r="J1711" i="12"/>
  <c r="I1711" i="12"/>
  <c r="H1711" i="12"/>
  <c r="G1711" i="12"/>
  <c r="F1711" i="12"/>
  <c r="J1710" i="12"/>
  <c r="I1710" i="12"/>
  <c r="H1710" i="12"/>
  <c r="G1710" i="12"/>
  <c r="F1710" i="12"/>
  <c r="J1709" i="12"/>
  <c r="I1709" i="12"/>
  <c r="H1709" i="12"/>
  <c r="G1709" i="12"/>
  <c r="F1709" i="12"/>
  <c r="J1708" i="12"/>
  <c r="I1708" i="12"/>
  <c r="H1708" i="12"/>
  <c r="G1708" i="12"/>
  <c r="F1708" i="12"/>
  <c r="J1707" i="12"/>
  <c r="I1707" i="12"/>
  <c r="H1707" i="12"/>
  <c r="G1707" i="12"/>
  <c r="F1707" i="12"/>
  <c r="J1706" i="12"/>
  <c r="I1706" i="12"/>
  <c r="H1706" i="12"/>
  <c r="G1706" i="12"/>
  <c r="F1706" i="12"/>
  <c r="J1705" i="12"/>
  <c r="I1705" i="12"/>
  <c r="H1705" i="12"/>
  <c r="G1705" i="12"/>
  <c r="F1705" i="12"/>
  <c r="J1704" i="12"/>
  <c r="I1704" i="12"/>
  <c r="H1704" i="12"/>
  <c r="G1704" i="12"/>
  <c r="F1704" i="12"/>
  <c r="J1703" i="12"/>
  <c r="I1703" i="12"/>
  <c r="H1703" i="12"/>
  <c r="G1703" i="12"/>
  <c r="F1703" i="12"/>
  <c r="J1702" i="12"/>
  <c r="I1702" i="12"/>
  <c r="H1702" i="12"/>
  <c r="G1702" i="12"/>
  <c r="F1702" i="12"/>
  <c r="J1701" i="12"/>
  <c r="I1701" i="12"/>
  <c r="H1701" i="12"/>
  <c r="G1701" i="12"/>
  <c r="F1701" i="12"/>
  <c r="J1700" i="12"/>
  <c r="I1700" i="12"/>
  <c r="H1700" i="12"/>
  <c r="G1700" i="12"/>
  <c r="F1700" i="12"/>
  <c r="J1699" i="12"/>
  <c r="I1699" i="12"/>
  <c r="H1699" i="12"/>
  <c r="G1699" i="12"/>
  <c r="F1699" i="12"/>
  <c r="J1698" i="12"/>
  <c r="I1698" i="12"/>
  <c r="H1698" i="12"/>
  <c r="G1698" i="12"/>
  <c r="F1698" i="12"/>
  <c r="J1697" i="12"/>
  <c r="I1697" i="12"/>
  <c r="H1697" i="12"/>
  <c r="G1697" i="12"/>
  <c r="F1697" i="12"/>
  <c r="J1696" i="12"/>
  <c r="I1696" i="12"/>
  <c r="H1696" i="12"/>
  <c r="G1696" i="12"/>
  <c r="F1696" i="12"/>
  <c r="J1695" i="12"/>
  <c r="I1695" i="12"/>
  <c r="H1695" i="12"/>
  <c r="G1695" i="12"/>
  <c r="F1695" i="12"/>
  <c r="J1694" i="12"/>
  <c r="I1694" i="12"/>
  <c r="H1694" i="12"/>
  <c r="G1694" i="12"/>
  <c r="F1694" i="12"/>
  <c r="J1693" i="12"/>
  <c r="I1693" i="12"/>
  <c r="H1693" i="12"/>
  <c r="G1693" i="12"/>
  <c r="F1693" i="12"/>
  <c r="J1692" i="12"/>
  <c r="I1692" i="12"/>
  <c r="H1692" i="12"/>
  <c r="G1692" i="12"/>
  <c r="F1692" i="12"/>
  <c r="J1691" i="12"/>
  <c r="I1691" i="12"/>
  <c r="H1691" i="12"/>
  <c r="G1691" i="12"/>
  <c r="F1691" i="12"/>
  <c r="J1690" i="12"/>
  <c r="I1690" i="12"/>
  <c r="H1690" i="12"/>
  <c r="G1690" i="12"/>
  <c r="F1690" i="12"/>
  <c r="J1689" i="12"/>
  <c r="I1689" i="12"/>
  <c r="H1689" i="12"/>
  <c r="G1689" i="12"/>
  <c r="F1689" i="12"/>
  <c r="J1688" i="12"/>
  <c r="I1688" i="12"/>
  <c r="H1688" i="12"/>
  <c r="G1688" i="12"/>
  <c r="F1688" i="12"/>
  <c r="J1687" i="12"/>
  <c r="I1687" i="12"/>
  <c r="H1687" i="12"/>
  <c r="G1687" i="12"/>
  <c r="F1687" i="12"/>
  <c r="J1686" i="12"/>
  <c r="I1686" i="12"/>
  <c r="H1686" i="12"/>
  <c r="G1686" i="12"/>
  <c r="F1686" i="12"/>
  <c r="J1685" i="12"/>
  <c r="I1685" i="12"/>
  <c r="H1685" i="12"/>
  <c r="G1685" i="12"/>
  <c r="F1685" i="12"/>
  <c r="J1684" i="12"/>
  <c r="I1684" i="12"/>
  <c r="H1684" i="12"/>
  <c r="G1684" i="12"/>
  <c r="F1684" i="12"/>
  <c r="J1683" i="12"/>
  <c r="I1683" i="12"/>
  <c r="H1683" i="12"/>
  <c r="G1683" i="12"/>
  <c r="F1683" i="12"/>
  <c r="J1682" i="12"/>
  <c r="I1682" i="12"/>
  <c r="H1682" i="12"/>
  <c r="G1682" i="12"/>
  <c r="F1682" i="12"/>
  <c r="J1681" i="12"/>
  <c r="I1681" i="12"/>
  <c r="H1681" i="12"/>
  <c r="G1681" i="12"/>
  <c r="F1681" i="12"/>
  <c r="J1680" i="12"/>
  <c r="I1680" i="12"/>
  <c r="H1680" i="12"/>
  <c r="G1680" i="12"/>
  <c r="F1680" i="12"/>
  <c r="J1679" i="12"/>
  <c r="I1679" i="12"/>
  <c r="H1679" i="12"/>
  <c r="G1679" i="12"/>
  <c r="F1679" i="12"/>
  <c r="J1678" i="12"/>
  <c r="I1678" i="12"/>
  <c r="H1678" i="12"/>
  <c r="G1678" i="12"/>
  <c r="F1678" i="12"/>
  <c r="J1677" i="12"/>
  <c r="I1677" i="12"/>
  <c r="H1677" i="12"/>
  <c r="G1677" i="12"/>
  <c r="F1677" i="12"/>
  <c r="J1676" i="12"/>
  <c r="I1676" i="12"/>
  <c r="H1676" i="12"/>
  <c r="G1676" i="12"/>
  <c r="F1676" i="12"/>
  <c r="J1675" i="12"/>
  <c r="I1675" i="12"/>
  <c r="H1675" i="12"/>
  <c r="G1675" i="12"/>
  <c r="F1675" i="12"/>
  <c r="J1674" i="12"/>
  <c r="I1674" i="12"/>
  <c r="H1674" i="12"/>
  <c r="G1674" i="12"/>
  <c r="F1674" i="12"/>
  <c r="J1673" i="12"/>
  <c r="I1673" i="12"/>
  <c r="H1673" i="12"/>
  <c r="G1673" i="12"/>
  <c r="F1673" i="12"/>
  <c r="J1672" i="12"/>
  <c r="I1672" i="12"/>
  <c r="H1672" i="12"/>
  <c r="G1672" i="12"/>
  <c r="F1672" i="12"/>
  <c r="J1671" i="12"/>
  <c r="I1671" i="12"/>
  <c r="H1671" i="12"/>
  <c r="G1671" i="12"/>
  <c r="F1671" i="12"/>
  <c r="J1670" i="12"/>
  <c r="I1670" i="12"/>
  <c r="H1670" i="12"/>
  <c r="G1670" i="12"/>
  <c r="F1670" i="12"/>
  <c r="J1669" i="12"/>
  <c r="I1669" i="12"/>
  <c r="H1669" i="12"/>
  <c r="G1669" i="12"/>
  <c r="F1669" i="12"/>
  <c r="J1668" i="12"/>
  <c r="I1668" i="12"/>
  <c r="H1668" i="12"/>
  <c r="G1668" i="12"/>
  <c r="F1668" i="12"/>
  <c r="J1667" i="12"/>
  <c r="I1667" i="12"/>
  <c r="H1667" i="12"/>
  <c r="G1667" i="12"/>
  <c r="F1667" i="12"/>
  <c r="J1666" i="12"/>
  <c r="I1666" i="12"/>
  <c r="H1666" i="12"/>
  <c r="G1666" i="12"/>
  <c r="F1666" i="12"/>
  <c r="J1665" i="12"/>
  <c r="I1665" i="12"/>
  <c r="H1665" i="12"/>
  <c r="G1665" i="12"/>
  <c r="F1665" i="12"/>
  <c r="J1664" i="12"/>
  <c r="I1664" i="12"/>
  <c r="H1664" i="12"/>
  <c r="G1664" i="12"/>
  <c r="F1664" i="12"/>
  <c r="J1663" i="12"/>
  <c r="I1663" i="12"/>
  <c r="H1663" i="12"/>
  <c r="G1663" i="12"/>
  <c r="F1663" i="12"/>
  <c r="J1662" i="12"/>
  <c r="I1662" i="12"/>
  <c r="H1662" i="12"/>
  <c r="G1662" i="12"/>
  <c r="F1662" i="12"/>
  <c r="J1661" i="12"/>
  <c r="I1661" i="12"/>
  <c r="H1661" i="12"/>
  <c r="G1661" i="12"/>
  <c r="F1661" i="12"/>
  <c r="J1660" i="12"/>
  <c r="I1660" i="12"/>
  <c r="H1660" i="12"/>
  <c r="G1660" i="12"/>
  <c r="F1660" i="12"/>
  <c r="J1659" i="12"/>
  <c r="I1659" i="12"/>
  <c r="H1659" i="12"/>
  <c r="G1659" i="12"/>
  <c r="F1659" i="12"/>
  <c r="J1658" i="12"/>
  <c r="I1658" i="12"/>
  <c r="H1658" i="12"/>
  <c r="G1658" i="12"/>
  <c r="F1658" i="12"/>
  <c r="J1657" i="12"/>
  <c r="I1657" i="12"/>
  <c r="H1657" i="12"/>
  <c r="G1657" i="12"/>
  <c r="F1657" i="12"/>
  <c r="J1656" i="12"/>
  <c r="I1656" i="12"/>
  <c r="H1656" i="12"/>
  <c r="G1656" i="12"/>
  <c r="F1656" i="12"/>
  <c r="J1655" i="12"/>
  <c r="I1655" i="12"/>
  <c r="H1655" i="12"/>
  <c r="G1655" i="12"/>
  <c r="F1655" i="12"/>
  <c r="J1654" i="12"/>
  <c r="I1654" i="12"/>
  <c r="H1654" i="12"/>
  <c r="G1654" i="12"/>
  <c r="F1654" i="12"/>
  <c r="J1653" i="12"/>
  <c r="I1653" i="12"/>
  <c r="H1653" i="12"/>
  <c r="G1653" i="12"/>
  <c r="F1653" i="12"/>
  <c r="J1652" i="12"/>
  <c r="I1652" i="12"/>
  <c r="H1652" i="12"/>
  <c r="G1652" i="12"/>
  <c r="F1652" i="12"/>
  <c r="J1651" i="12"/>
  <c r="I1651" i="12"/>
  <c r="H1651" i="12"/>
  <c r="G1651" i="12"/>
  <c r="F1651" i="12"/>
  <c r="J1650" i="12"/>
  <c r="I1650" i="12"/>
  <c r="H1650" i="12"/>
  <c r="G1650" i="12"/>
  <c r="F1650" i="12"/>
  <c r="J1649" i="12"/>
  <c r="I1649" i="12"/>
  <c r="H1649" i="12"/>
  <c r="G1649" i="12"/>
  <c r="F1649" i="12"/>
  <c r="J1648" i="12"/>
  <c r="I1648" i="12"/>
  <c r="H1648" i="12"/>
  <c r="G1648" i="12"/>
  <c r="F1648" i="12"/>
  <c r="J1647" i="12"/>
  <c r="I1647" i="12"/>
  <c r="H1647" i="12"/>
  <c r="G1647" i="12"/>
  <c r="F1647" i="12"/>
  <c r="J1646" i="12"/>
  <c r="I1646" i="12"/>
  <c r="H1646" i="12"/>
  <c r="G1646" i="12"/>
  <c r="F1646" i="12"/>
  <c r="J1645" i="12"/>
  <c r="I1645" i="12"/>
  <c r="H1645" i="12"/>
  <c r="G1645" i="12"/>
  <c r="F1645" i="12"/>
  <c r="J1644" i="12"/>
  <c r="I1644" i="12"/>
  <c r="H1644" i="12"/>
  <c r="G1644" i="12"/>
  <c r="F1644" i="12"/>
  <c r="J1643" i="12"/>
  <c r="I1643" i="12"/>
  <c r="H1643" i="12"/>
  <c r="G1643" i="12"/>
  <c r="F1643" i="12"/>
  <c r="J1642" i="12"/>
  <c r="I1642" i="12"/>
  <c r="H1642" i="12"/>
  <c r="G1642" i="12"/>
  <c r="F1642" i="12"/>
  <c r="J1641" i="12"/>
  <c r="I1641" i="12"/>
  <c r="H1641" i="12"/>
  <c r="G1641" i="12"/>
  <c r="F1641" i="12"/>
  <c r="J1640" i="12"/>
  <c r="I1640" i="12"/>
  <c r="H1640" i="12"/>
  <c r="G1640" i="12"/>
  <c r="F1640" i="12"/>
  <c r="J1639" i="12"/>
  <c r="I1639" i="12"/>
  <c r="H1639" i="12"/>
  <c r="G1639" i="12"/>
  <c r="F1639" i="12"/>
  <c r="J1638" i="12"/>
  <c r="I1638" i="12"/>
  <c r="H1638" i="12"/>
  <c r="G1638" i="12"/>
  <c r="F1638" i="12"/>
  <c r="J1637" i="12"/>
  <c r="I1637" i="12"/>
  <c r="H1637" i="12"/>
  <c r="G1637" i="12"/>
  <c r="F1637" i="12"/>
  <c r="J1636" i="12"/>
  <c r="I1636" i="12"/>
  <c r="H1636" i="12"/>
  <c r="G1636" i="12"/>
  <c r="F1636" i="12"/>
  <c r="J1635" i="12"/>
  <c r="I1635" i="12"/>
  <c r="H1635" i="12"/>
  <c r="G1635" i="12"/>
  <c r="F1635" i="12"/>
  <c r="J1634" i="12"/>
  <c r="I1634" i="12"/>
  <c r="H1634" i="12"/>
  <c r="G1634" i="12"/>
  <c r="F1634" i="12"/>
  <c r="J1633" i="12"/>
  <c r="I1633" i="12"/>
  <c r="H1633" i="12"/>
  <c r="G1633" i="12"/>
  <c r="F1633" i="12"/>
  <c r="J1632" i="12"/>
  <c r="I1632" i="12"/>
  <c r="H1632" i="12"/>
  <c r="G1632" i="12"/>
  <c r="F1632" i="12"/>
  <c r="J1631" i="12"/>
  <c r="I1631" i="12"/>
  <c r="H1631" i="12"/>
  <c r="G1631" i="12"/>
  <c r="F1631" i="12"/>
  <c r="J1630" i="12"/>
  <c r="I1630" i="12"/>
  <c r="H1630" i="12"/>
  <c r="G1630" i="12"/>
  <c r="F1630" i="12"/>
  <c r="J1629" i="12"/>
  <c r="I1629" i="12"/>
  <c r="H1629" i="12"/>
  <c r="G1629" i="12"/>
  <c r="F1629" i="12"/>
  <c r="J1628" i="12"/>
  <c r="I1628" i="12"/>
  <c r="H1628" i="12"/>
  <c r="G1628" i="12"/>
  <c r="F1628" i="12"/>
  <c r="J1627" i="12"/>
  <c r="I1627" i="12"/>
  <c r="H1627" i="12"/>
  <c r="G1627" i="12"/>
  <c r="F1627" i="12"/>
  <c r="J1626" i="12"/>
  <c r="I1626" i="12"/>
  <c r="H1626" i="12"/>
  <c r="G1626" i="12"/>
  <c r="F1626" i="12"/>
  <c r="J1625" i="12"/>
  <c r="I1625" i="12"/>
  <c r="H1625" i="12"/>
  <c r="G1625" i="12"/>
  <c r="F1625" i="12"/>
  <c r="J1624" i="12"/>
  <c r="I1624" i="12"/>
  <c r="H1624" i="12"/>
  <c r="G1624" i="12"/>
  <c r="F1624" i="12"/>
  <c r="J1623" i="12"/>
  <c r="I1623" i="12"/>
  <c r="H1623" i="12"/>
  <c r="G1623" i="12"/>
  <c r="F1623" i="12"/>
  <c r="J1622" i="12"/>
  <c r="I1622" i="12"/>
  <c r="H1622" i="12"/>
  <c r="G1622" i="12"/>
  <c r="F1622" i="12"/>
  <c r="J1621" i="12"/>
  <c r="I1621" i="12"/>
  <c r="H1621" i="12"/>
  <c r="G1621" i="12"/>
  <c r="F1621" i="12"/>
  <c r="J1620" i="12"/>
  <c r="I1620" i="12"/>
  <c r="H1620" i="12"/>
  <c r="G1620" i="12"/>
  <c r="F1620" i="12"/>
  <c r="J1619" i="12"/>
  <c r="I1619" i="12"/>
  <c r="H1619" i="12"/>
  <c r="G1619" i="12"/>
  <c r="F1619" i="12"/>
  <c r="J1618" i="12"/>
  <c r="I1618" i="12"/>
  <c r="H1618" i="12"/>
  <c r="G1618" i="12"/>
  <c r="F1618" i="12"/>
  <c r="J1617" i="12"/>
  <c r="I1617" i="12"/>
  <c r="H1617" i="12"/>
  <c r="G1617" i="12"/>
  <c r="F1617" i="12"/>
  <c r="J1616" i="12"/>
  <c r="I1616" i="12"/>
  <c r="H1616" i="12"/>
  <c r="G1616" i="12"/>
  <c r="F1616" i="12"/>
  <c r="J1615" i="12"/>
  <c r="I1615" i="12"/>
  <c r="H1615" i="12"/>
  <c r="G1615" i="12"/>
  <c r="F1615" i="12"/>
  <c r="J1614" i="12"/>
  <c r="I1614" i="12"/>
  <c r="H1614" i="12"/>
  <c r="G1614" i="12"/>
  <c r="F1614" i="12"/>
  <c r="J1613" i="12"/>
  <c r="I1613" i="12"/>
  <c r="H1613" i="12"/>
  <c r="G1613" i="12"/>
  <c r="F1613" i="12"/>
  <c r="J1612" i="12"/>
  <c r="I1612" i="12"/>
  <c r="H1612" i="12"/>
  <c r="G1612" i="12"/>
  <c r="F1612" i="12"/>
  <c r="J1611" i="12"/>
  <c r="I1611" i="12"/>
  <c r="H1611" i="12"/>
  <c r="G1611" i="12"/>
  <c r="F1611" i="12"/>
  <c r="J1610" i="12"/>
  <c r="I1610" i="12"/>
  <c r="H1610" i="12"/>
  <c r="G1610" i="12"/>
  <c r="F1610" i="12"/>
  <c r="J1609" i="12"/>
  <c r="I1609" i="12"/>
  <c r="H1609" i="12"/>
  <c r="G1609" i="12"/>
  <c r="F1609" i="12"/>
  <c r="J1608" i="12"/>
  <c r="I1608" i="12"/>
  <c r="H1608" i="12"/>
  <c r="G1608" i="12"/>
  <c r="F1608" i="12"/>
  <c r="J1607" i="12"/>
  <c r="I1607" i="12"/>
  <c r="H1607" i="12"/>
  <c r="G1607" i="12"/>
  <c r="F1607" i="12"/>
  <c r="J1606" i="12"/>
  <c r="I1606" i="12"/>
  <c r="H1606" i="12"/>
  <c r="G1606" i="12"/>
  <c r="F1606" i="12"/>
  <c r="J1605" i="12"/>
  <c r="I1605" i="12"/>
  <c r="H1605" i="12"/>
  <c r="G1605" i="12"/>
  <c r="F1605" i="12"/>
  <c r="J1604" i="12"/>
  <c r="I1604" i="12"/>
  <c r="H1604" i="12"/>
  <c r="G1604" i="12"/>
  <c r="F1604" i="12"/>
  <c r="J1603" i="12"/>
  <c r="I1603" i="12"/>
  <c r="H1603" i="12"/>
  <c r="G1603" i="12"/>
  <c r="F1603" i="12"/>
  <c r="J1602" i="12"/>
  <c r="I1602" i="12"/>
  <c r="H1602" i="12"/>
  <c r="G1602" i="12"/>
  <c r="F1602" i="12"/>
  <c r="J1601" i="12"/>
  <c r="I1601" i="12"/>
  <c r="H1601" i="12"/>
  <c r="G1601" i="12"/>
  <c r="F1601" i="12"/>
  <c r="J1600" i="12"/>
  <c r="I1600" i="12"/>
  <c r="H1600" i="12"/>
  <c r="G1600" i="12"/>
  <c r="F1600" i="12"/>
  <c r="J1599" i="12"/>
  <c r="I1599" i="12"/>
  <c r="H1599" i="12"/>
  <c r="G1599" i="12"/>
  <c r="F1599" i="12"/>
  <c r="J1598" i="12"/>
  <c r="I1598" i="12"/>
  <c r="H1598" i="12"/>
  <c r="G1598" i="12"/>
  <c r="F1598" i="12"/>
  <c r="J1597" i="12"/>
  <c r="I1597" i="12"/>
  <c r="H1597" i="12"/>
  <c r="G1597" i="12"/>
  <c r="F1597" i="12"/>
  <c r="J1596" i="12"/>
  <c r="I1596" i="12"/>
  <c r="H1596" i="12"/>
  <c r="G1596" i="12"/>
  <c r="F1596" i="12"/>
  <c r="J1595" i="12"/>
  <c r="I1595" i="12"/>
  <c r="H1595" i="12"/>
  <c r="G1595" i="12"/>
  <c r="F1595" i="12"/>
  <c r="J1594" i="12"/>
  <c r="I1594" i="12"/>
  <c r="H1594" i="12"/>
  <c r="G1594" i="12"/>
  <c r="F1594" i="12"/>
  <c r="J1593" i="12"/>
  <c r="I1593" i="12"/>
  <c r="H1593" i="12"/>
  <c r="G1593" i="12"/>
  <c r="F1593" i="12"/>
  <c r="J1592" i="12"/>
  <c r="I1592" i="12"/>
  <c r="H1592" i="12"/>
  <c r="G1592" i="12"/>
  <c r="F1592" i="12"/>
  <c r="J1591" i="12"/>
  <c r="I1591" i="12"/>
  <c r="H1591" i="12"/>
  <c r="G1591" i="12"/>
  <c r="F1591" i="12"/>
  <c r="J1590" i="12"/>
  <c r="I1590" i="12"/>
  <c r="H1590" i="12"/>
  <c r="G1590" i="12"/>
  <c r="F1590" i="12"/>
  <c r="J1589" i="12"/>
  <c r="I1589" i="12"/>
  <c r="H1589" i="12"/>
  <c r="G1589" i="12"/>
  <c r="F1589" i="12"/>
  <c r="J1588" i="12"/>
  <c r="I1588" i="12"/>
  <c r="H1588" i="12"/>
  <c r="G1588" i="12"/>
  <c r="F1588" i="12"/>
  <c r="J1587" i="12"/>
  <c r="I1587" i="12"/>
  <c r="H1587" i="12"/>
  <c r="G1587" i="12"/>
  <c r="F1587" i="12"/>
  <c r="J1586" i="12"/>
  <c r="I1586" i="12"/>
  <c r="H1586" i="12"/>
  <c r="G1586" i="12"/>
  <c r="F1586" i="12"/>
  <c r="J1585" i="12"/>
  <c r="I1585" i="12"/>
  <c r="H1585" i="12"/>
  <c r="G1585" i="12"/>
  <c r="F1585" i="12"/>
  <c r="J1584" i="12"/>
  <c r="I1584" i="12"/>
  <c r="H1584" i="12"/>
  <c r="G1584" i="12"/>
  <c r="F1584" i="12"/>
  <c r="J1583" i="12"/>
  <c r="I1583" i="12"/>
  <c r="H1583" i="12"/>
  <c r="G1583" i="12"/>
  <c r="F1583" i="12"/>
  <c r="J1582" i="12"/>
  <c r="I1582" i="12"/>
  <c r="H1582" i="12"/>
  <c r="G1582" i="12"/>
  <c r="F1582" i="12"/>
  <c r="J1581" i="12"/>
  <c r="I1581" i="12"/>
  <c r="H1581" i="12"/>
  <c r="G1581" i="12"/>
  <c r="F1581" i="12"/>
  <c r="J1580" i="12"/>
  <c r="I1580" i="12"/>
  <c r="H1580" i="12"/>
  <c r="G1580" i="12"/>
  <c r="F1580" i="12"/>
  <c r="J1579" i="12"/>
  <c r="I1579" i="12"/>
  <c r="H1579" i="12"/>
  <c r="G1579" i="12"/>
  <c r="F1579" i="12"/>
  <c r="J1578" i="12"/>
  <c r="I1578" i="12"/>
  <c r="H1578" i="12"/>
  <c r="G1578" i="12"/>
  <c r="F1578" i="12"/>
  <c r="J1577" i="12"/>
  <c r="I1577" i="12"/>
  <c r="H1577" i="12"/>
  <c r="G1577" i="12"/>
  <c r="F1577" i="12"/>
  <c r="J1576" i="12"/>
  <c r="I1576" i="12"/>
  <c r="H1576" i="12"/>
  <c r="G1576" i="12"/>
  <c r="F1576" i="12"/>
  <c r="J1575" i="12"/>
  <c r="I1575" i="12"/>
  <c r="H1575" i="12"/>
  <c r="G1575" i="12"/>
  <c r="F1575" i="12"/>
  <c r="J1574" i="12"/>
  <c r="I1574" i="12"/>
  <c r="H1574" i="12"/>
  <c r="G1574" i="12"/>
  <c r="F1574" i="12"/>
  <c r="J1573" i="12"/>
  <c r="I1573" i="12"/>
  <c r="H1573" i="12"/>
  <c r="G1573" i="12"/>
  <c r="F1573" i="12"/>
  <c r="J1572" i="12"/>
  <c r="I1572" i="12"/>
  <c r="H1572" i="12"/>
  <c r="G1572" i="12"/>
  <c r="F1572" i="12"/>
  <c r="J1571" i="12"/>
  <c r="I1571" i="12"/>
  <c r="H1571" i="12"/>
  <c r="G1571" i="12"/>
  <c r="F1571" i="12"/>
  <c r="J1570" i="12"/>
  <c r="I1570" i="12"/>
  <c r="H1570" i="12"/>
  <c r="G1570" i="12"/>
  <c r="F1570" i="12"/>
  <c r="J1569" i="12"/>
  <c r="I1569" i="12"/>
  <c r="H1569" i="12"/>
  <c r="G1569" i="12"/>
  <c r="F1569" i="12"/>
  <c r="J1568" i="12"/>
  <c r="I1568" i="12"/>
  <c r="H1568" i="12"/>
  <c r="G1568" i="12"/>
  <c r="F1568" i="12"/>
  <c r="J1567" i="12"/>
  <c r="I1567" i="12"/>
  <c r="H1567" i="12"/>
  <c r="G1567" i="12"/>
  <c r="F1567" i="12"/>
  <c r="J1566" i="12"/>
  <c r="I1566" i="12"/>
  <c r="H1566" i="12"/>
  <c r="G1566" i="12"/>
  <c r="F1566" i="12"/>
  <c r="J1565" i="12"/>
  <c r="I1565" i="12"/>
  <c r="H1565" i="12"/>
  <c r="G1565" i="12"/>
  <c r="F1565" i="12"/>
  <c r="J1564" i="12"/>
  <c r="I1564" i="12"/>
  <c r="H1564" i="12"/>
  <c r="G1564" i="12"/>
  <c r="F1564" i="12"/>
  <c r="J1563" i="12"/>
  <c r="I1563" i="12"/>
  <c r="H1563" i="12"/>
  <c r="G1563" i="12"/>
  <c r="F1563" i="12"/>
  <c r="J1562" i="12"/>
  <c r="I1562" i="12"/>
  <c r="H1562" i="12"/>
  <c r="G1562" i="12"/>
  <c r="F1562" i="12"/>
  <c r="J1561" i="12"/>
  <c r="I1561" i="12"/>
  <c r="H1561" i="12"/>
  <c r="G1561" i="12"/>
  <c r="F1561" i="12"/>
  <c r="J1560" i="12"/>
  <c r="I1560" i="12"/>
  <c r="H1560" i="12"/>
  <c r="G1560" i="12"/>
  <c r="F1560" i="12"/>
  <c r="J1559" i="12"/>
  <c r="I1559" i="12"/>
  <c r="H1559" i="12"/>
  <c r="G1559" i="12"/>
  <c r="F1559" i="12"/>
  <c r="J1558" i="12"/>
  <c r="I1558" i="12"/>
  <c r="H1558" i="12"/>
  <c r="G1558" i="12"/>
  <c r="F1558" i="12"/>
  <c r="J1557" i="12"/>
  <c r="I1557" i="12"/>
  <c r="H1557" i="12"/>
  <c r="G1557" i="12"/>
  <c r="F1557" i="12"/>
  <c r="J1556" i="12"/>
  <c r="I1556" i="12"/>
  <c r="H1556" i="12"/>
  <c r="G1556" i="12"/>
  <c r="F1556" i="12"/>
  <c r="J1555" i="12"/>
  <c r="I1555" i="12"/>
  <c r="H1555" i="12"/>
  <c r="G1555" i="12"/>
  <c r="F1555" i="12"/>
  <c r="J1554" i="12"/>
  <c r="I1554" i="12"/>
  <c r="H1554" i="12"/>
  <c r="G1554" i="12"/>
  <c r="F1554" i="12"/>
  <c r="J1553" i="12"/>
  <c r="I1553" i="12"/>
  <c r="H1553" i="12"/>
  <c r="G1553" i="12"/>
  <c r="F1553" i="12"/>
  <c r="J1552" i="12"/>
  <c r="I1552" i="12"/>
  <c r="H1552" i="12"/>
  <c r="G1552" i="12"/>
  <c r="F1552" i="12"/>
  <c r="J1551" i="12"/>
  <c r="I1551" i="12"/>
  <c r="H1551" i="12"/>
  <c r="G1551" i="12"/>
  <c r="F1551" i="12"/>
  <c r="J1550" i="12"/>
  <c r="I1550" i="12"/>
  <c r="H1550" i="12"/>
  <c r="G1550" i="12"/>
  <c r="F1550" i="12"/>
  <c r="J1549" i="12"/>
  <c r="I1549" i="12"/>
  <c r="H1549" i="12"/>
  <c r="G1549" i="12"/>
  <c r="F1549" i="12"/>
  <c r="J1548" i="12"/>
  <c r="I1548" i="12"/>
  <c r="H1548" i="12"/>
  <c r="G1548" i="12"/>
  <c r="F1548" i="12"/>
  <c r="J1547" i="12"/>
  <c r="I1547" i="12"/>
  <c r="H1547" i="12"/>
  <c r="G1547" i="12"/>
  <c r="F1547" i="12"/>
  <c r="J1546" i="12"/>
  <c r="I1546" i="12"/>
  <c r="H1546" i="12"/>
  <c r="G1546" i="12"/>
  <c r="F1546" i="12"/>
  <c r="J1545" i="12"/>
  <c r="I1545" i="12"/>
  <c r="H1545" i="12"/>
  <c r="G1545" i="12"/>
  <c r="F1545" i="12"/>
  <c r="J1544" i="12"/>
  <c r="I1544" i="12"/>
  <c r="H1544" i="12"/>
  <c r="G1544" i="12"/>
  <c r="F1544" i="12"/>
  <c r="J1543" i="12"/>
  <c r="I1543" i="12"/>
  <c r="H1543" i="12"/>
  <c r="G1543" i="12"/>
  <c r="F1543" i="12"/>
  <c r="J1542" i="12"/>
  <c r="I1542" i="12"/>
  <c r="H1542" i="12"/>
  <c r="G1542" i="12"/>
  <c r="F1542" i="12"/>
  <c r="J1541" i="12"/>
  <c r="I1541" i="12"/>
  <c r="H1541" i="12"/>
  <c r="G1541" i="12"/>
  <c r="F1541" i="12"/>
  <c r="J1540" i="12"/>
  <c r="I1540" i="12"/>
  <c r="H1540" i="12"/>
  <c r="G1540" i="12"/>
  <c r="F1540" i="12"/>
  <c r="J1539" i="12"/>
  <c r="I1539" i="12"/>
  <c r="H1539" i="12"/>
  <c r="G1539" i="12"/>
  <c r="F1539" i="12"/>
  <c r="J1538" i="12"/>
  <c r="I1538" i="12"/>
  <c r="H1538" i="12"/>
  <c r="G1538" i="12"/>
  <c r="F1538" i="12"/>
  <c r="J1537" i="12"/>
  <c r="I1537" i="12"/>
  <c r="H1537" i="12"/>
  <c r="G1537" i="12"/>
  <c r="F1537" i="12"/>
  <c r="J1536" i="12"/>
  <c r="I1536" i="12"/>
  <c r="H1536" i="12"/>
  <c r="G1536" i="12"/>
  <c r="F1536" i="12"/>
  <c r="J1535" i="12"/>
  <c r="I1535" i="12"/>
  <c r="H1535" i="12"/>
  <c r="G1535" i="12"/>
  <c r="F1535" i="12"/>
  <c r="J1534" i="12"/>
  <c r="I1534" i="12"/>
  <c r="H1534" i="12"/>
  <c r="G1534" i="12"/>
  <c r="F1534" i="12"/>
  <c r="J1533" i="12"/>
  <c r="I1533" i="12"/>
  <c r="H1533" i="12"/>
  <c r="G1533" i="12"/>
  <c r="F1533" i="12"/>
  <c r="J1532" i="12"/>
  <c r="I1532" i="12"/>
  <c r="H1532" i="12"/>
  <c r="G1532" i="12"/>
  <c r="F1532" i="12"/>
  <c r="J1531" i="12"/>
  <c r="I1531" i="12"/>
  <c r="H1531" i="12"/>
  <c r="G1531" i="12"/>
  <c r="F1531" i="12"/>
  <c r="J1530" i="12"/>
  <c r="I1530" i="12"/>
  <c r="H1530" i="12"/>
  <c r="G1530" i="12"/>
  <c r="F1530" i="12"/>
  <c r="J1529" i="12"/>
  <c r="I1529" i="12"/>
  <c r="H1529" i="12"/>
  <c r="G1529" i="12"/>
  <c r="F1529" i="12"/>
  <c r="J1528" i="12"/>
  <c r="I1528" i="12"/>
  <c r="H1528" i="12"/>
  <c r="G1528" i="12"/>
  <c r="F1528" i="12"/>
  <c r="J1527" i="12"/>
  <c r="I1527" i="12"/>
  <c r="H1527" i="12"/>
  <c r="G1527" i="12"/>
  <c r="F1527" i="12"/>
  <c r="J1526" i="12"/>
  <c r="I1526" i="12"/>
  <c r="H1526" i="12"/>
  <c r="G1526" i="12"/>
  <c r="F1526" i="12"/>
  <c r="J1525" i="12"/>
  <c r="I1525" i="12"/>
  <c r="H1525" i="12"/>
  <c r="G1525" i="12"/>
  <c r="F1525" i="12"/>
  <c r="J1524" i="12"/>
  <c r="I1524" i="12"/>
  <c r="H1524" i="12"/>
  <c r="G1524" i="12"/>
  <c r="F1524" i="12"/>
  <c r="J1523" i="12"/>
  <c r="I1523" i="12"/>
  <c r="H1523" i="12"/>
  <c r="G1523" i="12"/>
  <c r="F1523" i="12"/>
  <c r="J1522" i="12"/>
  <c r="I1522" i="12"/>
  <c r="H1522" i="12"/>
  <c r="G1522" i="12"/>
  <c r="F1522" i="12"/>
  <c r="J1521" i="12"/>
  <c r="I1521" i="12"/>
  <c r="H1521" i="12"/>
  <c r="G1521" i="12"/>
  <c r="F1521" i="12"/>
  <c r="J1520" i="12"/>
  <c r="I1520" i="12"/>
  <c r="H1520" i="12"/>
  <c r="G1520" i="12"/>
  <c r="F1520" i="12"/>
  <c r="J1519" i="12"/>
  <c r="I1519" i="12"/>
  <c r="H1519" i="12"/>
  <c r="G1519" i="12"/>
  <c r="F1519" i="12"/>
  <c r="J1518" i="12"/>
  <c r="I1518" i="12"/>
  <c r="H1518" i="12"/>
  <c r="G1518" i="12"/>
  <c r="F1518" i="12"/>
  <c r="J1517" i="12"/>
  <c r="I1517" i="12"/>
  <c r="H1517" i="12"/>
  <c r="G1517" i="12"/>
  <c r="F1517" i="12"/>
  <c r="J1516" i="12"/>
  <c r="I1516" i="12"/>
  <c r="H1516" i="12"/>
  <c r="G1516" i="12"/>
  <c r="F1516" i="12"/>
  <c r="J1515" i="12"/>
  <c r="I1515" i="12"/>
  <c r="H1515" i="12"/>
  <c r="G1515" i="12"/>
  <c r="F1515" i="12"/>
  <c r="J1514" i="12"/>
  <c r="I1514" i="12"/>
  <c r="H1514" i="12"/>
  <c r="G1514" i="12"/>
  <c r="F1514" i="12"/>
  <c r="J1513" i="12"/>
  <c r="I1513" i="12"/>
  <c r="H1513" i="12"/>
  <c r="G1513" i="12"/>
  <c r="F1513" i="12"/>
  <c r="J1512" i="12"/>
  <c r="I1512" i="12"/>
  <c r="H1512" i="12"/>
  <c r="G1512" i="12"/>
  <c r="F1512" i="12"/>
  <c r="J1511" i="12"/>
  <c r="I1511" i="12"/>
  <c r="H1511" i="12"/>
  <c r="G1511" i="12"/>
  <c r="F1511" i="12"/>
  <c r="J1510" i="12"/>
  <c r="I1510" i="12"/>
  <c r="H1510" i="12"/>
  <c r="G1510" i="12"/>
  <c r="F1510" i="12"/>
  <c r="J1509" i="12"/>
  <c r="I1509" i="12"/>
  <c r="H1509" i="12"/>
  <c r="G1509" i="12"/>
  <c r="F1509" i="12"/>
  <c r="J1508" i="12"/>
  <c r="I1508" i="12"/>
  <c r="H1508" i="12"/>
  <c r="G1508" i="12"/>
  <c r="F1508" i="12"/>
  <c r="J1507" i="12"/>
  <c r="I1507" i="12"/>
  <c r="H1507" i="12"/>
  <c r="G1507" i="12"/>
  <c r="F1507" i="12"/>
  <c r="J1506" i="12"/>
  <c r="I1506" i="12"/>
  <c r="H1506" i="12"/>
  <c r="G1506" i="12"/>
  <c r="F1506" i="12"/>
  <c r="J1505" i="12"/>
  <c r="I1505" i="12"/>
  <c r="H1505" i="12"/>
  <c r="G1505" i="12"/>
  <c r="F1505" i="12"/>
  <c r="J1504" i="12"/>
  <c r="I1504" i="12"/>
  <c r="H1504" i="12"/>
  <c r="G1504" i="12"/>
  <c r="F1504" i="12"/>
  <c r="J1503" i="12"/>
  <c r="I1503" i="12"/>
  <c r="H1503" i="12"/>
  <c r="G1503" i="12"/>
  <c r="F1503" i="12"/>
  <c r="J1502" i="12"/>
  <c r="I1502" i="12"/>
  <c r="H1502" i="12"/>
  <c r="G1502" i="12"/>
  <c r="F1502" i="12"/>
  <c r="J1501" i="12"/>
  <c r="I1501" i="12"/>
  <c r="H1501" i="12"/>
  <c r="G1501" i="12"/>
  <c r="F1501" i="12"/>
  <c r="J1500" i="12"/>
  <c r="I1500" i="12"/>
  <c r="H1500" i="12"/>
  <c r="G1500" i="12"/>
  <c r="F1500" i="12"/>
  <c r="J1499" i="12"/>
  <c r="I1499" i="12"/>
  <c r="H1499" i="12"/>
  <c r="G1499" i="12"/>
  <c r="F1499" i="12"/>
  <c r="J1498" i="12"/>
  <c r="I1498" i="12"/>
  <c r="H1498" i="12"/>
  <c r="G1498" i="12"/>
  <c r="F1498" i="12"/>
  <c r="J1497" i="12"/>
  <c r="I1497" i="12"/>
  <c r="H1497" i="12"/>
  <c r="G1497" i="12"/>
  <c r="F1497" i="12"/>
  <c r="J1496" i="12"/>
  <c r="I1496" i="12"/>
  <c r="H1496" i="12"/>
  <c r="G1496" i="12"/>
  <c r="F1496" i="12"/>
  <c r="J1495" i="12"/>
  <c r="I1495" i="12"/>
  <c r="H1495" i="12"/>
  <c r="G1495" i="12"/>
  <c r="F1495" i="12"/>
  <c r="J1494" i="12"/>
  <c r="I1494" i="12"/>
  <c r="H1494" i="12"/>
  <c r="G1494" i="12"/>
  <c r="F1494" i="12"/>
  <c r="J1493" i="12"/>
  <c r="I1493" i="12"/>
  <c r="H1493" i="12"/>
  <c r="G1493" i="12"/>
  <c r="F1493" i="12"/>
  <c r="J1492" i="12"/>
  <c r="I1492" i="12"/>
  <c r="H1492" i="12"/>
  <c r="G1492" i="12"/>
  <c r="F1492" i="12"/>
  <c r="J1491" i="12"/>
  <c r="I1491" i="12"/>
  <c r="H1491" i="12"/>
  <c r="G1491" i="12"/>
  <c r="F1491" i="12"/>
  <c r="J1490" i="12"/>
  <c r="I1490" i="12"/>
  <c r="H1490" i="12"/>
  <c r="G1490" i="12"/>
  <c r="F1490" i="12"/>
  <c r="J1489" i="12"/>
  <c r="I1489" i="12"/>
  <c r="H1489" i="12"/>
  <c r="G1489" i="12"/>
  <c r="F1489" i="12"/>
  <c r="J1488" i="12"/>
  <c r="I1488" i="12"/>
  <c r="H1488" i="12"/>
  <c r="G1488" i="12"/>
  <c r="F1488" i="12"/>
  <c r="J1487" i="12"/>
  <c r="I1487" i="12"/>
  <c r="H1487" i="12"/>
  <c r="G1487" i="12"/>
  <c r="F1487" i="12"/>
  <c r="J1486" i="12"/>
  <c r="I1486" i="12"/>
  <c r="H1486" i="12"/>
  <c r="G1486" i="12"/>
  <c r="F1486" i="12"/>
  <c r="J1485" i="12"/>
  <c r="I1485" i="12"/>
  <c r="H1485" i="12"/>
  <c r="G1485" i="12"/>
  <c r="F1485" i="12"/>
  <c r="J1484" i="12"/>
  <c r="I1484" i="12"/>
  <c r="H1484" i="12"/>
  <c r="G1484" i="12"/>
  <c r="F1484" i="12"/>
  <c r="J1483" i="12"/>
  <c r="I1483" i="12"/>
  <c r="H1483" i="12"/>
  <c r="G1483" i="12"/>
  <c r="F1483" i="12"/>
  <c r="J1482" i="12"/>
  <c r="I1482" i="12"/>
  <c r="H1482" i="12"/>
  <c r="G1482" i="12"/>
  <c r="F1482" i="12"/>
  <c r="J1481" i="12"/>
  <c r="I1481" i="12"/>
  <c r="H1481" i="12"/>
  <c r="G1481" i="12"/>
  <c r="F1481" i="12"/>
  <c r="J1480" i="12"/>
  <c r="I1480" i="12"/>
  <c r="H1480" i="12"/>
  <c r="G1480" i="12"/>
  <c r="F1480" i="12"/>
  <c r="J1479" i="12"/>
  <c r="I1479" i="12"/>
  <c r="H1479" i="12"/>
  <c r="G1479" i="12"/>
  <c r="F1479" i="12"/>
  <c r="J1478" i="12"/>
  <c r="I1478" i="12"/>
  <c r="H1478" i="12"/>
  <c r="G1478" i="12"/>
  <c r="F1478" i="12"/>
  <c r="J1477" i="12"/>
  <c r="I1477" i="12"/>
  <c r="H1477" i="12"/>
  <c r="G1477" i="12"/>
  <c r="F1477" i="12"/>
  <c r="J1476" i="12"/>
  <c r="I1476" i="12"/>
  <c r="H1476" i="12"/>
  <c r="G1476" i="12"/>
  <c r="F1476" i="12"/>
  <c r="J1475" i="12"/>
  <c r="I1475" i="12"/>
  <c r="H1475" i="12"/>
  <c r="G1475" i="12"/>
  <c r="F1475" i="12"/>
  <c r="J1474" i="12"/>
  <c r="I1474" i="12"/>
  <c r="H1474" i="12"/>
  <c r="G1474" i="12"/>
  <c r="F1474" i="12"/>
  <c r="J1473" i="12"/>
  <c r="I1473" i="12"/>
  <c r="H1473" i="12"/>
  <c r="G1473" i="12"/>
  <c r="F1473" i="12"/>
  <c r="J1472" i="12"/>
  <c r="I1472" i="12"/>
  <c r="H1472" i="12"/>
  <c r="G1472" i="12"/>
  <c r="F1472" i="12"/>
  <c r="J1471" i="12"/>
  <c r="I1471" i="12"/>
  <c r="H1471" i="12"/>
  <c r="G1471" i="12"/>
  <c r="F1471" i="12"/>
  <c r="J1470" i="12"/>
  <c r="I1470" i="12"/>
  <c r="H1470" i="12"/>
  <c r="G1470" i="12"/>
  <c r="F1470" i="12"/>
  <c r="J1469" i="12"/>
  <c r="I1469" i="12"/>
  <c r="H1469" i="12"/>
  <c r="G1469" i="12"/>
  <c r="F1469" i="12"/>
  <c r="J1468" i="12"/>
  <c r="I1468" i="12"/>
  <c r="H1468" i="12"/>
  <c r="G1468" i="12"/>
  <c r="F1468" i="12"/>
  <c r="J1467" i="12"/>
  <c r="I1467" i="12"/>
  <c r="H1467" i="12"/>
  <c r="G1467" i="12"/>
  <c r="F1467" i="12"/>
  <c r="J1466" i="12"/>
  <c r="I1466" i="12"/>
  <c r="H1466" i="12"/>
  <c r="G1466" i="12"/>
  <c r="F1466" i="12"/>
  <c r="J1465" i="12"/>
  <c r="I1465" i="12"/>
  <c r="H1465" i="12"/>
  <c r="G1465" i="12"/>
  <c r="F1465" i="12"/>
  <c r="J1464" i="12"/>
  <c r="I1464" i="12"/>
  <c r="H1464" i="12"/>
  <c r="G1464" i="12"/>
  <c r="F1464" i="12"/>
  <c r="J1463" i="12"/>
  <c r="I1463" i="12"/>
  <c r="H1463" i="12"/>
  <c r="G1463" i="12"/>
  <c r="F1463" i="12"/>
  <c r="J1462" i="12"/>
  <c r="I1462" i="12"/>
  <c r="H1462" i="12"/>
  <c r="G1462" i="12"/>
  <c r="F1462" i="12"/>
  <c r="J1461" i="12"/>
  <c r="I1461" i="12"/>
  <c r="H1461" i="12"/>
  <c r="G1461" i="12"/>
  <c r="F1461" i="12"/>
  <c r="J1460" i="12"/>
  <c r="I1460" i="12"/>
  <c r="H1460" i="12"/>
  <c r="G1460" i="12"/>
  <c r="F1460" i="12"/>
  <c r="J1459" i="12"/>
  <c r="I1459" i="12"/>
  <c r="H1459" i="12"/>
  <c r="G1459" i="12"/>
  <c r="F1459" i="12"/>
  <c r="J1458" i="12"/>
  <c r="I1458" i="12"/>
  <c r="H1458" i="12"/>
  <c r="G1458" i="12"/>
  <c r="F1458" i="12"/>
  <c r="J1457" i="12"/>
  <c r="I1457" i="12"/>
  <c r="H1457" i="12"/>
  <c r="G1457" i="12"/>
  <c r="F1457" i="12"/>
  <c r="J1456" i="12"/>
  <c r="I1456" i="12"/>
  <c r="H1456" i="12"/>
  <c r="G1456" i="12"/>
  <c r="F1456" i="12"/>
  <c r="J1455" i="12"/>
  <c r="I1455" i="12"/>
  <c r="H1455" i="12"/>
  <c r="G1455" i="12"/>
  <c r="F1455" i="12"/>
  <c r="J1454" i="12"/>
  <c r="I1454" i="12"/>
  <c r="H1454" i="12"/>
  <c r="G1454" i="12"/>
  <c r="F1454" i="12"/>
  <c r="J1453" i="12"/>
  <c r="I1453" i="12"/>
  <c r="H1453" i="12"/>
  <c r="G1453" i="12"/>
  <c r="F1453" i="12"/>
  <c r="J1452" i="12"/>
  <c r="I1452" i="12"/>
  <c r="H1452" i="12"/>
  <c r="G1452" i="12"/>
  <c r="F1452" i="12"/>
  <c r="J1451" i="12"/>
  <c r="I1451" i="12"/>
  <c r="H1451" i="12"/>
  <c r="G1451" i="12"/>
  <c r="F1451" i="12"/>
  <c r="J1450" i="12"/>
  <c r="I1450" i="12"/>
  <c r="H1450" i="12"/>
  <c r="G1450" i="12"/>
  <c r="F1450" i="12"/>
  <c r="J1449" i="12"/>
  <c r="I1449" i="12"/>
  <c r="H1449" i="12"/>
  <c r="G1449" i="12"/>
  <c r="F1449" i="12"/>
  <c r="J1448" i="12"/>
  <c r="I1448" i="12"/>
  <c r="H1448" i="12"/>
  <c r="G1448" i="12"/>
  <c r="F1448" i="12"/>
  <c r="J1447" i="12"/>
  <c r="I1447" i="12"/>
  <c r="H1447" i="12"/>
  <c r="G1447" i="12"/>
  <c r="F1447" i="12"/>
  <c r="J1446" i="12"/>
  <c r="I1446" i="12"/>
  <c r="H1446" i="12"/>
  <c r="G1446" i="12"/>
  <c r="F1446" i="12"/>
  <c r="J1445" i="12"/>
  <c r="I1445" i="12"/>
  <c r="H1445" i="12"/>
  <c r="G1445" i="12"/>
  <c r="F1445" i="12"/>
  <c r="J1444" i="12"/>
  <c r="I1444" i="12"/>
  <c r="H1444" i="12"/>
  <c r="G1444" i="12"/>
  <c r="F1444" i="12"/>
  <c r="J1443" i="12"/>
  <c r="I1443" i="12"/>
  <c r="H1443" i="12"/>
  <c r="G1443" i="12"/>
  <c r="F1443" i="12"/>
  <c r="J1442" i="12"/>
  <c r="I1442" i="12"/>
  <c r="H1442" i="12"/>
  <c r="G1442" i="12"/>
  <c r="F1442" i="12"/>
  <c r="J1441" i="12"/>
  <c r="I1441" i="12"/>
  <c r="H1441" i="12"/>
  <c r="G1441" i="12"/>
  <c r="F1441" i="12"/>
  <c r="J1440" i="12"/>
  <c r="I1440" i="12"/>
  <c r="H1440" i="12"/>
  <c r="G1440" i="12"/>
  <c r="F1440" i="12"/>
  <c r="J1439" i="12"/>
  <c r="I1439" i="12"/>
  <c r="H1439" i="12"/>
  <c r="G1439" i="12"/>
  <c r="F1439" i="12"/>
  <c r="J1438" i="12"/>
  <c r="I1438" i="12"/>
  <c r="H1438" i="12"/>
  <c r="G1438" i="12"/>
  <c r="F1438" i="12"/>
  <c r="J1437" i="12"/>
  <c r="I1437" i="12"/>
  <c r="H1437" i="12"/>
  <c r="G1437" i="12"/>
  <c r="F1437" i="12"/>
  <c r="J1436" i="12"/>
  <c r="I1436" i="12"/>
  <c r="H1436" i="12"/>
  <c r="G1436" i="12"/>
  <c r="F1436" i="12"/>
  <c r="J1435" i="12"/>
  <c r="I1435" i="12"/>
  <c r="H1435" i="12"/>
  <c r="G1435" i="12"/>
  <c r="F1435" i="12"/>
  <c r="J1434" i="12"/>
  <c r="I1434" i="12"/>
  <c r="H1434" i="12"/>
  <c r="G1434" i="12"/>
  <c r="F1434" i="12"/>
  <c r="J1433" i="12"/>
  <c r="I1433" i="12"/>
  <c r="H1433" i="12"/>
  <c r="G1433" i="12"/>
  <c r="F1433" i="12"/>
  <c r="J1432" i="12"/>
  <c r="I1432" i="12"/>
  <c r="H1432" i="12"/>
  <c r="G1432" i="12"/>
  <c r="F1432" i="12"/>
  <c r="J1431" i="12"/>
  <c r="I1431" i="12"/>
  <c r="H1431" i="12"/>
  <c r="G1431" i="12"/>
  <c r="F1431" i="12"/>
  <c r="J1430" i="12"/>
  <c r="I1430" i="12"/>
  <c r="H1430" i="12"/>
  <c r="G1430" i="12"/>
  <c r="F1430" i="12"/>
  <c r="J1429" i="12"/>
  <c r="I1429" i="12"/>
  <c r="H1429" i="12"/>
  <c r="G1429" i="12"/>
  <c r="F1429" i="12"/>
  <c r="J1428" i="12"/>
  <c r="I1428" i="12"/>
  <c r="H1428" i="12"/>
  <c r="G1428" i="12"/>
  <c r="F1428" i="12"/>
  <c r="J1427" i="12"/>
  <c r="I1427" i="12"/>
  <c r="H1427" i="12"/>
  <c r="G1427" i="12"/>
  <c r="F1427" i="12"/>
  <c r="J1426" i="12"/>
  <c r="I1426" i="12"/>
  <c r="H1426" i="12"/>
  <c r="G1426" i="12"/>
  <c r="F1426" i="12"/>
  <c r="J1425" i="12"/>
  <c r="I1425" i="12"/>
  <c r="H1425" i="12"/>
  <c r="G1425" i="12"/>
  <c r="F1425" i="12"/>
  <c r="J1424" i="12"/>
  <c r="I1424" i="12"/>
  <c r="H1424" i="12"/>
  <c r="G1424" i="12"/>
  <c r="F1424" i="12"/>
  <c r="J1423" i="12"/>
  <c r="I1423" i="12"/>
  <c r="H1423" i="12"/>
  <c r="G1423" i="12"/>
  <c r="F1423" i="12"/>
  <c r="J1422" i="12"/>
  <c r="I1422" i="12"/>
  <c r="H1422" i="12"/>
  <c r="G1422" i="12"/>
  <c r="F1422" i="12"/>
  <c r="J1421" i="12"/>
  <c r="I1421" i="12"/>
  <c r="H1421" i="12"/>
  <c r="G1421" i="12"/>
  <c r="F1421" i="12"/>
  <c r="J1420" i="12"/>
  <c r="I1420" i="12"/>
  <c r="H1420" i="12"/>
  <c r="G1420" i="12"/>
  <c r="F1420" i="12"/>
  <c r="J1419" i="12"/>
  <c r="I1419" i="12"/>
  <c r="H1419" i="12"/>
  <c r="G1419" i="12"/>
  <c r="F1419" i="12"/>
  <c r="J1418" i="12"/>
  <c r="I1418" i="12"/>
  <c r="H1418" i="12"/>
  <c r="G1418" i="12"/>
  <c r="F1418" i="12"/>
  <c r="J1417" i="12"/>
  <c r="I1417" i="12"/>
  <c r="H1417" i="12"/>
  <c r="G1417" i="12"/>
  <c r="F1417" i="12"/>
  <c r="J1416" i="12"/>
  <c r="I1416" i="12"/>
  <c r="H1416" i="12"/>
  <c r="G1416" i="12"/>
  <c r="F1416" i="12"/>
  <c r="J1415" i="12"/>
  <c r="I1415" i="12"/>
  <c r="H1415" i="12"/>
  <c r="G1415" i="12"/>
  <c r="F1415" i="12"/>
  <c r="J1414" i="12"/>
  <c r="I1414" i="12"/>
  <c r="H1414" i="12"/>
  <c r="G1414" i="12"/>
  <c r="F1414" i="12"/>
  <c r="J1413" i="12"/>
  <c r="I1413" i="12"/>
  <c r="H1413" i="12"/>
  <c r="G1413" i="12"/>
  <c r="F1413" i="12"/>
  <c r="J1412" i="12"/>
  <c r="I1412" i="12"/>
  <c r="H1412" i="12"/>
  <c r="G1412" i="12"/>
  <c r="F1412" i="12"/>
  <c r="J1411" i="12"/>
  <c r="I1411" i="12"/>
  <c r="H1411" i="12"/>
  <c r="G1411" i="12"/>
  <c r="F1411" i="12"/>
  <c r="J1410" i="12"/>
  <c r="I1410" i="12"/>
  <c r="H1410" i="12"/>
  <c r="G1410" i="12"/>
  <c r="F1410" i="12"/>
  <c r="J1409" i="12"/>
  <c r="I1409" i="12"/>
  <c r="H1409" i="12"/>
  <c r="G1409" i="12"/>
  <c r="F1409" i="12"/>
  <c r="J1408" i="12"/>
  <c r="I1408" i="12"/>
  <c r="H1408" i="12"/>
  <c r="G1408" i="12"/>
  <c r="F1408" i="12"/>
  <c r="J1407" i="12"/>
  <c r="I1407" i="12"/>
  <c r="H1407" i="12"/>
  <c r="G1407" i="12"/>
  <c r="F1407" i="12"/>
  <c r="J1406" i="12"/>
  <c r="I1406" i="12"/>
  <c r="H1406" i="12"/>
  <c r="G1406" i="12"/>
  <c r="F1406" i="12"/>
  <c r="J1405" i="12"/>
  <c r="I1405" i="12"/>
  <c r="H1405" i="12"/>
  <c r="G1405" i="12"/>
  <c r="F1405" i="12"/>
  <c r="J1404" i="12"/>
  <c r="I1404" i="12"/>
  <c r="H1404" i="12"/>
  <c r="G1404" i="12"/>
  <c r="F1404" i="12"/>
  <c r="J1403" i="12"/>
  <c r="I1403" i="12"/>
  <c r="H1403" i="12"/>
  <c r="G1403" i="12"/>
  <c r="F1403" i="12"/>
  <c r="J1402" i="12"/>
  <c r="I1402" i="12"/>
  <c r="H1402" i="12"/>
  <c r="G1402" i="12"/>
  <c r="F1402" i="12"/>
  <c r="J1401" i="12"/>
  <c r="I1401" i="12"/>
  <c r="H1401" i="12"/>
  <c r="G1401" i="12"/>
  <c r="F1401" i="12"/>
  <c r="J1400" i="12"/>
  <c r="I1400" i="12"/>
  <c r="H1400" i="12"/>
  <c r="G1400" i="12"/>
  <c r="F1400" i="12"/>
  <c r="J1399" i="12"/>
  <c r="I1399" i="12"/>
  <c r="H1399" i="12"/>
  <c r="G1399" i="12"/>
  <c r="F1399" i="12"/>
  <c r="J1398" i="12"/>
  <c r="I1398" i="12"/>
  <c r="H1398" i="12"/>
  <c r="G1398" i="12"/>
  <c r="F1398" i="12"/>
  <c r="J1397" i="12"/>
  <c r="I1397" i="12"/>
  <c r="H1397" i="12"/>
  <c r="G1397" i="12"/>
  <c r="F1397" i="12"/>
  <c r="J1396" i="12"/>
  <c r="I1396" i="12"/>
  <c r="H1396" i="12"/>
  <c r="G1396" i="12"/>
  <c r="F1396" i="12"/>
  <c r="J1395" i="12"/>
  <c r="I1395" i="12"/>
  <c r="H1395" i="12"/>
  <c r="G1395" i="12"/>
  <c r="F1395" i="12"/>
  <c r="J1394" i="12"/>
  <c r="I1394" i="12"/>
  <c r="H1394" i="12"/>
  <c r="G1394" i="12"/>
  <c r="F1394" i="12"/>
  <c r="J1393" i="12"/>
  <c r="I1393" i="12"/>
  <c r="H1393" i="12"/>
  <c r="G1393" i="12"/>
  <c r="F1393" i="12"/>
  <c r="J1392" i="12"/>
  <c r="I1392" i="12"/>
  <c r="H1392" i="12"/>
  <c r="G1392" i="12"/>
  <c r="F1392" i="12"/>
  <c r="J1391" i="12"/>
  <c r="I1391" i="12"/>
  <c r="H1391" i="12"/>
  <c r="G1391" i="12"/>
  <c r="F1391" i="12"/>
  <c r="J1390" i="12"/>
  <c r="I1390" i="12"/>
  <c r="H1390" i="12"/>
  <c r="G1390" i="12"/>
  <c r="F1390" i="12"/>
  <c r="J1389" i="12"/>
  <c r="I1389" i="12"/>
  <c r="H1389" i="12"/>
  <c r="G1389" i="12"/>
  <c r="F1389" i="12"/>
  <c r="J1388" i="12"/>
  <c r="I1388" i="12"/>
  <c r="H1388" i="12"/>
  <c r="G1388" i="12"/>
  <c r="F1388" i="12"/>
  <c r="J1387" i="12"/>
  <c r="I1387" i="12"/>
  <c r="H1387" i="12"/>
  <c r="G1387" i="12"/>
  <c r="F1387" i="12"/>
  <c r="J1386" i="12"/>
  <c r="I1386" i="12"/>
  <c r="H1386" i="12"/>
  <c r="G1386" i="12"/>
  <c r="F1386" i="12"/>
  <c r="J1385" i="12"/>
  <c r="I1385" i="12"/>
  <c r="H1385" i="12"/>
  <c r="G1385" i="12"/>
  <c r="F1385" i="12"/>
  <c r="J1384" i="12"/>
  <c r="I1384" i="12"/>
  <c r="H1384" i="12"/>
  <c r="G1384" i="12"/>
  <c r="F1384" i="12"/>
  <c r="J1383" i="12"/>
  <c r="I1383" i="12"/>
  <c r="H1383" i="12"/>
  <c r="G1383" i="12"/>
  <c r="F1383" i="12"/>
  <c r="J1382" i="12"/>
  <c r="I1382" i="12"/>
  <c r="H1382" i="12"/>
  <c r="G1382" i="12"/>
  <c r="F1382" i="12"/>
  <c r="J1381" i="12"/>
  <c r="I1381" i="12"/>
  <c r="H1381" i="12"/>
  <c r="G1381" i="12"/>
  <c r="F1381" i="12"/>
  <c r="J1380" i="12"/>
  <c r="I1380" i="12"/>
  <c r="H1380" i="12"/>
  <c r="G1380" i="12"/>
  <c r="F1380" i="12"/>
  <c r="J1379" i="12"/>
  <c r="I1379" i="12"/>
  <c r="H1379" i="12"/>
  <c r="G1379" i="12"/>
  <c r="F1379" i="12"/>
  <c r="J1378" i="12"/>
  <c r="I1378" i="12"/>
  <c r="H1378" i="12"/>
  <c r="G1378" i="12"/>
  <c r="F1378" i="12"/>
  <c r="J1377" i="12"/>
  <c r="I1377" i="12"/>
  <c r="H1377" i="12"/>
  <c r="G1377" i="12"/>
  <c r="F1377" i="12"/>
  <c r="J1376" i="12"/>
  <c r="I1376" i="12"/>
  <c r="H1376" i="12"/>
  <c r="G1376" i="12"/>
  <c r="F1376" i="12"/>
  <c r="J1375" i="12"/>
  <c r="I1375" i="12"/>
  <c r="H1375" i="12"/>
  <c r="G1375" i="12"/>
  <c r="F1375" i="12"/>
  <c r="J1374" i="12"/>
  <c r="I1374" i="12"/>
  <c r="H1374" i="12"/>
  <c r="G1374" i="12"/>
  <c r="F1374" i="12"/>
  <c r="J1373" i="12"/>
  <c r="I1373" i="12"/>
  <c r="H1373" i="12"/>
  <c r="G1373" i="12"/>
  <c r="F1373" i="12"/>
  <c r="J1372" i="12"/>
  <c r="I1372" i="12"/>
  <c r="H1372" i="12"/>
  <c r="G1372" i="12"/>
  <c r="F1372" i="12"/>
  <c r="J1371" i="12"/>
  <c r="I1371" i="12"/>
  <c r="H1371" i="12"/>
  <c r="G1371" i="12"/>
  <c r="F1371" i="12"/>
  <c r="J1370" i="12"/>
  <c r="I1370" i="12"/>
  <c r="H1370" i="12"/>
  <c r="G1370" i="12"/>
  <c r="F1370" i="12"/>
  <c r="J1369" i="12"/>
  <c r="I1369" i="12"/>
  <c r="H1369" i="12"/>
  <c r="G1369" i="12"/>
  <c r="F1369" i="12"/>
  <c r="J1368" i="12"/>
  <c r="I1368" i="12"/>
  <c r="H1368" i="12"/>
  <c r="G1368" i="12"/>
  <c r="F1368" i="12"/>
  <c r="J1367" i="12"/>
  <c r="I1367" i="12"/>
  <c r="H1367" i="12"/>
  <c r="G1367" i="12"/>
  <c r="F1367" i="12"/>
  <c r="J1366" i="12"/>
  <c r="I1366" i="12"/>
  <c r="H1366" i="12"/>
  <c r="G1366" i="12"/>
  <c r="F1366" i="12"/>
  <c r="J1365" i="12"/>
  <c r="I1365" i="12"/>
  <c r="H1365" i="12"/>
  <c r="G1365" i="12"/>
  <c r="F1365" i="12"/>
  <c r="J1364" i="12"/>
  <c r="I1364" i="12"/>
  <c r="H1364" i="12"/>
  <c r="G1364" i="12"/>
  <c r="F1364" i="12"/>
  <c r="J1363" i="12"/>
  <c r="I1363" i="12"/>
  <c r="H1363" i="12"/>
  <c r="G1363" i="12"/>
  <c r="F1363" i="12"/>
  <c r="J1362" i="12"/>
  <c r="I1362" i="12"/>
  <c r="H1362" i="12"/>
  <c r="G1362" i="12"/>
  <c r="F1362" i="12"/>
  <c r="J1361" i="12"/>
  <c r="I1361" i="12"/>
  <c r="H1361" i="12"/>
  <c r="G1361" i="12"/>
  <c r="F1361" i="12"/>
  <c r="J1360" i="12"/>
  <c r="I1360" i="12"/>
  <c r="H1360" i="12"/>
  <c r="G1360" i="12"/>
  <c r="F1360" i="12"/>
  <c r="J1359" i="12"/>
  <c r="I1359" i="12"/>
  <c r="H1359" i="12"/>
  <c r="G1359" i="12"/>
  <c r="F1359" i="12"/>
  <c r="J1358" i="12"/>
  <c r="I1358" i="12"/>
  <c r="H1358" i="12"/>
  <c r="G1358" i="12"/>
  <c r="F1358" i="12"/>
  <c r="J1357" i="12"/>
  <c r="I1357" i="12"/>
  <c r="H1357" i="12"/>
  <c r="G1357" i="12"/>
  <c r="F1357" i="12"/>
  <c r="J1356" i="12"/>
  <c r="I1356" i="12"/>
  <c r="H1356" i="12"/>
  <c r="G1356" i="12"/>
  <c r="F1356" i="12"/>
  <c r="J1355" i="12"/>
  <c r="I1355" i="12"/>
  <c r="H1355" i="12"/>
  <c r="G1355" i="12"/>
  <c r="F1355" i="12"/>
  <c r="J1354" i="12"/>
  <c r="I1354" i="12"/>
  <c r="H1354" i="12"/>
  <c r="G1354" i="12"/>
  <c r="F1354" i="12"/>
  <c r="J1353" i="12"/>
  <c r="I1353" i="12"/>
  <c r="H1353" i="12"/>
  <c r="G1353" i="12"/>
  <c r="F1353" i="12"/>
  <c r="J1352" i="12"/>
  <c r="I1352" i="12"/>
  <c r="H1352" i="12"/>
  <c r="G1352" i="12"/>
  <c r="F1352" i="12"/>
  <c r="J1351" i="12"/>
  <c r="I1351" i="12"/>
  <c r="H1351" i="12"/>
  <c r="G1351" i="12"/>
  <c r="F1351" i="12"/>
  <c r="J1350" i="12"/>
  <c r="I1350" i="12"/>
  <c r="H1350" i="12"/>
  <c r="G1350" i="12"/>
  <c r="F1350" i="12"/>
  <c r="J1349" i="12"/>
  <c r="I1349" i="12"/>
  <c r="H1349" i="12"/>
  <c r="G1349" i="12"/>
  <c r="F1349" i="12"/>
  <c r="J1348" i="12"/>
  <c r="I1348" i="12"/>
  <c r="H1348" i="12"/>
  <c r="G1348" i="12"/>
  <c r="F1348" i="12"/>
  <c r="J1347" i="12"/>
  <c r="I1347" i="12"/>
  <c r="H1347" i="12"/>
  <c r="G1347" i="12"/>
  <c r="F1347" i="12"/>
  <c r="J1346" i="12"/>
  <c r="I1346" i="12"/>
  <c r="H1346" i="12"/>
  <c r="G1346" i="12"/>
  <c r="F1346" i="12"/>
  <c r="J1345" i="12"/>
  <c r="I1345" i="12"/>
  <c r="H1345" i="12"/>
  <c r="G1345" i="12"/>
  <c r="F1345" i="12"/>
  <c r="J1344" i="12"/>
  <c r="I1344" i="12"/>
  <c r="H1344" i="12"/>
  <c r="G1344" i="12"/>
  <c r="F1344" i="12"/>
  <c r="J1343" i="12"/>
  <c r="I1343" i="12"/>
  <c r="H1343" i="12"/>
  <c r="G1343" i="12"/>
  <c r="F1343" i="12"/>
  <c r="J1342" i="12"/>
  <c r="I1342" i="12"/>
  <c r="H1342" i="12"/>
  <c r="G1342" i="12"/>
  <c r="F1342" i="12"/>
  <c r="J1341" i="12"/>
  <c r="I1341" i="12"/>
  <c r="H1341" i="12"/>
  <c r="G1341" i="12"/>
  <c r="F1341" i="12"/>
  <c r="J1340" i="12"/>
  <c r="I1340" i="12"/>
  <c r="H1340" i="12"/>
  <c r="G1340" i="12"/>
  <c r="F1340" i="12"/>
  <c r="J1339" i="12"/>
  <c r="I1339" i="12"/>
  <c r="H1339" i="12"/>
  <c r="G1339" i="12"/>
  <c r="F1339" i="12"/>
  <c r="J1338" i="12"/>
  <c r="I1338" i="12"/>
  <c r="H1338" i="12"/>
  <c r="G1338" i="12"/>
  <c r="F1338" i="12"/>
  <c r="J1337" i="12"/>
  <c r="I1337" i="12"/>
  <c r="H1337" i="12"/>
  <c r="G1337" i="12"/>
  <c r="F1337" i="12"/>
  <c r="J1336" i="12"/>
  <c r="I1336" i="12"/>
  <c r="H1336" i="12"/>
  <c r="G1336" i="12"/>
  <c r="F1336" i="12"/>
  <c r="J1335" i="12"/>
  <c r="I1335" i="12"/>
  <c r="H1335" i="12"/>
  <c r="G1335" i="12"/>
  <c r="F1335" i="12"/>
  <c r="J1334" i="12"/>
  <c r="I1334" i="12"/>
  <c r="H1334" i="12"/>
  <c r="G1334" i="12"/>
  <c r="F1334" i="12"/>
  <c r="J1333" i="12"/>
  <c r="I1333" i="12"/>
  <c r="H1333" i="12"/>
  <c r="G1333" i="12"/>
  <c r="F1333" i="12"/>
  <c r="J1332" i="12"/>
  <c r="I1332" i="12"/>
  <c r="H1332" i="12"/>
  <c r="G1332" i="12"/>
  <c r="F1332" i="12"/>
  <c r="J1331" i="12"/>
  <c r="I1331" i="12"/>
  <c r="H1331" i="12"/>
  <c r="G1331" i="12"/>
  <c r="F1331" i="12"/>
  <c r="J1330" i="12"/>
  <c r="I1330" i="12"/>
  <c r="H1330" i="12"/>
  <c r="G1330" i="12"/>
  <c r="F1330" i="12"/>
  <c r="J1329" i="12"/>
  <c r="I1329" i="12"/>
  <c r="H1329" i="12"/>
  <c r="G1329" i="12"/>
  <c r="F1329" i="12"/>
  <c r="J1328" i="12"/>
  <c r="I1328" i="12"/>
  <c r="H1328" i="12"/>
  <c r="G1328" i="12"/>
  <c r="F1328" i="12"/>
  <c r="J1327" i="12"/>
  <c r="I1327" i="12"/>
  <c r="H1327" i="12"/>
  <c r="G1327" i="12"/>
  <c r="F1327" i="12"/>
  <c r="J1326" i="12"/>
  <c r="I1326" i="12"/>
  <c r="H1326" i="12"/>
  <c r="G1326" i="12"/>
  <c r="F1326" i="12"/>
  <c r="J1325" i="12"/>
  <c r="I1325" i="12"/>
  <c r="H1325" i="12"/>
  <c r="G1325" i="12"/>
  <c r="F1325" i="12"/>
  <c r="J1324" i="12"/>
  <c r="I1324" i="12"/>
  <c r="H1324" i="12"/>
  <c r="G1324" i="12"/>
  <c r="F1324" i="12"/>
  <c r="J1323" i="12"/>
  <c r="I1323" i="12"/>
  <c r="H1323" i="12"/>
  <c r="G1323" i="12"/>
  <c r="F1323" i="12"/>
  <c r="J1322" i="12"/>
  <c r="I1322" i="12"/>
  <c r="H1322" i="12"/>
  <c r="G1322" i="12"/>
  <c r="F1322" i="12"/>
  <c r="J1321" i="12"/>
  <c r="I1321" i="12"/>
  <c r="H1321" i="12"/>
  <c r="G1321" i="12"/>
  <c r="F1321" i="12"/>
  <c r="J1320" i="12"/>
  <c r="I1320" i="12"/>
  <c r="H1320" i="12"/>
  <c r="G1320" i="12"/>
  <c r="F1320" i="12"/>
  <c r="J1319" i="12"/>
  <c r="I1319" i="12"/>
  <c r="H1319" i="12"/>
  <c r="G1319" i="12"/>
  <c r="F1319" i="12"/>
  <c r="J1318" i="12"/>
  <c r="I1318" i="12"/>
  <c r="H1318" i="12"/>
  <c r="G1318" i="12"/>
  <c r="F1318" i="12"/>
  <c r="J1317" i="12"/>
  <c r="I1317" i="12"/>
  <c r="H1317" i="12"/>
  <c r="G1317" i="12"/>
  <c r="F1317" i="12"/>
  <c r="J1316" i="12"/>
  <c r="I1316" i="12"/>
  <c r="H1316" i="12"/>
  <c r="G1316" i="12"/>
  <c r="F1316" i="12"/>
  <c r="J1315" i="12"/>
  <c r="I1315" i="12"/>
  <c r="H1315" i="12"/>
  <c r="G1315" i="12"/>
  <c r="F1315" i="12"/>
  <c r="J1314" i="12"/>
  <c r="I1314" i="12"/>
  <c r="H1314" i="12"/>
  <c r="G1314" i="12"/>
  <c r="F1314" i="12"/>
  <c r="J1313" i="12"/>
  <c r="I1313" i="12"/>
  <c r="H1313" i="12"/>
  <c r="G1313" i="12"/>
  <c r="F1313" i="12"/>
  <c r="J1312" i="12"/>
  <c r="I1312" i="12"/>
  <c r="H1312" i="12"/>
  <c r="G1312" i="12"/>
  <c r="F1312" i="12"/>
  <c r="J1311" i="12"/>
  <c r="I1311" i="12"/>
  <c r="H1311" i="12"/>
  <c r="G1311" i="12"/>
  <c r="F1311" i="12"/>
  <c r="J1310" i="12"/>
  <c r="I1310" i="12"/>
  <c r="H1310" i="12"/>
  <c r="G1310" i="12"/>
  <c r="F1310" i="12"/>
  <c r="J1309" i="12"/>
  <c r="I1309" i="12"/>
  <c r="H1309" i="12"/>
  <c r="G1309" i="12"/>
  <c r="F1309" i="12"/>
  <c r="J1308" i="12"/>
  <c r="I1308" i="12"/>
  <c r="H1308" i="12"/>
  <c r="G1308" i="12"/>
  <c r="F1308" i="12"/>
  <c r="J1307" i="12"/>
  <c r="I1307" i="12"/>
  <c r="H1307" i="12"/>
  <c r="G1307" i="12"/>
  <c r="F1307" i="12"/>
  <c r="J1306" i="12"/>
  <c r="I1306" i="12"/>
  <c r="H1306" i="12"/>
  <c r="G1306" i="12"/>
  <c r="F1306" i="12"/>
  <c r="J1305" i="12"/>
  <c r="I1305" i="12"/>
  <c r="H1305" i="12"/>
  <c r="G1305" i="12"/>
  <c r="F1305" i="12"/>
  <c r="J1304" i="12"/>
  <c r="I1304" i="12"/>
  <c r="H1304" i="12"/>
  <c r="G1304" i="12"/>
  <c r="F1304" i="12"/>
  <c r="J1303" i="12"/>
  <c r="I1303" i="12"/>
  <c r="H1303" i="12"/>
  <c r="G1303" i="12"/>
  <c r="F1303" i="12"/>
  <c r="J1302" i="12"/>
  <c r="I1302" i="12"/>
  <c r="H1302" i="12"/>
  <c r="G1302" i="12"/>
  <c r="F1302" i="12"/>
  <c r="J1301" i="12"/>
  <c r="I1301" i="12"/>
  <c r="H1301" i="12"/>
  <c r="G1301" i="12"/>
  <c r="F1301" i="12"/>
  <c r="J1300" i="12"/>
  <c r="I1300" i="12"/>
  <c r="H1300" i="12"/>
  <c r="G1300" i="12"/>
  <c r="F1300" i="12"/>
  <c r="J1299" i="12"/>
  <c r="I1299" i="12"/>
  <c r="H1299" i="12"/>
  <c r="G1299" i="12"/>
  <c r="F1299" i="12"/>
  <c r="J1298" i="12"/>
  <c r="I1298" i="12"/>
  <c r="H1298" i="12"/>
  <c r="G1298" i="12"/>
  <c r="F1298" i="12"/>
  <c r="J1297" i="12"/>
  <c r="I1297" i="12"/>
  <c r="H1297" i="12"/>
  <c r="G1297" i="12"/>
  <c r="F1297" i="12"/>
  <c r="J1296" i="12"/>
  <c r="I1296" i="12"/>
  <c r="H1296" i="12"/>
  <c r="G1296" i="12"/>
  <c r="F1296" i="12"/>
  <c r="J1295" i="12"/>
  <c r="I1295" i="12"/>
  <c r="H1295" i="12"/>
  <c r="G1295" i="12"/>
  <c r="F1295" i="12"/>
  <c r="J1294" i="12"/>
  <c r="I1294" i="12"/>
  <c r="H1294" i="12"/>
  <c r="G1294" i="12"/>
  <c r="F1294" i="12"/>
  <c r="J1293" i="12"/>
  <c r="I1293" i="12"/>
  <c r="H1293" i="12"/>
  <c r="G1293" i="12"/>
  <c r="F1293" i="12"/>
  <c r="J1292" i="12"/>
  <c r="I1292" i="12"/>
  <c r="H1292" i="12"/>
  <c r="G1292" i="12"/>
  <c r="F1292" i="12"/>
  <c r="J1291" i="12"/>
  <c r="I1291" i="12"/>
  <c r="H1291" i="12"/>
  <c r="G1291" i="12"/>
  <c r="F1291" i="12"/>
  <c r="J1290" i="12"/>
  <c r="I1290" i="12"/>
  <c r="H1290" i="12"/>
  <c r="G1290" i="12"/>
  <c r="F1290" i="12"/>
  <c r="J1289" i="12"/>
  <c r="I1289" i="12"/>
  <c r="H1289" i="12"/>
  <c r="G1289" i="12"/>
  <c r="F1289" i="12"/>
  <c r="J1288" i="12"/>
  <c r="I1288" i="12"/>
  <c r="H1288" i="12"/>
  <c r="G1288" i="12"/>
  <c r="F1288" i="12"/>
  <c r="J1287" i="12"/>
  <c r="I1287" i="12"/>
  <c r="H1287" i="12"/>
  <c r="G1287" i="12"/>
  <c r="F1287" i="12"/>
  <c r="J1286" i="12"/>
  <c r="I1286" i="12"/>
  <c r="H1286" i="12"/>
  <c r="G1286" i="12"/>
  <c r="F1286" i="12"/>
  <c r="J1285" i="12"/>
  <c r="I1285" i="12"/>
  <c r="H1285" i="12"/>
  <c r="G1285" i="12"/>
  <c r="F1285" i="12"/>
  <c r="J1284" i="12"/>
  <c r="I1284" i="12"/>
  <c r="H1284" i="12"/>
  <c r="G1284" i="12"/>
  <c r="F1284" i="12"/>
  <c r="J1283" i="12"/>
  <c r="I1283" i="12"/>
  <c r="H1283" i="12"/>
  <c r="G1283" i="12"/>
  <c r="F1283" i="12"/>
  <c r="J1282" i="12"/>
  <c r="I1282" i="12"/>
  <c r="H1282" i="12"/>
  <c r="G1282" i="12"/>
  <c r="F1282" i="12"/>
  <c r="J1281" i="12"/>
  <c r="I1281" i="12"/>
  <c r="H1281" i="12"/>
  <c r="G1281" i="12"/>
  <c r="F1281" i="12"/>
  <c r="J1280" i="12"/>
  <c r="I1280" i="12"/>
  <c r="H1280" i="12"/>
  <c r="G1280" i="12"/>
  <c r="F1280" i="12"/>
  <c r="J1279" i="12"/>
  <c r="I1279" i="12"/>
  <c r="H1279" i="12"/>
  <c r="G1279" i="12"/>
  <c r="F1279" i="12"/>
  <c r="J1278" i="12"/>
  <c r="I1278" i="12"/>
  <c r="H1278" i="12"/>
  <c r="G1278" i="12"/>
  <c r="F1278" i="12"/>
  <c r="J1277" i="12"/>
  <c r="I1277" i="12"/>
  <c r="H1277" i="12"/>
  <c r="G1277" i="12"/>
  <c r="F1277" i="12"/>
  <c r="J1276" i="12"/>
  <c r="I1276" i="12"/>
  <c r="H1276" i="12"/>
  <c r="G1276" i="12"/>
  <c r="F1276" i="12"/>
  <c r="J1275" i="12"/>
  <c r="I1275" i="12"/>
  <c r="H1275" i="12"/>
  <c r="G1275" i="12"/>
  <c r="F1275" i="12"/>
  <c r="J1274" i="12"/>
  <c r="I1274" i="12"/>
  <c r="H1274" i="12"/>
  <c r="G1274" i="12"/>
  <c r="F1274" i="12"/>
  <c r="J1273" i="12"/>
  <c r="I1273" i="12"/>
  <c r="H1273" i="12"/>
  <c r="G1273" i="12"/>
  <c r="F1273" i="12"/>
  <c r="J1272" i="12"/>
  <c r="I1272" i="12"/>
  <c r="H1272" i="12"/>
  <c r="G1272" i="12"/>
  <c r="F1272" i="12"/>
  <c r="J1271" i="12"/>
  <c r="I1271" i="12"/>
  <c r="H1271" i="12"/>
  <c r="G1271" i="12"/>
  <c r="F1271" i="12"/>
  <c r="J1270" i="12"/>
  <c r="I1270" i="12"/>
  <c r="H1270" i="12"/>
  <c r="G1270" i="12"/>
  <c r="F1270" i="12"/>
  <c r="J1269" i="12"/>
  <c r="I1269" i="12"/>
  <c r="H1269" i="12"/>
  <c r="G1269" i="12"/>
  <c r="F1269" i="12"/>
  <c r="J1268" i="12"/>
  <c r="I1268" i="12"/>
  <c r="H1268" i="12"/>
  <c r="G1268" i="12"/>
  <c r="F1268" i="12"/>
  <c r="J1267" i="12"/>
  <c r="I1267" i="12"/>
  <c r="H1267" i="12"/>
  <c r="G1267" i="12"/>
  <c r="F1267" i="12"/>
  <c r="J1266" i="12"/>
  <c r="I1266" i="12"/>
  <c r="H1266" i="12"/>
  <c r="G1266" i="12"/>
  <c r="F1266" i="12"/>
  <c r="J1265" i="12"/>
  <c r="I1265" i="12"/>
  <c r="H1265" i="12"/>
  <c r="G1265" i="12"/>
  <c r="F1265" i="12"/>
  <c r="J1264" i="12"/>
  <c r="I1264" i="12"/>
  <c r="H1264" i="12"/>
  <c r="G1264" i="12"/>
  <c r="F1264" i="12"/>
  <c r="J1263" i="12"/>
  <c r="I1263" i="12"/>
  <c r="H1263" i="12"/>
  <c r="G1263" i="12"/>
  <c r="F1263" i="12"/>
  <c r="J1262" i="12"/>
  <c r="I1262" i="12"/>
  <c r="H1262" i="12"/>
  <c r="G1262" i="12"/>
  <c r="F1262" i="12"/>
  <c r="J1261" i="12"/>
  <c r="I1261" i="12"/>
  <c r="H1261" i="12"/>
  <c r="G1261" i="12"/>
  <c r="F1261" i="12"/>
  <c r="J1260" i="12"/>
  <c r="I1260" i="12"/>
  <c r="H1260" i="12"/>
  <c r="G1260" i="12"/>
  <c r="F1260" i="12"/>
  <c r="J1259" i="12"/>
  <c r="I1259" i="12"/>
  <c r="H1259" i="12"/>
  <c r="G1259" i="12"/>
  <c r="F1259" i="12"/>
  <c r="J1258" i="12"/>
  <c r="I1258" i="12"/>
  <c r="H1258" i="12"/>
  <c r="G1258" i="12"/>
  <c r="F1258" i="12"/>
  <c r="J1257" i="12"/>
  <c r="I1257" i="12"/>
  <c r="H1257" i="12"/>
  <c r="G1257" i="12"/>
  <c r="F1257" i="12"/>
  <c r="J1256" i="12"/>
  <c r="I1256" i="12"/>
  <c r="H1256" i="12"/>
  <c r="G1256" i="12"/>
  <c r="F1256" i="12"/>
  <c r="J1255" i="12"/>
  <c r="I1255" i="12"/>
  <c r="H1255" i="12"/>
  <c r="G1255" i="12"/>
  <c r="F1255" i="12"/>
  <c r="J1254" i="12"/>
  <c r="I1254" i="12"/>
  <c r="H1254" i="12"/>
  <c r="G1254" i="12"/>
  <c r="F1254" i="12"/>
  <c r="J1253" i="12"/>
  <c r="I1253" i="12"/>
  <c r="H1253" i="12"/>
  <c r="G1253" i="12"/>
  <c r="F1253" i="12"/>
  <c r="J1252" i="12"/>
  <c r="I1252" i="12"/>
  <c r="H1252" i="12"/>
  <c r="G1252" i="12"/>
  <c r="F1252" i="12"/>
  <c r="J1251" i="12"/>
  <c r="I1251" i="12"/>
  <c r="H1251" i="12"/>
  <c r="G1251" i="12"/>
  <c r="F1251" i="12"/>
  <c r="J1250" i="12"/>
  <c r="I1250" i="12"/>
  <c r="H1250" i="12"/>
  <c r="G1250" i="12"/>
  <c r="F1250" i="12"/>
  <c r="J1249" i="12"/>
  <c r="I1249" i="12"/>
  <c r="H1249" i="12"/>
  <c r="G1249" i="12"/>
  <c r="F1249" i="12"/>
  <c r="J1248" i="12"/>
  <c r="I1248" i="12"/>
  <c r="H1248" i="12"/>
  <c r="G1248" i="12"/>
  <c r="F1248" i="12"/>
  <c r="J1247" i="12"/>
  <c r="I1247" i="12"/>
  <c r="H1247" i="12"/>
  <c r="G1247" i="12"/>
  <c r="F1247" i="12"/>
  <c r="J1246" i="12"/>
  <c r="I1246" i="12"/>
  <c r="H1246" i="12"/>
  <c r="G1246" i="12"/>
  <c r="F1246" i="12"/>
  <c r="J1245" i="12"/>
  <c r="I1245" i="12"/>
  <c r="H1245" i="12"/>
  <c r="G1245" i="12"/>
  <c r="F1245" i="12"/>
  <c r="J1244" i="12"/>
  <c r="I1244" i="12"/>
  <c r="H1244" i="12"/>
  <c r="G1244" i="12"/>
  <c r="F1244" i="12"/>
  <c r="J1243" i="12"/>
  <c r="I1243" i="12"/>
  <c r="H1243" i="12"/>
  <c r="G1243" i="12"/>
  <c r="F1243" i="12"/>
  <c r="J1242" i="12"/>
  <c r="I1242" i="12"/>
  <c r="H1242" i="12"/>
  <c r="G1242" i="12"/>
  <c r="F1242" i="12"/>
  <c r="J1241" i="12"/>
  <c r="I1241" i="12"/>
  <c r="H1241" i="12"/>
  <c r="G1241" i="12"/>
  <c r="F1241" i="12"/>
  <c r="J1240" i="12"/>
  <c r="I1240" i="12"/>
  <c r="H1240" i="12"/>
  <c r="G1240" i="12"/>
  <c r="F1240" i="12"/>
  <c r="J1239" i="12"/>
  <c r="I1239" i="12"/>
  <c r="H1239" i="12"/>
  <c r="G1239" i="12"/>
  <c r="F1239" i="12"/>
  <c r="J1238" i="12"/>
  <c r="I1238" i="12"/>
  <c r="H1238" i="12"/>
  <c r="G1238" i="12"/>
  <c r="F1238" i="12"/>
  <c r="J1237" i="12"/>
  <c r="I1237" i="12"/>
  <c r="H1237" i="12"/>
  <c r="G1237" i="12"/>
  <c r="F1237" i="12"/>
  <c r="J1236" i="12"/>
  <c r="I1236" i="12"/>
  <c r="H1236" i="12"/>
  <c r="G1236" i="12"/>
  <c r="F1236" i="12"/>
  <c r="J1235" i="12"/>
  <c r="I1235" i="12"/>
  <c r="H1235" i="12"/>
  <c r="G1235" i="12"/>
  <c r="F1235" i="12"/>
  <c r="J1234" i="12"/>
  <c r="I1234" i="12"/>
  <c r="H1234" i="12"/>
  <c r="G1234" i="12"/>
  <c r="F1234" i="12"/>
  <c r="J1233" i="12"/>
  <c r="I1233" i="12"/>
  <c r="H1233" i="12"/>
  <c r="G1233" i="12"/>
  <c r="F1233" i="12"/>
  <c r="J1232" i="12"/>
  <c r="I1232" i="12"/>
  <c r="H1232" i="12"/>
  <c r="G1232" i="12"/>
  <c r="F1232" i="12"/>
  <c r="J1231" i="12"/>
  <c r="I1231" i="12"/>
  <c r="H1231" i="12"/>
  <c r="G1231" i="12"/>
  <c r="F1231" i="12"/>
  <c r="J1230" i="12"/>
  <c r="I1230" i="12"/>
  <c r="H1230" i="12"/>
  <c r="G1230" i="12"/>
  <c r="F1230" i="12"/>
  <c r="J1229" i="12"/>
  <c r="I1229" i="12"/>
  <c r="H1229" i="12"/>
  <c r="G1229" i="12"/>
  <c r="F1229" i="12"/>
  <c r="J1228" i="12"/>
  <c r="I1228" i="12"/>
  <c r="H1228" i="12"/>
  <c r="G1228" i="12"/>
  <c r="F1228" i="12"/>
  <c r="J1227" i="12"/>
  <c r="I1227" i="12"/>
  <c r="H1227" i="12"/>
  <c r="G1227" i="12"/>
  <c r="F1227" i="12"/>
  <c r="J1226" i="12"/>
  <c r="I1226" i="12"/>
  <c r="H1226" i="12"/>
  <c r="G1226" i="12"/>
  <c r="F1226" i="12"/>
  <c r="J1225" i="12"/>
  <c r="I1225" i="12"/>
  <c r="H1225" i="12"/>
  <c r="G1225" i="12"/>
  <c r="F1225" i="12"/>
  <c r="J1224" i="12"/>
  <c r="I1224" i="12"/>
  <c r="H1224" i="12"/>
  <c r="G1224" i="12"/>
  <c r="F1224" i="12"/>
  <c r="J1223" i="12"/>
  <c r="I1223" i="12"/>
  <c r="H1223" i="12"/>
  <c r="G1223" i="12"/>
  <c r="F1223" i="12"/>
  <c r="J1222" i="12"/>
  <c r="I1222" i="12"/>
  <c r="H1222" i="12"/>
  <c r="G1222" i="12"/>
  <c r="F1222" i="12"/>
  <c r="J1221" i="12"/>
  <c r="I1221" i="12"/>
  <c r="H1221" i="12"/>
  <c r="G1221" i="12"/>
  <c r="F1221" i="12"/>
  <c r="J1220" i="12"/>
  <c r="I1220" i="12"/>
  <c r="H1220" i="12"/>
  <c r="G1220" i="12"/>
  <c r="F1220" i="12"/>
  <c r="J1219" i="12"/>
  <c r="I1219" i="12"/>
  <c r="H1219" i="12"/>
  <c r="G1219" i="12"/>
  <c r="F1219" i="12"/>
  <c r="J1218" i="12"/>
  <c r="I1218" i="12"/>
  <c r="H1218" i="12"/>
  <c r="G1218" i="12"/>
  <c r="F1218" i="12"/>
  <c r="J1217" i="12"/>
  <c r="I1217" i="12"/>
  <c r="H1217" i="12"/>
  <c r="G1217" i="12"/>
  <c r="F1217" i="12"/>
  <c r="J1216" i="12"/>
  <c r="I1216" i="12"/>
  <c r="H1216" i="12"/>
  <c r="G1216" i="12"/>
  <c r="F1216" i="12"/>
  <c r="J1215" i="12"/>
  <c r="I1215" i="12"/>
  <c r="H1215" i="12"/>
  <c r="G1215" i="12"/>
  <c r="F1215" i="12"/>
  <c r="J1214" i="12"/>
  <c r="I1214" i="12"/>
  <c r="H1214" i="12"/>
  <c r="G1214" i="12"/>
  <c r="F1214" i="12"/>
  <c r="J1213" i="12"/>
  <c r="I1213" i="12"/>
  <c r="H1213" i="12"/>
  <c r="G1213" i="12"/>
  <c r="F1213" i="12"/>
  <c r="J1212" i="12"/>
  <c r="I1212" i="12"/>
  <c r="H1212" i="12"/>
  <c r="G1212" i="12"/>
  <c r="F1212" i="12"/>
  <c r="J1211" i="12"/>
  <c r="I1211" i="12"/>
  <c r="H1211" i="12"/>
  <c r="G1211" i="12"/>
  <c r="F1211" i="12"/>
  <c r="J1210" i="12"/>
  <c r="I1210" i="12"/>
  <c r="H1210" i="12"/>
  <c r="G1210" i="12"/>
  <c r="F1210" i="12"/>
  <c r="J1209" i="12"/>
  <c r="I1209" i="12"/>
  <c r="H1209" i="12"/>
  <c r="G1209" i="12"/>
  <c r="F1209" i="12"/>
  <c r="J1208" i="12"/>
  <c r="I1208" i="12"/>
  <c r="H1208" i="12"/>
  <c r="G1208" i="12"/>
  <c r="F1208" i="12"/>
  <c r="J1207" i="12"/>
  <c r="I1207" i="12"/>
  <c r="H1207" i="12"/>
  <c r="G1207" i="12"/>
  <c r="F1207" i="12"/>
  <c r="J1206" i="12"/>
  <c r="I1206" i="12"/>
  <c r="H1206" i="12"/>
  <c r="G1206" i="12"/>
  <c r="F1206" i="12"/>
  <c r="J1205" i="12"/>
  <c r="I1205" i="12"/>
  <c r="H1205" i="12"/>
  <c r="G1205" i="12"/>
  <c r="F1205" i="12"/>
  <c r="J1204" i="12"/>
  <c r="I1204" i="12"/>
  <c r="H1204" i="12"/>
  <c r="G1204" i="12"/>
  <c r="F1204" i="12"/>
  <c r="J1203" i="12"/>
  <c r="I1203" i="12"/>
  <c r="H1203" i="12"/>
  <c r="G1203" i="12"/>
  <c r="F1203" i="12"/>
  <c r="J1202" i="12"/>
  <c r="I1202" i="12"/>
  <c r="H1202" i="12"/>
  <c r="G1202" i="12"/>
  <c r="F1202" i="12"/>
  <c r="J1201" i="12"/>
  <c r="I1201" i="12"/>
  <c r="H1201" i="12"/>
  <c r="G1201" i="12"/>
  <c r="F1201" i="12"/>
  <c r="J1200" i="12"/>
  <c r="I1200" i="12"/>
  <c r="H1200" i="12"/>
  <c r="G1200" i="12"/>
  <c r="F1200" i="12"/>
  <c r="J1199" i="12"/>
  <c r="I1199" i="12"/>
  <c r="H1199" i="12"/>
  <c r="G1199" i="12"/>
  <c r="F1199" i="12"/>
  <c r="J1198" i="12"/>
  <c r="I1198" i="12"/>
  <c r="H1198" i="12"/>
  <c r="G1198" i="12"/>
  <c r="F1198" i="12"/>
  <c r="J1197" i="12"/>
  <c r="I1197" i="12"/>
  <c r="H1197" i="12"/>
  <c r="G1197" i="12"/>
  <c r="F1197" i="12"/>
  <c r="J1196" i="12"/>
  <c r="I1196" i="12"/>
  <c r="H1196" i="12"/>
  <c r="G1196" i="12"/>
  <c r="F1196" i="12"/>
  <c r="J1195" i="12"/>
  <c r="I1195" i="12"/>
  <c r="H1195" i="12"/>
  <c r="G1195" i="12"/>
  <c r="F1195" i="12"/>
  <c r="J1194" i="12"/>
  <c r="I1194" i="12"/>
  <c r="H1194" i="12"/>
  <c r="G1194" i="12"/>
  <c r="F1194" i="12"/>
  <c r="J1193" i="12"/>
  <c r="I1193" i="12"/>
  <c r="H1193" i="12"/>
  <c r="G1193" i="12"/>
  <c r="F1193" i="12"/>
  <c r="J1192" i="12"/>
  <c r="I1192" i="12"/>
  <c r="H1192" i="12"/>
  <c r="G1192" i="12"/>
  <c r="F1192" i="12"/>
  <c r="J1191" i="12"/>
  <c r="I1191" i="12"/>
  <c r="H1191" i="12"/>
  <c r="G1191" i="12"/>
  <c r="F1191" i="12"/>
  <c r="J1190" i="12"/>
  <c r="I1190" i="12"/>
  <c r="H1190" i="12"/>
  <c r="G1190" i="12"/>
  <c r="F1190" i="12"/>
  <c r="J1189" i="12"/>
  <c r="I1189" i="12"/>
  <c r="H1189" i="12"/>
  <c r="G1189" i="12"/>
  <c r="F1189" i="12"/>
  <c r="J1188" i="12"/>
  <c r="I1188" i="12"/>
  <c r="H1188" i="12"/>
  <c r="G1188" i="12"/>
  <c r="F1188" i="12"/>
  <c r="J1187" i="12"/>
  <c r="I1187" i="12"/>
  <c r="H1187" i="12"/>
  <c r="G1187" i="12"/>
  <c r="F1187" i="12"/>
  <c r="J1186" i="12"/>
  <c r="I1186" i="12"/>
  <c r="H1186" i="12"/>
  <c r="G1186" i="12"/>
  <c r="F1186" i="12"/>
  <c r="J1185" i="12"/>
  <c r="I1185" i="12"/>
  <c r="H1185" i="12"/>
  <c r="G1185" i="12"/>
  <c r="F1185" i="12"/>
  <c r="J1184" i="12"/>
  <c r="I1184" i="12"/>
  <c r="H1184" i="12"/>
  <c r="G1184" i="12"/>
  <c r="F1184" i="12"/>
  <c r="J1183" i="12"/>
  <c r="I1183" i="12"/>
  <c r="H1183" i="12"/>
  <c r="G1183" i="12"/>
  <c r="F1183" i="12"/>
  <c r="J1182" i="12"/>
  <c r="I1182" i="12"/>
  <c r="H1182" i="12"/>
  <c r="G1182" i="12"/>
  <c r="F1182" i="12"/>
  <c r="J1181" i="12"/>
  <c r="I1181" i="12"/>
  <c r="H1181" i="12"/>
  <c r="G1181" i="12"/>
  <c r="F1181" i="12"/>
  <c r="J1180" i="12"/>
  <c r="I1180" i="12"/>
  <c r="H1180" i="12"/>
  <c r="G1180" i="12"/>
  <c r="F1180" i="12"/>
  <c r="J1179" i="12"/>
  <c r="I1179" i="12"/>
  <c r="H1179" i="12"/>
  <c r="G1179" i="12"/>
  <c r="F1179" i="12"/>
  <c r="J1178" i="12"/>
  <c r="I1178" i="12"/>
  <c r="H1178" i="12"/>
  <c r="G1178" i="12"/>
  <c r="F1178" i="12"/>
  <c r="J1177" i="12"/>
  <c r="I1177" i="12"/>
  <c r="H1177" i="12"/>
  <c r="G1177" i="12"/>
  <c r="F1177" i="12"/>
  <c r="J1176" i="12"/>
  <c r="I1176" i="12"/>
  <c r="H1176" i="12"/>
  <c r="G1176" i="12"/>
  <c r="F1176" i="12"/>
  <c r="J1175" i="12"/>
  <c r="I1175" i="12"/>
  <c r="H1175" i="12"/>
  <c r="G1175" i="12"/>
  <c r="F1175" i="12"/>
  <c r="J1174" i="12"/>
  <c r="I1174" i="12"/>
  <c r="H1174" i="12"/>
  <c r="G1174" i="12"/>
  <c r="F1174" i="12"/>
  <c r="J1173" i="12"/>
  <c r="I1173" i="12"/>
  <c r="H1173" i="12"/>
  <c r="G1173" i="12"/>
  <c r="F1173" i="12"/>
  <c r="J1172" i="12"/>
  <c r="I1172" i="12"/>
  <c r="H1172" i="12"/>
  <c r="G1172" i="12"/>
  <c r="F1172" i="12"/>
  <c r="J1171" i="12"/>
  <c r="I1171" i="12"/>
  <c r="H1171" i="12"/>
  <c r="G1171" i="12"/>
  <c r="F1171" i="12"/>
  <c r="J1170" i="12"/>
  <c r="I1170" i="12"/>
  <c r="H1170" i="12"/>
  <c r="G1170" i="12"/>
  <c r="F1170" i="12"/>
  <c r="J1169" i="12"/>
  <c r="I1169" i="12"/>
  <c r="H1169" i="12"/>
  <c r="G1169" i="12"/>
  <c r="F1169" i="12"/>
  <c r="J1168" i="12"/>
  <c r="I1168" i="12"/>
  <c r="H1168" i="12"/>
  <c r="G1168" i="12"/>
  <c r="F1168" i="12"/>
  <c r="J1167" i="12"/>
  <c r="I1167" i="12"/>
  <c r="H1167" i="12"/>
  <c r="G1167" i="12"/>
  <c r="F1167" i="12"/>
  <c r="J1166" i="12"/>
  <c r="I1166" i="12"/>
  <c r="H1166" i="12"/>
  <c r="G1166" i="12"/>
  <c r="F1166" i="12"/>
  <c r="J1165" i="12"/>
  <c r="I1165" i="12"/>
  <c r="H1165" i="12"/>
  <c r="G1165" i="12"/>
  <c r="F1165" i="12"/>
  <c r="J1164" i="12"/>
  <c r="I1164" i="12"/>
  <c r="H1164" i="12"/>
  <c r="G1164" i="12"/>
  <c r="F1164" i="12"/>
  <c r="J1163" i="12"/>
  <c r="I1163" i="12"/>
  <c r="H1163" i="12"/>
  <c r="G1163" i="12"/>
  <c r="F1163" i="12"/>
  <c r="J1162" i="12"/>
  <c r="I1162" i="12"/>
  <c r="H1162" i="12"/>
  <c r="G1162" i="12"/>
  <c r="F1162" i="12"/>
  <c r="J1161" i="12"/>
  <c r="I1161" i="12"/>
  <c r="H1161" i="12"/>
  <c r="G1161" i="12"/>
  <c r="F1161" i="12"/>
  <c r="J1160" i="12"/>
  <c r="I1160" i="12"/>
  <c r="H1160" i="12"/>
  <c r="G1160" i="12"/>
  <c r="F1160" i="12"/>
  <c r="J1159" i="12"/>
  <c r="I1159" i="12"/>
  <c r="H1159" i="12"/>
  <c r="G1159" i="12"/>
  <c r="F1159" i="12"/>
  <c r="J1158" i="12"/>
  <c r="I1158" i="12"/>
  <c r="H1158" i="12"/>
  <c r="G1158" i="12"/>
  <c r="F1158" i="12"/>
  <c r="J1157" i="12"/>
  <c r="I1157" i="12"/>
  <c r="H1157" i="12"/>
  <c r="G1157" i="12"/>
  <c r="F1157" i="12"/>
  <c r="J1156" i="12"/>
  <c r="I1156" i="12"/>
  <c r="H1156" i="12"/>
  <c r="G1156" i="12"/>
  <c r="F1156" i="12"/>
  <c r="J1155" i="12"/>
  <c r="I1155" i="12"/>
  <c r="H1155" i="12"/>
  <c r="G1155" i="12"/>
  <c r="F1155" i="12"/>
  <c r="J1154" i="12"/>
  <c r="I1154" i="12"/>
  <c r="H1154" i="12"/>
  <c r="G1154" i="12"/>
  <c r="F1154" i="12"/>
  <c r="J1153" i="12"/>
  <c r="I1153" i="12"/>
  <c r="H1153" i="12"/>
  <c r="G1153" i="12"/>
  <c r="F1153" i="12"/>
  <c r="J1152" i="12"/>
  <c r="I1152" i="12"/>
  <c r="H1152" i="12"/>
  <c r="G1152" i="12"/>
  <c r="F1152" i="12"/>
  <c r="J1151" i="12"/>
  <c r="I1151" i="12"/>
  <c r="H1151" i="12"/>
  <c r="G1151" i="12"/>
  <c r="F1151" i="12"/>
  <c r="J1150" i="12"/>
  <c r="I1150" i="12"/>
  <c r="H1150" i="12"/>
  <c r="G1150" i="12"/>
  <c r="F1150" i="12"/>
  <c r="J1149" i="12"/>
  <c r="I1149" i="12"/>
  <c r="H1149" i="12"/>
  <c r="G1149" i="12"/>
  <c r="F1149" i="12"/>
  <c r="J1148" i="12"/>
  <c r="I1148" i="12"/>
  <c r="H1148" i="12"/>
  <c r="G1148" i="12"/>
  <c r="F1148" i="12"/>
  <c r="J1147" i="12"/>
  <c r="I1147" i="12"/>
  <c r="H1147" i="12"/>
  <c r="G1147" i="12"/>
  <c r="F1147" i="12"/>
  <c r="J1146" i="12"/>
  <c r="I1146" i="12"/>
  <c r="H1146" i="12"/>
  <c r="G1146" i="12"/>
  <c r="F1146" i="12"/>
  <c r="J1145" i="12"/>
  <c r="I1145" i="12"/>
  <c r="H1145" i="12"/>
  <c r="G1145" i="12"/>
  <c r="F1145" i="12"/>
  <c r="J1144" i="12"/>
  <c r="I1144" i="12"/>
  <c r="H1144" i="12"/>
  <c r="G1144" i="12"/>
  <c r="F1144" i="12"/>
  <c r="J1143" i="12"/>
  <c r="I1143" i="12"/>
  <c r="H1143" i="12"/>
  <c r="G1143" i="12"/>
  <c r="F1143" i="12"/>
  <c r="J1142" i="12"/>
  <c r="I1142" i="12"/>
  <c r="H1142" i="12"/>
  <c r="G1142" i="12"/>
  <c r="F1142" i="12"/>
  <c r="J1141" i="12"/>
  <c r="I1141" i="12"/>
  <c r="H1141" i="12"/>
  <c r="G1141" i="12"/>
  <c r="F1141" i="12"/>
  <c r="J1140" i="12"/>
  <c r="I1140" i="12"/>
  <c r="H1140" i="12"/>
  <c r="G1140" i="12"/>
  <c r="F1140" i="12"/>
  <c r="J1139" i="12"/>
  <c r="I1139" i="12"/>
  <c r="H1139" i="12"/>
  <c r="G1139" i="12"/>
  <c r="F1139" i="12"/>
  <c r="J1138" i="12"/>
  <c r="I1138" i="12"/>
  <c r="H1138" i="12"/>
  <c r="G1138" i="12"/>
  <c r="F1138" i="12"/>
  <c r="J1137" i="12"/>
  <c r="I1137" i="12"/>
  <c r="H1137" i="12"/>
  <c r="G1137" i="12"/>
  <c r="F1137" i="12"/>
  <c r="J1136" i="12"/>
  <c r="I1136" i="12"/>
  <c r="H1136" i="12"/>
  <c r="G1136" i="12"/>
  <c r="F1136" i="12"/>
  <c r="J1135" i="12"/>
  <c r="I1135" i="12"/>
  <c r="H1135" i="12"/>
  <c r="G1135" i="12"/>
  <c r="F1135" i="12"/>
  <c r="J1134" i="12"/>
  <c r="I1134" i="12"/>
  <c r="H1134" i="12"/>
  <c r="G1134" i="12"/>
  <c r="F1134" i="12"/>
  <c r="J1133" i="12"/>
  <c r="I1133" i="12"/>
  <c r="H1133" i="12"/>
  <c r="G1133" i="12"/>
  <c r="F1133" i="12"/>
  <c r="J1132" i="12"/>
  <c r="I1132" i="12"/>
  <c r="H1132" i="12"/>
  <c r="G1132" i="12"/>
  <c r="F1132" i="12"/>
  <c r="J1131" i="12"/>
  <c r="I1131" i="12"/>
  <c r="H1131" i="12"/>
  <c r="G1131" i="12"/>
  <c r="F1131" i="12"/>
  <c r="J1130" i="12"/>
  <c r="I1130" i="12"/>
  <c r="H1130" i="12"/>
  <c r="G1130" i="12"/>
  <c r="F1130" i="12"/>
  <c r="J1129" i="12"/>
  <c r="I1129" i="12"/>
  <c r="H1129" i="12"/>
  <c r="G1129" i="12"/>
  <c r="F1129" i="12"/>
  <c r="J1128" i="12"/>
  <c r="I1128" i="12"/>
  <c r="H1128" i="12"/>
  <c r="G1128" i="12"/>
  <c r="F1128" i="12"/>
  <c r="J1127" i="12"/>
  <c r="I1127" i="12"/>
  <c r="H1127" i="12"/>
  <c r="G1127" i="12"/>
  <c r="F1127" i="12"/>
  <c r="J1126" i="12"/>
  <c r="I1126" i="12"/>
  <c r="H1126" i="12"/>
  <c r="G1126" i="12"/>
  <c r="F1126" i="12"/>
  <c r="J1125" i="12"/>
  <c r="I1125" i="12"/>
  <c r="H1125" i="12"/>
  <c r="G1125" i="12"/>
  <c r="F1125" i="12"/>
  <c r="J1124" i="12"/>
  <c r="I1124" i="12"/>
  <c r="H1124" i="12"/>
  <c r="G1124" i="12"/>
  <c r="F1124" i="12"/>
  <c r="J1123" i="12"/>
  <c r="I1123" i="12"/>
  <c r="H1123" i="12"/>
  <c r="G1123" i="12"/>
  <c r="F1123" i="12"/>
  <c r="J1122" i="12"/>
  <c r="I1122" i="12"/>
  <c r="H1122" i="12"/>
  <c r="G1122" i="12"/>
  <c r="F1122" i="12"/>
  <c r="J1121" i="12"/>
  <c r="I1121" i="12"/>
  <c r="H1121" i="12"/>
  <c r="G1121" i="12"/>
  <c r="F1121" i="12"/>
  <c r="J1120" i="12"/>
  <c r="I1120" i="12"/>
  <c r="H1120" i="12"/>
  <c r="G1120" i="12"/>
  <c r="F1120" i="12"/>
  <c r="J1119" i="12"/>
  <c r="I1119" i="12"/>
  <c r="H1119" i="12"/>
  <c r="G1119" i="12"/>
  <c r="F1119" i="12"/>
  <c r="J1118" i="12"/>
  <c r="I1118" i="12"/>
  <c r="H1118" i="12"/>
  <c r="G1118" i="12"/>
  <c r="F1118" i="12"/>
  <c r="J1117" i="12"/>
  <c r="I1117" i="12"/>
  <c r="H1117" i="12"/>
  <c r="G1117" i="12"/>
  <c r="F1117" i="12"/>
  <c r="J1116" i="12"/>
  <c r="I1116" i="12"/>
  <c r="H1116" i="12"/>
  <c r="G1116" i="12"/>
  <c r="F1116" i="12"/>
  <c r="J1115" i="12"/>
  <c r="I1115" i="12"/>
  <c r="H1115" i="12"/>
  <c r="G1115" i="12"/>
  <c r="F1115" i="12"/>
  <c r="J1114" i="12"/>
  <c r="I1114" i="12"/>
  <c r="H1114" i="12"/>
  <c r="G1114" i="12"/>
  <c r="F1114" i="12"/>
  <c r="J1113" i="12"/>
  <c r="I1113" i="12"/>
  <c r="H1113" i="12"/>
  <c r="G1113" i="12"/>
  <c r="F1113" i="12"/>
  <c r="J1112" i="12"/>
  <c r="I1112" i="12"/>
  <c r="H1112" i="12"/>
  <c r="G1112" i="12"/>
  <c r="F1112" i="12"/>
  <c r="J1111" i="12"/>
  <c r="I1111" i="12"/>
  <c r="H1111" i="12"/>
  <c r="G1111" i="12"/>
  <c r="F1111" i="12"/>
  <c r="J1110" i="12"/>
  <c r="I1110" i="12"/>
  <c r="H1110" i="12"/>
  <c r="G1110" i="12"/>
  <c r="F1110" i="12"/>
  <c r="J1109" i="12"/>
  <c r="I1109" i="12"/>
  <c r="H1109" i="12"/>
  <c r="G1109" i="12"/>
  <c r="F1109" i="12"/>
  <c r="J1108" i="12"/>
  <c r="I1108" i="12"/>
  <c r="H1108" i="12"/>
  <c r="G1108" i="12"/>
  <c r="F1108" i="12"/>
  <c r="J1107" i="12"/>
  <c r="I1107" i="12"/>
  <c r="H1107" i="12"/>
  <c r="G1107" i="12"/>
  <c r="F1107" i="12"/>
  <c r="J1106" i="12"/>
  <c r="I1106" i="12"/>
  <c r="H1106" i="12"/>
  <c r="G1106" i="12"/>
  <c r="F1106" i="12"/>
  <c r="J1105" i="12"/>
  <c r="I1105" i="12"/>
  <c r="H1105" i="12"/>
  <c r="G1105" i="12"/>
  <c r="F1105" i="12"/>
  <c r="J1104" i="12"/>
  <c r="I1104" i="12"/>
  <c r="H1104" i="12"/>
  <c r="G1104" i="12"/>
  <c r="F1104" i="12"/>
  <c r="J1103" i="12"/>
  <c r="I1103" i="12"/>
  <c r="H1103" i="12"/>
  <c r="G1103" i="12"/>
  <c r="F1103" i="12"/>
  <c r="J1102" i="12"/>
  <c r="I1102" i="12"/>
  <c r="H1102" i="12"/>
  <c r="G1102" i="12"/>
  <c r="F1102" i="12"/>
  <c r="J1101" i="12"/>
  <c r="I1101" i="12"/>
  <c r="H1101" i="12"/>
  <c r="G1101" i="12"/>
  <c r="F1101" i="12"/>
  <c r="J1100" i="12"/>
  <c r="I1100" i="12"/>
  <c r="H1100" i="12"/>
  <c r="G1100" i="12"/>
  <c r="F1100" i="12"/>
  <c r="J1099" i="12"/>
  <c r="I1099" i="12"/>
  <c r="H1099" i="12"/>
  <c r="G1099" i="12"/>
  <c r="F1099" i="12"/>
  <c r="J1098" i="12"/>
  <c r="I1098" i="12"/>
  <c r="H1098" i="12"/>
  <c r="G1098" i="12"/>
  <c r="F1098" i="12"/>
  <c r="J1097" i="12"/>
  <c r="I1097" i="12"/>
  <c r="H1097" i="12"/>
  <c r="G1097" i="12"/>
  <c r="F1097" i="12"/>
  <c r="J1096" i="12"/>
  <c r="I1096" i="12"/>
  <c r="H1096" i="12"/>
  <c r="G1096" i="12"/>
  <c r="F1096" i="12"/>
  <c r="J1095" i="12"/>
  <c r="I1095" i="12"/>
  <c r="H1095" i="12"/>
  <c r="G1095" i="12"/>
  <c r="F1095" i="12"/>
  <c r="J1094" i="12"/>
  <c r="I1094" i="12"/>
  <c r="H1094" i="12"/>
  <c r="G1094" i="12"/>
  <c r="F1094" i="12"/>
  <c r="J1093" i="12"/>
  <c r="I1093" i="12"/>
  <c r="H1093" i="12"/>
  <c r="G1093" i="12"/>
  <c r="F1093" i="12"/>
  <c r="J1092" i="12"/>
  <c r="I1092" i="12"/>
  <c r="H1092" i="12"/>
  <c r="G1092" i="12"/>
  <c r="F1092" i="12"/>
  <c r="J1091" i="12"/>
  <c r="I1091" i="12"/>
  <c r="H1091" i="12"/>
  <c r="G1091" i="12"/>
  <c r="F1091" i="12"/>
  <c r="J1090" i="12"/>
  <c r="I1090" i="12"/>
  <c r="H1090" i="12"/>
  <c r="G1090" i="12"/>
  <c r="F1090" i="12"/>
  <c r="J1089" i="12"/>
  <c r="I1089" i="12"/>
  <c r="H1089" i="12"/>
  <c r="G1089" i="12"/>
  <c r="F1089" i="12"/>
  <c r="J1088" i="12"/>
  <c r="I1088" i="12"/>
  <c r="H1088" i="12"/>
  <c r="G1088" i="12"/>
  <c r="F1088" i="12"/>
  <c r="J1087" i="12"/>
  <c r="I1087" i="12"/>
  <c r="H1087" i="12"/>
  <c r="G1087" i="12"/>
  <c r="F1087" i="12"/>
  <c r="J1086" i="12"/>
  <c r="I1086" i="12"/>
  <c r="H1086" i="12"/>
  <c r="G1086" i="12"/>
  <c r="F1086" i="12"/>
  <c r="J1085" i="12"/>
  <c r="I1085" i="12"/>
  <c r="H1085" i="12"/>
  <c r="G1085" i="12"/>
  <c r="F1085" i="12"/>
  <c r="J1084" i="12"/>
  <c r="I1084" i="12"/>
  <c r="H1084" i="12"/>
  <c r="G1084" i="12"/>
  <c r="F1084" i="12"/>
  <c r="J1083" i="12"/>
  <c r="I1083" i="12"/>
  <c r="H1083" i="12"/>
  <c r="G1083" i="12"/>
  <c r="F1083" i="12"/>
  <c r="J1082" i="12"/>
  <c r="I1082" i="12"/>
  <c r="H1082" i="12"/>
  <c r="G1082" i="12"/>
  <c r="F1082" i="12"/>
  <c r="J1081" i="12"/>
  <c r="I1081" i="12"/>
  <c r="H1081" i="12"/>
  <c r="G1081" i="12"/>
  <c r="F1081" i="12"/>
  <c r="J1080" i="12"/>
  <c r="I1080" i="12"/>
  <c r="H1080" i="12"/>
  <c r="G1080" i="12"/>
  <c r="F1080" i="12"/>
  <c r="J1079" i="12"/>
  <c r="I1079" i="12"/>
  <c r="H1079" i="12"/>
  <c r="G1079" i="12"/>
  <c r="F1079" i="12"/>
  <c r="J1078" i="12"/>
  <c r="I1078" i="12"/>
  <c r="H1078" i="12"/>
  <c r="G1078" i="12"/>
  <c r="F1078" i="12"/>
  <c r="J1077" i="12"/>
  <c r="I1077" i="12"/>
  <c r="H1077" i="12"/>
  <c r="G1077" i="12"/>
  <c r="F1077" i="12"/>
  <c r="J1076" i="12"/>
  <c r="I1076" i="12"/>
  <c r="H1076" i="12"/>
  <c r="G1076" i="12"/>
  <c r="F1076" i="12"/>
  <c r="J1075" i="12"/>
  <c r="I1075" i="12"/>
  <c r="H1075" i="12"/>
  <c r="G1075" i="12"/>
  <c r="F1075" i="12"/>
  <c r="J1074" i="12"/>
  <c r="I1074" i="12"/>
  <c r="H1074" i="12"/>
  <c r="G1074" i="12"/>
  <c r="F1074" i="12"/>
  <c r="J1073" i="12"/>
  <c r="I1073" i="12"/>
  <c r="H1073" i="12"/>
  <c r="G1073" i="12"/>
  <c r="F1073" i="12"/>
  <c r="J1072" i="12"/>
  <c r="I1072" i="12"/>
  <c r="H1072" i="12"/>
  <c r="G1072" i="12"/>
  <c r="F1072" i="12"/>
  <c r="J1071" i="12"/>
  <c r="I1071" i="12"/>
  <c r="H1071" i="12"/>
  <c r="G1071" i="12"/>
  <c r="F1071" i="12"/>
  <c r="J1070" i="12"/>
  <c r="I1070" i="12"/>
  <c r="H1070" i="12"/>
  <c r="G1070" i="12"/>
  <c r="F1070" i="12"/>
  <c r="J1069" i="12"/>
  <c r="I1069" i="12"/>
  <c r="H1069" i="12"/>
  <c r="G1069" i="12"/>
  <c r="F1069" i="12"/>
  <c r="J1068" i="12"/>
  <c r="I1068" i="12"/>
  <c r="H1068" i="12"/>
  <c r="G1068" i="12"/>
  <c r="F1068" i="12"/>
  <c r="J1067" i="12"/>
  <c r="I1067" i="12"/>
  <c r="H1067" i="12"/>
  <c r="G1067" i="12"/>
  <c r="F1067" i="12"/>
  <c r="J1066" i="12"/>
  <c r="I1066" i="12"/>
  <c r="H1066" i="12"/>
  <c r="G1066" i="12"/>
  <c r="F1066" i="12"/>
  <c r="J1065" i="12"/>
  <c r="I1065" i="12"/>
  <c r="H1065" i="12"/>
  <c r="G1065" i="12"/>
  <c r="F1065" i="12"/>
  <c r="J1064" i="12"/>
  <c r="I1064" i="12"/>
  <c r="H1064" i="12"/>
  <c r="G1064" i="12"/>
  <c r="F1064" i="12"/>
  <c r="J1063" i="12"/>
  <c r="I1063" i="12"/>
  <c r="H1063" i="12"/>
  <c r="G1063" i="12"/>
  <c r="F1063" i="12"/>
  <c r="J1062" i="12"/>
  <c r="I1062" i="12"/>
  <c r="H1062" i="12"/>
  <c r="G1062" i="12"/>
  <c r="F1062" i="12"/>
  <c r="J1061" i="12"/>
  <c r="I1061" i="12"/>
  <c r="H1061" i="12"/>
  <c r="G1061" i="12"/>
  <c r="F1061" i="12"/>
  <c r="J1060" i="12"/>
  <c r="I1060" i="12"/>
  <c r="H1060" i="12"/>
  <c r="G1060" i="12"/>
  <c r="F1060" i="12"/>
  <c r="J1059" i="12"/>
  <c r="I1059" i="12"/>
  <c r="H1059" i="12"/>
  <c r="G1059" i="12"/>
  <c r="F1059" i="12"/>
  <c r="J1058" i="12"/>
  <c r="I1058" i="12"/>
  <c r="H1058" i="12"/>
  <c r="G1058" i="12"/>
  <c r="F1058" i="12"/>
  <c r="J1057" i="12"/>
  <c r="I1057" i="12"/>
  <c r="H1057" i="12"/>
  <c r="G1057" i="12"/>
  <c r="F1057" i="12"/>
  <c r="J1056" i="12"/>
  <c r="I1056" i="12"/>
  <c r="H1056" i="12"/>
  <c r="G1056" i="12"/>
  <c r="F1056" i="12"/>
  <c r="J1055" i="12"/>
  <c r="I1055" i="12"/>
  <c r="H1055" i="12"/>
  <c r="G1055" i="12"/>
  <c r="F1055" i="12"/>
  <c r="J1054" i="12"/>
  <c r="I1054" i="12"/>
  <c r="H1054" i="12"/>
  <c r="G1054" i="12"/>
  <c r="F1054" i="12"/>
  <c r="J1053" i="12"/>
  <c r="I1053" i="12"/>
  <c r="H1053" i="12"/>
  <c r="G1053" i="12"/>
  <c r="F1053" i="12"/>
  <c r="J1052" i="12"/>
  <c r="I1052" i="12"/>
  <c r="H1052" i="12"/>
  <c r="G1052" i="12"/>
  <c r="F1052" i="12"/>
  <c r="J1051" i="12"/>
  <c r="I1051" i="12"/>
  <c r="H1051" i="12"/>
  <c r="G1051" i="12"/>
  <c r="F1051" i="12"/>
  <c r="J1050" i="12"/>
  <c r="I1050" i="12"/>
  <c r="H1050" i="12"/>
  <c r="G1050" i="12"/>
  <c r="F1050" i="12"/>
  <c r="J1049" i="12"/>
  <c r="I1049" i="12"/>
  <c r="H1049" i="12"/>
  <c r="G1049" i="12"/>
  <c r="F1049" i="12"/>
  <c r="J1048" i="12"/>
  <c r="I1048" i="12"/>
  <c r="H1048" i="12"/>
  <c r="G1048" i="12"/>
  <c r="F1048" i="12"/>
  <c r="J1047" i="12"/>
  <c r="I1047" i="12"/>
  <c r="H1047" i="12"/>
  <c r="G1047" i="12"/>
  <c r="F1047" i="12"/>
  <c r="J1046" i="12"/>
  <c r="I1046" i="12"/>
  <c r="H1046" i="12"/>
  <c r="G1046" i="12"/>
  <c r="F1046" i="12"/>
  <c r="J1045" i="12"/>
  <c r="I1045" i="12"/>
  <c r="H1045" i="12"/>
  <c r="G1045" i="12"/>
  <c r="F1045" i="12"/>
  <c r="J1044" i="12"/>
  <c r="I1044" i="12"/>
  <c r="H1044" i="12"/>
  <c r="G1044" i="12"/>
  <c r="F1044" i="12"/>
  <c r="J1043" i="12"/>
  <c r="I1043" i="12"/>
  <c r="H1043" i="12"/>
  <c r="G1043" i="12"/>
  <c r="F1043" i="12"/>
  <c r="J1042" i="12"/>
  <c r="I1042" i="12"/>
  <c r="H1042" i="12"/>
  <c r="G1042" i="12"/>
  <c r="F1042" i="12"/>
  <c r="J1041" i="12"/>
  <c r="I1041" i="12"/>
  <c r="H1041" i="12"/>
  <c r="G1041" i="12"/>
  <c r="F1041" i="12"/>
  <c r="J1040" i="12"/>
  <c r="I1040" i="12"/>
  <c r="H1040" i="12"/>
  <c r="G1040" i="12"/>
  <c r="F1040" i="12"/>
  <c r="J1039" i="12"/>
  <c r="I1039" i="12"/>
  <c r="H1039" i="12"/>
  <c r="G1039" i="12"/>
  <c r="F1039" i="12"/>
  <c r="J1038" i="12"/>
  <c r="I1038" i="12"/>
  <c r="H1038" i="12"/>
  <c r="G1038" i="12"/>
  <c r="F1038" i="12"/>
  <c r="J1037" i="12"/>
  <c r="I1037" i="12"/>
  <c r="H1037" i="12"/>
  <c r="G1037" i="12"/>
  <c r="F1037" i="12"/>
  <c r="J1036" i="12"/>
  <c r="I1036" i="12"/>
  <c r="H1036" i="12"/>
  <c r="G1036" i="12"/>
  <c r="F1036" i="12"/>
  <c r="J1035" i="12"/>
  <c r="I1035" i="12"/>
  <c r="H1035" i="12"/>
  <c r="G1035" i="12"/>
  <c r="F1035" i="12"/>
  <c r="J1034" i="12"/>
  <c r="I1034" i="12"/>
  <c r="H1034" i="12"/>
  <c r="G1034" i="12"/>
  <c r="F1034" i="12"/>
  <c r="J1033" i="12"/>
  <c r="I1033" i="12"/>
  <c r="H1033" i="12"/>
  <c r="G1033" i="12"/>
  <c r="F1033" i="12"/>
  <c r="J1032" i="12"/>
  <c r="I1032" i="12"/>
  <c r="H1032" i="12"/>
  <c r="G1032" i="12"/>
  <c r="F1032" i="12"/>
  <c r="J1031" i="12"/>
  <c r="I1031" i="12"/>
  <c r="H1031" i="12"/>
  <c r="G1031" i="12"/>
  <c r="F1031" i="12"/>
  <c r="J1030" i="12"/>
  <c r="I1030" i="12"/>
  <c r="H1030" i="12"/>
  <c r="G1030" i="12"/>
  <c r="F1030" i="12"/>
  <c r="J1029" i="12"/>
  <c r="I1029" i="12"/>
  <c r="H1029" i="12"/>
  <c r="G1029" i="12"/>
  <c r="F1029" i="12"/>
  <c r="J1028" i="12"/>
  <c r="I1028" i="12"/>
  <c r="H1028" i="12"/>
  <c r="G1028" i="12"/>
  <c r="F1028" i="12"/>
  <c r="J1027" i="12"/>
  <c r="I1027" i="12"/>
  <c r="H1027" i="12"/>
  <c r="G1027" i="12"/>
  <c r="F1027" i="12"/>
  <c r="J1026" i="12"/>
  <c r="I1026" i="12"/>
  <c r="H1026" i="12"/>
  <c r="G1026" i="12"/>
  <c r="F1026" i="12"/>
  <c r="J1025" i="12"/>
  <c r="I1025" i="12"/>
  <c r="H1025" i="12"/>
  <c r="G1025" i="12"/>
  <c r="F1025" i="12"/>
  <c r="J1024" i="12"/>
  <c r="I1024" i="12"/>
  <c r="H1024" i="12"/>
  <c r="G1024" i="12"/>
  <c r="F1024" i="12"/>
  <c r="J1023" i="12"/>
  <c r="I1023" i="12"/>
  <c r="H1023" i="12"/>
  <c r="G1023" i="12"/>
  <c r="F1023" i="12"/>
  <c r="J1022" i="12"/>
  <c r="I1022" i="12"/>
  <c r="H1022" i="12"/>
  <c r="G1022" i="12"/>
  <c r="F1022" i="12"/>
  <c r="J1021" i="12"/>
  <c r="I1021" i="12"/>
  <c r="H1021" i="12"/>
  <c r="G1021" i="12"/>
  <c r="F1021" i="12"/>
  <c r="J1020" i="12"/>
  <c r="I1020" i="12"/>
  <c r="H1020" i="12"/>
  <c r="G1020" i="12"/>
  <c r="F1020" i="12"/>
  <c r="J1019" i="12"/>
  <c r="I1019" i="12"/>
  <c r="H1019" i="12"/>
  <c r="G1019" i="12"/>
  <c r="F1019" i="12"/>
  <c r="J1018" i="12"/>
  <c r="I1018" i="12"/>
  <c r="H1018" i="12"/>
  <c r="G1018" i="12"/>
  <c r="F1018" i="12"/>
  <c r="J1017" i="12"/>
  <c r="I1017" i="12"/>
  <c r="H1017" i="12"/>
  <c r="G1017" i="12"/>
  <c r="F1017" i="12"/>
  <c r="J1016" i="12"/>
  <c r="I1016" i="12"/>
  <c r="H1016" i="12"/>
  <c r="G1016" i="12"/>
  <c r="F1016" i="12"/>
  <c r="J1015" i="12"/>
  <c r="I1015" i="12"/>
  <c r="H1015" i="12"/>
  <c r="G1015" i="12"/>
  <c r="F1015" i="12"/>
  <c r="J1014" i="12"/>
  <c r="I1014" i="12"/>
  <c r="H1014" i="12"/>
  <c r="G1014" i="12"/>
  <c r="F1014" i="12"/>
  <c r="J1013" i="12"/>
  <c r="I1013" i="12"/>
  <c r="H1013" i="12"/>
  <c r="G1013" i="12"/>
  <c r="F1013" i="12"/>
  <c r="J1012" i="12"/>
  <c r="I1012" i="12"/>
  <c r="H1012" i="12"/>
  <c r="G1012" i="12"/>
  <c r="F1012" i="12"/>
  <c r="J1011" i="12"/>
  <c r="I1011" i="12"/>
  <c r="H1011" i="12"/>
  <c r="G1011" i="12"/>
  <c r="F1011" i="12"/>
  <c r="J1010" i="12"/>
  <c r="I1010" i="12"/>
  <c r="H1010" i="12"/>
  <c r="G1010" i="12"/>
  <c r="F1010" i="12"/>
  <c r="J1009" i="12"/>
  <c r="I1009" i="12"/>
  <c r="H1009" i="12"/>
  <c r="G1009" i="12"/>
  <c r="F1009" i="12"/>
  <c r="J1008" i="12"/>
  <c r="I1008" i="12"/>
  <c r="H1008" i="12"/>
  <c r="G1008" i="12"/>
  <c r="F1008" i="12"/>
  <c r="J1007" i="12"/>
  <c r="I1007" i="12"/>
  <c r="H1007" i="12"/>
  <c r="G1007" i="12"/>
  <c r="F1007" i="12"/>
  <c r="J1006" i="12"/>
  <c r="I1006" i="12"/>
  <c r="H1006" i="12"/>
  <c r="G1006" i="12"/>
  <c r="F1006" i="12"/>
  <c r="J1005" i="12"/>
  <c r="I1005" i="12"/>
  <c r="H1005" i="12"/>
  <c r="G1005" i="12"/>
  <c r="F1005" i="12"/>
  <c r="J1004" i="12"/>
  <c r="I1004" i="12"/>
  <c r="H1004" i="12"/>
  <c r="G1004" i="12"/>
  <c r="F1004" i="12"/>
  <c r="J1003" i="12"/>
  <c r="I1003" i="12"/>
  <c r="H1003" i="12"/>
  <c r="G1003" i="12"/>
  <c r="F1003" i="12"/>
  <c r="J1002" i="12"/>
  <c r="I1002" i="12"/>
  <c r="H1002" i="12"/>
  <c r="G1002" i="12"/>
  <c r="F1002" i="12"/>
  <c r="J1001" i="12"/>
  <c r="I1001" i="12"/>
  <c r="H1001" i="12"/>
  <c r="G1001" i="12"/>
  <c r="F1001" i="12"/>
  <c r="J1000" i="12"/>
  <c r="I1000" i="12"/>
  <c r="H1000" i="12"/>
  <c r="G1000" i="12"/>
  <c r="F1000" i="12"/>
  <c r="J999" i="12"/>
  <c r="I999" i="12"/>
  <c r="H999" i="12"/>
  <c r="G999" i="12"/>
  <c r="F999" i="12"/>
  <c r="J998" i="12"/>
  <c r="I998" i="12"/>
  <c r="H998" i="12"/>
  <c r="G998" i="12"/>
  <c r="F998" i="12"/>
  <c r="J997" i="12"/>
  <c r="I997" i="12"/>
  <c r="H997" i="12"/>
  <c r="G997" i="12"/>
  <c r="F997" i="12"/>
  <c r="J996" i="12"/>
  <c r="I996" i="12"/>
  <c r="H996" i="12"/>
  <c r="G996" i="12"/>
  <c r="F996" i="12"/>
  <c r="J995" i="12"/>
  <c r="I995" i="12"/>
  <c r="H995" i="12"/>
  <c r="G995" i="12"/>
  <c r="F995" i="12"/>
  <c r="J994" i="12"/>
  <c r="I994" i="12"/>
  <c r="H994" i="12"/>
  <c r="G994" i="12"/>
  <c r="F994" i="12"/>
  <c r="J993" i="12"/>
  <c r="I993" i="12"/>
  <c r="H993" i="12"/>
  <c r="G993" i="12"/>
  <c r="F993" i="12"/>
  <c r="J992" i="12"/>
  <c r="I992" i="12"/>
  <c r="H992" i="12"/>
  <c r="G992" i="12"/>
  <c r="F992" i="12"/>
  <c r="J991" i="12"/>
  <c r="I991" i="12"/>
  <c r="H991" i="12"/>
  <c r="G991" i="12"/>
  <c r="F991" i="12"/>
  <c r="J990" i="12"/>
  <c r="I990" i="12"/>
  <c r="H990" i="12"/>
  <c r="G990" i="12"/>
  <c r="F990" i="12"/>
  <c r="J989" i="12"/>
  <c r="I989" i="12"/>
  <c r="H989" i="12"/>
  <c r="G989" i="12"/>
  <c r="F989" i="12"/>
  <c r="J988" i="12"/>
  <c r="I988" i="12"/>
  <c r="H988" i="12"/>
  <c r="G988" i="12"/>
  <c r="F988" i="12"/>
  <c r="J987" i="12"/>
  <c r="I987" i="12"/>
  <c r="H987" i="12"/>
  <c r="G987" i="12"/>
  <c r="F987" i="12"/>
  <c r="J986" i="12"/>
  <c r="I986" i="12"/>
  <c r="H986" i="12"/>
  <c r="G986" i="12"/>
  <c r="F986" i="12"/>
  <c r="J985" i="12"/>
  <c r="I985" i="12"/>
  <c r="H985" i="12"/>
  <c r="G985" i="12"/>
  <c r="F985" i="12"/>
  <c r="J984" i="12"/>
  <c r="I984" i="12"/>
  <c r="H984" i="12"/>
  <c r="G984" i="12"/>
  <c r="F984" i="12"/>
  <c r="J983" i="12"/>
  <c r="I983" i="12"/>
  <c r="H983" i="12"/>
  <c r="G983" i="12"/>
  <c r="F983" i="12"/>
  <c r="J982" i="12"/>
  <c r="I982" i="12"/>
  <c r="H982" i="12"/>
  <c r="G982" i="12"/>
  <c r="F982" i="12"/>
  <c r="J981" i="12"/>
  <c r="I981" i="12"/>
  <c r="H981" i="12"/>
  <c r="G981" i="12"/>
  <c r="F981" i="12"/>
  <c r="J980" i="12"/>
  <c r="I980" i="12"/>
  <c r="H980" i="12"/>
  <c r="G980" i="12"/>
  <c r="F980" i="12"/>
  <c r="J979" i="12"/>
  <c r="I979" i="12"/>
  <c r="H979" i="12"/>
  <c r="G979" i="12"/>
  <c r="F979" i="12"/>
  <c r="J978" i="12"/>
  <c r="I978" i="12"/>
  <c r="H978" i="12"/>
  <c r="G978" i="12"/>
  <c r="F978" i="12"/>
  <c r="J977" i="12"/>
  <c r="I977" i="12"/>
  <c r="H977" i="12"/>
  <c r="G977" i="12"/>
  <c r="F977" i="12"/>
  <c r="J976" i="12"/>
  <c r="I976" i="12"/>
  <c r="H976" i="12"/>
  <c r="G976" i="12"/>
  <c r="F976" i="12"/>
  <c r="J975" i="12"/>
  <c r="I975" i="12"/>
  <c r="H975" i="12"/>
  <c r="G975" i="12"/>
  <c r="F975" i="12"/>
  <c r="J974" i="12"/>
  <c r="I974" i="12"/>
  <c r="H974" i="12"/>
  <c r="G974" i="12"/>
  <c r="F974" i="12"/>
  <c r="J973" i="12"/>
  <c r="I973" i="12"/>
  <c r="H973" i="12"/>
  <c r="G973" i="12"/>
  <c r="F973" i="12"/>
  <c r="J972" i="12"/>
  <c r="I972" i="12"/>
  <c r="H972" i="12"/>
  <c r="G972" i="12"/>
  <c r="F972" i="12"/>
  <c r="J971" i="12"/>
  <c r="I971" i="12"/>
  <c r="H971" i="12"/>
  <c r="G971" i="12"/>
  <c r="F971" i="12"/>
  <c r="J970" i="12"/>
  <c r="I970" i="12"/>
  <c r="H970" i="12"/>
  <c r="G970" i="12"/>
  <c r="F970" i="12"/>
  <c r="J969" i="12"/>
  <c r="I969" i="12"/>
  <c r="H969" i="12"/>
  <c r="G969" i="12"/>
  <c r="F969" i="12"/>
  <c r="J968" i="12"/>
  <c r="I968" i="12"/>
  <c r="H968" i="12"/>
  <c r="G968" i="12"/>
  <c r="F968" i="12"/>
  <c r="J967" i="12"/>
  <c r="I967" i="12"/>
  <c r="H967" i="12"/>
  <c r="G967" i="12"/>
  <c r="F967" i="12"/>
  <c r="J966" i="12"/>
  <c r="I966" i="12"/>
  <c r="H966" i="12"/>
  <c r="G966" i="12"/>
  <c r="F966" i="12"/>
  <c r="J965" i="12"/>
  <c r="I965" i="12"/>
  <c r="H965" i="12"/>
  <c r="G965" i="12"/>
  <c r="F965" i="12"/>
  <c r="J964" i="12"/>
  <c r="I964" i="12"/>
  <c r="H964" i="12"/>
  <c r="G964" i="12"/>
  <c r="F964" i="12"/>
  <c r="J963" i="12"/>
  <c r="I963" i="12"/>
  <c r="H963" i="12"/>
  <c r="G963" i="12"/>
  <c r="F963" i="12"/>
  <c r="J962" i="12"/>
  <c r="I962" i="12"/>
  <c r="H962" i="12"/>
  <c r="G962" i="12"/>
  <c r="F962" i="12"/>
  <c r="J961" i="12"/>
  <c r="I961" i="12"/>
  <c r="H961" i="12"/>
  <c r="G961" i="12"/>
  <c r="F961" i="12"/>
  <c r="J960" i="12"/>
  <c r="I960" i="12"/>
  <c r="H960" i="12"/>
  <c r="G960" i="12"/>
  <c r="F960" i="12"/>
  <c r="J959" i="12"/>
  <c r="I959" i="12"/>
  <c r="H959" i="12"/>
  <c r="G959" i="12"/>
  <c r="F959" i="12"/>
  <c r="J958" i="12"/>
  <c r="I958" i="12"/>
  <c r="H958" i="12"/>
  <c r="G958" i="12"/>
  <c r="F958" i="12"/>
  <c r="J957" i="12"/>
  <c r="I957" i="12"/>
  <c r="H957" i="12"/>
  <c r="G957" i="12"/>
  <c r="F957" i="12"/>
  <c r="J956" i="12"/>
  <c r="I956" i="12"/>
  <c r="H956" i="12"/>
  <c r="G956" i="12"/>
  <c r="F956" i="12"/>
  <c r="J955" i="12"/>
  <c r="I955" i="12"/>
  <c r="H955" i="12"/>
  <c r="G955" i="12"/>
  <c r="F955" i="12"/>
  <c r="J954" i="12"/>
  <c r="I954" i="12"/>
  <c r="H954" i="12"/>
  <c r="G954" i="12"/>
  <c r="F954" i="12"/>
  <c r="J953" i="12"/>
  <c r="I953" i="12"/>
  <c r="H953" i="12"/>
  <c r="G953" i="12"/>
  <c r="F953" i="12"/>
  <c r="J952" i="12"/>
  <c r="I952" i="12"/>
  <c r="H952" i="12"/>
  <c r="G952" i="12"/>
  <c r="F952" i="12"/>
  <c r="J951" i="12"/>
  <c r="I951" i="12"/>
  <c r="H951" i="12"/>
  <c r="G951" i="12"/>
  <c r="F951" i="12"/>
  <c r="J950" i="12"/>
  <c r="I950" i="12"/>
  <c r="H950" i="12"/>
  <c r="G950" i="12"/>
  <c r="F950" i="12"/>
  <c r="J949" i="12"/>
  <c r="I949" i="12"/>
  <c r="H949" i="12"/>
  <c r="G949" i="12"/>
  <c r="F949" i="12"/>
  <c r="J948" i="12"/>
  <c r="I948" i="12"/>
  <c r="H948" i="12"/>
  <c r="G948" i="12"/>
  <c r="F948" i="12"/>
  <c r="J947" i="12"/>
  <c r="I947" i="12"/>
  <c r="H947" i="12"/>
  <c r="G947" i="12"/>
  <c r="F947" i="12"/>
  <c r="J946" i="12"/>
  <c r="I946" i="12"/>
  <c r="H946" i="12"/>
  <c r="G946" i="12"/>
  <c r="F946" i="12"/>
  <c r="J945" i="12"/>
  <c r="I945" i="12"/>
  <c r="H945" i="12"/>
  <c r="G945" i="12"/>
  <c r="F945" i="12"/>
  <c r="J944" i="12"/>
  <c r="I944" i="12"/>
  <c r="H944" i="12"/>
  <c r="G944" i="12"/>
  <c r="F944" i="12"/>
  <c r="J943" i="12"/>
  <c r="I943" i="12"/>
  <c r="H943" i="12"/>
  <c r="G943" i="12"/>
  <c r="F943" i="12"/>
  <c r="J942" i="12"/>
  <c r="I942" i="12"/>
  <c r="H942" i="12"/>
  <c r="G942" i="12"/>
  <c r="F942" i="12"/>
  <c r="J941" i="12"/>
  <c r="I941" i="12"/>
  <c r="H941" i="12"/>
  <c r="G941" i="12"/>
  <c r="F941" i="12"/>
  <c r="J940" i="12"/>
  <c r="I940" i="12"/>
  <c r="H940" i="12"/>
  <c r="G940" i="12"/>
  <c r="F940" i="12"/>
  <c r="J939" i="12"/>
  <c r="I939" i="12"/>
  <c r="H939" i="12"/>
  <c r="G939" i="12"/>
  <c r="F939" i="12"/>
  <c r="J938" i="12"/>
  <c r="I938" i="12"/>
  <c r="H938" i="12"/>
  <c r="G938" i="12"/>
  <c r="F938" i="12"/>
  <c r="J937" i="12"/>
  <c r="I937" i="12"/>
  <c r="H937" i="12"/>
  <c r="G937" i="12"/>
  <c r="F937" i="12"/>
  <c r="J936" i="12"/>
  <c r="I936" i="12"/>
  <c r="H936" i="12"/>
  <c r="G936" i="12"/>
  <c r="F936" i="12"/>
  <c r="J935" i="12"/>
  <c r="I935" i="12"/>
  <c r="H935" i="12"/>
  <c r="G935" i="12"/>
  <c r="F935" i="12"/>
  <c r="J934" i="12"/>
  <c r="I934" i="12"/>
  <c r="H934" i="12"/>
  <c r="G934" i="12"/>
  <c r="F934" i="12"/>
  <c r="J933" i="12"/>
  <c r="I933" i="12"/>
  <c r="H933" i="12"/>
  <c r="G933" i="12"/>
  <c r="F933" i="12"/>
  <c r="J932" i="12"/>
  <c r="I932" i="12"/>
  <c r="H932" i="12"/>
  <c r="G932" i="12"/>
  <c r="F932" i="12"/>
  <c r="J931" i="12"/>
  <c r="I931" i="12"/>
  <c r="H931" i="12"/>
  <c r="G931" i="12"/>
  <c r="F931" i="12"/>
  <c r="J930" i="12"/>
  <c r="I930" i="12"/>
  <c r="H930" i="12"/>
  <c r="G930" i="12"/>
  <c r="F930" i="12"/>
  <c r="J929" i="12"/>
  <c r="I929" i="12"/>
  <c r="H929" i="12"/>
  <c r="G929" i="12"/>
  <c r="F929" i="12"/>
  <c r="J928" i="12"/>
  <c r="I928" i="12"/>
  <c r="H928" i="12"/>
  <c r="G928" i="12"/>
  <c r="F928" i="12"/>
  <c r="J927" i="12"/>
  <c r="I927" i="12"/>
  <c r="H927" i="12"/>
  <c r="G927" i="12"/>
  <c r="F927" i="12"/>
  <c r="J926" i="12"/>
  <c r="I926" i="12"/>
  <c r="H926" i="12"/>
  <c r="G926" i="12"/>
  <c r="F926" i="12"/>
  <c r="J925" i="12"/>
  <c r="I925" i="12"/>
  <c r="H925" i="12"/>
  <c r="G925" i="12"/>
  <c r="F925" i="12"/>
  <c r="J924" i="12"/>
  <c r="I924" i="12"/>
  <c r="H924" i="12"/>
  <c r="G924" i="12"/>
  <c r="F924" i="12"/>
  <c r="J923" i="12"/>
  <c r="I923" i="12"/>
  <c r="H923" i="12"/>
  <c r="G923" i="12"/>
  <c r="F923" i="12"/>
  <c r="J922" i="12"/>
  <c r="I922" i="12"/>
  <c r="H922" i="12"/>
  <c r="G922" i="12"/>
  <c r="F922" i="12"/>
  <c r="J921" i="12"/>
  <c r="I921" i="12"/>
  <c r="H921" i="12"/>
  <c r="G921" i="12"/>
  <c r="F921" i="12"/>
  <c r="J920" i="12"/>
  <c r="I920" i="12"/>
  <c r="H920" i="12"/>
  <c r="G920" i="12"/>
  <c r="F920" i="12"/>
  <c r="J919" i="12"/>
  <c r="I919" i="12"/>
  <c r="H919" i="12"/>
  <c r="G919" i="12"/>
  <c r="F919" i="12"/>
  <c r="J918" i="12"/>
  <c r="I918" i="12"/>
  <c r="H918" i="12"/>
  <c r="G918" i="12"/>
  <c r="F918" i="12"/>
  <c r="J917" i="12"/>
  <c r="I917" i="12"/>
  <c r="H917" i="12"/>
  <c r="G917" i="12"/>
  <c r="F917" i="12"/>
  <c r="J916" i="12"/>
  <c r="I916" i="12"/>
  <c r="H916" i="12"/>
  <c r="G916" i="12"/>
  <c r="F916" i="12"/>
  <c r="J915" i="12"/>
  <c r="I915" i="12"/>
  <c r="H915" i="12"/>
  <c r="G915" i="12"/>
  <c r="F915" i="12"/>
  <c r="J914" i="12"/>
  <c r="I914" i="12"/>
  <c r="H914" i="12"/>
  <c r="G914" i="12"/>
  <c r="F914" i="12"/>
  <c r="J913" i="12"/>
  <c r="I913" i="12"/>
  <c r="H913" i="12"/>
  <c r="G913" i="12"/>
  <c r="F913" i="12"/>
  <c r="J912" i="12"/>
  <c r="I912" i="12"/>
  <c r="H912" i="12"/>
  <c r="G912" i="12"/>
  <c r="F912" i="12"/>
  <c r="J911" i="12"/>
  <c r="I911" i="12"/>
  <c r="H911" i="12"/>
  <c r="G911" i="12"/>
  <c r="F911" i="12"/>
  <c r="J910" i="12"/>
  <c r="I910" i="12"/>
  <c r="H910" i="12"/>
  <c r="G910" i="12"/>
  <c r="F910" i="12"/>
  <c r="J909" i="12"/>
  <c r="I909" i="12"/>
  <c r="H909" i="12"/>
  <c r="G909" i="12"/>
  <c r="F909" i="12"/>
  <c r="J908" i="12"/>
  <c r="I908" i="12"/>
  <c r="H908" i="12"/>
  <c r="G908" i="12"/>
  <c r="F908" i="12"/>
  <c r="J907" i="12"/>
  <c r="I907" i="12"/>
  <c r="H907" i="12"/>
  <c r="G907" i="12"/>
  <c r="F907" i="12"/>
  <c r="J906" i="12"/>
  <c r="I906" i="12"/>
  <c r="H906" i="12"/>
  <c r="G906" i="12"/>
  <c r="F906" i="12"/>
  <c r="J905" i="12"/>
  <c r="I905" i="12"/>
  <c r="H905" i="12"/>
  <c r="G905" i="12"/>
  <c r="F905" i="12"/>
  <c r="J904" i="12"/>
  <c r="I904" i="12"/>
  <c r="H904" i="12"/>
  <c r="G904" i="12"/>
  <c r="F904" i="12"/>
  <c r="J903" i="12"/>
  <c r="I903" i="12"/>
  <c r="H903" i="12"/>
  <c r="G903" i="12"/>
  <c r="F903" i="12"/>
  <c r="J902" i="12"/>
  <c r="I902" i="12"/>
  <c r="H902" i="12"/>
  <c r="G902" i="12"/>
  <c r="F902" i="12"/>
  <c r="J901" i="12"/>
  <c r="I901" i="12"/>
  <c r="H901" i="12"/>
  <c r="G901" i="12"/>
  <c r="F901" i="12"/>
  <c r="J900" i="12"/>
  <c r="I900" i="12"/>
  <c r="H900" i="12"/>
  <c r="G900" i="12"/>
  <c r="F900" i="12"/>
  <c r="J899" i="12"/>
  <c r="I899" i="12"/>
  <c r="H899" i="12"/>
  <c r="G899" i="12"/>
  <c r="F899" i="12"/>
  <c r="J898" i="12"/>
  <c r="I898" i="12"/>
  <c r="H898" i="12"/>
  <c r="G898" i="12"/>
  <c r="F898" i="12"/>
  <c r="J897" i="12"/>
  <c r="I897" i="12"/>
  <c r="H897" i="12"/>
  <c r="G897" i="12"/>
  <c r="F897" i="12"/>
  <c r="J896" i="12"/>
  <c r="I896" i="12"/>
  <c r="H896" i="12"/>
  <c r="G896" i="12"/>
  <c r="F896" i="12"/>
  <c r="J895" i="12"/>
  <c r="I895" i="12"/>
  <c r="H895" i="12"/>
  <c r="G895" i="12"/>
  <c r="F895" i="12"/>
  <c r="J894" i="12"/>
  <c r="I894" i="12"/>
  <c r="H894" i="12"/>
  <c r="G894" i="12"/>
  <c r="F894" i="12"/>
  <c r="J893" i="12"/>
  <c r="I893" i="12"/>
  <c r="H893" i="12"/>
  <c r="G893" i="12"/>
  <c r="F893" i="12"/>
  <c r="J892" i="12"/>
  <c r="I892" i="12"/>
  <c r="H892" i="12"/>
  <c r="G892" i="12"/>
  <c r="F892" i="12"/>
  <c r="J891" i="12"/>
  <c r="I891" i="12"/>
  <c r="H891" i="12"/>
  <c r="G891" i="12"/>
  <c r="F891" i="12"/>
  <c r="J890" i="12"/>
  <c r="I890" i="12"/>
  <c r="H890" i="12"/>
  <c r="G890" i="12"/>
  <c r="F890" i="12"/>
  <c r="J889" i="12"/>
  <c r="I889" i="12"/>
  <c r="H889" i="12"/>
  <c r="G889" i="12"/>
  <c r="F889" i="12"/>
  <c r="J888" i="12"/>
  <c r="I888" i="12"/>
  <c r="H888" i="12"/>
  <c r="G888" i="12"/>
  <c r="F888" i="12"/>
  <c r="J887" i="12"/>
  <c r="I887" i="12"/>
  <c r="H887" i="12"/>
  <c r="G887" i="12"/>
  <c r="F887" i="12"/>
  <c r="J886" i="12"/>
  <c r="I886" i="12"/>
  <c r="H886" i="12"/>
  <c r="G886" i="12"/>
  <c r="F886" i="12"/>
  <c r="J885" i="12"/>
  <c r="I885" i="12"/>
  <c r="H885" i="12"/>
  <c r="G885" i="12"/>
  <c r="F885" i="12"/>
  <c r="J884" i="12"/>
  <c r="I884" i="12"/>
  <c r="H884" i="12"/>
  <c r="G884" i="12"/>
  <c r="F884" i="12"/>
  <c r="J883" i="12"/>
  <c r="I883" i="12"/>
  <c r="H883" i="12"/>
  <c r="G883" i="12"/>
  <c r="F883" i="12"/>
  <c r="J882" i="12"/>
  <c r="I882" i="12"/>
  <c r="H882" i="12"/>
  <c r="G882" i="12"/>
  <c r="F882" i="12"/>
  <c r="J881" i="12"/>
  <c r="I881" i="12"/>
  <c r="H881" i="12"/>
  <c r="G881" i="12"/>
  <c r="F881" i="12"/>
  <c r="J880" i="12"/>
  <c r="I880" i="12"/>
  <c r="H880" i="12"/>
  <c r="G880" i="12"/>
  <c r="F880" i="12"/>
  <c r="J879" i="12"/>
  <c r="I879" i="12"/>
  <c r="H879" i="12"/>
  <c r="G879" i="12"/>
  <c r="F879" i="12"/>
  <c r="J878" i="12"/>
  <c r="I878" i="12"/>
  <c r="H878" i="12"/>
  <c r="G878" i="12"/>
  <c r="F878" i="12"/>
  <c r="J877" i="12"/>
  <c r="I877" i="12"/>
  <c r="H877" i="12"/>
  <c r="G877" i="12"/>
  <c r="F877" i="12"/>
  <c r="J876" i="12"/>
  <c r="I876" i="12"/>
  <c r="H876" i="12"/>
  <c r="G876" i="12"/>
  <c r="F876" i="12"/>
  <c r="J875" i="12"/>
  <c r="I875" i="12"/>
  <c r="H875" i="12"/>
  <c r="G875" i="12"/>
  <c r="F875" i="12"/>
  <c r="J874" i="12"/>
  <c r="I874" i="12"/>
  <c r="H874" i="12"/>
  <c r="G874" i="12"/>
  <c r="F874" i="12"/>
  <c r="J873" i="12"/>
  <c r="I873" i="12"/>
  <c r="H873" i="12"/>
  <c r="G873" i="12"/>
  <c r="F873" i="12"/>
  <c r="J872" i="12"/>
  <c r="I872" i="12"/>
  <c r="H872" i="12"/>
  <c r="G872" i="12"/>
  <c r="F872" i="12"/>
  <c r="J871" i="12"/>
  <c r="I871" i="12"/>
  <c r="H871" i="12"/>
  <c r="G871" i="12"/>
  <c r="F871" i="12"/>
  <c r="J870" i="12"/>
  <c r="I870" i="12"/>
  <c r="H870" i="12"/>
  <c r="G870" i="12"/>
  <c r="F870" i="12"/>
  <c r="J869" i="12"/>
  <c r="I869" i="12"/>
  <c r="H869" i="12"/>
  <c r="G869" i="12"/>
  <c r="F869" i="12"/>
  <c r="J868" i="12"/>
  <c r="I868" i="12"/>
  <c r="H868" i="12"/>
  <c r="G868" i="12"/>
  <c r="F868" i="12"/>
  <c r="J867" i="12"/>
  <c r="I867" i="12"/>
  <c r="H867" i="12"/>
  <c r="G867" i="12"/>
  <c r="F867" i="12"/>
  <c r="J866" i="12"/>
  <c r="I866" i="12"/>
  <c r="H866" i="12"/>
  <c r="G866" i="12"/>
  <c r="F866" i="12"/>
  <c r="J865" i="12"/>
  <c r="I865" i="12"/>
  <c r="H865" i="12"/>
  <c r="G865" i="12"/>
  <c r="F865" i="12"/>
  <c r="J864" i="12"/>
  <c r="I864" i="12"/>
  <c r="H864" i="12"/>
  <c r="G864" i="12"/>
  <c r="F864" i="12"/>
  <c r="J863" i="12"/>
  <c r="I863" i="12"/>
  <c r="H863" i="12"/>
  <c r="G863" i="12"/>
  <c r="F863" i="12"/>
  <c r="J862" i="12"/>
  <c r="I862" i="12"/>
  <c r="H862" i="12"/>
  <c r="G862" i="12"/>
  <c r="F862" i="12"/>
  <c r="J861" i="12"/>
  <c r="I861" i="12"/>
  <c r="H861" i="12"/>
  <c r="G861" i="12"/>
  <c r="F861" i="12"/>
  <c r="J860" i="12"/>
  <c r="I860" i="12"/>
  <c r="H860" i="12"/>
  <c r="G860" i="12"/>
  <c r="F860" i="12"/>
  <c r="J859" i="12"/>
  <c r="I859" i="12"/>
  <c r="H859" i="12"/>
  <c r="G859" i="12"/>
  <c r="F859" i="12"/>
  <c r="J858" i="12"/>
  <c r="I858" i="12"/>
  <c r="H858" i="12"/>
  <c r="G858" i="12"/>
  <c r="F858" i="12"/>
  <c r="J857" i="12"/>
  <c r="I857" i="12"/>
  <c r="H857" i="12"/>
  <c r="G857" i="12"/>
  <c r="F857" i="12"/>
  <c r="J856" i="12"/>
  <c r="I856" i="12"/>
  <c r="H856" i="12"/>
  <c r="G856" i="12"/>
  <c r="F856" i="12"/>
  <c r="J855" i="12"/>
  <c r="I855" i="12"/>
  <c r="H855" i="12"/>
  <c r="G855" i="12"/>
  <c r="F855" i="12"/>
  <c r="J854" i="12"/>
  <c r="I854" i="12"/>
  <c r="H854" i="12"/>
  <c r="G854" i="12"/>
  <c r="F854" i="12"/>
  <c r="J853" i="12"/>
  <c r="I853" i="12"/>
  <c r="H853" i="12"/>
  <c r="G853" i="12"/>
  <c r="F853" i="12"/>
  <c r="J852" i="12"/>
  <c r="I852" i="12"/>
  <c r="H852" i="12"/>
  <c r="G852" i="12"/>
  <c r="F852" i="12"/>
  <c r="J851" i="12"/>
  <c r="I851" i="12"/>
  <c r="H851" i="12"/>
  <c r="G851" i="12"/>
  <c r="F851" i="12"/>
  <c r="J850" i="12"/>
  <c r="I850" i="12"/>
  <c r="H850" i="12"/>
  <c r="G850" i="12"/>
  <c r="F850" i="12"/>
  <c r="J849" i="12"/>
  <c r="I849" i="12"/>
  <c r="H849" i="12"/>
  <c r="G849" i="12"/>
  <c r="F849" i="12"/>
  <c r="J848" i="12"/>
  <c r="I848" i="12"/>
  <c r="H848" i="12"/>
  <c r="G848" i="12"/>
  <c r="F848" i="12"/>
  <c r="J847" i="12"/>
  <c r="I847" i="12"/>
  <c r="H847" i="12"/>
  <c r="G847" i="12"/>
  <c r="F847" i="12"/>
  <c r="J846" i="12"/>
  <c r="I846" i="12"/>
  <c r="H846" i="12"/>
  <c r="G846" i="12"/>
  <c r="F846" i="12"/>
  <c r="J845" i="12"/>
  <c r="I845" i="12"/>
  <c r="H845" i="12"/>
  <c r="G845" i="12"/>
  <c r="F845" i="12"/>
  <c r="J844" i="12"/>
  <c r="I844" i="12"/>
  <c r="H844" i="12"/>
  <c r="G844" i="12"/>
  <c r="F844" i="12"/>
  <c r="J843" i="12"/>
  <c r="I843" i="12"/>
  <c r="H843" i="12"/>
  <c r="G843" i="12"/>
  <c r="F843" i="12"/>
  <c r="J842" i="12"/>
  <c r="I842" i="12"/>
  <c r="H842" i="12"/>
  <c r="G842" i="12"/>
  <c r="F842" i="12"/>
  <c r="J841" i="12"/>
  <c r="I841" i="12"/>
  <c r="H841" i="12"/>
  <c r="G841" i="12"/>
  <c r="F841" i="12"/>
  <c r="J840" i="12"/>
  <c r="I840" i="12"/>
  <c r="H840" i="12"/>
  <c r="G840" i="12"/>
  <c r="F840" i="12"/>
  <c r="J839" i="12"/>
  <c r="I839" i="12"/>
  <c r="H839" i="12"/>
  <c r="G839" i="12"/>
  <c r="F839" i="12"/>
  <c r="J838" i="12"/>
  <c r="I838" i="12"/>
  <c r="H838" i="12"/>
  <c r="G838" i="12"/>
  <c r="F838" i="12"/>
  <c r="J837" i="12"/>
  <c r="I837" i="12"/>
  <c r="H837" i="12"/>
  <c r="G837" i="12"/>
  <c r="F837" i="12"/>
  <c r="J836" i="12"/>
  <c r="I836" i="12"/>
  <c r="H836" i="12"/>
  <c r="G836" i="12"/>
  <c r="F836" i="12"/>
  <c r="J835" i="12"/>
  <c r="I835" i="12"/>
  <c r="H835" i="12"/>
  <c r="G835" i="12"/>
  <c r="F835" i="12"/>
  <c r="J834" i="12"/>
  <c r="I834" i="12"/>
  <c r="H834" i="12"/>
  <c r="G834" i="12"/>
  <c r="F834" i="12"/>
  <c r="J833" i="12"/>
  <c r="I833" i="12"/>
  <c r="H833" i="12"/>
  <c r="G833" i="12"/>
  <c r="F833" i="12"/>
  <c r="J832" i="12"/>
  <c r="I832" i="12"/>
  <c r="H832" i="12"/>
  <c r="G832" i="12"/>
  <c r="F832" i="12"/>
  <c r="J831" i="12"/>
  <c r="I831" i="12"/>
  <c r="H831" i="12"/>
  <c r="G831" i="12"/>
  <c r="F831" i="12"/>
  <c r="J830" i="12"/>
  <c r="I830" i="12"/>
  <c r="H830" i="12"/>
  <c r="G830" i="12"/>
  <c r="F830" i="12"/>
  <c r="J829" i="12"/>
  <c r="I829" i="12"/>
  <c r="H829" i="12"/>
  <c r="G829" i="12"/>
  <c r="F829" i="12"/>
  <c r="J828" i="12"/>
  <c r="I828" i="12"/>
  <c r="H828" i="12"/>
  <c r="G828" i="12"/>
  <c r="F828" i="12"/>
  <c r="J827" i="12"/>
  <c r="I827" i="12"/>
  <c r="H827" i="12"/>
  <c r="G827" i="12"/>
  <c r="F827" i="12"/>
  <c r="J826" i="12"/>
  <c r="I826" i="12"/>
  <c r="H826" i="12"/>
  <c r="G826" i="12"/>
  <c r="F826" i="12"/>
  <c r="J825" i="12"/>
  <c r="I825" i="12"/>
  <c r="H825" i="12"/>
  <c r="G825" i="12"/>
  <c r="F825" i="12"/>
  <c r="J824" i="12"/>
  <c r="I824" i="12"/>
  <c r="H824" i="12"/>
  <c r="G824" i="12"/>
  <c r="F824" i="12"/>
  <c r="J823" i="12"/>
  <c r="I823" i="12"/>
  <c r="H823" i="12"/>
  <c r="G823" i="12"/>
  <c r="F823" i="12"/>
  <c r="J822" i="12"/>
  <c r="I822" i="12"/>
  <c r="H822" i="12"/>
  <c r="G822" i="12"/>
  <c r="F822" i="12"/>
  <c r="J821" i="12"/>
  <c r="I821" i="12"/>
  <c r="H821" i="12"/>
  <c r="G821" i="12"/>
  <c r="F821" i="12"/>
  <c r="J820" i="12"/>
  <c r="I820" i="12"/>
  <c r="H820" i="12"/>
  <c r="G820" i="12"/>
  <c r="F820" i="12"/>
  <c r="J819" i="12"/>
  <c r="I819" i="12"/>
  <c r="H819" i="12"/>
  <c r="G819" i="12"/>
  <c r="F819" i="12"/>
  <c r="J818" i="12"/>
  <c r="I818" i="12"/>
  <c r="H818" i="12"/>
  <c r="G818" i="12"/>
  <c r="F818" i="12"/>
  <c r="J817" i="12"/>
  <c r="I817" i="12"/>
  <c r="H817" i="12"/>
  <c r="G817" i="12"/>
  <c r="F817" i="12"/>
  <c r="J816" i="12"/>
  <c r="I816" i="12"/>
  <c r="H816" i="12"/>
  <c r="G816" i="12"/>
  <c r="F816" i="12"/>
  <c r="J815" i="12"/>
  <c r="I815" i="12"/>
  <c r="H815" i="12"/>
  <c r="G815" i="12"/>
  <c r="F815" i="12"/>
  <c r="J814" i="12"/>
  <c r="I814" i="12"/>
  <c r="H814" i="12"/>
  <c r="G814" i="12"/>
  <c r="F814" i="12"/>
  <c r="J813" i="12"/>
  <c r="I813" i="12"/>
  <c r="H813" i="12"/>
  <c r="G813" i="12"/>
  <c r="F813" i="12"/>
  <c r="J812" i="12"/>
  <c r="I812" i="12"/>
  <c r="H812" i="12"/>
  <c r="G812" i="12"/>
  <c r="F812" i="12"/>
  <c r="J811" i="12"/>
  <c r="I811" i="12"/>
  <c r="H811" i="12"/>
  <c r="G811" i="12"/>
  <c r="F811" i="12"/>
  <c r="J810" i="12"/>
  <c r="I810" i="12"/>
  <c r="H810" i="12"/>
  <c r="G810" i="12"/>
  <c r="F810" i="12"/>
  <c r="J809" i="12"/>
  <c r="I809" i="12"/>
  <c r="H809" i="12"/>
  <c r="G809" i="12"/>
  <c r="F809" i="12"/>
  <c r="J808" i="12"/>
  <c r="I808" i="12"/>
  <c r="H808" i="12"/>
  <c r="G808" i="12"/>
  <c r="F808" i="12"/>
  <c r="J807" i="12"/>
  <c r="I807" i="12"/>
  <c r="H807" i="12"/>
  <c r="G807" i="12"/>
  <c r="F807" i="12"/>
  <c r="J806" i="12"/>
  <c r="I806" i="12"/>
  <c r="H806" i="12"/>
  <c r="G806" i="12"/>
  <c r="F806" i="12"/>
  <c r="J805" i="12"/>
  <c r="I805" i="12"/>
  <c r="H805" i="12"/>
  <c r="G805" i="12"/>
  <c r="F805" i="12"/>
  <c r="J804" i="12"/>
  <c r="I804" i="12"/>
  <c r="H804" i="12"/>
  <c r="G804" i="12"/>
  <c r="F804" i="12"/>
  <c r="J803" i="12"/>
  <c r="I803" i="12"/>
  <c r="H803" i="12"/>
  <c r="G803" i="12"/>
  <c r="F803" i="12"/>
  <c r="J802" i="12"/>
  <c r="I802" i="12"/>
  <c r="H802" i="12"/>
  <c r="G802" i="12"/>
  <c r="F802" i="12"/>
  <c r="J801" i="12"/>
  <c r="I801" i="12"/>
  <c r="H801" i="12"/>
  <c r="G801" i="12"/>
  <c r="F801" i="12"/>
  <c r="J800" i="12"/>
  <c r="I800" i="12"/>
  <c r="H800" i="12"/>
  <c r="G800" i="12"/>
  <c r="F800" i="12"/>
  <c r="J799" i="12"/>
  <c r="I799" i="12"/>
  <c r="H799" i="12"/>
  <c r="G799" i="12"/>
  <c r="F799" i="12"/>
  <c r="J798" i="12"/>
  <c r="I798" i="12"/>
  <c r="H798" i="12"/>
  <c r="G798" i="12"/>
  <c r="F798" i="12"/>
  <c r="J797" i="12"/>
  <c r="I797" i="12"/>
  <c r="H797" i="12"/>
  <c r="G797" i="12"/>
  <c r="F797" i="12"/>
  <c r="J796" i="12"/>
  <c r="I796" i="12"/>
  <c r="H796" i="12"/>
  <c r="G796" i="12"/>
  <c r="F796" i="12"/>
  <c r="J795" i="12"/>
  <c r="I795" i="12"/>
  <c r="H795" i="12"/>
  <c r="G795" i="12"/>
  <c r="F795" i="12"/>
  <c r="J794" i="12"/>
  <c r="I794" i="12"/>
  <c r="H794" i="12"/>
  <c r="G794" i="12"/>
  <c r="F794" i="12"/>
  <c r="J793" i="12"/>
  <c r="I793" i="12"/>
  <c r="H793" i="12"/>
  <c r="G793" i="12"/>
  <c r="F793" i="12"/>
  <c r="J792" i="12"/>
  <c r="I792" i="12"/>
  <c r="H792" i="12"/>
  <c r="G792" i="12"/>
  <c r="F792" i="12"/>
  <c r="J791" i="12"/>
  <c r="I791" i="12"/>
  <c r="H791" i="12"/>
  <c r="G791" i="12"/>
  <c r="F791" i="12"/>
  <c r="J790" i="12"/>
  <c r="I790" i="12"/>
  <c r="H790" i="12"/>
  <c r="G790" i="12"/>
  <c r="F790" i="12"/>
  <c r="J789" i="12"/>
  <c r="I789" i="12"/>
  <c r="H789" i="12"/>
  <c r="G789" i="12"/>
  <c r="F789" i="12"/>
  <c r="J788" i="12"/>
  <c r="I788" i="12"/>
  <c r="H788" i="12"/>
  <c r="G788" i="12"/>
  <c r="F788" i="12"/>
  <c r="J787" i="12"/>
  <c r="I787" i="12"/>
  <c r="H787" i="12"/>
  <c r="G787" i="12"/>
  <c r="F787" i="12"/>
  <c r="J786" i="12"/>
  <c r="I786" i="12"/>
  <c r="H786" i="12"/>
  <c r="G786" i="12"/>
  <c r="F786" i="12"/>
  <c r="J785" i="12"/>
  <c r="I785" i="12"/>
  <c r="H785" i="12"/>
  <c r="G785" i="12"/>
  <c r="F785" i="12"/>
  <c r="J784" i="12"/>
  <c r="I784" i="12"/>
  <c r="H784" i="12"/>
  <c r="G784" i="12"/>
  <c r="F784" i="12"/>
  <c r="J783" i="12"/>
  <c r="I783" i="12"/>
  <c r="H783" i="12"/>
  <c r="G783" i="12"/>
  <c r="F783" i="12"/>
  <c r="J782" i="12"/>
  <c r="I782" i="12"/>
  <c r="H782" i="12"/>
  <c r="G782" i="12"/>
  <c r="F782" i="12"/>
  <c r="J781" i="12"/>
  <c r="I781" i="12"/>
  <c r="H781" i="12"/>
  <c r="G781" i="12"/>
  <c r="F781" i="12"/>
  <c r="J780" i="12"/>
  <c r="I780" i="12"/>
  <c r="H780" i="12"/>
  <c r="G780" i="12"/>
  <c r="F780" i="12"/>
  <c r="J779" i="12"/>
  <c r="I779" i="12"/>
  <c r="H779" i="12"/>
  <c r="G779" i="12"/>
  <c r="F779" i="12"/>
  <c r="J778" i="12"/>
  <c r="I778" i="12"/>
  <c r="H778" i="12"/>
  <c r="G778" i="12"/>
  <c r="F778" i="12"/>
  <c r="J777" i="12"/>
  <c r="I777" i="12"/>
  <c r="H777" i="12"/>
  <c r="G777" i="12"/>
  <c r="F777" i="12"/>
  <c r="J776" i="12"/>
  <c r="I776" i="12"/>
  <c r="H776" i="12"/>
  <c r="G776" i="12"/>
  <c r="F776" i="12"/>
  <c r="J775" i="12"/>
  <c r="I775" i="12"/>
  <c r="H775" i="12"/>
  <c r="G775" i="12"/>
  <c r="F775" i="12"/>
  <c r="J774" i="12"/>
  <c r="I774" i="12"/>
  <c r="H774" i="12"/>
  <c r="G774" i="12"/>
  <c r="F774" i="12"/>
  <c r="J773" i="12"/>
  <c r="I773" i="12"/>
  <c r="H773" i="12"/>
  <c r="G773" i="12"/>
  <c r="F773" i="12"/>
  <c r="J772" i="12"/>
  <c r="I772" i="12"/>
  <c r="H772" i="12"/>
  <c r="G772" i="12"/>
  <c r="F772" i="12"/>
  <c r="J771" i="12"/>
  <c r="I771" i="12"/>
  <c r="H771" i="12"/>
  <c r="G771" i="12"/>
  <c r="F771" i="12"/>
  <c r="J770" i="12"/>
  <c r="I770" i="12"/>
  <c r="H770" i="12"/>
  <c r="G770" i="12"/>
  <c r="F770" i="12"/>
  <c r="J769" i="12"/>
  <c r="I769" i="12"/>
  <c r="H769" i="12"/>
  <c r="G769" i="12"/>
  <c r="F769" i="12"/>
  <c r="J768" i="12"/>
  <c r="I768" i="12"/>
  <c r="H768" i="12"/>
  <c r="G768" i="12"/>
  <c r="F768" i="12"/>
  <c r="J767" i="12"/>
  <c r="I767" i="12"/>
  <c r="H767" i="12"/>
  <c r="G767" i="12"/>
  <c r="F767" i="12"/>
  <c r="J766" i="12"/>
  <c r="I766" i="12"/>
  <c r="H766" i="12"/>
  <c r="G766" i="12"/>
  <c r="F766" i="12"/>
  <c r="J765" i="12"/>
  <c r="I765" i="12"/>
  <c r="H765" i="12"/>
  <c r="G765" i="12"/>
  <c r="F765" i="12"/>
  <c r="J764" i="12"/>
  <c r="I764" i="12"/>
  <c r="H764" i="12"/>
  <c r="G764" i="12"/>
  <c r="F764" i="12"/>
  <c r="J763" i="12"/>
  <c r="I763" i="12"/>
  <c r="H763" i="12"/>
  <c r="G763" i="12"/>
  <c r="F763" i="12"/>
  <c r="J762" i="12"/>
  <c r="I762" i="12"/>
  <c r="H762" i="12"/>
  <c r="G762" i="12"/>
  <c r="F762" i="12"/>
  <c r="J761" i="12"/>
  <c r="I761" i="12"/>
  <c r="H761" i="12"/>
  <c r="G761" i="12"/>
  <c r="F761" i="12"/>
  <c r="J760" i="12"/>
  <c r="I760" i="12"/>
  <c r="H760" i="12"/>
  <c r="G760" i="12"/>
  <c r="F760" i="12"/>
  <c r="J759" i="12"/>
  <c r="I759" i="12"/>
  <c r="H759" i="12"/>
  <c r="G759" i="12"/>
  <c r="F759" i="12"/>
  <c r="J758" i="12"/>
  <c r="I758" i="12"/>
  <c r="H758" i="12"/>
  <c r="G758" i="12"/>
  <c r="F758" i="12"/>
  <c r="J757" i="12"/>
  <c r="I757" i="12"/>
  <c r="H757" i="12"/>
  <c r="G757" i="12"/>
  <c r="F757" i="12"/>
  <c r="J756" i="12"/>
  <c r="I756" i="12"/>
  <c r="H756" i="12"/>
  <c r="G756" i="12"/>
  <c r="F756" i="12"/>
  <c r="J755" i="12"/>
  <c r="I755" i="12"/>
  <c r="H755" i="12"/>
  <c r="G755" i="12"/>
  <c r="F755" i="12"/>
  <c r="J754" i="12"/>
  <c r="I754" i="12"/>
  <c r="H754" i="12"/>
  <c r="G754" i="12"/>
  <c r="F754" i="12"/>
  <c r="J753" i="12"/>
  <c r="I753" i="12"/>
  <c r="H753" i="12"/>
  <c r="G753" i="12"/>
  <c r="F753" i="12"/>
  <c r="J752" i="12"/>
  <c r="I752" i="12"/>
  <c r="H752" i="12"/>
  <c r="G752" i="12"/>
  <c r="F752" i="12"/>
  <c r="J751" i="12"/>
  <c r="I751" i="12"/>
  <c r="H751" i="12"/>
  <c r="G751" i="12"/>
  <c r="F751" i="12"/>
  <c r="J750" i="12"/>
  <c r="I750" i="12"/>
  <c r="H750" i="12"/>
  <c r="G750" i="12"/>
  <c r="F750" i="12"/>
  <c r="J749" i="12"/>
  <c r="I749" i="12"/>
  <c r="H749" i="12"/>
  <c r="G749" i="12"/>
  <c r="F749" i="12"/>
  <c r="J748" i="12"/>
  <c r="I748" i="12"/>
  <c r="H748" i="12"/>
  <c r="G748" i="12"/>
  <c r="F748" i="12"/>
  <c r="J747" i="12"/>
  <c r="I747" i="12"/>
  <c r="H747" i="12"/>
  <c r="G747" i="12"/>
  <c r="F747" i="12"/>
  <c r="J746" i="12"/>
  <c r="I746" i="12"/>
  <c r="H746" i="12"/>
  <c r="G746" i="12"/>
  <c r="F746" i="12"/>
  <c r="J745" i="12"/>
  <c r="I745" i="12"/>
  <c r="H745" i="12"/>
  <c r="G745" i="12"/>
  <c r="F745" i="12"/>
  <c r="J744" i="12"/>
  <c r="I744" i="12"/>
  <c r="H744" i="12"/>
  <c r="G744" i="12"/>
  <c r="F744" i="12"/>
  <c r="J743" i="12"/>
  <c r="I743" i="12"/>
  <c r="H743" i="12"/>
  <c r="G743" i="12"/>
  <c r="F743" i="12"/>
  <c r="J742" i="12"/>
  <c r="I742" i="12"/>
  <c r="H742" i="12"/>
  <c r="G742" i="12"/>
  <c r="F742" i="12"/>
  <c r="J741" i="12"/>
  <c r="I741" i="12"/>
  <c r="H741" i="12"/>
  <c r="G741" i="12"/>
  <c r="F741" i="12"/>
  <c r="J740" i="12"/>
  <c r="I740" i="12"/>
  <c r="H740" i="12"/>
  <c r="G740" i="12"/>
  <c r="F740" i="12"/>
  <c r="J739" i="12"/>
  <c r="I739" i="12"/>
  <c r="H739" i="12"/>
  <c r="G739" i="12"/>
  <c r="F739" i="12"/>
  <c r="J738" i="12"/>
  <c r="I738" i="12"/>
  <c r="H738" i="12"/>
  <c r="G738" i="12"/>
  <c r="F738" i="12"/>
  <c r="J737" i="12"/>
  <c r="I737" i="12"/>
  <c r="H737" i="12"/>
  <c r="G737" i="12"/>
  <c r="F737" i="12"/>
  <c r="J736" i="12"/>
  <c r="I736" i="12"/>
  <c r="H736" i="12"/>
  <c r="G736" i="12"/>
  <c r="F736" i="12"/>
  <c r="J735" i="12"/>
  <c r="I735" i="12"/>
  <c r="H735" i="12"/>
  <c r="G735" i="12"/>
  <c r="F735" i="12"/>
  <c r="J734" i="12"/>
  <c r="I734" i="12"/>
  <c r="H734" i="12"/>
  <c r="G734" i="12"/>
  <c r="F734" i="12"/>
  <c r="J733" i="12"/>
  <c r="I733" i="12"/>
  <c r="H733" i="12"/>
  <c r="G733" i="12"/>
  <c r="F733" i="12"/>
  <c r="J732" i="12"/>
  <c r="I732" i="12"/>
  <c r="H732" i="12"/>
  <c r="G732" i="12"/>
  <c r="F732" i="12"/>
  <c r="J731" i="12"/>
  <c r="I731" i="12"/>
  <c r="H731" i="12"/>
  <c r="G731" i="12"/>
  <c r="F731" i="12"/>
  <c r="J730" i="12"/>
  <c r="I730" i="12"/>
  <c r="H730" i="12"/>
  <c r="G730" i="12"/>
  <c r="F730" i="12"/>
  <c r="J729" i="12"/>
  <c r="I729" i="12"/>
  <c r="H729" i="12"/>
  <c r="G729" i="12"/>
  <c r="F729" i="12"/>
  <c r="J728" i="12"/>
  <c r="I728" i="12"/>
  <c r="H728" i="12"/>
  <c r="G728" i="12"/>
  <c r="F728" i="12"/>
  <c r="J727" i="12"/>
  <c r="I727" i="12"/>
  <c r="H727" i="12"/>
  <c r="G727" i="12"/>
  <c r="F727" i="12"/>
  <c r="J726" i="12"/>
  <c r="I726" i="12"/>
  <c r="H726" i="12"/>
  <c r="G726" i="12"/>
  <c r="F726" i="12"/>
  <c r="J725" i="12"/>
  <c r="I725" i="12"/>
  <c r="H725" i="12"/>
  <c r="G725" i="12"/>
  <c r="F725" i="12"/>
  <c r="J724" i="12"/>
  <c r="I724" i="12"/>
  <c r="H724" i="12"/>
  <c r="G724" i="12"/>
  <c r="F724" i="12"/>
  <c r="J723" i="12"/>
  <c r="I723" i="12"/>
  <c r="H723" i="12"/>
  <c r="G723" i="12"/>
  <c r="F723" i="12"/>
  <c r="J722" i="12"/>
  <c r="I722" i="12"/>
  <c r="H722" i="12"/>
  <c r="G722" i="12"/>
  <c r="F722" i="12"/>
  <c r="J721" i="12"/>
  <c r="I721" i="12"/>
  <c r="H721" i="12"/>
  <c r="G721" i="12"/>
  <c r="F721" i="12"/>
  <c r="J720" i="12"/>
  <c r="I720" i="12"/>
  <c r="H720" i="12"/>
  <c r="G720" i="12"/>
  <c r="F720" i="12"/>
  <c r="J719" i="12"/>
  <c r="I719" i="12"/>
  <c r="H719" i="12"/>
  <c r="G719" i="12"/>
  <c r="F719" i="12"/>
  <c r="J718" i="12"/>
  <c r="I718" i="12"/>
  <c r="H718" i="12"/>
  <c r="G718" i="12"/>
  <c r="F718" i="12"/>
  <c r="J717" i="12"/>
  <c r="I717" i="12"/>
  <c r="H717" i="12"/>
  <c r="G717" i="12"/>
  <c r="F717" i="12"/>
  <c r="J716" i="12"/>
  <c r="I716" i="12"/>
  <c r="H716" i="12"/>
  <c r="G716" i="12"/>
  <c r="F716" i="12"/>
  <c r="J715" i="12"/>
  <c r="I715" i="12"/>
  <c r="H715" i="12"/>
  <c r="G715" i="12"/>
  <c r="F715" i="12"/>
  <c r="J714" i="12"/>
  <c r="I714" i="12"/>
  <c r="H714" i="12"/>
  <c r="G714" i="12"/>
  <c r="F714" i="12"/>
  <c r="J713" i="12"/>
  <c r="I713" i="12"/>
  <c r="H713" i="12"/>
  <c r="G713" i="12"/>
  <c r="F713" i="12"/>
  <c r="J712" i="12"/>
  <c r="I712" i="12"/>
  <c r="H712" i="12"/>
  <c r="G712" i="12"/>
  <c r="F712" i="12"/>
  <c r="J711" i="12"/>
  <c r="I711" i="12"/>
  <c r="H711" i="12"/>
  <c r="G711" i="12"/>
  <c r="F711" i="12"/>
  <c r="J710" i="12"/>
  <c r="I710" i="12"/>
  <c r="H710" i="12"/>
  <c r="G710" i="12"/>
  <c r="F710" i="12"/>
  <c r="J709" i="12"/>
  <c r="I709" i="12"/>
  <c r="H709" i="12"/>
  <c r="G709" i="12"/>
  <c r="F709" i="12"/>
  <c r="J708" i="12"/>
  <c r="I708" i="12"/>
  <c r="H708" i="12"/>
  <c r="G708" i="12"/>
  <c r="F708" i="12"/>
  <c r="J707" i="12"/>
  <c r="I707" i="12"/>
  <c r="H707" i="12"/>
  <c r="G707" i="12"/>
  <c r="F707" i="12"/>
  <c r="J706" i="12"/>
  <c r="I706" i="12"/>
  <c r="H706" i="12"/>
  <c r="G706" i="12"/>
  <c r="F706" i="12"/>
  <c r="J705" i="12"/>
  <c r="I705" i="12"/>
  <c r="H705" i="12"/>
  <c r="G705" i="12"/>
  <c r="F705" i="12"/>
  <c r="J704" i="12"/>
  <c r="I704" i="12"/>
  <c r="H704" i="12"/>
  <c r="G704" i="12"/>
  <c r="F704" i="12"/>
  <c r="J703" i="12"/>
  <c r="I703" i="12"/>
  <c r="H703" i="12"/>
  <c r="G703" i="12"/>
  <c r="F703" i="12"/>
  <c r="J702" i="12"/>
  <c r="I702" i="12"/>
  <c r="H702" i="12"/>
  <c r="G702" i="12"/>
  <c r="F702" i="12"/>
  <c r="J701" i="12"/>
  <c r="I701" i="12"/>
  <c r="H701" i="12"/>
  <c r="G701" i="12"/>
  <c r="F701" i="12"/>
  <c r="J700" i="12"/>
  <c r="I700" i="12"/>
  <c r="H700" i="12"/>
  <c r="G700" i="12"/>
  <c r="F700" i="12"/>
  <c r="J699" i="12"/>
  <c r="I699" i="12"/>
  <c r="H699" i="12"/>
  <c r="G699" i="12"/>
  <c r="F699" i="12"/>
  <c r="J698" i="12"/>
  <c r="I698" i="12"/>
  <c r="H698" i="12"/>
  <c r="G698" i="12"/>
  <c r="F698" i="12"/>
  <c r="J697" i="12"/>
  <c r="I697" i="12"/>
  <c r="H697" i="12"/>
  <c r="G697" i="12"/>
  <c r="F697" i="12"/>
  <c r="J696" i="12"/>
  <c r="I696" i="12"/>
  <c r="H696" i="12"/>
  <c r="G696" i="12"/>
  <c r="F696" i="12"/>
  <c r="J695" i="12"/>
  <c r="I695" i="12"/>
  <c r="H695" i="12"/>
  <c r="G695" i="12"/>
  <c r="F695" i="12"/>
  <c r="J694" i="12"/>
  <c r="I694" i="12"/>
  <c r="H694" i="12"/>
  <c r="G694" i="12"/>
  <c r="F694" i="12"/>
  <c r="J693" i="12"/>
  <c r="I693" i="12"/>
  <c r="H693" i="12"/>
  <c r="G693" i="12"/>
  <c r="F693" i="12"/>
  <c r="J692" i="12"/>
  <c r="I692" i="12"/>
  <c r="H692" i="12"/>
  <c r="G692" i="12"/>
  <c r="F692" i="12"/>
  <c r="J691" i="12"/>
  <c r="I691" i="12"/>
  <c r="H691" i="12"/>
  <c r="G691" i="12"/>
  <c r="F691" i="12"/>
  <c r="J690" i="12"/>
  <c r="I690" i="12"/>
  <c r="H690" i="12"/>
  <c r="G690" i="12"/>
  <c r="F690" i="12"/>
  <c r="J689" i="12"/>
  <c r="I689" i="12"/>
  <c r="H689" i="12"/>
  <c r="G689" i="12"/>
  <c r="F689" i="12"/>
  <c r="J688" i="12"/>
  <c r="I688" i="12"/>
  <c r="H688" i="12"/>
  <c r="G688" i="12"/>
  <c r="F688" i="12"/>
  <c r="J687" i="12"/>
  <c r="I687" i="12"/>
  <c r="H687" i="12"/>
  <c r="G687" i="12"/>
  <c r="F687" i="12"/>
  <c r="J686" i="12"/>
  <c r="I686" i="12"/>
  <c r="H686" i="12"/>
  <c r="G686" i="12"/>
  <c r="F686" i="12"/>
  <c r="J685" i="12"/>
  <c r="I685" i="12"/>
  <c r="H685" i="12"/>
  <c r="G685" i="12"/>
  <c r="F685" i="12"/>
  <c r="J684" i="12"/>
  <c r="I684" i="12"/>
  <c r="H684" i="12"/>
  <c r="G684" i="12"/>
  <c r="F684" i="12"/>
  <c r="J683" i="12"/>
  <c r="I683" i="12"/>
  <c r="H683" i="12"/>
  <c r="G683" i="12"/>
  <c r="F683" i="12"/>
  <c r="J682" i="12"/>
  <c r="I682" i="12"/>
  <c r="H682" i="12"/>
  <c r="G682" i="12"/>
  <c r="F682" i="12"/>
  <c r="J681" i="12"/>
  <c r="I681" i="12"/>
  <c r="H681" i="12"/>
  <c r="G681" i="12"/>
  <c r="F681" i="12"/>
  <c r="J680" i="12"/>
  <c r="I680" i="12"/>
  <c r="H680" i="12"/>
  <c r="G680" i="12"/>
  <c r="F680" i="12"/>
  <c r="J679" i="12"/>
  <c r="I679" i="12"/>
  <c r="H679" i="12"/>
  <c r="G679" i="12"/>
  <c r="F679" i="12"/>
  <c r="J678" i="12"/>
  <c r="I678" i="12"/>
  <c r="H678" i="12"/>
  <c r="G678" i="12"/>
  <c r="F678" i="12"/>
  <c r="J677" i="12"/>
  <c r="I677" i="12"/>
  <c r="H677" i="12"/>
  <c r="G677" i="12"/>
  <c r="F677" i="12"/>
  <c r="J676" i="12"/>
  <c r="I676" i="12"/>
  <c r="H676" i="12"/>
  <c r="G676" i="12"/>
  <c r="F676" i="12"/>
  <c r="J675" i="12"/>
  <c r="I675" i="12"/>
  <c r="H675" i="12"/>
  <c r="G675" i="12"/>
  <c r="F675" i="12"/>
  <c r="J674" i="12"/>
  <c r="I674" i="12"/>
  <c r="H674" i="12"/>
  <c r="G674" i="12"/>
  <c r="F674" i="12"/>
  <c r="J673" i="12"/>
  <c r="I673" i="12"/>
  <c r="H673" i="12"/>
  <c r="G673" i="12"/>
  <c r="F673" i="12"/>
  <c r="J672" i="12"/>
  <c r="I672" i="12"/>
  <c r="H672" i="12"/>
  <c r="G672" i="12"/>
  <c r="F672" i="12"/>
  <c r="J671" i="12"/>
  <c r="I671" i="12"/>
  <c r="H671" i="12"/>
  <c r="G671" i="12"/>
  <c r="F671" i="12"/>
  <c r="J670" i="12"/>
  <c r="I670" i="12"/>
  <c r="H670" i="12"/>
  <c r="G670" i="12"/>
  <c r="F670" i="12"/>
  <c r="J669" i="12"/>
  <c r="I669" i="12"/>
  <c r="H669" i="12"/>
  <c r="G669" i="12"/>
  <c r="F669" i="12"/>
  <c r="J668" i="12"/>
  <c r="I668" i="12"/>
  <c r="H668" i="12"/>
  <c r="G668" i="12"/>
  <c r="F668" i="12"/>
  <c r="J667" i="12"/>
  <c r="I667" i="12"/>
  <c r="H667" i="12"/>
  <c r="G667" i="12"/>
  <c r="F667" i="12"/>
  <c r="J666" i="12"/>
  <c r="I666" i="12"/>
  <c r="H666" i="12"/>
  <c r="G666" i="12"/>
  <c r="F666" i="12"/>
  <c r="J665" i="12"/>
  <c r="I665" i="12"/>
  <c r="H665" i="12"/>
  <c r="G665" i="12"/>
  <c r="F665" i="12"/>
  <c r="J664" i="12"/>
  <c r="I664" i="12"/>
  <c r="H664" i="12"/>
  <c r="G664" i="12"/>
  <c r="F664" i="12"/>
  <c r="J663" i="12"/>
  <c r="I663" i="12"/>
  <c r="H663" i="12"/>
  <c r="G663" i="12"/>
  <c r="F663" i="12"/>
  <c r="J662" i="12"/>
  <c r="I662" i="12"/>
  <c r="H662" i="12"/>
  <c r="G662" i="12"/>
  <c r="F662" i="12"/>
  <c r="J661" i="12"/>
  <c r="I661" i="12"/>
  <c r="H661" i="12"/>
  <c r="G661" i="12"/>
  <c r="F661" i="12"/>
  <c r="J660" i="12"/>
  <c r="I660" i="12"/>
  <c r="H660" i="12"/>
  <c r="G660" i="12"/>
  <c r="F660" i="12"/>
  <c r="J659" i="12"/>
  <c r="I659" i="12"/>
  <c r="H659" i="12"/>
  <c r="G659" i="12"/>
  <c r="F659" i="12"/>
  <c r="J658" i="12"/>
  <c r="I658" i="12"/>
  <c r="H658" i="12"/>
  <c r="G658" i="12"/>
  <c r="F658" i="12"/>
  <c r="J657" i="12"/>
  <c r="I657" i="12"/>
  <c r="H657" i="12"/>
  <c r="G657" i="12"/>
  <c r="F657" i="12"/>
  <c r="J656" i="12"/>
  <c r="I656" i="12"/>
  <c r="H656" i="12"/>
  <c r="G656" i="12"/>
  <c r="F656" i="12"/>
  <c r="J655" i="12"/>
  <c r="I655" i="12"/>
  <c r="H655" i="12"/>
  <c r="G655" i="12"/>
  <c r="F655" i="12"/>
  <c r="J654" i="12"/>
  <c r="I654" i="12"/>
  <c r="H654" i="12"/>
  <c r="G654" i="12"/>
  <c r="F654" i="12"/>
  <c r="J653" i="12"/>
  <c r="I653" i="12"/>
  <c r="H653" i="12"/>
  <c r="G653" i="12"/>
  <c r="F653" i="12"/>
  <c r="J652" i="12"/>
  <c r="I652" i="12"/>
  <c r="H652" i="12"/>
  <c r="G652" i="12"/>
  <c r="F652" i="12"/>
  <c r="J651" i="12"/>
  <c r="I651" i="12"/>
  <c r="H651" i="12"/>
  <c r="G651" i="12"/>
  <c r="F651" i="12"/>
  <c r="J650" i="12"/>
  <c r="I650" i="12"/>
  <c r="H650" i="12"/>
  <c r="G650" i="12"/>
  <c r="F650" i="12"/>
  <c r="J649" i="12"/>
  <c r="I649" i="12"/>
  <c r="H649" i="12"/>
  <c r="G649" i="12"/>
  <c r="F649" i="12"/>
  <c r="J648" i="12"/>
  <c r="I648" i="12"/>
  <c r="H648" i="12"/>
  <c r="G648" i="12"/>
  <c r="F648" i="12"/>
  <c r="J647" i="12"/>
  <c r="I647" i="12"/>
  <c r="H647" i="12"/>
  <c r="G647" i="12"/>
  <c r="F647" i="12"/>
  <c r="J646" i="12"/>
  <c r="I646" i="12"/>
  <c r="H646" i="12"/>
  <c r="G646" i="12"/>
  <c r="F646" i="12"/>
  <c r="J645" i="12"/>
  <c r="I645" i="12"/>
  <c r="H645" i="12"/>
  <c r="G645" i="12"/>
  <c r="F645" i="12"/>
  <c r="J644" i="12"/>
  <c r="I644" i="12"/>
  <c r="H644" i="12"/>
  <c r="G644" i="12"/>
  <c r="F644" i="12"/>
  <c r="J643" i="12"/>
  <c r="I643" i="12"/>
  <c r="H643" i="12"/>
  <c r="G643" i="12"/>
  <c r="F643" i="12"/>
  <c r="J642" i="12"/>
  <c r="I642" i="12"/>
  <c r="H642" i="12"/>
  <c r="G642" i="12"/>
  <c r="F642" i="12"/>
  <c r="J641" i="12"/>
  <c r="I641" i="12"/>
  <c r="H641" i="12"/>
  <c r="G641" i="12"/>
  <c r="F641" i="12"/>
  <c r="J640" i="12"/>
  <c r="I640" i="12"/>
  <c r="H640" i="12"/>
  <c r="G640" i="12"/>
  <c r="F640" i="12"/>
  <c r="J639" i="12"/>
  <c r="I639" i="12"/>
  <c r="H639" i="12"/>
  <c r="G639" i="12"/>
  <c r="F639" i="12"/>
  <c r="J638" i="12"/>
  <c r="I638" i="12"/>
  <c r="H638" i="12"/>
  <c r="G638" i="12"/>
  <c r="F638" i="12"/>
  <c r="J637" i="12"/>
  <c r="I637" i="12"/>
  <c r="H637" i="12"/>
  <c r="G637" i="12"/>
  <c r="F637" i="12"/>
  <c r="J636" i="12"/>
  <c r="I636" i="12"/>
  <c r="H636" i="12"/>
  <c r="G636" i="12"/>
  <c r="F636" i="12"/>
  <c r="J635" i="12"/>
  <c r="I635" i="12"/>
  <c r="H635" i="12"/>
  <c r="G635" i="12"/>
  <c r="F635" i="12"/>
  <c r="J634" i="12"/>
  <c r="I634" i="12"/>
  <c r="H634" i="12"/>
  <c r="G634" i="12"/>
  <c r="F634" i="12"/>
  <c r="J633" i="12"/>
  <c r="I633" i="12"/>
  <c r="H633" i="12"/>
  <c r="G633" i="12"/>
  <c r="F633" i="12"/>
  <c r="J632" i="12"/>
  <c r="I632" i="12"/>
  <c r="H632" i="12"/>
  <c r="G632" i="12"/>
  <c r="F632" i="12"/>
  <c r="J631" i="12"/>
  <c r="I631" i="12"/>
  <c r="H631" i="12"/>
  <c r="G631" i="12"/>
  <c r="F631" i="12"/>
  <c r="J630" i="12"/>
  <c r="I630" i="12"/>
  <c r="H630" i="12"/>
  <c r="G630" i="12"/>
  <c r="F630" i="12"/>
  <c r="J629" i="12"/>
  <c r="I629" i="12"/>
  <c r="H629" i="12"/>
  <c r="G629" i="12"/>
  <c r="F629" i="12"/>
  <c r="J628" i="12"/>
  <c r="I628" i="12"/>
  <c r="H628" i="12"/>
  <c r="G628" i="12"/>
  <c r="F628" i="12"/>
  <c r="J627" i="12"/>
  <c r="I627" i="12"/>
  <c r="H627" i="12"/>
  <c r="G627" i="12"/>
  <c r="F627" i="12"/>
  <c r="J626" i="12"/>
  <c r="I626" i="12"/>
  <c r="H626" i="12"/>
  <c r="G626" i="12"/>
  <c r="F626" i="12"/>
  <c r="J625" i="12"/>
  <c r="I625" i="12"/>
  <c r="H625" i="12"/>
  <c r="G625" i="12"/>
  <c r="F625" i="12"/>
  <c r="J624" i="12"/>
  <c r="I624" i="12"/>
  <c r="H624" i="12"/>
  <c r="G624" i="12"/>
  <c r="F624" i="12"/>
  <c r="J623" i="12"/>
  <c r="I623" i="12"/>
  <c r="H623" i="12"/>
  <c r="G623" i="12"/>
  <c r="F623" i="12"/>
  <c r="J622" i="12"/>
  <c r="I622" i="12"/>
  <c r="H622" i="12"/>
  <c r="G622" i="12"/>
  <c r="F622" i="12"/>
  <c r="J621" i="12"/>
  <c r="I621" i="12"/>
  <c r="H621" i="12"/>
  <c r="G621" i="12"/>
  <c r="F621" i="12"/>
  <c r="J620" i="12"/>
  <c r="I620" i="12"/>
  <c r="H620" i="12"/>
  <c r="G620" i="12"/>
  <c r="F620" i="12"/>
  <c r="J619" i="12"/>
  <c r="I619" i="12"/>
  <c r="H619" i="12"/>
  <c r="G619" i="12"/>
  <c r="F619" i="12"/>
  <c r="J618" i="12"/>
  <c r="I618" i="12"/>
  <c r="H618" i="12"/>
  <c r="G618" i="12"/>
  <c r="F618" i="12"/>
  <c r="J617" i="12"/>
  <c r="I617" i="12"/>
  <c r="H617" i="12"/>
  <c r="G617" i="12"/>
  <c r="F617" i="12"/>
  <c r="J616" i="12"/>
  <c r="I616" i="12"/>
  <c r="H616" i="12"/>
  <c r="G616" i="12"/>
  <c r="F616" i="12"/>
  <c r="J615" i="12"/>
  <c r="I615" i="12"/>
  <c r="H615" i="12"/>
  <c r="G615" i="12"/>
  <c r="F615" i="12"/>
  <c r="J614" i="12"/>
  <c r="I614" i="12"/>
  <c r="H614" i="12"/>
  <c r="G614" i="12"/>
  <c r="F614" i="12"/>
  <c r="J613" i="12"/>
  <c r="I613" i="12"/>
  <c r="H613" i="12"/>
  <c r="G613" i="12"/>
  <c r="F613" i="12"/>
  <c r="J612" i="12"/>
  <c r="I612" i="12"/>
  <c r="H612" i="12"/>
  <c r="G612" i="12"/>
  <c r="F612" i="12"/>
  <c r="J611" i="12"/>
  <c r="I611" i="12"/>
  <c r="H611" i="12"/>
  <c r="G611" i="12"/>
  <c r="F611" i="12"/>
  <c r="J610" i="12"/>
  <c r="I610" i="12"/>
  <c r="H610" i="12"/>
  <c r="G610" i="12"/>
  <c r="F610" i="12"/>
  <c r="J609" i="12"/>
  <c r="I609" i="12"/>
  <c r="H609" i="12"/>
  <c r="G609" i="12"/>
  <c r="F609" i="12"/>
  <c r="J608" i="12"/>
  <c r="I608" i="12"/>
  <c r="H608" i="12"/>
  <c r="G608" i="12"/>
  <c r="F608" i="12"/>
  <c r="J607" i="12"/>
  <c r="I607" i="12"/>
  <c r="H607" i="12"/>
  <c r="G607" i="12"/>
  <c r="F607" i="12"/>
  <c r="J606" i="12"/>
  <c r="I606" i="12"/>
  <c r="H606" i="12"/>
  <c r="G606" i="12"/>
  <c r="F606" i="12"/>
  <c r="J605" i="12"/>
  <c r="I605" i="12"/>
  <c r="H605" i="12"/>
  <c r="G605" i="12"/>
  <c r="F605" i="12"/>
  <c r="J604" i="12"/>
  <c r="I604" i="12"/>
  <c r="H604" i="12"/>
  <c r="G604" i="12"/>
  <c r="F604" i="12"/>
  <c r="J603" i="12"/>
  <c r="I603" i="12"/>
  <c r="H603" i="12"/>
  <c r="G603" i="12"/>
  <c r="F603" i="12"/>
  <c r="J602" i="12"/>
  <c r="I602" i="12"/>
  <c r="H602" i="12"/>
  <c r="G602" i="12"/>
  <c r="F602" i="12"/>
  <c r="J601" i="12"/>
  <c r="I601" i="12"/>
  <c r="H601" i="12"/>
  <c r="G601" i="12"/>
  <c r="F601" i="12"/>
  <c r="J600" i="12"/>
  <c r="I600" i="12"/>
  <c r="H600" i="12"/>
  <c r="G600" i="12"/>
  <c r="F600" i="12"/>
  <c r="J599" i="12"/>
  <c r="I599" i="12"/>
  <c r="H599" i="12"/>
  <c r="G599" i="12"/>
  <c r="F599" i="12"/>
  <c r="J598" i="12"/>
  <c r="I598" i="12"/>
  <c r="H598" i="12"/>
  <c r="G598" i="12"/>
  <c r="F598" i="12"/>
  <c r="J597" i="12"/>
  <c r="I597" i="12"/>
  <c r="H597" i="12"/>
  <c r="G597" i="12"/>
  <c r="F597" i="12"/>
  <c r="J596" i="12"/>
  <c r="I596" i="12"/>
  <c r="H596" i="12"/>
  <c r="G596" i="12"/>
  <c r="F596" i="12"/>
  <c r="J595" i="12"/>
  <c r="I595" i="12"/>
  <c r="H595" i="12"/>
  <c r="G595" i="12"/>
  <c r="F595" i="12"/>
  <c r="J594" i="12"/>
  <c r="I594" i="12"/>
  <c r="H594" i="12"/>
  <c r="G594" i="12"/>
  <c r="F594" i="12"/>
  <c r="J593" i="12"/>
  <c r="I593" i="12"/>
  <c r="H593" i="12"/>
  <c r="G593" i="12"/>
  <c r="F593" i="12"/>
  <c r="J592" i="12"/>
  <c r="I592" i="12"/>
  <c r="H592" i="12"/>
  <c r="G592" i="12"/>
  <c r="F592" i="12"/>
  <c r="J591" i="12"/>
  <c r="I591" i="12"/>
  <c r="H591" i="12"/>
  <c r="G591" i="12"/>
  <c r="F591" i="12"/>
  <c r="J590" i="12"/>
  <c r="I590" i="12"/>
  <c r="H590" i="12"/>
  <c r="G590" i="12"/>
  <c r="F590" i="12"/>
  <c r="J589" i="12"/>
  <c r="I589" i="12"/>
  <c r="H589" i="12"/>
  <c r="G589" i="12"/>
  <c r="F589" i="12"/>
  <c r="J588" i="12"/>
  <c r="I588" i="12"/>
  <c r="H588" i="12"/>
  <c r="G588" i="12"/>
  <c r="F588" i="12"/>
  <c r="J587" i="12"/>
  <c r="I587" i="12"/>
  <c r="H587" i="12"/>
  <c r="G587" i="12"/>
  <c r="F587" i="12"/>
  <c r="J586" i="12"/>
  <c r="I586" i="12"/>
  <c r="H586" i="12"/>
  <c r="G586" i="12"/>
  <c r="F586" i="12"/>
  <c r="J585" i="12"/>
  <c r="I585" i="12"/>
  <c r="H585" i="12"/>
  <c r="G585" i="12"/>
  <c r="F585" i="12"/>
  <c r="J584" i="12"/>
  <c r="I584" i="12"/>
  <c r="H584" i="12"/>
  <c r="G584" i="12"/>
  <c r="F584" i="12"/>
  <c r="J583" i="12"/>
  <c r="I583" i="12"/>
  <c r="H583" i="12"/>
  <c r="G583" i="12"/>
  <c r="F583" i="12"/>
  <c r="J582" i="12"/>
  <c r="I582" i="12"/>
  <c r="H582" i="12"/>
  <c r="G582" i="12"/>
  <c r="F582" i="12"/>
  <c r="J581" i="12"/>
  <c r="I581" i="12"/>
  <c r="H581" i="12"/>
  <c r="G581" i="12"/>
  <c r="F581" i="12"/>
  <c r="J580" i="12"/>
  <c r="I580" i="12"/>
  <c r="H580" i="12"/>
  <c r="G580" i="12"/>
  <c r="F580" i="12"/>
  <c r="J579" i="12"/>
  <c r="I579" i="12"/>
  <c r="H579" i="12"/>
  <c r="G579" i="12"/>
  <c r="F579" i="12"/>
  <c r="J578" i="12"/>
  <c r="I578" i="12"/>
  <c r="H578" i="12"/>
  <c r="G578" i="12"/>
  <c r="F578" i="12"/>
  <c r="J577" i="12"/>
  <c r="I577" i="12"/>
  <c r="H577" i="12"/>
  <c r="G577" i="12"/>
  <c r="F577" i="12"/>
  <c r="J576" i="12"/>
  <c r="I576" i="12"/>
  <c r="H576" i="12"/>
  <c r="G576" i="12"/>
  <c r="F576" i="12"/>
  <c r="J575" i="12"/>
  <c r="I575" i="12"/>
  <c r="H575" i="12"/>
  <c r="G575" i="12"/>
  <c r="F575" i="12"/>
  <c r="J574" i="12"/>
  <c r="I574" i="12"/>
  <c r="H574" i="12"/>
  <c r="G574" i="12"/>
  <c r="F574" i="12"/>
  <c r="J573" i="12"/>
  <c r="I573" i="12"/>
  <c r="H573" i="12"/>
  <c r="G573" i="12"/>
  <c r="F573" i="12"/>
  <c r="J572" i="12"/>
  <c r="I572" i="12"/>
  <c r="H572" i="12"/>
  <c r="G572" i="12"/>
  <c r="F572" i="12"/>
  <c r="J571" i="12"/>
  <c r="I571" i="12"/>
  <c r="H571" i="12"/>
  <c r="G571" i="12"/>
  <c r="F571" i="12"/>
  <c r="J570" i="12"/>
  <c r="I570" i="12"/>
  <c r="H570" i="12"/>
  <c r="G570" i="12"/>
  <c r="F570" i="12"/>
  <c r="J569" i="12"/>
  <c r="I569" i="12"/>
  <c r="H569" i="12"/>
  <c r="G569" i="12"/>
  <c r="F569" i="12"/>
  <c r="J568" i="12"/>
  <c r="I568" i="12"/>
  <c r="H568" i="12"/>
  <c r="G568" i="12"/>
  <c r="F568" i="12"/>
  <c r="J567" i="12"/>
  <c r="I567" i="12"/>
  <c r="H567" i="12"/>
  <c r="G567" i="12"/>
  <c r="F567" i="12"/>
  <c r="J566" i="12"/>
  <c r="I566" i="12"/>
  <c r="H566" i="12"/>
  <c r="G566" i="12"/>
  <c r="F566" i="12"/>
  <c r="J565" i="12"/>
  <c r="I565" i="12"/>
  <c r="H565" i="12"/>
  <c r="G565" i="12"/>
  <c r="F565" i="12"/>
  <c r="J564" i="12"/>
  <c r="I564" i="12"/>
  <c r="H564" i="12"/>
  <c r="G564" i="12"/>
  <c r="F564" i="12"/>
  <c r="J563" i="12"/>
  <c r="I563" i="12"/>
  <c r="H563" i="12"/>
  <c r="G563" i="12"/>
  <c r="F563" i="12"/>
  <c r="J562" i="12"/>
  <c r="I562" i="12"/>
  <c r="H562" i="12"/>
  <c r="G562" i="12"/>
  <c r="F562" i="12"/>
  <c r="J561" i="12"/>
  <c r="I561" i="12"/>
  <c r="H561" i="12"/>
  <c r="G561" i="12"/>
  <c r="F561" i="12"/>
  <c r="J560" i="12"/>
  <c r="I560" i="12"/>
  <c r="H560" i="12"/>
  <c r="G560" i="12"/>
  <c r="F560" i="12"/>
  <c r="J559" i="12"/>
  <c r="I559" i="12"/>
  <c r="H559" i="12"/>
  <c r="G559" i="12"/>
  <c r="F559" i="12"/>
  <c r="J558" i="12"/>
  <c r="I558" i="12"/>
  <c r="H558" i="12"/>
  <c r="G558" i="12"/>
  <c r="F558" i="12"/>
  <c r="J557" i="12"/>
  <c r="I557" i="12"/>
  <c r="H557" i="12"/>
  <c r="G557" i="12"/>
  <c r="F557" i="12"/>
  <c r="J556" i="12"/>
  <c r="I556" i="12"/>
  <c r="H556" i="12"/>
  <c r="G556" i="12"/>
  <c r="F556" i="12"/>
  <c r="J555" i="12"/>
  <c r="I555" i="12"/>
  <c r="H555" i="12"/>
  <c r="G555" i="12"/>
  <c r="F555" i="12"/>
  <c r="J554" i="12"/>
  <c r="I554" i="12"/>
  <c r="H554" i="12"/>
  <c r="G554" i="12"/>
  <c r="F554" i="12"/>
  <c r="J553" i="12"/>
  <c r="I553" i="12"/>
  <c r="H553" i="12"/>
  <c r="G553" i="12"/>
  <c r="F553" i="12"/>
  <c r="J552" i="12"/>
  <c r="I552" i="12"/>
  <c r="H552" i="12"/>
  <c r="G552" i="12"/>
  <c r="F552" i="12"/>
  <c r="J551" i="12"/>
  <c r="I551" i="12"/>
  <c r="H551" i="12"/>
  <c r="G551" i="12"/>
  <c r="F551" i="12"/>
  <c r="J550" i="12"/>
  <c r="I550" i="12"/>
  <c r="H550" i="12"/>
  <c r="G550" i="12"/>
  <c r="F550" i="12"/>
  <c r="J549" i="12"/>
  <c r="I549" i="12"/>
  <c r="H549" i="12"/>
  <c r="G549" i="12"/>
  <c r="F549" i="12"/>
  <c r="J548" i="12"/>
  <c r="I548" i="12"/>
  <c r="H548" i="12"/>
  <c r="G548" i="12"/>
  <c r="F548" i="12"/>
  <c r="J547" i="12"/>
  <c r="I547" i="12"/>
  <c r="H547" i="12"/>
  <c r="G547" i="12"/>
  <c r="F547" i="12"/>
  <c r="J546" i="12"/>
  <c r="I546" i="12"/>
  <c r="H546" i="12"/>
  <c r="G546" i="12"/>
  <c r="F546" i="12"/>
  <c r="J545" i="12"/>
  <c r="I545" i="12"/>
  <c r="H545" i="12"/>
  <c r="G545" i="12"/>
  <c r="F545" i="12"/>
  <c r="J544" i="12"/>
  <c r="I544" i="12"/>
  <c r="H544" i="12"/>
  <c r="G544" i="12"/>
  <c r="F544" i="12"/>
  <c r="J543" i="12"/>
  <c r="I543" i="12"/>
  <c r="H543" i="12"/>
  <c r="G543" i="12"/>
  <c r="F543" i="12"/>
  <c r="J542" i="12"/>
  <c r="I542" i="12"/>
  <c r="H542" i="12"/>
  <c r="G542" i="12"/>
  <c r="F542" i="12"/>
  <c r="J541" i="12"/>
  <c r="I541" i="12"/>
  <c r="H541" i="12"/>
  <c r="G541" i="12"/>
  <c r="F541" i="12"/>
  <c r="J540" i="12"/>
  <c r="I540" i="12"/>
  <c r="H540" i="12"/>
  <c r="G540" i="12"/>
  <c r="F540" i="12"/>
  <c r="J539" i="12"/>
  <c r="I539" i="12"/>
  <c r="H539" i="12"/>
  <c r="G539" i="12"/>
  <c r="F539" i="12"/>
  <c r="J538" i="12"/>
  <c r="I538" i="12"/>
  <c r="H538" i="12"/>
  <c r="G538" i="12"/>
  <c r="F538" i="12"/>
  <c r="J537" i="12"/>
  <c r="I537" i="12"/>
  <c r="H537" i="12"/>
  <c r="G537" i="12"/>
  <c r="F537" i="12"/>
  <c r="J536" i="12"/>
  <c r="I536" i="12"/>
  <c r="H536" i="12"/>
  <c r="G536" i="12"/>
  <c r="F536" i="12"/>
  <c r="J535" i="12"/>
  <c r="I535" i="12"/>
  <c r="H535" i="12"/>
  <c r="G535" i="12"/>
  <c r="F535" i="12"/>
  <c r="J534" i="12"/>
  <c r="I534" i="12"/>
  <c r="H534" i="12"/>
  <c r="G534" i="12"/>
  <c r="F534" i="12"/>
  <c r="J533" i="12"/>
  <c r="I533" i="12"/>
  <c r="H533" i="12"/>
  <c r="G533" i="12"/>
  <c r="F533" i="12"/>
  <c r="J532" i="12"/>
  <c r="I532" i="12"/>
  <c r="H532" i="12"/>
  <c r="G532" i="12"/>
  <c r="F532" i="12"/>
  <c r="J531" i="12"/>
  <c r="I531" i="12"/>
  <c r="H531" i="12"/>
  <c r="G531" i="12"/>
  <c r="F531" i="12"/>
  <c r="J530" i="12"/>
  <c r="I530" i="12"/>
  <c r="H530" i="12"/>
  <c r="G530" i="12"/>
  <c r="F530" i="12"/>
  <c r="J529" i="12"/>
  <c r="I529" i="12"/>
  <c r="H529" i="12"/>
  <c r="G529" i="12"/>
  <c r="F529" i="12"/>
  <c r="J528" i="12"/>
  <c r="I528" i="12"/>
  <c r="H528" i="12"/>
  <c r="G528" i="12"/>
  <c r="F528" i="12"/>
  <c r="J527" i="12"/>
  <c r="I527" i="12"/>
  <c r="H527" i="12"/>
  <c r="G527" i="12"/>
  <c r="F527" i="12"/>
  <c r="J526" i="12"/>
  <c r="I526" i="12"/>
  <c r="H526" i="12"/>
  <c r="G526" i="12"/>
  <c r="F526" i="12"/>
  <c r="J525" i="12"/>
  <c r="I525" i="12"/>
  <c r="H525" i="12"/>
  <c r="G525" i="12"/>
  <c r="F525" i="12"/>
  <c r="J524" i="12"/>
  <c r="I524" i="12"/>
  <c r="H524" i="12"/>
  <c r="G524" i="12"/>
  <c r="F524" i="12"/>
  <c r="J523" i="12"/>
  <c r="I523" i="12"/>
  <c r="H523" i="12"/>
  <c r="G523" i="12"/>
  <c r="F523" i="12"/>
  <c r="J522" i="12"/>
  <c r="I522" i="12"/>
  <c r="H522" i="12"/>
  <c r="G522" i="12"/>
  <c r="F522" i="12"/>
  <c r="J521" i="12"/>
  <c r="I521" i="12"/>
  <c r="H521" i="12"/>
  <c r="G521" i="12"/>
  <c r="F521" i="12"/>
  <c r="J520" i="12"/>
  <c r="I520" i="12"/>
  <c r="H520" i="12"/>
  <c r="G520" i="12"/>
  <c r="F520" i="12"/>
  <c r="J519" i="12"/>
  <c r="I519" i="12"/>
  <c r="H519" i="12"/>
  <c r="G519" i="12"/>
  <c r="F519" i="12"/>
  <c r="J518" i="12"/>
  <c r="I518" i="12"/>
  <c r="H518" i="12"/>
  <c r="G518" i="12"/>
  <c r="F518" i="12"/>
  <c r="J517" i="12"/>
  <c r="I517" i="12"/>
  <c r="H517" i="12"/>
  <c r="G517" i="12"/>
  <c r="F517" i="12"/>
  <c r="J516" i="12"/>
  <c r="I516" i="12"/>
  <c r="H516" i="12"/>
  <c r="G516" i="12"/>
  <c r="F516" i="12"/>
  <c r="J515" i="12"/>
  <c r="I515" i="12"/>
  <c r="H515" i="12"/>
  <c r="G515" i="12"/>
  <c r="F515" i="12"/>
  <c r="J514" i="12"/>
  <c r="I514" i="12"/>
  <c r="H514" i="12"/>
  <c r="G514" i="12"/>
  <c r="F514" i="12"/>
  <c r="J513" i="12"/>
  <c r="I513" i="12"/>
  <c r="H513" i="12"/>
  <c r="G513" i="12"/>
  <c r="F513" i="12"/>
  <c r="J512" i="12"/>
  <c r="I512" i="12"/>
  <c r="H512" i="12"/>
  <c r="G512" i="12"/>
  <c r="F512" i="12"/>
  <c r="J511" i="12"/>
  <c r="I511" i="12"/>
  <c r="H511" i="12"/>
  <c r="G511" i="12"/>
  <c r="F511" i="12"/>
  <c r="J510" i="12"/>
  <c r="I510" i="12"/>
  <c r="H510" i="12"/>
  <c r="G510" i="12"/>
  <c r="F510" i="12"/>
  <c r="J509" i="12"/>
  <c r="I509" i="12"/>
  <c r="H509" i="12"/>
  <c r="G509" i="12"/>
  <c r="F509" i="12"/>
  <c r="J508" i="12"/>
  <c r="I508" i="12"/>
  <c r="H508" i="12"/>
  <c r="G508" i="12"/>
  <c r="F508" i="12"/>
  <c r="J507" i="12"/>
  <c r="I507" i="12"/>
  <c r="H507" i="12"/>
  <c r="G507" i="12"/>
  <c r="F507" i="12"/>
  <c r="J506" i="12"/>
  <c r="I506" i="12"/>
  <c r="H506" i="12"/>
  <c r="G506" i="12"/>
  <c r="F506" i="12"/>
  <c r="J505" i="12"/>
  <c r="I505" i="12"/>
  <c r="H505" i="12"/>
  <c r="G505" i="12"/>
  <c r="F505" i="12"/>
  <c r="J504" i="12"/>
  <c r="I504" i="12"/>
  <c r="H504" i="12"/>
  <c r="G504" i="12"/>
  <c r="F504" i="12"/>
  <c r="J503" i="12"/>
  <c r="I503" i="12"/>
  <c r="H503" i="12"/>
  <c r="G503" i="12"/>
  <c r="F503" i="12"/>
  <c r="J502" i="12"/>
  <c r="I502" i="12"/>
  <c r="H502" i="12"/>
  <c r="G502" i="12"/>
  <c r="F502" i="12"/>
  <c r="J501" i="12"/>
  <c r="I501" i="12"/>
  <c r="H501" i="12"/>
  <c r="G501" i="12"/>
  <c r="F501" i="12"/>
  <c r="J500" i="12"/>
  <c r="I500" i="12"/>
  <c r="H500" i="12"/>
  <c r="G500" i="12"/>
  <c r="F500" i="12"/>
  <c r="J499" i="12"/>
  <c r="I499" i="12"/>
  <c r="H499" i="12"/>
  <c r="G499" i="12"/>
  <c r="F499" i="12"/>
  <c r="J498" i="12"/>
  <c r="I498" i="12"/>
  <c r="H498" i="12"/>
  <c r="G498" i="12"/>
  <c r="F498" i="12"/>
  <c r="J497" i="12"/>
  <c r="I497" i="12"/>
  <c r="H497" i="12"/>
  <c r="G497" i="12"/>
  <c r="F497" i="12"/>
  <c r="J496" i="12"/>
  <c r="I496" i="12"/>
  <c r="H496" i="12"/>
  <c r="G496" i="12"/>
  <c r="F496" i="12"/>
  <c r="J495" i="12"/>
  <c r="I495" i="12"/>
  <c r="H495" i="12"/>
  <c r="G495" i="12"/>
  <c r="F495" i="12"/>
  <c r="J494" i="12"/>
  <c r="I494" i="12"/>
  <c r="H494" i="12"/>
  <c r="G494" i="12"/>
  <c r="F494" i="12"/>
  <c r="J493" i="12"/>
  <c r="I493" i="12"/>
  <c r="H493" i="12"/>
  <c r="G493" i="12"/>
  <c r="F493" i="12"/>
  <c r="J492" i="12"/>
  <c r="I492" i="12"/>
  <c r="H492" i="12"/>
  <c r="G492" i="12"/>
  <c r="F492" i="12"/>
  <c r="J491" i="12"/>
  <c r="I491" i="12"/>
  <c r="H491" i="12"/>
  <c r="G491" i="12"/>
  <c r="F491" i="12"/>
  <c r="J490" i="12"/>
  <c r="I490" i="12"/>
  <c r="H490" i="12"/>
  <c r="G490" i="12"/>
  <c r="F490" i="12"/>
  <c r="J489" i="12"/>
  <c r="I489" i="12"/>
  <c r="H489" i="12"/>
  <c r="G489" i="12"/>
  <c r="F489" i="12"/>
  <c r="J488" i="12"/>
  <c r="I488" i="12"/>
  <c r="H488" i="12"/>
  <c r="G488" i="12"/>
  <c r="F488" i="12"/>
  <c r="J487" i="12"/>
  <c r="I487" i="12"/>
  <c r="H487" i="12"/>
  <c r="G487" i="12"/>
  <c r="F487" i="12"/>
  <c r="J486" i="12"/>
  <c r="I486" i="12"/>
  <c r="H486" i="12"/>
  <c r="G486" i="12"/>
  <c r="F486" i="12"/>
  <c r="J485" i="12"/>
  <c r="I485" i="12"/>
  <c r="H485" i="12"/>
  <c r="G485" i="12"/>
  <c r="F485" i="12"/>
  <c r="J484" i="12"/>
  <c r="I484" i="12"/>
  <c r="H484" i="12"/>
  <c r="G484" i="12"/>
  <c r="F484" i="12"/>
  <c r="J483" i="12"/>
  <c r="I483" i="12"/>
  <c r="H483" i="12"/>
  <c r="G483" i="12"/>
  <c r="F483" i="12"/>
  <c r="J482" i="12"/>
  <c r="I482" i="12"/>
  <c r="H482" i="12"/>
  <c r="G482" i="12"/>
  <c r="F482" i="12"/>
  <c r="J481" i="12"/>
  <c r="I481" i="12"/>
  <c r="H481" i="12"/>
  <c r="G481" i="12"/>
  <c r="F481" i="12"/>
  <c r="J480" i="12"/>
  <c r="I480" i="12"/>
  <c r="H480" i="12"/>
  <c r="G480" i="12"/>
  <c r="F480" i="12"/>
  <c r="J479" i="12"/>
  <c r="I479" i="12"/>
  <c r="H479" i="12"/>
  <c r="G479" i="12"/>
  <c r="F479" i="12"/>
  <c r="J478" i="12"/>
  <c r="I478" i="12"/>
  <c r="H478" i="12"/>
  <c r="G478" i="12"/>
  <c r="F478" i="12"/>
  <c r="J477" i="12"/>
  <c r="I477" i="12"/>
  <c r="H477" i="12"/>
  <c r="G477" i="12"/>
  <c r="F477" i="12"/>
  <c r="J476" i="12"/>
  <c r="I476" i="12"/>
  <c r="H476" i="12"/>
  <c r="G476" i="12"/>
  <c r="F476" i="12"/>
  <c r="J475" i="12"/>
  <c r="I475" i="12"/>
  <c r="H475" i="12"/>
  <c r="G475" i="12"/>
  <c r="F475" i="12"/>
  <c r="J474" i="12"/>
  <c r="I474" i="12"/>
  <c r="H474" i="12"/>
  <c r="G474" i="12"/>
  <c r="F474" i="12"/>
  <c r="J473" i="12"/>
  <c r="I473" i="12"/>
  <c r="H473" i="12"/>
  <c r="G473" i="12"/>
  <c r="F473" i="12"/>
  <c r="J472" i="12"/>
  <c r="I472" i="12"/>
  <c r="H472" i="12"/>
  <c r="G472" i="12"/>
  <c r="F472" i="12"/>
  <c r="J471" i="12"/>
  <c r="I471" i="12"/>
  <c r="H471" i="12"/>
  <c r="G471" i="12"/>
  <c r="F471" i="12"/>
  <c r="J470" i="12"/>
  <c r="I470" i="12"/>
  <c r="H470" i="12"/>
  <c r="G470" i="12"/>
  <c r="F470" i="12"/>
  <c r="J469" i="12"/>
  <c r="I469" i="12"/>
  <c r="H469" i="12"/>
  <c r="G469" i="12"/>
  <c r="F469" i="12"/>
  <c r="J468" i="12"/>
  <c r="I468" i="12"/>
  <c r="H468" i="12"/>
  <c r="G468" i="12"/>
  <c r="F468" i="12"/>
  <c r="J467" i="12"/>
  <c r="I467" i="12"/>
  <c r="H467" i="12"/>
  <c r="G467" i="12"/>
  <c r="F467" i="12"/>
  <c r="J466" i="12"/>
  <c r="I466" i="12"/>
  <c r="H466" i="12"/>
  <c r="G466" i="12"/>
  <c r="F466" i="12"/>
  <c r="J465" i="12"/>
  <c r="I465" i="12"/>
  <c r="H465" i="12"/>
  <c r="G465" i="12"/>
  <c r="F465" i="12"/>
  <c r="J464" i="12"/>
  <c r="I464" i="12"/>
  <c r="H464" i="12"/>
  <c r="G464" i="12"/>
  <c r="F464" i="12"/>
  <c r="J463" i="12"/>
  <c r="I463" i="12"/>
  <c r="H463" i="12"/>
  <c r="G463" i="12"/>
  <c r="F463" i="12"/>
  <c r="J462" i="12"/>
  <c r="I462" i="12"/>
  <c r="H462" i="12"/>
  <c r="G462" i="12"/>
  <c r="F462" i="12"/>
  <c r="J461" i="12"/>
  <c r="I461" i="12"/>
  <c r="H461" i="12"/>
  <c r="G461" i="12"/>
  <c r="F461" i="12"/>
  <c r="J460" i="12"/>
  <c r="I460" i="12"/>
  <c r="H460" i="12"/>
  <c r="G460" i="12"/>
  <c r="F460" i="12"/>
  <c r="J459" i="12"/>
  <c r="I459" i="12"/>
  <c r="H459" i="12"/>
  <c r="G459" i="12"/>
  <c r="F459" i="12"/>
  <c r="J458" i="12"/>
  <c r="I458" i="12"/>
  <c r="H458" i="12"/>
  <c r="G458" i="12"/>
  <c r="F458" i="12"/>
  <c r="J457" i="12"/>
  <c r="I457" i="12"/>
  <c r="H457" i="12"/>
  <c r="G457" i="12"/>
  <c r="F457" i="12"/>
  <c r="J456" i="12"/>
  <c r="I456" i="12"/>
  <c r="H456" i="12"/>
  <c r="G456" i="12"/>
  <c r="F456" i="12"/>
  <c r="J455" i="12"/>
  <c r="I455" i="12"/>
  <c r="H455" i="12"/>
  <c r="G455" i="12"/>
  <c r="F455" i="12"/>
  <c r="J454" i="12"/>
  <c r="I454" i="12"/>
  <c r="H454" i="12"/>
  <c r="G454" i="12"/>
  <c r="F454" i="12"/>
  <c r="J453" i="12"/>
  <c r="I453" i="12"/>
  <c r="H453" i="12"/>
  <c r="G453" i="12"/>
  <c r="F453" i="12"/>
  <c r="J452" i="12"/>
  <c r="I452" i="12"/>
  <c r="H452" i="12"/>
  <c r="G452" i="12"/>
  <c r="F452" i="12"/>
  <c r="J451" i="12"/>
  <c r="I451" i="12"/>
  <c r="H451" i="12"/>
  <c r="G451" i="12"/>
  <c r="F451" i="12"/>
  <c r="J450" i="12"/>
  <c r="I450" i="12"/>
  <c r="H450" i="12"/>
  <c r="G450" i="12"/>
  <c r="F450" i="12"/>
  <c r="J449" i="12"/>
  <c r="I449" i="12"/>
  <c r="H449" i="12"/>
  <c r="G449" i="12"/>
  <c r="F449" i="12"/>
  <c r="J448" i="12"/>
  <c r="I448" i="12"/>
  <c r="H448" i="12"/>
  <c r="G448" i="12"/>
  <c r="F448" i="12"/>
  <c r="J447" i="12"/>
  <c r="I447" i="12"/>
  <c r="H447" i="12"/>
  <c r="G447" i="12"/>
  <c r="F447" i="12"/>
  <c r="J446" i="12"/>
  <c r="I446" i="12"/>
  <c r="H446" i="12"/>
  <c r="G446" i="12"/>
  <c r="F446" i="12"/>
  <c r="J445" i="12"/>
  <c r="I445" i="12"/>
  <c r="H445" i="12"/>
  <c r="G445" i="12"/>
  <c r="F445" i="12"/>
  <c r="J444" i="12"/>
  <c r="I444" i="12"/>
  <c r="H444" i="12"/>
  <c r="G444" i="12"/>
  <c r="F444" i="12"/>
  <c r="J443" i="12"/>
  <c r="I443" i="12"/>
  <c r="H443" i="12"/>
  <c r="G443" i="12"/>
  <c r="F443" i="12"/>
  <c r="J442" i="12"/>
  <c r="I442" i="12"/>
  <c r="H442" i="12"/>
  <c r="G442" i="12"/>
  <c r="F442" i="12"/>
  <c r="J441" i="12"/>
  <c r="I441" i="12"/>
  <c r="H441" i="12"/>
  <c r="G441" i="12"/>
  <c r="F441" i="12"/>
  <c r="J440" i="12"/>
  <c r="I440" i="12"/>
  <c r="H440" i="12"/>
  <c r="G440" i="12"/>
  <c r="F440" i="12"/>
  <c r="J439" i="12"/>
  <c r="I439" i="12"/>
  <c r="H439" i="12"/>
  <c r="G439" i="12"/>
  <c r="F439" i="12"/>
  <c r="J438" i="12"/>
  <c r="I438" i="12"/>
  <c r="H438" i="12"/>
  <c r="G438" i="12"/>
  <c r="F438" i="12"/>
  <c r="J437" i="12"/>
  <c r="I437" i="12"/>
  <c r="H437" i="12"/>
  <c r="G437" i="12"/>
  <c r="F437" i="12"/>
  <c r="J436" i="12"/>
  <c r="I436" i="12"/>
  <c r="H436" i="12"/>
  <c r="G436" i="12"/>
  <c r="F436" i="12"/>
  <c r="J435" i="12"/>
  <c r="I435" i="12"/>
  <c r="H435" i="12"/>
  <c r="G435" i="12"/>
  <c r="F435" i="12"/>
  <c r="J434" i="12"/>
  <c r="I434" i="12"/>
  <c r="H434" i="12"/>
  <c r="G434" i="12"/>
  <c r="F434" i="12"/>
  <c r="J433" i="12"/>
  <c r="I433" i="12"/>
  <c r="H433" i="12"/>
  <c r="G433" i="12"/>
  <c r="F433" i="12"/>
  <c r="J432" i="12"/>
  <c r="I432" i="12"/>
  <c r="H432" i="12"/>
  <c r="G432" i="12"/>
  <c r="F432" i="12"/>
  <c r="J431" i="12"/>
  <c r="I431" i="12"/>
  <c r="H431" i="12"/>
  <c r="G431" i="12"/>
  <c r="F431" i="12"/>
  <c r="J430" i="12"/>
  <c r="I430" i="12"/>
  <c r="H430" i="12"/>
  <c r="G430" i="12"/>
  <c r="F430" i="12"/>
  <c r="J429" i="12"/>
  <c r="I429" i="12"/>
  <c r="H429" i="12"/>
  <c r="G429" i="12"/>
  <c r="F429" i="12"/>
  <c r="J428" i="12"/>
  <c r="I428" i="12"/>
  <c r="H428" i="12"/>
  <c r="G428" i="12"/>
  <c r="F428" i="12"/>
  <c r="J427" i="12"/>
  <c r="I427" i="12"/>
  <c r="H427" i="12"/>
  <c r="G427" i="12"/>
  <c r="F427" i="12"/>
  <c r="J426" i="12"/>
  <c r="I426" i="12"/>
  <c r="H426" i="12"/>
  <c r="G426" i="12"/>
  <c r="F426" i="12"/>
  <c r="J425" i="12"/>
  <c r="I425" i="12"/>
  <c r="H425" i="12"/>
  <c r="G425" i="12"/>
  <c r="F425" i="12"/>
  <c r="J424" i="12"/>
  <c r="I424" i="12"/>
  <c r="H424" i="12"/>
  <c r="G424" i="12"/>
  <c r="F424" i="12"/>
  <c r="J423" i="12"/>
  <c r="I423" i="12"/>
  <c r="H423" i="12"/>
  <c r="G423" i="12"/>
  <c r="F423" i="12"/>
  <c r="J422" i="12"/>
  <c r="I422" i="12"/>
  <c r="H422" i="12"/>
  <c r="G422" i="12"/>
  <c r="F422" i="12"/>
  <c r="J421" i="12"/>
  <c r="I421" i="12"/>
  <c r="H421" i="12"/>
  <c r="G421" i="12"/>
  <c r="F421" i="12"/>
  <c r="J420" i="12"/>
  <c r="I420" i="12"/>
  <c r="H420" i="12"/>
  <c r="G420" i="12"/>
  <c r="F420" i="12"/>
  <c r="J419" i="12"/>
  <c r="I419" i="12"/>
  <c r="H419" i="12"/>
  <c r="G419" i="12"/>
  <c r="F419" i="12"/>
  <c r="J418" i="12"/>
  <c r="I418" i="12"/>
  <c r="H418" i="12"/>
  <c r="G418" i="12"/>
  <c r="F418" i="12"/>
  <c r="J417" i="12"/>
  <c r="I417" i="12"/>
  <c r="H417" i="12"/>
  <c r="G417" i="12"/>
  <c r="F417" i="12"/>
  <c r="J416" i="12"/>
  <c r="I416" i="12"/>
  <c r="H416" i="12"/>
  <c r="G416" i="12"/>
  <c r="F416" i="12"/>
  <c r="J415" i="12"/>
  <c r="I415" i="12"/>
  <c r="H415" i="12"/>
  <c r="G415" i="12"/>
  <c r="F415" i="12"/>
  <c r="J414" i="12"/>
  <c r="I414" i="12"/>
  <c r="H414" i="12"/>
  <c r="G414" i="12"/>
  <c r="F414" i="12"/>
  <c r="J413" i="12"/>
  <c r="I413" i="12"/>
  <c r="H413" i="12"/>
  <c r="G413" i="12"/>
  <c r="F413" i="12"/>
  <c r="J412" i="12"/>
  <c r="I412" i="12"/>
  <c r="H412" i="12"/>
  <c r="G412" i="12"/>
  <c r="F412" i="12"/>
  <c r="J411" i="12"/>
  <c r="I411" i="12"/>
  <c r="H411" i="12"/>
  <c r="G411" i="12"/>
  <c r="F411" i="12"/>
  <c r="J410" i="12"/>
  <c r="I410" i="12"/>
  <c r="H410" i="12"/>
  <c r="G410" i="12"/>
  <c r="F410" i="12"/>
  <c r="J409" i="12"/>
  <c r="I409" i="12"/>
  <c r="H409" i="12"/>
  <c r="G409" i="12"/>
  <c r="F409" i="12"/>
  <c r="J408" i="12"/>
  <c r="I408" i="12"/>
  <c r="H408" i="12"/>
  <c r="G408" i="12"/>
  <c r="F408" i="12"/>
  <c r="J407" i="12"/>
  <c r="I407" i="12"/>
  <c r="H407" i="12"/>
  <c r="G407" i="12"/>
  <c r="F407" i="12"/>
  <c r="J406" i="12"/>
  <c r="I406" i="12"/>
  <c r="H406" i="12"/>
  <c r="G406" i="12"/>
  <c r="F406" i="12"/>
  <c r="J405" i="12"/>
  <c r="I405" i="12"/>
  <c r="H405" i="12"/>
  <c r="G405" i="12"/>
  <c r="F405" i="12"/>
  <c r="J404" i="12"/>
  <c r="I404" i="12"/>
  <c r="H404" i="12"/>
  <c r="G404" i="12"/>
  <c r="F404" i="12"/>
  <c r="J403" i="12"/>
  <c r="I403" i="12"/>
  <c r="H403" i="12"/>
  <c r="G403" i="12"/>
  <c r="F403" i="12"/>
  <c r="J402" i="12"/>
  <c r="I402" i="12"/>
  <c r="H402" i="12"/>
  <c r="G402" i="12"/>
  <c r="F402" i="12"/>
  <c r="J401" i="12"/>
  <c r="I401" i="12"/>
  <c r="H401" i="12"/>
  <c r="G401" i="12"/>
  <c r="F401" i="12"/>
  <c r="J400" i="12"/>
  <c r="I400" i="12"/>
  <c r="H400" i="12"/>
  <c r="G400" i="12"/>
  <c r="F400" i="12"/>
  <c r="J399" i="12"/>
  <c r="I399" i="12"/>
  <c r="H399" i="12"/>
  <c r="G399" i="12"/>
  <c r="F399" i="12"/>
  <c r="J398" i="12"/>
  <c r="I398" i="12"/>
  <c r="H398" i="12"/>
  <c r="G398" i="12"/>
  <c r="F398" i="12"/>
  <c r="J397" i="12"/>
  <c r="I397" i="12"/>
  <c r="H397" i="12"/>
  <c r="G397" i="12"/>
  <c r="F397" i="12"/>
  <c r="J396" i="12"/>
  <c r="I396" i="12"/>
  <c r="H396" i="12"/>
  <c r="G396" i="12"/>
  <c r="F396" i="12"/>
  <c r="J395" i="12"/>
  <c r="I395" i="12"/>
  <c r="H395" i="12"/>
  <c r="G395" i="12"/>
  <c r="F395" i="12"/>
  <c r="J394" i="12"/>
  <c r="I394" i="12"/>
  <c r="H394" i="12"/>
  <c r="G394" i="12"/>
  <c r="F394" i="12"/>
  <c r="J393" i="12"/>
  <c r="I393" i="12"/>
  <c r="H393" i="12"/>
  <c r="G393" i="12"/>
  <c r="F393" i="12"/>
  <c r="J392" i="12"/>
  <c r="I392" i="12"/>
  <c r="H392" i="12"/>
  <c r="G392" i="12"/>
  <c r="F392" i="12"/>
  <c r="J391" i="12"/>
  <c r="I391" i="12"/>
  <c r="H391" i="12"/>
  <c r="G391" i="12"/>
  <c r="F391" i="12"/>
  <c r="J390" i="12"/>
  <c r="I390" i="12"/>
  <c r="H390" i="12"/>
  <c r="G390" i="12"/>
  <c r="F390" i="12"/>
  <c r="J389" i="12"/>
  <c r="I389" i="12"/>
  <c r="H389" i="12"/>
  <c r="G389" i="12"/>
  <c r="F389" i="12"/>
  <c r="J388" i="12"/>
  <c r="I388" i="12"/>
  <c r="H388" i="12"/>
  <c r="G388" i="12"/>
  <c r="F388" i="12"/>
  <c r="J387" i="12"/>
  <c r="I387" i="12"/>
  <c r="H387" i="12"/>
  <c r="G387" i="12"/>
  <c r="F387" i="12"/>
  <c r="J386" i="12"/>
  <c r="I386" i="12"/>
  <c r="H386" i="12"/>
  <c r="G386" i="12"/>
  <c r="F386" i="12"/>
  <c r="J385" i="12"/>
  <c r="I385" i="12"/>
  <c r="H385" i="12"/>
  <c r="G385" i="12"/>
  <c r="F385" i="12"/>
  <c r="J384" i="12"/>
  <c r="I384" i="12"/>
  <c r="H384" i="12"/>
  <c r="G384" i="12"/>
  <c r="F384" i="12"/>
  <c r="J383" i="12"/>
  <c r="I383" i="12"/>
  <c r="H383" i="12"/>
  <c r="G383" i="12"/>
  <c r="F383" i="12"/>
  <c r="J382" i="12"/>
  <c r="I382" i="12"/>
  <c r="H382" i="12"/>
  <c r="G382" i="12"/>
  <c r="F382" i="12"/>
  <c r="J381" i="12"/>
  <c r="I381" i="12"/>
  <c r="H381" i="12"/>
  <c r="G381" i="12"/>
  <c r="F381" i="12"/>
  <c r="J380" i="12"/>
  <c r="I380" i="12"/>
  <c r="H380" i="12"/>
  <c r="G380" i="12"/>
  <c r="F380" i="12"/>
  <c r="J379" i="12"/>
  <c r="I379" i="12"/>
  <c r="H379" i="12"/>
  <c r="G379" i="12"/>
  <c r="F379" i="12"/>
  <c r="J378" i="12"/>
  <c r="I378" i="12"/>
  <c r="H378" i="12"/>
  <c r="G378" i="12"/>
  <c r="F378" i="12"/>
  <c r="J377" i="12"/>
  <c r="I377" i="12"/>
  <c r="H377" i="12"/>
  <c r="G377" i="12"/>
  <c r="F377" i="12"/>
  <c r="J376" i="12"/>
  <c r="I376" i="12"/>
  <c r="H376" i="12"/>
  <c r="G376" i="12"/>
  <c r="F376" i="12"/>
  <c r="J375" i="12"/>
  <c r="I375" i="12"/>
  <c r="H375" i="12"/>
  <c r="G375" i="12"/>
  <c r="F375" i="12"/>
  <c r="J374" i="12"/>
  <c r="I374" i="12"/>
  <c r="H374" i="12"/>
  <c r="G374" i="12"/>
  <c r="F374" i="12"/>
  <c r="J373" i="12"/>
  <c r="I373" i="12"/>
  <c r="H373" i="12"/>
  <c r="G373" i="12"/>
  <c r="F373" i="12"/>
  <c r="J372" i="12"/>
  <c r="I372" i="12"/>
  <c r="H372" i="12"/>
  <c r="G372" i="12"/>
  <c r="F372" i="12"/>
  <c r="J371" i="12"/>
  <c r="I371" i="12"/>
  <c r="H371" i="12"/>
  <c r="G371" i="12"/>
  <c r="F371" i="12"/>
  <c r="J370" i="12"/>
  <c r="I370" i="12"/>
  <c r="H370" i="12"/>
  <c r="G370" i="12"/>
  <c r="F370" i="12"/>
  <c r="J369" i="12"/>
  <c r="I369" i="12"/>
  <c r="H369" i="12"/>
  <c r="G369" i="12"/>
  <c r="F369" i="12"/>
  <c r="J368" i="12"/>
  <c r="I368" i="12"/>
  <c r="H368" i="12"/>
  <c r="G368" i="12"/>
  <c r="F368" i="12"/>
  <c r="J367" i="12"/>
  <c r="I367" i="12"/>
  <c r="H367" i="12"/>
  <c r="G367" i="12"/>
  <c r="F367" i="12"/>
  <c r="J366" i="12"/>
  <c r="I366" i="12"/>
  <c r="H366" i="12"/>
  <c r="G366" i="12"/>
  <c r="F366" i="12"/>
  <c r="J365" i="12"/>
  <c r="I365" i="12"/>
  <c r="H365" i="12"/>
  <c r="G365" i="12"/>
  <c r="F365" i="12"/>
  <c r="J364" i="12"/>
  <c r="I364" i="12"/>
  <c r="H364" i="12"/>
  <c r="G364" i="12"/>
  <c r="F364" i="12"/>
  <c r="J363" i="12"/>
  <c r="I363" i="12"/>
  <c r="H363" i="12"/>
  <c r="G363" i="12"/>
  <c r="F363" i="12"/>
  <c r="J362" i="12"/>
  <c r="I362" i="12"/>
  <c r="H362" i="12"/>
  <c r="G362" i="12"/>
  <c r="F362" i="12"/>
  <c r="J361" i="12"/>
  <c r="I361" i="12"/>
  <c r="H361" i="12"/>
  <c r="G361" i="12"/>
  <c r="F361" i="12"/>
  <c r="J360" i="12"/>
  <c r="I360" i="12"/>
  <c r="H360" i="12"/>
  <c r="G360" i="12"/>
  <c r="F360" i="12"/>
  <c r="J359" i="12"/>
  <c r="I359" i="12"/>
  <c r="H359" i="12"/>
  <c r="G359" i="12"/>
  <c r="F359" i="12"/>
  <c r="J358" i="12"/>
  <c r="I358" i="12"/>
  <c r="H358" i="12"/>
  <c r="G358" i="12"/>
  <c r="F358" i="12"/>
  <c r="J357" i="12"/>
  <c r="I357" i="12"/>
  <c r="H357" i="12"/>
  <c r="G357" i="12"/>
  <c r="F357" i="12"/>
  <c r="J356" i="12"/>
  <c r="I356" i="12"/>
  <c r="H356" i="12"/>
  <c r="G356" i="12"/>
  <c r="F356" i="12"/>
  <c r="J355" i="12"/>
  <c r="I355" i="12"/>
  <c r="H355" i="12"/>
  <c r="G355" i="12"/>
  <c r="F355" i="12"/>
  <c r="J354" i="12"/>
  <c r="I354" i="12"/>
  <c r="H354" i="12"/>
  <c r="G354" i="12"/>
  <c r="F354" i="12"/>
  <c r="J353" i="12"/>
  <c r="I353" i="12"/>
  <c r="H353" i="12"/>
  <c r="G353" i="12"/>
  <c r="F353" i="12"/>
  <c r="J352" i="12"/>
  <c r="I352" i="12"/>
  <c r="H352" i="12"/>
  <c r="G352" i="12"/>
  <c r="F352" i="12"/>
  <c r="J351" i="12"/>
  <c r="I351" i="12"/>
  <c r="H351" i="12"/>
  <c r="G351" i="12"/>
  <c r="F351" i="12"/>
  <c r="J350" i="12"/>
  <c r="I350" i="12"/>
  <c r="H350" i="12"/>
  <c r="G350" i="12"/>
  <c r="F350" i="12"/>
  <c r="J349" i="12"/>
  <c r="I349" i="12"/>
  <c r="H349" i="12"/>
  <c r="G349" i="12"/>
  <c r="F349" i="12"/>
  <c r="J348" i="12"/>
  <c r="I348" i="12"/>
  <c r="H348" i="12"/>
  <c r="G348" i="12"/>
  <c r="F348" i="12"/>
  <c r="J347" i="12"/>
  <c r="I347" i="12"/>
  <c r="H347" i="12"/>
  <c r="G347" i="12"/>
  <c r="F347" i="12"/>
  <c r="J346" i="12"/>
  <c r="I346" i="12"/>
  <c r="H346" i="12"/>
  <c r="G346" i="12"/>
  <c r="F346" i="12"/>
  <c r="J345" i="12"/>
  <c r="I345" i="12"/>
  <c r="H345" i="12"/>
  <c r="G345" i="12"/>
  <c r="F345" i="12"/>
  <c r="J344" i="12"/>
  <c r="I344" i="12"/>
  <c r="H344" i="12"/>
  <c r="G344" i="12"/>
  <c r="F344" i="12"/>
  <c r="J343" i="12"/>
  <c r="I343" i="12"/>
  <c r="H343" i="12"/>
  <c r="G343" i="12"/>
  <c r="F343" i="12"/>
  <c r="J342" i="12"/>
  <c r="I342" i="12"/>
  <c r="H342" i="12"/>
  <c r="G342" i="12"/>
  <c r="F342" i="12"/>
  <c r="J341" i="12"/>
  <c r="I341" i="12"/>
  <c r="H341" i="12"/>
  <c r="G341" i="12"/>
  <c r="F341" i="12"/>
  <c r="J340" i="12"/>
  <c r="I340" i="12"/>
  <c r="H340" i="12"/>
  <c r="G340" i="12"/>
  <c r="F340" i="12"/>
  <c r="J339" i="12"/>
  <c r="I339" i="12"/>
  <c r="H339" i="12"/>
  <c r="G339" i="12"/>
  <c r="F339" i="12"/>
  <c r="J338" i="12"/>
  <c r="I338" i="12"/>
  <c r="H338" i="12"/>
  <c r="G338" i="12"/>
  <c r="F338" i="12"/>
  <c r="J337" i="12"/>
  <c r="I337" i="12"/>
  <c r="H337" i="12"/>
  <c r="G337" i="12"/>
  <c r="F337" i="12"/>
  <c r="J336" i="12"/>
  <c r="I336" i="12"/>
  <c r="H336" i="12"/>
  <c r="G336" i="12"/>
  <c r="F336" i="12"/>
  <c r="J335" i="12"/>
  <c r="I335" i="12"/>
  <c r="H335" i="12"/>
  <c r="G335" i="12"/>
  <c r="F335" i="12"/>
  <c r="J334" i="12"/>
  <c r="I334" i="12"/>
  <c r="H334" i="12"/>
  <c r="G334" i="12"/>
  <c r="F334" i="12"/>
  <c r="J333" i="12"/>
  <c r="I333" i="12"/>
  <c r="H333" i="12"/>
  <c r="G333" i="12"/>
  <c r="F333" i="12"/>
  <c r="J332" i="12"/>
  <c r="I332" i="12"/>
  <c r="H332" i="12"/>
  <c r="G332" i="12"/>
  <c r="F332" i="12"/>
  <c r="J331" i="12"/>
  <c r="I331" i="12"/>
  <c r="H331" i="12"/>
  <c r="G331" i="12"/>
  <c r="F331" i="12"/>
  <c r="J330" i="12"/>
  <c r="I330" i="12"/>
  <c r="H330" i="12"/>
  <c r="G330" i="12"/>
  <c r="F330" i="12"/>
  <c r="J329" i="12"/>
  <c r="I329" i="12"/>
  <c r="H329" i="12"/>
  <c r="G329" i="12"/>
  <c r="F329" i="12"/>
  <c r="J328" i="12"/>
  <c r="I328" i="12"/>
  <c r="H328" i="12"/>
  <c r="G328" i="12"/>
  <c r="F328" i="12"/>
  <c r="J327" i="12"/>
  <c r="I327" i="12"/>
  <c r="H327" i="12"/>
  <c r="G327" i="12"/>
  <c r="F327" i="12"/>
  <c r="J326" i="12"/>
  <c r="I326" i="12"/>
  <c r="H326" i="12"/>
  <c r="G326" i="12"/>
  <c r="F326" i="12"/>
  <c r="J325" i="12"/>
  <c r="I325" i="12"/>
  <c r="H325" i="12"/>
  <c r="G325" i="12"/>
  <c r="F325" i="12"/>
  <c r="J324" i="12"/>
  <c r="I324" i="12"/>
  <c r="H324" i="12"/>
  <c r="G324" i="12"/>
  <c r="F324" i="12"/>
  <c r="J323" i="12"/>
  <c r="I323" i="12"/>
  <c r="H323" i="12"/>
  <c r="G323" i="12"/>
  <c r="F323" i="12"/>
  <c r="J322" i="12"/>
  <c r="I322" i="12"/>
  <c r="H322" i="12"/>
  <c r="G322" i="12"/>
  <c r="F322" i="12"/>
  <c r="J321" i="12"/>
  <c r="I321" i="12"/>
  <c r="H321" i="12"/>
  <c r="G321" i="12"/>
  <c r="F321" i="12"/>
  <c r="J320" i="12"/>
  <c r="I320" i="12"/>
  <c r="H320" i="12"/>
  <c r="G320" i="12"/>
  <c r="F320" i="12"/>
  <c r="J319" i="12"/>
  <c r="I319" i="12"/>
  <c r="H319" i="12"/>
  <c r="G319" i="12"/>
  <c r="F319" i="12"/>
  <c r="J318" i="12"/>
  <c r="I318" i="12"/>
  <c r="H318" i="12"/>
  <c r="G318" i="12"/>
  <c r="F318" i="12"/>
  <c r="J317" i="12"/>
  <c r="I317" i="12"/>
  <c r="H317" i="12"/>
  <c r="G317" i="12"/>
  <c r="F317" i="12"/>
  <c r="J316" i="12"/>
  <c r="I316" i="12"/>
  <c r="H316" i="12"/>
  <c r="G316" i="12"/>
  <c r="F316" i="12"/>
  <c r="J315" i="12"/>
  <c r="I315" i="12"/>
  <c r="H315" i="12"/>
  <c r="G315" i="12"/>
  <c r="F315" i="12"/>
  <c r="J314" i="12"/>
  <c r="I314" i="12"/>
  <c r="H314" i="12"/>
  <c r="G314" i="12"/>
  <c r="F314" i="12"/>
  <c r="J313" i="12"/>
  <c r="I313" i="12"/>
  <c r="H313" i="12"/>
  <c r="G313" i="12"/>
  <c r="F313" i="12"/>
  <c r="J312" i="12"/>
  <c r="I312" i="12"/>
  <c r="H312" i="12"/>
  <c r="G312" i="12"/>
  <c r="F312" i="12"/>
  <c r="J311" i="12"/>
  <c r="I311" i="12"/>
  <c r="H311" i="12"/>
  <c r="G311" i="12"/>
  <c r="F311" i="12"/>
  <c r="J310" i="12"/>
  <c r="I310" i="12"/>
  <c r="H310" i="12"/>
  <c r="G310" i="12"/>
  <c r="F310" i="12"/>
  <c r="J309" i="12"/>
  <c r="I309" i="12"/>
  <c r="H309" i="12"/>
  <c r="G309" i="12"/>
  <c r="F309" i="12"/>
  <c r="J308" i="12"/>
  <c r="I308" i="12"/>
  <c r="H308" i="12"/>
  <c r="G308" i="12"/>
  <c r="F308" i="12"/>
  <c r="J307" i="12"/>
  <c r="I307" i="12"/>
  <c r="H307" i="12"/>
  <c r="G307" i="12"/>
  <c r="F307" i="12"/>
  <c r="J306" i="12"/>
  <c r="I306" i="12"/>
  <c r="H306" i="12"/>
  <c r="G306" i="12"/>
  <c r="F306" i="12"/>
  <c r="J305" i="12"/>
  <c r="I305" i="12"/>
  <c r="H305" i="12"/>
  <c r="G305" i="12"/>
  <c r="F305" i="12"/>
  <c r="J304" i="12"/>
  <c r="I304" i="12"/>
  <c r="H304" i="12"/>
  <c r="G304" i="12"/>
  <c r="F304" i="12"/>
  <c r="J303" i="12"/>
  <c r="I303" i="12"/>
  <c r="H303" i="12"/>
  <c r="G303" i="12"/>
  <c r="F303" i="12"/>
  <c r="J302" i="12"/>
  <c r="I302" i="12"/>
  <c r="H302" i="12"/>
  <c r="G302" i="12"/>
  <c r="F302" i="12"/>
  <c r="J301" i="12"/>
  <c r="I301" i="12"/>
  <c r="H301" i="12"/>
  <c r="G301" i="12"/>
  <c r="F301" i="12"/>
  <c r="J300" i="12"/>
  <c r="I300" i="12"/>
  <c r="H300" i="12"/>
  <c r="G300" i="12"/>
  <c r="F300" i="12"/>
  <c r="J299" i="12"/>
  <c r="I299" i="12"/>
  <c r="H299" i="12"/>
  <c r="G299" i="12"/>
  <c r="F299" i="12"/>
  <c r="J298" i="12"/>
  <c r="I298" i="12"/>
  <c r="H298" i="12"/>
  <c r="G298" i="12"/>
  <c r="F298" i="12"/>
  <c r="J297" i="12"/>
  <c r="I297" i="12"/>
  <c r="H297" i="12"/>
  <c r="G297" i="12"/>
  <c r="F297" i="12"/>
  <c r="J296" i="12"/>
  <c r="I296" i="12"/>
  <c r="H296" i="12"/>
  <c r="G296" i="12"/>
  <c r="F296" i="12"/>
  <c r="J295" i="12"/>
  <c r="I295" i="12"/>
  <c r="H295" i="12"/>
  <c r="G295" i="12"/>
  <c r="F295" i="12"/>
  <c r="J294" i="12"/>
  <c r="I294" i="12"/>
  <c r="H294" i="12"/>
  <c r="G294" i="12"/>
  <c r="F294" i="12"/>
  <c r="J293" i="12"/>
  <c r="I293" i="12"/>
  <c r="H293" i="12"/>
  <c r="G293" i="12"/>
  <c r="F293" i="12"/>
  <c r="J292" i="12"/>
  <c r="I292" i="12"/>
  <c r="H292" i="12"/>
  <c r="G292" i="12"/>
  <c r="F292" i="12"/>
  <c r="J291" i="12"/>
  <c r="I291" i="12"/>
  <c r="H291" i="12"/>
  <c r="G291" i="12"/>
  <c r="F291" i="12"/>
  <c r="J290" i="12"/>
  <c r="I290" i="12"/>
  <c r="H290" i="12"/>
  <c r="G290" i="12"/>
  <c r="F290" i="12"/>
  <c r="J289" i="12"/>
  <c r="I289" i="12"/>
  <c r="H289" i="12"/>
  <c r="G289" i="12"/>
  <c r="F289" i="12"/>
  <c r="J288" i="12"/>
  <c r="I288" i="12"/>
  <c r="H288" i="12"/>
  <c r="G288" i="12"/>
  <c r="F288" i="12"/>
  <c r="J287" i="12"/>
  <c r="I287" i="12"/>
  <c r="H287" i="12"/>
  <c r="G287" i="12"/>
  <c r="F287" i="12"/>
  <c r="J286" i="12"/>
  <c r="I286" i="12"/>
  <c r="H286" i="12"/>
  <c r="G286" i="12"/>
  <c r="F286" i="12"/>
  <c r="J285" i="12"/>
  <c r="I285" i="12"/>
  <c r="H285" i="12"/>
  <c r="G285" i="12"/>
  <c r="F285" i="12"/>
  <c r="J284" i="12"/>
  <c r="I284" i="12"/>
  <c r="H284" i="12"/>
  <c r="G284" i="12"/>
  <c r="F284" i="12"/>
  <c r="J283" i="12"/>
  <c r="I283" i="12"/>
  <c r="H283" i="12"/>
  <c r="G283" i="12"/>
  <c r="F283" i="12"/>
  <c r="J282" i="12"/>
  <c r="I282" i="12"/>
  <c r="H282" i="12"/>
  <c r="G282" i="12"/>
  <c r="F282" i="12"/>
  <c r="J281" i="12"/>
  <c r="I281" i="12"/>
  <c r="H281" i="12"/>
  <c r="G281" i="12"/>
  <c r="F281" i="12"/>
  <c r="J280" i="12"/>
  <c r="I280" i="12"/>
  <c r="H280" i="12"/>
  <c r="G280" i="12"/>
  <c r="F280" i="12"/>
  <c r="J279" i="12"/>
  <c r="I279" i="12"/>
  <c r="H279" i="12"/>
  <c r="G279" i="12"/>
  <c r="F279" i="12"/>
  <c r="J278" i="12"/>
  <c r="I278" i="12"/>
  <c r="H278" i="12"/>
  <c r="G278" i="12"/>
  <c r="F278" i="12"/>
  <c r="J277" i="12"/>
  <c r="I277" i="12"/>
  <c r="H277" i="12"/>
  <c r="G277" i="12"/>
  <c r="F277" i="12"/>
  <c r="J276" i="12"/>
  <c r="I276" i="12"/>
  <c r="H276" i="12"/>
  <c r="G276" i="12"/>
  <c r="F276" i="12"/>
  <c r="J275" i="12"/>
  <c r="I275" i="12"/>
  <c r="H275" i="12"/>
  <c r="G275" i="12"/>
  <c r="F275" i="12"/>
  <c r="J274" i="12"/>
  <c r="I274" i="12"/>
  <c r="H274" i="12"/>
  <c r="G274" i="12"/>
  <c r="F274" i="12"/>
  <c r="J273" i="12"/>
  <c r="I273" i="12"/>
  <c r="H273" i="12"/>
  <c r="G273" i="12"/>
  <c r="F273" i="12"/>
  <c r="J272" i="12"/>
  <c r="I272" i="12"/>
  <c r="H272" i="12"/>
  <c r="G272" i="12"/>
  <c r="F272" i="12"/>
  <c r="J271" i="12"/>
  <c r="I271" i="12"/>
  <c r="H271" i="12"/>
  <c r="G271" i="12"/>
  <c r="F271" i="12"/>
  <c r="J270" i="12"/>
  <c r="I270" i="12"/>
  <c r="H270" i="12"/>
  <c r="G270" i="12"/>
  <c r="F270" i="12"/>
  <c r="J269" i="12"/>
  <c r="I269" i="12"/>
  <c r="H269" i="12"/>
  <c r="G269" i="12"/>
  <c r="F269" i="12"/>
  <c r="J268" i="12"/>
  <c r="I268" i="12"/>
  <c r="H268" i="12"/>
  <c r="G268" i="12"/>
  <c r="F268" i="12"/>
  <c r="J267" i="12"/>
  <c r="I267" i="12"/>
  <c r="H267" i="12"/>
  <c r="G267" i="12"/>
  <c r="F267" i="12"/>
  <c r="J266" i="12"/>
  <c r="I266" i="12"/>
  <c r="H266" i="12"/>
  <c r="G266" i="12"/>
  <c r="F266" i="12"/>
  <c r="J265" i="12"/>
  <c r="I265" i="12"/>
  <c r="H265" i="12"/>
  <c r="G265" i="12"/>
  <c r="F265" i="12"/>
  <c r="J264" i="12"/>
  <c r="I264" i="12"/>
  <c r="H264" i="12"/>
  <c r="G264" i="12"/>
  <c r="F264" i="12"/>
  <c r="J263" i="12"/>
  <c r="I263" i="12"/>
  <c r="H263" i="12"/>
  <c r="G263" i="12"/>
  <c r="F263" i="12"/>
  <c r="J262" i="12"/>
  <c r="I262" i="12"/>
  <c r="H262" i="12"/>
  <c r="G262" i="12"/>
  <c r="F262" i="12"/>
  <c r="J261" i="12"/>
  <c r="I261" i="12"/>
  <c r="H261" i="12"/>
  <c r="G261" i="12"/>
  <c r="F261" i="12"/>
  <c r="J260" i="12"/>
  <c r="I260" i="12"/>
  <c r="H260" i="12"/>
  <c r="G260" i="12"/>
  <c r="F260" i="12"/>
  <c r="J259" i="12"/>
  <c r="I259" i="12"/>
  <c r="H259" i="12"/>
  <c r="G259" i="12"/>
  <c r="F259" i="12"/>
  <c r="J258" i="12"/>
  <c r="I258" i="12"/>
  <c r="H258" i="12"/>
  <c r="G258" i="12"/>
  <c r="F258" i="12"/>
  <c r="J257" i="12"/>
  <c r="I257" i="12"/>
  <c r="H257" i="12"/>
  <c r="G257" i="12"/>
  <c r="F257" i="12"/>
  <c r="J256" i="12"/>
  <c r="I256" i="12"/>
  <c r="H256" i="12"/>
  <c r="G256" i="12"/>
  <c r="F256" i="12"/>
  <c r="J255" i="12"/>
  <c r="I255" i="12"/>
  <c r="H255" i="12"/>
  <c r="G255" i="12"/>
  <c r="F255" i="12"/>
  <c r="J254" i="12"/>
  <c r="I254" i="12"/>
  <c r="H254" i="12"/>
  <c r="G254" i="12"/>
  <c r="F254" i="12"/>
  <c r="J253" i="12"/>
  <c r="I253" i="12"/>
  <c r="H253" i="12"/>
  <c r="G253" i="12"/>
  <c r="F253" i="12"/>
  <c r="J252" i="12"/>
  <c r="I252" i="12"/>
  <c r="H252" i="12"/>
  <c r="G252" i="12"/>
  <c r="F252" i="12"/>
  <c r="J251" i="12"/>
  <c r="I251" i="12"/>
  <c r="H251" i="12"/>
  <c r="G251" i="12"/>
  <c r="F251" i="12"/>
  <c r="J250" i="12"/>
  <c r="I250" i="12"/>
  <c r="H250" i="12"/>
  <c r="G250" i="12"/>
  <c r="F250" i="12"/>
  <c r="J249" i="12"/>
  <c r="I249" i="12"/>
  <c r="H249" i="12"/>
  <c r="G249" i="12"/>
  <c r="F249" i="12"/>
  <c r="J248" i="12"/>
  <c r="I248" i="12"/>
  <c r="H248" i="12"/>
  <c r="G248" i="12"/>
  <c r="F248" i="12"/>
  <c r="J247" i="12"/>
  <c r="I247" i="12"/>
  <c r="H247" i="12"/>
  <c r="G247" i="12"/>
  <c r="F247" i="12"/>
  <c r="J246" i="12"/>
  <c r="I246" i="12"/>
  <c r="H246" i="12"/>
  <c r="G246" i="12"/>
  <c r="F246" i="12"/>
  <c r="J245" i="12"/>
  <c r="I245" i="12"/>
  <c r="H245" i="12"/>
  <c r="G245" i="12"/>
  <c r="F245" i="12"/>
  <c r="J244" i="12"/>
  <c r="I244" i="12"/>
  <c r="H244" i="12"/>
  <c r="G244" i="12"/>
  <c r="F244" i="12"/>
  <c r="J243" i="12"/>
  <c r="I243" i="12"/>
  <c r="H243" i="12"/>
  <c r="G243" i="12"/>
  <c r="F243" i="12"/>
  <c r="J242" i="12"/>
  <c r="I242" i="12"/>
  <c r="H242" i="12"/>
  <c r="G242" i="12"/>
  <c r="F242" i="12"/>
  <c r="J241" i="12"/>
  <c r="I241" i="12"/>
  <c r="H241" i="12"/>
  <c r="G241" i="12"/>
  <c r="F241" i="12"/>
  <c r="J240" i="12"/>
  <c r="I240" i="12"/>
  <c r="H240" i="12"/>
  <c r="G240" i="12"/>
  <c r="F240" i="12"/>
  <c r="J239" i="12"/>
  <c r="I239" i="12"/>
  <c r="H239" i="12"/>
  <c r="G239" i="12"/>
  <c r="F239" i="12"/>
  <c r="J238" i="12"/>
  <c r="I238" i="12"/>
  <c r="H238" i="12"/>
  <c r="G238" i="12"/>
  <c r="F238" i="12"/>
  <c r="J237" i="12"/>
  <c r="I237" i="12"/>
  <c r="H237" i="12"/>
  <c r="G237" i="12"/>
  <c r="F237" i="12"/>
  <c r="J236" i="12"/>
  <c r="I236" i="12"/>
  <c r="H236" i="12"/>
  <c r="G236" i="12"/>
  <c r="F236" i="12"/>
  <c r="J235" i="12"/>
  <c r="I235" i="12"/>
  <c r="H235" i="12"/>
  <c r="G235" i="12"/>
  <c r="F235" i="12"/>
  <c r="J234" i="12"/>
  <c r="I234" i="12"/>
  <c r="H234" i="12"/>
  <c r="G234" i="12"/>
  <c r="F234" i="12"/>
  <c r="J233" i="12"/>
  <c r="I233" i="12"/>
  <c r="H233" i="12"/>
  <c r="G233" i="12"/>
  <c r="F233" i="12"/>
  <c r="J232" i="12"/>
  <c r="I232" i="12"/>
  <c r="H232" i="12"/>
  <c r="G232" i="12"/>
  <c r="F232" i="12"/>
  <c r="J231" i="12"/>
  <c r="I231" i="12"/>
  <c r="H231" i="12"/>
  <c r="G231" i="12"/>
  <c r="F231" i="12"/>
  <c r="J230" i="12"/>
  <c r="I230" i="12"/>
  <c r="H230" i="12"/>
  <c r="G230" i="12"/>
  <c r="F230" i="12"/>
  <c r="J229" i="12"/>
  <c r="I229" i="12"/>
  <c r="H229" i="12"/>
  <c r="G229" i="12"/>
  <c r="F229" i="12"/>
  <c r="J228" i="12"/>
  <c r="I228" i="12"/>
  <c r="H228" i="12"/>
  <c r="G228" i="12"/>
  <c r="F228" i="12"/>
  <c r="J227" i="12"/>
  <c r="I227" i="12"/>
  <c r="H227" i="12"/>
  <c r="G227" i="12"/>
  <c r="F227" i="12"/>
  <c r="J226" i="12"/>
  <c r="I226" i="12"/>
  <c r="H226" i="12"/>
  <c r="G226" i="12"/>
  <c r="F226" i="12"/>
  <c r="J225" i="12"/>
  <c r="I225" i="12"/>
  <c r="H225" i="12"/>
  <c r="G225" i="12"/>
  <c r="F225" i="12"/>
  <c r="J224" i="12"/>
  <c r="I224" i="12"/>
  <c r="H224" i="12"/>
  <c r="G224" i="12"/>
  <c r="F224" i="12"/>
  <c r="J223" i="12"/>
  <c r="I223" i="12"/>
  <c r="H223" i="12"/>
  <c r="G223" i="12"/>
  <c r="F223" i="12"/>
  <c r="J222" i="12"/>
  <c r="I222" i="12"/>
  <c r="H222" i="12"/>
  <c r="G222" i="12"/>
  <c r="F222" i="12"/>
  <c r="J221" i="12"/>
  <c r="I221" i="12"/>
  <c r="H221" i="12"/>
  <c r="G221" i="12"/>
  <c r="F221" i="12"/>
  <c r="J220" i="12"/>
  <c r="I220" i="12"/>
  <c r="H220" i="12"/>
  <c r="G220" i="12"/>
  <c r="F220" i="12"/>
  <c r="J219" i="12"/>
  <c r="I219" i="12"/>
  <c r="H219" i="12"/>
  <c r="G219" i="12"/>
  <c r="F219" i="12"/>
  <c r="J218" i="12"/>
  <c r="I218" i="12"/>
  <c r="H218" i="12"/>
  <c r="G218" i="12"/>
  <c r="F218" i="12"/>
  <c r="J217" i="12"/>
  <c r="I217" i="12"/>
  <c r="H217" i="12"/>
  <c r="G217" i="12"/>
  <c r="F217" i="12"/>
  <c r="J216" i="12"/>
  <c r="I216" i="12"/>
  <c r="H216" i="12"/>
  <c r="G216" i="12"/>
  <c r="F216" i="12"/>
  <c r="J215" i="12"/>
  <c r="I215" i="12"/>
  <c r="H215" i="12"/>
  <c r="G215" i="12"/>
  <c r="F215" i="12"/>
  <c r="J214" i="12"/>
  <c r="I214" i="12"/>
  <c r="H214" i="12"/>
  <c r="G214" i="12"/>
  <c r="F214" i="12"/>
  <c r="J213" i="12"/>
  <c r="I213" i="12"/>
  <c r="H213" i="12"/>
  <c r="G213" i="12"/>
  <c r="F213" i="12"/>
  <c r="J212" i="12"/>
  <c r="I212" i="12"/>
  <c r="H212" i="12"/>
  <c r="G212" i="12"/>
  <c r="F212" i="12"/>
  <c r="J211" i="12"/>
  <c r="I211" i="12"/>
  <c r="H211" i="12"/>
  <c r="G211" i="12"/>
  <c r="F211" i="12"/>
  <c r="J210" i="12"/>
  <c r="I210" i="12"/>
  <c r="H210" i="12"/>
  <c r="G210" i="12"/>
  <c r="F210" i="12"/>
  <c r="J209" i="12"/>
  <c r="I209" i="12"/>
  <c r="H209" i="12"/>
  <c r="G209" i="12"/>
  <c r="F209" i="12"/>
  <c r="J208" i="12"/>
  <c r="I208" i="12"/>
  <c r="H208" i="12"/>
  <c r="G208" i="12"/>
  <c r="F208" i="12"/>
  <c r="J207" i="12"/>
  <c r="I207" i="12"/>
  <c r="H207" i="12"/>
  <c r="G207" i="12"/>
  <c r="F207" i="12"/>
  <c r="J206" i="12"/>
  <c r="I206" i="12"/>
  <c r="H206" i="12"/>
  <c r="G206" i="12"/>
  <c r="F206" i="12"/>
  <c r="J205" i="12"/>
  <c r="I205" i="12"/>
  <c r="H205" i="12"/>
  <c r="G205" i="12"/>
  <c r="F205" i="12"/>
  <c r="J204" i="12"/>
  <c r="I204" i="12"/>
  <c r="H204" i="12"/>
  <c r="G204" i="12"/>
  <c r="F204" i="12"/>
  <c r="J203" i="12"/>
  <c r="I203" i="12"/>
  <c r="H203" i="12"/>
  <c r="G203" i="12"/>
  <c r="F203" i="12"/>
  <c r="J202" i="12"/>
  <c r="I202" i="12"/>
  <c r="H202" i="12"/>
  <c r="G202" i="12"/>
  <c r="F202" i="12"/>
  <c r="J201" i="12"/>
  <c r="I201" i="12"/>
  <c r="H201" i="12"/>
  <c r="G201" i="12"/>
  <c r="F201" i="12"/>
  <c r="J200" i="12"/>
  <c r="I200" i="12"/>
  <c r="H200" i="12"/>
  <c r="G200" i="12"/>
  <c r="F200" i="12"/>
  <c r="J199" i="12"/>
  <c r="I199" i="12"/>
  <c r="H199" i="12"/>
  <c r="G199" i="12"/>
  <c r="F199" i="12"/>
  <c r="J198" i="12"/>
  <c r="I198" i="12"/>
  <c r="H198" i="12"/>
  <c r="G198" i="12"/>
  <c r="F198" i="12"/>
  <c r="J197" i="12"/>
  <c r="I197" i="12"/>
  <c r="H197" i="12"/>
  <c r="G197" i="12"/>
  <c r="F197" i="12"/>
  <c r="J196" i="12"/>
  <c r="I196" i="12"/>
  <c r="H196" i="12"/>
  <c r="G196" i="12"/>
  <c r="F196" i="12"/>
  <c r="J195" i="12"/>
  <c r="I195" i="12"/>
  <c r="H195" i="12"/>
  <c r="G195" i="12"/>
  <c r="F195" i="12"/>
  <c r="J194" i="12"/>
  <c r="I194" i="12"/>
  <c r="H194" i="12"/>
  <c r="G194" i="12"/>
  <c r="F194" i="12"/>
  <c r="J193" i="12"/>
  <c r="I193" i="12"/>
  <c r="H193" i="12"/>
  <c r="G193" i="12"/>
  <c r="F193" i="12"/>
  <c r="J192" i="12"/>
  <c r="I192" i="12"/>
  <c r="H192" i="12"/>
  <c r="G192" i="12"/>
  <c r="F192" i="12"/>
  <c r="J191" i="12"/>
  <c r="I191" i="12"/>
  <c r="H191" i="12"/>
  <c r="G191" i="12"/>
  <c r="F191" i="12"/>
  <c r="J190" i="12"/>
  <c r="I190" i="12"/>
  <c r="H190" i="12"/>
  <c r="G190" i="12"/>
  <c r="F190" i="12"/>
  <c r="J189" i="12"/>
  <c r="I189" i="12"/>
  <c r="H189" i="12"/>
  <c r="G189" i="12"/>
  <c r="F189" i="12"/>
  <c r="J188" i="12"/>
  <c r="I188" i="12"/>
  <c r="H188" i="12"/>
  <c r="G188" i="12"/>
  <c r="F188" i="12"/>
  <c r="J187" i="12"/>
  <c r="I187" i="12"/>
  <c r="H187" i="12"/>
  <c r="G187" i="12"/>
  <c r="F187" i="12"/>
  <c r="J186" i="12"/>
  <c r="I186" i="12"/>
  <c r="H186" i="12"/>
  <c r="G186" i="12"/>
  <c r="F186" i="12"/>
  <c r="J185" i="12"/>
  <c r="I185" i="12"/>
  <c r="H185" i="12"/>
  <c r="G185" i="12"/>
  <c r="F185" i="12"/>
  <c r="J184" i="12"/>
  <c r="I184" i="12"/>
  <c r="H184" i="12"/>
  <c r="G184" i="12"/>
  <c r="F184" i="12"/>
  <c r="J183" i="12"/>
  <c r="I183" i="12"/>
  <c r="H183" i="12"/>
  <c r="G183" i="12"/>
  <c r="F183" i="12"/>
  <c r="J182" i="12"/>
  <c r="I182" i="12"/>
  <c r="H182" i="12"/>
  <c r="G182" i="12"/>
  <c r="F182" i="12"/>
  <c r="J181" i="12"/>
  <c r="I181" i="12"/>
  <c r="H181" i="12"/>
  <c r="G181" i="12"/>
  <c r="F181" i="12"/>
  <c r="J180" i="12"/>
  <c r="I180" i="12"/>
  <c r="H180" i="12"/>
  <c r="G180" i="12"/>
  <c r="F180" i="12"/>
  <c r="J179" i="12"/>
  <c r="I179" i="12"/>
  <c r="H179" i="12"/>
  <c r="G179" i="12"/>
  <c r="F179" i="12"/>
  <c r="J178" i="12"/>
  <c r="I178" i="12"/>
  <c r="H178" i="12"/>
  <c r="G178" i="12"/>
  <c r="F178" i="12"/>
  <c r="J177" i="12"/>
  <c r="I177" i="12"/>
  <c r="H177" i="12"/>
  <c r="G177" i="12"/>
  <c r="F177" i="12"/>
  <c r="J176" i="12"/>
  <c r="I176" i="12"/>
  <c r="H176" i="12"/>
  <c r="G176" i="12"/>
  <c r="F176" i="12"/>
  <c r="J175" i="12"/>
  <c r="I175" i="12"/>
  <c r="H175" i="12"/>
  <c r="G175" i="12"/>
  <c r="F175" i="12"/>
  <c r="J174" i="12"/>
  <c r="I174" i="12"/>
  <c r="H174" i="12"/>
  <c r="G174" i="12"/>
  <c r="F174" i="12"/>
  <c r="J173" i="12"/>
  <c r="I173" i="12"/>
  <c r="H173" i="12"/>
  <c r="G173" i="12"/>
  <c r="F173" i="12"/>
  <c r="J172" i="12"/>
  <c r="I172" i="12"/>
  <c r="H172" i="12"/>
  <c r="G172" i="12"/>
  <c r="F172" i="12"/>
  <c r="J171" i="12"/>
  <c r="I171" i="12"/>
  <c r="H171" i="12"/>
  <c r="G171" i="12"/>
  <c r="F171" i="12"/>
  <c r="J170" i="12"/>
  <c r="I170" i="12"/>
  <c r="H170" i="12"/>
  <c r="G170" i="12"/>
  <c r="F170" i="12"/>
  <c r="J169" i="12"/>
  <c r="I169" i="12"/>
  <c r="H169" i="12"/>
  <c r="G169" i="12"/>
  <c r="F169" i="12"/>
  <c r="J168" i="12"/>
  <c r="I168" i="12"/>
  <c r="H168" i="12"/>
  <c r="G168" i="12"/>
  <c r="F168" i="12"/>
  <c r="J167" i="12"/>
  <c r="I167" i="12"/>
  <c r="H167" i="12"/>
  <c r="G167" i="12"/>
  <c r="F167" i="12"/>
  <c r="J166" i="12"/>
  <c r="I166" i="12"/>
  <c r="H166" i="12"/>
  <c r="G166" i="12"/>
  <c r="F166" i="12"/>
  <c r="J165" i="12"/>
  <c r="I165" i="12"/>
  <c r="H165" i="12"/>
  <c r="G165" i="12"/>
  <c r="F165" i="12"/>
  <c r="J164" i="12"/>
  <c r="I164" i="12"/>
  <c r="H164" i="12"/>
  <c r="G164" i="12"/>
  <c r="F164" i="12"/>
  <c r="J163" i="12"/>
  <c r="I163" i="12"/>
  <c r="H163" i="12"/>
  <c r="G163" i="12"/>
  <c r="F163" i="12"/>
  <c r="J162" i="12"/>
  <c r="I162" i="12"/>
  <c r="H162" i="12"/>
  <c r="G162" i="12"/>
  <c r="F162" i="12"/>
  <c r="J161" i="12"/>
  <c r="I161" i="12"/>
  <c r="H161" i="12"/>
  <c r="G161" i="12"/>
  <c r="F161" i="12"/>
  <c r="J160" i="12"/>
  <c r="I160" i="12"/>
  <c r="H160" i="12"/>
  <c r="G160" i="12"/>
  <c r="F160" i="12"/>
  <c r="J159" i="12"/>
  <c r="I159" i="12"/>
  <c r="H159" i="12"/>
  <c r="G159" i="12"/>
  <c r="F159" i="12"/>
  <c r="J158" i="12"/>
  <c r="I158" i="12"/>
  <c r="H158" i="12"/>
  <c r="G158" i="12"/>
  <c r="F158" i="12"/>
  <c r="J157" i="12"/>
  <c r="I157" i="12"/>
  <c r="H157" i="12"/>
  <c r="G157" i="12"/>
  <c r="F157" i="12"/>
  <c r="J156" i="12"/>
  <c r="I156" i="12"/>
  <c r="H156" i="12"/>
  <c r="G156" i="12"/>
  <c r="F156" i="12"/>
  <c r="J155" i="12"/>
  <c r="I155" i="12"/>
  <c r="H155" i="12"/>
  <c r="G155" i="12"/>
  <c r="F155" i="12"/>
  <c r="J154" i="12"/>
  <c r="I154" i="12"/>
  <c r="H154" i="12"/>
  <c r="G154" i="12"/>
  <c r="F154" i="12"/>
  <c r="J153" i="12"/>
  <c r="I153" i="12"/>
  <c r="H153" i="12"/>
  <c r="G153" i="12"/>
  <c r="F153" i="12"/>
  <c r="J152" i="12"/>
  <c r="I152" i="12"/>
  <c r="H152" i="12"/>
  <c r="G152" i="12"/>
  <c r="F152" i="12"/>
  <c r="J151" i="12"/>
  <c r="I151" i="12"/>
  <c r="H151" i="12"/>
  <c r="G151" i="12"/>
  <c r="F151" i="12"/>
  <c r="J150" i="12"/>
  <c r="I150" i="12"/>
  <c r="H150" i="12"/>
  <c r="G150" i="12"/>
  <c r="F150" i="12"/>
  <c r="J149" i="12"/>
  <c r="I149" i="12"/>
  <c r="H149" i="12"/>
  <c r="G149" i="12"/>
  <c r="F149" i="12"/>
  <c r="J148" i="12"/>
  <c r="I148" i="12"/>
  <c r="H148" i="12"/>
  <c r="G148" i="12"/>
  <c r="F148" i="12"/>
  <c r="J147" i="12"/>
  <c r="I147" i="12"/>
  <c r="H147" i="12"/>
  <c r="G147" i="12"/>
  <c r="F147" i="12"/>
  <c r="J146" i="12"/>
  <c r="I146" i="12"/>
  <c r="H146" i="12"/>
  <c r="G146" i="12"/>
  <c r="F146" i="12"/>
  <c r="J145" i="12"/>
  <c r="I145" i="12"/>
  <c r="H145" i="12"/>
  <c r="G145" i="12"/>
  <c r="F145" i="12"/>
  <c r="J144" i="12"/>
  <c r="I144" i="12"/>
  <c r="H144" i="12"/>
  <c r="G144" i="12"/>
  <c r="F144" i="12"/>
  <c r="J143" i="12"/>
  <c r="I143" i="12"/>
  <c r="H143" i="12"/>
  <c r="G143" i="12"/>
  <c r="F143" i="12"/>
  <c r="J142" i="12"/>
  <c r="I142" i="12"/>
  <c r="H142" i="12"/>
  <c r="G142" i="12"/>
  <c r="F142" i="12"/>
  <c r="J141" i="12"/>
  <c r="I141" i="12"/>
  <c r="H141" i="12"/>
  <c r="G141" i="12"/>
  <c r="F141" i="12"/>
  <c r="J140" i="12"/>
  <c r="I140" i="12"/>
  <c r="H140" i="12"/>
  <c r="G140" i="12"/>
  <c r="F140" i="12"/>
  <c r="J139" i="12"/>
  <c r="I139" i="12"/>
  <c r="H139" i="12"/>
  <c r="G139" i="12"/>
  <c r="F139" i="12"/>
  <c r="J138" i="12"/>
  <c r="I138" i="12"/>
  <c r="H138" i="12"/>
  <c r="G138" i="12"/>
  <c r="F138" i="12"/>
  <c r="J137" i="12"/>
  <c r="I137" i="12"/>
  <c r="H137" i="12"/>
  <c r="G137" i="12"/>
  <c r="F137" i="12"/>
  <c r="J136" i="12"/>
  <c r="I136" i="12"/>
  <c r="H136" i="12"/>
  <c r="G136" i="12"/>
  <c r="F136" i="12"/>
  <c r="J135" i="12"/>
  <c r="I135" i="12"/>
  <c r="H135" i="12"/>
  <c r="G135" i="12"/>
  <c r="F135" i="12"/>
  <c r="J134" i="12"/>
  <c r="I134" i="12"/>
  <c r="H134" i="12"/>
  <c r="G134" i="12"/>
  <c r="F134" i="12"/>
  <c r="J133" i="12"/>
  <c r="I133" i="12"/>
  <c r="H133" i="12"/>
  <c r="G133" i="12"/>
  <c r="F133" i="12"/>
  <c r="J132" i="12"/>
  <c r="I132" i="12"/>
  <c r="H132" i="12"/>
  <c r="G132" i="12"/>
  <c r="F132" i="12"/>
  <c r="J131" i="12"/>
  <c r="I131" i="12"/>
  <c r="H131" i="12"/>
  <c r="G131" i="12"/>
  <c r="F131" i="12"/>
  <c r="J130" i="12"/>
  <c r="I130" i="12"/>
  <c r="H130" i="12"/>
  <c r="G130" i="12"/>
  <c r="F130" i="12"/>
  <c r="J129" i="12"/>
  <c r="I129" i="12"/>
  <c r="H129" i="12"/>
  <c r="G129" i="12"/>
  <c r="F129" i="12"/>
  <c r="J128" i="12"/>
  <c r="I128" i="12"/>
  <c r="H128" i="12"/>
  <c r="G128" i="12"/>
  <c r="F128" i="12"/>
  <c r="J127" i="12"/>
  <c r="I127" i="12"/>
  <c r="H127" i="12"/>
  <c r="G127" i="12"/>
  <c r="F127" i="12"/>
  <c r="J126" i="12"/>
  <c r="I126" i="12"/>
  <c r="H126" i="12"/>
  <c r="G126" i="12"/>
  <c r="F126" i="12"/>
  <c r="J125" i="12"/>
  <c r="I125" i="12"/>
  <c r="H125" i="12"/>
  <c r="G125" i="12"/>
  <c r="F125" i="12"/>
  <c r="J124" i="12"/>
  <c r="I124" i="12"/>
  <c r="H124" i="12"/>
  <c r="G124" i="12"/>
  <c r="F124" i="12"/>
  <c r="J123" i="12"/>
  <c r="I123" i="12"/>
  <c r="H123" i="12"/>
  <c r="G123" i="12"/>
  <c r="F123" i="12"/>
  <c r="J122" i="12"/>
  <c r="I122" i="12"/>
  <c r="H122" i="12"/>
  <c r="G122" i="12"/>
  <c r="F122" i="12"/>
  <c r="J121" i="12"/>
  <c r="I121" i="12"/>
  <c r="H121" i="12"/>
  <c r="G121" i="12"/>
  <c r="F121" i="12"/>
  <c r="J120" i="12"/>
  <c r="I120" i="12"/>
  <c r="H120" i="12"/>
  <c r="G120" i="12"/>
  <c r="F120" i="12"/>
  <c r="J119" i="12"/>
  <c r="I119" i="12"/>
  <c r="H119" i="12"/>
  <c r="G119" i="12"/>
  <c r="F119" i="12"/>
  <c r="J118" i="12"/>
  <c r="I118" i="12"/>
  <c r="H118" i="12"/>
  <c r="G118" i="12"/>
  <c r="F118" i="12"/>
  <c r="J117" i="12"/>
  <c r="I117" i="12"/>
  <c r="H117" i="12"/>
  <c r="G117" i="12"/>
  <c r="F117" i="12"/>
  <c r="J116" i="12"/>
  <c r="I116" i="12"/>
  <c r="H116" i="12"/>
  <c r="G116" i="12"/>
  <c r="F116" i="12"/>
  <c r="J115" i="12"/>
  <c r="I115" i="12"/>
  <c r="H115" i="12"/>
  <c r="G115" i="12"/>
  <c r="F115" i="12"/>
  <c r="J114" i="12"/>
  <c r="I114" i="12"/>
  <c r="H114" i="12"/>
  <c r="G114" i="12"/>
  <c r="F114" i="12"/>
  <c r="J113" i="12"/>
  <c r="I113" i="12"/>
  <c r="H113" i="12"/>
  <c r="G113" i="12"/>
  <c r="F113" i="12"/>
  <c r="J112" i="12"/>
  <c r="I112" i="12"/>
  <c r="H112" i="12"/>
  <c r="G112" i="12"/>
  <c r="F112" i="12"/>
  <c r="J111" i="12"/>
  <c r="I111" i="12"/>
  <c r="H111" i="12"/>
  <c r="G111" i="12"/>
  <c r="F111" i="12"/>
  <c r="J110" i="12"/>
  <c r="I110" i="12"/>
  <c r="H110" i="12"/>
  <c r="G110" i="12"/>
  <c r="F110" i="12"/>
  <c r="J109" i="12"/>
  <c r="I109" i="12"/>
  <c r="H109" i="12"/>
  <c r="G109" i="12"/>
  <c r="F109" i="12"/>
  <c r="J108" i="12"/>
  <c r="I108" i="12"/>
  <c r="H108" i="12"/>
  <c r="G108" i="12"/>
  <c r="F108" i="12"/>
  <c r="J107" i="12"/>
  <c r="I107" i="12"/>
  <c r="H107" i="12"/>
  <c r="G107" i="12"/>
  <c r="F107" i="12"/>
  <c r="J106" i="12"/>
  <c r="I106" i="12"/>
  <c r="H106" i="12"/>
  <c r="G106" i="12"/>
  <c r="F106" i="12"/>
  <c r="J105" i="12"/>
  <c r="I105" i="12"/>
  <c r="H105" i="12"/>
  <c r="G105" i="12"/>
  <c r="F105" i="12"/>
  <c r="J104" i="12"/>
  <c r="I104" i="12"/>
  <c r="H104" i="12"/>
  <c r="G104" i="12"/>
  <c r="F104" i="12"/>
  <c r="J103" i="12"/>
  <c r="I103" i="12"/>
  <c r="H103" i="12"/>
  <c r="G103" i="12"/>
  <c r="F103" i="12"/>
  <c r="J102" i="12"/>
  <c r="I102" i="12"/>
  <c r="H102" i="12"/>
  <c r="G102" i="12"/>
  <c r="F102" i="12"/>
  <c r="J101" i="12"/>
  <c r="I101" i="12"/>
  <c r="H101" i="12"/>
  <c r="G101" i="12"/>
  <c r="F101" i="12"/>
  <c r="J100" i="12"/>
  <c r="I100" i="12"/>
  <c r="H100" i="12"/>
  <c r="G100" i="12"/>
  <c r="F100" i="12"/>
  <c r="J99" i="12"/>
  <c r="I99" i="12"/>
  <c r="H99" i="12"/>
  <c r="G99" i="12"/>
  <c r="F99" i="12"/>
  <c r="J98" i="12"/>
  <c r="I98" i="12"/>
  <c r="H98" i="12"/>
  <c r="G98" i="12"/>
  <c r="F98" i="12"/>
  <c r="J97" i="12"/>
  <c r="I97" i="12"/>
  <c r="H97" i="12"/>
  <c r="G97" i="12"/>
  <c r="F97" i="12"/>
  <c r="J96" i="12"/>
  <c r="I96" i="12"/>
  <c r="H96" i="12"/>
  <c r="G96" i="12"/>
  <c r="F96" i="12"/>
  <c r="J95" i="12"/>
  <c r="I95" i="12"/>
  <c r="H95" i="12"/>
  <c r="G95" i="12"/>
  <c r="F95" i="12"/>
  <c r="J94" i="12"/>
  <c r="I94" i="12"/>
  <c r="H94" i="12"/>
  <c r="G94" i="12"/>
  <c r="F94" i="12"/>
  <c r="J93" i="12"/>
  <c r="I93" i="12"/>
  <c r="H93" i="12"/>
  <c r="G93" i="12"/>
  <c r="F93" i="12"/>
  <c r="J92" i="12"/>
  <c r="I92" i="12"/>
  <c r="H92" i="12"/>
  <c r="G92" i="12"/>
  <c r="F92" i="12"/>
  <c r="J91" i="12"/>
  <c r="I91" i="12"/>
  <c r="H91" i="12"/>
  <c r="G91" i="12"/>
  <c r="F91" i="12"/>
  <c r="J90" i="12"/>
  <c r="I90" i="12"/>
  <c r="H90" i="12"/>
  <c r="G90" i="12"/>
  <c r="F90" i="12"/>
  <c r="J89" i="12"/>
  <c r="I89" i="12"/>
  <c r="H89" i="12"/>
  <c r="G89" i="12"/>
  <c r="F89" i="12"/>
  <c r="J88" i="12"/>
  <c r="I88" i="12"/>
  <c r="H88" i="12"/>
  <c r="G88" i="12"/>
  <c r="F88" i="12"/>
  <c r="J87" i="12"/>
  <c r="I87" i="12"/>
  <c r="H87" i="12"/>
  <c r="G87" i="12"/>
  <c r="F87" i="12"/>
  <c r="J86" i="12"/>
  <c r="I86" i="12"/>
  <c r="H86" i="12"/>
  <c r="G86" i="12"/>
  <c r="F86" i="12"/>
  <c r="J85" i="12"/>
  <c r="I85" i="12"/>
  <c r="H85" i="12"/>
  <c r="G85" i="12"/>
  <c r="F85" i="12"/>
  <c r="J84" i="12"/>
  <c r="I84" i="12"/>
  <c r="H84" i="12"/>
  <c r="G84" i="12"/>
  <c r="F84" i="12"/>
  <c r="J83" i="12"/>
  <c r="I83" i="12"/>
  <c r="H83" i="12"/>
  <c r="G83" i="12"/>
  <c r="F83" i="12"/>
  <c r="J82" i="12"/>
  <c r="I82" i="12"/>
  <c r="H82" i="12"/>
  <c r="G82" i="12"/>
  <c r="F82" i="12"/>
  <c r="J81" i="12"/>
  <c r="I81" i="12"/>
  <c r="H81" i="12"/>
  <c r="G81" i="12"/>
  <c r="F81" i="12"/>
  <c r="J80" i="12"/>
  <c r="I80" i="12"/>
  <c r="H80" i="12"/>
  <c r="G80" i="12"/>
  <c r="F80" i="12"/>
  <c r="J79" i="12"/>
  <c r="I79" i="12"/>
  <c r="H79" i="12"/>
  <c r="G79" i="12"/>
  <c r="F79" i="12"/>
  <c r="J78" i="12"/>
  <c r="I78" i="12"/>
  <c r="H78" i="12"/>
  <c r="G78" i="12"/>
  <c r="F78" i="12"/>
  <c r="J77" i="12"/>
  <c r="I77" i="12"/>
  <c r="H77" i="12"/>
  <c r="G77" i="12"/>
  <c r="F77" i="12"/>
  <c r="J76" i="12"/>
  <c r="I76" i="12"/>
  <c r="H76" i="12"/>
  <c r="G76" i="12"/>
  <c r="F76" i="12"/>
  <c r="J75" i="12"/>
  <c r="I75" i="12"/>
  <c r="H75" i="12"/>
  <c r="G75" i="12"/>
  <c r="F75" i="12"/>
  <c r="J74" i="12"/>
  <c r="I74" i="12"/>
  <c r="H74" i="12"/>
  <c r="G74" i="12"/>
  <c r="F74" i="12"/>
  <c r="J73" i="12"/>
  <c r="I73" i="12"/>
  <c r="H73" i="12"/>
  <c r="G73" i="12"/>
  <c r="F73" i="12"/>
  <c r="J72" i="12"/>
  <c r="I72" i="12"/>
  <c r="H72" i="12"/>
  <c r="G72" i="12"/>
  <c r="F72" i="12"/>
  <c r="J71" i="12"/>
  <c r="I71" i="12"/>
  <c r="H71" i="12"/>
  <c r="G71" i="12"/>
  <c r="F71" i="12"/>
  <c r="J70" i="12"/>
  <c r="I70" i="12"/>
  <c r="H70" i="12"/>
  <c r="G70" i="12"/>
  <c r="F70" i="12"/>
  <c r="J69" i="12"/>
  <c r="I69" i="12"/>
  <c r="H69" i="12"/>
  <c r="G69" i="12"/>
  <c r="F69" i="12"/>
  <c r="J68" i="12"/>
  <c r="I68" i="12"/>
  <c r="H68" i="12"/>
  <c r="G68" i="12"/>
  <c r="F68" i="12"/>
  <c r="J67" i="12"/>
  <c r="I67" i="12"/>
  <c r="H67" i="12"/>
  <c r="G67" i="12"/>
  <c r="F67" i="12"/>
  <c r="J66" i="12"/>
  <c r="I66" i="12"/>
  <c r="H66" i="12"/>
  <c r="G66" i="12"/>
  <c r="F66" i="12"/>
  <c r="J65" i="12"/>
  <c r="I65" i="12"/>
  <c r="H65" i="12"/>
  <c r="G65" i="12"/>
  <c r="F65" i="12"/>
  <c r="J64" i="12"/>
  <c r="I64" i="12"/>
  <c r="H64" i="12"/>
  <c r="G64" i="12"/>
  <c r="F64" i="12"/>
  <c r="J63" i="12"/>
  <c r="I63" i="12"/>
  <c r="H63" i="12"/>
  <c r="G63" i="12"/>
  <c r="F63" i="12"/>
  <c r="J62" i="12"/>
  <c r="I62" i="12"/>
  <c r="H62" i="12"/>
  <c r="G62" i="12"/>
  <c r="F62" i="12"/>
  <c r="J61" i="12"/>
  <c r="I61" i="12"/>
  <c r="H61" i="12"/>
  <c r="G61" i="12"/>
  <c r="F61" i="12"/>
  <c r="J60" i="12"/>
  <c r="I60" i="12"/>
  <c r="H60" i="12"/>
  <c r="G60" i="12"/>
  <c r="F60" i="12"/>
  <c r="J59" i="12"/>
  <c r="I59" i="12"/>
  <c r="H59" i="12"/>
  <c r="G59" i="12"/>
  <c r="F59" i="12"/>
  <c r="J58" i="12"/>
  <c r="I58" i="12"/>
  <c r="H58" i="12"/>
  <c r="G58" i="12"/>
  <c r="F58" i="12"/>
  <c r="J57" i="12"/>
  <c r="I57" i="12"/>
  <c r="H57" i="12"/>
  <c r="G57" i="12"/>
  <c r="F57" i="12"/>
  <c r="J56" i="12"/>
  <c r="I56" i="12"/>
  <c r="H56" i="12"/>
  <c r="G56" i="12"/>
  <c r="F56" i="12"/>
  <c r="J55" i="12"/>
  <c r="I55" i="12"/>
  <c r="H55" i="12"/>
  <c r="G55" i="12"/>
  <c r="F55" i="12"/>
  <c r="J54" i="12"/>
  <c r="I54" i="12"/>
  <c r="H54" i="12"/>
  <c r="G54" i="12"/>
  <c r="F54" i="12"/>
  <c r="J53" i="12"/>
  <c r="I53" i="12"/>
  <c r="H53" i="12"/>
  <c r="G53" i="12"/>
  <c r="F53" i="12"/>
  <c r="J52" i="12"/>
  <c r="I52" i="12"/>
  <c r="H52" i="12"/>
  <c r="G52" i="12"/>
  <c r="F52" i="12"/>
  <c r="J51" i="12"/>
  <c r="I51" i="12"/>
  <c r="H51" i="12"/>
  <c r="G51" i="12"/>
  <c r="F51" i="12"/>
  <c r="J50" i="12"/>
  <c r="I50" i="12"/>
  <c r="H50" i="12"/>
  <c r="G50" i="12"/>
  <c r="F50" i="12"/>
  <c r="J49" i="12"/>
  <c r="I49" i="12"/>
  <c r="H49" i="12"/>
  <c r="G49" i="12"/>
  <c r="F49" i="12"/>
  <c r="J48" i="12"/>
  <c r="I48" i="12"/>
  <c r="H48" i="12"/>
  <c r="G48" i="12"/>
  <c r="F48" i="12"/>
  <c r="J47" i="12"/>
  <c r="I47" i="12"/>
  <c r="H47" i="12"/>
  <c r="G47" i="12"/>
  <c r="F47" i="12"/>
  <c r="J46" i="12"/>
  <c r="I46" i="12"/>
  <c r="H46" i="12"/>
  <c r="G46" i="12"/>
  <c r="F46" i="12"/>
  <c r="J45" i="12"/>
  <c r="I45" i="12"/>
  <c r="H45" i="12"/>
  <c r="G45" i="12"/>
  <c r="F45" i="12"/>
  <c r="J44" i="12"/>
  <c r="I44" i="12"/>
  <c r="H44" i="12"/>
  <c r="G44" i="12"/>
  <c r="F44" i="12"/>
  <c r="J43" i="12"/>
  <c r="I43" i="12"/>
  <c r="H43" i="12"/>
  <c r="G43" i="12"/>
  <c r="F43" i="12"/>
  <c r="J42" i="12"/>
  <c r="I42" i="12"/>
  <c r="H42" i="12"/>
  <c r="G42" i="12"/>
  <c r="F42" i="12"/>
  <c r="J41" i="12"/>
  <c r="I41" i="12"/>
  <c r="H41" i="12"/>
  <c r="G41" i="12"/>
  <c r="F41" i="12"/>
  <c r="J40" i="12"/>
  <c r="I40" i="12"/>
  <c r="H40" i="12"/>
  <c r="G40" i="12"/>
  <c r="F40" i="12"/>
  <c r="J39" i="12"/>
  <c r="I39" i="12"/>
  <c r="H39" i="12"/>
  <c r="G39" i="12"/>
  <c r="F39" i="12"/>
  <c r="J38" i="12"/>
  <c r="I38" i="12"/>
  <c r="H38" i="12"/>
  <c r="G38" i="12"/>
  <c r="F38" i="12"/>
  <c r="J37" i="12"/>
  <c r="I37" i="12"/>
  <c r="H37" i="12"/>
  <c r="G37" i="12"/>
  <c r="F37" i="12"/>
  <c r="J36" i="12"/>
  <c r="I36" i="12"/>
  <c r="H36" i="12"/>
  <c r="G36" i="12"/>
  <c r="F36" i="12"/>
  <c r="J35" i="12"/>
  <c r="I35" i="12"/>
  <c r="H35" i="12"/>
  <c r="G35" i="12"/>
  <c r="F35" i="12"/>
  <c r="J34" i="12"/>
  <c r="I34" i="12"/>
  <c r="H34" i="12"/>
  <c r="G34" i="12"/>
  <c r="F34" i="12"/>
  <c r="J33" i="12"/>
  <c r="I33" i="12"/>
  <c r="H33" i="12"/>
  <c r="G33" i="12"/>
  <c r="F33" i="12"/>
  <c r="J32" i="12"/>
  <c r="I32" i="12"/>
  <c r="H32" i="12"/>
  <c r="G32" i="12"/>
  <c r="F32" i="12"/>
  <c r="J31" i="12"/>
  <c r="I31" i="12"/>
  <c r="H31" i="12"/>
  <c r="G31" i="12"/>
  <c r="F31" i="12"/>
  <c r="J30" i="12"/>
  <c r="I30" i="12"/>
  <c r="H30" i="12"/>
  <c r="G30" i="12"/>
  <c r="F30" i="12"/>
  <c r="J29" i="12"/>
  <c r="I29" i="12"/>
  <c r="H29" i="12"/>
  <c r="G29" i="12"/>
  <c r="F29" i="12"/>
  <c r="J28" i="12"/>
  <c r="I28" i="12"/>
  <c r="H28" i="12"/>
  <c r="G28" i="12"/>
  <c r="F28" i="12"/>
  <c r="J27" i="12"/>
  <c r="I27" i="12"/>
  <c r="H27" i="12"/>
  <c r="G27" i="12"/>
  <c r="F27" i="12"/>
  <c r="J26" i="12"/>
  <c r="I26" i="12"/>
  <c r="H26" i="12"/>
  <c r="G26" i="12"/>
  <c r="F26" i="12"/>
  <c r="J25" i="12"/>
  <c r="I25" i="12"/>
  <c r="H25" i="12"/>
  <c r="G25" i="12"/>
  <c r="F25" i="12"/>
  <c r="J24" i="12"/>
  <c r="I24" i="12"/>
  <c r="H24" i="12"/>
  <c r="G24" i="12"/>
  <c r="F24" i="12"/>
  <c r="J23" i="12"/>
  <c r="I23" i="12"/>
  <c r="H23" i="12"/>
  <c r="G23" i="12"/>
  <c r="F23" i="12"/>
  <c r="J22" i="12"/>
  <c r="I22" i="12"/>
  <c r="H22" i="12"/>
  <c r="G22" i="12"/>
  <c r="F22" i="12"/>
  <c r="J21" i="12"/>
  <c r="I21" i="12"/>
  <c r="H21" i="12"/>
  <c r="G21" i="12"/>
  <c r="F21" i="12"/>
  <c r="J20" i="12"/>
  <c r="I20" i="12"/>
  <c r="H20" i="12"/>
  <c r="G20" i="12"/>
  <c r="F20" i="12"/>
  <c r="J19" i="12"/>
  <c r="I19" i="12"/>
  <c r="H19" i="12"/>
  <c r="G19" i="12"/>
  <c r="F19" i="12"/>
  <c r="J18" i="12"/>
  <c r="I18" i="12"/>
  <c r="H18" i="12"/>
  <c r="G18" i="12"/>
  <c r="F18" i="12"/>
  <c r="J17" i="12"/>
  <c r="I17" i="12"/>
  <c r="H17" i="12"/>
  <c r="G17" i="12"/>
  <c r="F17" i="12"/>
  <c r="J16" i="12"/>
  <c r="I16" i="12"/>
  <c r="H16" i="12"/>
  <c r="G16" i="12"/>
  <c r="F16" i="12"/>
  <c r="J15" i="12"/>
  <c r="I15" i="12"/>
  <c r="H15" i="12"/>
  <c r="G15" i="12"/>
  <c r="F15" i="12"/>
  <c r="J14" i="12"/>
  <c r="I14" i="12"/>
  <c r="H14" i="12"/>
  <c r="G14" i="12"/>
  <c r="F14" i="12"/>
  <c r="J13" i="12"/>
  <c r="I13" i="12"/>
  <c r="H13" i="12"/>
  <c r="G13" i="12"/>
  <c r="F13" i="12"/>
  <c r="J12" i="12"/>
  <c r="I12" i="12"/>
  <c r="H12" i="12"/>
  <c r="G12" i="12"/>
  <c r="F12" i="12"/>
  <c r="J11" i="12"/>
  <c r="I11" i="12"/>
  <c r="H11" i="12"/>
  <c r="G11" i="12"/>
  <c r="F11" i="12"/>
  <c r="J10" i="12"/>
  <c r="I10" i="12"/>
  <c r="H10" i="12"/>
  <c r="G10" i="12"/>
  <c r="F10" i="12"/>
  <c r="J9" i="12"/>
  <c r="I9" i="12"/>
  <c r="H9" i="12"/>
  <c r="G9" i="12"/>
  <c r="F9" i="12"/>
  <c r="J8" i="12"/>
  <c r="I8" i="12"/>
  <c r="H8" i="12"/>
  <c r="G8" i="12"/>
  <c r="F8" i="12"/>
  <c r="J7" i="12"/>
  <c r="I7" i="12"/>
  <c r="H7" i="12"/>
  <c r="G7" i="12"/>
  <c r="F7" i="12"/>
  <c r="J6" i="12"/>
  <c r="I6" i="12"/>
  <c r="H6" i="12"/>
  <c r="G6" i="12"/>
  <c r="F6" i="12"/>
  <c r="J5" i="12"/>
  <c r="I5" i="12"/>
  <c r="H5" i="12"/>
  <c r="G5" i="12"/>
  <c r="F5" i="12"/>
  <c r="C3" i="12"/>
  <c r="J504" i="11"/>
  <c r="K504" i="11" s="1"/>
  <c r="I504" i="11"/>
  <c r="J503" i="11"/>
  <c r="K503" i="11" s="1"/>
  <c r="I503" i="11"/>
  <c r="K502" i="11"/>
  <c r="J502" i="11"/>
  <c r="I502" i="11"/>
  <c r="K501" i="11"/>
  <c r="J501" i="11"/>
  <c r="I501" i="11"/>
  <c r="K500" i="11"/>
  <c r="J500" i="11"/>
  <c r="I500" i="11"/>
  <c r="J499" i="11"/>
  <c r="K499" i="11" s="1"/>
  <c r="I499" i="11"/>
  <c r="J498" i="11"/>
  <c r="K498" i="11" s="1"/>
  <c r="I498" i="11"/>
  <c r="K497" i="11"/>
  <c r="J497" i="11"/>
  <c r="I497" i="11"/>
  <c r="J496" i="11"/>
  <c r="K496" i="11" s="1"/>
  <c r="I496" i="11"/>
  <c r="J495" i="11"/>
  <c r="K495" i="11" s="1"/>
  <c r="I495" i="11"/>
  <c r="J494" i="11"/>
  <c r="K494" i="11" s="1"/>
  <c r="I494" i="11"/>
  <c r="K493" i="11"/>
  <c r="J493" i="11"/>
  <c r="I493" i="11"/>
  <c r="K492" i="11"/>
  <c r="J492" i="11"/>
  <c r="I492" i="11"/>
  <c r="K491" i="11"/>
  <c r="J491" i="11"/>
  <c r="I491" i="11"/>
  <c r="K490" i="11"/>
  <c r="J490" i="11"/>
  <c r="I490" i="11"/>
  <c r="K489" i="11"/>
  <c r="J489" i="11"/>
  <c r="I489" i="11"/>
  <c r="J488" i="11"/>
  <c r="K488" i="11" s="1"/>
  <c r="I488" i="11"/>
  <c r="J487" i="11"/>
  <c r="K487" i="11" s="1"/>
  <c r="I487" i="11"/>
  <c r="K486" i="11"/>
  <c r="J486" i="11"/>
  <c r="I486" i="11"/>
  <c r="K485" i="11"/>
  <c r="J485" i="11"/>
  <c r="I485" i="11"/>
  <c r="J484" i="11"/>
  <c r="K484" i="11" s="1"/>
  <c r="I484" i="11"/>
  <c r="K483" i="11"/>
  <c r="J483" i="11"/>
  <c r="I483" i="11"/>
  <c r="K482" i="11"/>
  <c r="J482" i="11"/>
  <c r="I482" i="11"/>
  <c r="K481" i="11"/>
  <c r="J481" i="11"/>
  <c r="I481" i="11"/>
  <c r="J480" i="11"/>
  <c r="K480" i="11" s="1"/>
  <c r="I480" i="11"/>
  <c r="K479" i="11"/>
  <c r="J479" i="11"/>
  <c r="I479" i="11"/>
  <c r="J478" i="11"/>
  <c r="K478" i="11" s="1"/>
  <c r="I478" i="11"/>
  <c r="K477" i="11"/>
  <c r="J477" i="11"/>
  <c r="I477" i="11"/>
  <c r="K476" i="11"/>
  <c r="J476" i="11"/>
  <c r="I476" i="11"/>
  <c r="K475" i="11"/>
  <c r="J475" i="11"/>
  <c r="I475" i="11"/>
  <c r="J474" i="11"/>
  <c r="K474" i="11" s="1"/>
  <c r="I474" i="11"/>
  <c r="J473" i="11"/>
  <c r="K473" i="11" s="1"/>
  <c r="I473" i="11"/>
  <c r="K472" i="11"/>
  <c r="J472" i="11"/>
  <c r="I472" i="11"/>
  <c r="K471" i="11"/>
  <c r="J471" i="11"/>
  <c r="I471" i="11"/>
  <c r="K470" i="11"/>
  <c r="J470" i="11"/>
  <c r="I470" i="11"/>
  <c r="K469" i="11"/>
  <c r="J469" i="11"/>
  <c r="I469" i="11"/>
  <c r="J468" i="11"/>
  <c r="K468" i="11" s="1"/>
  <c r="I468" i="11"/>
  <c r="J467" i="11"/>
  <c r="K467" i="11" s="1"/>
  <c r="I467" i="11"/>
  <c r="K466" i="11"/>
  <c r="J466" i="11"/>
  <c r="I466" i="11"/>
  <c r="K465" i="11"/>
  <c r="J465" i="11"/>
  <c r="I465" i="11"/>
  <c r="J464" i="11"/>
  <c r="K464" i="11" s="1"/>
  <c r="I464" i="11"/>
  <c r="J463" i="11"/>
  <c r="K463" i="11" s="1"/>
  <c r="I463" i="11"/>
  <c r="K462" i="11"/>
  <c r="J462" i="11"/>
  <c r="I462" i="11"/>
  <c r="K461" i="11"/>
  <c r="J461" i="11"/>
  <c r="I461" i="11"/>
  <c r="J460" i="11"/>
  <c r="K460" i="11" s="1"/>
  <c r="I460" i="11"/>
  <c r="J459" i="11"/>
  <c r="K459" i="11" s="1"/>
  <c r="I459" i="11"/>
  <c r="J458" i="11"/>
  <c r="K458" i="11" s="1"/>
  <c r="I458" i="11"/>
  <c r="J457" i="11"/>
  <c r="K457" i="11" s="1"/>
  <c r="I457" i="11"/>
  <c r="K456" i="11"/>
  <c r="J456" i="11"/>
  <c r="I456" i="11"/>
  <c r="K455" i="11"/>
  <c r="J455" i="11"/>
  <c r="I455" i="11"/>
  <c r="J454" i="11"/>
  <c r="K454" i="11" s="1"/>
  <c r="I454" i="11"/>
  <c r="K453" i="11"/>
  <c r="J453" i="11"/>
  <c r="I453" i="11"/>
  <c r="K452" i="11"/>
  <c r="J452" i="11"/>
  <c r="I452" i="11"/>
  <c r="K451" i="11"/>
  <c r="J451" i="11"/>
  <c r="I451" i="11"/>
  <c r="J450" i="11"/>
  <c r="K450" i="11" s="1"/>
  <c r="I450" i="11"/>
  <c r="K449" i="11"/>
  <c r="J449" i="11"/>
  <c r="I449" i="11"/>
  <c r="J448" i="11"/>
  <c r="K448" i="11" s="1"/>
  <c r="I448" i="11"/>
  <c r="K447" i="11"/>
  <c r="J447" i="11"/>
  <c r="I447" i="11"/>
  <c r="K446" i="11"/>
  <c r="J446" i="11"/>
  <c r="I446" i="11"/>
  <c r="K445" i="11"/>
  <c r="J445" i="11"/>
  <c r="I445" i="11"/>
  <c r="J444" i="11"/>
  <c r="K444" i="11" s="1"/>
  <c r="I444" i="11"/>
  <c r="K443" i="11"/>
  <c r="J443" i="11"/>
  <c r="I443" i="11"/>
  <c r="K442" i="11"/>
  <c r="J442" i="11"/>
  <c r="I442" i="11"/>
  <c r="K441" i="11"/>
  <c r="J441" i="11"/>
  <c r="I441" i="11"/>
  <c r="K440" i="11"/>
  <c r="J440" i="11"/>
  <c r="I440" i="11"/>
  <c r="K439" i="11"/>
  <c r="J439" i="11"/>
  <c r="I439" i="11"/>
  <c r="J438" i="11"/>
  <c r="K438" i="11" s="1"/>
  <c r="I438" i="11"/>
  <c r="J437" i="11"/>
  <c r="K437" i="11" s="1"/>
  <c r="I437" i="11"/>
  <c r="K436" i="11"/>
  <c r="J436" i="11"/>
  <c r="I436" i="11"/>
  <c r="K435" i="11"/>
  <c r="J435" i="11"/>
  <c r="I435" i="11"/>
  <c r="J434" i="11"/>
  <c r="K434" i="11" s="1"/>
  <c r="I434" i="11"/>
  <c r="K433" i="11"/>
  <c r="J433" i="11"/>
  <c r="I433" i="11"/>
  <c r="K432" i="11"/>
  <c r="J432" i="11"/>
  <c r="I432" i="11"/>
  <c r="K431" i="11"/>
  <c r="J431" i="11"/>
  <c r="I431" i="11"/>
  <c r="J430" i="11"/>
  <c r="K430" i="11" s="1"/>
  <c r="I430" i="11"/>
  <c r="K429" i="11"/>
  <c r="J429" i="11"/>
  <c r="I429" i="11"/>
  <c r="J428" i="11"/>
  <c r="K428" i="11" s="1"/>
  <c r="I428" i="11"/>
  <c r="K427" i="11"/>
  <c r="J427" i="11"/>
  <c r="I427" i="11"/>
  <c r="K426" i="11"/>
  <c r="J426" i="11"/>
  <c r="I426" i="11"/>
  <c r="K425" i="11"/>
  <c r="J425" i="11"/>
  <c r="I425" i="11"/>
  <c r="J424" i="11"/>
  <c r="K424" i="11" s="1"/>
  <c r="I424" i="11"/>
  <c r="J423" i="11"/>
  <c r="K423" i="11" s="1"/>
  <c r="I423" i="11"/>
  <c r="K422" i="11"/>
  <c r="J422" i="11"/>
  <c r="I422" i="11"/>
  <c r="K421" i="11"/>
  <c r="J421" i="11"/>
  <c r="I421" i="11"/>
  <c r="K420" i="11"/>
  <c r="J420" i="11"/>
  <c r="I420" i="11"/>
  <c r="K419" i="11"/>
  <c r="J419" i="11"/>
  <c r="I419" i="11"/>
  <c r="J418" i="11"/>
  <c r="K418" i="11" s="1"/>
  <c r="I418" i="11"/>
  <c r="J417" i="11"/>
  <c r="K417" i="11" s="1"/>
  <c r="I417" i="11"/>
  <c r="K416" i="11"/>
  <c r="J416" i="11"/>
  <c r="I416" i="11"/>
  <c r="K415" i="11"/>
  <c r="J415" i="11"/>
  <c r="I415" i="11"/>
  <c r="J414" i="11"/>
  <c r="K414" i="11" s="1"/>
  <c r="I414" i="11"/>
  <c r="K413" i="11"/>
  <c r="J413" i="11"/>
  <c r="I413" i="11"/>
  <c r="K412" i="11"/>
  <c r="J412" i="11"/>
  <c r="I412" i="11"/>
  <c r="K411" i="11"/>
  <c r="J411" i="11"/>
  <c r="I411" i="11"/>
  <c r="J410" i="11"/>
  <c r="K410" i="11" s="1"/>
  <c r="I410" i="11"/>
  <c r="K409" i="11"/>
  <c r="J409" i="11"/>
  <c r="I409" i="11"/>
  <c r="J408" i="11"/>
  <c r="K408" i="11" s="1"/>
  <c r="I408" i="11"/>
  <c r="J407" i="11"/>
  <c r="K407" i="11" s="1"/>
  <c r="I407" i="11"/>
  <c r="J406" i="11"/>
  <c r="K406" i="11" s="1"/>
  <c r="I406" i="11"/>
  <c r="K405" i="11"/>
  <c r="J405" i="11"/>
  <c r="I405" i="11"/>
  <c r="J404" i="11"/>
  <c r="K404" i="11" s="1"/>
  <c r="I404" i="11"/>
  <c r="K403" i="11"/>
  <c r="J403" i="11"/>
  <c r="I403" i="11"/>
  <c r="K402" i="11"/>
  <c r="J402" i="11"/>
  <c r="I402" i="11"/>
  <c r="K401" i="11"/>
  <c r="J401" i="11"/>
  <c r="I401" i="11"/>
  <c r="J400" i="11"/>
  <c r="K400" i="11" s="1"/>
  <c r="I400" i="11"/>
  <c r="J399" i="11"/>
  <c r="K399" i="11" s="1"/>
  <c r="I399" i="11"/>
  <c r="J398" i="11"/>
  <c r="K398" i="11" s="1"/>
  <c r="I398" i="11"/>
  <c r="K397" i="11"/>
  <c r="J397" i="11"/>
  <c r="I397" i="11"/>
  <c r="K396" i="11"/>
  <c r="J396" i="11"/>
  <c r="I396" i="11"/>
  <c r="K395" i="11"/>
  <c r="J395" i="11"/>
  <c r="I395" i="11"/>
  <c r="J394" i="11"/>
  <c r="K394" i="11" s="1"/>
  <c r="I394" i="11"/>
  <c r="K393" i="11"/>
  <c r="J393" i="11"/>
  <c r="I393" i="11"/>
  <c r="K392" i="11"/>
  <c r="J392" i="11"/>
  <c r="I392" i="11"/>
  <c r="K391" i="11"/>
  <c r="J391" i="11"/>
  <c r="I391" i="11"/>
  <c r="K390" i="11"/>
  <c r="J390" i="11"/>
  <c r="I390" i="11"/>
  <c r="K389" i="11"/>
  <c r="J389" i="11"/>
  <c r="I389" i="11"/>
  <c r="J388" i="11"/>
  <c r="K388" i="11" s="1"/>
  <c r="I388" i="11"/>
  <c r="K387" i="11"/>
  <c r="J387" i="11"/>
  <c r="I387" i="11"/>
  <c r="K386" i="11"/>
  <c r="J386" i="11"/>
  <c r="I386" i="11"/>
  <c r="K385" i="11"/>
  <c r="J385" i="11"/>
  <c r="I385" i="11"/>
  <c r="J384" i="11"/>
  <c r="K384" i="11" s="1"/>
  <c r="I384" i="11"/>
  <c r="K383" i="11"/>
  <c r="J383" i="11"/>
  <c r="I383" i="11"/>
  <c r="K382" i="11"/>
  <c r="J382" i="11"/>
  <c r="I382" i="11"/>
  <c r="K381" i="11"/>
  <c r="J381" i="11"/>
  <c r="I381" i="11"/>
  <c r="K380" i="11"/>
  <c r="J380" i="11"/>
  <c r="I380" i="11"/>
  <c r="K379" i="11"/>
  <c r="J379" i="11"/>
  <c r="I379" i="11"/>
  <c r="J378" i="11"/>
  <c r="K378" i="11" s="1"/>
  <c r="I378" i="11"/>
  <c r="J377" i="11"/>
  <c r="K377" i="11" s="1"/>
  <c r="I377" i="11"/>
  <c r="K376" i="11"/>
  <c r="J376" i="11"/>
  <c r="I376" i="11"/>
  <c r="K375" i="11"/>
  <c r="J375" i="11"/>
  <c r="I375" i="11"/>
  <c r="J374" i="11"/>
  <c r="K374" i="11" s="1"/>
  <c r="I374" i="11"/>
  <c r="K373" i="11"/>
  <c r="J373" i="11"/>
  <c r="I373" i="11"/>
  <c r="K372" i="11"/>
  <c r="J372" i="11"/>
  <c r="I372" i="11"/>
  <c r="K371" i="11"/>
  <c r="J371" i="11"/>
  <c r="I371" i="11"/>
  <c r="J370" i="11"/>
  <c r="K370" i="11" s="1"/>
  <c r="I370" i="11"/>
  <c r="K369" i="11"/>
  <c r="J369" i="11"/>
  <c r="I369" i="11"/>
  <c r="J368" i="11"/>
  <c r="K368" i="11" s="1"/>
  <c r="I368" i="11"/>
  <c r="J367" i="11"/>
  <c r="K367" i="11" s="1"/>
  <c r="I367" i="11"/>
  <c r="J366" i="11"/>
  <c r="K366" i="11" s="1"/>
  <c r="I366" i="11"/>
  <c r="K365" i="11"/>
  <c r="J365" i="11"/>
  <c r="I365" i="11"/>
  <c r="J364" i="11"/>
  <c r="K364" i="11" s="1"/>
  <c r="I364" i="11"/>
  <c r="K363" i="11"/>
  <c r="J363" i="11"/>
  <c r="I363" i="11"/>
  <c r="K362" i="11"/>
  <c r="J362" i="11"/>
  <c r="I362" i="11"/>
  <c r="K361" i="11"/>
  <c r="J361" i="11"/>
  <c r="I361" i="11"/>
  <c r="J360" i="11"/>
  <c r="K360" i="11" s="1"/>
  <c r="I360" i="11"/>
  <c r="J359" i="11"/>
  <c r="K359" i="11" s="1"/>
  <c r="I359" i="11"/>
  <c r="J358" i="11"/>
  <c r="K358" i="11" s="1"/>
  <c r="I358" i="11"/>
  <c r="J357" i="11"/>
  <c r="K357" i="11" s="1"/>
  <c r="I357" i="11"/>
  <c r="J356" i="11"/>
  <c r="K356" i="11" s="1"/>
  <c r="I356" i="11"/>
  <c r="K355" i="11"/>
  <c r="J355" i="11"/>
  <c r="I355" i="11"/>
  <c r="J354" i="11"/>
  <c r="K354" i="11" s="1"/>
  <c r="I354" i="11"/>
  <c r="K353" i="11"/>
  <c r="J353" i="11"/>
  <c r="I353" i="11"/>
  <c r="K352" i="11"/>
  <c r="J352" i="11"/>
  <c r="I352" i="11"/>
  <c r="K351" i="11"/>
  <c r="J351" i="11"/>
  <c r="I351" i="11"/>
  <c r="J350" i="11"/>
  <c r="K350" i="11" s="1"/>
  <c r="I350" i="11"/>
  <c r="J349" i="11"/>
  <c r="K349" i="11" s="1"/>
  <c r="I349" i="11"/>
  <c r="J348" i="11"/>
  <c r="K348" i="11" s="1"/>
  <c r="I348" i="11"/>
  <c r="K347" i="11"/>
  <c r="J347" i="11"/>
  <c r="I347" i="11"/>
  <c r="K346" i="11"/>
  <c r="J346" i="11"/>
  <c r="I346" i="11"/>
  <c r="K345" i="11"/>
  <c r="J345" i="11"/>
  <c r="I345" i="11"/>
  <c r="J344" i="11"/>
  <c r="K344" i="11" s="1"/>
  <c r="I344" i="11"/>
  <c r="K343" i="11"/>
  <c r="J343" i="11"/>
  <c r="I343" i="11"/>
  <c r="K342" i="11"/>
  <c r="J342" i="11"/>
  <c r="I342" i="11"/>
  <c r="K341" i="11"/>
  <c r="J341" i="11"/>
  <c r="I341" i="11"/>
  <c r="K340" i="11"/>
  <c r="J340" i="11"/>
  <c r="I340" i="11"/>
  <c r="K339" i="11"/>
  <c r="J339" i="11"/>
  <c r="I339" i="11"/>
  <c r="J338" i="11"/>
  <c r="K338" i="11" s="1"/>
  <c r="I338" i="11"/>
  <c r="K337" i="11"/>
  <c r="J337" i="11"/>
  <c r="I337" i="11"/>
  <c r="K336" i="11"/>
  <c r="J336" i="11"/>
  <c r="I336" i="11"/>
  <c r="K335" i="11"/>
  <c r="J335" i="11"/>
  <c r="I335" i="11"/>
  <c r="J334" i="11"/>
  <c r="K334" i="11" s="1"/>
  <c r="I334" i="11"/>
  <c r="K333" i="11"/>
  <c r="J333" i="11"/>
  <c r="I333" i="11"/>
  <c r="K332" i="11"/>
  <c r="J332" i="11"/>
  <c r="I332" i="11"/>
  <c r="K331" i="11"/>
  <c r="J331" i="11"/>
  <c r="I331" i="11"/>
  <c r="K330" i="11"/>
  <c r="J330" i="11"/>
  <c r="I330" i="11"/>
  <c r="K329" i="11"/>
  <c r="J329" i="11"/>
  <c r="I329" i="11"/>
  <c r="J328" i="11"/>
  <c r="K328" i="11" s="1"/>
  <c r="I328" i="11"/>
  <c r="J327" i="11"/>
  <c r="K327" i="11" s="1"/>
  <c r="I327" i="11"/>
  <c r="K326" i="11"/>
  <c r="J326" i="11"/>
  <c r="I326" i="11"/>
  <c r="K325" i="11"/>
  <c r="J325" i="11"/>
  <c r="I325" i="11"/>
  <c r="J324" i="11"/>
  <c r="K324" i="11" s="1"/>
  <c r="I324" i="11"/>
  <c r="J323" i="11"/>
  <c r="K323" i="11" s="1"/>
  <c r="I323" i="11"/>
  <c r="K322" i="11"/>
  <c r="J322" i="11"/>
  <c r="I322" i="11"/>
  <c r="K321" i="11"/>
  <c r="J321" i="11"/>
  <c r="I321" i="11"/>
  <c r="J320" i="11"/>
  <c r="K320" i="11" s="1"/>
  <c r="I320" i="11"/>
  <c r="K319" i="11"/>
  <c r="J319" i="11"/>
  <c r="I319" i="11"/>
  <c r="J318" i="11"/>
  <c r="K318" i="11" s="1"/>
  <c r="I318" i="11"/>
  <c r="J317" i="11"/>
  <c r="K317" i="11" s="1"/>
  <c r="I317" i="11"/>
  <c r="J316" i="11"/>
  <c r="K316" i="11" s="1"/>
  <c r="I316" i="11"/>
  <c r="K315" i="11"/>
  <c r="J315" i="11"/>
  <c r="I315" i="11"/>
  <c r="J314" i="11"/>
  <c r="K314" i="11" s="1"/>
  <c r="I314" i="11"/>
  <c r="K313" i="11"/>
  <c r="J313" i="11"/>
  <c r="I313" i="11"/>
  <c r="K312" i="11"/>
  <c r="J312" i="11"/>
  <c r="I312" i="11"/>
  <c r="K311" i="11"/>
  <c r="J311" i="11"/>
  <c r="I311" i="11"/>
  <c r="J310" i="11"/>
  <c r="K310" i="11" s="1"/>
  <c r="I310" i="11"/>
  <c r="J309" i="11"/>
  <c r="K309" i="11" s="1"/>
  <c r="I309" i="11"/>
  <c r="J308" i="11"/>
  <c r="K308" i="11" s="1"/>
  <c r="I308" i="11"/>
  <c r="J307" i="11"/>
  <c r="K307" i="11" s="1"/>
  <c r="I307" i="11"/>
  <c r="K306" i="11"/>
  <c r="J306" i="11"/>
  <c r="I306" i="11"/>
  <c r="K305" i="11"/>
  <c r="J305" i="11"/>
  <c r="I305" i="11"/>
  <c r="J304" i="11"/>
  <c r="K304" i="11" s="1"/>
  <c r="I304" i="11"/>
  <c r="K303" i="11"/>
  <c r="J303" i="11"/>
  <c r="I303" i="11"/>
  <c r="K302" i="11"/>
  <c r="J302" i="11"/>
  <c r="I302" i="11"/>
  <c r="K301" i="11"/>
  <c r="J301" i="11"/>
  <c r="I301" i="11"/>
  <c r="J300" i="11"/>
  <c r="K300" i="11" s="1"/>
  <c r="I300" i="11"/>
  <c r="K299" i="11"/>
  <c r="J299" i="11"/>
  <c r="I299" i="11"/>
  <c r="J298" i="11"/>
  <c r="K298" i="11" s="1"/>
  <c r="I298" i="11"/>
  <c r="K297" i="11"/>
  <c r="J297" i="11"/>
  <c r="I297" i="11"/>
  <c r="K296" i="11"/>
  <c r="J296" i="11"/>
  <c r="I296" i="11"/>
  <c r="K295" i="11"/>
  <c r="J295" i="11"/>
  <c r="I295" i="11"/>
  <c r="J294" i="11"/>
  <c r="K294" i="11" s="1"/>
  <c r="I294" i="11"/>
  <c r="K293" i="11"/>
  <c r="J293" i="11"/>
  <c r="I293" i="11"/>
  <c r="K292" i="11"/>
  <c r="J292" i="11"/>
  <c r="I292" i="11"/>
  <c r="K291" i="11"/>
  <c r="J291" i="11"/>
  <c r="I291" i="11"/>
  <c r="K290" i="11"/>
  <c r="J290" i="11"/>
  <c r="I290" i="11"/>
  <c r="K289" i="11"/>
  <c r="J289" i="11"/>
  <c r="I289" i="11"/>
  <c r="J288" i="11"/>
  <c r="K288" i="11" s="1"/>
  <c r="I288" i="11"/>
  <c r="K287" i="11"/>
  <c r="J287" i="11"/>
  <c r="I287" i="11"/>
  <c r="K286" i="11"/>
  <c r="J286" i="11"/>
  <c r="I286" i="11"/>
  <c r="K285" i="11"/>
  <c r="J285" i="11"/>
  <c r="I285" i="11"/>
  <c r="J284" i="11"/>
  <c r="K284" i="11" s="1"/>
  <c r="I284" i="11"/>
  <c r="K283" i="11"/>
  <c r="J283" i="11"/>
  <c r="I283" i="11"/>
  <c r="K282" i="11"/>
  <c r="J282" i="11"/>
  <c r="I282" i="11"/>
  <c r="K281" i="11"/>
  <c r="J281" i="11"/>
  <c r="I281" i="11"/>
  <c r="K280" i="11"/>
  <c r="J280" i="11"/>
  <c r="I280" i="11"/>
  <c r="K279" i="11"/>
  <c r="J279" i="11"/>
  <c r="I279" i="11"/>
  <c r="J278" i="11"/>
  <c r="K278" i="11" s="1"/>
  <c r="I278" i="11"/>
  <c r="K277" i="11"/>
  <c r="J277" i="11"/>
  <c r="I277" i="11"/>
  <c r="K276" i="11"/>
  <c r="J276" i="11"/>
  <c r="I276" i="11"/>
  <c r="K275" i="11"/>
  <c r="J275" i="11"/>
  <c r="I275" i="11"/>
  <c r="J274" i="11"/>
  <c r="K274" i="11" s="1"/>
  <c r="I274" i="11"/>
  <c r="K273" i="11"/>
  <c r="J273" i="11"/>
  <c r="I273" i="11"/>
  <c r="K272" i="11"/>
  <c r="J272" i="11"/>
  <c r="I272" i="11"/>
  <c r="K271" i="11"/>
  <c r="J271" i="11"/>
  <c r="I271" i="11"/>
  <c r="K270" i="11"/>
  <c r="J270" i="11"/>
  <c r="I270" i="11"/>
  <c r="K269" i="11"/>
  <c r="J269" i="11"/>
  <c r="I269" i="11"/>
  <c r="J268" i="11"/>
  <c r="K268" i="11" s="1"/>
  <c r="I268" i="11"/>
  <c r="J267" i="11"/>
  <c r="K267" i="11" s="1"/>
  <c r="I267" i="11"/>
  <c r="K266" i="11"/>
  <c r="J266" i="11"/>
  <c r="I266" i="11"/>
  <c r="K265" i="11"/>
  <c r="J265" i="11"/>
  <c r="I265" i="11"/>
  <c r="J264" i="11"/>
  <c r="K264" i="11" s="1"/>
  <c r="I264" i="11"/>
  <c r="J263" i="11"/>
  <c r="K263" i="11" s="1"/>
  <c r="I263" i="11"/>
  <c r="K262" i="11"/>
  <c r="J262" i="11"/>
  <c r="I262" i="11"/>
  <c r="K261" i="11"/>
  <c r="J261" i="11"/>
  <c r="I261" i="11"/>
  <c r="J260" i="11"/>
  <c r="K260" i="11" s="1"/>
  <c r="I260" i="11"/>
  <c r="K259" i="11"/>
  <c r="J259" i="11"/>
  <c r="I259" i="11"/>
  <c r="J258" i="11"/>
  <c r="K258" i="11" s="1"/>
  <c r="I258" i="11"/>
  <c r="J257" i="11"/>
  <c r="K257" i="11" s="1"/>
  <c r="I257" i="11"/>
  <c r="K256" i="11"/>
  <c r="J256" i="11"/>
  <c r="I256" i="11"/>
  <c r="K255" i="11"/>
  <c r="J255" i="11"/>
  <c r="I255" i="11"/>
  <c r="J254" i="11"/>
  <c r="K254" i="11" s="1"/>
  <c r="I254" i="11"/>
  <c r="K253" i="11"/>
  <c r="J253" i="11"/>
  <c r="I253" i="11"/>
  <c r="K252" i="11"/>
  <c r="J252" i="11"/>
  <c r="I252" i="11"/>
  <c r="K251" i="11"/>
  <c r="J251" i="11"/>
  <c r="I251" i="11"/>
  <c r="J250" i="11"/>
  <c r="K250" i="11" s="1"/>
  <c r="I250" i="11"/>
  <c r="J249" i="11"/>
  <c r="K249" i="11" s="1"/>
  <c r="I249" i="11"/>
  <c r="J248" i="11"/>
  <c r="K248" i="11" s="1"/>
  <c r="I248" i="11"/>
  <c r="K247" i="11"/>
  <c r="J247" i="11"/>
  <c r="I247" i="11"/>
  <c r="K246" i="11"/>
  <c r="J246" i="11"/>
  <c r="I246" i="11"/>
  <c r="K245" i="11"/>
  <c r="J245" i="11"/>
  <c r="I245" i="11"/>
  <c r="J244" i="11"/>
  <c r="K244" i="11" s="1"/>
  <c r="I244" i="11"/>
  <c r="K243" i="11"/>
  <c r="J243" i="11"/>
  <c r="I243" i="11"/>
  <c r="K242" i="11"/>
  <c r="J242" i="11"/>
  <c r="I242" i="11"/>
  <c r="K241" i="11"/>
  <c r="J241" i="11"/>
  <c r="I241" i="11"/>
  <c r="K240" i="11"/>
  <c r="J240" i="11"/>
  <c r="I240" i="11"/>
  <c r="K239" i="11"/>
  <c r="J239" i="11"/>
  <c r="I239" i="11"/>
  <c r="J238" i="11"/>
  <c r="K238" i="11" s="1"/>
  <c r="I238" i="11"/>
  <c r="J237" i="11"/>
  <c r="K237" i="11" s="1"/>
  <c r="I237" i="11"/>
  <c r="K236" i="11"/>
  <c r="J236" i="11"/>
  <c r="I236" i="11"/>
  <c r="K235" i="11"/>
  <c r="J235" i="11"/>
  <c r="I235" i="11"/>
  <c r="J234" i="11"/>
  <c r="K234" i="11" s="1"/>
  <c r="I234" i="11"/>
  <c r="K233" i="11"/>
  <c r="J233" i="11"/>
  <c r="I233" i="11"/>
  <c r="K232" i="11"/>
  <c r="J232" i="11"/>
  <c r="I232" i="11"/>
  <c r="K231" i="11"/>
  <c r="J231" i="11"/>
  <c r="I231" i="11"/>
  <c r="J230" i="11"/>
  <c r="K230" i="11" s="1"/>
  <c r="I230" i="11"/>
  <c r="K229" i="11"/>
  <c r="J229" i="11"/>
  <c r="I229" i="11"/>
  <c r="J228" i="11"/>
  <c r="K228" i="11" s="1"/>
  <c r="I228" i="11"/>
  <c r="K227" i="11"/>
  <c r="J227" i="11"/>
  <c r="I227" i="11"/>
  <c r="K226" i="11"/>
  <c r="J226" i="11"/>
  <c r="I226" i="11"/>
  <c r="K225" i="11"/>
  <c r="J225" i="11"/>
  <c r="I225" i="11"/>
  <c r="J224" i="11"/>
  <c r="K224" i="11" s="1"/>
  <c r="I224" i="11"/>
  <c r="J223" i="11"/>
  <c r="K223" i="11" s="1"/>
  <c r="I223" i="11"/>
  <c r="K222" i="11"/>
  <c r="J222" i="11"/>
  <c r="I222" i="11"/>
  <c r="K221" i="11"/>
  <c r="J221" i="11"/>
  <c r="I221" i="11"/>
  <c r="K220" i="11"/>
  <c r="J220" i="11"/>
  <c r="I220" i="11"/>
  <c r="K219" i="11"/>
  <c r="J219" i="11"/>
  <c r="I219" i="11"/>
  <c r="J218" i="11"/>
  <c r="K218" i="11" s="1"/>
  <c r="I218" i="11"/>
  <c r="J217" i="11"/>
  <c r="K217" i="11" s="1"/>
  <c r="I217" i="11"/>
  <c r="K216" i="11"/>
  <c r="J216" i="11"/>
  <c r="I216" i="11"/>
  <c r="K215" i="11"/>
  <c r="J215" i="11"/>
  <c r="I215" i="11"/>
  <c r="J214" i="11"/>
  <c r="K214" i="11" s="1"/>
  <c r="I214" i="11"/>
  <c r="J213" i="11"/>
  <c r="K213" i="11" s="1"/>
  <c r="I213" i="11"/>
  <c r="K212" i="11"/>
  <c r="J212" i="11"/>
  <c r="I212" i="11"/>
  <c r="K211" i="11"/>
  <c r="J211" i="11"/>
  <c r="I211" i="11"/>
  <c r="J210" i="11"/>
  <c r="K210" i="11" s="1"/>
  <c r="I210" i="11"/>
  <c r="J209" i="11"/>
  <c r="K209" i="11" s="1"/>
  <c r="I209" i="11"/>
  <c r="J208" i="11"/>
  <c r="K208" i="11" s="1"/>
  <c r="I208" i="11"/>
  <c r="J207" i="11"/>
  <c r="K207" i="11" s="1"/>
  <c r="I207" i="11"/>
  <c r="K206" i="11"/>
  <c r="J206" i="11"/>
  <c r="I206" i="11"/>
  <c r="K205" i="11"/>
  <c r="J205" i="11"/>
  <c r="I205" i="11"/>
  <c r="J204" i="11"/>
  <c r="K204" i="11" s="1"/>
  <c r="I204" i="11"/>
  <c r="K203" i="11"/>
  <c r="J203" i="11"/>
  <c r="I203" i="11"/>
  <c r="K202" i="11"/>
  <c r="J202" i="11"/>
  <c r="I202" i="11"/>
  <c r="K201" i="11"/>
  <c r="J201" i="11"/>
  <c r="I201" i="11"/>
  <c r="J200" i="11"/>
  <c r="K200" i="11" s="1"/>
  <c r="I200" i="11"/>
  <c r="K199" i="11"/>
  <c r="J199" i="11"/>
  <c r="I199" i="11"/>
  <c r="J198" i="11"/>
  <c r="K198" i="11" s="1"/>
  <c r="I198" i="11"/>
  <c r="K197" i="11"/>
  <c r="J197" i="11"/>
  <c r="I197" i="11"/>
  <c r="K196" i="11"/>
  <c r="J196" i="11"/>
  <c r="I196" i="11"/>
  <c r="K195" i="11"/>
  <c r="J195" i="11"/>
  <c r="I195" i="11"/>
  <c r="J194" i="11"/>
  <c r="K194" i="11" s="1"/>
  <c r="I194" i="11"/>
  <c r="K193" i="11"/>
  <c r="J193" i="11"/>
  <c r="I193" i="11"/>
  <c r="K192" i="11"/>
  <c r="J192" i="11"/>
  <c r="I192" i="11"/>
  <c r="K191" i="11"/>
  <c r="J191" i="11"/>
  <c r="I191" i="11"/>
  <c r="K190" i="11"/>
  <c r="J190" i="11"/>
  <c r="I190" i="11"/>
  <c r="K189" i="11"/>
  <c r="J189" i="11"/>
  <c r="I189" i="11"/>
  <c r="J188" i="11"/>
  <c r="K188" i="11" s="1"/>
  <c r="I188" i="11"/>
  <c r="J187" i="11"/>
  <c r="K187" i="11" s="1"/>
  <c r="I187" i="11"/>
  <c r="K186" i="11"/>
  <c r="J186" i="11"/>
  <c r="I186" i="11"/>
  <c r="K185" i="11"/>
  <c r="J185" i="11"/>
  <c r="I185" i="11"/>
  <c r="J184" i="11"/>
  <c r="K184" i="11" s="1"/>
  <c r="I184" i="11"/>
  <c r="K183" i="11"/>
  <c r="J183" i="11"/>
  <c r="I183" i="11"/>
  <c r="K182" i="11"/>
  <c r="J182" i="11"/>
  <c r="I182" i="11"/>
  <c r="K181" i="11"/>
  <c r="J181" i="11"/>
  <c r="I181" i="11"/>
  <c r="J180" i="11"/>
  <c r="K180" i="11" s="1"/>
  <c r="I180" i="11"/>
  <c r="K179" i="11"/>
  <c r="J179" i="11"/>
  <c r="I179" i="11"/>
  <c r="J178" i="11"/>
  <c r="K178" i="11" s="1"/>
  <c r="I178" i="11"/>
  <c r="K177" i="11"/>
  <c r="J177" i="11"/>
  <c r="I177" i="11"/>
  <c r="K176" i="11"/>
  <c r="J176" i="11"/>
  <c r="I176" i="11"/>
  <c r="K175" i="11"/>
  <c r="J175" i="11"/>
  <c r="I175" i="11"/>
  <c r="J174" i="11"/>
  <c r="K174" i="11" s="1"/>
  <c r="I174" i="11"/>
  <c r="K173" i="11"/>
  <c r="J173" i="11"/>
  <c r="I173" i="11"/>
  <c r="K172" i="11"/>
  <c r="J172" i="11"/>
  <c r="I172" i="11"/>
  <c r="K171" i="11"/>
  <c r="J171" i="11"/>
  <c r="I171" i="11"/>
  <c r="K170" i="11"/>
  <c r="J170" i="11"/>
  <c r="I170" i="11"/>
  <c r="K169" i="11"/>
  <c r="J169" i="11"/>
  <c r="I169" i="11"/>
  <c r="J168" i="11"/>
  <c r="K168" i="11" s="1"/>
  <c r="I168" i="11"/>
  <c r="J167" i="11"/>
  <c r="K167" i="11" s="1"/>
  <c r="I167" i="11"/>
  <c r="K166" i="11"/>
  <c r="J166" i="11"/>
  <c r="I166" i="11"/>
  <c r="K165" i="11"/>
  <c r="J165" i="11"/>
  <c r="I165" i="11"/>
  <c r="J164" i="11"/>
  <c r="K164" i="11" s="1"/>
  <c r="I164" i="11"/>
  <c r="K163" i="11"/>
  <c r="J163" i="11"/>
  <c r="I163" i="11"/>
  <c r="K162" i="11"/>
  <c r="J162" i="11"/>
  <c r="I162" i="11"/>
  <c r="K161" i="11"/>
  <c r="J161" i="11"/>
  <c r="I161" i="11"/>
  <c r="J160" i="11"/>
  <c r="K160" i="11" s="1"/>
  <c r="I160" i="11"/>
  <c r="K159" i="11"/>
  <c r="J159" i="11"/>
  <c r="I159" i="11"/>
  <c r="J158" i="11"/>
  <c r="K158" i="11" s="1"/>
  <c r="I158" i="11"/>
  <c r="J157" i="11"/>
  <c r="K157" i="11" s="1"/>
  <c r="I157" i="11"/>
  <c r="J156" i="11"/>
  <c r="K156" i="11" s="1"/>
  <c r="I156" i="11"/>
  <c r="K155" i="11"/>
  <c r="J155" i="11"/>
  <c r="I155" i="11"/>
  <c r="J154" i="11"/>
  <c r="K154" i="11" s="1"/>
  <c r="I154" i="11"/>
  <c r="K153" i="11"/>
  <c r="J153" i="11"/>
  <c r="I153" i="11"/>
  <c r="K152" i="11"/>
  <c r="J152" i="11"/>
  <c r="I152" i="11"/>
  <c r="K151" i="11"/>
  <c r="J151" i="11"/>
  <c r="I151" i="11"/>
  <c r="J150" i="11"/>
  <c r="K150" i="11" s="1"/>
  <c r="I150" i="11"/>
  <c r="J149" i="11"/>
  <c r="K149" i="11" s="1"/>
  <c r="I149" i="11"/>
  <c r="J148" i="11"/>
  <c r="K148" i="11" s="1"/>
  <c r="I148" i="11"/>
  <c r="K147" i="11"/>
  <c r="J147" i="11"/>
  <c r="I147" i="11"/>
  <c r="K146" i="11"/>
  <c r="J146" i="11"/>
  <c r="I146" i="11"/>
  <c r="K145" i="11"/>
  <c r="J145" i="11"/>
  <c r="I145" i="11"/>
  <c r="J144" i="11"/>
  <c r="K144" i="11" s="1"/>
  <c r="I144" i="11"/>
  <c r="K143" i="11"/>
  <c r="J143" i="11"/>
  <c r="I143" i="11"/>
  <c r="K142" i="11"/>
  <c r="J142" i="11"/>
  <c r="I142" i="11"/>
  <c r="K141" i="11"/>
  <c r="J141" i="11"/>
  <c r="I141" i="11"/>
  <c r="K140" i="11"/>
  <c r="J140" i="11"/>
  <c r="I140" i="11"/>
  <c r="K139" i="11"/>
  <c r="J139" i="11"/>
  <c r="I139" i="11"/>
  <c r="J138" i="11"/>
  <c r="K138" i="11" s="1"/>
  <c r="I138" i="11"/>
  <c r="K137" i="11"/>
  <c r="J137" i="11"/>
  <c r="I137" i="11"/>
  <c r="K136" i="11"/>
  <c r="J136" i="11"/>
  <c r="I136" i="11"/>
  <c r="K135" i="11"/>
  <c r="J135" i="11"/>
  <c r="I135" i="11"/>
  <c r="J134" i="11"/>
  <c r="K134" i="11" s="1"/>
  <c r="I134" i="11"/>
  <c r="K133" i="11"/>
  <c r="J133" i="11"/>
  <c r="I133" i="11"/>
  <c r="K132" i="11"/>
  <c r="J132" i="11"/>
  <c r="I132" i="11"/>
  <c r="K131" i="11"/>
  <c r="J131" i="11"/>
  <c r="I131" i="11"/>
  <c r="K130" i="11"/>
  <c r="J130" i="11"/>
  <c r="I130" i="11"/>
  <c r="K129" i="11"/>
  <c r="J129" i="11"/>
  <c r="I129" i="11"/>
  <c r="J128" i="11"/>
  <c r="K128" i="11" s="1"/>
  <c r="I128" i="11"/>
  <c r="J127" i="11"/>
  <c r="K127" i="11" s="1"/>
  <c r="I127" i="11"/>
  <c r="K126" i="11"/>
  <c r="J126" i="11"/>
  <c r="I126" i="11"/>
  <c r="K125" i="11"/>
  <c r="J125" i="11"/>
  <c r="I125" i="11"/>
  <c r="J124" i="11"/>
  <c r="K124" i="11" s="1"/>
  <c r="I124" i="11"/>
  <c r="K123" i="11"/>
  <c r="J123" i="11"/>
  <c r="I123" i="11"/>
  <c r="K122" i="11"/>
  <c r="J122" i="11"/>
  <c r="I122" i="11"/>
  <c r="K121" i="11"/>
  <c r="J121" i="11"/>
  <c r="I121" i="11"/>
  <c r="J120" i="11"/>
  <c r="K120" i="11" s="1"/>
  <c r="I120" i="11"/>
  <c r="K119" i="11"/>
  <c r="J119" i="11"/>
  <c r="I119" i="11"/>
  <c r="J118" i="11"/>
  <c r="K118" i="11" s="1"/>
  <c r="I118" i="11"/>
  <c r="J117" i="11"/>
  <c r="K117" i="11" s="1"/>
  <c r="I117" i="11"/>
  <c r="J116" i="11"/>
  <c r="K116" i="11" s="1"/>
  <c r="I116" i="11"/>
  <c r="K115" i="11"/>
  <c r="J115" i="11"/>
  <c r="I115" i="11"/>
  <c r="J114" i="11"/>
  <c r="K114" i="11" s="1"/>
  <c r="I114" i="11"/>
  <c r="K113" i="11"/>
  <c r="J113" i="11"/>
  <c r="I113" i="11"/>
  <c r="K112" i="11"/>
  <c r="J112" i="11"/>
  <c r="I112" i="11"/>
  <c r="K111" i="11"/>
  <c r="J111" i="11"/>
  <c r="I111" i="11"/>
  <c r="J110" i="11"/>
  <c r="K110" i="11" s="1"/>
  <c r="I110" i="11"/>
  <c r="J109" i="11"/>
  <c r="K109" i="11" s="1"/>
  <c r="I109" i="11"/>
  <c r="J108" i="11"/>
  <c r="K108" i="11" s="1"/>
  <c r="I108" i="11"/>
  <c r="J107" i="11"/>
  <c r="K107" i="11" s="1"/>
  <c r="I107" i="11"/>
  <c r="J106" i="11"/>
  <c r="K106" i="11" s="1"/>
  <c r="I106" i="11"/>
  <c r="K105" i="11"/>
  <c r="J105" i="11"/>
  <c r="I105" i="11"/>
  <c r="J104" i="11"/>
  <c r="K104" i="11" s="1"/>
  <c r="I104" i="11"/>
  <c r="K103" i="11"/>
  <c r="J103" i="11"/>
  <c r="I103" i="11"/>
  <c r="K102" i="11"/>
  <c r="J102" i="11"/>
  <c r="I102" i="11"/>
  <c r="K101" i="11"/>
  <c r="J101" i="11"/>
  <c r="I101" i="11"/>
  <c r="J100" i="11"/>
  <c r="K100" i="11" s="1"/>
  <c r="I100" i="11"/>
  <c r="K99" i="11"/>
  <c r="J99" i="11"/>
  <c r="I99" i="11"/>
  <c r="J98" i="11"/>
  <c r="K98" i="11" s="1"/>
  <c r="I98" i="11"/>
  <c r="K97" i="11"/>
  <c r="J97" i="11"/>
  <c r="I97" i="11"/>
  <c r="K96" i="11"/>
  <c r="J96" i="11"/>
  <c r="I96" i="11"/>
  <c r="K95" i="11"/>
  <c r="J95" i="11"/>
  <c r="I95" i="11"/>
  <c r="J94" i="11"/>
  <c r="K94" i="11" s="1"/>
  <c r="I94" i="11"/>
  <c r="J93" i="11"/>
  <c r="K93" i="11" s="1"/>
  <c r="I93" i="11"/>
  <c r="K92" i="11"/>
  <c r="J92" i="11"/>
  <c r="I92" i="11"/>
  <c r="K91" i="11"/>
  <c r="J91" i="11"/>
  <c r="I91" i="11"/>
  <c r="K90" i="11"/>
  <c r="J90" i="11"/>
  <c r="I90" i="11"/>
  <c r="K89" i="11"/>
  <c r="J89" i="11"/>
  <c r="I89" i="11"/>
  <c r="J88" i="11"/>
  <c r="K88" i="11" s="1"/>
  <c r="I88" i="11"/>
  <c r="J87" i="11"/>
  <c r="K87" i="11" s="1"/>
  <c r="I87" i="11"/>
  <c r="K86" i="11"/>
  <c r="J86" i="11"/>
  <c r="I86" i="11"/>
  <c r="K85" i="11"/>
  <c r="J85" i="11"/>
  <c r="I85" i="11"/>
  <c r="J84" i="11"/>
  <c r="K84" i="11" s="1"/>
  <c r="I84" i="11"/>
  <c r="K83" i="11"/>
  <c r="J83" i="11"/>
  <c r="I83" i="11"/>
  <c r="K82" i="11"/>
  <c r="J82" i="11"/>
  <c r="I82" i="11"/>
  <c r="K81" i="11"/>
  <c r="J81" i="11"/>
  <c r="I81" i="11"/>
  <c r="J80" i="11"/>
  <c r="K80" i="11" s="1"/>
  <c r="I80" i="11"/>
  <c r="K79" i="11"/>
  <c r="J79" i="11"/>
  <c r="I79" i="11"/>
  <c r="J78" i="11"/>
  <c r="K78" i="11" s="1"/>
  <c r="I78" i="11"/>
  <c r="K77" i="11"/>
  <c r="J77" i="11"/>
  <c r="I77" i="11"/>
  <c r="K76" i="11"/>
  <c r="J76" i="11"/>
  <c r="I76" i="11"/>
  <c r="K75" i="11"/>
  <c r="J75" i="11"/>
  <c r="I75" i="11"/>
  <c r="J74" i="11"/>
  <c r="K74" i="11" s="1"/>
  <c r="I74" i="11"/>
  <c r="J73" i="11"/>
  <c r="K73" i="11" s="1"/>
  <c r="I73" i="11"/>
  <c r="K72" i="11"/>
  <c r="J72" i="11"/>
  <c r="I72" i="11"/>
  <c r="K71" i="11"/>
  <c r="J71" i="11"/>
  <c r="I71" i="11"/>
  <c r="K70" i="11"/>
  <c r="J70" i="11"/>
  <c r="I70" i="11"/>
  <c r="K69" i="11"/>
  <c r="J69" i="11"/>
  <c r="I69" i="11"/>
  <c r="J68" i="11"/>
  <c r="K68" i="11" s="1"/>
  <c r="I68" i="11"/>
  <c r="J67" i="11"/>
  <c r="K67" i="11" s="1"/>
  <c r="I67" i="11"/>
  <c r="K66" i="11"/>
  <c r="J66" i="11"/>
  <c r="I66" i="11"/>
  <c r="K65" i="11"/>
  <c r="J65" i="11"/>
  <c r="I65" i="11"/>
  <c r="J64" i="11"/>
  <c r="K64" i="11" s="1"/>
  <c r="I64" i="11"/>
  <c r="K63" i="11"/>
  <c r="J63" i="11"/>
  <c r="I63" i="11"/>
  <c r="K62" i="11"/>
  <c r="J62" i="11"/>
  <c r="I62" i="11"/>
  <c r="K61" i="11"/>
  <c r="J61" i="11"/>
  <c r="I61" i="11"/>
  <c r="J60" i="11"/>
  <c r="K60" i="11" s="1"/>
  <c r="I60" i="11"/>
  <c r="K59" i="11"/>
  <c r="J59" i="11"/>
  <c r="I59" i="11"/>
  <c r="J58" i="11"/>
  <c r="K58" i="11" s="1"/>
  <c r="I58" i="11"/>
  <c r="J57" i="11"/>
  <c r="K57" i="11" s="1"/>
  <c r="I57" i="11"/>
  <c r="K56" i="11"/>
  <c r="J56" i="11"/>
  <c r="I56" i="11"/>
  <c r="K55" i="11"/>
  <c r="J55" i="11"/>
  <c r="I55" i="11"/>
  <c r="J54" i="11"/>
  <c r="K54" i="11" s="1"/>
  <c r="I54" i="11"/>
  <c r="K53" i="11"/>
  <c r="J53" i="11"/>
  <c r="I53" i="11"/>
  <c r="K52" i="11"/>
  <c r="J52" i="11"/>
  <c r="I52" i="11"/>
  <c r="K51" i="11"/>
  <c r="J51" i="11"/>
  <c r="I51" i="11"/>
  <c r="J50" i="11"/>
  <c r="K50" i="11" s="1"/>
  <c r="I50" i="11"/>
  <c r="J49" i="11"/>
  <c r="K49" i="11" s="1"/>
  <c r="I49" i="11"/>
  <c r="J48" i="11"/>
  <c r="K48" i="11" s="1"/>
  <c r="I48" i="11"/>
  <c r="K47" i="11"/>
  <c r="J47" i="11"/>
  <c r="I47" i="11"/>
  <c r="K46" i="11"/>
  <c r="J46" i="11"/>
  <c r="I46" i="11"/>
  <c r="K45" i="11"/>
  <c r="J45" i="11"/>
  <c r="I45" i="11"/>
  <c r="J44" i="11"/>
  <c r="K44" i="11" s="1"/>
  <c r="I44" i="11"/>
  <c r="J43" i="11"/>
  <c r="K43" i="11" s="1"/>
  <c r="I43" i="11"/>
  <c r="K42" i="11"/>
  <c r="J42" i="11"/>
  <c r="I42" i="11"/>
  <c r="K41" i="11"/>
  <c r="J41" i="11"/>
  <c r="I41" i="11"/>
  <c r="K40" i="11"/>
  <c r="J40" i="11"/>
  <c r="I40" i="11"/>
  <c r="K39" i="11"/>
  <c r="J39" i="11"/>
  <c r="I39" i="11"/>
  <c r="J38" i="11"/>
  <c r="K38" i="11" s="1"/>
  <c r="I38" i="11"/>
  <c r="K37" i="11"/>
  <c r="J37" i="11"/>
  <c r="I37" i="11"/>
  <c r="J36" i="11"/>
  <c r="K36" i="11" s="1"/>
  <c r="I36" i="11"/>
  <c r="K35" i="11"/>
  <c r="J35" i="11"/>
  <c r="I35" i="11"/>
  <c r="J34" i="11"/>
  <c r="K34" i="11" s="1"/>
  <c r="I34" i="11"/>
  <c r="K33" i="11"/>
  <c r="J33" i="11"/>
  <c r="I33" i="11"/>
  <c r="K32" i="11"/>
  <c r="J32" i="11"/>
  <c r="I32" i="11"/>
  <c r="K31" i="11"/>
  <c r="J31" i="11"/>
  <c r="I31" i="11"/>
  <c r="K30" i="11"/>
  <c r="J30" i="11"/>
  <c r="I30" i="11"/>
  <c r="J29" i="11"/>
  <c r="K29" i="11" s="1"/>
  <c r="I29" i="11"/>
  <c r="J28" i="11"/>
  <c r="K28" i="11" s="1"/>
  <c r="I28" i="11"/>
  <c r="K27" i="11"/>
  <c r="J27" i="11"/>
  <c r="I27" i="11"/>
  <c r="K26" i="11"/>
  <c r="J26" i="11"/>
  <c r="I26" i="11"/>
  <c r="K25" i="11"/>
  <c r="J25" i="11"/>
  <c r="I25" i="11"/>
  <c r="J24" i="11"/>
  <c r="K24" i="11" s="1"/>
  <c r="I24" i="11"/>
  <c r="J23" i="11"/>
  <c r="K23" i="11" s="1"/>
  <c r="I23" i="11"/>
  <c r="K22" i="11"/>
  <c r="J22" i="11"/>
  <c r="I22" i="11"/>
  <c r="K21" i="11"/>
  <c r="J21" i="11"/>
  <c r="I21" i="11"/>
  <c r="K20" i="11"/>
  <c r="J20" i="11"/>
  <c r="I20" i="11"/>
  <c r="K19" i="11"/>
  <c r="J19" i="11"/>
  <c r="I19" i="11"/>
  <c r="J18" i="11"/>
  <c r="K18" i="11" s="1"/>
  <c r="I18" i="11"/>
  <c r="J17" i="11"/>
  <c r="K17" i="11" s="1"/>
  <c r="I17" i="11"/>
  <c r="K16" i="11"/>
  <c r="J16" i="11"/>
  <c r="I16" i="11"/>
  <c r="K15" i="11"/>
  <c r="J15" i="11"/>
  <c r="I15" i="11"/>
  <c r="J14" i="11"/>
  <c r="K14" i="11" s="1"/>
  <c r="I14" i="11"/>
  <c r="J13" i="11"/>
  <c r="K13" i="11" s="1"/>
  <c r="I13" i="11"/>
  <c r="K12" i="11"/>
  <c r="J12" i="11"/>
  <c r="I12" i="11"/>
  <c r="K11" i="11"/>
  <c r="J11" i="11"/>
  <c r="I11" i="11"/>
  <c r="J9" i="11"/>
  <c r="K9" i="11" s="1"/>
  <c r="I9" i="11"/>
  <c r="C3" i="11"/>
  <c r="E82" i="10"/>
  <c r="D82" i="10"/>
  <c r="D26" i="9"/>
  <c r="E114" i="8"/>
  <c r="D114" i="8"/>
  <c r="C114" i="8"/>
  <c r="B114" i="8"/>
  <c r="D113" i="8"/>
  <c r="E113" i="8" s="1"/>
  <c r="C113" i="8"/>
  <c r="B113" i="8"/>
  <c r="E112" i="8"/>
  <c r="D112" i="8"/>
  <c r="C112" i="8"/>
  <c r="B112" i="8"/>
  <c r="E111" i="8"/>
  <c r="D111" i="8"/>
  <c r="C111" i="8"/>
  <c r="B111" i="8"/>
  <c r="D110" i="8"/>
  <c r="C110" i="8"/>
  <c r="B110" i="8"/>
  <c r="I104" i="8"/>
  <c r="J104" i="8" s="1"/>
  <c r="J103" i="8"/>
  <c r="I103" i="8"/>
  <c r="I102" i="8"/>
  <c r="J102" i="8" s="1"/>
  <c r="I101" i="8"/>
  <c r="J101" i="8" s="1"/>
  <c r="I100" i="8"/>
  <c r="J100" i="8" s="1"/>
  <c r="I99" i="8"/>
  <c r="J99" i="8" s="1"/>
  <c r="J98" i="8"/>
  <c r="I98" i="8"/>
  <c r="I97" i="8"/>
  <c r="J97" i="8" s="1"/>
  <c r="I96" i="8"/>
  <c r="J96" i="8" s="1"/>
  <c r="J95" i="8"/>
  <c r="I95" i="8"/>
  <c r="I94" i="8"/>
  <c r="J94" i="8" s="1"/>
  <c r="J93" i="8"/>
  <c r="I93" i="8"/>
  <c r="I92" i="8"/>
  <c r="J92" i="8" s="1"/>
  <c r="I91" i="8"/>
  <c r="J91" i="8" s="1"/>
  <c r="J90" i="8"/>
  <c r="I90" i="8"/>
  <c r="J89" i="8"/>
  <c r="I89" i="8"/>
  <c r="J88" i="8"/>
  <c r="I88" i="8"/>
  <c r="I87" i="8"/>
  <c r="J87" i="8" s="1"/>
  <c r="I86" i="8"/>
  <c r="J86" i="8" s="1"/>
  <c r="I85" i="8"/>
  <c r="J85" i="8" s="1"/>
  <c r="J84" i="8"/>
  <c r="I84" i="8"/>
  <c r="J83" i="8"/>
  <c r="I83" i="8"/>
  <c r="I82" i="8"/>
  <c r="J82" i="8" s="1"/>
  <c r="I81" i="8"/>
  <c r="J81" i="8" s="1"/>
  <c r="I80" i="8"/>
  <c r="J80" i="8" s="1"/>
  <c r="I79" i="8"/>
  <c r="J79" i="8" s="1"/>
  <c r="J78" i="8"/>
  <c r="I78" i="8"/>
  <c r="I77" i="8"/>
  <c r="J77" i="8" s="1"/>
  <c r="I76" i="8"/>
  <c r="J76" i="8" s="1"/>
  <c r="J75" i="8"/>
  <c r="I75" i="8"/>
  <c r="I74" i="8"/>
  <c r="J74" i="8" s="1"/>
  <c r="J73" i="8"/>
  <c r="I73" i="8"/>
  <c r="I72" i="8"/>
  <c r="J72" i="8" s="1"/>
  <c r="I71" i="8"/>
  <c r="J71" i="8" s="1"/>
  <c r="J70" i="8"/>
  <c r="I70" i="8"/>
  <c r="J69" i="8"/>
  <c r="I69" i="8"/>
  <c r="J68" i="8"/>
  <c r="I68" i="8"/>
  <c r="I67" i="8"/>
  <c r="J67" i="8" s="1"/>
  <c r="I66" i="8"/>
  <c r="J66" i="8" s="1"/>
  <c r="J65" i="8"/>
  <c r="I65" i="8"/>
  <c r="J64" i="8"/>
  <c r="I64" i="8"/>
  <c r="J63" i="8"/>
  <c r="I63" i="8"/>
  <c r="I62" i="8"/>
  <c r="J62" i="8" s="1"/>
  <c r="I61" i="8"/>
  <c r="J61" i="8" s="1"/>
  <c r="I60" i="8"/>
  <c r="J60" i="8" s="1"/>
  <c r="J59" i="8"/>
  <c r="I59" i="8"/>
  <c r="J58" i="8"/>
  <c r="I58" i="8"/>
  <c r="I57" i="8"/>
  <c r="J57" i="8" s="1"/>
  <c r="I56" i="8"/>
  <c r="J56" i="8" s="1"/>
  <c r="J55" i="8"/>
  <c r="I55" i="8"/>
  <c r="I54" i="8"/>
  <c r="J54" i="8" s="1"/>
  <c r="J53" i="8"/>
  <c r="I53" i="8"/>
  <c r="I52" i="8"/>
  <c r="J52" i="8" s="1"/>
  <c r="I51" i="8"/>
  <c r="J51" i="8" s="1"/>
  <c r="J50" i="8"/>
  <c r="I50" i="8"/>
  <c r="J49" i="8"/>
  <c r="I49" i="8"/>
  <c r="J48" i="8"/>
  <c r="I48" i="8"/>
  <c r="I47" i="8"/>
  <c r="J47" i="8" s="1"/>
  <c r="I46" i="8"/>
  <c r="J46" i="8" s="1"/>
  <c r="I45" i="8"/>
  <c r="J45" i="8" s="1"/>
  <c r="J44" i="8"/>
  <c r="I44" i="8"/>
  <c r="J43" i="8"/>
  <c r="I43" i="8"/>
  <c r="I42" i="8"/>
  <c r="J42" i="8" s="1"/>
  <c r="I41" i="8"/>
  <c r="J41" i="8" s="1"/>
  <c r="J40" i="8"/>
  <c r="I40" i="8"/>
  <c r="I39" i="8"/>
  <c r="J39" i="8" s="1"/>
  <c r="J38" i="8"/>
  <c r="I38" i="8"/>
  <c r="I37" i="8"/>
  <c r="J37" i="8" s="1"/>
  <c r="I36" i="8"/>
  <c r="J36" i="8" s="1"/>
  <c r="I35" i="8"/>
  <c r="J35" i="8" s="1"/>
  <c r="J34" i="8"/>
  <c r="I34" i="8"/>
  <c r="J33" i="8"/>
  <c r="I33" i="8"/>
  <c r="I32" i="8"/>
  <c r="J32" i="8" s="1"/>
  <c r="I31" i="8"/>
  <c r="J31" i="8" s="1"/>
  <c r="J30" i="8"/>
  <c r="I30" i="8"/>
  <c r="I29" i="8"/>
  <c r="J29" i="8" s="1"/>
  <c r="J28" i="8"/>
  <c r="I28" i="8"/>
  <c r="I27" i="8"/>
  <c r="J27" i="8" s="1"/>
  <c r="I26" i="8"/>
  <c r="J26" i="8" s="1"/>
  <c r="I25" i="8"/>
  <c r="J25" i="8" s="1"/>
  <c r="J24" i="8"/>
  <c r="I24" i="8"/>
  <c r="J23" i="8"/>
  <c r="I23" i="8"/>
  <c r="I22" i="8"/>
  <c r="J22" i="8" s="1"/>
  <c r="I21" i="8"/>
  <c r="J21" i="8" s="1"/>
  <c r="I20" i="8"/>
  <c r="J20" i="8" s="1"/>
  <c r="I19" i="8"/>
  <c r="J19" i="8" s="1"/>
  <c r="J18" i="8"/>
  <c r="I18" i="8"/>
  <c r="I17" i="8"/>
  <c r="J17" i="8" s="1"/>
  <c r="I16" i="8"/>
  <c r="J16" i="8" s="1"/>
  <c r="J15" i="8"/>
  <c r="I15" i="8"/>
  <c r="I14" i="8"/>
  <c r="J14" i="8" s="1"/>
  <c r="J13" i="8"/>
  <c r="I13" i="8"/>
  <c r="I12" i="8"/>
  <c r="J12" i="8" s="1"/>
  <c r="I11" i="8"/>
  <c r="J11" i="8" s="1"/>
  <c r="I10" i="8"/>
  <c r="J10" i="8" s="1"/>
  <c r="J9" i="8"/>
  <c r="I9" i="8"/>
  <c r="J8" i="8"/>
  <c r="I8" i="8"/>
  <c r="I7" i="8"/>
  <c r="J7" i="8" s="1"/>
  <c r="I6" i="8"/>
  <c r="J6" i="8" s="1"/>
  <c r="I5" i="8"/>
  <c r="J5" i="8" s="1"/>
  <c r="H3" i="8"/>
  <c r="G3" i="8"/>
  <c r="C3" i="8"/>
  <c r="K714" i="7"/>
  <c r="J714" i="7"/>
  <c r="J713" i="7"/>
  <c r="K713" i="7" s="1"/>
  <c r="K712" i="7"/>
  <c r="J712" i="7"/>
  <c r="J711" i="7"/>
  <c r="K711" i="7" s="1"/>
  <c r="K710" i="7"/>
  <c r="J710" i="7"/>
  <c r="K709" i="7"/>
  <c r="J709" i="7"/>
  <c r="J708" i="7"/>
  <c r="K708" i="7" s="1"/>
  <c r="K707" i="7"/>
  <c r="J707" i="7"/>
  <c r="J706" i="7"/>
  <c r="K706" i="7" s="1"/>
  <c r="K705" i="7"/>
  <c r="J705" i="7"/>
  <c r="K704" i="7"/>
  <c r="J704" i="7"/>
  <c r="J703" i="7"/>
  <c r="K703" i="7" s="1"/>
  <c r="K702" i="7"/>
  <c r="J702" i="7"/>
  <c r="J701" i="7"/>
  <c r="K701" i="7" s="1"/>
  <c r="K700" i="7"/>
  <c r="J700" i="7"/>
  <c r="K699" i="7"/>
  <c r="J699" i="7"/>
  <c r="K698" i="7"/>
  <c r="J698" i="7"/>
  <c r="K697" i="7"/>
  <c r="J697" i="7"/>
  <c r="J696" i="7"/>
  <c r="K696" i="7" s="1"/>
  <c r="K695" i="7"/>
  <c r="J695" i="7"/>
  <c r="K694" i="7"/>
  <c r="J694" i="7"/>
  <c r="K693" i="7"/>
  <c r="J693" i="7"/>
  <c r="K692" i="7"/>
  <c r="J692" i="7"/>
  <c r="J691" i="7"/>
  <c r="K691" i="7" s="1"/>
  <c r="K690" i="7"/>
  <c r="J690" i="7"/>
  <c r="K689" i="7"/>
  <c r="J689" i="7"/>
  <c r="K688" i="7"/>
  <c r="J688" i="7"/>
  <c r="K687" i="7"/>
  <c r="J687" i="7"/>
  <c r="J686" i="7"/>
  <c r="K686" i="7" s="1"/>
  <c r="K685" i="7"/>
  <c r="J685" i="7"/>
  <c r="K684" i="7"/>
  <c r="J684" i="7"/>
  <c r="K683" i="7"/>
  <c r="J683" i="7"/>
  <c r="K682" i="7"/>
  <c r="J682" i="7"/>
  <c r="J681" i="7"/>
  <c r="K681" i="7" s="1"/>
  <c r="K680" i="7"/>
  <c r="J680" i="7"/>
  <c r="K679" i="7"/>
  <c r="J679" i="7"/>
  <c r="J678" i="7"/>
  <c r="K678" i="7" s="1"/>
  <c r="K677" i="7"/>
  <c r="J677" i="7"/>
  <c r="J676" i="7"/>
  <c r="K676" i="7" s="1"/>
  <c r="K675" i="7"/>
  <c r="J675" i="7"/>
  <c r="K674" i="7"/>
  <c r="J674" i="7"/>
  <c r="J673" i="7"/>
  <c r="K673" i="7" s="1"/>
  <c r="K672" i="7"/>
  <c r="J672" i="7"/>
  <c r="J671" i="7"/>
  <c r="K671" i="7" s="1"/>
  <c r="K670" i="7"/>
  <c r="J670" i="7"/>
  <c r="K669" i="7"/>
  <c r="J669" i="7"/>
  <c r="K668" i="7"/>
  <c r="J668" i="7"/>
  <c r="K667" i="7"/>
  <c r="J667" i="7"/>
  <c r="J666" i="7"/>
  <c r="K666" i="7" s="1"/>
  <c r="K665" i="7"/>
  <c r="J665" i="7"/>
  <c r="K664" i="7"/>
  <c r="J664" i="7"/>
  <c r="J663" i="7"/>
  <c r="K663" i="7" s="1"/>
  <c r="K662" i="7"/>
  <c r="J662" i="7"/>
  <c r="J661" i="7"/>
  <c r="K661" i="7" s="1"/>
  <c r="K660" i="7"/>
  <c r="J660" i="7"/>
  <c r="K659" i="7"/>
  <c r="J659" i="7"/>
  <c r="J658" i="7"/>
  <c r="K658" i="7" s="1"/>
  <c r="K657" i="7"/>
  <c r="J657" i="7"/>
  <c r="J656" i="7"/>
  <c r="K656" i="7" s="1"/>
  <c r="K655" i="7"/>
  <c r="J655" i="7"/>
  <c r="K654" i="7"/>
  <c r="J654" i="7"/>
  <c r="J653" i="7"/>
  <c r="K653" i="7" s="1"/>
  <c r="K652" i="7"/>
  <c r="J652" i="7"/>
  <c r="J651" i="7"/>
  <c r="K651" i="7" s="1"/>
  <c r="K650" i="7"/>
  <c r="J650" i="7"/>
  <c r="K649" i="7"/>
  <c r="J649" i="7"/>
  <c r="K648" i="7"/>
  <c r="J648" i="7"/>
  <c r="K647" i="7"/>
  <c r="J647" i="7"/>
  <c r="J646" i="7"/>
  <c r="K646" i="7" s="1"/>
  <c r="K645" i="7"/>
  <c r="J645" i="7"/>
  <c r="K644" i="7"/>
  <c r="J644" i="7"/>
  <c r="K643" i="7"/>
  <c r="J643" i="7"/>
  <c r="K642" i="7"/>
  <c r="J642" i="7"/>
  <c r="J641" i="7"/>
  <c r="K641" i="7" s="1"/>
  <c r="K640" i="7"/>
  <c r="J640" i="7"/>
  <c r="K639" i="7"/>
  <c r="J639" i="7"/>
  <c r="K638" i="7"/>
  <c r="J638" i="7"/>
  <c r="K637" i="7"/>
  <c r="J637" i="7"/>
  <c r="J636" i="7"/>
  <c r="K636" i="7" s="1"/>
  <c r="K635" i="7"/>
  <c r="J635" i="7"/>
  <c r="K634" i="7"/>
  <c r="J634" i="7"/>
  <c r="K633" i="7"/>
  <c r="J633" i="7"/>
  <c r="K632" i="7"/>
  <c r="J632" i="7"/>
  <c r="J631" i="7"/>
  <c r="K631" i="7" s="1"/>
  <c r="K630" i="7"/>
  <c r="J630" i="7"/>
  <c r="K629" i="7"/>
  <c r="J629" i="7"/>
  <c r="J628" i="7"/>
  <c r="K628" i="7" s="1"/>
  <c r="K627" i="7"/>
  <c r="J627" i="7"/>
  <c r="J626" i="7"/>
  <c r="K626" i="7" s="1"/>
  <c r="K625" i="7"/>
  <c r="J625" i="7"/>
  <c r="K624" i="7"/>
  <c r="J624" i="7"/>
  <c r="J623" i="7"/>
  <c r="K623" i="7" s="1"/>
  <c r="K622" i="7"/>
  <c r="J622" i="7"/>
  <c r="J621" i="7"/>
  <c r="K621" i="7" s="1"/>
  <c r="K620" i="7"/>
  <c r="J620" i="7"/>
  <c r="K619" i="7"/>
  <c r="J619" i="7"/>
  <c r="K618" i="7"/>
  <c r="J618" i="7"/>
  <c r="K617" i="7"/>
  <c r="J617" i="7"/>
  <c r="J616" i="7"/>
  <c r="K616" i="7" s="1"/>
  <c r="K615" i="7"/>
  <c r="J615" i="7"/>
  <c r="K614" i="7"/>
  <c r="J614" i="7"/>
  <c r="J613" i="7"/>
  <c r="K613" i="7" s="1"/>
  <c r="K612" i="7"/>
  <c r="J612" i="7"/>
  <c r="J611" i="7"/>
  <c r="K611" i="7" s="1"/>
  <c r="K610" i="7"/>
  <c r="J610" i="7"/>
  <c r="K609" i="7"/>
  <c r="J609" i="7"/>
  <c r="J608" i="7"/>
  <c r="K608" i="7" s="1"/>
  <c r="K607" i="7"/>
  <c r="J607" i="7"/>
  <c r="J606" i="7"/>
  <c r="K606" i="7" s="1"/>
  <c r="K605" i="7"/>
  <c r="J605" i="7"/>
  <c r="K604" i="7"/>
  <c r="J604" i="7"/>
  <c r="J603" i="7"/>
  <c r="K603" i="7" s="1"/>
  <c r="K602" i="7"/>
  <c r="J602" i="7"/>
  <c r="J601" i="7"/>
  <c r="K601" i="7" s="1"/>
  <c r="K600" i="7"/>
  <c r="J600" i="7"/>
  <c r="K599" i="7"/>
  <c r="J599" i="7"/>
  <c r="K598" i="7"/>
  <c r="J598" i="7"/>
  <c r="K597" i="7"/>
  <c r="J597" i="7"/>
  <c r="J596" i="7"/>
  <c r="K596" i="7" s="1"/>
  <c r="K595" i="7"/>
  <c r="J595" i="7"/>
  <c r="K594" i="7"/>
  <c r="J594" i="7"/>
  <c r="K593" i="7"/>
  <c r="J593" i="7"/>
  <c r="K592" i="7"/>
  <c r="J592" i="7"/>
  <c r="J591" i="7"/>
  <c r="K591" i="7" s="1"/>
  <c r="K590" i="7"/>
  <c r="J590" i="7"/>
  <c r="K589" i="7"/>
  <c r="J589" i="7"/>
  <c r="K588" i="7"/>
  <c r="J588" i="7"/>
  <c r="K587" i="7"/>
  <c r="J587" i="7"/>
  <c r="J586" i="7"/>
  <c r="K586" i="7" s="1"/>
  <c r="K585" i="7"/>
  <c r="J585" i="7"/>
  <c r="K584" i="7"/>
  <c r="J584" i="7"/>
  <c r="K583" i="7"/>
  <c r="J583" i="7"/>
  <c r="K582" i="7"/>
  <c r="J582" i="7"/>
  <c r="J581" i="7"/>
  <c r="K581" i="7" s="1"/>
  <c r="K580" i="7"/>
  <c r="J580" i="7"/>
  <c r="K579" i="7"/>
  <c r="J579" i="7"/>
  <c r="J578" i="7"/>
  <c r="K578" i="7" s="1"/>
  <c r="K577" i="7"/>
  <c r="J577" i="7"/>
  <c r="J576" i="7"/>
  <c r="K576" i="7" s="1"/>
  <c r="K575" i="7"/>
  <c r="J575" i="7"/>
  <c r="K574" i="7"/>
  <c r="J574" i="7"/>
  <c r="J573" i="7"/>
  <c r="K573" i="7" s="1"/>
  <c r="K572" i="7"/>
  <c r="J572" i="7"/>
  <c r="J571" i="7"/>
  <c r="K571" i="7" s="1"/>
  <c r="K570" i="7"/>
  <c r="J570" i="7"/>
  <c r="K569" i="7"/>
  <c r="J569" i="7"/>
  <c r="K568" i="7"/>
  <c r="J568" i="7"/>
  <c r="K567" i="7"/>
  <c r="J567" i="7"/>
  <c r="J566" i="7"/>
  <c r="K566" i="7" s="1"/>
  <c r="K565" i="7"/>
  <c r="J565" i="7"/>
  <c r="K564" i="7"/>
  <c r="J564" i="7"/>
  <c r="J563" i="7"/>
  <c r="K563" i="7" s="1"/>
  <c r="K562" i="7"/>
  <c r="J562" i="7"/>
  <c r="J561" i="7"/>
  <c r="K561" i="7" s="1"/>
  <c r="K560" i="7"/>
  <c r="J560" i="7"/>
  <c r="K559" i="7"/>
  <c r="J559" i="7"/>
  <c r="J558" i="7"/>
  <c r="K558" i="7" s="1"/>
  <c r="K557" i="7"/>
  <c r="J557" i="7"/>
  <c r="J556" i="7"/>
  <c r="K556" i="7" s="1"/>
  <c r="K555" i="7"/>
  <c r="J555" i="7"/>
  <c r="K554" i="7"/>
  <c r="J554" i="7"/>
  <c r="J553" i="7"/>
  <c r="K553" i="7" s="1"/>
  <c r="K552" i="7"/>
  <c r="J552" i="7"/>
  <c r="J551" i="7"/>
  <c r="K551" i="7" s="1"/>
  <c r="K550" i="7"/>
  <c r="J550" i="7"/>
  <c r="K549" i="7"/>
  <c r="J549" i="7"/>
  <c r="K548" i="7"/>
  <c r="J548" i="7"/>
  <c r="K547" i="7"/>
  <c r="J547" i="7"/>
  <c r="J546" i="7"/>
  <c r="K546" i="7" s="1"/>
  <c r="K545" i="7"/>
  <c r="J545" i="7"/>
  <c r="K544" i="7"/>
  <c r="J544" i="7"/>
  <c r="K543" i="7"/>
  <c r="J543" i="7"/>
  <c r="K542" i="7"/>
  <c r="J542" i="7"/>
  <c r="J541" i="7"/>
  <c r="K541" i="7" s="1"/>
  <c r="J540" i="7"/>
  <c r="K540" i="7" s="1"/>
  <c r="K539" i="7"/>
  <c r="J539" i="7"/>
  <c r="K538" i="7"/>
  <c r="J538" i="7"/>
  <c r="K537" i="7"/>
  <c r="J537" i="7"/>
  <c r="J536" i="7"/>
  <c r="K536" i="7" s="1"/>
  <c r="J535" i="7"/>
  <c r="K535" i="7" s="1"/>
  <c r="J534" i="7"/>
  <c r="K534" i="7" s="1"/>
  <c r="K533" i="7"/>
  <c r="J533" i="7"/>
  <c r="J532" i="7"/>
  <c r="K532" i="7" s="1"/>
  <c r="K531" i="7"/>
  <c r="J531" i="7"/>
  <c r="J530" i="7"/>
  <c r="K530" i="7" s="1"/>
  <c r="K529" i="7"/>
  <c r="J529" i="7"/>
  <c r="J528" i="7"/>
  <c r="K528" i="7" s="1"/>
  <c r="J527" i="7"/>
  <c r="K527" i="7" s="1"/>
  <c r="K526" i="7"/>
  <c r="J526" i="7"/>
  <c r="J525" i="7"/>
  <c r="K525" i="7" s="1"/>
  <c r="J524" i="7"/>
  <c r="K524" i="7" s="1"/>
  <c r="J523" i="7"/>
  <c r="K523" i="7" s="1"/>
  <c r="J522" i="7"/>
  <c r="K522" i="7" s="1"/>
  <c r="K521" i="7"/>
  <c r="J521" i="7"/>
  <c r="J520" i="7"/>
  <c r="K520" i="7" s="1"/>
  <c r="J519" i="7"/>
  <c r="K519" i="7" s="1"/>
  <c r="K518" i="7"/>
  <c r="J518" i="7"/>
  <c r="K517" i="7"/>
  <c r="J517" i="7"/>
  <c r="J516" i="7"/>
  <c r="K516" i="7" s="1"/>
  <c r="J515" i="7"/>
  <c r="K515" i="7" s="1"/>
  <c r="K514" i="7"/>
  <c r="J514" i="7"/>
  <c r="J513" i="7"/>
  <c r="K513" i="7" s="1"/>
  <c r="J512" i="7"/>
  <c r="K512" i="7" s="1"/>
  <c r="K511" i="7"/>
  <c r="J511" i="7"/>
  <c r="J510" i="7"/>
  <c r="K510" i="7" s="1"/>
  <c r="J509" i="7"/>
  <c r="K509" i="7" s="1"/>
  <c r="J508" i="7"/>
  <c r="K508" i="7" s="1"/>
  <c r="K507" i="7"/>
  <c r="J507" i="7"/>
  <c r="K506" i="7"/>
  <c r="J506" i="7"/>
  <c r="J505" i="7"/>
  <c r="K505" i="7" s="1"/>
  <c r="K504" i="7"/>
  <c r="J504" i="7"/>
  <c r="K503" i="7"/>
  <c r="J503" i="7"/>
  <c r="J502" i="7"/>
  <c r="K502" i="7" s="1"/>
  <c r="J501" i="7"/>
  <c r="K501" i="7" s="1"/>
  <c r="J500" i="7"/>
  <c r="K500" i="7" s="1"/>
  <c r="K499" i="7"/>
  <c r="J499" i="7"/>
  <c r="K498" i="7"/>
  <c r="J498" i="7"/>
  <c r="J497" i="7"/>
  <c r="K497" i="7" s="1"/>
  <c r="K496" i="7"/>
  <c r="J496" i="7"/>
  <c r="J495" i="7"/>
  <c r="K495" i="7" s="1"/>
  <c r="J494" i="7"/>
  <c r="K494" i="7" s="1"/>
  <c r="K493" i="7"/>
  <c r="J493" i="7"/>
  <c r="K492" i="7"/>
  <c r="J492" i="7"/>
  <c r="J491" i="7"/>
  <c r="K491" i="7" s="1"/>
  <c r="J490" i="7"/>
  <c r="K490" i="7" s="1"/>
  <c r="J489" i="7"/>
  <c r="K489" i="7" s="1"/>
  <c r="J488" i="7"/>
  <c r="K488" i="7" s="1"/>
  <c r="K487" i="7"/>
  <c r="J487" i="7"/>
  <c r="J486" i="7"/>
  <c r="K486" i="7" s="1"/>
  <c r="J485" i="7"/>
  <c r="K485" i="7" s="1"/>
  <c r="J484" i="7"/>
  <c r="K484" i="7" s="1"/>
  <c r="J483" i="7"/>
  <c r="K483" i="7" s="1"/>
  <c r="K482" i="7"/>
  <c r="J482" i="7"/>
  <c r="K481" i="7"/>
  <c r="J481" i="7"/>
  <c r="J480" i="7"/>
  <c r="K480" i="7" s="1"/>
  <c r="K479" i="7"/>
  <c r="J479" i="7"/>
  <c r="J478" i="7"/>
  <c r="K478" i="7" s="1"/>
  <c r="J477" i="7"/>
  <c r="K477" i="7" s="1"/>
  <c r="J476" i="7"/>
  <c r="K476" i="7" s="1"/>
  <c r="J475" i="7"/>
  <c r="K475" i="7" s="1"/>
  <c r="J474" i="7"/>
  <c r="K474" i="7" s="1"/>
  <c r="J473" i="7"/>
  <c r="K473" i="7" s="1"/>
  <c r="K472" i="7"/>
  <c r="J472" i="7"/>
  <c r="J471" i="7"/>
  <c r="K471" i="7" s="1"/>
  <c r="J470" i="7"/>
  <c r="K470" i="7" s="1"/>
  <c r="J469" i="7"/>
  <c r="K469" i="7" s="1"/>
  <c r="K468" i="7"/>
  <c r="J468" i="7"/>
  <c r="K467" i="7"/>
  <c r="J467" i="7"/>
  <c r="K466" i="7"/>
  <c r="J466" i="7"/>
  <c r="J465" i="7"/>
  <c r="K465" i="7" s="1"/>
  <c r="K464" i="7"/>
  <c r="J464" i="7"/>
  <c r="J463" i="7"/>
  <c r="K463" i="7" s="1"/>
  <c r="J462" i="7"/>
  <c r="K462" i="7" s="1"/>
  <c r="K461" i="7"/>
  <c r="J461" i="7"/>
  <c r="J460" i="7"/>
  <c r="K460" i="7" s="1"/>
  <c r="K459" i="7"/>
  <c r="J459" i="7"/>
  <c r="J458" i="7"/>
  <c r="K458" i="7" s="1"/>
  <c r="K457" i="7"/>
  <c r="J457" i="7"/>
  <c r="J456" i="7"/>
  <c r="K456" i="7" s="1"/>
  <c r="J455" i="7"/>
  <c r="K455" i="7" s="1"/>
  <c r="K454" i="7"/>
  <c r="J454" i="7"/>
  <c r="K453" i="7"/>
  <c r="J453" i="7"/>
  <c r="J452" i="7"/>
  <c r="K452" i="7" s="1"/>
  <c r="J451" i="7"/>
  <c r="K451" i="7" s="1"/>
  <c r="J450" i="7"/>
  <c r="K450" i="7" s="1"/>
  <c r="J449" i="7"/>
  <c r="K449" i="7" s="1"/>
  <c r="K448" i="7"/>
  <c r="J448" i="7"/>
  <c r="J447" i="7"/>
  <c r="K447" i="7" s="1"/>
  <c r="K446" i="7"/>
  <c r="J446" i="7"/>
  <c r="J445" i="7"/>
  <c r="K445" i="7" s="1"/>
  <c r="J444" i="7"/>
  <c r="K444" i="7" s="1"/>
  <c r="J443" i="7"/>
  <c r="K443" i="7" s="1"/>
  <c r="K442" i="7"/>
  <c r="J442" i="7"/>
  <c r="J441" i="7"/>
  <c r="K441" i="7" s="1"/>
  <c r="J440" i="7"/>
  <c r="K440" i="7" s="1"/>
  <c r="J439" i="7"/>
  <c r="K439" i="7" s="1"/>
  <c r="J438" i="7"/>
  <c r="K438" i="7" s="1"/>
  <c r="J437" i="7"/>
  <c r="K437" i="7" s="1"/>
  <c r="J436" i="7"/>
  <c r="K436" i="7" s="1"/>
  <c r="J435" i="7"/>
  <c r="K435" i="7" s="1"/>
  <c r="J434" i="7"/>
  <c r="K434" i="7" s="1"/>
  <c r="K433" i="7"/>
  <c r="J433" i="7"/>
  <c r="J432" i="7"/>
  <c r="K432" i="7" s="1"/>
  <c r="K431" i="7"/>
  <c r="J431" i="7"/>
  <c r="J430" i="7"/>
  <c r="K430" i="7" s="1"/>
  <c r="K429" i="7"/>
  <c r="J429" i="7"/>
  <c r="K428" i="7"/>
  <c r="J428" i="7"/>
  <c r="J427" i="7"/>
  <c r="K427" i="7" s="1"/>
  <c r="J426" i="7"/>
  <c r="K426" i="7" s="1"/>
  <c r="J425" i="7"/>
  <c r="K425" i="7" s="1"/>
  <c r="J424" i="7"/>
  <c r="K424" i="7" s="1"/>
  <c r="J423" i="7"/>
  <c r="K423" i="7" s="1"/>
  <c r="K422" i="7"/>
  <c r="J422" i="7"/>
  <c r="K421" i="7"/>
  <c r="J421" i="7"/>
  <c r="J420" i="7"/>
  <c r="K420" i="7" s="1"/>
  <c r="J419" i="7"/>
  <c r="K419" i="7" s="1"/>
  <c r="K418" i="7"/>
  <c r="J418" i="7"/>
  <c r="J417" i="7"/>
  <c r="K417" i="7" s="1"/>
  <c r="K416" i="7"/>
  <c r="J416" i="7"/>
  <c r="J415" i="7"/>
  <c r="K415" i="7" s="1"/>
  <c r="K414" i="7"/>
  <c r="J414" i="7"/>
  <c r="J413" i="7"/>
  <c r="K413" i="7" s="1"/>
  <c r="J412" i="7"/>
  <c r="K412" i="7" s="1"/>
  <c r="J411" i="7"/>
  <c r="K411" i="7" s="1"/>
  <c r="J410" i="7"/>
  <c r="K410" i="7" s="1"/>
  <c r="K409" i="7"/>
  <c r="J409" i="7"/>
  <c r="J408" i="7"/>
  <c r="K408" i="7" s="1"/>
  <c r="K407" i="7"/>
  <c r="J407" i="7"/>
  <c r="J406" i="7"/>
  <c r="K406" i="7" s="1"/>
  <c r="J405" i="7"/>
  <c r="K405" i="7" s="1"/>
  <c r="J404" i="7"/>
  <c r="K404" i="7" s="1"/>
  <c r="K403" i="7"/>
  <c r="J403" i="7"/>
  <c r="J402" i="7"/>
  <c r="K402" i="7" s="1"/>
  <c r="J401" i="7"/>
  <c r="K401" i="7" s="1"/>
  <c r="J400" i="7"/>
  <c r="K400" i="7" s="1"/>
  <c r="J399" i="7"/>
  <c r="K399" i="7" s="1"/>
  <c r="J398" i="7"/>
  <c r="K398" i="7" s="1"/>
  <c r="J397" i="7"/>
  <c r="K397" i="7" s="1"/>
  <c r="K396" i="7"/>
  <c r="J396" i="7"/>
  <c r="J395" i="7"/>
  <c r="K395" i="7" s="1"/>
  <c r="J394" i="7"/>
  <c r="K394" i="7" s="1"/>
  <c r="J393" i="7"/>
  <c r="K393" i="7" s="1"/>
  <c r="K392" i="7"/>
  <c r="J392" i="7"/>
  <c r="J391" i="7"/>
  <c r="K391" i="7" s="1"/>
  <c r="J390" i="7"/>
  <c r="K390" i="7" s="1"/>
  <c r="K389" i="7"/>
  <c r="J389" i="7"/>
  <c r="J388" i="7"/>
  <c r="K388" i="7" s="1"/>
  <c r="J387" i="7"/>
  <c r="K387" i="7" s="1"/>
  <c r="J386" i="7"/>
  <c r="K386" i="7" s="1"/>
  <c r="J385" i="7"/>
  <c r="K385" i="7" s="1"/>
  <c r="J384" i="7"/>
  <c r="K384" i="7" s="1"/>
  <c r="K383" i="7"/>
  <c r="J383" i="7"/>
  <c r="K382" i="7"/>
  <c r="J382" i="7"/>
  <c r="K381" i="7"/>
  <c r="J381" i="7"/>
  <c r="J380" i="7"/>
  <c r="K380" i="7" s="1"/>
  <c r="K379" i="7"/>
  <c r="J379" i="7"/>
  <c r="K378" i="7"/>
  <c r="J378" i="7"/>
  <c r="K377" i="7"/>
  <c r="J377" i="7"/>
  <c r="J376" i="7"/>
  <c r="K376" i="7" s="1"/>
  <c r="J375" i="7"/>
  <c r="K375" i="7" s="1"/>
  <c r="J374" i="7"/>
  <c r="K374" i="7" s="1"/>
  <c r="J373" i="7"/>
  <c r="K373" i="7" s="1"/>
  <c r="J372" i="7"/>
  <c r="K372" i="7" s="1"/>
  <c r="K371" i="7"/>
  <c r="J371" i="7"/>
  <c r="J370" i="7"/>
  <c r="K370" i="7" s="1"/>
  <c r="J369" i="7"/>
  <c r="K369" i="7" s="1"/>
  <c r="K368" i="7"/>
  <c r="J368" i="7"/>
  <c r="K367" i="7"/>
  <c r="J367" i="7"/>
  <c r="J366" i="7"/>
  <c r="K366" i="7" s="1"/>
  <c r="J365" i="7"/>
  <c r="K365" i="7" s="1"/>
  <c r="K364" i="7"/>
  <c r="J364" i="7"/>
  <c r="J363" i="7"/>
  <c r="K363" i="7" s="1"/>
  <c r="J362" i="7"/>
  <c r="K362" i="7" s="1"/>
  <c r="J361" i="7"/>
  <c r="K361" i="7" s="1"/>
  <c r="J360" i="7"/>
  <c r="K360" i="7" s="1"/>
  <c r="J359" i="7"/>
  <c r="K359" i="7" s="1"/>
  <c r="J358" i="7"/>
  <c r="K358" i="7" s="1"/>
  <c r="K357" i="7"/>
  <c r="J357" i="7"/>
  <c r="J356" i="7"/>
  <c r="K356" i="7" s="1"/>
  <c r="J355" i="7"/>
  <c r="K355" i="7" s="1"/>
  <c r="K354" i="7"/>
  <c r="J354" i="7"/>
  <c r="K353" i="7"/>
  <c r="J353" i="7"/>
  <c r="J352" i="7"/>
  <c r="K352" i="7" s="1"/>
  <c r="J351" i="7"/>
  <c r="K351" i="7" s="1"/>
  <c r="J350" i="7"/>
  <c r="K350" i="7" s="1"/>
  <c r="J349" i="7"/>
  <c r="K349" i="7" s="1"/>
  <c r="J348" i="7"/>
  <c r="K348" i="7" s="1"/>
  <c r="J347" i="7"/>
  <c r="K347" i="7" s="1"/>
  <c r="K346" i="7"/>
  <c r="J346" i="7"/>
  <c r="J345" i="7"/>
  <c r="K345" i="7" s="1"/>
  <c r="K344" i="7"/>
  <c r="J344" i="7"/>
  <c r="J343" i="7"/>
  <c r="K343" i="7" s="1"/>
  <c r="K342" i="7"/>
  <c r="J342" i="7"/>
  <c r="J341" i="7"/>
  <c r="K341" i="7" s="1"/>
  <c r="J340" i="7"/>
  <c r="K340" i="7" s="1"/>
  <c r="K339" i="7"/>
  <c r="J339" i="7"/>
  <c r="K338" i="7"/>
  <c r="J338" i="7"/>
  <c r="J337" i="7"/>
  <c r="K337" i="7" s="1"/>
  <c r="J336" i="7"/>
  <c r="K336" i="7" s="1"/>
  <c r="J335" i="7"/>
  <c r="K335" i="7" s="1"/>
  <c r="J334" i="7"/>
  <c r="K334" i="7" s="1"/>
  <c r="J333" i="7"/>
  <c r="K333" i="7" s="1"/>
  <c r="K332" i="7"/>
  <c r="J332" i="7"/>
  <c r="K331" i="7"/>
  <c r="J331" i="7"/>
  <c r="J330" i="7"/>
  <c r="K330" i="7" s="1"/>
  <c r="K329" i="7"/>
  <c r="J329" i="7"/>
  <c r="J328" i="7"/>
  <c r="K328" i="7" s="1"/>
  <c r="K327" i="7"/>
  <c r="J327" i="7"/>
  <c r="K326" i="7"/>
  <c r="J326" i="7"/>
  <c r="J325" i="7"/>
  <c r="K325" i="7" s="1"/>
  <c r="J324" i="7"/>
  <c r="K324" i="7" s="1"/>
  <c r="J323" i="7"/>
  <c r="K323" i="7" s="1"/>
  <c r="K322" i="7"/>
  <c r="J322" i="7"/>
  <c r="J321" i="7"/>
  <c r="K321" i="7" s="1"/>
  <c r="J320" i="7"/>
  <c r="K320" i="7" s="1"/>
  <c r="J319" i="7"/>
  <c r="K319" i="7" s="1"/>
  <c r="K318" i="7"/>
  <c r="J318" i="7"/>
  <c r="J317" i="7"/>
  <c r="K317" i="7" s="1"/>
  <c r="K316" i="7"/>
  <c r="J316" i="7"/>
  <c r="J315" i="7"/>
  <c r="K315" i="7" s="1"/>
  <c r="K314" i="7"/>
  <c r="J314" i="7"/>
  <c r="J313" i="7"/>
  <c r="K313" i="7" s="1"/>
  <c r="J312" i="7"/>
  <c r="K312" i="7" s="1"/>
  <c r="J311" i="7"/>
  <c r="K311" i="7" s="1"/>
  <c r="J310" i="7"/>
  <c r="K310" i="7" s="1"/>
  <c r="K309" i="7"/>
  <c r="J309" i="7"/>
  <c r="J308" i="7"/>
  <c r="K308" i="7" s="1"/>
  <c r="K307" i="7"/>
  <c r="J307" i="7"/>
  <c r="K306" i="7"/>
  <c r="J306" i="7"/>
  <c r="J305" i="7"/>
  <c r="K305" i="7" s="1"/>
  <c r="J304" i="7"/>
  <c r="K304" i="7" s="1"/>
  <c r="K303" i="7"/>
  <c r="J303" i="7"/>
  <c r="J302" i="7"/>
  <c r="K302" i="7" s="1"/>
  <c r="J301" i="7"/>
  <c r="K301" i="7" s="1"/>
  <c r="J300" i="7"/>
  <c r="K300" i="7" s="1"/>
  <c r="K299" i="7"/>
  <c r="J299" i="7"/>
  <c r="J298" i="7"/>
  <c r="K298" i="7" s="1"/>
  <c r="J297" i="7"/>
  <c r="K297" i="7" s="1"/>
  <c r="K296" i="7"/>
  <c r="J296" i="7"/>
  <c r="J295" i="7"/>
  <c r="K295" i="7" s="1"/>
  <c r="K294" i="7"/>
  <c r="J294" i="7"/>
  <c r="K293" i="7"/>
  <c r="J293" i="7"/>
  <c r="K292" i="7"/>
  <c r="J292" i="7"/>
  <c r="J291" i="7"/>
  <c r="K291" i="7" s="1"/>
  <c r="J290" i="7"/>
  <c r="K290" i="7" s="1"/>
  <c r="J289" i="7"/>
  <c r="K289" i="7" s="1"/>
  <c r="K288" i="7"/>
  <c r="J288" i="7"/>
  <c r="K287" i="7"/>
  <c r="J287" i="7"/>
  <c r="J286" i="7"/>
  <c r="K286" i="7" s="1"/>
  <c r="J285" i="7"/>
  <c r="K285" i="7" s="1"/>
  <c r="J284" i="7"/>
  <c r="K284" i="7" s="1"/>
  <c r="K283" i="7"/>
  <c r="J283" i="7"/>
  <c r="J282" i="7"/>
  <c r="K282" i="7" s="1"/>
  <c r="K281" i="7"/>
  <c r="J281" i="7"/>
  <c r="J280" i="7"/>
  <c r="K280" i="7" s="1"/>
  <c r="K279" i="7"/>
  <c r="J279" i="7"/>
  <c r="J278" i="7"/>
  <c r="K278" i="7" s="1"/>
  <c r="J277" i="7"/>
  <c r="K277" i="7" s="1"/>
  <c r="K276" i="7"/>
  <c r="J276" i="7"/>
  <c r="J275" i="7"/>
  <c r="K275" i="7" s="1"/>
  <c r="J274" i="7"/>
  <c r="K274" i="7" s="1"/>
  <c r="J273" i="7"/>
  <c r="K273" i="7" s="1"/>
  <c r="J272" i="7"/>
  <c r="K272" i="7" s="1"/>
  <c r="K271" i="7"/>
  <c r="J271" i="7"/>
  <c r="J270" i="7"/>
  <c r="K270" i="7" s="1"/>
  <c r="J269" i="7"/>
  <c r="K269" i="7" s="1"/>
  <c r="K268" i="7"/>
  <c r="J268" i="7"/>
  <c r="K267" i="7"/>
  <c r="J267" i="7"/>
  <c r="J266" i="7"/>
  <c r="K266" i="7" s="1"/>
  <c r="J265" i="7"/>
  <c r="K265" i="7" s="1"/>
  <c r="K264" i="7"/>
  <c r="J264" i="7"/>
  <c r="J263" i="7"/>
  <c r="K263" i="7" s="1"/>
  <c r="J262" i="7"/>
  <c r="K262" i="7" s="1"/>
  <c r="K261" i="7"/>
  <c r="J261" i="7"/>
  <c r="J260" i="7"/>
  <c r="K260" i="7" s="1"/>
  <c r="J259" i="7"/>
  <c r="K259" i="7" s="1"/>
  <c r="J258" i="7"/>
  <c r="K258" i="7" s="1"/>
  <c r="K257" i="7"/>
  <c r="J257" i="7"/>
  <c r="K256" i="7"/>
  <c r="J256" i="7"/>
  <c r="J255" i="7"/>
  <c r="K255" i="7" s="1"/>
  <c r="K254" i="7"/>
  <c r="J254" i="7"/>
  <c r="K253" i="7"/>
  <c r="J253" i="7"/>
  <c r="J252" i="7"/>
  <c r="K252" i="7" s="1"/>
  <c r="J251" i="7"/>
  <c r="K251" i="7" s="1"/>
  <c r="J250" i="7"/>
  <c r="K250" i="7" s="1"/>
  <c r="K249" i="7"/>
  <c r="J249" i="7"/>
  <c r="K248" i="7"/>
  <c r="J248" i="7"/>
  <c r="J247" i="7"/>
  <c r="K247" i="7" s="1"/>
  <c r="K246" i="7"/>
  <c r="J246" i="7"/>
  <c r="J245" i="7"/>
  <c r="K245" i="7" s="1"/>
  <c r="J244" i="7"/>
  <c r="K244" i="7" s="1"/>
  <c r="K243" i="7"/>
  <c r="J243" i="7"/>
  <c r="K242" i="7"/>
  <c r="J242" i="7"/>
  <c r="J241" i="7"/>
  <c r="K241" i="7" s="1"/>
  <c r="J240" i="7"/>
  <c r="K240" i="7" s="1"/>
  <c r="J239" i="7"/>
  <c r="K239" i="7" s="1"/>
  <c r="J238" i="7"/>
  <c r="K238" i="7" s="1"/>
  <c r="K237" i="7"/>
  <c r="J237" i="7"/>
  <c r="J236" i="7"/>
  <c r="K236" i="7" s="1"/>
  <c r="J235" i="7"/>
  <c r="K235" i="7" s="1"/>
  <c r="J234" i="7"/>
  <c r="K234" i="7" s="1"/>
  <c r="J233" i="7"/>
  <c r="K233" i="7" s="1"/>
  <c r="K232" i="7"/>
  <c r="J232" i="7"/>
  <c r="K231" i="7"/>
  <c r="J231" i="7"/>
  <c r="J230" i="7"/>
  <c r="K230" i="7" s="1"/>
  <c r="K229" i="7"/>
  <c r="J229" i="7"/>
  <c r="J228" i="7"/>
  <c r="K228" i="7" s="1"/>
  <c r="J227" i="7"/>
  <c r="K227" i="7" s="1"/>
  <c r="J226" i="7"/>
  <c r="K226" i="7" s="1"/>
  <c r="J225" i="7"/>
  <c r="K225" i="7" s="1"/>
  <c r="J224" i="7"/>
  <c r="K224" i="7" s="1"/>
  <c r="J223" i="7"/>
  <c r="K223" i="7" s="1"/>
  <c r="K222" i="7"/>
  <c r="J222" i="7"/>
  <c r="J221" i="7"/>
  <c r="K221" i="7" s="1"/>
  <c r="J220" i="7"/>
  <c r="K220" i="7" s="1"/>
  <c r="J219" i="7"/>
  <c r="K219" i="7" s="1"/>
  <c r="K218" i="7"/>
  <c r="J218" i="7"/>
  <c r="K217" i="7"/>
  <c r="J217" i="7"/>
  <c r="K216" i="7"/>
  <c r="J216" i="7"/>
  <c r="J215" i="7"/>
  <c r="K215" i="7" s="1"/>
  <c r="K214" i="7"/>
  <c r="J214" i="7"/>
  <c r="J213" i="7"/>
  <c r="K213" i="7" s="1"/>
  <c r="J212" i="7"/>
  <c r="K212" i="7" s="1"/>
  <c r="K211" i="7"/>
  <c r="J211" i="7"/>
  <c r="J210" i="7"/>
  <c r="K210" i="7" s="1"/>
  <c r="K209" i="7"/>
  <c r="J209" i="7"/>
  <c r="J208" i="7"/>
  <c r="K208" i="7" s="1"/>
  <c r="K207" i="7"/>
  <c r="J207" i="7"/>
  <c r="J206" i="7"/>
  <c r="K206" i="7" s="1"/>
  <c r="J205" i="7"/>
  <c r="K205" i="7" s="1"/>
  <c r="K204" i="7"/>
  <c r="J204" i="7"/>
  <c r="K203" i="7"/>
  <c r="J203" i="7"/>
  <c r="J202" i="7"/>
  <c r="K202" i="7" s="1"/>
  <c r="J201" i="7"/>
  <c r="K201" i="7" s="1"/>
  <c r="J200" i="7"/>
  <c r="K200" i="7" s="1"/>
  <c r="J199" i="7"/>
  <c r="K199" i="7" s="1"/>
  <c r="K198" i="7"/>
  <c r="J198" i="7"/>
  <c r="J197" i="7"/>
  <c r="K197" i="7" s="1"/>
  <c r="K196" i="7"/>
  <c r="J196" i="7"/>
  <c r="J195" i="7"/>
  <c r="K195" i="7" s="1"/>
  <c r="J194" i="7"/>
  <c r="K194" i="7" s="1"/>
  <c r="J193" i="7"/>
  <c r="K193" i="7" s="1"/>
  <c r="K192" i="7"/>
  <c r="J192" i="7"/>
  <c r="J191" i="7"/>
  <c r="K191" i="7" s="1"/>
  <c r="J190" i="7"/>
  <c r="K190" i="7" s="1"/>
  <c r="J189" i="7"/>
  <c r="K189" i="7" s="1"/>
  <c r="J188" i="7"/>
  <c r="K188" i="7" s="1"/>
  <c r="J187" i="7"/>
  <c r="K187" i="7" s="1"/>
  <c r="J186" i="7"/>
  <c r="K186" i="7" s="1"/>
  <c r="J185" i="7"/>
  <c r="K185" i="7" s="1"/>
  <c r="J184" i="7"/>
  <c r="K184" i="7" s="1"/>
  <c r="K183" i="7"/>
  <c r="J183" i="7"/>
  <c r="J182" i="7"/>
  <c r="K182" i="7" s="1"/>
  <c r="K181" i="7"/>
  <c r="J181" i="7"/>
  <c r="J180" i="7"/>
  <c r="K180" i="7" s="1"/>
  <c r="K179" i="7"/>
  <c r="J179" i="7"/>
  <c r="K178" i="7"/>
  <c r="J178" i="7"/>
  <c r="J177" i="7"/>
  <c r="K177" i="7" s="1"/>
  <c r="J176" i="7"/>
  <c r="K176" i="7" s="1"/>
  <c r="J175" i="7"/>
  <c r="K175" i="7" s="1"/>
  <c r="J174" i="7"/>
  <c r="K174" i="7" s="1"/>
  <c r="J173" i="7"/>
  <c r="K173" i="7" s="1"/>
  <c r="K172" i="7"/>
  <c r="J172" i="7"/>
  <c r="K171" i="7"/>
  <c r="J171" i="7"/>
  <c r="J170" i="7"/>
  <c r="K170" i="7" s="1"/>
  <c r="J169" i="7"/>
  <c r="K169" i="7" s="1"/>
  <c r="K168" i="7"/>
  <c r="J168" i="7"/>
  <c r="J167" i="7"/>
  <c r="K167" i="7" s="1"/>
  <c r="K166" i="7"/>
  <c r="J166" i="7"/>
  <c r="J165" i="7"/>
  <c r="K165" i="7" s="1"/>
  <c r="K164" i="7"/>
  <c r="J164" i="7"/>
  <c r="J163" i="7"/>
  <c r="K163" i="7" s="1"/>
  <c r="J162" i="7"/>
  <c r="K162" i="7" s="1"/>
  <c r="J161" i="7"/>
  <c r="K161" i="7" s="1"/>
  <c r="K160" i="7"/>
  <c r="J160" i="7"/>
  <c r="K159" i="7"/>
  <c r="J159" i="7"/>
  <c r="J158" i="7"/>
  <c r="K158" i="7" s="1"/>
  <c r="J157" i="7"/>
  <c r="K157" i="7" s="1"/>
  <c r="K156" i="7"/>
  <c r="J156" i="7"/>
  <c r="J155" i="7"/>
  <c r="K155" i="7" s="1"/>
  <c r="K154" i="7"/>
  <c r="J154" i="7"/>
  <c r="K153" i="7"/>
  <c r="J153" i="7"/>
  <c r="J152" i="7"/>
  <c r="K152" i="7" s="1"/>
  <c r="K151" i="7"/>
  <c r="J151" i="7"/>
  <c r="J150" i="7"/>
  <c r="K150" i="7" s="1"/>
  <c r="K149" i="7"/>
  <c r="J149" i="7"/>
  <c r="K148" i="7"/>
  <c r="J148" i="7"/>
  <c r="J147" i="7"/>
  <c r="K147" i="7" s="1"/>
  <c r="K146" i="7"/>
  <c r="J146" i="7"/>
  <c r="J145" i="7"/>
  <c r="K145" i="7" s="1"/>
  <c r="K144" i="7"/>
  <c r="J144" i="7"/>
  <c r="K143" i="7"/>
  <c r="J143" i="7"/>
  <c r="J142" i="7"/>
  <c r="K142" i="7" s="1"/>
  <c r="K141" i="7"/>
  <c r="J141" i="7"/>
  <c r="J140" i="7"/>
  <c r="K140" i="7" s="1"/>
  <c r="K139" i="7"/>
  <c r="J139" i="7"/>
  <c r="K138" i="7"/>
  <c r="J138" i="7"/>
  <c r="J137" i="7"/>
  <c r="K137" i="7" s="1"/>
  <c r="K136" i="7"/>
  <c r="J136" i="7"/>
  <c r="J135" i="7"/>
  <c r="K135" i="7" s="1"/>
  <c r="K134" i="7"/>
  <c r="J134" i="7"/>
  <c r="K133" i="7"/>
  <c r="J133" i="7"/>
  <c r="J132" i="7"/>
  <c r="K132" i="7" s="1"/>
  <c r="K131" i="7"/>
  <c r="J131" i="7"/>
  <c r="J130" i="7"/>
  <c r="K130" i="7" s="1"/>
  <c r="K129" i="7"/>
  <c r="J129" i="7"/>
  <c r="K128" i="7"/>
  <c r="J128" i="7"/>
  <c r="J127" i="7"/>
  <c r="K127" i="7" s="1"/>
  <c r="K126" i="7"/>
  <c r="J126" i="7"/>
  <c r="J125" i="7"/>
  <c r="K125" i="7" s="1"/>
  <c r="K124" i="7"/>
  <c r="J124" i="7"/>
  <c r="K123" i="7"/>
  <c r="J123" i="7"/>
  <c r="J122" i="7"/>
  <c r="K122" i="7" s="1"/>
  <c r="K121" i="7"/>
  <c r="J121" i="7"/>
  <c r="J120" i="7"/>
  <c r="K120" i="7" s="1"/>
  <c r="K119" i="7"/>
  <c r="J119" i="7"/>
  <c r="K118" i="7"/>
  <c r="J118" i="7"/>
  <c r="J117" i="7"/>
  <c r="K117" i="7" s="1"/>
  <c r="K116" i="7"/>
  <c r="J116" i="7"/>
  <c r="J115" i="7"/>
  <c r="K115" i="7" s="1"/>
  <c r="K114" i="7"/>
  <c r="J114" i="7"/>
  <c r="K113" i="7"/>
  <c r="J113" i="7"/>
  <c r="J112" i="7"/>
  <c r="K112" i="7" s="1"/>
  <c r="K111" i="7"/>
  <c r="J111" i="7"/>
  <c r="J110" i="7"/>
  <c r="K110" i="7" s="1"/>
  <c r="K109" i="7"/>
  <c r="J109" i="7"/>
  <c r="K108" i="7"/>
  <c r="J108" i="7"/>
  <c r="J107" i="7"/>
  <c r="K107" i="7" s="1"/>
  <c r="K106" i="7"/>
  <c r="J106" i="7"/>
  <c r="J105" i="7"/>
  <c r="K105" i="7" s="1"/>
  <c r="K104" i="7"/>
  <c r="J104" i="7"/>
  <c r="K103" i="7"/>
  <c r="J103" i="7"/>
  <c r="J102" i="7"/>
  <c r="K102" i="7" s="1"/>
  <c r="K101" i="7"/>
  <c r="J101" i="7"/>
  <c r="J100" i="7"/>
  <c r="K100" i="7" s="1"/>
  <c r="K99" i="7"/>
  <c r="J99" i="7"/>
  <c r="K98" i="7"/>
  <c r="J98" i="7"/>
  <c r="J97" i="7"/>
  <c r="K97" i="7" s="1"/>
  <c r="K96" i="7"/>
  <c r="J96" i="7"/>
  <c r="J95" i="7"/>
  <c r="K95" i="7" s="1"/>
  <c r="K94" i="7"/>
  <c r="J94" i="7"/>
  <c r="K93" i="7"/>
  <c r="J93" i="7"/>
  <c r="J92" i="7"/>
  <c r="K92" i="7" s="1"/>
  <c r="K91" i="7"/>
  <c r="J91" i="7"/>
  <c r="J90" i="7"/>
  <c r="K90" i="7" s="1"/>
  <c r="K89" i="7"/>
  <c r="J89" i="7"/>
  <c r="K88" i="7"/>
  <c r="J88" i="7"/>
  <c r="J87" i="7"/>
  <c r="K87" i="7" s="1"/>
  <c r="K86" i="7"/>
  <c r="J86" i="7"/>
  <c r="J85" i="7"/>
  <c r="K85" i="7" s="1"/>
  <c r="K84" i="7"/>
  <c r="J84" i="7"/>
  <c r="K83" i="7"/>
  <c r="J83" i="7"/>
  <c r="J82" i="7"/>
  <c r="K82" i="7" s="1"/>
  <c r="K81" i="7"/>
  <c r="J81" i="7"/>
  <c r="J80" i="7"/>
  <c r="K80" i="7" s="1"/>
  <c r="K79" i="7"/>
  <c r="J79" i="7"/>
  <c r="K78" i="7"/>
  <c r="J78" i="7"/>
  <c r="J77" i="7"/>
  <c r="K77" i="7" s="1"/>
  <c r="K76" i="7"/>
  <c r="J76" i="7"/>
  <c r="J75" i="7"/>
  <c r="K75" i="7" s="1"/>
  <c r="K74" i="7"/>
  <c r="J74" i="7"/>
  <c r="K73" i="7"/>
  <c r="J73" i="7"/>
  <c r="J72" i="7"/>
  <c r="K72" i="7" s="1"/>
  <c r="K71" i="7"/>
  <c r="J71" i="7"/>
  <c r="J70" i="7"/>
  <c r="K70" i="7" s="1"/>
  <c r="K69" i="7"/>
  <c r="J69" i="7"/>
  <c r="K68" i="7"/>
  <c r="J68" i="7"/>
  <c r="J67" i="7"/>
  <c r="K67" i="7" s="1"/>
  <c r="K66" i="7"/>
  <c r="J66" i="7"/>
  <c r="J65" i="7"/>
  <c r="K65" i="7" s="1"/>
  <c r="K64" i="7"/>
  <c r="J64" i="7"/>
  <c r="K63" i="7"/>
  <c r="J63" i="7"/>
  <c r="J62" i="7"/>
  <c r="K62" i="7" s="1"/>
  <c r="K61" i="7"/>
  <c r="J61" i="7"/>
  <c r="J60" i="7"/>
  <c r="K60" i="7" s="1"/>
  <c r="K59" i="7"/>
  <c r="J59" i="7"/>
  <c r="K58" i="7"/>
  <c r="J58" i="7"/>
  <c r="J57" i="7"/>
  <c r="K57" i="7" s="1"/>
  <c r="K56" i="7"/>
  <c r="J56" i="7"/>
  <c r="J55" i="7"/>
  <c r="K55" i="7" s="1"/>
  <c r="K54" i="7"/>
  <c r="J54" i="7"/>
  <c r="K53" i="7"/>
  <c r="J53" i="7"/>
  <c r="J52" i="7"/>
  <c r="K52" i="7" s="1"/>
  <c r="K51" i="7"/>
  <c r="J51" i="7"/>
  <c r="J50" i="7"/>
  <c r="K50" i="7" s="1"/>
  <c r="K49" i="7"/>
  <c r="J49" i="7"/>
  <c r="K48" i="7"/>
  <c r="J48" i="7"/>
  <c r="J47" i="7"/>
  <c r="K47" i="7" s="1"/>
  <c r="K46" i="7"/>
  <c r="J46" i="7"/>
  <c r="J45" i="7"/>
  <c r="K45" i="7" s="1"/>
  <c r="K44" i="7"/>
  <c r="J44" i="7"/>
  <c r="K43" i="7"/>
  <c r="J43" i="7"/>
  <c r="J42" i="7"/>
  <c r="K42" i="7" s="1"/>
  <c r="K41" i="7"/>
  <c r="J41" i="7"/>
  <c r="J40" i="7"/>
  <c r="K40" i="7" s="1"/>
  <c r="K39" i="7"/>
  <c r="J39" i="7"/>
  <c r="K38" i="7"/>
  <c r="J38" i="7"/>
  <c r="J37" i="7"/>
  <c r="K37" i="7" s="1"/>
  <c r="K36" i="7"/>
  <c r="J36" i="7"/>
  <c r="J35" i="7"/>
  <c r="K35" i="7" s="1"/>
  <c r="K34" i="7"/>
  <c r="J34" i="7"/>
  <c r="K33" i="7"/>
  <c r="J33" i="7"/>
  <c r="J32" i="7"/>
  <c r="K32" i="7" s="1"/>
  <c r="K31" i="7"/>
  <c r="J31" i="7"/>
  <c r="J30" i="7"/>
  <c r="K30" i="7" s="1"/>
  <c r="K29" i="7"/>
  <c r="J29" i="7"/>
  <c r="K28" i="7"/>
  <c r="J28" i="7"/>
  <c r="J27" i="7"/>
  <c r="K27" i="7" s="1"/>
  <c r="K26" i="7"/>
  <c r="J26" i="7"/>
  <c r="J25" i="7"/>
  <c r="K25" i="7" s="1"/>
  <c r="K24" i="7"/>
  <c r="J24" i="7"/>
  <c r="K23" i="7"/>
  <c r="J23" i="7"/>
  <c r="J22" i="7"/>
  <c r="K22" i="7" s="1"/>
  <c r="K21" i="7"/>
  <c r="J21" i="7"/>
  <c r="J20" i="7"/>
  <c r="K20" i="7" s="1"/>
  <c r="K19" i="7"/>
  <c r="J19" i="7"/>
  <c r="K18" i="7"/>
  <c r="J18" i="7"/>
  <c r="J17" i="7"/>
  <c r="K17" i="7" s="1"/>
  <c r="K16" i="7"/>
  <c r="J16" i="7"/>
  <c r="J15" i="7"/>
  <c r="K15" i="7" s="1"/>
  <c r="K14" i="7"/>
  <c r="J14" i="7"/>
  <c r="K13" i="7"/>
  <c r="J13" i="7"/>
  <c r="J12" i="7"/>
  <c r="K12" i="7" s="1"/>
  <c r="K11" i="7"/>
  <c r="J11" i="7"/>
  <c r="J10" i="7"/>
  <c r="K10" i="7" s="1"/>
  <c r="K9" i="7"/>
  <c r="J9" i="7"/>
  <c r="K8" i="7"/>
  <c r="J8" i="7"/>
  <c r="J7" i="7"/>
  <c r="K7" i="7" s="1"/>
  <c r="K6" i="7"/>
  <c r="J6" i="7"/>
  <c r="J5" i="7"/>
  <c r="I3" i="7"/>
  <c r="H3" i="7"/>
  <c r="G3" i="7"/>
  <c r="F3" i="7"/>
  <c r="B6" i="2" s="1"/>
  <c r="E3" i="7"/>
  <c r="F32" i="6"/>
  <c r="E32" i="6"/>
  <c r="I72" i="3"/>
  <c r="L72" i="3" s="1"/>
  <c r="H72" i="3"/>
  <c r="L71" i="3"/>
  <c r="I71" i="3"/>
  <c r="H71" i="3"/>
  <c r="H70" i="3"/>
  <c r="I70" i="3" s="1"/>
  <c r="L70" i="3" s="1"/>
  <c r="H69" i="3"/>
  <c r="I69" i="3" s="1"/>
  <c r="L69" i="3" s="1"/>
  <c r="L68" i="3"/>
  <c r="I68" i="3"/>
  <c r="H68" i="3"/>
  <c r="H67" i="3"/>
  <c r="I67" i="3" s="1"/>
  <c r="L67" i="3" s="1"/>
  <c r="H66" i="3"/>
  <c r="I66" i="3" s="1"/>
  <c r="L66" i="3" s="1"/>
  <c r="L65" i="3"/>
  <c r="I65" i="3"/>
  <c r="H65" i="3"/>
  <c r="H64" i="3"/>
  <c r="I64" i="3" s="1"/>
  <c r="L64" i="3" s="1"/>
  <c r="I63" i="3"/>
  <c r="L63" i="3" s="1"/>
  <c r="H63" i="3"/>
  <c r="I62" i="3"/>
  <c r="L62" i="3" s="1"/>
  <c r="H62" i="3"/>
  <c r="L61" i="3"/>
  <c r="I61" i="3"/>
  <c r="H61" i="3"/>
  <c r="H60" i="3"/>
  <c r="I60" i="3" s="1"/>
  <c r="L60" i="3" s="1"/>
  <c r="H59" i="3"/>
  <c r="I59" i="3" s="1"/>
  <c r="L59" i="3" s="1"/>
  <c r="L58" i="3"/>
  <c r="I58" i="3"/>
  <c r="H58" i="3"/>
  <c r="H57" i="3"/>
  <c r="I57" i="3" s="1"/>
  <c r="L57" i="3" s="1"/>
  <c r="H56" i="3"/>
  <c r="I56" i="3" s="1"/>
  <c r="L56" i="3" s="1"/>
  <c r="L55" i="3"/>
  <c r="I55" i="3"/>
  <c r="H55" i="3"/>
  <c r="H54" i="3"/>
  <c r="I54" i="3" s="1"/>
  <c r="L54" i="3" s="1"/>
  <c r="I53" i="3"/>
  <c r="L53" i="3" s="1"/>
  <c r="H53" i="3"/>
  <c r="I51" i="3"/>
  <c r="L51" i="3" s="1"/>
  <c r="H51" i="3"/>
  <c r="L50" i="3"/>
  <c r="I50" i="3"/>
  <c r="H50" i="3"/>
  <c r="H49" i="3"/>
  <c r="I49" i="3" s="1"/>
  <c r="L49" i="3" s="1"/>
  <c r="H48" i="3"/>
  <c r="I48" i="3" s="1"/>
  <c r="L48" i="3" s="1"/>
  <c r="L47" i="3"/>
  <c r="I47" i="3"/>
  <c r="H47" i="3"/>
  <c r="H46" i="3"/>
  <c r="I46" i="3" s="1"/>
  <c r="L46" i="3" s="1"/>
  <c r="H45" i="3"/>
  <c r="I45" i="3" s="1"/>
  <c r="L45" i="3" s="1"/>
  <c r="L44" i="3"/>
  <c r="I44" i="3"/>
  <c r="H44" i="3"/>
  <c r="H43" i="3"/>
  <c r="I43" i="3" s="1"/>
  <c r="L43" i="3" s="1"/>
  <c r="I42" i="3"/>
  <c r="L42" i="3" s="1"/>
  <c r="H42" i="3"/>
  <c r="I41" i="3"/>
  <c r="L41" i="3" s="1"/>
  <c r="H41" i="3"/>
  <c r="L40" i="3"/>
  <c r="I40" i="3"/>
  <c r="H40" i="3"/>
  <c r="H39" i="3"/>
  <c r="I39" i="3" s="1"/>
  <c r="L39" i="3" s="1"/>
  <c r="H38" i="3"/>
  <c r="I38" i="3" s="1"/>
  <c r="L38" i="3" s="1"/>
  <c r="L37" i="3"/>
  <c r="I37" i="3"/>
  <c r="H37" i="3"/>
  <c r="H36" i="3"/>
  <c r="I36" i="3" s="1"/>
  <c r="L36" i="3" s="1"/>
  <c r="H35" i="3"/>
  <c r="I35" i="3" s="1"/>
  <c r="L35" i="3" s="1"/>
  <c r="L34" i="3"/>
  <c r="I34" i="3"/>
  <c r="H34" i="3"/>
  <c r="H33" i="3"/>
  <c r="I33" i="3" s="1"/>
  <c r="L33" i="3" s="1"/>
  <c r="I32" i="3"/>
  <c r="L32" i="3" s="1"/>
  <c r="H32" i="3"/>
  <c r="I31" i="3"/>
  <c r="L31" i="3" s="1"/>
  <c r="H31" i="3"/>
  <c r="L30" i="3"/>
  <c r="I30" i="3"/>
  <c r="H30" i="3"/>
  <c r="H29" i="3"/>
  <c r="I29" i="3" s="1"/>
  <c r="L29" i="3" s="1"/>
  <c r="H28" i="3"/>
  <c r="I28" i="3" s="1"/>
  <c r="L28" i="3" s="1"/>
  <c r="L27" i="3"/>
  <c r="I27" i="3"/>
  <c r="H27" i="3"/>
  <c r="H26" i="3"/>
  <c r="I26" i="3" s="1"/>
  <c r="L26" i="3" s="1"/>
  <c r="H25" i="3"/>
  <c r="I25" i="3" s="1"/>
  <c r="L25" i="3" s="1"/>
  <c r="L24" i="3"/>
  <c r="I24" i="3"/>
  <c r="H24" i="3"/>
  <c r="H23" i="3"/>
  <c r="I23" i="3" s="1"/>
  <c r="L23" i="3" s="1"/>
  <c r="I22" i="3"/>
  <c r="L22" i="3" s="1"/>
  <c r="H22" i="3"/>
  <c r="I21" i="3"/>
  <c r="L21" i="3" s="1"/>
  <c r="H21" i="3"/>
  <c r="L20" i="3"/>
  <c r="I20" i="3"/>
  <c r="H20" i="3"/>
  <c r="H19" i="3"/>
  <c r="I19" i="3" s="1"/>
  <c r="L19" i="3" s="1"/>
  <c r="H18" i="3"/>
  <c r="I18" i="3" s="1"/>
  <c r="L18" i="3" s="1"/>
  <c r="L17" i="3"/>
  <c r="I17" i="3"/>
  <c r="H17" i="3"/>
  <c r="H16" i="3"/>
  <c r="I16" i="3" s="1"/>
  <c r="L16" i="3" s="1"/>
  <c r="H15" i="3"/>
  <c r="I15" i="3" s="1"/>
  <c r="L15" i="3" s="1"/>
  <c r="L14" i="3"/>
  <c r="I14" i="3"/>
  <c r="H14" i="3"/>
  <c r="H13" i="3"/>
  <c r="I13" i="3" s="1"/>
  <c r="L13" i="3" s="1"/>
  <c r="I12" i="3"/>
  <c r="L12" i="3" s="1"/>
  <c r="H12" i="3"/>
  <c r="I11" i="3"/>
  <c r="L11" i="3" s="1"/>
  <c r="H11" i="3"/>
  <c r="L10" i="3"/>
  <c r="I10" i="3"/>
  <c r="H10" i="3"/>
  <c r="H9" i="3"/>
  <c r="I9" i="3" s="1"/>
  <c r="L9" i="3" s="1"/>
  <c r="H8" i="3"/>
  <c r="I8" i="3" s="1"/>
  <c r="L8" i="3" s="1"/>
  <c r="L7" i="3"/>
  <c r="I7" i="3"/>
  <c r="H7" i="3"/>
  <c r="H6" i="3"/>
  <c r="I6" i="3" s="1"/>
  <c r="L6" i="3" s="1"/>
  <c r="H5" i="3"/>
  <c r="I5" i="3" s="1"/>
  <c r="G3" i="3"/>
  <c r="F3" i="3"/>
  <c r="E15" i="2"/>
  <c r="B14" i="20"/>
  <c r="B15" i="20" s="1"/>
  <c r="B13" i="20"/>
  <c r="B16" i="20" s="1"/>
  <c r="B12" i="20"/>
  <c r="G3" i="12" l="1"/>
  <c r="I3" i="11"/>
  <c r="J3" i="7"/>
  <c r="K5" i="7"/>
  <c r="L5" i="3"/>
  <c r="I3" i="3"/>
  <c r="L3" i="3" s="1"/>
  <c r="H3" i="3"/>
  <c r="E3" i="12"/>
  <c r="H3" i="12"/>
  <c r="E110" i="8"/>
  <c r="I3" i="8"/>
  <c r="F10" i="17"/>
  <c r="F11" i="17"/>
  <c r="G10" i="17"/>
  <c r="G11" i="17"/>
  <c r="I10" i="17"/>
  <c r="I11" i="17"/>
  <c r="F13" i="16"/>
  <c r="F12" i="16"/>
  <c r="F11" i="16"/>
  <c r="C10" i="17"/>
  <c r="C11" i="17"/>
  <c r="D10" i="17"/>
  <c r="D11" i="17"/>
  <c r="H11" i="14"/>
  <c r="E10" i="17"/>
  <c r="G12" i="14"/>
  <c r="H11" i="17"/>
  <c r="F6" i="13"/>
  <c r="F9" i="13" s="1"/>
  <c r="J11" i="17"/>
  <c r="G13" i="14"/>
  <c r="G10" i="14"/>
  <c r="F10" i="13" l="1"/>
  <c r="F11" i="13" s="1"/>
  <c r="G3" i="11"/>
  <c r="H9" i="2" s="1"/>
  <c r="E3" i="11"/>
  <c r="F9" i="2" s="1"/>
  <c r="J3" i="8"/>
  <c r="F6" i="2"/>
  <c r="D9" i="2"/>
  <c r="D6" i="2"/>
  <c r="E14" i="2"/>
  <c r="K3" i="7"/>
  <c r="H6" i="2"/>
  <c r="B9" i="2"/>
</calcChain>
</file>

<file path=xl/sharedStrings.xml><?xml version="1.0" encoding="utf-8"?>
<sst xmlns="http://schemas.openxmlformats.org/spreadsheetml/2006/main" count="9887" uniqueCount="9485">
  <si>
    <t>Grading ROI Calculator</t>
  </si>
  <si>
    <t>INPUTS</t>
  </si>
  <si>
    <t>Raw Buy Price ($)</t>
  </si>
  <si>
    <t>PSA Tier</t>
  </si>
  <si>
    <t>Value Bulk</t>
  </si>
  <si>
    <t>PSA Fee ($)</t>
  </si>
  <si>
    <t>Enter fee from "PSA Fee Schedule" tab</t>
  </si>
  <si>
    <t>Gem Rate (%)</t>
  </si>
  <si>
    <t>PSA 10 Avg Price ($)</t>
  </si>
  <si>
    <t>ROI Target (×)</t>
  </si>
  <si>
    <t>OUTPUTS</t>
  </si>
  <si>
    <t>eBay Fee ($)</t>
  </si>
  <si>
    <t>Target PSA 10 Price ($)</t>
  </si>
  <si>
    <t>Est. Net Profit ($)</t>
  </si>
  <si>
    <t>Est. ROI (%)</t>
  </si>
  <si>
    <t>GO / NO-GO</t>
  </si>
  <si>
    <t>4× ROI formula: (Raw Cost × ROI Target + PSA Fee) ÷ (1 − 0.1325)</t>
  </si>
  <si>
    <t>💎  DFS Card Grader — Business Operations Kit</t>
  </si>
  <si>
    <t>A complete operating system for running a profitable sports card business</t>
  </si>
  <si>
    <t xml:space="preserve">  👋  WELCOME</t>
  </si>
  <si>
    <t xml:space="preserve">  Whether you're just starting out or scaling an existing card business, this workbook gives you the same tools and systems used by serious collectors and resellers.</t>
  </si>
  <si>
    <t xml:space="preserve">  It works hand-in-hand with the DFS Card Grader app — use the app to research cards and make grading decisions, then use this workbook to plan, track, and grow your business.</t>
  </si>
  <si>
    <t xml:space="preserve">  Every tab has a job. Work through the Getting Started checklist below, fill in your numbers, and the workbook will start giving you real answers about your business.</t>
  </si>
  <si>
    <t xml:space="preserve">  🎯  STEP 1 — SET YOUR MONTHLY REVENUE GOAL</t>
  </si>
  <si>
    <t xml:space="preserve">  ▸  What is your monthly revenue goal?</t>
  </si>
  <si>
    <t xml:space="preserve">  Go to the Path to $40k tab → enter your target in the yellow input cell. The model will calculate how many cards you need to sell per day, at what average price, to hit it.</t>
  </si>
  <si>
    <t xml:space="preserve">  ▸  What is your average card value?</t>
  </si>
  <si>
    <t xml:space="preserve">  Look at your last 10–20 sales. What did they sell for on average? Enter this in the Path to $40k assumptions. Lower avg price = more volume needed.</t>
  </si>
  <si>
    <t xml:space="preserve">  ▸  What margin are you targeting?</t>
  </si>
  <si>
    <t xml:space="preserve">  ▸  How much capital do you have to work with?</t>
  </si>
  <si>
    <t xml:space="preserve">  Enter your starting capital in the Capital Velocity tab. It will show you how many times you need to flip that capital per month to hit your revenue goal.</t>
  </si>
  <si>
    <t xml:space="preserve">  📦  STEP 2 — KNOW YOUR INVENTORY</t>
  </si>
  <si>
    <t xml:space="preserve">  ▸  Log every card you own</t>
  </si>
  <si>
    <t xml:space="preserve">  Use the Inventory &amp; Aging tab. Enter the card, what you paid (cost basis), where it's listed, and the asking price. This is your business balance sheet.</t>
  </si>
  <si>
    <t xml:space="preserve">  ▸  Watch the aging flags</t>
  </si>
  <si>
    <t xml:space="preserve">  Any card listed 30+ days with no sale is a problem. The Inventory &amp; Aging tab flags these automatically. Use the Stale Action Plan tab to decide what to do — drop price, relist, or consign.</t>
  </si>
  <si>
    <t xml:space="preserve">  ▸  Know what's costing you money</t>
  </si>
  <si>
    <t xml:space="preserve">  ▸  Build your buy list</t>
  </si>
  <si>
    <t xml:space="preserve">  The Target Card List tab is where you track what to buy next. Set a Max Buy price and a Target Sell price before you buy anything — never buy without a plan.</t>
  </si>
  <si>
    <t xml:space="preserve">  💎  STEP 3 — USE GRADING AS A REVENUE LEVER</t>
  </si>
  <si>
    <t xml:space="preserve">  ▸  Not every card is worth grading</t>
  </si>
  <si>
    <t xml:space="preserve">  Only grade cards where: (1) the gem rate is 40%+, and (2) a PSA 10 sells for at least 4× your raw cost after fees. Use the Grading ROI Calculator tab to run the numbers before you submit anything.</t>
  </si>
  <si>
    <t xml:space="preserve">  ▸  Search first in the app</t>
  </si>
  <si>
    <t xml:space="preserve">  Open the DFS Card Grader app → search the card → get the gem rate from GemRate.com → enter the PSA 10 market value → the app tells you GO or NO-GO instantly.</t>
  </si>
  <si>
    <t xml:space="preserve">  ▸  Log every submission</t>
  </si>
  <si>
    <t xml:space="preserve">  Use the Grading Tracker tab to log every card you send to PSA — tier, fee, expected price, and target. When grades come back, update the actual results to track your real grading ROI over time.</t>
  </si>
  <si>
    <t xml:space="preserve">  ▸  Build a grading pipeline</t>
  </si>
  <si>
    <t xml:space="preserve">  💰  STEP 4 — SELL SMARTER ACROSS CHANNELS</t>
  </si>
  <si>
    <t xml:space="preserve">  ▸  Not all channels are equal</t>
  </si>
  <si>
    <t xml:space="preserve">  eBay, HeyStack, COMC, Whatnot, and consignment houses all have different fees and buyer pools. The Channel Fees tab shows your net payout at each price point so you route the right card to the right platform.</t>
  </si>
  <si>
    <t xml:space="preserve">  ▸  Log every sale immediately</t>
  </si>
  <si>
    <t xml:space="preserve">  Use the Sales Log tab. Date, card, channel, sell price, fees, and net. This is your income statement. Review it weekly — your data will show you which channels and card types make you the most money.</t>
  </si>
  <si>
    <t xml:space="preserve">  ▸  Use consignment for high-value cards</t>
  </si>
  <si>
    <t xml:space="preserve">  Cards over $100–200 often do better at auction houses like DcSports87, PWCC, or Probstein. Track every consignment in the Consignment Tracker tab — submission date, estimated value, and when to expect payment.</t>
  </si>
  <si>
    <t xml:space="preserve">  ▸  HeyStack priority scoring</t>
  </si>
  <si>
    <t xml:space="preserve">  ✅  GETTING STARTED CHECKLIST</t>
  </si>
  <si>
    <t xml:space="preserve">  ☐</t>
  </si>
  <si>
    <t xml:space="preserve">  Set your monthly revenue goal in the Path to $40k tab</t>
  </si>
  <si>
    <t xml:space="preserve">  Enter your starting capital in the Capital Velocity tab</t>
  </si>
  <si>
    <t xml:space="preserve">  Build your buy list in the Target Card List tab</t>
  </si>
  <si>
    <t xml:space="preserve">  Review the Channel Fees tab and understand your platform costs</t>
  </si>
  <si>
    <t xml:space="preserve">  Search your first card in the DFS Card Grader app and get a GO/NO-GO</t>
  </si>
  <si>
    <t xml:space="preserve">  Add your first grading candidate to the Grading Candidates tab</t>
  </si>
  <si>
    <t xml:space="preserve">  Log your next sale in the Sales Log the day it sells</t>
  </si>
  <si>
    <t xml:space="preserve">  Check Inventory &amp; Aging weekly — flag anything listed 30+ days</t>
  </si>
  <si>
    <t xml:space="preserve">  📑  TAB DIRECTORY</t>
  </si>
  <si>
    <t xml:space="preserve">  💎  GRADING TOOLS</t>
  </si>
  <si>
    <t xml:space="preserve">    ➤  PSA Fee Schedule</t>
  </si>
  <si>
    <t xml:space="preserve">  All 7 PSA tiers — fees, turnaround times, and eBay cost breakdown</t>
  </si>
  <si>
    <t xml:space="preserve">    ➤  Grading ROI Calculator</t>
  </si>
  <si>
    <t xml:space="preserve">  Input any card → get instant GO/NO-GO with target price and net profit</t>
  </si>
  <si>
    <t xml:space="preserve">    ➤  Grading Tracker</t>
  </si>
  <si>
    <t xml:space="preserve">  Log every PSA submission — track status, grade returned, and actual ROI</t>
  </si>
  <si>
    <t xml:space="preserve">    ➤  Grading Candidates</t>
  </si>
  <si>
    <t xml:space="preserve">  Build your next grading batch — shortlist cards before committing</t>
  </si>
  <si>
    <t xml:space="preserve">  📋  OPERATIONS</t>
  </si>
  <si>
    <t xml:space="preserve">    ➤  Dashboard</t>
  </si>
  <si>
    <t xml:space="preserve">  60-second weekly check-in — revenue, margin, and volume at a glance</t>
  </si>
  <si>
    <t xml:space="preserve">    ➤  Target Card List</t>
  </si>
  <si>
    <t xml:space="preserve">  Your buy list — max buy price and target sell for every card you want</t>
  </si>
  <si>
    <t xml:space="preserve">    ➤  Inventory Intel</t>
  </si>
  <si>
    <t xml:space="preserve">  Deep snapshot of your full inventory — composition, value, and insights</t>
  </si>
  <si>
    <t xml:space="preserve">    ➤  Stale Action Plan</t>
  </si>
  <si>
    <t xml:space="preserve">  90-day aged cards — specific recommended actions for each one</t>
  </si>
  <si>
    <t xml:space="preserve">    ➤  14-Day Volume Ramp</t>
  </si>
  <si>
    <t xml:space="preserve">  Day-by-day sales velocity plan for when you need to move volume fast</t>
  </si>
  <si>
    <t xml:space="preserve">    ➤  Sales Log</t>
  </si>
  <si>
    <t xml:space="preserve">  Every completed sale — date, price, channel, fees, and net margin</t>
  </si>
  <si>
    <t xml:space="preserve">    ➤  Consignment Tracker</t>
  </si>
  <si>
    <t xml:space="preserve">  Track every card at auction houses — status, expected payout, close date</t>
  </si>
  <si>
    <t xml:space="preserve">  📦  INVENTORY</t>
  </si>
  <si>
    <t xml:space="preserve">    ➤  Inventory &amp; Aging</t>
  </si>
  <si>
    <t xml:space="preserve">  Full inventory with cost basis, days listed, aging flags, and next action</t>
  </si>
  <si>
    <t xml:space="preserve">    ➤  Lot Evaluator</t>
  </si>
  <si>
    <t xml:space="preserve">  Pre-buy tool — enter comp total + target margin → get max offer price</t>
  </si>
  <si>
    <t xml:space="preserve">    ➤  DcSports87 May 2026</t>
  </si>
  <si>
    <t xml:space="preserve">  Top scored cards for current DcSports87 consignment auction</t>
  </si>
  <si>
    <t xml:space="preserve">    ➤  DcSports87 — Normal Batch</t>
  </si>
  <si>
    <t xml:space="preserve">  Standard DcSports87 batch — $3–$25 range, scored by auction potential</t>
  </si>
  <si>
    <t xml:space="preserve">  🏈⚾🏀  HEYSTACK PRIORITY</t>
  </si>
  <si>
    <t xml:space="preserve">    ➤  FB Cards — HeyStack Priority</t>
  </si>
  <si>
    <t xml:space="preserve">  Football cards ranked by sell-through score for HeyStack relisting</t>
  </si>
  <si>
    <t xml:space="preserve">    ➤  BB Cards — HeyStack Priority</t>
  </si>
  <si>
    <t xml:space="preserve">  Baseball cards ranked by sell-through score for HeyStack relisting</t>
  </si>
  <si>
    <t xml:space="preserve">    ➤  BK Cards — HeyStack Priority</t>
  </si>
  <si>
    <t xml:space="preserve">  Basketball cards ranked by sell-through score for HeyStack relisting</t>
  </si>
  <si>
    <t xml:space="preserve">    ➤  Stale Action — Market Comps</t>
  </si>
  <si>
    <t xml:space="preserve">  Live eBay comp research for aging cards — drop, hold, or consign</t>
  </si>
  <si>
    <t xml:space="preserve">  💰  FINANCIAL MODELS</t>
  </si>
  <si>
    <t xml:space="preserve">    ➤  Channel Fees</t>
  </si>
  <si>
    <t xml:space="preserve">  Live fee comparison — eBay vs HeyStack vs COMC vs consignment at every price point</t>
  </si>
  <si>
    <t xml:space="preserve">    ➤  Capital Velocity</t>
  </si>
  <si>
    <t xml:space="preserve">  How fast is your money working? Tracks flip cycles and net profit per dollar deployed</t>
  </si>
  <si>
    <t xml:space="preserve">    ➤  Helper ROI</t>
  </si>
  <si>
    <t xml:space="preserve">  Thinking about hiring help? This model tells you exactly when it makes financial sense</t>
  </si>
  <si>
    <t xml:space="preserve">    ➤  Path to $40k</t>
  </si>
  <si>
    <t xml:space="preserve">  Monthly revenue projection — enter your goal and work backwards to daily targets</t>
  </si>
  <si>
    <t>© 2025 DFS Cards LLC  ·  8601 E Palo Verde Dr, Scottsdale AZ 85250  ·  All rights reserved</t>
  </si>
  <si>
    <t>🏠 Start Here</t>
  </si>
  <si>
    <t>Your weekly 60-second check-in. Numbers pull from the other tabs.</t>
  </si>
  <si>
    <t>HEADLINE NUMBERS (from live data)</t>
  </si>
  <si>
    <t>Direct Sales Gross</t>
  </si>
  <si>
    <t>Direct Sales Net</t>
  </si>
  <si>
    <t>Consignment Net</t>
  </si>
  <si>
    <t>Total Net (all channels)</t>
  </si>
  <si>
    <t>Direct Margin %</t>
  </si>
  <si>
    <t>Avg Net / Consigned Card</t>
  </si>
  <si>
    <t>Stale Cards (≥60d)</t>
  </si>
  <si>
    <t>Capital at Risk (stale)</t>
  </si>
  <si>
    <t>PROGRESS vs TARGETS</t>
  </si>
  <si>
    <t>Monthly Net Target (current phase)</t>
  </si>
  <si>
    <t>Actual Monthly Net (YTD-indicative)</t>
  </si>
  <si>
    <t>% of Phase Target</t>
  </si>
  <si>
    <t>QUICK ACTIONS</t>
  </si>
  <si>
    <t>→ Sales Log: log any sales since last week.</t>
  </si>
  <si>
    <t>→ Consignment Tracker: update any auctions that closed.</t>
  </si>
  <si>
    <t>→ Inventory &amp; Aging: route all STALE-flagged cards to next consignment batch.</t>
  </si>
  <si>
    <t>→ Path to $40k: compare actual net vs this month's milestone.</t>
  </si>
  <si>
    <t>→ Helper ROI: if you haven't hired yet, re-run the calculator — it is the fastest win.</t>
  </si>
  <si>
    <t>25 NFL + 20 Soccer + 20 Baseball (liquid ≥10 sales/90d) — $8-155 band. WC 2026 LIVE in 6 weeks. 2025 MLB season catalyst active.</t>
  </si>
  <si>
    <t>TOTALS →</t>
  </si>
  <si>
    <t>#</t>
  </si>
  <si>
    <t>Sport</t>
  </si>
  <si>
    <t>Player</t>
  </si>
  <si>
    <t>Card / Variant</t>
  </si>
  <si>
    <t>Grade / Cond.</t>
  </si>
  <si>
    <t>Max Buy ($)</t>
  </si>
  <si>
    <t>Target Sell ($)</t>
  </si>
  <si>
    <t>Est. Fees ($)</t>
  </si>
  <si>
    <t>Est. Net ($)</t>
  </si>
  <si>
    <t>Catalyst / Why</t>
  </si>
  <si>
    <t>Best Channel</t>
  </si>
  <si>
    <t>Margin %</t>
  </si>
  <si>
    <t>In Stock</t>
  </si>
  <si>
    <t>Your Avg $</t>
  </si>
  <si>
    <t>Status</t>
  </si>
  <si>
    <t>NFL</t>
  </si>
  <si>
    <t>Patrick Mahomes</t>
  </si>
  <si>
    <t>2017 Panini Prizm #269 RC Silver</t>
  </si>
  <si>
    <t>Raw NM-M</t>
  </si>
  <si>
    <t>SB contender, top QB</t>
  </si>
  <si>
    <t>eBay BIN</t>
  </si>
  <si>
    <t>Ja'Marr Chase</t>
  </si>
  <si>
    <t>2021 Panini Prizm #387 RC Silver</t>
  </si>
  <si>
    <t>WR1 threat</t>
  </si>
  <si>
    <t>MLB</t>
  </si>
  <si>
    <t>Juan Soto</t>
  </si>
  <si>
    <t>2018 Topps Chrome #31 RC</t>
  </si>
  <si>
    <t>2025 season catalyst</t>
  </si>
  <si>
    <t>eBay Auction</t>
  </si>
  <si>
    <t>Based on your 4/20/26 active listings export — 4,233 items, 430 orders last 90d</t>
  </si>
  <si>
    <t>1. INVENTORY PRICE COMPOSITION</t>
  </si>
  <si>
    <t>Price Bucket</t>
  </si>
  <si>
    <t># Listings</t>
  </si>
  <si>
    <t>% of Total</t>
  </si>
  <si>
    <t>Category</t>
  </si>
  <si>
    <t>&lt;$2</t>
  </si>
  <si>
    <t>LOW-END (sub-$5)</t>
  </si>
  <si>
    <t>$2-5</t>
  </si>
  <si>
    <t>$5-10</t>
  </si>
  <si>
    <t>VOLUME TIER</t>
  </si>
  <si>
    <t>$10-20</t>
  </si>
  <si>
    <t>$20-50</t>
  </si>
  <si>
    <t>MID-TIER (sweet spot)</t>
  </si>
  <si>
    <t>$50-100</t>
  </si>
  <si>
    <t>&gt;=$100</t>
  </si>
  <si>
    <t>PREMIUM</t>
  </si>
  <si>
    <t>⚠  KEY FINDING: 89% of your listings are under $5.  Your mid-tier ($20-100) sweet spot is only 1.6% — this is the #1 reason you're capped at $3-8k/mo NET.</t>
  </si>
  <si>
    <t>2. LAST 90 DAYS — SALES PROFILE</t>
  </si>
  <si>
    <t>Orders (90d)</t>
  </si>
  <si>
    <t>Total GMV</t>
  </si>
  <si>
    <t>Avg sale price</t>
  </si>
  <si>
    <t>Avg orders/day</t>
  </si>
  <si>
    <t>Monthly GMV run-rate</t>
  </si>
  <si>
    <t>Implied NET @ 30% margin</t>
  </si>
  <si>
    <t>3. TARGET-LIST PLAYERS WITH SALES (last 90d)</t>
  </si>
  <si>
    <t># Sold</t>
  </si>
  <si>
    <t>Avg $</t>
  </si>
  <si>
    <t>Total $</t>
  </si>
  <si>
    <t>Messi</t>
  </si>
  <si>
    <t>Drake Maye</t>
  </si>
  <si>
    <t>Bo Nix</t>
  </si>
  <si>
    <t>Lamine Yamal</t>
  </si>
  <si>
    <t>Haaland</t>
  </si>
  <si>
    <t>Caleb Williams</t>
  </si>
  <si>
    <t>4. YOUR TOP 10 SALES (last 90d) — WHAT'S ACTUALLY MOVING</t>
  </si>
  <si>
    <t>Sold For</t>
  </si>
  <si>
    <t>Title</t>
  </si>
  <si>
    <t>2025-26 Topps Chrome Kon Knueppel #254  (RC)  Purple RayWave Hornets /75</t>
  </si>
  <si>
    <t>Cooper Flagg 2025-26 Topps Chrome RC Silver X-Fractor Refractor #251</t>
  </si>
  <si>
    <t>2025-26 Topps Cooper Flagg #201 Gold Dallas Mavericks #/2025 (RC) 🔥🔥🔥</t>
  </si>
  <si>
    <t>2025-26 Topps Kon Knueppel #NA-KK New Applicants Autographs Hornets (AU), (RC)</t>
  </si>
  <si>
    <t>2025 Topps Update Chrome #98 Paul Skenes Gold Cup Gold Refractor 16/50</t>
  </si>
  <si>
    <t>2024 Topps Aaron Judge #HL-3 Heavy Lumber Yankees MVP</t>
  </si>
  <si>
    <t>2024 Bowman Draft Konnor Griffin #BDC-22 1st Refractor RC Pirates Top Prospect</t>
  </si>
  <si>
    <t>1909-11 T206 Sweet Caporal 350/30 Chief Bender #PR Pitching, Trees In Back</t>
  </si>
  <si>
    <t>2024 Bowman Draft Konnor Griffin #BDC-22 Chrome Refractor Pittsburgh Pirates</t>
  </si>
  <si>
    <t>2024 Pokemon Japanese Sv8a-Terastal Fest Ex #206 Glaceon Ex Sp Art Rare PSA 10</t>
  </si>
  <si>
    <t>5. DATA-DRIVEN RECOMMENDATIONS</t>
  </si>
  <si>
    <t>Coverage gap</t>
  </si>
  <si>
    <t>43/45 target cards have ZERO stock — these are your buy list this week.</t>
  </si>
  <si>
    <t>Mix shift</t>
  </si>
  <si>
    <t>Only 69 of 4,233 listings are in the $20-100 mid-tier. Shifting even 200 units from sub-$5 to mid-tier = +$6k-12k revenue potential.</t>
  </si>
  <si>
    <t>NBA signal</t>
  </si>
  <si>
    <t>Top 3 sales in 90d were NBA rookies (Flagg $305+$425, Knueppel $600+$222). Consider adding NBA mid-tier parallels to target list.</t>
  </si>
  <si>
    <t>Repricing</t>
  </si>
  <si>
    <t>Status column flags cards listed &gt;40% under target sell — those are likely base versions, not the parallel the target expects. Audit + pull low-quality listings.</t>
  </si>
  <si>
    <t>Current run-rate</t>
  </si>
  <si>
    <t>You're at ~4.8 orders/day at $16.35 avg = ~$2343/mo GMV. Net ~30% = ~$703/mo. Ramp to 50 sold/day × $20 avg = ~$30000/mo GMV for the 14-day plan to deliver.</t>
  </si>
  <si>
    <t>Stale = 0 watchers, 0 bids, listed 30+ days ago. Based on 4,252 active listings.</t>
  </si>
  <si>
    <t>1. STALE INVENTORY OVERVIEW</t>
  </si>
  <si>
    <t>Total active listings</t>
  </si>
  <si>
    <t>Stale listings (30+ days, no interest)</t>
  </si>
  <si>
    <t>Stale % of inventory</t>
  </si>
  <si>
    <t>Capital tied in stale listings</t>
  </si>
  <si>
    <t>Stale with demand (reprice)</t>
  </si>
  <si>
    <t>Stale with no demand (consign/bulk)</t>
  </si>
  <si>
    <t>Stale premium $20+ 60d+</t>
  </si>
  <si>
    <t>Premium stale capital</t>
  </si>
  <si>
    <t>⚠  83% of your inventory is stale. $9,758 of working capital is locked up. The 3 plays below free it back into your turn.</t>
  </si>
  <si>
    <t>2. STALE AGE BREAKDOWN</t>
  </si>
  <si>
    <t>Age Bucket</t>
  </si>
  <si>
    <t># Stale</t>
  </si>
  <si>
    <t>Action</t>
  </si>
  <si>
    <t>30-60 days</t>
  </si>
  <si>
    <t>Reprice to market avg, add keyword tags</t>
  </si>
  <si>
    <t>60-90 days</t>
  </si>
  <si>
    <t>Audit photos/description, drop 10% or route to consign</t>
  </si>
  <si>
    <t>90-180 days</t>
  </si>
  <si>
    <t>Consign to DcSports87 or bundle as lots</t>
  </si>
  <si>
    <t>180-365 days</t>
  </si>
  <si>
    <t>Bulk lot on Whatnot or consign — stop paying insertion fees</t>
  </si>
  <si>
    <t>1+ year</t>
  </si>
  <si>
    <t>Delist or bulk lot — zero chance at sticker price</t>
  </si>
  <si>
    <t>3. TOP 30 REPRICE CANDIDATES — stale but same card sold in last 90d</t>
  </si>
  <si>
    <t>💡 These cards sat with zero interest, BUT identical cards sold recently. Green = list above market (reprice DOWN). Red = list below market (reprice UP).  Aim for 95-100% of sold avg.</t>
  </si>
  <si>
    <t>Days</t>
  </si>
  <si>
    <t>Your Ask</t>
  </si>
  <si>
    <t>Sold Avg</t>
  </si>
  <si>
    <t>Max Sale</t>
  </si>
  <si>
    <t>Δ%</t>
  </si>
  <si>
    <t>Qty</t>
  </si>
  <si>
    <t>New Price Target</t>
  </si>
  <si>
    <t>2025 Bowman Draft Ethan Frey #BDC-67 Chrome Purple Refractor Astros #/250</t>
  </si>
  <si>
    <t>2024 Donruss Optic Drake Maye #229 New England Patriots RC</t>
  </si>
  <si>
    <t>2025-26 Finest Allen Iverson #M-1 Muse Sky Blue Refractor 76ers #/150</t>
  </si>
  <si>
    <t>2025 Bowman Draft Eli Willits #BDC-1 Chrome Refractor Washington Nationals</t>
  </si>
  <si>
    <t>2025-26 Topps Chrome Noa Essengue #262 Negative Refractor Chicago Bulls</t>
  </si>
  <si>
    <t>2025 Bowman Draft Ryan Mitchell #BDC-77 Chrome Sky Blue Refractor Cardinals</t>
  </si>
  <si>
    <t>2025 Panini Prizm FIFA Club World Cup Ian Subiabre #176 River Plate</t>
  </si>
  <si>
    <t>2025 Bowman Draft Liam Doyle #BDC-12 Chrome Refractor St. Louis Cardinals</t>
  </si>
  <si>
    <t>2025 Bowman Draft Justin Lamkin #BDC-62 Chrome Sparkle Refractor Royals</t>
  </si>
  <si>
    <t>2025-26 Topps Chrome VJ Edgecombe #253 Philadelphia 76ers</t>
  </si>
  <si>
    <t>2025-26 Topps Chrome Ryan Kalkbrenner #284 Charlotte Hornets</t>
  </si>
  <si>
    <t>2025 Bowman Draft Ethan Frey #BDC-67 Chrome Refractor Houston Astros</t>
  </si>
  <si>
    <t>2025 Bowman Draft Charles Davalan #BDC-96 Chrome Refractor Los Angeles Dodgers</t>
  </si>
  <si>
    <t>2025 Bowman Draft Gavin Kilen #BDC-40 Chrome Refractor San Francisco Giants</t>
  </si>
  <si>
    <t>2025 Bowman Draft Peter Kussow #BDC-179 Chrome X-Fractor New York Mets</t>
  </si>
  <si>
    <t>2025 Bowman Draft Dax Kilby #PP-12 Prized Prospects New York Yankees</t>
  </si>
  <si>
    <t>2025 Bowman Draft Kaeden Kent #BDC-65 Chrome Refractor New York Yankees</t>
  </si>
  <si>
    <t>2023 Topps Heritage Aaron Judge #152 New York Yankees</t>
  </si>
  <si>
    <t>2025 Bowman Draft Liam Doyle #BDC-12 Chrome St. Louis Cardinals</t>
  </si>
  <si>
    <t>2025-26 Topps Chrome Jeremiah Fears #257 New Orleans Pelicans</t>
  </si>
  <si>
    <t>2025 Bowman Draft Peter Kussow #BDC-179 Chrome Refractor 1st Prospect Mets</t>
  </si>
  <si>
    <t>2025 Bowman Draft Jamie Arnold #BDC-30 Chrome Mojo Refractor 1st Prospect</t>
  </si>
  <si>
    <t>Michael Harris II 2023 Topps Chrome #79 Atlanta Braves</t>
  </si>
  <si>
    <t>2025 Panini Prizm FIFA Club World Cup Luis Advincula #35 Pulsar Boca Juniors</t>
  </si>
  <si>
    <t>2025-26 Topps Chrome Ace Bailey #255 Utah Jazz</t>
  </si>
  <si>
    <t>2025 Bowman Draft Landon Harmon #BDC-44 Chrome Refractor Washington Nationals</t>
  </si>
  <si>
    <t>2024-25 Topps Chrome UEFA Club Competitions Myles Lewis-Skelly #154 Arsenal FC</t>
  </si>
  <si>
    <t>2024-25 Topps Chrome UEFA Club Competitions Vinícius Tobias #167 Donetsk</t>
  </si>
  <si>
    <t>2025 Panini Prizm FIFA Club World Cup Nico O'Reilly #134 Manchester City</t>
  </si>
  <si>
    <t>2024 Bowman University Chrome Luther Burden III #55B-1 Tigers</t>
  </si>
  <si>
    <t>4. STALE DUPLICATES — bulk lot or consign (3+ copies, no recent sale)</t>
  </si>
  <si>
    <t>These are accumulating with no demand. Bundle in lots of 25-50 on Whatnot or route to DcSports87 — stop paying insertion fees to re-list monthly.</t>
  </si>
  <si>
    <t>Count</t>
  </si>
  <si>
    <t>Ask Each</t>
  </si>
  <si>
    <t>Total Value</t>
  </si>
  <si>
    <t>Card</t>
  </si>
  <si>
    <t>2018-19 Topps Match Attax UEFA Champions League Filipe Luís #22 Atletico Madrid</t>
  </si>
  <si>
    <t>Bundle as lot</t>
  </si>
  <si>
    <t>2024-25 Topps Finest Uefa Club Competitions - Joao Simoes #83 Refractor (RC)</t>
  </si>
  <si>
    <t>2024 Panini Prizm Draft Picks Tristan da Silva #61 Prizms Green Buffaloes</t>
  </si>
  <si>
    <t>2025 Panini Stars and Stripes USA Baseball Andres Armenta #158 Green</t>
  </si>
  <si>
    <t>Consign</t>
  </si>
  <si>
    <t>2024 Panini Prizm Draft Picks Matas Buzelis #67b Purple Wave NBA G League Ignite</t>
  </si>
  <si>
    <t>2024 Panini Prizm Draft Picks Alexandre Sarr #52b Tampa Yankees</t>
  </si>
  <si>
    <t>2024 Panini Prizm Draft Picks Yves Missi #54b Prizms Green Baylor Bears</t>
  </si>
  <si>
    <t>2024 Panini Prizm Draft Picks Zaccharie Risacher #69 Prizms Orange Ice</t>
  </si>
  <si>
    <t>2025-26 Topps Chrome Sion James #283 Charlotte Hornets</t>
  </si>
  <si>
    <t>2025-26 Topps Chrome Walter Clayton Jr. #268 Refractor Utah Jazz</t>
  </si>
  <si>
    <t>2024-25 Panini Select Premier League - Terrace Dara O'Shea #19 Red cracked Ice</t>
  </si>
  <si>
    <t>2024 Topps Chrome Jasson Domínguez #89 Sepia Refractors New York Yankees</t>
  </si>
  <si>
    <t>Bryce Harper 2020 Topps Future Stars Club - 09 September #1 Phillies</t>
  </si>
  <si>
    <t>2025 Topps Elly De La Cruz #SMLB-13 Stars of MLB Cincinnati Reds</t>
  </si>
  <si>
    <t>2024 Panini Prizm Draft Picks Dalton Knecht #17 Deep Space Tennessee Volunteers</t>
  </si>
  <si>
    <t>2025-26 Topps Collin Murray-Boyles #209 Toronto Raptors</t>
  </si>
  <si>
    <t>2024-25 Panini Revolution Zaccharie Risacher #104 Astro Atlanta Hawks</t>
  </si>
  <si>
    <t>2025-26 Topps Chrome Jase Richardson #275 Orlando Magic</t>
  </si>
  <si>
    <t>2025 Bowman Draft Walker Janek #BDC-45 Chrome Houston Astros</t>
  </si>
  <si>
    <t>5. PREMIUM STALE ($20+, 60d+) — consignment candidates</t>
  </si>
  <si>
    <t>No sales in last 90d at your ask. Route to DcSports87 weekly batch — you'll get 60-75% net of true auction market vs zero at current prices.</t>
  </si>
  <si>
    <t>Recent Sold Avg</t>
  </si>
  <si>
    <t>-</t>
  </si>
  <si>
    <t>2021 Leaf Young Stars ANSU FATI Soccer FC Barcelona Spain Autograph Auto</t>
  </si>
  <si>
    <t>Consign to DcSports87</t>
  </si>
  <si>
    <t>2024 Bowman Chrome Jose Perdomo #BMA-JP Auto Green Mojo Refractors Braves /99</t>
  </si>
  <si>
    <t>2025 Panini National Silver Packs Hailey Van Lith RC Rookie # /399 SKY SHARP</t>
  </si>
  <si>
    <t>2023 Topps Chrome Logofractor Edition #1 Juan Soto Yellow #/75 PSA Mets</t>
  </si>
  <si>
    <t>2025 Panini The Ohio State University NIL Julian Sayin College Ticket Foil #2</t>
  </si>
  <si>
    <t>2025 Panini National Convention Gold Pack VIP David Beckham #60 England</t>
  </si>
  <si>
    <t>2022-23 Topps NBL Ariel Hukporti #41 Gold Melbourne United #/50</t>
  </si>
  <si>
    <t>2024-25 Panini Obsidian Julian Strawther #MM-JSD Matrix Material (AU) #/99</t>
  </si>
  <si>
    <t>2025-26 Topps Scottie Barnes #SA-28 Stars of the NBA /99 Raptors</t>
  </si>
  <si>
    <t>2024 Bowman Shohei Ohtani #33 GEM MINT Los Angeles Dodgers</t>
  </si>
  <si>
    <t>2025 Panini National Convention Hailey Van Lith #RC5 Rookie Cards /399</t>
  </si>
  <si>
    <t>2024 Donruss Optic Rated Rookie DALLAS TURNER Negative Auto /325 #224 Vikings RC</t>
  </si>
  <si>
    <t>Reprice -20% or consign</t>
  </si>
  <si>
    <t>2023 Donruss Optic Zay Flowers RR Purple Shock Prizm #210 Ravens BGS 9 Mint</t>
  </si>
  <si>
    <t>Fernando Tatis Jr. 2024 Bowman Chrome #92 Yellow Refractors Padres #/75</t>
  </si>
  <si>
    <t>Bryan Reynolds 2024 Topps Chrome Black #13 Green Refractors Pirates #/99</t>
  </si>
  <si>
    <t>Eduardo Beltre 2024 Bowman Chrome #BCP-170 Reptilian Blue Refractors Twins #/150</t>
  </si>
  <si>
    <t>2025-26 Topps Oso Ighodaro #ME-OI Marks of Excellence Phoenix Suns Auto</t>
  </si>
  <si>
    <t>6. THE THREE-PLAY CHECKLIST — free $5k+ of capital in 14 days</t>
  </si>
  <si>
    <t>PLAY 1: REPRICE BATCH</t>
  </si>
  <si>
    <t>Today (2 hrs)</t>
  </si>
  <si>
    <t>Work the 30 reprice candidates above. Use the 'New Price Target' column. Cards listed 20%+ ABOVE sold avg come DOWN to 95% of avg. Cards listed BELOW avg go UP. Expected: 30-40% of these move within 14 days → $150-400 cash freed + rotation.</t>
  </si>
  <si>
    <t>PLAY 2: CONSIGNMENT BATCH</t>
  </si>
  <si>
    <t>This Friday</t>
  </si>
  <si>
    <t>Send all 17 premium stale ($20+, 60+ days, 0 interest) to DcSports87 as your biggest weekly batch yet. That's ~$509 in cards sitting dead. Even at 60% auction net you clear ~$305 — beats indefinite zero. Add 20-30 mid-tier ($10-20) stale for volume.</t>
  </si>
  <si>
    <t>PLAY 3: BULK LOTS</t>
  </si>
  <si>
    <t>Next 2 weeks</t>
  </si>
  <si>
    <t>The 3,488 stale-no-demand cards are insertion-fee leakage. Bundle top-20 duplicate categories into 50-card themed lots (soccer commons, NBA rookies, MLB prospects). List at $15-25/lot on eBay or pitch to Whatnot bulk buyers. 2,000+ cards move at ~$0.50/card = $1,000 cash freed + inventory cleanup.</t>
  </si>
  <si>
    <t>Tactical day-by-day plan. Volume comes from listing throughput + pricing discipline + Whatnot pushes.</t>
  </si>
  <si>
    <t>THE MATH — what has to happen</t>
  </si>
  <si>
    <t>Metric</t>
  </si>
  <si>
    <t>Current</t>
  </si>
  <si>
    <t>Week 1 Target</t>
  </si>
  <si>
    <t>Week 2 Target</t>
  </si>
  <si>
    <t>End-State</t>
  </si>
  <si>
    <t>Cards listed / day</t>
  </si>
  <si>
    <t>50</t>
  </si>
  <si>
    <t>70 (+helper)</t>
  </si>
  <si>
    <t>90-100</t>
  </si>
  <si>
    <t>100</t>
  </si>
  <si>
    <t>30-day sell-through rate</t>
  </si>
  <si>
    <t>60%</t>
  </si>
  <si>
    <t>65%</t>
  </si>
  <si>
    <t>68%</t>
  </si>
  <si>
    <t>70%</t>
  </si>
  <si>
    <t>Cards sold / day (implied)</t>
  </si>
  <si>
    <t>30</t>
  </si>
  <si>
    <t>40</t>
  </si>
  <si>
    <t>55</t>
  </si>
  <si>
    <t>65+</t>
  </si>
  <si>
    <t>Pricing discipline (% of median)</t>
  </si>
  <si>
    <t>92%</t>
  </si>
  <si>
    <t>90%</t>
  </si>
  <si>
    <t>88%</t>
  </si>
  <si>
    <t>Whatnot auction streams / week</t>
  </si>
  <si>
    <t>0</t>
  </si>
  <si>
    <t>1 (50-80 cards)</t>
  </si>
  <si>
    <t>2 (100+ cards)</t>
  </si>
  <si>
    <t>2-3</t>
  </si>
  <si>
    <t>eBay 7-day auction listings / wk</t>
  </si>
  <si>
    <t>30 (aged inv.)</t>
  </si>
  <si>
    <t>50+</t>
  </si>
  <si>
    <t>DAY-BY-DAY TACTICAL PLAN</t>
  </si>
  <si>
    <t>Day</t>
  </si>
  <si>
    <t>Focus</t>
  </si>
  <si>
    <t>Tactical Actions</t>
  </si>
  <si>
    <t>List Target</t>
  </si>
  <si>
    <t>Sold Target</t>
  </si>
  <si>
    <t>Whatnot?</t>
  </si>
  <si>
    <t>Price Rule</t>
  </si>
  <si>
    <t>Notes</t>
  </si>
  <si>
    <t>1 (Mon)</t>
  </si>
  <si>
    <t>Helper onboarding</t>
  </si>
  <si>
    <t>Hire helper (10 hrs/wk). Write photo SOP. You list 50, helper observes + lists 10 trial.</t>
  </si>
  <si>
    <t>No</t>
  </si>
  <si>
    <t>92% median</t>
  </si>
  <si>
    <t>2 (Tue)</t>
  </si>
  <si>
    <t>Helper solo listing</t>
  </si>
  <si>
    <t>Helper lists 25 (QA every one). You list 50 + 30 Whatnot auction prep.</t>
  </si>
  <si>
    <t>Prep</t>
  </si>
  <si>
    <t>3 (Wed)</t>
  </si>
  <si>
    <t>Whatnot stream #1</t>
  </si>
  <si>
    <t>Helper lists 30. You prep Whatnot (50 cards). 7-10pm live stream — clear aged inventory.</t>
  </si>
  <si>
    <t>YES</t>
  </si>
  <si>
    <t>Auction</t>
  </si>
  <si>
    <t>4 (Thu)</t>
  </si>
  <si>
    <t>Recovery + list</t>
  </si>
  <si>
    <t>Helper lists 35. You list 45 + ship from Whatnot stream.</t>
  </si>
  <si>
    <t>5 (Fri)</t>
  </si>
  <si>
    <t>eBay 7-day auctions</t>
  </si>
  <si>
    <t>Helper lists 40. You post 30 eBay auctions of aged 30+ day inventory at $0.99 start.</t>
  </si>
  <si>
    <t>6 (Sat)</t>
  </si>
  <si>
    <t>Source day</t>
  </si>
  <si>
    <t>Helper off. You list 25 AM then hunt FB/eBay lots 3 hrs (use Lot Evaluator). List buys same day.</t>
  </si>
  <si>
    <t>7 (Sun)</t>
  </si>
  <si>
    <t>Whatnot stream #2</t>
  </si>
  <si>
    <t>You prep 60 cards. 6-9pm Whatnot stream — mix mid-tier + bulk.</t>
  </si>
  <si>
    <t>8 (Mon)</t>
  </si>
  <si>
    <t>Price cuts + re-list</t>
  </si>
  <si>
    <t>Helper 40. You re-price everything listed 30+ days: drop to 88%. List 40 new.</t>
  </si>
  <si>
    <t>88% on aged</t>
  </si>
  <si>
    <t>9 (Tue)</t>
  </si>
  <si>
    <t>Helper at full speed</t>
  </si>
  <si>
    <t>Helper lists 50 (SOP dialed). You list 40. Total output: 90/day.</t>
  </si>
  <si>
    <t>10 (Wed)</t>
  </si>
  <si>
    <t>Whatnot + aged cleanup</t>
  </si>
  <si>
    <t>Helper lists 45. You prep Whatnot (80 cards) — push aged + new. 7-10pm stream.</t>
  </si>
  <si>
    <t>11 (Thu)</t>
  </si>
  <si>
    <t>Consignment batch</t>
  </si>
  <si>
    <t>Helper lists 45. You pack 40 cards to DcSports87 + 30 to Probstein. List 35.</t>
  </si>
  <si>
    <t>12 (Fri)</t>
  </si>
  <si>
    <t>eBay auctions + FB lot push</t>
  </si>
  <si>
    <t>Helper lists 50. You list 35 + post FB Marketplace bulk lot. Daily shipping.</t>
  </si>
  <si>
    <t>13 (Sat)</t>
  </si>
  <si>
    <t>Source + list</t>
  </si>
  <si>
    <t>Helper lists 40. You list 30 + hunt new inventory. Keep Saturday sourcing a ritual.</t>
  </si>
  <si>
    <t>14 (Sun)</t>
  </si>
  <si>
    <t>Whatnot stream #3 + review</t>
  </si>
  <si>
    <t>Prep 100-card stream. 6-10pm. Post-stream: review KPIs, set Week 3 targets.</t>
  </si>
  <si>
    <t>14-DAY TOTAL</t>
  </si>
  <si>
    <t>THE FIVE LEVERS — ranked by impact</t>
  </si>
  <si>
    <t>1. Helper hire (Day 1)</t>
  </si>
  <si>
    <t>Moves listing capacity from 50 → 90+/day. Single biggest unlock. $600/mo cost for ~$9k revenue add.</t>
  </si>
  <si>
    <t>2. Whatnot weekly streams</t>
  </si>
  <si>
    <t>One 2-3 hour stream moves 50-100 cards. Live price discovery + impulse buying. 3 streams in 14 days = 300+ cards sold.</t>
  </si>
  <si>
    <t>3. Pricing discipline</t>
  </si>
  <si>
    <t>Drop from 92% to 88% of median comp on aged inventory. Accelerates 30-day sell-through by 5-8 pts. Worth more than you think.</t>
  </si>
  <si>
    <t>4. eBay 7-day auctions</t>
  </si>
  <si>
    <t>Auction-format listings with $0.99 start clear aged inventory hard. Run 30-50 aged cards per week as auctions.</t>
  </si>
  <si>
    <t>5. Consignment batching</t>
  </si>
  <si>
    <t>Day 11 send 70 cards out to DcSports87 + Probstein. Frees capital + moves volume while your hands do other things.</t>
  </si>
  <si>
    <t>REALITY CAVEAT</t>
  </si>
  <si>
    <t>Hitting 50 sold/day is aggressive from 30/day baseline. Day-by-day targets assume helper hire happens Day 1, Whatnot streams execute on schedule, and pricing discipline is enforced. Realistic completion rate is 80-90% of this plan. If you hit 42-45 sold/day by Day 14, you're still massively ahead of where you started — adjust expectations accordingly.</t>
  </si>
  <si>
    <t>Every direct-sale transaction. Enter new rows at the bottom.</t>
  </si>
  <si>
    <t>Sale Date</t>
  </si>
  <si>
    <t>Channel</t>
  </si>
  <si>
    <t>Card Description</t>
  </si>
  <si>
    <t>Cost Basis ($)</t>
  </si>
  <si>
    <t>Sell Price ($)</t>
  </si>
  <si>
    <t>Fees ($)</t>
  </si>
  <si>
    <t>Shipping Cost ($)</t>
  </si>
  <si>
    <t>Supplies ($)</t>
  </si>
  <si>
    <t>Net ($)</t>
  </si>
  <si>
    <t>Days Held</t>
  </si>
  <si>
    <t>eBay</t>
  </si>
  <si>
    <t>2024 Panini Prizm Patrick Mahomes RC Base #168</t>
  </si>
  <si>
    <t>Football</t>
  </si>
  <si>
    <t>2023 Topps Chrome Corbin Carroll RC #150</t>
  </si>
  <si>
    <t>Baseball</t>
  </si>
  <si>
    <t>Whatnot</t>
  </si>
  <si>
    <t>2021 Panini Prizm LeBron James #129 Silver</t>
  </si>
  <si>
    <t>Basketball</t>
  </si>
  <si>
    <t>DcSports87, Probstein, PWCC, MyBrick submissions and net payouts.</t>
  </si>
  <si>
    <t>Submission Date</t>
  </si>
  <si>
    <t>House</t>
  </si>
  <si>
    <t># Cards</t>
  </si>
  <si>
    <t>Your Est. Value ($)</t>
  </si>
  <si>
    <t>Card Type Focus</t>
  </si>
  <si>
    <t>Auction Close Date</t>
  </si>
  <si>
    <t>Gross Proceeds ($)</t>
  </si>
  <si>
    <t>House Fees ($)</t>
  </si>
  <si>
    <t>Net Received ($)</t>
  </si>
  <si>
    <t>Net / Card ($)</t>
  </si>
  <si>
    <t>Generated: May 03, 2026  |  Top 20 by score, all listed &gt; $25  |  Est. Total Value: $2,040.17</t>
  </si>
  <si>
    <t>Listed Price ($)</t>
  </si>
  <si>
    <t>Score</t>
  </si>
  <si>
    <t>Watchers</t>
  </si>
  <si>
    <t>Market Verdict</t>
  </si>
  <si>
    <t>DcSports87 Notes</t>
  </si>
  <si>
    <t>75 cards | $3–$25 range | Total listed value: $829.38 | Avg: $11.06/card | All modern (no vintage) | Sorted by auction potential score (highest first)</t>
  </si>
  <si>
    <t>SCORE = Auto +8 | RC/1st +3 | Chrome/Prizm +2 | Print run (/25=+6, /99=+4, /199=+3, /499=+2, higher=+1) | Patch/Swatch +3 | Jersey/Relic +2 | Price tier ($3-8=+1, $8-15=+2, $15-25=+3) | Watchers = +N each</t>
  </si>
  <si>
    <t>Listed ($)</t>
  </si>
  <si>
    <t>Score Breakdown</t>
  </si>
  <si>
    <t>SKU</t>
  </si>
  <si>
    <t>Track every card you own: when you bought it, when you listed it, and how long it's been sitting. Aging is based on Listed Date — the 60-day clock starts when it goes live.</t>
  </si>
  <si>
    <t>SUMMARY →</t>
  </si>
  <si>
    <t>Active listings:</t>
  </si>
  <si>
    <t>Stale (≥60d):</t>
  </si>
  <si>
    <t>Capital at risk ($):</t>
  </si>
  <si>
    <t>Avg days listed:</t>
  </si>
  <si>
    <t>Acquired</t>
  </si>
  <si>
    <t>Listed Date</t>
  </si>
  <si>
    <t>Source</t>
  </si>
  <si>
    <t>Days Listed</t>
  </si>
  <si>
    <t>Aging Flag</t>
  </si>
  <si>
    <t>Next Action</t>
  </si>
  <si>
    <t>Reprice Queue — which listings to price-check today. Paste your eBay active-listings export into the grey columns (A–E). The queue flags itself by tier. Tiers 2 &amp; 3 qualify instantly from the export; Tier 1 needs the app's CardHedger velocity pull.</t>
  </si>
  <si>
    <t>Total listings:</t>
  </si>
  <si>
    <t>In queue:</t>
  </si>
  <si>
    <t>Needs API check:</t>
  </si>
  <si>
    <t>Item #</t>
  </si>
  <si>
    <t>SKU / Custom Label</t>
  </si>
  <si>
    <t>Current Price ($)</t>
  </si>
  <si>
    <t>Daily Sales (mkt/day)</t>
  </si>
  <si>
    <t>Graded?</t>
  </si>
  <si>
    <t>PSA Grade</t>
  </si>
  <si>
    <t>QUALIFIES (Tier)</t>
  </si>
  <si>
    <t>Reason / Action</t>
  </si>
  <si>
    <t>Needs velocity pull?</t>
  </si>
  <si>
    <t>Run this BEFORE every lot buying decision. Input comp total + target margin → max offer.</t>
  </si>
  <si>
    <t>INPUTS (edit blue cells)</t>
  </si>
  <si>
    <t>CALCULATIONS &amp; MAX OFFER</t>
  </si>
  <si>
    <t>Total comp value of lot ($)</t>
  </si>
  <si>
    <t>Expected gross proceeds ($)</t>
  </si>
  <si>
    <t>Expected sell-through rate (%)</t>
  </si>
  <si>
    <t>Expected fees ($)</t>
  </si>
  <si>
    <t>Your average fee rate (%)</t>
  </si>
  <si>
    <t>Expected shipping cost ($)</t>
  </si>
  <si>
    <t>Avg shipping cost / sale ($)</t>
  </si>
  <si>
    <t>Expected supplies cost ($)</t>
  </si>
  <si>
    <t>Avg supplies cost / sale ($)</t>
  </si>
  <si>
    <t>Net before COGS ($)</t>
  </si>
  <si>
    <t>Estimated # cards</t>
  </si>
  <si>
    <t>Dollar margin target on net ($)</t>
  </si>
  <si>
    <t>Your target NET margin (%)</t>
  </si>
  <si>
    <t>MAX OFFER for lot ($)</t>
  </si>
  <si>
    <t>DECISION RULE</t>
  </si>
  <si>
    <t xml:space="preserve">  • If ASKING PRICE ≤ MAX OFFER → BUY. You will hit your target margin.</t>
  </si>
  <si>
    <t xml:space="preserve">  • If ASKING PRICE is 10-15% above MAX OFFER → counter-offer at MAX OFFER × 0.95 and walk if rejected.</t>
  </si>
  <si>
    <t xml:space="preserve">  • If ASKING PRICE is &gt;15% above MAX OFFER → WALK. The deal doesn't math — don't let FOMO override the model.</t>
  </si>
  <si>
    <t xml:space="preserve">  • If lot includes uncertain raw high-grade cards, discount comp total by 20% to reflect grading risk before running.</t>
  </si>
  <si>
    <t>Live calculator + price-point table + routing rules. Verified fees as of April 2026.</t>
  </si>
  <si>
    <t>LIVE CALCULATOR — Enter a sale price, see net at each channel</t>
  </si>
  <si>
    <t>Sale price ($)</t>
  </si>
  <si>
    <t>← Change this cell to model any sale price</t>
  </si>
  <si>
    <t>Commission %</t>
  </si>
  <si>
    <t>Per-Order Fee</t>
  </si>
  <si>
    <t>Pmt Processing %</t>
  </si>
  <si>
    <t>Total Fees ($)</t>
  </si>
  <si>
    <t>Net to You ($)</t>
  </si>
  <si>
    <t>Effective Fee %</t>
  </si>
  <si>
    <t>eBay (standard)</t>
  </si>
  <si>
    <t>Default — broadest buyer pool</t>
  </si>
  <si>
    <t>eBay (singles $1,000+)</t>
  </si>
  <si>
    <t>Auto-applied promo on $1k+ singles</t>
  </si>
  <si>
    <t>Cap on commission &gt;$1,500 of single sale</t>
  </si>
  <si>
    <t>COLLX</t>
  </si>
  <si>
    <t>Fee includes processing</t>
  </si>
  <si>
    <t>FB Marketplace (online ship)</t>
  </si>
  <si>
    <t>Estimate — varies by transaction</t>
  </si>
  <si>
    <t>FB Marketplace (local cash)</t>
  </si>
  <si>
    <t>Zero fees, but limited buyer pool</t>
  </si>
  <si>
    <t>DcSports87 (consignment)</t>
  </si>
  <si>
    <t>Verify your actual rate per agreement</t>
  </si>
  <si>
    <t>Probstein (consignment)</t>
  </si>
  <si>
    <t>Tiered — verify actual</t>
  </si>
  <si>
    <t>PWCC (vault auction est.)</t>
  </si>
  <si>
    <t>Plus storage fees if vaulted</t>
  </si>
  <si>
    <t>NET TO YOU AT COMMON PRICE POINTS</t>
  </si>
  <si>
    <t>$10</t>
  </si>
  <si>
    <t>$25</t>
  </si>
  <si>
    <t>$50</t>
  </si>
  <si>
    <t>$100</t>
  </si>
  <si>
    <t>$200</t>
  </si>
  <si>
    <t>$500</t>
  </si>
  <si>
    <t>$1000</t>
  </si>
  <si>
    <t>ROUTING DECISION RULES — which channel for which card</t>
  </si>
  <si>
    <t>Card Type</t>
  </si>
  <si>
    <t>Best Primary Channel</t>
  </si>
  <si>
    <t>Why</t>
  </si>
  <si>
    <t>Backup</t>
  </si>
  <si>
    <t>Hot modern rookies / chase autos ($50-500)</t>
  </si>
  <si>
    <t>Broad buyer pool, fast price discovery, buyers will pay premium despite fees</t>
  </si>
  <si>
    <t>Whatnot auction if hot player</t>
  </si>
  <si>
    <t>Mid-tier modern singles ($15-150)</t>
  </si>
  <si>
    <t>COLLX (primary), eBay (secondary)</t>
  </si>
  <si>
    <t>COLLX 10% all-in vs eBay ~14%; ~3-4 pts of margin saved on this volume tier</t>
  </si>
  <si>
    <t>eBay if no movement in 14d</t>
  </si>
  <si>
    <t>Vintage HOF graded ($500+)</t>
  </si>
  <si>
    <t>PWCC / Probstein auction</t>
  </si>
  <si>
    <t>Premium buyer base; auction format extracts max value</t>
  </si>
  <si>
    <t>eBay BIN with promotion</t>
  </si>
  <si>
    <t>Bulk lots / commons (50+ cards)</t>
  </si>
  <si>
    <t>FB Marketplace (local) or COLLX bulk</t>
  </si>
  <si>
    <t>eBay fees crush low-margin bulk; local cash = zero fees</t>
  </si>
  <si>
    <t>Whatnot lot break</t>
  </si>
  <si>
    <t>Quick-cash / time-sensitive</t>
  </si>
  <si>
    <t>Whatnot live auction</t>
  </si>
  <si>
    <t>Real-time price discovery, immediate sale</t>
  </si>
  <si>
    <t>eBay Best Offer accepted</t>
  </si>
  <si>
    <t>Stale 60+ day inventory</t>
  </si>
  <si>
    <t>DcSports87 + rotate</t>
  </si>
  <si>
    <t>Already trained channel; consignment frees capital + your hands</t>
  </si>
  <si>
    <t>Probstein for variety</t>
  </si>
  <si>
    <t>Low-confidence sourcing (uncertain comp)</t>
  </si>
  <si>
    <t>Whatnot or COLLX auction</t>
  </si>
  <si>
    <t>Market sets price; you don't have to guess</t>
  </si>
  <si>
    <t>—</t>
  </si>
  <si>
    <t>Personal pickup deals (&gt;$50/card)</t>
  </si>
  <si>
    <t>COLLX direct message</t>
  </si>
  <si>
    <t>Strong collector community; lower fees on direct deals</t>
  </si>
  <si>
    <t>Local meet via FB</t>
  </si>
  <si>
    <t>BOTTOM-LINE TAKEAWAY</t>
  </si>
  <si>
    <t xml:space="preserve">  • COLLX saves ~3-4 percentage points on direct-sale fees vs eBay. At $80k/mo gross, routing 30% to COLLX = ~$700-1,200/mo straight to net.</t>
  </si>
  <si>
    <t xml:space="preserve">  • COLLX's tradeoff is a smaller buyer base — sell-through is slower (typical: 1-3 weeks vs eBay 3-10 days for hot cards). Use COLLX for cards where you can wait.</t>
  </si>
  <si>
    <t xml:space="preserve">  • DON'T abandon eBay for hot/high-velocity cards — eBay's ~13.6% fee is more than offset by the price premium buyers pay there for in-demand items.</t>
  </si>
  <si>
    <t xml:space="preserve">  • Cross-listing tools (Vendoo, List Perfectly) increasingly support COLLX — list once, route to multiple. Worth the $30-50/mo subscription at your scale.</t>
  </si>
  <si>
    <t xml:space="preserve">  • On singles $1,000+, eBay's 50% fee discount makes eBay competitive again with COLLX — verify before routing premium cards.</t>
  </si>
  <si>
    <t>How fast your working capital is cycling, and what it implies for net profit.</t>
  </si>
  <si>
    <t>CURRENT STATE — editable blue inputs</t>
  </si>
  <si>
    <t>Working capital ($)</t>
  </si>
  <si>
    <t>Avg net margin %</t>
  </si>
  <si>
    <t>Current monthly turns</t>
  </si>
  <si>
    <t>Implied monthly gross ($)</t>
  </si>
  <si>
    <t>Implied monthly net ($)</t>
  </si>
  <si>
    <t>SCENARIO GRID — Monthly net at different (margin × turns)</t>
  </si>
  <si>
    <t>Turns / month →</t>
  </si>
  <si>
    <t>Target: $40,000/mo net. Find that dollar value in the grid above. To hit $40k with $20k capital, you need either 2.5x turns @ 40% margin OR 3.5x turns @ 30% margin. Either requires the consignment pivot + capital growth over 6 months.</t>
  </si>
  <si>
    <t>Quantifies the hiring decision. Change blue inputs; model recalculates.</t>
  </si>
  <si>
    <t>INPUTS — edit blue cells</t>
  </si>
  <si>
    <t>Hours per week</t>
  </si>
  <si>
    <t>Weekly cost ($)</t>
  </si>
  <si>
    <t>Hourly rate ($)</t>
  </si>
  <si>
    <t>Monthly cost ($)</t>
  </si>
  <si>
    <t>Listings per hour (helper avg)</t>
  </si>
  <si>
    <t>Weekly listings produced</t>
  </si>
  <si>
    <t>Your avg net per direct-sale card ($)</t>
  </si>
  <si>
    <t>Monthly listings</t>
  </si>
  <si>
    <t>Sell-through rate (%)</t>
  </si>
  <si>
    <t>Expected sales per month</t>
  </si>
  <si>
    <t>Weeks per month</t>
  </si>
  <si>
    <t>Expected net revenue / month ($)</t>
  </si>
  <si>
    <t>Ramp-up factor (month 1 only, %)</t>
  </si>
  <si>
    <t>NET CONTRIBUTION / month (ongoing)</t>
  </si>
  <si>
    <t>NET CONTRIBUTION / month (month 1)</t>
  </si>
  <si>
    <t>ROI multiple (ongoing)</t>
  </si>
  <si>
    <t xml:space="preserve">  • If NET CONTRIBUTION (ongoing) &gt; $1,500/mo → hire immediately. Your time is worth more than the wage.</t>
  </si>
  <si>
    <t xml:space="preserve">  • If NET CONTRIBUTION &lt; $500/mo → re-examine: are your listings/hour assumption or avg net too low?</t>
  </si>
  <si>
    <t xml:space="preserve">  • Start at 10 hrs/wk with weekly QA. Scale to 15–20 hrs/wk once SOP is proven (Month 2+).</t>
  </si>
  <si>
    <t xml:space="preserve">  • Budget separately for shipping/packing helper (3–4 hrs/wk) once listing throughput exceeds 150 cards/wk.</t>
  </si>
  <si>
    <t>Month-by-month projection with adjustable assumptions.</t>
  </si>
  <si>
    <t>Assumption</t>
  </si>
  <si>
    <t>Month 1</t>
  </si>
  <si>
    <t>Month 2</t>
  </si>
  <si>
    <t>Month 3</t>
  </si>
  <si>
    <t>Month 4</t>
  </si>
  <si>
    <t>Month 5</t>
  </si>
  <si>
    <t>Month 6</t>
  </si>
  <si>
    <t>Month 7</t>
  </si>
  <si>
    <t>Month 8</t>
  </si>
  <si>
    <t>Month 9</t>
  </si>
  <si>
    <t>Working capital (start of month, $)</t>
  </si>
  <si>
    <t>Monthly turns</t>
  </si>
  <si>
    <t>Projected monthly gross ($)</t>
  </si>
  <si>
    <t>Projected monthly NET ($)</t>
  </si>
  <si>
    <t>Gap to $40k target ($)</t>
  </si>
  <si>
    <t>% of $40k target achieved</t>
  </si>
  <si>
    <t>Milestones (Month-End)</t>
  </si>
  <si>
    <t>Cards listed / week (helper + you)</t>
  </si>
  <si>
    <t>Cards consigned / week (all houses)</t>
  </si>
  <si>
    <t>Avg cost basis / card ($)</t>
  </si>
  <si>
    <t>% of gross from mid+premium tier</t>
  </si>
  <si>
    <t>HOW TO USE THIS MODEL</t>
  </si>
  <si>
    <t xml:space="preserve">  • The three YELLOW-highlighted rows (working capital, turns, margin) drive the whole model. Adjust any of them to see impact.</t>
  </si>
  <si>
    <t xml:space="preserve">  • Working capital grows via 60% net reinvestment — if you reinvest less, slow the row 5 progression.</t>
  </si>
  <si>
    <t xml:space="preserve">  • If you're behind target in any month, the first lever to pull is TURNS (consignment-heavy). Margin takes longer to move.</t>
  </si>
  <si>
    <t xml:space="preserve">  • Month 6-7 is the realistic earliest window to cross $40k/mo NET at this starting capital and with strict reinvestment.</t>
  </si>
  <si>
    <t xml:space="preserve">  • If a capital injection happens (partner, loan, mentor buyout purchase), update row 5 and the whole model reflects it.</t>
  </si>
  <si>
    <t>Research Date: May 3, 2026  |  Goal: Clear aging inventory this week to make room for new arrivals  |  Bold = IMMEDIATE ACTION</t>
  </si>
  <si>
    <t>🔴 DROP NOW</t>
  </si>
  <si>
    <t>🟠 OVERPRICED</t>
  </si>
  <si>
    <t>🟡 FAIR / STUCK</t>
  </si>
  <si>
    <t>🟢 UNDERPRICED</t>
  </si>
  <si>
    <t>🔵 CONSIGN DC87</t>
  </si>
  <si>
    <t>⚪ HOLD</t>
  </si>
  <si>
    <t>Listed $</t>
  </si>
  <si>
    <t>Comp Range (Sold)</t>
  </si>
  <si>
    <t>Fast-Sell Price</t>
  </si>
  <si>
    <t>Action Priority</t>
  </si>
  <si>
    <t>PSA Grading Fee Schedule — 2025</t>
  </si>
  <si>
    <t>Tier</t>
  </si>
  <si>
    <t>Turnaround</t>
  </si>
  <si>
    <t>Fee ($)</t>
  </si>
  <si>
    <t>eBay Fee (13.25%)</t>
  </si>
  <si>
    <t>~75 days</t>
  </si>
  <si>
    <t>Non-membership</t>
  </si>
  <si>
    <t>Value Plus</t>
  </si>
  <si>
    <t>~45 days</t>
  </si>
  <si>
    <t>Value Max</t>
  </si>
  <si>
    <t>~35 days</t>
  </si>
  <si>
    <t>Regular</t>
  </si>
  <si>
    <t>~25 days</t>
  </si>
  <si>
    <t>Express</t>
  </si>
  <si>
    <t>~15 days</t>
  </si>
  <si>
    <t>Super Express</t>
  </si>
  <si>
    <t>~7 days</t>
  </si>
  <si>
    <t>Walk-Through</t>
  </si>
  <si>
    <t>~7 days ($10k insured)</t>
  </si>
  <si>
    <t>eBay final value fee: 13.25% of sale price</t>
  </si>
  <si>
    <t>Grading Tracker — PSA Submission Log</t>
  </si>
  <si>
    <t>Date Added</t>
  </si>
  <si>
    <t>Year</t>
  </si>
  <si>
    <t>Set</t>
  </si>
  <si>
    <t>Parallel</t>
  </si>
  <si>
    <t>Raw Buy ($)</t>
  </si>
  <si>
    <t>PSA 10 Avg ($)</t>
  </si>
  <si>
    <t>Target Price ($)</t>
  </si>
  <si>
    <t>GO/NO-GO</t>
  </si>
  <si>
    <t>Est. ROI</t>
  </si>
  <si>
    <t>Date Submitted</t>
  </si>
  <si>
    <t>Grade Returned</t>
  </si>
  <si>
    <t>Actual Sell ($)</t>
  </si>
  <si>
    <t>Actual Net ($)</t>
  </si>
  <si>
    <t>Actual ROI</t>
  </si>
  <si>
    <t>Panini Prizm</t>
  </si>
  <si>
    <t>Base Silver</t>
  </si>
  <si>
    <t>Queued</t>
  </si>
  <si>
    <t>2023 Topps Chrome Corbin Carroll RC Auto #CPA-CC</t>
  </si>
  <si>
    <t>Bowman Chrome</t>
  </si>
  <si>
    <t>RC Auto</t>
  </si>
  <si>
    <t>Silver</t>
  </si>
  <si>
    <t>SUMMARY</t>
  </si>
  <si>
    <t>Total Cards:</t>
  </si>
  <si>
    <t>Total Invested ($):</t>
  </si>
  <si>
    <t>Total Est. Net ($):</t>
  </si>
  <si>
    <t>Total Actual Net ($):</t>
  </si>
  <si>
    <t>GO Decisions:</t>
  </si>
  <si>
    <t>Grading Candidates — PSA Submission Shortlist</t>
  </si>
  <si>
    <t>Populate from the Inventory &amp; Aging tab — cards you are considering submitting to PSA</t>
  </si>
  <si>
    <t>Rank</t>
  </si>
  <si>
    <t>Gem Signal</t>
  </si>
  <si>
    <t>PSA 10 Est. ($)</t>
  </si>
  <si>
    <t>Decision</t>
  </si>
  <si>
    <t>🟢 ≥60% | 🟡 40-59% | 🔴 &lt;40%</t>
  </si>
  <si>
    <t>GO, NO-GO, HOLD, RESEARCH</t>
  </si>
  <si>
    <t>2025 Bowman - Bowman Scouts Top 100 Marcelo Mayer #BTP-4 (RC)</t>
  </si>
  <si>
    <t>CDP-388FFD0</t>
  </si>
  <si>
    <t>2024 Panini Absolute - Star Gazing Luke McCaffrey #SG-LMY (RC)</t>
  </si>
  <si>
    <t>CDP-B6E7E18</t>
  </si>
  <si>
    <t>2024 Panini Illusions J.J. McCarthy #100 (RC) Vikings</t>
  </si>
  <si>
    <t>CDP-5D82D06</t>
  </si>
  <si>
    <t>2025 Bowman Chrome Rece Hinds #RR-8 (RC) Rockstar Rookies</t>
  </si>
  <si>
    <t>CDP-B676C2C</t>
  </si>
  <si>
    <t>2025 Bowman 1st Chrome Jhonayker Ugarte #BCP-123 (RC) Royals</t>
  </si>
  <si>
    <t>CDP-E37E4FD</t>
  </si>
  <si>
    <t>2025 Bowman Chrome Kumar Rocker ROY-5 Texas Rangers</t>
  </si>
  <si>
    <t>CDP-067FF8D</t>
  </si>
  <si>
    <t>2024 Panini Illusions Michael Penix Jr. #4 (RC) Falcons</t>
  </si>
  <si>
    <t>CDP-6ABA4C8</t>
  </si>
  <si>
    <t>2025 Topps Heritage Baseball #92 Bobby Witt Jr. 👑Kansas City Royals👑</t>
  </si>
  <si>
    <t>CDP-E74F701</t>
  </si>
  <si>
    <t>2025 Bowman Connor Norby #46 (RC) Marlins</t>
  </si>
  <si>
    <t>CDP-4895D6C</t>
  </si>
  <si>
    <t>2025 Topps Series 1 Ronald Acuña Jr. #TG-16 Training Grounds Braves</t>
  </si>
  <si>
    <t>CDP-B954CB1</t>
  </si>
  <si>
    <t>2025 Topps 2024's Greatest Hits #GH-27 Wyatt Langford Texas Rangers</t>
  </si>
  <si>
    <t>CDP-4C8AF73</t>
  </si>
  <si>
    <t>2025 Topps Series 1 Mookie Betts 1990 Topps Baseball  #T90-60 Dodgers</t>
  </si>
  <si>
    <t>CDP-2EE740C</t>
  </si>
  <si>
    <t>2025 Bowman Luisangel Acuna #83 (RC) Mets</t>
  </si>
  <si>
    <t>CDP-E406302</t>
  </si>
  <si>
    <t>2025 Topps Heritage Gavin Sheets #464 SP High Number White Sox</t>
  </si>
  <si>
    <t>CDP-BCA0188</t>
  </si>
  <si>
    <t>2025 Topps Heritage Shota Imanaga #399 Cubs Trophy Topps All Star Rookie</t>
  </si>
  <si>
    <t>CDP-5A832E6</t>
  </si>
  <si>
    <t>2025 Topps Hobby Rip Night Dylan Crews #7 (RC) Nationals</t>
  </si>
  <si>
    <t>CDP-873C3B7</t>
  </si>
  <si>
    <t>2025 Bowman Dylan Crews #42 (RC) Nationals</t>
  </si>
  <si>
    <t>BB-1088</t>
  </si>
  <si>
    <t>2025 Bowman Chrome 1st Jesus Lopez #BCP-88 (RC) Texas Rangers</t>
  </si>
  <si>
    <t>CDP-0C468E9</t>
  </si>
  <si>
    <t>2024 Panini Absolute Keon Coleman #BS-KCN (RC) Bills By Storm</t>
  </si>
  <si>
    <t>CDP-2A4BED3</t>
  </si>
  <si>
    <t>2024 Panini Illusions Rome Odunze #14 (RC) Bears</t>
  </si>
  <si>
    <t>CDP-07FF265</t>
  </si>
  <si>
    <t>2024 Panini Prizm Ricky Pearsall #383 (RC) 49's</t>
  </si>
  <si>
    <t>CDP-408BCBA</t>
  </si>
  <si>
    <t>2025 Bowman - Roki Sasaki #12 (RC) Dodgers</t>
  </si>
  <si>
    <t>CDP-0DF639F</t>
  </si>
  <si>
    <t>Trey Benson 2024 Topps Chrome Youthquake Insert Rookie Card #Y23 Cardinals</t>
  </si>
  <si>
    <t>CDP-FA1C711</t>
  </si>
  <si>
    <t>2024 Topps Chrome - Rookies Xavier Worthy #208 (RC) KC Chiefs</t>
  </si>
  <si>
    <t>CDP-4935C60</t>
  </si>
  <si>
    <t>2025 Topps Heritage Kris Bryant #20 Chrome Rockies</t>
  </si>
  <si>
    <t>CDP-6EFF6D8</t>
  </si>
  <si>
    <t>2024 Donruss Optic Jalen McMillan No. 239 Rated Rookie /79 Orange Scope Prizm 🔥</t>
  </si>
  <si>
    <t>CDP-E7ADAD7</t>
  </si>
  <si>
    <t>2025 Topps Heritage Chrome Blue Sparkle Refractor #450 Zac Gallen Diamondbacks</t>
  </si>
  <si>
    <t>CDP-45443B4</t>
  </si>
  <si>
    <t>2024 Topps Update Series Jackson Holliday Rookie Debut  #US97 (RC)</t>
  </si>
  <si>
    <t>CDP-E58437A</t>
  </si>
  <si>
    <t>2025 Topps Series 1 - Stars of Mlb Fernando Tatís Jr. #SMLB-4</t>
  </si>
  <si>
    <t>CDP-16A2272</t>
  </si>
  <si>
    <t>2025 Bowman - Chrome Prospects Sebastian Walcott #BCP-133 (RC)</t>
  </si>
  <si>
    <t>CDP-B7ADC61</t>
  </si>
  <si>
    <t>2025 Topps Hobby Rip Night - Elly De La Cruz #11 Red</t>
  </si>
  <si>
    <t>CDP-E1FACCB</t>
  </si>
  <si>
    <t>2025 Topps Series 1 Elly De La Cruz #SMLB-13  Stars Of MLB</t>
  </si>
  <si>
    <t>CDP-83CFBA3</t>
  </si>
  <si>
    <t>2024 Bowman - Prospects Max Clark #BD-104 (RC) Tigers</t>
  </si>
  <si>
    <t>CDP-9239DEE</t>
  </si>
  <si>
    <t>2025 Topps Hobby Rip Night - Jackson Holliday #6 Orioles</t>
  </si>
  <si>
    <t>CDP-976C2EF</t>
  </si>
  <si>
    <t>2025 Topps Series 1 - Bobby Witt Jr. #GH-6 Royals Greatest Hits 2024</t>
  </si>
  <si>
    <t>CDP-9B6E407</t>
  </si>
  <si>
    <t>2025 Topps Series 1 Rickey Henderson #T90-46 A’s</t>
  </si>
  <si>
    <t>CDP-48F38D8</t>
  </si>
  <si>
    <t>2025 Bowman Luisangel Acuna Mets Greatness Loading #GL-11</t>
  </si>
  <si>
    <t>CDP-B828793</t>
  </si>
  <si>
    <t>CDP-E35280F</t>
  </si>
  <si>
    <t>2025 Bowman Chrome 1st Reptilian Refractor Esteban Gonzalez #BCP-70 Guardians</t>
  </si>
  <si>
    <t>CDP-B171402</t>
  </si>
  <si>
    <t xml:space="preserve">2024 Panini Prizm Draft Picks - All-American Cameron Brink #10 (RC) </t>
  </si>
  <si>
    <t>CDP-AA99636</t>
  </si>
  <si>
    <t>2024 Panini Prizm Draft Picks - All American Kamilla Cardoso #3 (RC)</t>
  </si>
  <si>
    <t>CDP-33CC5E2</t>
  </si>
  <si>
    <t>2024 Panini Prizm Monopoly Sabrina Ionescu Liberty #WBNA18</t>
  </si>
  <si>
    <t>CDP-E7D9368</t>
  </si>
  <si>
    <t>2024 Panini Absolute - Star Gazing Michael Penix Jr. #SG-MPJ (RC)</t>
  </si>
  <si>
    <t>CDP-51BCBE3</t>
  </si>
  <si>
    <t>2024 Panini Prizm Monopoly WNBA - Lexie Hull #70 Fever</t>
  </si>
  <si>
    <t>CDP-41D77C6</t>
  </si>
  <si>
    <t>2023 Panini Select - Turbocharged Zay Flowers #TUR-ZFL (RC)</t>
  </si>
  <si>
    <t>CDP-02E5EC3</t>
  </si>
  <si>
    <t>2024 Panini Prizm - Cameron Brink #89 (RC) Stanford</t>
  </si>
  <si>
    <t>CDP-D255A89</t>
  </si>
  <si>
    <t>2024 Topps Chrome Marvin Harrison Jr. Finesse RC Rookie #F-5 Cardinals</t>
  </si>
  <si>
    <t>CDP-797D4A4</t>
  </si>
  <si>
    <t>2022 Topps Chrome Formula 1 - F1 Racers Lewis Hamilton #6 Checker Flag Refractor</t>
  </si>
  <si>
    <t>CDP-F8D7E89</t>
  </si>
  <si>
    <t>2024 Panini Absolute - Star Gazing Rome Odunze #SG-ROE (RC) Bears</t>
  </si>
  <si>
    <t>CDP-A2A7B94</t>
  </si>
  <si>
    <t>2024 Bowman University Chrome - Eric Singleton Jr. #71 Fuchsia Georgia Tech</t>
  </si>
  <si>
    <t>CDP-82761AF</t>
  </si>
  <si>
    <t>2024 Bowman Chrome U University Football Pick Complete Your Set Pink Lava</t>
  </si>
  <si>
    <t>CDP-B4CDCF0</t>
  </si>
  <si>
    <t>2024 Panini Absolute - Patrick Mahomes II #50</t>
  </si>
  <si>
    <t>CDP-C95918A</t>
  </si>
  <si>
    <t>2025 Topps Heritage - Joey Cantillo #104 Chrome Blue Sparkle (RC)</t>
  </si>
  <si>
    <t>CDP-F8B5729</t>
  </si>
  <si>
    <t>2025 Bowman - Chrome Prospects Jhonayker Ugarte #BCP-123 (RC) Royals</t>
  </si>
  <si>
    <t>BS-1003</t>
  </si>
  <si>
    <t>2025 Bowman James Wood #29 (RC) Nationals</t>
  </si>
  <si>
    <t>BS-1004</t>
  </si>
  <si>
    <t>2025 Bowman - Chrome Prospects Cole Fontenelle #BCP-32 Reptilian Refractor (RC)</t>
  </si>
  <si>
    <t>BS-1005</t>
  </si>
  <si>
    <t>2025 Topps Series 1 - Tarik Skubal #71 Tigers</t>
  </si>
  <si>
    <t>BS-1007</t>
  </si>
  <si>
    <t>2025 Bowman - Greatness Loading Kyle Teel #GL-15 (RC) White Sox</t>
  </si>
  <si>
    <t>BS-1009</t>
  </si>
  <si>
    <t>2025 Bowman - Chrome Prospects George Klassen #BCP-63 (RC)</t>
  </si>
  <si>
    <t>CDP-E98C3F2</t>
  </si>
  <si>
    <t>2024 Bowman University Chrome - Justus Ross-Simmons #109 Purple Mini-Diamond RC</t>
  </si>
  <si>
    <t>FB-1375</t>
  </si>
  <si>
    <t>2024 Bowman University Chrome - Will Pauling #184 Pink Lava Refractor (RC)</t>
  </si>
  <si>
    <t>CDP-24FB8FE</t>
  </si>
  <si>
    <t>2024 Prizm Cade Stover Football Orange Cracked Ice Prizm  Rookie RC Texans #318</t>
  </si>
  <si>
    <t>FB-1123</t>
  </si>
  <si>
    <t>2025 Bowman - Chrome 1st Cobb Hightower #BCP-104 (RC) Padres</t>
  </si>
  <si>
    <t>CDP-677AB48</t>
  </si>
  <si>
    <t>2024 Bowman Chrome U Football - Cade Klubnik Card 35 Clemson</t>
  </si>
  <si>
    <t>CDP-FC4A3E6</t>
  </si>
  <si>
    <t>PETE CROW-ARMSTRONG 2025 Topps Series 1 FUTURE STARS #290 Chicago Cubs</t>
  </si>
  <si>
    <t>CDP-2E95219</t>
  </si>
  <si>
    <t>2025 Topps Jacob Wilson Rookie RC Card #314 Oakland Athletics A’s</t>
  </si>
  <si>
    <t>CDP-B5386C3</t>
  </si>
  <si>
    <t>2023 Panini Select Anthony Richardson ROOKIE RC - Concourse Silver #43</t>
  </si>
  <si>
    <t>FB-1051</t>
  </si>
  <si>
    <t>2023 Panini Select Anthony Richardson PREMIER LEVEL #117 (RC) Colts</t>
  </si>
  <si>
    <t>FB-1050</t>
  </si>
  <si>
    <t>2024 Panini Donruss Optic - Rated Rookie Joe Milton III #255 (RC) Cowboys</t>
  </si>
  <si>
    <t>FB-1442</t>
  </si>
  <si>
    <t>2024 Donruss Optic Trey Benson Rated Rookie #293 Cardinals</t>
  </si>
  <si>
    <t>CDP-7E8BD31</t>
  </si>
  <si>
    <t>2023 Panini Mosaic Football Ja'Marr Chase card #43 Cincinnati Bengals</t>
  </si>
  <si>
    <t>FB-1013-0FED6F1</t>
  </si>
  <si>
    <t>2023 Panini Absolute Jalen Hurts #28 Philadelphia Eagles</t>
  </si>
  <si>
    <t>FB-1012</t>
  </si>
  <si>
    <t>2021 Select #31 Deebo Samuel 49ers RC Rookie</t>
  </si>
  <si>
    <t>FB-1011</t>
  </si>
  <si>
    <t>2024 Panini Mosaic Brock Purdy #190 49ERS</t>
  </si>
  <si>
    <t>FB-1010-D87F0EF</t>
  </si>
  <si>
    <t>2023 Panini Donruss - Joe Burrow #57 Bengals</t>
  </si>
  <si>
    <t>FB-1009</t>
  </si>
  <si>
    <t>2024 Topps Signature Class Malachi Corley Purple Auto RC /100 Jets</t>
  </si>
  <si>
    <t>FB-1018-AB22BF6</t>
  </si>
  <si>
    <t>2023 Panini Mosaic - #244 Brian Robinson Jr. Base Washington Commanders</t>
  </si>
  <si>
    <t>FB-1039</t>
  </si>
  <si>
    <t>2024 Panini Mosiac Josh Allen #22 Bills</t>
  </si>
  <si>
    <t>FB-1036-24E68B8</t>
  </si>
  <si>
    <t>2023 Panini Mosiac Jordan Love Packers #83</t>
  </si>
  <si>
    <t>FB-1029-38DDC59</t>
  </si>
  <si>
    <t>2023 Mosaic Thunder Lane Joe Mixon #TL-JM Cincinnati Bengals</t>
  </si>
  <si>
    <t>FB-1038-2EB241B</t>
  </si>
  <si>
    <t>2022 Panini Select Draft Picks - Concourse Travis Kelce #30 Blue</t>
  </si>
  <si>
    <t>FB-1030</t>
  </si>
  <si>
    <t>2022 Panini Select Draft Picks - Concourse Trevor Lawrence #39 Blue</t>
  </si>
  <si>
    <t>FB-1033</t>
  </si>
  <si>
    <t>2022-23 Panini Obsidian Gavi Atomic Red Electric Etch Patch Swatch /44</t>
  </si>
  <si>
    <t>CDP-32D2EDB</t>
  </si>
  <si>
    <t>CDP-AABE045</t>
  </si>
  <si>
    <t>2024 Topps Heritage Jordan Lawlar RC White Border Rookie #429 Diamondbacks</t>
  </si>
  <si>
    <t>FS-1025</t>
  </si>
  <si>
    <t>2024 Bowman Draft Baseball CHRISTIAN MOORE 1st Prospect Chrome Refractor #BDC-13</t>
  </si>
  <si>
    <t>FS-1021</t>
  </si>
  <si>
    <t>2021 Bowman Chrome Sapphire MICHAEL HARRIS II RC Refractor SP Braves</t>
  </si>
  <si>
    <t>FS-1017</t>
  </si>
  <si>
    <t>2021 Bowman Draft Chrome Spencer Schwellenbach #BDC-44 1st Refractor Braves</t>
  </si>
  <si>
    <t>FS-1016</t>
  </si>
  <si>
    <t>2022 Panini Select Draft Picks - Concourse #5 Chris Olave (RC) Buckeyes - Saints</t>
  </si>
  <si>
    <t>FB-1056</t>
  </si>
  <si>
    <t>2023 Midnight Horizon Signatures Twilight Olivier-Maxence Prosper Auto RC /199</t>
  </si>
  <si>
    <t>BB-1001</t>
  </si>
  <si>
    <t>2024 Panini Donruss - Retro 1994 Brock Bowers #29 (RC) Raiders</t>
  </si>
  <si>
    <t>CDP-7C7D5B8</t>
  </si>
  <si>
    <t>2024-25 Panini Prizm Monopoly Basketball Cade Cunningham #64 Detroit Pistons</t>
  </si>
  <si>
    <t>CDP-A17A5D0</t>
  </si>
  <si>
    <t>2024-25 Panini Prizm Monopoly #LEG3 Larry Bird Legends Boston Celtics</t>
  </si>
  <si>
    <t>CDP-A45C00F</t>
  </si>
  <si>
    <t>2024-25 Panini Prizm Monopoly Basketball Tyrese Haliburton #58 Indiana Pacers</t>
  </si>
  <si>
    <t>CDP-474A040</t>
  </si>
  <si>
    <t xml:space="preserve">2024-25 Panini Prizm Monopoly #36 Isaiah Collier RC- Utah Jazz </t>
  </si>
  <si>
    <t>CDP-BE17CFA</t>
  </si>
  <si>
    <t>2021 Bowman - Mike Trout #17 Angels</t>
  </si>
  <si>
    <t>CDP-3718185</t>
  </si>
  <si>
    <t>2019 Topps Holiday #HW126 Fernando Tatis Jr. BASEBALL San Diego Padres</t>
  </si>
  <si>
    <t>CDP-A174A6D</t>
  </si>
  <si>
    <t>2014 Donruss  Derek Jeter #318- New York Yankees</t>
  </si>
  <si>
    <t>CDP-7D12C5A</t>
  </si>
  <si>
    <t>Derek Jeter 2002 Donruss Fan Club New York Yankees #5</t>
  </si>
  <si>
    <t>CDP-2F6A0E0</t>
  </si>
  <si>
    <t>2024 Bowman Chrome U #125 • Malaki Starks • True Aqua Refractor /299 Georgia 🔥</t>
  </si>
  <si>
    <t>CDP-91826DC</t>
  </si>
  <si>
    <t>2024 Topps Finest  Keon Coleman Rookie Card Buffalo Bills #92</t>
  </si>
  <si>
    <t>CDP-4F8AE36</t>
  </si>
  <si>
    <t>2025 Bowman - Bowman Scouts Top 100 Chrome Christian Moore #BTP-46</t>
  </si>
  <si>
    <t>CDP-060AD55</t>
  </si>
  <si>
    <t>CDP-C01805C</t>
  </si>
  <si>
    <t>2024 Panini Select Silver - Concourse Trevor Lawrence #98 Silver Prizm Jaguars</t>
  </si>
  <si>
    <t>CDP-A3A73E4</t>
  </si>
  <si>
    <t>2022 Panini Select Draft Picks - Concourse Kyler Murray #43 Blue Cardinals</t>
  </si>
  <si>
    <t>CDP-2E46E5F</t>
  </si>
  <si>
    <t>2023 Panini Select Draft Picks - Concourse Josh Allen #27 Blue Bills</t>
  </si>
  <si>
    <t>FB-1061B</t>
  </si>
  <si>
    <t>2023 Panini Mosaic - National Pride Lamar Jackson #260 Ravens</t>
  </si>
  <si>
    <t>CDP-AF81C25</t>
  </si>
  <si>
    <t>2024 Panini Absolute - Rookies Joe Alt #105 Red white Blue (RC) Chargers</t>
  </si>
  <si>
    <t>FB-1064B</t>
  </si>
  <si>
    <t>2024 Panini Mosaic - Bijan Robinson #9 Falcons</t>
  </si>
  <si>
    <t>CDP-8A0F8C9</t>
  </si>
  <si>
    <t>2024-25 Panini Prizm Monopoly - Zach Edey #24 Red Ruby Wave Prizm (RC) Grizzlies</t>
  </si>
  <si>
    <t>CDP-73DFC0D</t>
  </si>
  <si>
    <t>2023 Panini Mosaic - Keyshawn Johnson #81 Green Mosaic Prizm Jets</t>
  </si>
  <si>
    <t>CDP-7316FCD</t>
  </si>
  <si>
    <t>2023 Panini Mosaic - Lamar Jackson #13 Ravens</t>
  </si>
  <si>
    <t>CDP-2FAF7C7</t>
  </si>
  <si>
    <t>2024 Bowman University Chrome - Ashton Jeanty #17 (RC) Raiders Boise State</t>
  </si>
  <si>
    <t>CDP-3400193</t>
  </si>
  <si>
    <t>2021 Panini Prestige - Rookies Justin Fields #203 (RC)</t>
  </si>
  <si>
    <t>CDP-2B57DCC</t>
  </si>
  <si>
    <t>2023 Panini Mosaic - National Pride Justin Jefferson #265 Vikings</t>
  </si>
  <si>
    <t>CDP-A7D4FB1</t>
  </si>
  <si>
    <t>2022 Panini Select - Concourse Tua Tagovailoa #94 Dolphins</t>
  </si>
  <si>
    <t>FB-1028-91269E6</t>
  </si>
  <si>
    <t>2023 Panini Mosaic - Thunder Lane Fred Taylor #TL-FT Mosaic Prizm</t>
  </si>
  <si>
    <t>FB-1035-660EEC2</t>
  </si>
  <si>
    <t>2022 Panini Select Josh Allen Blue #100 Bills</t>
  </si>
  <si>
    <t>FB-1032-337443A</t>
  </si>
  <si>
    <t>2023 Panini Mosaic - Amari Cooper #50 Browns</t>
  </si>
  <si>
    <t>FB-1216-AB7A995</t>
  </si>
  <si>
    <t>2024 Panini Mosaic Zay Flowers #17 Ravens</t>
  </si>
  <si>
    <t>FB-1031-CA2D84E</t>
  </si>
  <si>
    <t>2023 Panini Absolute - Ja'Marr Chase #85 Bengals</t>
  </si>
  <si>
    <t>FB-1037-673DB4A</t>
  </si>
  <si>
    <t>2024 Bowman Chrome University U 1st #91 James Pearce Jr. Tennessee Vols</t>
  </si>
  <si>
    <t>FB-1149</t>
  </si>
  <si>
    <t>2021 Panini Prizm Draft Picks Purple Wave Prizm Shaun Wade #137 Rookie RC</t>
  </si>
  <si>
    <t>FB-1142</t>
  </si>
  <si>
    <t>2024 Panini Prizm Draft Picks - Victor Wembanyama #99 Spurs</t>
  </si>
  <si>
    <t>CDP-23DAFA8</t>
  </si>
  <si>
    <t>2024 Topps Chrome - Rookies Jalen McMillan #242 (RC)</t>
  </si>
  <si>
    <t>FB-1121</t>
  </si>
  <si>
    <t>2024 Panini Prizm Draft Pick - All-American Tristen Newton #9 Purple Wave (RC)</t>
  </si>
  <si>
    <t>CDP-26D07C4</t>
  </si>
  <si>
    <t>2024 Bowman Draft - Leo De Vries #BD-116 (RC) Padres</t>
  </si>
  <si>
    <t>BB-1107</t>
  </si>
  <si>
    <t>2024 Panini Prizm - Rookies Quinyon Mitchell #381 Lazer Prizm (RC) Eagles</t>
  </si>
  <si>
    <t>CDP-AE86A60</t>
  </si>
  <si>
    <t>2024 Panini Donruss - Rated Rookie Ricky Pearsall #318 (RC) 49ERS</t>
  </si>
  <si>
    <t>CDP-5DEBF98</t>
  </si>
  <si>
    <t>2024 Panini Absolute - Rookies Ladd McConkey #134 (RC) Chargers</t>
  </si>
  <si>
    <t>FB-1110</t>
  </si>
  <si>
    <t>2024 Topps Chrome - Future Stars Ladd McConkey #FS-13 (RC)</t>
  </si>
  <si>
    <t>FB-1111</t>
  </si>
  <si>
    <t>2024 Topps Finest - Debut Michael Pratt #D-17 (RC) Tampa Bay Bucs</t>
  </si>
  <si>
    <t>CDP-1B9CA9E</t>
  </si>
  <si>
    <t>2024 Topps Finest - Common Frank Gore Jr. #81 (RC) Bills</t>
  </si>
  <si>
    <t>FB-1115</t>
  </si>
  <si>
    <t>2024 Panini Donruss - Retro 1994 Ricky Pearsall #35 (RC) 49'ERS</t>
  </si>
  <si>
    <t>FB-1116</t>
  </si>
  <si>
    <t>2024 Panini Prizm - Rookies Jawhar Jordan #346 (RC) Texans</t>
  </si>
  <si>
    <t>FB-1117</t>
  </si>
  <si>
    <t>2024 Panini Prizm - Rookies Edgerrin Cooper #331 Prizm (RC)</t>
  </si>
  <si>
    <t>FB-1118</t>
  </si>
  <si>
    <t>2024 Bowman Chrome University Football #182 Will Howard Ohio State Buckeyes</t>
  </si>
  <si>
    <t>FB-1120</t>
  </si>
  <si>
    <t>2024 Topps Finest - Dynamos Brenden Rice #DYN-18 Blue Refractor /150 (RC)</t>
  </si>
  <si>
    <t>CDP-706AA40</t>
  </si>
  <si>
    <t>2024 Topps Finest - Rare Charlie Batch #236 Purple Refractor /125 Steelers</t>
  </si>
  <si>
    <t>CDP-0FC4F47</t>
  </si>
  <si>
    <t>2024 Panini Prizm - David Montgomery #94 Lazer Prizm Lions</t>
  </si>
  <si>
    <t>CDP-161BD09</t>
  </si>
  <si>
    <t>2024 Panini Prizm - Chris Olave #206 Black &amp; White Checker Prizm Saints</t>
  </si>
  <si>
    <t>CDP-F9C5C32</t>
  </si>
  <si>
    <t>2024 Panini Prizm - Emergent Jonathon Brooks #9 Green Ice Prizm (RC)</t>
  </si>
  <si>
    <t>CDP-B02D849</t>
  </si>
  <si>
    <t>2024 Panini Prizm Dalton Schultz #115 Silver Prizm Texans</t>
  </si>
  <si>
    <t>CDP-51D17AF</t>
  </si>
  <si>
    <t>2024 Panini Prizm Green Cracked Ice Christian Kirk #131 Jaguars</t>
  </si>
  <si>
    <t>CDP-ED5D3DF</t>
  </si>
  <si>
    <t>2024 PANINI PRIZM LAIATU LATU  FOOTBALL #5 PRIZMATIC GREEN ICE COLTS RC ROOKIE</t>
  </si>
  <si>
    <t>CDP-2910E1C</t>
  </si>
  <si>
    <t>2025 Bowman - Chrome Prospects Yophery Rodriguez #BCP-36 (RC)</t>
  </si>
  <si>
    <t>BB-1095</t>
  </si>
  <si>
    <t>2025 Bowman - Spencer Schwellenbach #78 (RC) Braves Base</t>
  </si>
  <si>
    <t>BB-1094</t>
  </si>
  <si>
    <t>Maxx Crosby 2024 Panini Contenders Season Ticket Las Vegas Raiders NFL #52</t>
  </si>
  <si>
    <t>CDP-013517D</t>
  </si>
  <si>
    <t>2023 Bowman - Chrome Prospects Jackson Chourio #BCP-76 (RC)</t>
  </si>
  <si>
    <t>CDP-EDBDADE</t>
  </si>
  <si>
    <t>2025 Topps Byron Buxton City Connect Swatch Relics Jersey Gold #07/50</t>
  </si>
  <si>
    <t>CDP-89F8A09</t>
  </si>
  <si>
    <t>2024 Panini Prizm - Rookies Ja'Tavion Sanders #343 Prizm (RC)</t>
  </si>
  <si>
    <t>CDP-F0811D3</t>
  </si>
  <si>
    <t>2025 Topps Series 2 - 1990 Topps Baseball Paul Goldschmidt #90B2-46 Yankees</t>
  </si>
  <si>
    <t>CDP-E45E684</t>
  </si>
  <si>
    <t>Vladimir Guerrero Jr. OPS Leaders 2025 Topps Series 2 #OPS-6 Toronto Blue Jays</t>
  </si>
  <si>
    <t>CDP-D8DFFAE</t>
  </si>
  <si>
    <t>2024 Panini Prizm - Rookies Devontez Walker #328 (RC) Ravens</t>
  </si>
  <si>
    <t>CDP-D491485</t>
  </si>
  <si>
    <t>2024 Panini Prizm - Rookies Devin Culp #326 (RC) Bucs</t>
  </si>
  <si>
    <t>CDP-590F041</t>
  </si>
  <si>
    <t>2024 Panini Prizm - Amari Cooper #66 Browns</t>
  </si>
  <si>
    <t>CDP-2DB731A</t>
  </si>
  <si>
    <t>2024 Panini Prizm - Rookies #383 Ricky Pearsall (RC) 49'ERS</t>
  </si>
  <si>
    <t>CDP-E3DCA4C</t>
  </si>
  <si>
    <t>2025 Topps Series 2 Summer Superstars Trea Turner #SS-32 Phillies</t>
  </si>
  <si>
    <t>CDP-F714EBD</t>
  </si>
  <si>
    <t>Jared Jones 2025 Topps Series 2 Topps -#541 Future Stars Pirates</t>
  </si>
  <si>
    <t>BB-1057</t>
  </si>
  <si>
    <t>Robby Ray 2025 Topps Series 2 #459 Gold Parallel #0651/2025 Giants</t>
  </si>
  <si>
    <t>BB-1061</t>
  </si>
  <si>
    <t>2025 Topps Summer Superstars #SS21 Freddie Freeman Los Angeles Dodgers</t>
  </si>
  <si>
    <t>BB-1060</t>
  </si>
  <si>
    <t>2025 Topps Series 2 J.T Realmuto 1990 Topps Insert #90B2-15 Phillies</t>
  </si>
  <si>
    <t>BB-1059</t>
  </si>
  <si>
    <t>2024 Bowman Draft Chrome Max Clark Detroit Tigers #BDC-104</t>
  </si>
  <si>
    <t>BB-1091</t>
  </si>
  <si>
    <t>2025 Topps Series 2 DYNAMIC DUOS #DD-4 Aaron Judge/Anthony Volpe (Yankees)</t>
  </si>
  <si>
    <t>BB-1058</t>
  </si>
  <si>
    <t>2024 Bowman U Chrome Brady Cook SP Image Variations #SP-6 Missouri Tigers</t>
  </si>
  <si>
    <t>CDP-9436E07</t>
  </si>
  <si>
    <t>2024 Bowman University Chrome - #80 Jackson Arnold Pink Lava Oklahoma Sooners</t>
  </si>
  <si>
    <t>FB-1151</t>
  </si>
  <si>
    <t>2024 Panini Prizm - Rookies Brenden Rice #313 (RC) Chargers</t>
  </si>
  <si>
    <t>FB-1106</t>
  </si>
  <si>
    <t>2025 Topps Series 2 1990 Topps All Stars Chrome Silver Pack Trea Turner 90ASC-9</t>
  </si>
  <si>
    <t>CDP-8D29EA3</t>
  </si>
  <si>
    <t>2025 Topps Series 2 #SS-32 Trea Turner Summer Superstars</t>
  </si>
  <si>
    <t>BB-1049</t>
  </si>
  <si>
    <t>2025 Topps Series 2 #524 Luisangel Acuna Mets</t>
  </si>
  <si>
    <t>BB-1051</t>
  </si>
  <si>
    <t>2025 Topps Series 2 #367 Wilyer Abreu</t>
  </si>
  <si>
    <t>BB-1050</t>
  </si>
  <si>
    <t>2025 Topps Series 2 #490 Jackson Jobe</t>
  </si>
  <si>
    <t>BB-1054</t>
  </si>
  <si>
    <t>2025 Topps Series 2 #447 Griffin Conine Purple</t>
  </si>
  <si>
    <t>BB-1053</t>
  </si>
  <si>
    <t>2025 Topps Series 2 Rainbow Foil Brewers William Contreras #433</t>
  </si>
  <si>
    <t>BB-1046</t>
  </si>
  <si>
    <t>Matty Warhurst 2024-25 Topps Finest UEFA Club Competitions Auto RC #BA-MW /199</t>
  </si>
  <si>
    <t>SR-1052</t>
  </si>
  <si>
    <t>2024-25 Topps Finest UEFA Angel Di Maria Auto Magenta /75 Benfica</t>
  </si>
  <si>
    <t>SR-1050</t>
  </si>
  <si>
    <t>2024-25 Finest UEFA Douglas Luiz Pink Prism Refractor #106/125</t>
  </si>
  <si>
    <t>SR-1049</t>
  </si>
  <si>
    <t>2024/25 Topps Finest UEFA CC Xavi Simons purple Prism Refractor /299 RB Leipzig</t>
  </si>
  <si>
    <t>SR-1054</t>
  </si>
  <si>
    <t>2024-25 Topps Finest UEFA Cole Campbell blue  Raywave Refractor RC /150 Dortmund</t>
  </si>
  <si>
    <t>SR-1047</t>
  </si>
  <si>
    <t>Oddish Reverse Holo English Pokemon TCG 043/165</t>
  </si>
  <si>
    <t>CDP-FA80955</t>
  </si>
  <si>
    <t>Snorlax Reverse Holo 143/165 Sv: Scarlet &amp; Violet 151</t>
  </si>
  <si>
    <t>CDP-C0527A7</t>
  </si>
  <si>
    <t>TCG Pokémon Magikarp Common 129/165</t>
  </si>
  <si>
    <t>CDP-1F2DF77</t>
  </si>
  <si>
    <t>Haunter Non-Holo SV: Scarlet &amp; Violet 151 093/165 NM Uncommon</t>
  </si>
  <si>
    <t>CDP-9C9E199</t>
  </si>
  <si>
    <t>Pokemon Tcg 151 Set Dugtrio 051/165 NM</t>
  </si>
  <si>
    <t>CDP-C2B7442</t>
  </si>
  <si>
    <t>2025 Bowman Jackson Chourio #11 Brewers</t>
  </si>
  <si>
    <t>BB-1098</t>
  </si>
  <si>
    <t>2024 Topps Update #SMLB-67 Colton Cowser Stars of MLB Orioles</t>
  </si>
  <si>
    <t>BB-1109</t>
  </si>
  <si>
    <t>2025 Bowman #BP-38 Luis Pena Prospects</t>
  </si>
  <si>
    <t>BB-1097</t>
  </si>
  <si>
    <t>2024 Bowman Draft #BD-1 Travis Bazzana guardians</t>
  </si>
  <si>
    <t>BB-1099</t>
  </si>
  <si>
    <t>2025 Topps Series 1 #220 Jackson Holliday Orioles</t>
  </si>
  <si>
    <t>BB-1100</t>
  </si>
  <si>
    <t>2024Topps Finest #96 Jalen McMillan Bucs</t>
  </si>
  <si>
    <t>CDP-CBECC3B</t>
  </si>
  <si>
    <t>2025 Topps Series 1 #7 Alec Bohm Gold/2025 Phillies</t>
  </si>
  <si>
    <t>BB-1086</t>
  </si>
  <si>
    <t>2025 Elly De La Cruz - Topps Series One #150 - Future Stars Reds</t>
  </si>
  <si>
    <t>BB-1104</t>
  </si>
  <si>
    <t>2025 Topps Baseball Series 1 Willie Mays 1990 35th Anniversary #T90-96</t>
  </si>
  <si>
    <t>BB-1103</t>
  </si>
  <si>
    <t>2024 Topps Finest #288 Audric Estime Broncos</t>
  </si>
  <si>
    <t>FB-1374</t>
  </si>
  <si>
    <t>2024 Panini Prizm #295 LaVar Arrington commanders</t>
  </si>
  <si>
    <t>FB-1373</t>
  </si>
  <si>
    <t>2023 Panini Mosaic #13 Lamar Jackson Ravens</t>
  </si>
  <si>
    <t>FB-1141</t>
  </si>
  <si>
    <t>Pokémon TCG Pokémon Rhyhorn Rhyhorn Common Reverse Holo</t>
  </si>
  <si>
    <t>CDP-DEEE258</t>
  </si>
  <si>
    <t>Tornadus PROMO white flare #210</t>
  </si>
  <si>
    <t>CDP-74AB6F4</t>
  </si>
  <si>
    <t>Pokémon TCG Reshiram Ex Reshiram Double Rare Holo</t>
  </si>
  <si>
    <t>CDP-11901A7</t>
  </si>
  <si>
    <t>Mankey Common Regular #056/165</t>
  </si>
  <si>
    <t>CDP-3F901D1</t>
  </si>
  <si>
    <t>Voltorb Common #100/165 SV: 151</t>
  </si>
  <si>
    <t>CDP-F02E2A9</t>
  </si>
  <si>
    <t>Oddish Reverse Holo #043/165 SV: 151</t>
  </si>
  <si>
    <t>CDP-BA708F7</t>
  </si>
  <si>
    <t>Parasect Common #047/165</t>
  </si>
  <si>
    <t>CDP-6609BC6</t>
  </si>
  <si>
    <t>Krabby Common #98/165 SV: 151</t>
  </si>
  <si>
    <t>CDP-CBAD5AD</t>
  </si>
  <si>
    <t>2025 Topps Series 1 #4 Christian Encarnacion-Strand Rainbow Foil Reds</t>
  </si>
  <si>
    <t>BB-1077</t>
  </si>
  <si>
    <t>2025 Bowman #BP-53 Jacob Bresnahan Prospects Giants</t>
  </si>
  <si>
    <t>BB-1101</t>
  </si>
  <si>
    <t>2024 Bowman Draft #BDN-4 Hagen Smith Bowman Draft Night White Sox</t>
  </si>
  <si>
    <t>BB-1078</t>
  </si>
  <si>
    <t>2025 Topps #TG-4 Fernando Tatis Jr. Training Grounds Padres</t>
  </si>
  <si>
    <t>BB-1071</t>
  </si>
  <si>
    <t>2024 Panini Prizm Draft Picks #3 Ron Holland II Deep Space Prizms Silver</t>
  </si>
  <si>
    <t>CDP-1833051</t>
  </si>
  <si>
    <t>2025 Bowman #ROY-12 Trey Sweeney Rookie of the Year Favorites Tigers</t>
  </si>
  <si>
    <t>BB-1082</t>
  </si>
  <si>
    <t>2024 Donruss Optic #268 Luke McCaffrey Commanders RC</t>
  </si>
  <si>
    <t>CDP-CA17105</t>
  </si>
  <si>
    <t>2023 Bowman 1st Edition #BCP-25 Druw Jones Diamondbacks</t>
  </si>
  <si>
    <t>CDP-44A3302</t>
  </si>
  <si>
    <t>2025 Topps Series 1 Shohei Ohtani #1 Base Dodgers MVP</t>
  </si>
  <si>
    <t>BB-1074</t>
  </si>
  <si>
    <t>2024 Panini Prizm Draft Picks #5 Robert Dillingham Student Orientation</t>
  </si>
  <si>
    <t>CDP-5032C2E</t>
  </si>
  <si>
    <t>2024 Panini Prizm #89 John Elway Broncos Silver Prizm</t>
  </si>
  <si>
    <t>CDP-0FD43CF</t>
  </si>
  <si>
    <t>2024 Bowman Draft #BDC-157 Tytus Cissell Chrome Blue Refractor  Diamondback</t>
  </si>
  <si>
    <t>BB-1072</t>
  </si>
  <si>
    <t>2024 Topps Update #US185 Jhonny Pereda / Emmanuel Ramirez RCOM Gold Rainbow Foil</t>
  </si>
  <si>
    <t>CDP-8E2E469</t>
  </si>
  <si>
    <t>2023 Panini Select - Suite Trevor Lawrence #443</t>
  </si>
  <si>
    <t>FB-1130</t>
  </si>
  <si>
    <t>2023 Donruss Optic #CR-TT Tua Tagovailoa Chain Reaction Dolphins</t>
  </si>
  <si>
    <t>FB-1135</t>
  </si>
  <si>
    <t>2023 Prestige Lamar Jackson Xtra Points Purple #/99 #24 Ravens</t>
  </si>
  <si>
    <t>FB-1174</t>
  </si>
  <si>
    <t>2024 Panini Clearly Donruss - Rated Rookie Joe Milton III #97 (RC)</t>
  </si>
  <si>
    <t>FB-1219-A22BEBD</t>
  </si>
  <si>
    <t>2024 Panini Donruss - Rated Rookie Ladd McConkey #328 (RC) chargers</t>
  </si>
  <si>
    <t>FB-1128</t>
  </si>
  <si>
    <t>2024 Topps Bowman U Chrome Football Cam Ward Base #38 Miami Hurricanes</t>
  </si>
  <si>
    <t>FB-1210</t>
  </si>
  <si>
    <t>2024 Donruss Optic Quinyon Mitchell Purple Shock Rated Rookie #282 Eagles</t>
  </si>
  <si>
    <t>FB-1209</t>
  </si>
  <si>
    <t>2024 Panini Contenders - Patrick Mahomes II #50 Game Ticket</t>
  </si>
  <si>
    <t>FB-1161</t>
  </si>
  <si>
    <t>2024 Panini Select - Select Numbers Marvin Harrison Jr. #4 (RC) Cardinals</t>
  </si>
  <si>
    <t>FB-1163</t>
  </si>
  <si>
    <t>2024 Panini Clearly Donruss Xavier Legette #16 Base The Rookies Panthers</t>
  </si>
  <si>
    <t>FB-1157</t>
  </si>
  <si>
    <t>2024 Select Xavier Legette Rookie Swatches Prizm #RS-XLE RC /125 Patch Panthers</t>
  </si>
  <si>
    <t>CDP-D11287C</t>
  </si>
  <si>
    <t>2024 Panini Select Brian Thomas Jr. #17 Silver Prizm Jaguars</t>
  </si>
  <si>
    <t>CDP-844EDEA</t>
  </si>
  <si>
    <t>2024 Panini Select Trey Benson #23 Silver Cardinals</t>
  </si>
  <si>
    <t>CDP-1FCDFE8</t>
  </si>
  <si>
    <t>2024 Panini Select Blake Corum #9 Rams</t>
  </si>
  <si>
    <t>CDP-8C0359F</t>
  </si>
  <si>
    <t>2024 Panini Select Jayden Daniels #4 Commanders</t>
  </si>
  <si>
    <t>CDP-DB40128</t>
  </si>
  <si>
    <t>2024 Donruss Optic Luke McCaffrey #302 Optic Pink Commanders</t>
  </si>
  <si>
    <t>CDP-7A30B4A</t>
  </si>
  <si>
    <t>2024 Panini Select Rome Odunze #3 Chicago Bears</t>
  </si>
  <si>
    <t>FB-1187</t>
  </si>
  <si>
    <t>2024 Panini Select Michael Penix Jr. #110 Atlanta Falcons</t>
  </si>
  <si>
    <t>FB-1202</t>
  </si>
  <si>
    <t>2024 Donruss Optic Jalen McMillan Purple Shock Tampa Bay Buccaneers #239</t>
  </si>
  <si>
    <t>FB--5E47FFF</t>
  </si>
  <si>
    <t>2024 Panini Prizm Dallas Turner #324 Minnesota Vikings</t>
  </si>
  <si>
    <t>FB-1198</t>
  </si>
  <si>
    <t>2024 Panini Prizm - Rookies Xavier Worthy #399 Base (RC)</t>
  </si>
  <si>
    <t>FB--0B07846</t>
  </si>
  <si>
    <t>2024 Panini Contenders Lamar Jackson #7 Baltimore Ravens</t>
  </si>
  <si>
    <t>FB--8376F00</t>
  </si>
  <si>
    <t>2022 Topps Chrome - Corbin Burnes #167 Aqua Refractor /199</t>
  </si>
  <si>
    <t>BB-1115</t>
  </si>
  <si>
    <t>2024 Topps Chrome Ray Wave RC Rookie #142 Heston Kjerstad Orioles</t>
  </si>
  <si>
    <t>BB-1116</t>
  </si>
  <si>
    <t>2021 Panini Mosaic UEFA Euro 2020 Silver Mosaic Prizm Kylian Mbappe #112</t>
  </si>
  <si>
    <t>SR-1055</t>
  </si>
  <si>
    <t>2024 Panini Select Rookie Brian Thomas Jr. Premier Silver Prizm #143 RC Jaguars</t>
  </si>
  <si>
    <t>CDP-05C3845</t>
  </si>
  <si>
    <t>2024 Panini Contenders Dallas Turner #25 Minnesota Vikings</t>
  </si>
  <si>
    <t>FB-1269</t>
  </si>
  <si>
    <t>2024 Donruss Ricky Pearsall #TR-16 San Francisco 49ers</t>
  </si>
  <si>
    <t>FB-1257-ADA288E</t>
  </si>
  <si>
    <t>2024 Bowman University Chrome Francisco Mauigoa #30 Miami Hurricanes</t>
  </si>
  <si>
    <t>FB-1297</t>
  </si>
  <si>
    <t>2024 Bowman University Chrome Josh Hoover #108 TCU Horned Frogs</t>
  </si>
  <si>
    <t>FB-1226</t>
  </si>
  <si>
    <t>2024 Panini Contenders Marvin Harrison Jr. #4 Arizona Cardinals</t>
  </si>
  <si>
    <t>FB-1289</t>
  </si>
  <si>
    <t>2024 Panini Contenders Marvin Harrison Jr. #5 Arizona Cardinals</t>
  </si>
  <si>
    <t>FB-1285</t>
  </si>
  <si>
    <t>2024 Panini Contenders Blake Corum #21 Los Angeles Rams</t>
  </si>
  <si>
    <t>FB-1265-7A23A14</t>
  </si>
  <si>
    <t>2024 Bowman University Chrome Tez Johnson #171 Oregon Ducks</t>
  </si>
  <si>
    <t>FB-1222</t>
  </si>
  <si>
    <t>2024 Panini Contenders Spencer Rattler #11 New Orleans Saints</t>
  </si>
  <si>
    <t>FB-1273</t>
  </si>
  <si>
    <t>SR-1068</t>
  </si>
  <si>
    <t>2024 Panini Totally Certified - Christian McCaffrey #81 Pink Mirror 49'ERS</t>
  </si>
  <si>
    <t>FB-1238-06A8DD1</t>
  </si>
  <si>
    <t>2024 Panini Totally Certified - Rookies Brenden Rice #107 Mirror (RC) Chargers</t>
  </si>
  <si>
    <t>FB-1231-3767FDC</t>
  </si>
  <si>
    <t>2024 Panini Totally Certified Rookies Max Melton #160 Red Mirror (RC) Cardinals</t>
  </si>
  <si>
    <t>FB-1227-757F240</t>
  </si>
  <si>
    <t>2024 Panini Totally Certified - Rookies Bucky Irving #110 Mirror Bucs</t>
  </si>
  <si>
    <t>FB-1239-3B91420</t>
  </si>
  <si>
    <t>2024 Panini Totally Certified Rookies Kool-Aid McKinstry #153 Mirror (RC) Saints</t>
  </si>
  <si>
    <t>FB-1223-2083A6F</t>
  </si>
  <si>
    <t>2024 Panini Totally Certified New Generation Jerseys Brock Bowers #NGJ-BBS</t>
  </si>
  <si>
    <t>FB-1242</t>
  </si>
  <si>
    <t>2024-25 Panini Prizm Premier League - Jordan Pickford #12 Blue Pulsar Prizm</t>
  </si>
  <si>
    <t>SR-1073</t>
  </si>
  <si>
    <t>2024-25 Panini Select Premier League - Equalizers Mohammed Kudus #1</t>
  </si>
  <si>
    <t>CDP-1ABF058</t>
  </si>
  <si>
    <t>MORGAN ROGERS 2024 Select Premier League Equalizers Prizm #6 Aston Villa</t>
  </si>
  <si>
    <t>SR-1082</t>
  </si>
  <si>
    <t>2024-25 Panini Select Premier League Mezzanine Wilfred Ndidi #193 Red Ice Prizm</t>
  </si>
  <si>
    <t>SR-1090</t>
  </si>
  <si>
    <t>SR-1092</t>
  </si>
  <si>
    <t>LESLEY UGOCHUKWU 2024 Select Premier League Future Silver Prizm #10 Southampton</t>
  </si>
  <si>
    <t>SR-1088</t>
  </si>
  <si>
    <t>Kalvin Phillips 2024-25 Panini Select EPL Red Craced Ice Tesselation #118</t>
  </si>
  <si>
    <t>SR-1080</t>
  </si>
  <si>
    <t>2024-25 Panini Select Premier League - Select Future Lewis Hall #18 Newcastle</t>
  </si>
  <si>
    <t>SR-1089</t>
  </si>
  <si>
    <t>2024-25 Panini Select Premier League - Terrace Nathan Collins #3 Red Ice Prizm</t>
  </si>
  <si>
    <t>SR-1081</t>
  </si>
  <si>
    <t>Kai Havertz 2024-25 Panini Select Premier League Unstoppable Silver Arsenal</t>
  </si>
  <si>
    <t>SR-1085</t>
  </si>
  <si>
    <t>2024-25 Topps Finest Uefa Club Competitions - Alvaro Carreras #85 (RC)</t>
  </si>
  <si>
    <t>SR-1057</t>
  </si>
  <si>
    <t>2024/25 TOPPS FINEST UEFA UCC BASE ARCHIE GRAY RC TOTTENHAM #102</t>
  </si>
  <si>
    <t>SR-1056</t>
  </si>
  <si>
    <t>Anthony Elanga 2024-25 Panini Select EPL #175 Red Ice Prizm Mezzanine</t>
  </si>
  <si>
    <t>SR-1091</t>
  </si>
  <si>
    <t>Panini Select Premier League - Mezzanine Jack Hinshelwood #136 Ice Prizm (RC)</t>
  </si>
  <si>
    <t>SR-1075</t>
  </si>
  <si>
    <t>2024-25 Topps Finest Uefa Club Competitions - Nicolo Savona #129 (RC)</t>
  </si>
  <si>
    <t>SR-1062</t>
  </si>
  <si>
    <t>2024-25 Topps Finest Uefa Club Competitions - Mika Biereth #113 (RC)</t>
  </si>
  <si>
    <t>SR-1059</t>
  </si>
  <si>
    <t>2024-25 Panini Select Premier League - Terrace Marcos Senesi #61 Red Prizm</t>
  </si>
  <si>
    <t>SR-1078</t>
  </si>
  <si>
    <t>2024-25 Topps Finest Yoram Zague RC base Refractor #12</t>
  </si>
  <si>
    <t>SR-1060</t>
  </si>
  <si>
    <t>2024-25 Topps Finest Uefa Club Competitions - Omari Kellyman #142 (RC)</t>
  </si>
  <si>
    <t>SR-1070</t>
  </si>
  <si>
    <t>George Ilenikhena 2024-25 Topps Finest UEFA Club Competitions RC</t>
  </si>
  <si>
    <t>SR-1064</t>
  </si>
  <si>
    <t>2024-25 Topps Finest Uefa Club Competitions - Benjamín Domínguez #84 (RC)</t>
  </si>
  <si>
    <t>SR-1072</t>
  </si>
  <si>
    <t>2024-25 Topps Finest Uefa Club Competitions - Vinicius Tobias #72 (RC)</t>
  </si>
  <si>
    <t>SR-1063</t>
  </si>
  <si>
    <t>2024-2025 Topps Finest UEFA Endrick Prized Footballer RC Real Madrid #PF-16</t>
  </si>
  <si>
    <t>SR-1061</t>
  </si>
  <si>
    <t>2024-25 Panini Totally Certified STEPHON CASTLE Rookie Red Mirror #167 Spurs</t>
  </si>
  <si>
    <t>CDP-644A232</t>
  </si>
  <si>
    <t>2024 Panini Select Najee Harris #85 Pittsburgh Steelers</t>
  </si>
  <si>
    <t>CDP-133C980</t>
  </si>
  <si>
    <t>2024 Panini Select Bryan Anger #141 Dallas Cowboys</t>
  </si>
  <si>
    <t>CDP-06733AC</t>
  </si>
  <si>
    <t>2024 Panini Select Braelon Allen #10 New York Jets</t>
  </si>
  <si>
    <t>FB-1435</t>
  </si>
  <si>
    <t>2024 Panini Select Tyrone Tracy Jr. #61 New York Giants</t>
  </si>
  <si>
    <t>FB-1441</t>
  </si>
  <si>
    <t>2024 Panini Select Ricky Pearsall #21 San Francisco 49ers</t>
  </si>
  <si>
    <t>FB-1452</t>
  </si>
  <si>
    <t>2024 Panini Select Brock Bowers #118 Las Vegas Raiders</t>
  </si>
  <si>
    <t>CDP-F89DC02</t>
  </si>
  <si>
    <t>2024 Panini Select C.J. Stroud #42 Houston Texans</t>
  </si>
  <si>
    <t>FB-1432</t>
  </si>
  <si>
    <t>2024 Panini Select Ray Davis #189 Buffalo Bills</t>
  </si>
  <si>
    <t>CDP-677EF02</t>
  </si>
  <si>
    <t>2024 Panini Select Marvin Harrison Jr. #28 Arizona Cardinals FB-1457</t>
  </si>
  <si>
    <t>CDP-197B336</t>
  </si>
  <si>
    <t>2024 Panini Select Tua Tagovailoa #99 Miami Dolphins</t>
  </si>
  <si>
    <t>FB-1433</t>
  </si>
  <si>
    <t>2024 Panini Select Blake Corum #9 Los Angeles Rams</t>
  </si>
  <si>
    <t>FB-1437</t>
  </si>
  <si>
    <t>2024 Panini Select Jaylen Waddle #21 Miami Dolphins</t>
  </si>
  <si>
    <t>FB-1439</t>
  </si>
  <si>
    <t>2024 Panini Select Rashee Rice #288 Kansas City Chiefs FB-1459</t>
  </si>
  <si>
    <t>CDP-874963F</t>
  </si>
  <si>
    <t>2024 Panini Select Trey Benson #198 Arizona Cardinals FB-1455</t>
  </si>
  <si>
    <t>CDP-50C28FA</t>
  </si>
  <si>
    <t>2024 Panini Select Daniel Carlson #43 Las Vegas Raiders</t>
  </si>
  <si>
    <t>CDP-6F623CE</t>
  </si>
  <si>
    <t>2024 Panini Select Dak Prescott #14 Dallas Cowboys FB-1458</t>
  </si>
  <si>
    <t>CDP-33D1BF8</t>
  </si>
  <si>
    <t>2024 Panini Select Jared Verse #132 Los Angeles Rams</t>
  </si>
  <si>
    <t>FB-1453</t>
  </si>
  <si>
    <t>2023 Panini Mosaic Joe Burrow #40 Cincinnati Bengals</t>
  </si>
  <si>
    <t>FB-1286</t>
  </si>
  <si>
    <t>2022 Select Draft Picks DK Metcalf Red Lazer No. 50</t>
  </si>
  <si>
    <t>FB-1279</t>
  </si>
  <si>
    <t>2023 Panini Rookies &amp; Stars Jordan Addison #DC-12 Minnesota Vikings</t>
  </si>
  <si>
    <t>FB-1295-F324302</t>
  </si>
  <si>
    <t>2022 Panini Chronicles Draft Picks Joe Burrow #6 Football LSU/ BENGALS XR</t>
  </si>
  <si>
    <t>FB-1271</t>
  </si>
  <si>
    <t>2022 Panini Illusions Football #17 Joe Burrow Cincinnati Bengals</t>
  </si>
  <si>
    <t>FB-1274</t>
  </si>
  <si>
    <t>JORDAN LOVE 2024 Panini Absolute #37 Red White &amp; Blue Kaleidoscope PACKERS</t>
  </si>
  <si>
    <t>FB-1282</t>
  </si>
  <si>
    <t>2023 Panini Absolute Sam Laporta Rookie RC #115 Detroit Lions Silver Base</t>
  </si>
  <si>
    <t>FB-1298, FB-1303</t>
  </si>
  <si>
    <t>Bryce Young 2023 Panini Select Draft Picks #FUT-2 Crimson Tide/panthers</t>
  </si>
  <si>
    <t>FB-1258-C72C983</t>
  </si>
  <si>
    <t>2023 Panini Prizm Amon-Ra St. Brown #H-9 Detroit Lions</t>
  </si>
  <si>
    <t>FB-1251-D9D3870</t>
  </si>
  <si>
    <t>2023 Prizm Football - Trevor Lawrence - Jacksonville Jaguars - Portals - #PO-4</t>
  </si>
  <si>
    <t>CDP-C6CF38E</t>
  </si>
  <si>
    <t>2023 Panini Mosaic Patrick Mahomes II #109 Chiefs</t>
  </si>
  <si>
    <t>CDP-49783BF</t>
  </si>
  <si>
    <t>2023 Panini Illusions - Drake London #5 Falcons</t>
  </si>
  <si>
    <t>CDP-9016E67</t>
  </si>
  <si>
    <t>2022 Panini Absolute - Patrick Mahomes II #38 chiefs</t>
  </si>
  <si>
    <t>CDP-E33A87E</t>
  </si>
  <si>
    <t>2022 Panini Illusions - Tua Tagovailoa #60</t>
  </si>
  <si>
    <t>CDP-1F648AB</t>
  </si>
  <si>
    <t>2022 Panini Select Draft Picks #38 Justin Herbert Red Lazer Prizm Chargers</t>
  </si>
  <si>
    <t>CDP-5BB4135</t>
  </si>
  <si>
    <t>2021 Panini Contenders - Patrick Mahomes II #47 Chiefs</t>
  </si>
  <si>
    <t>CDP-D653F00</t>
  </si>
  <si>
    <t>2024 Topps Chrome - 1974 Topps Football Blake Corum #74TF-14 Lazer Refractor</t>
  </si>
  <si>
    <t>CDP-187EAA8</t>
  </si>
  <si>
    <t>2024 Topps Chrome - 1974 Topps Football Bryce Young #74TF-23</t>
  </si>
  <si>
    <t>CDP-0B017C7</t>
  </si>
  <si>
    <t>2023 Panini Phoenix - Bryce Young #RIS-1 Rookie Rising (RC)</t>
  </si>
  <si>
    <t>CDP-1144FED</t>
  </si>
  <si>
    <t>2022 Panini Ja'Marr Chase Base Set #82 Bengals RC</t>
  </si>
  <si>
    <t>CDP-07A788F</t>
  </si>
  <si>
    <t>2021 Panini Select - Concourse Tua Tagovailoa #22 Dolphins</t>
  </si>
  <si>
    <t>FB-1301</t>
  </si>
  <si>
    <t>2021 Panini Mosaic - Variations NFC Tom Brady #201 Bucs-Patriots</t>
  </si>
  <si>
    <t>FB-1287-D7A0BEC</t>
  </si>
  <si>
    <t>2021 Panini Mosiac Patrick Mahomes II #221 Chiefs</t>
  </si>
  <si>
    <t>CDP-ED5C596</t>
  </si>
  <si>
    <t>2021 Panini Spectra Chronicles Draft Picks - Spectra Jaylen Waddle #285 (RC)</t>
  </si>
  <si>
    <t>CDP-2F82C77</t>
  </si>
  <si>
    <t>2022 Panini Illusions - Patrick Mahomes II #44 Chiefs</t>
  </si>
  <si>
    <t>CDP-39F1D34</t>
  </si>
  <si>
    <t>2024 Panini Select - Phenomenon Michael Penix Jr. #5 Silver Prizm (RC)</t>
  </si>
  <si>
    <t>CDP-3FF38EA</t>
  </si>
  <si>
    <t>2022 Panini Mosaic - Patrick Mahomes II #94 chiefs</t>
  </si>
  <si>
    <t>CDP-FA545FF</t>
  </si>
  <si>
    <t>2021 Donruss Football #116 - Patrick Mahomes II - Kansas City Chiefs</t>
  </si>
  <si>
    <t>CDP-4899467</t>
  </si>
  <si>
    <t>2023 Panini Certified - Certified Stars Bijan Robinson #CS-17 (RC) Falcons</t>
  </si>
  <si>
    <t>CDP-29EB73E</t>
  </si>
  <si>
    <t>2022 Panini Illusions - Amon-Ra St. Brown #32</t>
  </si>
  <si>
    <t>CDP-F72D4A1</t>
  </si>
  <si>
    <t>2021 Panini Select #2 Patrick Mahomes II Kansas City Chiefs</t>
  </si>
  <si>
    <t>CDP-137D21D</t>
  </si>
  <si>
    <t>2023 Panini Mosaic - National Pride Joe Burrow #254 Bengals</t>
  </si>
  <si>
    <t>FB-1305-4808289</t>
  </si>
  <si>
    <t>JA'MARR CHASE #264 2023 PANINI MOSAIC BENGALS NATIONAL PRIDE</t>
  </si>
  <si>
    <t>FB-1304</t>
  </si>
  <si>
    <t>2021 Panini Mosaic Jaylen Waddle Miami Dolphins NFL Debut Rookie Card RC #248</t>
  </si>
  <si>
    <t>FB-1302</t>
  </si>
  <si>
    <t>2023 Panini Mosaic - Tua Tagovailoa #143 Dolphins</t>
  </si>
  <si>
    <t>CDP-B950495</t>
  </si>
  <si>
    <t>Joe Burrow 2022 Panini Select Draft Picks Blue #45 LSU Tigers - Bengals</t>
  </si>
  <si>
    <t>FB-1300-F2C2A8A</t>
  </si>
  <si>
    <t>2021 Panini Select - Club Level Jaylen Waddle #248 (RC) Dolphins</t>
  </si>
  <si>
    <t>FB-1283</t>
  </si>
  <si>
    <t>2021 Panini Mosaic - Rookies Jaylen Waddle #308 (RC) Dolphins</t>
  </si>
  <si>
    <t>FB-1243-1F7D41C</t>
  </si>
  <si>
    <t>2024 Bowman University Chrome Drew Allar #4 Penn State Nittany Lions</t>
  </si>
  <si>
    <t>FB-1370</t>
  </si>
  <si>
    <t>2024 Bowman University Chrome Nate Johnson #135 Vanderbilt Commodores</t>
  </si>
  <si>
    <t>FB-1366</t>
  </si>
  <si>
    <t>2024 Bowman University Chrome Chandler Rogers #41 California Golden Bears</t>
  </si>
  <si>
    <t>CDP-12D73E6</t>
  </si>
  <si>
    <t>2024 Bowman University Chrome Seth Henigan #162 Memphis Tigers</t>
  </si>
  <si>
    <t>CDP-72F8B18</t>
  </si>
  <si>
    <t>2024 Bowman University Chrome Lawrence Arnold #120 Kansas Jayhawks</t>
  </si>
  <si>
    <t>FB-1367</t>
  </si>
  <si>
    <t>2024 Bowman University Chrome Kaidon Salter #111 Liberty Flames</t>
  </si>
  <si>
    <t>FB-1361</t>
  </si>
  <si>
    <t>2024 Bowman University Chrome Abu Sama III #7 Iowa State Cyclones</t>
  </si>
  <si>
    <t>FB-1371</t>
  </si>
  <si>
    <t>2024 Bowman University Chrome Will Rogers #185 Washington Huskies</t>
  </si>
  <si>
    <t>FB-1364</t>
  </si>
  <si>
    <t>2024 Bowman University Chrome Dorian Singer #68 Utah Utes</t>
  </si>
  <si>
    <t>FB-1369</t>
  </si>
  <si>
    <t>2024 Bowman University Chrome Brayden Schager #25 Hawaii Rainbow Warriors</t>
  </si>
  <si>
    <t>CDP-34D6143</t>
  </si>
  <si>
    <t>2024 Bowman University Chrome Jordan Hall #104 Michigan State Spartans X-Fractor</t>
  </si>
  <si>
    <t>CDP-2117E8C</t>
  </si>
  <si>
    <t>2024 Bowman University Chrome Cade Klubnik #CI-18 Clemson Tigers</t>
  </si>
  <si>
    <t>FB-1363</t>
  </si>
  <si>
    <t>2024 Bowman University Chrome Austin Mack #87 Alabama Crimson Tide</t>
  </si>
  <si>
    <t>FB-1365</t>
  </si>
  <si>
    <t>fb-1360</t>
  </si>
  <si>
    <t>2024 Bowman University Chrome Carson Beck #2 Georgia Bulldogs</t>
  </si>
  <si>
    <t>CDP-94CB3D9</t>
  </si>
  <si>
    <t>2024 Panini Absolute Michael Penix Jr. #I-MPJ Atlanta Falcons</t>
  </si>
  <si>
    <t>CDP-9BEE751</t>
  </si>
  <si>
    <t>2024 Panini Prizm Spencer Rattler #388 New Orleans Saints</t>
  </si>
  <si>
    <t>CDP-EAA9EA5</t>
  </si>
  <si>
    <t>2024 Donruss Cade Stover #304 Houston Texans</t>
  </si>
  <si>
    <t>CDP-1964986</t>
  </si>
  <si>
    <t>2024 Donruss Jonathon Brooks #WH6 Carolina Panthers</t>
  </si>
  <si>
    <t>CDP-341D700</t>
  </si>
  <si>
    <t>2024 Donruss Jaylen Wright #TR-30 Miami Dolphins</t>
  </si>
  <si>
    <t>CDP-F53698E</t>
  </si>
  <si>
    <t>2024 Panini Absolute Jaylen Wright #I-JWT Miami Dolphins</t>
  </si>
  <si>
    <t>CDP-9A41A7F</t>
  </si>
  <si>
    <t>2024 Topps Chrome Ladd McConkey #212 Los Angeles Chargers</t>
  </si>
  <si>
    <t>CDP-D4446A3</t>
  </si>
  <si>
    <t>2024 Donruss Roman Wilson #23 Pittsburgh Steelers</t>
  </si>
  <si>
    <t>CDP-40EEE38</t>
  </si>
  <si>
    <t>2024 Donruss Bucky Irving #6 Tampa Bay Buccaneers</t>
  </si>
  <si>
    <t>CDP-9A2B9BB</t>
  </si>
  <si>
    <t>2024 Panini Absolute Trey Benson #I-TBN Arizona Cardinals</t>
  </si>
  <si>
    <t>CDP-30D255F</t>
  </si>
  <si>
    <t>2024 Topps Chrome Cade Stover #236 Houston Texans</t>
  </si>
  <si>
    <t>CDP-8154BE6</t>
  </si>
  <si>
    <t>2024 Topps Finest Dillon Johnson #72 Carolina Panthers</t>
  </si>
  <si>
    <t>CDP-D0E31D0</t>
  </si>
  <si>
    <t>2025 Sage High Series Football All Rookie Team Purple Cam Ward #163 Miami</t>
  </si>
  <si>
    <t>CDP-65A74AC</t>
  </si>
  <si>
    <t>2024 Donruss Optic Ja'Marr Chase #40 Cincinnati Bengals</t>
  </si>
  <si>
    <t>CDP-D3D98EA</t>
  </si>
  <si>
    <t>2024 Panini Absolute Jalen McMillan #I-JMN Tampa Bay Buccaneers</t>
  </si>
  <si>
    <t>CDP-5A307AA</t>
  </si>
  <si>
    <t>2024 Topps Chrome Luke McCaffrey #244 Washington Commanders</t>
  </si>
  <si>
    <t>FB-1306</t>
  </si>
  <si>
    <t>2024 Donruss Optic Ja'Tavion Sanders #244 Carolina Panthers</t>
  </si>
  <si>
    <t>CDP-32F31EA</t>
  </si>
  <si>
    <t>2024 Donruss Ja'Tavion Sanders #317 Carolina Panthers</t>
  </si>
  <si>
    <t>CDP-FC502D0</t>
  </si>
  <si>
    <t>2024 Bowman University Chrome DJ Lagway #63 Florida Gators</t>
  </si>
  <si>
    <t>CDP-C96B1FB</t>
  </si>
  <si>
    <t>2024 Bowman University Chrome Ashton Jeanty #17 Boise State Broncos</t>
  </si>
  <si>
    <t>CDP-09FD1A5</t>
  </si>
  <si>
    <t>2024 Bowman University Chrome Cameron Ward #38 Miami Hurricanes</t>
  </si>
  <si>
    <t>CDP-FF7FC19</t>
  </si>
  <si>
    <t>2024 Bowman University Chrome Jacob Manu #81 Arizona Wildcats</t>
  </si>
  <si>
    <t>FB-1337</t>
  </si>
  <si>
    <t>2024 Donruss Optic Cade Stover #218 Houston Texans</t>
  </si>
  <si>
    <t>FB-1327</t>
  </si>
  <si>
    <t>2024 Donruss Optic Xavier Worthy #300 Kansas City Chiefs</t>
  </si>
  <si>
    <t>FB-1345</t>
  </si>
  <si>
    <t>2024 Donruss Optic Joe Mixon #77 Houston Texans</t>
  </si>
  <si>
    <t>FB-1343</t>
  </si>
  <si>
    <t>2024 Panini Illusions Patrick Mahomes II #42 Kansas City Chiefs</t>
  </si>
  <si>
    <t>CDP-F2D52F8</t>
  </si>
  <si>
    <t>2024 Panini Absolute Keon Coleman #BS-KCN Buffalo Bills</t>
  </si>
  <si>
    <t>CDP-548D5FE</t>
  </si>
  <si>
    <t>2024 Topps Resurgence Malachi Corley #V-16 New York Jets</t>
  </si>
  <si>
    <t>FB-1328</t>
  </si>
  <si>
    <t>2024 Donruss Optic Michael Pratt #280 Tampa Bay Buccaneers</t>
  </si>
  <si>
    <t>FB-1344</t>
  </si>
  <si>
    <t>2024 Donruss Quinyon Mitchell #361 Philadelphia Eagles</t>
  </si>
  <si>
    <t>FB-1333</t>
  </si>
  <si>
    <t>2024 Donruss Jalen McMillan #388 Tampa Bay Buccaneers</t>
  </si>
  <si>
    <t>FB-1313</t>
  </si>
  <si>
    <t>FB-1312</t>
  </si>
  <si>
    <t>2024 Donruss Optic Anthony Gould #205 Indianapolis Colts</t>
  </si>
  <si>
    <t>FB-1323</t>
  </si>
  <si>
    <t>2024 Topps Resurgence Blake Corum #V-18 Los Angeles Rams</t>
  </si>
  <si>
    <t>FB-1325</t>
  </si>
  <si>
    <t>2024 Topps Resurgence Ricky Pearsall #CB-4 San Francisco 49ers</t>
  </si>
  <si>
    <t>FB-1324</t>
  </si>
  <si>
    <t>2024 Panini Illusions Rome Odunze #14 Chicago Bears</t>
  </si>
  <si>
    <t>CDP-18A91B3</t>
  </si>
  <si>
    <t>2024 Bowman University Chrome KJ Jefferson #116 UCF Knights</t>
  </si>
  <si>
    <t>FB-1338</t>
  </si>
  <si>
    <t>2024 Panini Absolute Luke McCaffrey #SG-LMY Washington Commanders</t>
  </si>
  <si>
    <t>CDP-F90EE68</t>
  </si>
  <si>
    <t>2024 Donruss Optic Michael Penix Jr. #279 Atlanta Falcons</t>
  </si>
  <si>
    <t>FB-1311</t>
  </si>
  <si>
    <t>2024 Bowman University Chrome Kalel Mullings #106 Michigan Wolverines</t>
  </si>
  <si>
    <t>FB-1336</t>
  </si>
  <si>
    <t>2024 Bowman University Chrome Noah Fifita #140 Arizona Wildcats</t>
  </si>
  <si>
    <t>FB-1341</t>
  </si>
  <si>
    <t>2024 Topps Resurgence MarShawn Lloyd #V-20 Green Bay Packers</t>
  </si>
  <si>
    <t>FB-1330</t>
  </si>
  <si>
    <t>2024 Donruss Optic Trey Benson #293 Arizona Cardinals</t>
  </si>
  <si>
    <t>FB-1451, FB-1326</t>
  </si>
  <si>
    <t>2024 Panini Prizm Jalen McMillan #338 Tampa Bay Buccaneers</t>
  </si>
  <si>
    <t>FB-1317</t>
  </si>
  <si>
    <t>2022 Leaf Draft Kenneth Walker III #B-KW2 Michigan State Spartans</t>
  </si>
  <si>
    <t>FB-1331</t>
  </si>
  <si>
    <t>2024 Donruss Optic Devin Culp #226 Tampa Bay Buccaneers</t>
  </si>
  <si>
    <t>FB-1320</t>
  </si>
  <si>
    <t>2024 Panini Absolute Joe Milton III #197 New England Patriots</t>
  </si>
  <si>
    <t>FB-1332</t>
  </si>
  <si>
    <t>2024 Donruss Optic Adisa Isaac #202 Baltimore Ravens</t>
  </si>
  <si>
    <t>FB-1310</t>
  </si>
  <si>
    <t>2024 Bowman University Chrome Rod Moore #31 Michigan Wolverines</t>
  </si>
  <si>
    <t>CDP-9204C73</t>
  </si>
  <si>
    <t>2024 Panini Prizm Draft Picks Blake Corum #128 Michigan Wolverines</t>
  </si>
  <si>
    <t>CDP-C219B0D</t>
  </si>
  <si>
    <t>2024 Bowman University Chrome Cade Klubnik #35 Clemson Tigers</t>
  </si>
  <si>
    <t>CDP-829C853</t>
  </si>
  <si>
    <t>2024 Bowman University Chrome Nick Singleton #188 Penn State Nittany Lions</t>
  </si>
  <si>
    <t>CDP-F76661E</t>
  </si>
  <si>
    <t>2024 Bowman University Chrome Ricky White III #153 UNLV Rebels</t>
  </si>
  <si>
    <t>CDP-8868CCC</t>
  </si>
  <si>
    <t>2024 Bowman University Chrome Nic Scourton #137 Texas A&amp;M Aggies</t>
  </si>
  <si>
    <t>CDP-88D0D7B</t>
  </si>
  <si>
    <t>2024 Panini Prizm Draft Picks Cooper Dejean #113 Iowa Hawkeyes</t>
  </si>
  <si>
    <t>CDP-D21C764</t>
  </si>
  <si>
    <t>CDP-6F32C0E</t>
  </si>
  <si>
    <t>2024 Bowman University Chrome Trey Moore #178 Texas Longhorns</t>
  </si>
  <si>
    <t>CDP-87D3955</t>
  </si>
  <si>
    <t>CDP-B6E37D3</t>
  </si>
  <si>
    <t>2024 Panini Illusions J.J. McCarthy #100 Minnesota Vikings</t>
  </si>
  <si>
    <t>CDP-EDC9CF8</t>
  </si>
  <si>
    <t>2024 Panini Prizm Draft Picks Ja'Tavion Sanders #NR-JSS Texas Longhorns</t>
  </si>
  <si>
    <t>CDP-2BA311E</t>
  </si>
  <si>
    <t>2024 Bowman University Chrome Will Pauling #184 Wisconsin Badgers</t>
  </si>
  <si>
    <t>CDP-DD149B0</t>
  </si>
  <si>
    <t>2024 Panini Prizm Draft Picks Michael Penix Jr. #101 Washington Huskies</t>
  </si>
  <si>
    <t>CDP-DA6F2C4</t>
  </si>
  <si>
    <t>2024 Bowman University Chrome Walker White #85 Auburn Tigers</t>
  </si>
  <si>
    <t>CDP-113C1B3</t>
  </si>
  <si>
    <t>2024 Bowman University Chrome CJ Daniels #150 LSU Tigers</t>
  </si>
  <si>
    <t>CDP-7322DB5</t>
  </si>
  <si>
    <t>2024 Bowman University Chrome Noah Fifita #55B-12 Arizona Wildcats</t>
  </si>
  <si>
    <t>CDP-B963779</t>
  </si>
  <si>
    <t>2024 Panini Prizm Draft Picks Joe Alt #110 Notre Dame Fighting Irish</t>
  </si>
  <si>
    <t>CDP-B19A9AD</t>
  </si>
  <si>
    <t>2024 Panini Prizm Draft Picks Patrick Mahomes II #61 Texas Tech Red Raiders</t>
  </si>
  <si>
    <t>CDP-12F5A76</t>
  </si>
  <si>
    <t>2024 Topps Resurgence Ladd McConkey #CB-7 Los Angeles Chargers</t>
  </si>
  <si>
    <t>CDP-8C15BB9</t>
  </si>
  <si>
    <t>2024 Donruss Optic Dallas Turner #14 Minnesota Vikings</t>
  </si>
  <si>
    <t>CDP-65F9415</t>
  </si>
  <si>
    <t>2025 SAGE HIT Ashton Jeanty #111 Boise State Broncos</t>
  </si>
  <si>
    <t>CDP-BB6BBEC</t>
  </si>
  <si>
    <t>2024 Topps Resurgence Tom Brady #67 New England Patriots</t>
  </si>
  <si>
    <t>CDP-B61D1C4</t>
  </si>
  <si>
    <t>2024 Donruss Optic Malik Washington #272 Miami Dolphins</t>
  </si>
  <si>
    <t>CDP-41C2262</t>
  </si>
  <si>
    <t>2024 Donruss Optic Kool-Aid McKinstry #264 New Orleans Saints</t>
  </si>
  <si>
    <t>CDP-A15A916</t>
  </si>
  <si>
    <t>2024 Topps Resurgence Barry Sanders #GG-10 Detroit Lions</t>
  </si>
  <si>
    <t>CDP-9F405E4</t>
  </si>
  <si>
    <t>2024 Donruss Optic Jermaine Burton #251 Cincinnati Bengals</t>
  </si>
  <si>
    <t>CDP-3B2A88D</t>
  </si>
  <si>
    <t>2024 Donruss Optic Brock Bowers #215 Las Vegas Raiders</t>
  </si>
  <si>
    <t>CDP-2AED6FA</t>
  </si>
  <si>
    <t>2024 Donruss Optic Trey Benson #15 Arizona Cardinals</t>
  </si>
  <si>
    <t>CDP-266C7B1</t>
  </si>
  <si>
    <t>2024 Topps Resurgence Tom Brady #C-11 Tampa Bay Buccaneers</t>
  </si>
  <si>
    <t>CDP-F393B09</t>
  </si>
  <si>
    <t>2024 Panini Absolute Brock Bowers #113 Las Vegas Raiders</t>
  </si>
  <si>
    <t>CDP-EF8BCD3</t>
  </si>
  <si>
    <t>2024 Donruss Optic Kyler Murray #1 Arizona Cardinals</t>
  </si>
  <si>
    <t>CDP-0262F9E</t>
  </si>
  <si>
    <t>2025 SAGE HIT Ashton Jeanty #162 Boise State Broncos</t>
  </si>
  <si>
    <t>CDP-C11247B</t>
  </si>
  <si>
    <t>2024 Topps Chrome Jacob Cowing #285 San Francisco 49ers</t>
  </si>
  <si>
    <t>CDP-66BDAA0</t>
  </si>
  <si>
    <t>2024 Topps Resurgence Jalen McMillan #CB-17 Tampa Bay Buccaneers</t>
  </si>
  <si>
    <t>CDP-725E55E</t>
  </si>
  <si>
    <t>2024 Donruss Optic Ja'Tavion Sanders #9 Carolina Panthers</t>
  </si>
  <si>
    <t>CDP-73EB3C6</t>
  </si>
  <si>
    <t>2024 Donruss Optic Ennis Rakestraw Jr. #232 Detroit Lions</t>
  </si>
  <si>
    <t>CDP-2878B36</t>
  </si>
  <si>
    <t>2024 Donruss Optic Brian Thomas Jr. #19 Jacksonville Jaguars</t>
  </si>
  <si>
    <t>CDP-E94D590</t>
  </si>
  <si>
    <t>2024 Donruss Optic DK Metcalf #10 Seattle Seahawks</t>
  </si>
  <si>
    <t>CDP-090735B</t>
  </si>
  <si>
    <t>2024 Topps Resurgence - Terrell Davis #33 Yellow Surge Refractor /225 Broncos</t>
  </si>
  <si>
    <t>CDP-4F1CA9A</t>
  </si>
  <si>
    <t>2024 Topps Resurgence - Richard Dent #16 Aqua Surge Refractor /249 Bears</t>
  </si>
  <si>
    <t>CDP-DAAFD45</t>
  </si>
  <si>
    <t>2024 Panini Donruss Optic - Hidden Potential Nate Wiggins #20 (RC) Ravens</t>
  </si>
  <si>
    <t>CDP-B06EABC</t>
  </si>
  <si>
    <t>2024 Panini Donruss Optic #266 Ladd McConkey Rated Rookie RC Chargers</t>
  </si>
  <si>
    <t>CDP-713BB1A</t>
  </si>
  <si>
    <t>2024 Topps Resurgence - Conductors Michael Pratt #C-10 (RC) /249</t>
  </si>
  <si>
    <t>CDP-8AA78EC</t>
  </si>
  <si>
    <t>2024 Panini Donruss Optic - Brandon Aiyuk #173 Fire Prizm 49'ERS</t>
  </si>
  <si>
    <t>CDP-C7D5C43</t>
  </si>
  <si>
    <t>2024 Panini Absolute - Introductions J.J. McCarthy #I-JMY (RC)</t>
  </si>
  <si>
    <t>CDP-94027E1</t>
  </si>
  <si>
    <t>2024 Donruss Optic Adonai Mitchell Rookie #203 Colts</t>
  </si>
  <si>
    <t>FB-1319</t>
  </si>
  <si>
    <t>2024 Topps Resurgence - Rookies Jalen McMillan #189 (RC)</t>
  </si>
  <si>
    <t>CDP-7D65E00</t>
  </si>
  <si>
    <t>2024 Bowman University Chrome - Kris Mitchell #117 (RC) Notre Dame</t>
  </si>
  <si>
    <t>CDP-E281865</t>
  </si>
  <si>
    <t>2024 Donruss Optic -Dallas Turner Minnesota Vikings #224 Rookie Base</t>
  </si>
  <si>
    <t>CDP-395BF73</t>
  </si>
  <si>
    <t>2024 Panini Donruss - Rated Rookie Jamari Thrash #376 Optic Red Wave Prizm (RC)</t>
  </si>
  <si>
    <t>CDP-F5B86B0</t>
  </si>
  <si>
    <t>2024 Topps Chrome Football TOM BRADY #120 Base - New England Patriots</t>
  </si>
  <si>
    <t>CDP-B8D6F75</t>
  </si>
  <si>
    <t>2024 Donruss Optic Raheem Mostert #121 Red /125 Dolphins</t>
  </si>
  <si>
    <t>FB-1384</t>
  </si>
  <si>
    <t>2024 Panini Prizm Draft Picks Keon Coleman #120 /149 Purple Ice Bills</t>
  </si>
  <si>
    <t>FB-1393</t>
  </si>
  <si>
    <t>2022 Panini Chronicles Drake London #GK-6 Gridiron Kings Atlanta Falcons</t>
  </si>
  <si>
    <t>FB-1387</t>
  </si>
  <si>
    <t>2024 Donruss Justin Herbert #GOS-JHE Galaxy of Stars Los Angeles Chargers</t>
  </si>
  <si>
    <t>FB-1389-A086C5F</t>
  </si>
  <si>
    <t>2024 Donruss Optic Laiatu Latu #267 Rocket Indianapolis Colts</t>
  </si>
  <si>
    <t>FB-1394</t>
  </si>
  <si>
    <t>2024 Donruss Optic Chris Olave #141 Stars New Orleans Saints</t>
  </si>
  <si>
    <t>FB-1391</t>
  </si>
  <si>
    <t>2024 Donruss Optic Terry McLaurin #196 Stars Washington Commanders</t>
  </si>
  <si>
    <t>FB-1386</t>
  </si>
  <si>
    <t>2024 Donruss Optic Allen Lazard #155 Flex /149 New York Jets</t>
  </si>
  <si>
    <t>FB-1383</t>
  </si>
  <si>
    <t>2024 Bowman U Chrome Jaydn Ott #95 Blue Mini-Diamond Refractor Golden Bears</t>
  </si>
  <si>
    <t>FB-1388</t>
  </si>
  <si>
    <t>2024 SAGE HIT Malachi Corley #A-MC2 Autographs Black (High Series)</t>
  </si>
  <si>
    <t>FB-1389</t>
  </si>
  <si>
    <t>2024 Panini Select Patrick Mahomes II #33 Kansas City Chiefs</t>
  </si>
  <si>
    <t>FB-1403</t>
  </si>
  <si>
    <t>2024 Donruss Optic Patrick Mahomes II #94 Kansas City Chiefs</t>
  </si>
  <si>
    <t>FB-1402</t>
  </si>
  <si>
    <t>2024 PANINI SELECT CJ STROUD #128 PREMIER LEVEL SILVER DIE CUT PRIZM TEXANS</t>
  </si>
  <si>
    <t>CDP-74D7F49</t>
  </si>
  <si>
    <t>2024 Donruss Brock Bowers #TR-36 The Rookies Las Vegas Raiders</t>
  </si>
  <si>
    <t>FB-1417</t>
  </si>
  <si>
    <t>2023 Panini Absolute C.J. Stroud #102 Houston Texans</t>
  </si>
  <si>
    <t>FB-1399</t>
  </si>
  <si>
    <t>2024 Panini Prizm Jared Verse #341 Orange Disco Prizm Los Angeles Rams</t>
  </si>
  <si>
    <t>i6fev</t>
  </si>
  <si>
    <t>2024 Panini Select Lamar Jackson #35 Red &amp; Blue Prizm Shock Baltimore Ravens</t>
  </si>
  <si>
    <t>i6fex</t>
  </si>
  <si>
    <t>2024 Panini Totally Certified Xavier Worthy #7 Portraits Kansas City Chiefs</t>
  </si>
  <si>
    <t>i6fey</t>
  </si>
  <si>
    <t>2023 Panini Absolute Bijan Robinson #106 Retail Atlanta Falcons</t>
  </si>
  <si>
    <t>i6ff0</t>
  </si>
  <si>
    <t>2024 Panini Absolute Brock Bowers #113 Red and Blue Las Vegas Raiders</t>
  </si>
  <si>
    <t>i6ff2</t>
  </si>
  <si>
    <t>2024 Donruss Optic Devontez Walker #228 Blue Glitter Baltimore Ravens</t>
  </si>
  <si>
    <t>i6ffe</t>
  </si>
  <si>
    <t>2024 Panini Prizm Lamar Jackson #19 Green Wave Baltimore Ravens</t>
  </si>
  <si>
    <t>i6ffq</t>
  </si>
  <si>
    <t>2024 Panini Donruss Rated Rookie Jayden Daniels #389 RC Washington Commanders 🔥</t>
  </si>
  <si>
    <t>i6ffv</t>
  </si>
  <si>
    <t>2023 Panini Prizm Bijan Robinson #F-24 Fireworks Atlanta Falcons</t>
  </si>
  <si>
    <t>i6fg2</t>
  </si>
  <si>
    <t>2022 Panini Chronicles Drake London #PB-11 Prizm Black Atlanta Falcons</t>
  </si>
  <si>
    <t>i6fg3</t>
  </si>
  <si>
    <t>2022 Pro Set Draft Brian Robinson Jr. #GP-BRJ Goin' Pro Wave Purple Tide</t>
  </si>
  <si>
    <t>i6fg6</t>
  </si>
  <si>
    <t>2024 Panini Prizm Jermaine Burton #350 Purple Wave Cincinnati Bengals</t>
  </si>
  <si>
    <t>i6fgc</t>
  </si>
  <si>
    <t>2024 Donruss Jermaine Burton #368 Optic Rated Rookies Preview Blue Scope Bengals</t>
  </si>
  <si>
    <t>i6fgd</t>
  </si>
  <si>
    <t>2023 Panini Prizm Tyler Scott #315 Lazer Chicago Bears</t>
  </si>
  <si>
    <t>i6fge</t>
  </si>
  <si>
    <t>2024 Panini Select Puka Nacua #287 Green &amp; Yellow Prizm Shock Los Angeles Rams</t>
  </si>
  <si>
    <t>i6fgp</t>
  </si>
  <si>
    <t>2024 Panini Select Jayden Daniels RC Turbocharged #12 Washington Commanders 🔥</t>
  </si>
  <si>
    <t>i6fhl</t>
  </si>
  <si>
    <t>2024 Panini Prizm Ladd McConkey #365 Los Angeles Chargers</t>
  </si>
  <si>
    <t>i6fhz</t>
  </si>
  <si>
    <t>2024 Panini Prestige Chase Brown #60 Xtra Points Signatures Premium Blue Bengals</t>
  </si>
  <si>
    <t>i6fic</t>
  </si>
  <si>
    <t>2024 Donruss Optic Michael Pratt #280 Stars Tampa Bay Buccaneers</t>
  </si>
  <si>
    <t>i6fif</t>
  </si>
  <si>
    <t>2024 Donruss Optic Erick All Jr. #233 Stars Cincinnati Bengals</t>
  </si>
  <si>
    <t>i6fig</t>
  </si>
  <si>
    <t>2024 Donruss Optic Terrion Arnold #290 Stars Detroit Lions</t>
  </si>
  <si>
    <t>i6fih</t>
  </si>
  <si>
    <t>2024 Panini Mosaic J.J. McCarthy #275 Minnesota Vikings</t>
  </si>
  <si>
    <t>i6fii</t>
  </si>
  <si>
    <t>2024 Panini Absolute J.J. McCarthy #110 Blue Minnesota Vikings</t>
  </si>
  <si>
    <t>i6fiq</t>
  </si>
  <si>
    <t>2024 Panini Absolute J.J. McCarthy #BS-JMY By Storm Minnesota Vikings</t>
  </si>
  <si>
    <t>i6fiw</t>
  </si>
  <si>
    <t>2023 Panini Select Terry McLaurin #99 Silver Prizms Die Cuts Commanders</t>
  </si>
  <si>
    <t>i6fj3</t>
  </si>
  <si>
    <t>2024 Donruss Elite Luke McCaffrey #188 Pink Washington Commanders</t>
  </si>
  <si>
    <t>i6fj5</t>
  </si>
  <si>
    <t>2022 Panini Mosaic Travis Kelce #97 Mosaic Reactive Orange Kansas City Chiefs</t>
  </si>
  <si>
    <t>i6fj9</t>
  </si>
  <si>
    <t>2023 Panini Prestige Jordan Addison Passport Signatures On Card Auto (RC) (AU)</t>
  </si>
  <si>
    <t>i6fjd</t>
  </si>
  <si>
    <t>2022 Panini Select Patrick Mahomes II #20 Kansas City Chiefs</t>
  </si>
  <si>
    <t>i6fjh</t>
  </si>
  <si>
    <t>2021-22 Bowman University J.J. McCarthy #79 Chrome Aqua Michigan Wolverines</t>
  </si>
  <si>
    <t>i6fjl</t>
  </si>
  <si>
    <t>2021 Panini Select Antonio Gibson #34 Silver Prizm Die Cut</t>
  </si>
  <si>
    <t>i6fjq</t>
  </si>
  <si>
    <t>2024 Panini Obsidian Trey Benson #RMI-TBN Rookie Materials Ink Silver</t>
  </si>
  <si>
    <t>FB-1461-i79e6</t>
  </si>
  <si>
    <t>2024 Panini Prizm Cooper DeJean #321 Green Wave Philadelphia Eagles</t>
  </si>
  <si>
    <t>i7a5d</t>
  </si>
  <si>
    <t>2021 Panini Prizm Kyler Murray #76 Light Blue Arizona Cardinals</t>
  </si>
  <si>
    <t>i7a5m</t>
  </si>
  <si>
    <t>2024 Prizm Marvin Harrison Jr. Prizmatic RC Green Rookie #12 Cardinals</t>
  </si>
  <si>
    <t>i7a5q</t>
  </si>
  <si>
    <t>2023 Panini Prizm Jahmyr Gibbs #331 Neon Green Pulsar Detroit Lions</t>
  </si>
  <si>
    <t>i7a60</t>
  </si>
  <si>
    <t>2024 Donruss Optic Jayden Daniels #248 Purple Shock Washington Commanders</t>
  </si>
  <si>
    <t>i7a63</t>
  </si>
  <si>
    <t>2024 Donruss Optic Jalen Carter #163 - 100 SP Eagles</t>
  </si>
  <si>
    <t>FB-1472-i7a6q</t>
  </si>
  <si>
    <t>2024 Topps Resurgence Audric Estimé #RPA-AE Resurgence Rookie Patch AU Broncos</t>
  </si>
  <si>
    <t>FB-1478-i7e5y</t>
  </si>
  <si>
    <t>2024 Donruss Ja'Tavion Sanders #317 Optic Rated Rookies Preview Red Pandora</t>
  </si>
  <si>
    <t>FB-1482-i7vaz</t>
  </si>
  <si>
    <t>2024 Panini Prizm Michael Pittman Jr. #123 Neon Green Pulsar Colts</t>
  </si>
  <si>
    <t>FB-1484-i7vb3</t>
  </si>
  <si>
    <t>2023 Panini Contenders Justin Herbert #59 MOJO Chargers</t>
  </si>
  <si>
    <t>FB-1486-i7vb5</t>
  </si>
  <si>
    <t>2023 Panini Contenders Brock Purdy #86 Season Ticket MOJO 49ers</t>
  </si>
  <si>
    <t>FB-1488-i7vb8</t>
  </si>
  <si>
    <t>2024 Donruss Optic Malik Washington #272 Holo Miami Dolphins</t>
  </si>
  <si>
    <t>FB-1487-i7vba</t>
  </si>
  <si>
    <t>2022 Panini Mosaic Jared Goff #64 Mosaic Camo Pink Lions</t>
  </si>
  <si>
    <t>FB-1494-i7vbg</t>
  </si>
  <si>
    <t>2020 Panini Prizm Draft Picks Jared Goff #48 Prizms Silver Golden Bears</t>
  </si>
  <si>
    <t>FB-1495-i7vbi</t>
  </si>
  <si>
    <t>2021 Panini Select Amari Cooper #111 Tri-Color Prizm Cowboys</t>
  </si>
  <si>
    <t>FB-1498-i7vbn</t>
  </si>
  <si>
    <t>2023 Panini Contenders Christian McCaffrey #87 MOJO 49ers</t>
  </si>
  <si>
    <t>FB-1499-i7vbo</t>
  </si>
  <si>
    <t>2024 Topps Chrome Update Colton Cowser #USC154 Aqua Refractors Orioles</t>
  </si>
  <si>
    <t>BB-1160-i89z9</t>
  </si>
  <si>
    <t>2024 Topps Chrome Heston Kjerstad #142 Refractors Baltimore Orioles</t>
  </si>
  <si>
    <t>FB-1164-i89zc</t>
  </si>
  <si>
    <t>2025 Bowman Travis Bazzana #BP-131 Prospects Cleveland Guardians</t>
  </si>
  <si>
    <t>FB-1165-i89ze</t>
  </si>
  <si>
    <t>2024 Panini Prizm Rhett Lowder #65 Green Ice Prizms Cincinnati Reds</t>
  </si>
  <si>
    <t>BB-1167-i89zj</t>
  </si>
  <si>
    <t>2024 Topps Heritage Cal Raleigh #217 Seattle Mariners</t>
  </si>
  <si>
    <t>BB-1168-i89zl</t>
  </si>
  <si>
    <t>2024 Bowman Chrome Jackson Merrill #27 San Diego Padres</t>
  </si>
  <si>
    <t>BB-1169-i89zq</t>
  </si>
  <si>
    <t>2021 Panini Prizm Freddie Freeman #112 Red/White/Blue Prizm Atlanta Braves</t>
  </si>
  <si>
    <t>BB-1170-i89zr</t>
  </si>
  <si>
    <t>2024 Topps Kyle Tucker #551 Rainbow Foil Houston Astros</t>
  </si>
  <si>
    <t>BB-1174-i89zw</t>
  </si>
  <si>
    <t>2024 Stadium Club Jackson Holliday #TRI-30 Triumvirates Baltimore Orioles</t>
  </si>
  <si>
    <t>BB-1175-i89zy</t>
  </si>
  <si>
    <t>2024 Topps Chrome Jackson Chourio #161 Milwaukee Brewers</t>
  </si>
  <si>
    <t>BB-1177-i8a01</t>
  </si>
  <si>
    <t>2024 Topps Series 1 Stars of MLB Insert #SMLB-21 Shohei Ohtani LA Angels</t>
  </si>
  <si>
    <t>BB-1182-i8a08</t>
  </si>
  <si>
    <t>2025 Bowman Travis Bazzana #VIP-8 Very Important Prospects Cleveland Guardians</t>
  </si>
  <si>
    <t>BB-1187-i8a0a</t>
  </si>
  <si>
    <t>2025 Bowman Coby Mayo #ROY-2 Rookie of the Year Favorites Baltimore Orioles</t>
  </si>
  <si>
    <t>BB-1186-i8a0k</t>
  </si>
  <si>
    <t>2024 Bowman University Chrome Monaray Baldwin #163 Baylor Bears</t>
  </si>
  <si>
    <t>iamew</t>
  </si>
  <si>
    <t>2025 SAGE HIT Raheim Sanders #111b Purple Gamecocks</t>
  </si>
  <si>
    <t>iamer</t>
  </si>
  <si>
    <t>2024 Bowman University Chrome Rueben Owens #76 Texas A&amp;M Aggies</t>
  </si>
  <si>
    <t>iamex</t>
  </si>
  <si>
    <t>2024 Bowman University Chrome Tory Horton #174 Colorado State Rams</t>
  </si>
  <si>
    <t>iamf5</t>
  </si>
  <si>
    <t>2025 SAGE HIT Ricky White #115 Purple UNLV Rebels</t>
  </si>
  <si>
    <t>iamf8</t>
  </si>
  <si>
    <t>2024 Finest Xavier Legette #DYN-12 Dynamos Carolina Panthers</t>
  </si>
  <si>
    <t>iamfc</t>
  </si>
  <si>
    <t>2024 Finest Terrion Arnold #52 Blue Checkerboard Refractor Detroit Lions #/99</t>
  </si>
  <si>
    <t>iamfj</t>
  </si>
  <si>
    <t>2024 Finest Chop Robinson #D-20 Debut Miami Dolphins</t>
  </si>
  <si>
    <t>iamfn</t>
  </si>
  <si>
    <t>2024 Finest Jaylen Wright #296 Miami Dolphins</t>
  </si>
  <si>
    <t>iamfw</t>
  </si>
  <si>
    <t>2024 Finest Cooper DeJean #D-30 Debut Philadelphia Eagles</t>
  </si>
  <si>
    <t>iamg3</t>
  </si>
  <si>
    <t>2024 Topps Chrome MarShawn Lloyd #251 Green Bay Packers</t>
  </si>
  <si>
    <t>iamg6</t>
  </si>
  <si>
    <t>2022 Leaf Draft Martin Emerson #BA-ME1 Autographs Bulldogs</t>
  </si>
  <si>
    <t>iamga</t>
  </si>
  <si>
    <t>2024 Topps Chrome Blake Corum #219 Los Angeles Rams</t>
  </si>
  <si>
    <t>iamgf</t>
  </si>
  <si>
    <t>2024 Finest Roman Wilson #194 Refractor Pittsburgh Steelers</t>
  </si>
  <si>
    <t>iamgn</t>
  </si>
  <si>
    <t>2024 Topps Inception Jim Everett #77 Purple Los Angeles Rams #/125</t>
  </si>
  <si>
    <t>iamgr</t>
  </si>
  <si>
    <t>2024 Finest Adonai Mitchell #D-10 Debut Indianapolis Colts</t>
  </si>
  <si>
    <t>iamgu</t>
  </si>
  <si>
    <t>2022 Leaf Draft Zion Tupuola-Fetui #BA-ZTF Autographs Washington Huskies Auto</t>
  </si>
  <si>
    <t>iamh3</t>
  </si>
  <si>
    <t>2024 Panini Contenders Laiatu Latu #25 Rookie Stallions Indianapolis Colts</t>
  </si>
  <si>
    <t>iamh5</t>
  </si>
  <si>
    <t>2024 Donruss Deebo Samuel #4 The Elite Series San Francisco 49ers</t>
  </si>
  <si>
    <t>iamha</t>
  </si>
  <si>
    <t>2024 Panini Illusions Xavier Legette #12 Carolina Panthers</t>
  </si>
  <si>
    <t>iamhc</t>
  </si>
  <si>
    <t>2024 Bowman University Chrome Leshon Williams #190 Iowa Hawkeyes</t>
  </si>
  <si>
    <t>iamhh</t>
  </si>
  <si>
    <t>2024 Bowman University Chrome Antario Brown #13 Northern Illinois Huskies</t>
  </si>
  <si>
    <t>iamhk</t>
  </si>
  <si>
    <t>2024 Bowman University Chrome Isaiah Bond #60 Texas Longhorns</t>
  </si>
  <si>
    <t>iamho</t>
  </si>
  <si>
    <t>2024 Bowman University Chrome Derrick Moore #59 Michigan Wolverines</t>
  </si>
  <si>
    <t>iamhs</t>
  </si>
  <si>
    <t>2024 Bowman University Chrome Roman Hemby #65 Maryland Terrapins</t>
  </si>
  <si>
    <t>iamhx</t>
  </si>
  <si>
    <t>JAKE GELOF 2024 Panini Prospect Edition PROSPECT TICKET AUTO #196</t>
  </si>
  <si>
    <t>BB-1062-i7p30</t>
  </si>
  <si>
    <t>2024 Panini Donruss - Rated Rookie Ja'Tavion Sanders #317 Optic Preview Red wave</t>
  </si>
  <si>
    <t>CDP-EF6C688-i7p2z</t>
  </si>
  <si>
    <t>CDP-2878B36-i7p2w</t>
  </si>
  <si>
    <t>2024 Panini Donruss - Rated Rookie Jonathon Brooks #354 Optic Preview Red  (RC)</t>
  </si>
  <si>
    <t>CDP-65EC4ED-i7p2v</t>
  </si>
  <si>
    <t>CDP-B8D6F75-i7p2t</t>
  </si>
  <si>
    <t>2024 Topps Resurgence - C.J. Stroud #41</t>
  </si>
  <si>
    <t>CDP-79A34B4-i7p2s</t>
  </si>
  <si>
    <t>2024 Panini Donruss Optic Football - Ja'Lynn Polk Card 240 Rookie</t>
  </si>
  <si>
    <t>CDP-4B1F712-i7p2r</t>
  </si>
  <si>
    <t>CDP-9239DEE-i7p2p</t>
  </si>
  <si>
    <t>2024 Topps Update Shota Imanaga #US281 Cubs</t>
  </si>
  <si>
    <t>ide1z</t>
  </si>
  <si>
    <t>2024 Topps Update Blaze Alexander #US265 Diamondbacks</t>
  </si>
  <si>
    <t>ide20</t>
  </si>
  <si>
    <t>2025 Topps Ronald Acuña Jr. #TG-16 Training Grounds Pink Foil Braves</t>
  </si>
  <si>
    <t>ide22</t>
  </si>
  <si>
    <t>2015 Panini Prizm Bobby Witt #11 Baseball Signatures Prizm Rangers Auto</t>
  </si>
  <si>
    <t>ide23</t>
  </si>
  <si>
    <t>2025 Topps Derek Jeter #CTH-17 Call to the Hall Yankees</t>
  </si>
  <si>
    <t>ide25</t>
  </si>
  <si>
    <t>2025 Topps Dillon Dingler #126 Aqua Rainbow Foil Tigers</t>
  </si>
  <si>
    <t>ide26</t>
  </si>
  <si>
    <t>2024 Bowman Draft Ivan Luciano #BD-29 Diamondbacks</t>
  </si>
  <si>
    <t>ide27</t>
  </si>
  <si>
    <t>2024 Bowman Draft Jared Serna #BDC-161 Chrome Fuchsia Lunar Refractor Marlins</t>
  </si>
  <si>
    <t>ide29</t>
  </si>
  <si>
    <t>2025 Topps Cade Povich #T90-69 1990 Topps Baseball 35th Anniversary Orioles</t>
  </si>
  <si>
    <t>ide2a</t>
  </si>
  <si>
    <t>2025 Topps Jo Adell #211 Green Rainbow Foil Angels</t>
  </si>
  <si>
    <t>ide2b</t>
  </si>
  <si>
    <t>2023 Topps Big League Wrapper Redemption Ken Waldichuk #WR-64 Gold Foil A's</t>
  </si>
  <si>
    <t>ide2c</t>
  </si>
  <si>
    <t>2022 Topps Mike Trout #27 Gold Los Angeles Angels #/2022</t>
  </si>
  <si>
    <t>ide2e</t>
  </si>
  <si>
    <t>1987 Fleer Update Greg Maddux #U-68 Chicago Cubs</t>
  </si>
  <si>
    <t>ide2d</t>
  </si>
  <si>
    <t>2024 Topps Archives Ryne Sandberg #41 Chicago Cubs</t>
  </si>
  <si>
    <t>ide2f</t>
  </si>
  <si>
    <t>2024 Topps Update Jackson Holliday #CSMLB-83 Stars of MLB Chrome Orioles</t>
  </si>
  <si>
    <t>ide2g</t>
  </si>
  <si>
    <t>2024 Bowman Draft L.P. Langevin #BD-183 Sky Blue Kansas City Royals #/499</t>
  </si>
  <si>
    <t>ide2h</t>
  </si>
  <si>
    <t>2025 Topps David Festa #T90C-90 35th Anniversary Chrome Mojo Twins</t>
  </si>
  <si>
    <t>ide2i</t>
  </si>
  <si>
    <t>2024 Topps Update Ken Griffey Jr. #89US-45 1989 Topps Baseball 35th Mariners</t>
  </si>
  <si>
    <t>ide2j</t>
  </si>
  <si>
    <t>2025 Topps Nacho Alvarez Jr. #T90C-28 35th Anniversary Chrome Mojo Braves</t>
  </si>
  <si>
    <t>ide2k</t>
  </si>
  <si>
    <t>2025 Topps Chayce McDermott #90A-CMT</t>
  </si>
  <si>
    <t>ide2m</t>
  </si>
  <si>
    <t>2025 Topps Heritage Wyatt Langford #29b Texas Rangers</t>
  </si>
  <si>
    <t>ide2n</t>
  </si>
  <si>
    <t>2025 Topps Heritage Ketel Marte #420 Arizona Diamondbacks</t>
  </si>
  <si>
    <t>ide2p</t>
  </si>
  <si>
    <t>2025 Bowman Jackson Holliday #77 Baltimore Orioles</t>
  </si>
  <si>
    <t>ide2r</t>
  </si>
  <si>
    <t>2025 Bowman Jace Jung #59 Detroit Tigers</t>
  </si>
  <si>
    <t>ide2v</t>
  </si>
  <si>
    <t>2025 Bowman David Festa #54 Minnesota Twins</t>
  </si>
  <si>
    <t>ide30</t>
  </si>
  <si>
    <t>2025 Bowman Hyeseong Kim #91 Los Angeles Dodgers</t>
  </si>
  <si>
    <t>ide34</t>
  </si>
  <si>
    <t>2025 Bowman Luis Pena #BP-38 Prospects Milwaukee Brewers</t>
  </si>
  <si>
    <t>ide37</t>
  </si>
  <si>
    <t>2025 Bowman Juan Soto #22 New York Mets</t>
  </si>
  <si>
    <t>ide3l</t>
  </si>
  <si>
    <t>2025 Bowman Aaron Judge #99 New York Yankees</t>
  </si>
  <si>
    <t>ide3f</t>
  </si>
  <si>
    <t>2025 Bowman Corbin Carroll #96 Arizona Diamondbacks</t>
  </si>
  <si>
    <t>ide3n</t>
  </si>
  <si>
    <t>2020 Bowman Mike Trout #1 Los Angeles Angels</t>
  </si>
  <si>
    <t>ide3p</t>
  </si>
  <si>
    <t>2019 Bowman Mike Trout #1 Los Angeles Angels</t>
  </si>
  <si>
    <t>ide3q</t>
  </si>
  <si>
    <t>2020 Topps Update Mike Trout #U-119 Los Angeles Angels</t>
  </si>
  <si>
    <t>ide3r</t>
  </si>
  <si>
    <t>2024 Panini Prospect Edition Griff O’Ferrall #17 Domination Blue Orioles /99</t>
  </si>
  <si>
    <t>ide3s</t>
  </si>
  <si>
    <t>2025 Bowman Tarik Skubal #20 Detroit Tigers</t>
  </si>
  <si>
    <t>ide3t</t>
  </si>
  <si>
    <t>2025 Topps Los Angeles Angels #85 Blue Holo Foil Los Angeles Angels #/150</t>
  </si>
  <si>
    <t>ide3u</t>
  </si>
  <si>
    <t>2025 Topps Elly De La Cruz #GH-28 2024 Greatest Hits Cincinnati Reds</t>
  </si>
  <si>
    <t>ide3v</t>
  </si>
  <si>
    <t>2025 Topps Bo Jackson #T90-62 35th  Royals</t>
  </si>
  <si>
    <t>ide3w</t>
  </si>
  <si>
    <t>2024 Panini Prospect Edition Alex Clemmey #200 Purple Nationals Auto</t>
  </si>
  <si>
    <t>ide3y</t>
  </si>
  <si>
    <t>2025 Topps Pete Alonso #T90-30 New York Mets</t>
  </si>
  <si>
    <t>ide3z</t>
  </si>
  <si>
    <t>2024 Panini Prospect Edition Ivan Luciano #103 Arizona Diamondbacks</t>
  </si>
  <si>
    <t>ide41</t>
  </si>
  <si>
    <t>2013 Topps Allen &amp; Ginter Rod Carew #167 Angels</t>
  </si>
  <si>
    <t>ide42</t>
  </si>
  <si>
    <t>2025 Topps Shota Imanaga #SMLB-26 Stars of MLB Chicago Cubs</t>
  </si>
  <si>
    <t>ide43</t>
  </si>
  <si>
    <t>2025 Topps Fernando Tatis Jr. #SMLB-4 Stars of MLB San Diego Padres</t>
  </si>
  <si>
    <t>ide44</t>
  </si>
  <si>
    <t>2021 Panini Diamond Kings Mike Trout #83 Los Angeles Angels</t>
  </si>
  <si>
    <t>ide47</t>
  </si>
  <si>
    <t>2024 Bowman Draft George Lombard Jr. #BD-118 New York Yankees</t>
  </si>
  <si>
    <t>ide48</t>
  </si>
  <si>
    <t>2024 Bowman Draft Kyle Teel #BDC-162 Chrome Boston Red Sox</t>
  </si>
  <si>
    <t>ide49</t>
  </si>
  <si>
    <t>2024 Bowman Draft Joswa Lugo #BDC-93 Chrome Refractor Los Angeles Angels</t>
  </si>
  <si>
    <t>ide4a</t>
  </si>
  <si>
    <t>2024 Bowman Draft Aaron Parker #BD-160 Toronto Blue Jays</t>
  </si>
  <si>
    <t>ide4b</t>
  </si>
  <si>
    <t>2024 Topps Archives Ranger Suárez #06OTG-16 Own the Game Phillies</t>
  </si>
  <si>
    <t>ide4c</t>
  </si>
  <si>
    <t>2024 Panini Prospect Edition George Lombard Jr. #36 New York Yankees</t>
  </si>
  <si>
    <t>ide4d</t>
  </si>
  <si>
    <t>2025 Topps Bryce Harper #T90C-14 35th Anniversary Chrome Mojo Phillies</t>
  </si>
  <si>
    <t>ide4e</t>
  </si>
  <si>
    <t>2025 Bowman Dylan Crews #ROY-1 Rookie of the Year Favorites Washington Nationals</t>
  </si>
  <si>
    <t>ide4f</t>
  </si>
  <si>
    <t>2025 Panini Stars and Stripes Devin Diaz #NTS-DD Signatures Materials Auto</t>
  </si>
  <si>
    <t>ide4g</t>
  </si>
  <si>
    <t>2025 Bowman Mookie Betts #16 Yellow Los Angeles Dodgers</t>
  </si>
  <si>
    <t>ide4i</t>
  </si>
  <si>
    <t>ide4j</t>
  </si>
  <si>
    <t>2025 Panini Stars and Stripes USA Baseball Peyton Lopez #117 Speckle</t>
  </si>
  <si>
    <t>ide4k</t>
  </si>
  <si>
    <t>2025 Topps Cade Povich #25 Baltimore Orioles</t>
  </si>
  <si>
    <t>ide4l</t>
  </si>
  <si>
    <t>2024 Topps Archives Colt Keith #99NB-13 1999 Topps Baseball New Breed Tigers</t>
  </si>
  <si>
    <t>ide4m</t>
  </si>
  <si>
    <t>2024 Panini Contenders Ricky Pearsall #15 Draft Class Contenders 49ers</t>
  </si>
  <si>
    <t>ie8gy</t>
  </si>
  <si>
    <t>2024 Panini Contenders Xavier Legette #16 Rookie Stallions Carolina Panthers</t>
  </si>
  <si>
    <t>ie8gz</t>
  </si>
  <si>
    <t>2024 Panini Contenders Zaire Franklin #44 Indianapolis Colts</t>
  </si>
  <si>
    <t>ie8h0</t>
  </si>
  <si>
    <t>2024 Panini Contenders Dalton Kincaid #12 Buffalo Bills</t>
  </si>
  <si>
    <t>ie8h2</t>
  </si>
  <si>
    <t>2024 Panini Contenders Chris Olave #70 New Orleans Saints</t>
  </si>
  <si>
    <t>ie8h4</t>
  </si>
  <si>
    <t>2024 Panini Contenders Joe Burrow #20 Cincinnati Bengals</t>
  </si>
  <si>
    <t>ie8h5</t>
  </si>
  <si>
    <t>2024 Panini Contenders Aaron Rodgers #78 New York Jets</t>
  </si>
  <si>
    <t>ie8h6</t>
  </si>
  <si>
    <t>2024 Panini Contenders Christian Watson #36</t>
  </si>
  <si>
    <t>ie8h8</t>
  </si>
  <si>
    <t>2024 Panini Contenders Rachaad White #94 Season Ticket Buccaneers</t>
  </si>
  <si>
    <t>ie8h9</t>
  </si>
  <si>
    <t>2024 Panini Contenders Kendrick Bourne #69 Season Ticket Patriots</t>
  </si>
  <si>
    <t>ie8ha</t>
  </si>
  <si>
    <t>2024 Panini Contenders Gardner Minshew II #53 Season Ticket Raiders</t>
  </si>
  <si>
    <t>ie8hc</t>
  </si>
  <si>
    <t>2024 Panini Contenders Micah Parsons #27 Cowboys</t>
  </si>
  <si>
    <t>ie8hd</t>
  </si>
  <si>
    <t>2024 Panini Contenders Jonathan Taylor #43 Indianapolis Colts</t>
  </si>
  <si>
    <t>ie8he</t>
  </si>
  <si>
    <t>2024 Panini Contenders James Conner #2 Season Ticket Retail Arizona Cardinals</t>
  </si>
  <si>
    <t>ie8hf</t>
  </si>
  <si>
    <t>2024 Panini Contenders Tua Tagovailoa #61 Dolphins</t>
  </si>
  <si>
    <t>ie8hh</t>
  </si>
  <si>
    <t>2024 Panini Contenders Josh Jacobs #35 Green Bay Packers</t>
  </si>
  <si>
    <t>ie8hj</t>
  </si>
  <si>
    <t>2024 Panini Contenders Mike Evans #93 Season Ticket Retail Tampa Bay Buccaneers</t>
  </si>
  <si>
    <t>ie8hk</t>
  </si>
  <si>
    <t>2024 Panini Contenders James Cook #10 Buffalo Bills</t>
  </si>
  <si>
    <t>ie8hl</t>
  </si>
  <si>
    <t>2024 Panini Contenders Trey McBride #1 Season Ticket Retail Arizona Cardinals</t>
  </si>
  <si>
    <t>ie8hn</t>
  </si>
  <si>
    <t>2024 Panini Contenders Kyren Williams #60 Season Ticket Retail Los Angeles Rams</t>
  </si>
  <si>
    <t>ie8ho</t>
  </si>
  <si>
    <t>2024 Panini Contenders Trey Hendrickson #19 Season Ticket Bengals</t>
  </si>
  <si>
    <t>ie8hq</t>
  </si>
  <si>
    <t>2024 Panini Contenders Garrett Wilson #77 Season Ticket Retail New York Jets</t>
  </si>
  <si>
    <t>ie8hr</t>
  </si>
  <si>
    <t>2024 Panini Contenders George Karlaftis #51 Chiefs</t>
  </si>
  <si>
    <t>ie8hs</t>
  </si>
  <si>
    <t>2024 Panini Contenders Baker Mayfield #92 Mojo Tampa Bay Buccaneers</t>
  </si>
  <si>
    <t>ie8ht</t>
  </si>
  <si>
    <t>2024 Panini Contenders Breece Hall #76 Mojo Jets</t>
  </si>
  <si>
    <t>ie8hu</t>
  </si>
  <si>
    <t>2024 Panini Contenders Aidan Hutchinson #34 Season Ticket Mojo Detroit Lions</t>
  </si>
  <si>
    <t>ie8hw</t>
  </si>
  <si>
    <t>2024 Panini Contenders Kyler Murray #3 Mojo Cardinals</t>
  </si>
  <si>
    <t>ie8hx</t>
  </si>
  <si>
    <t>2024 Panini Contenders DJ Moore #18 Chicago Bears</t>
  </si>
  <si>
    <t>ie8hy</t>
  </si>
  <si>
    <t>2024 Topps Archives Bryce Harper #95ATB-19 Traded &amp; Rookies At the Break</t>
  </si>
  <si>
    <t>iep79</t>
  </si>
  <si>
    <t>2024 Panini Prospect Edition Kaelen Culpepper #9 Prepping For The Pros Twins</t>
  </si>
  <si>
    <t>iep7g</t>
  </si>
  <si>
    <t>2024 Topps Archives Ted Williams #202 Boston Red Sox</t>
  </si>
  <si>
    <t>iep7m</t>
  </si>
  <si>
    <t>2024 Panini Prospect Edition Kendall George #137 Los Angeles Dodgers</t>
  </si>
  <si>
    <t>iep7v</t>
  </si>
  <si>
    <t>2024 Panini Prospect Edition Alonzo Tredwell #12 Houston Astros</t>
  </si>
  <si>
    <t>iep7y</t>
  </si>
  <si>
    <t>2024 Panini Prospect Edition Mitch Jebb #89 Pittsburgh Pirates</t>
  </si>
  <si>
    <t>iep82</t>
  </si>
  <si>
    <t>2024 Panini Prospect Edition Joe Vetrano #47 Los Angeles Dodgers</t>
  </si>
  <si>
    <t>iep84</t>
  </si>
  <si>
    <t>2024 Panini Prospect Edition Blake Burke #18 Milwaukee Brewers</t>
  </si>
  <si>
    <t>iep88</t>
  </si>
  <si>
    <t>2024 Panini Prospect Edition Cade Denton #142 Colorado Rockies</t>
  </si>
  <si>
    <t>iep8d</t>
  </si>
  <si>
    <t>2024 Panini Prospect Edition Angel Martinez #32 Cleveland Guardians</t>
  </si>
  <si>
    <t>iep8k</t>
  </si>
  <si>
    <t>2024 Panini Prospect Edition Chase Allsup #75 Baltimore Orioles</t>
  </si>
  <si>
    <t>iep8x</t>
  </si>
  <si>
    <t>2024 Bowman Draft Jacob Cozart #BDC-30 Chrome Cleveland Guardians</t>
  </si>
  <si>
    <t>iep98</t>
  </si>
  <si>
    <t>2024 Bowman Draft Ryan Sloan #BDC-99 Chrome Seattle Mariners</t>
  </si>
  <si>
    <t>iep9x</t>
  </si>
  <si>
    <t>2024 Bowman Draft Jose Perdomo #BDC-200 Chrome Refractor Atlanta Braves</t>
  </si>
  <si>
    <t>iepa7</t>
  </si>
  <si>
    <t>2025 Topps Heritage Taj Bradley #298 Chrome Light Blue Sparkle Refractor Rays</t>
  </si>
  <si>
    <t>iepbi</t>
  </si>
  <si>
    <t>2024 Bowman Draft Chandler Welch #BD-103 Milwaukee Brewers</t>
  </si>
  <si>
    <t>ieped</t>
  </si>
  <si>
    <t>2024 Bowman Draft Pablo Guerrero #BD-178 Texas Rangers</t>
  </si>
  <si>
    <t>iepek</t>
  </si>
  <si>
    <t>2025 Panini Stars and Stripes USA Baseball Gavin Grahovac #7 Stars</t>
  </si>
  <si>
    <t>iepep</t>
  </si>
  <si>
    <t>2025 Topps Riley Greene #T90-44 1990 Tigers</t>
  </si>
  <si>
    <t>iephm</t>
  </si>
  <si>
    <t>2025 Topps Fernando Tatis Jr. #GH-9 2024 Greatest Hits San Diego Padres</t>
  </si>
  <si>
    <t>iephn</t>
  </si>
  <si>
    <t>2025 Topps Freddie Freeman #239 Los Angeles Dodgers</t>
  </si>
  <si>
    <t>iephp</t>
  </si>
  <si>
    <t>2025 Topps Michael Busch #263 Sandglitter Chicago Cubs</t>
  </si>
  <si>
    <t>iephs</t>
  </si>
  <si>
    <t>2025 Topps Heritage Kyle Tucker #227 Dark Blue Chicago Cubs</t>
  </si>
  <si>
    <t>iephu</t>
  </si>
  <si>
    <t>2024 Panini Prizm Sophie Cunningham #117 WNBA Cracked Ice Prizm Mercury</t>
  </si>
  <si>
    <t>CDP-C0A7187</t>
  </si>
  <si>
    <t>2024 Donruss Optic Roman Wilson #285 Pittsburgh Steelers</t>
  </si>
  <si>
    <t>igl5b</t>
  </si>
  <si>
    <t>2024 Donruss Ja'Lynn Polk #373 New England Patriots</t>
  </si>
  <si>
    <t>igl5c</t>
  </si>
  <si>
    <t>2024 Donruss Brian Thomas Jr. #313 Jacksonville Jaguars</t>
  </si>
  <si>
    <t>igl5e</t>
  </si>
  <si>
    <t>2024 Panini Absolute Adonai Mitchell #151 Indianapolis Colts</t>
  </si>
  <si>
    <t>igl5f</t>
  </si>
  <si>
    <t>2024 Panini Prizm Brenden Rice #313 Los Angeles Chargers</t>
  </si>
  <si>
    <t>igl5g</t>
  </si>
  <si>
    <t>2024 Panini Prizm Devin Culp #326 Tampa Bay Buccaneers</t>
  </si>
  <si>
    <t>igl5h</t>
  </si>
  <si>
    <t>2024 Panini Prizm Will Shipley #397 Philadelphia Eagles</t>
  </si>
  <si>
    <t>igl5k</t>
  </si>
  <si>
    <t>2024 Panini Prizm Jamari Thrash #340 Cleveland Browns</t>
  </si>
  <si>
    <t>igl5l</t>
  </si>
  <si>
    <t>2024 Topps Chrome CJ Stroud #83 Houston Texans</t>
  </si>
  <si>
    <t>igl5m</t>
  </si>
  <si>
    <t>2024 Donruss Ladd McConkey #39 Retro 1994 Los Angeles Chargers</t>
  </si>
  <si>
    <t>igl5o</t>
  </si>
  <si>
    <t>2025 SAGE HIT Donte Kent #A-DK Autographs Chippewas Auto</t>
  </si>
  <si>
    <t>igl5q</t>
  </si>
  <si>
    <t>2025 SAGE HIT Silas Bolden #A-SB Autographs Longhorns Auto</t>
  </si>
  <si>
    <t>igl5s</t>
  </si>
  <si>
    <t>2024 Topps Chrome Tony Boselli #92 Sepia Refractor Jacksonville Jaguars</t>
  </si>
  <si>
    <t>igl5v</t>
  </si>
  <si>
    <t>2024 Donruss Ladd McConkey #328 Los Angeles Chargers</t>
  </si>
  <si>
    <t>igl5w</t>
  </si>
  <si>
    <t>2025 SAGE HIT Flip Dixon #A-FD Autographs Blue Scarlet Knights Auto</t>
  </si>
  <si>
    <t>igl5y</t>
  </si>
  <si>
    <t>2025 Bowman Jhonayker Ugarte #BCP-123 Chrome Prospects Kansas City Royals</t>
  </si>
  <si>
    <t>igo8i</t>
  </si>
  <si>
    <t>2025 Bowman Jesus Tillero #BCP-117 Chrome Prospects Los Angeles Dodgers</t>
  </si>
  <si>
    <t>igo8e</t>
  </si>
  <si>
    <t>2025 Bowman Roki Sasaki #ROY-10 Rookie of the Year Favorites Los Angeles Dodgers</t>
  </si>
  <si>
    <t>igo8h</t>
  </si>
  <si>
    <t>2024 Bowman Draft Tai Peete #BD-194 Sky Blue Seattle Mariners #/499</t>
  </si>
  <si>
    <t>igo8c</t>
  </si>
  <si>
    <t>2025 Bowman Kumar Rocker #80 Texas Rangers</t>
  </si>
  <si>
    <t>igo8a</t>
  </si>
  <si>
    <t>2025 Bowman Jakob Wright #BCP-143 Chrome Prospects Los Angeles Dodgers</t>
  </si>
  <si>
    <t>igo89</t>
  </si>
  <si>
    <t>2025 Topps Heritage Jackson Chourio #106c Milwaukee Brewers</t>
  </si>
  <si>
    <t>igo88</t>
  </si>
  <si>
    <t>2025 Topps Chris Sale #316 Confetti Atlanta Braves</t>
  </si>
  <si>
    <t>igo85</t>
  </si>
  <si>
    <t>2023 Topps Big League Gabriel Moreno #251 Arizona Diamondbacks</t>
  </si>
  <si>
    <t>igo84</t>
  </si>
  <si>
    <t>2024 Bowman Draft Zyhir Hope #BD-139 Los Angeles Dodgers</t>
  </si>
  <si>
    <t>igo83</t>
  </si>
  <si>
    <t>2025 Topps Hobby Rip Night David Ortiz #5 Boston Red Sox</t>
  </si>
  <si>
    <t>igo80</t>
  </si>
  <si>
    <t>2023 Topps Jazz Chisholm Jr. #SMLBC-10 Stars of MLB Chrome Miami Marlins</t>
  </si>
  <si>
    <t>igo7z</t>
  </si>
  <si>
    <t>2025 Topps Hobby Rip Night Jackie Robinson #8 Brooklyn Dodgers</t>
  </si>
  <si>
    <t>igo7y</t>
  </si>
  <si>
    <t>2025 Topps Hobby Rip Night Randy Johnson #4 Arizona Diamondbacks</t>
  </si>
  <si>
    <t>igo7x</t>
  </si>
  <si>
    <t>2025 Topps Hobby Rip Night Brooks Lee #14 Minnesota Twins</t>
  </si>
  <si>
    <t>igo7v</t>
  </si>
  <si>
    <t>2025 Topps Trea Turner #T90-43 1990 Topps Baseball 35th Anniversary Phillies</t>
  </si>
  <si>
    <t>igo8j</t>
  </si>
  <si>
    <t>2025 Panini Stars and Stripes USA Baseball KJ White #60</t>
  </si>
  <si>
    <t>igo8k</t>
  </si>
  <si>
    <t>2025 Topps Heritage Ryan Mountcastle #27 Dark Blue Baltimore Orioles</t>
  </si>
  <si>
    <t>igo8l</t>
  </si>
  <si>
    <t>2025 Topps NL RBI (Ohtani / Willy Adames / Manny Machado) LL, SN2025 #86</t>
  </si>
  <si>
    <t>igo8r</t>
  </si>
  <si>
    <t>2025 Topps Orelvis Martinez #18 Spring Training Toronto Blue Jays</t>
  </si>
  <si>
    <t>igo8o</t>
  </si>
  <si>
    <t>2025 Topps Jorge Alcala #336 Gold Minnesota Twins #/2025</t>
  </si>
  <si>
    <t>igo8w</t>
  </si>
  <si>
    <t>2024 Panini Select Brian Thomas Jr. #DSM-BTJ Memorabilia Prizm Jaguars /149</t>
  </si>
  <si>
    <t>FB-1604-im2yp</t>
  </si>
  <si>
    <t>2024 Panini Select Jaylen Wright #JRS-JWT Jumbo Swatch Prizm Dolphins /149</t>
  </si>
  <si>
    <t>im2yu</t>
  </si>
  <si>
    <t>2024 Donruss Optic J.J. McCarthy #235 Minnesota Vikings</t>
  </si>
  <si>
    <t>FB-1609-imb9a</t>
  </si>
  <si>
    <t>2024 Panini Phoenix Luke McCaffrey #218 Lazer Washington Commanders</t>
  </si>
  <si>
    <t>FB-1610-imb9d</t>
  </si>
  <si>
    <t>2024 Donruss Dallas Turner #331 Optic Rated Rookies Preview Pink Vikings</t>
  </si>
  <si>
    <t>FB-1613-imb9m</t>
  </si>
  <si>
    <t>FB-1615-imb9o</t>
  </si>
  <si>
    <t>2024 Donruss Optic Xavier Worthy #7 Rookie Primary Colors Kansas City Chiefs</t>
  </si>
  <si>
    <t>FB-1616-imb9p</t>
  </si>
  <si>
    <t>2024 Panini Prizm Rome Odunze #9 Prizmatic Chicago Bears</t>
  </si>
  <si>
    <t>FB-1617-imb9s</t>
  </si>
  <si>
    <t>2024 Donruss Optic Joe Milton III #13 Rookie Primary Colors New England Patriots</t>
  </si>
  <si>
    <t>FB-1618-imb9t</t>
  </si>
  <si>
    <t>2024 Donruss Marvin Harrison Jr. #4 Rated Rookies Retro Arizona Cardinals</t>
  </si>
  <si>
    <t>FB-1619-imb9u</t>
  </si>
  <si>
    <t>2024 Donruss Optic Brian Thomas Jr. #214 Green Hyper Jacksonville Jaguars</t>
  </si>
  <si>
    <t>FB-1624-imba0</t>
  </si>
  <si>
    <t>2024 Panini Phoenix Brock Bowers #CON-BBS Contours Las Vegas Raiders</t>
  </si>
  <si>
    <t>FB-1631-imbab</t>
  </si>
  <si>
    <t>2024 Donruss Michael Pratt #339 Optic Rated Rookies Preview Blue Scope Packers</t>
  </si>
  <si>
    <t>FB-1632-imbaf</t>
  </si>
  <si>
    <t>2024 Panini Select Brian Thomas Jr. #11 Phenomenon Prizm Jacksonville Jaguars</t>
  </si>
  <si>
    <t>FB-1634-imban</t>
  </si>
  <si>
    <t>2024 Topps Resurgence Adonai Mitchell #139 Indianapolis Colts</t>
  </si>
  <si>
    <t>ijmrx</t>
  </si>
  <si>
    <t>2024 Topps Resurgence Laiatu Latu #141 Indianapolis Colts</t>
  </si>
  <si>
    <t>ijms8</t>
  </si>
  <si>
    <t>2024 Topps Resurgence Xavier Legette #114 Carolina Panthers</t>
  </si>
  <si>
    <t>ijmsg</t>
  </si>
  <si>
    <t>2024 Topps Resurgence Xavier Legette #V-10 Voltaic Carolina Panthers</t>
  </si>
  <si>
    <t>ijmsu</t>
  </si>
  <si>
    <t>2024 Topps Resurgence Jaylen Wright #158 Miami Dolphins</t>
  </si>
  <si>
    <t>ijmt2</t>
  </si>
  <si>
    <t>2024 Topps Resurgence Jonathon Brooks #V-14 Voltaic Carolina Panthers</t>
  </si>
  <si>
    <t>ijmt8</t>
  </si>
  <si>
    <t>2024 Panini Absolute Luke McCaffrey #176 Blue Washington Commanders</t>
  </si>
  <si>
    <t>ijmtf</t>
  </si>
  <si>
    <t>2024 Bowman University Chrome Davison Igbinosun #54 Pink Lava Refractor Buckeyes</t>
  </si>
  <si>
    <t>ijmti</t>
  </si>
  <si>
    <t>2025 SAGE HIT Raheim Sanders #165 Red South Carolina Gamecocks</t>
  </si>
  <si>
    <t>ijmto</t>
  </si>
  <si>
    <t>2025 SAGE HIT Raheim Sanders #165 Purple South Carolina Gamecocks</t>
  </si>
  <si>
    <t>ijmtz</t>
  </si>
  <si>
    <t>2025 SAGE HIT Drew Allar #147 Purple Penn State Nittany Lions</t>
  </si>
  <si>
    <t>ijmu1</t>
  </si>
  <si>
    <t>2024 Topps Resurgence Bub Means #167 White Surge New Orleans Saints #/125</t>
  </si>
  <si>
    <t>ijmu4</t>
  </si>
  <si>
    <t>2024 Topps Resurgence Spencer Rattler #166 New Orleans Saints</t>
  </si>
  <si>
    <t>ijmua</t>
  </si>
  <si>
    <t>2024 Topps Resurgence MarShawn Lloyd #132 Green Bay Packers</t>
  </si>
  <si>
    <t>ijmuf</t>
  </si>
  <si>
    <t>2024 Topps Resurgence Brenden Rice #155 Los Angeles Chargers</t>
  </si>
  <si>
    <t>ijmul</t>
  </si>
  <si>
    <t>2024 Finest Ladd McConkey #86 Los Angeles Chargers</t>
  </si>
  <si>
    <t>ijmun</t>
  </si>
  <si>
    <t>2024 Panini Prizm Will Anderson Jr. #116 Orange Disco Prizm Houston Texans</t>
  </si>
  <si>
    <t>ijmuv</t>
  </si>
  <si>
    <t>2024 Finest Spencer Rattler #64 New Orleans Saints</t>
  </si>
  <si>
    <t>ijmv0</t>
  </si>
  <si>
    <t>2024 Topps Inception Dwayne Bowe #70 Kansas City Chiefs</t>
  </si>
  <si>
    <t>ijmvd</t>
  </si>
  <si>
    <t>2024 Topps Resurgence Ja'Lynn Polk #165 New England Patriots</t>
  </si>
  <si>
    <t>ijmvh</t>
  </si>
  <si>
    <t>2024 Topps Resurgence Jaylen Wright #CB-20 Circuit Breakers Miami Dolphins</t>
  </si>
  <si>
    <t>ijmwc</t>
  </si>
  <si>
    <t>2024 Topps Resurgence Terrell Davis #33 Yellow Surge Denver Broncos #/225</t>
  </si>
  <si>
    <t>ijmww</t>
  </si>
  <si>
    <t>2024 Topps Resurgence Tyler Nubin #173 Navy Surge New York Giants #/275</t>
  </si>
  <si>
    <t>ijmx3</t>
  </si>
  <si>
    <t>2024 Finest Cooper DeJean #54 Philadelphia Eagles</t>
  </si>
  <si>
    <t>ijmxg</t>
  </si>
  <si>
    <t>2024 Panini Prizm Braden Fiske #310 Los Angeles Rams</t>
  </si>
  <si>
    <t>ijmxv</t>
  </si>
  <si>
    <t>2024 Bowman U Chrome Riley Leonard #154 Pink Lava Refractor Fighting Irish</t>
  </si>
  <si>
    <t>ijmyh</t>
  </si>
  <si>
    <t>2024 Panini Prizm Amari Cooper #66 Lazer Cleveland Browns</t>
  </si>
  <si>
    <t>ijmyb</t>
  </si>
  <si>
    <t>2024 Finest Michael Pratt #FG-23 Field Generals Purple Refractor Bucs #/125</t>
  </si>
  <si>
    <t>ijmyv</t>
  </si>
  <si>
    <t>2022 Bowman University Chrome Jahmyr Gibbs #82 Alabama Crimson Tide</t>
  </si>
  <si>
    <t>ip8gz</t>
  </si>
  <si>
    <t>2024 Bowman University Chrome Brandon Inniss #23 Ohio State Buckeyes</t>
  </si>
  <si>
    <t>ip8h2</t>
  </si>
  <si>
    <t>2022 Bowman University Chrome Nick Singleton #87 Penn State Nittany Lions</t>
  </si>
  <si>
    <t>ip8h3</t>
  </si>
  <si>
    <t>2024 Bowman University Chrome Riley Leonard #154 Pink Lava Fighting Irish</t>
  </si>
  <si>
    <t>ip8h4</t>
  </si>
  <si>
    <t>2024 Bowman University Chrome Garrett Nussmeier #A-6 Acropolis LSU Tigers</t>
  </si>
  <si>
    <t>ip8h6</t>
  </si>
  <si>
    <t>ip8h7</t>
  </si>
  <si>
    <t>2024 Bowman University Chrome Keon Keeley #113 X-Fractor Alabama Crimson Tide</t>
  </si>
  <si>
    <t>ip8h8</t>
  </si>
  <si>
    <t>ip8h9</t>
  </si>
  <si>
    <t>2024 Bowman University Chrome Isaiah Bond #CI-2 Campus Icons Texas Longhorns</t>
  </si>
  <si>
    <t>ip8ha</t>
  </si>
  <si>
    <t>2024 Bowman University Chrome Noah Fifita #CI-24 Campus Icons Arizona Wildcats</t>
  </si>
  <si>
    <t>ip8hb</t>
  </si>
  <si>
    <t>2024 Panini Prizm Saquon Barkley #232 Philadelphia Eagles</t>
  </si>
  <si>
    <t>ip8hc</t>
  </si>
  <si>
    <t>2024 Panini Prizm Kenneth Walker III #260 Silver Seattle Seahawks</t>
  </si>
  <si>
    <t>ip8hf</t>
  </si>
  <si>
    <t>2024 Panini Mosaic Michael Penix Jr. #308 Atlanta Falcons</t>
  </si>
  <si>
    <t>FB-1659-iph1e</t>
  </si>
  <si>
    <t>2023 Panini Select Jahmyr Gibbs #34 Silver Prizms Detroit Lions</t>
  </si>
  <si>
    <t>FB-1660-iph1f</t>
  </si>
  <si>
    <t>2024 Panini Absolute J.J. McCarthy #110 Red and Blue Minnesota Vikings</t>
  </si>
  <si>
    <t>FB-1661-iph1g</t>
  </si>
  <si>
    <t>2021 Panini Mosaic Joe Burrow #226 Prizm Camo Pink Cincinnati Bengals</t>
  </si>
  <si>
    <t>FB-1663-iph1i</t>
  </si>
  <si>
    <t>2024 Panini Mosaic Joe Milton III #397 Mosaic Green New England Patriots</t>
  </si>
  <si>
    <t>FB-1662-iph1h</t>
  </si>
  <si>
    <t>2024 Panini Prizm Drake London #12 Atlanta Falcons</t>
  </si>
  <si>
    <t>iqx4q</t>
  </si>
  <si>
    <t>2024 Donruss Malik Nabers #383 New York Giants</t>
  </si>
  <si>
    <t>iqx4r</t>
  </si>
  <si>
    <t>2024 Panini Totally Certified Micah Parsons #100 Dallas Cowboys</t>
  </si>
  <si>
    <t>iqx4s</t>
  </si>
  <si>
    <t>2024 Panini Totally Certified Sam Darnold #58 Minnesota Vikings</t>
  </si>
  <si>
    <t>iqx4t</t>
  </si>
  <si>
    <t>2024 Panini Totally Certified Jaheim Bell #130 New England Patriots</t>
  </si>
  <si>
    <t>iqx4u</t>
  </si>
  <si>
    <t>2024 Panini Totally Certified Joe Burrow #20 Cincinnati Bengals</t>
  </si>
  <si>
    <t>iqx4v</t>
  </si>
  <si>
    <t>2024 Donruss Cooper Kupp #258 Los Angeles Rams</t>
  </si>
  <si>
    <t>iqx4w</t>
  </si>
  <si>
    <t>2024 Panini Totally Certified Aaron Rodgers #5 Franchise Foundations Jets</t>
  </si>
  <si>
    <t>iqx4x</t>
  </si>
  <si>
    <t>2024 Panini Totally Certified Kenneth Walker III #13 Intriguing Players</t>
  </si>
  <si>
    <t>iqx4y</t>
  </si>
  <si>
    <t>2024 Panini Totally Certified Jalen Hurts #72 Eagles</t>
  </si>
  <si>
    <t>iqx4z</t>
  </si>
  <si>
    <t>2024 Panini Totally Certified Saquon Barkley #73 Philadelphia Eagles</t>
  </si>
  <si>
    <t>iqx51</t>
  </si>
  <si>
    <t>2024 Panini Totally Certified Jordan Love #30 Green Bay Packers</t>
  </si>
  <si>
    <t>iqx52</t>
  </si>
  <si>
    <t>2024 Panini Totally Certified Trey McBride #3 Arizona Cardinals</t>
  </si>
  <si>
    <t>iqx54</t>
  </si>
  <si>
    <t>2024 Panini Totally Certified Will Shipley #173 Philadelphia Eagles</t>
  </si>
  <si>
    <t>iqx55</t>
  </si>
  <si>
    <t>2024 Panini Totally Certified Jared Verse #134 Rams</t>
  </si>
  <si>
    <t>iqx57</t>
  </si>
  <si>
    <t>2024 Panini Totally Certified Baker Mayfield #87 Tampa Bay Buccaneers</t>
  </si>
  <si>
    <t>iqx58</t>
  </si>
  <si>
    <t>2024-25 Panini Revolution Matas Buzelis #13 Star Gazing Chicago Bulls</t>
  </si>
  <si>
    <t>itzlx</t>
  </si>
  <si>
    <t>2024-25 Panini Mosaic Jaylen Brown #19 Jam Masters Boston Celtics</t>
  </si>
  <si>
    <t>itz9k</t>
  </si>
  <si>
    <t>2024-25 Panini Mosaic Kentavious Caldwell-Pope #28 Silver Orlando Magic</t>
  </si>
  <si>
    <t>BK-1050-itz9m</t>
  </si>
  <si>
    <t>2024-25 Panini Revolution Tristen Newton #107 Blue Storm Indiana Pacers</t>
  </si>
  <si>
    <t>itzly</t>
  </si>
  <si>
    <t>2024-25 Panini Revolution Pacome Dadiet #143 New York Knicks</t>
  </si>
  <si>
    <t>itzm4</t>
  </si>
  <si>
    <t>2024-25 Panini Revolution Dirk Nowitzki #12 Hardwood Legacy Dallas Mavericks</t>
  </si>
  <si>
    <t>itzm5</t>
  </si>
  <si>
    <t>2024-25 Panini Mosaic Trae Young #8 Give and Go Mosaic Green Atlanta Hawks</t>
  </si>
  <si>
    <t>BK-1047-itz9p</t>
  </si>
  <si>
    <t>2024-25 Panini Revolution Kyle Filipowski #146 Utah Jazz</t>
  </si>
  <si>
    <t>itzm6</t>
  </si>
  <si>
    <t>2024-25 Panini Mosaic Rob Dillingham #218 Minnesota Timberwolves</t>
  </si>
  <si>
    <t>itz9q</t>
  </si>
  <si>
    <t>2024-25 Panini Revolution Oso Ighodaro #139 Phoenix Suns</t>
  </si>
  <si>
    <t>itzm7</t>
  </si>
  <si>
    <t>2024-25 Panini Mosaic Andrew Wiggins #175 Green Ice Mosaic Miami Heat</t>
  </si>
  <si>
    <t>BK-1046-itz9r</t>
  </si>
  <si>
    <t>2024-25 Panini Revolution Steve Nash #152 Blue Storm Phoenix Suns</t>
  </si>
  <si>
    <t>itzm8</t>
  </si>
  <si>
    <t>2024-25 Panini Mosaic Dalton Knecht #264 Silver Los Angeles Lakers</t>
  </si>
  <si>
    <t>BK-1045-itz9t</t>
  </si>
  <si>
    <t>2024-25 Panini Mosaic Mikal Bridges #41 Green Mosaic New York Knicks</t>
  </si>
  <si>
    <t>BK-1044-itz9u</t>
  </si>
  <si>
    <t>2024-25 Panini Revolution Giannis Antetokounmpo #12 Star Gazing Milwaukee Bucks</t>
  </si>
  <si>
    <t>itzmu</t>
  </si>
  <si>
    <t>2024-25 Panini Revolution Tyler Kolek #136 New York Knicks</t>
  </si>
  <si>
    <t>itzna</t>
  </si>
  <si>
    <t>2024-25 Panini Revolution Antonio Reeves #127 New Orleans Pelicans</t>
  </si>
  <si>
    <t>itzns</t>
  </si>
  <si>
    <t>2024 Donruss Optic Brian Thomas Jr. #2 Diamond Hands Jaguars</t>
  </si>
  <si>
    <t>FB-1683-ixjvj</t>
  </si>
  <si>
    <t>2024 Donruss Optic Brian Thomas Jr. #12 2014 Retro Series Jacksonville Jaguars</t>
  </si>
  <si>
    <t>FB-1682-ixjvi</t>
  </si>
  <si>
    <t>2024 Panini Phoenix Brian Thomas Jr. #164 Jags</t>
  </si>
  <si>
    <t>FB-1681-ixjvg</t>
  </si>
  <si>
    <t>2024 Panini Select Lamar Jackson #35 Black &amp; Red Prizm Shock Baltimore Ravens</t>
  </si>
  <si>
    <t>FB-1677-ixjvb</t>
  </si>
  <si>
    <t>2024 Panini Prizm Brian Thomas Jr. #PJ-BTJ Premier Jerseys Purple Pulsar Jags</t>
  </si>
  <si>
    <t>FB-1685-ixlet</t>
  </si>
  <si>
    <t>SV02: Paldea Evolved Glimmora #126/193</t>
  </si>
  <si>
    <t>ixnhw-C654D79</t>
  </si>
  <si>
    <t>SV02: Paldea Evolved Veluza #056/193 Reverse Holo</t>
  </si>
  <si>
    <t>ixni7-B65F5B4</t>
  </si>
  <si>
    <t>SV02: Paldea Evolved Maschiff #141/193</t>
  </si>
  <si>
    <t>ixnhp</t>
  </si>
  <si>
    <t>SV02: Paldea Evolved Nymble #019/193</t>
  </si>
  <si>
    <t>ixnhq</t>
  </si>
  <si>
    <t>SV02: Paldea Evolved Practice Studio #186/193</t>
  </si>
  <si>
    <t>ixni6</t>
  </si>
  <si>
    <t>SV02: Paldea Evolved Grusha #184/193</t>
  </si>
  <si>
    <t>ixnho</t>
  </si>
  <si>
    <t>SV02: Paldea Evolved Rookidee #164/193</t>
  </si>
  <si>
    <t>ixnia</t>
  </si>
  <si>
    <t>SV02: Paldea Evolved Magnemite #065/193</t>
  </si>
  <si>
    <t>ixni1</t>
  </si>
  <si>
    <t>SV02: Paldea Evolved Brambleghast #024/193</t>
  </si>
  <si>
    <t>ixnhj</t>
  </si>
  <si>
    <t>SV02: Paldea Evolved Shinx #068/193</t>
  </si>
  <si>
    <t>ixnht</t>
  </si>
  <si>
    <t>SV02: Paldea Evolved Croagunk #114/193</t>
  </si>
  <si>
    <t>ixnib</t>
  </si>
  <si>
    <t>2021 Panini Select Rashod Bateman #155 Green and Yellow Prizm Die Cut Ravens</t>
  </si>
  <si>
    <t>FB-1687-itzxb</t>
  </si>
  <si>
    <t>2021 Panini Select Davis Mills #65 Green and Yellow Prizm Die Cut Houston Texans</t>
  </si>
  <si>
    <t>FB-1689-itzxk</t>
  </si>
  <si>
    <t>2021 Panini Select Travis Kelce #SN-22 Select Numbers Kansas City Chiefs</t>
  </si>
  <si>
    <t>FB-1690-itzxl</t>
  </si>
  <si>
    <t>2021 Panini Select Tre Nixon #199 New England Patriots</t>
  </si>
  <si>
    <t>FB-1691-itzxm</t>
  </si>
  <si>
    <t>2021 Panini Select Ray Lewis #239 Green and Yellow Prizm Die Cut Ravens</t>
  </si>
  <si>
    <t>FB-1693-itzxo</t>
  </si>
  <si>
    <t>2024-25 Finest UEFA Club Competitions Michael Olise #130 FC Bayern Munchen</t>
  </si>
  <si>
    <t>iqx7k</t>
  </si>
  <si>
    <t>2024-25 Finest UEFA Club Competitions Oihan Sancet #64 Athletic Bilbao</t>
  </si>
  <si>
    <t>iqx7h</t>
  </si>
  <si>
    <t>2024-25 Finest UEFA Club Competitions Bradley Barcola #TW-8 Top of the World</t>
  </si>
  <si>
    <t>iqx7i</t>
  </si>
  <si>
    <t>2024-25 Finest UEFA Club Competitions Chido Obi #56 Manchester United</t>
  </si>
  <si>
    <t>iqx7n</t>
  </si>
  <si>
    <t>2024-25 Finest UEFA Club Competitions Cameron Carter-Vickers #140 Celtic</t>
  </si>
  <si>
    <t>iqx7r</t>
  </si>
  <si>
    <t>2024-25 Finest UEFA Club Competitions Ousmane Dembélé #30 Paris Saint-Germain</t>
  </si>
  <si>
    <t>iqx7o-7D4D99B</t>
  </si>
  <si>
    <t>2024-25 Finest UEFA Club Competitions Nico Williams #69 Athletic Bilbao</t>
  </si>
  <si>
    <t>iqx7q</t>
  </si>
  <si>
    <t>2024-25 Finest UEFA Club Competitions Benjamin Šeško #146 RB Leipzig</t>
  </si>
  <si>
    <t>iqx7g</t>
  </si>
  <si>
    <t>2024-25 Finest UEFA Club Competitions Maghnes Akliouche #115 AS Monaco</t>
  </si>
  <si>
    <t>iqx7p</t>
  </si>
  <si>
    <t>iqx7o</t>
  </si>
  <si>
    <t>2025 Bowman Chrome Mega Box Mojo Refractor #13 Junior Caminero Tampa Bay Rays</t>
  </si>
  <si>
    <t>FS-1020-2D00BA7</t>
  </si>
  <si>
    <t>SV02: Paldea Evolved Dudunsparce REVERSE HOLO #157/193</t>
  </si>
  <si>
    <t>PK-1002-j4z0h-8FCB493</t>
  </si>
  <si>
    <t>SV02: Paldea Evolved Paldean Wooper #129/193</t>
  </si>
  <si>
    <t>pk-1003-j4z0w</t>
  </si>
  <si>
    <t>SV02: Paldea Evolved Cufant #149/193</t>
  </si>
  <si>
    <t>pk-1006-j4z1p</t>
  </si>
  <si>
    <t>SV02: Paldea Evolved Fighting Au Lait Revere holo #181/193</t>
  </si>
  <si>
    <t>pk-1019-j4z2l</t>
  </si>
  <si>
    <t>Miscellaneous Cards &amp; Products Fuecoco #034/193</t>
  </si>
  <si>
    <t>pk-1031-j4z2r</t>
  </si>
  <si>
    <t>SV02: Spiritomb #089/193</t>
  </si>
  <si>
    <t>pk-1018-j4z2k</t>
  </si>
  <si>
    <t>SV02: Paldea Evolved Slaking #162/193</t>
  </si>
  <si>
    <t>pk-1028-j4z2z</t>
  </si>
  <si>
    <t>SV02: Paldea Evolved Cetoddle #054/193</t>
  </si>
  <si>
    <t>pk-1021-j4z2p</t>
  </si>
  <si>
    <t>SV02: Paldea Evolved Vespiquen #009/193</t>
  </si>
  <si>
    <t>pk-1017-j4z2i</t>
  </si>
  <si>
    <t>SV02: Paldea Evolved Tinkatink #100/193</t>
  </si>
  <si>
    <t>PK-1001-j4z0f</t>
  </si>
  <si>
    <t>SV02: Paldea Evolved Tandemaus #166/193</t>
  </si>
  <si>
    <t>pk-1020-j4z2m</t>
  </si>
  <si>
    <t>SV02: Paldea Evolved Nacli #121/193</t>
  </si>
  <si>
    <t>pk-1022-j4z2q</t>
  </si>
  <si>
    <t>SV02: Paldea Evolved Shroodle #144/193</t>
  </si>
  <si>
    <t>pk-1029-j4z30</t>
  </si>
  <si>
    <t>SV02: Paldea Evolved Artazon Reverse Holo #171/193</t>
  </si>
  <si>
    <t>PK-1025-j4z2v-FA45D2F</t>
  </si>
  <si>
    <t>Miscellaneous Cards &amp; Products Primeape #107/193</t>
  </si>
  <si>
    <t>pk-1026-j4z2x</t>
  </si>
  <si>
    <t>SV02: Paldea Evolved Cufant Reverse Holo #149/193</t>
  </si>
  <si>
    <t>pk-1030-j4z33-9E7B80B</t>
  </si>
  <si>
    <t>SV02: Paldea Evolved Pikachu #062/193</t>
  </si>
  <si>
    <t>PK-1005-j4z1n</t>
  </si>
  <si>
    <t>SV02: Paldea Evolved Calamitous Wasteland #175/193</t>
  </si>
  <si>
    <t>pk-1027-j4z2y</t>
  </si>
  <si>
    <t>SV: White Flare Deino (Master Ball Pattern) #065/086</t>
  </si>
  <si>
    <t>pk-1004-j4z1a-3C8DE00</t>
  </si>
  <si>
    <t>SV02: Paldea Evolved Wattrel Reverse Holo #081/193</t>
  </si>
  <si>
    <t>PK-1024-j4z2t</t>
  </si>
  <si>
    <t>SV02: Paldea Evolved Calamitous Snowy Mountain #174/193</t>
  </si>
  <si>
    <t>pk-1012-j4z2a</t>
  </si>
  <si>
    <t>Prize Pack Series Cards Luxray #071/193</t>
  </si>
  <si>
    <t>PK-1023-j4z2s-1105C34</t>
  </si>
  <si>
    <t>SV02: Paldea Evolved Nymble reverse holo #019/193</t>
  </si>
  <si>
    <t>pk-1014-j4z2f-54E61CC</t>
  </si>
  <si>
    <t>SV02: Paldea Evolved Naclstack #122/193</t>
  </si>
  <si>
    <t>pk-1011-j4z28</t>
  </si>
  <si>
    <t>SV02: Paldea Evolved Dunsparce reverse holo #156/193</t>
  </si>
  <si>
    <t>pk-1007-j4z1t-07938AD</t>
  </si>
  <si>
    <t>SV02: Paldea Evolved Eiscue #048/193</t>
  </si>
  <si>
    <t>pk-1016-j4z2h</t>
  </si>
  <si>
    <t>SV02: Paldea Evolved Glimmet #124/193</t>
  </si>
  <si>
    <t>pk-1010-j4z27</t>
  </si>
  <si>
    <t>SV02: Paldea Evolved Corvisquire #165/193</t>
  </si>
  <si>
    <t>pk-1013-j4z2c</t>
  </si>
  <si>
    <t>League &amp; Championship Cards Iono #185/193</t>
  </si>
  <si>
    <t>pk-1015-j4z2g</t>
  </si>
  <si>
    <t>SV02: Paldea Evolved Frigibax reverse holo #057/193</t>
  </si>
  <si>
    <t>pk-1008-j4z1x-55673A9</t>
  </si>
  <si>
    <t>BK-1053</t>
  </si>
  <si>
    <t>Tahj Brooks 2024 Bowman University Chrome #193 Texas Tech Red Raiders</t>
  </si>
  <si>
    <t>j7yhc</t>
  </si>
  <si>
    <t>Cole Pennington 2024 Bowman University Chrome #45 Marshall Thundering Herd</t>
  </si>
  <si>
    <t>j7yhd</t>
  </si>
  <si>
    <t>Ayo Adeyi 2024 Bowman University Chrome #18 James Madison Dukes</t>
  </si>
  <si>
    <t>j7yhg</t>
  </si>
  <si>
    <t>Antonio Williams 2024 Bowman University Chrome #14 Clemson Tigers</t>
  </si>
  <si>
    <t>j7yhh</t>
  </si>
  <si>
    <t>Khalil Barnes 2024 Bowman University Chrome #114 Clemson Tigers</t>
  </si>
  <si>
    <t>j7yht</t>
  </si>
  <si>
    <t>TJ Finley 2024 Bowman University Chrome #191 Western Kentucky Hilltoppers</t>
  </si>
  <si>
    <t>j7yi2</t>
  </si>
  <si>
    <t>Kaden Prather 2024 Bowman University Chrome #110 Maryland Terrapins</t>
  </si>
  <si>
    <t>j7yi3</t>
  </si>
  <si>
    <t>Joseph Manjack IV 2024 Bowman University Chrome #107 Houston Cougars</t>
  </si>
  <si>
    <t>j7yid</t>
  </si>
  <si>
    <t>Trevor Etienne 2024 Bowman University Chrome #177 Georgia Bulldogs</t>
  </si>
  <si>
    <t>j7yij</t>
  </si>
  <si>
    <t>Daylen Everette 2024 Bowman University Chrome #55 Georgia Bulldogs</t>
  </si>
  <si>
    <t>j7yiq</t>
  </si>
  <si>
    <t>Jalon Walker 2024 Bowman University Chrome #89 Georgia Bulldogs</t>
  </si>
  <si>
    <t>j7yj9</t>
  </si>
  <si>
    <t>Will Pauling 2024 Bowman University Chrome #184 Wisconsin Badgers</t>
  </si>
  <si>
    <t>j7yja</t>
  </si>
  <si>
    <t>Dylan Sampson 2024 Bowman University Chrome #69 Tennessee Volunteers</t>
  </si>
  <si>
    <t>j7yjb</t>
  </si>
  <si>
    <t>Deone Walker 2024 Bowman University Chrome #57 Kentucky Wildcats</t>
  </si>
  <si>
    <t>j7yjg</t>
  </si>
  <si>
    <t>Deontae Lawson 2024 Bowman University Chrome #58 Alabama Crimson Tide</t>
  </si>
  <si>
    <t>j7yjc</t>
  </si>
  <si>
    <t>Quinton Cooley 2024 Bowman University Chrome #147 Liberty Flames</t>
  </si>
  <si>
    <t>j7yjh</t>
  </si>
  <si>
    <t>Nicholas Vattiato 2024 Bowman University Chrome #138 Blue Raiders</t>
  </si>
  <si>
    <t>j7yji</t>
  </si>
  <si>
    <t>Daniel Hishaw Jr. 2024 Bowman University Chrome #52 Kansas Jayhawks</t>
  </si>
  <si>
    <t>j7yjj</t>
  </si>
  <si>
    <t>Mason Taylor 2024 Bowman University Chrome #128 LSU Tigers</t>
  </si>
  <si>
    <t>j7yjq</t>
  </si>
  <si>
    <t>Donovan Edwards 2024 Bowman University Chrome #66 Michigan Wolverines</t>
  </si>
  <si>
    <t>j7yk0</t>
  </si>
  <si>
    <t>Ethan Garbers 2024 Bowman University Chrome #72 UCLA Bruins</t>
  </si>
  <si>
    <t>j7yk1</t>
  </si>
  <si>
    <t>Kyle Williams 2024 Bowman University Chrome #118 WSU Cougars</t>
  </si>
  <si>
    <t>j7yk3</t>
  </si>
  <si>
    <t>Sean Atkins 2024 Bowman University Chrome #161 South Florida Bulls</t>
  </si>
  <si>
    <t>j7yka</t>
  </si>
  <si>
    <t>Bryson Barnes 2024 Bowman University Chrome #29 Utah State Aggies</t>
  </si>
  <si>
    <t>j7ykv</t>
  </si>
  <si>
    <t>Raheim Sanders 2024 Bowman University Chrome #148 South Carolina Gamecocks</t>
  </si>
  <si>
    <t>j7ylb</t>
  </si>
  <si>
    <t>Joey Aguilar 2024 Bowman University Chrome #103 Appalachian State Mountaineers</t>
  </si>
  <si>
    <t>j7yl6</t>
  </si>
  <si>
    <t>Mykel Williams 2024 Bowman University Chrome #134 Georgia Bulldogs</t>
  </si>
  <si>
    <t>j7ylw</t>
  </si>
  <si>
    <t>Jamal Haynes 2024 Bowman University Chrome #90 Georgia Tech Yellow Jackets</t>
  </si>
  <si>
    <t>j7ymi</t>
  </si>
  <si>
    <t>Jackson Arnold 2024 Bowman University Chrome #80 Oklahoma Sooners</t>
  </si>
  <si>
    <t>j7ymo</t>
  </si>
  <si>
    <t>j7yn3</t>
  </si>
  <si>
    <t>Antwaun Powell-Ryland 2024 Bowman University Chrome #15 Virginia Tech Hokies</t>
  </si>
  <si>
    <t>j7ynl</t>
  </si>
  <si>
    <t>Montrell Johnson Jr. 2024 Bowman University Chrome #133 Florida Gators</t>
  </si>
  <si>
    <t>j7yob</t>
  </si>
  <si>
    <t>Gavin Sawchuk 2024 Bowman University Chrome #RM-13 Ramblin’ Man Oklahoma Sooners</t>
  </si>
  <si>
    <t>j7yp4</t>
  </si>
  <si>
    <t>Parker Jenkins 2024 Bowman University Chrome #141 Houston Cougars</t>
  </si>
  <si>
    <t>j7ypi</t>
  </si>
  <si>
    <t>Rocco Becht 2024 Bowman University Chrome #155 Iowa State Cyclones</t>
  </si>
  <si>
    <t>j7yqi</t>
  </si>
  <si>
    <t>Ethan Burke 2024 Bowman University Chrome #32 Texas Longhorns</t>
  </si>
  <si>
    <t>j7yre</t>
  </si>
  <si>
    <t>CJ Baxter 2024 Bowman University Chrome #42 Texas Longhorns</t>
  </si>
  <si>
    <t>j7yrj</t>
  </si>
  <si>
    <t>DJ Giddens 2024 Bowman University Chrome #33 Kansas State Wildcats</t>
  </si>
  <si>
    <t>j7yrm</t>
  </si>
  <si>
    <t>Conner Harrell 2024 Bowman University Chrome #46 North Carolina Tar Heels</t>
  </si>
  <si>
    <t>j7ysd</t>
  </si>
  <si>
    <t>Andrew Mukuba 2024 Bowman University Chrome #12 Texas Longhorns</t>
  </si>
  <si>
    <t>j7ysr</t>
  </si>
  <si>
    <t>Abu Sama III 2024 Bowman University Chrome #7 Iowa State Cyclones</t>
  </si>
  <si>
    <t>j7ysx</t>
  </si>
  <si>
    <t>Jaydn Ott 2024 Bowman University Chrome #95 California Golden Bears</t>
  </si>
  <si>
    <t>j7ysz</t>
  </si>
  <si>
    <t>Chandler Rogers 2024 Bowman University Chrome #41 California Golden Bears</t>
  </si>
  <si>
    <t>j7yt1</t>
  </si>
  <si>
    <t>Nickolas Martin 2024 Bowman University Chrome #199 Oklahoma State Cowboys</t>
  </si>
  <si>
    <t>j7yt8</t>
  </si>
  <si>
    <t>Ollie Gordon II 2024 Bowman University Chrome #197 Oklahoma State Cowboys</t>
  </si>
  <si>
    <t>j7ytc</t>
  </si>
  <si>
    <t>2023 Panini Contenders Season Tyreek Hill Dolphins (Gold) #65 5/5 BOOKEND</t>
  </si>
  <si>
    <t>FB-1696-j9e9p</t>
  </si>
  <si>
    <t>Terrion Arnold 2024 Panini Prizm #389 Lazer Detroit Lions</t>
  </si>
  <si>
    <t>FB-1700-j9kdy</t>
  </si>
  <si>
    <t>Anthony Gould 2024 Donruss Optic #205 Purple Shock Indianapolis Colts</t>
  </si>
  <si>
    <t>FB-1704-j9ke4</t>
  </si>
  <si>
    <t>Jaylen Wright 2024 Donruss Optic #249 Pink Miami Dolphins</t>
  </si>
  <si>
    <t>FB-1715-j9mob</t>
  </si>
  <si>
    <t>Greg Zuerlein 2024 Panini Select #158 Black &amp; Green Prizm Shock New York Jets</t>
  </si>
  <si>
    <t>FB-1716-j9moc</t>
  </si>
  <si>
    <t>Dylan Laube 2024 Donruss Optic #230 Purple Shock Las Vegas Raiders</t>
  </si>
  <si>
    <t>FB-1717-j9moe</t>
  </si>
  <si>
    <t>Kerby Joseph 2024 Panini Select #177 Black &amp; Red Prizm Shock Detroit Lions</t>
  </si>
  <si>
    <t>FB-1718-j9mof</t>
  </si>
  <si>
    <t>Alex Anzalone 2024 Panini Select #104 Black &amp; Red Prizm Shock Detroit Lions</t>
  </si>
  <si>
    <t>FB-1719-j9mog</t>
  </si>
  <si>
    <t>Joe Alt 2024 Panini Prizm #353 Green Wave Los Angeles Chargers</t>
  </si>
  <si>
    <t>FB-1721-j9moi</t>
  </si>
  <si>
    <t>Jha'Quan Jackson 2024 Donruss Optic #253 Purple Shock Tennessee Titans</t>
  </si>
  <si>
    <t>FB-1723-j9mol</t>
  </si>
  <si>
    <t>Marshawn Kneeland 2024 Donruss Optic #274 Blue Hyper Dallas Cowboys</t>
  </si>
  <si>
    <t>FB-1728-j9mor</t>
  </si>
  <si>
    <t>Javon Bullard 2024 Donruss Optic #246 Purple Shock Green Bay Packers</t>
  </si>
  <si>
    <t>FB-1729-j9mos</t>
  </si>
  <si>
    <t>James Conner 2024 Panini Contenders #2 Season Ticket Retail Arizona Cardinals</t>
  </si>
  <si>
    <t>FB-1732-j9mow</t>
  </si>
  <si>
    <t>Chris Olave 2024 Panini Select #13 Select Numbers New Orleans Saints</t>
  </si>
  <si>
    <t>j9vhc</t>
  </si>
  <si>
    <t>Erick All Jr. 2024 Donruss Optic #233 Purple Shock Cincinnati Bengals</t>
  </si>
  <si>
    <t>j9vnv</t>
  </si>
  <si>
    <t>Chop Robinson 2024 Donruss Optic #219 Blue Hyper Miami Dolphins</t>
  </si>
  <si>
    <t>j9vhd</t>
  </si>
  <si>
    <t>T'Vondre Sweat 2024 Donruss Optic #295 Tennessee Titans</t>
  </si>
  <si>
    <t>j9vnw</t>
  </si>
  <si>
    <t>Ryan Flournoy 2024 Donruss Optic #288 Purple Shock Dallas Cowboys</t>
  </si>
  <si>
    <t>j9vnx</t>
  </si>
  <si>
    <t>Ennis Rakestraw Jr. 2024 Donruss Optic #232 Blue Hyper Detroit Lions</t>
  </si>
  <si>
    <t>j9vhf</t>
  </si>
  <si>
    <t>Marist Liufau 2024 Donruss Optic #273 Holo Dallas Cowboys</t>
  </si>
  <si>
    <t>j9vny</t>
  </si>
  <si>
    <t>Jawhar Jordan 2024 Donruss Optic #247 Blue Hyper Houston Texans</t>
  </si>
  <si>
    <t>j9vhg</t>
  </si>
  <si>
    <t>Marist Liufau 2024 Donruss Optic #273 Purple Shock Dallas Cowboys</t>
  </si>
  <si>
    <t>j9vnz</t>
  </si>
  <si>
    <t>Devontez Walker 2024 Donruss Optic #228 Blue Hyper Baltimore Ravens</t>
  </si>
  <si>
    <t>j9vhh</t>
  </si>
  <si>
    <t>Marshawn Kneeland 2024 Donruss Optic #274 Purple Shock Dallas Cowboys</t>
  </si>
  <si>
    <t>j9vo0</t>
  </si>
  <si>
    <t>Audric Estime 2024 Donruss Optic #206 Blue Hyper Denver Broncos</t>
  </si>
  <si>
    <t>j9vhi</t>
  </si>
  <si>
    <t>Jha'Quan Jackson 2024 Donruss Optic #253 Blue Hyper Tennessee Titans</t>
  </si>
  <si>
    <t>j9vhj</t>
  </si>
  <si>
    <t>Maason Smith 2024 Donruss Optic #269 Purple Shock Jacksonville Jaguars</t>
  </si>
  <si>
    <t>j9vo2</t>
  </si>
  <si>
    <t>Laiatu Latu 2024 Donruss Optic #267 Purple Shock Indianapolis Colts</t>
  </si>
  <si>
    <t>j9vo7</t>
  </si>
  <si>
    <t>Jordan Love 2024 Donruss #9 Gridiron Kings Green Bay Packers</t>
  </si>
  <si>
    <t>j9vhk</t>
  </si>
  <si>
    <t>Jaheim Bell 2024 Donruss Optic #238 Blue Hyper New England Patriots</t>
  </si>
  <si>
    <t>j9vhl</t>
  </si>
  <si>
    <t>Brock Bowers 2024 Donruss Optic #215 Las Vegas Raiders</t>
  </si>
  <si>
    <t>j9vod</t>
  </si>
  <si>
    <t>Audric Estime 2024 Donruss Optic #12 Rookie Primary Colors Denver Broncos</t>
  </si>
  <si>
    <t>j9vhm</t>
  </si>
  <si>
    <t>Dylan Laube 2024 Donruss #372 Optic Rated Rookies Preview Pink Las Vegas Raiders</t>
  </si>
  <si>
    <t>j9voe</t>
  </si>
  <si>
    <t>Ja'Lynn Polk 2024 Donruss Optic #240 Purple Shock New England Patriots</t>
  </si>
  <si>
    <t>j9vhn</t>
  </si>
  <si>
    <t>Jalen McMillan 2024 Donruss Optic #239 Purple Shock Tampa Bay Buccaneers</t>
  </si>
  <si>
    <t>j9vho</t>
  </si>
  <si>
    <t>Anthony Gould 2024 Panini Select #206 Black &amp; Red Prizm Shock Indianapolis Colts</t>
  </si>
  <si>
    <t>j9voj</t>
  </si>
  <si>
    <t>Johnny Wilson 2024 Donruss Optic #256 Purple Shock Philadelphia Eagles</t>
  </si>
  <si>
    <t>j9vhr</t>
  </si>
  <si>
    <t>Johnny Wilson 2024 Donruss Optic #256 Holo Philadelphia Eagles</t>
  </si>
  <si>
    <t>j9von</t>
  </si>
  <si>
    <t>Erick All Jr. 2024 Donruss Optic #233 Purple Scope Cincinnati Bengals</t>
  </si>
  <si>
    <t>j9viw</t>
  </si>
  <si>
    <t>DeVonta Smith 2024 Donruss Optic #161 Holo Philadelphia Eagles</t>
  </si>
  <si>
    <t>j9vov</t>
  </si>
  <si>
    <t>J.C. Latham 2024 Donruss Optic #234 Purple Shock Tennessee Titans</t>
  </si>
  <si>
    <t>j9vj9</t>
  </si>
  <si>
    <t>DaRon Bland 2024 Panini Phoenix #35 Dallas Cowboys</t>
  </si>
  <si>
    <t>j9vow</t>
  </si>
  <si>
    <t>Brian Thomas Jr. 2024 Panini Select #20 Select Future Prizm Jacksonville Jaguars</t>
  </si>
  <si>
    <t>j9vjn</t>
  </si>
  <si>
    <t>Tyler Nubin 2024 Donruss Optic #296 Holo New York Giants</t>
  </si>
  <si>
    <t>j9voz</t>
  </si>
  <si>
    <t>j9vp2</t>
  </si>
  <si>
    <t>Tua Tagovailoa / Tyreek Hill 2024 Donruss Optic #1 Best Tuddys Miami Dolphins</t>
  </si>
  <si>
    <t>j9vjz</t>
  </si>
  <si>
    <t>Edgerrin Cooper 2024 Donruss Optic #231 Purple Shock Green Bay Packers</t>
  </si>
  <si>
    <t>j9vp5</t>
  </si>
  <si>
    <t>Javon Bullard 2024 Donruss Optic #246 Green Hyper Green Bay Packers</t>
  </si>
  <si>
    <t>j9vk1</t>
  </si>
  <si>
    <t>Chris Long 2024 Panini Select #137 Red &amp; Blue Prizm Shock New England Patriots</t>
  </si>
  <si>
    <t>j9vpa</t>
  </si>
  <si>
    <t>Marvin Harrison Jr. 2024 Donruss Optic #276 Arizona Cardinals</t>
  </si>
  <si>
    <t>j9vk2</t>
  </si>
  <si>
    <t>Kamari Lassiter 2024 Donruss Optic #261 Purple Shock Houston Texans</t>
  </si>
  <si>
    <t>j9vpi</t>
  </si>
  <si>
    <t>AJ Dillon 2024 Donruss Optic #71 Holo Green Bay Packers</t>
  </si>
  <si>
    <t>j9vpl</t>
  </si>
  <si>
    <t>Malik Washington 2024 Donruss Optic #272 Purple Shock Miami Dolphins</t>
  </si>
  <si>
    <t>j9vk4</t>
  </si>
  <si>
    <t>Tariq Woolen 2024 Panini Select #95 Red &amp; Blue Prizm Shock Seattle Seahawks</t>
  </si>
  <si>
    <t>j9vps</t>
  </si>
  <si>
    <t>Jimmy Garoppolo 2024 Donruss Optic #29 2014 Retro Series New England Patriots</t>
  </si>
  <si>
    <t>j9vk5</t>
  </si>
  <si>
    <t>Marist Liufau 2024 Donruss Optic #273 Blue Hyper Dallas Cowboys</t>
  </si>
  <si>
    <t>j9vpz</t>
  </si>
  <si>
    <t>T'Vondre Sweat 2024 Donruss Optic #295 Blue Hyper Tennessee Titans</t>
  </si>
  <si>
    <t>j9vq1</t>
  </si>
  <si>
    <t>Edgerrin Cooper 2024 Donruss Optic #231 Blue Hyper Green Bay Packers</t>
  </si>
  <si>
    <t>j9vq3</t>
  </si>
  <si>
    <t>D.J. James 2024 Donruss Optic #222 Blue Hyper Seattle Seahawks</t>
  </si>
  <si>
    <t>j9vq4</t>
  </si>
  <si>
    <t>Devaughn Vele 2024 Panini Select #150 Red &amp; Blue Prizm Shock Denver Broncos</t>
  </si>
  <si>
    <t>j9vqe</t>
  </si>
  <si>
    <t>2024 Panini Select Arik Armstead #107 Green &amp; Yellow Prizm Shock Jaguars</t>
  </si>
  <si>
    <t>j9vqi</t>
  </si>
  <si>
    <t>2024 Donruss Colt Emerson #173 Orange Laser Seattle Mariners #/299</t>
  </si>
  <si>
    <t>ja0wb</t>
  </si>
  <si>
    <t>2023 Panini Three and Two Joe Cronin #12 Holo Gold Boston Red Sox #/15</t>
  </si>
  <si>
    <t>ja0sx</t>
  </si>
  <si>
    <t>2024-25 Topps Chrome UEFA Club Nicolas Jackson #41 Magenta Lava #/75</t>
  </si>
  <si>
    <t>j9xob</t>
  </si>
  <si>
    <t>2021-22 Merlin Chrome UEFA Champions League Ansu Fati #36 Aqua #/199</t>
  </si>
  <si>
    <t>j9xod</t>
  </si>
  <si>
    <t>2021-22 Topps Chrome UEFA Champions League Sadio Mané #110 Rose Gold #/125</t>
  </si>
  <si>
    <t>j9xof</t>
  </si>
  <si>
    <t>2023-24 Finest UEFA Club Competitions João Félix #149 Purple Shimmer #/199</t>
  </si>
  <si>
    <t>j9xoh</t>
  </si>
  <si>
    <t>2023-24 Finest UEFA Club Competitions Karim Konate #139 Sky Blue Refractor #/275</t>
  </si>
  <si>
    <t>j9xoi</t>
  </si>
  <si>
    <t>2023-24 Topps Chrome UEFA Club Karim Konate #30 Purple Ray Wave Refractor #/175</t>
  </si>
  <si>
    <t>j9xoj</t>
  </si>
  <si>
    <t>2023-24 Finest UEFA Club Competitions Chadi Riad #A-RI Base Autos Betis</t>
  </si>
  <si>
    <t>j9xok</t>
  </si>
  <si>
    <t>2024-25 Panini Prizm Premier League Yoane Wissa #239 Brentford</t>
  </si>
  <si>
    <t>j9xol</t>
  </si>
  <si>
    <t>2024-25 Panini Prizm Premier League Alexander Isak #120 Silver Newcastle United</t>
  </si>
  <si>
    <t>j9xom</t>
  </si>
  <si>
    <t>2024-25 Topps UEFA Club Competitions Vinícius Tobias #167 Shakhtar Donetsk</t>
  </si>
  <si>
    <t>j9xon</t>
  </si>
  <si>
    <t>2021-22 Panini Prizm Premier League Ashley Barnes #72 Prizms Silver Burnley</t>
  </si>
  <si>
    <t>j9xoo</t>
  </si>
  <si>
    <t>2025 Topps Chrome Adolis García #293 Texas Rangers</t>
  </si>
  <si>
    <t>jba2j</t>
  </si>
  <si>
    <t>2025 Topps Chrome Corey Seager #24 Texas Rangers</t>
  </si>
  <si>
    <t>jba2l</t>
  </si>
  <si>
    <t>2025 Topps Chrome Jacob deGrom #214 Texas Rangers</t>
  </si>
  <si>
    <t>jba2n</t>
  </si>
  <si>
    <t>2025 Topps Chrome Corey Seager #F15-15 Fortune 15 Texas Rangers</t>
  </si>
  <si>
    <t>jba2o</t>
  </si>
  <si>
    <t>2025 Topps Chrome Corey Seager #CAE-13 Chrome All-Etch Texas Rangers</t>
  </si>
  <si>
    <t>jba2q</t>
  </si>
  <si>
    <t>2025 Topps Chrome Wyatt Langford #68 Texas Rangers</t>
  </si>
  <si>
    <t>jba2r</t>
  </si>
  <si>
    <t>2025 Topps Chrome Wyatt Langford #68 Rainbow Foil Texas Rangers</t>
  </si>
  <si>
    <t>jba2s</t>
  </si>
  <si>
    <t>RJ Barrett 2024-25 Panini Prizm Monopoly #68 Red Prizms Toronto Raptors</t>
  </si>
  <si>
    <t>jbfy0</t>
  </si>
  <si>
    <t>Kristaps Porzingis 2024-25 Panini Prizm Monopoly #18 Red Prizms Boston Celtics</t>
  </si>
  <si>
    <t>jbfy4</t>
  </si>
  <si>
    <t>Stephon Castle 2024-25 Panini Prizm Monopoly #75 San Antonio Spurs</t>
  </si>
  <si>
    <t>jbfyp</t>
  </si>
  <si>
    <t>Jayson Tatum 2024-25 Panini Prizm Monopoly #16 Boston Celtics</t>
  </si>
  <si>
    <t>jbfyv</t>
  </si>
  <si>
    <t>Reed Sheppard 2024-25 Panini Prizm Monopoly #72 Houston Rockets</t>
  </si>
  <si>
    <t>jbfz9</t>
  </si>
  <si>
    <t>Joel Embiid 2024-25 Panini Prizm Monopoly #1 Philadelphia 76ers</t>
  </si>
  <si>
    <t>jbfzb</t>
  </si>
  <si>
    <t>Tristan Da Silva 2024-25 Panini Prizm Monopoly #48 Red Prizms Orlando Magic</t>
  </si>
  <si>
    <t>jbfzi</t>
  </si>
  <si>
    <t>LeBron James 2024-25 Panini Prizm Monopoly #43 Los Angeles Lakers</t>
  </si>
  <si>
    <t>jbfzm</t>
  </si>
  <si>
    <t>2024-25 Panini Prizm Draymond Green #82 Red Prizms Warriors</t>
  </si>
  <si>
    <t>jbfzs</t>
  </si>
  <si>
    <t>Devin Carter 2024-25 Panini Prizm Monopoly #39 Sacramento Kings</t>
  </si>
  <si>
    <t>jbg0q</t>
  </si>
  <si>
    <t>LaMelo Ball 2024-25 Panini Prizm Monopoly #31 Charlotte Hornets</t>
  </si>
  <si>
    <t>jbg0z</t>
  </si>
  <si>
    <t>Tyrese Haliburton 2024-25 Panini Prizm Monopoly #58 Indiana Pacers</t>
  </si>
  <si>
    <t>jbg1l</t>
  </si>
  <si>
    <t>Bub Carrington 2024-25 Panini Prizm Monopoly #87 Washington Wizards</t>
  </si>
  <si>
    <t>jbg1q</t>
  </si>
  <si>
    <t>2024-25 Panini Prizm Monopoly Victor Wembanyama #73 San Antonio Spurs</t>
  </si>
  <si>
    <t>jbg1o</t>
  </si>
  <si>
    <t>James Wood 2025 Bowman #29 Mojo Washington Nationals</t>
  </si>
  <si>
    <t>jbwvf</t>
  </si>
  <si>
    <t>Yaikel Mijares 2024 Bowman Chrome #CPA-YMI Prospects Autos Guardians</t>
  </si>
  <si>
    <t>jbwvg</t>
  </si>
  <si>
    <t>2025 MLB Topps Now #557 CHRSTIAN YELICH Milwaukee Brewers SHARP</t>
  </si>
  <si>
    <t>CDP-F1585A0</t>
  </si>
  <si>
    <t>XAVIER WORTHY 2024 Donruss Optic #FYF-XWY First Year Fresh Blue Hyper Chiefs</t>
  </si>
  <si>
    <t>jdylc</t>
  </si>
  <si>
    <t>2024 Topps Chrome #175 Kellen Winslow Card San Diego Chargers</t>
  </si>
  <si>
    <t>CDP-2D644F5</t>
  </si>
  <si>
    <t>2024 Finest Team Finest #TF10 Rob Gronkowski Card</t>
  </si>
  <si>
    <t>CDP-23E982F</t>
  </si>
  <si>
    <t>2024 Topps Chrome - All-Etch Eddie George #CAE-EG</t>
  </si>
  <si>
    <t>CDP-94F7DAB</t>
  </si>
  <si>
    <t>2024 Topps Finest - Common Todd Heap #6 Baltimore</t>
  </si>
  <si>
    <t>CDP-72FF8EE</t>
  </si>
  <si>
    <t>2024 Topps Chrome - All-Chrome Team Emmitt Smith #ACT-3</t>
  </si>
  <si>
    <t>CDP-7A251B2</t>
  </si>
  <si>
    <t>XAVIER WORTHY 2024 Panini Prizm #14 Prizmatic Wave Green Prizm Chiefs</t>
  </si>
  <si>
    <t>jf72j</t>
  </si>
  <si>
    <t>DERRICK HENRY 2025 Panini The National Silver Pack Purple #22  Ravens</t>
  </si>
  <si>
    <t>CDP-74C4861</t>
  </si>
  <si>
    <t>2024 Donruss Optic Best Tuddys#18 Aaron Rodgers / Garrett Wilson</t>
  </si>
  <si>
    <t>CDP-B850B93</t>
  </si>
  <si>
    <t>2024 Donruss #WH3 Ricky Pearsall White Hot Rookies #WH3</t>
  </si>
  <si>
    <t>CDP-648E318</t>
  </si>
  <si>
    <t>2024 Donruss Optic #7 C.J. Stroud Chain Reaction Houston Texans</t>
  </si>
  <si>
    <t>CDP-AFF44F8</t>
  </si>
  <si>
    <t>2024 Donruss Optic - Hidden Potential Trey Benson Arizona Cardinals #10</t>
  </si>
  <si>
    <t>CDP-812C88A</t>
  </si>
  <si>
    <t>2024 Donruss Optic Rookie Primary Colors MarShawn Lloyd (RC)  #14 Packers</t>
  </si>
  <si>
    <t>CDP-4A930D7</t>
  </si>
  <si>
    <t>Justin Herbert 2024 Donruss Optic #7 Captain In Charge Los Angeles Chargers</t>
  </si>
  <si>
    <t>jjj50</t>
  </si>
  <si>
    <t>Marvin Harrison Jr. 2024 Donruss Optic #4 2014 Retro Series Arizona Cardinals</t>
  </si>
  <si>
    <t>jjj56</t>
  </si>
  <si>
    <t>Myles Garrett 2024 Donruss Optic #13 Light It Up Cleveland Browns</t>
  </si>
  <si>
    <t>jjj53</t>
  </si>
  <si>
    <t>Keon Coleman 2024 Donruss Optic #5 Play Action Buffalo Bills</t>
  </si>
  <si>
    <t>jjiyg</t>
  </si>
  <si>
    <t>Trey Benson 2024 Donruss Optic #10 Hidden Potential Arizona Cardinals</t>
  </si>
  <si>
    <t>jjiyh</t>
  </si>
  <si>
    <t>Amari Cooper / Deshaun Watson 2024 Donruss Optic #15 Best Tuddys Browns</t>
  </si>
  <si>
    <t>jjiym</t>
  </si>
  <si>
    <t>C.J. Mosley 2024 Donruss Optic #9 Captain In Charge New York Jets</t>
  </si>
  <si>
    <t>jjize</t>
  </si>
  <si>
    <t>Malik Nabers 2024 Donruss Optic #6 Rookie Primary Colors New York Giants</t>
  </si>
  <si>
    <t>jjizk</t>
  </si>
  <si>
    <t>Johnny Manziel 2024 Donruss Optic #24 2014 Retro Series Cleveland Browns</t>
  </si>
  <si>
    <t>jjitk</t>
  </si>
  <si>
    <t>Travis Kelce 2024 Donruss Optic #15 Light It Up Kansas City Chiefs</t>
  </si>
  <si>
    <t>jjitq</t>
  </si>
  <si>
    <t>Maxx Crosby 2024 Donruss Optic #18 Play Action Las Vegas Raiders</t>
  </si>
  <si>
    <t>jjitt</t>
  </si>
  <si>
    <t>MarShawn Lloyd 2024 Donruss Optic #14 Rookie Primary Colors Green Bay Packers</t>
  </si>
  <si>
    <t>jjitu</t>
  </si>
  <si>
    <t>Michael Penix Jr. 2024 Donruss Optic #9 2014 Retro Series Atlanta Falcons</t>
  </si>
  <si>
    <t>jjils</t>
  </si>
  <si>
    <t>Chris Olave / Derek Carr 2024 Donruss Optic #17 Best Tuddys New Orleans Saints</t>
  </si>
  <si>
    <t>jjilu</t>
  </si>
  <si>
    <t>Blake Corum 2024 Donruss Optic #16 Rookie Recruits Los Angeles Rams</t>
  </si>
  <si>
    <t>jjilz</t>
  </si>
  <si>
    <t>Laiatu Latu 2024 Donruss Optic #20 Rookie Recruits Indianapolis Colts</t>
  </si>
  <si>
    <t>jjime</t>
  </si>
  <si>
    <t>Dallas Turner 2024 Donruss Optic #14 2014 Retro Series Minnesota Vikings</t>
  </si>
  <si>
    <t>jjimw</t>
  </si>
  <si>
    <t>Brenden Rice 2024 Donruss Optic #8 Hidden Potential Los Angeles Chargers</t>
  </si>
  <si>
    <t>jjii1</t>
  </si>
  <si>
    <t>2024 Donruss Optic Marvin Harrison Jr. Play Action Rookie Insert #2 RC Cardinals</t>
  </si>
  <si>
    <t>jjih2</t>
  </si>
  <si>
    <t>Kool-Aid McKinstry 2024 Donruss Optic #13 Hidden Potential New Orleans Saints</t>
  </si>
  <si>
    <t>jjigu</t>
  </si>
  <si>
    <t>CeeDee Lamb 2024 Donruss Optic #7 Diamond Hands Dallas Cowboys</t>
  </si>
  <si>
    <t>jji9c</t>
  </si>
  <si>
    <t>Stefon Diggs 2024 Donruss Optic #11 Play Action Houston Texans</t>
  </si>
  <si>
    <t>jji9b</t>
  </si>
  <si>
    <t>DK Metcalf 2024 Donruss Optic #10 Chain Reaction Seattle Seahawks</t>
  </si>
  <si>
    <t>jji98</t>
  </si>
  <si>
    <t>Brian Thomas Jr. 2024 Panini Mosaic #282 Jacksonville Jaguars</t>
  </si>
  <si>
    <t>jjs7w</t>
  </si>
  <si>
    <t>A.J. Brown 2024 Panini Totally Certified #74 Philadelphia Eagles</t>
  </si>
  <si>
    <t>jjs7y</t>
  </si>
  <si>
    <t>James Pearce Jr. 2024 Bowman U Chrome #91 Purple Refractor Volunteers #/399</t>
  </si>
  <si>
    <t>jjs80</t>
  </si>
  <si>
    <t>Michael Pratt 2024 Panini Impeccable #RT-MPT Rookie Towels Gold Packers #2/10</t>
  </si>
  <si>
    <t>jjtj8</t>
  </si>
  <si>
    <t>Robert Williams III 2024-25 Donruss Optic #139 Holo Portland Trail Blazers</t>
  </si>
  <si>
    <t>jke21</t>
  </si>
  <si>
    <t>Alexandre Sarr 2024-25 Donruss Optic #9 My House Holo Washington Wizards</t>
  </si>
  <si>
    <t>jke22</t>
  </si>
  <si>
    <t>Devin Carter 2024-25 Donruss Optic #290 Sacramento Kings</t>
  </si>
  <si>
    <t>jke23</t>
  </si>
  <si>
    <t>Peyton Watson 2024-25 Donruss Optic #216 Holo Denver Nuggets</t>
  </si>
  <si>
    <t>jke24</t>
  </si>
  <si>
    <t>Shai Gilgeous-Alexander 2024-25 Donruss Optic #6 Splash! Oklahoma City Thunder</t>
  </si>
  <si>
    <t>jke25</t>
  </si>
  <si>
    <t>Oso Ighodaro 2024-25 Donruss Optic #258 Phoenix Suns</t>
  </si>
  <si>
    <t>jke27</t>
  </si>
  <si>
    <t>Andre Jackson Jr. 2024-25 Donruss Optic #1 Purple Milwaukee Bucks</t>
  </si>
  <si>
    <t>jke28</t>
  </si>
  <si>
    <t>Anthony Edwards 2024-25 Donruss Optic #7 Express Lane Holo Timberwolves</t>
  </si>
  <si>
    <t>jke29</t>
  </si>
  <si>
    <t>Shai Gilgeous-Alexander 2024-25 Donruss Optic #6 My House Oklahoma City Thunder</t>
  </si>
  <si>
    <t>jke2a</t>
  </si>
  <si>
    <t>AJ Johnson 2024-25 Donruss Optic #277 Milwaukee Bucks</t>
  </si>
  <si>
    <t>jke2b</t>
  </si>
  <si>
    <t>Vasilije Micic 2024-25 Donruss Optic #55 Holo Charlotte Hornets</t>
  </si>
  <si>
    <t>jke2c</t>
  </si>
  <si>
    <t>Kyshawn George 2024-25 Donruss Optic #299 Washington Wizards</t>
  </si>
  <si>
    <t>jke2d</t>
  </si>
  <si>
    <t>Zaccharie Risacher 2024-25 Donruss Optic #4 White Hot Rookies Atlanta Hawks</t>
  </si>
  <si>
    <t>jke2e</t>
  </si>
  <si>
    <t>Zaccharie Risacher 2024-25 Donruss Optic #268 Atlanta Hawks</t>
  </si>
  <si>
    <t>jke2f</t>
  </si>
  <si>
    <t>Devin Booker 2024-25 Donruss Optic #11 Phoenix Suns</t>
  </si>
  <si>
    <t>jke2g</t>
  </si>
  <si>
    <t>Derrick Jones Jr. 2024-25 Donruss Optic #71 Purple Los Angeles Clippers</t>
  </si>
  <si>
    <t>jke2h</t>
  </si>
  <si>
    <t>Pascal Siakam 2024-25 Donruss Optic #187 Holo Indiana Pacers</t>
  </si>
  <si>
    <t>jke2i</t>
  </si>
  <si>
    <t>Collin Sexton 2024-25 Donruss Optic #151 Purple Utah Jazz</t>
  </si>
  <si>
    <t>jke2j</t>
  </si>
  <si>
    <t>Jalen Brunson 2024-25 Donruss Optic #12 My House Holo New York Knicks</t>
  </si>
  <si>
    <t>jke2k</t>
  </si>
  <si>
    <t>Ja'Kobe Walter 2024-25 Donruss Optic #10 My House Toronto Raptors</t>
  </si>
  <si>
    <t>jke2l</t>
  </si>
  <si>
    <t>Pacome Dadiet 2024-25 Donruss Optic #264 Holo New York Knicks</t>
  </si>
  <si>
    <t>jke2m</t>
  </si>
  <si>
    <t>2024 Donruss Optic Justin Herbert Captain In Charge #7 Chargers</t>
  </si>
  <si>
    <t>CDP-E25854F</t>
  </si>
  <si>
    <t>2024 Panini Donruss Optic - Play Action Keon Coleman #5 (RC)</t>
  </si>
  <si>
    <t>CDP-3705098</t>
  </si>
  <si>
    <t>2024 Topps Chrome - Sunday Swag Michael Irvin #SS-12</t>
  </si>
  <si>
    <t>CDP-A9CAFEB</t>
  </si>
  <si>
    <t>2024 Topps Chrome - Rookies Cole Bishop #263 Refractor (RC)</t>
  </si>
  <si>
    <t>CDP-44BBB92</t>
  </si>
  <si>
    <t>2024 Panini Prizm - Matthew Stafford #166 Rams</t>
  </si>
  <si>
    <t>CDP-2D2D160</t>
  </si>
  <si>
    <t>LeBron James 2004 Upper Deck Freshman Season #15 Cavs</t>
  </si>
  <si>
    <t>jmyx6</t>
  </si>
  <si>
    <t>Kel'el Ware 2024-25 Donruss #221 Holo Silver Laser Miami Heat</t>
  </si>
  <si>
    <t>jmyx8</t>
  </si>
  <si>
    <t>Luka Doncic 2024-25 Panini Prizm Deca #5 Downtown Bound Dallas Mavericks</t>
  </si>
  <si>
    <t>jmyxa</t>
  </si>
  <si>
    <t>Julio Rodriguez 2023 Topps #SMLBC-16 Stars of MLB Chrome Seattle Mariners</t>
  </si>
  <si>
    <t>jmyxb</t>
  </si>
  <si>
    <t>Terry McLaurin 2024 Panini Prizm #289 Black and White Checker Commanders</t>
  </si>
  <si>
    <t>jmyxe</t>
  </si>
  <si>
    <t>Saquon Barkley 2023 Panini Select #75 Red and Yellow Prizms Die Cuts Giants</t>
  </si>
  <si>
    <t>jmyxi</t>
  </si>
  <si>
    <t>Drew Sanders 2023 Panini Select #30 Denver Broncos</t>
  </si>
  <si>
    <t>jmyxj</t>
  </si>
  <si>
    <t>Terry McLaurin 2023 Panini Select #99 Washington Commanders</t>
  </si>
  <si>
    <t>jmyxk</t>
  </si>
  <si>
    <t>Will Levis 2023 Panini Select #148 Tennessee Titans</t>
  </si>
  <si>
    <t>jmyxl</t>
  </si>
  <si>
    <t>Lamar Jackson 2023 Panini Select #190 Baltimore Ravens</t>
  </si>
  <si>
    <t>jmyxm</t>
  </si>
  <si>
    <t>Tank Dell 2023 Panini Select #NMB-NTD Select Numbers Houston Texans</t>
  </si>
  <si>
    <t>jmyxn</t>
  </si>
  <si>
    <t>Kenneth Walker III 2023 Panini Select #FUT-KWA Select Future Seattle Seahawks</t>
  </si>
  <si>
    <t>jmyxo</t>
  </si>
  <si>
    <t>Trevor Lawrence 2023 Panini Select #TUR-TLA Turbocharged Jacksonville Jaguars</t>
  </si>
  <si>
    <t>jmyxq</t>
  </si>
  <si>
    <t>Tyson Bagent 2023 Panini Select #CRO-TBA Select Certified Rookies Chicago Bears</t>
  </si>
  <si>
    <t>jmyxr</t>
  </si>
  <si>
    <t>Jake Haener 2023 Panini Select #186 Red and Yellow Prizms Die Cuts Saints</t>
  </si>
  <si>
    <t>jmyxt</t>
  </si>
  <si>
    <t>Justin Herbert 2023 Panini Select #248 Silver Prizms Die Cuts Chargers</t>
  </si>
  <si>
    <t>jmyxu</t>
  </si>
  <si>
    <t>Sean Tucker 2023 Panini Select #220 Tampa Bay Buccaneers</t>
  </si>
  <si>
    <t>jmyxv</t>
  </si>
  <si>
    <t>Henry To'oTo'o 2023 Panini Select #39 Houston Texans</t>
  </si>
  <si>
    <t>jmyxw</t>
  </si>
  <si>
    <t>Jaylen Warren 2023 Panini Select #82 Pittsburgh Steelers</t>
  </si>
  <si>
    <t>jmyxx</t>
  </si>
  <si>
    <t>Aaron Judge 2022 Topps Heritage #44 New York Yankees</t>
  </si>
  <si>
    <t>jpltu</t>
  </si>
  <si>
    <t>Freddie Freeman 2024 Topps Allen &amp; Ginter #62 Los Angeles Dodgers</t>
  </si>
  <si>
    <t>jplun</t>
  </si>
  <si>
    <t>Shota Imanaga 2024 Topps Allen &amp; Ginter #181 Chicago Cubs</t>
  </si>
  <si>
    <t>jplvb</t>
  </si>
  <si>
    <t>Junior Caminero 2024 Topps Chrome #213 Tampa Bay Rays</t>
  </si>
  <si>
    <t>jplw2</t>
  </si>
  <si>
    <t>Junior Caminero 2024 Topps #CSMLB-50 Stars of MLB Chrome Tampa Bay Rays</t>
  </si>
  <si>
    <t>jplwo</t>
  </si>
  <si>
    <t>Junior Caminero 2024 Donruss #18 Unleashed Tampa Bay Rays</t>
  </si>
  <si>
    <t>jplwy</t>
  </si>
  <si>
    <t>Jasson Dominguez 2022 Bowman #BCP-98 Chrome Prospects Mojo Refractors Yankees</t>
  </si>
  <si>
    <t>jplx9</t>
  </si>
  <si>
    <t>Vladimir Guerrero Jr. 2022 Panini Mosaic #HS-5 Hot Sauce Mosaic Blue Jays</t>
  </si>
  <si>
    <t>jplxe</t>
  </si>
  <si>
    <t>Jackson Chourio 2024 Topps Archives #99NB-12 1999 New Breed Brewers</t>
  </si>
  <si>
    <t>jplzf</t>
  </si>
  <si>
    <t>Junior Caminero 2024 Bowman #ROY-8 Rookie of the Year Favorites Tampa Bay Rays</t>
  </si>
  <si>
    <t>jplzk</t>
  </si>
  <si>
    <t>Junior Caminero 2024 Donruss #40 Tampa Bay Rays</t>
  </si>
  <si>
    <t>jplzo</t>
  </si>
  <si>
    <t>Junior Caminero 2024 Bowman #BAI-20 Bowman A.I. Tampa Bay Rays</t>
  </si>
  <si>
    <t>jplzq</t>
  </si>
  <si>
    <t>Junior Caminero 2023 Bowman Platinum #PE-2 Precious Elements Tampa Bay Rays</t>
  </si>
  <si>
    <t>jplzs</t>
  </si>
  <si>
    <t>Junior Caminero 2024 Topps #CTC-13 City to City Tampa Bay Rays</t>
  </si>
  <si>
    <t>jplzy</t>
  </si>
  <si>
    <t>Junior Caminero 2024 Topps Heritage #267 Tampa Bay Rays</t>
  </si>
  <si>
    <t>jpm06</t>
  </si>
  <si>
    <t>Freddie Freeman 2024 Topps Chrome #S-4 Strokes Los Angeles Dodgers</t>
  </si>
  <si>
    <t>jpm0d</t>
  </si>
  <si>
    <t>Juan Soto 2024 Topps Update #T89CU-75 1989 35th Anniversary Chrome Yankees</t>
  </si>
  <si>
    <t>jpm0g</t>
  </si>
  <si>
    <t>Christian Encarnacion-Strand 2024 Topps Update #US201 Royal Blue Cincinnati Reds</t>
  </si>
  <si>
    <t>jpm0j</t>
  </si>
  <si>
    <t>Colt Keith 2024 Topps Allen &amp; Ginter #279 Chrome Detroit Tigers</t>
  </si>
  <si>
    <t>jpm0l</t>
  </si>
  <si>
    <t>It Takes Two: Middle-Infield Maestros 2025 Topps #295 Topps Foil Pattern Reds</t>
  </si>
  <si>
    <t>jpm0q</t>
  </si>
  <si>
    <t>Wyatt Langford 2024 Topps Allen &amp; Ginter #278 Chrome Texas Rangers</t>
  </si>
  <si>
    <t>jpm0r</t>
  </si>
  <si>
    <t>Jasson Domínguez 2024 Topps Chrome #89 New York Yankees</t>
  </si>
  <si>
    <t>jpm0t</t>
  </si>
  <si>
    <t>Mookie Betts 2021 Topps Update #TTA-7 Tek 70th Anniversary Box Topper Dodgers</t>
  </si>
  <si>
    <t>jpm10</t>
  </si>
  <si>
    <t>Dylan Crews 2024 Topps Now #601 Washington Nationals</t>
  </si>
  <si>
    <t>jpm13</t>
  </si>
  <si>
    <t>Jordan Westburg 2024 Topps Update #RRR-WEST Rising Rookies Relics Orioles</t>
  </si>
  <si>
    <t>jpsbu</t>
  </si>
  <si>
    <t>Jordan Lawlar 2024 Topps Update #MLMU-JL Major League Materials Relics</t>
  </si>
  <si>
    <t>jpsbv</t>
  </si>
  <si>
    <t>Noelvi Marte 2024 Topps Update #MLMU-NM Major League Materials Relics Reds</t>
  </si>
  <si>
    <t>jpsbw</t>
  </si>
  <si>
    <t>Heston Kjerstad 2024 Topps Update #RRR-HK Rising Rookies Relics Orioles</t>
  </si>
  <si>
    <t>jpsc0</t>
  </si>
  <si>
    <t>Nolan Schanuel 2024 Topps Update #RRR-NS Rising Rookies Relics Black #/199</t>
  </si>
  <si>
    <t>jpsc1</t>
  </si>
  <si>
    <t>Anthony Rizzo 2024 Topps Update #MLMU-AR Major League Materials Relics Yankees</t>
  </si>
  <si>
    <t>jpsc3</t>
  </si>
  <si>
    <t>Henry Davis 2024 Topps Update #RRR-HD Rising Rookies Relics Pittsburgh Pirates</t>
  </si>
  <si>
    <t>jpsca</t>
  </si>
  <si>
    <t>Kyle Harrison 2024 Topps Update #RRR-KH Rising Rookies Relics Giants</t>
  </si>
  <si>
    <t>jpscg</t>
  </si>
  <si>
    <t>Jordan Westburg 2024 Topps Update #MLMU-JW Major League Materials Relics Orioles</t>
  </si>
  <si>
    <t>jpscm</t>
  </si>
  <si>
    <t>Freddie Freeman 2024 Finest #93-4 What If... 1993 Finest Prototypes Refractors</t>
  </si>
  <si>
    <t>jpsco</t>
  </si>
  <si>
    <t>Riley Greene 2024 Topps Heritage #CCR-RG Clubhouse Collection Relics Tigers</t>
  </si>
  <si>
    <t>jpscq</t>
  </si>
  <si>
    <t>Jackson Chourio 2023 Bowman Inception #19 Milwaukee Brewers</t>
  </si>
  <si>
    <t>jpsct</t>
  </si>
  <si>
    <t>Marcelo Mayer 2023 Bowman Inception #13 Boston Red Sox</t>
  </si>
  <si>
    <t>jpscw</t>
  </si>
  <si>
    <t>Mike Yastrzemski 2020 Bowman #92 San Francisco Giants</t>
  </si>
  <si>
    <t>jpmgt</t>
  </si>
  <si>
    <t>Andrew Vaughn 2022 Bowman #22 Chicago White Sox</t>
  </si>
  <si>
    <t>jpmgv</t>
  </si>
  <si>
    <t>Heliot Ramos 2022 Bowman #BCP-35 Chrome Prospects San Francisco Giants</t>
  </si>
  <si>
    <t>jpmgw</t>
  </si>
  <si>
    <t>Euribiel Angeles 2022 Bowman #BCP-32 Chrome Prospects San Diego Padres</t>
  </si>
  <si>
    <t>jpmgy</t>
  </si>
  <si>
    <t>Robert Hassell 2022 Bowman #BTP-37 Bowman Scouts' Top 100 San Diego Padres</t>
  </si>
  <si>
    <t>jpmgz</t>
  </si>
  <si>
    <t>Aaron Judge 2022 Bowman #2 New York Yankees</t>
  </si>
  <si>
    <t>jpmh2</t>
  </si>
  <si>
    <t>Sal Frelick 2022 Bowman #BCP-149 Chrome Prospects Milwaukee Brewers</t>
  </si>
  <si>
    <t>jpmh4</t>
  </si>
  <si>
    <t>Fran Alduey 2022 Bowman #BCP-39 Chrome Prospects Cleveland Guardians</t>
  </si>
  <si>
    <t>jpmh5</t>
  </si>
  <si>
    <t>Mike Trout 2022 Bowman #32 Los Angeles Angels</t>
  </si>
  <si>
    <t>jpmh7</t>
  </si>
  <si>
    <t>Christian Yelich 2022 Bowman #94 Milwaukee Brewers</t>
  </si>
  <si>
    <t>jpmh9</t>
  </si>
  <si>
    <t>Luis Gil 2022 Bowman #ROYF-15 New York Yankees</t>
  </si>
  <si>
    <t>jpmhb</t>
  </si>
  <si>
    <t>Curtis Mead 2022 Bowman #BCP-10 Chrome Prospects Tampa Bay Rays</t>
  </si>
  <si>
    <t>jpmhc</t>
  </si>
  <si>
    <t>DL Hall 2022 Bowman #BTP-46 Bowman Scouts' Top 100 Baltimore Orioles</t>
  </si>
  <si>
    <t>jpmhe</t>
  </si>
  <si>
    <t>Pedro Leon 2022 Bowman #B3D-18 Bowman in 3D Houston Astros</t>
  </si>
  <si>
    <t>jpmhh</t>
  </si>
  <si>
    <t>Martin Gimenez 2022 Bowman #BCP-97 Chrome Prospects Toronto Blue Jays</t>
  </si>
  <si>
    <t>jpmhk</t>
  </si>
  <si>
    <t>Adrian Morejon 2020 Bowman #BTP-54 Chrome Bowman Scouts Top 100 San Diego Padres</t>
  </si>
  <si>
    <t>jpmhm</t>
  </si>
  <si>
    <t>Franklin Perez 2020 Bowman #BCP-63 Chrome Prospects Detroit Tigers</t>
  </si>
  <si>
    <t>jpmhn</t>
  </si>
  <si>
    <t>Shea Langeliers 2020 Bowman #BCP-21 Chrome Prospects Atlanta Braves</t>
  </si>
  <si>
    <t>jpmhy</t>
  </si>
  <si>
    <t>Max Scherzer 2022 Bowman #91 New York Mets</t>
  </si>
  <si>
    <t>jpmib</t>
  </si>
  <si>
    <t>Julio Rodriguez 2022 Bowman #HIFI-4 Hi-Fi Futures Mojo Refractors Mariners</t>
  </si>
  <si>
    <t>jpmii</t>
  </si>
  <si>
    <t>Kris Bryant 2022 Bowman #98 San Francisco Giants</t>
  </si>
  <si>
    <t>jpmij</t>
  </si>
  <si>
    <t>Jackson Chourio 2022 Bowman #BP-79 Prospects Milwaukee Brewers</t>
  </si>
  <si>
    <t>jpmik</t>
  </si>
  <si>
    <t>Kevin Alcantara 2022 Bowman #BP-31 Prospects Chicago Cubs</t>
  </si>
  <si>
    <t>jpmil</t>
  </si>
  <si>
    <t>Jose Altuve 2020 Bowman #88 Houston Astros</t>
  </si>
  <si>
    <t>jpmin</t>
  </si>
  <si>
    <t>Clayton Kershaw 2020 Bowman #90B-CK 1990 Bowman Los Angeles Dodgers</t>
  </si>
  <si>
    <t>jpmio</t>
  </si>
  <si>
    <t>Fernando Tatis Jr. 2020 Bowman #47 San Diego Padres</t>
  </si>
  <si>
    <t>jpmiq</t>
  </si>
  <si>
    <t>Alex Kirilloff 2020 Bowman #BCP-80 Chrome Prospects Blue Refractor Twins #/150</t>
  </si>
  <si>
    <t>jpmis</t>
  </si>
  <si>
    <t>Yordan Alvarez 2020 Bowman #25 Houston Astros</t>
  </si>
  <si>
    <t>jpmit</t>
  </si>
  <si>
    <t>Xander Bogaerts 2020 Bowman #95 Boston Red Sox</t>
  </si>
  <si>
    <t>jpmiy</t>
  </si>
  <si>
    <t>Adley Rutschman 2020 Bowman #BP-50 Prospects Baltimore Orioles</t>
  </si>
  <si>
    <t>jpmj0</t>
  </si>
  <si>
    <t>Vladimir Guerrero Jr. 2020 Bowman #50 Toronto Blue Jays</t>
  </si>
  <si>
    <t>jpmj2</t>
  </si>
  <si>
    <t>Ronald Acuña Jr. 2020 Bowman #27 Atlanta Braves</t>
  </si>
  <si>
    <t>jpmj3</t>
  </si>
  <si>
    <t>Aristides Aquino 2020 Bowman #79 Cincinnati Reds</t>
  </si>
  <si>
    <t>jpmj4</t>
  </si>
  <si>
    <t>Mookie Betts 2022 Bowman #25 Los Angeles Dodgers</t>
  </si>
  <si>
    <t>jpmj5</t>
  </si>
  <si>
    <t>Xander Bogaerts 2022 Bowman #15 Boston Red Sox</t>
  </si>
  <si>
    <t>jpmj6</t>
  </si>
  <si>
    <t>Pete Alonso 2022 Bowman #87 New York Mets</t>
  </si>
  <si>
    <t>jpmj7</t>
  </si>
  <si>
    <t>Jhonkensy Noel 2022 Bowman #BCP-2 Chrome Prospects Cleveland Guardians</t>
  </si>
  <si>
    <t>jpmj8</t>
  </si>
  <si>
    <t>Brandon Valenzuela 2022 Bowman #BP-28 Prospects Sky Blue San Diego Padres #/499</t>
  </si>
  <si>
    <t>jpmj9</t>
  </si>
  <si>
    <t>Kevin Alcantara 2022 Bowman #VV-11 Virtuosic Vibrations Chicago Cubs</t>
  </si>
  <si>
    <t>jpmjb</t>
  </si>
  <si>
    <t>Elijah Tatis 2022 Bowman #BCP-23 Chrome Prospects Chicago White Sox</t>
  </si>
  <si>
    <t>jpmja</t>
  </si>
  <si>
    <t>Juan Soto 2022 Donruss #20 Holo Orange Washington Nationals</t>
  </si>
  <si>
    <t>jpmjc</t>
  </si>
  <si>
    <t>Jhonkensy Noel 2022 Bowman #BP-2 Prospects Cleveland Guardians</t>
  </si>
  <si>
    <t>jpmje</t>
  </si>
  <si>
    <t>jq0my</t>
  </si>
  <si>
    <t>Colton Cowser 2024 Bowman Chrome Sapphire Edition #33 Baltimore Orioles</t>
  </si>
  <si>
    <t>jq0o4</t>
  </si>
  <si>
    <t>George Brett 2017 Topps Gold Label #55 Kansas City Royals</t>
  </si>
  <si>
    <t>jq0o9</t>
  </si>
  <si>
    <t>Nolan Arenado 2018 Topps Chrome #163 Refractor Colorado Rockies</t>
  </si>
  <si>
    <t>jq0oa</t>
  </si>
  <si>
    <t>Jarren Duran 2022 Bowman Platinum #27 Boston Red Sox</t>
  </si>
  <si>
    <t>jq0ob</t>
  </si>
  <si>
    <t>Jhonkensy Noel 2022 Bowman Heritage #BHPC-31 Chrome Prospects</t>
  </si>
  <si>
    <t>jq0oc</t>
  </si>
  <si>
    <t>Blake Dunn 2024 Bowman Chrome Sapphire Edition #BCP-187 Prospects</t>
  </si>
  <si>
    <t>jq0oe</t>
  </si>
  <si>
    <t>Dairon Blanco 2024 Topps Chrome Update Sapphire Edition #USCS324</t>
  </si>
  <si>
    <t>jq0of</t>
  </si>
  <si>
    <t>Alex Bregman 2024 Topps Chrome #53 Houston Astros</t>
  </si>
  <si>
    <t>jq0og</t>
  </si>
  <si>
    <t>Peter Alonso 2019 Bowman #BCP-127 Chrome Prospects New York Mets</t>
  </si>
  <si>
    <t>jq0oh</t>
  </si>
  <si>
    <t>Jackson Jobe 2021 Bowman's Best #44 Detroit Tigers</t>
  </si>
  <si>
    <t>jq0oi</t>
  </si>
  <si>
    <t>Hunter Greene 2022 Bowman #BTP-47 Bowman Scouts' Top 100 Cincinnati Reds</t>
  </si>
  <si>
    <t>jq0ok</t>
  </si>
  <si>
    <t>Josh Jung 2024 Bowman Chrome Sapphire Edition #99 Texas Rangers</t>
  </si>
  <si>
    <t>jq0on</t>
  </si>
  <si>
    <t>Peter Alonso 2019 Bowman #RFTS-11 Ready for the Show New York Mets</t>
  </si>
  <si>
    <t>jq0om</t>
  </si>
  <si>
    <t>Jazz Chisholm Jr. 2021 Bowman's Best #26 Miami Marlins</t>
  </si>
  <si>
    <t>jq0op</t>
  </si>
  <si>
    <t>Jazz Chisholm 2018 Bowman Draft #BDC-16 Chrome Arizona Diamondbacks</t>
  </si>
  <si>
    <t>jq0oq</t>
  </si>
  <si>
    <t>Marcelo Mayer 2022 Bowman Draft 1st Edition #BD-123 Boston Red Sox</t>
  </si>
  <si>
    <t>jq0or</t>
  </si>
  <si>
    <t>Jackson Jobe 2022 Bowman Draft 1st Edition #BD-99 Detroit Tigers</t>
  </si>
  <si>
    <t>jq0os</t>
  </si>
  <si>
    <t>2024 Bowman Chrome - My 1st Bowman Jacob Wilson #M1B-40 (RC)</t>
  </si>
  <si>
    <t>jq0ot</t>
  </si>
  <si>
    <t>Corbin Burnes 2019 Topps Allen &amp; Ginter #206 Milwaukee Brewers</t>
  </si>
  <si>
    <t>jq0ou</t>
  </si>
  <si>
    <t>Albert Pujols 2015 Topps Update #RS-21 Rookie Sensations St. Louis Cardinals</t>
  </si>
  <si>
    <t>jq0ov</t>
  </si>
  <si>
    <t>Bryce Harper 2018 Bowman's Best #PP-BH Power Producers Washington Nationals</t>
  </si>
  <si>
    <t>jq0ox</t>
  </si>
  <si>
    <t>Bryce Harper 2018 Bowman's Best #5 Washington Nationals</t>
  </si>
  <si>
    <t>jq0oy</t>
  </si>
  <si>
    <t>Xander Bogaerts 2022 Topps Chrome Sapphire Edition #8 Boston Red Sox</t>
  </si>
  <si>
    <t>jq0oz</t>
  </si>
  <si>
    <t>Jordan Lawlar 2023 Bowman 1st Edition #BPPF-92 Arizona Diamondbacks</t>
  </si>
  <si>
    <t>jq0p0</t>
  </si>
  <si>
    <t>Jackson Merrill 2023 Bowman Draft #BD-157 San Diego Padres</t>
  </si>
  <si>
    <t>jq0p1</t>
  </si>
  <si>
    <t>Nolan Arenado 2024 Topps Allen &amp; Ginter #CS-45 Cycle Succession Cardinals</t>
  </si>
  <si>
    <t>TY-3002-jpmsc</t>
  </si>
  <si>
    <t>TY-3004-jpmu6</t>
  </si>
  <si>
    <t>Jackson Merrill 2024 Topps Update #ASG-49 2024 All-Star Game San Diego Padres</t>
  </si>
  <si>
    <t>TY-3006-jpmw6</t>
  </si>
  <si>
    <t>2024 Topps Heritage (James McArthur /McMillon /Cruz /Bowlan) #615 Rangers</t>
  </si>
  <si>
    <t>TY-3007-jpmwg</t>
  </si>
  <si>
    <t>Jazz Chisholm 2020 Bowman #BCP-72 Chrome Prospects Miami Marlins</t>
  </si>
  <si>
    <t>TY-3008-jpmwh</t>
  </si>
  <si>
    <t>Cal Mitchell 2020 Bowman #BCP-43 Chrome Prospects Pittsburgh Pirates</t>
  </si>
  <si>
    <t>TY-3009-jpmwi</t>
  </si>
  <si>
    <t>Willy Adames 2020 Bowman #81 Tampa Bay Rays</t>
  </si>
  <si>
    <t>TY-3010-jpmwl</t>
  </si>
  <si>
    <t>Kris Bryant 2020 Bowman #22 Chicago Cubs</t>
  </si>
  <si>
    <t>TY-3011-jpmwn</t>
  </si>
  <si>
    <t>Ketel Marte 2020 Bowman #3 Arizona Diamondbacks</t>
  </si>
  <si>
    <t>TY-3012-jpmwo</t>
  </si>
  <si>
    <t>Yordan Alvarez 2020 Bowman #ROYF-YA Chrome Rookie of the Year Favorites Astros</t>
  </si>
  <si>
    <t>TY-3013-jpmwq</t>
  </si>
  <si>
    <t>Christian Yelich 2020 Bowman #100 Milwaukee Brewers</t>
  </si>
  <si>
    <t>TY-3014-jpmwr</t>
  </si>
  <si>
    <t>Curtis Mead 2024 Topps #89B-85 1989 Topps Baseball 35th Anniversary Blue Raysys</t>
  </si>
  <si>
    <t>TY-3015-jpmwv</t>
  </si>
  <si>
    <t>Evan Carter 2024 Topps Update #89US-49 35th Anniversary Rangers</t>
  </si>
  <si>
    <t>TY-3016-jpmwx</t>
  </si>
  <si>
    <t>jqi78</t>
  </si>
  <si>
    <t>Gunnar Henderson 2024 Topps Update #LHC-5 Let Him Cook Baltimore Orioles</t>
  </si>
  <si>
    <t>jqi7a</t>
  </si>
  <si>
    <t>Ronald Acuña Jr. 2024 Topps Update #LHC-4 Let Him Cook Atlanta Braves</t>
  </si>
  <si>
    <t>jqi7d</t>
  </si>
  <si>
    <t>Bryce Harper 2024 Topps Update #LHC-9 Let Him Cook Philadelphia Phillies</t>
  </si>
  <si>
    <t>jqi7e</t>
  </si>
  <si>
    <t>Julio Rodríguez 2024 Topps Update #LHC-11 Let Him Cook Seattle Mariners</t>
  </si>
  <si>
    <t>jqi7g</t>
  </si>
  <si>
    <t>Vladimir Guerrero Jr. 2024 Topps Update #LHC-22 Let Him Cook Toronto Blue Jays</t>
  </si>
  <si>
    <t>jqi7j</t>
  </si>
  <si>
    <t>Juan Soto 2024 Topps Update #LHC-24 Let Him Cook New York Yankees</t>
  </si>
  <si>
    <t>jqi7k</t>
  </si>
  <si>
    <t>Dylan Crews 2025 Topps #SMLB-30 Stars of MLB Washington Nationals</t>
  </si>
  <si>
    <t>jqi7n</t>
  </si>
  <si>
    <t>Zach Neto 2024 Topps Chrome #123 Magenta Speckle Refractors Angels #/350</t>
  </si>
  <si>
    <t>jqi7q</t>
  </si>
  <si>
    <t>Jackson Chourio 2024 Topps Chrome Cosmic #179 Milwaukee Brewers</t>
  </si>
  <si>
    <t>jqi7t</t>
  </si>
  <si>
    <t>Masyn Winn 2024 Topps #480 St. Louis Cardinals</t>
  </si>
  <si>
    <t>jqi7s</t>
  </si>
  <si>
    <t>Jasson Domínguez 2024 Topps Chrome Cosmic #89 New York Yankees</t>
  </si>
  <si>
    <t>jqi7u</t>
  </si>
  <si>
    <t>Jackson Holliday 2024 Bowman #BCP-47 Chrome Prospects Mojo Refractors Orioles</t>
  </si>
  <si>
    <t>jqi7x</t>
  </si>
  <si>
    <t>Jordan Westburg 2024 Bowman #42 Fuchsia Baltimore Orioles #/299</t>
  </si>
  <si>
    <t>jqi80</t>
  </si>
  <si>
    <t>Curtis Mead 2024 Bowman #28 Neon Green Tampa Bay Rays #/399</t>
  </si>
  <si>
    <t>jqi82</t>
  </si>
  <si>
    <t>Michael Harris II 2023 Topps #226 Silver Pattern Foilboard Atlanta Braves</t>
  </si>
  <si>
    <t>jqi83</t>
  </si>
  <si>
    <t>jqi8c</t>
  </si>
  <si>
    <t>Wyatt Langford 2024 Bowman #BCP-64 Chrome Prospects Texas Rangers</t>
  </si>
  <si>
    <t>jqi8v</t>
  </si>
  <si>
    <t>Yu Darvish 2024 Topps Chrome #237 Blue Sonar Refractors San Diego Padres #/125</t>
  </si>
  <si>
    <t>jqi8w</t>
  </si>
  <si>
    <t>Christian Encarnacion-Strand 2024 Topps Update #US201 Purple Cincinnati Reds</t>
  </si>
  <si>
    <t>jqi8z</t>
  </si>
  <si>
    <t>Alex Verdugo 2024 Topps Chrome #11 Green Refractors New York Yankees #/99</t>
  </si>
  <si>
    <t>jqi91</t>
  </si>
  <si>
    <t>Juan Soto 2024 Topps Update #BG-9 Topps Black Gold New York Yankees</t>
  </si>
  <si>
    <t>jqi94</t>
  </si>
  <si>
    <t>Heston Kjerstad 2024 Bowman Sterling #BSR-5 Baltimore Orioles</t>
  </si>
  <si>
    <t>jqi9a</t>
  </si>
  <si>
    <t>Jackson Holliday 2024 Topps Pro Debut #PD-27 Norfolk Tides</t>
  </si>
  <si>
    <t>jqi9c</t>
  </si>
  <si>
    <t>Felnin Celesten 2024 Topps Pro Debut #PD-99 Sparkle Foil ACL Mariners #/175</t>
  </si>
  <si>
    <t>jqi9f</t>
  </si>
  <si>
    <t>Ceddanne Rafaela 2024 Topps Chrome #118 Raywave Refractors Boston Red Sox</t>
  </si>
  <si>
    <t>jqia6</t>
  </si>
  <si>
    <t>Gabriel Moreno 2024 Topps Chrome #21 Aqua Lava Refractors Diamondbacks #/199</t>
  </si>
  <si>
    <t>jqiac</t>
  </si>
  <si>
    <t>Henry Davis 2024 Topps #295 Aqua Pittsburgh Pirates</t>
  </si>
  <si>
    <t>jqiae</t>
  </si>
  <si>
    <t>Ronald Acuña Jr. 2024 Topps Update #BG-3 Topps Black Gold Atlanta Braves</t>
  </si>
  <si>
    <t>jqiaf</t>
  </si>
  <si>
    <t>Mookie Betts 2024 Topps Update #LHC-17 Let Him Cook Los Angeles Dodgers</t>
  </si>
  <si>
    <t>jqiag</t>
  </si>
  <si>
    <t>Jordan Beck 2024 Topps Update #T89CU-65 35th Anniversary Chrome Rockies</t>
  </si>
  <si>
    <t>jqiah</t>
  </si>
  <si>
    <t>Casey Schmitt 2024 Topps Chrome #220 Purple Sonar Refractors Giants #/275</t>
  </si>
  <si>
    <t>jqig5</t>
  </si>
  <si>
    <t>2023 Bowman Chrome Aaron Judge #63 New York Yankees</t>
  </si>
  <si>
    <t>jqig8</t>
  </si>
  <si>
    <t>2023 Topps Heritage Aaron Judge #AW-1 Award Winners New York Yankees</t>
  </si>
  <si>
    <t>jqiga</t>
  </si>
  <si>
    <t>2023 Bowman Aaron Judge #59 New York Yankees</t>
  </si>
  <si>
    <t>jqigb</t>
  </si>
  <si>
    <t>2023 Topps Heritage Aaron Judge #NT-2 Now &amp; Then New York Yankees</t>
  </si>
  <si>
    <t>jqigd</t>
  </si>
  <si>
    <t>2021 Topps Chrome Fernando Tatis Jr. #B-10 Beisbol San Diego Padres</t>
  </si>
  <si>
    <t>jqige</t>
  </si>
  <si>
    <t>2023 Leaf Trinity Junior Caminero #72 Tampa Bay Rays</t>
  </si>
  <si>
    <t>jqigg</t>
  </si>
  <si>
    <t>Cade Marlowe 2024 Topps Chrome #266 Purple Sonar Refractors Mariners #/275</t>
  </si>
  <si>
    <t>jqigh</t>
  </si>
  <si>
    <t>jqigi</t>
  </si>
  <si>
    <t>2024 Bowman Ceddanne Rafaela #84 Chrome Mojo Refractors Boston Red Sox</t>
  </si>
  <si>
    <t>jqigk</t>
  </si>
  <si>
    <t>2024 Topps Freddie Freeman #SB-12 Superstar Blueprint Los Angeles Dodgers</t>
  </si>
  <si>
    <t>jqign</t>
  </si>
  <si>
    <t>2024 Topps Update Julio Rodríguez #BG-8 Topps Black Gold Seattle Mariners</t>
  </si>
  <si>
    <t>jqigq</t>
  </si>
  <si>
    <t>Samad Taylor 2024 Topps Chrome #243 Blue Raywave Royals #/150</t>
  </si>
  <si>
    <t>jqigs</t>
  </si>
  <si>
    <t>2023 Panini Prizm Jackson Chourio #FT1 Future Tools Milwaukee Brewers</t>
  </si>
  <si>
    <t>jqigt</t>
  </si>
  <si>
    <t>2023 Panini Prizm Jackson Chourio #105 Milwaukee Brewers</t>
  </si>
  <si>
    <t>jqigw</t>
  </si>
  <si>
    <t>Pascanel Ferreras 2024 Bowman Chrome #BCP-240 Speckle Refractors Astros #/299</t>
  </si>
  <si>
    <t>jrnq5</t>
  </si>
  <si>
    <t>Miguel Palma 2024 Bowman Chrome #BCP-166 Speckle Refractors Astros #/299</t>
  </si>
  <si>
    <t>jrnq8</t>
  </si>
  <si>
    <t>Thayron Liranzo 2024 Bowman Chrome #BCP-182 Speckle Refractors Dodgers #/299</t>
  </si>
  <si>
    <t>jrnqb</t>
  </si>
  <si>
    <t>Luis Guanipa 2024 Bowman Chrome #BCP-233 Refractors Braves #/499</t>
  </si>
  <si>
    <t>jrnqh</t>
  </si>
  <si>
    <t>Sal Frelick 2024 Bowman #39 Neon Green Milwaukee Brewers #/399</t>
  </si>
  <si>
    <t>jrnqf</t>
  </si>
  <si>
    <t>J.P. Crawford 2024 Topps Chrome #14 Purple Speckle Refractors Mariners #/299</t>
  </si>
  <si>
    <t>jrnqi</t>
  </si>
  <si>
    <t>Seiya Suzuki 2024 Topps Chrome #13 Aqua Raywave Refractors Chicago Cubs #/199</t>
  </si>
  <si>
    <t>jrnqk</t>
  </si>
  <si>
    <t>David Bednar 2024 Topps Chrome #60 Purple Sonar Refractors Pirates #/275</t>
  </si>
  <si>
    <t>jrnql</t>
  </si>
  <si>
    <t>Wade Meckler 2024 Topps Chrome #22 Green Raywave Refractors Giants #/99</t>
  </si>
  <si>
    <t>jrnqn</t>
  </si>
  <si>
    <t>Carson Spiers 2024 Topps Chrome #167 Purple Speckle Refractors Reds #/299</t>
  </si>
  <si>
    <t>jrnqp</t>
  </si>
  <si>
    <t>jrnqr</t>
  </si>
  <si>
    <t>2024 Bowman Spencer Nivens #BP-37 Prospects Sky Blue Kansas City Royals #/499</t>
  </si>
  <si>
    <t>jrnqs</t>
  </si>
  <si>
    <t>Naoyuki Uwasawa 2024 Bowman Chrome #BCP-171 Refractors Red Sox #/499</t>
  </si>
  <si>
    <t>jrnqt</t>
  </si>
  <si>
    <t>Brock Wilken 2024 Bowman Chrome #BCP-215 Refractors Brewers #/499</t>
  </si>
  <si>
    <t>jrnqu</t>
  </si>
  <si>
    <t>Rhylan Thomas 2024 Bowman Chrome #BCP-217 Refractors Mets #/499</t>
  </si>
  <si>
    <t>jrnqv</t>
  </si>
  <si>
    <t>Andres Valor 2024 Bowman Chrome #BCP-196 Refractors Miami Marlins #/499</t>
  </si>
  <si>
    <t>jrnqz</t>
  </si>
  <si>
    <t>Elias Medina 2024 Bowman Chrome #BCP-183 Refractors Los Angeles Dodgers #/499</t>
  </si>
  <si>
    <t>jrnr0</t>
  </si>
  <si>
    <t>Alika Williams 2024 Topps Chrome #34 Green Refractors Pittsburgh Pirates #/99</t>
  </si>
  <si>
    <t>jrnr1</t>
  </si>
  <si>
    <t>Nick Gonzales 2024 Topps Chrome #72 Purple Speckle Refractors Pirates #/299</t>
  </si>
  <si>
    <t>jrnr2</t>
  </si>
  <si>
    <t>Ryan Pepiot 2024 Topps Chrome #128 Purple Sonar Refractors Tampa Bay Rays #/275</t>
  </si>
  <si>
    <t>jrnr3</t>
  </si>
  <si>
    <t>Jake Burger 2024 Topps Chrome #108 Magenta Speckle RefractorsMarlins #/350</t>
  </si>
  <si>
    <t>jrnr6</t>
  </si>
  <si>
    <t>Masyn Winn 2024 Bowman Chrome #61 Aqua Mojo Refractors St. Louis Cardinals #/299</t>
  </si>
  <si>
    <t>jrnr7</t>
  </si>
  <si>
    <t>Zack Gelof 2024 Topps Holiday #RC-ZG Relics Oakland Athletics</t>
  </si>
  <si>
    <t>js35s</t>
  </si>
  <si>
    <t>Tucker Toman 2023 Bowman Inception #12 Blue Foil Toronto Blue Jays #/99</t>
  </si>
  <si>
    <t>js35t</t>
  </si>
  <si>
    <t>Yiddi Cappe 2023 Bowman Inception #7 Miami Marlins</t>
  </si>
  <si>
    <t>js35v</t>
  </si>
  <si>
    <t>Jacob Berry 2023 Bowman Inception #81 Miami Marlins</t>
  </si>
  <si>
    <t>js35x</t>
  </si>
  <si>
    <t>Jett Williams 2023 Bowman Inception #62 New York Mets</t>
  </si>
  <si>
    <t>js35y</t>
  </si>
  <si>
    <t>Gabriel Gonzalez 2023 Bowman Inception #32 Seattle Mariners</t>
  </si>
  <si>
    <t>js35z</t>
  </si>
  <si>
    <t>Cristian Santana 2023 Bowman Inception #34 Detroit Tigers</t>
  </si>
  <si>
    <t>js361</t>
  </si>
  <si>
    <t>Henry Bolte 2023 Bowman Inception #99 Oakland Athletics</t>
  </si>
  <si>
    <t>js362</t>
  </si>
  <si>
    <t>Rayner Arias 2023 Bowman Inception #82 San Francisco Giants</t>
  </si>
  <si>
    <t>js363</t>
  </si>
  <si>
    <t>Tucker Toman 2023 Bowman Inception #12 Toronto Blue Jays</t>
  </si>
  <si>
    <t>js365</t>
  </si>
  <si>
    <t>Lazaro Montes 2023 Bowman Inception #64 Gold Foil Seattle Mariners #/50</t>
  </si>
  <si>
    <t>js850</t>
  </si>
  <si>
    <t>2024 Donruss Ethan Salas #6 Retro 1984 Materials Blue Ice San Diego Padres</t>
  </si>
  <si>
    <t>js854</t>
  </si>
  <si>
    <t>Hendry Chivilli 2023 Bowman Inception #14 Fuchsia Foil Minnesota Twins #/75</t>
  </si>
  <si>
    <t>js85b</t>
  </si>
  <si>
    <t>Camilo Diaz 2023 Bowman Inception #44 Blue Foil Houston Astros #/99</t>
  </si>
  <si>
    <t>js859</t>
  </si>
  <si>
    <t>Kevin Parada 2023 Bowman Inception #30 Gold Foil Electricity New York Mets #/50</t>
  </si>
  <si>
    <t>js85c</t>
  </si>
  <si>
    <t>2023 Bowman Inception Druw Jones #10 Arizona Diamondbacks</t>
  </si>
  <si>
    <t>js85e</t>
  </si>
  <si>
    <t>Welbyn Francisca 2023 Bowman Inception #35 Gold Foil Cleveland Guardians #/50</t>
  </si>
  <si>
    <t>js85f</t>
  </si>
  <si>
    <t>Spencer Jones 2023 Bowman Inception #59 New York Yankees</t>
  </si>
  <si>
    <t>js85k</t>
  </si>
  <si>
    <t>2024 Panini Phoenix - Jayden Daniels #198 (RC) Commanders MINT</t>
  </si>
  <si>
    <t>FB-1446-9FE2736</t>
  </si>
  <si>
    <t>2024 Donruss Optic Terry McLaurin #196 Aqua /299 Washington Commanders</t>
  </si>
  <si>
    <t>FB-1382-i7p2o</t>
  </si>
  <si>
    <t>1989 Pro Set - Wayne Fontes #127 (RC)</t>
  </si>
  <si>
    <t>CDP-E62192A</t>
  </si>
  <si>
    <t>1989 Pro Set - Lomas Brown #118</t>
  </si>
  <si>
    <t>CDP-720A38F</t>
  </si>
  <si>
    <t>1989 Pro Set - Ronnie Lippett #252</t>
  </si>
  <si>
    <t>CDP-6EDB51C</t>
  </si>
  <si>
    <t>1989 Pro Set - Steve McMichael #45</t>
  </si>
  <si>
    <t>CDP-768B5A6</t>
  </si>
  <si>
    <t>1989 Pro Set - Robert Lyles #147 (RC)</t>
  </si>
  <si>
    <t>CDP-244A6BC</t>
  </si>
  <si>
    <t>1989 Pro Set - Don Mosebar #189 (RC)</t>
  </si>
  <si>
    <t>CDP-7B34D85</t>
  </si>
  <si>
    <t>1989 Pro Set - Bruce Hill #417 (RC)</t>
  </si>
  <si>
    <t>CDP-6815B41</t>
  </si>
  <si>
    <t>1989 Pro Set - Ferrell Edmunds #214 Name Misspelled as Edmonds (RC)</t>
  </si>
  <si>
    <t>CDP-AFC506D</t>
  </si>
  <si>
    <t>1989 Pro Set Aaron Cox #197</t>
  </si>
  <si>
    <t>CDP-5419691</t>
  </si>
  <si>
    <t>1989 Pro Set - Dexter Manley #430</t>
  </si>
  <si>
    <t>CDP-6800A1E</t>
  </si>
  <si>
    <t>1989 Pro Set - Mike Reichenbach #320</t>
  </si>
  <si>
    <t>CDP-5AF0FFA</t>
  </si>
  <si>
    <t>1989 Pro Set - Phil Simms #291</t>
  </si>
  <si>
    <t>CDP-B707C89</t>
  </si>
  <si>
    <t>1989 Pro Set - Anthony Carter #228</t>
  </si>
  <si>
    <t>CDP-6ACF82A</t>
  </si>
  <si>
    <t>Joe Musgrove 2024 Topps Chrome #192 Purple Sonar Refractors Padres #/275</t>
  </si>
  <si>
    <t>jw1cq</t>
  </si>
  <si>
    <t>Kris Bryant 2024 Topps Chrome #179 Purple Sonar Refractors Rockies #/275</t>
  </si>
  <si>
    <t>jw1cv</t>
  </si>
  <si>
    <t>Trea Turner 2024 Topps Chrome #169 Purple Speckle Refractors Phillies #/299</t>
  </si>
  <si>
    <t>jw1cx</t>
  </si>
  <si>
    <t>Mickey Moniak 2024 Topps Chrome #51 Purple Speckle Refractors Angels #/299</t>
  </si>
  <si>
    <t>jw1d1</t>
  </si>
  <si>
    <t>David Hamilton 2024 Topps Chrome #49 Purple Speckle Refractors Red Sox #/299</t>
  </si>
  <si>
    <t>jw1d4</t>
  </si>
  <si>
    <t>Edouard Julien 2024 Topps Chrome #152 Purple Refractors Minnesota Twins #/250</t>
  </si>
  <si>
    <t>jw1db</t>
  </si>
  <si>
    <t>Jordan Walker 2024 Topps Chrome #212 Purple Sonar Refractors Cardinals #/275</t>
  </si>
  <si>
    <t>jw1df</t>
  </si>
  <si>
    <t>Casey Schmitt 2024 Topps Chrome #220 Purple Refractors Giants #/250</t>
  </si>
  <si>
    <t>jw1dg</t>
  </si>
  <si>
    <t>Jorge Soler 2024 Topps Chrome #223 Magenta Speckle Refractors Giants #/350</t>
  </si>
  <si>
    <t>jw1dh</t>
  </si>
  <si>
    <t>Eury Pérez 2024 Topps Chrome #6 Blue Wave Refractors Miami Marlins #/75</t>
  </si>
  <si>
    <t>jw1di</t>
  </si>
  <si>
    <t>Lawrence Butler 2024 Topps Chrome #5 Purple Sonar Refractors Athletics #/275</t>
  </si>
  <si>
    <t>jw1dj</t>
  </si>
  <si>
    <t>Corbin Burnes 2024 Topps Chrome #3 Blue Raywave Refractors Orioles #/150</t>
  </si>
  <si>
    <t>jw1dk</t>
  </si>
  <si>
    <t>Emiliano Teodo 2024 Bowman Chrome #BCP-180 Prospects Blue Refractors #/150</t>
  </si>
  <si>
    <t>jw1dl</t>
  </si>
  <si>
    <t>Mario Baez 2024 Bowman Chrome #BCP-153 Prospects Fuchsia Shimmer Refractor #/199</t>
  </si>
  <si>
    <t>jw1dm</t>
  </si>
  <si>
    <t>Vladimir Asencio 2024 Bowman Chrome #BCP-227 Prospects Speckle Refractor #/299</t>
  </si>
  <si>
    <t>jw1do</t>
  </si>
  <si>
    <t>Naoyuki Uwasawa 2024 Bowman Chrome #BCP-171 Prospects Refractors Red Sox #/499</t>
  </si>
  <si>
    <t>jw1dq</t>
  </si>
  <si>
    <t>Luis Guanipa 2024 Bowman Chrome #BCP-233 Prospects Aqua Refractors Braves #/125</t>
  </si>
  <si>
    <t>jw1du</t>
  </si>
  <si>
    <t>Osleivis Basabe 2024 Bowman Chrome #76 Aqua Raywave Refractors Rays #/199</t>
  </si>
  <si>
    <t>jw1dw</t>
  </si>
  <si>
    <t>Jensy Rivas 2024 Bowman Chrome #BCP-251 Prospects Refractors New York Mets #/499</t>
  </si>
  <si>
    <t>jw1dx</t>
  </si>
  <si>
    <t>Andres Valor 2024 Bowman Chrome #BCP-196 Prospects Refractors Marlins #/499</t>
  </si>
  <si>
    <t>jw1dz</t>
  </si>
  <si>
    <t>Eduardo Herrera 2024 Bowman Chrome #BCP-228 Prospects Speckle White Sox #/299</t>
  </si>
  <si>
    <t>jw1e0</t>
  </si>
  <si>
    <t>Jeter Martinez 2024 Bowman Chrome #BCP-219 Prospects Speckle Mariners #/299</t>
  </si>
  <si>
    <t>jw1e1</t>
  </si>
  <si>
    <t>Luis Baez 2024 Bowman Chrome #BCP-248 Prospects Speckle Refractors Astros #/299</t>
  </si>
  <si>
    <t>jw1e2</t>
  </si>
  <si>
    <t>Waner Luciano 2024 Bowman Chrome #BCP-208 Prospects Speckle Astros #/299</t>
  </si>
  <si>
    <t>jw1e3</t>
  </si>
  <si>
    <t>Jurdrick Profar 2024 Bowman Chrome #BCP-218 Prospects Refractors White Sox #/499</t>
  </si>
  <si>
    <t>jw1e4</t>
  </si>
  <si>
    <t>Yoendrys Gómez 2024 Topps Chrome #160 Aqua Raywave Refractors Yankees #/199</t>
  </si>
  <si>
    <t>jw1dd</t>
  </si>
  <si>
    <t>Bryan Reynolds 2024 Topps Chrome #146 Aqua Raywave Refractors Pirates #/199</t>
  </si>
  <si>
    <t>jw1dc</t>
  </si>
  <si>
    <t>Brock Wilken 2024 Bowman Chrome #BCP-215 Prospects Refractors Brewers #/499</t>
  </si>
  <si>
    <t>jw1dp</t>
  </si>
  <si>
    <t>Oneil Cruz 2024 Topps Chrome #98 Purple Sonar Refractors Pirates #/275</t>
  </si>
  <si>
    <t>jw1d5</t>
  </si>
  <si>
    <t>Luken Baker 2024 Topps Chrome #132 Aqua Lava Refractors Cardinals #/199</t>
  </si>
  <si>
    <t>jw1cw</t>
  </si>
  <si>
    <t>Daiber De Los Santos 2024 Bowman Chrome #BCP-185 Prospects Aqua Mojo #/299</t>
  </si>
  <si>
    <t>jw1dt</t>
  </si>
  <si>
    <t>Mac Horvath 2024 Bowman #BP-6 Prospects Purple Baltimore Orioles #/250</t>
  </si>
  <si>
    <t>jw1d8</t>
  </si>
  <si>
    <t>Zach Remillard 2024 Topps Chrome #155 Purple Speckle Refractors White Sox #/299</t>
  </si>
  <si>
    <t>jw1da</t>
  </si>
  <si>
    <t>Mario Baez 2024 Bowman Chrome #BCP-153 Prospects Speckle Refractors Braves #/299</t>
  </si>
  <si>
    <t>jw1co</t>
  </si>
  <si>
    <t>Ian Happ 2024 Topps Chrome #184 Purple Sonar Refractors Chicago Cubs #/275</t>
  </si>
  <si>
    <t>jw1ct</t>
  </si>
  <si>
    <t>Quinn Priester 2024 Topps Chrome #55 Aqua Raywave Refractors Pirates #/199</t>
  </si>
  <si>
    <t>jw1d2</t>
  </si>
  <si>
    <t>Coco Montes 2024 Topps Chrome #182 Purple Sonar RefractorsRockies #/275</t>
  </si>
  <si>
    <t>jw1cu</t>
  </si>
  <si>
    <t>Logan Webb 2024 Topps Chrome #168 Purple Refractors San Francisco Giants #/250</t>
  </si>
  <si>
    <t>jw1cy</t>
  </si>
  <si>
    <t>Anthony Huezo 2024 Bowman #BP-108 Prospects Purple Houston Astros #/250</t>
  </si>
  <si>
    <t>jw1d6</t>
  </si>
  <si>
    <t>Eduardo Beltre 2024 Bowman Chrome #BCP-170 Prospects Fuchsia Shimmer Twins #/199</t>
  </si>
  <si>
    <t>jw1dr</t>
  </si>
  <si>
    <t>Hagen Smith 2024 Panini Stars &amp; Stripes #USA-HS USA Materials Prime #/25</t>
  </si>
  <si>
    <t>jx2pp</t>
  </si>
  <si>
    <t>Christopher Morel 2024 Topps Update #MLMU-CM Major League Materials Black #/199</t>
  </si>
  <si>
    <t>jx2pw</t>
  </si>
  <si>
    <t>Giancarlo Stanton 2024 Topps #MLM-GST Major League Material Relics Yankees</t>
  </si>
  <si>
    <t>jx2py</t>
  </si>
  <si>
    <t>Rickey Jackson 1989 Pro Set #270 New Orleans Saints - VINTAGE</t>
  </si>
  <si>
    <t>jxg0b</t>
  </si>
  <si>
    <t>Tim Krumrie 1989 Pro Set #63 Cincinnati Bengals - VINTAGE</t>
  </si>
  <si>
    <t>jxg0d</t>
  </si>
  <si>
    <t>Mike Lansford 1989 Pro Set #204 Los Angeles Rams - VINTAGE</t>
  </si>
  <si>
    <t>jxg0e</t>
  </si>
  <si>
    <t>Pete Metzelaars 1989 Pro Set #24 Buffalo Bills - VINTAGE</t>
  </si>
  <si>
    <t>jxg0f</t>
  </si>
  <si>
    <t>Jay Schroeder 1989 Pro Set #192 Los Angeles Raiders - VINTAGE</t>
  </si>
  <si>
    <t>jxg0g</t>
  </si>
  <si>
    <t>Pat Ryan 1989 Pro Set #306 New York Jets - VINTAGE</t>
  </si>
  <si>
    <t>jxg0h</t>
  </si>
  <si>
    <t>Steve DeBerg 1989 Pro Set #172 Kansas City Chiefs - VINTAGE</t>
  </si>
  <si>
    <t>jxg0j</t>
  </si>
  <si>
    <t>Dermontti Dawson 1989 Pro Set #344 Pittsburgh Steelers - VINTAGE</t>
  </si>
  <si>
    <t>jxg0k</t>
  </si>
  <si>
    <t>Jamie Morris 1989 Pro Set #438 Washington Redskins - VINTAGE</t>
  </si>
  <si>
    <t>jxg0l</t>
  </si>
  <si>
    <t>Eddie Brown 1989 Pro Set #56 Cincinnati Bengals - VINTAGE</t>
  </si>
  <si>
    <t>jxg0m</t>
  </si>
  <si>
    <t>Stan Brock 1989 Pro Set #263 New Orleans Saints - VINTAGE</t>
  </si>
  <si>
    <t>jxg0o</t>
  </si>
  <si>
    <t>Herschel Walker 1989 Pro Set #96 Dallas Cowboys - VINTAGE</t>
  </si>
  <si>
    <t>jxg0p</t>
  </si>
  <si>
    <t>Michael Cofer 1989 Pro Set #119 Detroit Lions - VINTAGE</t>
  </si>
  <si>
    <t>jxg0q</t>
  </si>
  <si>
    <t>Gene Stallings 1989 Pro Set #341 Phoenix Cardinals - VINTAGE</t>
  </si>
  <si>
    <t>jxg0s</t>
  </si>
  <si>
    <t>Freddie Joe Nunn 1989 Pro Set #336 Phoenix Cardinals - VINTAGE</t>
  </si>
  <si>
    <t>jxg0u</t>
  </si>
  <si>
    <t>Steve Largent 1989 Pro Set #396 Seattle Seahawks - VINTAGE</t>
  </si>
  <si>
    <t>jxg0v</t>
  </si>
  <si>
    <t>Vestee Jackson 1989 Pro Set #49 Chicago Bears - VINTAGE</t>
  </si>
  <si>
    <t>jxg0w</t>
  </si>
  <si>
    <t>Gary Anderson 1989 Pro Set #356 San Diego Chargers - VINTAGE</t>
  </si>
  <si>
    <t>jxg0x</t>
  </si>
  <si>
    <t>Jerome Brown 1989 Pro Set #312 Philadelphia Eagles - VINTAGE</t>
  </si>
  <si>
    <t>jxg0y</t>
  </si>
  <si>
    <t>Darryl Talley 1989 Pro Set #31 Buffalo Bills - VINTAGE</t>
  </si>
  <si>
    <t>jxg10</t>
  </si>
  <si>
    <t>Gerald McNeil 1989 Pro Set #81 Cleveland Browns - VINTAGE</t>
  </si>
  <si>
    <t>jxg12</t>
  </si>
  <si>
    <t>Johnny Hector 1989 Pro Set #298 New York Jets - VINTAGE</t>
  </si>
  <si>
    <t>jxg13</t>
  </si>
  <si>
    <t>Tony Zendejas 1989 Pro Set #153 Houston Oilers - VINTAGE</t>
  </si>
  <si>
    <t>jxg15</t>
  </si>
  <si>
    <t>Mike Kenn 1989 Pro Set #11 Atlanta Falcons - VINTAGE</t>
  </si>
  <si>
    <t>jxg16</t>
  </si>
  <si>
    <t>Mark Lee 1989 Pro Set #132 Green Bay Packers - VINTAGE</t>
  </si>
  <si>
    <t>jxg17</t>
  </si>
  <si>
    <t>Lee Williams 1989 Pro Set #367 San Diego Chargers - VINTAGE</t>
  </si>
  <si>
    <t>jxg1a</t>
  </si>
  <si>
    <t>Jim Everett 1989 Pro Set #199 Los Angeles Rams - VINTAGE</t>
  </si>
  <si>
    <t>jxg1c</t>
  </si>
  <si>
    <t>Eddie Murray 1989 Pro Set #124 Detroit Lions - VINTAGE</t>
  </si>
  <si>
    <t>jxg1e</t>
  </si>
  <si>
    <t>Cornelius Bennett 1989 Pro Set #17 Buffalo Bills - VINTAGE</t>
  </si>
  <si>
    <t>jxg1d</t>
  </si>
  <si>
    <t>Warren Moon 1989 Pro Set #149 Houston Oilers - VINTAGE</t>
  </si>
  <si>
    <t>jxg1f</t>
  </si>
  <si>
    <t>Paul Moyer 1989 Pro Set #398 Seattle Seahawks - VINTAGE</t>
  </si>
  <si>
    <t>jxg1g</t>
  </si>
  <si>
    <t>James Geathers 1989 Pro Set #265 New Orleans Saints - VINTAGE</t>
  </si>
  <si>
    <t>jxg1i</t>
  </si>
  <si>
    <t>Stump Mitchell 1989 Pro Set #333 Phoenix Cardinals - VINTAGE</t>
  </si>
  <si>
    <t>jxg1j</t>
  </si>
  <si>
    <t>jxg1k</t>
  </si>
  <si>
    <t>jxg1l</t>
  </si>
  <si>
    <t>Michael Irvin 1989 Pro Set #89 Dallas Cowboys - VINTAGE</t>
  </si>
  <si>
    <t>jxg1m</t>
  </si>
  <si>
    <t>Jackie Slater 1989 Pro Set #207 Los Angeles Rams - VINTAGE</t>
  </si>
  <si>
    <t>jxg1o</t>
  </si>
  <si>
    <t>Chris Chandler 1989 Pro Set #159 Indianapolis Colts - VINTAGE</t>
  </si>
  <si>
    <t>jxg1p</t>
  </si>
  <si>
    <t>John Stephens 1989 Pro Set #257 New England Patriots - VINTAGE</t>
  </si>
  <si>
    <t>jxg1r</t>
  </si>
  <si>
    <t>Fredd Young 1989 Pro Set #165 Indianapolis Colts - VINTAGE</t>
  </si>
  <si>
    <t>jxg1s</t>
  </si>
  <si>
    <t>Everson Walls 1989 Pro Set #97 Dallas Cowboys - VINTAGE</t>
  </si>
  <si>
    <t>jxg1t</t>
  </si>
  <si>
    <t>Bubba Paris 1989 Pro Set #387 San Francisco 49ers - VINTAGE</t>
  </si>
  <si>
    <t>jxg1u</t>
  </si>
  <si>
    <t>Alex Gordon 1989 Pro Set #296 New York Jets - VINTAGE</t>
  </si>
  <si>
    <t>jxg1v</t>
  </si>
  <si>
    <t>Steve Young 1989 Pro Set #388 San Francisco 49ers - VINTAGE</t>
  </si>
  <si>
    <t>jxg1w</t>
  </si>
  <si>
    <t>Jerry Robinson 1989 Pro Set #191 Los Angeles Raiders - VINTAGE</t>
  </si>
  <si>
    <t>jxg1x</t>
  </si>
  <si>
    <t>Randall McDaniel 1989 Pro Set #235 Minnesota Vikings - VINTAGE</t>
  </si>
  <si>
    <t>jxg20</t>
  </si>
  <si>
    <t>Frank Minnifield 1989 Pro Set #82 Cleveland Browns - VINTAGE</t>
  </si>
  <si>
    <t>jxg21</t>
  </si>
  <si>
    <t>Bill Parcells 1989 Pro Set #293 New York Giants - VINTAGE</t>
  </si>
  <si>
    <t>jxg22</t>
  </si>
  <si>
    <t>jxg23</t>
  </si>
  <si>
    <t>Jim McMahon 1989 Pro Set #44 Chicago Bears - VINTAGE</t>
  </si>
  <si>
    <t>jxg24</t>
  </si>
  <si>
    <t>Jerry Burns 1989 Pro Set #243 Minnesota Vikings - VINTAGE</t>
  </si>
  <si>
    <t>jxg25</t>
  </si>
  <si>
    <t>J.T. Smith 1989 Pro Set #339 Phoenix Cardinals - VINTAGE</t>
  </si>
  <si>
    <t>jxg27</t>
  </si>
  <si>
    <t>Raymond Berry 1989 Pro Set #260a New England Patriots - VINTAGE</t>
  </si>
  <si>
    <t>jxg28</t>
  </si>
  <si>
    <t>Ron Meyer 1989 Pro Set #166 Indianapolis Colts - VINTAGE</t>
  </si>
  <si>
    <t>jxg2a</t>
  </si>
  <si>
    <t>George Seifert 1989 Pro Set #389 San Francisco 49ers - VINTAGE</t>
  </si>
  <si>
    <t>jxg2b</t>
  </si>
  <si>
    <t>Louis Lipps 1989 Pro Set #351 Pittsburgh Steelers - VINTAGE</t>
  </si>
  <si>
    <t>jxg2c</t>
  </si>
  <si>
    <t>Jerry Glanville 1989 Pro Set #154 Houston Oilers - VINTAGE</t>
  </si>
  <si>
    <t>jxg2e</t>
  </si>
  <si>
    <t>Erik McMillan 1989 Pro Set #303 New York Jets - VINTAGE</t>
  </si>
  <si>
    <t>jxg2f</t>
  </si>
  <si>
    <t>jxg2g</t>
  </si>
  <si>
    <t>jxg2h</t>
  </si>
  <si>
    <t>jxg2i</t>
  </si>
  <si>
    <t>jxg2j</t>
  </si>
  <si>
    <t>jxg2l</t>
  </si>
  <si>
    <t>jxg2m</t>
  </si>
  <si>
    <t>jxg2n</t>
  </si>
  <si>
    <t>Wayne Fontes 1989 Pro Set #127 Detroit Lions - VINTAGE</t>
  </si>
  <si>
    <t>jxg2p</t>
  </si>
  <si>
    <t>Mark Cannon 1989 Pro Set #130 Green Bay Packers - VINTAGE</t>
  </si>
  <si>
    <t>jxg2r</t>
  </si>
  <si>
    <t>Mike Tomczak 1989 Pro Set #51 Chicago Bears - VINTAGE</t>
  </si>
  <si>
    <t>jxg2s</t>
  </si>
  <si>
    <t>Howie Long 1989 Pro Set #186 Los Angeles Raiders - VINTAGE</t>
  </si>
  <si>
    <t>jxg2t</t>
  </si>
  <si>
    <t>Anthony Carter 1989 Pro Set #228 Minnesota Vikings - VINTAGE</t>
  </si>
  <si>
    <t>jxg2u</t>
  </si>
  <si>
    <t>Chuck Long 1989 Pro Set #122 Detroit Lions - VINTAGE</t>
  </si>
  <si>
    <t>jxg2v</t>
  </si>
  <si>
    <t>Scott Norwood 1989 Pro Set #25 Buffalo Bills - VINTAGE</t>
  </si>
  <si>
    <t>jxg2w</t>
  </si>
  <si>
    <t>Wade Wilson 1989 Pro Set #241 Minnesota Vikings - VINTAGE</t>
  </si>
  <si>
    <t>jxg2x</t>
  </si>
  <si>
    <t>Roland James 1989 Pro Set #251 New England Patriots - VINTAGE</t>
  </si>
  <si>
    <t>jxg2y</t>
  </si>
  <si>
    <t>Ricky Reynolds 1989 Pro Set #416 Tampa Bay Buccaneers - VINTAGE</t>
  </si>
  <si>
    <t>jxg2z</t>
  </si>
  <si>
    <t>Jimmy Johnson 1989 Pro Set #98 Dallas Cowboys - VINTAGE</t>
  </si>
  <si>
    <t>jxg33</t>
  </si>
  <si>
    <t>jxg37</t>
  </si>
  <si>
    <t>Aaron Cox 1989 Pro Set #197 Los Angeles Rams - VINTAGE</t>
  </si>
  <si>
    <t>jxg30</t>
  </si>
  <si>
    <t>Eugene Robinson 1989 Pro Set #401 Seattle Seahawks - VINTAGE</t>
  </si>
  <si>
    <t>jxg3b</t>
  </si>
  <si>
    <t>Gill Byrd 1989 Pro Set #358 San Diego Chargers - VINTAGE</t>
  </si>
  <si>
    <t>jxg3l</t>
  </si>
  <si>
    <t>Leslie O'Neal 1989 Pro Set #365 San Diego Chargers - VINTAGE</t>
  </si>
  <si>
    <t>jxg3q</t>
  </si>
  <si>
    <t>Dave Rimington 1989 Pro Set #321 Philadelphia Eagles - VINTAGE</t>
  </si>
  <si>
    <t>jxg3t</t>
  </si>
  <si>
    <t>Vai Sikahema 1989 Pro Set #338 Phoenix Cardinals - VINTAGE</t>
  </si>
  <si>
    <t>jxg3x</t>
  </si>
  <si>
    <t>Sean Landeta 1989 Pro Set #286 New York Giants - VINTAGE</t>
  </si>
  <si>
    <t>jxg3g</t>
  </si>
  <si>
    <t>Nic Anderson 2024 Bowman University Chrome #136 Pink Lava Refractor Sooners</t>
  </si>
  <si>
    <t>jxh11</t>
  </si>
  <si>
    <t>Bobby Hoying 1998 Bowman's Best #71 Philadelphia Eagles</t>
  </si>
  <si>
    <t>jxh0z</t>
  </si>
  <si>
    <t>Jacob Manu 2024 Bowman University Chrome #81 Arizona Wildcats</t>
  </si>
  <si>
    <t>jxh12</t>
  </si>
  <si>
    <t>jxh13</t>
  </si>
  <si>
    <t>Nic Scourton 2024 Bowman University Chrome #137 Texas A&amp;M Aggies</t>
  </si>
  <si>
    <t>jxh14</t>
  </si>
  <si>
    <t>Kelvin Joseph 2021 Donruss Optic #250 Dallas Cowboys</t>
  </si>
  <si>
    <t>jxh15</t>
  </si>
  <si>
    <t>Tank Bigsby 2023 Panini Select #47 Jacksonville Jaguars</t>
  </si>
  <si>
    <t>jxh16</t>
  </si>
  <si>
    <t>Jer'Zhan Newton 2024 Donruss Optic #252 Washington Commanders</t>
  </si>
  <si>
    <t>jxh17</t>
  </si>
  <si>
    <t>Javon Baker 2024 Donruss Optic #245 New England Patriots</t>
  </si>
  <si>
    <t>jxh18</t>
  </si>
  <si>
    <t>Jaylen Waddle 2021 Donruss Optic #208 Miami Dolphins</t>
  </si>
  <si>
    <t>jxh19</t>
  </si>
  <si>
    <t>Mike Evans 2023 Panini Select #TUR-MEV Turbocharged Tampa Bay Buccaneers</t>
  </si>
  <si>
    <t>jxh1a</t>
  </si>
  <si>
    <t>Babe Ruth 2024 Topps Allen &amp; Ginter #198 Boston Red Sox</t>
  </si>
  <si>
    <t>jxhz9</t>
  </si>
  <si>
    <t>Jordan Lawlar 2024 Topps Allen &amp; Ginter #99 Arizona Diamondbacks</t>
  </si>
  <si>
    <t>jxhza</t>
  </si>
  <si>
    <t>Mickey Mantle 2024 Topps Allen &amp; Ginter #142 New York Yankees</t>
  </si>
  <si>
    <t>jxhzb</t>
  </si>
  <si>
    <t>Austin Wells 2024 Topps Allen &amp; Ginter #53 New York Yankees</t>
  </si>
  <si>
    <t>jxhzc</t>
  </si>
  <si>
    <t>Corbin Burnes 2019 Topps #94 Milwaukee Brewers</t>
  </si>
  <si>
    <t>jxhzd</t>
  </si>
  <si>
    <t>jxhzi</t>
  </si>
  <si>
    <t>Bryce Harper 2018 Topps Update #83-45 1983 Topps Washington Nationals</t>
  </si>
  <si>
    <t>jxhzj</t>
  </si>
  <si>
    <t>Bryce Harper 2020 Topps Future Stars Club - 04 April #1 Philadelphia Phillies</t>
  </si>
  <si>
    <t>jxhzl</t>
  </si>
  <si>
    <t>Derek Jeter 2020 Topps Future Stars Club - 10 October #2 New York Yankees</t>
  </si>
  <si>
    <t>jxhzm</t>
  </si>
  <si>
    <t>Bryce Harper 2020 Topps Future Stars Club - 06 June #1 Philadelphia Phillies</t>
  </si>
  <si>
    <t>jxhzn</t>
  </si>
  <si>
    <t>Detroit Tigers 2022 Topps Chrome Sapphire Edition #640 Detroit Tigers</t>
  </si>
  <si>
    <t>jxhzp</t>
  </si>
  <si>
    <t>Freddie Freeman 2018 Bowman's Best #53 Refractor Atlanta Braves</t>
  </si>
  <si>
    <t>jxhzr</t>
  </si>
  <si>
    <t>Bryce Harper 2018 Bowman's Best #5 Refractor Washington Nationals</t>
  </si>
  <si>
    <t>jxhzs</t>
  </si>
  <si>
    <t>Archie Bradley 2022 Topps Chrome Sapphire Edition #10 Philadelphia Phillies</t>
  </si>
  <si>
    <t>jxhzu</t>
  </si>
  <si>
    <t>Jose Abreu 2022 Topps Chrome Sapphire Edition #84 Chicago White Sox</t>
  </si>
  <si>
    <t>jxhzv</t>
  </si>
  <si>
    <t>jxhzw</t>
  </si>
  <si>
    <t>Erik Gonzalez 2017 Panini Chronicles #144 Blue Cleveland Indians #/299</t>
  </si>
  <si>
    <t>jxhzx</t>
  </si>
  <si>
    <t>jxhzy</t>
  </si>
  <si>
    <t>Wyatt Langford 2024 Topps Allen &amp; Ginter #278 Texas Rangers</t>
  </si>
  <si>
    <t>jxhzz</t>
  </si>
  <si>
    <t>Ronald Acuña Jr. 2020 Topps Archives #241 Atlanta Braves</t>
  </si>
  <si>
    <t>jxi00</t>
  </si>
  <si>
    <t>Albert Pujols 2013 Bowman #50 Gold Los Angeles Angels</t>
  </si>
  <si>
    <t>jxi02</t>
  </si>
  <si>
    <t>Mookie Betts 2021 Topps #T52-6 1952 Topps Redux Los Angeles Dodgers</t>
  </si>
  <si>
    <t>jxi03</t>
  </si>
  <si>
    <t>Albert Pujols 2021 Topps #178 Rainbow Foil Los Angeles Angels</t>
  </si>
  <si>
    <t>jxi04</t>
  </si>
  <si>
    <t>Derek Jeter 1996 Circa #65 New York Yankees</t>
  </si>
  <si>
    <t>jxi05</t>
  </si>
  <si>
    <t>Blake Snell 2022 Topps Chrome #196 Black &amp; White Mini Diamond Refractor Padres</t>
  </si>
  <si>
    <t>jxi07</t>
  </si>
  <si>
    <t>Derek Jeter 2020 Topps Chrome Update #U-67 New York Yankees</t>
  </si>
  <si>
    <t>jxi06</t>
  </si>
  <si>
    <t>Freddie Freeman 2022 Topps Chrome #14 Refractor Atlanta Braves</t>
  </si>
  <si>
    <t>jxi08</t>
  </si>
  <si>
    <t>Yordan Alvarez 2022 Topps Chrome #180 Refractor Houston Astros</t>
  </si>
  <si>
    <t>jxi09</t>
  </si>
  <si>
    <t>DeAndre Hopkins 2024 Panini Mosaic #214 Silver Tennessee Titans</t>
  </si>
  <si>
    <t>VAS-MS000090-k0295</t>
  </si>
  <si>
    <t>Will Levis 2024 Clearly Donruss #49 Pink Tennessee Titans</t>
  </si>
  <si>
    <t>VAS-MS000092-k0297</t>
  </si>
  <si>
    <t>J.C. Latham 2024 Panini Select #11 Green &amp; Yellow Prizm Shock Tennessee Titans</t>
  </si>
  <si>
    <t>VAS-MS000094-k0299</t>
  </si>
  <si>
    <t>Trey McBride 2023 Panini Select #1 Black and Red Prizms Die Cuts Cardinals</t>
  </si>
  <si>
    <t>VAS-MS000095-k029a</t>
  </si>
  <si>
    <t>Joe Alt 2024 Panini Select #159 Silver Prizm Die Cut Los Angeles Chargers</t>
  </si>
  <si>
    <t>VAS-MS000096-k029b</t>
  </si>
  <si>
    <t>Jha'Quan Jackson 2024 Panini Prizm #352 Orange Ice Tennessee Titans</t>
  </si>
  <si>
    <t>VAS-MS000097-k029c</t>
  </si>
  <si>
    <t>T'Vondre Sweat 2024 Topps Chrome #266 X-Fractor Tennessee Titans</t>
  </si>
  <si>
    <t>VAS-MS000098-k029d</t>
  </si>
  <si>
    <t>Joe Alt 2024 Panini Select #82 Red &amp; Blue Prizm Shock Los Angeles Chargers</t>
  </si>
  <si>
    <t>VAS-MS000099-k029e</t>
  </si>
  <si>
    <t>T'Vondre Sweat 2024 Panini Mosaic #338 Mosaic Tennessee Titans</t>
  </si>
  <si>
    <t>VAS-MS000100-k029f</t>
  </si>
  <si>
    <t>Jared Goff 2024 Donruss #3 Action All-Pros Detroit Lions</t>
  </si>
  <si>
    <t>VAS-MS000102-k029h</t>
  </si>
  <si>
    <t>Ladd McConkey 2024 Score #328 Los Angeles Chargers</t>
  </si>
  <si>
    <t>VAS-MS000104-k029j</t>
  </si>
  <si>
    <t>Max Melton 2024 Panini Mosaic #343 Mosaic Reactive Yellow Arizona Cardinals</t>
  </si>
  <si>
    <t>VAS-MS000108-k02w0</t>
  </si>
  <si>
    <t>Max Melton 2024 Panini Mosaic #343 Mosaic Arizona Cardinals</t>
  </si>
  <si>
    <t>VAS-MS000109-k02w1</t>
  </si>
  <si>
    <t>Michael Pittman Jr. 2024 Panini Select #83 Silver Prizm Indianapolis Colts</t>
  </si>
  <si>
    <t>VAS-MS000112-k02w4</t>
  </si>
  <si>
    <t>Troy Franklin 2024 Donruss #18 Rookie Gridiron Kings Denver Broncos</t>
  </si>
  <si>
    <t>VAS-MS000114-k02w6</t>
  </si>
  <si>
    <t>Russell Wilson 2023 Panini Select #129 Black and Red Prizms Die Cuts</t>
  </si>
  <si>
    <t>VAS-MS000113-k02w5</t>
  </si>
  <si>
    <t>Bryce Young 2023 Panini Phoenix #FF-2 Fire Forged Carolina Panthers</t>
  </si>
  <si>
    <t>VAS-MS000119-k02wb</t>
  </si>
  <si>
    <t>T'Vondre Sweat 2024 Panini Phoenix #245 Hyper Tennessee Titans</t>
  </si>
  <si>
    <t>VAS-MS000120-k02wc</t>
  </si>
  <si>
    <t>Amari Cooper 2024 Donruss Elite #34 Status Explosion Cleveland Browns #/875</t>
  </si>
  <si>
    <t>VAS-MS000121-k02wd</t>
  </si>
  <si>
    <t>Will Levis 2024 Panini Prizm #277 Orange Disco Prizm Tennessee Titans</t>
  </si>
  <si>
    <t>VAS-MS000122-k02we</t>
  </si>
  <si>
    <t>Kyler Murray 2023 Panini Select #243 Silver Prizms Arizona Cardinals</t>
  </si>
  <si>
    <t>VAS-MS000125-k02wh</t>
  </si>
  <si>
    <t>DeAndre Hopkins 2024 Panini Prizm #279 Silver Tennessee Titans</t>
  </si>
  <si>
    <t>VAS-MS000126-k02wi</t>
  </si>
  <si>
    <t>Will Levis 2024 Topps Signature Class #SC-4 Star Cast Tennessee Titans</t>
  </si>
  <si>
    <t>VAS-MS000127-k02wj</t>
  </si>
  <si>
    <t>Javonte Williams 2023 Panini Mosaic #68 Green Mosaic Denver Broncos</t>
  </si>
  <si>
    <t>VAS-MS000116-k02w8</t>
  </si>
  <si>
    <t>Will Levis 2023 Panini Contenders #20 Winning Ticket Silver Tennessee Titans</t>
  </si>
  <si>
    <t>VAS-MS000117-k02w9</t>
  </si>
  <si>
    <t>Kurt Warner 2023 Topps Composite #151a Finest Blue Checkerboard Refractor #/99</t>
  </si>
  <si>
    <t>VAS-MS000118-k02wa</t>
  </si>
  <si>
    <t>2024 Panini Instant NIL Dylan Raiola #DRA PSA 9 Nebraska</t>
  </si>
  <si>
    <t>WHT-000003-k1221</t>
  </si>
  <si>
    <t>Nolan Ryan 2018 Topps Archives #268 Texas Rangers</t>
  </si>
  <si>
    <t>TY-KC000002-k3b4v</t>
  </si>
  <si>
    <t>Tom Glavine 1989 Fleer #591 Atlanta Braves</t>
  </si>
  <si>
    <t>TY-KC000003-k3b4w</t>
  </si>
  <si>
    <t>Ben Joyce 2022 Bowman Draft 1st Edition #BD-109 Los Angeles Angels</t>
  </si>
  <si>
    <t>TY-KC000006-k3b4z</t>
  </si>
  <si>
    <t>Nate Lowe 2019 Topps Holiday #HW3 Tampa Bay Rays</t>
  </si>
  <si>
    <t>TY-KC000008-k3b51</t>
  </si>
  <si>
    <t>Jake Bauers 2019 Topps Update #US256 Cleveland Indians</t>
  </si>
  <si>
    <t>TY-KC000010-k3b53</t>
  </si>
  <si>
    <t>Austin Wells 2024 Bowman Chrome #15 New York Yankees</t>
  </si>
  <si>
    <t>TY-KC000011-k3b54</t>
  </si>
  <si>
    <t>Cam Collier 2023 Bowman 1st Edition #BPPF-125 Cincinnati Reds</t>
  </si>
  <si>
    <t>TY-KC000012-k3b55</t>
  </si>
  <si>
    <t>Josue De Paula 2023 Bowman 1st Edition #BPPF-111 Los Angeles Dodgers</t>
  </si>
  <si>
    <t>TY-KC000013-k3b56</t>
  </si>
  <si>
    <t>Jeff McNeil 2019 Topps Holiday #HW86 Metallic New York Mets</t>
  </si>
  <si>
    <t>TY-KC000014-k3b57</t>
  </si>
  <si>
    <t>TY-KC000017-k3b5a</t>
  </si>
  <si>
    <t>Will Smith 2019 Topps Holiday #HW99 Los Angeles Dodgers</t>
  </si>
  <si>
    <t>TY-KC000018-k3b5b</t>
  </si>
  <si>
    <t>Will Smith 2019 Topps Update #US199 Los Angeles Dodgers</t>
  </si>
  <si>
    <t>TY-KC000019-k3b5c</t>
  </si>
  <si>
    <t>Luis Arraez 2019 Topps Update #US247 Minnesota Twins</t>
  </si>
  <si>
    <t>TY-KC000020-k3b5d</t>
  </si>
  <si>
    <t>TY-KC000021-k3b5e</t>
  </si>
  <si>
    <t>Yusei Kikuchi 2019 Topps Holiday #HW19 Seattle Mariners</t>
  </si>
  <si>
    <t>TY-KC000022-k3b5f</t>
  </si>
  <si>
    <t>Kody Clemens 2018 Bowman Draft #BDC-121 Chrome Detroit Tigers</t>
  </si>
  <si>
    <t>TY-KC000025-k3b5i</t>
  </si>
  <si>
    <t>Malachi Corley 2024 Panini Illusions #20 Mystique Emerald New York Jets</t>
  </si>
  <si>
    <t>VAS-MS000128-k4z61</t>
  </si>
  <si>
    <t>Sam LaPorta 2024 Donruss #4 Gridiron Kings Detroit Lions</t>
  </si>
  <si>
    <t>VAS-MS000149-k500e</t>
  </si>
  <si>
    <t>Xavier Worthy 2024 Topps Chrome #CAE-XW Chrome All-Etch Refractor Chiefs</t>
  </si>
  <si>
    <t>VAS-MS000129-k4z65</t>
  </si>
  <si>
    <t>DK Metcalf 2023 Panini Select #170 Black and Red Prizms Die Cuts Seahawks</t>
  </si>
  <si>
    <t>VAS-MS000150-k500f</t>
  </si>
  <si>
    <t>Michael Lewis 2002 Topps Chrome #179 Philadelphia Eagles</t>
  </si>
  <si>
    <t>VAS-MS000130-k4z68</t>
  </si>
  <si>
    <t>Brett Favre 1991 Upper Deck #647 Atlanta Falcons</t>
  </si>
  <si>
    <t>VAS-MS000151-k500g</t>
  </si>
  <si>
    <t>Cornelius Johnson 2024 Donruss #377 Optic Red Pandora Chargers</t>
  </si>
  <si>
    <t>VAS-MS000131-k4z6a</t>
  </si>
  <si>
    <t>Jayden Daniels 2024 Topps Chrome #FS-2 Future Stars Washington Commanders</t>
  </si>
  <si>
    <t>VAS-MS000152-k500h</t>
  </si>
  <si>
    <t>Michael Pittman Jr. 2024 Panini Select #83 Black &amp; Red Prizm Shock Colts</t>
  </si>
  <si>
    <t>VAS-MS000132-k4z6b</t>
  </si>
  <si>
    <t>Bryce Young 2023 Panini Select #NMB-BYO Numbers Carolina Panthers</t>
  </si>
  <si>
    <t>VAS-MS000133-k4z6c</t>
  </si>
  <si>
    <t>Laiatu Latu 2024 Finest #58 Refractor Indianapolis Colts</t>
  </si>
  <si>
    <t>VAS-MS000153-k500i</t>
  </si>
  <si>
    <t>Trevor Lawrence 2024 Panini Mosaic #M-7 Montage Mosaic Jacksonville Jaguars</t>
  </si>
  <si>
    <t>VAS-MS000134-k4z6d</t>
  </si>
  <si>
    <t>Trevor Lawrence 2021 Donruss Optic #TR-1 The Rookies Jacksonville Jaguars</t>
  </si>
  <si>
    <t>VAS-MS000135-k4z6e</t>
  </si>
  <si>
    <t>Trevor Lawrence 2021 Donruss Optic #RGK-1 Rookie Gridiron Kings Jaguars</t>
  </si>
  <si>
    <t>VAS-MS000136-k4z6f</t>
  </si>
  <si>
    <t>Blake Corum 2024 Panini Draft Picks #NR-BCM New Recruits Red Ice Wolverines</t>
  </si>
  <si>
    <t>VAS-MS000156-k500p</t>
  </si>
  <si>
    <t>Rome Odunze 2024 Panini Prizm #11 Emergent Green Wave Prizm Chicago Bears</t>
  </si>
  <si>
    <t>VAS-MS000138-k4z6h</t>
  </si>
  <si>
    <t>Braden Fiske 2024 Panini Select #171 Red &amp; Blue Prizm Shock Los Angeles Rams</t>
  </si>
  <si>
    <t>VAS-MS000139-k4z6i</t>
  </si>
  <si>
    <t>Baker Mayfield 2024 Donruss #34 Dominators Tampa Bay Buccaneers</t>
  </si>
  <si>
    <t>VAS-MS000159-k500t</t>
  </si>
  <si>
    <t>Bo Jackson 1990 Score #591 Los Angeles Raiders</t>
  </si>
  <si>
    <t>VAS-MS000140-k4z6j</t>
  </si>
  <si>
    <t>Justin Herbert 2024 Donruss #6 Dominators Los Angeles Chargers</t>
  </si>
  <si>
    <t>VAS-MS000160-k500u</t>
  </si>
  <si>
    <t>Lamar Jackson 2023 Panini Select #241 Red and Blue Prizms Die Cuts Ravens</t>
  </si>
  <si>
    <t>VAS-MS000141-k4z6k</t>
  </si>
  <si>
    <t>Justin Fields 2021 Panini Illusions #SS-14 Shining Stars Chicago Bears</t>
  </si>
  <si>
    <t>VAS-MS000161-k500v</t>
  </si>
  <si>
    <t>George Kittle 2021 Panini Select #HT-17 Hidden Talents San Francisco 49ers</t>
  </si>
  <si>
    <t>VAS-MS000142-k4z6l</t>
  </si>
  <si>
    <t>Tee Higgins 2020 Panini Playbook #110 Cincinnati Bengals</t>
  </si>
  <si>
    <t>VAS-MS000162-k500w</t>
  </si>
  <si>
    <t>Derrick Henry 2024 Panini Absolute #8 Blue Baltimore Ravens</t>
  </si>
  <si>
    <t>VAS-MS000143-k4z6m</t>
  </si>
  <si>
    <t>David Njoku 2024 Panini Select #145 Black &amp; Green Prizm Shock Cleveland Browns</t>
  </si>
  <si>
    <t>VAS-MS000144-k4z6n</t>
  </si>
  <si>
    <t>Malachi Corley 2024 Panini Prizm #369 Red White and Blue New York Jets</t>
  </si>
  <si>
    <t>VAS-MS000164-k500y</t>
  </si>
  <si>
    <t>Jared Goff 2024 Panini Mosaic #71 Mosaic Reactive Yellow Detroit Lions</t>
  </si>
  <si>
    <t>VAS-MS000145-k4z6o</t>
  </si>
  <si>
    <t>Antonio Gandy-Golden 2020 Panini Select #83 Silver Prizm</t>
  </si>
  <si>
    <t>VAS-MS000165-k500z</t>
  </si>
  <si>
    <t>Patrick Mahomes II 2024 Panini Select #1 Turbocharged Kansas City Chiefs</t>
  </si>
  <si>
    <t>VAS-MS000146-k4z6p</t>
  </si>
  <si>
    <t>Brian Branch 2024 Panini Select #129 Silver Prizm Die Cut Detroit Lions</t>
  </si>
  <si>
    <t>VAS-MS000166-k5010</t>
  </si>
  <si>
    <t>Bryce Young 2023 Topps Composite #158 Carolina Panthers</t>
  </si>
  <si>
    <t>VAS-MS000147-k4z6q</t>
  </si>
  <si>
    <t>2018 Bowman Draft Parker Meadows #BDC-28 Chrome Detroit Tigers</t>
  </si>
  <si>
    <t>TY-KC000026-k3b5j</t>
  </si>
  <si>
    <t>Chris Oliver 2014 Bowman Draft #CDP106 Chrome Blue Refractors Phillies #/399</t>
  </si>
  <si>
    <t>TY-KC000027-k3b5k</t>
  </si>
  <si>
    <t>Lane Thomas 2014 Bowman Draft #CDP124 Chrome Blue Refractors Blue Jays #/399</t>
  </si>
  <si>
    <t>TY-KC000028-k3b5l</t>
  </si>
  <si>
    <t>Willy Adames 2018 Panini Chronicles #183 Optic Rated Rookies Prizm Rays</t>
  </si>
  <si>
    <t>TY-KC000029-k3b5m</t>
  </si>
  <si>
    <t>Brady Singer 2018 Bowman Draft #BD-135 Kansas City Royals</t>
  </si>
  <si>
    <t>TY-KC000030-k3b5n</t>
  </si>
  <si>
    <t>Greg Maddux 2021 Topps #86BC-25 1986 Topps Baseball 35th Anniversary Braves</t>
  </si>
  <si>
    <t>TY-KC000031-k3b5o</t>
  </si>
  <si>
    <t>Chipper Jones 2021 Topps #86BC-64 1986 Topps Baseball 35th Anniversary Braves</t>
  </si>
  <si>
    <t>TY-KC000032-k3b5p</t>
  </si>
  <si>
    <t>Hank Aaron 2021 Topps #86BC-7 1986 Topps Baseball 35th Anniversary Braves</t>
  </si>
  <si>
    <t>TY-KC000033-k3b5q</t>
  </si>
  <si>
    <t>George Brett 2021 Topps #86BC-48 1986 Topps Baseball 35th Anniversary Royals</t>
  </si>
  <si>
    <t>TY-KC000034-k3b5r</t>
  </si>
  <si>
    <t>Willy Adames 2018 Topps Archives #95 Tampa Bay Rays</t>
  </si>
  <si>
    <t>TY-KC000035-k3b5s</t>
  </si>
  <si>
    <t>Willy Adames 2018 Bowman's Best #55 Tampa Bay Rays</t>
  </si>
  <si>
    <t>TY-KC000036-k3b5t</t>
  </si>
  <si>
    <t>Michael Feliz 2014 Bowman Draft #CTP-76 Chrome Blue Refractors Astros #/399</t>
  </si>
  <si>
    <t>TY-KC000037-k3b5u</t>
  </si>
  <si>
    <t>Kyle Tucker 2018 Bowman Chrome #AFL-KT 2017 AFL Fall Stars Houston Astros</t>
  </si>
  <si>
    <t>TY-KC000038-k3b5v</t>
  </si>
  <si>
    <t>Sandy Alcantara 2018 Topps Chrome #128 Refractor Miami Marlins</t>
  </si>
  <si>
    <t>TY-KC000039-k3b5w</t>
  </si>
  <si>
    <t>Kyle Tucker 2019 Topps Fire #70 Houston Astros</t>
  </si>
  <si>
    <t>TY-KC000040-k3b5x</t>
  </si>
  <si>
    <t>Jorge Soler 2020 Bowman's Best #68 Atomic Refractor Kansas City Royals</t>
  </si>
  <si>
    <t>TY-KC000041-k3b5y</t>
  </si>
  <si>
    <t>Triston Casas 2018 Bowman Draft #98B-TC  Boston Red Sox</t>
  </si>
  <si>
    <t>TY-KC000042-k3b5z</t>
  </si>
  <si>
    <t>Nolan Gorman / Triston Casas 2018 Bowman Draft #RV-GC Recommended Viewing</t>
  </si>
  <si>
    <t>TY-KC000043-k3b60</t>
  </si>
  <si>
    <t>Mick Abel 2021 Bowman #BCP-42 Chrome Prospects Philadelphia Phillies</t>
  </si>
  <si>
    <t>TY-KC000044-k3b61</t>
  </si>
  <si>
    <t>Marcus Stroman 2012 Bowman #BDPP35 Chrome Draft Picks Blue Jays</t>
  </si>
  <si>
    <t>TY-KC000045-k3b62</t>
  </si>
  <si>
    <t>William Contreras 2021 Panini Diamond Kings #34 Atlanta Braves</t>
  </si>
  <si>
    <t>TY-KC000046-k3b63</t>
  </si>
  <si>
    <t>Akil Baddoo 2022 Topps Chrome Sapphire Edition #402 Detroit Tigers</t>
  </si>
  <si>
    <t>TY-KC000048-k3b65</t>
  </si>
  <si>
    <t>Shane McClanahan 2022 Topps Chrome Sapphire Edition #244 Tampa Bay Rays</t>
  </si>
  <si>
    <t>TY-KC000049-k3b66</t>
  </si>
  <si>
    <t>Jorge Alfaro 2022 Topps Chrome Sapphire Edition #36 Miami Marlins</t>
  </si>
  <si>
    <t>TY-KC000050-k3b67</t>
  </si>
  <si>
    <t>Stephen Strasburg 2022 Topps Chrome Sapphire Edition #492 Washington Nationals</t>
  </si>
  <si>
    <t>TY-KC000051-k3b68</t>
  </si>
  <si>
    <t>2021 Panini Mosaic Kyler Murray #WW-3 Will to Win Arizona Cardinals</t>
  </si>
  <si>
    <t>VAS-MS000169-k6b8e</t>
  </si>
  <si>
    <t>2024 Panini Photogenic Blake Corum #3 Rookie Pix Los Angeles Rams</t>
  </si>
  <si>
    <t>VAS-MS000173-k6b8i</t>
  </si>
  <si>
    <t>2022 Panini Select Draft Picks Nick Chubb #145 Gold Lazer Prizm Georgia Bulldogs</t>
  </si>
  <si>
    <t>VAS-MS000182-k6b8r</t>
  </si>
  <si>
    <t>Philip Rivers 2022 Panini Select Draft Picks #62 Blue NC State Wolfpack</t>
  </si>
  <si>
    <t>VAS-MS000186-k6b8v</t>
  </si>
  <si>
    <t>2022 Panini Select Draft Picks Isaiah Spiller #116 Blue Texas A&amp;M Aggies</t>
  </si>
  <si>
    <t>VAS-MS000191-k6b90</t>
  </si>
  <si>
    <t>2022 Panini Select Draft Picks CeeDee Lamb #165 Oklahoma Sooners</t>
  </si>
  <si>
    <t>VAS-MS000195-k6b94</t>
  </si>
  <si>
    <t>Aaron Rodgers 2022 Panini Select Draft Picks #28 California Golden Bears</t>
  </si>
  <si>
    <t>VAS-MS000197-k6b96</t>
  </si>
  <si>
    <t>2023 Panini Select Draft Picks Jahmyr Gibbs #10 Blue Retail Alabama Crimson Tide</t>
  </si>
  <si>
    <t>VAS-MS000201-k6b9a</t>
  </si>
  <si>
    <t>2021 Panini Select Rondale Moore #158 Arizona Cardinals</t>
  </si>
  <si>
    <t>VAS-MS000203-k6b9c</t>
  </si>
  <si>
    <t>2017 Panini Illusions Corey Davis #MY-4 Mystique Tennessee Titans</t>
  </si>
  <si>
    <t>VAS-MS000204-k6b9d</t>
  </si>
  <si>
    <t>2024 Panini Mosaic Jared Goff #71 Mosaic Reactive Blue Detroit Lions</t>
  </si>
  <si>
    <t>VAS-MS000206-k6b9f</t>
  </si>
  <si>
    <t>2024 Panini Mosaic Xavier Worthy #328 Silver Kansas City Chiefs</t>
  </si>
  <si>
    <t>VAS-MS000207-k6b9g</t>
  </si>
  <si>
    <t>2024 Panini Instant NFL Spotlight Rookies Bucky Irving #SR-9 Buccaneers</t>
  </si>
  <si>
    <t>VAS-MS000208-k6b9h</t>
  </si>
  <si>
    <t>2024 Donruss Malachi Corley #9 Rookie Gridiron Kings New York Jets</t>
  </si>
  <si>
    <t>VAS-MS000209-k6b9i</t>
  </si>
  <si>
    <t>2024 Panini Mosaic Dak Prescott #253 Dallas Cowboys</t>
  </si>
  <si>
    <t>VAS-MS000214-k6b9n</t>
  </si>
  <si>
    <t>2024 Panini Prizm Draft Picks Brady Cook #187 Red Ice Missouri Tigers</t>
  </si>
  <si>
    <t>VAS-MS000215-k6b9o</t>
  </si>
  <si>
    <t>Dak Prescott 2022 Panini Select Draft Picks #134 Blue Bulldogs</t>
  </si>
  <si>
    <t>VAS-MS000198-k6b97</t>
  </si>
  <si>
    <t>2022 Panini Select Draft Picks Ahmad Gardner #54 Blue Bearcats</t>
  </si>
  <si>
    <t>VAS-MS000202-k6b9b</t>
  </si>
  <si>
    <t>2024 Panini Select Malik Willis #180 Silver Prizm Die Cut Green Bay Packers</t>
  </si>
  <si>
    <t>VAS-MS000205-k6b9e</t>
  </si>
  <si>
    <t>2024 Panini Select Jayden Reed #68 Black &amp; Red Prizm Shock Green Bay Packers</t>
  </si>
  <si>
    <t>VAS-MS000212-k6b9l</t>
  </si>
  <si>
    <t>2021 Panini Mosaic Bo Jackson #WW-20 Will to Win Los Angeles Raiders</t>
  </si>
  <si>
    <t>VAS-MS000213-k6b9m</t>
  </si>
  <si>
    <t>2023 Bowman University Chrome Shedeur Sanders #55BF-28 Buffaloes</t>
  </si>
  <si>
    <t>VAS-MS000216-k6b9p</t>
  </si>
  <si>
    <t>2025 Donruss Elite Saquon Barkley #6 Spellbound Green Philadelphia Eagles</t>
  </si>
  <si>
    <t>VAS-MS000217-k6b9q</t>
  </si>
  <si>
    <t>2024 Panini Select Baker Mayfield #108 Silver Prizm Die Cut Tampa Bay Buccaneers</t>
  </si>
  <si>
    <t>VAS-MS000175-k6b8k</t>
  </si>
  <si>
    <t>2024 Panini Phoenix CeeDee Lamb #21 Purple Dallas Cowboys</t>
  </si>
  <si>
    <t>VAS-MS000177-k6b8m</t>
  </si>
  <si>
    <t>2024 Panini Rookies &amp; Stars J.J. McCarthy #RR-JMY Rookie Rush Minnesota Vikings</t>
  </si>
  <si>
    <t>VAS-MS000178-k6b8n</t>
  </si>
  <si>
    <t>2024 Donruss Blake Corum #35 Rated Rookies Throwback Los Angeles Rams</t>
  </si>
  <si>
    <t>VAS-MS000179-k6b8o</t>
  </si>
  <si>
    <t>2020 Panini Illusions Tee Higgins #21 Cincinnati Bengals</t>
  </si>
  <si>
    <t>VAS-MS000180-k6b8p</t>
  </si>
  <si>
    <t>2024 Panini Mosaic Josh Allen #254 Buffalo Bills</t>
  </si>
  <si>
    <t>VAS-MS000183-k6b8s</t>
  </si>
  <si>
    <t>2023 Panini Select Draft Picks Shaun Alexander #28 Alabama Crimson Tide</t>
  </si>
  <si>
    <t>VAS-MS000187-k6b8w</t>
  </si>
  <si>
    <t>2022 Panini Select Draft Picks Ricky Williams #185 Blue Texas Longhorns</t>
  </si>
  <si>
    <t>VAS-MS000188-k6b8x</t>
  </si>
  <si>
    <t>2022 Panini Select Draft Picks Micah Parsons #85 Blue Penn State Nittany Lions</t>
  </si>
  <si>
    <t>VAS-MS000192-k6b91</t>
  </si>
  <si>
    <t>2022 Panini Select Draft Picks Josh Allen #100 Blue Wyoming Cowboys</t>
  </si>
  <si>
    <t>VAS-MS000193-k6b92</t>
  </si>
  <si>
    <t>2022 Panini Select Draft Picks Brett Favre #51 Blue Golden Eagles</t>
  </si>
  <si>
    <t>VAS-MS000194-k6b93</t>
  </si>
  <si>
    <t>VAS-MS000219-k74lu</t>
  </si>
  <si>
    <t>2021 Panini Chronicles Trevor Lawrence #47 Jacksonville Jaguars</t>
  </si>
  <si>
    <t>VAS-MS000221-k74m0</t>
  </si>
  <si>
    <t>2018 Panini Playoff Anthony Miller #15 Rookie Wave Chicago Bears</t>
  </si>
  <si>
    <t>VAS-MS000223-k74ma</t>
  </si>
  <si>
    <t>2020 Panini Chronicles Tua Tagovailoa #442 2020 Score Update Rookies Dolphins</t>
  </si>
  <si>
    <t>VAS-MS000225-k74mf</t>
  </si>
  <si>
    <t>2024 Donruss Xavier Worthy #VOR-XWO Vortex Kansas City Chiefs</t>
  </si>
  <si>
    <t>VAS-MS000227-k74mk</t>
  </si>
  <si>
    <t>2024 Donruss Michael Penix Jr. #VOR-MPJ Vortex Atlanta Falcons</t>
  </si>
  <si>
    <t>VAS-MS000228-k74mn</t>
  </si>
  <si>
    <t>VAS-MS000231-k74n0</t>
  </si>
  <si>
    <t>2024 Panini Select Cameron Jordan #16 Red &amp; Blue Prizm Shock New Orleans Saints</t>
  </si>
  <si>
    <t>VAS-MS000230-k74mw</t>
  </si>
  <si>
    <t>2021 Panini Chronicles Trevor Lawrence #STS-TLR Stars and Stripes Jaguars</t>
  </si>
  <si>
    <t>VAS-MS000232-k74n3</t>
  </si>
  <si>
    <t>2021 Panini Prestige Tom Brady #184 Tampa Bay Buccaneers</t>
  </si>
  <si>
    <t>VAS-MS000233-k74n6</t>
  </si>
  <si>
    <t>1992 Upper Deck Deion Sanders #567 Atlanta Falcons</t>
  </si>
  <si>
    <t>VAS-MS000239-k74nt</t>
  </si>
  <si>
    <t>2023 Panini Prizm Jaylen Waddle #185 Green Miami Dolphins</t>
  </si>
  <si>
    <t>VAS-MS000241-k74nx</t>
  </si>
  <si>
    <t>2019 Donruss Brett Favre #AGK-4 All-Time Gridiron Kings Green Bay Packers</t>
  </si>
  <si>
    <t>VAS-MS000244-k74o2</t>
  </si>
  <si>
    <t>2024 Panini Prizm Draft Picks Dillon Gabriel #197 Oklahoma Sooners</t>
  </si>
  <si>
    <t>VAS-MS000243-k74o0</t>
  </si>
  <si>
    <t>2024 Donruss Lamar Jackson #1 Retro 2004 Baltimore Ravens</t>
  </si>
  <si>
    <t>VAS-MS000245-k74o7</t>
  </si>
  <si>
    <t>2024 Panini Prizm Draft Picks J. Michael Sturdivant #SO-JMS Red Ice Bruins</t>
  </si>
  <si>
    <t>VAS-MS000246-k74ob</t>
  </si>
  <si>
    <t>1990 Score Bo Jackson #1 Los Angeles Raiders</t>
  </si>
  <si>
    <t>VAS-MS000247-k74od</t>
  </si>
  <si>
    <t>2024 Donruss Optic Xavier Legette #299 Pink Carolina Panthers</t>
  </si>
  <si>
    <t>VAS-MS000248-k74og</t>
  </si>
  <si>
    <t>2024 Panini Prizm Draft Picks J. Michael Sturdivant #195 Red Ice UCLA Bruins</t>
  </si>
  <si>
    <t>VAS-MS000249-k74oj</t>
  </si>
  <si>
    <t>2024 Donruss Bucky Irving #301 Press Proof Blue Tampa Bay Buccaneers</t>
  </si>
  <si>
    <t>VAS-MS000251-k74on</t>
  </si>
  <si>
    <t>2024 Donruss Jalen Hurts #21 Best of Panini Instant Philadelphia Eagles</t>
  </si>
  <si>
    <t>VAS-MS000252-k74op</t>
  </si>
  <si>
    <t>2025 Score Travis Hunter #5 Anniversary Rookies Jacksonville Jaguars</t>
  </si>
  <si>
    <t>VAS-MS000255-k74ov</t>
  </si>
  <si>
    <t>2022 Panini Mosaic Jerry Jeudy #60 Mosaic Reactive Orange Denver Broncos</t>
  </si>
  <si>
    <t>VAS-MS000222-k74m3</t>
  </si>
  <si>
    <t>2024 Donruss Optic J.J. McCarthy #2 Light It Up Minnesota Vikings</t>
  </si>
  <si>
    <t>VAS-MS000224-k74md</t>
  </si>
  <si>
    <t>2022 Panini Illusions Zamir White #M-23 Mystique Emerald Las Vegas Raiders</t>
  </si>
  <si>
    <t>VAS-MS000236-k74nm</t>
  </si>
  <si>
    <t>2024 Donruss Blake Corum #17 Rookie Gridiron Kings Los Angeles Rams</t>
  </si>
  <si>
    <t>VAS-MS000240-k74nv</t>
  </si>
  <si>
    <t>2021 Clearly Donruss Saquon Barkley #37 New York Giants</t>
  </si>
  <si>
    <t>VAS-MS000220-k74lx</t>
  </si>
  <si>
    <t>2023 Panini Select Myles Garrett #152 Black and Green Prizms Die Cuts Browns</t>
  </si>
  <si>
    <t>VAS-MS000234-k74na</t>
  </si>
  <si>
    <t>2024 Panini Encore Kyren Williams #116 Los Angeles Rams</t>
  </si>
  <si>
    <t>WHT-MS000024-k8v0s</t>
  </si>
  <si>
    <t>2024 Donruss J.J. McCarthy #303 Minnesota Vikings</t>
  </si>
  <si>
    <t>WHT-MS000023-k8v0r</t>
  </si>
  <si>
    <t>2022-23 Panini Mosaic Brandon Clarke #165 Red and Yellow Fusion Grizzlies #/88</t>
  </si>
  <si>
    <t>WHT-MS000022-k8v0q</t>
  </si>
  <si>
    <t>2016-17 Donruss Giorgio Chiellini #50 Dominators Juventus</t>
  </si>
  <si>
    <t>WHT-MS000020-k8v0o</t>
  </si>
  <si>
    <t>2016-17 Donruss Gianluigi Buffon #39 Dominators Juventus</t>
  </si>
  <si>
    <t>WHT-MS000019-k8v0l</t>
  </si>
  <si>
    <t>WHT-MS000017-k8v0i</t>
  </si>
  <si>
    <t>2025 Panini National Gold Pack VIP Anthony Edwards #25 Minnesota Timberwolves</t>
  </si>
  <si>
    <t>WHT-MS000016-k8v0h</t>
  </si>
  <si>
    <t>2025 Panini National Convention Gold Pack VIP Sonia Citron #RC3 RCMystics</t>
  </si>
  <si>
    <t>WHT-MS000014-k8v0e</t>
  </si>
  <si>
    <t>2024 Topps Chrome MLS David Villa #100 New York City FC</t>
  </si>
  <si>
    <t>WHT-MS000010-k8v08</t>
  </si>
  <si>
    <t>2024 Topps Chrome MLS Didier Drogba #64T-17 Topps 1964 Football Montreal Impact</t>
  </si>
  <si>
    <t>WHT-MS000009-k8v06</t>
  </si>
  <si>
    <t>2024 Topps Tony Gwynn #89ASR-TG 35th Anniversary All-Stars Relics Padres</t>
  </si>
  <si>
    <t>TY-KC000043-k9bk8</t>
  </si>
  <si>
    <t>2023 Panini Chronicles Alex Ramirez #GSS-AR Gold Standard Swatches New York Mets</t>
  </si>
  <si>
    <t>TY-KC000042-k9bk7</t>
  </si>
  <si>
    <t>2023 Leaf Trinity Matt Shaw #RR-35 Rookie Relics Chicago Cubs</t>
  </si>
  <si>
    <t>TY-KC000046-k9bkb</t>
  </si>
  <si>
    <t>2024 Donruss Tai Peete #PJK-TP Prospect Jersey Kings Orange Ice Seattle Mariners</t>
  </si>
  <si>
    <t>TY-KC000048-k9bkd</t>
  </si>
  <si>
    <t>2024 Topps Chrome Ketel Marte #35 Purple Speckle Refractors Diamondbacks #/299</t>
  </si>
  <si>
    <t>TY-KC000170-k75dx</t>
  </si>
  <si>
    <t>2024 Topps Chrome Max Scherzer #37 Purple Refractors Texas Rangers #/250</t>
  </si>
  <si>
    <t>TY-KC000171-k75dy</t>
  </si>
  <si>
    <t>2024 Topps Chrome Paul Blackburn #43 Aqua Refractors Oakland Athletics #/199</t>
  </si>
  <si>
    <t>TY-KC000172-k75dz</t>
  </si>
  <si>
    <t>2024 Topps Chrome Yuki Matsui #116 Purple Sonar Refractors Padres #/275</t>
  </si>
  <si>
    <t>TY-KC000173-k75e0</t>
  </si>
  <si>
    <t>2024 Topps Chrome Kyle Tucker #112 Purple Refractors Houston Astros #/250</t>
  </si>
  <si>
    <t>TY-KC000174-k75e1</t>
  </si>
  <si>
    <t>2024 Topps Chrome Gerrit Cole #164 Aqua Lava Refractors New York Yankees #/199</t>
  </si>
  <si>
    <t>TY-KC000176-k75e3</t>
  </si>
  <si>
    <t>2024 Topps Chrome Jonny Deluca #163 Aqua Raywave Refractors Tampa Bay Rays #/199</t>
  </si>
  <si>
    <t>TY-KC000177-k75e4</t>
  </si>
  <si>
    <t>2024 Topps Chrome Nolan Gorman #97 Blue Raywave Refractors Cardinals #/150</t>
  </si>
  <si>
    <t>TY-KC000178-k75e5</t>
  </si>
  <si>
    <t>2024 Topps Chrome Paul Goldschmidt #90 Purple Sonar Refractors Cardinals #/275</t>
  </si>
  <si>
    <t>TY-KC000179-k75e7</t>
  </si>
  <si>
    <t>1986 Donruss Fred McGriff #28 Toronto Blue Jays</t>
  </si>
  <si>
    <t>TY-KC000169-k75dw</t>
  </si>
  <si>
    <t>2021 Topps Update Rafael Devers #MLM-RD Major League Material Red Sox</t>
  </si>
  <si>
    <t>TY-KC000050-k9ccv</t>
  </si>
  <si>
    <t>2023 Topps Byron Buxton #FD-BBX Father's Day Commemorative Team Patches Twins</t>
  </si>
  <si>
    <t>TY-KC000049-k9ccu</t>
  </si>
  <si>
    <t>2024 Topps Chrome Taj Bradley #83 Blue Refractors Tampa Bay Rays #/150</t>
  </si>
  <si>
    <t>TY-KC000181-k75e9</t>
  </si>
  <si>
    <t>2024 Topps Update Jackie Robinson #AC-7 All Class Brooklyn Dodgers</t>
  </si>
  <si>
    <t>TY-KC000191-k75ek</t>
  </si>
  <si>
    <t>2024 Topps Update Willie Mays #AC-6 All Class San Francisco Giants</t>
  </si>
  <si>
    <t>TY-KC000192-k75el</t>
  </si>
  <si>
    <t>2024 Topps Update Julio Rodríguez #AC-19 All Class Seattle Mariners</t>
  </si>
  <si>
    <t>TY-KC000193-k75em</t>
  </si>
  <si>
    <t>2023 Topps Chrome Update Riley Greene #FSU-16 Future Stars Detroit Tigers</t>
  </si>
  <si>
    <t>TY-KC000195-k75eo</t>
  </si>
  <si>
    <t>2024 Topps Chrome Jackson Holliday #SITP-8 Summertime in the Park Orioles</t>
  </si>
  <si>
    <t>TY-KC000196-k75ep</t>
  </si>
  <si>
    <t>2024 Topps Update Mike Trout #AC-12 All Class Los Angeles Angels</t>
  </si>
  <si>
    <t>TY-KC000194-k75en</t>
  </si>
  <si>
    <t>1991 Topps Chipper Jones #333 Atlanta Braves</t>
  </si>
  <si>
    <t>TY-KC000197-k75eq</t>
  </si>
  <si>
    <t>2014 Bowman Draft Erick Fedde #DP14 Silver Ice Washington Nationals</t>
  </si>
  <si>
    <t>TY-KS000254-kalty</t>
  </si>
  <si>
    <t>2024 Bowman Pete Crow-Armstrong #RI-4 Rising Infernos Chicago Cubs</t>
  </si>
  <si>
    <t>TY-KS000297-kamrv</t>
  </si>
  <si>
    <t>2020 Bowman Jarren Duran #BP-144 Prospects Boston Red Sox</t>
  </si>
  <si>
    <t>TY-KS000252-kaltw</t>
  </si>
  <si>
    <t>2023 Bowman Jackson Chourio #BCP-76 Chrome Prospects Milwaukee Brewers</t>
  </si>
  <si>
    <t>TY-KS000296-kamru</t>
  </si>
  <si>
    <t>2018 Bowman Draft Jazz Chisholm #BDC-16 Chrome Refractors Arizona Diamondbacks</t>
  </si>
  <si>
    <t>TY-KS000295-kamrt</t>
  </si>
  <si>
    <t>2018 Topps Update Tyler O'Neill #US218 St. Louis Cardinals</t>
  </si>
  <si>
    <t>TY-KS000251-kaltv</t>
  </si>
  <si>
    <t>2024 Topps Update Jordan Westburg #US125 Rainbow Foil Baltimore Orioles</t>
  </si>
  <si>
    <t>TY-KS000253-kaltx</t>
  </si>
  <si>
    <t>2018 Bowman Draft Dylan Cease #BDC-59 Chrome Refractors Chicago White Sox</t>
  </si>
  <si>
    <t>TY-KS000294-kamrs</t>
  </si>
  <si>
    <t>2024 Bowman Max Clark #PP-12 Prospect Power-Up Detroit Tigers</t>
  </si>
  <si>
    <t>TY-KS000250-kaltu</t>
  </si>
  <si>
    <t>2021 Panini Mosaic Quenton Nelson #94 Indianapolis Colts</t>
  </si>
  <si>
    <t>TY-KC000061-kai84</t>
  </si>
  <si>
    <t>2021-22 Panini Select Zion Williamson #96 New Orleans Pelicans</t>
  </si>
  <si>
    <t>TY-KC000058-kai7z</t>
  </si>
  <si>
    <t>2021 Panini Contenders Dalvin Cook #65 Minnesota Vikings</t>
  </si>
  <si>
    <t>TY-KC000057-kai7y</t>
  </si>
  <si>
    <t>2025 Panini Crusade Paul Skenes #18 Call to Arms Pittsburgh Pirates</t>
  </si>
  <si>
    <t>VAS-MS000344-kala7</t>
  </si>
  <si>
    <t>2021-22 Panini Select Bam Adebayo #59 Miami Heat</t>
  </si>
  <si>
    <t>VAS-MS-000400-kai7v</t>
  </si>
  <si>
    <t>2023 Panini Mosaic Frank Gore #TL-FG Thunder Lane Mosaic San Francisco 49ers</t>
  </si>
  <si>
    <t>VAS-MS000343-kala6</t>
  </si>
  <si>
    <t>2021 Panini Contenders Travis Kelce #49 Kansas City Chiefs</t>
  </si>
  <si>
    <t>TY-KC000056-kai7x</t>
  </si>
  <si>
    <t>2021-22 Panini Select Anthony Davis #39 Los Angeles Lakers</t>
  </si>
  <si>
    <t>TY-KC000059-kai80</t>
  </si>
  <si>
    <t>2022 Topps Chrome Max Muncy #42 Los Angeles Dodgers</t>
  </si>
  <si>
    <t>TY-KS000263-kalu7</t>
  </si>
  <si>
    <t>2021 Bowman's Best Marcelo Mayer #93 Boston Red Sox</t>
  </si>
  <si>
    <t>TY-KS000299-kamrx</t>
  </si>
  <si>
    <t>2019 Bowman Kyle Tucker #ROYF-1 Rookie of the Year Favorites Houston Astros</t>
  </si>
  <si>
    <t>TY-KS000300-kamry</t>
  </si>
  <si>
    <t>2021 Topps Greg Maddux #86BC-25 35th Anniversary Chrome Braves</t>
  </si>
  <si>
    <t>TY-KS000256-kalu0</t>
  </si>
  <si>
    <t>2023 Bowman Chrome Corbin Carroll #5 Arizona Diamondbacks</t>
  </si>
  <si>
    <t>TY-KS000257-kalu1</t>
  </si>
  <si>
    <t>2019 Bowman Kyle Tucker #94 Houston Astros</t>
  </si>
  <si>
    <t>TY-KS000301-kamrz</t>
  </si>
  <si>
    <t>2022 Topps Heritage Jarren Duran #NAP-23 New Age Performers Boston Red Sox</t>
  </si>
  <si>
    <t>TY-KS000302-kams0</t>
  </si>
  <si>
    <t>2022 Topps Allen &amp; Ginter Chrome B-Real #242</t>
  </si>
  <si>
    <t>TY-KS000258-kalu2</t>
  </si>
  <si>
    <t>2022 Topps Allen &amp; Ginter Benny Horowitz #206</t>
  </si>
  <si>
    <t>TY-KS000259-kalu3</t>
  </si>
  <si>
    <t>2013 Topps Allen &amp; Ginter Hank Aaron #67 Atlanta Braves</t>
  </si>
  <si>
    <t>TY-KS000303-kams1</t>
  </si>
  <si>
    <t>2014 Bowman Giancarlo Stanton #19 Hometown Miami Marlins</t>
  </si>
  <si>
    <t>TY-KS000304-kams2</t>
  </si>
  <si>
    <t>2022 Topps Allen &amp; Ginter Chrome Field Yates #283</t>
  </si>
  <si>
    <t>TY-KS000260-kalu4</t>
  </si>
  <si>
    <t>2014 Bowman Brandon Moss #142 Orange Oakland Athletics #/250</t>
  </si>
  <si>
    <t>TY-KS000305-kams3</t>
  </si>
  <si>
    <t>2022 Topps Allen &amp; Ginter Chrome Blake Jamieson #201</t>
  </si>
  <si>
    <t>TY-KS000261-kalu5</t>
  </si>
  <si>
    <t>2024 Topps Update Duo Grandal/Skenes #US160 Pirates</t>
  </si>
  <si>
    <t>TY-KS000306-kams4</t>
  </si>
  <si>
    <t>2022 Topps Allen &amp; Ginter Chrome Sam Mewis #233</t>
  </si>
  <si>
    <t>TY-KS000262-kalu6</t>
  </si>
  <si>
    <t>Kyrie Irving 2021-22 Panini Contenders #74 Brooklyn Nets</t>
  </si>
  <si>
    <t>VAS-MS000313-kais7</t>
  </si>
  <si>
    <t>Carmelo Anthony 2021-22 Panini Select #31 Blue (Retail Base) Los Angeles Lakers</t>
  </si>
  <si>
    <t>VAS-MS000312-kais5</t>
  </si>
  <si>
    <t>Patrick Williams 2021-22 Panini Select #4 Chicago Bulls</t>
  </si>
  <si>
    <t>VAS-MS000311-kais4</t>
  </si>
  <si>
    <t>Kawhi Leonard 2021-22 Panini Select #20 Blue (Retail Base) Los Angeles Clippers</t>
  </si>
  <si>
    <t>VAS-MS000310-kais3</t>
  </si>
  <si>
    <t>Killian Hayes 2021-22 Panini Contenders #78 Detroit Pistons</t>
  </si>
  <si>
    <t>VAS-MS000309-kais2</t>
  </si>
  <si>
    <t>Jrue Holiday 2021-22 Panini Contenders #63 Milwaukee Bucks</t>
  </si>
  <si>
    <t>VAS-MS000308-kais1</t>
  </si>
  <si>
    <t>Gary Trent Jr. 2021-22 Panini Contenders #21 Game Ticket Red Toronto Raptors</t>
  </si>
  <si>
    <t>VAS-MS000307-kais0</t>
  </si>
  <si>
    <t>Bogdan Bogdanovic 2020-21 Panini Prizm #27 Sacramento Kings</t>
  </si>
  <si>
    <t>VAS-MS000306-kairz</t>
  </si>
  <si>
    <t>De'Anthony Thomas 2016 Score #164 Kansas City Chiefs</t>
  </si>
  <si>
    <t>VAS-MS000304-kairw</t>
  </si>
  <si>
    <t>Andre Drummond 2020-21 Panini Prizm #222 Cleveland Cavaliers</t>
  </si>
  <si>
    <t>VAS-MS000305-kairx</t>
  </si>
  <si>
    <t>Nolan Arenado 2015 Panini Prizm #125 Colorado Rockies</t>
  </si>
  <si>
    <t>VAS-MS000303-kairv</t>
  </si>
  <si>
    <t>Russell Westbrook 2021-22 Panini Select #54 Blue Los Angeles Lakers</t>
  </si>
  <si>
    <t>VAS-MS000301-kairt</t>
  </si>
  <si>
    <t>Carlos Rodon 2019 Panini Prizm #155 Chicago White Sox</t>
  </si>
  <si>
    <t>VAS-MS000302-kairu</t>
  </si>
  <si>
    <t>Brook Lopez 2020-21 Panini Prizm #29 Milwaukee Bucks</t>
  </si>
  <si>
    <t>VAS-MS000300-kairr</t>
  </si>
  <si>
    <t>2024 Panini Optic Rated Rookie Marshawn Lloyd #275 Purple Shock (RC)</t>
  </si>
  <si>
    <t>CDP-06484C7</t>
  </si>
  <si>
    <t>2022-23 Panini Mosaic - Nikola Jokić #168 Silver Prizm GMA 9 MINT</t>
  </si>
  <si>
    <t>CDP-9E60812</t>
  </si>
  <si>
    <t>2021 Panini Playoff - Rookies Amon-Ra St. Brown #231 (RC) GMA 9 MINT</t>
  </si>
  <si>
    <t>CDP-9176A59</t>
  </si>
  <si>
    <t>2023 Panini Select Will Levis #FUT-WLE Future Tennessee Titans</t>
  </si>
  <si>
    <t>VAS-MS000250-kbk5v</t>
  </si>
  <si>
    <t>2024 Panini Prizm Will Levis #277 Silver Tennessee Titans</t>
  </si>
  <si>
    <t>VAS-MS000251-kbk5w</t>
  </si>
  <si>
    <t>2024 Panini Prizm Will Levis #277 Green Wave Tennessee Titans</t>
  </si>
  <si>
    <t>VAS-MS000252-kbk5x</t>
  </si>
  <si>
    <t>2023 Panini Mosaic Will Levis #ND-4 Tennessee Titans</t>
  </si>
  <si>
    <t>VAS-MS000254-kbk5z</t>
  </si>
  <si>
    <t>2024 Panini Prizm Marvin Harrison Jr. #5 Emergent Arizona Cardinals</t>
  </si>
  <si>
    <t>VAS-MS000255-kbk60</t>
  </si>
  <si>
    <t>2024 Panini Prizm Brian Thomas Jr. #314 Jacksonville Jaguars</t>
  </si>
  <si>
    <t>VAS-MS000256-kbk61</t>
  </si>
  <si>
    <t>2024 Donruss Trey Benson #326 Press Proof Blue Arizona Cardinals</t>
  </si>
  <si>
    <t>VAS-MS000257-kbk62</t>
  </si>
  <si>
    <t>2023 Panini Select Trey McBride #1 Black and Red Prizms Die Cuts Cardinals</t>
  </si>
  <si>
    <t>VAS-MS000258-kbk63</t>
  </si>
  <si>
    <t>2024 Donruss Kyler Murray #30 Dominators Arizona Cardinals</t>
  </si>
  <si>
    <t>VAS-MS000259-kbk64</t>
  </si>
  <si>
    <t>2024 Panini Prizm Draft Picks Max Melton #163 Red Ice Rutgers Scarlet Knights</t>
  </si>
  <si>
    <t>VAS-MS000260-kbk65</t>
  </si>
  <si>
    <t>2024 Panini Absolute Joe Alt #105 Red and Blue Los Angeles Chargers</t>
  </si>
  <si>
    <t>VAS-MS000263-kbk69</t>
  </si>
  <si>
    <t>2024 Panini Select Joe Alt #82 Red &amp; Blue Prizm Shock Los Angeles Chargers</t>
  </si>
  <si>
    <t>VAS-MS000264-kbk6a</t>
  </si>
  <si>
    <t>2020 Panini Mosaic Matt Ryan #14 Prizm Camo Pink Atlanta Falcons</t>
  </si>
  <si>
    <t>VAS-MS000269-kbk6f</t>
  </si>
  <si>
    <t>2022 Panini Mosaic Malik Willis #272 Mosaic Tennessee Titans</t>
  </si>
  <si>
    <t>VAS-MS000270-kbk6g</t>
  </si>
  <si>
    <t>2015 Topps Chrome Melvin Gordon #105 San Diego Chargers</t>
  </si>
  <si>
    <t>VAS-MS000271-kbk6h</t>
  </si>
  <si>
    <t>2024 Donruss Optic Tip Reiman #292 Pink Arizona Cardinals</t>
  </si>
  <si>
    <t>VAS-MS000272-kbk6i</t>
  </si>
  <si>
    <t>2021 Panini Select Josh Palmer #166 Black and Gold Prizm Die Cut Chargers</t>
  </si>
  <si>
    <t>VAS-MS000273-kbk6j</t>
  </si>
  <si>
    <t>2024 Topps Chrome Terrell Davis #CAE-TD Chrome All-Etch Refractor Denver Broncos</t>
  </si>
  <si>
    <t>VAS-MS000274-kbk6k</t>
  </si>
  <si>
    <t>2023 Panini Prizm Tuli Tuipulotu #354 Silver Los Angeles Chargers</t>
  </si>
  <si>
    <t>VAS-MS000275-kbk6l</t>
  </si>
  <si>
    <t>1998 Pacific Paramount Terrell Davis #9 Personal Bests Denver Broncos</t>
  </si>
  <si>
    <t>VAS-MS000276-kbk6m</t>
  </si>
  <si>
    <t>2024 Panini Prizm Alex Singleton #5 Lockdown Silver Prizm Denver Broncos</t>
  </si>
  <si>
    <t>VAS-MS000277-kbk6n</t>
  </si>
  <si>
    <t>2023 Panini Select BJ Ojulari #188 Black and Red Prizms Die Cuts Cardinals</t>
  </si>
  <si>
    <t>VAS-MS000278-kbk6o</t>
  </si>
  <si>
    <t>2024 Panini Prizm Jonah Elliss #356 Silver Denver Broncos</t>
  </si>
  <si>
    <t>VAS-MS000268-kbk6e</t>
  </si>
  <si>
    <t>2024 Topps Signature Class MarShawn Lloyd #110 Green Green Bay Packers #/150</t>
  </si>
  <si>
    <t>VAS-MS000279-kbmbw</t>
  </si>
  <si>
    <t>2024 Panini Phoenix Jawhar Jordan #197 Green Fade Houston Texans #/199</t>
  </si>
  <si>
    <t>VAS-MS000280-kbmby</t>
  </si>
  <si>
    <t>2024 Panini Mosaic Geno Smith #197 Mosaic Reactive Blue Seattle Seahawks</t>
  </si>
  <si>
    <t>VAS-MS000315-kbmer</t>
  </si>
  <si>
    <t>2024 Panini Prizm Michael Penix Jr. #6 Portals Falcons</t>
  </si>
  <si>
    <t>VAS-MS000281-kbmc0</t>
  </si>
  <si>
    <t>2023 Panini Mosaic BJ Ojulari #285 Reactive Blue Mosaic Arizona Cardinals</t>
  </si>
  <si>
    <t>VAS-MS000317-kbmey</t>
  </si>
  <si>
    <t>2024 Topps Signature Class Eddie George #AI-24 After Image Tennessee Titans</t>
  </si>
  <si>
    <t>VAS-MS000319-kbmf0</t>
  </si>
  <si>
    <t>2023 Panini Prizm Foye Oluokun #LD-8 Lockdown! Prizms Silver Jaguars</t>
  </si>
  <si>
    <t>VAS-MS000320-kbmf1</t>
  </si>
  <si>
    <t>2023 Topps Composite Bryce Young #1 Carolina Panthers</t>
  </si>
  <si>
    <t>VAS-MS000283-kbmc3</t>
  </si>
  <si>
    <t>2024 Panini Prizm J.C. Latham #334 Orange Ice Tennessee Titans</t>
  </si>
  <si>
    <t>VAS-MS000299-kbme4</t>
  </si>
  <si>
    <t>2024 Topps Chrome Ladd McConkey #Y-20 Youthquake Los Angeles Chargers</t>
  </si>
  <si>
    <t>VAS-MS000284-kbmc5</t>
  </si>
  <si>
    <t>2024 Panini Select J.C. Latham #11 Silver Prizm Tennessee Titans</t>
  </si>
  <si>
    <t>VAS-MS000322-kbmf3</t>
  </si>
  <si>
    <t>2023 Panini Prizm Budda Baker #2 Silver Arizona Cardinals</t>
  </si>
  <si>
    <t>VAS-MS000301-kbme6</t>
  </si>
  <si>
    <t>2023 Panini Phoenix Amari Cooper #HR-5 Hot Routes Cleveland Browns</t>
  </si>
  <si>
    <t>VAS-MS000286-kbmca</t>
  </si>
  <si>
    <t>VAS-MS000323-kbmf4</t>
  </si>
  <si>
    <t>2024 Panini Select Jabrill Peppers #262 Red &amp; Yellow Prizm Shock Patriots</t>
  </si>
  <si>
    <t>VAS-MS000287-kbmcd</t>
  </si>
  <si>
    <t>2024 Donruss Optic Maason Smith #269 Green Velocity Jacksonville Jaguars</t>
  </si>
  <si>
    <t>VAS-MS000302-kbme7</t>
  </si>
  <si>
    <t>2020 Panini Absolute Tom Brady #42 Green Tampa Bay Buccaneers</t>
  </si>
  <si>
    <t>VAS-MS000288-kbmco</t>
  </si>
  <si>
    <t>2023 Panini Select Jaleel McLaughlin #265 Silver Prizms Denver Broncos</t>
  </si>
  <si>
    <t>VAS-MS000303-kbme8</t>
  </si>
  <si>
    <t>2024 Panini Prizm Jeffery Simmons #282 Silver Tennessee Titans</t>
  </si>
  <si>
    <t>VAS-MS000304-kbme9</t>
  </si>
  <si>
    <t>2024 Panini Mosaic J.C. Latham #307 Mosaic Choice Red and Green Tennessee Titans</t>
  </si>
  <si>
    <t>VAS-MS000305-kbmea</t>
  </si>
  <si>
    <t>2024 Donruss Jason Kelce #10 Retro 1994 Philadelphia Eagles</t>
  </si>
  <si>
    <t>VAS-MS000291-kbmcw</t>
  </si>
  <si>
    <t>2024 Topps Chrome Sapphire Edition Darius Robinson #289 Arizona Cardinals</t>
  </si>
  <si>
    <t>VAS-MS000306-kbmeb</t>
  </si>
  <si>
    <t>2023 Panini Select Emari Demercado #160 Black and Red Prizms Die Cuts ACardinals</t>
  </si>
  <si>
    <t>VAS-MS000329-kbmfa</t>
  </si>
  <si>
    <t>1991 Pro Set Platinum Bo Jackson #136 Los Angeles Raiders</t>
  </si>
  <si>
    <t>VAS-MS000292-kbmcx</t>
  </si>
  <si>
    <t>2024 Donruss Patrick Mahomes II #2 Retro 1994 Kansas City Chiefs</t>
  </si>
  <si>
    <t>VAS-MS000293-kbmd0</t>
  </si>
  <si>
    <t>2016 Donruss Seattle Seahawks Richard Sherman #270 Seattle Seahawks</t>
  </si>
  <si>
    <t>VAS-MS000308-kbmed</t>
  </si>
  <si>
    <t>2024 Donruss Geno Smith #220 Press Proof Blue Seattle Seahawks</t>
  </si>
  <si>
    <t>VAS-MS000309-kbmef</t>
  </si>
  <si>
    <t>2023 Panini Prizm Desmond Ridder #H-4 Emergent Prizms No Huddle Atlanta Falcons</t>
  </si>
  <si>
    <t>VAS-MS000312-kbmel</t>
  </si>
  <si>
    <t>2024 Panini Prizm Jonah Elliss #356 Lazer Denver Broncos</t>
  </si>
  <si>
    <t>VAS-MS000311-kbmej</t>
  </si>
  <si>
    <t>2024 Panini Select Earl Campbell #54 Red &amp; Blue Prizm Shock Houston Oilers</t>
  </si>
  <si>
    <t>VAS-MS000314-kbmen</t>
  </si>
  <si>
    <t>2022 Donruss Treylon Burks #TR-12 The Rookies Tennessee Titans</t>
  </si>
  <si>
    <t>VAS-MS000316-kbmew</t>
  </si>
  <si>
    <t>2023 Panini Select Jaleel McLaughlin #32 Black and Red Prizms Die Cuts Broncos</t>
  </si>
  <si>
    <t>VAS-MS000318-kbmez</t>
  </si>
  <si>
    <t>2023 Topps Bryce Harper #SMLB-14 Stars of MLB Philadelphia Phillies</t>
  </si>
  <si>
    <t>VAS-MS000338-kdvwu</t>
  </si>
  <si>
    <t>2021 Finest Jacob deGrom #53 New York Mets</t>
  </si>
  <si>
    <t>VAS-MS000340-kdvww</t>
  </si>
  <si>
    <t>VAS-MS000339-kdvwv</t>
  </si>
  <si>
    <t>2023 Topps Ozzie Albies #81 Atlanta Braves</t>
  </si>
  <si>
    <t>VAS-MS000344-kdvx0</t>
  </si>
  <si>
    <t>2024 Bowman Cam Collier #BP-13 Prospects Cincinnati Reds</t>
  </si>
  <si>
    <t>VAS-MS000346-kdvx2</t>
  </si>
  <si>
    <t>2023 Topps Update Vladimir Guerrero Jr. #ASG-10 Blue Jays</t>
  </si>
  <si>
    <t>VAS-MS000343-kdvwz</t>
  </si>
  <si>
    <t>2023 Topps Freddie Freeman #200 Los Angeles Dodgers</t>
  </si>
  <si>
    <t>VAS-MS000342-kdvwy</t>
  </si>
  <si>
    <t>2024 Bowman Kris Bryant #50 Colorado Rockies</t>
  </si>
  <si>
    <t>VAS-MS000345-kdvx1</t>
  </si>
  <si>
    <t>2021 Panini Prizm Yordan Alvarez #LI10 Lumber Inc. Houston Astros</t>
  </si>
  <si>
    <t>VAS-MS000349-kdvx5</t>
  </si>
  <si>
    <t>2017 Topps Allen &amp; Ginter Nomar Mazara #91 Texas Rangers</t>
  </si>
  <si>
    <t>VAS-MS000347-kdvx3</t>
  </si>
  <si>
    <t>2022 Panini Select Brandon Marsh #SS2 Select Stars Los Angeles Angels</t>
  </si>
  <si>
    <t>VAS-MS000350-kdvx6</t>
  </si>
  <si>
    <t>2021 Finest Joey Votto #21 Cincinnati Reds</t>
  </si>
  <si>
    <t>VAS-MS000341-kdvwx</t>
  </si>
  <si>
    <t>2022 Panini Capstone Jazz Chisholm #NA-7 New Age Miami Marlins</t>
  </si>
  <si>
    <t>VAS-MS000351-kdvx7</t>
  </si>
  <si>
    <t>2023 Bowman James Wood #BCP-129 Chrome Prospects Washington Nationals</t>
  </si>
  <si>
    <t>VAS-MS000354-kdvxa</t>
  </si>
  <si>
    <t>2024 Bowman Mookie Betts #40 Los Angeles Dodgers</t>
  </si>
  <si>
    <t>VAS-MS000348-kdvx4</t>
  </si>
  <si>
    <t>2024 Bowman Riley Greene #16 Detroit Tigers</t>
  </si>
  <si>
    <t>VAS-MS000353-kdvx9</t>
  </si>
  <si>
    <t>VAS-MS000357-kdvxd</t>
  </si>
  <si>
    <t>2025 Topps Heritage Pete Alonso #374 New York Mets</t>
  </si>
  <si>
    <t>VAS-MS000358-kdvxe</t>
  </si>
  <si>
    <t>2024 Bowman Jace Jung #BCP-5 Chrome Prospects Detroit Tigers</t>
  </si>
  <si>
    <t>VAS-MS000355-kdvxb</t>
  </si>
  <si>
    <t>2024 Bowman Druw Jones #BP-60 Prospects Arizona Diamondbacks</t>
  </si>
  <si>
    <t>VAS-MS000356-kdvxc</t>
  </si>
  <si>
    <t>2024 Bowman Michael Harris II #41 Atlanta Braves</t>
  </si>
  <si>
    <t>VAS-MS000352-kdvx8</t>
  </si>
  <si>
    <t>2022 Topps Tatis Jr./Cronenworth #TT-2 6-4 Stars (Turnin' Two) Padres</t>
  </si>
  <si>
    <t>VAS-MS000360-kdvxg</t>
  </si>
  <si>
    <t>2025 Bowman Kyle Teel #BCP-118 Chrome Prospects Chicago White Sox</t>
  </si>
  <si>
    <t>VAS-MS000359-kdvxf</t>
  </si>
  <si>
    <t>2021 Finest Chris Sale #61 Boston Red Sox</t>
  </si>
  <si>
    <t>VAS-MS000363-kdvxj</t>
  </si>
  <si>
    <t>2007 Bowman Draft Picks &amp; Prospects Justin Upton #BDP3 Arizona Diamondbacks</t>
  </si>
  <si>
    <t>VAS-MS000362-kdvxi</t>
  </si>
  <si>
    <t>2007 Bowman Draft Justin Upton #BDPP110 Chrome Prospects Refractors Diamondbacks</t>
  </si>
  <si>
    <t>VAS-MS000361-kdvxh</t>
  </si>
  <si>
    <t>2023 Panini Chronicles Jackson Merrill #23 San Diego Padres</t>
  </si>
  <si>
    <t>VAS-MS000366-kdvxm</t>
  </si>
  <si>
    <t>2023 Topps Yordan Alvarez #181 Houston Astros</t>
  </si>
  <si>
    <t>VAS-MS000365-kdvxl</t>
  </si>
  <si>
    <t>2021 Finest Pete Alonso #29 New York Mets</t>
  </si>
  <si>
    <t>VAS-MS000364-kdvxk</t>
  </si>
  <si>
    <t>2024 Bowman Corbin Carroll #25 Arizona Diamondbacks</t>
  </si>
  <si>
    <t>VAS-MS000367-kdvxn</t>
  </si>
  <si>
    <t>2023 Topps Pristine Pierre-Emile Højbjerg #28 Orange Refractor Denmark #/25</t>
  </si>
  <si>
    <t>VAS-MS000371-kdzov</t>
  </si>
  <si>
    <t>2022-23 Topps Chrome Bundesliga Faride Alidou #37 Eintracht Frankfurt</t>
  </si>
  <si>
    <t>VAS-MS000373-kdzox</t>
  </si>
  <si>
    <t>2023-24 Topps Chrome UEFA Catarina Macario #31 Purple Pulsar Chelsea F.C. #/299</t>
  </si>
  <si>
    <t>VAS-MS000372-kdzow</t>
  </si>
  <si>
    <t>2023-24 Topps Chrome UEFA Club Gustav Isaksen #200 Aqua Lava Refractor</t>
  </si>
  <si>
    <t>VAS-MS000374-kdzoy</t>
  </si>
  <si>
    <t>VAS-MS000375-kdzoz</t>
  </si>
  <si>
    <t>2025 Panini National NSCC VIP Gold Pack Kylian Mbappe #59 France</t>
  </si>
  <si>
    <t>VAS-MS000380-kdzp4</t>
  </si>
  <si>
    <t>2023-24 Topps UEFA Club Kang-in Lee #96 Chinese New Year Paris #/150</t>
  </si>
  <si>
    <t>VAS-MS000381-kdzp6</t>
  </si>
  <si>
    <t>2023 Panini Prizm Amon-Ra St. Brown #96 Pink Detroit Lions</t>
  </si>
  <si>
    <t>VAS-MS000383-keduo</t>
  </si>
  <si>
    <t>2020 Panini Playbook Sam Darnold #39 New York Jets</t>
  </si>
  <si>
    <t>VAS-MS000384-keduw</t>
  </si>
  <si>
    <t>2023 Panini Mosaic Barry Sanders #190 Detroit Lions</t>
  </si>
  <si>
    <t>VAS-MS000385-kedux</t>
  </si>
  <si>
    <t>2021 Panini Prizm Draft Picks Collegiate George Kittle #50 Iowa Hawkeyes</t>
  </si>
  <si>
    <t>VAS-MS000386-keduy</t>
  </si>
  <si>
    <t>1995 Topps Emmitt Smith #PF-1 Profiles Dallas Cowboys</t>
  </si>
  <si>
    <t>VAS-MS000390-kedvx</t>
  </si>
  <si>
    <t>2020 Panini Prizm Draft Picks Cooper Kupp #19 Eastern Washington Eagles</t>
  </si>
  <si>
    <t>VAS-MS000391-kedvz</t>
  </si>
  <si>
    <t>2021 Panini Contenders Draft Picks DK Metcalf #14 Campus Legends Ole Miss Rebels</t>
  </si>
  <si>
    <t>VAS-MS000392-kedw6</t>
  </si>
  <si>
    <t>2021 Panini Mosaic Travis Kelce #GG-21 Got Game? Kansas City Chiefs</t>
  </si>
  <si>
    <t>VAS-MS000394-kedwi</t>
  </si>
  <si>
    <t>2022 Score Kenneth Walker III #P-KW PROtential Michigan State Spartans</t>
  </si>
  <si>
    <t>VAS-MS000395-kedwm</t>
  </si>
  <si>
    <t>2024 Panini Contenders CeeDee Lamb #26 Season Ticket Retail Dallas Cowboys</t>
  </si>
  <si>
    <t>VAS-MS000396-kedwp</t>
  </si>
  <si>
    <t>2022 Score Matthew Stafford #155 Los Angeles Rams</t>
  </si>
  <si>
    <t>VAS-MS000397-kedww</t>
  </si>
  <si>
    <t>2024 Panini Absolute Joey Bosa #59 Retail Los Angeles Chargers</t>
  </si>
  <si>
    <t>VAS-MS000398-kedxc</t>
  </si>
  <si>
    <t>2024 Panini Contenders Nico Collins #41 Season Ticket Retail Houston Texans</t>
  </si>
  <si>
    <t>VAS-MS000399-kedxq</t>
  </si>
  <si>
    <t>VAS-MS000400-kedxs</t>
  </si>
  <si>
    <t>2024 Donruss Optic Bryce Young #26 Carolina Panthers</t>
  </si>
  <si>
    <t>VAS-MS000401-kedxt</t>
  </si>
  <si>
    <t>2024 Donruss Optic Deebo Samuel #172 San Francisco 49ers</t>
  </si>
  <si>
    <t>VAS-MS000402-kedxv</t>
  </si>
  <si>
    <t>2024 Panini Prizm MarShawn Lloyd #374 Green Bay Packers</t>
  </si>
  <si>
    <t>VAS-MS000403-kedxx</t>
  </si>
  <si>
    <t>2024 Panini Contenders Anthony Richardson #42 Game Ticket Red Indianapolis Colts</t>
  </si>
  <si>
    <t>VAS-MS000404-kedxz</t>
  </si>
  <si>
    <t>2024 Panini Absolute Bijan Robinson #5 Blue Atlanta Falcons</t>
  </si>
  <si>
    <t>VAS-MS000405-kedyc</t>
  </si>
  <si>
    <t>2024 Panini Zenith Tyreek Hill #60 Retail Miami Dolphins</t>
  </si>
  <si>
    <t>VAS-MS000406-kedyk</t>
  </si>
  <si>
    <t>2024 Panini Contenders Dan Marino / Jim Kelly #7 Historic Draft Class Contenders</t>
  </si>
  <si>
    <t>VAS-MS000407-kedyn</t>
  </si>
  <si>
    <t>2024 Panini Absolute Jared Goff #35 Retail Detroit Lions</t>
  </si>
  <si>
    <t>VAS-MS000408-kedyp</t>
  </si>
  <si>
    <t>2024 Panini Zenith Trevor Lawrence #44 Retail Jacksonville Jaguars</t>
  </si>
  <si>
    <t>VAS-MS000409-kedyr</t>
  </si>
  <si>
    <t>2021 Panini Contenders Stefon Diggs #11 Buffalo Bills</t>
  </si>
  <si>
    <t>VAS-MS000410-kedyt</t>
  </si>
  <si>
    <t>2021 Panini Contenders Nick Chubb #24 Cleveland Browns</t>
  </si>
  <si>
    <t>VAS-MS000411-kedza</t>
  </si>
  <si>
    <t>2022 Score Trevor Lawrence #C-TL Celebration Jacksonville Jaguars</t>
  </si>
  <si>
    <t>VAS-MS000412-kedzi</t>
  </si>
  <si>
    <t>2021 Panini Contenders Draft Picks Lamar Jackson #17 Campus Legends Cardinals</t>
  </si>
  <si>
    <t>VAS-MS000413-kedzu</t>
  </si>
  <si>
    <t>2024 Topps Signature Class Jason Kelce #43 Philadelphia Eagles</t>
  </si>
  <si>
    <t>VAS-MS000414-kedzw</t>
  </si>
  <si>
    <t>2024 Topps Signature Class Rob Gronkowski #34 New England Patriots</t>
  </si>
  <si>
    <t>VAS-MS000415-kedzx</t>
  </si>
  <si>
    <t>2024 Topps Signature Class Jordan Love #17 Green Bay Packers</t>
  </si>
  <si>
    <t>VAS-MS000417-kee03</t>
  </si>
  <si>
    <t>2024 Panini Contenders Anthony Richardson #42 Season Ticket Colts</t>
  </si>
  <si>
    <t>VAS-MS000418-kee09</t>
  </si>
  <si>
    <t>2024 Donruss Stefon Diggs #182 Houston Texans</t>
  </si>
  <si>
    <t>VAS-MS000419-kee0b</t>
  </si>
  <si>
    <t>2024 Panini Prizm Edgerrin Cooper #331 Green Bay Packers</t>
  </si>
  <si>
    <t>VAS-MS000420-kee0e</t>
  </si>
  <si>
    <t>2024 Panini Contenders Amon-Ra St. Brown #33 Season Ticket Retail Detroit Lions</t>
  </si>
  <si>
    <t>VAS-MS000421-kee0k</t>
  </si>
  <si>
    <t>2024 Topps Signature Class Eli Manning #36 New York Giants</t>
  </si>
  <si>
    <t>VAS-MS000422-kee0o</t>
  </si>
  <si>
    <t>2024 Topps Signature Class J.J. Watt #19 Houston Texans</t>
  </si>
  <si>
    <t>VAS-MS000423-kee0t</t>
  </si>
  <si>
    <t>2021 Panini Contenders Tyreek Hill #48 Kansas City Chiefs</t>
  </si>
  <si>
    <t>VAS-MS000424-kee0v</t>
  </si>
  <si>
    <t>2021 Panini Contenders Nick Bosa #90 San Francisco 49ers</t>
  </si>
  <si>
    <t>VAS-MS000425-kee1j</t>
  </si>
  <si>
    <t>2021 Panini Contenders Davante Adams #35 Green Bay Packers</t>
  </si>
  <si>
    <t>VAS-MS000426-kee1m</t>
  </si>
  <si>
    <t>2022 Score Tyreek Hill #113 Kansas City Chiefs</t>
  </si>
  <si>
    <t>VAS-MS000427-kee1o</t>
  </si>
  <si>
    <t>2024 Panini Zenith Adrian Peterson #65 Minnesota Vikings</t>
  </si>
  <si>
    <t>VAS-MS000428-kee2b</t>
  </si>
  <si>
    <t>2024 Panini Zenith Lamar Jackson #7 Retail Baltimore Ravens</t>
  </si>
  <si>
    <t>VAS-MS000429-kee2c</t>
  </si>
  <si>
    <t>2021 Panini Mosaic Nick Chubb #53 Cleveland Browns</t>
  </si>
  <si>
    <t>VAS-MS000430-kee2d</t>
  </si>
  <si>
    <t>2024 Panini Illusions Kyler Murray #1 Retail Arizona Cardinals</t>
  </si>
  <si>
    <t>VAS-MS000431-kee2f</t>
  </si>
  <si>
    <t>2024 Panini Illusions Lamar Jackson #7 Retail Baltimore Ravens</t>
  </si>
  <si>
    <t>VAS-MS000432-kee2h</t>
  </si>
  <si>
    <t>2024 Panini Absolute Cooper Kupp #63 Retail Los Angeles Rams</t>
  </si>
  <si>
    <t>VAS-MS000433-kee2j</t>
  </si>
  <si>
    <t>2024 Topps Signature Class Anthony Richardson #22 Indianapolis Colts</t>
  </si>
  <si>
    <t>VAS-MS000436-kee2p</t>
  </si>
  <si>
    <t>2024 Topps Signature Class Barry Sanders #15 Detroit Lions</t>
  </si>
  <si>
    <t>VAS-MS000437-kee2r</t>
  </si>
  <si>
    <t>2024 Panini Zenith Kenneth Walker III #91 Retail Seattle Seahawks</t>
  </si>
  <si>
    <t>VAS-MS000438-kee2s</t>
  </si>
  <si>
    <t>2024 Panini Zenith Davante Adams #52 Retail Las Vegas Raiders</t>
  </si>
  <si>
    <t>VAS-MS000439-kee3j</t>
  </si>
  <si>
    <t>2024 Donruss Optic Josh Allen #19 Buffalo Bills</t>
  </si>
  <si>
    <t>VAS-MS000441-kee3s</t>
  </si>
  <si>
    <t>2024 Panini Illusions Derrick Henry #8 Retail Baltimore Ravens</t>
  </si>
  <si>
    <t>VAS-MS000443-kee4z</t>
  </si>
  <si>
    <t>2024 Panini Illusions Dallas Turner #99 Retail Minnesota Vikings</t>
  </si>
  <si>
    <t>VAS-MS000444-kee64</t>
  </si>
  <si>
    <t>2024 Panini Contenders Puka Nacua #59 Season Ticket Retail Los Angeles Rams</t>
  </si>
  <si>
    <t>VAS-MS000445-kee67</t>
  </si>
  <si>
    <t>2024 Panini Contenders Baker Mayfield #92 Season Ticket Buccaneers</t>
  </si>
  <si>
    <t>VAS-MS000446-kee6a</t>
  </si>
  <si>
    <t>VAS-MS000447-kee6f</t>
  </si>
  <si>
    <t>2024 Panini Contenders DK Metcalf #91 Season Ticket Retail Seattle Seahawks</t>
  </si>
  <si>
    <t>VAS-MS000448-kee6h</t>
  </si>
  <si>
    <t>2024 Panini Contenders Aidan Hutchinson #34 Season Ticket Retail Detroit Lions</t>
  </si>
  <si>
    <t>VAS-MS000449-kee6k</t>
  </si>
  <si>
    <t>2024 Panini Contenders Puka Nacua #59 Game Ticket Red Los Angeles Rams</t>
  </si>
  <si>
    <t>VAS-MS000450-kee6n</t>
  </si>
  <si>
    <t>2024 Panini Contenders Jordan Love #37 Game Ticket Green Bay Packers</t>
  </si>
  <si>
    <t>VAS-MS000451-kee6o</t>
  </si>
  <si>
    <t>2022 Panini Chronicles Draft Picks Brett Favre #23 Score Retro Southern Miss</t>
  </si>
  <si>
    <t>VAS-MS000452-kee6r</t>
  </si>
  <si>
    <t>2020 Donruss Optic Jared Goff #DM-JG Dominators Los Angeles Rams</t>
  </si>
  <si>
    <t>VAS-MS000453-kee6s</t>
  </si>
  <si>
    <t>2023 Donruss Zach Charbonnet #BS-30 Bomb Squad Seattle Seahawks</t>
  </si>
  <si>
    <t>VAS-MS000454-kee6u</t>
  </si>
  <si>
    <t>2022-23 Donruss Tyrese Haliburton #9 Franchise Features Indiana Pacers</t>
  </si>
  <si>
    <t>VAS-MS000457-kehbl</t>
  </si>
  <si>
    <t>2024 Panini Prizm Draft Picks Kate Martin #62 Prizms Silver Iowa Hawkeyes</t>
  </si>
  <si>
    <t>VAS-MS000459-kehbn</t>
  </si>
  <si>
    <t>2024-25 Donruss Gradey Dick #113 Holo Green Laser Toronto Raptors</t>
  </si>
  <si>
    <t>VAS-MS000460-kehbp</t>
  </si>
  <si>
    <t>2024 Panini Prizm Draft Picks Stephon Castle #17b Connecticut Huskies</t>
  </si>
  <si>
    <t>VAS-MS000461-kehbr</t>
  </si>
  <si>
    <t>2024-25 Panini Prizm Ja'Kobe Walter #18 Instant Impact Prizms Silver Raptors</t>
  </si>
  <si>
    <t>VAS-MS000462-kehbt</t>
  </si>
  <si>
    <t>2021 Panini Prizm Draft Picks Tyrese Haliburton #37 Silver Iowa State Cyclones</t>
  </si>
  <si>
    <t>VAS-MS000463-kehbu</t>
  </si>
  <si>
    <t>2007-08 Fleer LeBron James #12 Cleveland Cavaliers</t>
  </si>
  <si>
    <t>VAS-MS000464-kehbv</t>
  </si>
  <si>
    <t>2024 Panini Prizm WNBA Jacy Sheldon #4 Ice Prizms Dallas Wings</t>
  </si>
  <si>
    <t>VAS-MS000465-kehbx</t>
  </si>
  <si>
    <t>2024 Panini Prizm Draft Picks Angel Reese #24 New Recruits LSU Tigers</t>
  </si>
  <si>
    <t>VAS-MS000466-kehby</t>
  </si>
  <si>
    <t>2021 Panini Prizm Draft Picks Jalen Green #4 Red NBA G League Ignite #/299</t>
  </si>
  <si>
    <t>VAS-MS000467-kehbz</t>
  </si>
  <si>
    <t>1991-92 Fleer Michael Jordan #220 Chicago Bulls</t>
  </si>
  <si>
    <t>VAS-MS000468-kehc2</t>
  </si>
  <si>
    <t>2024-25 Finest Kevin McCullar Jr. #FBA-KM Flashback Autographs Knicks AU</t>
  </si>
  <si>
    <t>VAS-MS000469-kehc3</t>
  </si>
  <si>
    <t>2023-24 Finest Rip Hamilton #14 Blue Refractors Detroit Pistons</t>
  </si>
  <si>
    <t>VAS-MS000470-kehc6</t>
  </si>
  <si>
    <t>1993-94 Upper Deck Michael Jordan #201 Chicago Bulls</t>
  </si>
  <si>
    <t>VAS-MS000471-kehc7</t>
  </si>
  <si>
    <t>2024 Panini Prizm Draft Picks Kiki Iriafen #10 Rated Prospect Prizms Red Ice</t>
  </si>
  <si>
    <t>VAS-MS000473-kehcb</t>
  </si>
  <si>
    <t>2024-25 Panini Select Chet Holmgren #1 Blue (Retail) Oklahoma City Thunder</t>
  </si>
  <si>
    <t>VAS-MS000474-kehcd</t>
  </si>
  <si>
    <t>2022-23 Bowman University Best Gradey Dick #72 Refractors Kansas Jayhawks</t>
  </si>
  <si>
    <t>VAS-MS000475-kehcq</t>
  </si>
  <si>
    <t>2023-24 Bowman University Chrome Dalton Knecht #48 Tennessee Volunteers</t>
  </si>
  <si>
    <t>VAS-MS000476-kehdc</t>
  </si>
  <si>
    <t>VAS-MS000477-kehdd</t>
  </si>
  <si>
    <t>2018-19 Hoops Giannis Antetokounmpo #4 Blue Milwaukee Bucks</t>
  </si>
  <si>
    <t>VAS-MS000478-kehde</t>
  </si>
  <si>
    <t>VAS-MS000479-kehdg</t>
  </si>
  <si>
    <t>2024-25 Donruss De'Aaron Fox #26 Holo Green Laser Sacramento Kings</t>
  </si>
  <si>
    <t>VAS-MS000480-kehdh</t>
  </si>
  <si>
    <t>2023 Panini Prizm Draft Picks Amen Thompson #4 Houston Rockets</t>
  </si>
  <si>
    <t>VAS-MS000481-kehdi</t>
  </si>
  <si>
    <t>2024-25 Donruss Luka Doncic #10 Pass the Rock Dallas Mavericks</t>
  </si>
  <si>
    <t>VAS-MS000482-kehdj</t>
  </si>
  <si>
    <t>VAS-MS000483-kehdl</t>
  </si>
  <si>
    <t>2024 Panini Prizm WNBA Kate Martin #126 Green Prizms Las Vegas Aces</t>
  </si>
  <si>
    <t>VAS-MS000485-kehdo</t>
  </si>
  <si>
    <t>2021-22 Panini Contenders Jaylen Brown #34 Boston Celtics</t>
  </si>
  <si>
    <t>VAS-MS000486-kehdp</t>
  </si>
  <si>
    <t>2024 Panini Prizm WNBA Jacy Sheldon #141 Silver Prizms Dallas Wings</t>
  </si>
  <si>
    <t>VAS-MS000487-kehdq</t>
  </si>
  <si>
    <t>2024 Panini Prizm Draft Picks Aaliyah Edwards #3 Prizms Silver Huskies</t>
  </si>
  <si>
    <t>VAS-MS000489-kehdt</t>
  </si>
  <si>
    <t>VAS-MS000490-kehdu</t>
  </si>
  <si>
    <t>2023-24 Topps Chrome Rayan Rupert #CRA-RR Certified Rookie (AU) Trail Blazers</t>
  </si>
  <si>
    <t>VAS-MS000491-kehdv</t>
  </si>
  <si>
    <t>2024 Panini Prizm WNBA Kate Martin #126 Blue Velocity Prizms Las Vegas Aces</t>
  </si>
  <si>
    <t>VAS-MS000492-kehdx</t>
  </si>
  <si>
    <t>2023 Panini Prizm Draft Picks Larry Bird #95 Green Indiana State Sycamores</t>
  </si>
  <si>
    <t>VAS-MS000493-kehdy</t>
  </si>
  <si>
    <t>2024 Panini Prizm WNBA Kamilla Cardoso #149 Ice Orange Prizms Chicago Sky</t>
  </si>
  <si>
    <t>VAS-MS000494-kehe0</t>
  </si>
  <si>
    <t>2023-24 Donruss Optic Gradey Dick #9 Splash Holo Toronto Raptors</t>
  </si>
  <si>
    <t>VAS-MS000497-kehe5</t>
  </si>
  <si>
    <t>2024-25 Donruss Nikola Jokic #10 Magicians Denver Nuggets</t>
  </si>
  <si>
    <t>VAS-MS000499-kehe7</t>
  </si>
  <si>
    <t>2022-23 Panini Mosaic Ja Morant #8 Montage Mosaic Memphis Grizzlies</t>
  </si>
  <si>
    <t>VAS-MS000500-kehe8</t>
  </si>
  <si>
    <t>2024 Panini Prizm WNBA Nika Muhl #146 Blue Velocity Prizms Seattle Storm</t>
  </si>
  <si>
    <t>VAS-MS000501-kehea</t>
  </si>
  <si>
    <t>2024-25 Panini Revolution Tristan da Silva #142 Orlando Magic</t>
  </si>
  <si>
    <t>VAS-MS000502-keheb</t>
  </si>
  <si>
    <t>2024 Panini Prizm WNBA Kate Martin #126 Silver Prizms Las Vegas Aces</t>
  </si>
  <si>
    <t>VAS-MS000504-kehed</t>
  </si>
  <si>
    <t>2022-23 Panini Prizm Alton Lister #PNM-ALT Penmanship Prizms Silver Supersonics</t>
  </si>
  <si>
    <t>VAS-MS000505-kehef</t>
  </si>
  <si>
    <t>2023-24 Hoops Ja Morant #3 Ignition Memphis Grizzlies</t>
  </si>
  <si>
    <t>VAS-MS000506-keheg</t>
  </si>
  <si>
    <t>1990 Leaf Bo Jackson Kansas City Royals #125</t>
  </si>
  <si>
    <t>CDP-BA6D548</t>
  </si>
  <si>
    <t>1992 Donruss Triple Play - #164 Bo Jackson Chicago White Sox</t>
  </si>
  <si>
    <t>CDP-BFCFFD0</t>
  </si>
  <si>
    <t>1991 Donruss #632 Bo Jackson Kansas City Royals Baseball</t>
  </si>
  <si>
    <t>CDP-9FF27E8</t>
  </si>
  <si>
    <t>1990 Upper Deck - Bo Jackson #105 Royals</t>
  </si>
  <si>
    <t>CDP-1724F74</t>
  </si>
  <si>
    <t>1994 Pinnacle - Bo Jackson #509 Angles (not parallel!!!)</t>
  </si>
  <si>
    <t>CDP-B702DB3</t>
  </si>
  <si>
    <t>1993 Leaf - Bo Jackson #316 White Sox</t>
  </si>
  <si>
    <t>CDP-9A582DA</t>
  </si>
  <si>
    <t>1995 Score #342 Bo Jackson - Anaheim Angels</t>
  </si>
  <si>
    <t>CDP-09B8A2A</t>
  </si>
  <si>
    <t>1994 Topps Stadium Club - Bo Jackson #547 Angels</t>
  </si>
  <si>
    <t>CDP-788683C</t>
  </si>
  <si>
    <t>1990 Fleer #110 Bo Jackson Kansas City Royals</t>
  </si>
  <si>
    <t>CDP-FD0041E</t>
  </si>
  <si>
    <t>1995 Stadium Club Card Bo Jackson #2 California Angels</t>
  </si>
  <si>
    <t>CDP-DD5A0EC</t>
  </si>
  <si>
    <t>1993 Topps - Bo Jackson #400 White Sox</t>
  </si>
  <si>
    <t>CDP-C8BBB5B</t>
  </si>
  <si>
    <t>91 Upper Deck Bo Jackson Baseball Cards #744</t>
  </si>
  <si>
    <t>CDP-1450007</t>
  </si>
  <si>
    <t>1995 Upper Deck - Bo Jackson #20 Angels</t>
  </si>
  <si>
    <t>CDP-0C44522</t>
  </si>
  <si>
    <t>1989 DONRUSS #208 BO JACKSON ROYALS</t>
  </si>
  <si>
    <t>CDP-B8D2BCF</t>
  </si>
  <si>
    <t>2024 Topps Anthony Volpe #180 New York Yankees</t>
  </si>
  <si>
    <t>VAS-MS000515-kjcpo</t>
  </si>
  <si>
    <t>2025 Bowman Ozzie Albies #71 Atlanta Braves</t>
  </si>
  <si>
    <t>VAS-MS000516-kjcpp</t>
  </si>
  <si>
    <t>2025 Topps All Star Game José Ramírez #71 Cleveland Guardians</t>
  </si>
  <si>
    <t>VAS-MS000517-kjcpq</t>
  </si>
  <si>
    <t>2025 Bowman Bobby Witt Jr. #7 Kansas City Royals</t>
  </si>
  <si>
    <t>VAS-MS000518-kjcpr</t>
  </si>
  <si>
    <t>2025 Bowman Jackson Chourio #11 Milwaukee Brewers</t>
  </si>
  <si>
    <t>VAS-MS000519-kjcps</t>
  </si>
  <si>
    <t>2008 Topps Manny Ramirez #26 Boston Red Sox</t>
  </si>
  <si>
    <t>VAS-MS000520-kjcpt</t>
  </si>
  <si>
    <t>2024 Topps Fernando Tatis Jr. #89B-10 1989 35th Anniversary (Series One) Padres</t>
  </si>
  <si>
    <t>VAS-MS000521-kjcpu</t>
  </si>
  <si>
    <t>2024 Bowman Sebastian Walcott #BCP-81 Chrome Prospects Texas Rangers</t>
  </si>
  <si>
    <t>VAS-MS000522-kjcpv</t>
  </si>
  <si>
    <t>2022 Topps Opening Day Triple Play Acuna Jr., Albies, Freeman #TPC-2C,B,As</t>
  </si>
  <si>
    <t>VAS-MS000523-kjcpw</t>
  </si>
  <si>
    <t>2024 Topps Kyle Schwarber #136 Silver Crackle Foil Philadelphia Phillies</t>
  </si>
  <si>
    <t>VAS-MS000524-kjcpx</t>
  </si>
  <si>
    <t>2023 Topps 1st Edition Los Angeles Dodgers #219 Los Angeles Dodgers</t>
  </si>
  <si>
    <t>VAS-MS000525-kjcpy</t>
  </si>
  <si>
    <t>2023 Topps 1st Edition Judgement Day #245 Yankees</t>
  </si>
  <si>
    <t>VAS-MS000526-kjcpz</t>
  </si>
  <si>
    <t>2023 Panini Chronicles Bobby Witt Jr. #18 Royals</t>
  </si>
  <si>
    <t>VAS-MS000527-kjcq0</t>
  </si>
  <si>
    <t>2023 Topps Kris Bryant #SMLB-58 Stars of MLB Rockies</t>
  </si>
  <si>
    <t>VAS-MS000528-kjcq1</t>
  </si>
  <si>
    <t>2022 Score Micah Parsons #227 Dallas Cowboys</t>
  </si>
  <si>
    <t>VAS-MS000529-kjcx3</t>
  </si>
  <si>
    <t>2024 Panini Select Justin Herbert #131 Los Angeles Chargers</t>
  </si>
  <si>
    <t>VAS-MS000530-kjcx4</t>
  </si>
  <si>
    <t>2024 Panini Zenith Johnny Manziel #24 Retail Cleveland Browns</t>
  </si>
  <si>
    <t>VAS-MS000531-kjcx5</t>
  </si>
  <si>
    <t>2024 Donruss Jordan Love #230 Green Bay Packers</t>
  </si>
  <si>
    <t>VAS-MS000532-kjcx6</t>
  </si>
  <si>
    <t>2024 Donruss Optic Justin Herbert #106 Los Angeles Chargers</t>
  </si>
  <si>
    <t>VAS-MS000533-kjcx8</t>
  </si>
  <si>
    <t>2024 Donruss Justin Herbert #250 Los Angeles Chargers</t>
  </si>
  <si>
    <t>VAS-MS000534-kjcxa</t>
  </si>
  <si>
    <t>2024 Donruss Optic Bucky Irving #216 Tampa Bay Buccaneers</t>
  </si>
  <si>
    <t>VAS-MS000535-kjcxb</t>
  </si>
  <si>
    <t>2023 Panini Zenith Jalen Carter #148 Retail Philadelphia Eagles</t>
  </si>
  <si>
    <t>VAS-MS000536-kjcxc</t>
  </si>
  <si>
    <t>2024 Panini Absolute Drake London #6 Retail Atlanta Falcons</t>
  </si>
  <si>
    <t>VAS-MS000537-kjcxh</t>
  </si>
  <si>
    <t>2023 Panini Prizm Draft Picks Jalen Hurts #45 Oklahoma Sooners</t>
  </si>
  <si>
    <t>VAS-MS000538-kjcxj</t>
  </si>
  <si>
    <t>2016 Panini Prizm Collegiate Draft Picks Joe Flacco #51 Blue Hens</t>
  </si>
  <si>
    <t>VAS-MS000539-kjcxk</t>
  </si>
  <si>
    <t>2024 Panini Prizm Keon Coleman #362 Buffalo Bills</t>
  </si>
  <si>
    <t>VAS-MS000540-kjcxl</t>
  </si>
  <si>
    <t>2024 Donruss Optic Jonathon Brooks #258 Carolina Panthers</t>
  </si>
  <si>
    <t>VAS-MS000541-kjcxn</t>
  </si>
  <si>
    <t>2024 Panini Zenith Anthony Richardson #41 Retail Indianapolis Colts</t>
  </si>
  <si>
    <t>VAS-MS000542-kjcxo</t>
  </si>
  <si>
    <t>2024 Panini Zenith Quinyon Mitchell #182 Retail Philadelphia Eagles</t>
  </si>
  <si>
    <t>VAS-MS000543-kjcxp</t>
  </si>
  <si>
    <t>2024 Panini Zenith Christian McCaffrey #88 Retail San Francisco 49ers</t>
  </si>
  <si>
    <t>VAS-MS000544-kjcxq</t>
  </si>
  <si>
    <t>2024 Panini Phoenix Tyreek Hill #144 Miami Dolphins</t>
  </si>
  <si>
    <t>VAS-MS000545-kjcxs</t>
  </si>
  <si>
    <t>2023 Panini Mosaic Marvin Mims #ND-13 Denver Broncos</t>
  </si>
  <si>
    <t>VAS-MS000546-kjcxt</t>
  </si>
  <si>
    <t>2023 Panini Prizm Drake London #H-9 Emergent Atlanta Falcons</t>
  </si>
  <si>
    <t>VAS-MS000547-kjcxu</t>
  </si>
  <si>
    <t>2022 Panini Contenders Drake London #ROY-DLO ROY Contenders Falcons</t>
  </si>
  <si>
    <t>VAS-MS000548-kjcxw</t>
  </si>
  <si>
    <t>2022 Panini Chronicles Jalen Hurts #PH-20 Photogenic Philadelphia Eagles</t>
  </si>
  <si>
    <t>VAS-MS000549-kjcxx</t>
  </si>
  <si>
    <t>2021 Panini Legacy DeAndre Hopkins #81 Arizona Cardinals</t>
  </si>
  <si>
    <t>VAS-MS000551-kjcxz</t>
  </si>
  <si>
    <t>2022 Panini Contenders Ray Lewis #GLD-RLE Gladiators Baltimore Ravens</t>
  </si>
  <si>
    <t>VAS-MS000550-kjcxy</t>
  </si>
  <si>
    <t>2008 Upper Deck Masterpieces Johnny Unitas #50 Baltimore Colts</t>
  </si>
  <si>
    <t>VAS-MS000552-kjcy0</t>
  </si>
  <si>
    <t>2022 Panini Prizm Premier League Red Luis Sinisterra /149 Leeds United #267 (RC)</t>
  </si>
  <si>
    <t>CDP-705CEA4</t>
  </si>
  <si>
    <t>2022-23 Panini Donruss Ethan Ampadu #133 Wales FIFA</t>
  </si>
  <si>
    <t>CDP-634705D</t>
  </si>
  <si>
    <t>2022-23 Panini Donruss Patrik Schick Red Sparkle #23 /99 FIFA Czechia</t>
  </si>
  <si>
    <t>CDP-0CF0EB8</t>
  </si>
  <si>
    <t>1988 Donruss - Bo Jackson #220 Royals</t>
  </si>
  <si>
    <t>CDP-DE7E160</t>
  </si>
  <si>
    <t>2024 Panini Totally Certified Cooper Kupp #9 Intriguing Players Los Angeles Rams</t>
  </si>
  <si>
    <t>VAS-MS000553-kjlcj</t>
  </si>
  <si>
    <t>2024 Panini Select Trevor Lawrence #98 Silver Prizm Die Cut Jacksonville Jaguars</t>
  </si>
  <si>
    <t>VAS-MS000554-kjlck</t>
  </si>
  <si>
    <t>2024 Topps Signature Terrell Suggs/Ray Lewis #PP-14 Paramount Pairings Ravens</t>
  </si>
  <si>
    <t>VAS-MS000555-kjlcl</t>
  </si>
  <si>
    <t>2025 SAGE HIT Elijah Spencer #A-ES2 Autographs Blue (High Series) Gophers Auto</t>
  </si>
  <si>
    <t>VAS-MS000556-kjlcm</t>
  </si>
  <si>
    <t>2023 Donruss Optic Will Levis #298 Holo Tennessee Titans</t>
  </si>
  <si>
    <t>VAS-MS000557-kjlcn</t>
  </si>
  <si>
    <t>2024 Panini Prizm Max Melton #376 Red White and Blue Arizona Cardinals</t>
  </si>
  <si>
    <t>VAS-MS000558-kjlco</t>
  </si>
  <si>
    <t>2019 Panini Contenders Dak Prescott #MVP-DP MVP Contenders Dallas Cowboys</t>
  </si>
  <si>
    <t>VAS-MS000559-kjlcp</t>
  </si>
  <si>
    <t>2023 Donruss Optic Kyler Murray #5 Holo Arizona Cardinals</t>
  </si>
  <si>
    <t>VAS-MS000560-kjlcq</t>
  </si>
  <si>
    <t>VAS-MS000561-kjlcr</t>
  </si>
  <si>
    <t>2023 Panini Prizm Nick Folk #208 Disco Tennessee Titans</t>
  </si>
  <si>
    <t>VAS-MS000562-kjlcs</t>
  </si>
  <si>
    <t>2024 Panini Prizm Will Levis #4 Fireworks Green Ice Prizm Tennessee Titans</t>
  </si>
  <si>
    <t>VAS-MS000563-kjlct</t>
  </si>
  <si>
    <t>2024 Donruss Optic DeAndre Hopkins #192 Tennessee Titans</t>
  </si>
  <si>
    <t>VAS-MS000564-kjlcu</t>
  </si>
  <si>
    <t>2024 Panini Prizm Tyjae Spears #278 Neon Green Pulsar Tennessee Titans</t>
  </si>
  <si>
    <t>VAS-MS000565-kjlcv</t>
  </si>
  <si>
    <t>2024 Panini Mosaic Quentin Johnston #123 Mosaic Reactive Yellow Chargers</t>
  </si>
  <si>
    <t>VAS-MS000566-kjlcw</t>
  </si>
  <si>
    <t>2020 Panini Select Laviska Shenault Jr. #59 Jacksonville Jaguars</t>
  </si>
  <si>
    <t>VAS-MS000567-kjlcx</t>
  </si>
  <si>
    <t>2022 Panini Mosaic Kenneth Walker III #308 Mosaic Reactive Orange Seahawks</t>
  </si>
  <si>
    <t>VAS-MS000568-kjlcy</t>
  </si>
  <si>
    <t>2024 Donruss Nico Collins #28 The Elite Series Houston Texans</t>
  </si>
  <si>
    <t>VAS-MS000569-kjlcz</t>
  </si>
  <si>
    <t>2024 Panini Prizm Zach Charbonnet #264 Pink Wave Seattle Seahawks</t>
  </si>
  <si>
    <t>VAS-MS000570-kjld0</t>
  </si>
  <si>
    <t>2022 Panini Select Draft Picks Treylon Burks #US-TB Unstoppable Razorbacks</t>
  </si>
  <si>
    <t>VAS-MS000572-kjld2</t>
  </si>
  <si>
    <t>2024 Donruss Brenden Rice #382 Optic Preview Red and Green Chargers</t>
  </si>
  <si>
    <t>VAS-MS000573-kjld3</t>
  </si>
  <si>
    <t>2014 Topps Harry Douglas #13 1000 Yard Club Atlanta Falcons</t>
  </si>
  <si>
    <t>VAS-MS000574-kjld4</t>
  </si>
  <si>
    <t>2023 Panini Contenders Will Levis #20 Winning Ticket Tennessee Titans</t>
  </si>
  <si>
    <t>VAS-MS000575-kjld5</t>
  </si>
  <si>
    <t>2023 Panini Prizm Malik Willis #289 Lazer Tennessee Titans</t>
  </si>
  <si>
    <t>VAS-MS000576-kjld6</t>
  </si>
  <si>
    <t>2023 Panini Select Paris Johnson Jr. #3 Silver Prizms Die Cuts Arizona Cardinals</t>
  </si>
  <si>
    <t>VAS-MS000578-kjld8</t>
  </si>
  <si>
    <t>2024 Donruss Brian Thomas Jr. #8 Rookie Gridiron Kings Jacksonville Jaguars</t>
  </si>
  <si>
    <t>VAS-MS000577-kjld7</t>
  </si>
  <si>
    <t>2023 Donruss Optic Drew Sanders #230 Purple Shock Denver Broncos</t>
  </si>
  <si>
    <t>VAS-MS000579-kjld9</t>
  </si>
  <si>
    <t>VAS-MS000580-kjlda</t>
  </si>
  <si>
    <t>2024 Panini Select Kimani Vidal #15 Silver Prizm Los Angeles Chargers</t>
  </si>
  <si>
    <t>VAS-MS000581-kjldb</t>
  </si>
  <si>
    <t>2024 Panini Prizm Ed McCaffrey #90 Silver Denver Broncos</t>
  </si>
  <si>
    <t>VAS-MS000582-kjldc</t>
  </si>
  <si>
    <t>2023 Panini Contenders Will Levis #5 Supernatural Tennessee Titans</t>
  </si>
  <si>
    <t>VAS-MS000583-kjldd</t>
  </si>
  <si>
    <t>2023 Panini Select BJ Ojulari #188 Green and Yellow Prizms Die Cuts Cardinals</t>
  </si>
  <si>
    <t>VAS-MS000584-kjlde</t>
  </si>
  <si>
    <t>2024 Donruss DeAndre Hopkins #20 Dominators Tennessee Titans</t>
  </si>
  <si>
    <t>VAS-MS000585-kjldf</t>
  </si>
  <si>
    <t>2024 Topps Heritage Evan Longoria #CCR-EL Clubhouse Collection Relics</t>
  </si>
  <si>
    <t>BS-3000-kkh6r</t>
  </si>
  <si>
    <t>2024 Topps Triple Threads Spencer Strider #88 Atlanta Braves</t>
  </si>
  <si>
    <t>BS-3001-kkh6s</t>
  </si>
  <si>
    <t>2024 Topps Adley Rutschman #SS-ARU Silver Slugger Award Winner Patches O's</t>
  </si>
  <si>
    <t>BAS-2025-kshqh</t>
  </si>
  <si>
    <t>2024 Topps Cody Bellinger #SS-CB Silver Slugger Award Winner Patches /299 Cubs</t>
  </si>
  <si>
    <t>BAS-2026-kshqk</t>
  </si>
  <si>
    <t>2023 Topps Chrome Star Wars Leia Organa #M-16 Monikers</t>
  </si>
  <si>
    <t>STAR-0001-kskie</t>
  </si>
  <si>
    <t>2025 Topps Chrome Star Wars Neel #137</t>
  </si>
  <si>
    <t>STAR-0003-kskig</t>
  </si>
  <si>
    <t>2023 Topps Chrome Star Wars Klaud #75</t>
  </si>
  <si>
    <t>STAR-0005-kskii</t>
  </si>
  <si>
    <t>2023 Topps Chrome Star Wars Jannah #78</t>
  </si>
  <si>
    <t>STAR-0004-kskih</t>
  </si>
  <si>
    <t>2023 Topps Chrome Star Wars Princess Leia Organa #17</t>
  </si>
  <si>
    <t>STAR-0002-kskif</t>
  </si>
  <si>
    <t>2023 Topps Chrome Star Wars Greez Dritus #29</t>
  </si>
  <si>
    <t>STAR-0006-kskij</t>
  </si>
  <si>
    <t>2023 Topps Chrome Star Wars Kazuda Xiono #36</t>
  </si>
  <si>
    <t>STAR-0007-kskik</t>
  </si>
  <si>
    <t>2023 Topps Chrome Star Wars Tech #83</t>
  </si>
  <si>
    <t>STAR-0008-kskil</t>
  </si>
  <si>
    <t>2023 Topps Chrome Star Wars Supreme Leader Snoke #57</t>
  </si>
  <si>
    <t>STAR-0009-kskim</t>
  </si>
  <si>
    <t>2023 Topps Chrome Star Wars Neeku Vozo #37</t>
  </si>
  <si>
    <t>STAR-0010-kskin</t>
  </si>
  <si>
    <t>2023 Topps Chrome Star Wars D-O #79</t>
  </si>
  <si>
    <t>STAR-0015-kskis</t>
  </si>
  <si>
    <t>2025 Topps Chrome Star Wars Mother Talzin #136</t>
  </si>
  <si>
    <t>STAR-0011-kskio</t>
  </si>
  <si>
    <t>2025 Topps Chrome Star Wars Fillik #44</t>
  </si>
  <si>
    <t>STAR-0012-kskip</t>
  </si>
  <si>
    <t>2025 Topps Chrome Star Wars Kawlan Roken #70</t>
  </si>
  <si>
    <t>STAR-0016-kskiu</t>
  </si>
  <si>
    <t>2023 Topps Chrome Star Wars Padmé Amidala #49</t>
  </si>
  <si>
    <t>STAR-0013-kskiq</t>
  </si>
  <si>
    <t>2025 Topps Chrome Star Wars Master Codebreaker #88</t>
  </si>
  <si>
    <t>STAR-0019-kskiw</t>
  </si>
  <si>
    <t>2025 Topps Chrome Star Wars Captain Silvo #21</t>
  </si>
  <si>
    <t>STAR-0014-kskir</t>
  </si>
  <si>
    <t>2023 Topps Chrome Star Wars Ahsoka Tano #96</t>
  </si>
  <si>
    <t>STAR-0020-kskix</t>
  </si>
  <si>
    <t>2025 Topps Chrome Star Wars BB-9E #105</t>
  </si>
  <si>
    <t>STAR-0018-kskiv</t>
  </si>
  <si>
    <t>2023 Topps Chrome Star Wars Fennec Shand #90</t>
  </si>
  <si>
    <t>STAR-0023-kskj0</t>
  </si>
  <si>
    <t>2023 Topps Chrome Star Wars Salacious B. Crumb #46</t>
  </si>
  <si>
    <t>STAR-0021-kskiy</t>
  </si>
  <si>
    <t>2023 Topps Chrome Star Wars Yoda #51</t>
  </si>
  <si>
    <t>STAR-0022-kskiz</t>
  </si>
  <si>
    <t>2023-24 Panini Mosaic Luka Doncic #2 Elevate Mosaic Dallas Mavericks</t>
  </si>
  <si>
    <t>BB003049-ksocf</t>
  </si>
  <si>
    <t>2024-25 Bowman University Chrome Dylan Harper #22 Rutgers Scarlet Knights</t>
  </si>
  <si>
    <t>BB003001-ksnrt</t>
  </si>
  <si>
    <t>2023-24 Panini Mosaic Stephen Curry #6 Elevate Golden State Warriors</t>
  </si>
  <si>
    <t>BB003050-ksocg</t>
  </si>
  <si>
    <t>2021-22 Hoops Devin Booker #27 Lights Camera Action Holo Phoenix Suns</t>
  </si>
  <si>
    <t>BB003004-ksnrw</t>
  </si>
  <si>
    <t>2021-22 Hoops Quentin Grimes #13 Arriving Now New York Knicks</t>
  </si>
  <si>
    <t>BB003005-ksnrx</t>
  </si>
  <si>
    <t>2024-25 Hoops Haunted Hoops Zaccharie Risacher #291 Slime Atlanta Hawks</t>
  </si>
  <si>
    <t>BB003006-ksnry</t>
  </si>
  <si>
    <t>2024-25 Donruss Optic Klay Thompson #9 Holo Dallas Mavericks</t>
  </si>
  <si>
    <t>BB003007-ksnrz</t>
  </si>
  <si>
    <t>2024-25 Donruss Optic Jalen Brunson #12 My House New York Knicks</t>
  </si>
  <si>
    <t>BB003008-ksns0</t>
  </si>
  <si>
    <t>2024-25 Donruss Optic Zach Edey #10 Express Lane Orange Memphis Grizzlies</t>
  </si>
  <si>
    <t>BB003009-ksns2</t>
  </si>
  <si>
    <t>2024-25 Hoops Haunted Hoops Matas Buzelis #299 Chicago Bulls</t>
  </si>
  <si>
    <t>BB003010-ksns3</t>
  </si>
  <si>
    <t>2024-25 Panini Revolution Rob Dillingham #17 Star Gazing Minnesota Timberwolves</t>
  </si>
  <si>
    <t>BB003011-ksns4</t>
  </si>
  <si>
    <t>2024-25 Hoops Winter Victor Wembanyama #10 Frequent Flyers San Antonio Spurs</t>
  </si>
  <si>
    <t>BB003013-ksns6</t>
  </si>
  <si>
    <t>2024-25 Hoops Haunted Hoops Dalton Knecht #297 Los Angeles Lakers</t>
  </si>
  <si>
    <t>BB003012-ksns5</t>
  </si>
  <si>
    <t>2024-25 Hoops Haunted Hoops Jared McCain #296 Philadelphia 76ers</t>
  </si>
  <si>
    <t>BB003014-ksns7</t>
  </si>
  <si>
    <t>2024-25 Hoops Haunted Hoops Stephen Curry #283 Golden State Warriors</t>
  </si>
  <si>
    <t>BB003015-ksns8</t>
  </si>
  <si>
    <t>2024-25 Hoops Haunted Hoops Jared McCain #296 Orange Philadelphia 76ers</t>
  </si>
  <si>
    <t>BB003016-ksns9</t>
  </si>
  <si>
    <t>2024 Panini Prizm Draft Picks Trae Young #7 Campus Legends Orange Ice Sooners</t>
  </si>
  <si>
    <t>BB003018-ksnsc</t>
  </si>
  <si>
    <t>2022-23 Panini Prizm DeMar DeRozan #72 Prizms Green Chicago Bulls</t>
  </si>
  <si>
    <t>BB003019-ksnsd</t>
  </si>
  <si>
    <t>2023-24 Donruss Optic Kyrie Irving / Luka Doncic #4 Optical Illusions</t>
  </si>
  <si>
    <t>BB003020-ksnse</t>
  </si>
  <si>
    <t>2024 Panini Prizm Draft Picks Zach Edey #1b Prizms Green Purdue Boilermakers</t>
  </si>
  <si>
    <t>BB003021-ksnsf</t>
  </si>
  <si>
    <t>2024 Panini Prizm Draft Picks Alexandre Sarr #52 Prizms Red Ice Boston Red Sox</t>
  </si>
  <si>
    <t>BB003022-ksnsm</t>
  </si>
  <si>
    <t>BB003023-ksnsn</t>
  </si>
  <si>
    <t>2024 Panini Prizm Draft Picks Matas Buzelis #9 Student Orientation Prizms</t>
  </si>
  <si>
    <t>BB003024-ksnsp</t>
  </si>
  <si>
    <t>2024-25 Donruss Kel'el Ware #221 Miami Heat</t>
  </si>
  <si>
    <t>BB003028-ksnst</t>
  </si>
  <si>
    <t>2024-25 Panini Select Zach LaVine #10 Green White Purple Prizm Sacramento Kings</t>
  </si>
  <si>
    <t>BB003029-ksnsu</t>
  </si>
  <si>
    <t>2024-25 Panini Select LaMelo Ball #31 Blue (Retail) Charlotte Hornets</t>
  </si>
  <si>
    <t>BB003030-ksnsv</t>
  </si>
  <si>
    <t>2004 Upper Deck Collectibles LeBron James Freshman Season LeBron James #6</t>
  </si>
  <si>
    <t>BB003031-ksnsw</t>
  </si>
  <si>
    <t>2024-25 Topps Chrome Dereck Lively II #114 Topps Green Refractor Mavericks</t>
  </si>
  <si>
    <t>BB003032-ksnsx</t>
  </si>
  <si>
    <t>2024-25 Panini Select Scoot Henderson #119 Blue (Retail) Portland Trail Blazers</t>
  </si>
  <si>
    <t>BB003033-ksnsy</t>
  </si>
  <si>
    <t>2024-25 Panini Select Reed Sheppard #13 Neon Icons Houston Rockets</t>
  </si>
  <si>
    <t>BB003034-ksnsz</t>
  </si>
  <si>
    <t>2024-25 Hoops Winter Trayce Jackson-Davis #63 Purple Golden State Warriors</t>
  </si>
  <si>
    <t>BB003035-ksnt0</t>
  </si>
  <si>
    <t>2024-25 Hoops Winter Scottie Barnes #101 Prizms Premium Toronto Raptors</t>
  </si>
  <si>
    <t>BB003037-ksnt2</t>
  </si>
  <si>
    <t>2024-25 Donruss Optic Matas Buzelis #10 White Hot Rookies Chicago Bulls</t>
  </si>
  <si>
    <t>BB003040-ksnt5</t>
  </si>
  <si>
    <t>2024 Panini Prizm Draft Picks Matas Buzelis #67 NBA G League Ignite</t>
  </si>
  <si>
    <t>BB003041-ksnt6</t>
  </si>
  <si>
    <t>2024-25 Panini Select Jared McCain #82 Blue (Retail) Philadelphia 76ers</t>
  </si>
  <si>
    <t>BB003042-ksnt7</t>
  </si>
  <si>
    <t>2024-25 Panini Select Anthony Edwards #130 Tectonic Prizm Minnesota Timberwolves</t>
  </si>
  <si>
    <t>BB003043-ksnt8</t>
  </si>
  <si>
    <t>2020-21 Donruss Optic Luka Doncic #86 Dallas Mavericks</t>
  </si>
  <si>
    <t>BB003044-ksnt9</t>
  </si>
  <si>
    <t>2024-25 Topps Chrome Yves Missi #156 New Orleans Pelicans</t>
  </si>
  <si>
    <t>BB003045-ksnta</t>
  </si>
  <si>
    <t>2024-25 Topps Chrome Cam Spencer #130 Memphis Grizzlies</t>
  </si>
  <si>
    <t>BB003047-ksntc</t>
  </si>
  <si>
    <t>2024-25 Topps Chrome Jalen Bridges #146 Phoenix Suns</t>
  </si>
  <si>
    <t>BB003048-ksntd</t>
  </si>
  <si>
    <t>2022-23 Panini Mosaic Jalen Williams #4 Introductions Oklahoma City Thunder</t>
  </si>
  <si>
    <t>BB003052-ku8il</t>
  </si>
  <si>
    <t>2023-24 Hoops Winter Amen Thompson #16 Arriving Now Houston Rockets</t>
  </si>
  <si>
    <t>BB003053-ku8im</t>
  </si>
  <si>
    <t>2020-21 Panini Chronicles Tyrese Haliburton #241 Green Sacramento Kings</t>
  </si>
  <si>
    <t>BB003054-ku8io</t>
  </si>
  <si>
    <t>2019-20 Panini Illusions Devin Booker #16 Shining Stars Emerald Phoenix Suns</t>
  </si>
  <si>
    <t>BB003055-ku8iq</t>
  </si>
  <si>
    <t>2022-23 Panini Flux Jaylen Brown #62 Boston Celtics</t>
  </si>
  <si>
    <t>BB003056-ku8ir</t>
  </si>
  <si>
    <t>2023-24 Donruss Tyrese Haliburton #8 Green Laser Holo Indiana Pacers</t>
  </si>
  <si>
    <t>BB003057-ku8it</t>
  </si>
  <si>
    <t>2022-23 Panini Flux Zach LaVine #22 Chicago Bulls</t>
  </si>
  <si>
    <t>BB003058-ku8iu</t>
  </si>
  <si>
    <t>2022-23 Panini Prizm Monopoly Malaki Branham #81 Silver San Antonio Spurs</t>
  </si>
  <si>
    <t>BB003060-ku8j3</t>
  </si>
  <si>
    <t>2022-23 Panini Flux Bam Adebayo #7 D Lux Miami Heat</t>
  </si>
  <si>
    <t>BB003061-ku8j7</t>
  </si>
  <si>
    <t>2023-24 Donruss Jonathan Kuminga #148 Green Laser Holo Golden State Warriors</t>
  </si>
  <si>
    <t>BB003062-ku8j9</t>
  </si>
  <si>
    <t>2022-23 Panini Prizm Monopoly Demar Derozan #13 Teal Wave Chicago Bulls</t>
  </si>
  <si>
    <t>BB003063-ku8jb</t>
  </si>
  <si>
    <t>2022-23 Panini Flux Zion Williamson #115 Silver New Orleans Pelicans</t>
  </si>
  <si>
    <t>BB003064-ku8jd</t>
  </si>
  <si>
    <t>2021 Panini Prizm Draft Picks Cade Cunningham #1 Oklahoma State Cowboys</t>
  </si>
  <si>
    <t>BB003065-ku8jf</t>
  </si>
  <si>
    <t>2024-25 Donruss Paolo Banchero #2 Orlando Magic</t>
  </si>
  <si>
    <t>BB003066-ku8jo</t>
  </si>
  <si>
    <t>2023-24 Hoops Premium Stock Shai Gilgeous-Alexander #147 Oklahoma City Thunder</t>
  </si>
  <si>
    <t>BB003067-ku8jv</t>
  </si>
  <si>
    <t>2021-22 Panini Select Carmelo Anthony #31 Los Angeles Lakers</t>
  </si>
  <si>
    <t>BB003068-ku8jx</t>
  </si>
  <si>
    <t>2021-22 Panini Select Giannis Antetokounmpo #35 Blue Bucks</t>
  </si>
  <si>
    <t>BB003069-ku8jz</t>
  </si>
  <si>
    <t>2023-24 Topps Chrome Carmelo Anthony #27 Denver Nuggets</t>
  </si>
  <si>
    <t>BB003070-ku8k1</t>
  </si>
  <si>
    <t>2024-25 Panini Prizm Ausar Thompson #147 Detroit Pistons</t>
  </si>
  <si>
    <t>BB003071-ku8k2</t>
  </si>
  <si>
    <t>2021 Panini Prizm Draft Picks Devin Booker #70 Kentucky Wildcats</t>
  </si>
  <si>
    <t>BB003072-ku8k4</t>
  </si>
  <si>
    <t>2021 Panini Prizm Draft Picks Franz Wagner #9 Michigan Wolverines</t>
  </si>
  <si>
    <t>BB003074-ku8k9</t>
  </si>
  <si>
    <t>2021 Panini Prizm Draft Picks De'Aaron Fox #72 Kentucky Wildcats</t>
  </si>
  <si>
    <t>BB003073-ku8k7</t>
  </si>
  <si>
    <t>2024-25 Donruss Devin Booker #115 Phoenix Suns</t>
  </si>
  <si>
    <t>BB003075-ku8ka</t>
  </si>
  <si>
    <t>2024-25 Donruss Giannis Antetokounmpo #172 Milwaukee Bucks</t>
  </si>
  <si>
    <t>BB003076-ku8kc</t>
  </si>
  <si>
    <t>2024-25 Donruss Zion Williamson #129 New Orleans Pelicans</t>
  </si>
  <si>
    <t>BB003077-ku8kd</t>
  </si>
  <si>
    <t>2024-25 Hoops LaMelo Ball #182 Charlotte Hornets</t>
  </si>
  <si>
    <t>BB003078-ku8kf</t>
  </si>
  <si>
    <t>2024-25 Donruss Victor Wembanyama #6 San Antonio Spurs</t>
  </si>
  <si>
    <t>BB003079-ku8ki</t>
  </si>
  <si>
    <t>2022 Zenith James Cook #115 Retail Buffalo Bills FB-3032</t>
  </si>
  <si>
    <t>BB003080-ku9e3</t>
  </si>
  <si>
    <t>2024 Topps Anthony Volpe #180 Team Color Border Variation Yankees SSP</t>
  </si>
  <si>
    <t>BAS-2027-ku9e6</t>
  </si>
  <si>
    <t>BB-3081-kv7k5</t>
  </si>
  <si>
    <t>2023 Panini Contenders Dak Prescott #28 Dallas Cowboys</t>
  </si>
  <si>
    <t>FB-003082-kv8sa</t>
  </si>
  <si>
    <t>2024 Topps Signature Class Adrian Peterson #31 Minnesota Vikings</t>
  </si>
  <si>
    <t>FB-003083-kv8sc</t>
  </si>
  <si>
    <t>2024 Panini Zenith Barry Sanders #34 Retail Detroit Lions</t>
  </si>
  <si>
    <t>FB-003084-kv8se</t>
  </si>
  <si>
    <t>2021 Panini Select Daniel Jones #26 New York Giants</t>
  </si>
  <si>
    <t>FB-003087-kv8sj</t>
  </si>
  <si>
    <t>2024 Panini Absolute Kendre Miller #78 Retail New Orleans Saints</t>
  </si>
  <si>
    <t>FB-003090-kv8sq</t>
  </si>
  <si>
    <t>2024 Panini Contenders Breece Hall #76 Season Ticket Retail New York Jets</t>
  </si>
  <si>
    <t>FB-003093-kv8sy</t>
  </si>
  <si>
    <t>2023 Panini Contenders Jimmy Garoppolo #54 Las Vegas Raiders</t>
  </si>
  <si>
    <t>FB-003095-kv8t4</t>
  </si>
  <si>
    <t>2024 Donruss Optic Cooper Kupp #116 Los Angeles Rams</t>
  </si>
  <si>
    <t>FB-003096-kv8t6</t>
  </si>
  <si>
    <t>2021 Panini Select Davante Adams #14 Green Bay Packers</t>
  </si>
  <si>
    <t>FB-003098-kv8ta</t>
  </si>
  <si>
    <t>2024 Panini Absolute Russell Wilson #88 Blue Pittsburgh Steelers</t>
  </si>
  <si>
    <t>FB-003099-kv8tk</t>
  </si>
  <si>
    <t>2024 Panini Prizm Draft Picks Kurt Warner #1 Northern Iowa Panthers</t>
  </si>
  <si>
    <t>FB-003100-kv8tm</t>
  </si>
  <si>
    <t>2024 Panini Contenders Terry McLaurin #99 Season Ticket Retail Commanders</t>
  </si>
  <si>
    <t>FB-003101-kv8tp</t>
  </si>
  <si>
    <t>2024 Panini Contenders DJ Moore #18 Season Ticket Retail Chicago Bears</t>
  </si>
  <si>
    <t>FB-003102-kv8tr</t>
  </si>
  <si>
    <t>2024 Panini Absolute Sam Hubbard #21 Retail Cincinnati Bengals</t>
  </si>
  <si>
    <t>FB-003091-kv8su</t>
  </si>
  <si>
    <t>2024 Panini Phoenix Danielle Hunter #33 Houston Texans</t>
  </si>
  <si>
    <t>FB-003092-kv8sw</t>
  </si>
  <si>
    <t>2021 Panini Contenders Adam Thielen #66 Minnesota Vikings</t>
  </si>
  <si>
    <t>FB-003085-kv8sg</t>
  </si>
  <si>
    <t>2022-23 Topps Chrome NBL Rashard Kelly #FC-15 Flight Club Tasmania JackJumpers</t>
  </si>
  <si>
    <t>BB-3082-kvaoj</t>
  </si>
  <si>
    <t>2022-23 Topps Chrome NBL Milton Doyle #90 Tasmania JackJumpers</t>
  </si>
  <si>
    <t>BB-3083-kvaok</t>
  </si>
  <si>
    <t>2022-23 Topps NBL Cam Gliddon #57 New Zealand Breakers</t>
  </si>
  <si>
    <t>BB-3084-kvaol</t>
  </si>
  <si>
    <t>2022-23 Topps NBL Matt Kenyon #92 Tasmania JackJumpers</t>
  </si>
  <si>
    <t>BB-3085-kvaom</t>
  </si>
  <si>
    <t>2022-23 Topps Chrome NBL Kyle Zunic #65 Perth Wildcats</t>
  </si>
  <si>
    <t>BB-3086-kvaon</t>
  </si>
  <si>
    <t>2022-23 Topps Chrome NBL Josh Magette #94 Tasmania JackJumpers</t>
  </si>
  <si>
    <t>BB-3087-kvaoo</t>
  </si>
  <si>
    <t>2022-23 Topps Chrome NBL Mitch McCarron #8 Refractor Adelaide 36ers</t>
  </si>
  <si>
    <t>BB-3088-kvaop</t>
  </si>
  <si>
    <t>2022-23 Topps Chrome NBL Tom Abercrombie #52 New Zealand Breakers</t>
  </si>
  <si>
    <t>BB-3089-kvaoq</t>
  </si>
  <si>
    <t>2022-23 Topps Chrome NBL Wani Swaka Lo Buluk #40 Illawarra Hawks</t>
  </si>
  <si>
    <t>BB-3090-kvaor</t>
  </si>
  <si>
    <t>2022-23 Topps Chrome NBL William Hickey #34 Illawarra Hawks</t>
  </si>
  <si>
    <t>BB-3091-kvaos</t>
  </si>
  <si>
    <t>2022-23 Topps Chrome NBL Sam Froling #32 Illawarra Hawks</t>
  </si>
  <si>
    <t>BB-3092-kvaot</t>
  </si>
  <si>
    <t>2022-23 Topps Chrome NBL Ryan Broekhoff #72-16 1972 Topps Basketball S.E.</t>
  </si>
  <si>
    <t>BB-3093-kvaou</t>
  </si>
  <si>
    <t>2022-23 Topps Chrome NBL Daniel Fotu #54 New Zealand Breakers</t>
  </si>
  <si>
    <t>BB-3095-kvaow</t>
  </si>
  <si>
    <t>2022-23 Topps Chrome NBL Grant Anticevich #71 S.E. Melbourne Phoenix</t>
  </si>
  <si>
    <t>BB-3094-kvaov</t>
  </si>
  <si>
    <t>2022-23 Topps Chrome NBL Shaun Bruce #81 Sydney Kings</t>
  </si>
  <si>
    <t>BB-3096-kvaox</t>
  </si>
  <si>
    <t>2022-23 Topps Chrome NBL Justin Robinson #39 Illawarra Hawks</t>
  </si>
  <si>
    <t>BB-3097-kvaoy</t>
  </si>
  <si>
    <t>2022-23 Topps Chrome NBL Jesse Wagstaff #68 Perth Wildcats</t>
  </si>
  <si>
    <t>BB-3098-kvaoz</t>
  </si>
  <si>
    <t>2022-23 Topps Chrome NBL Clint Steindl #98 Tasmania JackJumpers</t>
  </si>
  <si>
    <t>BB-3099-kvap0</t>
  </si>
  <si>
    <t>2022-23 Topps Chrome NBL Zhou Qi #77 S.E. Melbourne Phoenix</t>
  </si>
  <si>
    <t>FB-3100-kvap1</t>
  </si>
  <si>
    <t>2022-23 Topps Chrome NBL Biwali Bayles #80 Sydney Kings</t>
  </si>
  <si>
    <t>BB-3092-kvap2</t>
  </si>
  <si>
    <t>2022-23 Topps Chrome NBL Gary Browne #73 S.E. Melbourne Phoenix</t>
  </si>
  <si>
    <t>BB-3093-kvap3</t>
  </si>
  <si>
    <t>2022-23 Topps Chrome NBL Todd Blanchfield #60 Perth Wildcats</t>
  </si>
  <si>
    <t>BB-3094-kvap4</t>
  </si>
  <si>
    <t>2022-23 Topps Chrome NBL Will Magnay #95 Tasmania JackJumpers</t>
  </si>
  <si>
    <t>BB-3096-kvap6</t>
  </si>
  <si>
    <t>2022-23 Topps Chrome NBL Tim Soares #89 Sydney Kings</t>
  </si>
  <si>
    <t>BB-3097-kvap7</t>
  </si>
  <si>
    <t>2022-23 Topps NBL Shea Ili #45 Melbourne United</t>
  </si>
  <si>
    <t>BB-3098-kvap8</t>
  </si>
  <si>
    <t>2022-23 Topps Chrome NBL Bul Kuol #26 Cairns Taipans</t>
  </si>
  <si>
    <t>BB-3099-kvap9</t>
  </si>
  <si>
    <t>2022-23 Topps Chrome NBL Tom Abercrombie #TCA-TA Topps Chrome Authentics</t>
  </si>
  <si>
    <t>BB-3100-kvaz6</t>
  </si>
  <si>
    <t>2024 Topps Allen &amp; Ginter #232 Andy Pages Los Angeles Dodgers (RC) Mini</t>
  </si>
  <si>
    <t>CDP-EE72522</t>
  </si>
  <si>
    <t>Yoshinobu Yamamoto #89B2-48 2024 Topps Baseball 35th Anniversary Dodgers</t>
  </si>
  <si>
    <t>BAS-003152-l11bu</t>
  </si>
  <si>
    <t>YOSHINOBU YAMAMOTO 2024 Topps Finest RC Rookie #50 Dodgers</t>
  </si>
  <si>
    <t>BAS-003154-l11c6</t>
  </si>
  <si>
    <t>2024 Topps Stadium Club - Special Forces Yoshinobu Yamamoto #SF-25 (RC) Dodgers</t>
  </si>
  <si>
    <t>BAS-003155-l11c9</t>
  </si>
  <si>
    <t>Yoshinobu Yamamoto - Los Angeles Dodgers - Rookie - 2024 Bowman #36</t>
  </si>
  <si>
    <t>BAS-003156-l11cc</t>
  </si>
  <si>
    <t>2025 Topps NL Leaders RBI (Ohtani/Adames/Machado) #86 Confetti</t>
  </si>
  <si>
    <t>BAS-003158-l11cj</t>
  </si>
  <si>
    <t>2025 Bowman Roki Sasaki #12 Los Angeles Dodgers</t>
  </si>
  <si>
    <t>BAS-003159-l11cm</t>
  </si>
  <si>
    <t>Yoshinobu Yamamoto 2024 Topps #553 Los Angeles Dodgers ROOKIE</t>
  </si>
  <si>
    <t>BAS-003160-l11cp</t>
  </si>
  <si>
    <t>2022 Panini Select Cooper Kupp #SS-21 Snapshots Prizm Los Angeles Rams</t>
  </si>
  <si>
    <t>FB-003190-l5z61</t>
  </si>
  <si>
    <t>2024-25 Panini Select Tyrese Haliburton #64 Orange Flash Prizm Indiana Pacers</t>
  </si>
  <si>
    <t>FB-003197-l5z6a</t>
  </si>
  <si>
    <t>2024 Donruss Optic Roman Wilson #285 Blue Hyper Pittsburgh Steelers</t>
  </si>
  <si>
    <t>FB-003184-l5z5v</t>
  </si>
  <si>
    <t>2024 Donruss J.J. McCarthy #4 The Elite Series Rookies Minnesota Vikings</t>
  </si>
  <si>
    <t>FB-003188-l5z5z</t>
  </si>
  <si>
    <t>2021 Panini Contenders Justin Herbert #SN-JHE Supernatural Los Angeles Chargers</t>
  </si>
  <si>
    <t>FB-003181-l5z5s</t>
  </si>
  <si>
    <t>2024 Panini Rookies &amp; Stars Spencer Rattler #A-SRR Airborne Silver Saints</t>
  </si>
  <si>
    <t>FB-003193-l5z64</t>
  </si>
  <si>
    <t>2022 Panini Select Tua Tagovailoa #161 Silver Prizm Die Cut Miami Dolphins</t>
  </si>
  <si>
    <t>FB-003195-l5z66</t>
  </si>
  <si>
    <t>2024-25 Panini Mosaic Jared McCain #17 Thunder Road Mosaic Philadelphia 76ers</t>
  </si>
  <si>
    <t>BB-003182-l5z5t</t>
  </si>
  <si>
    <t>2024-25 Panini Prizm Ja Morant #64 Prizms Silver Memphis Grizzlies</t>
  </si>
  <si>
    <t>BB-003191-l5z62</t>
  </si>
  <si>
    <t>2024 Panini Origins Jeremiah Trotter Jr. #128 Philadelphia Eagles</t>
  </si>
  <si>
    <t>FB-003186-l5z5x</t>
  </si>
  <si>
    <t>2024 Panini Select Justin Herbert #131 Black &amp; Red Prizm Shock Chargers</t>
  </si>
  <si>
    <t>FB-003198-l5z6b</t>
  </si>
  <si>
    <t>FB-003201-l64i5</t>
  </si>
  <si>
    <t>2025-26 Topps Basketball LaMelo Ball #TC-LB Aqua Mojo /199 Hornets</t>
  </si>
  <si>
    <t>CDP-79D19F9</t>
  </si>
  <si>
    <t>2025-26 Topps Jase Richardson #TC-JR 1980-81 Topps Chrome Basketball Magic</t>
  </si>
  <si>
    <t>BB-003205-l9rbc</t>
  </si>
  <si>
    <t>2025-26 Topps Noa Essengue #TC-NE 1980-81 Topps Chrome Basketball Chicago Bulls</t>
  </si>
  <si>
    <t>BB-003206-l9rbd</t>
  </si>
  <si>
    <t>2025-26 Topps Donovan Mitchell #TC-DM 1980-81 Topps Chrome Basketball Cavaliers</t>
  </si>
  <si>
    <t>BB-003208-l9rbf</t>
  </si>
  <si>
    <t>BB-003209-l9rbg</t>
  </si>
  <si>
    <t>2025-26 Topps Liam McNeeley #TC-LM 1980-81 Topps Chrome Basketball Hornets</t>
  </si>
  <si>
    <t>BB-003210-l9rbh</t>
  </si>
  <si>
    <t>2025-26 Topps Gary Trent Jr. #59 Foil Pattern Milwaukee Bucks</t>
  </si>
  <si>
    <t>BB-003213-l9rbk</t>
  </si>
  <si>
    <t>BB-003214-l9rbl</t>
  </si>
  <si>
    <t>2025-26 Topps Cody Williams #130 Holo Foil Utah Jazz</t>
  </si>
  <si>
    <t>BB-003215-l9rbm</t>
  </si>
  <si>
    <t>2025-26 Topps Jeremiah Fears #NS-7 New School New Orleans Pelicans</t>
  </si>
  <si>
    <t>BB-003218-l9rbp</t>
  </si>
  <si>
    <t>2025-26 Topps Giannis Antetokounmpo #MVP-3 MVP Vault Milwaukee Bucks</t>
  </si>
  <si>
    <t>BB-003220-l9rbr</t>
  </si>
  <si>
    <t>2025-26 Topps Adou Thiero 1980-81 RC Rookie #80BK-79 Lakers Silver Foil</t>
  </si>
  <si>
    <t>BB-003221-l9rbs</t>
  </si>
  <si>
    <t>2025-26 Topps Thomas Sorber (RC) #NL-15 No Limit Oklahoma City Thunder /250</t>
  </si>
  <si>
    <t>BB-003222-l9rbt</t>
  </si>
  <si>
    <t>2025-26 Topps Alijah Martin #240 Toronto Raptors</t>
  </si>
  <si>
    <t>BB-003226-l9xa2</t>
  </si>
  <si>
    <t>2025-26 Topps Joan Beringer #217 Minnesota Timberwolves</t>
  </si>
  <si>
    <t>BB-003227-l9xa3</t>
  </si>
  <si>
    <t>2025-26 Topps Will Riley #221 Washington Wizards</t>
  </si>
  <si>
    <t>BB-003228-l9xa4</t>
  </si>
  <si>
    <t>2025-26 Topps Tre Johnson III #206 Washington Wizards</t>
  </si>
  <si>
    <t>BB-003229-l9xa5</t>
  </si>
  <si>
    <t>2025-26 Topps Zaccharie Risacher #62 Atlanta Hawks</t>
  </si>
  <si>
    <t>BB-003230-l9xa6</t>
  </si>
  <si>
    <t>BB-003231-l9xa7</t>
  </si>
  <si>
    <t>BB-003234-l9xaa</t>
  </si>
  <si>
    <t>2025-26 Topps Ben Saraf #226 Brooklyn Nets</t>
  </si>
  <si>
    <t>BB-003232-l9xa8</t>
  </si>
  <si>
    <t>BB-003235-l9xab</t>
  </si>
  <si>
    <t>2025-26 Topps Maxime Raynaud #243 Sacramento Kings</t>
  </si>
  <si>
    <t>BB-003237-l9xad</t>
  </si>
  <si>
    <t>2025-26 Topps Stephon Castle #197 San Antonio Spurs</t>
  </si>
  <si>
    <t>BB-003238-l9xae</t>
  </si>
  <si>
    <t>2025-26 Topps Carter Bryant #214 San Antonio Spurs</t>
  </si>
  <si>
    <t>BB-003241-l9xah</t>
  </si>
  <si>
    <t>2025-26 Topps Brooks Barnhizer #245 Oklahoma City Thunder</t>
  </si>
  <si>
    <t>BB-003244-l9xak</t>
  </si>
  <si>
    <t>2025-26 Topps Liam McNeeley #229 Charlotte Hornets</t>
  </si>
  <si>
    <t>BB-003243-l9xaj</t>
  </si>
  <si>
    <t>BB-003247-l9xan</t>
  </si>
  <si>
    <t>2025-26 Topps Johni Broome #235 Philadelphia 76ers</t>
  </si>
  <si>
    <t>BB-003248-l9xao</t>
  </si>
  <si>
    <t>2025-26 Topps Jaylen Wells #183 Memphis Grizzlies</t>
  </si>
  <si>
    <t>BB-003249-l9xap</t>
  </si>
  <si>
    <t>2025-26 Topps Jeremiah Fears #207 New Orleans Pelicans</t>
  </si>
  <si>
    <t>BB-003250-l9xaq</t>
  </si>
  <si>
    <t>BB-003251-l9xar</t>
  </si>
  <si>
    <t>2025-26 Topps Chaz Lanier #238 Detroit Pistons</t>
  </si>
  <si>
    <t>BB-003254-l9xau</t>
  </si>
  <si>
    <t>2025-26 Topps Thomas Sorber #215 Oklahoma City Thunder</t>
  </si>
  <si>
    <t>BB-003258-l9xay</t>
  </si>
  <si>
    <t>BB-003260-l9xb0</t>
  </si>
  <si>
    <t>BB-003263-l9xb3</t>
  </si>
  <si>
    <t>2025-26 Topps Noah Penda #232 Orlando Magic</t>
  </si>
  <si>
    <t>BB-003265-l9xb5</t>
  </si>
  <si>
    <t>BB-003266-l9xb6</t>
  </si>
  <si>
    <t>BB-003267-l9xb7</t>
  </si>
  <si>
    <t>2025-26 Topps Ace Bailey #205 Utah Jazz</t>
  </si>
  <si>
    <t>BB-003269-l9xb9</t>
  </si>
  <si>
    <t>2025-26 Topps Egor Dëmin #208 Brooklyn Nets</t>
  </si>
  <si>
    <t>BB-003271-l9xbb</t>
  </si>
  <si>
    <t>BB-003274-l9xbf</t>
  </si>
  <si>
    <t>2025-26 Topps Adou Thiero #236 Los Angeles Lakers</t>
  </si>
  <si>
    <t>BB-003276-l9xbh</t>
  </si>
  <si>
    <t>2025-26 Topps Jase Richardson #225 Orlando Magic</t>
  </si>
  <si>
    <t>BB-003277-l9xbi</t>
  </si>
  <si>
    <t>2025-26 Topps Koby Brea #242 Phoenix Suns</t>
  </si>
  <si>
    <t>BB-003278-l9xbj</t>
  </si>
  <si>
    <t>2025-26 Topps Danny Wolf #227 Brooklyn Nets</t>
  </si>
  <si>
    <t>BB-003279-l9xbk</t>
  </si>
  <si>
    <t>2025-26 Topps Nolan Traore #219 Brooklyn Nets</t>
  </si>
  <si>
    <t>BB-003280-l9xbl</t>
  </si>
  <si>
    <t>2025-26 Topps Yang Hansen #216 Portland Trail Blazers</t>
  </si>
  <si>
    <t>BB-003281-l9xbm</t>
  </si>
  <si>
    <t>2025-26 Topps Kam Jones #239 Indiana Pacers</t>
  </si>
  <si>
    <t>BB-003282-l9xbn</t>
  </si>
  <si>
    <t>2025-26 Topps Tyrese Proctor #250 Cleveland Cavaliers</t>
  </si>
  <si>
    <t>BB-003283-l9xbo</t>
  </si>
  <si>
    <t>2025-26 Topps Alex Sarr #96 Washington Wizards</t>
  </si>
  <si>
    <t>BB-003284-l9xbp</t>
  </si>
  <si>
    <t>2025-26 Topps Noa Essengue #212 Chicago Bulls</t>
  </si>
  <si>
    <t>BB-003285-l9xbq</t>
  </si>
  <si>
    <t>2025-26 Topps Hugo González #228 Boston Celtics</t>
  </si>
  <si>
    <t>BB-003286-l9xbr</t>
  </si>
  <si>
    <t>2025-26 Topps Drake Powell #222 Brooklyn Nets</t>
  </si>
  <si>
    <t>BB-003287-l9xbs</t>
  </si>
  <si>
    <t>BB-003291-l9xbw</t>
  </si>
  <si>
    <t>BB-003292-l9xbx</t>
  </si>
  <si>
    <t>BB-003293-l9xby</t>
  </si>
  <si>
    <t>BB-003295-l9xc0</t>
  </si>
  <si>
    <t>FB-003298-la5b8</t>
  </si>
  <si>
    <t>VJ Edgecombe 2025-26 Topps Rookie Card #203 Topps Flagship RC 76ers RC</t>
  </si>
  <si>
    <t>BB-003252-l9xas-257753F</t>
  </si>
  <si>
    <t>2020-21 Topps Chrome Sapphire UEFA Champions League Erling Haaland #49 Dortmund</t>
  </si>
  <si>
    <t>SR-003301-lb9y3</t>
  </si>
  <si>
    <t>2024 Topps Cal Raleigh #122 Rainbow Foil Seattle Mariners</t>
  </si>
  <si>
    <t>BB-003306-lb9y8</t>
  </si>
  <si>
    <t>2024-25 Finest UEFA Club Competitions Lamine Yamal #99 FC Barcelona</t>
  </si>
  <si>
    <t>SR-003300-lb9y2</t>
  </si>
  <si>
    <t>2022 Panini Vladimir Guerrero Jr. #IL-7 Illumination Lime Green Prizm #/125</t>
  </si>
  <si>
    <t>BB-003305-lb9y7</t>
  </si>
  <si>
    <t>2022 Panini Select Saquon Barkley #173 Green and Yellow Prizm Die Cut Giants</t>
  </si>
  <si>
    <t>FB-003308-lb9ya</t>
  </si>
  <si>
    <t>2024 Panini Prizm Draft Picks Robert Dillingham #5 Student Orientation Wildcat</t>
  </si>
  <si>
    <t>BB-003300-lchcp</t>
  </si>
  <si>
    <t>2024 Panini Prizm Draft Picks Kyle Filipowski #28b Prizms Green Duke Blue Devils</t>
  </si>
  <si>
    <t>BB-003301-lchct</t>
  </si>
  <si>
    <t>BB-003302-lchcv</t>
  </si>
  <si>
    <t>2024 Panini Prizm Draft Picks Dalton Knecht #50b Tennessee Volunteers</t>
  </si>
  <si>
    <t>BB-003303-lchcx</t>
  </si>
  <si>
    <t>2024 Panini Prizm Draft Picks Nikola Topic #16 New Recruits Prizms Silver</t>
  </si>
  <si>
    <t>BB-003304-lchcy</t>
  </si>
  <si>
    <t>2024 Panini Prizm Draft Picks Devin Carter #8 Student Orientation Friars</t>
  </si>
  <si>
    <t>BB-003305-lchd0</t>
  </si>
  <si>
    <t>2024 Panini Prizm Draft Picks Ron Holland II #8 Prizms Purple Wave NBA G League</t>
  </si>
  <si>
    <t>BB-003306-lchd3</t>
  </si>
  <si>
    <t>2024-25 Panini Revolution Ja'Kobe Walter #150 Toronto Raptors</t>
  </si>
  <si>
    <t>BB-003307-lchd6</t>
  </si>
  <si>
    <t>2024 Panini Prizm Draft Picks Kel'el Ware #24 Prizms Red Ice Indiana Hoosiers</t>
  </si>
  <si>
    <t>BB-003310-lchdg</t>
  </si>
  <si>
    <t>2024 Panini Prizm Draft Picks Tristan da Silva #10 Fearless Prizms Silver</t>
  </si>
  <si>
    <t>BB-003311-lchdk</t>
  </si>
  <si>
    <t>2024 Panini Prizm Draft Picks Zaccharie Risacher #11 Fearless</t>
  </si>
  <si>
    <t>BB-003312-lchdo</t>
  </si>
  <si>
    <t>2024-25 Hoops Kyle Filipowski #17 Arriving Now Utah Jazz</t>
  </si>
  <si>
    <t>BB-003313-lchdr</t>
  </si>
  <si>
    <t>2024 Panini Prizm Draft Picks Donovan Clingan #9 Campus Legends UCONN</t>
  </si>
  <si>
    <t>BB-003314-lchdv</t>
  </si>
  <si>
    <t>2024 Panini Prizm Draft Picks Donovan Clingan #9 Campus Legends Red UCONN #/299</t>
  </si>
  <si>
    <t>BB-003315-lchdy</t>
  </si>
  <si>
    <t>2024 Panini Prizm Draft Picks Alexandre Sarr #15 Brilliance</t>
  </si>
  <si>
    <t>BB-003318-lchef</t>
  </si>
  <si>
    <t>2024-25 Hoops Devin Carter #1 Arriving Now Sacramento Kings</t>
  </si>
  <si>
    <t>BB-003319-lchej</t>
  </si>
  <si>
    <t>2024 Panini Prizm Draft Picks Kel'el Ware #24b Prizms Orange Ice</t>
  </si>
  <si>
    <t>BB-003320-lchen</t>
  </si>
  <si>
    <t>2024 Panini Prizm Draft Picks Tristan da Silva #61b Colorado Buffaloes</t>
  </si>
  <si>
    <t>BB-003321-lcher</t>
  </si>
  <si>
    <t>2024 Panini Prizm Draft Picks Reed Sheppard #21 Prizms Silver Kentucky Wildcats</t>
  </si>
  <si>
    <t>BB-003322-lcheu</t>
  </si>
  <si>
    <t>2024 Panini Prizm Draft Picks Tristan da Silva #20 New Recruits Prizms Silver</t>
  </si>
  <si>
    <t>BB-003323-lchey</t>
  </si>
  <si>
    <t>2024 Panini Prizm Draft Picks Oso Ighodaro #18 Prizms Red Wave</t>
  </si>
  <si>
    <t>BB-003324-lchf0</t>
  </si>
  <si>
    <t>2024 Panini Prizm Draft Picks Ron Holland II #8b Prizms Purple Wave NBA G League</t>
  </si>
  <si>
    <t>BB-003325-lchf2</t>
  </si>
  <si>
    <t>BB-003326-lchf4</t>
  </si>
  <si>
    <t>2024-25 Bowman University Chrome Khaman Maluach #46 Black Wave Refractor</t>
  </si>
  <si>
    <t>BB-003328-lchf6</t>
  </si>
  <si>
    <t>2022-23 Bowman University Chrome Gradey Dick #41 Kansas Jayhawks</t>
  </si>
  <si>
    <t>BB-003327-lchf5</t>
  </si>
  <si>
    <t>2024-25 Donruss Jonathan Kuminga #151 Holo Green Laser Golden State Warriors</t>
  </si>
  <si>
    <t>BB-003329-lchf8</t>
  </si>
  <si>
    <t>2024-25 Donruss Ja'Kobe Walter #10 Great X-Pectations Toronto Raptors</t>
  </si>
  <si>
    <t>BB-003330-lchf9</t>
  </si>
  <si>
    <t>2024 Panini Prizm Draft Picks Zach Edey #15 All-American Purdue Boilermakers</t>
  </si>
  <si>
    <t>BB-003331-lchfb</t>
  </si>
  <si>
    <t>2024-25 Panini Prizm Devin Carter #9 Emergent Sacramento Kings</t>
  </si>
  <si>
    <t>BB-003332-lchfd</t>
  </si>
  <si>
    <t>2024-25 Panini Revolution Isaiah Collier #144 Utah Jazz</t>
  </si>
  <si>
    <t>BB-003333-lchfe</t>
  </si>
  <si>
    <t>2024 Panini Prizm Draft Picks Tristan da Silva #61 Colorado Buffaloes</t>
  </si>
  <si>
    <t>BB-003334-lchff</t>
  </si>
  <si>
    <t>2024-25 Panini Prizm Devin Carter #231 Prizms Orange Ice Sacramento Kings</t>
  </si>
  <si>
    <t>BB-003335-lchfh</t>
  </si>
  <si>
    <t>2024 Panini Prizm Draft Picks Pacome Dadiet #81 Prizms Red Ice</t>
  </si>
  <si>
    <t>BB-003336-lchfj</t>
  </si>
  <si>
    <t>2024-25 Panini Select Kyle Filipowski #170 Blue Prizm Utah Jazz</t>
  </si>
  <si>
    <t>BB-003337-lchfk</t>
  </si>
  <si>
    <t>2024-25 Panini Select Ja'Kobe Walter #1 Rookie Revolution Toronto Raptors</t>
  </si>
  <si>
    <t>BB-003338-lchfm</t>
  </si>
  <si>
    <t>2024 Panini Prizm Draft Picks Yves Missi #25 Student Orientation Baylor Bears</t>
  </si>
  <si>
    <t>BB-003339-lchfn</t>
  </si>
  <si>
    <t>2024 Panini Prizm WNBA Diana Taurasi #12 Fearless Prizms Green Phoenix Mercury</t>
  </si>
  <si>
    <t>BB-003340-lchfp</t>
  </si>
  <si>
    <t>2024 Panini Prizm WNBA Angel Reese #10 Chicago Sky</t>
  </si>
  <si>
    <t>BB-003341-lchfq</t>
  </si>
  <si>
    <t>2024 Panini Prizm Draft Picks Bub Carrington #9 New Recruits Pittsburgh Panthers</t>
  </si>
  <si>
    <t>BB-003343-lchfu</t>
  </si>
  <si>
    <t>2024 Panini Prizm Draft Picks Alexandre Sarr #52</t>
  </si>
  <si>
    <t>BB-003342-lchfs</t>
  </si>
  <si>
    <t>2024 Panini Prizm Draft Picks Cody Williams #80b Prizms Red Ice</t>
  </si>
  <si>
    <t>BB-003344-lchg0</t>
  </si>
  <si>
    <t>2024 Panini Prizm Draft Picks Cam Christie #4 Prizms Red Ice</t>
  </si>
  <si>
    <t>BB-003345-lchg2</t>
  </si>
  <si>
    <t>2024 Panini Prizm Draft Picks Matas Buzelis #67 Prizms Silver NBA G League</t>
  </si>
  <si>
    <t>BB-003346-lchg4</t>
  </si>
  <si>
    <t>2024 Panini Prizm Draft Picks Tristan da Silva #61 Prizms Red Wave</t>
  </si>
  <si>
    <t>BB-003347-lchg5</t>
  </si>
  <si>
    <t>2021 Panini Prizm Draft Picks Jalen Suggs #3 Orange Ice Gonzaga Bulldogs</t>
  </si>
  <si>
    <t>BB-003348-lchg7</t>
  </si>
  <si>
    <t>2024-25 Panini Prizm Kyle Filipowski #263 Prizms Green Wave Utah Jazz</t>
  </si>
  <si>
    <t>BB-003349-lchg9</t>
  </si>
  <si>
    <t>2024 Panini Prizm Draft Picks Donovan Clingan #95 Prizms Red Ice UCONN</t>
  </si>
  <si>
    <t>BB-003350-lchgb</t>
  </si>
  <si>
    <t>BB-003351-lchgc</t>
  </si>
  <si>
    <t>2021 Panini Prizm Draft Picks Ziaire Williams #15 Orange Ice Stanford Cardinal</t>
  </si>
  <si>
    <t>BB-003353-lchgf</t>
  </si>
  <si>
    <t>2024 Panini Prizm Draft Picks Isaiah Collier #14 Student Orientation USC Trojans</t>
  </si>
  <si>
    <t>BB-003354-lchgh</t>
  </si>
  <si>
    <t>2023-24 Panini Mosaic Tyrese Haliburton #289 City Edition Indiana Pacers</t>
  </si>
  <si>
    <t>BB-003356-lchgj</t>
  </si>
  <si>
    <t>2024-25 Hoops Dennis Schroder #60 Storm Brooklyn Nets #/299</t>
  </si>
  <si>
    <t>BB-003357-lchgl</t>
  </si>
  <si>
    <t>2023-24 Donruss Optic Saddiq Bey #21 Green International Atlanta Hawks #/65</t>
  </si>
  <si>
    <t>BB-003358-lchgm</t>
  </si>
  <si>
    <t>2023-24 Panini Prizm Max Strus #273 Prizms Red Cleveland Cavaliers #/299</t>
  </si>
  <si>
    <t>BB-003359-lchgn</t>
  </si>
  <si>
    <t>2024-25 Panini Prizm Rudy Gobert #159 Prizms Red Minnesota Timberwolves #/299</t>
  </si>
  <si>
    <t>BB-003360-lchgp</t>
  </si>
  <si>
    <t>2024-25 Panini Prizm Jose Alvarado #167 Prizms Red New Orleans Pelicans #/299</t>
  </si>
  <si>
    <t>BB-003362-lchgs</t>
  </si>
  <si>
    <t>2023-24 Topps Chrome Marcus Smart #119 Memphis Grizzlies</t>
  </si>
  <si>
    <t>BB-003361-lchgq</t>
  </si>
  <si>
    <t>2023-24 Merlin UEFA Club Youssoufa Moukoko #24 Green Mojo Dortmund #/99</t>
  </si>
  <si>
    <t>SR-003301-ld0zo</t>
  </si>
  <si>
    <t>SR-003302-ld0zp</t>
  </si>
  <si>
    <t>SR-003303-ld0zq</t>
  </si>
  <si>
    <t>2024-25 Panini Prizm Premier League Alexander Isak #120 Newcastle United</t>
  </si>
  <si>
    <t>SR-003304-ld0zs</t>
  </si>
  <si>
    <t>2021-22 Topps Chrome UEFA Jordan Henderson #16 Pink Refractor Liverpool #/175</t>
  </si>
  <si>
    <t>SR-003305-ld0zt</t>
  </si>
  <si>
    <t>2024-25 Topps UEFA Nicolas Jackson #41 Pink Inferno Chelsea FC #/75</t>
  </si>
  <si>
    <t>SR-003306-ld0zu</t>
  </si>
  <si>
    <t>2022 Panini Prizm FIFA World Cup Ellyes Skhiri #194 Blue Wave Tunisia #/199</t>
  </si>
  <si>
    <t>SR-003309-ld0zy</t>
  </si>
  <si>
    <t>2023-24 Panini Prizm Premier League Nathan Ake #10 Silver Manchester City</t>
  </si>
  <si>
    <t>SR-003311-ld101</t>
  </si>
  <si>
    <t>2020-21 Topps Chrome UEFA Brandon Soppy #27 Purple Mini-Diamond Ref Stade /250</t>
  </si>
  <si>
    <t>SR-003312-ld102</t>
  </si>
  <si>
    <t>2022-23 Panini Prizm Premier League Luis Sinisterra #267 Prizms Red Leeds /149</t>
  </si>
  <si>
    <t>SR-003313-ld103</t>
  </si>
  <si>
    <t>2023-24 Panini Prizm Premier Tyler Onyango #260 Purple and White Stripes /92</t>
  </si>
  <si>
    <t>SR-003315-ld106</t>
  </si>
  <si>
    <t>2022-23 Donruss Sotiris Alexandropoulos #177 Red Sporting Clube de Portugal #/99</t>
  </si>
  <si>
    <t>SR-003316-ld107</t>
  </si>
  <si>
    <t>2020-21 Panini Chronicles - Panini Serie A Blue Manuel Locatelli #30 /99</t>
  </si>
  <si>
    <t>SR-003317-ld109</t>
  </si>
  <si>
    <t>2023-24 Topps Chrome UEFA Club Competitions Gustav Isaksen #200 Lazio</t>
  </si>
  <si>
    <t>SR-003318-ld10a</t>
  </si>
  <si>
    <t>2025 Upper Deck Goodwin Champions Lamine Yamal #98 Rainbow Barcelona</t>
  </si>
  <si>
    <t>SR-003320-ld10d</t>
  </si>
  <si>
    <t>2022-23 Donruss Patrik Schick #23 Red Czech Republic #/99</t>
  </si>
  <si>
    <t>SR-003321-ld10e</t>
  </si>
  <si>
    <t>2024-25 Finest UEFA Lamine Yamal #SK-3 Finest Skillset FC Barcelona</t>
  </si>
  <si>
    <t>SR-003323-ld10g</t>
  </si>
  <si>
    <t>2023-24 Topps Chrome UEFA WCL Catarina Macario #31 Purple Pulsar Chelsea /299</t>
  </si>
  <si>
    <t>SR-003324-ld10h</t>
  </si>
  <si>
    <t>2021-22 Merlin Chrome UEFA Champions League Ansu Fati #36 Aqua Ref FC Barcelona</t>
  </si>
  <si>
    <t>SR-003325-ld10j</t>
  </si>
  <si>
    <t>2024 Topps Chrome Malik Nabers #Y-5 Youthquake Pink Refractor New York Giants</t>
  </si>
  <si>
    <t>FB-003328-liwyw</t>
  </si>
  <si>
    <t>1999 Upper Deck HoloGrFX Tony Gonzalez #28 Kansas City Chiefs</t>
  </si>
  <si>
    <t>FB-003329-liwyx</t>
  </si>
  <si>
    <t>2020 Panini Chronicles Jerry Jeudy #CV-14 Clear Vision Rookies Denver Broncos</t>
  </si>
  <si>
    <t>FB-003330-liwyy</t>
  </si>
  <si>
    <t>2024 Panini Select Justin Herbert #41 Green &amp; Yellow Prizm Shock Chargers</t>
  </si>
  <si>
    <t>FB-003331-liwyz</t>
  </si>
  <si>
    <t>2024 Panini Prizm Draft Picks Malik Nabers #F-MN Fearless Red Ice LSU Tigers</t>
  </si>
  <si>
    <t>FB-003333-liwz1</t>
  </si>
  <si>
    <t>2020 Panini Mosaic Saquon Barkley #GG9 Got Game? Prizm New York Giants</t>
  </si>
  <si>
    <t>FB-003334-liwz2</t>
  </si>
  <si>
    <t>Warren Zaire-Emery 2024-25 Panini Immaculate Collection Heralded Materials 01/65</t>
  </si>
  <si>
    <t>CDP-ADD4EE3</t>
  </si>
  <si>
    <t>Karim Adeyemi 2024-25 Topps UEFA Club Competitions Orange /25 🔥Dortmund🔥</t>
  </si>
  <si>
    <t>CDP-21889F2</t>
  </si>
  <si>
    <t>Dusan Vlahovic 2023-24 Panini Select FIFA Field Level Gold Prizm 09/10 Jersey No</t>
  </si>
  <si>
    <t>CDP-60FD1CB</t>
  </si>
  <si>
    <t>2025 Panini Black Instant Impact Ink!! Tre Tucker Autograph /249 Raiders 🔥</t>
  </si>
  <si>
    <t>CDP-3B8ECBA</t>
  </si>
  <si>
    <t>Yoshinobu Yamamoto 2024 Topps Series 2 ROOKIE CARD Stars Of MLB RC LA Dodgers</t>
  </si>
  <si>
    <t>CDP-EA782A0</t>
  </si>
  <si>
    <t>2024 Topps Update #ASG-18 Shohei Ohtani 2024 All-Star Game Los Angeles Dodgers</t>
  </si>
  <si>
    <t>CDP-660E912</t>
  </si>
  <si>
    <t>2024 Topps Chrome - Yoshinobu Yamamoto #18 (RC) Dodgers</t>
  </si>
  <si>
    <t>CDP-89EFE4D</t>
  </si>
  <si>
    <t>2024 Topps Series 2 - Stars of MLB Yoshinobu Yamamoto #SMLB-57 (RC) Dodgers</t>
  </si>
  <si>
    <t>CDP-8B18A18</t>
  </si>
  <si>
    <t>2019 Panini Contenders Diontae Johnson #128 Pittsburgh Steelers Auto</t>
  </si>
  <si>
    <t>SR-003343-lmfx4</t>
  </si>
  <si>
    <t>2022-23 Panini Select Premier League Trent Alexander-Arnold #59 Liverpool</t>
  </si>
  <si>
    <t>SR-003344-lmfx5</t>
  </si>
  <si>
    <t>2022-23 Panini Select Premier League Virgil van Dijk #60 Liverpool</t>
  </si>
  <si>
    <t>SR-003345-lmfx6</t>
  </si>
  <si>
    <t>2021-22 Finest UEFA Champions League Mohamed Salah #24 Refractor</t>
  </si>
  <si>
    <t>SR-003346-lmfx7</t>
  </si>
  <si>
    <t>2021-22 Merlin Chrome UEFA Champions Harvey Elliott #122 Aqua Prism Refractor</t>
  </si>
  <si>
    <t>SR-003347-lmfx8</t>
  </si>
  <si>
    <t>2022-23 Panini Select Premier League Fabio Carvalho #56 Liverpool</t>
  </si>
  <si>
    <t>SR-003348-lmfx9</t>
  </si>
  <si>
    <t>2023-24 Panini Select Premier League Jarell Quansah #53 Liverpool</t>
  </si>
  <si>
    <t>SR-003349-lmfxb</t>
  </si>
  <si>
    <t>1974 Topps Bill Sharp #519 Chicago White Sox</t>
  </si>
  <si>
    <t>BASV-001002-lmh7v</t>
  </si>
  <si>
    <t>1973 Topps Mike Andrews #42 Chicago White Sox</t>
  </si>
  <si>
    <t>BASV-001003-lmh7w</t>
  </si>
  <si>
    <t>1974 Topps Lloyd Allen #539 Texas Rangers</t>
  </si>
  <si>
    <t>BASV-001004-lmh7z</t>
  </si>
  <si>
    <t>1974 Topps Denis Menke #134 Cincinnati Reds</t>
  </si>
  <si>
    <t>BASV-001005-lmh80</t>
  </si>
  <si>
    <t>1976 Topps Pedro Borbon #77 Cincinnati Reds</t>
  </si>
  <si>
    <t>BASV-001006-lmh82</t>
  </si>
  <si>
    <t>1974 Topps Sandy Alomar #347 California Angels</t>
  </si>
  <si>
    <t>BASV-001007-lmh84</t>
  </si>
  <si>
    <t>1974 Topps Rod Gilbreath #93 Atlanta Braves</t>
  </si>
  <si>
    <t>BASV-001008-lmh85</t>
  </si>
  <si>
    <t>1973 Topps Ken Sanders #246 Philadelphia Phillies</t>
  </si>
  <si>
    <t>BASV-001009-lmh86</t>
  </si>
  <si>
    <t>1973 Topps Doug Rader #76 Houston Astros</t>
  </si>
  <si>
    <t>BASV-001010-lmh88</t>
  </si>
  <si>
    <t>1974 Topps Cesar Tovar #538 Philadelphia Phillies</t>
  </si>
  <si>
    <t>BASV-001012-lmh8d</t>
  </si>
  <si>
    <t>1973 Topps Mike Caldwell #182 San Diego Padres</t>
  </si>
  <si>
    <t>BASV-001011-lmh8b</t>
  </si>
  <si>
    <t>1974 Topps Bart Johnson #147 Chicago White Sox</t>
  </si>
  <si>
    <t>BASV-001013-lmh8f</t>
  </si>
  <si>
    <t>1974 Topps Ron Schueler #544T Traded Philadelphia Phillies</t>
  </si>
  <si>
    <t>BASV-001015-lmh8l</t>
  </si>
  <si>
    <t>1974 Topps Rich Hand #571 California Angels</t>
  </si>
  <si>
    <t>BASV-001014-lmh8j</t>
  </si>
  <si>
    <t>1974 Topps Cleveland Indians #541 Cleveland Indians</t>
  </si>
  <si>
    <t>BASV-001016-lmh8n</t>
  </si>
  <si>
    <t>1974 Topps George Hendrick #303 Cleveland Indians</t>
  </si>
  <si>
    <t>BASV-001017-lmh8p</t>
  </si>
  <si>
    <t>BASV-001018-lmh8r</t>
  </si>
  <si>
    <t>1974 Topps Jim Wohlford #407 Kansas City Royals</t>
  </si>
  <si>
    <t>BASV-001019-lmh8t</t>
  </si>
  <si>
    <t>1974 Topps Luke Walker #612T Traded Detroit Tigers</t>
  </si>
  <si>
    <t>BASV-001020-lmh8u</t>
  </si>
  <si>
    <t>1974 Topps Ed Brinkman #138 Detroit Tigers</t>
  </si>
  <si>
    <t>BASV-001021-lmh8v</t>
  </si>
  <si>
    <t>1973 Topps Aurelio Rodriguez #218 Detroit Tigers</t>
  </si>
  <si>
    <t>BASV-001022-lmh8w</t>
  </si>
  <si>
    <t>1974 Topps Pedro Garcia #142 Milwaukee Brewers</t>
  </si>
  <si>
    <t>BASV-001024-lmh8y</t>
  </si>
  <si>
    <t>1974 Topps Mickey Lolich #9 Detroit Tigers</t>
  </si>
  <si>
    <t>BASV-001025-lmh8z</t>
  </si>
  <si>
    <t>1974 Topps Bill Campbell #26 Minnesota Twins</t>
  </si>
  <si>
    <t>BASV-001026-lmh90</t>
  </si>
  <si>
    <t>1970 Topps Willie Smith #318 Chicago Cubs</t>
  </si>
  <si>
    <t>BASV-001027-lmh92</t>
  </si>
  <si>
    <t>1970 Topps Dick Drago #37 Kansas City Royals</t>
  </si>
  <si>
    <t>BASV-001028-lmh94</t>
  </si>
  <si>
    <t>1974 Topps Bobby Heise #51 Milwaukee Brewers</t>
  </si>
  <si>
    <t>BASV-001029-lmh96</t>
  </si>
  <si>
    <t>1974 Topps John Mayberry #150 Kansas City Royals</t>
  </si>
  <si>
    <t>BASV-001031-lmh9f</t>
  </si>
  <si>
    <t>1973 Topps Roger Nelson #251 Kansas City Royals</t>
  </si>
  <si>
    <t>BASV-001032-lmh9g</t>
  </si>
  <si>
    <t>BASV-001034-lmh9i</t>
  </si>
  <si>
    <t>1973 Topps Richie Scheinblum #78 Kansas City Royals</t>
  </si>
  <si>
    <t>BASV-001033-lmh9h</t>
  </si>
  <si>
    <t>1974 Topps Gene Garber #431 Kansas City Royals</t>
  </si>
  <si>
    <t>BASV-001035-lmh9j</t>
  </si>
  <si>
    <t>1974 O-Pee-Chee All-Star Shortstops (Bert Campaneris / Chris Speier) AS #335</t>
  </si>
  <si>
    <t>BASV-001036-lmh9k</t>
  </si>
  <si>
    <t>BASV-001037-lmh9l</t>
  </si>
  <si>
    <t>1974 Topps Lindy McDaniel #182T Traded Kansas City Royals</t>
  </si>
  <si>
    <t>BASV-001038-lmh9m</t>
  </si>
  <si>
    <t>1973 Topps Don Buford #183 Baltimore Orioles</t>
  </si>
  <si>
    <t>BASV-001039-lmh9n</t>
  </si>
  <si>
    <t>1974 Topps Frank Duffy #81 Cleveland Indians</t>
  </si>
  <si>
    <t>BASV-001040-lmh9o</t>
  </si>
  <si>
    <t>1974 Topps Willie Crawford #480 Los Angeles Dodgers</t>
  </si>
  <si>
    <t>BASV-001041-lmh9p</t>
  </si>
  <si>
    <t>1970 Topps Harry Walker #32 Houston Astros</t>
  </si>
  <si>
    <t>BASV-001042-lmh9q</t>
  </si>
  <si>
    <t>1970 Topps Joe Lahoud #78 Boston Red Sox</t>
  </si>
  <si>
    <t>BASV-001043-lmh9s</t>
  </si>
  <si>
    <t>1970 Topps Larry Brown #391 Cleveland Indians</t>
  </si>
  <si>
    <t>BASV-001044-lmh9t</t>
  </si>
  <si>
    <t>1976 Topps Ed Goodson #386 Los Angeles Dodgers</t>
  </si>
  <si>
    <t>BASV-001046-lmh9v</t>
  </si>
  <si>
    <t>1970 Topps Bill Robinson #23 New York Yankees</t>
  </si>
  <si>
    <t>BASV-001045-lmh9u</t>
  </si>
  <si>
    <t>1973 Topps Ken McMullen #196 Los Angeles Dodgers</t>
  </si>
  <si>
    <t>BASV-001047-lmh9w</t>
  </si>
  <si>
    <t>1974 Topps Red Sox Johnson/Popowski/Stange/Zimmer</t>
  </si>
  <si>
    <t>BASV-001048-lmh9x</t>
  </si>
  <si>
    <t>1974 Topps Ross Grimsley #59T Traded Baltimore Orioles</t>
  </si>
  <si>
    <t>BASV-001049-lmh9y</t>
  </si>
  <si>
    <t>1974 Topps Bob Gallagher #21 Houston Astros</t>
  </si>
  <si>
    <t>BASV-001050-lmh9z</t>
  </si>
  <si>
    <t>1973 Topps World Series Game No. 3: Reds Win Squeaker #205 Cincinnati Reds</t>
  </si>
  <si>
    <t>BASV-001051-lmha0</t>
  </si>
  <si>
    <t>1973 Topps Woodie Fryman #146 Detroit Tigers</t>
  </si>
  <si>
    <t>BASV-001052-lmha1</t>
  </si>
  <si>
    <t>1974 Topps Dock Ellis #145 Pittsburgh Pirates</t>
  </si>
  <si>
    <t>BASV-001053-lmha2</t>
  </si>
  <si>
    <t>1974 Topps Doug Rau #64 Los Angeles Dodgers</t>
  </si>
  <si>
    <t>BASV-001054-lmha3</t>
  </si>
  <si>
    <t>1973 Topps Mike Jorgensen #281 Montreal Expos</t>
  </si>
  <si>
    <t>BASV-001055-lmha4</t>
  </si>
  <si>
    <t>1974 Topps Ron Woods #377 Montreal Expos</t>
  </si>
  <si>
    <t>BASV-001056-lmha5</t>
  </si>
  <si>
    <t>1973 Topps Pat Kelly #261 Chicago White Sox</t>
  </si>
  <si>
    <t>BASV-001057-lmha6</t>
  </si>
  <si>
    <t>1973 Topps Johnny Jeter #423 Chicago White Sox</t>
  </si>
  <si>
    <t>BASV-001058-lmha7</t>
  </si>
  <si>
    <t>1973 Topps White Sox (Tanner/Lonnett/Mahoney/Monchak/Sain) #356 White Sox</t>
  </si>
  <si>
    <t>BASV-001059-lmha9</t>
  </si>
  <si>
    <t>1973 Topps Cy Acosta #379 Chicago White Sox</t>
  </si>
  <si>
    <t>BASV-001060-lmhaa</t>
  </si>
  <si>
    <t>1973 Topps Bob Miller #277 Pittsburgh Pirates</t>
  </si>
  <si>
    <t>BASV-001061-lmhab</t>
  </si>
  <si>
    <t>BASV-001063-lmhad</t>
  </si>
  <si>
    <t>1974 Topps Bob Moose #382 Pittsburgh Pirates</t>
  </si>
  <si>
    <t>BASV-001062-lmhac</t>
  </si>
  <si>
    <t>BASV-001064-lmhae</t>
  </si>
  <si>
    <t>1973 Topps Rudy May #102 California Angels</t>
  </si>
  <si>
    <t>BASV-001066-lmhag</t>
  </si>
  <si>
    <t>1974 Topps Ron Fairly #146 Montreal Expos</t>
  </si>
  <si>
    <t>BASV-001065-lmhaf</t>
  </si>
  <si>
    <t>1973 Topps California Angels #243 California Angels</t>
  </si>
  <si>
    <t>BASV-001067-lmhah</t>
  </si>
  <si>
    <t>1973 Topps Jim Nettles #358 Minnesota Twins</t>
  </si>
  <si>
    <t>BASV-001068-lmhai</t>
  </si>
  <si>
    <t>1974 Topps John Ellis #128 Cleveland Indians</t>
  </si>
  <si>
    <t>BASV-001069-lmhaj</t>
  </si>
  <si>
    <t>1974 Topps Tom Ragland #441 Cleveland Indians</t>
  </si>
  <si>
    <t>BASV-001070-lmhak</t>
  </si>
  <si>
    <t>1973 Topps George Hendrick #13 Oakland Athletics</t>
  </si>
  <si>
    <t>BASV-001071-lmhal</t>
  </si>
  <si>
    <t>1974 Topps Denny Doyle #552 California Angels</t>
  </si>
  <si>
    <t>BASV-001072-lmham</t>
  </si>
  <si>
    <t>1974 Topps Lee May #500 Houston Astros</t>
  </si>
  <si>
    <t>BASV-001073-lmhao</t>
  </si>
  <si>
    <t>1974 Topps Ellie Rodriguez #405 California Angels</t>
  </si>
  <si>
    <t>BASV-001074-lmhar</t>
  </si>
  <si>
    <t>1974 Topps Richie Scheinblum #323 California Angels</t>
  </si>
  <si>
    <t>BASV-001075-lmhat</t>
  </si>
  <si>
    <t>1973 Topps Billy Grabarkewitz #301 California Angels</t>
  </si>
  <si>
    <t>BASV-001076-lmhaw</t>
  </si>
  <si>
    <t>1973 Topps Leo Cardenas #522 California Angels</t>
  </si>
  <si>
    <t>BASV-001077-lmhay</t>
  </si>
  <si>
    <t>1973 Topps Bob Oliver #289 California Angels</t>
  </si>
  <si>
    <t>BASV-001078-lmhb1</t>
  </si>
  <si>
    <t>1974 Topps Merv Rettenmund #585T Traded Cincinnati Reds</t>
  </si>
  <si>
    <t>BASV-001079-lmhb3</t>
  </si>
  <si>
    <t>CDP-5E77B8F</t>
  </si>
  <si>
    <t>2024 Bowman U Chrome DJ LAGWAY # PA-DLA Green Ref Auto *30/99 PSA 10 GEM MINT</t>
  </si>
  <si>
    <t>FB-003400-lrdef</t>
  </si>
  <si>
    <t>2024 Panini Prizm Draft Picks Bronny James Jr. #3 Fearless USC Trojans</t>
  </si>
  <si>
    <t>BASV-001095-lq4q2-A361D49</t>
  </si>
  <si>
    <t>2024-25 Panini Prizm Monopoly Tyrese Haliburton #58 Indiana Pacers</t>
  </si>
  <si>
    <t>BASV-001087-lq4pn-D419A6E</t>
  </si>
  <si>
    <t>2024-25 Panini Select Ariel Hukporti #93 Blue (Retail) New York Knicks</t>
  </si>
  <si>
    <t>BASV-001113-lq4r6-E8777B7</t>
  </si>
  <si>
    <t>2024-25 Donruss Optic Jaden McDaniels #40 Holo Minnesota Timberwolves</t>
  </si>
  <si>
    <t>BASV-001098-lq4q6-0CFA365</t>
  </si>
  <si>
    <t>2024-25 Donruss Optic Magic Johnson #239 Holo Los Angeles Lakers</t>
  </si>
  <si>
    <t>BASV-001085-lq4pj-C427D54</t>
  </si>
  <si>
    <t>2024-25 Panini Prizm Monopoly Cade Cunningham #64 Detroit Pistons</t>
  </si>
  <si>
    <t>BASV-001101-lq4qe-C7C9C4D</t>
  </si>
  <si>
    <t>2024-25 Panini Select Donovan Mitchell #155 Blue (Retail) Cleveland Cavaliers</t>
  </si>
  <si>
    <t>BASV-001114-lq4r7-7F2F8DD</t>
  </si>
  <si>
    <t>2025 Topps Holiday Yordan Alvarez #H44 Houston Astros</t>
  </si>
  <si>
    <t>BASV-001124-lq5qf-97DD386</t>
  </si>
  <si>
    <t>2024-25 Panini Select Devin Booker #358 Phoenix Suns</t>
  </si>
  <si>
    <t>BASV-001107-lq4qx-31746D7</t>
  </si>
  <si>
    <t>2024-25 Topps Chrome James Harden #198 Los Angeles Clippers</t>
  </si>
  <si>
    <t>BASV-001102-lq4qg-1FAB9D2</t>
  </si>
  <si>
    <t>2024-25 Topps Chrome Dennis Rodman #95 Chicago Bulls</t>
  </si>
  <si>
    <t>BASV-001103-lq4qi-2DD62F1</t>
  </si>
  <si>
    <t>2024-25 Panini Select DeMar DeRozan #252 Sacramento Kings</t>
  </si>
  <si>
    <t>BASV-001080-lq4pb-CC74D09</t>
  </si>
  <si>
    <t>2024 Panini Prizm Draft Picks Zaccharie Risacher #21 New Recruits BULLS</t>
  </si>
  <si>
    <t>BASV-001092-lq4py-1D2F7DD</t>
  </si>
  <si>
    <t>2025 Topps Holiday Marcus Semien #H9 Silver Glitter Holiday Texas Rangers</t>
  </si>
  <si>
    <t>BASV-001133-lq5qo-1A174AB</t>
  </si>
  <si>
    <t>2024-25 Topps Chrome Donovan Mitchell #FS-1 Film Study Blue Basketball Refractor</t>
  </si>
  <si>
    <t>BASV-001110-lq4r2-02A01B7</t>
  </si>
  <si>
    <t>BASV-001122-lq4rn-642986B</t>
  </si>
  <si>
    <t>2025 Topps Holiday Zach Neto #H149 Los Angeles Angels</t>
  </si>
  <si>
    <t>BASV-001134-lq5qp-F0B0232</t>
  </si>
  <si>
    <t>2024 Panini Prizm Draft Picks Yves Missi #54 Prizms Orange Ice Baylor Bears</t>
  </si>
  <si>
    <t>BASV-001086-lq4pm-016F033</t>
  </si>
  <si>
    <t>2024-25 Panini Select Rob Dillingham #84 Minnesota Timberwolves</t>
  </si>
  <si>
    <t>BASV-001112-lq4r4-EBB5E15</t>
  </si>
  <si>
    <t>2024-25 Panini Select DeMar DeRozan #33 Scope Prizm Sacramento Kings</t>
  </si>
  <si>
    <t>BASV-001081-lq4pc-FC73F0A</t>
  </si>
  <si>
    <t>2024-25 Panini Revolution Giannis Antetokounmpo #10 Vortex Milwaukee Bucks</t>
  </si>
  <si>
    <t>BASV-001109-lq4r0-8031005</t>
  </si>
  <si>
    <t>2024-25 Panini Revolution LaMelo Ball #89 Charlotte Hornets</t>
  </si>
  <si>
    <t>BASV-001115-lq4r9-30E86A5</t>
  </si>
  <si>
    <t>2025 Topps Holiday Zack Wheeler #H179 Philadelphia Phillies</t>
  </si>
  <si>
    <t>BASV-001125-lq5qg-C9D8434</t>
  </si>
  <si>
    <t>2024-25 Panini Select Jaylen Brown #29 Boston Celtics</t>
  </si>
  <si>
    <t>BASV-001111-lq4r3-245204A</t>
  </si>
  <si>
    <t>BASV-001080-lq4pb</t>
  </si>
  <si>
    <t>BASV-001124-lq5qf</t>
  </si>
  <si>
    <t>BASV-001125-lq5qg</t>
  </si>
  <si>
    <t>BASV-001081-lq4pc</t>
  </si>
  <si>
    <t>2023-24 Donruss Optic Jarace Walker #226 Hyper Pink Indiana Pacers</t>
  </si>
  <si>
    <t>BASV-001082-lq4pe</t>
  </si>
  <si>
    <t>2023-24 Donruss Optic Rui Hachimura #162 Purple Los Angeles Lakers</t>
  </si>
  <si>
    <t>BASV-001083-lq4pg</t>
  </si>
  <si>
    <t>2023-24 Donruss Optic Quentin Grimes #46 Blue Velocity Detroit Pistons</t>
  </si>
  <si>
    <t>BASV-001084-lq4pi</t>
  </si>
  <si>
    <t>BASV-001085-lq4pj</t>
  </si>
  <si>
    <t>BASV-001086-lq4pm</t>
  </si>
  <si>
    <t>2025 Topps Holiday Tyler Soderstrom #H32 Silver Glitter Holiday Athletics</t>
  </si>
  <si>
    <t>BASV-001130-lq5ql</t>
  </si>
  <si>
    <t>BASV-001087-lq4pn</t>
  </si>
  <si>
    <t>2025 Topps Holiday Brooks Lee #H13 Minnesota Twins</t>
  </si>
  <si>
    <t>BASV-001131-lq5qm</t>
  </si>
  <si>
    <t>2023-24 Panini Prizm Jarace Walker #168 Prizms Orange Ice Indiana Pacers</t>
  </si>
  <si>
    <t>BASV-001088-lq4pq</t>
  </si>
  <si>
    <t>2024-25 Panini Prizm Monopoly Bronny James #45 Los Angeles Lakers</t>
  </si>
  <si>
    <t>BASV-001089-lq4pt</t>
  </si>
  <si>
    <t>BASV-001133-lq5qo</t>
  </si>
  <si>
    <t>2024-25 Panini Revolution Zion Williamson #50 New Orleans Pelicans</t>
  </si>
  <si>
    <t>BASV-001090-lq4pu</t>
  </si>
  <si>
    <t>BASV-001134-lq5qp</t>
  </si>
  <si>
    <t>2024-25 Panini Revolution Shai Gilgeous-Alexander #8 Oklahoma City Thunder</t>
  </si>
  <si>
    <t>BASV-001091-lq4pw</t>
  </si>
  <si>
    <t>2025 Topps Holiday Jasson Domínguez #H10 Silver Glitter Holiday Yankees</t>
  </si>
  <si>
    <t>BASV-001135-lq5qq</t>
  </si>
  <si>
    <t>BASV-001092-lq4py</t>
  </si>
  <si>
    <t>2024 Panini Prizm Draft Picks Cameron Brink #89 Stanford Cardinal</t>
  </si>
  <si>
    <t>BASV-001094-lq4q0</t>
  </si>
  <si>
    <t>BASV-001095-lq4q2</t>
  </si>
  <si>
    <t>2023-24 Donruss Optic Myles Turner #178 Hyper Pink Indiana Pacers</t>
  </si>
  <si>
    <t>BASV-001097-lq4q5</t>
  </si>
  <si>
    <t>2023-24 Donruss Optic Zion Williamson #35 Hyper Pink New Orleans Pelicans</t>
  </si>
  <si>
    <t>BASV-001096-lq4q3</t>
  </si>
  <si>
    <t>BASV-001098-lq4q6</t>
  </si>
  <si>
    <t>2024 Panini Prizm Draft Picks Stephen Curry #19 Fearless Davidson Wildcats</t>
  </si>
  <si>
    <t>BASV-001100-lq4qb</t>
  </si>
  <si>
    <t>2021-22 Panini Prizm Jonathan Kuminga #7 Instant Impact Golden State Warriors</t>
  </si>
  <si>
    <t>BASV-001099-lq4q8</t>
  </si>
  <si>
    <t>BASV-001101-lq4qe</t>
  </si>
  <si>
    <t>BASV-001102-lq4qg</t>
  </si>
  <si>
    <t>BASV-001103-lq4qi</t>
  </si>
  <si>
    <t>2024 Donruss Optic Jaxon Smith-Njigba #180 Seattle Seahawks</t>
  </si>
  <si>
    <t>BASV-001104-lq4qj</t>
  </si>
  <si>
    <t>2024-25 Donruss Optic Devin Vassell #157 San Antonio Spurs</t>
  </si>
  <si>
    <t>BASV-001105-lq4qm</t>
  </si>
  <si>
    <t>2024-25 Hoops Winter Josh Hart #207 New York Knicks</t>
  </si>
  <si>
    <t>BASV-001106-lq4qn</t>
  </si>
  <si>
    <t>BASV-001107-lq4qx</t>
  </si>
  <si>
    <t>BASV-001108-lq4qz</t>
  </si>
  <si>
    <t>BASV-001109-lq4r0</t>
  </si>
  <si>
    <t>BASV-001110-lq4r2</t>
  </si>
  <si>
    <t>BASV-001111-lq4r3</t>
  </si>
  <si>
    <t>BASV-001112-lq4r4</t>
  </si>
  <si>
    <t>BASV-001113-lq4r6</t>
  </si>
  <si>
    <t>BASV-001114-lq4r7</t>
  </si>
  <si>
    <t>BASV-001115-lq4r9</t>
  </si>
  <si>
    <t>2021 Panini Chronicles Trevor Lawrence #FX-1 Flux Rookies Silver Jaguars</t>
  </si>
  <si>
    <t>BASV-001116-lq4ra</t>
  </si>
  <si>
    <t>2023-24 Topps Midnight Noah Clowney #66 Brooklyn Nets</t>
  </si>
  <si>
    <t>BASV-001120-lq4rj</t>
  </si>
  <si>
    <t>BASV-001122-lq4rn</t>
  </si>
  <si>
    <t>2024 Topps Update Shota Imanaga #BG-18 Topps Black Gold Chicago Cubs</t>
  </si>
  <si>
    <t>BAS-002002-ma043</t>
  </si>
  <si>
    <t>2024 Bowman Jasson Domínguez #BAI-8 Bowman A.I. New York Yankees</t>
  </si>
  <si>
    <t>BAS-002029-ma07d</t>
  </si>
  <si>
    <t>2024 Topps Update Jasson Domínguez #US175 Aqua New York Yankees</t>
  </si>
  <si>
    <t>BAS-002036-ma08l</t>
  </si>
  <si>
    <t>2020 Bowman 1st Edition Jasson Dominguez #BFE-8 New York Yankees</t>
  </si>
  <si>
    <t>BAS-002026-ma070</t>
  </si>
  <si>
    <t>2024 Topps Heritage Jasson Domínguez #399 New York Yankees</t>
  </si>
  <si>
    <t>BAS-002031-ma07n</t>
  </si>
  <si>
    <t>BAS-002035-ma08h</t>
  </si>
  <si>
    <t>2023 Topps Aaron Judge #SMLB-13 Stars of MLB New York Yankees</t>
  </si>
  <si>
    <t>BAS-002030-ma07i</t>
  </si>
  <si>
    <t>2024 Stadium Club Jasson Domínguez #SF-21 Special Forces New York Yankees</t>
  </si>
  <si>
    <t>BAS-002037-ma08r</t>
  </si>
  <si>
    <t>2023 Topps Aaron Judge #62 Silver Pattern Foilboard New York Yankees</t>
  </si>
  <si>
    <t>BAS-002013-ma051</t>
  </si>
  <si>
    <t>2024 Topps Jasson Domínguez #SMLB-35 Stars of MLB New York Yankees</t>
  </si>
  <si>
    <t>BAS-002015-ma05b</t>
  </si>
  <si>
    <t>2018 Topps Archives Nolan Ryan #268 Texas Rangers</t>
  </si>
  <si>
    <t>BAS-002005-ma04a</t>
  </si>
  <si>
    <t>2024 Bowman Draft Leo De Vries #BD-116 San Diego Padres</t>
  </si>
  <si>
    <t>BAS-002011-ma04u</t>
  </si>
  <si>
    <t>2025 Topps Heritage Junior Caminero #280 Tampa Bay Rays</t>
  </si>
  <si>
    <t>BAS-002020-ma063</t>
  </si>
  <si>
    <t>2018 Topps Archives Snapshots Nolan Ryan #AS-NR California Angels</t>
  </si>
  <si>
    <t>BAS-002006-ma04c</t>
  </si>
  <si>
    <t>2024 Topps Allen &amp; Ginter Babe Ruth #198 Boston Red Sox</t>
  </si>
  <si>
    <t>BAS-002007-ma04d</t>
  </si>
  <si>
    <t>2024 Topps Update Clayton Kershaw #AC-18 All Class Los Angeles Dodgers</t>
  </si>
  <si>
    <t>BAS-002004-ma048</t>
  </si>
  <si>
    <t>2024 Topps Chrome Wyatt Langford #122 Texas Rangers</t>
  </si>
  <si>
    <t>BAS-002018-ma05u</t>
  </si>
  <si>
    <t>2024 Topps Chrome Jasson Domínguez #89 Refractors New York Yankees</t>
  </si>
  <si>
    <t>BAS-002032-ma07t</t>
  </si>
  <si>
    <t>2025 Topps Jackson Holliday #220 Baltimore Orioles</t>
  </si>
  <si>
    <t>BAS-002023-ma06m</t>
  </si>
  <si>
    <t>1986 Fleer Roger Clemens #345 Boston Red Sox</t>
  </si>
  <si>
    <t>BAS-002021-ma06b</t>
  </si>
  <si>
    <t>2024 Bowman Wyatt Langford #PP-3 Prospect Power-Up Mojo Refractors Texas Rangers</t>
  </si>
  <si>
    <t>BAS-002038-ma1ic</t>
  </si>
  <si>
    <t>2023 Topps Julio Rodriguez #SMLBC-16 Stars of MLB Chrome Seattle Mariners</t>
  </si>
  <si>
    <t>BAS-002024-ma06r</t>
  </si>
  <si>
    <t>1985 Fleer Don Mattingly #133 New York Yankees</t>
  </si>
  <si>
    <t>BAS-002022-ma06h</t>
  </si>
  <si>
    <t>2025 Topps Dylan Crews #74 Washington Nationals</t>
  </si>
  <si>
    <t>BAS-002019-ma05y</t>
  </si>
  <si>
    <t>2025 Topps Chrome Corey Seager #PP-8 Power Players Texas Rangers</t>
  </si>
  <si>
    <t>BAS-002014-ma056</t>
  </si>
  <si>
    <t>2024 Topps Chrome Jasson Dominguez #S-21 Strokes New York Yankees</t>
  </si>
  <si>
    <t>BAS-002028-ma079</t>
  </si>
  <si>
    <t>BAS-002025-ma06w</t>
  </si>
  <si>
    <t>2025 Topps Heritage Jackson Chourio #76R-6 1976 Redefined Holographic Brewers</t>
  </si>
  <si>
    <t>BAS-002012-ma04y</t>
  </si>
  <si>
    <t>2024 Topps Update Jasson Domínguez #89US-10 1989 Topps Baseball 35th Yankees</t>
  </si>
  <si>
    <t>BAS-002034-ma089</t>
  </si>
  <si>
    <t>2024 Topps Chrome Jasson Domínguez #89CB-12 1989 Topps Baseball 35th Yankees</t>
  </si>
  <si>
    <t>BAS-002033-ma07y</t>
  </si>
  <si>
    <t>2023 Panini Immaculate Henry Davis #PTS-HD Prospect Triple Mem Signatures  57/99</t>
  </si>
  <si>
    <t>BAS-002041-mala2</t>
  </si>
  <si>
    <t>1990 Score Bo Jackson #591 Los Angeles Raiders</t>
  </si>
  <si>
    <t>FB-002000-manvj</t>
  </si>
  <si>
    <t>2021 Panini Contenders Draft Picks Justin Herbert #9 Campus Legends Oregon Ducks</t>
  </si>
  <si>
    <t>FB-002001-manvl</t>
  </si>
  <si>
    <t>2020 Panini Mosaic Roger Staubach #OS18 Old School Dallas Cowboys</t>
  </si>
  <si>
    <t>FB-002002-manvn</t>
  </si>
  <si>
    <t>2023 Panini Mosaic Roger Staubach #63 Red Mosaic Dallas Cowboys</t>
  </si>
  <si>
    <t>FB-002004-manvs</t>
  </si>
  <si>
    <t>2022 Panini Chronicles Malik Willis #SP-305 Score Premium Rookies Titans</t>
  </si>
  <si>
    <t>FB-002003-manvo</t>
  </si>
  <si>
    <t>2021 Panini Prizm Draft Picks Henry Ruggs III #71 Red White &amp; Blue Crimson Tide</t>
  </si>
  <si>
    <t>FB-002005-manvt</t>
  </si>
  <si>
    <t>2021 Donruss Optic Jalen Reagor #7 Stars Philadelphia Eagles</t>
  </si>
  <si>
    <t>FB-002007-manvy</t>
  </si>
  <si>
    <t>2022 Panini Mosaic Zack Martin #233 Mosaic Camo Pink Dallas Cowboys</t>
  </si>
  <si>
    <t>FB-002006-manvw</t>
  </si>
  <si>
    <t>2021 Panini Prizm David Montgomery #160 Green Chicago Bears</t>
  </si>
  <si>
    <t>FB-002008-manw0</t>
  </si>
  <si>
    <t>2024 Clearly Donruss Will Levis #49 Pink Tennessee Titans</t>
  </si>
  <si>
    <t>FB-002010-manw4</t>
  </si>
  <si>
    <t>2023 Panini Illusions Luke Schoonmaker #30 Light Blue Trophy Coll Cowboys #/199</t>
  </si>
  <si>
    <t>FB-002011-manw5</t>
  </si>
  <si>
    <t>FB-002012-manw7</t>
  </si>
  <si>
    <t>2024 Panini Prizm Ricky Pearsall #383 San Francisco 49ers</t>
  </si>
  <si>
    <t>FB-002013-manw9</t>
  </si>
  <si>
    <t>2023 Panini Prizm Tyler Lockett #264 Pink Seattle Seahawks</t>
  </si>
  <si>
    <t>FB-002014-manwc</t>
  </si>
  <si>
    <t>Rashod Bateman 2021 Panini Prizm #116 Green Gophers</t>
  </si>
  <si>
    <t>FB-002016-manwh</t>
  </si>
  <si>
    <t>2022 Panini Rookies &amp; Stars Kyren Williams #150 Red Los Angeles Rams</t>
  </si>
  <si>
    <t>FB-002015-manwe</t>
  </si>
  <si>
    <t>2024-25 Panini Prizm Premier League Kevin Schade #242 Red Mosaic Brentford</t>
  </si>
  <si>
    <t>SR-002021-mgjh5</t>
  </si>
  <si>
    <t>2025 Panini Ohio State University Tanner Creech #24 Prizm Autographs Buckeyes</t>
  </si>
  <si>
    <t>SR-002041-mgjhp</t>
  </si>
  <si>
    <t>SR-002026-mgjha</t>
  </si>
  <si>
    <t>2011 Upper Deck MLS Omar Gonzalez #86 Los Angeles Galaxy</t>
  </si>
  <si>
    <t>SR-002024-mgjh8</t>
  </si>
  <si>
    <t>2018-19 Topps Match Attax UEFA Champions League Blaise Matuidi #388 Juventus</t>
  </si>
  <si>
    <t>SR-002025-mgjh9</t>
  </si>
  <si>
    <t>2024-25 Panini Prizm Premier League Joao Felix #97 Chelsea FC</t>
  </si>
  <si>
    <t>SR-002018-mgjh1</t>
  </si>
  <si>
    <t>2011 Upper Deck MLS Brian Ching #67 Houston Dynamo</t>
  </si>
  <si>
    <t>SR-002043-mgjhs</t>
  </si>
  <si>
    <t>2018-19 Topps Match UEFA Champions League Tottenham Hotspur #181</t>
  </si>
  <si>
    <t>SR-002036-mgjhk</t>
  </si>
  <si>
    <t>2018-19 Topps Match Attax UEFA Champions League Virgil Van Dijk #203 Liverpool</t>
  </si>
  <si>
    <t>SR-002028-mgjhc</t>
  </si>
  <si>
    <t>2018-19 Topps Match Attax UEFA Champions League Samir Handanovic #254</t>
  </si>
  <si>
    <t>SR-002058-mgji7</t>
  </si>
  <si>
    <t>2025 Panini Prizm FIFA Club World Cup Kang Min-woo #192 Ulsan HD FC</t>
  </si>
  <si>
    <t>SR-002039-mgjhn</t>
  </si>
  <si>
    <t>2018-19 Topps Match Attax UEFA Champions League Gianluigi Buffon #424</t>
  </si>
  <si>
    <t>SR-002056-mgji5</t>
  </si>
  <si>
    <t>2024-25 Topps Chrome Bundesliga Enzo Millot #92 VfB Stuttgart</t>
  </si>
  <si>
    <t>SR-002052-mgji1</t>
  </si>
  <si>
    <t>2024-25 Topps Chrome Bundesliga Maximilian Wittek #12 VfL Bochum 1848</t>
  </si>
  <si>
    <t>SR-002053-mgji2</t>
  </si>
  <si>
    <t>2018-19 Topps Match Attax UEFA Champions League Gabriel Jesus #160</t>
  </si>
  <si>
    <t>SR-002049-mgjhy</t>
  </si>
  <si>
    <t>2018-19 Topps Match Attax UEFA Champions League Jan Vertonghen #186</t>
  </si>
  <si>
    <t>SR-002060-mgji9</t>
  </si>
  <si>
    <t>2025 Panini Prizm FIFA Club World Cup Soufiane Rahimi #11 Al-Ain FC</t>
  </si>
  <si>
    <t>SR-002067-mgjih-483FA12</t>
  </si>
  <si>
    <t>2025 Panini Prizm FIFA Club World Cup Nicolo Barella #93 Inter Milan</t>
  </si>
  <si>
    <t>SR-002065-mgjie</t>
  </si>
  <si>
    <t>SR-002064-mgjid</t>
  </si>
  <si>
    <t>2024-25 Panini Prizm Premier League Jurrien Timber #25 Silver Arsenal FC</t>
  </si>
  <si>
    <t>SR-002019-mgjh2</t>
  </si>
  <si>
    <t>SR-002038-mgjhm</t>
  </si>
  <si>
    <t>2011 Upper Deck MLS Daniel Hernandez #53 FC Dallas</t>
  </si>
  <si>
    <t>SR-002042-mgjhr</t>
  </si>
  <si>
    <t>2018-19 Topps Match Attax UEFA Champions League Kenny Tete #313</t>
  </si>
  <si>
    <t>SR-002050-mgjhz</t>
  </si>
  <si>
    <t>2018-19 Topps Match Attax UEFA Champions League Ronaël Pierre-Gabriel #296</t>
  </si>
  <si>
    <t>SR-002029-mgjhd</t>
  </si>
  <si>
    <t>2018-19 Topps Match Attax UEFA Champions League Óliver Torres #353 Porto</t>
  </si>
  <si>
    <t>SR-002031-mgjhf</t>
  </si>
  <si>
    <t>2025 Panini Prizm FIFA Club World Cup Gregore #52 Botafogo FR</t>
  </si>
  <si>
    <t>SR-002066-mgjif</t>
  </si>
  <si>
    <t>2011 Upper Deck MLS Will Hesmer #38 Columbus Crew</t>
  </si>
  <si>
    <t>SR-002047-mgjhw</t>
  </si>
  <si>
    <t>2018-19 Topps Match Attax UEFA Champions League Philippe Coutinho #13</t>
  </si>
  <si>
    <t>SR-002044-mgjht</t>
  </si>
  <si>
    <t>2018-19 Topps Attax UEFA Champions League Abdou Diallo #131 Borussia Dortmund</t>
  </si>
  <si>
    <t>SR-002034-mgjhi</t>
  </si>
  <si>
    <t>2018-19 Topps Match Attax UEFA Champions League Gareth Bale #50 Real Madrid CF</t>
  </si>
  <si>
    <t>SR-002051-mgji0</t>
  </si>
  <si>
    <t>2022-23 Panini Prizm Premier League Trent Alexander-Arnold #189 Liverpool</t>
  </si>
  <si>
    <t>SR-002061-mgjia</t>
  </si>
  <si>
    <t>SR-002040-mgjho</t>
  </si>
  <si>
    <t>2022-23 Panini Prizm Premier League Andreas Pereira #66 Prizms Silver Fulham</t>
  </si>
  <si>
    <t>SR-002063-mgjic</t>
  </si>
  <si>
    <t>2025 Panini Prizm FIFA Club World Cup Stephen Eustaquio #14</t>
  </si>
  <si>
    <t>SR-002069-mgjij</t>
  </si>
  <si>
    <t>2022-23 Panini Prizm Premier League Marcus Tavernier #225 AFC Bournemouth</t>
  </si>
  <si>
    <t>SR-002062-mgjib</t>
  </si>
  <si>
    <t>2011 Upper Deck MLS Birahim Diop #72 Sporting Kansas City</t>
  </si>
  <si>
    <t>SR-002023-mgjh7</t>
  </si>
  <si>
    <t>2011 Upper Deck MLS Eric Alexander #54 FC Dallas</t>
  </si>
  <si>
    <t>SR-002048-mgjhx</t>
  </si>
  <si>
    <t>2024-25 Panini Prizm Premier League Marcus Rashford #126 Manchester United</t>
  </si>
  <si>
    <t>SR-002020-mgjh3</t>
  </si>
  <si>
    <t>2018-19 Topps Match Attax UEFA Champions League Arthur #11 FC Barcelona</t>
  </si>
  <si>
    <t>SR-002030-mgjhe</t>
  </si>
  <si>
    <t>2025 Panini Prizm FIFA Club World Cup Dusan Vlahovic #118 Juventus</t>
  </si>
  <si>
    <t>SR-002070-mgjik</t>
  </si>
  <si>
    <t>2018-19 Topps Match Attax UEFA Champions League Thomas #31 Atletico Madrid</t>
  </si>
  <si>
    <t>SR-002027-mgjhb</t>
  </si>
  <si>
    <t>2018-19 Topps Match Attax UEFA Champions League Harry Winks #191</t>
  </si>
  <si>
    <t>SR-002032-mgjhg</t>
  </si>
  <si>
    <t>2022-23 Panini Prizm Premier League Antonee Robinson #64 Fulham</t>
  </si>
  <si>
    <t>SR-002022-mgjh6</t>
  </si>
  <si>
    <t>2018-19 Topps Attax UEFA Champions League Maximilian Philipp #142</t>
  </si>
  <si>
    <t>SR-002037-mgjhl</t>
  </si>
  <si>
    <t>2018-19 Topps Match Attax UEFA Champions League Alessandro Schöpf #99</t>
  </si>
  <si>
    <t>SR-002059-mgji8</t>
  </si>
  <si>
    <t>2018-19 Topps Match Attax UEFA Champions League Ander Herrera #172</t>
  </si>
  <si>
    <t>SR-002045-mgjhu</t>
  </si>
  <si>
    <t>2024-25 Topps Chrome Bundesliga Marco Grüll #20 SV Werder Bremen</t>
  </si>
  <si>
    <t>SR-002054-mgji3</t>
  </si>
  <si>
    <t>SR-002067-mgjih</t>
  </si>
  <si>
    <t>2025 Upper Deck Goodwin Champions Lamine Yamal #19</t>
  </si>
  <si>
    <t>SR-002075-mgya9</t>
  </si>
  <si>
    <t>2024-25 Panini Select FIFA Chris Fuhrich #176 Bronze Checker Germany #/75</t>
  </si>
  <si>
    <t>SR-002072-mgya2</t>
  </si>
  <si>
    <t>2024 Topps Chrome Update Bryan Ramos #RA-BRR Autographs Chicago White Sox Auto</t>
  </si>
  <si>
    <t>BAS-002100-mh1qi</t>
  </si>
  <si>
    <t>2024 Panini Select Prizm Artistic Impressions Caitlin Clark Black Jersey #AS1</t>
  </si>
  <si>
    <t>CDP-4A67216</t>
  </si>
  <si>
    <t>SWSH08: Fusion Strike Cinderace V (43) #043/264</t>
  </si>
  <si>
    <t>SR-002077-mgzqa</t>
  </si>
  <si>
    <t>SV01: Scarlet &amp; Violet Base Set Pawmo #075/198</t>
  </si>
  <si>
    <t>SR-002084-mgzqj</t>
  </si>
  <si>
    <t>SV4a: Shiny Treasure ex Rellor #209/190</t>
  </si>
  <si>
    <t>SR-002078-mgzqb</t>
  </si>
  <si>
    <t>SV04: Paradox Rift Plusle #060/182</t>
  </si>
  <si>
    <t>SR-002090-mgzqr</t>
  </si>
  <si>
    <t>SV04: Paradox Rift Dottler #011/182</t>
  </si>
  <si>
    <t>SR-002091-mgzqs</t>
  </si>
  <si>
    <t>SWSH02: Rebel Clash Inteleon VMAX #050/192</t>
  </si>
  <si>
    <t>SR-002086-mgzqn</t>
  </si>
  <si>
    <t>SV04: Paradox Rift Naclstack #103/182</t>
  </si>
  <si>
    <t>SR-002089-mgzqq</t>
  </si>
  <si>
    <t>SR-002087-mgzqo</t>
  </si>
  <si>
    <t>SV07: Stellar Crown Medicham ex #080/142</t>
  </si>
  <si>
    <t>SR-002088-mgzqp</t>
  </si>
  <si>
    <t>SV04: Paradox Rift Shauntal #174/182</t>
  </si>
  <si>
    <t>SR-002093-mgzqx</t>
  </si>
  <si>
    <t>SM - Guardians Rising Vanillish #34/145</t>
  </si>
  <si>
    <t>SR-002095-mgzqz</t>
  </si>
  <si>
    <t>SV04: Paradox Rift Veluza #054/182</t>
  </si>
  <si>
    <t>SR-002092-mgzqu</t>
  </si>
  <si>
    <t>Miscellaneous Cards &amp; Products Tyranitar #135/193</t>
  </si>
  <si>
    <t>SR-002094-mgzqy</t>
  </si>
  <si>
    <t>SV06: Twilight Masquerade Feebas #049/167</t>
  </si>
  <si>
    <t>SR-002096-mgzr0</t>
  </si>
  <si>
    <t>SV02: Paldea Evolved Tropius #007/193</t>
  </si>
  <si>
    <t>SR-002098-mgzr2</t>
  </si>
  <si>
    <t>SV02: Paldea Evolved Combee #008/193</t>
  </si>
  <si>
    <t>SR-002102-mgzr7</t>
  </si>
  <si>
    <t>Prize Pack Series Cards Superior Energy Retrieval #189/193</t>
  </si>
  <si>
    <t>SR-002099-mgzr4</t>
  </si>
  <si>
    <t>SV02: Paldea Evolved Girafarig #154/193</t>
  </si>
  <si>
    <t>SR-002097-mgzr1</t>
  </si>
  <si>
    <t>SV04: Paradox Rift Crobat #112/182</t>
  </si>
  <si>
    <t>SR-002106-mgzrc</t>
  </si>
  <si>
    <t>SV04: Paradox Rift Gabite #095/182</t>
  </si>
  <si>
    <t>SR-002103-mgzr8</t>
  </si>
  <si>
    <t>SV02: Paldea Evolved Sudowoodo #109/193</t>
  </si>
  <si>
    <t>SR-002100-mgzr5</t>
  </si>
  <si>
    <t>SV04: Paradox Rift Simisear #021/182</t>
  </si>
  <si>
    <t>SR-002105-mgzrb</t>
  </si>
  <si>
    <t>SV04: Paradox Rift Gourgeist #078/182</t>
  </si>
  <si>
    <t>SR-002107-mgzrd</t>
  </si>
  <si>
    <t>SV04: Paradox Rift Absol #113/182</t>
  </si>
  <si>
    <t>SR-002104-mgzra</t>
  </si>
  <si>
    <t>SV04: Paradox Rift Milotic #036/182</t>
  </si>
  <si>
    <t>SR-002109-mgzrg</t>
  </si>
  <si>
    <t>SV04: Paradox Rift Aipom #145/182</t>
  </si>
  <si>
    <t>SR-002111-mgzrj</t>
  </si>
  <si>
    <t>SV04: Paradox Rift Wugtrio #053/182</t>
  </si>
  <si>
    <t>SR-002108-mgzre</t>
  </si>
  <si>
    <t>SV04: Paradox Rift Pansage #004/182</t>
  </si>
  <si>
    <t>SR-002112-mgzrk</t>
  </si>
  <si>
    <t>SV04: Paradox Rift Mantyke #039/182</t>
  </si>
  <si>
    <t>SR-002113-mgzrl</t>
  </si>
  <si>
    <t>SV02: Paldea Evolved Copperajah ex #150/193</t>
  </si>
  <si>
    <t>SR-002110-mgzri</t>
  </si>
  <si>
    <t>SV04: Paradox Rift Yveltal #118/182</t>
  </si>
  <si>
    <t>SR-002114-mgzrm</t>
  </si>
  <si>
    <t>2024 Panini Donruss Bo Nix - Rated Rookie RC  #369 Denver Broncos</t>
  </si>
  <si>
    <t>CDP-A60B2CF</t>
  </si>
  <si>
    <t>2025 Topps Aaron Judge #GH-1 2024 Greatest Hits New York Yankees</t>
  </si>
  <si>
    <t>BAS-002073-myh68</t>
  </si>
  <si>
    <t>BAS-002074-myh69</t>
  </si>
  <si>
    <t>BAS-002075-myh6a</t>
  </si>
  <si>
    <t>BAS-002076-myh6b</t>
  </si>
  <si>
    <t>2025 Bowman Paul Skenes #30 Pittsburgh Pirates</t>
  </si>
  <si>
    <t>BAS-002078-myh6d</t>
  </si>
  <si>
    <t>2024 Topps Heritage Julio Rodríguez #286 Seattle Mariners</t>
  </si>
  <si>
    <t>BAS-002080-myh6f</t>
  </si>
  <si>
    <t>BAS-002081-myh6g</t>
  </si>
  <si>
    <t>BAS-002082-myh6h</t>
  </si>
  <si>
    <t>2025 Topps Paul Skenes #SMLB-27 Stars of MLB Pittsburgh Pirates</t>
  </si>
  <si>
    <t>BAS-002084-myh6j</t>
  </si>
  <si>
    <t>2025 Topps Chrome Christian Yelich #89 Sepia Refractors Milwaukee Brewers</t>
  </si>
  <si>
    <t>BAS-002086-myh6l</t>
  </si>
  <si>
    <t>2025 Topps Yoshinobu Yamamoto #231 Rainbow Foil Los Angeles Dodgers</t>
  </si>
  <si>
    <t>BAS-002085-myh6k</t>
  </si>
  <si>
    <t>2025 Topps Masyn Winn #22 St. Louis Cardinals</t>
  </si>
  <si>
    <t>BAS-002087-myh6m</t>
  </si>
  <si>
    <t>2025 Topps Chrome Masyn Winn #244 St. Louis Cardinals</t>
  </si>
  <si>
    <t>BAS-002088-myh6n</t>
  </si>
  <si>
    <t>2025 Bowman Nick Kurtz #BP-114 Prospects Athletics</t>
  </si>
  <si>
    <t>BAS-002090-myh6p</t>
  </si>
  <si>
    <t>2025 Bowman Julio Rodríguez #79 Seattle Mariners</t>
  </si>
  <si>
    <t>BAS-002089-myh6o</t>
  </si>
  <si>
    <t>2024 Bowman Aaron Judge #7 New York Yankees</t>
  </si>
  <si>
    <t>BAS-002092-myh6r</t>
  </si>
  <si>
    <t>BAS-002093-myh6s</t>
  </si>
  <si>
    <t>2024 Topps Heritage Ceddanne Rafaela #420 Boston Red Sox</t>
  </si>
  <si>
    <t>BAS-002095-myh6u</t>
  </si>
  <si>
    <t>2024 Topps Allen &amp; Ginter Anthony Volpe #11 New York Yankees</t>
  </si>
  <si>
    <t>BAS-002094-myh6t</t>
  </si>
  <si>
    <t>2024 Topps Allen &amp; Ginter Larry Walker #326 Colorado Rockies</t>
  </si>
  <si>
    <t>BAS-002096-myh6v</t>
  </si>
  <si>
    <t>2025 Topps Christian Yelich #SMLB-24 Stars of MLB Milwaukee Brewers</t>
  </si>
  <si>
    <t>BAS-002097-myh6w</t>
  </si>
  <si>
    <t>2025 Bowman Masyn Winn #100 St. Louis Cardinals</t>
  </si>
  <si>
    <t>BAS-002098-myh6x</t>
  </si>
  <si>
    <t>2025 Topps Julio Rodriguez #SMLB-5 Stars of MLB Seattle Mariners</t>
  </si>
  <si>
    <t>BAS-002099-myh6y</t>
  </si>
  <si>
    <t>2025 Donruss Paul Skenes #29 Pittsburgh Pirates</t>
  </si>
  <si>
    <t>BAS-002100-myh6z</t>
  </si>
  <si>
    <t>2025 Topps Trea Turner #450 Philadelphia Phillies</t>
  </si>
  <si>
    <t>BAS-002102-myh71</t>
  </si>
  <si>
    <t>2024 Topps Allen &amp; Ginter X Aaron Judge #86 New York Yankees</t>
  </si>
  <si>
    <t>BAS-002104-myh73</t>
  </si>
  <si>
    <t>2025 Bowman James Tibbs III #BP-39 Prospects San Francisco Giants</t>
  </si>
  <si>
    <t>BAS-002103-myh72</t>
  </si>
  <si>
    <t>2023 Topps Aaron Judge #22GH-25 2022 Greatest Hits New York Yankees</t>
  </si>
  <si>
    <t>BAS-002105-myh74</t>
  </si>
  <si>
    <t>BAS-002107-myh76</t>
  </si>
  <si>
    <t>Giannis Antetokounmpo 2025-26 Topps Basketball Blackout Parallel</t>
  </si>
  <si>
    <t>CDP-407700C</t>
  </si>
  <si>
    <t>2025-26 Topps - 8-Bit Ballers Larry Bird #8B-25</t>
  </si>
  <si>
    <t>CDP-1255737</t>
  </si>
  <si>
    <t>2025-26 Topps Asa Newell 1980-81 RC Pink Rookie #80BK-69 Hawks</t>
  </si>
  <si>
    <t>CDP-01D8A7F</t>
  </si>
  <si>
    <t>VJ Edgecomb Generation Now Rookie 2025/26 Topps NBA Basketball Card #GN-3 76ers</t>
  </si>
  <si>
    <t>CDP-F22CC5A</t>
  </si>
  <si>
    <t>2025-26 Topps #8B-3 Devin Booker 8-Bit Ballers Holo Foil Suns!!!</t>
  </si>
  <si>
    <t>CDP-97ADEBB</t>
  </si>
  <si>
    <t>2025-26 Topps ANTHONY EDWARDS Limited Stock Legends #LST-40 Target Exclusive</t>
  </si>
  <si>
    <t>CDP-E8EF27B</t>
  </si>
  <si>
    <t>2025-26 Topps Basketball Black Friday Jayson Tatum Limited Stock Legends #LST-31</t>
  </si>
  <si>
    <t>CDP-4D53CCC</t>
  </si>
  <si>
    <t>2025-26 Topps Giannis Antetokounmpo Power Players #PP-1 Bucks</t>
  </si>
  <si>
    <t>CDP-A30AA34</t>
  </si>
  <si>
    <t>2025 Topps Basketball Jalen Brunson #LST-42 Knicks Limited Stock Legends</t>
  </si>
  <si>
    <t>CDP-7A50B13</t>
  </si>
  <si>
    <t>2025-26 Topps Basketball Tre Johnson III Scan and Slam #SS-31 RC</t>
  </si>
  <si>
    <t>CDP-7A8E170</t>
  </si>
  <si>
    <t>2024 Bowman University Chrome Malaki Starks #125 Purple Shimmer Refractor</t>
  </si>
  <si>
    <t>FB-1496-i7vbl</t>
  </si>
  <si>
    <t>2025-26 Topps Jamir Watkins #80BK-86 1980-81 Topps Basketball Washington Wizards</t>
  </si>
  <si>
    <t>BAS-002110-mzou8</t>
  </si>
  <si>
    <t>2025-26 Topps Nique Clifford #GN-24 Generation Now Holo Foil Sacramento Kings</t>
  </si>
  <si>
    <t>BAS-002109-mzou7</t>
  </si>
  <si>
    <t>2025-26 Topps Big Apple W: Knicks Teammates Shine #274 Blackout New York Knicks</t>
  </si>
  <si>
    <t>BAS-002115-mzoud</t>
  </si>
  <si>
    <t>2025-26 Topps Kel'el Ware #74 Blackout Miami Heat</t>
  </si>
  <si>
    <t>BB-2506-mzou6</t>
  </si>
  <si>
    <t>2025-26 Topps Max Christie #174 Blackout Dallas Mavericks</t>
  </si>
  <si>
    <t>BAS-002112-mzoua</t>
  </si>
  <si>
    <t>2025-26 Topps Jeremiah Fears #80BK-98 1980-81 Topps Basketball  Pelicans</t>
  </si>
  <si>
    <t>BAS-002116-mzoue</t>
  </si>
  <si>
    <t>2025-26 Topps Chet Holmgren #118 Holo Foil Oklahoma City Thunder</t>
  </si>
  <si>
    <t>BAS-002114-mzouc</t>
  </si>
  <si>
    <t>2024 Topps Update Dylan Cease #US115 Rainbow Foil San Diego Padres</t>
  </si>
  <si>
    <t>BAS-002152-nc7nf</t>
  </si>
  <si>
    <t>2024 Topps Chrome Update Shota Imanaga #ASGC-27 2024 All Star Game Chrome Cubs</t>
  </si>
  <si>
    <t>BAS-002153-nc7ng</t>
  </si>
  <si>
    <t>2024 Topps Update Bryan Ramos #US51 Holiday Chicago White Sox</t>
  </si>
  <si>
    <t>BAS-002154-nc7nh</t>
  </si>
  <si>
    <t>2024 Topps Update Corbin Burnes #ASG-19 2024 All-Star Game Baltimore Orioles</t>
  </si>
  <si>
    <t>BAS-002155-nc7ni</t>
  </si>
  <si>
    <t>2024 Topps Update Metro Boomin #FP-9 First Pitch St. Louis Cardinals</t>
  </si>
  <si>
    <t>BAS-002156-nc7nj</t>
  </si>
  <si>
    <t>2024 Topps Update Jackson Holliday #US97 Rainbow Foil Baltimore Orioles</t>
  </si>
  <si>
    <t>BAS-002157-nc7nl</t>
  </si>
  <si>
    <t>2024 Topps Update Jackson Merrill #US210 San Diego Padres</t>
  </si>
  <si>
    <t>BAS-002158-nc7nm</t>
  </si>
  <si>
    <t>2024 Topps Update Jackson Chourio #US240 Milwaukee Brewers</t>
  </si>
  <si>
    <t>BAS-002159-nc7nn</t>
  </si>
  <si>
    <t>2024 Topps Update Jackson Merrill #US169 San Diego Padres</t>
  </si>
  <si>
    <t>BAS-002160-nc7no</t>
  </si>
  <si>
    <t>2025 Topps Julio Rodríguez #266 Rainbow Foil Seattle Mariners</t>
  </si>
  <si>
    <t>BAS-002161-nc7np</t>
  </si>
  <si>
    <t>2023 Topps Chrome CJ Abrams #319 Blue Mini-Diamond Refractors Nationals /199</t>
  </si>
  <si>
    <t>BAS-002162-nc7nq</t>
  </si>
  <si>
    <t>2025 Topps Baltimore Orioles Jackson Holliday #BAL-1 Baltimore Orioles</t>
  </si>
  <si>
    <t>BAS-002163-nc7nr</t>
  </si>
  <si>
    <t>2024 Topps Austin Wells #624 Yellow New York Yankees</t>
  </si>
  <si>
    <t>BAS-002164-nc7ns</t>
  </si>
  <si>
    <t>2024 Topps Chrome Ceddanne Rafaela #118 Boston Red Sox</t>
  </si>
  <si>
    <t>BAS-002165-nc7nt</t>
  </si>
  <si>
    <t>2024 Topps Update Shota Imanaga #US281 Chicago Cubs</t>
  </si>
  <si>
    <t>BAS-002166-nc7nu</t>
  </si>
  <si>
    <t>BAS-002167-nc7nv</t>
  </si>
  <si>
    <t>2023 Topps Heritage Miguel Vargas #694 Chrome Refractor Dodgers /374</t>
  </si>
  <si>
    <t>BAS-002169-nc7nx</t>
  </si>
  <si>
    <t>2024 Topps Update Austin Martin #T89CU-3 35th Anniversary Chrome Minnesota Twins</t>
  </si>
  <si>
    <t>BAS-002171-nc7o1</t>
  </si>
  <si>
    <t>2024 Topps Update Jordan Beck #T89CU-65 35th Anniversary Chrome Rockies</t>
  </si>
  <si>
    <t>BAS-002170-nc7ny</t>
  </si>
  <si>
    <t>2024 Topps Update Justin Foscue #T89CU-95 35th Anniversary Chrome Texas Rangers</t>
  </si>
  <si>
    <t>BAS-002172-nc7o3</t>
  </si>
  <si>
    <t>2024 Topps Update Jonatan Clase #T89CU-87 35th Anniversary Chrome Mariners</t>
  </si>
  <si>
    <t>BAS-002173-nc7o5</t>
  </si>
  <si>
    <t>2024 Topps Update Jackson Chourio #CSMLB-84 Stars of MLB Chrome Brewers</t>
  </si>
  <si>
    <t>BAS-002174-nc7o6</t>
  </si>
  <si>
    <t>2024 Topps Update Jackson Holliday #US50 Rainbow Foil Baltimore Orioles</t>
  </si>
  <si>
    <t>BAS-002175-nc7o7</t>
  </si>
  <si>
    <t>2024 Topps Update Naoyuki Uwasawa #US268 Boston Red Sox</t>
  </si>
  <si>
    <t>BAS-002176-nc7o8</t>
  </si>
  <si>
    <t>2025 Topps Adrián Beltré #FP-8 First Pitch (Series One) Texas Rangers</t>
  </si>
  <si>
    <t>BAS-002178-nc7ob</t>
  </si>
  <si>
    <t>2024 Topps J.D. Martinez #492 Rainbow Foil Los Angeles Dodgers</t>
  </si>
  <si>
    <t>BAS-002179-nc7oc</t>
  </si>
  <si>
    <t>2024 Topps Duo An Immediate Hit: (Grandal/Skenes) #US160 Pirates</t>
  </si>
  <si>
    <t>BAS-002180-nc7od</t>
  </si>
  <si>
    <t>2024 Topps Throwback Thursday Nolan Schanuel #108 Los Angeles Angels</t>
  </si>
  <si>
    <t>BAS-002182-nc7of</t>
  </si>
  <si>
    <t>2023 Topps Update Francisco Alvarez #US255 Rainbow Foil New York Mets</t>
  </si>
  <si>
    <t>BAS-002183-nc7og</t>
  </si>
  <si>
    <t>2024 Topps Update Jung Hoo Lee #89US-28 35th Anniversary Giants</t>
  </si>
  <si>
    <t>BAS-002184-nc7oh</t>
  </si>
  <si>
    <t>2025 Topps C.J. Stroud #FP-10 First Pitch (Series One) Houston Astros</t>
  </si>
  <si>
    <t>BAS-002186-nc7oj</t>
  </si>
  <si>
    <t>2024 Topps Heritage David Bañuelos #715 Chrome Purple Refractor Orioles</t>
  </si>
  <si>
    <t>BAS-002213-necna</t>
  </si>
  <si>
    <t>2024 Topps Chrome Cosmic Corey Seager #LIO-6 Launched into Orbit Texas Rangers</t>
  </si>
  <si>
    <t>BAS-002212-necn9</t>
  </si>
  <si>
    <t>2024 Topps Update Yariel Rodriguez #T89CU-76 35th Anniversary Chrome Blue Jays</t>
  </si>
  <si>
    <t>BAS-002187-necey</t>
  </si>
  <si>
    <t>2024 Topps Update Jordan Lawlar #US41 Rainbow Foil Arizona Diamondbacks</t>
  </si>
  <si>
    <t>BAS-002188-necez</t>
  </si>
  <si>
    <t>2024 Topps Update Landon Knack #T89CU-36 35th Anniversary Chrome Dodgers</t>
  </si>
  <si>
    <t>BAS-002189-necf0</t>
  </si>
  <si>
    <t>2022 Panini Mosaic Spencer Torkelson #266 Pink Camo Mosaic Detroit Tigers</t>
  </si>
  <si>
    <t>BAS-002214-necnb</t>
  </si>
  <si>
    <t>2024 Topps Chrome Logofractor Edition Esteury Ruiz #241 Oakland Athletics</t>
  </si>
  <si>
    <t>BAS-002215-necnc</t>
  </si>
  <si>
    <t>2024 Topps Update Jared Jones #US49 Pittsburgh Pirates</t>
  </si>
  <si>
    <t>BAS-002190-necf1</t>
  </si>
  <si>
    <t>2024 Bowman Ceddanne Rafaela #ROY-5 Rookie of the Year Favorites Boston Red Sox</t>
  </si>
  <si>
    <t>BAS-002191-necf2</t>
  </si>
  <si>
    <t>2024 Stadium Club Shota Imanaga #240 Pink Foil Chicago Cubs</t>
  </si>
  <si>
    <t>BAS-002192-necf3</t>
  </si>
  <si>
    <t>2018 Bowman Chrome Ryan Mountcastle #BCP167 Prospects Baltimore Orioles</t>
  </si>
  <si>
    <t>BAS-002216-necnd</t>
  </si>
  <si>
    <t>2024 Topps Chrome Black Nolan Schanuel #75 Los Angeles Angels</t>
  </si>
  <si>
    <t>BAS-002217-necne</t>
  </si>
  <si>
    <t>2011 Topps Update Blake Tekotte #US240 San Diego Padres</t>
  </si>
  <si>
    <t>BAS-002193-necf4</t>
  </si>
  <si>
    <t>2024 Topps Update Matt Chapman #CSMLB-62 Stars of MLB Chrome Giants</t>
  </si>
  <si>
    <t>BAS-002218-necnf</t>
  </si>
  <si>
    <t>2024 Topps Update Curtis Mead #CSMLB-72 Stars of MLB Chrome Tampa Bay Rays</t>
  </si>
  <si>
    <t>BAS-002219-necng</t>
  </si>
  <si>
    <t>2024 Topps Update Max Meyer #US236 Rainbow Foil Miami Marlins</t>
  </si>
  <si>
    <t>BAS-002194-necf5</t>
  </si>
  <si>
    <t>2024 Topps Update Emmet Sheehan #US141 Rainbow Foil Los Angeles Dodgers</t>
  </si>
  <si>
    <t>BAS-002195-necf6</t>
  </si>
  <si>
    <t>2024 Topps Chrome Austin Riley #84 Refractors Atlanta Braves</t>
  </si>
  <si>
    <t>BAS-002196-necf7</t>
  </si>
  <si>
    <t>2024 Topps Update Parker Meadows #89US-4 35th Anniversary Detroit Tigers</t>
  </si>
  <si>
    <t>BAS-002220-necnh</t>
  </si>
  <si>
    <t>2024 Topps Update Nolan Ryan #89US-42 35th Anniversary California Angels</t>
  </si>
  <si>
    <t>BAS-002221-necni</t>
  </si>
  <si>
    <t>2024 Topps Update Colt Keith #US73 Aqua Detroit Tigers</t>
  </si>
  <si>
    <t>BAS-002197-necf8</t>
  </si>
  <si>
    <t>2024 Topps Update Ken Griffey Jr. #89US-45 35th Anniversary Seattle Mariners</t>
  </si>
  <si>
    <t>BAS-002222-necnj</t>
  </si>
  <si>
    <t>2024 Topps Update Rafael Devers #ASG-36 2024 All-Star Game Boston Red Sox</t>
  </si>
  <si>
    <t>BAS-002198-necf9</t>
  </si>
  <si>
    <t>2024 Topps Update Chandler Seagle / Mason McCoy RCOM, RC #US227 San Diego Padres</t>
  </si>
  <si>
    <t>BAS-002224-necnl</t>
  </si>
  <si>
    <t>2024 Bowman Ceddanne Rafaela #ROY-5 ROY Favorites Mojo Refractors Red Sox</t>
  </si>
  <si>
    <t>BAS-002223-necnk</t>
  </si>
  <si>
    <t>BAS-002200-necfb</t>
  </si>
  <si>
    <t>2024 Topps Daddy Yankee #FP-4 First Pitch Miami Marlins</t>
  </si>
  <si>
    <t>BAS-002199-necfa</t>
  </si>
  <si>
    <t>2024 Topps Update Davis Schneider #CSMLB-71 Stars of MLB Chrome Blue Jays</t>
  </si>
  <si>
    <t>BAS-002201-necfc</t>
  </si>
  <si>
    <t>2024 Topps Ceddanne Rafaela #CTC-27 City to City Boston Red Sox</t>
  </si>
  <si>
    <t>BAS-002202-necfd</t>
  </si>
  <si>
    <t>2023 Topps Chrome Vinnie Pasquantino #119 Kansas City Royals</t>
  </si>
  <si>
    <t>BAS-002203-necfe</t>
  </si>
  <si>
    <t>2024 Topps Chrome Logofractor Edition Kyle Tucker #112 Houston Astros</t>
  </si>
  <si>
    <t>BAS-002204-necff</t>
  </si>
  <si>
    <t>2024 Topps Chrome Cosmic Lawrence Butler #22 Refractors Oakland Athletics</t>
  </si>
  <si>
    <t>BAS-002205-necfg</t>
  </si>
  <si>
    <t>2024 Topps Shota Imanaga #442 Chicago Cubs</t>
  </si>
  <si>
    <t>BAS-002207-necfi</t>
  </si>
  <si>
    <t>2024 Topps Chrome Logofractor Edition Luis Castillo #129 Seattle Mariners</t>
  </si>
  <si>
    <t>BAS-002206-necfh</t>
  </si>
  <si>
    <t>2021 Topps Update Satchel Paige #PDC-63 Topps Platinum Players Die Cuts Browns</t>
  </si>
  <si>
    <t>BAS-002209-necfk</t>
  </si>
  <si>
    <t>2024 Topps Heritage Addison Barger #725 Chrome Purple Refractor Blue Jays</t>
  </si>
  <si>
    <t>BAS-002210-necfl</t>
  </si>
  <si>
    <t>2025 Topps NL Leaders AVG (Arraez/Ohtani/Ozuna) LL #347 Rainbow Foil</t>
  </si>
  <si>
    <t>BAS-002211-necfm</t>
  </si>
  <si>
    <t>2024 Stadium Club Vladimir Guerrero Jr. #290 Chrome Green Refractors Blue Jays</t>
  </si>
  <si>
    <t>BAS-002067-mygpn</t>
  </si>
  <si>
    <t>2024 Panini Select Bo Nix #30 Denver Broncos</t>
  </si>
  <si>
    <t>FB-002239-ng9w1</t>
  </si>
  <si>
    <t>2024 Panini Select Bo Nix #6 Select Numbers Prizm Denver Broncos</t>
  </si>
  <si>
    <t>FB-002225-ng9lv</t>
  </si>
  <si>
    <t>2024 Panini Illusions Bo Nix #22 Retail Denver Broncos</t>
  </si>
  <si>
    <t>FB-002240-ng9w2</t>
  </si>
  <si>
    <t>2024 Panini Illusions Caleb Williams #13 Chicago Bears</t>
  </si>
  <si>
    <t>FB-002229-ng9m0</t>
  </si>
  <si>
    <t>2024 Panini Select Caleb Williams #25 Chicago Bears</t>
  </si>
  <si>
    <t>FB-002230-ng9m1</t>
  </si>
  <si>
    <t>2024 Topps Chrome Jayden Daniels #FS-2 Future Stars Washington Commanders</t>
  </si>
  <si>
    <t>FB-002232-ng9m4</t>
  </si>
  <si>
    <t>2024 Donruss Optic Jahmyr Gibbs #64 Detroit Lions</t>
  </si>
  <si>
    <t>FB-002233-ng9m5</t>
  </si>
  <si>
    <t>FB-002234-ng9m7</t>
  </si>
  <si>
    <t>2024 Donruss Sam LaPorta #4 Gridiron Kings Detroit Lions</t>
  </si>
  <si>
    <t>FB-002235-ng9m9</t>
  </si>
  <si>
    <t>2021 Panini Select Patrick Mahomes II #102 Kansas City Chiefs</t>
  </si>
  <si>
    <t>FB-002236-ng9mc</t>
  </si>
  <si>
    <t>BAS-002225-ng978</t>
  </si>
  <si>
    <t>2025 Topps Aaron Judge #SMLB-2 Stars of MLB New York Yankees</t>
  </si>
  <si>
    <t>BAS-002227-ng97a</t>
  </si>
  <si>
    <t>2025 Topps Heritage Wyatt Langford #29 Texas Rangers</t>
  </si>
  <si>
    <t>BAS-002228-ng97b</t>
  </si>
  <si>
    <t>2024 Bowman Wyatt Langford #BCP-64 Chrome Prospects Mojo Refractors Rangers</t>
  </si>
  <si>
    <t>BAS-002230-ng97d</t>
  </si>
  <si>
    <t>2025 Topps Chrome Wyatt Langford #68 Prism Refractors Texas Rangers</t>
  </si>
  <si>
    <t>BAS-002231-ng97e</t>
  </si>
  <si>
    <t>2025 Topps National League Leaders RBI (Ohtani/Adames/ Machado)</t>
  </si>
  <si>
    <t>BAS-002232-ng97f</t>
  </si>
  <si>
    <t>2024 Topps Chrome Update Andrew Abbott #USC34 Negative Refractors Reds</t>
  </si>
  <si>
    <t>BAS-002233-ng97g</t>
  </si>
  <si>
    <t>BAS-002234-ng97h</t>
  </si>
  <si>
    <t>2024 Bowman Chrome Junior Caminero #56 Tampa Bay Rays</t>
  </si>
  <si>
    <t>BAS-002236-ng97j</t>
  </si>
  <si>
    <t>BAS-002237-ng97k</t>
  </si>
  <si>
    <t>2024 Topps Heritage Junior Caminero #267 Tampa Bay Rays</t>
  </si>
  <si>
    <t>BAS-002238-ng97l</t>
  </si>
  <si>
    <t>2024 Topps Update Wyatt Langford #US151 Rainbow Foil Texas Rangers</t>
  </si>
  <si>
    <t>BAS-002240-ng97n</t>
  </si>
  <si>
    <t>BAS-002239-ng97m</t>
  </si>
  <si>
    <t>BAS-002242-ng97p</t>
  </si>
  <si>
    <t>BAS-002244-ng97u</t>
  </si>
  <si>
    <t>2025 Bowman Esteban Gonzalez #BCP-70 Reptilian Refractor Guardians</t>
  </si>
  <si>
    <t>BAS-002245-ng97x</t>
  </si>
  <si>
    <t>2024 Bowman Draft Tytus Cissell #BDC-157 Chrome Sky Blue Refractor Dbacks</t>
  </si>
  <si>
    <t>BAS-002248-ng986</t>
  </si>
  <si>
    <t>2024 Topps Heritage Jordan Lawlar #429 White Border Arizona Diamondbacks</t>
  </si>
  <si>
    <t>BAS-002249-ng987</t>
  </si>
  <si>
    <t>BAS-002251-ng989</t>
  </si>
  <si>
    <t>2024 Topps Now Tarik Skubal #773 Detroit Tigers</t>
  </si>
  <si>
    <t>BAS-002256-ng98e</t>
  </si>
  <si>
    <t>2024 Stadium Club Anthony Veneziano #SCBA-AV Autographs Kansas City Royals Auto</t>
  </si>
  <si>
    <t>BAS-002255-ng98d</t>
  </si>
  <si>
    <t>2024 Topps Now Luis Arraez #775 San Diego Padres</t>
  </si>
  <si>
    <t>BAS-002258-ng98g</t>
  </si>
  <si>
    <t>BAS-002259-ng98h</t>
  </si>
  <si>
    <t>BAS-002260-ng98i</t>
  </si>
  <si>
    <t>BAS-002263-ng98l</t>
  </si>
  <si>
    <t>2022 Panini Prizm Vladimir Guerrero Jr. #IL-7 Illumination Green Prizm Blue Jays</t>
  </si>
  <si>
    <t>BAS-002264-ng98m</t>
  </si>
  <si>
    <t>2024 Bowman Draft Jared Serna #BDC-161 Chrome Fuchsia Lunar Marlins /199</t>
  </si>
  <si>
    <t>BAS-002266-ng98o</t>
  </si>
  <si>
    <t>2022 Topps Chrome Corbin Burnes #167 Aqua Wave Refractor Milwaukee Brewers #/199</t>
  </si>
  <si>
    <t>BAS-002267-ng98p</t>
  </si>
  <si>
    <t>2024 Topps Now Bobby Witt Jr. #778 Kansas City Royals</t>
  </si>
  <si>
    <t>BAS-002269-ng98r</t>
  </si>
  <si>
    <t>2025 Topps Robbie Ray #459 Gold San Francisco Giants #/2025</t>
  </si>
  <si>
    <t>BAS-002272-ng98u</t>
  </si>
  <si>
    <t>2023 Topps Big League Wrapper Ken Waldichuk #WR-64 Gold Foil Oakland A's /50</t>
  </si>
  <si>
    <t>BAS-002273-ng98v</t>
  </si>
  <si>
    <t>2024 Panini Phoenix James Cook #74 Buffalo Bills</t>
  </si>
  <si>
    <t>FB-002241-nhaa4</t>
  </si>
  <si>
    <t>2024 Panini Phoenix Ladd McConkey #CON-LMY Contours Stars Los Angeles Chargers</t>
  </si>
  <si>
    <t>FB-002242-nhaa5</t>
  </si>
  <si>
    <t>2025 Panini Ohio State University Caleb Downs #3 Ohio State Buckeyes</t>
  </si>
  <si>
    <t>FB-002244-nhaa7</t>
  </si>
  <si>
    <t>2024 Donruss Michael Penix Jr. #2 The Elite Series Rookies Atlanta Falcons</t>
  </si>
  <si>
    <t>FB-002245-nhaa8</t>
  </si>
  <si>
    <t>2025 Panini Certified Caleb Williams #17 Chicago Bears</t>
  </si>
  <si>
    <t>FB-002248-nhaab</t>
  </si>
  <si>
    <t>2025 Panini Certified KeAndre Lambert-Smith #186 Los Angeles Chargers #/499</t>
  </si>
  <si>
    <t>FB-002250-nhaae</t>
  </si>
  <si>
    <t>2025 Panini Certified Michael Penix Jr. #FFO-MPJ Franchise Foundations Falcons</t>
  </si>
  <si>
    <t>FB-002252-nhaag</t>
  </si>
  <si>
    <t>2025 Panini Michael Penix Jr. #FFO-MPJ Franchise Foundations Mirror Teal /75</t>
  </si>
  <si>
    <t>FB-002253-nhaah</t>
  </si>
  <si>
    <t>FB-002256-nhaak</t>
  </si>
  <si>
    <t>FB-002257-nhaal</t>
  </si>
  <si>
    <t>1991 Upper Deck Brett Favre #647 Atlanta Falcons</t>
  </si>
  <si>
    <t>FB-002259-nhaan</t>
  </si>
  <si>
    <t>2024 Panini Prestige Kurt Warner #9 Red Premium Xtra Points Cardinals /399</t>
  </si>
  <si>
    <t>FB-002260-nhaao</t>
  </si>
  <si>
    <t>2023 Panini Select Tuli Tuipulotu #RS-TUT Rookie Sigs Red Lazer Prizm /25</t>
  </si>
  <si>
    <t>FB-002261-nhaap</t>
  </si>
  <si>
    <t>2025 Panini Ohio State University Cris Carter #45 Ohio State Buckeyes</t>
  </si>
  <si>
    <t>FB-002265-nhaau</t>
  </si>
  <si>
    <t>2025 Panini OSU James Peoples #5 School Colors Ohio State Buckeyes</t>
  </si>
  <si>
    <t>FB-002267-nhaax</t>
  </si>
  <si>
    <t>2025 Panini Ohio State University Davison Igbinosun #4 Ohio State Buckeyes</t>
  </si>
  <si>
    <t>FB-002268-nhaay</t>
  </si>
  <si>
    <t>FB-002269-nhaaz</t>
  </si>
  <si>
    <t>FB-002270-nhab0</t>
  </si>
  <si>
    <t>FB-002271-nhab1</t>
  </si>
  <si>
    <t>FB-002272-nhab2</t>
  </si>
  <si>
    <t>2025 Panini OSU Carnell Tate #4 School Colors Ohio State Buckeyes</t>
  </si>
  <si>
    <t>FB-002273-nhab3</t>
  </si>
  <si>
    <t>2025 Panini Ohio State University Will Howard #38 Ohio State Buckeyes</t>
  </si>
  <si>
    <t>FB-002275-nhab5</t>
  </si>
  <si>
    <t>2025 Panini Ohio State University James Peoples #12 Donuts Ohio State Buckeyes</t>
  </si>
  <si>
    <t>FB-002274-nhab4</t>
  </si>
  <si>
    <t>2025 Panini OSU Damarion Witten #9 Red White and Blue Ohio State Buckeyes</t>
  </si>
  <si>
    <t>FB-002277-nhab7</t>
  </si>
  <si>
    <t>2025 Panini Ohio State University Carnell Tate #6 Ohio State Buckeyes</t>
  </si>
  <si>
    <t>FB-002278-nhab8</t>
  </si>
  <si>
    <t>2025 Panini Ohio State University James Peoples #12 Ohio State Buckeyes</t>
  </si>
  <si>
    <t>FB-002279-nhab9</t>
  </si>
  <si>
    <t>2025 Panini Ohio State University Quinshon Judkins #50 Ohio State Buckeyes</t>
  </si>
  <si>
    <t>FB-002280-nhaba</t>
  </si>
  <si>
    <t>2024 Panini Phoenix Jessie Bates III #79 Purple Atlanta Falcons</t>
  </si>
  <si>
    <t>FB-002281-nhabb</t>
  </si>
  <si>
    <t>2025 Panini Tai Felton #FBC-TAF Mirror Signatures Red Vikings /99</t>
  </si>
  <si>
    <t>FB-002284-nhthq</t>
  </si>
  <si>
    <t>2024 Topps Update Nolan Schanuel #RRR-NS Rising Rookies Relics Angels</t>
  </si>
  <si>
    <t>BAS-002277-nieuu</t>
  </si>
  <si>
    <t>2023 Panini Jace Jung #CM-JJ Colossal Materials Detroit Tigers #/49</t>
  </si>
  <si>
    <t>BAS-002282-nieuz</t>
  </si>
  <si>
    <t>2024 Topps Update Christopher Morel #MLMU-CM Materials Relics Black Cubs /199</t>
  </si>
  <si>
    <t>BAS-002284-niev1</t>
  </si>
  <si>
    <t>2024 Topps Giancarlo Stanton #MLM-GST Major League Material Relics Yankees</t>
  </si>
  <si>
    <t>BAS-002285-niev2</t>
  </si>
  <si>
    <t>2025 Topps Jeremy Peña #MLM-JP Major League Material Relics Blue Astros /150</t>
  </si>
  <si>
    <t>BAS-002288-niev5</t>
  </si>
  <si>
    <t>2025 Topps Holiday Tarik Skubal #H74 Detroit Tigers</t>
  </si>
  <si>
    <t>BAS-002290-nphpm</t>
  </si>
  <si>
    <t>2025 Topps Holiday Hyeseong Kim #H174 Light Blue &amp; White Glitter Holiday Dodgers</t>
  </si>
  <si>
    <t>BAS-002291-nphpp</t>
  </si>
  <si>
    <t>2024 Bowman Druw Jones #GOTD-15 Gladiators of the Diamond Arizona Diamondbacks</t>
  </si>
  <si>
    <t>BAS-002292-nphps</t>
  </si>
  <si>
    <t>2022 Bowman Aaron Judge #2 New York Yankees</t>
  </si>
  <si>
    <t>BAS-002293-nphpw</t>
  </si>
  <si>
    <t>BAS-002296-nphq5</t>
  </si>
  <si>
    <t>2025 Topps Holiday Yoshinobu Yamamoto #H159 Los Angeles Dodgers</t>
  </si>
  <si>
    <t>BAS-002297-nphq8</t>
  </si>
  <si>
    <t>2021 Bowman 1st Edition Anthony Volpe #BFE-85 New York Yankees</t>
  </si>
  <si>
    <t>BAS-002299-nphqm</t>
  </si>
  <si>
    <t>2025 Topps Holiday Marcus Semien #H9 Blue Matte Glitter Texas Rangers</t>
  </si>
  <si>
    <t>BAS-002300-nphqs</t>
  </si>
  <si>
    <t>2025 Topps Holiday Brooks Lee #H13 Silver Glitter Holiday Minnesota Twins</t>
  </si>
  <si>
    <t>BAS-002302-nphqx</t>
  </si>
  <si>
    <t>BAS-002303-nphqz</t>
  </si>
  <si>
    <t>2024-25 Topps Now Zaccharie Risacher #2 Atlanta Hawks</t>
  </si>
  <si>
    <t>BB-002100-npihl</t>
  </si>
  <si>
    <t>BB-002101-npihn</t>
  </si>
  <si>
    <t>2025-26 Topps Tre Johnson III #NL-6 No Limit Washington Wizards</t>
  </si>
  <si>
    <t>BB-002102-npiho</t>
  </si>
  <si>
    <t>2025 Topps Carter Bryant #80BK-99 1980-81 Topps Basketball Pink Holo Foil Spurs</t>
  </si>
  <si>
    <t>BB-002104-npihs</t>
  </si>
  <si>
    <t>2024 Panini Obsidian Lauri Markkanen #137 Electric Etch Pink Flood Jazz #/49</t>
  </si>
  <si>
    <t>BB-002103-npihq</t>
  </si>
  <si>
    <t>2025-26 Topps Ace Bailey #RTS-5 Rise to Stardom Utah Jazz</t>
  </si>
  <si>
    <t>BB-002105-npiht</t>
  </si>
  <si>
    <t>2025 Panini Ohio State University Chance Gray #25 Red White and Blue Buckeyes</t>
  </si>
  <si>
    <t>BB-002106-npihv</t>
  </si>
  <si>
    <t>2024-25 Panini Mosaic LeBron James #180 Los Angeles Lakers</t>
  </si>
  <si>
    <t>BB-002108-npihy</t>
  </si>
  <si>
    <t>2024-25 Panini Prizm Zaccharie Risacher #21 Instant Impact Atlanta Hawks</t>
  </si>
  <si>
    <t>BB-002110-npii1</t>
  </si>
  <si>
    <t>2024-25 Panini Mosaic Zaccharie Risacher #11 Epic Performers Mosaic Green Hawks</t>
  </si>
  <si>
    <t>BB-002114-npii8</t>
  </si>
  <si>
    <t>2024-25 Panini Mosaic Yves Missi #243 New Orleans Pelicans</t>
  </si>
  <si>
    <t>BB-002113-npii5</t>
  </si>
  <si>
    <t>2024 Panini Prizm Draft Picks V.J. Edgecombe #17 Rated Prospect Prizms Green</t>
  </si>
  <si>
    <t>BB-002115-npiia</t>
  </si>
  <si>
    <t>BB-002117-npiic</t>
  </si>
  <si>
    <t>2025 Panini Ohio State University Jaloni Cambridge #27 Ohio State Buckeyes</t>
  </si>
  <si>
    <t>BB-002118-npiid</t>
  </si>
  <si>
    <t>2024-25 Donruss Optic Zaccharie Risacher #4 White Hot Rookies Holo Atlanta Hawks</t>
  </si>
  <si>
    <t>BB-002119-npiif</t>
  </si>
  <si>
    <t>2024-25 Donruss Optic Shai Gilgeous-Alexander #6 Splash! Holo Thunder</t>
  </si>
  <si>
    <t>BB-002120-npiig</t>
  </si>
  <si>
    <t>BB-002122-npiii</t>
  </si>
  <si>
    <t>2024-25 Donruss Optic Zaccharie Risacher #268 Atlanta Hawks</t>
  </si>
  <si>
    <t>BB-002121-npiih</t>
  </si>
  <si>
    <t>2024-25 Donruss Optic Anthony Edwards #7 Express Lane Holo Timberwolves</t>
  </si>
  <si>
    <t>BB-002123-npiij</t>
  </si>
  <si>
    <t>2020-21 Panini Mosaic La Liga Manu Trigueros #36 Villarreal</t>
  </si>
  <si>
    <t>SR-002100-npg2x</t>
  </si>
  <si>
    <t>2020-21 Panini Mosaic La Liga David Ferreiro #93 SD Huesca</t>
  </si>
  <si>
    <t>SR-002102-npg33</t>
  </si>
  <si>
    <t>2020-21 Panini Mosaic La Liga Shinji Okazaki #39 Will to Win Mosaic SD Huesca</t>
  </si>
  <si>
    <t>SR-002103-npg37</t>
  </si>
  <si>
    <t>2020-21 Panini Mosaic La Liga Ante Budimir #18 Osasuna</t>
  </si>
  <si>
    <t>SR-002104-npg3a</t>
  </si>
  <si>
    <t>2021 Topps Chrome Sapphire Edition MLS Wil Trapp #52 Minnesota United FC</t>
  </si>
  <si>
    <t>SR-002107-npg3i</t>
  </si>
  <si>
    <t>2021 Topps Chrome Sapphire Edition MLS Wilfrid Kaptoum #98 Revolution</t>
  </si>
  <si>
    <t>SR-002106-npg3g</t>
  </si>
  <si>
    <t>2021 Topps Chrome Sapphire Edition MLS Jesús Ferreira #124 FC Dallas</t>
  </si>
  <si>
    <t>SR-002109-npg3o</t>
  </si>
  <si>
    <t>2024-25 Topps Chrome Bundesliga Budu Zivzivadze #45 1. FC Heidenheim 1846</t>
  </si>
  <si>
    <t>SR-002111-npg3v</t>
  </si>
  <si>
    <t>2021 Topps Chrome Sapphire Edition MLS Felipe Mora #112 Portland Timbers</t>
  </si>
  <si>
    <t>SR-002108-npg3l</t>
  </si>
  <si>
    <t>2024-25 Topps Chrome Bundesliga Anton Stach #47 TSG 1899 Hoffenheim</t>
  </si>
  <si>
    <t>SR-002110-npg3s</t>
  </si>
  <si>
    <t>2024-25 Topps Chrome Bundesliga Ermedin Demirović #95 VfB Stuttgart</t>
  </si>
  <si>
    <t>SR-002112-npg3y</t>
  </si>
  <si>
    <t>2024-25 Topps Chrome Bundesliga Bence Dardai #UB-3 Ultrabeam VfL Wolfsburg</t>
  </si>
  <si>
    <t>SR-002113-npg41</t>
  </si>
  <si>
    <t>2022-23 Panini Prizm Premier League Dean Henderson #140 Nottingham Forest</t>
  </si>
  <si>
    <t>SR-002114-npg44</t>
  </si>
  <si>
    <t>2022-23 Panini Prizm Premier League Emiliano Buendia #279 Aston Villa</t>
  </si>
  <si>
    <t>SR-002115-npg46</t>
  </si>
  <si>
    <t>2022-23 Panini Prizm Premier League Thilo Kehrer #59 West Ham United</t>
  </si>
  <si>
    <t>SR-002116-npg49</t>
  </si>
  <si>
    <t>2022-23 Panini Prizm Premier League Callum Wilson #171 Newcastle United</t>
  </si>
  <si>
    <t>SR-002117-npg4c</t>
  </si>
  <si>
    <t>2022-23 Panini Prizm Premier League Armando Broja #119 Prizms Green wave Chelsea</t>
  </si>
  <si>
    <t>SR-002119-npg4i</t>
  </si>
  <si>
    <t>2022-23 Panini Prizm Premier League Adam Armstrong #206 Southampton</t>
  </si>
  <si>
    <t>SR-002118-npg4f</t>
  </si>
  <si>
    <t>2022-23 Panini Prizm Premier League Declan Rice #46 West Ham United</t>
  </si>
  <si>
    <t>SR-002120-npg4l</t>
  </si>
  <si>
    <t>2024 Panini Prizm James Wood #19 Hype Washington Nationals</t>
  </si>
  <si>
    <t>BAS-002305-o0kj7</t>
  </si>
  <si>
    <t>2025 Topps Chrome Black Brooks Lee #41 Blue Refractors Minnesota Twins #/150</t>
  </si>
  <si>
    <t>BAS-002307-o0kj9</t>
  </si>
  <si>
    <t>2025 Bowman Jacob Bresnahan #BCP-53 Chrome Prospects Blue RayWave Refractor /150</t>
  </si>
  <si>
    <t>BAS-002310-o0kjc</t>
  </si>
  <si>
    <t>2025 Topps - Black Nick Sogard #94 Boston Red Sox #/74</t>
  </si>
  <si>
    <t>BAS-002311-o0kjd</t>
  </si>
  <si>
    <t>2024 Bowman Chrome Francisco Vilorio #BCP-169 Prospects Green Mojo Ref /99</t>
  </si>
  <si>
    <t>BAS-002313-o0kjf</t>
  </si>
  <si>
    <t>2025 Bowman Nate Nankil #BCP-102 Chrome Prospects Yellow Wave Refractor A's /75</t>
  </si>
  <si>
    <t>BAS-002320-o0kjm</t>
  </si>
  <si>
    <t>2025 Bowman Tink Hence #BP-101 Prospects Blue St. Louis Cardinals #/150</t>
  </si>
  <si>
    <t>BAS-002318-o0kjk</t>
  </si>
  <si>
    <t>2025 Bowman Seaver King #BCP-93 Chrome Reptilian Gold Ref Nationals /50</t>
  </si>
  <si>
    <t>BAS-002319-o0kjl</t>
  </si>
  <si>
    <t>2025 Bowman Jackson Holliday #77 Chrome Mojo Burgundy Refractor O's /275</t>
  </si>
  <si>
    <t>BAS-002322-o0kjo</t>
  </si>
  <si>
    <t>2025 Bowman Chrome - Meteoric Rise Jesus Made #MR-3 Milwaukee Brewers</t>
  </si>
  <si>
    <t>BAS-002326-o0kjs</t>
  </si>
  <si>
    <t>1992 Donruss Bo Jackson #470 Chicago White Sox</t>
  </si>
  <si>
    <t>BAS-002330-o0kjw</t>
  </si>
  <si>
    <t>2025 Bowman Chase Hampton #BCP-57 Yellow Geometric Refractor Yankees /75</t>
  </si>
  <si>
    <t>BAS-002331-o0kjy</t>
  </si>
  <si>
    <t>2025 Bowman Jung Hoo Lee #90 Yellow San Francisco Giants #/75</t>
  </si>
  <si>
    <t>BAS-002333-o0kk0</t>
  </si>
  <si>
    <t>2024 Topps Update Paul Skenes #US288 Pittsburgh Pirates CY Young Winner</t>
  </si>
  <si>
    <t>BAS-002337-o0kk4</t>
  </si>
  <si>
    <t>2025 Bowman Humberto Cruz #BCP-96 Chrome Prospects Refractor Padres /499</t>
  </si>
  <si>
    <t>BAS-002336-o0kk3</t>
  </si>
  <si>
    <t>FA-0002-o28n5</t>
  </si>
  <si>
    <t>2024-25 Bowman University Chrome Audi Crooks #WP-17 Warriors in the Paint</t>
  </si>
  <si>
    <t>BB-003308-lchd9-6D73064</t>
  </si>
  <si>
    <t>2025 Topps Aaron Judge #300 New York Yankees</t>
  </si>
  <si>
    <t>BAS-002342-o3p91</t>
  </si>
  <si>
    <t>2024 Topps Chrome Update Tyler Soderstrom #USC22 Refractors Oakland Athletics RC</t>
  </si>
  <si>
    <t>BAS-002340-o3orp</t>
  </si>
  <si>
    <t>2025 Topps National League Leaders RBI (Shohei Ohtani /Adames/Machado) LL #86</t>
  </si>
  <si>
    <t>BA-000003-o64wc</t>
  </si>
  <si>
    <t>2024 Topps Update Junior Caminero #US223 Tampa Bay Rays</t>
  </si>
  <si>
    <t>BA-000004-o64we</t>
  </si>
  <si>
    <t>2019 Topps Heritage Astros 2019 Rookie Stars (Tucker/Perez) RS, RC #227 Astros</t>
  </si>
  <si>
    <t>BA-000005-o64wf</t>
  </si>
  <si>
    <t>2018 Panini Chronicles Mickey Mantle #7 Illusions New York Yankees</t>
  </si>
  <si>
    <t>BA-000007-o64wk</t>
  </si>
  <si>
    <t>2013 Bowman Albert Pujols #50 Gold Los Angeles Angels</t>
  </si>
  <si>
    <t>BA-000008-o64wm</t>
  </si>
  <si>
    <t>2019 Topps Holiday Will Smith #HW99 Los Angeles Dodgers</t>
  </si>
  <si>
    <t>BA-000009-o64wp</t>
  </si>
  <si>
    <t>2021 Panini Diamond Kings Mickey Mantle #11 New York Yankees</t>
  </si>
  <si>
    <t>BA-000011-o64wt</t>
  </si>
  <si>
    <t>2020 Topps Chrome Update Derek Jeter #U-67 New York Yankees</t>
  </si>
  <si>
    <t>BA-000010-o64wr</t>
  </si>
  <si>
    <t>2024 Topps Update Wyatt Langford #US341 Texas Rangers</t>
  </si>
  <si>
    <t>BA-000012-o64wv</t>
  </si>
  <si>
    <t>2024 Topps Update Yoshinobu Yamamoto #US149 Los Angeles Dodgers</t>
  </si>
  <si>
    <t>BA-000013-o64wy</t>
  </si>
  <si>
    <t>2024 Topps Update Wyatt Langford #US151 Texas Rangers</t>
  </si>
  <si>
    <t>BA-000014-o64x0</t>
  </si>
  <si>
    <t>BA-000016-o64x4</t>
  </si>
  <si>
    <t>2023 Topps Anthony Volpe #460 New York Yankees</t>
  </si>
  <si>
    <t>BA-000018-o64x8</t>
  </si>
  <si>
    <t>2020 Panini Chronicles Mike Trout #1 Los Angeles Angels</t>
  </si>
  <si>
    <t>BA-000019-o64xa</t>
  </si>
  <si>
    <t>2022 Panini Diamond Kings Babe Ruth #1 New York Yankees</t>
  </si>
  <si>
    <t>BA-000020-o64xd</t>
  </si>
  <si>
    <t>2022 Panini Diamond Kings Ronald Acuna Jr. #22 Braves</t>
  </si>
  <si>
    <t>BA-000021-o64xg</t>
  </si>
  <si>
    <t>2022 Panini Diamond Kings Juan Soto #124 Washington Nationals</t>
  </si>
  <si>
    <t>BA-000022-o64xi</t>
  </si>
  <si>
    <t>2022 Panini Diamond Kings Babe Ruth #AH-8 The Art of Hitting New York Yankees</t>
  </si>
  <si>
    <t>BA-000024-o64xn</t>
  </si>
  <si>
    <t>2022 Topps Archives Luis Gil #124 New York Yankees</t>
  </si>
  <si>
    <t>BA-000025-o64xp</t>
  </si>
  <si>
    <t>2024 Bowman's Best Jordan Beck #26 Refractors Colorado Rockies</t>
  </si>
  <si>
    <t>BA-000029-o64xv</t>
  </si>
  <si>
    <t>2020 Topps Dylan Cease #326 Chicago White Sox</t>
  </si>
  <si>
    <t>BA-000030-o64xw</t>
  </si>
  <si>
    <t>2023 Bowman Josh Jung #43 Texas Rangers</t>
  </si>
  <si>
    <t>BA-000031-o64xx</t>
  </si>
  <si>
    <t>2024 Topps Chrome Update Austin Wells #USC197 Refractors New York Yankees</t>
  </si>
  <si>
    <t>BA-000032-o64xy</t>
  </si>
  <si>
    <t>2024 Bowman Xavier Isaac #PP-15 Prospect Power-Up Tampa Bay Rays</t>
  </si>
  <si>
    <t>BA-000033-o64xz</t>
  </si>
  <si>
    <t>BA-000035-o64y1</t>
  </si>
  <si>
    <t>2022 Topps Heritage Jeremy Peña #629 Houston Astros</t>
  </si>
  <si>
    <t>BA-000034-o64y0</t>
  </si>
  <si>
    <t>2022 Topps Heritage Spencer Strider #521 Atlanta Braves</t>
  </si>
  <si>
    <t>BA-000036-o64y2</t>
  </si>
  <si>
    <t>2022 Bowman Platinum Seiya Suzuki #75 Chicago Cubs</t>
  </si>
  <si>
    <t>BA-000039-o64y5</t>
  </si>
  <si>
    <t>2013 Bowman Draft Picks &amp; Prospects Christian Yelich #40 Miami Marlins</t>
  </si>
  <si>
    <t>BA-000038-o64y4</t>
  </si>
  <si>
    <t>2018 Topps Update Willy Adames #US25 Tampa Bay Rays</t>
  </si>
  <si>
    <t>BA-000040-o64y6</t>
  </si>
  <si>
    <t>2018 Topps Update Shane Bieber #US198 Cleveland Indians</t>
  </si>
  <si>
    <t>BA-000043-o64y9</t>
  </si>
  <si>
    <t>2018 Panini Chronicles Willy Adames #183 Optic Rated Rookies Prizm Rays</t>
  </si>
  <si>
    <t>BA-000042-o64y8</t>
  </si>
  <si>
    <t>2018 Topps Update Ozzie Albies #US162 Atlanta Braves</t>
  </si>
  <si>
    <t>BA-000045-o64yb</t>
  </si>
  <si>
    <t>2025 Topps Chrome Update Carlos Duran #USC84 Refractors Athletics</t>
  </si>
  <si>
    <t>BA-000048-o6gww</t>
  </si>
  <si>
    <t>2025 Topps Holiday Shea Langeliers #H102 Athletics</t>
  </si>
  <si>
    <t>BA-000051-o6gwz</t>
  </si>
  <si>
    <t>2025 Topps Holiday Nick Kurtz #H40 Athletics ROY</t>
  </si>
  <si>
    <t>BA-000052-o6gx0</t>
  </si>
  <si>
    <t>2025 Topps Holiday Lawrence Butler #H80 Holiday Lights Athletics</t>
  </si>
  <si>
    <t>BA-000053-o6gx1</t>
  </si>
  <si>
    <t>2025 Topps Heritage Michael Darrell-Hicks #655 Chrome Light Blue Sparkle Pirates</t>
  </si>
  <si>
    <t>BA-000054-o6gx2</t>
  </si>
  <si>
    <t>2025 Topps Chrome Cosmic Justyn-Henry Malloy #75 Detroit Tigers</t>
  </si>
  <si>
    <t>BA-000055-o6gx3</t>
  </si>
  <si>
    <t>2025 Topps Chrome Update Ronny Simon #USC35 Refractors Pittsburgh Pirates</t>
  </si>
  <si>
    <t>BA-000056-o6gx4</t>
  </si>
  <si>
    <t>2025-26 Topps Chrome Tyler Herro #188 Red White and Blue Refractor Miami Heat</t>
  </si>
  <si>
    <t>BA-000058-ogxyr</t>
  </si>
  <si>
    <t>2025-26 Topps Chrome Tyrese Maxey #185 Philadelphia 76ers</t>
  </si>
  <si>
    <t>BA-000060-ogxyw</t>
  </si>
  <si>
    <t>BA-000061-ogxyy</t>
  </si>
  <si>
    <t>2025-26 Topps Chrome Cason Wallace #191 Oklahoma City Thunder</t>
  </si>
  <si>
    <t>BA-000062-ogxz0</t>
  </si>
  <si>
    <t>2025-26 Topps Chrome Ace Bailey #GT-20 Go Time Utah Jazz</t>
  </si>
  <si>
    <t>BA-000063-ogxz2</t>
  </si>
  <si>
    <t>2025-26 Topps Chrome Jalen Green #BD-8 Ball of Duty Houston Rockets</t>
  </si>
  <si>
    <t>BA-000064-ogxz4</t>
  </si>
  <si>
    <t>2025-26 Topps Chrome Kasparas Jakučionis #270 Miami Heat</t>
  </si>
  <si>
    <t>BA-000065-ogxz6</t>
  </si>
  <si>
    <t>2025-26 Topps Chrome Joel Embiid #IP-10 Inspirational Philadelphia 76ers</t>
  </si>
  <si>
    <t>BA-000067-ogxza</t>
  </si>
  <si>
    <t>2025-26 Topps Chrome D'Angelo Russell #79 Brooklyn Nets</t>
  </si>
  <si>
    <t>BA-000068-ogxzb</t>
  </si>
  <si>
    <t>2025-26 Topps Chrome Liam McNeeley #279 Charlotte Hornets</t>
  </si>
  <si>
    <t>BA-000070-ogxzd</t>
  </si>
  <si>
    <t>2025-26 Topps Chrome Danny Wolf #277 Basketball Refractor Brooklyn Nets</t>
  </si>
  <si>
    <t>BA-000069-ogxzc</t>
  </si>
  <si>
    <t>2025-26 Topps Chrome Brandon Clarke #133 Red White and Blue Refractor Grizzlies</t>
  </si>
  <si>
    <t>BA-000071-ogxze</t>
  </si>
  <si>
    <t>2025-26 Topps Chrome LaMelo Ball #BD-13 Ball of Duty Charlotte Hornets</t>
  </si>
  <si>
    <t>BA-000073-ogxzg</t>
  </si>
  <si>
    <t>2025-26 Topps Chrome Day'Ron Sharpe #74 Brooklyn Nets</t>
  </si>
  <si>
    <t>BA-000074-ogxzi</t>
  </si>
  <si>
    <t>2025-26 Topps Chrome Derik Queen #263 New Orleans Pelicans</t>
  </si>
  <si>
    <t>BA-000075-ogxzj</t>
  </si>
  <si>
    <t>2025-26 Topps Chrome Chaz Lanier #288 Detroit Pistons</t>
  </si>
  <si>
    <t>BA-000076-ogxzk</t>
  </si>
  <si>
    <t>2025-26 Topps Chrome Noa Essengue #262 Chicago Bulls</t>
  </si>
  <si>
    <t>BA-000078-ogxzm</t>
  </si>
  <si>
    <t>2025-26 Topps Chrome Brooks Barnhizer #295 Red White and Blue Refractor Thunder</t>
  </si>
  <si>
    <t>BA-000079-ogxzn</t>
  </si>
  <si>
    <t>2024-25 Donruss Optic Luka Doncic #214 Holo Dallas Mavericks</t>
  </si>
  <si>
    <t>BA-000080-ogxzo</t>
  </si>
  <si>
    <t>2024-25 Donruss Optic Kyshawn George #299 Washington Wizards</t>
  </si>
  <si>
    <t>BA-000081-ogxzp</t>
  </si>
  <si>
    <t>2024-25 Donruss Optic Dyson Daniels #56 Holo Atlanta Hawks</t>
  </si>
  <si>
    <t>BA-000082-ogxzq</t>
  </si>
  <si>
    <t>2024-25 Donruss Optic Ivica Zubac #58 Purple Los Angeles Clippers</t>
  </si>
  <si>
    <t>BA-000083-ogxzt</t>
  </si>
  <si>
    <t>2024-25 Donruss Optic Cade Cunningham #26 Holo Detroit Pistons</t>
  </si>
  <si>
    <t>BA-000085-ogxzv</t>
  </si>
  <si>
    <t>2024-25 Donruss Optic Kristaps Porzingis #9 Winner Stays Holo Boston Celtics</t>
  </si>
  <si>
    <t>BA-000086-ogxzw</t>
  </si>
  <si>
    <t>2024-25 Donruss Optic Gradey Dick #184 Purple Toronto Raptors</t>
  </si>
  <si>
    <t>BA-000087-ogxzx</t>
  </si>
  <si>
    <t>2024-25 Donruss Optic Anthony Black #154 Holo Orlando Magic</t>
  </si>
  <si>
    <t>BA-000088-ogxzy</t>
  </si>
  <si>
    <t>2025-26 Topps Chrome Anthony Edwards #IP-5 Inspirational Minnesota Timberwolves</t>
  </si>
  <si>
    <t>BA-000092-ot9pc</t>
  </si>
  <si>
    <t>2025-26 Topps Chrome Paolo Banchero #BD-14 Ball of Duty Orlando Magic</t>
  </si>
  <si>
    <t>BA-000094-ot9ph</t>
  </si>
  <si>
    <t>2025-26 Topps Chrome Ja Morant #SF-2 Sleek Finishers Memphis Grizzlies</t>
  </si>
  <si>
    <t>BA-000093-ot9pd</t>
  </si>
  <si>
    <t>2025-26 Topps Chrome Jimmy Butler III #GT-2 Go Time Golden State Warriors</t>
  </si>
  <si>
    <t>BA-000096-ot9pl</t>
  </si>
  <si>
    <t>2025-26 Topps Chrome Jarace Walker #53 Pulsar Refractor Indiana Pacers</t>
  </si>
  <si>
    <t>BA-000097-ot9po</t>
  </si>
  <si>
    <t>2025-26 Topps Chrome Shaedon Sharpe #150 Refractor Trail Blazers</t>
  </si>
  <si>
    <t>BA-000099-ot9ps</t>
  </si>
  <si>
    <t>2025-26 Topps Chrome Spencer Dinwiddie #13 Pulsar Refractor Dallas Mavericks</t>
  </si>
  <si>
    <t>BA-000100-ot9pv</t>
  </si>
  <si>
    <t>2025-26 Topps Chrome Jaime Jaquez Jr. #161 Miami Heat</t>
  </si>
  <si>
    <t>BA-000101-ot9px</t>
  </si>
  <si>
    <t>BA-000102-ot9pz</t>
  </si>
  <si>
    <t>2025-26 Topps Chrome Khaman Maluach #260 Phoenix Suns</t>
  </si>
  <si>
    <t>BA-000103-ot9q2</t>
  </si>
  <si>
    <t>2025-26 Topps Chrome Zaccharie Risacher #2 Atlanta Hawks</t>
  </si>
  <si>
    <t>BA-000104-ot9q3</t>
  </si>
  <si>
    <t>AA-000003-p439c</t>
  </si>
  <si>
    <t>2025-26 Topps Chrome Giannis Antetokounmpo #IP-3 Inspirational Milwaukee Bucks</t>
  </si>
  <si>
    <t>AA-000004-p439g</t>
  </si>
  <si>
    <t>2025-26 Topps Chrome Asa Newell #273 Atlanta Hawks</t>
  </si>
  <si>
    <t>AA-000005-p439k</t>
  </si>
  <si>
    <t>2025-26 Topps Chrome Dorian Finney-Smith #192 Pulsar Refractor Lakers</t>
  </si>
  <si>
    <t>AA-000007-p439s</t>
  </si>
  <si>
    <t>2025-26 Topps Chrome Danny Wolf #277 Brooklyn Nets</t>
  </si>
  <si>
    <t>AA-000006-p439o</t>
  </si>
  <si>
    <t>AA-000009-p43a0</t>
  </si>
  <si>
    <t>2025-26 Topps Chrome Joan Beringer #267 Pulsar Refractor Minnesota Timberwolves</t>
  </si>
  <si>
    <t>AA-000010-p43a4</t>
  </si>
  <si>
    <t>AA-000011-p43a7</t>
  </si>
  <si>
    <t>2025-26 Topps Chrome James Harden #IP-17 Inspirational Los Angeles Clippers</t>
  </si>
  <si>
    <t>AA-000012-p43ab</t>
  </si>
  <si>
    <t>2025-26 Topps Chrome Jase Richardson #275 Pulsar Refractor Orlando Magic</t>
  </si>
  <si>
    <t>AA-000014-p43ai</t>
  </si>
  <si>
    <t>2025-26 Topps Chrome Richaun Holmes #236 Pulsar Refractor Washington Wizards</t>
  </si>
  <si>
    <t>AA-000015-p43al</t>
  </si>
  <si>
    <t>2025-26 Topps Chrome James Harden #AC-8 Activators Los Angeles Clippers</t>
  </si>
  <si>
    <t>AA-000016-p43ap</t>
  </si>
  <si>
    <t>2025-26 Topps Chrome Donovan Mitchell #BD-7 Ball of Duty Cleveland Cavaliers</t>
  </si>
  <si>
    <t>AA-000018-p43aw</t>
  </si>
  <si>
    <t>2025-26 Topps Chrome Dwyane Wade #SF-12 Sleek Finishers Miami Heat</t>
  </si>
  <si>
    <t>AA-000019-p43b0</t>
  </si>
  <si>
    <t>2025-26 Topps Chrome Kawhi Leonard #AC-1 Activators Los Angeles Clippers</t>
  </si>
  <si>
    <t>AA-000021-p43b8</t>
  </si>
  <si>
    <t>2025-26 Topps Chrome Dylan Harper #GT-17 Go Time San Antonio Spurs</t>
  </si>
  <si>
    <t>AA-000020-p43b5</t>
  </si>
  <si>
    <t>Luke Voit 2022 Topps Chrome Sapphire Edition #445 New York Yankees</t>
  </si>
  <si>
    <t>TY-KC000052-k3b69-C31BC4E</t>
  </si>
  <si>
    <t>j7ys7-4ADA285</t>
  </si>
  <si>
    <t>2025 Panini Revolution Drake Maye #48 New England Patriots</t>
  </si>
  <si>
    <t>FA-000009-pwep1</t>
  </si>
  <si>
    <t>2025 Score Drake Maye #3 Throwbacks New England Patriots</t>
  </si>
  <si>
    <t>FA-000010-pwep2</t>
  </si>
  <si>
    <t>2025 Panini Revolution Drake Maye #6 Futures New England Patriots</t>
  </si>
  <si>
    <t>FA-000011-pwep3</t>
  </si>
  <si>
    <t>2025 Panini Mosaic Drake Maye #258 New England Patriots</t>
  </si>
  <si>
    <t>FA-000017-pwepa</t>
  </si>
  <si>
    <t>2024 Panini Select Drake Maye #24 Turbocharged New England Patriots</t>
  </si>
  <si>
    <t>FA-000014-pwep7</t>
  </si>
  <si>
    <t>2024 Panini Select Drake Maye #5 Select Future New England Patriots</t>
  </si>
  <si>
    <t>FA-000016-pwep9</t>
  </si>
  <si>
    <t>2024 Panini Select Drake Maye #20 Select Numbers New England Patriots</t>
  </si>
  <si>
    <t>FA-000015-pwep8</t>
  </si>
  <si>
    <t>2025 Score Drake Maye #C-DMA Celebration New England Patriots</t>
  </si>
  <si>
    <t>FA-000013-pwep6</t>
  </si>
  <si>
    <t>Drake Maye 2024 Panini Absolute #103 RC Rookie New England Patriots</t>
  </si>
  <si>
    <t>FA-000012-pwep4</t>
  </si>
  <si>
    <t>2024 Donruss Optic Drake Maye #5 Rookie Recruits New England Patriots</t>
  </si>
  <si>
    <t>FA-000020-pwepe</t>
  </si>
  <si>
    <t>2024 Panini Absolute Drake Maye #RO-DME Rock Out New England Patriots</t>
  </si>
  <si>
    <t>FA-000019-pwepd</t>
  </si>
  <si>
    <t>2024 Panini Rookies &amp; Stars Drake Maye #RR-DME Rookie Rush New England Patriots</t>
  </si>
  <si>
    <t>FA-000021-pwepg</t>
  </si>
  <si>
    <t>2024 Panini Select Drake Maye #27 New England Patriots</t>
  </si>
  <si>
    <t>FA-000024-pwepj</t>
  </si>
  <si>
    <t>2019 Bowman's Best Kyle Tucker #43 Houston Astros RC 🔥</t>
  </si>
  <si>
    <t>BA-000059-pzphi</t>
  </si>
  <si>
    <t>2022 Bowman Draft 1st Edition Marcelo Mayer #BD-123 Boston Red Sox</t>
  </si>
  <si>
    <t>BA-000061-q0oxc</t>
  </si>
  <si>
    <t>BA-000060-q0oxb</t>
  </si>
  <si>
    <t>2025 Panini Phoenix Roquan Smith #96 Blue Hyper Prizm Baltimore Ravens #/199</t>
  </si>
  <si>
    <t>FA-000029-q0pwo</t>
  </si>
  <si>
    <t>2025 Panini Phoenix Sam Darnold #49 Seattle Seahawks</t>
  </si>
  <si>
    <t>FA-000028-q0pwn</t>
  </si>
  <si>
    <t>2025 Panini Phoenix Josh Allen #129 Buffalo Bills</t>
  </si>
  <si>
    <t>FA-000030-q0pws</t>
  </si>
  <si>
    <t>2025 Panini Phoenix Bo Nix #83 Denver Broncos</t>
  </si>
  <si>
    <t>FA-000031-q0pwt</t>
  </si>
  <si>
    <t>2025 Panini Phoenix Trevor Lawrence #23 Thunderbirds Jacksonville Jaguars</t>
  </si>
  <si>
    <t>FA-000033-q0pwv</t>
  </si>
  <si>
    <t>2025 Panini Phoenix Tre Harris #160 Red Winter Prizm Los Angeles Chargers #/399</t>
  </si>
  <si>
    <t>FA-000033-q0pwu</t>
  </si>
  <si>
    <t>ZAY FLOWERS 2023 Panini Mosaic NFL Debut Reactive Blue Mosaic Rookie #ND-18</t>
  </si>
  <si>
    <t>CDP-E80618A-65C4FB4</t>
  </si>
  <si>
    <t>SV04: Paradox Rift Yamask #075/182</t>
  </si>
  <si>
    <t>PA-000002-qbm0m</t>
  </si>
  <si>
    <t>SV04: Paradox Rift Spinda #151/182</t>
  </si>
  <si>
    <t>PA-000003-qbm0n</t>
  </si>
  <si>
    <t>SV04: Paradox Rift Minior #099/182</t>
  </si>
  <si>
    <t>PA-000007-qbm0r</t>
  </si>
  <si>
    <t>SV04: Paradox Rift Crocalor #024/182</t>
  </si>
  <si>
    <t>PA-000008-qbm0s</t>
  </si>
  <si>
    <t>Deck Exclusives Aegislash #134/182</t>
  </si>
  <si>
    <t>PA-000011-qbm0v</t>
  </si>
  <si>
    <t>SV04: Paradox Rift Natu #071/182</t>
  </si>
  <si>
    <t>PA-000016-qbm10</t>
  </si>
  <si>
    <t>SV04: Paradox Rift Pumpkaboo #077/182</t>
  </si>
  <si>
    <t>PA-000014-qbm0y</t>
  </si>
  <si>
    <t>SV04: Paradox Rift Zubat #110/182</t>
  </si>
  <si>
    <t>PA-000015-qbm0z</t>
  </si>
  <si>
    <t>SV04: Paradox Rift Purrloin #114/182</t>
  </si>
  <si>
    <t>PA-000017-qbm11</t>
  </si>
  <si>
    <t>PA-000019-qbm13</t>
  </si>
  <si>
    <t>Prize Pack Series Cards Professor Sada's Vitality #170/182</t>
  </si>
  <si>
    <t>PA-000020-qbm14</t>
  </si>
  <si>
    <t>Deck Exclusives Xatu #072/182</t>
  </si>
  <si>
    <t>PA-000023-qbm17</t>
  </si>
  <si>
    <t>SV04: Paradox Rift Steelix #125/182</t>
  </si>
  <si>
    <t>PA-000022-qbm16</t>
  </si>
  <si>
    <t>SV04: Paradox Rift Tinkatink #082/182</t>
  </si>
  <si>
    <t>PA-000004-qbm0o</t>
  </si>
  <si>
    <t>PA-000001-qbm0l</t>
  </si>
  <si>
    <t>PA-000009-qbm0t</t>
  </si>
  <si>
    <t>SV04: Paradox Rift Exploud #150/182</t>
  </si>
  <si>
    <t>PA-000010-qbm0u</t>
  </si>
  <si>
    <t>SVE: Scarlet &amp; Violet Energies Basic Darkness Energy #007</t>
  </si>
  <si>
    <t>PA-000012-qbm0w</t>
  </si>
  <si>
    <t>SVE: Scarlet &amp; Violet Energies Basic Metal Energy #008</t>
  </si>
  <si>
    <t>PA-000013-qbm0x</t>
  </si>
  <si>
    <t>SV04: Paradox Rift Rika #172/182</t>
  </si>
  <si>
    <t>PA-000018-qbm12</t>
  </si>
  <si>
    <t>SV04: Paradox Rift Slither Wing #107/182</t>
  </si>
  <si>
    <t>PA-000021-qbm15</t>
  </si>
  <si>
    <t>PA-000006-qbm0q</t>
  </si>
  <si>
    <t>2015 Bowman Draft #75 Kyle Tucker RC Rookie Astros Cubs Dodgers</t>
  </si>
  <si>
    <t>BA-000047-qdwfo</t>
  </si>
  <si>
    <t>2025-26 Topps Chrome Noa Essengue #D-11 Destiny Chicago Bulls</t>
  </si>
  <si>
    <t>AA-000025-qltq2</t>
  </si>
  <si>
    <t>2024 Panini Mosaic Courtland Sutton #20 Elevate Denver Broncos</t>
  </si>
  <si>
    <t>FA-000035-qlwc0</t>
  </si>
  <si>
    <t>2024 Clearly Donruss Courtland Sutton #18 Denver Broncos</t>
  </si>
  <si>
    <t>FA-000037-qlwc2</t>
  </si>
  <si>
    <t>FA-000042-qt8o5</t>
  </si>
  <si>
    <t>2025 Bowman Draft Mason Peters #BDC-27 Chrome Seattle Mariners</t>
  </si>
  <si>
    <t>BA-000053-qtsgg</t>
  </si>
  <si>
    <t>2025 Bowman Draft Griffin Hugus #BDC-101 Chrome Refractor Seattle Mariners</t>
  </si>
  <si>
    <t>BA-000055-qtsgi</t>
  </si>
  <si>
    <t>2025 Topps Update Shohei Ohtani / Roki Sasaki #US269 Diamante Foil Dodgers</t>
  </si>
  <si>
    <t>BA-000056-qvtke</t>
  </si>
  <si>
    <t>2025 Topps Update Bobby Witt Jr. #NT-4 Night Terrors Kansas City Royals</t>
  </si>
  <si>
    <t>BA-000062-qvtkk</t>
  </si>
  <si>
    <t>2025 Topps Update Cal Raleigh #ASG-9 2025 All-Star Game Seattle Mariners</t>
  </si>
  <si>
    <t>BA-000060-qvtki</t>
  </si>
  <si>
    <t>2025 Bowman Chrome Aaron Judge #99 New York Yankees</t>
  </si>
  <si>
    <t>BA-000063-qvtkl</t>
  </si>
  <si>
    <t>2025 Topps Chrome Update Marcelo Mayer #PP-45 Power Players Boston Red Sox</t>
  </si>
  <si>
    <t>BA-000065-qvtkn</t>
  </si>
  <si>
    <t>2025 Topps Archives Luisangel Acuña #64SU-8 1964 Topps Stand-Ups New York Mets</t>
  </si>
  <si>
    <t>BA-000066-qvtko</t>
  </si>
  <si>
    <t>2025 Topps Archives Marcelo Mayer #64SU-18 1964 Topps Stand-Ups Boston Red Sox</t>
  </si>
  <si>
    <t>BA-000068-qvtkq</t>
  </si>
  <si>
    <t>2025 Topps Archives Nick Kurtz #64SU-25 1964 Topps Stand-Ups Athletics</t>
  </si>
  <si>
    <t>BA-000067-qvtkp</t>
  </si>
  <si>
    <t>2025 Topps Update Roki Sasaki #U90-11 zDuplicateDoNotUse 1990 Topps 35th Dodgers</t>
  </si>
  <si>
    <t>BA-000069-qvtkr</t>
  </si>
  <si>
    <t>2025 Bowman Chrome Paul Skenes #30 Pittsburgh Pirates</t>
  </si>
  <si>
    <t>BA-000073-qvtkv</t>
  </si>
  <si>
    <t>2025 Topps Update Luke Keaschall #BG-12 Topps Black Gold Pink Foil Twins</t>
  </si>
  <si>
    <t>BA-000074-qvtkw</t>
  </si>
  <si>
    <t>2025 Bowman Chrome Cam Smith #77 Houston Astros</t>
  </si>
  <si>
    <t>BA-000076-qvtky</t>
  </si>
  <si>
    <t>2025 Topps Update Marcelo Mayer #US276 Holo Foil Boston Red Sox</t>
  </si>
  <si>
    <t>BA-000075-qvtkx</t>
  </si>
  <si>
    <t>2025 Topps Update Nick Kurtz #US201 Athletics</t>
  </si>
  <si>
    <t>BA-000078-qvtl0</t>
  </si>
  <si>
    <t>2025 Topps Archives Tyler Soderstrom #4 Black Foilboard Athletics</t>
  </si>
  <si>
    <t>BA-000080-qvtl2</t>
  </si>
  <si>
    <t>2025 Topps Update Hyeseong Kim #U90-13 1990 Topps Baseball 35th Holo Dodgers</t>
  </si>
  <si>
    <t>BA-000079-qvtl1</t>
  </si>
  <si>
    <t>2025 Topps Update Victor MESA JR. #US220 Gold Miami Marlins #/2025</t>
  </si>
  <si>
    <t>BA-000077-qvtkz</t>
  </si>
  <si>
    <t>2025 Bowman Chrome Kristian Campbell #MR-16 Meteoric Rise Mojo Mega Red Sox</t>
  </si>
  <si>
    <t>BA-000083-qvtl5</t>
  </si>
  <si>
    <t>2025 Bowman Chrome Yoshinobu Yamamoto #76 Los Angeles Dodgers</t>
  </si>
  <si>
    <t>BA-000085-qvtl7</t>
  </si>
  <si>
    <t>2025 Topps Update Cam Smith #US45 Diamante Foil Houston Astros</t>
  </si>
  <si>
    <t>BA-000086-qvtl8</t>
  </si>
  <si>
    <t>2025 Bowman Chrome Charlie Condon #BCP-248 Prospects Mojo Colorado Rockies</t>
  </si>
  <si>
    <t>BA-000087-qvtl9</t>
  </si>
  <si>
    <t>2025 Topps Update Paxton Schultz #US350 Gold Toronto Blue Jays #/2025</t>
  </si>
  <si>
    <t>BA-000088-qvtla</t>
  </si>
  <si>
    <t>2025 Topps Archives Marcelo Mayer #236 Black Foilboard Boston Red Sox</t>
  </si>
  <si>
    <t>BA-000090-qvtlc</t>
  </si>
  <si>
    <t>2025 Bowman Chrome Luisangel Acuña #32b New York Mets</t>
  </si>
  <si>
    <t>BA-000094-qvtlg</t>
  </si>
  <si>
    <t>2025 Topps Archives Nick Kurtz #213 Athletics</t>
  </si>
  <si>
    <t>BA-000095-qvtlh</t>
  </si>
  <si>
    <t>2025 Bowman Chrome Nick Kurtz #93 Mojo Refractors Athletics ROY 🔥🔥🔥</t>
  </si>
  <si>
    <t>BA-000099-qvtll</t>
  </si>
  <si>
    <t>2021 Panini Select Sam Darnold #7 Silver Prizm Die Cut Panthers (Seahawks)</t>
  </si>
  <si>
    <t>FB-1692-itzxn-060F241</t>
  </si>
  <si>
    <t>2025-26 Topps Chrome Joel Embiid #149 Magenta Refractor Philadelphia 76ers #/399</t>
  </si>
  <si>
    <t>AA-000036-r5iyn</t>
  </si>
  <si>
    <t>2025 Topps Chrome Update Sapphire Edition Trent Grisham #USC54 New York Yankees</t>
  </si>
  <si>
    <t>BA-000137-r5lih</t>
  </si>
  <si>
    <t>BA-000138-r5lii</t>
  </si>
  <si>
    <t>2025 Bowman Draft Kane Kepley #BD-200 Sky Blue Border Chicago Cubs #/499</t>
  </si>
  <si>
    <t>BA-000141-r5lil</t>
  </si>
  <si>
    <t>2025 Bowman Draft Enrique Bradfield Jr. #BD-198 Sky Blue Border Orioles #/499</t>
  </si>
  <si>
    <t>BA-000156-r6eyf</t>
  </si>
  <si>
    <t>2025 Bowman Draft Grant Richardson #BD-171 Blue Border Athletics #/150</t>
  </si>
  <si>
    <t>BA-000160-r6eyk</t>
  </si>
  <si>
    <t>2025 Bowman Draft Gage Wood #BDC-4 Chrome Refractor Philadelphia Phillies</t>
  </si>
  <si>
    <t>BA-000168-r7ewt</t>
  </si>
  <si>
    <t>2025 Bowman Draft Caden Bodine #BDC-63 Chrome Refractor Baltimore Orioles</t>
  </si>
  <si>
    <t>BA-000174-r7ewz</t>
  </si>
  <si>
    <t>2025 Topps Chrome Aaron Judge #PP-1 Power Players New York Yankees</t>
  </si>
  <si>
    <t>BA-000176-r7ex1</t>
  </si>
  <si>
    <t>2025 Topps Chrome Jack Kochanowicz #121 Sepia Refractors Los Angeles Angels</t>
  </si>
  <si>
    <t>BA-000177-r7ex2</t>
  </si>
  <si>
    <t>2025 Topps Chrome Drew Thorpe #275 Sepia Refractors Chicago White Sox</t>
  </si>
  <si>
    <t>BA-000179-r7ex4</t>
  </si>
  <si>
    <t>2025 Bowman Draft Kane Kepley #BDC-200 Chrome Refractor Chicago Cubs</t>
  </si>
  <si>
    <t>BA-000171-r7eww</t>
  </si>
  <si>
    <t>2025 Topps Chrome Jhonkensy Noel #291 Sepia Refractors Cleveland Guardians</t>
  </si>
  <si>
    <t>BA-000180-r7ex5</t>
  </si>
  <si>
    <t>2025 Topps Chrome Wyatt Langford #FS-13 Future Stars Texas Rangers</t>
  </si>
  <si>
    <t>BA-000181-r7ex6</t>
  </si>
  <si>
    <t>2025 Topps Chrome Kyle Schwarber #PP-15 Power Players Philadelphia Phillies</t>
  </si>
  <si>
    <t>BA-000182-r7ex7</t>
  </si>
  <si>
    <t>2025 Topps Chrome Mookie Betts #CAE-9 Chrome All-Etch Los Angeles Dodgers</t>
  </si>
  <si>
    <t>BA-000183-r7ex8</t>
  </si>
  <si>
    <t>2025 Bowman Chrome Tommy White #BCP-251 Athletics</t>
  </si>
  <si>
    <t>BA-000184-r8m0e</t>
  </si>
  <si>
    <t>2025 Bowman Chrome Pedro Catuy #BCP-210 Prospects Arizona Diamondbacks</t>
  </si>
  <si>
    <t>BA-000217-r8os4</t>
  </si>
  <si>
    <t>2025 Bowman Chrome DJ Layton #BCP-252 Prospects Baltimore Orioles</t>
  </si>
  <si>
    <t>BA-000185-r8m0f</t>
  </si>
  <si>
    <t>2025 Bowman Chrome Juan Tomas #BCP-230 Prospects Chicago Cubs</t>
  </si>
  <si>
    <t>BA-000187-r8m0h</t>
  </si>
  <si>
    <t>2025 Bowman Chrome Jose Anderson #BCP-193 Prospects Milwaukee Brewers</t>
  </si>
  <si>
    <t>BA-000209-r8mdr</t>
  </si>
  <si>
    <t>2025 Bowman Chrome Christopher Suero #BCP-191 Prospects New York Mets</t>
  </si>
  <si>
    <t>BA-000211-r8mdu</t>
  </si>
  <si>
    <t>2025 Bowman Chrome Diego Tornes #BCP-214 Prospects Atlanta Braves</t>
  </si>
  <si>
    <t>BA-000186-r8m0g</t>
  </si>
  <si>
    <t>2025 Bowman Chrome Raymer Medina #BCP-175 Prospects Tampa Bay Rays</t>
  </si>
  <si>
    <t>BA-000212-r8mdw</t>
  </si>
  <si>
    <t>2025 Bowman Chrome Hiverson López #BCP-196 Prospects Guardians</t>
  </si>
  <si>
    <t>BA-000189-r8m0j</t>
  </si>
  <si>
    <t>2025 Bowman Chrome James Wood #29 Washington Nationals</t>
  </si>
  <si>
    <t>BA-000213-r8mdy</t>
  </si>
  <si>
    <t>2025 Bowman Chrome Elorky Rodriguez #BCP-186 Prospects Texas Rangers</t>
  </si>
  <si>
    <t>BA-000190-r8m0k</t>
  </si>
  <si>
    <t>2025 Bowman Chrome Royelny Strop #BCP-221 St Louis Cardinals</t>
  </si>
  <si>
    <t>BA-000191-r8m0l</t>
  </si>
  <si>
    <t>2025 Bowman Chrome Matt Shaw #46 Chicago Cubs</t>
  </si>
  <si>
    <t>BA-000214-r8me0</t>
  </si>
  <si>
    <t>2025 Bowman Chrome Devin Fitz-Gerald #BCP-158 Prospects Texas Rangers</t>
  </si>
  <si>
    <t>BA-000192-r8m0m</t>
  </si>
  <si>
    <t>2025 Bowman Chrome Juneiker Caceres #BCP-231 Prospects Cleveland Guardians</t>
  </si>
  <si>
    <t>BA-000216-r8me3</t>
  </si>
  <si>
    <t>2025 Bowman Chrome Jakob Christian #BCP-157 Prospects San Francisco Giants</t>
  </si>
  <si>
    <t>BA-000215-r8me1</t>
  </si>
  <si>
    <t>2025 Bowman Chrome Kale Fountain #BCP-246 Prospects San Diego Padres</t>
  </si>
  <si>
    <t>BA-000195-r8m0p</t>
  </si>
  <si>
    <t>2025 Bowman Chrome Elian De La Cruz #BCP-249 Prospects Arizona Diamondbacks</t>
  </si>
  <si>
    <t>BA-000193-r8m0n</t>
  </si>
  <si>
    <t>2025 Bowman Chrome Zach Cole #BCP-244 Prospects Houston Astros</t>
  </si>
  <si>
    <t>BA-000200-r8m0u</t>
  </si>
  <si>
    <t>2025 Bowman Chrome Caden Powell #BCP-212 Prospects Houston Astros</t>
  </si>
  <si>
    <t>BA-000199-r8m0t</t>
  </si>
  <si>
    <t>2025 Bowman Chrome Sadbiel Delzine #BCP-235 Prospects Boston Red Sox</t>
  </si>
  <si>
    <t>BA-000194-r8m0o</t>
  </si>
  <si>
    <t>2025 Bowman Chrome Djean Macares #BCP-237 Prospects San Francisco Giants</t>
  </si>
  <si>
    <t>BA-000197-r8m0r</t>
  </si>
  <si>
    <t>2025 Bowman Chrome Andrew Salas #BCP-156 Prospects Miami Marlins</t>
  </si>
  <si>
    <t>BA-000201-r8m0v</t>
  </si>
  <si>
    <t>2025 Bowman Chrome Mani Cedeno #BCP-199 Prospects New York Yankees</t>
  </si>
  <si>
    <t>BA-000202-r8m0w</t>
  </si>
  <si>
    <t>2025 Bowman Chrome Harold Rivas #BCP-216 Prospects Boston Red Sox</t>
  </si>
  <si>
    <t>BA-000204-r8m0y</t>
  </si>
  <si>
    <t>2025 Bowman Chrome Heins Brito #BCP-203 Prospects Cleveland Guardians</t>
  </si>
  <si>
    <t>BA-000205-r8m0z</t>
  </si>
  <si>
    <t>2025 Bowman Chrome Brett Bateman #BCP-226 Prospects Chicago Cubs</t>
  </si>
  <si>
    <t>BA-000207-r8m11</t>
  </si>
  <si>
    <t>2025 Topps Update Nick Kurtz #US197 Rainbow Foil Athletics</t>
  </si>
  <si>
    <t>BA-000224-ran6o</t>
  </si>
  <si>
    <t>2023 Bowman Adley Rutschman #ROYF-4 ROY Favorites Mojo Refractors O's</t>
  </si>
  <si>
    <t>BA-000226-rck3q</t>
  </si>
  <si>
    <t>2025 Topps James Wood #SMLB-18 Stars of MLB Washington Nationals</t>
  </si>
  <si>
    <t>BA-000230-rck3u</t>
  </si>
  <si>
    <t>2024 Bowman Tyler Soderstrom #15 Chrome Mojo Refractors Oakland Athletics</t>
  </si>
  <si>
    <t>BA-000227-rck3r</t>
  </si>
  <si>
    <t>2024 Panini Prospect Edition Travis Bazzana #5 Cleveland Guardians</t>
  </si>
  <si>
    <t>BA-000233-rck3x</t>
  </si>
  <si>
    <t>2025 Bowman Jansel Luis #BCP-84 Chrome Prospects Arizona Diamondbacks</t>
  </si>
  <si>
    <t>BA-000232-rck3w</t>
  </si>
  <si>
    <t>2024 Bowman Chrome Bobby Witt Jr. #1 Kansas City Royals</t>
  </si>
  <si>
    <t>BA-000237-rck41</t>
  </si>
  <si>
    <t>2025 Bowman Charlie Condon #BP-75 Prospects Colorado Rockies</t>
  </si>
  <si>
    <t>BA-000234-rck3y</t>
  </si>
  <si>
    <t>2025 Bowman Jac Caglianone #BCP-103 Chrome Prospects Kansas City Royals</t>
  </si>
  <si>
    <t>BA-000238-rck42</t>
  </si>
  <si>
    <t>2025 Bowman JJ Wetherholt #GL-17 Greatness Loading St. Louis Cardinals</t>
  </si>
  <si>
    <t>BA-000240-rck44</t>
  </si>
  <si>
    <t>2024 Topps Pete Crow-Armstrong #CSMLB-25 Stars of MLB Chrome Chicago Cubs</t>
  </si>
  <si>
    <t>BA-000243-rck47</t>
  </si>
  <si>
    <t>2025 Bowman Carson Benge #VIP-17 Very Important Prospects New York Mets</t>
  </si>
  <si>
    <t>BA-000242-rck46</t>
  </si>
  <si>
    <t>2024 Leaf Futures Nick Kurtz #147 Gold #/249 RC A's</t>
  </si>
  <si>
    <t>BA-000246-rck4a</t>
  </si>
  <si>
    <t>2025 Topps Roki Sasaki #SMLB-53 Stars of MLB Los Angeles Dodgers</t>
  </si>
  <si>
    <t>BA-000247-rck4b</t>
  </si>
  <si>
    <t>2025 Topps Jacob Wilson #314 Athletics</t>
  </si>
  <si>
    <t>BA-000251-rck4f</t>
  </si>
  <si>
    <t>2024 Topps Pete Crow-Armstrong #89B2-5 1989 35th Anniversary Foil Cubs RC</t>
  </si>
  <si>
    <t>BA-000250-rck4e</t>
  </si>
  <si>
    <t>2021 Panini Prizm Jose Altuve #179 Red/White/Blue Prizm Houston Astros</t>
  </si>
  <si>
    <t>BA-000253-rck4h</t>
  </si>
  <si>
    <t>2025 Bowman Leo De Vries #VIP-14 Very Important Prospects San Diego Padres</t>
  </si>
  <si>
    <t>BA-000255-rck4j</t>
  </si>
  <si>
    <t>2025 Bowman Jacob Wilson #9 Athletics</t>
  </si>
  <si>
    <t>BA-000256-rck4k</t>
  </si>
  <si>
    <t>2025 Bowman Jesus Made #BP-66 Prospects Milwaukee Brewers</t>
  </si>
  <si>
    <t>BA-000257-rck4l</t>
  </si>
  <si>
    <t>2025 Topps James Wood #181 Washington Nationals</t>
  </si>
  <si>
    <t>BA-000258-rck4m</t>
  </si>
  <si>
    <t>2025 Topps Jacob Wilson #SMLB-31 Stars of MLB Athletics</t>
  </si>
  <si>
    <t>BA-000262-rmvqx</t>
  </si>
  <si>
    <t>2024 Bowman Chrome Yaikel Mijares #CPA-YMI Prospect Autographs Guardians</t>
  </si>
  <si>
    <t>BA-000265-rmvr4</t>
  </si>
  <si>
    <t>BA-000268-rmvrb</t>
  </si>
  <si>
    <t>2024 Bowman Draft Roman Anthony #BD-19 Boston Red Sox</t>
  </si>
  <si>
    <t>BA-000269-rmvre</t>
  </si>
  <si>
    <t>BA-000271-rmvri</t>
  </si>
  <si>
    <t>2025 Bowman Chrome James Wood #29 Mojo Refractors Washington Nationals</t>
  </si>
  <si>
    <t>BA-000272-rmvrl</t>
  </si>
  <si>
    <t>2019 Topps Kyle Tucker #60 Houston Astros</t>
  </si>
  <si>
    <t>BA-000274-rmvrq</t>
  </si>
  <si>
    <t>2019 Bowman Kyle Tucker #94 Astros RC</t>
  </si>
  <si>
    <t>BA-000275-rmvrs</t>
  </si>
  <si>
    <t>2025 Topps Tyler Soderstrom #72 Sandglitter Athletics</t>
  </si>
  <si>
    <t>BA-000278-rmvs0</t>
  </si>
  <si>
    <t>2025 Donruss Travis Bazzana #131 Cleveland Guardians</t>
  </si>
  <si>
    <t>BA-000280-rmvs5</t>
  </si>
  <si>
    <t>2024 Bowman Draft Nick Kurtz #BD-56 Oakland Athletics</t>
  </si>
  <si>
    <t>BA-000279-rmvs2</t>
  </si>
  <si>
    <t>2025 Donruss James Wood #41 Washington Nationals</t>
  </si>
  <si>
    <t>BA-000281-rmvs7</t>
  </si>
  <si>
    <t>2025 Donruss Kristian Campbell #151 Boston Red Sox</t>
  </si>
  <si>
    <t>BA-000282-rmvsb</t>
  </si>
  <si>
    <t>2020 Bowman Shohei Ohtani #26 Los Angeles Angels</t>
  </si>
  <si>
    <t>BA-000283-rmvsd</t>
  </si>
  <si>
    <t>2025 Topps Chrome Tarik Skubal #258 Detroit Tigers</t>
  </si>
  <si>
    <t>BA-000284-rmvsg</t>
  </si>
  <si>
    <t>2025 Topps Chrome Cosmic Thomas Harrington #79 Refractor Pittsburgh Pirates</t>
  </si>
  <si>
    <t>BC-000005-rpp8p</t>
  </si>
  <si>
    <t>2025 Topps Chrome Cosmic Manny Machado #86 Refractor San Diego Padres</t>
  </si>
  <si>
    <t>BC-000007-rpp8r</t>
  </si>
  <si>
    <t>2025 Topps Chrome Cosmic Grant McCray #28 Refractor San Francisco Giants</t>
  </si>
  <si>
    <t>BC-000003-rpp8n</t>
  </si>
  <si>
    <t>2025 Topps Chrome Cosmic CJ Abrams #177 Refractor Washington Nationals</t>
  </si>
  <si>
    <t>BC-000009-rpp8t</t>
  </si>
  <si>
    <t>2025 Topps Chrome Cosmic Clayton Kershaw #128 Refractor Los Angeles Dodgers</t>
  </si>
  <si>
    <t>BC-000008-rpp8s</t>
  </si>
  <si>
    <t>2025 Topps Chrome Cosmic Caleb Durbin #197 Refractor Milwaukee Brewers</t>
  </si>
  <si>
    <t>BC-000014-rpp8y</t>
  </si>
  <si>
    <t>2025 Topps Chrome Cosmic Jacob deGrom #198 Refractor Texas Rangers</t>
  </si>
  <si>
    <t>BC-000011-rpp8v</t>
  </si>
  <si>
    <t>2025 Topps Chrome Cosmic Tarik Skubal #127 Refractor Detroit Tigers</t>
  </si>
  <si>
    <t>BC-000016-rpp90</t>
  </si>
  <si>
    <t>2022 Topps Chrome Cosmic Jeremy Pena #41 Refractor Houston Astros</t>
  </si>
  <si>
    <t>BC-000020-rpp94</t>
  </si>
  <si>
    <t>2025 Topps Chrome Cosmic Royce Lewis #19 Refractor Minnesota Twins</t>
  </si>
  <si>
    <t>BC-000021-rpp95</t>
  </si>
  <si>
    <t>2025 Topps Chrome Cosmic Justin Verlander #66 Refractor San Francisco Giants</t>
  </si>
  <si>
    <t>BC-000018-rpp92</t>
  </si>
  <si>
    <t>2025 Topps Chrome Cosmic Shota Imanaga #192 Refractor Chicago Cubs</t>
  </si>
  <si>
    <t>BC-000019-rpp93</t>
  </si>
  <si>
    <t>2025 Topps Chrome Cosmic Matt Chapman #72 Refractor San Francisco Giants</t>
  </si>
  <si>
    <t>BC-000023-rpp97</t>
  </si>
  <si>
    <t>2025 Topps Chrome Cosmic Chase Petty #31 Refractor Cincinnati Reds</t>
  </si>
  <si>
    <t>BC-000027-rpp9b</t>
  </si>
  <si>
    <t>BC-000029-rpp9d</t>
  </si>
  <si>
    <t>2025 Topps Chrome Cosmic Jung Hoo Lee #64 Refractor San Francisco Giants</t>
  </si>
  <si>
    <t>BC-000028-rpp9c</t>
  </si>
  <si>
    <t>2025 Topps Chrome Cosmic Oneil Cruz #49 Refractor Pittsburgh Pirates</t>
  </si>
  <si>
    <t>BC-000035-rpp9j</t>
  </si>
  <si>
    <t>2025 Topps Chrome Cosmic Denzel Clarke #147 Refractor Athletics</t>
  </si>
  <si>
    <t>BC-000033-rpp9h</t>
  </si>
  <si>
    <t>2025 Topps Chrome Cosmic Austin Wells #14 Refractor New York Yankees</t>
  </si>
  <si>
    <t>BC-000031-rpp9f</t>
  </si>
  <si>
    <t>2025 Topps Chrome Cosmic Jazz Chisholm Jr. #156 Refractor New York Yankees</t>
  </si>
  <si>
    <t>BC-000036-rpp9k</t>
  </si>
  <si>
    <t>2025 Topps Chrome Cosmic Gerrit Cole #82 Refractor New York Yankees</t>
  </si>
  <si>
    <t>BC-000037-rpp9l</t>
  </si>
  <si>
    <t>2025 Topps Chrome Cosmic Orelvis Martinez #65 Refractor Toronto Blue Jays</t>
  </si>
  <si>
    <t>BC-000038-rpp9m</t>
  </si>
  <si>
    <t>2026 Topps Cal Raleigh #GH-8 2025 Greatest Hits Seattle Mariners</t>
  </si>
  <si>
    <t>BC-000075-rrqje</t>
  </si>
  <si>
    <t>2026 Topps Lucas Giolito #253 Rainbow Foil Boston Red Sox</t>
  </si>
  <si>
    <t>BC-000074-rrqjd</t>
  </si>
  <si>
    <t>2026 Topps Austin Wells #220 Diamante Foil New York Yankees</t>
  </si>
  <si>
    <t>BC-000076-rrqjf</t>
  </si>
  <si>
    <t>2026 Topps Chipper Jones #T91-13 1991 Topps Baseball 35th Anniversary Braves</t>
  </si>
  <si>
    <t>BC-000078-rrqjh</t>
  </si>
  <si>
    <t>2026 Topps Brady House #170 Diamante Foil Washington Nationals</t>
  </si>
  <si>
    <t>BC-000077-rrqjg</t>
  </si>
  <si>
    <t>2026 Topps Elly De La Cruz #SMLB-12 Stars of MLB Cincinnati Reds</t>
  </si>
  <si>
    <t>BC-000079-rrqji</t>
  </si>
  <si>
    <t>2026 Topps Byron Buxton #SMLB-22 Stars of MLB Minnesota Twins</t>
  </si>
  <si>
    <t>BC-000080-rrqjj</t>
  </si>
  <si>
    <t>2026 Topps Jacob Misiorowski #SMLB-26 Stars of MLB Milwaukee Brewers</t>
  </si>
  <si>
    <t>BC-000082-rrqjl</t>
  </si>
  <si>
    <t>2026 Topps Bubba Chandler #283 Pittsburgh Pirates</t>
  </si>
  <si>
    <t>BC-000083-rrqjm</t>
  </si>
  <si>
    <t>2026 Topps Marcelo Mayer #269 Boston Red Sox</t>
  </si>
  <si>
    <t>BC-000084-rrqjn</t>
  </si>
  <si>
    <t>2026 Topps Jeremiah Jackson #277 Baltimore Orioles</t>
  </si>
  <si>
    <t>BC-000086-rrqjp</t>
  </si>
  <si>
    <t>2026 Topps Pierson Ohl #321 Diamante Foil Minnesota Twins</t>
  </si>
  <si>
    <t>BC-000089-rrqjs</t>
  </si>
  <si>
    <t>2026 Topps Vladimir Guerrero Jr. #BTP-17 Big Ticket Players Toronto Blue Jays</t>
  </si>
  <si>
    <t>BC-000087-rrqjq</t>
  </si>
  <si>
    <t>2026 Topps Pete Crow-Armstrong #196 Diamante Foil Chicago Cubs</t>
  </si>
  <si>
    <t>BC-000088-rrqjr</t>
  </si>
  <si>
    <t>2026 Topps Samuel Basallo #TOG-10 Titans of the Game Baltimore Orioles</t>
  </si>
  <si>
    <t>BC-000090-rrqjt</t>
  </si>
  <si>
    <t>2026 Topps Fernando Tatis Jr. #SMLB-3 Stars of MLB San Diego Padres</t>
  </si>
  <si>
    <t>BC-000091-rrqju</t>
  </si>
  <si>
    <t>2026 Topps Fernando Tatis Jr. #TOG-19 Titans of the Game San Diego Padres</t>
  </si>
  <si>
    <t>BC-000092-rrqjv</t>
  </si>
  <si>
    <t>2026 Topps Fernando Tatis Jr. #T91-8 1991 Topps Baseball 35th Anniversary Padres</t>
  </si>
  <si>
    <t>BC-000093-rrqjw</t>
  </si>
  <si>
    <t>2026 Topps Tarik Skubal #SMLB-29 Stars of MLB Detroit Tigers</t>
  </si>
  <si>
    <t>BC-000094-rrqjx</t>
  </si>
  <si>
    <t>2026 Topps Jonah Tong #4 New York Mets</t>
  </si>
  <si>
    <t>BC-000098-rrqk1</t>
  </si>
  <si>
    <t>2026 Topps Baseball BFFS (Pete Crow-Armstrong / Seiya Suzuki) #126 Chicago Cubs</t>
  </si>
  <si>
    <t>BC-000097-rrqk0</t>
  </si>
  <si>
    <t>2026 Topps Carson Williams #25 Diamante Foil Tampa Bay Rays</t>
  </si>
  <si>
    <t>BC-000096-rrqjz</t>
  </si>
  <si>
    <t>2026 Topps Elly De La Cruz #TOG-5 Titans of the Game Cincinnati Reds</t>
  </si>
  <si>
    <t>BC-000099-rrqk2</t>
  </si>
  <si>
    <t>2026 Topps Jacob Wilson #T91-77 1991 Topps Baseball 35th Anniversary Athletics</t>
  </si>
  <si>
    <t>BC-000101-rrqk4</t>
  </si>
  <si>
    <t>2026 Topps Christian Yelich #SMLB-20 Stars of MLB Milwaukee Brewers</t>
  </si>
  <si>
    <t>BC-000100-rrqk3</t>
  </si>
  <si>
    <t>2025-26 Topps Chrome Alijah Martin #290 Refractor Toronto Raptors</t>
  </si>
  <si>
    <t>RA-000044-s8hiw</t>
  </si>
  <si>
    <t>2025-26 Topps Chrome Collin Murray-Boyles #259 Toronto Raptors</t>
  </si>
  <si>
    <t>RA-000045-s8hiz</t>
  </si>
  <si>
    <t>2025 Bowman Draft Liam Doyle #PP-4 Prized Prospects St. Louis Cardinals</t>
  </si>
  <si>
    <t>RA-000105-s91bo</t>
  </si>
  <si>
    <t>2025 Bowman Draft Ike Irish #A-9 Axis Baltimore Orioles</t>
  </si>
  <si>
    <t>RA-000106-s91bp</t>
  </si>
  <si>
    <t>2025 Bowman Draft Ike Irish #BDN-6 Bowman Draft Night Baltimore Orioles</t>
  </si>
  <si>
    <t>RA-000107-s91bq</t>
  </si>
  <si>
    <t>2025 Bowman Draft Walker Janek #BDC-45 Chrome Refractor Houston Astros</t>
  </si>
  <si>
    <t>RA-000110-s91bt</t>
  </si>
  <si>
    <t>2025 Bowman Draft Ethan Conrad #BDC-17 Chrome Refractor Chicago Cubs</t>
  </si>
  <si>
    <t>RA-000111-s91bu</t>
  </si>
  <si>
    <t>2025 Bowman Draft Billy Carlson #BIA-19 Bowman In Action Chicago White Sox</t>
  </si>
  <si>
    <t>RA-000116-s91bz</t>
  </si>
  <si>
    <t>2025 Bowman Draft Jamie Arnold #BDC-30 Chrome Athletics</t>
  </si>
  <si>
    <t>RA-000119-s91c3</t>
  </si>
  <si>
    <t>2025 Topps Chrome Update Mike Trout #F15-3 Fortune 15 Los Angeles Angels</t>
  </si>
  <si>
    <t>RA-000124-s91c8</t>
  </si>
  <si>
    <t>2025 Topps Chrome Update Freddie Freeman #ASGC-11 2025 All-Star Game Dodgers</t>
  </si>
  <si>
    <t>RA-000125-s91c9</t>
  </si>
  <si>
    <t>2025 Topps Chrome Update James Wood #USC95 X-Fractors Washington Nationals</t>
  </si>
  <si>
    <t>RA-000126-s91ca</t>
  </si>
  <si>
    <t>2025 Bowman Draft Jamie Arnold #PP-11 Prized Prospects Athletics</t>
  </si>
  <si>
    <t>RA-000128-s91cc</t>
  </si>
  <si>
    <t>2025 Bowman Draft Nick Becker #BDC-100 Chrome Seattle Mariners</t>
  </si>
  <si>
    <t>RA-000130-s91cf</t>
  </si>
  <si>
    <t>2025 Bowman Draft Jamie Arnold #BDN-9 Bowman Draft Night Athletics</t>
  </si>
  <si>
    <t>RA-000129-s91ce</t>
  </si>
  <si>
    <t>2025 Bowman Draft Gavin Kilen #BDC-40 Chrome San Francisco Giants</t>
  </si>
  <si>
    <t>RA-000132-s91ch</t>
  </si>
  <si>
    <t>RA-000134-s91ck</t>
  </si>
  <si>
    <t>2025 Bowman Draft Gavin Kilen #A-5 Axis Refractor San Francisco Giants #/250</t>
  </si>
  <si>
    <t>RA-000135-s91cl</t>
  </si>
  <si>
    <t>2025 Bowman Draft Walker Janek #BDC-45 Chrome Sky Blue Refractor Houston Astros</t>
  </si>
  <si>
    <t>RA-000136-s91cm</t>
  </si>
  <si>
    <t>2025 Topps Chrome Update Yusei Kikuchi #USC59 Teal Refractors Angels #/299</t>
  </si>
  <si>
    <t>RA-000138-s91co</t>
  </si>
  <si>
    <t>2025 Topps Chrome Update Nick Kurtz #90CU-21 1990 Topps Chrome Athletics</t>
  </si>
  <si>
    <t>RA-000142-s91cs</t>
  </si>
  <si>
    <t>2025 Bowman Draft Patrick Forbes #BDC-89 Chrome Purple Geometric Dbacks /250</t>
  </si>
  <si>
    <t>RA-000146-s91cw</t>
  </si>
  <si>
    <t>2025 Topps Chrome Update Cade Horton #USC102 X-Fractors Chicago Cubs</t>
  </si>
  <si>
    <t>RA-000148-s91cy</t>
  </si>
  <si>
    <t>2025-26 Topps Chrome Yanic Konan Niederhäuser #280 Refractor Clippers</t>
  </si>
  <si>
    <t>RA-000043-s8hiv</t>
  </si>
  <si>
    <t>2025-26 Topps Chrome Egor Dëmin #258 Brooklyn Nets</t>
  </si>
  <si>
    <t>RA-000052-s8hja</t>
  </si>
  <si>
    <t>2025-26 Topps Chrome Marcus Sasser #35 Negative Refractor Detroit Pistons</t>
  </si>
  <si>
    <t>RA-000055-s8hje</t>
  </si>
  <si>
    <t>2025-26 Topps Chrome Dylan Harper #GR-2 Generation Rising San Antonio Spurs</t>
  </si>
  <si>
    <t>RA-000053-s8hjb</t>
  </si>
  <si>
    <t>2025-26 Topps Chrome Jeremy Sochan #239 Negative Refractor San Antonio Spurs</t>
  </si>
  <si>
    <t>RA-000054-s8hjc</t>
  </si>
  <si>
    <t>2025-26 Topps Chrome Draymond Green #234 Negative Refractor Warriors</t>
  </si>
  <si>
    <t>RA-000058-s8hjj</t>
  </si>
  <si>
    <t>2025-26 Topps Chrome Chris Duarte #83 Negative Refractor Chicago Bulls</t>
  </si>
  <si>
    <t>RA-000060-s8hjl</t>
  </si>
  <si>
    <t>RA-000062-s8hjn</t>
  </si>
  <si>
    <t>RA-000063-s8hjo</t>
  </si>
  <si>
    <t>2025-26 Topps Chrome Josh Green #47 X-Fractor Charlotte Hornets</t>
  </si>
  <si>
    <t>RA-000065-s8hjq</t>
  </si>
  <si>
    <t>2025-26 Topps Chrome LaMelo Ball #AC-7 Activators Charlotte Hornets</t>
  </si>
  <si>
    <t>RA-000064-s8hjp</t>
  </si>
  <si>
    <t>2025-26 Topps Chrome Brandon Miller #89 Refractor Charlotte Hornets</t>
  </si>
  <si>
    <t>RA-000067-s8hjt</t>
  </si>
  <si>
    <t>RA-000066-s8hjs</t>
  </si>
  <si>
    <t>2025-26 Topps Chrome Nick Smith Jr. #26 RayWave Refractor Charlotte Hornets</t>
  </si>
  <si>
    <t>RA-000068-s8hju</t>
  </si>
  <si>
    <t>2025-26 Topps Chrome Miles Bridges #30 X-Fractor Charlotte Hornets</t>
  </si>
  <si>
    <t>RA-000069-s8hjv</t>
  </si>
  <si>
    <t>2025-26 Topps Chrome Liam McNeeley #279 X-Fractor Charlotte Hornets</t>
  </si>
  <si>
    <t>RA-000071-s8hjy</t>
  </si>
  <si>
    <t>2025-26 Topps Chrome Tidjane Salaün #8 Refractor Charlotte Hornets</t>
  </si>
  <si>
    <t>RA-000070-s8hjx</t>
  </si>
  <si>
    <t>2025-26 Topps Chrome Dwyane Wade #241 Refractor Miami Heat</t>
  </si>
  <si>
    <t>RA-000073-s8hk1</t>
  </si>
  <si>
    <t>2025-26 Topps Chrome Mark Williams #34 RayWave Refractor Charlotte Hornets</t>
  </si>
  <si>
    <t>RA-000076-s8hk4</t>
  </si>
  <si>
    <t>2025-26 Topps Chrome Anthony Black #103 Negative Refractor Orlando Magic</t>
  </si>
  <si>
    <t>RA-000077-s8hk6</t>
  </si>
  <si>
    <t>2025-26 Topps Chrome Allen Iverson #CG-29 Clutch Gene Philadelphia 76ers</t>
  </si>
  <si>
    <t>RA-000074-s8hk2</t>
  </si>
  <si>
    <t>2025-26 Topps Chrome Quentin Grimes #197 Negative Refractor Philadelphia 76ers</t>
  </si>
  <si>
    <t>RA-000079-s8hk8</t>
  </si>
  <si>
    <t>2025-26 Topps Chrome Kelly Oubre Jr. #114 Negative Refractor Philadelphia 76ers</t>
  </si>
  <si>
    <t>RA-000084-s8hke</t>
  </si>
  <si>
    <t>2025-26 Topps Chrome Karl-Anthony Towns #179 Negative Refractor New York Knicks</t>
  </si>
  <si>
    <t>RA-000080-s8hk9</t>
  </si>
  <si>
    <t>2025-26 Topps Chrome Kentavious Caldwell-Pope #143 Negative Refractor Magic</t>
  </si>
  <si>
    <t>RA-000081-s8hka</t>
  </si>
  <si>
    <t>2025-26 Topps Chrome Asa Newell #273 Negative Refractor Atlanta Hawks</t>
  </si>
  <si>
    <t>RA-000087-s8hkj</t>
  </si>
  <si>
    <t>2025-26 Topps Chrome Yang Hansen #266 Trailblazers</t>
  </si>
  <si>
    <t>RA-000089-s8hkl</t>
  </si>
  <si>
    <t>RA-000091-s8hko</t>
  </si>
  <si>
    <t>2025-26 Topps Chrome Sion James #283 Refractor Charlotte Hornets</t>
  </si>
  <si>
    <t>RA-000094-s8hks</t>
  </si>
  <si>
    <t>2025-26 Topps Chrome Sion James #283 X-Fractor Charlotte Hornets</t>
  </si>
  <si>
    <t>RA-000095-s8hkt</t>
  </si>
  <si>
    <t>2025 Bowman Chrome Walker Buehler #53 Geometric Boston Red Sox #/499</t>
  </si>
  <si>
    <t>BD-000002-sgako</t>
  </si>
  <si>
    <t>2025 Bowman Draft Joshua Kuroda-Grauer #BD-125 Green Border Athletics #/99</t>
  </si>
  <si>
    <t>BD-000010-sgal0</t>
  </si>
  <si>
    <t>2024 Bowman Draft Adriel Radney #BD-136 Blue Border Arizona Diamondbacks #/150</t>
  </si>
  <si>
    <t>BD-000016-sgala</t>
  </si>
  <si>
    <t>2025 Bowman Draft Caleb Bonemer #BDC-184 Chrome Sky Blue Refractor White Sox</t>
  </si>
  <si>
    <t>BD-000018-sgale</t>
  </si>
  <si>
    <t>2025 Bowman Draft Cameron Millar #BD-176 Sky Blue Border Royals #/499</t>
  </si>
  <si>
    <t>BD-000017-sgalc</t>
  </si>
  <si>
    <t>2024 Bowman Draft Felnin Celesten #BD-76 Blue Border Seattle Mariners #/150</t>
  </si>
  <si>
    <t>BD-000023-sgalm</t>
  </si>
  <si>
    <t>2024 Bowman Draft Harry Ford #BDC-25 Chrome Sparkles Refractor Mariners #/200</t>
  </si>
  <si>
    <t>BD-000024-sgaln</t>
  </si>
  <si>
    <t>2025 Bowman Draft Joshua Kuroda-Grauer #BD-125 Sky Blue Border Athletics #/499</t>
  </si>
  <si>
    <t>BD-000025-sgalp</t>
  </si>
  <si>
    <t>2025 Bowman Draft Yolfran Castillo #BD-107 Sky Blue Border Texas Rangers #/499</t>
  </si>
  <si>
    <t>BD-000026-sgalq</t>
  </si>
  <si>
    <t>2025 Bowman Draft Riley Kelly #CPA-RK Chrome Prospect Autographs RC</t>
  </si>
  <si>
    <t>BD-000034-sgam0</t>
  </si>
  <si>
    <t>2025 Bowman Draft Andrew Salas #BDC-34 Chrome X-Fractor Miami Marlins</t>
  </si>
  <si>
    <t>BD-000045-shdvh</t>
  </si>
  <si>
    <t>2025 Bowman Draft Jacob Reimer #BDC-188 Chrome Sparkle Refractor New York Mets</t>
  </si>
  <si>
    <t>BD-000046-shdvi</t>
  </si>
  <si>
    <t>2025 Bowman Draft Malcolm Moore #BD-191 Sky Blue Border Texas Rangers #/499</t>
  </si>
  <si>
    <t>BD-000047-shdvj</t>
  </si>
  <si>
    <t>2025 Bowman Chrome Corbin Burnes #94 Geometric Arizona Diamondbacks #/499</t>
  </si>
  <si>
    <t>BD-000053-shdvq</t>
  </si>
  <si>
    <t>2025 Bowman Draft Cody Bowker #BDC-140 Chrome X-Fractor Philadelphia Phillies</t>
  </si>
  <si>
    <t>BD-000057-shdvu</t>
  </si>
  <si>
    <t>BD-000060-shdvy</t>
  </si>
  <si>
    <t>BD-000043-shdvf</t>
  </si>
  <si>
    <t>2025 Bowman Draft Travis Sykora #BD-137 Sky Blue Border Nationals #/499</t>
  </si>
  <si>
    <t>BD-000052-shdvp</t>
  </si>
  <si>
    <t>2025 Bowman Draft Brandon Compton #BDC-64 Chrome Sky Blue Refractor Marlins</t>
  </si>
  <si>
    <t>BD-000050-shdvn</t>
  </si>
  <si>
    <t>2024 Bowman Draft Dawel Joseph #BDC-170 Chrome Purple Refractor Mariners #/250</t>
  </si>
  <si>
    <t>BD-000054-shdvr</t>
  </si>
  <si>
    <t>2025 Bowman Draft Enrique Bradfield Jr. #BDC-198 Chrome Green Geometric O's /99</t>
  </si>
  <si>
    <t>BD-000061-shdvz</t>
  </si>
  <si>
    <t>2025 Bowman Draft Arjun Nimmala #BDC-35 Chrome Green Refractor  Blue Jays #/99</t>
  </si>
  <si>
    <t>BD-000062-shdw0</t>
  </si>
  <si>
    <t>2023 Bowman Axel Sanchez #BCP-73 Chrome Prospects Refractors Mariners #/499</t>
  </si>
  <si>
    <t>BD-000069-shdw8</t>
  </si>
  <si>
    <t>BD-000083-skhxw</t>
  </si>
  <si>
    <t>2025 Bowman Draft Josiah Hartshorn #BDC-21 Chrome Chicago Cubs</t>
  </si>
  <si>
    <t>BD-000090-skhym</t>
  </si>
  <si>
    <t>2025 Bowman Draft Pico Kohn #BDC-52 Chrome New York Yankees</t>
  </si>
  <si>
    <t>BD-000092-skhyr</t>
  </si>
  <si>
    <t>2025 Bowman Draft Billy Carlson #BDC-10 Chrome Chicago White Sox</t>
  </si>
  <si>
    <t>BD-000094-skhyw</t>
  </si>
  <si>
    <t>2025 Bowman Draft Michael Salina #BDC-76 Chrome Sparkle Refractor Padres</t>
  </si>
  <si>
    <t>BD-000056-shdvt</t>
  </si>
  <si>
    <t>2026 Topps Bobby Witt Jr. #ATT-5 2025 All-Topps Team Royals</t>
  </si>
  <si>
    <t>Welcome_to_your_first_stack!-00004-61597</t>
  </si>
  <si>
    <t>2025 Bowman Draft Jake Cook #BDC-97 Chrome Yellow Refractor /75 1st Prospect</t>
  </si>
  <si>
    <t>Welcome_to_your_first_stack!-00003-35539</t>
  </si>
  <si>
    <t>2026 Topps Samuel Basallo #TOG-10 Titans Of The Game RC Orioles</t>
  </si>
  <si>
    <t>Welcome_to_your_first_stack!-00006-99182</t>
  </si>
  <si>
    <t>2025 Bowman Draft Kyle Lodise #BDC-144 Chrome Purple Refractor /250 1st Prospect</t>
  </si>
  <si>
    <t>Welcome_to_your_first_stack!-00007-16466</t>
  </si>
  <si>
    <t>2026 Topps Hunter Brown #264 Yellow Holo Foil Houston Astros #/399</t>
  </si>
  <si>
    <t>BD-000112-smyda</t>
  </si>
  <si>
    <t>2026 Topps Cal Raleigh #ATT-1 2025 All Topps Team Seattle Mariners</t>
  </si>
  <si>
    <t>BD-000113-smydb</t>
  </si>
  <si>
    <t>2025 Bowman Travis Sykora #BDC-137 Chrome Fuchsia Reptilian Ref Nationals /199</t>
  </si>
  <si>
    <t>BD-000114-smydd</t>
  </si>
  <si>
    <t>2026 Topps Ramón Urías #343 Gold Houston Astros #/2026</t>
  </si>
  <si>
    <t>BD-000118-smydj</t>
  </si>
  <si>
    <t>2025-26 Topps Chrome SAPPHIRE Domantas Sabonis #229 🔥 Kings</t>
  </si>
  <si>
    <t>RA-106-sn962</t>
  </si>
  <si>
    <t>2025-26 Topps Chrome Drake Powell #272 Brooklyn Nets</t>
  </si>
  <si>
    <t>RA-102-sn95x</t>
  </si>
  <si>
    <t>2025-26 Topps Chrome Dariq Whitehead #91 Pulsar Refractor Brooklyn Nets</t>
  </si>
  <si>
    <t>RA-100-sn95v</t>
  </si>
  <si>
    <t>2025-26 Topps Chrome Dario Šarić #77 Refractor Denver Nuggets</t>
  </si>
  <si>
    <t>RA-101-sn95w</t>
  </si>
  <si>
    <t>2025-26 Topps Chrome Walter Clayton Jr. #GR-18 Generation Rising Utah Jazz</t>
  </si>
  <si>
    <t>RA-99-sn95u</t>
  </si>
  <si>
    <t>2025-26 Topps Chrome Walter Clayton Jr. #268 Utah Jazz</t>
  </si>
  <si>
    <t>RA-98-sn95t</t>
  </si>
  <si>
    <t>2025-26 Topps Chrome Walter Clayton Jr. #LD-15 Loading ... Utah Jazz</t>
  </si>
  <si>
    <t>RA-97-sn95s</t>
  </si>
  <si>
    <t>2025-26 Topps Chrome Dwyane Wade #241 Miami Heat</t>
  </si>
  <si>
    <t>BD-000143-sn968</t>
  </si>
  <si>
    <t>2025 Bowman Draft Sammy Stafura #BDC-187 Chrome Refractor Pittsburgh Pirates</t>
  </si>
  <si>
    <t>BD-000150-snm10</t>
  </si>
  <si>
    <t>BD-000152-snm13</t>
  </si>
  <si>
    <t>2025 Bowman Draft Yohandy Morales #BDC-177 Chrome Refractor Washington Nationals</t>
  </si>
  <si>
    <t>BD-000153-snm15</t>
  </si>
  <si>
    <t>2025 Bowman Draft Travis Sykora #BDC-137 Chrome Refractor Washington Nationals</t>
  </si>
  <si>
    <t>BD-000154-snm17</t>
  </si>
  <si>
    <t>2025 Bowman Draft Luke Dickerson #BDC-61 Chrome Refractor Washington Nationals</t>
  </si>
  <si>
    <t>BD-000156-snm1b</t>
  </si>
  <si>
    <t>2025 Bowman Draft Ethan Petry #BDC-151 Chrome Refractor Washington Nationals</t>
  </si>
  <si>
    <t>BD-000157-snm1d</t>
  </si>
  <si>
    <t>2025 Topps Update Nick Kurtz (RC) #MMU-KUR Major League Materials Athletics ROY</t>
  </si>
  <si>
    <t>BD-000160-snoxi</t>
  </si>
  <si>
    <t>2025-26 Topps Chrome Draymond Green #234 Warriors</t>
  </si>
  <si>
    <t>RA-203</t>
  </si>
  <si>
    <t>2025-26 Topps Chrome Pelle Larsson #189 Aqua Refractor 175/199 Heat</t>
  </si>
  <si>
    <t>RA-210</t>
  </si>
  <si>
    <t>2025-26 Topps Chrome Bronny James Jr. #182 Lakers</t>
  </si>
  <si>
    <t>RA-208</t>
  </si>
  <si>
    <t>2025-26 Topps Chrome Brandon Clarke #133 Refractor Grizzlies</t>
  </si>
  <si>
    <t>RA-207</t>
  </si>
  <si>
    <t>2025-26 Topps Chrome Cedric Coward #261 RC Grizzlies</t>
  </si>
  <si>
    <t>RA-209</t>
  </si>
  <si>
    <t>2025-26 Topps Chrome Khris Middleton #204 Refractor Wizards</t>
  </si>
  <si>
    <t>RA-205</t>
  </si>
  <si>
    <t>2025-26 Topps Chrome Kawhi Leonard #TT-8 Tall Tales Clippers</t>
  </si>
  <si>
    <t>RA-204</t>
  </si>
  <si>
    <t>2026 Topps Cal Raleigh #ATT-1 2025 All-Topps Team Mariners</t>
  </si>
  <si>
    <t>BE-00016-30567</t>
  </si>
  <si>
    <t>2026 Topps Julio Rodriguez #ATT-8 2025 All-Topps Team Mariners</t>
  </si>
  <si>
    <t>BE-00004-44752</t>
  </si>
  <si>
    <t>2026 Topps Aaron Judge #ATT-6 2025 All-Topps Team Yankees</t>
  </si>
  <si>
    <t>BE-00003-08495</t>
  </si>
  <si>
    <t>2026 Topps Aaron Judge #1 Purple Holo Foil 245/250 Yankees</t>
  </si>
  <si>
    <t>BE-00009-86521</t>
  </si>
  <si>
    <t>2026 Topps Ryan McMahon #248 Green Rainbow Foil 30/99 Yankees</t>
  </si>
  <si>
    <t>BE-00014-01369</t>
  </si>
  <si>
    <t>2026 Topps Kenedy Corona #145 Rainbow Foil RC Astros</t>
  </si>
  <si>
    <t>BE-00013-34096</t>
  </si>
  <si>
    <t>2026 Topps Cal Raleigh #MLM-CR Major League Material MEM Mariners</t>
  </si>
  <si>
    <t>BE-00017</t>
  </si>
  <si>
    <t>2026 Topps Carlos Correa #MLM-CCO Major League Material MEM Astros</t>
  </si>
  <si>
    <t>BE-00018</t>
  </si>
  <si>
    <t>2025 Bowman Aroon Escobar #BCP-65 Chrome Prospects Mega Box Refractor Phillies</t>
  </si>
  <si>
    <t>BE-00010-59357</t>
  </si>
  <si>
    <t>2025 Topps Hunter Greene #T90C-113 1990 Baseball Chrome Silver Mojo Pack Reds</t>
  </si>
  <si>
    <t>BE-00009-88624</t>
  </si>
  <si>
    <t>2011 Bowman Draft Picks &amp; Prospects Francisco Lindor #BDPP53 Indians</t>
  </si>
  <si>
    <t>BE-00005-06978</t>
  </si>
  <si>
    <t>2025 Bowman Kyle DeBarge #BCP-139 Chrome 1st Prospect Twins RC</t>
  </si>
  <si>
    <t>BE-00008-46555</t>
  </si>
  <si>
    <t>2025 Topps Zach Neto #SS-43 Summer Superstars Angels</t>
  </si>
  <si>
    <t>Whatnot_bb_030826-00011-029332</t>
  </si>
  <si>
    <t>2025 Bowman Draft Walker Janek #BD-45 Gold Border Houston Astros #/50</t>
  </si>
  <si>
    <t>BD-000200-t4cyn</t>
  </si>
  <si>
    <t>2025 Bowman Draft Max Belyeu #BDC-5 Chrome Yellow Geometric Rockies #/75</t>
  </si>
  <si>
    <t>BD-000206-t4cyv</t>
  </si>
  <si>
    <t>2025 Bowman Draft Mitch Voit #BDC-71 Chrome Sky Blue Refractor New York Mets</t>
  </si>
  <si>
    <t>BD-000214-t4cz3</t>
  </si>
  <si>
    <t>2025 Bowman Draft Luke Dickerson #BDC-61 Chrome X-Fractor Washington Nationals</t>
  </si>
  <si>
    <t>BD-000215-t4cz4</t>
  </si>
  <si>
    <t>2025 Bowman Draft Luke LaCourse #BDC-123 Chrome Refractor Los Angeles Angels</t>
  </si>
  <si>
    <t>BD-000213-t4cz2</t>
  </si>
  <si>
    <t>2025 Bowman Draft Korbyn Dickerson #BDC-69 Chrome Refractor Seattle Mariners</t>
  </si>
  <si>
    <t>BD-000216-t4cz5</t>
  </si>
  <si>
    <t>2025 Bowman Draft Cody Miller #BDC-91 Chrome Refractor Atlanta Braves</t>
  </si>
  <si>
    <t>BD-000217-t4cz6</t>
  </si>
  <si>
    <t>2025 Bowman Draft Mason Neville #BDC-109 Chrome Refractor Cincinnati Reds</t>
  </si>
  <si>
    <t>BD-000218-t4cz7</t>
  </si>
  <si>
    <t>2025 Bowman Draft Jake Cook #BDC-97 Chrome Refractor Toronto Blue Jays</t>
  </si>
  <si>
    <t>BD-000219-t4cz8</t>
  </si>
  <si>
    <t>2025 Bowman Draft Tim Piasentin #BDC-73 Chrome Refractor Toronto Blue Jays</t>
  </si>
  <si>
    <t>BD-000221-t4cza</t>
  </si>
  <si>
    <t>2025 Bowman Draft Charlie Condon #PP-20 Prized Prospects Colorado Rockies</t>
  </si>
  <si>
    <t>BD-000220-t4cz9</t>
  </si>
  <si>
    <t>2026 Topps Bubba Chandler #91C-75 1991 Chrome Silver Pack Mojo Refractor RC</t>
  </si>
  <si>
    <t>BE-00033-04910</t>
  </si>
  <si>
    <t>2025 Bowman Draft Jesus Made #PP-16 Chrome Prized Prospects Mojo Refractor</t>
  </si>
  <si>
    <t>BE-00029-43368</t>
  </si>
  <si>
    <t>2026 Topps Austin Wells #220 Sandglitter Yankees</t>
  </si>
  <si>
    <t>BE-00039-48729</t>
  </si>
  <si>
    <t>2025 Bowman Draft Zyhir Hope #BIA-11 In Action Mojo Refractor Dodgers</t>
  </si>
  <si>
    <t>BE-00010-87303</t>
  </si>
  <si>
    <t>2025 Bowman Draft Jesus Made #BDC-196 Chrome Mojo Refractor Brewers</t>
  </si>
  <si>
    <t>BE-00022-63800</t>
  </si>
  <si>
    <t>BE-00035-74485</t>
  </si>
  <si>
    <t>2026 Topps Bobby Witt Jr. #205 Sandglitter Royals</t>
  </si>
  <si>
    <t>BE-00041-13394</t>
  </si>
  <si>
    <t>2025 Bowman Draft George Lombard Jr. #BDC-43 Chrome Mojo Refractor Yankees</t>
  </si>
  <si>
    <t>BE-00003-42380</t>
  </si>
  <si>
    <t>2026 Topps Jonathan India #237 Rainbow Foil Royals</t>
  </si>
  <si>
    <t>BE-00040-38128</t>
  </si>
  <si>
    <t>2025 Bowman Draft Liam Doyle #PP-4 Chrome Prized Prospects Mojo Refractor</t>
  </si>
  <si>
    <t>BE-00019-24801</t>
  </si>
  <si>
    <t>2026 Topps David Bednar #228 Rainbow Foil Yankees</t>
  </si>
  <si>
    <t>BE-00038-12875</t>
  </si>
  <si>
    <t>2026 Topps Cal Raleigh #140 Sandglitter Mariners</t>
  </si>
  <si>
    <t>BE-00037-00083</t>
  </si>
  <si>
    <t>2025 Bowman Draft CJ Gray #BDC-197 Chrome Lazer Refractor 1st Prospect Angels</t>
  </si>
  <si>
    <t>BE-00013-89852</t>
  </si>
  <si>
    <t>2026 Topps You 'SEA' That? #168 Rainbow Foil Mariners</t>
  </si>
  <si>
    <t>BE-00006-96960</t>
  </si>
  <si>
    <t>2025 Bowman Draft Jacob Reimer #BDC-188 Chrome Lazer Refractor Mets</t>
  </si>
  <si>
    <t>BE-00007-56631</t>
  </si>
  <si>
    <t>2026 Topps Dominic Canzone #156 Sandglitter Mariners</t>
  </si>
  <si>
    <t>BE-00005-35184</t>
  </si>
  <si>
    <t>2026 Topps Jac Caglianone #TP-22 Profiles RC Royals</t>
  </si>
  <si>
    <t>BE-00043-89377</t>
  </si>
  <si>
    <t>2026 Topps Spencer Horwitz #77 Sandglitter Pirates</t>
  </si>
  <si>
    <t>BE-00025-08508</t>
  </si>
  <si>
    <t>2026 Topps Adam Frazier #181 Rainbow Foil Royals</t>
  </si>
  <si>
    <t>BBA-000001-00046-19946</t>
  </si>
  <si>
    <t>2025 Bowman Draft Dean Moss #BD-114 Sky Blue Border 121/499 Rays</t>
  </si>
  <si>
    <t>BBA-000001-00066-82994</t>
  </si>
  <si>
    <t>2025 Bowman Draft Luis Pena #BDC-105 Chrome Purple Refractor 48/250 Brewers</t>
  </si>
  <si>
    <t>BBA-000001-00067-04385</t>
  </si>
  <si>
    <t>2026 Topps Jazz Chisholm Jr. #ATT-3 2025 All-Topps Team Yankees</t>
  </si>
  <si>
    <t>BBA-000001-00057-68291</t>
  </si>
  <si>
    <t>2025 Bowman Draft Joswa Lugo #BDC-24 Chrome Lazer Refractor Angels</t>
  </si>
  <si>
    <t>BBA-000001-00052-05028</t>
  </si>
  <si>
    <t>2026 Topps Cam Devanney #268 Rainbow Foil RC Pirates</t>
  </si>
  <si>
    <t>BBA-000001-00047-26814</t>
  </si>
  <si>
    <t>2025 Bowman Chrome Draft Johnny Slawinski #BDC-153 Chrome Sky Blue Refractor</t>
  </si>
  <si>
    <t>BBA-000001-00064-76325</t>
  </si>
  <si>
    <t>2026 Topps Spencer Horwitz #77 Rainbow Foil Pirates</t>
  </si>
  <si>
    <t>Brian_batch_1_(lot)-00061-057228</t>
  </si>
  <si>
    <t>2025 Bowman Draft George Lombard Jr. #PP-3 Chrome Prized Prospects Mojo</t>
  </si>
  <si>
    <t>BBA-000001-00055-51976</t>
  </si>
  <si>
    <t>2025-26 Topps Finest VJ Edgecombe #3 Common RC 76ers</t>
  </si>
  <si>
    <t>BBA-000001-00006-51644</t>
  </si>
  <si>
    <t>2025-26 Topps Finest Jeremiah Fears #7 Common RC Pelicans</t>
  </si>
  <si>
    <t>BBA-000001-00005-79294</t>
  </si>
  <si>
    <t>2025-26 Finest Johni Broome #124 Philadelphia 76ers</t>
  </si>
  <si>
    <t>BBB-000012-tjbyg</t>
  </si>
  <si>
    <t>2025-26 Topps Chrome Aaron Nesmith #SWS-AN Sky Write Signatures Refractors</t>
  </si>
  <si>
    <t>BBB-000015-tjbyk</t>
  </si>
  <si>
    <t>2025-26 Finest Quinten Post #FAU-QP Finest Autographs Golden State Warriors Auto</t>
  </si>
  <si>
    <t>BBB-000018-tjbyq</t>
  </si>
  <si>
    <t>2025-26 Finest Kel'el Ware #BA-KW Baseline Autographs Miami Heat Auto</t>
  </si>
  <si>
    <t>BBB-000019-tjbys</t>
  </si>
  <si>
    <t>2025-26 Finest Liam McNeeley #BA-LM Baseline Autographs Charlotte Hornets Auto</t>
  </si>
  <si>
    <t>BBB-000020-tjbyt</t>
  </si>
  <si>
    <t>2025-26 Finest Kyrie Irving #87 Oil Spill Refractor Dallas Mavericks</t>
  </si>
  <si>
    <t>BBB-000023-tjbyy</t>
  </si>
  <si>
    <t>2025-26 Finest Jimmy Butler III #75 Oil Spill Refractor Golden State Warriors</t>
  </si>
  <si>
    <t>BBB-000025-tjbz1</t>
  </si>
  <si>
    <t>2025-26 Finest Egor Dëmin #8 Oil Spill Refractor Brooklyn Nets</t>
  </si>
  <si>
    <t>BBB-000026-tjbz2</t>
  </si>
  <si>
    <t>2025-26 Finest Carter Bryant #F-14 First Refractor San Antonio Spurs</t>
  </si>
  <si>
    <t>BBB-000027-tjbz3</t>
  </si>
  <si>
    <t>2025-26 Finest Jared McCain #190 X-Fractor Philadelphia 76ers</t>
  </si>
  <si>
    <t>BBB-000028-tjbz5</t>
  </si>
  <si>
    <t>2025-26 Finest Victor Wembanyama #FI-1 Finishers San Antonio Spurs</t>
  </si>
  <si>
    <t>BBB-000029-tjbz6</t>
  </si>
  <si>
    <t>2025-26 Finest Kasparas Jakucionis #20 Oil Spill Refractor Miami Heat</t>
  </si>
  <si>
    <t>BBB-000031-tjbz9</t>
  </si>
  <si>
    <t>2025-26 Finest Johni Broome #F-25 First Refractor Philadelphia 76ers</t>
  </si>
  <si>
    <t>BBB-000034-tjbze</t>
  </si>
  <si>
    <t>2025-26 Topps Chrome Dorian Finney-Smith #192 Prism Refractor Los Angeles Lakers</t>
  </si>
  <si>
    <t>BBB-000036-tjbzh</t>
  </si>
  <si>
    <t>2025-26 Topps Chrome Oshae Brissett #20 Refractor Philadelphia 76ers</t>
  </si>
  <si>
    <t>BBB-000038-tjbzk</t>
  </si>
  <si>
    <t>2025-26 Finest Nique Clifford #A-24 Arrivals Sacramento Kings</t>
  </si>
  <si>
    <t>BBB-000039-tjbzl</t>
  </si>
  <si>
    <t>BBB-000040-tjbzn</t>
  </si>
  <si>
    <t>2025-26 Finest Kasparas Jakucionis #A-20 Arrivals X-Fractor Miami Heat</t>
  </si>
  <si>
    <t>BBB-000043-tjbzs</t>
  </si>
  <si>
    <t>2025-26 Topps Chrome Nique Clifford #274 RayWave Refractor Sacramento Kings</t>
  </si>
  <si>
    <t>BBB-000044-tjbzt</t>
  </si>
  <si>
    <t>BBB-000049-tjc00</t>
  </si>
  <si>
    <t>2025-26 Finest Cedric Coward #F-11 First Refractor Memphis Grizzlies</t>
  </si>
  <si>
    <t>BBB-000046-tjbzw</t>
  </si>
  <si>
    <t>2025-26 Finest Zach Lavine #86 Oil Spill Refractor Sacramento Kings</t>
  </si>
  <si>
    <t>BBB-000048-tjbzy</t>
  </si>
  <si>
    <t>2025-26 Finest Zach Lavine #86 Green Refractor Sacramento Kings #/75</t>
  </si>
  <si>
    <t>BBB-000051-tjc02</t>
  </si>
  <si>
    <t>2025-26 Finest Malik Monk #170 Sky Blue Refractor Sacramento Kings #/250</t>
  </si>
  <si>
    <t>BBB-000050-tjc01</t>
  </si>
  <si>
    <t>2025-26 Finest Malik Monk #170 Purple X-Fractor Sacramento Kings #/99</t>
  </si>
  <si>
    <t>BBB-000052-tjc06</t>
  </si>
  <si>
    <t>2024-25 Panini Select Cody Williams #296 White Disco Prizm Utah Jazz #/75</t>
  </si>
  <si>
    <t>BBB-000060-tjc0i</t>
  </si>
  <si>
    <t>2025-26 Topps Chrome Ben Saraf #276 Green Wave Refractor Brooklyn Nets #/99</t>
  </si>
  <si>
    <t>BBB-000062-tjc0l</t>
  </si>
  <si>
    <t>2025-26 Finest Joan Beringer #217 Sky Blue Refractor Timberwolves #/150</t>
  </si>
  <si>
    <t>BBB-000063-tjc0m</t>
  </si>
  <si>
    <t>2025-26 Topps Chrome Russell Westbrook #15 Teal Refractor Denver Nuggets #/299</t>
  </si>
  <si>
    <t>BBB-000065-tjc0p</t>
  </si>
  <si>
    <t>2025-26 Topps Chrome Lonzo Ball #38 Teal Refractor Chicago Bulls #/299</t>
  </si>
  <si>
    <t>BBB-000066-tjc0q</t>
  </si>
  <si>
    <t>Thomas Sorber RC 2025-26 Topps Finest Oil Spill  Rookie Card-#15 OKC Thunder</t>
  </si>
  <si>
    <t>CDP-E328510</t>
  </si>
  <si>
    <t>2025 Bowman's Best Jac Caglianone #TP-3 Top Prospects Royals</t>
  </si>
  <si>
    <t>BBA-000001-00078-67770</t>
  </si>
  <si>
    <t>2025 Bowman's Best Marcelo Mayer #5 RC Red Sox</t>
  </si>
  <si>
    <t>BBA-000001-00069-39880</t>
  </si>
  <si>
    <t>2025 Bowman's Best Leo De Vries #TP-26 Top Prospects Athletics</t>
  </si>
  <si>
    <t>BBA-000001-00074-32887</t>
  </si>
  <si>
    <t>2025 Bowman's Best Charlie Condon #TP-8 Top Prospects Rockies</t>
  </si>
  <si>
    <t>BBA-000001-00073-26230</t>
  </si>
  <si>
    <t>2025 Bowman's Best Hyeseong Kim #45 RC Dodgers</t>
  </si>
  <si>
    <t>BBA-000001-00070-19592</t>
  </si>
  <si>
    <t>2025 Bowman's Best Roman Anthony #TP-16 Top Prospects Red Sox</t>
  </si>
  <si>
    <t>BBA-000001-00080-37794</t>
  </si>
  <si>
    <t>2025 Bowman's Best JJ Wetherholt #TP-14 Top Prospects Cardinals</t>
  </si>
  <si>
    <t>BBA-000001-00086-34973</t>
  </si>
  <si>
    <t>2025 Bowman's Best Jacob Wilson #31 RC Athletics</t>
  </si>
  <si>
    <t>BBA-000001-00075-78100</t>
  </si>
  <si>
    <t>2025 Bowman's Best Aaron Judge #38 Yankees</t>
  </si>
  <si>
    <t>BBA-000001-00084-42585</t>
  </si>
  <si>
    <t>2025 Bowman's Best Carson Benge #TP-22 Top Prospects Mets</t>
  </si>
  <si>
    <t>BBA-000001-00071-14349</t>
  </si>
  <si>
    <t>2025 Bowman's Best George Lombard Jr. #TP-23 Top Prospects Yankees</t>
  </si>
  <si>
    <t>BBA-000001-00085-40349</t>
  </si>
  <si>
    <t>2025 Bowman's Best Kristian Campbell #11 RC Red Sox</t>
  </si>
  <si>
    <t>BBA-000001-00072-98766</t>
  </si>
  <si>
    <t>Baseball_lot_1_03-16-26-00013-036836</t>
  </si>
  <si>
    <t>Eli Willits Chrome Top Prospect Rookie 2025 Bowman's Best Card #TP-20 Nationals</t>
  </si>
  <si>
    <t>Baseball_lot_1_03-16-26-00009-094611</t>
  </si>
  <si>
    <t>2025 Topps Pro Debut Jonathan Santucci #PDC-150 Chrome Gold Refractor Mets #/50</t>
  </si>
  <si>
    <t>BBB-000086-trw78</t>
  </si>
  <si>
    <t>2025 Topps Chrome Cosmic Denzel Clarke #147 Athletics</t>
  </si>
  <si>
    <t>BBB-000089-trw7e</t>
  </si>
  <si>
    <t>2025 Topps Chrome Cosmic Brent Rooker #199 Athletics</t>
  </si>
  <si>
    <t>BBB-000090-trw7h</t>
  </si>
  <si>
    <t>2025 Topps Chrome Cosmic Jacob Wilson #139 Athletics</t>
  </si>
  <si>
    <t>BBB-000091-trw7k</t>
  </si>
  <si>
    <t>2025 Topps Update Drake Baldwin #U90-32 1990 Topps Baseball 35th Braves</t>
  </si>
  <si>
    <t>BBB-000093-trw7z</t>
  </si>
  <si>
    <t>2025 Bowman Chrome Andrew Salas #BCP-156 Prospects Mini-Diamond Miami Marlins</t>
  </si>
  <si>
    <t>BBB-000096-trw85</t>
  </si>
  <si>
    <t>2025 Bowman Chrome Blake Snell #31 Pulsar Los Angeles Dodgers #/399</t>
  </si>
  <si>
    <t>BBB-000098-trw87</t>
  </si>
  <si>
    <t>2025 Bowman's Best Max Clark #FG-16 2025 MLB All-Star Futures Game Tigers</t>
  </si>
  <si>
    <t>BBB-000099-trw88</t>
  </si>
  <si>
    <t>2024 Topps Wyatt Langford #700b All-Star Game Texas Rangers</t>
  </si>
  <si>
    <t>BBB-000100-tsgpf</t>
  </si>
  <si>
    <t>2024 Topps Justin Verlander #62 All-Star Game Houston Astros</t>
  </si>
  <si>
    <t>BBB-000134-tsgqd</t>
  </si>
  <si>
    <t>2024 Topps Jackson Chourio #698b All-Star Game Milwaukee Brewers</t>
  </si>
  <si>
    <t>BBB-000101-tsgpg</t>
  </si>
  <si>
    <t>2024 Topps Eugenio Suárez #231 All-Star Game Seattle Mariners</t>
  </si>
  <si>
    <t>BBB-000135-tsgqe</t>
  </si>
  <si>
    <t>2024 Topps Chris Murphy #73 All-Star Game Boston Red Sox</t>
  </si>
  <si>
    <t>BBB-000136-tsgqf</t>
  </si>
  <si>
    <t>2024 Topps Ronald Acuña Jr. #1 All-Star Game Atlanta Braves</t>
  </si>
  <si>
    <t>BBB-000102-tsgph</t>
  </si>
  <si>
    <t>2024 Topps Cristian Javier #269 All-Star Game Houston Astros</t>
  </si>
  <si>
    <t>BBB-000103-tsgpi</t>
  </si>
  <si>
    <t>2024 Topps Nick Senzel #338 All-Star Game Cincinnati Reds</t>
  </si>
  <si>
    <t>BBB-000137-tsgqg</t>
  </si>
  <si>
    <t>2024 Topps Mike Yastrzemski #124 All-Star Game San Francisco Giants</t>
  </si>
  <si>
    <t>BBB-000138-tsgqh</t>
  </si>
  <si>
    <t>2024 Topps Nolan Arenado #118 All-Star Game St. Louis Cardinals</t>
  </si>
  <si>
    <t>BBB-000104-tsgpj</t>
  </si>
  <si>
    <t>2024 Topps Grae Kessinger #226 Houston Astros</t>
  </si>
  <si>
    <t>BBB-000105-tsgpk</t>
  </si>
  <si>
    <t>2024 Topps Owen White #5 All-Star Game Texas Rangers</t>
  </si>
  <si>
    <t>BBB-000139-tsgqi</t>
  </si>
  <si>
    <t>2024 Topps Rafael Devers #22 All-Star Game Boston Red Sox</t>
  </si>
  <si>
    <t>BBB-000140-tsgqj</t>
  </si>
  <si>
    <t>2024 Topps Merrill Kelly #112 All-Star Game Arizona Diamondbacks</t>
  </si>
  <si>
    <t>BBB-000106-tsgpl</t>
  </si>
  <si>
    <t>2024 Topps Royce Lewis #208 All-Star Game Minnesota Twins</t>
  </si>
  <si>
    <t>BBB-000141-tsgqk</t>
  </si>
  <si>
    <t>2024 Topps Luis Arraez #299 All-Star Game Miami Marlins</t>
  </si>
  <si>
    <t>BBB-000107-tsgpm</t>
  </si>
  <si>
    <t>2024 Topps Leody Taveras #199 All-Star Game Texas Rangers</t>
  </si>
  <si>
    <t>BBB-000108-tsgpn</t>
  </si>
  <si>
    <t>2024 Topps Dane Myers #188 All-Star Game Marlins</t>
  </si>
  <si>
    <t>BBB-000109-tsgpo</t>
  </si>
  <si>
    <t>2024 Topps Luke Raley #181 All-Star Game Tampa Bay Rays</t>
  </si>
  <si>
    <t>BBB-000142-tsgql</t>
  </si>
  <si>
    <t>2024 Topps Byron Buxton #94 All-Star Game Minnesota Twins</t>
  </si>
  <si>
    <t>BBB-000143-tsgqm</t>
  </si>
  <si>
    <t>2024 Topps Jorge Mateo #42 All-Star Game Baltimore Orioles</t>
  </si>
  <si>
    <t>BBB-000144-tsgqn</t>
  </si>
  <si>
    <t>2024 Topps Ryan Mountcastle #34 All-Star Game Baltimore Orioles</t>
  </si>
  <si>
    <t>BBB-000110-tsgpp</t>
  </si>
  <si>
    <t>2024 Topps Houston Astros #132 All-Star Game Houston Astros</t>
  </si>
  <si>
    <t>BBB-000145-tsgqo</t>
  </si>
  <si>
    <t>2024 Topps William Contreras #61 All-Star Game Milwaukee Brewers</t>
  </si>
  <si>
    <t>BBB-000111-tsgpq</t>
  </si>
  <si>
    <t>2024 Topps Kyle Finnegan #153 All-Star Game Washington Nationals</t>
  </si>
  <si>
    <t>BBB-000112-tsgpr</t>
  </si>
  <si>
    <t>2024 Topps J.D. Davis #64 All-Star Game San Francisco Giants</t>
  </si>
  <si>
    <t>BBB-000146-tsgqp</t>
  </si>
  <si>
    <t>2024 Topps Prelander Berroa #36 All-Star Game Seattle Mariners</t>
  </si>
  <si>
    <t>BBB-000113-tsgps</t>
  </si>
  <si>
    <t>2024 Topps Evan Carter #280 All-Star Game Texas Rangers</t>
  </si>
  <si>
    <t>BBB-000147-tsgqq</t>
  </si>
  <si>
    <t>2024 Topps Kenley Jansen #267 All-Star Game Boston Red Sox</t>
  </si>
  <si>
    <t>BBB-000114-tsgpt</t>
  </si>
  <si>
    <t>2024 Topps Michael Harris II #243 All-Star Game Atlanta Braves</t>
  </si>
  <si>
    <t>BBB-000148-tsgqr</t>
  </si>
  <si>
    <t>2024 Topps Freddy Peralta #26 All-Star Game Milwaukee Brewers</t>
  </si>
  <si>
    <t>BBB-000149-tsgqs</t>
  </si>
  <si>
    <t>2024 Topps Cavan Biggio #47 All-Star Game Toronto Blue Jays</t>
  </si>
  <si>
    <t>BBB-000150-tsgqt</t>
  </si>
  <si>
    <t>2024 Topps Edwin Díaz #120 All-Star Game New York Mets</t>
  </si>
  <si>
    <t>BBB-000115-tsgpu</t>
  </si>
  <si>
    <t>2024 Topps AL Leaders Home Runs (Ohtani /García /Robert Jr.) #179 ASG Angels</t>
  </si>
  <si>
    <t>BBB-000116-tsgpv</t>
  </si>
  <si>
    <t>2024 Topps Zach Remillard #222 All-Star Game Chicago White Sox</t>
  </si>
  <si>
    <t>BBB-000151-tsgqu</t>
  </si>
  <si>
    <t>2024 Topps Chicago Cubs #165 All-Star Game Chicago Cubs</t>
  </si>
  <si>
    <t>BBB-000117-tsgpw</t>
  </si>
  <si>
    <t>2024 Topps Adbert Alzolay #129 All-Star Game Chicago Cubs</t>
  </si>
  <si>
    <t>BBB-000118-tsgpx</t>
  </si>
  <si>
    <t>2024 Topps Reid Detmers #137 All-Star Game Los Angeles Angels</t>
  </si>
  <si>
    <t>BBB-000152-tsgqv</t>
  </si>
  <si>
    <t>2024 Topps Blue Jays Unite!: #167 ASG Blue Jays</t>
  </si>
  <si>
    <t>BBB-000120-tsgpz</t>
  </si>
  <si>
    <t>2024 Topps Andrés Giménez #289 All-Star Game Cleveland Guardians</t>
  </si>
  <si>
    <t>BBB-000121-tsgq0</t>
  </si>
  <si>
    <t>2024 Topps Seth Brown #79 All-Star Game Oakland Athletics</t>
  </si>
  <si>
    <t>BBB-000119-tsgpy</t>
  </si>
  <si>
    <t>2024 Topps Connor Joe #303 All-Star Game Pittsburgh Pirates</t>
  </si>
  <si>
    <t>BBB-000122-tsgq1</t>
  </si>
  <si>
    <t>2024 Topps Endy Rodríguez #3 All-Star Game Pittsburgh Pirates</t>
  </si>
  <si>
    <t>BBB-000123-tsgq2</t>
  </si>
  <si>
    <t>2024 Topps Elly De La Cruz #141 All-Star Game Cincinnati Reds</t>
  </si>
  <si>
    <t>BBB-000124-tsgq3</t>
  </si>
  <si>
    <t>2024 Topps Daniel Vogelbach #345 All-Star Game New York Mets</t>
  </si>
  <si>
    <t>BBB-000125-tsgq4</t>
  </si>
  <si>
    <t>2024 Topps Jackson Holliday #697b All-Star Game Baltimore Orioles</t>
  </si>
  <si>
    <t>BBB-000128-tsgq7</t>
  </si>
  <si>
    <t>2024 Topps Taylor Ward #332 All-Star Game Los Angeles Angels</t>
  </si>
  <si>
    <t>BBB-000126-tsgq5</t>
  </si>
  <si>
    <t>2024 Topps Shohei Ohtani #2 All-Star Game Bonus Los Angeles Dodgers</t>
  </si>
  <si>
    <t>BBB-000129-tsgq8</t>
  </si>
  <si>
    <t>2024 Topps Aaron Judge #4 All-Star Game Bonus New York Yankees</t>
  </si>
  <si>
    <t>BBB-000130-tsgq9</t>
  </si>
  <si>
    <t>2024 Topps Jackson Merrill #699b All-Star Game San Diego Padres</t>
  </si>
  <si>
    <t>BBB-000127-tsgq6</t>
  </si>
  <si>
    <t>2024 Topps Ronald Acuna Jr. #5 All-Star Game Bonus Atlanta Braves</t>
  </si>
  <si>
    <t>BBB-000131-tsgqa</t>
  </si>
  <si>
    <t>2024 Topps Julio Rodriguez #1 All-Star Game Bonus Seattle Mariners</t>
  </si>
  <si>
    <t>BBB-000132-tsgqb</t>
  </si>
  <si>
    <t>2024 Topps Mike Trout #3 All-Star Game Bonus Los Angeles Angels</t>
  </si>
  <si>
    <t>BBB-000133-tsgqc</t>
  </si>
  <si>
    <t>2024 Topps Hunter Brown #30 All-Star Game Houston Astros</t>
  </si>
  <si>
    <t>BBB-000156-tsksq</t>
  </si>
  <si>
    <t>2024 Topps Mitch Keller #230 All-Star Game Pittsburgh Pirates</t>
  </si>
  <si>
    <t>BBB-000155-tsksp</t>
  </si>
  <si>
    <t>2024 Topps Curtis Mead #82 All-Star Game Tampa Bay Rays</t>
  </si>
  <si>
    <t>BBB-000153-tsksn</t>
  </si>
  <si>
    <t>2024 Topps Matt McLain #327 All-Star Game Cincinnati Reds</t>
  </si>
  <si>
    <t>BBB-000154-tskso</t>
  </si>
  <si>
    <t>2024 Topps Logan O'Hoppe #298 All-Star Game Los Angeles Angels</t>
  </si>
  <si>
    <t>BBB-000159-tskst</t>
  </si>
  <si>
    <t>2024 Topps Andrew Benintendi #306 All-Star Game Chicago White Sox</t>
  </si>
  <si>
    <t>BBB-000157-tsksr</t>
  </si>
  <si>
    <t>2024 Topps Ranger Suárez #229 All-Star Game Philadelphia Phillies</t>
  </si>
  <si>
    <t>BBB-000158-tskss</t>
  </si>
  <si>
    <t>2024 Topps Shea Langeliers #278 All-Star Game Oakland Athletics</t>
  </si>
  <si>
    <t>BBB-000161-tsksv</t>
  </si>
  <si>
    <t>2024 Topps Jameson Taillon #182 All-Star Game Chicago Cubs</t>
  </si>
  <si>
    <t>BBB-000160-tsksu</t>
  </si>
  <si>
    <t>2024 Topps Elites of the Game: Ohtani and Betts Share a Hug Mid-Game #138 ASG</t>
  </si>
  <si>
    <t>BBB-000162-tsksw</t>
  </si>
  <si>
    <t>2024 Topps Rowdy Tellez #343 All-Star Game Milwaukee Brewers</t>
  </si>
  <si>
    <t>BBB-000164-tsksy</t>
  </si>
  <si>
    <t>2024 Topps Tarik Skubal #294 All-Star Game Detroit Tigers</t>
  </si>
  <si>
    <t>BBB-000163-tsksx</t>
  </si>
  <si>
    <t>2024 Topps Joe Jacques #187 All-Star Game Boston Red Sox</t>
  </si>
  <si>
    <t>BBB-000165-tsksz</t>
  </si>
  <si>
    <t>2024 Topps Luis Castillo #54 All-Star Game Seattle Mariners</t>
  </si>
  <si>
    <t>BBB-000166-tskt0</t>
  </si>
  <si>
    <t>2024 Topps Andy Ibáñez #25 All-Star Game Detroit Tigers</t>
  </si>
  <si>
    <t>BBB-000167-tskt1</t>
  </si>
  <si>
    <t>2024 Topps Luis Matos #28 All-Star Game San Francisco Giants</t>
  </si>
  <si>
    <t>BBB-000168-tskt2</t>
  </si>
  <si>
    <t>2024 Topps Vladimir Guerrero Jr. #330 All-Star Game Toronto Blue Jays</t>
  </si>
  <si>
    <t>BBB-000169-tskt3</t>
  </si>
  <si>
    <t>2024 Topps Samad Taylor #32 All-Star Game Kansas City Royals</t>
  </si>
  <si>
    <t>BBB-000172-tskt6</t>
  </si>
  <si>
    <t>2024 Topps Brady Singer #173 All-Star Game Kansas City Royals</t>
  </si>
  <si>
    <t>BBB-000170-tskt4</t>
  </si>
  <si>
    <t>2024 Topps Harold Ramírez #256 All-Star Game Tampa Bay Rays</t>
  </si>
  <si>
    <t>BBB-000174-tskt8</t>
  </si>
  <si>
    <t>2024 Topps Tyler Glasnow #89 All-Star Game Tampa Bay Rays</t>
  </si>
  <si>
    <t>BBB-000171-tskt5</t>
  </si>
  <si>
    <t>2024 Topps Grant Hartwig #130 All-Star Game New York Mets</t>
  </si>
  <si>
    <t>BBB-000175-tskt9</t>
  </si>
  <si>
    <t>2024 Topps Julio Rodríguez #44 All-Star Game Seattle Mariners</t>
  </si>
  <si>
    <t>BBB-000176-tskta</t>
  </si>
  <si>
    <t>2024 Topps Mauricio Dubón #326 All-Star Game Houston Astros</t>
  </si>
  <si>
    <t>BBB-000177-tsktb</t>
  </si>
  <si>
    <t>2024 Topps Brad Keller #140 All-Star Game Kansas City Royals</t>
  </si>
  <si>
    <t>BBB-000173-tskt7</t>
  </si>
  <si>
    <t>2024 Topps Dansby Swanson #164 All-Star Game Chicago Cubs</t>
  </si>
  <si>
    <t>BBB-000180-tskte</t>
  </si>
  <si>
    <t>2024 Topps Brendan Donovan #7 All-Star Game St. Louis Cardinals</t>
  </si>
  <si>
    <t>BBB-000178-tsktc</t>
  </si>
  <si>
    <t>2024 Topps Nestor Cortes Jr. #51 All-Star Game New York Yankees</t>
  </si>
  <si>
    <t>BBB-000181-tsktf</t>
  </si>
  <si>
    <t>2024 Topps Nick Robertson #13 All-Star Game Boston Red Sox</t>
  </si>
  <si>
    <t>BBB-000179-tsktd</t>
  </si>
  <si>
    <t>2024 Topps National League Leaders Wins (Spencer Strider/Gallen/Steele) #309 ASG</t>
  </si>
  <si>
    <t>BBB-000182-tsktg</t>
  </si>
  <si>
    <t>2024 Topps San Diego Padres #2 All-Star Game San Diego Padres</t>
  </si>
  <si>
    <t>BBB-000183-tskth</t>
  </si>
  <si>
    <t>2024 Topps Hayden Wesneski #337 All-Star Game Chicago Cubs</t>
  </si>
  <si>
    <t>BBB-000184-tskti</t>
  </si>
  <si>
    <t>2024 Topps Camilo Doval #213 All-Star Game San Francisco Giants</t>
  </si>
  <si>
    <t>BBB-000185-tsktj</t>
  </si>
  <si>
    <t>2024 Topps Ryan Pressly #331 All-Star Game Houston Astros</t>
  </si>
  <si>
    <t>BBB-000186-tsktk</t>
  </si>
  <si>
    <t>2024 Topps Miguel Cabrera #201 All-Star Game Detroit Tigers</t>
  </si>
  <si>
    <t>BBB-000187-tsktl</t>
  </si>
  <si>
    <t>2024 Topps Bryan Woo #12 All-Star Game Seattle Mariners</t>
  </si>
  <si>
    <t>BBB-000188-tsktm</t>
  </si>
  <si>
    <t>2024 Topps Seth Lugo #291 All-Star Game San Diego Padres</t>
  </si>
  <si>
    <t>BBB-000189-tsktn</t>
  </si>
  <si>
    <t>2024 Topps Gregory Santos #276 All-Star Game Chicago White Sox</t>
  </si>
  <si>
    <t>BBB-000191-tsktp</t>
  </si>
  <si>
    <t>2024 Topps JP Sears #80 All-Star Game Oakland Athletics</t>
  </si>
  <si>
    <t>BBB-000192-tsktq</t>
  </si>
  <si>
    <t>2024 Topps Brendan Rodgers #322 All-Star Game Colorado Rockies</t>
  </si>
  <si>
    <t>BBB-000190-tskto</t>
  </si>
  <si>
    <t>2024 Topps Zac Gallen #110 All-Star Game Arizona Diamondbacks</t>
  </si>
  <si>
    <t>BBB-000193-tsktr</t>
  </si>
  <si>
    <t>2024 Topps Tony Gonsolin #87 All-Star Game Los Angeles Dodgers</t>
  </si>
  <si>
    <t>BBB-000194-tskts</t>
  </si>
  <si>
    <t>2024 Topps Matt Waldron #162 All-Star Game San Diego Padres</t>
  </si>
  <si>
    <t>BBB-000196-tsktu</t>
  </si>
  <si>
    <t>2024 Topps Jonah Heim #235 All-Star Game Texas Rangers</t>
  </si>
  <si>
    <t>BBB-000195-tsktt</t>
  </si>
  <si>
    <t>2024 Topps Charlie Morton #221 All-Star Game Atlanta Braves</t>
  </si>
  <si>
    <t>BBB-000197-tsktv</t>
  </si>
  <si>
    <t>2024 Topps Willy Adames #33 All-Star Game Milwaukee Brewers</t>
  </si>
  <si>
    <t>BBB-000198-tsktw</t>
  </si>
  <si>
    <t>2024 Topps Joey Meneses #142 All-Star Game Washington Nationals</t>
  </si>
  <si>
    <t>BBB-000199-tsktx</t>
  </si>
  <si>
    <t>2024 Topps Kutter Crawford #316 All-Star Game Boston Red Sox</t>
  </si>
  <si>
    <t>BBB-000201-tsktz</t>
  </si>
  <si>
    <t>2024 Topps Trey Cabbage #321 All-Star Game Los Angeles Angels</t>
  </si>
  <si>
    <t>BBB-000200-tskty</t>
  </si>
  <si>
    <t>2024 Topps Kodai Senga #292 All-Star Game New York Mets</t>
  </si>
  <si>
    <t>BBB-000202-tsku0</t>
  </si>
  <si>
    <t>2024 Topps Baltimore Orioles #192 All-Star Game Baltimore Orioles</t>
  </si>
  <si>
    <t>BBB-000204-tsku2</t>
  </si>
  <si>
    <t>2024 Topps NL Batting Leaders (Arraez/Acuña Jr./Freeman) #206 ASG</t>
  </si>
  <si>
    <t>BBB-000203-tsku1</t>
  </si>
  <si>
    <t>2024 Topps Astros No-No: Valdez Throws Gem in Houston #329 All-Star Game Astros</t>
  </si>
  <si>
    <t>BBB-000205-tsku3</t>
  </si>
  <si>
    <t>2024 Topps Eury Pérez #197 All-Star Game Miami Marlins</t>
  </si>
  <si>
    <t>BBB-000208-tsku6</t>
  </si>
  <si>
    <t>2024 Topps Johan Oviedo #65 All-Star Game Pittsburgh Pirates</t>
  </si>
  <si>
    <t>BBB-000207-tsku5</t>
  </si>
  <si>
    <t>2024 Topps Shane Bieber #107 All-Star Game Cleveland Guardians</t>
  </si>
  <si>
    <t>BBB-000206-tsku4</t>
  </si>
  <si>
    <t>2025-26 Topps Chrome Ja Morant #SF-2 Sleek Finishers Grizzlies</t>
  </si>
  <si>
    <t>BBA-000001-00014-28086</t>
  </si>
  <si>
    <t>2025-26 Topps Chrome Jeremy Sochan #239 Negative Refractor Spurs</t>
  </si>
  <si>
    <t>BBA-000001-00003-46835</t>
  </si>
  <si>
    <t>2025-26 Topps Chrome Jase Richardson #275 RC Magic</t>
  </si>
  <si>
    <t>BBA-000001-00006-30822</t>
  </si>
  <si>
    <t>2025-26 Topps Chrome Zaccharie Risacher #2 Hawks</t>
  </si>
  <si>
    <t>BBA-000001-00004-87008</t>
  </si>
  <si>
    <t>2025-26 Topps Chrome Jarace Walker #53 Pulsar Refractor Pacers</t>
  </si>
  <si>
    <t>BBA-000001-00011-92213</t>
  </si>
  <si>
    <t>2025-26 Topps Chrome Bones Hyland #90 Pulsar Refractor Timberwolves</t>
  </si>
  <si>
    <t>BBA-000001-00016-53624</t>
  </si>
  <si>
    <t>2025-26 Topps Chrome Anthony Edwards #IP-5 Inspirational Timberwolves</t>
  </si>
  <si>
    <t>BBA-000001-00015-07409</t>
  </si>
  <si>
    <t>2025-26 Topps Chrome Ryan Kalkbrenner #284 RC Hornets</t>
  </si>
  <si>
    <t>BBA-000001-00001-29805</t>
  </si>
  <si>
    <t>2025-26 Topps Chrome Jimmy Butler III #GT-2 Go Time Warriors</t>
  </si>
  <si>
    <t>BBA-000001-00012-02696</t>
  </si>
  <si>
    <t>2025-26 Topps Chrome Dylan Harper #GR-2 Generation Rising RC Spurs</t>
  </si>
  <si>
    <t>BBA-000001-00002-51026</t>
  </si>
  <si>
    <t>2025-26 Topps Chrome Shaedon Sharpe #150 Trail Blazers</t>
  </si>
  <si>
    <t>BBA-000001-00009-19743</t>
  </si>
  <si>
    <t>2025-26 Topps Chrome Spencer Dinwiddie #13 Pulsar Refractor Mavericks</t>
  </si>
  <si>
    <t>BBA-000001-00008-49656</t>
  </si>
  <si>
    <t>2025-26 Topps Chrome Khaman Maluach #260 RC Suns</t>
  </si>
  <si>
    <t>BBA-000001-00005-05141</t>
  </si>
  <si>
    <t>2025-26 Topps Chrome Sion James #283 RC Hornets</t>
  </si>
  <si>
    <t>BBA-000001-00010-79941</t>
  </si>
  <si>
    <t>2025-26 Topps Chrome Paolo Banchero #BD-14 Ball of Duty Magic</t>
  </si>
  <si>
    <t>BBA-000001-00013-47641</t>
  </si>
  <si>
    <t>2025-26 Topps Chrome Jaime Jaquez Jr. #161 Pulsar Refractor Heat</t>
  </si>
  <si>
    <t>BBA-000001-00007-21753</t>
  </si>
  <si>
    <t>2024 Topps Cincinnati Reds #238 All Star Game</t>
  </si>
  <si>
    <t>BBA-000100-00007-43894</t>
  </si>
  <si>
    <t>2024 Topps Wilmer Flores #234 All Star Game Giants</t>
  </si>
  <si>
    <t>BBA-000100-00006-52544</t>
  </si>
  <si>
    <t>2024 Topps Austin Hays #307 All Star Game Orioles</t>
  </si>
  <si>
    <t>BBA-000100-00033-42432</t>
  </si>
  <si>
    <t>2024 Topps Dean Kremer #336 All Star Game Orioles</t>
  </si>
  <si>
    <t>BBA-000100-00002-63526</t>
  </si>
  <si>
    <t>2024 Topps Carmen Mlodzinski #31 All Star Game RC Pirates</t>
  </si>
  <si>
    <t>BBA-000100-00019-14952</t>
  </si>
  <si>
    <t>2024 Topps David Hamilton #202 All Star Game RC Red Sox</t>
  </si>
  <si>
    <t>BBA-000100-00015-30601</t>
  </si>
  <si>
    <t>2024 Topps Framber Valdez #220 All Star Game Astros</t>
  </si>
  <si>
    <t>BBA-000100-00016-27899</t>
  </si>
  <si>
    <t>2024 Topps New York Smiles: Mets Heavy Hitters Share a Laugh C #38 All Star Game</t>
  </si>
  <si>
    <t>BBA-000100-00024-06826</t>
  </si>
  <si>
    <t>2024 Topps Daniel Palencia #178 All Star Game RC Cubs</t>
  </si>
  <si>
    <t>BBA-000100-00023-33744</t>
  </si>
  <si>
    <t>2024 Topps Jhoan Duran #227 All Star Game Twins</t>
  </si>
  <si>
    <t>BBA-000100-00034-41413</t>
  </si>
  <si>
    <t>2024 Topps Mike Trout #27 All Star Game Angels</t>
  </si>
  <si>
    <t>BBA-000100-00017-97762</t>
  </si>
  <si>
    <t>2024 Topps Tyler O'Neill #169 All Star Game Cardinals</t>
  </si>
  <si>
    <t>BBA-000100-00018-57479</t>
  </si>
  <si>
    <t>2024 Topps Gerrit Cole #100 All Star Game Yankees</t>
  </si>
  <si>
    <t>BBA-000100-00026-58196</t>
  </si>
  <si>
    <t>2024 Topps Nico Hoerner #204 All Star Game Cubs</t>
  </si>
  <si>
    <t>BBA-000100-00025-91539</t>
  </si>
  <si>
    <t>2024 Topps Mark Vientos #78 All Star Game Mets</t>
  </si>
  <si>
    <t>BBA-000100-00030-13492</t>
  </si>
  <si>
    <t>2024 Topps Freddie Freeman #102 All Star Game Dodgers</t>
  </si>
  <si>
    <t>BBA-000100-00012-74596</t>
  </si>
  <si>
    <t>2024 Topps Jon Gray #16 All Star Game Rangers</t>
  </si>
  <si>
    <t>BBA-000100-00022-51179</t>
  </si>
  <si>
    <t>2024 Topps Griffin Canning #69 All Star Game Angels</t>
  </si>
  <si>
    <t>BBA-000100-00013-53637</t>
  </si>
  <si>
    <t>2024 Topps Jazz Chisholm Jr. #223 All Star Game Marlins</t>
  </si>
  <si>
    <t>BBA-000100-00021-43803</t>
  </si>
  <si>
    <t>2024 Topps Michael Kopech #109 All Star Game White Sox</t>
  </si>
  <si>
    <t>BBA-000100-00004-52278</t>
  </si>
  <si>
    <t>2024 Topps Seattle Mariners #241 All Star Game</t>
  </si>
  <si>
    <t>BBA-000100-00028-74849</t>
  </si>
  <si>
    <t>2024 Topps Nick Fortes #81 All Star Game Marlins</t>
  </si>
  <si>
    <t>BBA-000100-00009-96736</t>
  </si>
  <si>
    <t>2024 Topps Emmet Sheehan #283 All Star Game RC Dodgers</t>
  </si>
  <si>
    <t>BBA-000100-00005-06616</t>
  </si>
  <si>
    <t>2024 Topps Christian Encarnacion-Strand #219 All Star Game RC Reds</t>
  </si>
  <si>
    <t>BBA-000100-00001-74749</t>
  </si>
  <si>
    <t>2024 Topps Dane Dunning #348 All Star Game Rangers</t>
  </si>
  <si>
    <t>BBA-000100-00035-56823</t>
  </si>
  <si>
    <t>2024 Topps Abner Uribe #310 All Star Game RC Brewers</t>
  </si>
  <si>
    <t>BBA-000100-00011-18932</t>
  </si>
  <si>
    <t>2024 Topps Spencer Strider #11 All Star Game Braves</t>
  </si>
  <si>
    <t>BBA-000100-00008-43968</t>
  </si>
  <si>
    <t>2024 Topps JJ Bleday #147 All Star Game Athletics</t>
  </si>
  <si>
    <t>BBA-000100-00003-49137</t>
  </si>
  <si>
    <t>2024 Topps Josh Lowe #253 All Star Game Rays</t>
  </si>
  <si>
    <t>BBA-000100-00014-80555</t>
  </si>
  <si>
    <t>2024 Topps Philadelphia Phillies #126 All Star Game</t>
  </si>
  <si>
    <t>BBA-000100-00032-84852</t>
  </si>
  <si>
    <t>2024 Topps Christian Walker #63 All Star Game Diamondbacks</t>
  </si>
  <si>
    <t>BBA-000100-00020-18400</t>
  </si>
  <si>
    <t>2024 Topps Jordan Romano #101 All Star Game Blue Jays</t>
  </si>
  <si>
    <t>BBA-000100-00010-71634</t>
  </si>
  <si>
    <t>2024 Topps Connor Wong #104 All Star Game Red Sox</t>
  </si>
  <si>
    <t>BBA-000100-00029-41404</t>
  </si>
  <si>
    <t>2021 Panini Contenders Draft Picks Javonte Williams #22 School Colors RC</t>
  </si>
  <si>
    <t>BBA-000100-00006-81975</t>
  </si>
  <si>
    <t>2021 Panini Select Zach Ertz #228 Red and Blue Prizm Die Cut Club Cardinals</t>
  </si>
  <si>
    <t>BBA-000100-00007-22598</t>
  </si>
  <si>
    <t>2022 Panini Prizm Bernie Kosar #74 Green Browns</t>
  </si>
  <si>
    <t>BBA-000100-00016-05271</t>
  </si>
  <si>
    <t>2023 Panini Donruss Shaq Thompson #45 Press Proof Green Panthers</t>
  </si>
  <si>
    <t>BBA-000100-00015-74683</t>
  </si>
  <si>
    <t>2023 Panini Mosaic Clinton Portis #249 Mosaic Redskins</t>
  </si>
  <si>
    <t>BBA-000100-00021-06602</t>
  </si>
  <si>
    <t>2020 Panini Prizm Draft Picks Javon Kinlaw #161 Prizms Red RC Gamecocks</t>
  </si>
  <si>
    <t>BBA-000100-00024-17747</t>
  </si>
  <si>
    <t>2020 Panini Playbook Nick Bosa #96 49ers</t>
  </si>
  <si>
    <t>BBA-000100-00014-14112</t>
  </si>
  <si>
    <t>2023 Panini Prizm Cordarrelle Patterson #12 Pink Falcons</t>
  </si>
  <si>
    <t>BBA-000100-00019-76258</t>
  </si>
  <si>
    <t>2021 Panini Mosaic Jeremy Chinn #38 Prizm Reactive Orange Panthers</t>
  </si>
  <si>
    <t>BBA-000100-00017-28485</t>
  </si>
  <si>
    <t>2023 Panini Prizm Dorian Williams #309 Pink RC Bills</t>
  </si>
  <si>
    <t>BBA-000100-00008-58375</t>
  </si>
  <si>
    <t>2024 Panini Totally Certified Cooper Kupp #9 Intriguing Players Rams</t>
  </si>
  <si>
    <t>BBA-000100-00020-67366</t>
  </si>
  <si>
    <t>2022 Panini Zenith David Montgomery #41 Retail Bears</t>
  </si>
  <si>
    <t>BBA-000100-00009-82696</t>
  </si>
  <si>
    <t>2014 Topps Harry Douglas #13 1000 Yard Club Falcons</t>
  </si>
  <si>
    <t>BBA-000100-00010-49652</t>
  </si>
  <si>
    <t>2024 Panini Prizm Ed McCaffrey #90 Silver Broncos</t>
  </si>
  <si>
    <t>BBA-000100-00033-90215</t>
  </si>
  <si>
    <t>2022 Panini Donruss Elite Jalen Tolbert #158 Pink RC Cowboys</t>
  </si>
  <si>
    <t>BBA-000100-00004-78466</t>
  </si>
  <si>
    <t>2023 Panini Prizm Zay Jones #141 Green Jaguars</t>
  </si>
  <si>
    <t>BBA-000100-00026-20150</t>
  </si>
  <si>
    <t>2022 Panini Mosaic Fred Taylor #93 Mosaic Camo Pink Jaguars</t>
  </si>
  <si>
    <t>BBA-000100-00030-56533</t>
  </si>
  <si>
    <t>2022 Panini Chronicles Desmond Ridder #PA-4 RC Falcons</t>
  </si>
  <si>
    <t>BBA-000100-00001-55061</t>
  </si>
  <si>
    <t>BBA-000100-00011-05473</t>
  </si>
  <si>
    <t>2021 Panini Contenders Fletcher Cox #81 Season Ticket Eagles</t>
  </si>
  <si>
    <t>BBA-000100-00041-21370</t>
  </si>
  <si>
    <t>2024 Panini Select Kimani Vidal #15 Concourse Silver Prizm Die-Cut RC Chargers</t>
  </si>
  <si>
    <t>BBA-000100-00005-77214</t>
  </si>
  <si>
    <t>2023 Panini Mosaic Joe Greene #210 Mosaic Steelers</t>
  </si>
  <si>
    <t>BBA-000100-00037-90862</t>
  </si>
  <si>
    <t>1999 Pacific Aurora Mike Alstott #137 Buccaneers</t>
  </si>
  <si>
    <t>BBA-000100-00013-60152</t>
  </si>
  <si>
    <t>2022 Panini Select Bobby Wagner #7 Black and Green Prizm Die Cut Concourse Rams</t>
  </si>
  <si>
    <t>BBA-000100-00027-23352</t>
  </si>
  <si>
    <t>2021 Panini Chronicles Asante Samuel Jr. #GK-38 Gridiron Kings RC Chargers</t>
  </si>
  <si>
    <t>BBA-000100-00031-25591</t>
  </si>
  <si>
    <t>1999 Pacific Aurora Dedric Ward #103 Jets</t>
  </si>
  <si>
    <t>BBA-000100-00003-78582</t>
  </si>
  <si>
    <t>2024 Panini Donruss Optic Rashee Rice #97 Chiefs</t>
  </si>
  <si>
    <t>BBA-000100-00039-04821</t>
  </si>
  <si>
    <t>2023 Panini Mosaic Quinnen Williams #77 Camo Pink Mosaic Jets</t>
  </si>
  <si>
    <t>BBA-000100-00038-37670</t>
  </si>
  <si>
    <t>2023 Panini Mosaic Fletcher Cox #197 Camo Pink Mosaic Eagles</t>
  </si>
  <si>
    <t>BBA-000100-00022-87411</t>
  </si>
  <si>
    <t>2023 Panini Prizm Tony Pollard #H-11 Hype Cowboys</t>
  </si>
  <si>
    <t>BBA-000100-00036-96742</t>
  </si>
  <si>
    <t>2023 Panini Donruss Optic Drew Sanders #230 Purple Shock Prizm RC Rated Rookie</t>
  </si>
  <si>
    <t>BBA-000100-00029-95653</t>
  </si>
  <si>
    <t>2024 Panini Prizm Zach Charbonnet #264 Pink Wave Seahawks</t>
  </si>
  <si>
    <t>BBA-000100-00034-32255</t>
  </si>
  <si>
    <t>1999 Pacific Aurora Darnay Scott #34 Bengals</t>
  </si>
  <si>
    <t>BBA-000100-00012-58323</t>
  </si>
  <si>
    <t>2023 Panini Prizm Bobby Okereke #124 Green Wave Giants</t>
  </si>
  <si>
    <t>BBA-000100-00023-76507</t>
  </si>
  <si>
    <t>1995 Skybox Impact Joey Galloway #176 RC Seahawks</t>
  </si>
  <si>
    <t>BBA-000100-00018-00630</t>
  </si>
  <si>
    <t>2024 Panini Select AJ Barner #103 Premier Silver Prizm RC Seahawks</t>
  </si>
  <si>
    <t>BBA-000100-00028-11305</t>
  </si>
  <si>
    <t>2021 Panini Contenders Khalil Mack #16 Season Ticket Bears</t>
  </si>
  <si>
    <t>BBA-000100-00040-83784</t>
  </si>
  <si>
    <t>2019 Panini Donruss Elite Sammy Watkins #15 Green Chiefs</t>
  </si>
  <si>
    <t>BBA-000100-00035-06271</t>
  </si>
  <si>
    <t>2021 Panini Chronicles Kenneth Gainwell #REV-13 Revolution Rapture Eagles</t>
  </si>
  <si>
    <t>BBA-000100-00032-61345</t>
  </si>
  <si>
    <t>2024 Topps AL Leaders ERA Gerrit Cole Sonny Gray Kyle Bradish #324 All Star Game</t>
  </si>
  <si>
    <t>Baseball_ASG_batch_3-00027-066513</t>
  </si>
  <si>
    <t>2024 Topps NL Leaders Runs Batted In Olson/Alonso/Albies #293 All Star Game</t>
  </si>
  <si>
    <t>Baseball_ASG_batch_3-00031-061722</t>
  </si>
  <si>
    <t>BBA-000100-00005-87282</t>
  </si>
  <si>
    <t>2025 Bowman's Best Kristian Campbell #11 Mini-Diamond Refractor /299 RC</t>
  </si>
  <si>
    <t>BBA-000100-00003-67631</t>
  </si>
  <si>
    <t>2025 Panini Prizm Draft Picks Emeka Egbuka #85 Gold Cracked Ice RC Buckeyes</t>
  </si>
  <si>
    <t>BBA-000100-00002-27285</t>
  </si>
  <si>
    <t>2025 Panini Prizm Draft Picks Will Howard #83 Gold Cracked Ice RC Buckeyes</t>
  </si>
  <si>
    <t>BBA-000100-00001-12596</t>
  </si>
  <si>
    <t>2025 Bowman's Best Kristian Campbell #11 Refractor RC Red Sox</t>
  </si>
  <si>
    <t>BBA-000100-00004-67614</t>
  </si>
  <si>
    <t>2025 Bowman Chrome Sapphire Bo Bichette #56 Blue Jays</t>
  </si>
  <si>
    <t>Pookie-000002</t>
  </si>
  <si>
    <t>2025 Topps Chrome Update James Wood #USC95 X-Fractor RC Nationals</t>
  </si>
  <si>
    <t>Martinez-000005</t>
  </si>
  <si>
    <t>2025 Bowman Chrome Mega Box Roki Sasaki #12 Mojo Refractor RC Dodgers</t>
  </si>
  <si>
    <t>Martinez_whatnot_baseball_03-23-26-00006-040410</t>
  </si>
  <si>
    <t>2025 Bowman Draft Matthew Miura #BD-57 Sky Blue Border /499 1st Prospect</t>
  </si>
  <si>
    <t>Zinser-000001</t>
  </si>
  <si>
    <t>2024 Topps Inception Nick Loftin #29 Green Kansas City Royals</t>
  </si>
  <si>
    <t>BBB-000212-ukky3</t>
  </si>
  <si>
    <t>2025 Topps AL Leaders (Skubal/Berríos /Lugo) #151</t>
  </si>
  <si>
    <t>BBB-000215-ukky8</t>
  </si>
  <si>
    <t>2025 Bowman Chrome James Wood #29b Washington Nationals</t>
  </si>
  <si>
    <t>BBB-000218-ukkyb</t>
  </si>
  <si>
    <t>2025 Bowman Chrome Ayden Johnson #BCP-197 Prospects Mini-Diamond Athletics</t>
  </si>
  <si>
    <t>BBB-000219-ukkyc</t>
  </si>
  <si>
    <t>2025 Bowman Chrome Ethan Salas #BCP-169 Prospects Shimmer San Diego Padres</t>
  </si>
  <si>
    <t>BBB-000220-ukkye</t>
  </si>
  <si>
    <t>2025 Bowman Dawel Joseph #BCP-8 Chrome Prospects Reptilian Refractor Mariners</t>
  </si>
  <si>
    <t>BBB-000221-ukkyf</t>
  </si>
  <si>
    <t>2025 Bowman Vladimir Guerrero Jr. #27 Chrome Base Set Mega Refractor Blue Jays</t>
  </si>
  <si>
    <t>BBB-000223-ukkyj</t>
  </si>
  <si>
    <t>2025 Topps Jarren Duran #ATT-8 2024 All Topps Team Boston Red Sox</t>
  </si>
  <si>
    <t>BBB-000224-ukkyl</t>
  </si>
  <si>
    <t>2025 Bowman Jackson Jobe #50 Bowman Chrome Red Rookie Logo Detroit Tigers</t>
  </si>
  <si>
    <t>BBB-000222-ukkyh</t>
  </si>
  <si>
    <t>2025 Topps Pro Debut Jeral Perez #PDC-24 Chrome Blue Refractor Ballers #/150</t>
  </si>
  <si>
    <t>BBB-000226-ukkyn</t>
  </si>
  <si>
    <t>2025 Bowman Chrome Bo Bichette #56 Green Geometric Toronto Blue Jays #/99</t>
  </si>
  <si>
    <t>BBB-000228-ukkyr</t>
  </si>
  <si>
    <t>2025 Bowman Chrome Jhoan De La Cruz #BCP-223 Prospects Speckle Padres #/299</t>
  </si>
  <si>
    <t>BBB-000229-ukkyt</t>
  </si>
  <si>
    <t>2025 Topps Chrome Update Kyle Tucker #ASGC-16 2025 All-Star Game Chicago Cubs</t>
  </si>
  <si>
    <t>BBB-000233-ukkyy</t>
  </si>
  <si>
    <t>2025 Topps Chrome Update Matt Shaw #PP-26 Power Players Chicago Cubs</t>
  </si>
  <si>
    <t>BBB-000232-ukkyx</t>
  </si>
  <si>
    <t>2025 Bowman Chrome Santiago Leon #BCP-247 Prospects Minnesota Twins</t>
  </si>
  <si>
    <t>BBB-000235-ukkz1</t>
  </si>
  <si>
    <t>2025 Bowman Spencer Schwellenbach #78 Bowman Chrome Red Rookie Logo Braves</t>
  </si>
  <si>
    <t>BBB-000234-ukkyz</t>
  </si>
  <si>
    <t>2025 Bowman Chrome Teilon Serrano #BCP-188 Prospects Minnesota Twins</t>
  </si>
  <si>
    <t>BBB-000236-ukkz2</t>
  </si>
  <si>
    <t>2025 Topps Pro Debut Kyle Teel #PD-185 Purple Foil Charlotte Knights #/299</t>
  </si>
  <si>
    <t>BBB-000239-ukkz7</t>
  </si>
  <si>
    <t>BBB-000237-ukkz4</t>
  </si>
  <si>
    <t>2025 Bowman Chrome Jackson Holliday #16 Aqua Geometric Baltimore Orioles #/125</t>
  </si>
  <si>
    <t>BBB-000240-ukkz8</t>
  </si>
  <si>
    <t>2024 Topps Pro Debut Kristian Campbell #PD-7 Greenville Drive</t>
  </si>
  <si>
    <t>BBB-000242-ukkzb</t>
  </si>
  <si>
    <t>BBB-000241-ukkz9</t>
  </si>
  <si>
    <t>2025 Bowman Chrome #1 Jacob Wilson Red Rookie Logo Refractor</t>
  </si>
  <si>
    <t>BBB-000243-ukkzc</t>
  </si>
  <si>
    <t>2025 Bowman Chrome Jakob Christian #BCP-157 Prospects Geometric Giants #/499</t>
  </si>
  <si>
    <t>BBB-000244-ukkze</t>
  </si>
  <si>
    <t>2025 Bowman Chrome #61b Luke Keaschall Red Rookie Minnesota Twins</t>
  </si>
  <si>
    <t>BBB-000245-ukkzf</t>
  </si>
  <si>
    <t>2025 Bowman Chrome Jake Mangum #50b Tampa Bay Rays</t>
  </si>
  <si>
    <t>BBB-000246-ukkzh</t>
  </si>
  <si>
    <t>2025 Bowman Chrome Kumar Rocker #98b Texas Rangers</t>
  </si>
  <si>
    <t>BBB-000247-ukkzi</t>
  </si>
  <si>
    <t>2025 Bowman Chrome Cade Horton #10b Chicago Cubs</t>
  </si>
  <si>
    <t>BBB-000248-ukkzj</t>
  </si>
  <si>
    <t>BBB-000249-ukkzl</t>
  </si>
  <si>
    <t>BBB-000250-ukkzn</t>
  </si>
  <si>
    <t>2025 Bowman Jesus Tillero #BP-117 Prospects Los Angeles Dodgers</t>
  </si>
  <si>
    <t>BBB-000251-ukkzo</t>
  </si>
  <si>
    <t>2025 Bowman Luisangel Acuña #83 New York Mets</t>
  </si>
  <si>
    <t>BBB-000253-ukkzr</t>
  </si>
  <si>
    <t>2025 Bowman Thomas Saggese #57 Bowman Chrome Red Rookie Logo St. Louis Cardinals</t>
  </si>
  <si>
    <t>BBB-000254-ukkzt</t>
  </si>
  <si>
    <t>2024 Finest Jasson Domínguez #FRD-1 Finest Rookies Design Variations Yankees</t>
  </si>
  <si>
    <t>BBB-000257-ukkzy</t>
  </si>
  <si>
    <t>2025 Topps Pro Debut Caleb Durbin #PD-160 Nashville Sounds #/125</t>
  </si>
  <si>
    <t>BBB-000260-ukl04</t>
  </si>
  <si>
    <t>2025 Topps Pro Debut Arjun Nimmala #PDC-30</t>
  </si>
  <si>
    <t>BBB-000263-ukl0f</t>
  </si>
  <si>
    <t>2025 Topps Pro Debut Joshua Kuroda-Grauer #PD-35 Aviators</t>
  </si>
  <si>
    <t>BBB-000261-ukl0a</t>
  </si>
  <si>
    <t>2025 Finest Nick Kurtz #10 Athletics</t>
  </si>
  <si>
    <t>BBB-000258-ukkzz</t>
  </si>
  <si>
    <t>2025 Bowman Adael Amador #31 Bowman Chrome Red Rookie Logo Colorado Rockies</t>
  </si>
  <si>
    <t>BBB-000259-ukl01</t>
  </si>
  <si>
    <t>2025 Bowman River Ryan #69 Bowman Chrome Red Rookie Logo Los Angeles Dodgers</t>
  </si>
  <si>
    <t>BBB-000214-ukky6</t>
  </si>
  <si>
    <t>2025 Topps Update Cade Horton #US140 Chicago Cubs</t>
  </si>
  <si>
    <t>BBB-000238-ukkz5</t>
  </si>
  <si>
    <t>2025 Bowman Chrome Corey Seager #45 Geometric Texas Rangers #/499</t>
  </si>
  <si>
    <t>BBB-000230-ukkyu</t>
  </si>
  <si>
    <t>2025 Topps Chrome National Jesus Made #TP-15 Bowman Chrome Prospects Brewers</t>
  </si>
  <si>
    <t>BBB-000216-ukky9</t>
  </si>
  <si>
    <t>2025 Topps Chrome National Sports Collectors Aaron Judge #MLB-25 Yankees</t>
  </si>
  <si>
    <t>BBB-000217-ukkya</t>
  </si>
  <si>
    <t>2024 Bowman - Shohei Ohtani #33 Dodgers ROY Graded 10</t>
  </si>
  <si>
    <t>CDP-3E18AFB</t>
  </si>
  <si>
    <t>2024 Bowman Draft Sapphire Edition Josiah Romeo #BDC-184 Oakland Athletics</t>
  </si>
  <si>
    <t>BBB-000283-unddy</t>
  </si>
  <si>
    <t>2024 Bowman Draft Chrome Chris Cortez Sapphire #BDC-77 1st Bowman RC</t>
  </si>
  <si>
    <t>BBB-000282-unddt</t>
  </si>
  <si>
    <t>2025 Bowman Sapphire Edition Zack Showalter #BCP-74 St. Louis Cardinals</t>
  </si>
  <si>
    <t>BBB-000276-unddi</t>
  </si>
  <si>
    <t>2024 Bowman Draft Sapphire Edition Rodney Green #BDC-187 Oakland Athletics</t>
  </si>
  <si>
    <t>BBB-000280-unddp</t>
  </si>
  <si>
    <t>2025 Bowman Sapphire Edition Sammy Hernandez #BCP-66 St. Louis Cardinals</t>
  </si>
  <si>
    <t>BBB-000275-unddg</t>
  </si>
  <si>
    <t>2025 Bowman Sapphire Edition Hagen Smith #BCP-44 Chicago White Sox</t>
  </si>
  <si>
    <t>BBB-000267-undd1</t>
  </si>
  <si>
    <t>2025 Bowman Sapphire Edition Seaver King #BCP-93 Washington Nationals</t>
  </si>
  <si>
    <t>BBB-000273-unddc</t>
  </si>
  <si>
    <t>2025 Bowman Sapphire Edition Lucas Ramirez #BCP-135 Los Angeles Angels</t>
  </si>
  <si>
    <t>BBB-000270-undd6</t>
  </si>
  <si>
    <t>2025 Bowman Sapphire Edition Quinn Mathews #BCP-25 St. Louis Cardinals</t>
  </si>
  <si>
    <t>BBB-000269-undd4</t>
  </si>
  <si>
    <t>2025 Bowman Sapphire Edition Javier Mogollon #BCP-68 Chicago White Sox</t>
  </si>
  <si>
    <t>BBB-000268-undd3</t>
  </si>
  <si>
    <t>2025 Bowman Sapphire Edition Chen-wei Lin #BCP-141 St. Louis Cardinals</t>
  </si>
  <si>
    <t>BBB-000266-undcz</t>
  </si>
  <si>
    <t>2025 Bowman Sapphire Edition Tink Hence #BCP-101 St. Louis Cardinals</t>
  </si>
  <si>
    <t>BBB-000264-undcv</t>
  </si>
  <si>
    <t>2021 Topps Johnny Bench #70LP-JB 70th Anniversary Logo Patch Series 1 Reds</t>
  </si>
  <si>
    <t>BBA-000100-00006-23353</t>
  </si>
  <si>
    <t>2025-26 Topps Chrome Jeremiah Fears #257 RC Pelicans</t>
  </si>
  <si>
    <t>BBA-000100-00016-89776</t>
  </si>
  <si>
    <t>BBA-000100-00003-87874</t>
  </si>
  <si>
    <t>2025-26 Topps Chrome Jeremiah Fears #D-7 Destiny RC Pelicans</t>
  </si>
  <si>
    <t>BBA-000100-00017-33342</t>
  </si>
  <si>
    <t>2024 Topps Five Star Austin Wells #FSA-AW Green 7/15 RC Auto Yankees</t>
  </si>
  <si>
    <t>BBA-000100-00012-88181</t>
  </si>
  <si>
    <t>2026 Topps Nick Kurtz #97 Athletics</t>
  </si>
  <si>
    <t>BBA-000100-00010-19905</t>
  </si>
  <si>
    <t>2026 Topps Paul Skenes #TOG-14 Titans Of The Game Pirates</t>
  </si>
  <si>
    <t>BBA-000100-00005-84502</t>
  </si>
  <si>
    <t>2024 Bowman Draft Nick Kurtz #BIA-3 In Action Mini Diamond Refractor /150 READ</t>
  </si>
  <si>
    <t>BBA-000100-00019-89864</t>
  </si>
  <si>
    <t>NOLAN SAILORS 2025 Bowman Draft #BDC-86 1st Chrome Sapphire Refractor</t>
  </si>
  <si>
    <t>BBB-000291-undee</t>
  </si>
  <si>
    <t>2024 Bowman Draft Sapphire Edition Tanner Jones #BDC-195 Kansas City Royals</t>
  </si>
  <si>
    <t>BBB-000296-undep</t>
  </si>
  <si>
    <t>2025 Bowman Draft #BDC-46 Trevor Cohen Sapphire</t>
  </si>
  <si>
    <t>BBB-000293-undei</t>
  </si>
  <si>
    <t>2025 Bowman Draft Trevor Cohen #BDC-46 Chrome San Francisco Giants</t>
  </si>
  <si>
    <t>BBB-000292-undeg</t>
  </si>
  <si>
    <t>2024 Bowman Draft Sapphire Edition Chris Cortez #BDC-77 Los Angeles Angels</t>
  </si>
  <si>
    <t>BBB-000290-undec</t>
  </si>
  <si>
    <t>2024 Bowman Draft Sapphire Edition L.P. Langevin #BDC-183 Kansas City Royals</t>
  </si>
  <si>
    <t>BBB-000288-unde9</t>
  </si>
  <si>
    <t>2024 Bowman Draft Sapphire Edition Ariel Armas #BDC-109 Chicago Cubs</t>
  </si>
  <si>
    <t>BBB-000286-unde4</t>
  </si>
  <si>
    <t>2025 Bowman Draft #BDC-66 Mason Morris sapphire Reds</t>
  </si>
  <si>
    <t>BBB-000295a-undem</t>
  </si>
  <si>
    <t>2025 Panini Prizm Draft Picks Emeka Egbuka #85 Gold Ice RC Buckeyes</t>
  </si>
  <si>
    <t>BBA-000100-00011-11439</t>
  </si>
  <si>
    <t>2025-26 Topps Chrome Jeremiah Fears #YQ-7 Youthquake RC Pelicans</t>
  </si>
  <si>
    <t>BBA-000100-00009-52597</t>
  </si>
  <si>
    <t>2022-23 Panini Donruss Erling Haaland #84 Silver Norway</t>
  </si>
  <si>
    <t>BBA-000100-00002-34042</t>
  </si>
  <si>
    <t>2026 Topps Jose Soriano #319 Sandglitter Angels</t>
  </si>
  <si>
    <t>BBA-000100-00004-11727</t>
  </si>
  <si>
    <t>2025 Topps Chrome Stephen Curry #SF-1 Sleek Finishers Blue Refractor /150</t>
  </si>
  <si>
    <t>BBA-000100-00012-14198</t>
  </si>
  <si>
    <t>2026 Topps Elly De La Cruz #150 Reds</t>
  </si>
  <si>
    <t>BBA-000100-00007-96828</t>
  </si>
  <si>
    <t>2025 Panini Prizm Draft Picks Will Howard #83 Gold Ice RC Buckeyes</t>
  </si>
  <si>
    <t>BBA-000100-00010-84681</t>
  </si>
  <si>
    <t>2023-24 Panini Donruss Erling Haaland #89 Silver Man City</t>
  </si>
  <si>
    <t>BBA-000100-00001-41504</t>
  </si>
  <si>
    <t>2025-26 Topps Finest Cam Thomas #25 Common Nets</t>
  </si>
  <si>
    <t>BBA-000100-00006-42991</t>
  </si>
  <si>
    <t>2026 Topps MacKenzie Gore #14 Rainbow Foil Nationals</t>
  </si>
  <si>
    <t>BBA-000100-00005-90190</t>
  </si>
  <si>
    <t>2025 Bowman Draft George Lombard Jr. #PP-3 Chrome Prized Prospect Mojo Refractor</t>
  </si>
  <si>
    <t>BBA-000100-00014-04902</t>
  </si>
  <si>
    <t>2025 Topps Chrome Update Ryan Jeffers #AC-RJ Auto Purple Speckle Refractor /299</t>
  </si>
  <si>
    <t>MISC-0001-00004-08468</t>
  </si>
  <si>
    <t>2025 Bowman Draft Sean Youngerman #BDC-104 Chrome Yellow Reptilian Refractor /75</t>
  </si>
  <si>
    <t>MISC-0001-00013-46366</t>
  </si>
  <si>
    <t>2025 Bowman Jose Perdomo #BMA-JP Chrome Prospect Auto Mega Green Refractor /99</t>
  </si>
  <si>
    <t>MISC-0001-00023-01335</t>
  </si>
  <si>
    <t>2025 Topps Cosmic Chrome Dylan Crews #SN-11 Stella Nova RC Nationals</t>
  </si>
  <si>
    <t>MISC-0001-00015-36622</t>
  </si>
  <si>
    <t>2025 Topps Update Nick Kurtz #US201 Rainbow Foil Athletics ROY, RC</t>
  </si>
  <si>
    <t>MISC-0001-00014-94747</t>
  </si>
  <si>
    <t>2025 Bowman JJ Wetherholt #GL-17 Greatness Loading Chrome Cardinals</t>
  </si>
  <si>
    <t>EBAYRE-0001-00002-36357</t>
  </si>
  <si>
    <t>2025-26 Panini Instant Cooper Flagg DEBUT ROOKIE CARD /7736 SP Mavericks #10 RC</t>
  </si>
  <si>
    <t>EBAYRE-0001-00001-58894</t>
  </si>
  <si>
    <t>2025 Topps Stadium Club Jacob Wilson #33 RC Athletics</t>
  </si>
  <si>
    <t>EBAYRE-0001-00043-56245</t>
  </si>
  <si>
    <t>2025 Bowman Draft Andrew Salas #BDC-34 Chrome Purple Geometric Refractor /250</t>
  </si>
  <si>
    <t>EBAYRE-0001-00020-86313</t>
  </si>
  <si>
    <t>2025 Topps Stadium Club James Wood #ICE-11 In Case Of Emergency RC Nationals</t>
  </si>
  <si>
    <t>EBAYRE-0001-00041-74105</t>
  </si>
  <si>
    <t>2025 Topps Stadium Club Jackson Holliday #YK-12 Yours For The Taking Orioles</t>
  </si>
  <si>
    <t>EBAYRE-0001-00038-55107</t>
  </si>
  <si>
    <t>2025 Topps Stadium Club Elly De La Cruz #YK-20 Yours For The Taking Reds</t>
  </si>
  <si>
    <t>EBAYRE-0001-00050-80085</t>
  </si>
  <si>
    <t>EBAYRE-0001-00009-52492</t>
  </si>
  <si>
    <t>2025 Bowman's Best Masyn Winn #44 Wave Refractor Cardinals</t>
  </si>
  <si>
    <t>EBAYRE-0001-00028-90832</t>
  </si>
  <si>
    <t>2025 Bowman Draft Griffin Hugus #CPA-GH Chrome Auto 1st Prospect Mariners</t>
  </si>
  <si>
    <t>EBAYRE-0001-00023-20888</t>
  </si>
  <si>
    <t>2025 Bowman's Best Cal Raleigh #P-11 Pixel Portraits Mariners</t>
  </si>
  <si>
    <t>EBAYRE-0001-00032-20104</t>
  </si>
  <si>
    <t>2025 Topps Stadium Club Cal Raleigh #SS-18 Savage Sluggers Mariners</t>
  </si>
  <si>
    <t>EBAYRE-0001-00035-23120</t>
  </si>
  <si>
    <t>2025 Topps Stadium Club Juan Soto #YK-24 Yours For The Taking Mets</t>
  </si>
  <si>
    <t>EBAYRE-0001-00033-30171</t>
  </si>
  <si>
    <t>2025 Topps Stadium Club Derek Jeter #ICE-7 In Case Of Emergency Yankees</t>
  </si>
  <si>
    <t>EBAYRE-0001-00036-79937</t>
  </si>
  <si>
    <t>2025 Bowman Draft Sapphire Max Belyeu #BDC-5 Chrome 1st Prospect Rockies</t>
  </si>
  <si>
    <t>EBAYRE-0001-00018-77395</t>
  </si>
  <si>
    <t>2025 Bowman Draft Dante Nori #BD-33 Green Border 25/99 Phillies</t>
  </si>
  <si>
    <t>EBAYRE-0001-00008-50285</t>
  </si>
  <si>
    <t>2025 Bowman Chrome Jesus Made #IT-14 It Came to the League Brewers</t>
  </si>
  <si>
    <t>EBAYRE-0001-00025-81338</t>
  </si>
  <si>
    <t>2025 Topps Stadium Club Jackson Chourio #YK-13 Yours For The Taking Brewers</t>
  </si>
  <si>
    <t>EBAYRE-0001-00046-87484</t>
  </si>
  <si>
    <t>2025 Bowman's Best JJ Wetherholt #FG-5 MLB All-Star Futures Game NL</t>
  </si>
  <si>
    <t>EBAYRE-0001-00030-64773</t>
  </si>
  <si>
    <t>2025 Bowman Draft Tanner Franklin #BDC-90 Chrome Refractor 1st Prospect</t>
  </si>
  <si>
    <t>EBAYRE-0001-00001-28471</t>
  </si>
  <si>
    <t>2026 Topps Pete Crow-Armstrong #TOG-13 Titans Of The Game Cubs</t>
  </si>
  <si>
    <t>EBAYRE-0001-00047-00801</t>
  </si>
  <si>
    <t>2025 Bowman Draft Jamie Arnold #PP-11 Chrome Prized Prospects Athletics</t>
  </si>
  <si>
    <t>EBAYRE-0001-00048-93077</t>
  </si>
  <si>
    <t>2025 Topps Stadium Club Kristian Campbell #ICE-23 In Case Of Emergency RC</t>
  </si>
  <si>
    <t>EBAYRE-0001-00040-55885</t>
  </si>
  <si>
    <t>2025 Topps Stadium Club Elly De La Cruz #16 Reds</t>
  </si>
  <si>
    <t>EBAYRE-0001-00034-08333</t>
  </si>
  <si>
    <t>2025 Topps Stadium Club Yordan Alvarez #SS-25 Savage Sluggers Astros</t>
  </si>
  <si>
    <t>EBAYRE-0001-00042-34556</t>
  </si>
  <si>
    <t>2025 Bowman Draft Bryce Cunningham #BDC-155 Chrome Refractor Yankees</t>
  </si>
  <si>
    <t>EBAYRE-0001-00007-42128</t>
  </si>
  <si>
    <t>2025 Topps Stadium Club Fernando Tatis Jr. #YK-25 Yours For The Taking Padres</t>
  </si>
  <si>
    <t>EBAYRE-0001-00037-49177</t>
  </si>
  <si>
    <t>2025 Topps Stadium Club Wade Boggs #ICE-17 In Case Of Emergency Red Sox</t>
  </si>
  <si>
    <t>EBAYRE-0001-00045-98087</t>
  </si>
  <si>
    <t>2025 Bowman Draft Andrew Salas #BIA-28 In Action Marlins</t>
  </si>
  <si>
    <t>EBAYRE-0001-00004-28260</t>
  </si>
  <si>
    <t>EBAYRE-0001-00029-55264</t>
  </si>
  <si>
    <t>2025 Bowman Chrome Sapphire Cristopher Acosta #BCP-176 Yellow Refractor /75</t>
  </si>
  <si>
    <t>EBAYRE-0001-00015-96498</t>
  </si>
  <si>
    <t>2025 Bowman Draft Max Williams #BDC-68 Chrome Purple Geometric Refractor /250</t>
  </si>
  <si>
    <t>EBAYRE-0001-00019-57993</t>
  </si>
  <si>
    <t>2025 Bowman Draft JJ Wetherholt #PP-18 Chrome Prized Prospects Cardinals</t>
  </si>
  <si>
    <t>EBAYRE-0001-00027-99967</t>
  </si>
  <si>
    <t>2025 Bowman Chrome Jose Anderson #BCP-193 Green Refractor /99 1st Prospect</t>
  </si>
  <si>
    <t>EBAYRE-0001-00014-92773</t>
  </si>
  <si>
    <t>2025 Topps Stadium Club Reggie Jackson #SS-11 Savage Sluggers Athletics</t>
  </si>
  <si>
    <t>EBAYRE-0001-00049-76082</t>
  </si>
  <si>
    <t>2025 Bowman Draft Cooper Flemming #BDC-166 Chrome Refractor 1st Prospect Rays</t>
  </si>
  <si>
    <t>EBAYRE-0001-00006-71692</t>
  </si>
  <si>
    <t>2025 Bowman Draft JJ Wetherholt #A-12 Axis Chrome Cardinals</t>
  </si>
  <si>
    <t>EBAYRE-0001-00026-37508</t>
  </si>
  <si>
    <t>2025 Topps Stadium Club Coby Mayo #SS-22 Savage Sluggers RC Orioles</t>
  </si>
  <si>
    <t>EBAYRE-0001-00044-51059</t>
  </si>
  <si>
    <t>2025 Bowman Draft Jack Gurevitch #BDC-150 Chrome Refractor 1st Prospect</t>
  </si>
  <si>
    <t>EBAYRE-0001-00002-70378</t>
  </si>
  <si>
    <t>2025 Topps Stadium Club Dylan Crews #102 RC Nationals</t>
  </si>
  <si>
    <t>EBAYRE-0001-00039-32809</t>
  </si>
  <si>
    <t>2025 Bowman Draft Dominic Fritton #BDC-189 Chrome 1st Prospect Rays</t>
  </si>
  <si>
    <t>EBAYRE-0001-00005-49828</t>
  </si>
  <si>
    <t>2025 Bowman's Best Rafael Devers #21 Purple Refractor 239/250 Giants</t>
  </si>
  <si>
    <t>EBAYRE-0001-00051-01817</t>
  </si>
  <si>
    <t>2021-22 Panini Prizm Draft Picks Cade Cunningham #1 RC Cowboys</t>
  </si>
  <si>
    <t>RBM-0001-00017-72164</t>
  </si>
  <si>
    <t>2024 Panini WNBA Prizm Sophie Cunningham #117 Cracked Ice Mercury</t>
  </si>
  <si>
    <t>RBM-0001-00023-35549</t>
  </si>
  <si>
    <t>2023-24 Panini Mosaic Luka Doncic #2 Elevate Mosaic Mavericks</t>
  </si>
  <si>
    <t>RBM-0001-00025-07425</t>
  </si>
  <si>
    <t>2024-25 Panini Select Jared McCain #82 Concourse Blue Retail RC 76ers</t>
  </si>
  <si>
    <t>RBM-0001-00001-73612</t>
  </si>
  <si>
    <t>2024-25 Bowman University Chrome Ace Bailey #SS-2 Social Studies</t>
  </si>
  <si>
    <t>RBM-0001-00022-49742</t>
  </si>
  <si>
    <t>2023-24 Panini Mosaic Stephen Curry #6 Elevate Mosaic Warriors</t>
  </si>
  <si>
    <t>RBM-0001-00002-44008</t>
  </si>
  <si>
    <t>2023-24 Panini Donruss Tyrese Haliburton #8 Green Laser Holo Pacers</t>
  </si>
  <si>
    <t>RBM-0001-00006-03877</t>
  </si>
  <si>
    <t>2023 Skybox Metal Universe Championship JJ Starling #032 Auto Silver</t>
  </si>
  <si>
    <t>RBM-0001-00021-90433</t>
  </si>
  <si>
    <t>2023-24 Panini Phoenix Naji Marshall #CS-NMA Crusade Signatures Auto Pelicans</t>
  </si>
  <si>
    <t>RBM-0001-00026-99381</t>
  </si>
  <si>
    <t>2021-22 Panini Donruss Optic Kevin Durant #25 Express Lane Nets</t>
  </si>
  <si>
    <t>RBM-0001-00005-65853</t>
  </si>
  <si>
    <t>2024 Panini Prizm Draft Picks Collegiate Johnny Juzang #S-JJZ Signatures Auto</t>
  </si>
  <si>
    <t>RBM-0001-00007-16760</t>
  </si>
  <si>
    <t>2024-25 Panini Prizm Monopoly Stephon Castle #75 RC Spurs</t>
  </si>
  <si>
    <t>RBM-0001-00019-67085</t>
  </si>
  <si>
    <t>2024-25 Panini Mosaic Jaylen Brown #19 Jam Masters Green Mosaic Celtics</t>
  </si>
  <si>
    <t>RBM-0001-00018-19396</t>
  </si>
  <si>
    <t>2024-25 Bowman University Chrome Dylan Harper #22</t>
  </si>
  <si>
    <t>RBM-0001-00016-49175</t>
  </si>
  <si>
    <t>2023-24 Topps Finest Rip Hamilton #14 Blue Refractor /150 Common Pistons</t>
  </si>
  <si>
    <t>RBM-0001-00010-65910</t>
  </si>
  <si>
    <t>2025-26 Topps Thomas Sorber #NL-15 No Limit Purple Rainbow /250 RC Thunder</t>
  </si>
  <si>
    <t>RBM-0001-00015-26978</t>
  </si>
  <si>
    <t>2024-25 Bowman University Chrome Ace Bailey #1</t>
  </si>
  <si>
    <t>RBM-0001-00030-08027</t>
  </si>
  <si>
    <t>2024-25 Bowman University Chrome Jeremy Fears #ALT-8 Spartans</t>
  </si>
  <si>
    <t>RBM-0001-00027-17703</t>
  </si>
  <si>
    <t>2025-26 Topps VJ Edgecombe #NL-3 No Limit RC 76ers</t>
  </si>
  <si>
    <t>RBM-0001-00011-77722</t>
  </si>
  <si>
    <t>2022-23 Panini Prizm Alton Lister #PNM-ALT Penmanship Auto Supersonics</t>
  </si>
  <si>
    <t>RBM-0001-00032-97977</t>
  </si>
  <si>
    <t>2025-26 Topps Scottie Barnes #SA-28 Stars of the NBA Green Rainbow /99 Raptors</t>
  </si>
  <si>
    <t>RBM-0001-00004-44705</t>
  </si>
  <si>
    <t>2024 Panini WNBA Prizm Jacy Sheldon #141 Silver RC Wings</t>
  </si>
  <si>
    <t>RBM-0001-00013-53574</t>
  </si>
  <si>
    <t>RBM-0001-00024-57922</t>
  </si>
  <si>
    <t>2025-26 Topps Amen Thompson #TC-AT 1980-81 Chrome Mojo Refractor Rockets</t>
  </si>
  <si>
    <t>RBM-0001-00031-74978</t>
  </si>
  <si>
    <t>2024-25 Panini Mosaic Victor Wembanyama #288 Premium Mosaic City Edition Spurs</t>
  </si>
  <si>
    <t>RBM-0001-00003-37987</t>
  </si>
  <si>
    <t>2025 Bowman's Best Josuar Gonzalez #TP-13 Top Prospects Refractor Giants</t>
  </si>
  <si>
    <t>RBM-0001-00009-23389</t>
  </si>
  <si>
    <t>2025 Bowman's Best Julio Rodriguez #49 Refractor Mariners</t>
  </si>
  <si>
    <t>RBM-0001-00006-05231</t>
  </si>
  <si>
    <t>RBM-0001-00014-05240</t>
  </si>
  <si>
    <t>2025 Bowman's Best Bryce Eldridge #TP-15 Top Prospects Refractor Giants</t>
  </si>
  <si>
    <t>RBM-0001-00010-24187</t>
  </si>
  <si>
    <t>2025 Bowman's Best Jung Hoo Lee #7 Refractor Giants</t>
  </si>
  <si>
    <t>RBM-0001-00011-15674</t>
  </si>
  <si>
    <t>2025 Bowman's Best Rafael Devers #21 Refractor Giants</t>
  </si>
  <si>
    <t>RBM-0001-00018-34591</t>
  </si>
  <si>
    <t>2025 Bowman Draft Pico Kohn #BDC-52 Chrome Refractor 1st Prospect Yankees</t>
  </si>
  <si>
    <t>RBM-0001-00003-40364</t>
  </si>
  <si>
    <t>2025 Bowman's Best Cal Raleigh #55 Refractor Mariners</t>
  </si>
  <si>
    <t>RBM-0001-00005-66044</t>
  </si>
  <si>
    <t>2025 Bowman Draft Konnor Griffin #BDC-102 Chrome Pirates</t>
  </si>
  <si>
    <t>RBM-0001-00002-63468</t>
  </si>
  <si>
    <t>2025 Bowman Draft Konnor Griffin #PP-17 Chrome Prized Prospects Pirates</t>
  </si>
  <si>
    <t>RBM-0001-00001-92493</t>
  </si>
  <si>
    <t>2025 Bowman's Best - Top Prospects Konnor Griffin #TP-27 Purple Refractor /250</t>
  </si>
  <si>
    <t>RBM-0001-00006-04088</t>
  </si>
  <si>
    <t>2025 Bowman's Best Julio Rodriguez #49 Mini Diamond Refractor 120/299 Mariners</t>
  </si>
  <si>
    <t>RBM-0001-00021-75645</t>
  </si>
  <si>
    <t>2025 Bowman Draft Landon Hodge #CPA-LHO Chrome Auto HTA Choice Refractor /150</t>
  </si>
  <si>
    <t>RBM-0001-00003-58537</t>
  </si>
  <si>
    <t>2025 Topps Chrome Update Carson McCusker #USC155 Purple RayWave Refractor /250</t>
  </si>
  <si>
    <t>RBM-0001-00024-99146</t>
  </si>
  <si>
    <t>2025-26 Topps Finest Anthony Edwards #FI-2 Finishers Timberwolves</t>
  </si>
  <si>
    <t>RBM-0001-00011-38283</t>
  </si>
  <si>
    <t>2025-26 Topps Finest Walter Clayton Jr. #F-18 First RC Jazz</t>
  </si>
  <si>
    <t>RBM-0001-00001-06005</t>
  </si>
  <si>
    <t>2025-26 Topps Chrome Dwight Powell #223 Negative Refractor Mavericks</t>
  </si>
  <si>
    <t>RBM-0001-00023-88928</t>
  </si>
  <si>
    <t>2025-26 Topps Chrome Evan Mobley #67 Negative Refractor Cavaliers</t>
  </si>
  <si>
    <t>RBM-0001-00006-10754</t>
  </si>
  <si>
    <t>2025-26 Topps Chrome VJ Edgecombe #SY-13 Serenity RC 76ers</t>
  </si>
  <si>
    <t>RBM-0001-00010-61937</t>
  </si>
  <si>
    <t>2025-26 Topps Chrome VJ Edgecombe #AC-13 Activators RC 76ers</t>
  </si>
  <si>
    <t>RBM-0001-00009-18168</t>
  </si>
  <si>
    <t>2025-26 Topps Finest Carter Bryant #14 Common RC Spurs</t>
  </si>
  <si>
    <t>RBM-0001-00005-94643</t>
  </si>
  <si>
    <t>2025-26 Topps Chrome VJ Edgecombe #VS-8 Voices RC 76ers</t>
  </si>
  <si>
    <t>RBM-0001-00008-07433</t>
  </si>
  <si>
    <t>2025-26 Topps Chrome Maxime Raynaud #293 RC Kings</t>
  </si>
  <si>
    <t>RBM-0001-00007-14448</t>
  </si>
  <si>
    <t>2025-26 Topps Finest Allen Iverson #M-1 Muse X-fractor 76ers</t>
  </si>
  <si>
    <t>RBM-0001-00017-64469</t>
  </si>
  <si>
    <t>2025-26 Topps Chrome Immanuel Quickley #212 Negative Refractor Raptors</t>
  </si>
  <si>
    <t>RBM-0001-00020-22374</t>
  </si>
  <si>
    <t>2025 Bowman's Best Konnor Griffin #P-15 Pixel Portraits Pirates</t>
  </si>
  <si>
    <t>RBM-0002-00005-68857</t>
  </si>
  <si>
    <t>2025 Bowman's Best Konnor Griffin #FG-4 MLB All-Star Futures Game NL</t>
  </si>
  <si>
    <t>RBM-0002-00004-70195</t>
  </si>
  <si>
    <t>2025 Bowman's Best Max Clark #TP-1 Top Prospects Refractor Tigers</t>
  </si>
  <si>
    <t>RBM-0002-00003-58775</t>
  </si>
  <si>
    <t>2025 Bowman's Best Kevin McGonigle #FG-18 MLB All-Star Futures Game AL</t>
  </si>
  <si>
    <t>RBM-0002-00001-05873</t>
  </si>
  <si>
    <t>2025 Bowman Chrome Kenny Fenelon #BCP-190 Purple Pulsar Refractor /250</t>
  </si>
  <si>
    <t>RBM-0002-00006-01691</t>
  </si>
  <si>
    <t>2025 Bowman's Best Cam Smith #C-19 Circuitry RC Astros</t>
  </si>
  <si>
    <t>RBM-0002-00038-10987</t>
  </si>
  <si>
    <t>2025 Bowman's Best Kevin McGonigle #TP-28 Top Prospects Aqua Refractor /199</t>
  </si>
  <si>
    <t>RBM-0002-00056-54312</t>
  </si>
  <si>
    <t>2026 Topps Jac Caglianone #SMLB-24 Stars of MLB Crackleboard Foil RC Royals</t>
  </si>
  <si>
    <t>RBM-0002-00062-21407</t>
  </si>
  <si>
    <t>2025 Bowman Draft Theo Gillen #BD-121 Green Border 30/99 Rays</t>
  </si>
  <si>
    <t>RBM-0002-00043-32979</t>
  </si>
  <si>
    <t>2025 Bowman's Best Nick Kurtz #42 Refractor RC Athletics</t>
  </si>
  <si>
    <t>RBM-0002-00051-74105</t>
  </si>
  <si>
    <t>2025 Bowman's Best Kade Anderson #TP-6 Top Prospects Refractor Mariners</t>
  </si>
  <si>
    <t>RBM-0002-00041-49198</t>
  </si>
  <si>
    <t>2025 Bowman Chrome Bryce Boettcher #BCP-243 Purple Refractor /250 1st Prospect</t>
  </si>
  <si>
    <t>RBM-0002-00046-68102</t>
  </si>
  <si>
    <t>2025-26 Topps Finest Matas Buzelis #236 Rare Blue Refractor 54/99 Bulls</t>
  </si>
  <si>
    <t>RBM-0002-00021-56785</t>
  </si>
  <si>
    <t>2025-26 Topps Finest Victor Wembanyama #98 Common Spurs</t>
  </si>
  <si>
    <t>RBM-0002-00005-10186</t>
  </si>
  <si>
    <t>2025-26 Topps Finest Cedric Coward #11 Common Oil Spill Refractor RC Grizzlies</t>
  </si>
  <si>
    <t>RBM-0002-00002-90915</t>
  </si>
  <si>
    <t>2025-26 Topps Finest Zach Lavine #169 Uncommon Sky Blue Refractor 78/250 Kings</t>
  </si>
  <si>
    <t>RBM-0002-00022-22017</t>
  </si>
  <si>
    <t>2025-26 Topps Finest Derik Queen #A-13 Arrivals RC Pelicans</t>
  </si>
  <si>
    <t>RBM-0002-00013-74744</t>
  </si>
  <si>
    <t>2025-26 Topps Chrome Nique Clifford #274 RayWave Refractor RC Kings</t>
  </si>
  <si>
    <t>RBM-0002-00018-94688</t>
  </si>
  <si>
    <t>RBM-0002-00006-15639</t>
  </si>
  <si>
    <t>2025-26 Topps Finest Dejounte Murray #97 Common Oil Spill Refractor Pelicans</t>
  </si>
  <si>
    <t>RBM-0002-00010-06844</t>
  </si>
  <si>
    <t>2025-26 Topps Finest Zach Lavine #286 Rare Kings</t>
  </si>
  <si>
    <t>RBM-0002-00008-91659</t>
  </si>
  <si>
    <t>RBM-0002-00009-93819</t>
  </si>
  <si>
    <t>2025-26 Topps Finest Jeremiah Fears #F-7 First RC Pelicans</t>
  </si>
  <si>
    <t>RBM-0002-00011-73797</t>
  </si>
  <si>
    <t>2025-26 Topps Finest Dylan Harper #A-2 Arrivals RC Spurs</t>
  </si>
  <si>
    <t>RBM-0002-00003-00544</t>
  </si>
  <si>
    <t>2025-26 Topps Finest Vince Carter #M-20 Muse Refractor Raptors</t>
  </si>
  <si>
    <t>RBM-0002-00014-78299</t>
  </si>
  <si>
    <t>2025-26 Topps Finest Dennis Rodman #M-18 Muse Bulls</t>
  </si>
  <si>
    <t>RBM-0002-00020-90627</t>
  </si>
  <si>
    <t>2025 Topps Chrome Sapphire Bogdan Bogdanovic #92 Purple Refractor /75</t>
  </si>
  <si>
    <t>RBM-0002-00007-76194</t>
  </si>
  <si>
    <t>2025-26 Topps Finest Cedric Coward #11 Common RC Grizzlies</t>
  </si>
  <si>
    <t>RBM-0002-00015-10654</t>
  </si>
  <si>
    <t>2025-26 Topps Finest Noa Essengue #12 Common X-Fractor RC Bulls</t>
  </si>
  <si>
    <t>RBM-0002-00012-45311</t>
  </si>
  <si>
    <t>2025-26 Topps Finest Derik Queen #13 Common RC Pelicans</t>
  </si>
  <si>
    <t>RBM-0002-00016-12717</t>
  </si>
  <si>
    <t>2025-26 Topps Finest Tracy McGrady #199 Uncommon Magic</t>
  </si>
  <si>
    <t>RBM-0002-00017-00768</t>
  </si>
  <si>
    <t>2025 Bowman's Best Konnor Griffin #TP-27 Top Prospects Refractor Pirates</t>
  </si>
  <si>
    <t>RBM-0001-00004-24129</t>
  </si>
  <si>
    <t>2025 Bowman's Best Chandler Simpson #66 Refractor RC Rays</t>
  </si>
  <si>
    <t>RBM-0002-00003-57529</t>
  </si>
  <si>
    <t>2025 Bowman Chrome Jesus Made #MR-3 Meteoric Rise Brewers</t>
  </si>
  <si>
    <t>RBM-0002-00008-56373</t>
  </si>
  <si>
    <t>2025 Bowman's Best Kyle Tucker #2 Refractor Cubs</t>
  </si>
  <si>
    <t>RBM-0002-00002-03310</t>
  </si>
  <si>
    <t>2025 Bowman's Best Chandler Simpson #66 Wave Refractor RC Rays</t>
  </si>
  <si>
    <t>RBM-0002-00013-33380</t>
  </si>
  <si>
    <t>2025 Bowman Chrome Bryce Eldridge #MM-15 Melt Mashers Giants</t>
  </si>
  <si>
    <t>RBM-0002-00009-29115</t>
  </si>
  <si>
    <t>2025-26 Topps Finest Victor Wembanyama #FI-1 Finishers Refractor Spurs</t>
  </si>
  <si>
    <t>RBM-0002-00001-33448</t>
  </si>
  <si>
    <t>2025 Bowman Chrome Cam Smith #IT-9 It Came to the League RC Astros</t>
  </si>
  <si>
    <t>RBM-0002-00006-81183</t>
  </si>
  <si>
    <t>2025 Bowman Chrome Cooper Pratt #MM-9 Melt Mashers Brewers</t>
  </si>
  <si>
    <t>RBM-0002-00007-75404</t>
  </si>
  <si>
    <t>2025 Bowman Chrome Jesus Made #MM-16 Melt Mashers Brewers</t>
  </si>
  <si>
    <t>RBM-0002-00010-52554</t>
  </si>
  <si>
    <t>2025 Bowman's Best Liam Doyle #P-3 Pixel Portraits Cardinals</t>
  </si>
  <si>
    <t>RBM-0002-00005-67835</t>
  </si>
  <si>
    <t>2025 Bowman Chrome Luisangel Acuna #32 Red RC Variation Mets</t>
  </si>
  <si>
    <t>RBM-0002-00011-05353</t>
  </si>
  <si>
    <t>2025-26 Topps Chrome Cooper Flagg #IP-18 Inspirational RC Mavericks</t>
  </si>
  <si>
    <t>BBA-000001-00009-59861</t>
  </si>
  <si>
    <t>2019 Topps Chrome Michael Kopech #17 Sepia Refractor RC White Sox</t>
  </si>
  <si>
    <t>RBM-0002-00010-18822</t>
  </si>
  <si>
    <t>2024 Topps Chrome Update Yariel Rodriguez #AC-YR Auto Aqua Wave Refractor /199</t>
  </si>
  <si>
    <t>RBM-0002-00005-48467</t>
  </si>
  <si>
    <t>2024 Bowman James Wood #BP-91 Prospects Purple /250 Nationals</t>
  </si>
  <si>
    <t>RBM-0002-00003-06400</t>
  </si>
  <si>
    <t>2025 Topps Chrome Update Nick Kurtz #NT-5 Night Terrors RC Athletics</t>
  </si>
  <si>
    <t>RBM-0002-00004-08697</t>
  </si>
  <si>
    <t>2025 Bowman Chrome James Wood #MM-4 Melt Mashers RC Nationals</t>
  </si>
  <si>
    <t>RBM-0002-00008-25995</t>
  </si>
  <si>
    <t>2025 Topps Jace Jung #80 Easter Holiday Tin Border RC Tigers</t>
  </si>
  <si>
    <t>RBM-0002-00009-87409</t>
  </si>
  <si>
    <t>2025 Bowman Chrome Roman Anthony #MM-13 Melt Mashers Red Sox</t>
  </si>
  <si>
    <t>RBM-0002-00007-09774</t>
  </si>
  <si>
    <t>2025 Topps Pristine J.T. Realmuto #112 Aqua Refractor 97/199 Phillies</t>
  </si>
  <si>
    <t>RBM-0002-00012-89845</t>
  </si>
  <si>
    <t>2025 Topps Archives Matt Olson #95C-3 1995 Cyberstats Braves</t>
  </si>
  <si>
    <t>RBM-0002-00011-76485</t>
  </si>
  <si>
    <t>2021 Bowman Zac Veen #CPA-ZV Chrome Prospect Auto Rockies</t>
  </si>
  <si>
    <t>JIMWH-0001-00004-40361</t>
  </si>
  <si>
    <t>2021 Bowman Zac Veen #BCP-3 Chrome Prospects Fuchsia Shimmer Refractor /199</t>
  </si>
  <si>
    <t>JIMWH-0001-00002-12403</t>
  </si>
  <si>
    <t>2018 Topps Update Next Stop Stardom Justin Upton Shohei Ohtani Mike Trout #US158</t>
  </si>
  <si>
    <t>JIMWH-0001-00001-01425</t>
  </si>
  <si>
    <t>2025 Bowman Chrome Caden Powell #BCP-212 1st Prospect Astros</t>
  </si>
  <si>
    <t>MISC-0001-00019-02849</t>
  </si>
  <si>
    <t>2025 Bowman Chrome Bo Davidson #BCP-206 1st Prospect Giants</t>
  </si>
  <si>
    <t>MISC-0001-00013-56155</t>
  </si>
  <si>
    <t>2025 Bowman Chrome Christopher Suero #BCP-191 1st Prospect Mets</t>
  </si>
  <si>
    <t>MISC-0001-00011-39335</t>
  </si>
  <si>
    <t>2025 Bowman Chrome Djean Macares #BCP-237 1st Prospect Giants</t>
  </si>
  <si>
    <t>MISC-0001-00016-32765</t>
  </si>
  <si>
    <t>2025 Bowman Draft Ethan Conrad #BDC-17 Chrome 1st Prospect Cubs</t>
  </si>
  <si>
    <t>MISC-0001-00003-70045</t>
  </si>
  <si>
    <t>2026 Topps Paul Skenes #TOG-14 Titans Of The Game</t>
  </si>
  <si>
    <t>MISC-0001-00009-43297</t>
  </si>
  <si>
    <t>2025 Bowman Chrome Tsung-Che Cheng #86 RC Pirates</t>
  </si>
  <si>
    <t>MISC-0001-00018-56284</t>
  </si>
  <si>
    <t>2025 Bowman Chrome Jose Anderson #BCP-193 1st Prospect Brewers</t>
  </si>
  <si>
    <t>MISC-0001-00005-46071</t>
  </si>
  <si>
    <t>2025 Bowman Chrome Logan Henderson #92 RC Brewers</t>
  </si>
  <si>
    <t>MISC-0001-00023-41601</t>
  </si>
  <si>
    <t>2025 Bowman Draft Korbyn Dickerson #BDC-69 Chrome 1st Prospect Mariners</t>
  </si>
  <si>
    <t>MISC-0001-00001-06710</t>
  </si>
  <si>
    <t>2025 Bowman Chrome Luisangel Acuna #32 RC Mets</t>
  </si>
  <si>
    <t>MISC-0001-00020-92577</t>
  </si>
  <si>
    <t>2025 Bowman Chrome Cristopher Acosta #BCP-176 1st Prospect Brewers</t>
  </si>
  <si>
    <t>MISC-0001-00006-03028</t>
  </si>
  <si>
    <t>2025 Bowman Chrome Bryce Boettcher #BCP-243 1st Prospect Astros</t>
  </si>
  <si>
    <t>MISC-0001-00022-25957</t>
  </si>
  <si>
    <t>2025 Bowman Chrome Jakob Christian #BCP-157 1st Prospect Giants</t>
  </si>
  <si>
    <t>MISC-0001-00008-55919</t>
  </si>
  <si>
    <t>2025 Bowman Chrome Robert Hipwell #BCP-238 Mini Diamond Refractor 1st Prospect</t>
  </si>
  <si>
    <t>MISC-0001-00014-16242</t>
  </si>
  <si>
    <t>2025 Bowman Chrome Marco Dinges #BCP-183 1st Prospect Brewers</t>
  </si>
  <si>
    <t>MISC-0001-00010-15278</t>
  </si>
  <si>
    <t>2025 Bowman Chrome Robert Hipwell #BCP-238 1st Prospect Giants</t>
  </si>
  <si>
    <t>MISC-0001-00007-69085</t>
  </si>
  <si>
    <t>2023 Topps Shohei Ohtani #SMLB-21 Stars of MLB Angels</t>
  </si>
  <si>
    <t>BBRB-0003-00009-99200</t>
  </si>
  <si>
    <t>2024 Topps 50/50: Shohei Ohtani #50 Dodgers</t>
  </si>
  <si>
    <t>BBRB-0003-00007-61781</t>
  </si>
  <si>
    <t>2024 Topps 50/50: Shohei Ohtani #66 Dodgers</t>
  </si>
  <si>
    <t>BBRB-0003-00006-90256</t>
  </si>
  <si>
    <t>2024 Topps 50/50: Shohei Ohtani #1 Dodgers SB#1</t>
  </si>
  <si>
    <t>BBRB-0003-00008-50259</t>
  </si>
  <si>
    <t>2021-22 Topps Tier One Bundesliga Auto Relics Ondrej Duda #ATOR-OD 1 #/10</t>
  </si>
  <si>
    <t>j9yym-1DE2F8E</t>
  </si>
  <si>
    <t>2025-26 Topps Finest Ace Bailey #5 Common Green Refractor 23/75 RC Jazz</t>
  </si>
  <si>
    <t>BBTBR-0001-00001-79255</t>
  </si>
  <si>
    <t>2024 Bowman Curtis Mead #28 Neon Green 156/399 RC Rays</t>
  </si>
  <si>
    <t>MISC-0002-00027-97598</t>
  </si>
  <si>
    <t>2024 Topps Heritage Junior Caminero #267 RC Rays</t>
  </si>
  <si>
    <t>MISC-0002-00019-53297</t>
  </si>
  <si>
    <t>2023 Topps Corbin Carroll #401 RC Diamondbacks</t>
  </si>
  <si>
    <t>MISC-0002-00026-10377</t>
  </si>
  <si>
    <t>2024 Topps Chrome Ketel Marte #35 Purple Speckle Refractor 294/299 Diamondbacks</t>
  </si>
  <si>
    <t>MISC-0002-00024-98746</t>
  </si>
  <si>
    <t>2020 Topps Update Mike Trout #U-243 Angels</t>
  </si>
  <si>
    <t>MISC-0002-00030-85662</t>
  </si>
  <si>
    <t>2024 Topps Chrome Yoshinobu Yamamoto #18 RC Dodgers</t>
  </si>
  <si>
    <t>MISC-0002-00011-84730</t>
  </si>
  <si>
    <t>2025 Topps Dylan Crews #SMLB-30 Stars of MLB RC Nationals</t>
  </si>
  <si>
    <t>MISC-0002-00022-86722</t>
  </si>
  <si>
    <t>2024 Topps Chrome Oneil Cruz #98 Purple Sonar Refractor 155/275 Pirates</t>
  </si>
  <si>
    <t>MISC-0002-00017-82278</t>
  </si>
  <si>
    <t>2024 Bowman Mega Box Jordan Westburg #42 Mojo Fuchsia Refractor 9/299 Orioles</t>
  </si>
  <si>
    <t>MISC-0002-00013-08641</t>
  </si>
  <si>
    <t>2024 Panini Prizm Rhett Lowder #65 Green Ice Reds</t>
  </si>
  <si>
    <t>MISC-0002-00023-41119</t>
  </si>
  <si>
    <t>2021 Bowman 1st Edition Anthony Volpe #BFE-85 Yankees</t>
  </si>
  <si>
    <t>MISC-0002-00015-71706</t>
  </si>
  <si>
    <t>2024 Bowman Chrome Masyn Winn #61 Mega Box Aqua Refractor 98/299 RC Cardinals</t>
  </si>
  <si>
    <t>MISC-0002-00010-41454</t>
  </si>
  <si>
    <t>2022 Bowman Mike Trout #32 Angels</t>
  </si>
  <si>
    <t>MISC-0002-00020-56361</t>
  </si>
  <si>
    <t>2022-23 Panini Flux Zion Williamson #115 Pelicans</t>
  </si>
  <si>
    <t>Refresh-0002-00016-52031</t>
  </si>
  <si>
    <t>2024 Panini Prizm Draft Picks Collegiate Bronny James Jr. #3 Fearless Silver RC</t>
  </si>
  <si>
    <t>Refresh-0002-00026-89756</t>
  </si>
  <si>
    <t>2022-23 Panini Hoops Justin Holiday #GS-JHD Great SIGnificance Auto Hawks</t>
  </si>
  <si>
    <t>Refresh-0002-00045-60744</t>
  </si>
  <si>
    <t>2024-25 Panini Hoops Dennis Schroder #60 Storm /299 Nets</t>
  </si>
  <si>
    <t>Refresh-0002-00005-03897</t>
  </si>
  <si>
    <t>2025-26 Topps Liam McNeeley #TC-LM 1980-81 Chrome Mojo Refractor RC Hornets</t>
  </si>
  <si>
    <t>Refresh-0002-00017-51777</t>
  </si>
  <si>
    <t>2024-25 Panini Mosaic Jared McCain #17 Thunder Road Mosaic RC 76ers</t>
  </si>
  <si>
    <t>Refresh-0002-00042-96637</t>
  </si>
  <si>
    <t>2025-26 Topps Chrome Buddy Hield #215 Yellow Basketball Refractor /275 Warriors</t>
  </si>
  <si>
    <t>Refresh-0002-00010-77273</t>
  </si>
  <si>
    <t>2020-21 Panini Prizm Stephen Curry #159 Warriors</t>
  </si>
  <si>
    <t>Refresh-0002-00015-78594</t>
  </si>
  <si>
    <t>2020-21 Panini Chronicles Tyrese Haliburton #241 Green RC Kings</t>
  </si>
  <si>
    <t>Refresh-0002-00024-12022</t>
  </si>
  <si>
    <t>2023-24 Panini Mosaic Tyrese Haliburton #289 City Edition Pacers</t>
  </si>
  <si>
    <t>Refresh-0002-00003-04154</t>
  </si>
  <si>
    <t>2021-22 Panini Prizm Draft Picks Anthony Edwards #65 Bulldogs</t>
  </si>
  <si>
    <t>Refresh-0002-00023-69135</t>
  </si>
  <si>
    <t>2023-24 Panini Donruss Optic Jayson Tatum #140 Celtics</t>
  </si>
  <si>
    <t>Refresh-0002-00008-99661</t>
  </si>
  <si>
    <t>2024-25 Panini Hoops Victor Wembanyama #10 Frequent Flyers Winter Spurs</t>
  </si>
  <si>
    <t>Refresh-0002-00014-69793</t>
  </si>
  <si>
    <t>2024 Panini Prizm Draft Picks Collegiate Stephen Curry #77</t>
  </si>
  <si>
    <t>Refresh-0002-00043-41130</t>
  </si>
  <si>
    <t>2025-26 Topps Ace Bailey #205 RC Jazz</t>
  </si>
  <si>
    <t>Refresh-0002-00034-25758</t>
  </si>
  <si>
    <t>2024 Panini Prizm Draft Picks Collegiate Reed Sheppard #2 Deep Space Silver RC</t>
  </si>
  <si>
    <t>Refresh-0002-00035-79814</t>
  </si>
  <si>
    <t>2025-26 Topps Donovan Mitchell #TC-DM 1980-81 Chrome Mojo Refractor Cavaliers</t>
  </si>
  <si>
    <t>Refresh-0002-00039-31810</t>
  </si>
  <si>
    <t>2023-24 Panini Donruss Optic Zion Williamson #35 Hyper Pink Prizm Pelicans</t>
  </si>
  <si>
    <t>Refresh-0002-00025-34034</t>
  </si>
  <si>
    <t>2025-26 Topps Kon Knueppel #204 RC Hornets</t>
  </si>
  <si>
    <t>Refresh-0002-00011-21871</t>
  </si>
  <si>
    <t>2020-21 Panini Prizm Carmelo Anthony #154 Trail Blazers</t>
  </si>
  <si>
    <t>Refresh-0002-00018-36524</t>
  </si>
  <si>
    <t>2024-25 Panini Donruss Optic Alexandre Sarr #9 My House Holo RC Wizards</t>
  </si>
  <si>
    <t>Refresh-0002-00041-96935</t>
  </si>
  <si>
    <t>2025-26 Topps Ace Bailey #NL-5 No Limit RC Jazz</t>
  </si>
  <si>
    <t>Refresh-0002-00007-00636</t>
  </si>
  <si>
    <t>2025-26 Topps Noa Essengue #TC-NE 1980-81 Chrome Mojo Refractor RC Bulls</t>
  </si>
  <si>
    <t>Refresh-0002-00009-60951</t>
  </si>
  <si>
    <t>2024 Panini Prizm Draft Picks Collegiate Cameron Brink #89b RC VAR</t>
  </si>
  <si>
    <t>Refresh-0002-00027-14509</t>
  </si>
  <si>
    <t>2014-15 Panini Select Joakim Noah #33 Prizms Red 109/149 Bulls</t>
  </si>
  <si>
    <t>Refresh-0002-00044-41719</t>
  </si>
  <si>
    <t>2024 Panini Prizm Draft Picks Collegiate Cameron Brink #89 RC Cardinal</t>
  </si>
  <si>
    <t>Refresh-0002-00028-01970</t>
  </si>
  <si>
    <t>2025-26 Topps Franz Wagner #TC-FW 1980-81 Chrome Mojo Refractor Magic</t>
  </si>
  <si>
    <t>Refresh-0002-00038-17093</t>
  </si>
  <si>
    <t>2024-25 Panini Donruss Optic Robert Williams III #139 Holo Prizm Trail Blazers</t>
  </si>
  <si>
    <t>Refresh-0002-00037-77919</t>
  </si>
  <si>
    <t>2024-25 Panini Donruss Optic Jalen Brunson #12 My House Knicks</t>
  </si>
  <si>
    <t>Refresh-0002-00012-89406</t>
  </si>
  <si>
    <t>2023-24 Panini Phoenix Giannis Antetokounmpo #10 Paragon Bucks</t>
  </si>
  <si>
    <t>Refresh-0002-00019-10381</t>
  </si>
  <si>
    <t>2024 Panini Prizm Draft Picks Collegiate Zaccharie Risacher #21 New Recruits RC</t>
  </si>
  <si>
    <t>Refresh-0002-00029-19591</t>
  </si>
  <si>
    <t>2022-23 Panini Flux Jaylen Brown #62 Celtics</t>
  </si>
  <si>
    <t>Refresh-0002-00033-71270</t>
  </si>
  <si>
    <t>2019-20 Panini Illusions Devin Booker #16 Shining Stars Emerald Suns</t>
  </si>
  <si>
    <t>Refresh-0002-00001-32193</t>
  </si>
  <si>
    <t>2021-22 Panini Prizm Jonathan Kuminga #7 Instant Impact RC Warriors</t>
  </si>
  <si>
    <t>Refresh-0002-00004-29502</t>
  </si>
  <si>
    <t>2021-22 Panini Prizm Draft Picks Stephen Curry #56</t>
  </si>
  <si>
    <t>Refresh-0002-00020-30791</t>
  </si>
  <si>
    <t>2024-25 Panini Donruss Optic Shai Gilgeous-Alexander #6 My House Thunder</t>
  </si>
  <si>
    <t>Refresh-0002-00040-84885</t>
  </si>
  <si>
    <t>2025-26 Topps Thomas Sorber #TC-TS 1980-81 Chrome Mojo Refractor RC Thunder</t>
  </si>
  <si>
    <t>Refresh-0002-00022-62633</t>
  </si>
  <si>
    <t>2023-24 Panini Donruss Optic Tyrese Haliburton #27 Pacers</t>
  </si>
  <si>
    <t>Refresh-0002-00006-58434</t>
  </si>
  <si>
    <t>2024 Panini Donruss Optic Pacome Dadiet #264 Holo Prizm RC Rated Rookie</t>
  </si>
  <si>
    <t>Refresh-0002-00031-63066</t>
  </si>
  <si>
    <t>2024-25 Panini Prizm Devin Carter #231 Orange Ice RC Kings</t>
  </si>
  <si>
    <t>Refresh-0002-00021-44469</t>
  </si>
  <si>
    <t>2024-25 Panini Prizm Monopoly Victor Wembanyama #73 Spurs</t>
  </si>
  <si>
    <t>Refresh-0002-00002-24910</t>
  </si>
  <si>
    <t>2024 Panini Prizm Draft Picks Collegiate Stephen Curry #19 Fearless</t>
  </si>
  <si>
    <t>Refresh-0002-00030-90861</t>
  </si>
  <si>
    <t>2022-23 Panini Flux Bam Adebayo #7 D Lux Heat</t>
  </si>
  <si>
    <t>Refresh-0002-00046-36964</t>
  </si>
  <si>
    <t>2024 Panini Prizm Draft Picks Collegiate Reed Sheppard #13 New Recruits RC</t>
  </si>
  <si>
    <t>Refresh-0002-00013-91105</t>
  </si>
  <si>
    <t>2025 Bowman Draft Konnor Griffin Chrome Refractor #BDC-102 Pirates</t>
  </si>
  <si>
    <t>Refresh-0002-00001-84687</t>
  </si>
  <si>
    <t>2025 Bowman Draft Dante Nori #BDC-33 Chrome Blue Refractor 53/150 Phillies</t>
  </si>
  <si>
    <t>Refresh-0002-00002-79555</t>
  </si>
  <si>
    <t>2025 Bowman Draft Cade Obermueller #CPA-CO Chrome Auto 1st Prospect Phillies</t>
  </si>
  <si>
    <t>Refresh-0002-00014-70080</t>
  </si>
  <si>
    <t>2025 Bowman Draft Tim Piasentin #CPA-TP Chrome Auto 1st Prospect Blue Jays</t>
  </si>
  <si>
    <t>Refresh-0002-00013-19954</t>
  </si>
  <si>
    <t>2026 Topps Caleb Durbin #297 Red Rainbow Foil 1/5 Brewers</t>
  </si>
  <si>
    <t>Refresh-0002-00009-00259</t>
  </si>
  <si>
    <t>2025 Bowman's Best Walker Janek #B25-WJA Best of Auto Astros</t>
  </si>
  <si>
    <t>Refresh-0002-00023-74402</t>
  </si>
  <si>
    <t>2025 Bowman's Best Corbin Carroll #8 Blue Refractor 67/150 Diamondbacks</t>
  </si>
  <si>
    <t>Refresh-0002-00011-30105</t>
  </si>
  <si>
    <t>2025 Bowman's Best Byron Buxton #48 Gold Lava Refractor /50 Twins</t>
  </si>
  <si>
    <t>Refresh-0002-00018-84489</t>
  </si>
  <si>
    <t>2025 Bowman Draft Jared Thomas #BDC-147 Chrome Yellow Cracked Ice Refractor /75</t>
  </si>
  <si>
    <t>Refresh-0002-00013-28586</t>
  </si>
  <si>
    <t>2025 Bowman's Best Mike Trout #26 Refractor Angels</t>
  </si>
  <si>
    <t>Refresh-0002-00009-30387</t>
  </si>
  <si>
    <t>2025 Bowman's Best Jared Thomas #B25-JTH Best of Auto Rockies</t>
  </si>
  <si>
    <t>Refresh-0002-00020-28338</t>
  </si>
  <si>
    <t>2025 Bowman's Best Eric Bitonti #B25-EBI Best of Auto Brewers</t>
  </si>
  <si>
    <t>Refresh-0002-00001-65747</t>
  </si>
  <si>
    <t>2025 Bowman's Best Jac Caglianone #TP-3 Top Prospects Blue Refractor /150</t>
  </si>
  <si>
    <t>Refresh-0002-00005-84931</t>
  </si>
  <si>
    <t>2025 Bowman's Best Joswa Lugo #B25-JLU Best of Auto Angels</t>
  </si>
  <si>
    <t>Refresh-0002-00003-08094</t>
  </si>
  <si>
    <t>2025 Bowman's Best Jesus Made #BP-20 Performance Brewers</t>
  </si>
  <si>
    <t>RB_Batch-0005-00017-01745</t>
  </si>
  <si>
    <t>2026 Topps Heritage Aaron Judge #RA-AJ Ready and Action Yankees</t>
  </si>
  <si>
    <t>RB_Batch-0005-00044-68067</t>
  </si>
  <si>
    <t>2025 Bowman's Best Chase Dollander #30 Refractor RC Rockies</t>
  </si>
  <si>
    <t>RB_Batch-0005-00001-41338</t>
  </si>
  <si>
    <t>2025 Bowman's Best Corbin Carroll #BP-3 Performance Mini Diamond Refractor</t>
  </si>
  <si>
    <t>RB_Batch-0005-00055-79730</t>
  </si>
  <si>
    <t>2025 Bowman's Best Marcelo Mayer #BS-3 Showpieces Mini Diamond Refractor RC</t>
  </si>
  <si>
    <t>RB_Batch-0005-00020-86355</t>
  </si>
  <si>
    <t>2025 Bowman's Best Jesus Made #TP-17 Top Prospects Refractor Brewers</t>
  </si>
  <si>
    <t>RB_Batch-0005-00016-45389</t>
  </si>
  <si>
    <t>2025 Bowman's Best George Lombard Jr. #FG-19 MLB All-Star Futures Game AL</t>
  </si>
  <si>
    <t>RB_Batch-0005-00032-80043</t>
  </si>
  <si>
    <t>2025 Bowman's Best Mike Trout #BP-22 Performance Angels</t>
  </si>
  <si>
    <t>RB_Batch-0005-00025-63899</t>
  </si>
  <si>
    <t>2025 Bowman's Best JJ Wetherholt #BS-11 Showpieces Cardinals</t>
  </si>
  <si>
    <t>RB_Batch-0005-00054-62366</t>
  </si>
  <si>
    <t>2025 Bowman's Best Agustin Ramirez #16 Refractor RC Marlins</t>
  </si>
  <si>
    <t>RB_Batch-0005-00028-70614</t>
  </si>
  <si>
    <t>2026 Topps Bryce Miller #331 Yellow Holo Foil 123/399 Mariners</t>
  </si>
  <si>
    <t>RB_Batch-0005-00045-98597</t>
  </si>
  <si>
    <t>2025 Bowman's Best JJ Wetherholt #TP-14 Top Prospects Refractor Cardinals</t>
  </si>
  <si>
    <t>RB_Batch-0005-00013-61337</t>
  </si>
  <si>
    <t>2025 Bowman's Best Marcelo Mayer #5 Refractor RC Red Sox</t>
  </si>
  <si>
    <t>RB_Batch-0005-00003-57150</t>
  </si>
  <si>
    <t>2025 Bowman's Best JR Ritchie #FG-9 MLB All-Star Futures Game NL</t>
  </si>
  <si>
    <t>RB_Batch-0005-00039-94644</t>
  </si>
  <si>
    <t>2025 Bowman's Best Matt Olson #20 Refractor Braves</t>
  </si>
  <si>
    <t>RB_Batch-0005-00026-98814</t>
  </si>
  <si>
    <t>2026 Topps Kris Bubic #58 Rainbow Foil Royals</t>
  </si>
  <si>
    <t>RB_Batch-0005-00029-78872</t>
  </si>
  <si>
    <t>2026 Topps Collector's Kit Exclusive Roman Anthony #MLB-2 Rainbow Foil RC</t>
  </si>
  <si>
    <t>RB_Batch-0005-00007-80964</t>
  </si>
  <si>
    <t>2025 Bowman's Best Cam Smith #29 RC Astros</t>
  </si>
  <si>
    <t>RB_Batch-0005-00040-03022</t>
  </si>
  <si>
    <t>2025 Bowman's Best Marcelo Mayer #P-18 Pixel Portraits RC Red Sox</t>
  </si>
  <si>
    <t>RB_Batch-0005-00005-48251</t>
  </si>
  <si>
    <t>2026 Topps Bo Jackson #91C-5 1991 Chrome Silver Pack Mojo Refractor Royals</t>
  </si>
  <si>
    <t>RB_Batch-0005-00023-83538</t>
  </si>
  <si>
    <t>RB_Batch-0005-00024-97415</t>
  </si>
  <si>
    <t>2025 Bowman's Best Byron Buxton #48 Refractor Twins</t>
  </si>
  <si>
    <t>RB_Batch-0005-00002-73077</t>
  </si>
  <si>
    <t>2025 Bowman's Best Slade Caldwell #TP-30 Top Prospects Refractor Diamondbacks</t>
  </si>
  <si>
    <t>RB_Batch-0005-00011-73204</t>
  </si>
  <si>
    <t>2025 Bowman's Best Jazz Chisholm Jr. #28 Refractor Yankees</t>
  </si>
  <si>
    <t>RB_Batch-0005-00031-97486</t>
  </si>
  <si>
    <t>2026 Topps Heritage Shohei Ohtani #290 NL All-Stars Los Angeles Dodgers</t>
  </si>
  <si>
    <t>RB_Batch-0005-00042-75023</t>
  </si>
  <si>
    <t>2025 Bowman's Best Julio Rodriguez #C-6 Circuitry Mariners</t>
  </si>
  <si>
    <t>RB_Batch-0005-00006-12283</t>
  </si>
  <si>
    <t>2026 Topps Collector's Kit Exclusive Jac Caglianone #MLB-3 Wave Foil RC</t>
  </si>
  <si>
    <t>RB_Batch-0005-00043-72874</t>
  </si>
  <si>
    <t>2025 Bowman's Best Roman Anthony #BP-19 Performance Mini Diamond Refractor</t>
  </si>
  <si>
    <t>RB_Batch-0005-00018-25909</t>
  </si>
  <si>
    <t>2025 Bowman's Best Jac Caglianone #TP-3 Top Prospects Refractor Royals</t>
  </si>
  <si>
    <t>RB_Batch-0005-00015-14096</t>
  </si>
  <si>
    <t>2025 Bowman's Best Ronald Acuna Jr. #13 Refractor Braves</t>
  </si>
  <si>
    <t>RB_Batch-0005-00035-22093</t>
  </si>
  <si>
    <t>2025 Bowman's Best #13 Spencer Schwellenbach Blue Refractor 142/150 Braves</t>
  </si>
  <si>
    <t>RB_Batch-0005-00052-85906</t>
  </si>
  <si>
    <t>2025 Bowman Ike Irish #PP-8 Chrome Prized Prospects Mini Diamond Refractor /150</t>
  </si>
  <si>
    <t>RB_Batch-0005-00041-86252</t>
  </si>
  <si>
    <t>2025 Topps Chrome Update Zac Veen #USC186 Refractor RC Rockies</t>
  </si>
  <si>
    <t>RB_Batch-0005-00047-53053</t>
  </si>
  <si>
    <t>2026 Topps Bobby Witt Jr. #91C-19 1991 Chrome Silver Pack Mojo Refractor Royals</t>
  </si>
  <si>
    <t>RB_Batch-0005-00010-92929</t>
  </si>
  <si>
    <t>RB_Batch-0005-00019-37634</t>
  </si>
  <si>
    <t>2026 Topps Heritage Chrome Refractor #161 - Carson Williams - Rays Rookie RC!</t>
  </si>
  <si>
    <t>RB_Batch-0005-00046-09121</t>
  </si>
  <si>
    <t>2025 Bowman's Best George Lombard Jr. #TP-23 Top Prospects Refractor Yankees</t>
  </si>
  <si>
    <t>RB_Batch-0005-00030-09043</t>
  </si>
  <si>
    <t>2026 Topps Collector's Kit Exclusive Jac Caglianone #MLB-3 Rainbow Foil RC</t>
  </si>
  <si>
    <t>RB_Batch-0005-00008-38868</t>
  </si>
  <si>
    <t>2025 Bowman's Best Roman Anthony #TP-16 Top Prospects Refractor Red Sox</t>
  </si>
  <si>
    <t>RB_Batch-0005-00051-39338</t>
  </si>
  <si>
    <t>2025 Bowman's Best Charlie Condon #TP-8 Top Prospects Refractor Rockies</t>
  </si>
  <si>
    <t>RB_Batch-0005-00021-21963</t>
  </si>
  <si>
    <t>2025 Bowman's Best Bobby Witt Jr. #C-1 Circuitry Royals</t>
  </si>
  <si>
    <t>RB_Batch-0005-00037-13206</t>
  </si>
  <si>
    <t>2025 Bowman's Best Spencer Schwellenbach #68 Refractor RC Braves</t>
  </si>
  <si>
    <t>RB_Batch-0005-00034-99877</t>
  </si>
  <si>
    <t>2026 Topps Stephen Kolek #48 Yellow Rainbow Foil 169/399 Royals</t>
  </si>
  <si>
    <t>RB_Batch-0005-00009-86171</t>
  </si>
  <si>
    <t>RB_Batch-0005-00012-28520</t>
  </si>
  <si>
    <t>2025 Bowman's Best Masyn Winn #44 Refractor Cardinals</t>
  </si>
  <si>
    <t>RB_Batch-0005-00022-55676</t>
  </si>
  <si>
    <t>2023 Bowman's Best Spencer Jones #TP-5 Top Prospects Refractor Yankees</t>
  </si>
  <si>
    <t>RB_Batch-0005-00027-34560</t>
  </si>
  <si>
    <t>2024-25 Panini Donruss Optic Shai Gilgeous-Alexander #6 My House Holo Thunder</t>
  </si>
  <si>
    <t>RB_Batch-0006-00019-96080</t>
  </si>
  <si>
    <t>2024 Panini Donruss Optic Bub Carrington #273 Hyper Pink Prizm RC Rated Rookie</t>
  </si>
  <si>
    <t>RB_Batch-0006-00016-50145</t>
  </si>
  <si>
    <t>2024 Panini Donruss Optic Ryan Dunn #279 Hyper Blue Prizm /175 RC Rated Rookie</t>
  </si>
  <si>
    <t>RB_Batch-0006-00012-93979</t>
  </si>
  <si>
    <t>2026 Topps Collector's Kit Exclusive Ace Bailey #NBA-8 Rainbow Foil RC</t>
  </si>
  <si>
    <t>RB_Batch-0006-00035-91776</t>
  </si>
  <si>
    <t>2024 Panini Donruss Optic Donovan Clingan #272 Holo Prizm RC Rated Rookie</t>
  </si>
  <si>
    <t>RB_Batch-0006-00011-36239</t>
  </si>
  <si>
    <t>2024-25 Panini Donruss Optic Isaiah Collier #295 Holo Prizm RC Rated Rookie Jazz</t>
  </si>
  <si>
    <t>RB_Batch-0006-00006-94968</t>
  </si>
  <si>
    <t>2024-25 Panini Donruss Optic Stephon Castle #16 My House Holo RC Spurs</t>
  </si>
  <si>
    <t>RB_Batch-0006-00033-33760</t>
  </si>
  <si>
    <t>2025 Panini Caitlin Clark Chronicled #69 Dress For Success Holo Fever</t>
  </si>
  <si>
    <t>RB_Batch-0006-00025-96616</t>
  </si>
  <si>
    <t>2026 Topps Collector's Kit Exclusive Egor Demin #NBA-9 Rainbow Foil RC</t>
  </si>
  <si>
    <t>RB_Batch-0006-00031-90941</t>
  </si>
  <si>
    <t>2025 Panini Caitlin Clark Chronicled #36 WNBA Green Laser Fever</t>
  </si>
  <si>
    <t>RB_Batch-0006-00026-14749</t>
  </si>
  <si>
    <t>2024 Panini Donruss Optic Zaccharie Risacher #268 Holo Prizm RC Rated Rookie</t>
  </si>
  <si>
    <t>RB_Batch-0006-00004-65627</t>
  </si>
  <si>
    <t>2025 Panini Caitlin Clark Chronicled #38 WNBA Holo Fever</t>
  </si>
  <si>
    <t>RB_Batch-0006-00022-28745</t>
  </si>
  <si>
    <t>2026 Topps Collector's Kit Exclusive Victor Wembanyama #NBA-7 Rainbow Foil</t>
  </si>
  <si>
    <t>RB_Batch-0006-00034-50005</t>
  </si>
  <si>
    <t>2024-25 Panini Prizm Deca Bub Carrington #145 RC Wizards</t>
  </si>
  <si>
    <t>RB_Batch-0006-00029-46916</t>
  </si>
  <si>
    <t>2025 Panini Caitlin Clark Chronicled #72 Shoe Game Holo Fever</t>
  </si>
  <si>
    <t>RB_Batch-0006-00028-14441</t>
  </si>
  <si>
    <t>2024 Panini Donruss Optic Donovan Clingan #11 White Hot Rookies Holo RC</t>
  </si>
  <si>
    <t>RB_Batch-0006-00015-48867</t>
  </si>
  <si>
    <t>2024-25 Panini Donruss Optic Kelly Olynyk #152 Checkerboard Prizm Raptors</t>
  </si>
  <si>
    <t>RB_Batch-0006-00013-98961</t>
  </si>
  <si>
    <t>2024 Panini Donruss Optic Jaylen Wells #252 Holo Prizm RC Rated Rookie</t>
  </si>
  <si>
    <t>RB_Batch-0006-00003-03463</t>
  </si>
  <si>
    <t>2024-25 Panini Donruss Optic Stephon Castle #14 Splash! Holo RC Spurs</t>
  </si>
  <si>
    <t>RB_Batch-0006-00002-81045</t>
  </si>
  <si>
    <t>2024-25 Panini Donruss Optic Jakob Poeltl #65 Hyper Orange Prizm 249/299 Raptors</t>
  </si>
  <si>
    <t>RB_Batch-0006-00010-32511</t>
  </si>
  <si>
    <t>2026 Topps Collector's Kit Exclusive Kevin Durant #NBA-10 Rainbow Foil</t>
  </si>
  <si>
    <t>RB_Batch-0006-00018-95767</t>
  </si>
  <si>
    <t>2024 Panini Donruss Optic Kyle Filipowski #300 Hyper Pink Prizm RC Rated Rookie</t>
  </si>
  <si>
    <t>RB_Batch-0006-00017-16673</t>
  </si>
  <si>
    <t>2024-25 Panini Donruss Optic Shai Gilgeous-Alexander #6 Splash! Holo Thunder</t>
  </si>
  <si>
    <t>RB_Batch-0006-00020-23225</t>
  </si>
  <si>
    <t>2024 Panini Donruss Optic Cam Spencer #269 Hyper Pink Prizm RC Rated Rookie</t>
  </si>
  <si>
    <t>RB_Batch-0006-00001-28978</t>
  </si>
  <si>
    <t>2024-25 Panini Donruss Optic Luka Doncic #1 Splash! Holo Mavericks</t>
  </si>
  <si>
    <t>RB_Batch-0006-00007-08773</t>
  </si>
  <si>
    <t>2024-25 Panini Donruss Optic Matas Buzelis #15 My House Holo RC Bulls</t>
  </si>
  <si>
    <t>RB_Batch-0006-00014-80054</t>
  </si>
  <si>
    <t>2024-25 Panini Donruss Optic Ja Morant #106 Hyper Orange Prizm 120/299 Grizzlies</t>
  </si>
  <si>
    <t>RB_Batch-0006-00008-62703</t>
  </si>
  <si>
    <t>2024-25 Panini Donruss Optic Matas Buzelis #10 White Hot Rookies Holo RC Bulls</t>
  </si>
  <si>
    <t>RB_Batch-0006-00021-68104</t>
  </si>
  <si>
    <t>2024 Panini Donruss Optic Reed Sheppard #255 Hyper Pink Prizm RC Rated Rookie</t>
  </si>
  <si>
    <t>RB_Batch-0006-00005-43654</t>
  </si>
  <si>
    <t>2025-26 Topps Chrome Ace Bailey #YQ-5 Youthquake Refractor RC Jazz</t>
  </si>
  <si>
    <t>RB_Batch-0006-00030-53344</t>
  </si>
  <si>
    <t>2025-26 Topps Finest Kon Knueppel #F-4 First RC Hornets</t>
  </si>
  <si>
    <t>Refresh-0002-00007-43934</t>
  </si>
  <si>
    <t>RBM-0002-00041-49198-69385FB</t>
  </si>
  <si>
    <t>2025-26 Topps Finest Dominique Wilkins #M-21 Muse Orange Refractor /25 Hawks</t>
  </si>
  <si>
    <t>BLZ_Batch-0001-00001-21387</t>
  </si>
  <si>
    <t>2025-26 Topps Kon Knueppel #CC-4 Clutch City Prospects RC Hornets</t>
  </si>
  <si>
    <t>BLZ_Batch-0001-00002-28081</t>
  </si>
  <si>
    <t>2023-24 Topps Stadium Club Chrome UEFA Cristiano Ronaldo #7 Man U</t>
  </si>
  <si>
    <t>Whatnot0415-0001-00004-02842</t>
  </si>
  <si>
    <t>2025-26 Topps Chrome Ben Sheppard #94 Green Wave Refractor 13/99 Pacers</t>
  </si>
  <si>
    <t>Whatnot0415-0001-00001-62471</t>
  </si>
  <si>
    <t>2024 Leaf Exclusive Legends Edition Lionel Messi Zlatan Ibrahimovic #ELE-07</t>
  </si>
  <si>
    <t>Whatnot0415-0001-00002-72348</t>
  </si>
  <si>
    <t>2025-26 Topps FC Barcelona Team Set Lamine Yamal #14 Blue Rainbow Foil 18/150</t>
  </si>
  <si>
    <t>Whatnot0415-0001-00003-42023</t>
  </si>
  <si>
    <t>2026 Topps Collectors Kit Exclusive Shohei Ohtani Foil Holo #MLB-1</t>
  </si>
  <si>
    <t>Refresh-0002-00019-35100</t>
  </si>
  <si>
    <t>2025-26 Finest Tyler Herro #50 Oil Spill Refractor Miami Heat</t>
  </si>
  <si>
    <t>BBB-000032-tjbzb-144A929</t>
  </si>
  <si>
    <t>2025 Bowman Draft J.D. Thompson #BDC-14 Chrome Purple Refractor /250 1st</t>
  </si>
  <si>
    <t>CRUZ-WHT-0001</t>
  </si>
  <si>
    <t>2024 Panini Flawless Rafael Palmeiro #FA-RP Auto /15 Rangers</t>
  </si>
  <si>
    <t>RBBaseball-0004-00004-76852</t>
  </si>
  <si>
    <t>2025 Bowman Draft Sapphire JB Middleton #BDC-78 Chrome 1st Prospect Rockies</t>
  </si>
  <si>
    <t>WHTBaseball-0002-00001-51462</t>
  </si>
  <si>
    <t>2025 Topps Holiday Mike Trout #H50 Blue Metallic Glitter Angels</t>
  </si>
  <si>
    <t>MISC-0002-00032-61738</t>
  </si>
  <si>
    <t>2022 Panini Prizm Premier League Christian Pulisic #118 Choice Red /30 PSA 10</t>
  </si>
  <si>
    <t>MISC-0002-00003-88013</t>
  </si>
  <si>
    <t>2025 Topps Chrome Update Sapphire Cam Smith #USC19 Astros</t>
  </si>
  <si>
    <t>MISC-0002-00009-37429</t>
  </si>
  <si>
    <t>2024-25 Panini Donruss Lionel Messi #10 Pitch Kings Red Argentina PSA 9</t>
  </si>
  <si>
    <t>MISC-0002-00002-79066</t>
  </si>
  <si>
    <t>MISC-0002-00002-62760</t>
  </si>
  <si>
    <t>2025 Panini Select Jaxson Dart #DSM-JDT Memorabilia Blue Prizm MEM RC Giants</t>
  </si>
  <si>
    <t>MISC-0002-00006-43213</t>
  </si>
  <si>
    <t>2025 Topps Now Aaron Judge Shohei Ohtani MVP Homers Same Inning #239</t>
  </si>
  <si>
    <t>MISC-0002-00003-90757</t>
  </si>
  <si>
    <t>2021-22 Topps Stadium Club Chrome Uefa Champions League - Lionel Messi #30 Aqua</t>
  </si>
  <si>
    <t>Leaf Legend Lionel Messi Exclusive Edition LE-02 Soccer Card 2023</t>
  </si>
  <si>
    <t>2026 Topps Jac Caglianone #138 RC Royals</t>
  </si>
  <si>
    <t>MISC-0002-00016-30315</t>
  </si>
  <si>
    <t>2025 Bowman's Best Cam Smith #29 Lazer Refractor 314/350 RC Astros</t>
  </si>
  <si>
    <t>MISC-0002-00007-33697</t>
  </si>
  <si>
    <t>2025 Bowman's Best Ketel Marte #62 Refractor Diamondbacks</t>
  </si>
  <si>
    <t>MISC-0002-00013-17413</t>
  </si>
  <si>
    <t>2025 Bowman Draft Ike Irish #PP-8 Chrome Prized Prospects Mojo Refractor Orioles</t>
  </si>
  <si>
    <t>MISC-0002-00001-61747</t>
  </si>
  <si>
    <t>2026 Topps Collector's Kit Exclusive Francisco Lindor #MLB-4 Rainbow Foil</t>
  </si>
  <si>
    <t>MISC-0002-00011-28533</t>
  </si>
  <si>
    <t>2025 Bowman Draft Jared Thomas #BDC-147 Chrome Yellow Geometric Refractor /75</t>
  </si>
  <si>
    <t>MISC-0002-00012-75919</t>
  </si>
  <si>
    <t>2025 Bowman's Best Christian Moore #TP-2 Top Prospects Refractor Angels</t>
  </si>
  <si>
    <t>MISC-0002-00015-14735</t>
  </si>
  <si>
    <t>2025 Bowman's Best Luke Keaschall #70 Refractor RC Twins</t>
  </si>
  <si>
    <t>MISC-0002-00014-39180</t>
  </si>
  <si>
    <t>2025 Bowman's Best Corbin Carroll #8 Aqua Refractor /199 Diamondbacks</t>
  </si>
  <si>
    <t>MISC-0002-00004-49744</t>
  </si>
  <si>
    <t>2025 Bowman's Best Cam Smith #29 Purple Blue Refractor /250 RC Astros</t>
  </si>
  <si>
    <t>MISC-0002-00006-95693</t>
  </si>
  <si>
    <t>Leaf Exclusive Legends Double Lamine Yamal Lionel Messi Blue #/20 GMA 10 Mint</t>
  </si>
  <si>
    <t>2025 Bowman Draft Billy Carlson #BDC-10 Chrome Mojo Refractor 1st Prospect</t>
  </si>
  <si>
    <t>RB-0007-00005-45231</t>
  </si>
  <si>
    <t>RB-0007-00001-61805</t>
  </si>
  <si>
    <t>2025-26 Topps Chrome Egor Demin #SF-29 Sleek Finishers RC Nets</t>
  </si>
  <si>
    <t>RB-0007-00027-26789</t>
  </si>
  <si>
    <t>2025-26 Topps Chrome Ben Saraf #276 RC Nets</t>
  </si>
  <si>
    <t>RB-0007-00026-85645</t>
  </si>
  <si>
    <t>2025-26 Topps Finest Isaiah Collier #162 Uncommon Geometric Refractor Jazz</t>
  </si>
  <si>
    <t>RB-0007-00022-09016</t>
  </si>
  <si>
    <t>2025-26 Topps Finest Kel'el Ware #51 Common Oil Spill Refractor Heat</t>
  </si>
  <si>
    <t>RB-0007-00013-96995</t>
  </si>
  <si>
    <t>2025-26 Topps Finest Ray Allen #200 Uncommon Supersonics</t>
  </si>
  <si>
    <t>RB-0007-00017-69839</t>
  </si>
  <si>
    <t>2025-26 Topps Finest Paul Pierce #M-14 Muse Refractor Celtics</t>
  </si>
  <si>
    <t>RB-0007-00023-63320</t>
  </si>
  <si>
    <t>2025-26 Topps Finest Walter Clayton Jr. #18 Common RC Jazz</t>
  </si>
  <si>
    <t>RB-0007-00012-77822</t>
  </si>
  <si>
    <t>2025-26 Topps Finest Nique Clifford #113 Uncommon RC Kings</t>
  </si>
  <si>
    <t>RB-0007-00014-14672</t>
  </si>
  <si>
    <t>2025-26 Topps Finest Thomas Sorber #F-15 First RC Thunder</t>
  </si>
  <si>
    <t>RB-0007-00010-48800</t>
  </si>
  <si>
    <t>2025-26 Topps Finest Kawhi Leonard #77 Common Oil Spill Refractor Clippers</t>
  </si>
  <si>
    <t>RB-0007-00003-06246</t>
  </si>
  <si>
    <t>2025-26 Topps Finest Naz Reid #64 Common Purple X-Fractor 106/150 Timberwolves</t>
  </si>
  <si>
    <t>RB-0007-00004-73904</t>
  </si>
  <si>
    <t>2025-26 Topps Finest Julius Randle #65 Common Oil Spill Refractor Timberwolves</t>
  </si>
  <si>
    <t>RB-0007-00016-81656</t>
  </si>
  <si>
    <t>2025-26 Topps Finest Shai Gilgeous-Alexander #66 Common Thunder</t>
  </si>
  <si>
    <t>RB-0007-00021-17884</t>
  </si>
  <si>
    <t>2025-26 Topps Finest Deron Williams #M-24 Muse Refractor Jazz</t>
  </si>
  <si>
    <t>RB-0007-00011-28281</t>
  </si>
  <si>
    <t>2025 Topps Finest Yanic Konan-Niederhauser #A-30 Arrivals Refractor RC</t>
  </si>
  <si>
    <t>RB-0007-00009-73714</t>
  </si>
  <si>
    <t>2025-26 Topps Chrome Drake Powell #GR-17 Generation Rising RC Nets</t>
  </si>
  <si>
    <t>RB-0007-00028-33938</t>
  </si>
  <si>
    <t>2025-26 Topps Finest Chaz Lanier #F-27 First RC Pistons</t>
  </si>
  <si>
    <t>RB-0007-00020-28051</t>
  </si>
  <si>
    <t>2025-26 Topps Chrome Ace Bailey #GR-5 Generation Rising RC Jazz</t>
  </si>
  <si>
    <t>RB-0007-00018-91473</t>
  </si>
  <si>
    <t>2025-26 Topps Chrome Danny Wolf #GR-13 Generation Rising RC Nets</t>
  </si>
  <si>
    <t>RB-0007-00024-94565</t>
  </si>
  <si>
    <t>2025-26 Topps Finest Dwyane Wade #M-8 Muse Heat</t>
  </si>
  <si>
    <t>RB-0007-00015-72617</t>
  </si>
  <si>
    <t>RB-0007-00005-92360</t>
  </si>
  <si>
    <t>2025 Bowman's Best Kevin McGonigle #TP-28 Top Prospects Refractor Tigers</t>
  </si>
  <si>
    <t>MISC-0002-00017-11980</t>
  </si>
  <si>
    <t>2026 Topps Heritage Coby Mayo #49 Chrome Orioles</t>
  </si>
  <si>
    <t>COLL-0001-00002-55420</t>
  </si>
  <si>
    <t>2026 Topps Jonah Tong #4 Sandglitter RC Mets</t>
  </si>
  <si>
    <t>COLL-0001-00001-47756</t>
  </si>
  <si>
    <t>2026 Topps Collector's Kit Exclusive Victor Wembanyama #NBA-7 Wave Foil Spurs</t>
  </si>
  <si>
    <t>COLL-0001-00010-30824</t>
  </si>
  <si>
    <t>2026 Topps Heritage Kyle Tucker #187 Chrome Cubs</t>
  </si>
  <si>
    <t>COLL-0001-00005-55780</t>
  </si>
  <si>
    <t>2026 Topps Javier Baez #144 Aqua Rainbow Foil Tigers</t>
  </si>
  <si>
    <t>COLL-0001-00004-65879</t>
  </si>
  <si>
    <t>2026 Topps Heritage Emmet Sheehan #178 Chrome Pink Sparkle Refractor Dodgers</t>
  </si>
  <si>
    <t>COLL-0001-00006-73319</t>
  </si>
  <si>
    <t>2026 Topps Collector's Kit Exclusive Egor Demin #NBA-9 Rainbow Foil RC Nets</t>
  </si>
  <si>
    <t>COLL-0001-00007-49290</t>
  </si>
  <si>
    <t>2026 Topps Heritage Sandy Alcantara #76 Chrome Marlins</t>
  </si>
  <si>
    <t>COLL-0001-00003-32963</t>
  </si>
  <si>
    <t>2025 Bowman Chrome Sapphire Leo De Vries #BCP-204 Prospects Padres</t>
  </si>
  <si>
    <t>COLL-0001-00003-36882</t>
  </si>
  <si>
    <t>2025 Topps Chrome Sapphire Cam Smith Rookie Houston Astros RC #USC145</t>
  </si>
  <si>
    <t>RB_Batch-0005-00014-94530</t>
  </si>
  <si>
    <t>2025 Topps Chrome Jeffery Simmons #289 Titans</t>
  </si>
  <si>
    <t>GABED-0001-00009-18517</t>
  </si>
  <si>
    <t>2025 Topps Chrome Tez Johnson #342 Rookie RC Buccaneers</t>
  </si>
  <si>
    <t>GABED-0001-00011-10052</t>
  </si>
  <si>
    <t>2025 Topps Chrome Jeremy Chinn #184 Prism Refractor Raiders</t>
  </si>
  <si>
    <t>GABED-0001-00005-56783</t>
  </si>
  <si>
    <t>2025 Topps Chrome Brock Bowers #ACT-10 All Team Refractor Raiders</t>
  </si>
  <si>
    <t>GABED-0001-00004-69649</t>
  </si>
  <si>
    <t>2025 Topps Chrome Chris Godwin #283 Buccaneers</t>
  </si>
  <si>
    <t>GABED-0001-00013-02552</t>
  </si>
  <si>
    <t>2025 Topps Chrome Jonathan Taylor #130 Colts</t>
  </si>
  <si>
    <t>GABED-0001-00008-71969</t>
  </si>
  <si>
    <t>2025 Topps Chrome Baker Mayfield #281 Buccaneers</t>
  </si>
  <si>
    <t>GABED-0001-00010-98908</t>
  </si>
  <si>
    <t>2025 Topps Chrome Tyler Warren #PP-35 Power Players RC Colts</t>
  </si>
  <si>
    <t>GABED-0001-00001-83274</t>
  </si>
  <si>
    <t>2025 Topps Chrome Bo Jackson #LOG-17 Legends of the Gridiron Raiders</t>
  </si>
  <si>
    <t>GABED-0001-00006-00535</t>
  </si>
  <si>
    <t>2025 Topps Chrome Tom Brady #F15-35 Fortune 15 Buccaneers</t>
  </si>
  <si>
    <t>GABED-0001-00012-64283</t>
  </si>
  <si>
    <t>2025 Topps Chrome Kolton Miller #183 Raiders</t>
  </si>
  <si>
    <t>GABED-0001-00007-12220</t>
  </si>
  <si>
    <t>2025 Topps Chrome Maxx Crosby #180 Raiders</t>
  </si>
  <si>
    <t>GABED-0001-00014-09283</t>
  </si>
  <si>
    <t>2025 Topps Chrome Jeremy Chinn #184 Pulsar Refractor Raiders</t>
  </si>
  <si>
    <t>GABED-0001-00003-90200</t>
  </si>
  <si>
    <t>2025 Topps Chrome Cade Otton #284 Pulsar Refractor Buccaneers</t>
  </si>
  <si>
    <t>GABED-0001-00002-16536</t>
  </si>
  <si>
    <t>2025 Panini Prizm FIFA Club World Cup Woo-young Jung #193 Teal Seismic /49</t>
  </si>
  <si>
    <t>GABED-0001-00004-49772</t>
  </si>
  <si>
    <t>2024-25 Panini Prizm Copa America Luis Abram #92 Blue Wave /199</t>
  </si>
  <si>
    <t>GABED-0001-00005-05746</t>
  </si>
  <si>
    <t>2025 Panini Prizm FIFA Club World Cup Oussama Idrissi #147 Orange Seismic /199</t>
  </si>
  <si>
    <t>GABED-0001-00002-14030</t>
  </si>
  <si>
    <t>2021 Topps Chrome Bundesliga Yuya Osako #26 Pulsar /199</t>
  </si>
  <si>
    <t>GABED-0001-00006-93499</t>
  </si>
  <si>
    <t>2025 Panini Prizm FIFA Club World Cup Gerard Garriga #29 Blue Seismic /275</t>
  </si>
  <si>
    <t>GABED-0001-00001-56200</t>
  </si>
  <si>
    <t>2020 Topps Chrome UEFA Champions League Dodo #74 Blue Wave /75 RC</t>
  </si>
  <si>
    <t>GABED-0001-00003-01693</t>
  </si>
  <si>
    <t>2025 Topps Chrome Jayden Daniels #295 Commanders</t>
  </si>
  <si>
    <t>TMWHT-0001-00005-30294</t>
  </si>
  <si>
    <t>2025 Topps Chrome Rhamondre Stevenson #210 Prism Refractor Patriots</t>
  </si>
  <si>
    <t>TMWHT-0001-00003-85573</t>
  </si>
  <si>
    <t>2025 Topps Chrome Zack Baun #ACT-22 All Team Eagles</t>
  </si>
  <si>
    <t>TMWHT-0001-00010-91733</t>
  </si>
  <si>
    <t>2025 Topps Chrome Jayden Daniels #PP-3 Power Players Refractor Commanders</t>
  </si>
  <si>
    <t>TMWHT-0001-00007-78347</t>
  </si>
  <si>
    <t>2025 Topps Chrome Rob Gronkowski #LOG-29 Legends of the Gridiron Patriots</t>
  </si>
  <si>
    <t>TMWHT-0001-00004-87184</t>
  </si>
  <si>
    <t>2025 Topps Chrome Jaylen Reed #374 Rookie RC Texans</t>
  </si>
  <si>
    <t>TMWHT-0001-00001-41333</t>
  </si>
  <si>
    <t>2025 Topps Chrome Cooper DeJean #252 Pulsar Refractor Eagles</t>
  </si>
  <si>
    <t>TMWHT-0001-00011-06626</t>
  </si>
  <si>
    <t>2025 Topps Chrome Trey Amos #371 Rookie Refractor RC Commanders</t>
  </si>
  <si>
    <t>TMWHT-0001-00009-85868</t>
  </si>
  <si>
    <t>2025 Topps Chrome TreVeyon Henderson #F15-26 Fortune 15 RC Patriots</t>
  </si>
  <si>
    <t>TMWHT-0001-00006-14003</t>
  </si>
  <si>
    <t>2025 Topps Chrome Lane Johnson #246 Refractor Eagles</t>
  </si>
  <si>
    <t>TMWHT-0001-00012-69697</t>
  </si>
  <si>
    <t>2025 Topps Chrome Jayden Daniels #1975-34 1975 Refractor Commanders</t>
  </si>
  <si>
    <t>TMWHT-0001-00008-26111</t>
  </si>
  <si>
    <t>2025 Topps Chrome Shemar Stewart #363 Rookie RC Bengals</t>
  </si>
  <si>
    <t>TMWHT-0001-00002-93050</t>
  </si>
  <si>
    <t>2025 Topps Chrome Cam Skattebo #331 Rookie Refractor RC Giants</t>
  </si>
  <si>
    <t>TMWHT-0001-00013-48021</t>
  </si>
  <si>
    <t>2025 Topps Holiday Kyle Tucker #HC26 Chrome Purple Refractor 60/299 Cubs</t>
  </si>
  <si>
    <t>DREAMRP-0001-00017-02082</t>
  </si>
  <si>
    <t>2019-20 Panini Select Jayson Tatum #190 Red Wave Prizms Premier Level Celtics</t>
  </si>
  <si>
    <t>DREAMRP-0001-00003-84152</t>
  </si>
  <si>
    <t>2011 Bowman Bryce Harper #BCP1 Chrome Prospects Nationals</t>
  </si>
  <si>
    <t>DREAMRP-0001-00010-54639</t>
  </si>
  <si>
    <t>2025 Topps Update Ken Griffey Jr. #U90-47 1990 Holo Foil Mariners</t>
  </si>
  <si>
    <t>DREAMRP-0001-00019-62373</t>
  </si>
  <si>
    <t>2025 Topps Chrome Anthony Edwards Yellow Basketball Refractor /275 SSP</t>
  </si>
  <si>
    <t>DREAMRP-0001-00004-48195</t>
  </si>
  <si>
    <t>2025 Topps Chrome Yoshinobu Yamamoto #179 X-Fractor Dodgers</t>
  </si>
  <si>
    <t>DREAMRP-0001-00013-35212</t>
  </si>
  <si>
    <t>2025 Bowman Chrome Mega Box Tarik Skubal #95 Mojo Refractor Tigers</t>
  </si>
  <si>
    <t>DREAMRP-0001-00020-78905</t>
  </si>
  <si>
    <t>2024-25 Panini Donruss Victor Wembanyama #6 Holo Green Laser Spurs</t>
  </si>
  <si>
    <t>DREAMRP-0001-00007-28754</t>
  </si>
  <si>
    <t>2006-07 Fleer E-X Chris Paul #26</t>
  </si>
  <si>
    <t>DREAMRP-0001-00002-52745</t>
  </si>
  <si>
    <t>2021-22 Panini NBA Player of the Day Bill Russell #83 Kaboom SSP /99 Celtics</t>
  </si>
  <si>
    <t>DREAMRP-0001-00023-59128</t>
  </si>
  <si>
    <t>1999-00 Hoops Kobe Bryant #27 Lakers</t>
  </si>
  <si>
    <t>DREAMRP-0001-00006-70303</t>
  </si>
  <si>
    <t>2025-26 Topps Victor Wembanyama #195 Season Tip-Off Spurs</t>
  </si>
  <si>
    <t>DREAMRP-0001-00022-23600</t>
  </si>
  <si>
    <t>2025 Panini Donruss Omarion Hampton #303 Optic Rated Rookie Preview Red Wave RC</t>
  </si>
  <si>
    <t>DREAMRP-0001-00021-22968</t>
  </si>
  <si>
    <t>Dave Winfield RC 1974 Topps #456 PSA 7 NM</t>
  </si>
  <si>
    <t>2024 Topps Triple Threads Nolan Ryan #25 Amber 46/199 Angels</t>
  </si>
  <si>
    <t>DREAMRP-0001-00003-04829</t>
  </si>
  <si>
    <t>2021 Panini National Treasures Cade Cunningham #RMR-CCM Rookie MEM /99 MEM RC</t>
  </si>
  <si>
    <t>DREAMRP-0001-00002-36681</t>
  </si>
  <si>
    <t>2024 Panini Immaculate Collection Nick Van Exel #2 2023-24 Virtuoso Auto /99</t>
  </si>
  <si>
    <t>DREAMRP-0001-00001-21829</t>
  </si>
  <si>
    <t>2025-26 Bowman Alijah Martin #BCV-40 Chrome RC Raptors</t>
  </si>
  <si>
    <t>Chromebox-0001-00016-66075</t>
  </si>
  <si>
    <t>2025-26 Bowman Emilee Skinner #BCP-85 Chrome 1st Prospect Blue Devils</t>
  </si>
  <si>
    <t>Chromebox-0001-00017-51428</t>
  </si>
  <si>
    <t>2025-26 Bowman Ace Flagg #BCP-91 Chrome Reptilian Refractor 1st Prospect Bears</t>
  </si>
  <si>
    <t>Chromebox-0001-00001-14880</t>
  </si>
  <si>
    <t>2025-26 Bowman Ryan Kalkbrenner #BCV-34 Chrome RC Hornets</t>
  </si>
  <si>
    <t>Chromebox-0001-00003-52786</t>
  </si>
  <si>
    <t>2025-26 Bowman Tyrese Maxey #BCV-66 Chrome 76ers</t>
  </si>
  <si>
    <t>Chromebox-0001-00019-81084</t>
  </si>
  <si>
    <t>2025-26 Bowman Caleb Wilson #BCP-83 Chrome 1st Prospect Tar Heels</t>
  </si>
  <si>
    <t>Chromebox-0001-00002-60219</t>
  </si>
  <si>
    <t>2025-26 Bowman Nick Martinelli #BCP-62 Chrome 1st Prospect Wildcats</t>
  </si>
  <si>
    <t>Chromebox-0001-00008-80129</t>
  </si>
  <si>
    <t>2025-26 Bowman Jared McCain #BCV-65 Chrome Reptilian Refractor 76ers</t>
  </si>
  <si>
    <t>Chromebox-0001-00011-70215</t>
  </si>
  <si>
    <t>2025-26 Bowman Alexandra Eschmeyer #BCP-75 Chrome 1st Prospect Cardinal</t>
  </si>
  <si>
    <t>Chromebox-0001-00005-56793</t>
  </si>
  <si>
    <t>2025-26 Bowman Kevin Durant #YK-14 Young Kings Thunder</t>
  </si>
  <si>
    <t>Chromebox-0001-00025-62477</t>
  </si>
  <si>
    <t>2025-26 Bowman Ta'Niya Latson #VIP-22 Very Important Prospects Gamecocks</t>
  </si>
  <si>
    <t>Chromebox-0001-00009-25803</t>
  </si>
  <si>
    <t>2025-26 Bowman Tounde Yessoufou #BCP-11 Chrome 1st Prospect Bears</t>
  </si>
  <si>
    <t>Chromebox-0001-00014-40831</t>
  </si>
  <si>
    <t>2025 Bowman Brayden Burries #BCP-51 Chrome Reptilian Refractor 1st Prospect</t>
  </si>
  <si>
    <t>Chromebox-0001-00006-65759</t>
  </si>
  <si>
    <t>2025-26 Bowman Kam Jones #BCV-39 Chrome RC Pacers</t>
  </si>
  <si>
    <t>Chromebox-0001-00012-88781</t>
  </si>
  <si>
    <t>2025 Bowman Josh Dix #BCP-17 Chrome Base Creighton</t>
  </si>
  <si>
    <t>Chromebox-0001-00013-07191</t>
  </si>
  <si>
    <t>2025-26 Bowman Kon Knueppel #GL-4 Greatness Loading RC Hornets</t>
  </si>
  <si>
    <t>Chromebox-0001-00022-81040</t>
  </si>
  <si>
    <t>2025-26 Bowman Ace Bailey #HS-9 Hobby Stars RC Jazz</t>
  </si>
  <si>
    <t>Chromebox-0001-00015-45694</t>
  </si>
  <si>
    <t>2025-26 Bowman Ace Flagg #BPP-91 1st Prospect Bears</t>
  </si>
  <si>
    <t>Chromebox-0001-00023-49210</t>
  </si>
  <si>
    <t>2025-26 Bowman Herbert Jones #BCV-140 Chrome Pelicans</t>
  </si>
  <si>
    <t>Chromebox-0001-00010-71069</t>
  </si>
  <si>
    <t>2025-26 Bowman Zach Edey #BCV-139 Chrome Grizzlies</t>
  </si>
  <si>
    <t>Chromebox-0001-00007-62977</t>
  </si>
  <si>
    <t>2025-26 Bowman AJ Green #164 Border 17/99 Bucks</t>
  </si>
  <si>
    <t>Chromebox-0001-00024-61795</t>
  </si>
  <si>
    <t>2025-26 Bowman Cooper Flagg #1 RC Mavericks ROTY!!</t>
  </si>
  <si>
    <t>Chromebox-0001-00026-27772</t>
  </si>
  <si>
    <t>2025-26 Bowman Kasparas Jakucionis #RR-20 Rockstar Rookies RC Heat</t>
  </si>
  <si>
    <t>Chromebox-0001-00004-17271</t>
  </si>
  <si>
    <t>2025 Bowman Chet Holmgren #BCV-108 Chrome Reptilian Green Refractor /99</t>
  </si>
  <si>
    <t>Chromebox-0001-00020-24166</t>
  </si>
  <si>
    <t>2025-26 Bowman Cade Cunningham #YK-12 Young Kings Pistons</t>
  </si>
  <si>
    <t>Chromebox-0001-00018-081004</t>
  </si>
  <si>
    <t>2024 Bowman Mega Box Ceddanne Rafaela #84 Mojo Refractor Red Sox</t>
  </si>
  <si>
    <t>Ebayrefresh-0002-00017-14561</t>
  </si>
  <si>
    <t>2024 Topps Update Andy Pages #US108 RC Dodgers</t>
  </si>
  <si>
    <t>Ebayrefresh-0002-00022-21180</t>
  </si>
  <si>
    <t>2024 Bowman Draft James Tibbs III #PP-6 Plasma Power Giants</t>
  </si>
  <si>
    <t>Ebayrefresh-0002-00002-01100</t>
  </si>
  <si>
    <t>2021 Bowman's Best Andrew Painter #85 Phillies</t>
  </si>
  <si>
    <t>Ebayrefresh-0002-00014-26737</t>
  </si>
  <si>
    <t>2025 Bowman Draft Josuar Gonzalez #BDC-182 Chrome Mojo Refractor Giants</t>
  </si>
  <si>
    <t>Ebayrefresh-0002-00006-22774</t>
  </si>
  <si>
    <t>2022 Bowman Draft Dalton Rushing #BDC-84 Chrome Black &amp; White RayWave Refractor</t>
  </si>
  <si>
    <t>Ebayrefresh-0002-00001-67750</t>
  </si>
  <si>
    <t>2024 Bowman's Best Chase Burns #TP-28 Prospects Reds</t>
  </si>
  <si>
    <t>Ebayrefresh-0002-00015-13689</t>
  </si>
  <si>
    <t>2025 Bowman Cam Smith #BCP-48 Chrome Prospects Mega Box Refractor Astros</t>
  </si>
  <si>
    <t>Ebayrefresh-0002-00009-49453</t>
  </si>
  <si>
    <t>2024 Panini Prospect Edition George Lombard Jr. #36 Ticket Yankees</t>
  </si>
  <si>
    <t>Ebayrefresh-0002-00021-32773</t>
  </si>
  <si>
    <t>2022 Bowman Draft Andrew Pintar #BDC-138 Chrome Black &amp; White RayWave Refractor</t>
  </si>
  <si>
    <t>Ebayrefresh-0002-00013-00121</t>
  </si>
  <si>
    <t>2024 Topps Chrome Kyle Tucker #112 Purple Refractor 24/250 Astros</t>
  </si>
  <si>
    <t>Ebayrefresh-0002-00026-02339</t>
  </si>
  <si>
    <t>2019 Topps Archives Snapshots Kyle Tucker #AS-KT RC Astros</t>
  </si>
  <si>
    <t>Ebayrefresh-0002-00035-54294</t>
  </si>
  <si>
    <t>2022 Topps Update Mike Trout #BG-3 Black Gold Angels</t>
  </si>
  <si>
    <t>Ebayrefresh-0002-00016-70749</t>
  </si>
  <si>
    <t>2022 Topps Mark McGwire #T87C-80 1987 Baseball 35th Anniversary Chrome A's</t>
  </si>
  <si>
    <t>Ebayrefresh-0002-00008-09965</t>
  </si>
  <si>
    <t>Ebayrefresh-0002-00024-09075</t>
  </si>
  <si>
    <t>2024 Bowman Chrome Austin Wells #15 RC Yankees</t>
  </si>
  <si>
    <t>Ebayrefresh-0002-00027-64309</t>
  </si>
  <si>
    <t>2024 Topps Update Hank Aaron #BG-22 Black Gold Braves</t>
  </si>
  <si>
    <t>Ebayrefresh-0002-00031-70300</t>
  </si>
  <si>
    <t>2025 Topps Corbin Carroll #T90C-80 1990 Baseball Chrome Silver Pack Diamondbacks</t>
  </si>
  <si>
    <t>Ebayrefresh-0002-00028-82943</t>
  </si>
  <si>
    <t>2024 Topps Pro Debut Felnin Celesten #PD-99 Sparkle Foil 50/175</t>
  </si>
  <si>
    <t>Ebayrefresh-0002-00019-09879</t>
  </si>
  <si>
    <t>2020 Topps Total Bryce Harper #1 Phillies</t>
  </si>
  <si>
    <t>Ebayrefresh-0002-00018-46451</t>
  </si>
  <si>
    <t>2024 Bowman Draft George Lombard Jr. #BD-118 Yankees</t>
  </si>
  <si>
    <t>Ebayrefresh-0002-00005-29363</t>
  </si>
  <si>
    <t>2018 Topps Bryce Harper #351 Nationals</t>
  </si>
  <si>
    <t>Ebayrefresh-0002-00032-81186</t>
  </si>
  <si>
    <t>2024 Bowman Draft Max Clark #BDC-104 Chrome Refractor Tigers</t>
  </si>
  <si>
    <t>Ebayrefresh-0002-00003-65867</t>
  </si>
  <si>
    <t>2024 Bowman Chrome Pete Crow-Armstrong #45 Mega Box Refractor RC Cubs</t>
  </si>
  <si>
    <t>Ebayrefresh-0002-00007-63749</t>
  </si>
  <si>
    <t>Ebayrefresh-0002-00020-33810</t>
  </si>
  <si>
    <t>2023 Topps Bobby Witt Jr. #SMLB-17 Stars of MLB Royals</t>
  </si>
  <si>
    <t>Ebayrefresh-0002-00011-58267</t>
  </si>
  <si>
    <t>Ebayrefresh-0002-00029-44172</t>
  </si>
  <si>
    <t>2025 Topps Jo Adell #211 Green Rainbow Foilboard 84/99 Angels</t>
  </si>
  <si>
    <t>Ebayrefresh-0002-00025-18795</t>
  </si>
  <si>
    <t>2025 Topps Heritage Bobby Witt Jr. #92 Royals</t>
  </si>
  <si>
    <t>Ebayrefresh-0002-00012-98623</t>
  </si>
  <si>
    <t>2025 Bowman Tsung-Che Cheng #BP-95 Prospects Pirates</t>
  </si>
  <si>
    <t>Ebayrefresh-0002-00023-71661</t>
  </si>
  <si>
    <t>2015 Topps Update Albert Pujols #RS-21 Rookie Sensations Cardinals</t>
  </si>
  <si>
    <t>Ebayrefresh-0002-00034-90872</t>
  </si>
  <si>
    <t>2024 Bowman Draft Leo De Vries #PP-19 Plasma Power Padres</t>
  </si>
  <si>
    <t>Ebayrefresh-0002-00004-99777</t>
  </si>
  <si>
    <t>2019 Bowman Kyle Tucker #94 RC Astros</t>
  </si>
  <si>
    <t>Ebayrefresh-0002-00033-48324</t>
  </si>
  <si>
    <t>2022 Panini Prizm - Illumination Mike Trout #IL-10 Blue Mojo Prizm /199 Angels</t>
  </si>
  <si>
    <t>2025-26 Topps Chrome Cooper Flagg #251 RC Mavericks ROTY!!</t>
  </si>
  <si>
    <t>BBA-000001-00001-92910</t>
  </si>
  <si>
    <t>2025 Topps Chrome McDonald's All-American Jordan Speiser #75 Purple /150</t>
  </si>
  <si>
    <t>KKSC-0001-00014-42870</t>
  </si>
  <si>
    <t>2025 Topps Chrome McDonald's All-American Chris Cenac Jr. #11 Aqua Wave /199</t>
  </si>
  <si>
    <t>KKSC-0001-00005-89064</t>
  </si>
  <si>
    <t>2025 Upper Deck Series 1 Jeremy Lauzon #93 Clear Cut Predators</t>
  </si>
  <si>
    <t>KKSC-0001-00007-65226</t>
  </si>
  <si>
    <t>2025 Topps Chrome McDonald's All-American Zai Harwell #5 Aqua Wave /199</t>
  </si>
  <si>
    <t>KKSC-0001-00011-75904</t>
  </si>
  <si>
    <t>2025 Topps Chrome McDonald's All-American Eric Reibe #44 Aqua Wave Ref /199</t>
  </si>
  <si>
    <t>KKSC-0001-00004-62290</t>
  </si>
  <si>
    <t>2025 Topps Chrome McDonald's All-American Jaren Jackson Jr. #95 Logo Refractor</t>
  </si>
  <si>
    <t>KKSC-0001-00012-03782</t>
  </si>
  <si>
    <t>2024-25 Upper Deck Allure Sergei Bobrovsky #PI-7 Protectors of the Ice Panthers</t>
  </si>
  <si>
    <t>KKSC-0001-00006-81442</t>
  </si>
  <si>
    <t>2024-25 Upper Deck Allure Emil Lilleberg #116 RC Lightning</t>
  </si>
  <si>
    <t>KKSC-0001-00009-69291</t>
  </si>
  <si>
    <t>2025 Topps Chrome McDonald's All-American Jaliya Davis #59 Aqua Wave Ref /199</t>
  </si>
  <si>
    <t>KKSC-0001-00002-58312</t>
  </si>
  <si>
    <t>2025 Panini Prizm Trey Amos #400 Orange 169/249 RC Commanders</t>
  </si>
  <si>
    <t>KKSC-0001-00013-15723</t>
  </si>
  <si>
    <t>2024-25 Upper Deck Allure Marco Rossi #CFL-31 Color Flow Red-Orange Wild</t>
  </si>
  <si>
    <t>KKSC-0001-00008-39136</t>
  </si>
  <si>
    <t>2023-24 Upper Deck MVP Alternate Threads Barzal Pelech Sorokin #AT-14 Islanders</t>
  </si>
  <si>
    <t>KKSC-0001-00003-64879</t>
  </si>
  <si>
    <t>2025-26 Topps Chrome Kon Knueppel #254 RC Hornets</t>
  </si>
  <si>
    <t>KKSC-0001-00016-87372</t>
  </si>
  <si>
    <t>2015 Panini Prizm Bobby Witt #11 Baseball Signatures Prizm Texas Rangers Auto</t>
  </si>
  <si>
    <t>BAS-002262-ng98k</t>
  </si>
  <si>
    <t>2024 Bowman MAX CLARK #PP-12 Prospect Power Up Tigers</t>
  </si>
  <si>
    <t>EBAY-0002-00005-89882</t>
  </si>
  <si>
    <t>2024 Topps Update RONALD ACUNA JR. #BG-3 Black Gold Braves</t>
  </si>
  <si>
    <t>EBAY-0002-00002-40631</t>
  </si>
  <si>
    <t>2024 Bowman Mega Box Jackson Holliday #BCP-47 Chrome Prospects Mojo Refractor</t>
  </si>
  <si>
    <t>EBAY-0002-00006-57493</t>
  </si>
  <si>
    <t>2023 Topps MICHAEL HARRIS II #226 Silver Pattern Foilboard RC All-Star Braves</t>
  </si>
  <si>
    <t>EBAY-0002-00009-80603</t>
  </si>
  <si>
    <t>2022 Panini USA Baseball Stars &amp; Stripes KYLE TEEL #34</t>
  </si>
  <si>
    <t>EBAY-0002-00011-24640</t>
  </si>
  <si>
    <t>2021 Topps Greg Maddux #86BC-25 1986 Baseball 35th Anniversary Chrome Series One</t>
  </si>
  <si>
    <t>EBAY-0002-00022-80961</t>
  </si>
  <si>
    <t>2025 Bowman CHARLES MCADOO #BCP-150 Chrome 1st Prospect Blue Jays</t>
  </si>
  <si>
    <t>EBAY-0002-00025-93307</t>
  </si>
  <si>
    <t>2024 Topps Chrome KRIS BRYANT #179 Purple Sonar Refractor /275 Rockies</t>
  </si>
  <si>
    <t>EBAY-0002-00008-84544</t>
  </si>
  <si>
    <t>2021 Topps Frank Thomas #86BC-50 35th Anniversary Chrome Series One White Sox</t>
  </si>
  <si>
    <t>EBAY-0002-00023-40726</t>
  </si>
  <si>
    <t>2025 Topps SHOTA IMANAGA #T90-85 1990 Baseball 35th Anniversary Series 1 Cubs</t>
  </si>
  <si>
    <t>EBAY-0002-00027-85255</t>
  </si>
  <si>
    <t>2025 Topps Heritage High Number JACKSON JOBE #RP-14 Rookie Performers Tigers</t>
  </si>
  <si>
    <t>EBAY-0002-00015-46976</t>
  </si>
  <si>
    <t>2024 Topps Chrome CEDDANNE RAFAELA #118 Raywave Refractor RC Red Sox</t>
  </si>
  <si>
    <t>EBAY-0002-00010-53390</t>
  </si>
  <si>
    <t>2024 Bowman Draft JONNY FARMELO #BDC-193 Chrome Refractor Mariners</t>
  </si>
  <si>
    <t>EBAY-0002-00016-64828</t>
  </si>
  <si>
    <t>2021 Topps Update BRYCE HARPER #86C-3 1986 Chrome Silver Pack Promotion Phillies</t>
  </si>
  <si>
    <t>EBAY-0002-00018-32544</t>
  </si>
  <si>
    <t>2025 Bowman GEORGE KLASSEN #BCP-63 Chrome 1st Prospect Angels</t>
  </si>
  <si>
    <t>EBAY-0002-00026-76831</t>
  </si>
  <si>
    <t>2024 Topps Allen &amp; Ginter JACKSON MERRILL #275 Silver Portrait RC Padres</t>
  </si>
  <si>
    <t>EBAY-0002-00013-51458</t>
  </si>
  <si>
    <t>2024 Topps Chrome Update COLTON COWSER #USC154 Aqua Refractor /199 RC Orioles</t>
  </si>
  <si>
    <t>EBAY-0002-00003-65985</t>
  </si>
  <si>
    <t>EBAY-0002-00024-12397</t>
  </si>
  <si>
    <t>2024 Bowman Chrome Bralyn Brazoban #BCP-224 Mega Box Mojo Refractor 1st Prospect</t>
  </si>
  <si>
    <t>EBAY-0002-00019-94951</t>
  </si>
  <si>
    <t>2024 Topps Allen &amp; Ginter FREDDIE FREEMAN #62 Silver Portrait Dodgers</t>
  </si>
  <si>
    <t>EBAY-0002-00014-11117</t>
  </si>
  <si>
    <t>2025 Topps DAVID FESTA #T90C-90 1990 Baseball Chrome Silver Pack RC Twins</t>
  </si>
  <si>
    <t>EBAY-0002-00020-34334</t>
  </si>
  <si>
    <t>2024 Bowman Mega Box JUNIOR CAMINERO #20 Mojo Refractor Rays</t>
  </si>
  <si>
    <t>EBAY-0002-00007-66481</t>
  </si>
  <si>
    <t>2025 Topps BRYCE HARPER #T90C-14 1990 Baseball Chrome Silver Pack Phillies</t>
  </si>
  <si>
    <t>EBAY-0002-00017-69417</t>
  </si>
  <si>
    <t>2020 Topps Archives RONALD ACUNA JR. #241 Braves</t>
  </si>
  <si>
    <t>EBAY-0002-00012-85224</t>
  </si>
  <si>
    <t>2020 Bowman CLAYTON KERSHAW #90B-CK 1990 Chrome Dodgers</t>
  </si>
  <si>
    <t>EBAY-0002-00004-43276</t>
  </si>
  <si>
    <t>2025 Bowman SEBASTIAN WALCOTT #BCP-133 Chrome Prospects Rangers</t>
  </si>
  <si>
    <t>EBAY-0002-00021-52213</t>
  </si>
  <si>
    <t>2025 Bowman Draft TAITN GRAY #BDC-7 Chrome 1st Prospect Rays</t>
  </si>
  <si>
    <t>EBAY-0002-00001-17151</t>
  </si>
  <si>
    <t>2025 Bowman's Best Julio Rodriguez #59 Purple Refractor 197/250 Mariners</t>
  </si>
  <si>
    <t>RBM-0001-00017-63721</t>
  </si>
  <si>
    <t>Jackson Merrill 2024 Topps Allen &amp; Ginter #275 Chrome San Diego Padres</t>
  </si>
  <si>
    <t>jpm0k</t>
  </si>
  <si>
    <t>2025 Bowman Chrome Marco Dinges #BCP-183 Prospects Milwaukee Brewers</t>
  </si>
  <si>
    <t>BA-000208-r8mdn</t>
  </si>
  <si>
    <t>2025 Bowman Chrome Luke Keaschall #61 Minnesota Twins</t>
  </si>
  <si>
    <t>BA-000188-r8m0i</t>
  </si>
  <si>
    <t>2025 Bowman Draft Liam Doyle #BDC-12 Chrome Refractor 1st Prospect Cardinals</t>
  </si>
  <si>
    <t>RBM-0001-00004-60755</t>
  </si>
  <si>
    <t>2025 Bowman Chrome NICK KURTZ #MV-11 Max Volume RC Athletics</t>
  </si>
  <si>
    <t>EBAY-0002-00004-78160</t>
  </si>
  <si>
    <t>2025 Bowman Draft NATE SNEAD #BDC-38 Chrome Refractor 1st Prospect Angels</t>
  </si>
  <si>
    <t>EBAY-0002-00017-07483</t>
  </si>
  <si>
    <t>2025 Topps Cosmic Chrome DYLAN CREWS #LIO-33 Launched Into Orbit RC Nationals</t>
  </si>
  <si>
    <t>EBAY-0002-00041-37909</t>
  </si>
  <si>
    <t>2025 Bowman Chrome MAX CLARK #MM-18 Melt Mashers Tigers</t>
  </si>
  <si>
    <t>EBAY-0002-00029-56619</t>
  </si>
  <si>
    <t>2025 Bowman Draft BRYCE CUNNINGHAM #BDC-155 Chrome Refractor Yankees</t>
  </si>
  <si>
    <t>EBAY-0002-00015-52200</t>
  </si>
  <si>
    <t>2025 Bowman's Best PAUL SKENES #40 Refractor Pirates</t>
  </si>
  <si>
    <t>EBAY-0002-00024-42318</t>
  </si>
  <si>
    <t>2025 Bowman Draft JAMIE ARNOLD #BDC-30 Chrome Refractor 1st Prospect Athletics</t>
  </si>
  <si>
    <t>EBAY-0002-00018-82396</t>
  </si>
  <si>
    <t>2025 Bowman's Best MAX CLARK #FG-16 MLB All-Star Futures Game AL</t>
  </si>
  <si>
    <t>EBAY-0002-00027-36223</t>
  </si>
  <si>
    <t>2025 Bowman Draft JESUS MADE #BIA-5 In Action Brewers</t>
  </si>
  <si>
    <t>EBAY-0002-00020-75164</t>
  </si>
  <si>
    <t>2025 Bowman Draft JT QUINN #BDC-85 Chrome Refractor 1st Prospect Orioles</t>
  </si>
  <si>
    <t>EBAY-0002-00002-84383</t>
  </si>
  <si>
    <t>2025 Bowman's Best NICK KURTZ #BS-2 Showpieces RC Athletics</t>
  </si>
  <si>
    <t>EBAY-0002-00008-94704</t>
  </si>
  <si>
    <t>2025 Bowman Chrome CAM SMITH #77 Red RC Variation Astros</t>
  </si>
  <si>
    <t>EBAY-0002-00034-04084</t>
  </si>
  <si>
    <t>2025 Bowman's Best KONNOR GRIFFIN #FG-4 MLB All-Star Futures Game NL</t>
  </si>
  <si>
    <t>EBAY-0002-00009-34938</t>
  </si>
  <si>
    <t>2025 Bowman Draft MASON MORRIS #BDC-66 Chrome Refractor 1st Prospect Reds</t>
  </si>
  <si>
    <t>EBAY-0002-00011-04199</t>
  </si>
  <si>
    <t>2025 Bowman Chrome Roman Anthony #BCP-167 Prospects Mini Diamond Refractor</t>
  </si>
  <si>
    <t>EBAY-0002-00014-07440</t>
  </si>
  <si>
    <t>2025 Bowman Chrome ANDREW SALAS #MM-17 Melt Mashers Marlins</t>
  </si>
  <si>
    <t>EBAY-0002-00035-94645</t>
  </si>
  <si>
    <t>2025 Bowman Draft Sapphire NICK BECKER #BDC-100 Chrome 1st Prospect Mariners</t>
  </si>
  <si>
    <t>EBAY-0002-00037-74073</t>
  </si>
  <si>
    <t>2025 Bowman Chrome JACOB WILSON #MM-7 Melt Mashers RC Athletics</t>
  </si>
  <si>
    <t>EBAY-0002-00007-38513</t>
  </si>
  <si>
    <t>2025 Bowman Draft CALEB BONEMER #BDC-184 Chrome Refractor White Sox</t>
  </si>
  <si>
    <t>EBAY-0002-00012-07962</t>
  </si>
  <si>
    <t>2025 Bowman Draft JACOB MORRISON #BDC-42 Chrome Refractor 1st Prospect Brewers</t>
  </si>
  <si>
    <t>EBAY-0002-00025-25331</t>
  </si>
  <si>
    <t>2025 Bowman Draft SETH HERNANDEZ #BDN-5 Night Chrome Pirates</t>
  </si>
  <si>
    <t>EBAY-0002-00044-01080</t>
  </si>
  <si>
    <t>2025 Bowman Chrome NESTOR MIRANDA #BCP-217 Shimmer Refractor 1st Prospect Tigers</t>
  </si>
  <si>
    <t>EBAY-0002-00023-08639</t>
  </si>
  <si>
    <t>2025 Bowman Draft Ethan Frey #CPA-EF Chrome Auto Refractor /499 1st Prospect</t>
  </si>
  <si>
    <t>EBAY-0002-00032-94122</t>
  </si>
  <si>
    <t>2025 Panini NSCC VIP Gold Packs Anthony Edwards #25</t>
  </si>
  <si>
    <t>RBM-0001-00012-12717</t>
  </si>
  <si>
    <t>2025 Bowman Chrome Josuar Gonzalez #BCP-153 Shimmer Refractor 1st Prospect</t>
  </si>
  <si>
    <t>RBBB5-0001-00046-86973</t>
  </si>
  <si>
    <t>2025 Bowman Draft Cade Obermueller #CPA-CO Chrome Auto Aqua Lava /199 Phillies</t>
  </si>
  <si>
    <t>RBBB5-0001-00048-62486</t>
  </si>
  <si>
    <t>2025 Bowman Draft CAMERON NELSON #BDC-130 Chrome 1st Prospect Rockies</t>
  </si>
  <si>
    <t>RBBB5-0001-00079-01870</t>
  </si>
  <si>
    <t>2025 Bowman Draft JOSH HAMMOND #BDC-185 Chrome 1st Prospect Royals</t>
  </si>
  <si>
    <t>RBBB5-0001-00081-32391</t>
  </si>
  <si>
    <t>2025 Topps Chrome DILLON GABRIEL #317 Rookie RayWave Refractor RC Browns</t>
  </si>
  <si>
    <t>RBBB5-0001-00063-63794</t>
  </si>
  <si>
    <t>2025 Bowman Draft JACOB MORRISON #BDC-42 Chrome 1st Prospect Brewers</t>
  </si>
  <si>
    <t>RBBB5-0001-00074-18201</t>
  </si>
  <si>
    <t>2025 Topps Chrome CAM WARD #314 Rookie RC Titans</t>
  </si>
  <si>
    <t>RBBB5-0001-00068-98158</t>
  </si>
  <si>
    <t>2025 Topps Chrome Update GAGE WORKMAN #USC21 Refractor RC Tigers</t>
  </si>
  <si>
    <t>RBBB5-0001-00054-03436</t>
  </si>
  <si>
    <t>2025 Topps Chrome Update ISAAC PAREDES #USC29 X-Fractor Astros</t>
  </si>
  <si>
    <t>RBBB5-0001-00057-06225</t>
  </si>
  <si>
    <t>2025 Topps Chrome WILL REICHARD #203 Orange Geometric Refractor 6/25 Vikings</t>
  </si>
  <si>
    <t>RBBB5-0001-00064-25263</t>
  </si>
  <si>
    <t>2025 Bowman's Best KEVIN MCGONIGLE #TP-28 Top Prospects Wave Refractor Tigers</t>
  </si>
  <si>
    <t>RBBB5-0001-00076-28925</t>
  </si>
  <si>
    <t>2025 Topps Chrome TYRONE TRACY JR. #228 Refractor Giants</t>
  </si>
  <si>
    <t>RBBB5-0001-00073-03736</t>
  </si>
  <si>
    <t>2025 Topps Chrome Update JAVIER BAEZ #ASGC-7 All-Star Game Tigers</t>
  </si>
  <si>
    <t>RBBB5-0001-00075-53652</t>
  </si>
  <si>
    <t>2025 Topps Chrome EMEKA EGBUKA #312 Rookie RC Buccaneers</t>
  </si>
  <si>
    <t>RBBB5-0001-00094-37492</t>
  </si>
  <si>
    <t>2025 Topps Chrome GUNNAR HELM #305 Rookie Football Leather Refractor RC Titans</t>
  </si>
  <si>
    <t>RBBB5-0001-00062-05471</t>
  </si>
  <si>
    <t>2025 Topps Chrome JACORY CROSKEY-MERRITT #F15-29 Fortune 15 RC Commanders</t>
  </si>
  <si>
    <t>RBBB5-0001-00089-10664</t>
  </si>
  <si>
    <t>2025 Topps Chrome TEZ JOHNSON #342 Rookie Refractor RC Buccaneers</t>
  </si>
  <si>
    <t>RBBB5-0001-00092-53023</t>
  </si>
  <si>
    <t>2025 Bowman Draft EDUARDO QUINTERO #BDC-111 Chrome X-Fractor Dodgers</t>
  </si>
  <si>
    <t>RBBB5-0001-00088-21547</t>
  </si>
  <si>
    <t>2025 Bowman Chrome MARCELO MAYER #AD-2 ADIOS! RC Red Sox</t>
  </si>
  <si>
    <t>RBBB5-0001-00067-65535</t>
  </si>
  <si>
    <t>2025 Topps Chrome Billy Bowman Jr. #344 Rookie Blue Wave Refractor /150 RC</t>
  </si>
  <si>
    <t>RBBB5-0001-00085-42777</t>
  </si>
  <si>
    <t>2025 Topps Chrome Update WILL SMITH #USC196 Negative Refractor Dodgers</t>
  </si>
  <si>
    <t>RBBB5-0001-00071-21998</t>
  </si>
  <si>
    <t>2025 Topps Chrome DONOVAN EDWARDS #392 Rookie Football Leather Refractor RC Jets</t>
  </si>
  <si>
    <t>RBBB5-0001-00091-02146</t>
  </si>
  <si>
    <t>2025 Bowman Draft Sapphire JT QUINN #BDC-85 Chrome 1st Prospect Orioles</t>
  </si>
  <si>
    <t>RBBB5-0001-00059-49897</t>
  </si>
  <si>
    <t>2025 Topps Chrome DARIEN PORTER #367 Rookie Refractor RC Raiders</t>
  </si>
  <si>
    <t>RBBB5-0001-00086-38098</t>
  </si>
  <si>
    <t>2025 Topps Chrome BRYCE YOUNG #FS-17 Future Stars Refractor SP Panthers</t>
  </si>
  <si>
    <t>RBBB5-0001-00093-26831</t>
  </si>
  <si>
    <t>2025 Topps Chrome TUTU ATWELL #167 Pink Refractor 164/250 Rams</t>
  </si>
  <si>
    <t>RBBB5-0001-00082-80037</t>
  </si>
  <si>
    <t>2025 Topps Chrome Quincy Riley #369 Rookie Blue Geometric Refractor /150 RC</t>
  </si>
  <si>
    <t>RBBB5-0001-00084-17180</t>
  </si>
  <si>
    <t>2025 Bowman Draft TYLER BREMNER #BIA-12 In Action Angels</t>
  </si>
  <si>
    <t>RBBB5-0001-00070-89905</t>
  </si>
  <si>
    <t>2025 Bowman Chrome COBY MAYO #83 Red RC Variation Orioles</t>
  </si>
  <si>
    <t>RBBB5-0001-00060-27732</t>
  </si>
  <si>
    <t>2025 Topps Chrome TREY AMOS #371 Rookie Refractor RC Commanders</t>
  </si>
  <si>
    <t>RBBB5-0001-00090-38373</t>
  </si>
  <si>
    <t>2025 Bowman Chrome TREY SWEENEY #25 Red RC Variation Tigers</t>
  </si>
  <si>
    <t>RBBB5-0001-00069-56123</t>
  </si>
  <si>
    <t>2025 Bowman Draft CAMERON MALDONADO #BDC-99 Chrome Refractor 1st Prospect Giants</t>
  </si>
  <si>
    <t>RBBB5-0001-00055-66118</t>
  </si>
  <si>
    <t>2025 Topps Chrome LAMAR JACKSON #24 RayWave Refractor Ravens</t>
  </si>
  <si>
    <t>RBBB5-0001-00095-83648</t>
  </si>
  <si>
    <t>2025 Bowman Draft KAEDEN KENT #BDC-65 Chrome 1st Prospect Yankees</t>
  </si>
  <si>
    <t>RBBB5-0001-00053-77555</t>
  </si>
  <si>
    <t>2025 Bowman Chrome Kevin Defrank #BCP-205 Mini Diamond Refractor 1st Prospect</t>
  </si>
  <si>
    <t>RBBB5-0001-00058-38083</t>
  </si>
  <si>
    <t>2025 Bowman Draft XAVIER NEYENS #BIA-14 In Action Astros</t>
  </si>
  <si>
    <t>RBBB5-0001-00078-68915</t>
  </si>
  <si>
    <t>2025 Topps Chrome Update BRAD LORD #USC77 Geometric Refractor RC Nationals</t>
  </si>
  <si>
    <t>RBBB5-0001-00066-60187</t>
  </si>
  <si>
    <t>2025 Bowman Chrome KEVIN DEFRANK #BCP-205 1st Prospect Marlins</t>
  </si>
  <si>
    <t>RBBB5-0001-00065-39461</t>
  </si>
  <si>
    <t>2025 Bowman Draft Josh Hammond #BDC-185 Chrome Refractor 1st Prospect Royals</t>
  </si>
  <si>
    <t>RBM-0001-00015-10174</t>
  </si>
  <si>
    <t>2025 Bowman Draft Sean Gamble #BDC-178 Chrome Refractor Kansas City Royals</t>
  </si>
  <si>
    <t>BD-000084-skhxz</t>
  </si>
  <si>
    <t>2025 Topps Chrome QUINCY RILEY #369 Rookie Refractor RC Saints</t>
  </si>
  <si>
    <t>RBBB5-0001-00107-89994</t>
  </si>
  <si>
    <t>2025 Bowman Draft ELI WILLITS #BDN-1 Night Chrome Nationals</t>
  </si>
  <si>
    <t>RBBB5-0001-00146-25319</t>
  </si>
  <si>
    <t>2025 Bowman Draft JOJO PARKER #BDC-8 Chrome 1st Prospect Blue Jays</t>
  </si>
  <si>
    <t>RBBB5-0001-00141-91287</t>
  </si>
  <si>
    <t>2025 Topps Chrome BRYCE YOUNG #40 Refractor Panthers</t>
  </si>
  <si>
    <t>RBBB5-0001-00130-21052</t>
  </si>
  <si>
    <t>2025 Topps Chrome Update JACOB WILSON #USC150 RC Athletics</t>
  </si>
  <si>
    <t>RBBB5-0001-00147-50717</t>
  </si>
  <si>
    <t>2025 Bowman Draft Sapphire COLIN YEAMAN #BDC-47 Chrome 1st Prospect Orioles</t>
  </si>
  <si>
    <t>RBBB5-0001-00124-96493</t>
  </si>
  <si>
    <t>2025 Topps Chrome CAM WARD #314 Rookie Refractor RC Titans</t>
  </si>
  <si>
    <t>RBBB5-0001-00120-95232</t>
  </si>
  <si>
    <t>2025 Bowman Draft DAX KILBY #BDC-146 Chrome 1st Prospect Yankees</t>
  </si>
  <si>
    <t>RBBB5-0001-00122-92473</t>
  </si>
  <si>
    <t>2025 Bowman's Best NICK KURTZ #P-8 Pixel Portraits RC Athletics</t>
  </si>
  <si>
    <t>RBBB5-0001-00104-86781</t>
  </si>
  <si>
    <t>2025 Bowman Draft ANTHONY EYANSON #BDC-116 Chrome Refractor 1st Prospect Red Sox</t>
  </si>
  <si>
    <t>RBBB5-0001-00098-47540</t>
  </si>
  <si>
    <t>2025 Bowman Draft EDUARDO QUINTERO #BDC-111 Chrome Refractor Dodgers</t>
  </si>
  <si>
    <t>RBBB5-0001-00133-96977</t>
  </si>
  <si>
    <t>2025 Topps Chrome Update NICK KURTZ #USC178 RC Athletics</t>
  </si>
  <si>
    <t>RBBB5-0001-00114-71391</t>
  </si>
  <si>
    <t>2025 Topps Chrome MAASON SMITH #140 Refractor Jaguars</t>
  </si>
  <si>
    <t>RBBB5-0001-00129-89763</t>
  </si>
  <si>
    <t>2025 Bowman Chrome JACOB WILSON #1 RC Athletics</t>
  </si>
  <si>
    <t>RBBB5-0001-00121-21847</t>
  </si>
  <si>
    <t>2025 Bowman Chrome KRISTIAN CAMPBELL #MM-2 Melt Mashers RC Red Sox</t>
  </si>
  <si>
    <t>RBBB5-0001-00134-16195</t>
  </si>
  <si>
    <t>2025 Topps Chrome Update CARLOS CORREA #USC164 Astros</t>
  </si>
  <si>
    <t>RBBB5-0001-00132-98069</t>
  </si>
  <si>
    <t>2025 Topps Chrome KALEB JOHNSON #323 Rookie RC Steelers</t>
  </si>
  <si>
    <t>RBBB5-0001-00128-57232</t>
  </si>
  <si>
    <t>2025 Topps Chrome SAQUON BARKLEY #F15-3 Fortune 15 Refractor Eagles</t>
  </si>
  <si>
    <t>RBBB5-0001-00106-85937</t>
  </si>
  <si>
    <t>2025 Bowman Draft WALKER JENKINS #BDC-159 Chrome Refractor Twins</t>
  </si>
  <si>
    <t>RBBB5-0001-00102-34827</t>
  </si>
  <si>
    <t>2025 Bowman's Best KONNOR GRIFFIN #TP-27 Top Prospects Refractor Pirates</t>
  </si>
  <si>
    <t>RBBB5-0001-00138-66977</t>
  </si>
  <si>
    <t>2025 Bowman Draft JJ WETHERHOLT #BDC-145 Chrome Cardinals</t>
  </si>
  <si>
    <t>RBBB5-0001-00145-18484</t>
  </si>
  <si>
    <t>2025 Topps Chrome Update LOGAN VANWEY #USC141 Refractor RC Astros</t>
  </si>
  <si>
    <t>RBBB5-0001-00109-58964</t>
  </si>
  <si>
    <t>2025 Topps Chrome Update YORDAN ALVAREZ #90CU-7 1990 Geometric Refractor Astros</t>
  </si>
  <si>
    <t>RBBB5-0001-00139-26471</t>
  </si>
  <si>
    <t>2025 Bowman Chrome CRIS RODRIGUEZ #BCP-250 1st Prospect Tigers</t>
  </si>
  <si>
    <t>RBBB5-0001-00142-25202</t>
  </si>
  <si>
    <t>2025 Topps Chrome JAHDAE BARRON #359 Rookie RC Broncos</t>
  </si>
  <si>
    <t>RBBB5-0001-00127-62689</t>
  </si>
  <si>
    <t>2025 Topps Chrome Update NICK KURTZ #USC180 RC Athletics</t>
  </si>
  <si>
    <t>RBBB5-0001-00119-75839</t>
  </si>
  <si>
    <t>2025 Bowman Draft ETHAN PETRY #BDC-151 Chrome Refractor 1st Prospect Nationals</t>
  </si>
  <si>
    <t>RBBB5-0001-00126-89987</t>
  </si>
  <si>
    <t>2025 Bowman's Best NICK KURTZ #C-16 Circuitry RC Athletics</t>
  </si>
  <si>
    <t>RBBB5-0001-00137-97309</t>
  </si>
  <si>
    <t>2025 Bowman Chrome Sapphire COBY MAYO #83 RC Orioles</t>
  </si>
  <si>
    <t>RBBB5-0001-00131-02855</t>
  </si>
  <si>
    <t>2025 Topps Chrome JOSH SIMMONS #304 Rookie RC Chiefs</t>
  </si>
  <si>
    <t>RBBB5-0001-00116-56818</t>
  </si>
  <si>
    <t>RBBB5-0001-00099-23349</t>
  </si>
  <si>
    <t>2025 Bowman Draft ETHAN FREY #BDC-67 Chrome Refractor 1st Prospect Astros</t>
  </si>
  <si>
    <t>RBBB5-0001-00103-42031</t>
  </si>
  <si>
    <t>2025 Bowman Draft ELI WILLITS #A-1 Axis Chrome Nationals</t>
  </si>
  <si>
    <t>RBBB5-0001-00097-61096</t>
  </si>
  <si>
    <t>2025 Bowman Draft GAVIN KILEN #PP-14 Chrome Prized Prospects Giants</t>
  </si>
  <si>
    <t>RBBB5-0001-00143-68890</t>
  </si>
  <si>
    <t>2025 Bowman Draft Sapphire GRIFFIN HUGUS #BDC-101 Chrome 1st Prospect Mariners</t>
  </si>
  <si>
    <t>RBBB5-0001-00105-51543</t>
  </si>
  <si>
    <t>2025 Topps Chrome TRENT MCDUFFIE #154 Geometric Refractor Chiefs</t>
  </si>
  <si>
    <t>RBBB5-0001-00108-69232</t>
  </si>
  <si>
    <t>2025 Topps Chrome Update DENZEL CLARKE #USC15 Prism Refractor RC Athletics</t>
  </si>
  <si>
    <t>RBBB5-0001-00118-09658</t>
  </si>
  <si>
    <t>2025 Topps Chrome Update COLE HENRY #USC72 Geometric Refractor RC Nationals</t>
  </si>
  <si>
    <t>RBBB5-0001-00111-21837</t>
  </si>
  <si>
    <t>RBBB5-0001-00117-73036</t>
  </si>
  <si>
    <t>2025 Bowman's Best NICK KURTZ #42 RC Athletics</t>
  </si>
  <si>
    <t>RBBB5-0001-00115-29834</t>
  </si>
  <si>
    <t>2025 Topps Chrome Update ISAAC PAREDES #USC29 Refractor Astros</t>
  </si>
  <si>
    <t>RBBB5-0001-00135-70424</t>
  </si>
  <si>
    <t>2025 Bowman Draft Josiah Hartshorn #BDC-21 Chrome Refractor Chicago Cubs</t>
  </si>
  <si>
    <t>BD-000091-skhyo-8E92A48</t>
  </si>
  <si>
    <t>2025 Bowman Draft JESUS MADE #BDC-196 Chrome Refractor Brewers</t>
  </si>
  <si>
    <t>RBBB5-0001-00006-34515</t>
  </si>
  <si>
    <t>2025 Bowman Draft COLIN YEAMAN #CPA-CY Chrome Auto 1st Prospect Orioles</t>
  </si>
  <si>
    <t>RBBB5-0001-00012-24697</t>
  </si>
  <si>
    <t>2025 Bowman Draft DEVIN TAYLOR #BDC-135 Chrome Refractor 1st Prospect Athletics</t>
  </si>
  <si>
    <t>RBBB5-0001-00001-99588</t>
  </si>
  <si>
    <t>2025 Bowman Draft RAINIEL RODRIGUEZ #BDC-72 Chrome Refractor Cardinals</t>
  </si>
  <si>
    <t>RBBB5-0001-00040-52745</t>
  </si>
  <si>
    <t>2025 Bowman Chrome HAYDEN BIRDSONG #63 Red RC Variation Giants</t>
  </si>
  <si>
    <t>RBBB5-0001-00019-14127</t>
  </si>
  <si>
    <t>2025 Bowman Draft MITCH VOIT #PP-10 Chrome Prized Prospects Mets</t>
  </si>
  <si>
    <t>RBBB5-0001-00020-57984</t>
  </si>
  <si>
    <t>2025 Bowman Draft Cameron Millar #BDC-176 Chrome Blue Geometric Refractor /150</t>
  </si>
  <si>
    <t>RBBB5-0001-00027-04839</t>
  </si>
  <si>
    <t>2025 Bowman Draft Cameron Millar #BDC-176 Chrome Orange Geometric Refractor /25</t>
  </si>
  <si>
    <t>RBBB5-0001-00037-58525</t>
  </si>
  <si>
    <t>2025-26 Topps Finest KON KNUEPPEL #204 Rare Sky Blue Refractor /150 RC Hornets</t>
  </si>
  <si>
    <t>RBBB5-0001-00038-55525</t>
  </si>
  <si>
    <t>2025 Bowman Draft Sapphire RYAN SLOAN #BDC-94 Chrome Mariners</t>
  </si>
  <si>
    <t>RBBB5-0001-00022-37047</t>
  </si>
  <si>
    <t>2025 Bowman Draft MITCH VOIT #BDN-4 Night Chrome Mets</t>
  </si>
  <si>
    <t>RBBB5-0001-00018-54863</t>
  </si>
  <si>
    <t>2025 Bowman Chrome Yulian Barreto #CPA-YU Auto Refractor /499 1st Prospect</t>
  </si>
  <si>
    <t>RBBB5-0001-00014-26818</t>
  </si>
  <si>
    <t>2025 Bowman Draft Sean Gamble #BDC-178 Chrome Sky Blue Refractor 1st Prospect</t>
  </si>
  <si>
    <t>RBBB5-0001-00003-19004</t>
  </si>
  <si>
    <t>2025 Bowman Draft IKE IRISH #BDC-16 Chrome College Variation</t>
  </si>
  <si>
    <t>RBBB5-0001-00036-37975</t>
  </si>
  <si>
    <t>2025 Bowman Draft KEVIN MCGONIGLE #BIA-10 In Action Tigers</t>
  </si>
  <si>
    <t>RBBB5-0001-00029-07369</t>
  </si>
  <si>
    <t>2025 Bowman Draft JT QUINN #CPA-JQ Chrome Auto 1st Prospect Orioles</t>
  </si>
  <si>
    <t>RBBB5-0001-00009-14591</t>
  </si>
  <si>
    <t>2025 Topps Finest Kon Knueppel #4 Common Blue Geometric Refractor /75 RC</t>
  </si>
  <si>
    <t>RBBB5-0001-00039-50667</t>
  </si>
  <si>
    <t>2025 Bowman Draft Sapphire JONNY FARMELO #BDC-163 Chrome Mariners</t>
  </si>
  <si>
    <t>RBBB5-0001-00035-48472</t>
  </si>
  <si>
    <t>2025 Bowman Draft Sapphire SLADE CALDWELL #BDC-152 Chrome Diamondbacks</t>
  </si>
  <si>
    <t>RBBB5-0001-00021-46502</t>
  </si>
  <si>
    <t>2025 Bowman Draft Sapphire LUKE DICKERSON #BDC-61 Chrome Nationals</t>
  </si>
  <si>
    <t>RBBB5-0001-00024-02465</t>
  </si>
  <si>
    <t>2025 Bowman Draft RYAN MITCHELL #BDC-77 Chrome Refractor 1st Prospect Cardinals</t>
  </si>
  <si>
    <t>RBBB5-0001-00017-30522</t>
  </si>
  <si>
    <t>2025 Bowman Draft Josh Hammond #BDC-185 Chrome Purple Refractor /250 Royals</t>
  </si>
  <si>
    <t>RBBB5-0001-00031-53527</t>
  </si>
  <si>
    <t>2025 Bowman Draft DEVIN TAYLOR #CPA-DT Chrome Auto 1st Prospect Athletics</t>
  </si>
  <si>
    <t>RBBB5-0001-00010-49050</t>
  </si>
  <si>
    <t>2025 Bowman Draft AARON WATSON #BDC-193 Chrome Refractor 1st Prospect Reds</t>
  </si>
  <si>
    <t>RBBB5-0001-00007-89957</t>
  </si>
  <si>
    <t>2025 Bowman Draft MICHAEL OLIVETO #BDC-156 Chrome 1st Prospect Tigers</t>
  </si>
  <si>
    <t>RBBB5-0002-00070-02515</t>
  </si>
  <si>
    <t>2025 Bowman Draft Sapphire ARJUN NIMMALA #BDC-35 Chrome Blue Jays</t>
  </si>
  <si>
    <t>RBBB5-0002-00056-58260</t>
  </si>
  <si>
    <t>2025 Bowman Draft Caleb Leys #BDC-195 Chrome Sparkle Refractor 1st Prospect</t>
  </si>
  <si>
    <t>RBBB5-0002-00077-78830</t>
  </si>
  <si>
    <t>2025 Bowman Draft JHONNY LEVEL #BDC-55 Chrome Refractor Giants</t>
  </si>
  <si>
    <t>RBBB5-0002-00060-61636</t>
  </si>
  <si>
    <t>2025 Bowman Draft COOPER PRATT #BDC-157 Chrome Refractor Brewers</t>
  </si>
  <si>
    <t>RBBB5-0002-00063-64672</t>
  </si>
  <si>
    <t>2025 Bowman Chrome SABIER MARTE #CPA-SM Prospect Auto Yankees</t>
  </si>
  <si>
    <t>RBBB5-0002-00067-24730</t>
  </si>
  <si>
    <t>2025 Bowman Draft GEORGE LOMBARD JR. #BDC-43 Chrome Refractor Yankees</t>
  </si>
  <si>
    <t>RBBB5-0002-00048-43492</t>
  </si>
  <si>
    <t>2025 Bowman Chrome BRYCE ELDRIDGE #BCP-180 Prospects Shimmer Refractor Giants</t>
  </si>
  <si>
    <t>RBBB5-0002-00052-89291</t>
  </si>
  <si>
    <t>2025 Bowman Draft QUENTIN YOUNG #BDC-92 Chrome Refractor 1st Prospect Twins</t>
  </si>
  <si>
    <t>RBBB5-0002-00061-46273</t>
  </si>
  <si>
    <t>2025 Bowman's Best ELI WILLITS #TP-20 Top Prospects Refractor Nationals</t>
  </si>
  <si>
    <t>RBBB5-0002-00049-12013</t>
  </si>
  <si>
    <t>2025 Bowman Draft Gavin Fien #BDC-15 Chrome Sky Blue Refractor 1st Prospect</t>
  </si>
  <si>
    <t>RBBB5-0002-00046-38791</t>
  </si>
  <si>
    <t>2025 Bowman Draft CARLOS LAGRANGE #BDC-132 Chrome Refractor Yankees</t>
  </si>
  <si>
    <t>RBBB5-0002-00064-78051</t>
  </si>
  <si>
    <t>2025 Bowman Draft AIDAN WEST #BDC-6 Chrome Refractor 1st Prospect Dodgers</t>
  </si>
  <si>
    <t>RBBB5-0002-00057-43226</t>
  </si>
  <si>
    <t>2025 Bowman Draft KEVIN MCGONIGLE #BDC-59 Chrome Refractor Tigers</t>
  </si>
  <si>
    <t>RBBB5-0002-00053-33598</t>
  </si>
  <si>
    <t>2025 Bowman Draft DAKOTA JORDAN #BDC-139 Chrome Refractor Giants</t>
  </si>
  <si>
    <t>RBBB5-0002-00062-59153</t>
  </si>
  <si>
    <t>2025 Bowman JJ Wetherholt #BCP-22 Chrome Mega Box Refractor 1st Prospect</t>
  </si>
  <si>
    <t>RBBB5-0002-00078-48725</t>
  </si>
  <si>
    <t>2025-26 Bowman ANTHONY DAVIS #131 Orange Border /25 Mavericks</t>
  </si>
  <si>
    <t>RBBB5-0002-00042-31699</t>
  </si>
  <si>
    <t>2025 Bowman Draft Sapphire CODY BOWKER #BDC-140 Chrome 1st Prospect Phillies</t>
  </si>
  <si>
    <t>RBBB5-0002-00074-62272</t>
  </si>
  <si>
    <t>2025 Bowman Draft MICHAEL OLIVETO #BD-156 Green Border /99 1st Prospect Tigers</t>
  </si>
  <si>
    <t>RBBB5-0002-00044-75707</t>
  </si>
  <si>
    <t>2025 Bowman Draft ETHAN FREY #BDC-67 Chrome X-Fractor 1st Prospect Astros</t>
  </si>
  <si>
    <t>RBBB5-0002-00051-52164</t>
  </si>
  <si>
    <t>2025 Bowman Draft Sapphire TOMMY TROY #BDC-36 Chrome Diamondbacks</t>
  </si>
  <si>
    <t>RBBB5-0002-00071-72087</t>
  </si>
  <si>
    <t>2025 Bowman Kobe Sanders #BCA-KS Chrome Auto Purple Refractor /250 RC</t>
  </si>
  <si>
    <t>RBBB5-0004-00007-78536</t>
  </si>
  <si>
    <t>2025-26 Bowman SHAI GILGEOUS-ALEXANDER #YK-1 Chrome Young Kings Clippers</t>
  </si>
  <si>
    <t>RBBB5-0004-00002-09389</t>
  </si>
  <si>
    <t>2025 Bowman Draft JOSH OWENS #BDC-119 Chrome Refractor 1st Prospect Rangers</t>
  </si>
  <si>
    <t>RBBB5-0004-00014-69298</t>
  </si>
  <si>
    <t>2025-26 Bowman KON KNUEPPEL #RY-4 ROY Favorites Chrome RC Hornets</t>
  </si>
  <si>
    <t>RBBB5-0004-00017-77507</t>
  </si>
  <si>
    <t>2025-26 Bowman KON KNUEPPEL #HS-7 Chrome Hobby Stars RC Hornets</t>
  </si>
  <si>
    <t>RBBB5-0004-00003-79280</t>
  </si>
  <si>
    <t>2025-26 Bowman SHAI GILGEOUS-ALEXANDER #BCV-106 Chrome Thunder</t>
  </si>
  <si>
    <t>RBBB5-0004-00001-89641</t>
  </si>
  <si>
    <t>2025 Bowman Draft GAVIN FIEN #BDN-10 Night Chrome Rangers</t>
  </si>
  <si>
    <t>RBBB5-0004-00013-62538</t>
  </si>
  <si>
    <t>2025-26 Bowman MIKEL BROWN JR. #CPA-MBJ Chrome Auto 1st Prospect Cardinals</t>
  </si>
  <si>
    <t>RBBB5-0004-00021-65252</t>
  </si>
  <si>
    <t>2025-26 Bowman KON KNUEPPEL #GL-4 Chrome Greatness Loading RC Hornets</t>
  </si>
  <si>
    <t>RBBB5-0004-00010-69994</t>
  </si>
  <si>
    <t>2025 Bowman Draft GAVIN FIEN #BIA-16 In Action Rangers</t>
  </si>
  <si>
    <t>RBBB5-0004-00008-92674</t>
  </si>
  <si>
    <t>2025 Bowman Leah Macy #CPA-LM Chrome Auto Refractor /499 1st Prospect</t>
  </si>
  <si>
    <t>RBBB5-0004-00020-10509</t>
  </si>
  <si>
    <t>2025-26 Bowman KON KNUEPPEL #BCV-4 Chrome RC Hornets</t>
  </si>
  <si>
    <t>RBBB5-0004-00012-95993</t>
  </si>
  <si>
    <t>2025 Bowman Shelton Henderson #BCP-10 Chrome Purple Refractor /250 1st Prospect</t>
  </si>
  <si>
    <t>RBBB5-0004-00018-23517</t>
  </si>
  <si>
    <t>2025-26 Bowman KON KNUEPPEL #RR-4 Chrome Rockstar Rookies RC Hornets</t>
  </si>
  <si>
    <t>RBBB5-0002-00011-69349</t>
  </si>
  <si>
    <t>2025 Bowman Jamier Jones #CPA-JO Chrome Auto Refractor /499 1st Prospect</t>
  </si>
  <si>
    <t>RBBB5-0004-00019-87265</t>
  </si>
  <si>
    <t>2025 Bowman Otega Oweh #CPA-OO Chrome Auto Refractor /499 1st Prospect</t>
  </si>
  <si>
    <t>RBBB5-0004-00004-33506</t>
  </si>
  <si>
    <t>2025 Bowman Yang Hansen #BRR-16 Chrome Red Rookie Variation SP RC</t>
  </si>
  <si>
    <t>RBBB5-0004-00006-04236</t>
  </si>
  <si>
    <t>2025 Bowman's Best PAUL SKENES #P-14 Pixel Portraits Pirates</t>
  </si>
  <si>
    <t>RBBB5-0001-00112-26249</t>
  </si>
  <si>
    <t>2025 Bowman Draft Johnny Slawinski #CPA-JS Chrome Prospect Autographs Angels</t>
  </si>
  <si>
    <t>RBBB5-00004</t>
  </si>
  <si>
    <t>2025 Bowman Chrome NICK KURTZ #93 RC Athletics</t>
  </si>
  <si>
    <t>RBBB5-0004-00043-69805</t>
  </si>
  <si>
    <t>2025 Bowman Chrome MAX MUNCY #90 Red RC Variation Athletics</t>
  </si>
  <si>
    <t>RBBB5-0004-00042-99756</t>
  </si>
  <si>
    <t>2025 Bowman's Best Konnor Griffin #B25-KG Best of Auto Purple Refractor /75</t>
  </si>
  <si>
    <t>RBBB5-0004-00022-38355</t>
  </si>
  <si>
    <t>2025 Bowman Draft GAVIN KILEN #BDC-40 Chrome Refractor 1st Prospect Giants</t>
  </si>
  <si>
    <t>RBBB5-0004-00045-65535</t>
  </si>
  <si>
    <t>2025 Bowman Chrome CAM SCHLITTLER #BCP-166 1st Prospect Yankees</t>
  </si>
  <si>
    <t>RBBB5-0004-00038-93561</t>
  </si>
  <si>
    <t>2025 Bowman Chrome AYDEN JOHNSON #BCP-197 1st Prospect Athletics</t>
  </si>
  <si>
    <t>RBBB5-0004-00040-08525</t>
  </si>
  <si>
    <t>RBBB5-0004-00032-31085</t>
  </si>
  <si>
    <t>2023 Bowman Shea Langeliers #ROYF-10 Rookie of the Year Favorites Chrome RC</t>
  </si>
  <si>
    <t>RBBB5-0004-00030-95175</t>
  </si>
  <si>
    <t>2025 Bowman Draft GRANT RICHARDSON #BDC-171 Chrome 1st Prospect Athletics</t>
  </si>
  <si>
    <t>RBBB5-0004-00025-30205</t>
  </si>
  <si>
    <t>2025 Bowman Draft NOLAN SCHUBART #BDC-192 Chrome 1st Prospect Guardians</t>
  </si>
  <si>
    <t>RBBB5-0004-00034-10626</t>
  </si>
  <si>
    <t>2025 Bowman Draft NATE GEORGE #BDC-113 Chrome Refractor Orioles</t>
  </si>
  <si>
    <t>RBBB5-0004-00047-85291</t>
  </si>
  <si>
    <t>2025 Bowman Draft DAX KILBY #BDC-146 Chrome Refractor 1st Prospect Yankees</t>
  </si>
  <si>
    <t>RBBB5-0004-00037-06747</t>
  </si>
  <si>
    <t>2025 Bowman's Best JACOB WILSON #C-4 Circuitry RC Athletics</t>
  </si>
  <si>
    <t>RBBB5-0004-00031-93970</t>
  </si>
  <si>
    <t>2025 Bowman's Best JOSE RAMIREZ #14 Refractor Guardians</t>
  </si>
  <si>
    <t>RBBB5-0004-00035-16785</t>
  </si>
  <si>
    <t>RBBB5-0004-00044-57429</t>
  </si>
  <si>
    <t>2023 Bowman TYLER SODERSTROM #BTP-34 Scouts Top 100 Chrome RC Athletics</t>
  </si>
  <si>
    <t>RBBB5-0004-00029-13509</t>
  </si>
  <si>
    <t>2025 Bowman Chrome MAX MUNCY #90 RC Athletics</t>
  </si>
  <si>
    <t>RBBB5-0004-00024-58893</t>
  </si>
  <si>
    <t>2025 Bowman Draft SHOTARO MORII #BDC-174 Chrome Refractor Athletics</t>
  </si>
  <si>
    <t>RBBB5-0004-00049-51379</t>
  </si>
  <si>
    <t>2025 Bowman Draft DEVIN TAYLOR #BDC-135 Chrome 1st Prospect Athletics</t>
  </si>
  <si>
    <t>RBBB5-0004-00028-84368</t>
  </si>
  <si>
    <t>2025 Bowman Draft LUIS PENA #BDC-105 Chrome Refractor Brewers</t>
  </si>
  <si>
    <t>RBBB5-0004-00048-77678</t>
  </si>
  <si>
    <t>2025 Bowman Draft SHOTARO MORII #A-18 Axis Chrome Athletics</t>
  </si>
  <si>
    <t>RBBB5-0004-00027-45450</t>
  </si>
  <si>
    <t>2025 Bowman's Best LEO DE VRIES #FG-3 MLB All-Star Futures Game NL</t>
  </si>
  <si>
    <t>RBBB5-0004-00036-48124</t>
  </si>
  <si>
    <t>2025 Bowman Draft GAVIN TURLEY #BDC-28 Chrome 1st Prospect Athletics</t>
  </si>
  <si>
    <t>RBBB5-0004-00026-15090</t>
  </si>
  <si>
    <t>2025 Bowman Draft Sapphire LUKE LACOURSE #BDC-123 Chrome 1st Prospect Angels</t>
  </si>
  <si>
    <t>RBBB5-0001-00025-80828</t>
  </si>
  <si>
    <t>2025 Bowman Draft Ike Irish #BDC-16 Chrome Refractor 1st Prospect Orioles</t>
  </si>
  <si>
    <t>MISC-0002-00018-31239</t>
  </si>
  <si>
    <t>2025 Bowman Draft SETH HERNANDEZ #BDC-25 Chrome 1st Prospect Pirates</t>
  </si>
  <si>
    <t>RBBB5-0001-00101-65618</t>
  </si>
  <si>
    <t>2025-26 Topps Finest Ace Bailey #5 Common RC Jazz</t>
  </si>
  <si>
    <t>RB-0007-00002-55169</t>
  </si>
  <si>
    <t>2024 Topps Black and White AARON JUDGE /49 Blue Parallel SP Yankees #7 PSA 10</t>
  </si>
  <si>
    <t>2022 Topps Chrome Ronald Acuna Jr. PSA 9 Braves</t>
  </si>
  <si>
    <t>2025 Bowman Chrome JOSUAR GONZALEZ #BCP-153 1st Prospect Giants</t>
  </si>
  <si>
    <t>RBBB5-0001-00113-17495</t>
  </si>
  <si>
    <t>2025 Bowman Draft Sapphire BRADEN MONTGOMERY #BDC-18 Chrome White Sox</t>
  </si>
  <si>
    <t>POOKIEWHT-0001-00008-19642</t>
  </si>
  <si>
    <t>2025 Bowman Draft Sapphire YOLFRAN CASTILLO #BDC-107 Chrome Rangers</t>
  </si>
  <si>
    <t>POOKIEWHT-0001-00029-43928</t>
  </si>
  <si>
    <t>2025 Bowman Chrome DYLAN CREWS #3 Geometric Refractor /499 RC Nationals</t>
  </si>
  <si>
    <t>POOKIEWHT-0001-00026-42273</t>
  </si>
  <si>
    <t>2025 Bowman Draft LANDON HODGE #BDC-93 Chrome Refractor 1st Prospect White Sox</t>
  </si>
  <si>
    <t>POOKIEWHT-0001-00025-11521</t>
  </si>
  <si>
    <t>2025 Bowman Draft Sapphire JARED THOMAS #BDC-147 Chrome Rockies</t>
  </si>
  <si>
    <t>POOKIEWHT-0001-00007-43100</t>
  </si>
  <si>
    <t>2025 Bowman Draft Sapphire DEAN MOSS #BDC-114 Chrome Rays</t>
  </si>
  <si>
    <t>POOKIEWHT-0001-00009-30465</t>
  </si>
  <si>
    <t>2025 Bowman Draft Sapphire MICHAEL OLIVETO #BDC-156 Chrome 1st Prospect Tigers</t>
  </si>
  <si>
    <t>POOKIEWHT-0001-00006-26635</t>
  </si>
  <si>
    <t>2025 Bowman Draft Sapphire KANE KEPLEY #BDC-200 Chrome 1st Prospect Cubs</t>
  </si>
  <si>
    <t>POOKIEWHT-0001-00002-42708</t>
  </si>
  <si>
    <t>2025 Bowman Draft Sapphire SEBASTIAN WALCOTT #BDC-169 Chrome Rangers</t>
  </si>
  <si>
    <t>POOKIEWHT-0001-00013-11739</t>
  </si>
  <si>
    <t>2025 Bowman Draft THOMAS WHITE #BDC-26 Chrome Sparkle Refractor Marlins</t>
  </si>
  <si>
    <t>POOKIEWHT-0001-00021-59118</t>
  </si>
  <si>
    <t>2025 Bowman Draft Sapphire Mason McConnaughey #BDC-117 Chrome 1st Prospect</t>
  </si>
  <si>
    <t>POOKIEWHT-0001-00018-04041</t>
  </si>
  <si>
    <t>2025 Bowman Draft Sapphire MALCOLM MOORE #BDC-191 Chrome Rangers</t>
  </si>
  <si>
    <t>POOKIEWHT-0001-00028-12897</t>
  </si>
  <si>
    <t>2025 Bowman Draft Sapphire JAMES ELLWANGER #BDC-164 Chrome 1st Prospect Twins</t>
  </si>
  <si>
    <t>POOKIEWHT-0001-00012-89690</t>
  </si>
  <si>
    <t>2025 Bowman Draft Sapphire MICHAEL SALINA #BDC-76 Chrome 1st Prospect Padres</t>
  </si>
  <si>
    <t>POOKIEWHT-0001-00001-53167</t>
  </si>
  <si>
    <t>2025 Bowman Draft Sapphire ETHAN FREY #BDC-67 Chrome 1st Prospect Astros</t>
  </si>
  <si>
    <t>POOKIEWHT-0001-00004-33569</t>
  </si>
  <si>
    <t>POOKIEWHT-0001-00005-89326</t>
  </si>
  <si>
    <t>2025 Bowman Draft CALEB BONEMER #BDC-184 Chrome Sparkle Refractor White Sox</t>
  </si>
  <si>
    <t>POOKIEWHT-0001-00027-06270</t>
  </si>
  <si>
    <t>POOKIEWHT-0001-00022-15164</t>
  </si>
  <si>
    <t>2025 Bowman Draft Sapphire JEFFERSON ROJAS #BDC-75 Chrome Cubs</t>
  </si>
  <si>
    <t>POOKIEWHT-0001-00019-06075</t>
  </si>
  <si>
    <t>POOKIEWHT-0001-00024-55365</t>
  </si>
  <si>
    <t>2025 Bowman Draft Aaron Watson #BDC-193 Chrome Steel Metal Refractor /100 Reds</t>
  </si>
  <si>
    <t>POOKIEWHT-0001-00010-41001</t>
  </si>
  <si>
    <t>2025 Bowman Draft Sapphire DOMINICK REID #BDC-53 Chrome 1st Prospect Cubs</t>
  </si>
  <si>
    <t>POOKIEWHT-0001-00034-00487</t>
  </si>
  <si>
    <t>2025 Bowman Draft Sapphire JOSH OWENS #BDC-119 Chrome 1st Prospect Rangers</t>
  </si>
  <si>
    <t>POOKIEWHT-0001-00035-30416</t>
  </si>
  <si>
    <t>2025 Bowman Draft Sapphire Grant Richardson #BDC-171 Chrome 1st Prospect</t>
  </si>
  <si>
    <t>POOKIEWHT-0001-00033-99197</t>
  </si>
  <si>
    <t>2025 Bowman Draft Sapphire ETHAN CONRAD #BDC-17 Chrome Cubs</t>
  </si>
  <si>
    <t>POOKIEWHT-0001-00031-70248</t>
  </si>
  <si>
    <t>2025 Bowman Chrome Sapphire HEINS BRITO #BCP-203 1st Prospect Guardians</t>
  </si>
  <si>
    <t>POOKIEWHT-0001-00036-32822</t>
  </si>
  <si>
    <t>2025 Bowman Chrome Sapphire ARJUN NIMMALA #BCP-228 Prospects Blue Jays</t>
  </si>
  <si>
    <t>POOKIEWHT-0001-00037-06825</t>
  </si>
  <si>
    <t>2026 Bowman JOJO PARKER #BCP-147 Chrome Prospects Blue Jays</t>
  </si>
  <si>
    <t>CARDSHQBK-0001-00010-48549</t>
  </si>
  <si>
    <t>2026 Bowman NICK MONISTERE #BCP-103 Chrome 1st Prospect Astros</t>
  </si>
  <si>
    <t>CARDSHQBK-0001-00026-17063</t>
  </si>
  <si>
    <t>2026 Bowman KONNOR GRIFFIN #ES-17 Electric Sluggers Chrome Pirates</t>
  </si>
  <si>
    <t>CARDSHQBK-0001-00029-06664</t>
  </si>
  <si>
    <t>2026 Bowman LEO DE VRIES #BCP-63 Chrome Prospects Athletics</t>
  </si>
  <si>
    <t>CARDSHQBK-0001-00017-13475</t>
  </si>
  <si>
    <t>2026 Bowman KAZUMA OKAMOTO #28 Rookie Red RC Variation Blue Jays</t>
  </si>
  <si>
    <t>CARDSHQBK-0001-00002-19895</t>
  </si>
  <si>
    <t>2026 Bowman JUDE WARWICK #BCP-58 Chrome 1st Prospect Tigers</t>
  </si>
  <si>
    <t>CARDSHQBK-0001-00004-69249</t>
  </si>
  <si>
    <t>2026 Bowman ERIC HARTMAN #CPA-EHA Chrome Auto 1st Prospect Braves</t>
  </si>
  <si>
    <t>CARDSHQBK-0001-00027-11533</t>
  </si>
  <si>
    <t>2026 Bowman BRYCE RAINER #BCP-99 Chrome Prospects Tigers</t>
  </si>
  <si>
    <t>CARDSHQBK-0001-00012-85571</t>
  </si>
  <si>
    <t>2026 Bowman WYATT SANFORD #BCP-66 Chrome 1st Prospect Pirates</t>
  </si>
  <si>
    <t>CARDSHQBK-0001-00032-26766</t>
  </si>
  <si>
    <t>2026 Bowman DANIEL PIERCE #BCP-77 Chrome 1st Prospect Rays</t>
  </si>
  <si>
    <t>CARDSHQBK-0001-00019-55729</t>
  </si>
  <si>
    <t>2026 Bowman CARSON WILLIAMS #39 Rookie Red RC Variation Rays</t>
  </si>
  <si>
    <t>CARDSHQBK-0001-00022-01529</t>
  </si>
  <si>
    <t>2026 Bowman MAX CLARK #BCP-2 Chrome Prospects Tigers</t>
  </si>
  <si>
    <t>CARDSHQBK-0001-00011-72401</t>
  </si>
  <si>
    <t>2026 Bowman MAX CLARK #BST-5 Sterling Chrome Tigers</t>
  </si>
  <si>
    <t>CARDSHQBK-0001-00005-01729</t>
  </si>
  <si>
    <t>2026 Bowman EDWARD DURAN #BCP-24 Chrome 1st Prospect Blue Jays</t>
  </si>
  <si>
    <t>CARDSHQBK-0001-00003-72478</t>
  </si>
  <si>
    <t>2026 Bowman ARJUN NIMMALA #BTP-32 Scouts Top 100 Chrome Blue Jays</t>
  </si>
  <si>
    <t>CARDSHQBK-0001-00035-49003</t>
  </si>
  <si>
    <t>2026 Bowman TYLER BREMNER #BCP-9 Chrome Prospects Angels</t>
  </si>
  <si>
    <t>CARDSHQBK-0001-00007-05705</t>
  </si>
  <si>
    <t>2026 Bowman VLADIMIR GUERRERO JR. #PC-9 Power Chords Chrome Blue Jays</t>
  </si>
  <si>
    <t>CARDSHQBK-0001-00001-41213</t>
  </si>
  <si>
    <t>2026 Bowman EDWARD FLORENTINO #PC-10 Power Chords Chrome Pirates</t>
  </si>
  <si>
    <t>CARDSHQBK-0001-00031-82854</t>
  </si>
  <si>
    <t>2026 Bowman SHOTARO MORII #BCP-48 Chrome Prospects Athletics</t>
  </si>
  <si>
    <t>CARDSHQBK-0001-00018-73818</t>
  </si>
  <si>
    <t>2026 Bowman RONALD ACUNA JR. #ES-8 Electric Sluggers Chrome Braves</t>
  </si>
  <si>
    <t>CARDSHQBK-0001-00033-33900</t>
  </si>
  <si>
    <t>2026 Bowman CRISTOPHER POLANCO #BCP-34 Chrome Prospects Blue Jays</t>
  </si>
  <si>
    <t>CARDSHQBK-0001-00009-21670</t>
  </si>
  <si>
    <t>2026 Bowman MAX CLARK #BTP-7 Scouts Top 100 Chrome Tigers</t>
  </si>
  <si>
    <t>CARDSHQBK-0001-00006-81082</t>
  </si>
  <si>
    <t>2026 Bowman BRENT IREDALE #BCP-31 Chrome 1st Prospect Pirates</t>
  </si>
  <si>
    <t>CARDSHQBK-0001-00030-75179</t>
  </si>
  <si>
    <t>2026 Bowman KONNOR GRIFFIN #BCP-92 Chrome Prospects Pirates</t>
  </si>
  <si>
    <t>CARDSHQBK-0001-00015-54424</t>
  </si>
  <si>
    <t>2026 Bowman JR RITCHIE #BCP-123 Chrome Prospects Braves</t>
  </si>
  <si>
    <t>CARDSHQBK-0001-00013-94910</t>
  </si>
  <si>
    <t>2026 Bowman ARJUN NIMMALA #BCP-67 Chrome Prospects Blue Jays</t>
  </si>
  <si>
    <t>CARDSHQBK-0001-00008-23642</t>
  </si>
  <si>
    <t>2026 Bowman JAMIE ARNOLD #BCP-112 Chrome Prospects Athletics</t>
  </si>
  <si>
    <t>CARDSHQBK-0001-00016-07019</t>
  </si>
  <si>
    <t>2026 Bowman JUNIOR CAMINERO #ES-4 Electric Sluggers Chrome Rays</t>
  </si>
  <si>
    <t>CARDSHQBK-0001-00021-07611</t>
  </si>
  <si>
    <t>2026 Bowman ESMERLYN VALDEZ #BCP-76 Chrome Prospects Pirates</t>
  </si>
  <si>
    <t>CARDSHQBK-0001-00014-78035</t>
  </si>
  <si>
    <t>2026 Bowman WALKER JANEK #BCP-131 Chrome Prospects Astros</t>
  </si>
  <si>
    <t>CARDSHQBK-0001-00025-63688</t>
  </si>
  <si>
    <t>2026 Bowman WALKER JANEK #BCP-131 Chrome Prospects Wave Refractor /350 Astros</t>
  </si>
  <si>
    <t>CARDSHQBK-0001-00024-62903</t>
  </si>
  <si>
    <t>2026 Bowman JOSE URBINA #BCP-81 Chrome 1st Prospect Rays</t>
  </si>
  <si>
    <t>CARDSHQBK-0001-00020-73377</t>
  </si>
  <si>
    <t>2026 Bowman Daniel Pierce #CPA-DP Chrome Auto Yellow Refractor /75 1st Prospect</t>
  </si>
  <si>
    <t>CARDSHQBK-0001-00034-06853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</si>
</sst>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
    <numFmt numFmtId="165" formatCode="0.0%"/>
    <numFmt numFmtId="166" formatCode="\$#,##0.00"/>
    <numFmt numFmtId="167" formatCode="0.0"/>
    <numFmt numFmtId="168" formatCode="\+0%;\-0%"/>
    <numFmt numFmtId="169" formatCode="\$#,##0.00;&quot;($&quot;#,##0.00\);\-"/>
    <numFmt numFmtId="170" formatCode="0.0%;\(0.0%\);\-"/>
    <numFmt numFmtId="171" formatCode="mm/dd/yyyy"/>
    <numFmt numFmtId="172" formatCode="0.0\x"/>
    <numFmt numFmtId="173" formatCode="\$#,##0;&quot;($&quot;#,##0\);\-"/>
    <numFmt numFmtId="174" formatCode="&quot;$&quot;#,##0.00"/>
  </numFmts>
  <fonts count="80" x14ac:knownFonts="1">
    <font>
      <sz val="11"/>
      <color theme="1"/>
      <name val="Calibri"/>
      <family val="2"/>
      <charset val="1"/>
    </font>
    <font>
      <sz val="10"/>
      <name val="Arial"/>
      <family val="2"/>
    </font>
    <font>
      <b/>
      <sz val="16"/>
      <color rgb="FFFFFFFF"/>
      <name val="Arial"/>
      <family val="2"/>
    </font>
    <font>
      <b/>
      <sz val="11"/>
      <color rgb="FFFFFFFF"/>
      <name val="Arial"/>
      <family val="2"/>
    </font>
    <font>
      <b/>
      <sz val="11"/>
      <color rgb="FF000000"/>
      <name val="Arial"/>
      <family val="2"/>
    </font>
    <font>
      <sz val="11"/>
      <color rgb="FF000000"/>
      <name val="Arial"/>
      <family val="2"/>
    </font>
    <font>
      <i/>
      <sz val="10"/>
      <color rgb="FF888888"/>
      <name val="Arial"/>
      <family val="2"/>
    </font>
    <font>
      <b/>
      <sz val="12"/>
      <color rgb="FFFFFFFF"/>
      <name val="Arial"/>
      <family val="2"/>
    </font>
    <font>
      <sz val="11"/>
      <color rgb="FF1A56DB"/>
      <name val="Arial"/>
      <family val="2"/>
    </font>
    <font>
      <i/>
      <sz val="9"/>
      <color rgb="FF888888"/>
      <name val="Arial"/>
      <family val="2"/>
    </font>
    <font>
      <b/>
      <sz val="12"/>
      <color rgb="FF000000"/>
      <name val="Arial"/>
      <family val="2"/>
    </font>
    <font>
      <i/>
      <sz val="10"/>
      <color rgb="FF555555"/>
      <name val="Arial"/>
      <family val="2"/>
    </font>
    <font>
      <i/>
      <sz val="10"/>
      <color rgb="FFAAAAAA"/>
      <name val="Arial"/>
      <family val="2"/>
    </font>
    <font>
      <sz val="10"/>
      <color rgb="FF000000"/>
      <name val="Arial"/>
      <family val="2"/>
    </font>
    <font>
      <b/>
      <sz val="10"/>
      <color rgb="FFFAFAFA"/>
      <name val="Arial"/>
      <family val="2"/>
    </font>
    <font>
      <b/>
      <sz val="10"/>
      <color rgb="FF1A56DB"/>
      <name val="Arial"/>
      <family val="2"/>
    </font>
    <font>
      <sz val="10"/>
      <color rgb="FF333333"/>
      <name val="Arial"/>
      <family val="2"/>
    </font>
    <font>
      <sz val="9"/>
      <color rgb="FF555555"/>
      <name val="Arial"/>
      <family val="2"/>
    </font>
    <font>
      <i/>
      <sz val="9"/>
      <color rgb="FF9CA3AF"/>
      <name val="Arial"/>
      <family val="2"/>
    </font>
    <font>
      <b/>
      <sz val="20"/>
      <color rgb="FFFAFAFA"/>
      <name val="Arial"/>
      <family val="2"/>
    </font>
    <font>
      <i/>
      <sz val="10"/>
      <color rgb="FF9CA3AF"/>
      <name val="Arial"/>
      <family val="2"/>
    </font>
    <font>
      <b/>
      <sz val="12"/>
      <color rgb="FF00B050"/>
      <name val="Arial"/>
      <family val="2"/>
    </font>
    <font>
      <b/>
      <sz val="9"/>
      <color rgb="FFFAFAFA"/>
      <name val="Arial"/>
      <family val="2"/>
    </font>
    <font>
      <sz val="9"/>
      <color rgb="FF222222"/>
      <name val="Arial"/>
      <family val="2"/>
    </font>
    <font>
      <b/>
      <sz val="10"/>
      <name val="Arial"/>
      <family val="2"/>
    </font>
    <font>
      <b/>
      <sz val="10"/>
      <color rgb="FF000000"/>
      <name val="Arial"/>
      <family val="2"/>
    </font>
    <font>
      <b/>
      <sz val="11"/>
      <color rgb="FF000000"/>
      <name val="Arial"/>
      <family val="2"/>
    </font>
    <font>
      <b/>
      <sz val="10"/>
      <color rgb="FF9C0006"/>
      <name val="Arial"/>
      <family val="2"/>
    </font>
    <font>
      <b/>
      <sz val="12"/>
      <color rgb="FFFFFFFF"/>
      <name val="Arial"/>
      <family val="2"/>
    </font>
    <font>
      <sz val="10"/>
      <color rgb="FF1A56DB"/>
      <name val="Arial"/>
      <family val="2"/>
    </font>
    <font>
      <b/>
      <sz val="13"/>
      <color rgb="FF0E2A47"/>
      <name val="Arial"/>
      <family val="2"/>
    </font>
    <font>
      <b/>
      <sz val="11"/>
      <color rgb="FF1A56DB"/>
      <name val="Arial"/>
      <family val="2"/>
    </font>
    <font>
      <b/>
      <sz val="11"/>
      <color rgb="FF00B050"/>
      <name val="Arial"/>
      <family val="2"/>
    </font>
    <font>
      <sz val="11"/>
      <color rgb="FF000000"/>
      <name val="Arial"/>
      <family val="2"/>
    </font>
    <font>
      <b/>
      <u/>
      <sz val="10"/>
      <color rgb="FFFFFFFF"/>
      <name val="Arial"/>
      <family val="2"/>
    </font>
    <font>
      <i/>
      <sz val="10"/>
      <color rgb="FF555555"/>
      <name val="Arial"/>
      <family val="2"/>
    </font>
    <font>
      <b/>
      <sz val="10"/>
      <color rgb="FF333333"/>
      <name val="Arial"/>
      <family val="2"/>
    </font>
    <font>
      <b/>
      <sz val="18"/>
      <color rgb="FF0E2A47"/>
      <name val="Arial"/>
      <family val="2"/>
    </font>
    <font>
      <b/>
      <sz val="11"/>
      <color rgb="FF0000FF"/>
      <name val="Arial"/>
      <family val="2"/>
    </font>
    <font>
      <b/>
      <sz val="11"/>
      <color rgb="FF0E2A47"/>
      <name val="Arial"/>
      <family val="2"/>
    </font>
    <font>
      <b/>
      <sz val="11"/>
      <color rgb="FFC00000"/>
      <name val="Arial"/>
      <family val="2"/>
    </font>
    <font>
      <i/>
      <sz val="10"/>
      <color rgb="FF333333"/>
      <name val="Arial"/>
      <family val="2"/>
    </font>
    <font>
      <sz val="10"/>
      <color rgb="FF000000"/>
      <name val="Arial"/>
      <family val="2"/>
    </font>
    <font>
      <b/>
      <sz val="11"/>
      <color rgb="FFB85C00"/>
      <name val="Arial"/>
      <family val="2"/>
    </font>
    <font>
      <b/>
      <sz val="12"/>
      <color rgb="FF0E2A47"/>
      <name val="Arial"/>
      <family val="2"/>
    </font>
    <font>
      <i/>
      <sz val="11"/>
      <color rgb="FF555555"/>
      <name val="Arial"/>
      <family val="2"/>
    </font>
    <font>
      <b/>
      <sz val="11"/>
      <color rgb="FFFFFFFF"/>
      <name val="Arial"/>
      <family val="2"/>
    </font>
    <font>
      <b/>
      <sz val="11"/>
      <color rgb="FF856404"/>
      <name val="Arial"/>
      <family val="2"/>
    </font>
    <font>
      <b/>
      <sz val="11"/>
      <color rgb="FF155724"/>
      <name val="Arial"/>
      <family val="2"/>
    </font>
    <font>
      <b/>
      <sz val="11"/>
      <color rgb="FF0D47A1"/>
      <name val="Arial"/>
      <family val="2"/>
    </font>
    <font>
      <b/>
      <sz val="13"/>
      <color rgb="FFFFFFFF"/>
      <name val="Arial"/>
      <family val="2"/>
    </font>
    <font>
      <b/>
      <i/>
      <sz val="11"/>
      <color rgb="FFC89B3C"/>
      <name val="Arial"/>
      <family val="2"/>
    </font>
    <font>
      <sz val="10.5"/>
      <color rgb="FF000000"/>
      <name val="Arial"/>
      <family val="2"/>
    </font>
    <font>
      <sz val="11"/>
      <color rgb="FF0000FF"/>
      <name val="Arial"/>
      <family val="2"/>
    </font>
    <font>
      <sz val="10.5"/>
      <color rgb="FF333333"/>
      <name val="Arial"/>
      <family val="2"/>
    </font>
    <font>
      <b/>
      <sz val="12"/>
      <color rgb="FF9C0006"/>
      <name val="Arial"/>
      <family val="2"/>
    </font>
    <font>
      <i/>
      <sz val="10"/>
      <color rgb="FF000000"/>
      <name val="Arial"/>
      <family val="2"/>
    </font>
    <font>
      <b/>
      <sz val="10"/>
      <color rgb="FFFFFFFF"/>
      <name val="Arial"/>
      <family val="2"/>
    </font>
    <font>
      <i/>
      <sz val="9"/>
      <color rgb="FF666666"/>
      <name val="Arial"/>
      <family val="2"/>
    </font>
    <font>
      <b/>
      <sz val="9"/>
      <color rgb="FF000000"/>
      <name val="Arial"/>
      <family val="2"/>
    </font>
    <font>
      <sz val="9"/>
      <color rgb="FF000000"/>
      <name val="Arial"/>
      <family val="2"/>
    </font>
    <font>
      <i/>
      <sz val="9"/>
      <color rgb="FF555555"/>
      <name val="Arial"/>
      <family val="2"/>
    </font>
    <font>
      <b/>
      <sz val="14"/>
      <color rgb="FF0E2A47"/>
      <name val="Arial"/>
      <family val="2"/>
    </font>
    <font>
      <b/>
      <sz val="14"/>
      <color rgb="FF0000FF"/>
      <name val="Arial"/>
      <family val="2"/>
    </font>
    <font>
      <sz val="10"/>
      <color rgb="FF333333"/>
      <name val="Arial"/>
      <family val="2"/>
    </font>
    <font>
      <i/>
      <sz val="10.5"/>
      <color rgb="FF0E2A47"/>
      <name val="Arial"/>
      <family val="2"/>
    </font>
    <font>
      <i/>
      <sz val="9"/>
      <color rgb="FF555555"/>
      <name val="Arial"/>
      <family val="2"/>
    </font>
    <font>
      <b/>
      <sz val="9"/>
      <color rgb="FFC62828"/>
      <name val="Arial"/>
      <family val="2"/>
    </font>
    <font>
      <b/>
      <sz val="10"/>
      <color rgb="FFC62828"/>
      <name val="Arial"/>
      <family val="2"/>
    </font>
    <font>
      <b/>
      <sz val="10"/>
      <color rgb="FF1B5E20"/>
      <name val="Arial"/>
      <family val="2"/>
    </font>
    <font>
      <b/>
      <sz val="9"/>
      <color rgb="FF1B5E20"/>
      <name val="Arial"/>
      <family val="2"/>
    </font>
    <font>
      <b/>
      <sz val="9"/>
      <color rgb="FFE65100"/>
      <name val="Arial"/>
      <family val="2"/>
    </font>
    <font>
      <b/>
      <sz val="10"/>
      <color rgb="FFE65100"/>
      <name val="Arial"/>
      <family val="2"/>
    </font>
    <font>
      <b/>
      <sz val="9"/>
      <color rgb="FFF57F17"/>
      <name val="Arial"/>
      <family val="2"/>
    </font>
    <font>
      <b/>
      <sz val="10"/>
      <color rgb="FFF57F17"/>
      <name val="Arial"/>
      <family val="2"/>
    </font>
    <font>
      <b/>
      <sz val="9"/>
      <color rgb="FF0D47A1"/>
      <name val="Arial"/>
      <family val="2"/>
    </font>
    <font>
      <b/>
      <sz val="10"/>
      <color rgb="FF0D47A1"/>
      <name val="Arial"/>
      <family val="2"/>
    </font>
    <font>
      <i/>
      <sz val="9"/>
      <color rgb="FF000000"/>
      <name val="Arial"/>
      <family val="2"/>
    </font>
    <font>
      <b/>
      <sz val="10"/>
      <color rgb="FF1E2130"/>
      <name val="Arial"/>
      <family val="2"/>
    </font>
    <font>
      <b/>
      <sz val="10"/>
      <color rgb="FF2E5CB8"/>
      <name val="Arial"/>
      <family val="2"/>
    </font>
  </fonts>
  <fills count="66">
    <fill>
      <patternFill patternType="none"/>
    </fill>
    <fill>
      <patternFill patternType="gray125"/>
    </fill>
    <fill>
      <patternFill patternType="solid">
        <fgColor rgb="FFEADFB9"/>
        <bgColor rgb="FFF8D7DA"/>
      </patternFill>
    </fill>
    <fill>
      <patternFill patternType="solid">
        <fgColor rgb="FFE8EEF5"/>
        <bgColor rgb="FFEAF3EA"/>
      </patternFill>
    </fill>
    <fill>
      <patternFill patternType="solid">
        <fgColor rgb="FFFFFF00"/>
        <bgColor rgb="FFFFCC00"/>
      </patternFill>
    </fill>
    <fill>
      <patternFill patternType="solid">
        <fgColor rgb="FF0E2A47"/>
        <bgColor rgb="FF1B3E66"/>
      </patternFill>
    </fill>
    <fill>
      <patternFill patternType="solid">
        <fgColor rgb="FFEAF3EA"/>
        <bgColor rgb="FFE8EEF5"/>
      </patternFill>
    </fill>
    <fill>
      <patternFill patternType="solid">
        <fgColor rgb="FFF5E8E8"/>
        <bgColor rgb="FFF4EADA"/>
      </patternFill>
    </fill>
    <fill>
      <patternFill patternType="solid">
        <fgColor rgb="FF1B3E66"/>
        <bgColor rgb="FF0E2A47"/>
      </patternFill>
    </fill>
    <fill>
      <patternFill patternType="solid">
        <fgColor rgb="FFF7F5F0"/>
        <bgColor rgb="FFEAF3EA"/>
      </patternFill>
    </fill>
    <fill>
      <patternFill patternType="solid">
        <fgColor rgb="FFD6E7F5"/>
        <bgColor rgb="FFD4EDDA"/>
      </patternFill>
    </fill>
    <fill>
      <patternFill patternType="solid">
        <fgColor rgb="FFF4EADA"/>
        <bgColor rgb="FFF5E8E8"/>
      </patternFill>
    </fill>
    <fill>
      <patternFill patternType="solid">
        <fgColor rgb="FFC89B3C"/>
        <bgColor rgb="FF969696"/>
      </patternFill>
    </fill>
    <fill>
      <patternFill patternType="solid">
        <fgColor rgb="FFFFF3CD"/>
        <bgColor rgb="FFFFF2CC"/>
      </patternFill>
    </fill>
    <fill>
      <patternFill patternType="solid">
        <fgColor rgb="FFD4EDDA"/>
        <bgColor rgb="FFD6E7F5"/>
      </patternFill>
    </fill>
    <fill>
      <patternFill patternType="solid">
        <fgColor rgb="FFF8D7DA"/>
        <bgColor rgb="FFF5E8E8"/>
      </patternFill>
    </fill>
    <fill>
      <patternFill patternType="solid">
        <fgColor rgb="FFFFF2CC"/>
        <bgColor rgb="FFFFF3CD"/>
      </patternFill>
    </fill>
    <fill>
      <patternFill patternType="solid">
        <fgColor rgb="FFFFFFFF"/>
        <bgColor rgb="FFF7F5F0"/>
      </patternFill>
    </fill>
    <fill>
      <patternFill patternType="solid">
        <fgColor rgb="FFFFFFFF"/>
      </patternFill>
    </fill>
    <fill>
      <patternFill patternType="solid">
        <fgColor rgb="FFF2F2F2"/>
      </patternFill>
    </fill>
    <fill>
      <patternFill patternType="solid">
        <fgColor rgb="FF1F3864"/>
      </patternFill>
    </fill>
    <fill>
      <patternFill patternType="solid">
        <fgColor rgb="FFFFCCCC"/>
      </patternFill>
    </fill>
    <fill>
      <patternFill patternType="solid">
        <fgColor rgb="FFF7F7F7"/>
      </patternFill>
    </fill>
    <fill>
      <patternFill patternType="solid">
        <fgColor rgb="FFFFD700"/>
      </patternFill>
    </fill>
    <fill>
      <patternFill patternType="solid">
        <fgColor rgb="FFCCFFCC"/>
      </patternFill>
    </fill>
    <fill>
      <patternFill patternType="solid">
        <fgColor rgb="FFD4EDDA"/>
      </patternFill>
    </fill>
    <fill>
      <patternFill patternType="solid">
        <fgColor rgb="FFFFF3CD"/>
      </patternFill>
    </fill>
    <fill>
      <patternFill patternType="solid">
        <fgColor rgb="FFE2D9F3"/>
      </patternFill>
    </fill>
    <fill>
      <patternFill patternType="solid">
        <fgColor rgb="FFCCE5FF"/>
      </patternFill>
    </fill>
    <fill>
      <patternFill patternType="solid">
        <fgColor rgb="FFF8D7DA"/>
      </patternFill>
    </fill>
    <fill>
      <patternFill patternType="solid">
        <fgColor rgb="FF1E3A5F"/>
      </patternFill>
    </fill>
    <fill>
      <patternFill patternType="solid">
        <fgColor rgb="FFFFC7CE"/>
      </patternFill>
    </fill>
    <fill>
      <patternFill patternType="solid">
        <fgColor rgb="FFFFE0B2"/>
      </patternFill>
    </fill>
    <fill>
      <patternFill patternType="solid">
        <fgColor rgb="FFFFF9C4"/>
      </patternFill>
    </fill>
    <fill>
      <patternFill patternType="solid">
        <fgColor rgb="FFC8E6C9"/>
      </patternFill>
    </fill>
    <fill>
      <patternFill patternType="solid">
        <fgColor rgb="FFBBDEFB"/>
      </patternFill>
    </fill>
    <fill>
      <patternFill patternType="solid">
        <fgColor rgb="FFEEEEEE"/>
      </patternFill>
    </fill>
    <fill>
      <patternFill patternType="solid">
        <fgColor rgb="FF1F4E79"/>
      </patternFill>
    </fill>
    <fill>
      <patternFill patternType="solid">
        <fgColor rgb="FF1C5E1E"/>
      </patternFill>
    </fill>
    <fill>
      <patternFill patternType="solid">
        <fgColor rgb="FFEBF5EB"/>
      </patternFill>
    </fill>
    <fill>
      <patternFill patternType="solid">
        <fgColor rgb="FFFFFFFF"/>
      </patternFill>
    </fill>
    <fill>
      <patternFill patternType="solid">
        <fgColor rgb="FFEEF4FB"/>
      </patternFill>
    </fill>
    <fill>
      <patternFill patternType="solid">
        <fgColor rgb="FFFFFDE7"/>
      </patternFill>
    </fill>
    <fill>
      <patternFill patternType="solid">
        <fgColor rgb="FF1E2130"/>
      </patternFill>
    </fill>
    <fill>
      <patternFill patternType="solid">
        <fgColor rgb="FF0E2A47"/>
      </patternFill>
    </fill>
    <fill>
      <patternFill patternType="solid">
        <fgColor rgb="FFF0F4FF"/>
      </patternFill>
    </fill>
    <fill>
      <patternFill patternType="solid">
        <fgColor rgb="FF2E3250"/>
      </patternFill>
    </fill>
    <fill>
      <patternFill patternType="solid">
        <fgColor rgb="FFD6E4FF"/>
      </patternFill>
    </fill>
    <fill>
      <patternFill patternType="solid">
        <fgColor rgb="FFFFF2CC"/>
      </patternFill>
    </fill>
    <fill>
      <patternFill patternType="solid">
        <fgColor rgb="FFF8F8FF"/>
      </patternFill>
    </fill>
    <fill>
      <patternFill patternType="solid">
        <fgColor rgb="FF1A56DB"/>
      </patternFill>
    </fill>
    <fill>
      <patternFill patternType="solid">
        <fgColor rgb="FF00B050"/>
      </patternFill>
    </fill>
    <fill>
      <patternFill patternType="solid">
        <fgColor rgb="FFF5F5F5"/>
      </patternFill>
    </fill>
    <fill>
      <patternFill patternType="solid">
        <fgColor rgb="FFFAFAFA"/>
      </patternFill>
    </fill>
    <fill>
      <patternFill patternType="solid">
        <fgColor rgb="FF374151"/>
      </patternFill>
    </fill>
    <fill>
      <patternFill patternType="solid">
        <fgColor rgb="FF2563EB"/>
      </patternFill>
    </fill>
    <fill>
      <patternFill patternType="solid">
        <fgColor rgb="FF1E2130"/>
        <bgColor rgb="FF1E2130"/>
      </patternFill>
    </fill>
    <fill>
      <patternFill patternType="solid">
        <fgColor rgb="FFFFFFFF"/>
        <bgColor rgb="FFFFFFFF"/>
      </patternFill>
    </fill>
    <fill>
      <patternFill patternType="solid">
        <fgColor rgb="FFF9FAFB"/>
        <bgColor rgb="FFF9FAFB"/>
      </patternFill>
    </fill>
    <fill>
      <patternFill patternType="solid">
        <fgColor rgb="FFDBEAFE"/>
        <bgColor rgb="FFDBEAFE"/>
      </patternFill>
    </fill>
    <fill>
      <patternFill patternType="solid">
        <fgColor rgb="FFFEF3C7"/>
        <bgColor rgb="FFFEF3C7"/>
      </patternFill>
    </fill>
    <fill>
      <patternFill patternType="solid">
        <fgColor rgb="FFF3F4F6"/>
        <bgColor rgb="FFF3F4F6"/>
      </patternFill>
    </fill>
    <fill>
      <patternFill patternType="solid">
        <fgColor rgb="FFC6EFCE"/>
        <bgColor rgb="FFC6EFCE"/>
      </patternFill>
    </fill>
    <fill>
      <patternFill patternType="solid">
        <fgColor rgb="FFFFC7CE"/>
        <bgColor rgb="FFFFC7CE"/>
      </patternFill>
    </fill>
    <fill>
      <patternFill patternType="solid">
        <fgColor rgb="FFD6E4FF"/>
        <bgColor rgb="FFD6E4FF"/>
      </patternFill>
    </fill>
    <fill>
      <patternFill patternType="solid">
        <fgColor rgb="FFF0F4FF"/>
        <bgColor rgb="FFF0F4FF"/>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hair">
        <color rgb="FFCCCCCC"/>
      </top>
      <bottom style="hair">
        <color rgb="FFCCCCCC"/>
      </bottom>
      <diagonal/>
    </border>
    <border>
      <left style="thin">
        <color rgb="FFAAAAAA"/>
      </left>
      <right style="thin">
        <color rgb="FFAAAAAA"/>
      </right>
      <top style="thin">
        <color rgb="FFAAAAAA"/>
      </top>
      <bottom style="thin">
        <color rgb="FFAAAAAA"/>
      </bottom>
      <diagonal/>
    </border>
    <border>
      <left style="hair">
        <color rgb="FFCCCCCC"/>
      </left>
      <right style="hair">
        <color rgb="FFCCCCCC"/>
      </right>
      <top style="hair">
        <color rgb="FFCCCCCC"/>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14">
    <xf numFmtId="0" fontId="0" fillId="0" borderId="0" xfId="0"/>
    <xf numFmtId="0" fontId="1" fillId="10" borderId="1" xfId="0"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171" fontId="1" fillId="18" borderId="0" xfId="0" applyNumberFormat="1" applyFont="1" applyFill="1"/>
    <xf numFmtId="0" fontId="1" fillId="18" borderId="0" xfId="0" applyFont="1" applyFill="1"/>
    <xf numFmtId="4" fontId="1" fillId="18" borderId="0" xfId="0" applyNumberFormat="1" applyFont="1" applyFill="1"/>
    <xf numFmtId="171" fontId="1" fillId="19" borderId="0" xfId="0" applyNumberFormat="1" applyFont="1" applyFill="1"/>
    <xf numFmtId="0" fontId="1" fillId="19" borderId="0" xfId="0" applyFont="1" applyFill="1"/>
    <xf numFmtId="4" fontId="1" fillId="19" borderId="0" xfId="0" applyNumberFormat="1" applyFont="1" applyFill="1"/>
    <xf numFmtId="171" fontId="1" fillId="40" borderId="10" xfId="0" applyNumberFormat="1" applyFont="1" applyFill="1" applyBorder="1" applyAlignment="1">
      <alignment horizontal="center" vertical="center"/>
    </xf>
    <xf numFmtId="0" fontId="1" fillId="40" borderId="10" xfId="0" applyFont="1" applyFill="1" applyBorder="1" applyAlignment="1">
      <alignment vertical="center"/>
    </xf>
    <xf numFmtId="171" fontId="1" fillId="41" borderId="10" xfId="0" applyNumberFormat="1" applyFont="1" applyFill="1" applyBorder="1" applyAlignment="1">
      <alignment horizontal="center" vertical="center"/>
    </xf>
    <xf numFmtId="0" fontId="1" fillId="41" borderId="10" xfId="0" applyFont="1" applyFill="1" applyBorder="1" applyAlignment="1">
      <alignment vertical="center"/>
    </xf>
    <xf numFmtId="0" fontId="3" fillId="44" borderId="0" xfId="0" applyFont="1" applyFill="1" applyAlignment="1">
      <alignment horizontal="center" vertical="center" wrapText="1"/>
    </xf>
    <xf numFmtId="0" fontId="4" fillId="45" borderId="0" xfId="0" applyFont="1" applyFill="1" applyAlignment="1">
      <alignment horizontal="left" vertical="center"/>
    </xf>
    <xf numFmtId="0" fontId="5" fillId="45" borderId="0" xfId="0" applyFont="1" applyFill="1" applyAlignment="1">
      <alignment horizontal="center" vertical="center" wrapText="1"/>
    </xf>
    <xf numFmtId="166" fontId="5" fillId="45" borderId="0" xfId="0" applyNumberFormat="1" applyFont="1" applyFill="1" applyAlignment="1">
      <alignment horizontal="center" vertical="center" wrapText="1"/>
    </xf>
    <xf numFmtId="0" fontId="5" fillId="45" borderId="0" xfId="0" applyFont="1" applyFill="1" applyAlignment="1">
      <alignment horizontal="left" vertical="center"/>
    </xf>
    <xf numFmtId="0" fontId="4" fillId="40" borderId="0" xfId="0" applyFont="1" applyFill="1" applyAlignment="1">
      <alignment horizontal="left" vertical="center"/>
    </xf>
    <xf numFmtId="0" fontId="5" fillId="40" borderId="0" xfId="0" applyFont="1" applyFill="1" applyAlignment="1">
      <alignment horizontal="center" vertical="center" wrapText="1"/>
    </xf>
    <xf numFmtId="166" fontId="5" fillId="40" borderId="0" xfId="0" applyNumberFormat="1" applyFont="1" applyFill="1" applyAlignment="1">
      <alignment horizontal="center" vertical="center" wrapText="1"/>
    </xf>
    <xf numFmtId="0" fontId="5" fillId="40" borderId="0" xfId="0" applyFont="1" applyFill="1" applyAlignment="1">
      <alignment horizontal="left" vertical="center"/>
    </xf>
    <xf numFmtId="0" fontId="4" fillId="0" borderId="0" xfId="0" applyFont="1" applyAlignment="1">
      <alignment horizontal="left" vertical="center"/>
    </xf>
    <xf numFmtId="166" fontId="8" fillId="47" borderId="0" xfId="0" applyNumberFormat="1" applyFont="1" applyFill="1" applyAlignment="1">
      <alignment horizontal="center" vertical="center" wrapText="1"/>
    </xf>
    <xf numFmtId="0" fontId="8" fillId="47" borderId="0" xfId="0" applyFont="1" applyFill="1" applyAlignment="1">
      <alignment horizontal="center" vertical="center" wrapText="1"/>
    </xf>
    <xf numFmtId="0" fontId="9" fillId="0" borderId="0" xfId="0" applyFont="1" applyAlignment="1">
      <alignment horizontal="left" vertical="center"/>
    </xf>
    <xf numFmtId="167" fontId="8" fillId="47" borderId="0" xfId="0" applyNumberFormat="1" applyFont="1" applyFill="1" applyAlignment="1">
      <alignment horizontal="center" vertical="center" wrapText="1"/>
    </xf>
    <xf numFmtId="166" fontId="5" fillId="0" borderId="0" xfId="0" applyNumberFormat="1" applyFont="1" applyAlignment="1">
      <alignment horizontal="center" vertical="center" wrapText="1"/>
    </xf>
    <xf numFmtId="167" fontId="5" fillId="0" borderId="0" xfId="0" applyNumberFormat="1" applyFont="1" applyAlignment="1">
      <alignment horizontal="center" vertical="center" wrapText="1"/>
    </xf>
    <xf numFmtId="0" fontId="13" fillId="49" borderId="0" xfId="0" applyFont="1" applyFill="1"/>
    <xf numFmtId="0" fontId="16" fillId="53" borderId="0" xfId="0" applyFont="1" applyFill="1" applyAlignment="1">
      <alignment horizontal="left" vertical="center" wrapText="1"/>
    </xf>
    <xf numFmtId="0" fontId="15" fillId="45" borderId="0" xfId="0" applyFont="1" applyFill="1" applyAlignment="1">
      <alignment horizontal="left" vertical="center" wrapText="1"/>
    </xf>
    <xf numFmtId="0" fontId="21" fillId="45" borderId="0" xfId="0" applyFont="1" applyFill="1" applyAlignment="1">
      <alignment horizontal="center" vertical="center" wrapText="1"/>
    </xf>
    <xf numFmtId="0" fontId="23" fillId="52" borderId="13" xfId="0" applyFont="1" applyFill="1" applyBorder="1" applyAlignment="1">
      <alignment horizontal="left" vertical="center" wrapText="1"/>
    </xf>
    <xf numFmtId="0" fontId="17" fillId="53" borderId="13" xfId="0" applyFont="1" applyFill="1" applyBorder="1" applyAlignment="1">
      <alignment horizontal="left" vertical="center" wrapText="1"/>
    </xf>
    <xf numFmtId="0" fontId="33" fillId="0" borderId="0" xfId="0" applyFont="1"/>
    <xf numFmtId="0" fontId="33" fillId="53" borderId="0" xfId="0" applyFont="1" applyFill="1" applyAlignment="1">
      <alignment horizontal="left" vertical="center" wrapText="1"/>
    </xf>
    <xf numFmtId="0" fontId="33" fillId="53" borderId="13" xfId="0" applyFont="1" applyFill="1" applyBorder="1"/>
    <xf numFmtId="0" fontId="34" fillId="37" borderId="0" xfId="0" applyFont="1" applyFill="1" applyAlignment="1">
      <alignment horizontal="center" vertical="center"/>
    </xf>
    <xf numFmtId="0" fontId="26" fillId="9" borderId="1" xfId="0" applyFont="1" applyFill="1" applyBorder="1" applyAlignment="1">
      <alignment horizontal="left" indent="1"/>
    </xf>
    <xf numFmtId="0" fontId="14" fillId="56" borderId="0" xfId="0" applyFont="1" applyFill="1" applyAlignment="1">
      <alignment horizontal="center" vertical="center"/>
    </xf>
    <xf numFmtId="0" fontId="14" fillId="56" borderId="0" xfId="0" applyFont="1" applyFill="1"/>
    <xf numFmtId="0" fontId="39" fillId="0" borderId="0" xfId="0" applyFont="1" applyAlignment="1">
      <alignment horizontal="right"/>
    </xf>
    <xf numFmtId="164" fontId="26" fillId="0" borderId="0" xfId="0" applyNumberFormat="1" applyFont="1"/>
    <xf numFmtId="164" fontId="39" fillId="2" borderId="0" xfId="0" applyNumberFormat="1" applyFont="1" applyFill="1"/>
    <xf numFmtId="165" fontId="39" fillId="2" borderId="0" xfId="0" applyNumberFormat="1" applyFont="1" applyFill="1"/>
    <xf numFmtId="0" fontId="14" fillId="56" borderId="1" xfId="0" applyFont="1" applyFill="1" applyBorder="1" applyAlignment="1">
      <alignment horizontal="center" vertical="center" wrapText="1"/>
    </xf>
    <xf numFmtId="0" fontId="1" fillId="57" borderId="1" xfId="0" applyFont="1" applyFill="1" applyBorder="1" applyAlignment="1">
      <alignment horizontal="center" vertical="center" wrapText="1"/>
    </xf>
    <xf numFmtId="0" fontId="25" fillId="57" borderId="1" xfId="0" applyFont="1" applyFill="1" applyBorder="1" applyAlignment="1">
      <alignment horizontal="left" vertical="center" wrapText="1" indent="1"/>
    </xf>
    <xf numFmtId="0" fontId="1" fillId="57" borderId="1" xfId="0" applyFont="1" applyFill="1" applyBorder="1" applyAlignment="1">
      <alignment horizontal="left" vertical="center" wrapText="1" indent="1"/>
    </xf>
    <xf numFmtId="166" fontId="1" fillId="57" borderId="1" xfId="0" applyNumberFormat="1" applyFont="1" applyFill="1" applyBorder="1" applyAlignment="1">
      <alignment horizontal="center" vertical="center" wrapText="1"/>
    </xf>
    <xf numFmtId="165" fontId="26" fillId="57" borderId="1" xfId="0" applyNumberFormat="1" applyFont="1" applyFill="1" applyBorder="1" applyAlignment="1">
      <alignment horizontal="center" vertical="center" wrapText="1"/>
    </xf>
    <xf numFmtId="0" fontId="33" fillId="57" borderId="1" xfId="0" applyFont="1" applyFill="1" applyBorder="1" applyAlignment="1">
      <alignment horizontal="center"/>
    </xf>
    <xf numFmtId="166" fontId="33" fillId="57" borderId="1" xfId="0" applyNumberFormat="1" applyFont="1" applyFill="1" applyBorder="1" applyAlignment="1">
      <alignment horizontal="center"/>
    </xf>
    <xf numFmtId="0" fontId="40" fillId="57" borderId="1" xfId="0" applyFont="1" applyFill="1" applyBorder="1" applyAlignment="1">
      <alignment horizontal="center"/>
    </xf>
    <xf numFmtId="0" fontId="1" fillId="58" borderId="1" xfId="0" applyFont="1" applyFill="1" applyBorder="1" applyAlignment="1">
      <alignment horizontal="center" vertical="center" wrapText="1"/>
    </xf>
    <xf numFmtId="0" fontId="25" fillId="58" borderId="1" xfId="0" applyFont="1" applyFill="1" applyBorder="1" applyAlignment="1">
      <alignment horizontal="left" vertical="center" wrapText="1" indent="1"/>
    </xf>
    <xf numFmtId="0" fontId="1" fillId="58" borderId="1" xfId="0" applyFont="1" applyFill="1" applyBorder="1" applyAlignment="1">
      <alignment horizontal="left" vertical="center" wrapText="1" indent="1"/>
    </xf>
    <xf numFmtId="166" fontId="1" fillId="58" borderId="1" xfId="0" applyNumberFormat="1" applyFont="1" applyFill="1" applyBorder="1" applyAlignment="1">
      <alignment horizontal="center" vertical="center" wrapText="1"/>
    </xf>
    <xf numFmtId="165" fontId="26" fillId="58" borderId="1" xfId="0" applyNumberFormat="1" applyFont="1" applyFill="1" applyBorder="1" applyAlignment="1">
      <alignment horizontal="center" vertical="center" wrapText="1"/>
    </xf>
    <xf numFmtId="0" fontId="33" fillId="58" borderId="1" xfId="0" applyFont="1" applyFill="1" applyBorder="1" applyAlignment="1">
      <alignment horizontal="center"/>
    </xf>
    <xf numFmtId="166" fontId="33" fillId="58" borderId="1" xfId="0" applyNumberFormat="1" applyFont="1" applyFill="1" applyBorder="1" applyAlignment="1">
      <alignment horizontal="center"/>
    </xf>
    <xf numFmtId="0" fontId="40" fillId="58" borderId="1" xfId="0" applyFont="1" applyFill="1" applyBorder="1" applyAlignment="1">
      <alignment horizontal="center"/>
    </xf>
    <xf numFmtId="0" fontId="39" fillId="58" borderId="1" xfId="0" applyFont="1" applyFill="1" applyBorder="1" applyAlignment="1">
      <alignment horizontal="center" vertical="center" wrapText="1"/>
    </xf>
    <xf numFmtId="0" fontId="26" fillId="10" borderId="1" xfId="0" applyFont="1" applyFill="1" applyBorder="1" applyAlignment="1">
      <alignment horizontal="center" vertical="center" wrapText="1"/>
    </xf>
    <xf numFmtId="0" fontId="26" fillId="58" borderId="1" xfId="0" applyFont="1" applyFill="1" applyBorder="1" applyAlignment="1">
      <alignment horizontal="left" vertical="center" wrapText="1" indent="1"/>
    </xf>
    <xf numFmtId="0" fontId="33" fillId="58" borderId="1" xfId="0" applyFont="1" applyFill="1" applyBorder="1" applyAlignment="1">
      <alignment horizontal="left" vertical="center" wrapText="1" indent="1"/>
    </xf>
    <xf numFmtId="0" fontId="33" fillId="58" borderId="1" xfId="0" applyFont="1" applyFill="1" applyBorder="1" applyAlignment="1">
      <alignment horizontal="center" vertical="center" wrapText="1"/>
    </xf>
    <xf numFmtId="166" fontId="38" fillId="58" borderId="1" xfId="0" applyNumberFormat="1" applyFont="1" applyFill="1" applyBorder="1" applyAlignment="1">
      <alignment horizontal="center" vertical="center" wrapText="1"/>
    </xf>
    <xf numFmtId="166" fontId="33" fillId="58" borderId="1" xfId="0" applyNumberFormat="1" applyFont="1" applyFill="1" applyBorder="1" applyAlignment="1">
      <alignment horizontal="center" vertical="center" wrapText="1"/>
    </xf>
    <xf numFmtId="166" fontId="39" fillId="2" borderId="1" xfId="0" applyNumberFormat="1" applyFont="1" applyFill="1" applyBorder="1" applyAlignment="1">
      <alignment horizontal="center" vertical="center" wrapText="1"/>
    </xf>
    <xf numFmtId="0" fontId="41" fillId="58" borderId="1" xfId="0" applyFont="1" applyFill="1" applyBorder="1" applyAlignment="1">
      <alignment horizontal="left" vertical="center" wrapText="1" indent="1"/>
    </xf>
    <xf numFmtId="0" fontId="42" fillId="58" borderId="1" xfId="0" applyFont="1" applyFill="1" applyBorder="1" applyAlignment="1">
      <alignment horizontal="center" vertical="center" wrapText="1"/>
    </xf>
    <xf numFmtId="0" fontId="39" fillId="57" borderId="1" xfId="0" applyFont="1" applyFill="1" applyBorder="1" applyAlignment="1">
      <alignment horizontal="center" vertical="center" wrapText="1"/>
    </xf>
    <xf numFmtId="0" fontId="26" fillId="57" borderId="1" xfId="0" applyFont="1" applyFill="1" applyBorder="1" applyAlignment="1">
      <alignment horizontal="left" vertical="center" wrapText="1" indent="1"/>
    </xf>
    <xf numFmtId="0" fontId="33" fillId="57" borderId="1" xfId="0" applyFont="1" applyFill="1" applyBorder="1" applyAlignment="1">
      <alignment horizontal="left" vertical="center" wrapText="1" indent="1"/>
    </xf>
    <xf numFmtId="0" fontId="33" fillId="57" borderId="1" xfId="0" applyFont="1" applyFill="1" applyBorder="1" applyAlignment="1">
      <alignment horizontal="center" vertical="center" wrapText="1"/>
    </xf>
    <xf numFmtId="166" fontId="38" fillId="57" borderId="1" xfId="0" applyNumberFormat="1" applyFont="1" applyFill="1" applyBorder="1" applyAlignment="1">
      <alignment horizontal="center" vertical="center" wrapText="1"/>
    </xf>
    <xf numFmtId="166" fontId="33" fillId="57" borderId="1" xfId="0" applyNumberFormat="1" applyFont="1" applyFill="1" applyBorder="1" applyAlignment="1">
      <alignment horizontal="center" vertical="center" wrapText="1"/>
    </xf>
    <xf numFmtId="0" fontId="41" fillId="57" borderId="1" xfId="0" applyFont="1" applyFill="1" applyBorder="1" applyAlignment="1">
      <alignment horizontal="left" vertical="center" wrapText="1" indent="1"/>
    </xf>
    <xf numFmtId="0" fontId="42" fillId="57" borderId="1" xfId="0" applyFont="1" applyFill="1" applyBorder="1" applyAlignment="1">
      <alignment horizontal="center" vertical="center" wrapText="1"/>
    </xf>
    <xf numFmtId="0" fontId="26" fillId="58" borderId="1" xfId="0" applyFont="1" applyFill="1" applyBorder="1" applyAlignment="1">
      <alignment horizontal="center"/>
    </xf>
    <xf numFmtId="0" fontId="43" fillId="58" borderId="1" xfId="0" applyFont="1" applyFill="1" applyBorder="1" applyAlignment="1">
      <alignment horizontal="center"/>
    </xf>
    <xf numFmtId="0" fontId="26" fillId="11" borderId="1" xfId="0" applyFont="1" applyFill="1" applyBorder="1" applyAlignment="1">
      <alignment horizontal="center" vertical="center" wrapText="1"/>
    </xf>
    <xf numFmtId="0" fontId="26" fillId="57" borderId="1" xfId="0" applyFont="1" applyFill="1" applyBorder="1" applyAlignment="1">
      <alignment horizontal="center"/>
    </xf>
    <xf numFmtId="0" fontId="43" fillId="57" borderId="1" xfId="0" applyFont="1" applyFill="1" applyBorder="1" applyAlignment="1">
      <alignment horizontal="center"/>
    </xf>
    <xf numFmtId="0" fontId="33" fillId="18" borderId="0" xfId="0" applyFont="1" applyFill="1"/>
    <xf numFmtId="0" fontId="26" fillId="18" borderId="0" xfId="0" applyFont="1" applyFill="1"/>
    <xf numFmtId="166" fontId="33" fillId="18" borderId="0" xfId="0" applyNumberFormat="1" applyFont="1" applyFill="1"/>
    <xf numFmtId="165" fontId="33" fillId="18" borderId="0" xfId="0" applyNumberFormat="1" applyFont="1" applyFill="1"/>
    <xf numFmtId="0" fontId="33" fillId="19" borderId="0" xfId="0" applyFont="1" applyFill="1"/>
    <xf numFmtId="0" fontId="26" fillId="19" borderId="0" xfId="0" applyFont="1" applyFill="1"/>
    <xf numFmtId="166" fontId="33" fillId="19" borderId="0" xfId="0" applyNumberFormat="1" applyFont="1" applyFill="1"/>
    <xf numFmtId="165" fontId="33" fillId="19" borderId="0" xfId="0" applyNumberFormat="1" applyFont="1" applyFill="1"/>
    <xf numFmtId="0" fontId="33" fillId="58" borderId="0" xfId="0" applyFont="1" applyFill="1"/>
    <xf numFmtId="0" fontId="26" fillId="58" borderId="0" xfId="0" applyFont="1" applyFill="1"/>
    <xf numFmtId="166" fontId="33" fillId="58" borderId="0" xfId="0" applyNumberFormat="1" applyFont="1" applyFill="1"/>
    <xf numFmtId="165" fontId="33" fillId="58" borderId="0" xfId="0" applyNumberFormat="1" applyFont="1" applyFill="1"/>
    <xf numFmtId="0" fontId="33" fillId="39" borderId="8" xfId="0" applyFont="1" applyFill="1" applyBorder="1" applyAlignment="1">
      <alignment horizontal="center" vertical="center"/>
    </xf>
    <xf numFmtId="0" fontId="33" fillId="39" borderId="8" xfId="0" applyFont="1" applyFill="1" applyBorder="1" applyAlignment="1">
      <alignment horizontal="left" vertical="center"/>
    </xf>
    <xf numFmtId="0" fontId="25" fillId="39" borderId="8" xfId="0" applyFont="1" applyFill="1" applyBorder="1" applyAlignment="1">
      <alignment horizontal="left" vertical="center"/>
    </xf>
    <xf numFmtId="166" fontId="33" fillId="39" borderId="8" xfId="0" applyNumberFormat="1" applyFont="1" applyFill="1" applyBorder="1" applyAlignment="1">
      <alignment horizontal="left" vertical="center"/>
    </xf>
    <xf numFmtId="0" fontId="33" fillId="39" borderId="8" xfId="0" applyFont="1" applyFill="1" applyBorder="1" applyAlignment="1">
      <alignment horizontal="left" vertical="center" wrapText="1"/>
    </xf>
    <xf numFmtId="165" fontId="33" fillId="39" borderId="8" xfId="0" applyNumberFormat="1" applyFont="1" applyFill="1" applyBorder="1" applyAlignment="1">
      <alignment horizontal="left" vertical="center"/>
    </xf>
    <xf numFmtId="0" fontId="33" fillId="18" borderId="8" xfId="0" applyFont="1" applyFill="1" applyBorder="1" applyAlignment="1">
      <alignment horizontal="center" vertical="center"/>
    </xf>
    <xf numFmtId="0" fontId="33" fillId="18" borderId="8" xfId="0" applyFont="1" applyFill="1" applyBorder="1" applyAlignment="1">
      <alignment horizontal="left" vertical="center"/>
    </xf>
    <xf numFmtId="0" fontId="25" fillId="18" borderId="8" xfId="0" applyFont="1" applyFill="1" applyBorder="1" applyAlignment="1">
      <alignment horizontal="left" vertical="center"/>
    </xf>
    <xf numFmtId="166" fontId="33" fillId="18" borderId="8" xfId="0" applyNumberFormat="1" applyFont="1" applyFill="1" applyBorder="1" applyAlignment="1">
      <alignment horizontal="left" vertical="center"/>
    </xf>
    <xf numFmtId="0" fontId="33" fillId="18" borderId="8" xfId="0" applyFont="1" applyFill="1" applyBorder="1" applyAlignment="1">
      <alignment horizontal="left" vertical="center" wrapText="1"/>
    </xf>
    <xf numFmtId="165" fontId="33" fillId="18" borderId="8" xfId="0" applyNumberFormat="1" applyFont="1" applyFill="1" applyBorder="1" applyAlignment="1">
      <alignment horizontal="left" vertical="center"/>
    </xf>
    <xf numFmtId="0" fontId="33" fillId="57" borderId="0" xfId="0" applyFont="1" applyFill="1"/>
    <xf numFmtId="0" fontId="26" fillId="57" borderId="0" xfId="0" applyFont="1" applyFill="1"/>
    <xf numFmtId="166" fontId="33" fillId="57" borderId="0" xfId="0" applyNumberFormat="1" applyFont="1" applyFill="1"/>
    <xf numFmtId="165" fontId="33" fillId="57" borderId="0" xfId="0" applyNumberFormat="1" applyFont="1" applyFill="1"/>
    <xf numFmtId="0" fontId="44" fillId="18" borderId="0" xfId="0" applyFont="1" applyFill="1" applyAlignment="1">
      <alignment horizontal="left" vertical="center" indent="1"/>
    </xf>
    <xf numFmtId="0" fontId="33" fillId="19" borderId="0" xfId="0" applyFont="1" applyFill="1" applyAlignment="1">
      <alignment horizontal="left" vertical="center" wrapText="1" indent="1"/>
    </xf>
    <xf numFmtId="0" fontId="33" fillId="18" borderId="0" xfId="0" applyFont="1" applyFill="1" applyAlignment="1">
      <alignment horizontal="left" vertical="center" wrapText="1" indent="1"/>
    </xf>
    <xf numFmtId="0" fontId="33" fillId="57" borderId="0" xfId="0" applyFont="1" applyFill="1" applyAlignment="1">
      <alignment horizontal="left" vertical="center" wrapText="1" indent="1"/>
    </xf>
    <xf numFmtId="0" fontId="33" fillId="58" borderId="0" xfId="0" applyFont="1" applyFill="1" applyAlignment="1">
      <alignment horizontal="left" vertical="center" wrapText="1" indent="1"/>
    </xf>
    <xf numFmtId="0" fontId="46" fillId="5" borderId="1" xfId="0" applyFont="1" applyFill="1" applyBorder="1" applyAlignment="1">
      <alignment horizontal="center"/>
    </xf>
    <xf numFmtId="0" fontId="33" fillId="0" borderId="1" xfId="0" applyFont="1" applyBorder="1"/>
    <xf numFmtId="0" fontId="33" fillId="0" borderId="1" xfId="0" applyFont="1" applyBorder="1" applyAlignment="1">
      <alignment horizontal="center"/>
    </xf>
    <xf numFmtId="165" fontId="33" fillId="0" borderId="1" xfId="0" applyNumberFormat="1" applyFont="1" applyBorder="1" applyAlignment="1">
      <alignment horizontal="center"/>
    </xf>
    <xf numFmtId="0" fontId="40" fillId="0" borderId="1" xfId="0" applyFont="1" applyBorder="1"/>
    <xf numFmtId="0" fontId="47" fillId="0" borderId="1" xfId="0" applyFont="1" applyBorder="1"/>
    <xf numFmtId="0" fontId="48" fillId="0" borderId="1" xfId="0" applyFont="1" applyBorder="1"/>
    <xf numFmtId="0" fontId="49" fillId="0" borderId="1" xfId="0" applyFont="1" applyBorder="1"/>
    <xf numFmtId="0" fontId="26" fillId="0" borderId="1" xfId="0" applyFont="1" applyBorder="1"/>
    <xf numFmtId="1" fontId="33" fillId="0" borderId="1" xfId="0" applyNumberFormat="1" applyFont="1" applyBorder="1" applyAlignment="1">
      <alignment horizontal="right"/>
    </xf>
    <xf numFmtId="166" fontId="33" fillId="0" borderId="1" xfId="0" applyNumberFormat="1" applyFont="1" applyBorder="1" applyAlignment="1">
      <alignment horizontal="right"/>
    </xf>
    <xf numFmtId="167" fontId="33" fillId="0" borderId="1" xfId="0" applyNumberFormat="1" applyFont="1" applyBorder="1" applyAlignment="1">
      <alignment horizontal="right"/>
    </xf>
    <xf numFmtId="166" fontId="26" fillId="0" borderId="1" xfId="0" applyNumberFormat="1" applyFont="1" applyBorder="1" applyAlignment="1">
      <alignment horizontal="right"/>
    </xf>
    <xf numFmtId="0" fontId="26" fillId="0" borderId="1" xfId="0" applyFont="1" applyBorder="1" applyAlignment="1">
      <alignment vertical="top"/>
    </xf>
    <xf numFmtId="0" fontId="46" fillId="5" borderId="1" xfId="0" applyFont="1" applyFill="1" applyBorder="1" applyAlignment="1">
      <alignment horizontal="center" vertical="center" wrapText="1"/>
    </xf>
    <xf numFmtId="168" fontId="40" fillId="0" borderId="1" xfId="0" applyNumberFormat="1" applyFont="1" applyBorder="1" applyAlignment="1">
      <alignment horizontal="center"/>
    </xf>
    <xf numFmtId="0" fontId="33" fillId="0" borderId="1" xfId="0" applyFont="1" applyBorder="1" applyAlignment="1">
      <alignment indent="1"/>
    </xf>
    <xf numFmtId="166" fontId="48" fillId="0" borderId="1" xfId="0" applyNumberFormat="1" applyFont="1" applyBorder="1" applyAlignment="1">
      <alignment horizontal="right"/>
    </xf>
    <xf numFmtId="168" fontId="49" fillId="0" borderId="1" xfId="0" applyNumberFormat="1" applyFont="1" applyBorder="1" applyAlignment="1">
      <alignment horizontal="center"/>
    </xf>
    <xf numFmtId="168" fontId="33" fillId="0" borderId="1" xfId="0" applyNumberFormat="1" applyFont="1" applyBorder="1" applyAlignment="1">
      <alignment horizontal="center"/>
    </xf>
    <xf numFmtId="0" fontId="26" fillId="0" borderId="1" xfId="0" applyFont="1" applyBorder="1" applyAlignment="1">
      <alignment horizontal="center"/>
    </xf>
    <xf numFmtId="0" fontId="33" fillId="0" borderId="1" xfId="0" applyFont="1" applyBorder="1" applyAlignment="1">
      <alignment horizontal="right"/>
    </xf>
    <xf numFmtId="0" fontId="46" fillId="8" borderId="1" xfId="0" applyFont="1" applyFill="1" applyBorder="1" applyAlignment="1">
      <alignment horizontal="left" vertical="center" wrapText="1" indent="1"/>
    </xf>
    <xf numFmtId="0" fontId="46" fillId="8" borderId="1" xfId="0" applyFont="1" applyFill="1" applyBorder="1" applyAlignment="1">
      <alignment horizontal="center" vertical="center" wrapText="1"/>
    </xf>
    <xf numFmtId="0" fontId="26" fillId="9" borderId="1" xfId="0" applyFont="1" applyFill="1" applyBorder="1" applyAlignment="1">
      <alignment horizontal="left" vertical="center" wrapText="1" indent="1"/>
    </xf>
    <xf numFmtId="0" fontId="33" fillId="0" borderId="1" xfId="0" applyFont="1" applyBorder="1" applyAlignment="1">
      <alignment horizontal="center" vertical="center" wrapText="1"/>
    </xf>
    <xf numFmtId="0" fontId="39" fillId="2" borderId="1" xfId="0" applyFont="1" applyFill="1" applyBorder="1" applyAlignment="1">
      <alignment horizontal="center" vertical="center" wrapText="1"/>
    </xf>
    <xf numFmtId="0" fontId="39" fillId="9" borderId="1" xfId="0" applyFont="1" applyFill="1" applyBorder="1" applyAlignment="1">
      <alignment horizontal="center" vertical="center" wrapText="1"/>
    </xf>
    <xf numFmtId="0" fontId="26" fillId="0" borderId="1" xfId="0" applyFont="1" applyBorder="1" applyAlignment="1">
      <alignment horizontal="left" vertical="center" wrapText="1" indent="1"/>
    </xf>
    <xf numFmtId="0" fontId="52" fillId="0" borderId="1" xfId="0" applyFont="1" applyBorder="1" applyAlignment="1">
      <alignment horizontal="left" vertical="center" wrapText="1" indent="1"/>
    </xf>
    <xf numFmtId="0" fontId="26"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53" fillId="0" borderId="1" xfId="0" applyFont="1" applyBorder="1"/>
    <xf numFmtId="0" fontId="40" fillId="16" borderId="1" xfId="0" applyFont="1" applyFill="1" applyBorder="1" applyAlignment="1">
      <alignment horizontal="center" vertical="center" wrapText="1"/>
    </xf>
    <xf numFmtId="0" fontId="39" fillId="3" borderId="1" xfId="0" applyFont="1" applyFill="1" applyBorder="1" applyAlignment="1">
      <alignment horizontal="center" vertical="center" wrapText="1"/>
    </xf>
    <xf numFmtId="3" fontId="26" fillId="0" borderId="1" xfId="0" applyNumberFormat="1" applyFont="1" applyBorder="1" applyAlignment="1">
      <alignment horizontal="center" vertical="center" wrapText="1"/>
    </xf>
    <xf numFmtId="3" fontId="44" fillId="2" borderId="1" xfId="0" applyNumberFormat="1" applyFont="1" applyFill="1" applyBorder="1" applyAlignment="1">
      <alignment horizontal="center" vertical="center" wrapText="1"/>
    </xf>
    <xf numFmtId="169" fontId="26" fillId="0" borderId="0" xfId="0" applyNumberFormat="1" applyFont="1"/>
    <xf numFmtId="169" fontId="39" fillId="2" borderId="0" xfId="0" applyNumberFormat="1" applyFont="1" applyFill="1"/>
    <xf numFmtId="170" fontId="26" fillId="2" borderId="0" xfId="0" applyNumberFormat="1" applyFont="1" applyFill="1"/>
    <xf numFmtId="171" fontId="1" fillId="57" borderId="1" xfId="0" applyNumberFormat="1" applyFont="1" applyFill="1" applyBorder="1" applyAlignment="1">
      <alignment horizontal="right" vertical="center"/>
    </xf>
    <xf numFmtId="0" fontId="1" fillId="59" borderId="1" xfId="0" applyFont="1" applyFill="1" applyBorder="1" applyAlignment="1">
      <alignment horizontal="center" vertical="center" wrapText="1"/>
    </xf>
    <xf numFmtId="0" fontId="1" fillId="57" borderId="1" xfId="0" applyFont="1" applyFill="1" applyBorder="1" applyAlignment="1">
      <alignment horizontal="left" vertical="center" wrapText="1"/>
    </xf>
    <xf numFmtId="166" fontId="1" fillId="57" borderId="1" xfId="0" applyNumberFormat="1" applyFont="1" applyFill="1" applyBorder="1" applyAlignment="1">
      <alignment horizontal="right" vertical="center"/>
    </xf>
    <xf numFmtId="166" fontId="24" fillId="57" borderId="1" xfId="0" applyNumberFormat="1" applyFont="1" applyFill="1" applyBorder="1" applyAlignment="1">
      <alignment horizontal="right" vertical="center"/>
    </xf>
    <xf numFmtId="165" fontId="33" fillId="57" borderId="1" xfId="0" applyNumberFormat="1" applyFont="1" applyFill="1" applyBorder="1" applyAlignment="1">
      <alignment horizontal="right" vertical="center"/>
    </xf>
    <xf numFmtId="1" fontId="53" fillId="57" borderId="1" xfId="0" applyNumberFormat="1" applyFont="1" applyFill="1" applyBorder="1" applyAlignment="1">
      <alignment horizontal="right" vertical="center"/>
    </xf>
    <xf numFmtId="171" fontId="1" fillId="58" borderId="1" xfId="0" applyNumberFormat="1" applyFont="1" applyFill="1" applyBorder="1" applyAlignment="1">
      <alignment horizontal="right" vertical="center"/>
    </xf>
    <xf numFmtId="0" fontId="1" fillId="58" borderId="1" xfId="0" applyFont="1" applyFill="1" applyBorder="1" applyAlignment="1">
      <alignment horizontal="left" vertical="center" wrapText="1"/>
    </xf>
    <xf numFmtId="166" fontId="1" fillId="58" borderId="1" xfId="0" applyNumberFormat="1" applyFont="1" applyFill="1" applyBorder="1" applyAlignment="1">
      <alignment horizontal="right" vertical="center"/>
    </xf>
    <xf numFmtId="166" fontId="24" fillId="58" borderId="1" xfId="0" applyNumberFormat="1" applyFont="1" applyFill="1" applyBorder="1" applyAlignment="1">
      <alignment horizontal="right" vertical="center"/>
    </xf>
    <xf numFmtId="165" fontId="33" fillId="58" borderId="1" xfId="0" applyNumberFormat="1" applyFont="1" applyFill="1" applyBorder="1" applyAlignment="1">
      <alignment horizontal="right" vertical="center"/>
    </xf>
    <xf numFmtId="1" fontId="53" fillId="58" borderId="1" xfId="0" applyNumberFormat="1" applyFont="1" applyFill="1" applyBorder="1" applyAlignment="1">
      <alignment horizontal="right" vertical="center"/>
    </xf>
    <xf numFmtId="0" fontId="1" fillId="60" borderId="1" xfId="0" applyFont="1" applyFill="1" applyBorder="1" applyAlignment="1">
      <alignment horizontal="center" vertical="center" wrapText="1"/>
    </xf>
    <xf numFmtId="171" fontId="53" fillId="58" borderId="1" xfId="0" applyNumberFormat="1" applyFont="1" applyFill="1" applyBorder="1" applyAlignment="1">
      <alignment horizontal="right" vertical="center"/>
    </xf>
    <xf numFmtId="0" fontId="53" fillId="58" borderId="1" xfId="0" applyFont="1" applyFill="1" applyBorder="1" applyAlignment="1">
      <alignment horizontal="center" vertical="center" wrapText="1"/>
    </xf>
    <xf numFmtId="0" fontId="53" fillId="58" borderId="1" xfId="0" applyFont="1" applyFill="1" applyBorder="1" applyAlignment="1">
      <alignment horizontal="left" vertical="center" wrapText="1"/>
    </xf>
    <xf numFmtId="169" fontId="53" fillId="58" borderId="1" xfId="0" applyNumberFormat="1" applyFont="1" applyFill="1" applyBorder="1" applyAlignment="1">
      <alignment horizontal="right" vertical="center"/>
    </xf>
    <xf numFmtId="166" fontId="53" fillId="58" borderId="1" xfId="0" applyNumberFormat="1" applyFont="1" applyFill="1" applyBorder="1" applyAlignment="1">
      <alignment horizontal="right" vertical="center"/>
    </xf>
    <xf numFmtId="171" fontId="53" fillId="57" borderId="1" xfId="0" applyNumberFormat="1" applyFont="1" applyFill="1" applyBorder="1" applyAlignment="1">
      <alignment horizontal="right" vertical="center"/>
    </xf>
    <xf numFmtId="0" fontId="53" fillId="57" borderId="1" xfId="0" applyFont="1" applyFill="1" applyBorder="1" applyAlignment="1">
      <alignment horizontal="center" vertical="center" wrapText="1"/>
    </xf>
    <xf numFmtId="0" fontId="53" fillId="57" borderId="1" xfId="0" applyFont="1" applyFill="1" applyBorder="1" applyAlignment="1">
      <alignment horizontal="left" vertical="center" wrapText="1"/>
    </xf>
    <xf numFmtId="169" fontId="53" fillId="57" borderId="1" xfId="0" applyNumberFormat="1" applyFont="1" applyFill="1" applyBorder="1" applyAlignment="1">
      <alignment horizontal="right" vertical="center"/>
    </xf>
    <xf numFmtId="166" fontId="53" fillId="57" borderId="1" xfId="0" applyNumberFormat="1" applyFont="1" applyFill="1" applyBorder="1" applyAlignment="1">
      <alignment horizontal="right" vertical="center"/>
    </xf>
    <xf numFmtId="171" fontId="53" fillId="58" borderId="1" xfId="0" applyNumberFormat="1" applyFont="1" applyFill="1" applyBorder="1" applyAlignment="1">
      <alignment horizontal="center" vertical="center" wrapText="1"/>
    </xf>
    <xf numFmtId="0" fontId="53" fillId="58" borderId="1" xfId="0" applyFont="1" applyFill="1" applyBorder="1" applyAlignment="1">
      <alignment horizontal="left" vertical="center" wrapText="1" indent="1"/>
    </xf>
    <xf numFmtId="169" fontId="53" fillId="58" borderId="1" xfId="0" applyNumberFormat="1" applyFont="1" applyFill="1" applyBorder="1" applyAlignment="1">
      <alignment horizontal="center" vertical="center" wrapText="1"/>
    </xf>
    <xf numFmtId="166" fontId="53" fillId="58" borderId="1" xfId="0" applyNumberFormat="1" applyFont="1" applyFill="1" applyBorder="1" applyAlignment="1">
      <alignment horizontal="center" vertical="center" wrapText="1"/>
    </xf>
    <xf numFmtId="166" fontId="24" fillId="58" borderId="1" xfId="0" applyNumberFormat="1" applyFont="1" applyFill="1" applyBorder="1" applyAlignment="1">
      <alignment horizontal="center" vertical="center" wrapText="1"/>
    </xf>
    <xf numFmtId="165" fontId="33" fillId="58" borderId="1" xfId="0" applyNumberFormat="1" applyFont="1" applyFill="1" applyBorder="1" applyAlignment="1">
      <alignment horizontal="center" vertical="center" wrapText="1"/>
    </xf>
    <xf numFmtId="1" fontId="53" fillId="58" borderId="1" xfId="0" applyNumberFormat="1" applyFont="1" applyFill="1" applyBorder="1" applyAlignment="1">
      <alignment horizontal="center" vertical="center" wrapText="1"/>
    </xf>
    <xf numFmtId="166" fontId="1" fillId="18" borderId="0" xfId="0" applyNumberFormat="1" applyFont="1" applyFill="1"/>
    <xf numFmtId="166" fontId="24" fillId="18" borderId="0" xfId="0" applyNumberFormat="1" applyFont="1" applyFill="1"/>
    <xf numFmtId="166" fontId="1" fillId="19" borderId="0" xfId="0" applyNumberFormat="1" applyFont="1" applyFill="1"/>
    <xf numFmtId="166" fontId="24" fillId="19" borderId="0" xfId="0" applyNumberFormat="1" applyFont="1" applyFill="1"/>
    <xf numFmtId="171" fontId="33" fillId="19" borderId="0" xfId="0" applyNumberFormat="1" applyFont="1" applyFill="1"/>
    <xf numFmtId="4" fontId="33" fillId="19" borderId="0" xfId="0" applyNumberFormat="1" applyFont="1" applyFill="1"/>
    <xf numFmtId="171" fontId="33" fillId="18" borderId="0" xfId="0" applyNumberFormat="1" applyFont="1" applyFill="1"/>
    <xf numFmtId="4" fontId="33" fillId="18" borderId="0" xfId="0" applyNumberFormat="1" applyFont="1" applyFill="1"/>
    <xf numFmtId="0" fontId="14" fillId="56" borderId="0" xfId="0" applyFont="1" applyFill="1" applyAlignment="1">
      <alignment horizontal="right"/>
    </xf>
    <xf numFmtId="1" fontId="14" fillId="56" borderId="0" xfId="0" applyNumberFormat="1" applyFont="1" applyFill="1"/>
    <xf numFmtId="169" fontId="14" fillId="56" borderId="0" xfId="0" applyNumberFormat="1" applyFont="1" applyFill="1"/>
    <xf numFmtId="171" fontId="53" fillId="57" borderId="1" xfId="0" applyNumberFormat="1" applyFont="1" applyFill="1" applyBorder="1" applyAlignment="1">
      <alignment horizontal="center" vertical="center" wrapText="1"/>
    </xf>
    <xf numFmtId="1" fontId="53" fillId="57" borderId="1" xfId="0" applyNumberFormat="1" applyFont="1" applyFill="1" applyBorder="1" applyAlignment="1">
      <alignment horizontal="center" vertical="center" wrapText="1"/>
    </xf>
    <xf numFmtId="166" fontId="53" fillId="57" borderId="1" xfId="0" applyNumberFormat="1" applyFont="1" applyFill="1" applyBorder="1" applyAlignment="1">
      <alignment horizontal="center" vertical="center" wrapText="1"/>
    </xf>
    <xf numFmtId="166" fontId="33" fillId="61" borderId="0" xfId="0" applyNumberFormat="1" applyFont="1" applyFill="1"/>
    <xf numFmtId="166" fontId="46" fillId="8" borderId="1" xfId="0" applyNumberFormat="1" applyFont="1" applyFill="1" applyBorder="1" applyAlignment="1">
      <alignment horizontal="center" vertical="center" wrapText="1"/>
    </xf>
    <xf numFmtId="0" fontId="26" fillId="58" borderId="1" xfId="0" applyFont="1" applyFill="1" applyBorder="1" applyAlignment="1">
      <alignment horizontal="center" vertical="center" wrapText="1"/>
    </xf>
    <xf numFmtId="169" fontId="33" fillId="58" borderId="1" xfId="0" applyNumberFormat="1" applyFont="1" applyFill="1" applyBorder="1" applyAlignment="1">
      <alignment horizontal="center" vertical="center" wrapText="1"/>
    </xf>
    <xf numFmtId="0" fontId="35" fillId="58" borderId="1" xfId="0" applyFont="1" applyFill="1" applyBorder="1" applyAlignment="1">
      <alignment horizontal="left" vertical="center" wrapText="1"/>
    </xf>
    <xf numFmtId="0" fontId="26" fillId="57" borderId="1" xfId="0" applyFont="1" applyFill="1" applyBorder="1" applyAlignment="1">
      <alignment horizontal="center" vertical="center" wrapText="1"/>
    </xf>
    <xf numFmtId="169" fontId="33" fillId="57" borderId="1" xfId="0" applyNumberFormat="1" applyFont="1" applyFill="1" applyBorder="1" applyAlignment="1">
      <alignment horizontal="center" vertical="center" wrapText="1"/>
    </xf>
    <xf numFmtId="0" fontId="35" fillId="57" borderId="1" xfId="0" applyFont="1" applyFill="1" applyBorder="1" applyAlignment="1">
      <alignment horizontal="left" vertical="center" wrapText="1"/>
    </xf>
    <xf numFmtId="0" fontId="56" fillId="0" borderId="0" xfId="0" applyFont="1"/>
    <xf numFmtId="0" fontId="57" fillId="20" borderId="0" xfId="0" applyFont="1" applyFill="1" applyAlignment="1">
      <alignment horizontal="center" wrapText="1"/>
    </xf>
    <xf numFmtId="0" fontId="33" fillId="21" borderId="0" xfId="0" applyFont="1" applyFill="1"/>
    <xf numFmtId="0" fontId="33" fillId="22" borderId="0" xfId="0" applyFont="1" applyFill="1"/>
    <xf numFmtId="4" fontId="33" fillId="22" borderId="0" xfId="0" applyNumberFormat="1" applyFont="1" applyFill="1"/>
    <xf numFmtId="0" fontId="33" fillId="24" borderId="0" xfId="0" applyFont="1" applyFill="1"/>
    <xf numFmtId="0" fontId="33" fillId="23" borderId="0" xfId="0" applyFont="1" applyFill="1"/>
    <xf numFmtId="0" fontId="26" fillId="0" borderId="0" xfId="0" applyFont="1"/>
    <xf numFmtId="4" fontId="26" fillId="0" borderId="0" xfId="0" applyNumberFormat="1" applyFont="1"/>
    <xf numFmtId="0" fontId="33" fillId="25" borderId="0" xfId="0" applyFont="1" applyFill="1"/>
    <xf numFmtId="0" fontId="33" fillId="26" borderId="0" xfId="0" applyFont="1" applyFill="1"/>
    <xf numFmtId="0" fontId="33" fillId="27" borderId="0" xfId="0" applyFont="1" applyFill="1"/>
    <xf numFmtId="167" fontId="33" fillId="0" borderId="0" xfId="0" applyNumberFormat="1" applyFont="1"/>
    <xf numFmtId="0" fontId="59" fillId="0" borderId="0" xfId="0" applyFont="1"/>
    <xf numFmtId="0" fontId="60" fillId="26" borderId="0" xfId="0" applyFont="1" applyFill="1" applyAlignment="1">
      <alignment horizontal="center"/>
    </xf>
    <xf numFmtId="0" fontId="60" fillId="25" borderId="0" xfId="0" applyFont="1" applyFill="1" applyAlignment="1">
      <alignment horizontal="center"/>
    </xf>
    <xf numFmtId="0" fontId="60" fillId="28" borderId="0" xfId="0" applyFont="1" applyFill="1" applyAlignment="1">
      <alignment horizontal="center"/>
    </xf>
    <xf numFmtId="0" fontId="60" fillId="27" borderId="0" xfId="0" applyFont="1" applyFill="1" applyAlignment="1">
      <alignment horizontal="center"/>
    </xf>
    <xf numFmtId="0" fontId="60" fillId="29" borderId="0" xfId="0" applyFont="1" applyFill="1" applyAlignment="1">
      <alignment horizontal="center"/>
    </xf>
    <xf numFmtId="0" fontId="60" fillId="19" borderId="0" xfId="0" applyFont="1" applyFill="1" applyAlignment="1">
      <alignment horizontal="center"/>
    </xf>
    <xf numFmtId="0" fontId="14" fillId="56" borderId="0" xfId="0" applyFont="1" applyFill="1" applyAlignment="1">
      <alignment horizontal="left" vertical="center"/>
    </xf>
    <xf numFmtId="174" fontId="14" fillId="56" borderId="0" xfId="0" applyNumberFormat="1" applyFont="1" applyFill="1" applyAlignment="1">
      <alignment horizontal="left" vertical="center"/>
    </xf>
    <xf numFmtId="167" fontId="14" fillId="56" borderId="0" xfId="0" applyNumberFormat="1" applyFont="1" applyFill="1" applyAlignment="1">
      <alignment horizontal="left" vertical="center"/>
    </xf>
    <xf numFmtId="0" fontId="14" fillId="56" borderId="9" xfId="0" applyFont="1" applyFill="1" applyBorder="1" applyAlignment="1">
      <alignment horizontal="center" vertical="center" wrapText="1"/>
    </xf>
    <xf numFmtId="0" fontId="25" fillId="40" borderId="10" xfId="0" applyFont="1" applyFill="1" applyBorder="1" applyAlignment="1">
      <alignment vertical="center" wrapText="1"/>
    </xf>
    <xf numFmtId="166" fontId="1" fillId="40" borderId="10" xfId="0" applyNumberFormat="1" applyFont="1" applyFill="1" applyBorder="1" applyAlignment="1">
      <alignment vertical="center"/>
    </xf>
    <xf numFmtId="0" fontId="1" fillId="59" borderId="10" xfId="0" applyFont="1" applyFill="1" applyBorder="1" applyAlignment="1">
      <alignment vertical="center"/>
    </xf>
    <xf numFmtId="1" fontId="33" fillId="40" borderId="10" xfId="0" applyNumberFormat="1" applyFont="1" applyFill="1" applyBorder="1" applyAlignment="1">
      <alignment horizontal="center" vertical="center"/>
    </xf>
    <xf numFmtId="0" fontId="33" fillId="62" borderId="10" xfId="0" applyFont="1" applyFill="1" applyBorder="1" applyAlignment="1">
      <alignment horizontal="center" vertical="center"/>
    </xf>
    <xf numFmtId="0" fontId="33" fillId="40" borderId="10" xfId="0" applyFont="1" applyFill="1" applyBorder="1" applyAlignment="1">
      <alignment horizontal="left" vertical="center" wrapText="1"/>
    </xf>
    <xf numFmtId="0" fontId="25" fillId="41" borderId="10" xfId="0" applyFont="1" applyFill="1" applyBorder="1" applyAlignment="1">
      <alignment vertical="center" wrapText="1"/>
    </xf>
    <xf numFmtId="166" fontId="1" fillId="41" borderId="10" xfId="0" applyNumberFormat="1" applyFont="1" applyFill="1" applyBorder="1" applyAlignment="1">
      <alignment vertical="center"/>
    </xf>
    <xf numFmtId="1" fontId="33" fillId="41" borderId="10" xfId="0" applyNumberFormat="1" applyFont="1" applyFill="1" applyBorder="1" applyAlignment="1">
      <alignment horizontal="center" vertical="center"/>
    </xf>
    <xf numFmtId="0" fontId="33" fillId="41" borderId="10" xfId="0" applyFont="1" applyFill="1" applyBorder="1" applyAlignment="1">
      <alignment horizontal="left" vertical="center" wrapText="1"/>
    </xf>
    <xf numFmtId="171" fontId="33" fillId="41" borderId="10" xfId="0" applyNumberFormat="1" applyFont="1" applyFill="1" applyBorder="1" applyAlignment="1">
      <alignment horizontal="center" vertical="center"/>
    </xf>
    <xf numFmtId="0" fontId="33" fillId="41" borderId="10" xfId="0" applyFont="1" applyFill="1" applyBorder="1" applyAlignment="1">
      <alignment vertical="center"/>
    </xf>
    <xf numFmtId="0" fontId="26" fillId="41" borderId="10" xfId="0" applyFont="1" applyFill="1" applyBorder="1" applyAlignment="1">
      <alignment vertical="center" wrapText="1"/>
    </xf>
    <xf numFmtId="166" fontId="33" fillId="41" borderId="10" xfId="0" applyNumberFormat="1" applyFont="1" applyFill="1" applyBorder="1" applyAlignment="1">
      <alignment vertical="center"/>
    </xf>
    <xf numFmtId="171" fontId="33" fillId="40" borderId="10" xfId="0" applyNumberFormat="1" applyFont="1" applyFill="1" applyBorder="1" applyAlignment="1">
      <alignment horizontal="center" vertical="center"/>
    </xf>
    <xf numFmtId="0" fontId="33" fillId="40" borderId="10" xfId="0" applyFont="1" applyFill="1" applyBorder="1" applyAlignment="1">
      <alignment vertical="center"/>
    </xf>
    <xf numFmtId="0" fontId="26" fillId="40" borderId="10" xfId="0" applyFont="1" applyFill="1" applyBorder="1" applyAlignment="1">
      <alignment vertical="center" wrapText="1"/>
    </xf>
    <xf numFmtId="166" fontId="33" fillId="40" borderId="10" xfId="0" applyNumberFormat="1" applyFont="1" applyFill="1" applyBorder="1" applyAlignment="1">
      <alignment vertical="center"/>
    </xf>
    <xf numFmtId="0" fontId="26" fillId="9" borderId="1" xfId="0" applyFont="1" applyFill="1" applyBorder="1" applyAlignment="1">
      <alignment horizontal="left" vertical="center" indent="1"/>
    </xf>
    <xf numFmtId="166" fontId="38" fillId="0" borderId="1" xfId="0" applyNumberFormat="1" applyFont="1" applyBorder="1" applyAlignment="1">
      <alignment horizontal="center" vertical="center" wrapText="1"/>
    </xf>
    <xf numFmtId="166" fontId="26" fillId="0" borderId="1" xfId="0" applyNumberFormat="1" applyFont="1" applyBorder="1" applyAlignment="1">
      <alignment horizontal="center" vertical="center" wrapText="1"/>
    </xf>
    <xf numFmtId="165" fontId="38" fillId="0" borderId="1" xfId="0" applyNumberFormat="1" applyFont="1" applyBorder="1" applyAlignment="1">
      <alignment horizontal="center" vertical="center" wrapText="1"/>
    </xf>
    <xf numFmtId="1" fontId="38" fillId="0" borderId="1" xfId="0" applyNumberFormat="1" applyFont="1" applyBorder="1" applyAlignment="1">
      <alignment horizontal="center" vertical="center" wrapText="1"/>
    </xf>
    <xf numFmtId="165" fontId="38" fillId="4" borderId="1" xfId="0" applyNumberFormat="1" applyFont="1" applyFill="1" applyBorder="1" applyAlignment="1">
      <alignment horizontal="center" vertical="center" wrapText="1"/>
    </xf>
    <xf numFmtId="0" fontId="30" fillId="2" borderId="1" xfId="0" applyFont="1" applyFill="1" applyBorder="1" applyAlignment="1">
      <alignment horizontal="left" vertical="center" indent="1"/>
    </xf>
    <xf numFmtId="166" fontId="62" fillId="2" borderId="1" xfId="0" applyNumberFormat="1" applyFont="1" applyFill="1" applyBorder="1" applyAlignment="1">
      <alignment horizontal="center" vertical="center" wrapText="1"/>
    </xf>
    <xf numFmtId="166" fontId="63" fillId="4" borderId="1" xfId="0" applyNumberFormat="1" applyFont="1" applyFill="1" applyBorder="1" applyAlignment="1">
      <alignment horizontal="center" vertical="center" wrapText="1"/>
    </xf>
    <xf numFmtId="0" fontId="33" fillId="59" borderId="0" xfId="0" applyFont="1" applyFill="1"/>
    <xf numFmtId="0" fontId="26" fillId="59" borderId="1" xfId="0" applyFont="1" applyFill="1" applyBorder="1" applyAlignment="1">
      <alignment horizontal="left" vertical="center" wrapText="1" indent="1"/>
    </xf>
    <xf numFmtId="165" fontId="53" fillId="59" borderId="1" xfId="0" applyNumberFormat="1" applyFont="1" applyFill="1" applyBorder="1" applyAlignment="1">
      <alignment horizontal="center" vertical="center" wrapText="1"/>
    </xf>
    <xf numFmtId="10" fontId="53" fillId="59" borderId="1" xfId="0" applyNumberFormat="1" applyFont="1" applyFill="1" applyBorder="1" applyAlignment="1">
      <alignment horizontal="center" vertical="center" wrapText="1"/>
    </xf>
    <xf numFmtId="166" fontId="26" fillId="59" borderId="1" xfId="0" applyNumberFormat="1" applyFont="1" applyFill="1" applyBorder="1" applyAlignment="1">
      <alignment horizontal="center" vertical="center" wrapText="1"/>
    </xf>
    <xf numFmtId="166" fontId="44" fillId="59" borderId="1" xfId="0" applyNumberFormat="1" applyFont="1" applyFill="1" applyBorder="1" applyAlignment="1">
      <alignment horizontal="center" vertical="center" wrapText="1"/>
    </xf>
    <xf numFmtId="165" fontId="26" fillId="59" borderId="1" xfId="0" applyNumberFormat="1" applyFont="1" applyFill="1" applyBorder="1" applyAlignment="1">
      <alignment horizontal="center" vertical="center" wrapText="1"/>
    </xf>
    <xf numFmtId="0" fontId="35" fillId="59" borderId="1" xfId="0" applyFont="1" applyFill="1" applyBorder="1" applyAlignment="1">
      <alignment horizontal="left" vertical="center" wrapText="1" indent="1"/>
    </xf>
    <xf numFmtId="0" fontId="33" fillId="60" borderId="0" xfId="0" applyFont="1" applyFill="1"/>
    <xf numFmtId="0" fontId="26" fillId="60" borderId="1" xfId="0" applyFont="1" applyFill="1" applyBorder="1" applyAlignment="1">
      <alignment horizontal="left" vertical="center" wrapText="1" indent="1"/>
    </xf>
    <xf numFmtId="165" fontId="53" fillId="60" borderId="1" xfId="0" applyNumberFormat="1" applyFont="1" applyFill="1" applyBorder="1" applyAlignment="1">
      <alignment horizontal="center" vertical="center" wrapText="1"/>
    </xf>
    <xf numFmtId="10" fontId="53" fillId="60" borderId="1" xfId="0" applyNumberFormat="1" applyFont="1" applyFill="1" applyBorder="1" applyAlignment="1">
      <alignment horizontal="center" vertical="center" wrapText="1"/>
    </xf>
    <xf numFmtId="166" fontId="26" fillId="60" borderId="1" xfId="0" applyNumberFormat="1" applyFont="1" applyFill="1" applyBorder="1" applyAlignment="1">
      <alignment horizontal="center" vertical="center" wrapText="1"/>
    </xf>
    <xf numFmtId="166" fontId="44" fillId="60" borderId="1" xfId="0" applyNumberFormat="1" applyFont="1" applyFill="1" applyBorder="1" applyAlignment="1">
      <alignment horizontal="center" vertical="center" wrapText="1"/>
    </xf>
    <xf numFmtId="165" fontId="26" fillId="60" borderId="1" xfId="0" applyNumberFormat="1" applyFont="1" applyFill="1" applyBorder="1" applyAlignment="1">
      <alignment horizontal="center" vertical="center" wrapText="1"/>
    </xf>
    <xf numFmtId="0" fontId="35" fillId="60" borderId="1" xfId="0" applyFont="1" applyFill="1" applyBorder="1" applyAlignment="1">
      <alignment horizontal="left" vertical="center" wrapText="1" indent="1"/>
    </xf>
    <xf numFmtId="165" fontId="53" fillId="0" borderId="1" xfId="0" applyNumberFormat="1" applyFont="1" applyBorder="1" applyAlignment="1">
      <alignment horizontal="center" vertical="center" wrapText="1"/>
    </xf>
    <xf numFmtId="166" fontId="53" fillId="0" borderId="1" xfId="0" applyNumberFormat="1" applyFont="1" applyBorder="1" applyAlignment="1">
      <alignment horizontal="center" vertical="center" wrapText="1"/>
    </xf>
    <xf numFmtId="10" fontId="53" fillId="0" borderId="1" xfId="0" applyNumberFormat="1" applyFont="1" applyBorder="1" applyAlignment="1">
      <alignment horizontal="center" vertical="center" wrapText="1"/>
    </xf>
    <xf numFmtId="166" fontId="44" fillId="2" borderId="1" xfId="0" applyNumberFormat="1" applyFont="1" applyFill="1" applyBorder="1" applyAlignment="1">
      <alignment horizontal="center" vertical="center" wrapText="1"/>
    </xf>
    <xf numFmtId="165" fontId="26" fillId="0" borderId="1" xfId="0" applyNumberFormat="1" applyFont="1" applyBorder="1" applyAlignment="1">
      <alignment horizontal="center" vertical="center" wrapText="1"/>
    </xf>
    <xf numFmtId="0" fontId="35" fillId="0" borderId="1" xfId="0" applyFont="1" applyBorder="1" applyAlignment="1">
      <alignment horizontal="left" vertical="center" wrapText="1" indent="1"/>
    </xf>
    <xf numFmtId="166" fontId="33" fillId="59" borderId="1" xfId="0" applyNumberFormat="1" applyFont="1" applyFill="1" applyBorder="1" applyAlignment="1">
      <alignment horizontal="center" vertical="center" wrapText="1"/>
    </xf>
    <xf numFmtId="166" fontId="33" fillId="60" borderId="1" xfId="0" applyNumberFormat="1" applyFont="1" applyFill="1" applyBorder="1" applyAlignment="1">
      <alignment horizontal="center" vertical="center" wrapText="1"/>
    </xf>
    <xf numFmtId="166" fontId="33" fillId="0" borderId="1" xfId="0" applyNumberFormat="1" applyFont="1" applyBorder="1" applyAlignment="1">
      <alignment horizontal="center" vertical="center" wrapText="1"/>
    </xf>
    <xf numFmtId="0" fontId="57" fillId="5" borderId="1" xfId="0" applyFont="1" applyFill="1" applyBorder="1" applyAlignment="1">
      <alignment horizontal="center" vertical="center" wrapText="1"/>
    </xf>
    <xf numFmtId="0" fontId="35" fillId="17" borderId="1" xfId="0" applyFont="1" applyFill="1" applyBorder="1" applyAlignment="1">
      <alignment horizontal="left" vertical="center" wrapText="1" indent="1"/>
    </xf>
    <xf numFmtId="0" fontId="26" fillId="0" borderId="1" xfId="0" applyFont="1" applyBorder="1" applyAlignment="1">
      <alignment horizontal="left" vertical="center" indent="1"/>
    </xf>
    <xf numFmtId="166" fontId="29" fillId="64" borderId="1" xfId="0" applyNumberFormat="1" applyFont="1" applyFill="1" applyBorder="1" applyAlignment="1">
      <alignment horizontal="center" vertical="center" wrapText="1"/>
    </xf>
    <xf numFmtId="165" fontId="29" fillId="64" borderId="1" xfId="0" applyNumberFormat="1" applyFont="1" applyFill="1" applyBorder="1" applyAlignment="1">
      <alignment horizontal="center" vertical="center" wrapText="1"/>
    </xf>
    <xf numFmtId="164" fontId="24" fillId="0" borderId="1" xfId="0" applyNumberFormat="1" applyFont="1" applyBorder="1" applyAlignment="1">
      <alignment horizontal="center" vertical="center" wrapText="1"/>
    </xf>
    <xf numFmtId="0" fontId="39" fillId="0" borderId="1" xfId="0" applyFont="1" applyBorder="1" applyAlignment="1">
      <alignment horizontal="left" vertical="center" indent="1"/>
    </xf>
    <xf numFmtId="164" fontId="24" fillId="2" borderId="1" xfId="0" applyNumberFormat="1" applyFont="1" applyFill="1" applyBorder="1" applyAlignment="1">
      <alignment horizontal="center" vertical="center" wrapText="1"/>
    </xf>
    <xf numFmtId="0" fontId="39" fillId="0" borderId="0" xfId="0" applyFont="1" applyAlignment="1">
      <alignment horizontal="right" indent="1"/>
    </xf>
    <xf numFmtId="166" fontId="46" fillId="5" borderId="1" xfId="0" applyNumberFormat="1" applyFont="1" applyFill="1" applyBorder="1" applyAlignment="1">
      <alignment horizontal="center" vertical="center" wrapText="1"/>
    </xf>
    <xf numFmtId="165" fontId="46" fillId="5" borderId="1" xfId="0" applyNumberFormat="1" applyFont="1" applyFill="1" applyBorder="1" applyAlignment="1">
      <alignment horizontal="center" vertical="center" wrapText="1"/>
    </xf>
    <xf numFmtId="164" fontId="33" fillId="0" borderId="1" xfId="0" applyNumberFormat="1" applyFont="1" applyBorder="1" applyAlignment="1">
      <alignment horizontal="center" vertical="center" wrapText="1"/>
    </xf>
    <xf numFmtId="1" fontId="26" fillId="0" borderId="1" xfId="0" applyNumberFormat="1" applyFont="1" applyBorder="1" applyAlignment="1">
      <alignment horizontal="center" vertical="center" wrapText="1"/>
    </xf>
    <xf numFmtId="0" fontId="39" fillId="2" borderId="1" xfId="0" applyFont="1" applyFill="1" applyBorder="1" applyAlignment="1">
      <alignment horizontal="left" vertical="center" indent="1"/>
    </xf>
    <xf numFmtId="166" fontId="30" fillId="2" borderId="1" xfId="0" applyNumberFormat="1" applyFont="1" applyFill="1" applyBorder="1" applyAlignment="1">
      <alignment horizontal="center" vertical="center" wrapText="1"/>
    </xf>
    <xf numFmtId="172" fontId="30" fillId="2" borderId="1" xfId="0" applyNumberFormat="1" applyFont="1" applyFill="1" applyBorder="1" applyAlignment="1">
      <alignment horizontal="center" vertical="center" wrapText="1"/>
    </xf>
    <xf numFmtId="0" fontId="33" fillId="65" borderId="0" xfId="0" applyFont="1" applyFill="1"/>
    <xf numFmtId="0" fontId="14" fillId="56" borderId="1" xfId="0" applyFont="1" applyFill="1" applyBorder="1" applyAlignment="1">
      <alignment horizontal="left" indent="1"/>
    </xf>
    <xf numFmtId="166" fontId="38" fillId="4" borderId="1" xfId="0" applyNumberFormat="1" applyFont="1" applyFill="1" applyBorder="1" applyAlignment="1">
      <alignment horizontal="center" vertical="center" wrapText="1"/>
    </xf>
    <xf numFmtId="166" fontId="38" fillId="65" borderId="1" xfId="0" applyNumberFormat="1" applyFont="1" applyFill="1" applyBorder="1" applyAlignment="1">
      <alignment horizontal="center" vertical="center" wrapText="1"/>
    </xf>
    <xf numFmtId="165" fontId="38" fillId="65" borderId="1" xfId="0" applyNumberFormat="1" applyFont="1" applyFill="1" applyBorder="1" applyAlignment="1">
      <alignment horizontal="center" vertical="center" wrapText="1"/>
    </xf>
    <xf numFmtId="165" fontId="38" fillId="57" borderId="1" xfId="0" applyNumberFormat="1" applyFont="1" applyFill="1" applyBorder="1" applyAlignment="1">
      <alignment horizontal="center" vertical="center" wrapText="1"/>
    </xf>
    <xf numFmtId="0" fontId="31" fillId="0" borderId="0" xfId="0" applyFont="1"/>
    <xf numFmtId="0" fontId="31" fillId="9" borderId="1" xfId="0" applyFont="1" applyFill="1" applyBorder="1" applyAlignment="1">
      <alignment horizontal="left" indent="1"/>
    </xf>
    <xf numFmtId="164" fontId="31" fillId="0" borderId="1" xfId="0" applyNumberFormat="1" applyFont="1" applyBorder="1" applyAlignment="1">
      <alignment horizontal="center" vertical="center" wrapText="1"/>
    </xf>
    <xf numFmtId="0" fontId="32" fillId="2" borderId="1" xfId="0" applyFont="1" applyFill="1" applyBorder="1" applyAlignment="1">
      <alignment horizontal="left" indent="1"/>
    </xf>
    <xf numFmtId="164" fontId="21" fillId="2" borderId="1" xfId="0" applyNumberFormat="1" applyFont="1" applyFill="1" applyBorder="1" applyAlignment="1">
      <alignment horizontal="center" vertical="center" wrapText="1"/>
    </xf>
    <xf numFmtId="0" fontId="32" fillId="0" borderId="0" xfId="0" applyFont="1"/>
    <xf numFmtId="0" fontId="24" fillId="60" borderId="0" xfId="0" applyFont="1" applyFill="1"/>
    <xf numFmtId="0" fontId="24" fillId="60" borderId="1" xfId="0" applyFont="1" applyFill="1" applyBorder="1" applyAlignment="1">
      <alignment horizontal="left" indent="1"/>
    </xf>
    <xf numFmtId="173" fontId="24" fillId="60" borderId="1" xfId="0" applyNumberFormat="1" applyFont="1" applyFill="1" applyBorder="1" applyAlignment="1">
      <alignment horizontal="center" vertical="center" wrapText="1"/>
    </xf>
    <xf numFmtId="165" fontId="24" fillId="60" borderId="1" xfId="0" applyNumberFormat="1" applyFont="1" applyFill="1" applyBorder="1" applyAlignment="1">
      <alignment horizontal="center" vertical="center" wrapText="1"/>
    </xf>
    <xf numFmtId="166" fontId="33" fillId="65" borderId="1" xfId="0" applyNumberFormat="1" applyFont="1" applyFill="1" applyBorder="1" applyAlignment="1">
      <alignment horizontal="center" vertical="center" wrapText="1"/>
    </xf>
    <xf numFmtId="165" fontId="31" fillId="0" borderId="1" xfId="0" applyNumberFormat="1" applyFont="1" applyBorder="1" applyAlignment="1">
      <alignment horizontal="center" vertical="center" wrapText="1"/>
    </xf>
    <xf numFmtId="0" fontId="14" fillId="56" borderId="5" xfId="0" applyFont="1" applyFill="1" applyBorder="1" applyAlignment="1">
      <alignment horizontal="center" vertical="center"/>
    </xf>
    <xf numFmtId="0" fontId="59" fillId="32" borderId="5" xfId="0" applyFont="1" applyFill="1" applyBorder="1" applyAlignment="1">
      <alignment horizontal="left" vertical="center" wrapText="1"/>
    </xf>
    <xf numFmtId="166" fontId="60" fillId="32" borderId="5" xfId="0" applyNumberFormat="1" applyFont="1" applyFill="1" applyBorder="1" applyAlignment="1">
      <alignment horizontal="left" vertical="center" wrapText="1"/>
    </xf>
    <xf numFmtId="0" fontId="60" fillId="32" borderId="5" xfId="0" applyFont="1" applyFill="1" applyBorder="1" applyAlignment="1">
      <alignment horizontal="left" vertical="center" wrapText="1"/>
    </xf>
    <xf numFmtId="0" fontId="67" fillId="32" borderId="5" xfId="0" applyFont="1" applyFill="1" applyBorder="1" applyAlignment="1">
      <alignment horizontal="left" vertical="center" wrapText="1"/>
    </xf>
    <xf numFmtId="0" fontId="68" fillId="32" borderId="5" xfId="0" applyFont="1" applyFill="1" applyBorder="1" applyAlignment="1">
      <alignment horizontal="center" vertical="center" wrapText="1"/>
    </xf>
    <xf numFmtId="166" fontId="69" fillId="32" borderId="5" xfId="0" applyNumberFormat="1" applyFont="1" applyFill="1" applyBorder="1" applyAlignment="1">
      <alignment horizontal="left" vertical="center" wrapText="1"/>
    </xf>
    <xf numFmtId="0" fontId="67" fillId="32" borderId="5" xfId="0" applyFont="1" applyFill="1" applyBorder="1" applyAlignment="1">
      <alignment horizontal="center" vertical="center"/>
    </xf>
    <xf numFmtId="0" fontId="59" fillId="31" borderId="5" xfId="0" applyFont="1" applyFill="1" applyBorder="1" applyAlignment="1">
      <alignment horizontal="left" vertical="center" wrapText="1"/>
    </xf>
    <xf numFmtId="166" fontId="60" fillId="31" borderId="5" xfId="0" applyNumberFormat="1" applyFont="1" applyFill="1" applyBorder="1" applyAlignment="1">
      <alignment horizontal="left" vertical="center" wrapText="1"/>
    </xf>
    <xf numFmtId="0" fontId="60" fillId="31" borderId="5" xfId="0" applyFont="1" applyFill="1" applyBorder="1" applyAlignment="1">
      <alignment horizontal="left" vertical="center" wrapText="1"/>
    </xf>
    <xf numFmtId="0" fontId="67" fillId="31" borderId="5" xfId="0" applyFont="1" applyFill="1" applyBorder="1" applyAlignment="1">
      <alignment horizontal="left" vertical="center" wrapText="1"/>
    </xf>
    <xf numFmtId="0" fontId="68" fillId="31" borderId="5" xfId="0" applyFont="1" applyFill="1" applyBorder="1" applyAlignment="1">
      <alignment horizontal="center" vertical="center" wrapText="1"/>
    </xf>
    <xf numFmtId="166" fontId="69" fillId="31" borderId="5" xfId="0" applyNumberFormat="1" applyFont="1" applyFill="1" applyBorder="1" applyAlignment="1">
      <alignment horizontal="left" vertical="center" wrapText="1"/>
    </xf>
    <xf numFmtId="0" fontId="67" fillId="31" borderId="5" xfId="0" applyFont="1" applyFill="1" applyBorder="1" applyAlignment="1">
      <alignment horizontal="center" vertical="center"/>
    </xf>
    <xf numFmtId="0" fontId="59" fillId="34" borderId="5" xfId="0" applyFont="1" applyFill="1" applyBorder="1" applyAlignment="1">
      <alignment horizontal="left" vertical="center" wrapText="1"/>
    </xf>
    <xf numFmtId="166" fontId="60" fillId="34" borderId="5" xfId="0" applyNumberFormat="1" applyFont="1" applyFill="1" applyBorder="1" applyAlignment="1">
      <alignment horizontal="left" vertical="center" wrapText="1"/>
    </xf>
    <xf numFmtId="0" fontId="60" fillId="34" borderId="5" xfId="0" applyFont="1" applyFill="1" applyBorder="1" applyAlignment="1">
      <alignment horizontal="left" vertical="center" wrapText="1"/>
    </xf>
    <xf numFmtId="0" fontId="70" fillId="34" borderId="5" xfId="0" applyFont="1" applyFill="1" applyBorder="1" applyAlignment="1">
      <alignment horizontal="left" vertical="center" wrapText="1"/>
    </xf>
    <xf numFmtId="0" fontId="69" fillId="34" borderId="5" xfId="0" applyFont="1" applyFill="1" applyBorder="1" applyAlignment="1">
      <alignment horizontal="center" vertical="center" wrapText="1"/>
    </xf>
    <xf numFmtId="166" fontId="69" fillId="34" borderId="5" xfId="0" applyNumberFormat="1" applyFont="1" applyFill="1" applyBorder="1" applyAlignment="1">
      <alignment horizontal="left" vertical="center" wrapText="1"/>
    </xf>
    <xf numFmtId="0" fontId="70" fillId="34" borderId="5" xfId="0" applyFont="1" applyFill="1" applyBorder="1" applyAlignment="1">
      <alignment horizontal="center" vertical="center"/>
    </xf>
    <xf numFmtId="0" fontId="71" fillId="32" borderId="5" xfId="0" applyFont="1" applyFill="1" applyBorder="1" applyAlignment="1">
      <alignment horizontal="left" vertical="center" wrapText="1"/>
    </xf>
    <xf numFmtId="0" fontId="72" fillId="32" borderId="5" xfId="0" applyFont="1" applyFill="1" applyBorder="1" applyAlignment="1">
      <alignment horizontal="center" vertical="center" wrapText="1"/>
    </xf>
    <xf numFmtId="0" fontId="71" fillId="32" borderId="5" xfId="0" applyFont="1" applyFill="1" applyBorder="1" applyAlignment="1">
      <alignment horizontal="center" vertical="center"/>
    </xf>
    <xf numFmtId="0" fontId="59" fillId="33" borderId="5" xfId="0" applyFont="1" applyFill="1" applyBorder="1" applyAlignment="1">
      <alignment horizontal="left" vertical="center" wrapText="1"/>
    </xf>
    <xf numFmtId="166" fontId="60" fillId="33" borderId="5" xfId="0" applyNumberFormat="1" applyFont="1" applyFill="1" applyBorder="1" applyAlignment="1">
      <alignment horizontal="left" vertical="center" wrapText="1"/>
    </xf>
    <xf numFmtId="0" fontId="60" fillId="33" borderId="5" xfId="0" applyFont="1" applyFill="1" applyBorder="1" applyAlignment="1">
      <alignment horizontal="left" vertical="center" wrapText="1"/>
    </xf>
    <xf numFmtId="0" fontId="73" fillId="33" borderId="5" xfId="0" applyFont="1" applyFill="1" applyBorder="1" applyAlignment="1">
      <alignment horizontal="left" vertical="center" wrapText="1"/>
    </xf>
    <xf numFmtId="0" fontId="74" fillId="33" borderId="5" xfId="0" applyFont="1" applyFill="1" applyBorder="1" applyAlignment="1">
      <alignment horizontal="center" vertical="center" wrapText="1"/>
    </xf>
    <xf numFmtId="166" fontId="69" fillId="33" borderId="5" xfId="0" applyNumberFormat="1" applyFont="1" applyFill="1" applyBorder="1" applyAlignment="1">
      <alignment horizontal="left" vertical="center" wrapText="1"/>
    </xf>
    <xf numFmtId="0" fontId="73" fillId="33" borderId="5" xfId="0" applyFont="1" applyFill="1" applyBorder="1" applyAlignment="1">
      <alignment horizontal="center" vertical="center"/>
    </xf>
    <xf numFmtId="0" fontId="59" fillId="35" borderId="5" xfId="0" applyFont="1" applyFill="1" applyBorder="1" applyAlignment="1">
      <alignment horizontal="left" vertical="center" wrapText="1"/>
    </xf>
    <xf numFmtId="166" fontId="60" fillId="35" borderId="5" xfId="0" applyNumberFormat="1" applyFont="1" applyFill="1" applyBorder="1" applyAlignment="1">
      <alignment horizontal="left" vertical="center" wrapText="1"/>
    </xf>
    <xf numFmtId="0" fontId="60" fillId="35" borderId="5" xfId="0" applyFont="1" applyFill="1" applyBorder="1" applyAlignment="1">
      <alignment horizontal="left" vertical="center" wrapText="1"/>
    </xf>
    <xf numFmtId="0" fontId="75" fillId="35" borderId="5" xfId="0" applyFont="1" applyFill="1" applyBorder="1" applyAlignment="1">
      <alignment horizontal="left" vertical="center" wrapText="1"/>
    </xf>
    <xf numFmtId="0" fontId="76" fillId="35" borderId="5" xfId="0" applyFont="1" applyFill="1" applyBorder="1" applyAlignment="1">
      <alignment horizontal="center" vertical="center" wrapText="1"/>
    </xf>
    <xf numFmtId="166" fontId="69" fillId="35" borderId="5" xfId="0" applyNumberFormat="1" applyFont="1" applyFill="1" applyBorder="1" applyAlignment="1">
      <alignment horizontal="left" vertical="center" wrapText="1"/>
    </xf>
    <xf numFmtId="0" fontId="75" fillId="35" borderId="5" xfId="0" applyFont="1" applyFill="1" applyBorder="1" applyAlignment="1">
      <alignment horizontal="center" vertical="center"/>
    </xf>
    <xf numFmtId="0" fontId="14" fillId="56" borderId="0" xfId="0" applyFont="1" applyFill="1" applyAlignment="1">
      <alignment horizontal="center" vertical="center" wrapText="1"/>
    </xf>
    <xf numFmtId="171" fontId="1" fillId="57" borderId="0" xfId="0" applyNumberFormat="1" applyFont="1" applyFill="1" applyAlignment="1">
      <alignment horizontal="left" vertical="center"/>
    </xf>
    <xf numFmtId="0" fontId="25" fillId="57" borderId="0" xfId="0" applyFont="1" applyFill="1"/>
    <xf numFmtId="0" fontId="1" fillId="57" borderId="0" xfId="0" applyFont="1" applyFill="1"/>
    <xf numFmtId="166" fontId="1" fillId="57" borderId="0" xfId="0" applyNumberFormat="1" applyFont="1" applyFill="1"/>
    <xf numFmtId="165" fontId="1" fillId="57" borderId="0" xfId="0" applyNumberFormat="1" applyFont="1" applyFill="1"/>
    <xf numFmtId="0" fontId="27" fillId="63" borderId="0" xfId="0" applyFont="1" applyFill="1"/>
    <xf numFmtId="171" fontId="1" fillId="57" borderId="0" xfId="0" applyNumberFormat="1" applyFont="1" applyFill="1"/>
    <xf numFmtId="0" fontId="1" fillId="59" borderId="0" xfId="0" applyFont="1" applyFill="1"/>
    <xf numFmtId="171" fontId="1" fillId="58" borderId="0" xfId="0" applyNumberFormat="1" applyFont="1" applyFill="1"/>
    <xf numFmtId="0" fontId="25" fillId="58" borderId="0" xfId="0" applyFont="1" applyFill="1"/>
    <xf numFmtId="0" fontId="1" fillId="58" borderId="0" xfId="0" applyFont="1" applyFill="1"/>
    <xf numFmtId="166" fontId="1" fillId="58" borderId="0" xfId="0" applyNumberFormat="1" applyFont="1" applyFill="1"/>
    <xf numFmtId="165" fontId="1" fillId="58" borderId="0" xfId="0" applyNumberFormat="1" applyFont="1" applyFill="1"/>
    <xf numFmtId="0" fontId="4" fillId="58" borderId="0" xfId="0" applyFont="1" applyFill="1" applyAlignment="1">
      <alignment horizontal="left" vertical="center"/>
    </xf>
    <xf numFmtId="0" fontId="4" fillId="58" borderId="0" xfId="0" applyFont="1" applyFill="1" applyAlignment="1">
      <alignment horizontal="center" vertical="center" wrapText="1"/>
    </xf>
    <xf numFmtId="0" fontId="4" fillId="57" borderId="0" xfId="0" applyFont="1" applyFill="1" applyAlignment="1">
      <alignment horizontal="left" vertical="center"/>
    </xf>
    <xf numFmtId="0" fontId="4" fillId="57" borderId="0" xfId="0" applyFont="1" applyFill="1" applyAlignment="1">
      <alignment horizontal="center" vertical="center" wrapText="1"/>
    </xf>
    <xf numFmtId="0" fontId="9" fillId="62" borderId="0" xfId="0" applyFont="1" applyFill="1" applyAlignment="1">
      <alignment horizontal="center" vertical="center" wrapText="1"/>
    </xf>
    <xf numFmtId="0" fontId="9" fillId="58" borderId="0" xfId="0" applyFont="1" applyFill="1" applyAlignment="1">
      <alignment horizontal="center" vertical="center" wrapText="1"/>
    </xf>
    <xf numFmtId="0" fontId="13" fillId="57" borderId="0" xfId="0" applyFont="1" applyFill="1"/>
    <xf numFmtId="166" fontId="13" fillId="57" borderId="0" xfId="0" applyNumberFormat="1" applyFont="1" applyFill="1"/>
    <xf numFmtId="165" fontId="13" fillId="57" borderId="0" xfId="0" applyNumberFormat="1" applyFont="1" applyFill="1"/>
    <xf numFmtId="0" fontId="13" fillId="58" borderId="0" xfId="0" applyFont="1" applyFill="1"/>
    <xf numFmtId="166" fontId="13" fillId="58" borderId="0" xfId="0" applyNumberFormat="1" applyFont="1" applyFill="1"/>
    <xf numFmtId="165" fontId="13" fillId="58" borderId="0" xfId="0" applyNumberFormat="1" applyFont="1" applyFill="1"/>
    <xf numFmtId="0" fontId="14" fillId="43" borderId="0" xfId="0" applyFont="1" applyFill="1"/>
    <xf numFmtId="0" fontId="0" fillId="43" borderId="0" xfId="0" applyFill="1"/>
    <xf numFmtId="0" fontId="78" fillId="0" borderId="0" xfId="0" applyFont="1"/>
    <xf numFmtId="0" fontId="79" fillId="0" borderId="0" xfId="0" applyFont="1" applyAlignment="1">
      <alignment horizontal="center" vertical="center"/>
    </xf>
    <xf numFmtId="0" fontId="14" fillId="43" borderId="0" xfId="0" applyFont="1" applyFill="1" applyAlignment="1">
      <alignment horizontal="center" vertical="center" wrapText="1"/>
    </xf>
    <xf numFmtId="166" fontId="0" fillId="0" borderId="0" xfId="0" applyNumberFormat="1"/>
    <xf numFmtId="1" fontId="0" fillId="0" borderId="0" xfId="0" applyNumberFormat="1"/>
    <xf numFmtId="0" fontId="2" fillId="43" borderId="0" xfId="0" applyFont="1" applyFill="1" applyAlignment="1">
      <alignment horizontal="center" vertical="center" wrapText="1"/>
    </xf>
    <xf numFmtId="0" fontId="0" fillId="0" borderId="0" xfId="0"/>
    <xf numFmtId="0" fontId="11" fillId="0" borderId="0" xfId="0" applyFont="1" applyAlignment="1">
      <alignment horizontal="left" vertical="center"/>
    </xf>
    <xf numFmtId="0" fontId="7" fillId="46" borderId="0" xfId="0" applyFont="1" applyFill="1" applyAlignment="1">
      <alignment horizontal="center" vertical="center" wrapText="1"/>
    </xf>
    <xf numFmtId="0" fontId="10" fillId="48" borderId="0" xfId="0" applyFont="1" applyFill="1" applyAlignment="1">
      <alignment horizontal="center" vertical="center" wrapText="1"/>
    </xf>
    <xf numFmtId="0" fontId="16" fillId="53" borderId="0" xfId="0" applyFont="1" applyFill="1" applyAlignment="1">
      <alignment horizontal="left" vertical="center" wrapText="1"/>
    </xf>
    <xf numFmtId="0" fontId="22" fillId="54" borderId="0" xfId="0" applyFont="1" applyFill="1" applyAlignment="1">
      <alignment horizontal="left" vertical="center" wrapText="1"/>
    </xf>
    <xf numFmtId="0" fontId="19" fillId="43" borderId="0" xfId="0" applyFont="1" applyFill="1" applyAlignment="1">
      <alignment horizontal="center" vertical="center" wrapText="1"/>
    </xf>
    <xf numFmtId="0" fontId="22" fillId="43" borderId="0" xfId="0" applyFont="1" applyFill="1" applyAlignment="1">
      <alignment horizontal="left" vertical="center" wrapText="1"/>
    </xf>
    <xf numFmtId="0" fontId="14" fillId="46" borderId="0" xfId="0" applyFont="1" applyFill="1" applyAlignment="1">
      <alignment horizontal="left" vertical="center" wrapText="1"/>
    </xf>
    <xf numFmtId="0" fontId="14" fillId="51" borderId="0" xfId="0" applyFont="1" applyFill="1" applyAlignment="1">
      <alignment horizontal="left" vertical="center" wrapText="1"/>
    </xf>
    <xf numFmtId="0" fontId="21" fillId="45" borderId="0" xfId="0" applyFont="1" applyFill="1" applyAlignment="1">
      <alignment horizontal="center" vertical="center" wrapText="1"/>
    </xf>
    <xf numFmtId="0" fontId="14" fillId="43" borderId="0" xfId="0" applyFont="1" applyFill="1" applyAlignment="1">
      <alignment horizontal="left" vertical="center" wrapText="1"/>
    </xf>
    <xf numFmtId="0" fontId="18" fillId="43" borderId="0" xfId="0" applyFont="1" applyFill="1" applyAlignment="1">
      <alignment horizontal="center" vertical="center" wrapText="1"/>
    </xf>
    <xf numFmtId="0" fontId="14" fillId="50" borderId="0" xfId="0" applyFont="1" applyFill="1" applyAlignment="1">
      <alignment horizontal="left" vertical="center" wrapText="1"/>
    </xf>
    <xf numFmtId="0" fontId="15" fillId="45" borderId="0" xfId="0" applyFont="1" applyFill="1" applyAlignment="1">
      <alignment horizontal="left" vertical="center" wrapText="1"/>
    </xf>
    <xf numFmtId="0" fontId="22" fillId="50" borderId="0" xfId="0" applyFont="1" applyFill="1" applyAlignment="1">
      <alignment horizontal="left" vertical="center" wrapText="1"/>
    </xf>
    <xf numFmtId="0" fontId="22" fillId="55" borderId="0" xfId="0" applyFont="1" applyFill="1" applyAlignment="1">
      <alignment horizontal="left" vertical="center" wrapText="1"/>
    </xf>
    <xf numFmtId="0" fontId="20" fillId="43" borderId="0" xfId="0" applyFont="1" applyFill="1" applyAlignment="1">
      <alignment horizontal="center" vertical="center" wrapText="1"/>
    </xf>
    <xf numFmtId="0" fontId="26" fillId="9" borderId="1" xfId="0" applyFont="1" applyFill="1" applyBorder="1" applyAlignment="1">
      <alignment horizontal="left" indent="1"/>
    </xf>
    <xf numFmtId="0" fontId="0" fillId="0" borderId="4" xfId="0" applyBorder="1"/>
    <xf numFmtId="0" fontId="0" fillId="0" borderId="3" xfId="0" applyBorder="1"/>
    <xf numFmtId="164" fontId="37" fillId="3" borderId="1" xfId="0" applyNumberFormat="1" applyFont="1" applyFill="1" applyBorder="1" applyAlignment="1">
      <alignment horizontal="center" vertical="center"/>
    </xf>
    <xf numFmtId="0" fontId="34" fillId="37" borderId="0" xfId="0" applyFont="1" applyFill="1" applyAlignment="1">
      <alignment horizontal="center" vertical="center"/>
    </xf>
    <xf numFmtId="0" fontId="33" fillId="0" borderId="0" xfId="0" applyFont="1" applyAlignment="1">
      <alignment horizontal="left" vertical="center" wrapText="1" indent="1"/>
    </xf>
    <xf numFmtId="164" fontId="37" fillId="7" borderId="1" xfId="0" applyNumberFormat="1" applyFont="1" applyFill="1" applyBorder="1" applyAlignment="1">
      <alignment horizontal="center" vertical="center"/>
    </xf>
    <xf numFmtId="164" fontId="37" fillId="6" borderId="1" xfId="0" applyNumberFormat="1" applyFont="1" applyFill="1" applyBorder="1" applyAlignment="1">
      <alignment horizontal="center" vertical="center"/>
    </xf>
    <xf numFmtId="164" fontId="37" fillId="2" borderId="1" xfId="0" applyNumberFormat="1" applyFont="1" applyFill="1" applyBorder="1" applyAlignment="1">
      <alignment horizontal="center" vertical="center"/>
    </xf>
    <xf numFmtId="0" fontId="36" fillId="3" borderId="1" xfId="0" applyFont="1" applyFill="1" applyBorder="1" applyAlignment="1">
      <alignment horizontal="center" vertical="center"/>
    </xf>
    <xf numFmtId="0" fontId="36" fillId="7" borderId="1" xfId="0" applyFont="1" applyFill="1" applyBorder="1" applyAlignment="1">
      <alignment horizontal="center" vertical="center"/>
    </xf>
    <xf numFmtId="0" fontId="28" fillId="8" borderId="0" xfId="0" applyFont="1" applyFill="1" applyAlignment="1">
      <alignment horizontal="left" vertical="center" indent="1"/>
    </xf>
    <xf numFmtId="164" fontId="39" fillId="0" borderId="1" xfId="0" applyNumberFormat="1" applyFont="1" applyBorder="1" applyAlignment="1">
      <alignment horizontal="center" vertical="center" wrapText="1"/>
    </xf>
    <xf numFmtId="0" fontId="35" fillId="0" borderId="0" xfId="0" applyFont="1" applyAlignment="1">
      <alignment horizontal="left" vertical="center" indent="1"/>
    </xf>
    <xf numFmtId="165" fontId="37" fillId="3" borderId="1" xfId="0" applyNumberFormat="1" applyFont="1" applyFill="1" applyBorder="1" applyAlignment="1">
      <alignment horizontal="center" vertical="center"/>
    </xf>
    <xf numFmtId="166" fontId="37" fillId="3" borderId="1" xfId="0" applyNumberFormat="1" applyFont="1" applyFill="1" applyBorder="1" applyAlignment="1">
      <alignment horizontal="center" vertical="center"/>
    </xf>
    <xf numFmtId="1" fontId="37" fillId="7" borderId="1" xfId="0" applyNumberFormat="1" applyFont="1" applyFill="1" applyBorder="1" applyAlignment="1">
      <alignment horizontal="center" vertical="center"/>
    </xf>
    <xf numFmtId="164" fontId="38" fillId="4" borderId="1" xfId="0" applyNumberFormat="1" applyFont="1" applyFill="1" applyBorder="1" applyAlignment="1">
      <alignment horizontal="center" vertical="center" wrapText="1"/>
    </xf>
    <xf numFmtId="0" fontId="28" fillId="5" borderId="0" xfId="0" applyFont="1" applyFill="1" applyAlignment="1">
      <alignment horizontal="left" vertical="center" indent="1"/>
    </xf>
    <xf numFmtId="0" fontId="36" fillId="6" borderId="1" xfId="0" applyFont="1" applyFill="1" applyBorder="1" applyAlignment="1">
      <alignment horizontal="center" vertical="center"/>
    </xf>
    <xf numFmtId="165" fontId="39" fillId="0" borderId="1" xfId="0" applyNumberFormat="1" applyFont="1" applyBorder="1" applyAlignment="1">
      <alignment horizontal="center" vertical="center" wrapText="1"/>
    </xf>
    <xf numFmtId="0" fontId="36" fillId="2" borderId="1" xfId="0" applyFont="1" applyFill="1" applyBorder="1" applyAlignment="1">
      <alignment horizontal="center" vertical="center"/>
    </xf>
    <xf numFmtId="0" fontId="14" fillId="56" borderId="0" xfId="0" applyFont="1" applyFill="1" applyAlignment="1">
      <alignment horizontal="center" vertical="center"/>
    </xf>
    <xf numFmtId="0" fontId="28" fillId="38" borderId="0" xfId="0" applyFont="1" applyFill="1" applyAlignment="1">
      <alignment horizontal="left" vertical="center" indent="1"/>
    </xf>
    <xf numFmtId="0" fontId="33" fillId="0" borderId="1" xfId="0" applyFont="1" applyBorder="1"/>
    <xf numFmtId="0" fontId="28" fillId="12" borderId="0" xfId="0" applyFont="1" applyFill="1" applyAlignment="1">
      <alignment horizontal="left" vertical="center" indent="1"/>
    </xf>
    <xf numFmtId="0" fontId="33" fillId="0" borderId="1" xfId="0" applyFont="1" applyBorder="1" applyAlignment="1">
      <alignment vertical="top" wrapText="1" indent="1"/>
    </xf>
    <xf numFmtId="0" fontId="46" fillId="5" borderId="1" xfId="0" applyFont="1" applyFill="1" applyBorder="1" applyAlignment="1">
      <alignment horizontal="center"/>
    </xf>
    <xf numFmtId="0" fontId="45" fillId="0" borderId="0" xfId="0" applyFont="1"/>
    <xf numFmtId="0" fontId="40" fillId="13" borderId="1" xfId="0" applyFont="1" applyFill="1" applyBorder="1" applyAlignment="1">
      <alignment horizontal="left" wrapText="1" indent="1"/>
    </xf>
    <xf numFmtId="0" fontId="26" fillId="0" borderId="1" xfId="0" applyFont="1" applyBorder="1"/>
    <xf numFmtId="0" fontId="51" fillId="0" borderId="0" xfId="0" applyFont="1" applyAlignment="1">
      <alignment indent="1"/>
    </xf>
    <xf numFmtId="0" fontId="33" fillId="0" borderId="2" xfId="0" applyFont="1" applyBorder="1" applyAlignment="1">
      <alignment indent="1"/>
    </xf>
    <xf numFmtId="166" fontId="33" fillId="0" borderId="1" xfId="0" applyNumberFormat="1" applyFont="1" applyBorder="1" applyAlignment="1">
      <alignment horizontal="right"/>
    </xf>
    <xf numFmtId="0" fontId="45" fillId="0" borderId="0" xfId="0" applyFont="1" applyAlignment="1">
      <alignment horizontal="left" indent="1"/>
    </xf>
    <xf numFmtId="0" fontId="46" fillId="5" borderId="1" xfId="0" applyFont="1" applyFill="1" applyBorder="1" applyAlignment="1">
      <alignment horizontal="center" vertical="center" wrapText="1"/>
    </xf>
    <xf numFmtId="0" fontId="40" fillId="0" borderId="2" xfId="0" applyFont="1" applyBorder="1" applyAlignment="1">
      <alignment horizontal="center"/>
    </xf>
    <xf numFmtId="0" fontId="26" fillId="0" borderId="2" xfId="0" applyFont="1" applyBorder="1" applyAlignment="1">
      <alignment horizontal="center"/>
    </xf>
    <xf numFmtId="0" fontId="47" fillId="13" borderId="2" xfId="0" applyFont="1" applyFill="1" applyBorder="1" applyAlignment="1">
      <alignment horizontal="left" vertical="center" wrapText="1" indent="1"/>
    </xf>
    <xf numFmtId="0" fontId="33" fillId="0" borderId="0" xfId="0" applyFont="1" applyAlignment="1">
      <alignment vertical="top" wrapText="1" indent="1"/>
    </xf>
    <xf numFmtId="1" fontId="33" fillId="0" borderId="1" xfId="0" applyNumberFormat="1" applyFont="1" applyBorder="1" applyAlignment="1">
      <alignment horizontal="right"/>
    </xf>
    <xf numFmtId="0" fontId="33" fillId="0" borderId="2" xfId="0" applyFont="1" applyBorder="1" applyAlignment="1">
      <alignment vertical="center" indent="1"/>
    </xf>
    <xf numFmtId="0" fontId="33" fillId="0" borderId="0" xfId="0" applyFont="1"/>
    <xf numFmtId="0" fontId="50" fillId="12" borderId="0" xfId="0" applyFont="1" applyFill="1" applyAlignment="1">
      <alignment horizontal="left" vertical="center" indent="1"/>
    </xf>
    <xf numFmtId="0" fontId="40" fillId="13" borderId="2" xfId="0" applyFont="1" applyFill="1" applyBorder="1" applyAlignment="1">
      <alignment horizontal="left" vertical="center" wrapText="1" indent="1"/>
    </xf>
    <xf numFmtId="0" fontId="40" fillId="15" borderId="2" xfId="0" applyFont="1" applyFill="1" applyBorder="1" applyAlignment="1">
      <alignment horizontal="left" vertical="center" wrapText="1" indent="1"/>
    </xf>
    <xf numFmtId="165" fontId="33" fillId="0" borderId="1" xfId="0" applyNumberFormat="1" applyFont="1" applyBorder="1" applyAlignment="1">
      <alignment horizontal="right"/>
    </xf>
    <xf numFmtId="0" fontId="48" fillId="14" borderId="2" xfId="0" applyFont="1" applyFill="1" applyBorder="1" applyAlignment="1">
      <alignment horizontal="left" vertical="center" wrapText="1" indent="1"/>
    </xf>
    <xf numFmtId="0" fontId="54" fillId="0" borderId="0" xfId="0" applyFont="1" applyAlignment="1">
      <alignment horizontal="left" vertical="top" wrapText="1" indent="1"/>
    </xf>
    <xf numFmtId="0" fontId="39" fillId="2" borderId="0" xfId="0" applyFont="1" applyFill="1" applyAlignment="1">
      <alignment horizontal="left" vertical="center" indent="1"/>
    </xf>
    <xf numFmtId="0" fontId="33" fillId="0" borderId="0" xfId="0" applyFont="1" applyAlignment="1">
      <alignment horizontal="left" vertical="top" wrapText="1" indent="1"/>
    </xf>
    <xf numFmtId="0" fontId="55" fillId="7" borderId="0" xfId="0" applyFont="1" applyFill="1" applyAlignment="1">
      <alignment horizontal="left" vertical="center" indent="1"/>
    </xf>
    <xf numFmtId="0" fontId="30" fillId="2" borderId="0" xfId="0" applyFont="1" applyFill="1"/>
    <xf numFmtId="0" fontId="58" fillId="0" borderId="0" xfId="0" applyFont="1"/>
    <xf numFmtId="0" fontId="56" fillId="0" borderId="0" xfId="0" applyFont="1"/>
    <xf numFmtId="171" fontId="61" fillId="42" borderId="10" xfId="0" applyNumberFormat="1" applyFont="1" applyFill="1" applyBorder="1" applyAlignment="1">
      <alignment horizontal="left" vertical="center" wrapText="1"/>
    </xf>
    <xf numFmtId="0" fontId="0" fillId="0" borderId="11" xfId="0" applyBorder="1"/>
    <xf numFmtId="0" fontId="0" fillId="0" borderId="12" xfId="0" applyBorder="1"/>
    <xf numFmtId="0" fontId="79" fillId="0" borderId="0" xfId="0" applyFont="1" applyAlignment="1">
      <alignment horizontal="center" vertical="center"/>
    </xf>
    <xf numFmtId="0" fontId="33" fillId="0" borderId="0" xfId="0" applyFont="1" applyAlignment="1">
      <alignment horizontal="left" vertical="center"/>
    </xf>
    <xf numFmtId="0" fontId="33" fillId="0" borderId="0" xfId="0" applyFont="1" applyAlignment="1">
      <alignment horizontal="left" vertical="center" wrapText="1"/>
    </xf>
    <xf numFmtId="0" fontId="39" fillId="2" borderId="1" xfId="0" applyFont="1" applyFill="1" applyBorder="1" applyAlignment="1">
      <alignment horizontal="center" vertical="center" wrapText="1"/>
    </xf>
    <xf numFmtId="0" fontId="26" fillId="9" borderId="1" xfId="0" applyFont="1" applyFill="1" applyBorder="1" applyAlignment="1">
      <alignment horizontal="left" vertical="center" wrapText="1" indent="1"/>
    </xf>
    <xf numFmtId="0" fontId="64" fillId="17" borderId="1" xfId="0" applyFont="1" applyFill="1" applyBorder="1" applyAlignment="1">
      <alignment horizontal="left" vertical="center" wrapText="1" indent="1"/>
    </xf>
    <xf numFmtId="0" fontId="44" fillId="2" borderId="0" xfId="0" applyFont="1" applyFill="1" applyAlignment="1">
      <alignment horizontal="left" vertical="center" indent="1"/>
    </xf>
    <xf numFmtId="0" fontId="14" fillId="56" borderId="0" xfId="0" applyFont="1" applyFill="1" applyAlignment="1">
      <alignment horizontal="left" vertical="center" indent="1"/>
    </xf>
    <xf numFmtId="0" fontId="26" fillId="0" borderId="0" xfId="0" applyFont="1" applyAlignment="1">
      <alignment horizontal="left" vertical="center" wrapText="1" indent="1"/>
    </xf>
    <xf numFmtId="0" fontId="45" fillId="0" borderId="0" xfId="0" applyFont="1" applyAlignment="1">
      <alignment horizontal="left" vertical="center" wrapText="1" indent="1"/>
    </xf>
    <xf numFmtId="0" fontId="57" fillId="5" borderId="1" xfId="0" applyFont="1" applyFill="1" applyBorder="1" applyAlignment="1">
      <alignment horizontal="center" vertical="center" wrapText="1"/>
    </xf>
    <xf numFmtId="0" fontId="65" fillId="2" borderId="0" xfId="0" applyFont="1" applyFill="1" applyAlignment="1">
      <alignment horizontal="left" vertical="center" wrapText="1" indent="1"/>
    </xf>
    <xf numFmtId="0" fontId="52" fillId="57" borderId="0" xfId="0" applyFont="1" applyFill="1" applyAlignment="1">
      <alignment horizontal="left" vertical="center" wrapText="1"/>
    </xf>
    <xf numFmtId="0" fontId="24" fillId="60" borderId="0" xfId="0" applyFont="1" applyFill="1" applyAlignment="1">
      <alignment horizontal="left" vertical="center" wrapText="1"/>
    </xf>
    <xf numFmtId="0" fontId="77" fillId="31" borderId="5" xfId="0" applyFont="1" applyFill="1" applyBorder="1" applyAlignment="1">
      <alignment horizontal="left" vertical="center" wrapText="1"/>
    </xf>
    <xf numFmtId="0" fontId="0" fillId="0" borderId="6" xfId="0" applyBorder="1"/>
    <xf numFmtId="0" fontId="0" fillId="0" borderId="7" xfId="0" applyBorder="1"/>
    <xf numFmtId="0" fontId="66" fillId="0" borderId="0" xfId="0" applyFont="1" applyAlignment="1">
      <alignment horizontal="center" vertical="center"/>
    </xf>
    <xf numFmtId="0" fontId="60" fillId="33" borderId="5" xfId="0" applyFont="1" applyFill="1" applyBorder="1" applyAlignment="1">
      <alignment horizontal="left" vertical="center" wrapText="1"/>
    </xf>
    <xf numFmtId="0" fontId="77" fillId="32" borderId="5" xfId="0" applyFont="1" applyFill="1" applyBorder="1" applyAlignment="1">
      <alignment horizontal="left" vertical="center" wrapText="1"/>
    </xf>
    <xf numFmtId="0" fontId="59" fillId="34" borderId="5" xfId="0" applyFont="1" applyFill="1" applyBorder="1" applyAlignment="1">
      <alignment horizontal="center" vertical="center" wrapText="1"/>
    </xf>
    <xf numFmtId="0" fontId="59" fillId="31" borderId="0" xfId="0" applyFont="1" applyFill="1" applyAlignment="1">
      <alignment horizontal="center" vertical="center"/>
    </xf>
    <xf numFmtId="0" fontId="59" fillId="34" borderId="0" xfId="0" applyFont="1" applyFill="1" applyAlignment="1">
      <alignment horizontal="center" vertical="center"/>
    </xf>
    <xf numFmtId="0" fontId="59" fillId="35" borderId="0" xfId="0" applyFont="1" applyFill="1" applyAlignment="1">
      <alignment horizontal="center" vertical="center"/>
    </xf>
    <xf numFmtId="0" fontId="59" fillId="35" borderId="5" xfId="0" applyFont="1" applyFill="1" applyBorder="1" applyAlignment="1">
      <alignment horizontal="center" vertical="center" wrapText="1"/>
    </xf>
    <xf numFmtId="0" fontId="60" fillId="35" borderId="5" xfId="0" applyFont="1" applyFill="1" applyBorder="1" applyAlignment="1">
      <alignment horizontal="left" vertical="center" wrapText="1"/>
    </xf>
    <xf numFmtId="0" fontId="77" fillId="34" borderId="5" xfId="0" applyFont="1" applyFill="1" applyBorder="1" applyAlignment="1">
      <alignment horizontal="left" vertical="center" wrapText="1"/>
    </xf>
    <xf numFmtId="0" fontId="77" fillId="35" borderId="5" xfId="0" applyFont="1" applyFill="1" applyBorder="1" applyAlignment="1">
      <alignment horizontal="left" vertical="center" wrapText="1"/>
    </xf>
    <xf numFmtId="0" fontId="46" fillId="30" borderId="0" xfId="0" applyFont="1" applyFill="1" applyAlignment="1">
      <alignment horizontal="center" vertical="center"/>
    </xf>
    <xf numFmtId="0" fontId="59" fillId="31" borderId="5" xfId="0" applyFont="1" applyFill="1" applyBorder="1" applyAlignment="1">
      <alignment horizontal="center" vertical="center" wrapText="1"/>
    </xf>
    <xf numFmtId="0" fontId="60" fillId="31" borderId="5" xfId="0" applyFont="1" applyFill="1" applyBorder="1" applyAlignment="1">
      <alignment horizontal="left" vertical="center" wrapText="1"/>
    </xf>
    <xf numFmtId="0" fontId="77" fillId="33" borderId="5" xfId="0" applyFont="1" applyFill="1" applyBorder="1" applyAlignment="1">
      <alignment horizontal="left" vertical="center" wrapText="1"/>
    </xf>
    <xf numFmtId="0" fontId="59" fillId="33" borderId="5" xfId="0" applyFont="1" applyFill="1" applyBorder="1" applyAlignment="1">
      <alignment horizontal="center" vertical="center" wrapText="1"/>
    </xf>
    <xf numFmtId="0" fontId="59" fillId="32" borderId="5" xfId="0" applyFont="1" applyFill="1" applyBorder="1" applyAlignment="1">
      <alignment horizontal="center" vertical="center" wrapText="1"/>
    </xf>
    <xf numFmtId="0" fontId="60" fillId="32" borderId="5" xfId="0" applyFont="1" applyFill="1" applyBorder="1" applyAlignment="1">
      <alignment horizontal="left" vertical="center" wrapText="1"/>
    </xf>
    <xf numFmtId="0" fontId="59" fillId="32" borderId="0" xfId="0" applyFont="1" applyFill="1" applyAlignment="1">
      <alignment horizontal="center" vertical="center"/>
    </xf>
    <xf numFmtId="0" fontId="60" fillId="34" borderId="5" xfId="0" applyFont="1" applyFill="1" applyBorder="1" applyAlignment="1">
      <alignment horizontal="left" vertical="center" wrapText="1"/>
    </xf>
    <xf numFmtId="0" fontId="59" fillId="33" borderId="0" xfId="0" applyFont="1" applyFill="1" applyAlignment="1">
      <alignment horizontal="center" vertical="center"/>
    </xf>
    <xf numFmtId="0" fontId="59" fillId="36" borderId="0" xfId="0" applyFont="1" applyFill="1" applyAlignment="1">
      <alignment horizontal="center" vertical="center"/>
    </xf>
    <xf numFmtId="0" fontId="6" fillId="0" borderId="0" xfId="0" applyFont="1" applyAlignment="1">
      <alignment horizontal="left" vertical="center"/>
    </xf>
    <xf numFmtId="0" fontId="3" fillId="46" borderId="0" xfId="0" applyFont="1" applyFill="1" applyAlignment="1">
      <alignment horizontal="center" vertical="center" wrapText="1"/>
    </xf>
    <xf numFmtId="0" fontId="14" fillId="56" borderId="0" xfId="0" applyFont="1" applyFill="1" applyAlignment="1">
      <alignment horizontal="center" vertical="center" wrapText="1"/>
    </xf>
    <xf numFmtId="0" fontId="12" fillId="0" borderId="0" xfId="0" applyFont="1" applyAlignment="1">
      <alignment horizontal="left" vertical="center"/>
    </xf>
  </cellXfs>
  <cellStyles count="1">
    <cellStyle name="Normal" xfId="0" builtinId="0"/>
  </cellStyles>
  <dxfs count="27">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C6EFCE"/>
          <bgColor rgb="FFC6EFCE"/>
        </patternFill>
      </fill>
    </dxf>
    <dxf>
      <fill>
        <patternFill patternType="solid">
          <fgColor rgb="FFFFEB9C"/>
          <bgColor rgb="FFFFEB9C"/>
        </patternFill>
      </fill>
    </dxf>
    <dxf>
      <fill>
        <patternFill patternType="solid">
          <fgColor rgb="FFFDBCB4"/>
          <bgColor rgb="FFFDBCB4"/>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DBCB4"/>
          <bgColor rgb="FFFDBCB4"/>
        </patternFill>
      </fill>
    </dxf>
    <dxf>
      <font>
        <sz val="10"/>
        <color rgb="FF9C0006"/>
        <name val="Arial"/>
      </font>
      <fill>
        <patternFill patternType="solid">
          <fgColor rgb="FFFFC7CE"/>
          <bgColor rgb="FFFFC7CE"/>
        </patternFill>
      </fill>
    </dxf>
    <dxf>
      <fill>
        <patternFill patternType="solid">
          <fgColor rgb="FFC6EFCE"/>
          <bgColor rgb="FFC6EFCE"/>
        </patternFill>
      </fill>
    </dxf>
    <dxf>
      <font>
        <sz val="10"/>
        <color rgb="FF9C0006"/>
        <name val="Arial"/>
      </font>
      <fill>
        <patternFill patternType="solid">
          <fgColor rgb="FFFFC7CE"/>
          <bgColor rgb="FFFFC7CE"/>
        </patternFill>
      </fill>
    </dxf>
    <dxf>
      <font>
        <sz val="10"/>
        <color rgb="FF9C6500"/>
        <name val="Arial"/>
      </font>
      <fill>
        <patternFill patternType="solid">
          <fgColor rgb="FFFFEB9C"/>
          <bgColor rgb="FFFFEB9C"/>
        </patternFill>
      </fill>
    </dxf>
    <dxf>
      <font>
        <sz val="10"/>
        <color rgb="FF276221"/>
        <name val="Arial"/>
      </font>
      <fill>
        <patternFill patternType="solid">
          <fgColor rgb="FFC6EFCE"/>
          <bgColor rgb="FFC6EFCE"/>
        </patternFill>
      </fill>
    </dxf>
    <dxf>
      <fill>
        <patternFill>
          <bgColor rgb="FFEAF3EA"/>
        </patternFill>
      </fill>
    </dxf>
    <dxf>
      <fill>
        <patternFill>
          <bgColor rgb="FFF5E8E8"/>
        </patternFill>
      </fill>
    </dxf>
    <dxf>
      <fill>
        <patternFill>
          <bgColor rgb="FFD4EDDA"/>
        </patternFill>
      </fill>
    </dxf>
    <dxf>
      <fill>
        <patternFill>
          <bgColor rgb="FFF8D7DA"/>
        </patternFill>
      </fill>
    </dxf>
    <dxf>
      <font>
        <sz val="10"/>
        <color rgb="FF9C0006"/>
        <name val="Arial"/>
      </font>
      <fill>
        <patternFill patternType="solid">
          <fgColor rgb="FFFFC7CE"/>
          <bgColor rgb="FFFFC7CE"/>
        </patternFill>
      </fill>
    </dxf>
    <dxf>
      <font>
        <sz val="10"/>
        <color rgb="FF9C6500"/>
        <name val="Arial"/>
      </font>
      <fill>
        <patternFill patternType="solid">
          <fgColor rgb="FFFFEB9C"/>
          <bgColor rgb="FFFFEB9C"/>
        </patternFill>
      </fill>
    </dxf>
    <dxf>
      <font>
        <sz val="10"/>
        <color rgb="FF276221"/>
        <name val="Arial"/>
      </font>
      <fill>
        <patternFill patternType="solid">
          <fgColor rgb="FFC6EFCE"/>
          <bgColor rgb="FFC6EFCE"/>
        </patternFill>
      </fill>
    </dxf>
    <dxf>
      <fill>
        <patternFill>
          <bgColor rgb="FFEAF3EA"/>
        </patternFill>
      </fill>
    </dxf>
    <dxf>
      <fill>
        <patternFill>
          <bgColor rgb="FFF5E8E8"/>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56404"/>
      <rgbColor rgb="FF800080"/>
      <rgbColor rgb="FF1F6E3A"/>
      <rgbColor rgb="FFBFBFBF"/>
      <rgbColor rgb="FF7F6000"/>
      <rgbColor rgb="FF9999FF"/>
      <rgbColor rgb="FF993366"/>
      <rgbColor rgb="FFFFF3CD"/>
      <rgbColor rgb="FFD6E7F5"/>
      <rgbColor rgb="FF660066"/>
      <rgbColor rgb="FFFF8080"/>
      <rgbColor rgb="FF0D47A1"/>
      <rgbColor rgb="FFF8D7DA"/>
      <rgbColor rgb="FF000080"/>
      <rgbColor rgb="FFFF00FF"/>
      <rgbColor rgb="FFF7F5F0"/>
      <rgbColor rgb="FF00FFFF"/>
      <rgbColor rgb="FF800080"/>
      <rgbColor rgb="FF800000"/>
      <rgbColor rgb="FF008080"/>
      <rgbColor rgb="FF0000FF"/>
      <rgbColor rgb="FF00CCFF"/>
      <rgbColor rgb="FFEAF3EA"/>
      <rgbColor rgb="FFD4EDDA"/>
      <rgbColor rgb="FFFFF2CC"/>
      <rgbColor rgb="FFE8EEF5"/>
      <rgbColor rgb="FFF5E8E8"/>
      <rgbColor rgb="FFF4EADA"/>
      <rgbColor rgb="FFEADFB9"/>
      <rgbColor rgb="FF3366FF"/>
      <rgbColor rgb="FF33CCCC"/>
      <rgbColor rgb="FF99CC00"/>
      <rgbColor rgb="FFFFCC00"/>
      <rgbColor rgb="FFC89B3C"/>
      <rgbColor rgb="FFFF6600"/>
      <rgbColor rgb="FF555555"/>
      <rgbColor rgb="FF969696"/>
      <rgbColor rgb="FF0E2A47"/>
      <rgbColor rgb="FF339966"/>
      <rgbColor rgb="FF155724"/>
      <rgbColor rgb="FF333300"/>
      <rgbColor rgb="FFB85C00"/>
      <rgbColor rgb="FF993366"/>
      <rgbColor rgb="FF1B3E6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
  <sheetViews>
    <sheetView showGridLines="0" topLeftCell="A12" zoomScaleNormal="100" workbookViewId="0"/>
  </sheetViews>
  <sheetFormatPr baseColWidth="10" defaultColWidth="8.6640625" defaultRowHeight="15" x14ac:dyDescent="0.2"/>
  <cols>
    <col min="1" max="1" width="3" customWidth="1"/>
    <col min="2" max="2" width="30" customWidth="1"/>
    <col min="3" max="3" width="48" customWidth="1"/>
    <col min="4" max="4" width="24" customWidth="1"/>
    <col min="5" max="5" width="3" customWidth="1"/>
  </cols>
  <sheetData>
    <row r="1" spans="1:4" ht="48" customHeight="1" x14ac:dyDescent="0.2">
      <c r="A1" s="35"/>
      <c r="B1" s="401" t="s">
        <v>17</v>
      </c>
      <c r="C1" s="395"/>
      <c r="D1" s="395"/>
    </row>
    <row r="2" spans="1:4" ht="22" customHeight="1" x14ac:dyDescent="0.2">
      <c r="A2" s="35"/>
      <c r="B2" s="412" t="s">
        <v>18</v>
      </c>
      <c r="C2" s="395"/>
      <c r="D2" s="395"/>
    </row>
    <row r="3" spans="1:4" ht="8" customHeight="1" x14ac:dyDescent="0.2">
      <c r="A3" s="35"/>
      <c r="B3" s="35"/>
      <c r="C3" s="35"/>
      <c r="D3" s="35"/>
    </row>
    <row r="4" spans="1:4" ht="22" customHeight="1" x14ac:dyDescent="0.2">
      <c r="A4" s="35"/>
      <c r="B4" s="408" t="s">
        <v>19</v>
      </c>
      <c r="C4" s="395"/>
      <c r="D4" s="395"/>
    </row>
    <row r="5" spans="1:4" ht="30" customHeight="1" x14ac:dyDescent="0.2">
      <c r="A5" s="35"/>
      <c r="B5" s="399" t="s">
        <v>20</v>
      </c>
      <c r="C5" s="395"/>
      <c r="D5" s="395"/>
    </row>
    <row r="6" spans="1:4" ht="30" customHeight="1" x14ac:dyDescent="0.2">
      <c r="A6" s="35"/>
      <c r="B6" s="399" t="s">
        <v>21</v>
      </c>
      <c r="C6" s="395"/>
      <c r="D6" s="395"/>
    </row>
    <row r="7" spans="1:4" ht="30" customHeight="1" x14ac:dyDescent="0.2">
      <c r="A7" s="35"/>
      <c r="B7" s="399" t="s">
        <v>22</v>
      </c>
      <c r="C7" s="395"/>
      <c r="D7" s="395"/>
    </row>
    <row r="8" spans="1:4" ht="10" customHeight="1" x14ac:dyDescent="0.2">
      <c r="A8" s="35"/>
      <c r="B8" s="35"/>
      <c r="C8" s="35"/>
      <c r="D8" s="35"/>
    </row>
    <row r="9" spans="1:4" ht="22" customHeight="1" x14ac:dyDescent="0.2">
      <c r="A9" s="35"/>
      <c r="B9" s="403" t="s">
        <v>23</v>
      </c>
      <c r="C9" s="395"/>
      <c r="D9" s="395"/>
    </row>
    <row r="10" spans="1:4" ht="20" customHeight="1" x14ac:dyDescent="0.2">
      <c r="A10" s="35"/>
      <c r="B10" s="31" t="s">
        <v>24</v>
      </c>
      <c r="C10" s="30" t="s">
        <v>25</v>
      </c>
      <c r="D10" s="36"/>
    </row>
    <row r="11" spans="1:4" ht="20" customHeight="1" x14ac:dyDescent="0.2">
      <c r="A11" s="35"/>
      <c r="B11" s="31" t="s">
        <v>26</v>
      </c>
      <c r="C11" s="30" t="s">
        <v>27</v>
      </c>
      <c r="D11" s="36"/>
    </row>
    <row r="12" spans="1:4" ht="20" customHeight="1" x14ac:dyDescent="0.2">
      <c r="A12" s="35"/>
      <c r="B12" s="409" t="s">
        <v>28</v>
      </c>
      <c r="C12" s="395"/>
      <c r="D12" s="395"/>
    </row>
    <row r="13" spans="1:4" ht="20" customHeight="1" x14ac:dyDescent="0.2">
      <c r="A13" s="35"/>
      <c r="B13" s="31" t="s">
        <v>29</v>
      </c>
      <c r="C13" s="30" t="s">
        <v>30</v>
      </c>
      <c r="D13" s="36"/>
    </row>
    <row r="14" spans="1:4" ht="10" customHeight="1" x14ac:dyDescent="0.2">
      <c r="A14" s="35"/>
      <c r="B14" s="35"/>
      <c r="C14" s="35"/>
      <c r="D14" s="35"/>
    </row>
    <row r="15" spans="1:4" ht="22" customHeight="1" x14ac:dyDescent="0.2">
      <c r="A15" s="35"/>
      <c r="B15" s="403" t="s">
        <v>31</v>
      </c>
      <c r="C15" s="395"/>
      <c r="D15" s="395"/>
    </row>
    <row r="16" spans="1:4" ht="20" customHeight="1" x14ac:dyDescent="0.2">
      <c r="A16" s="35"/>
      <c r="B16" s="31" t="s">
        <v>32</v>
      </c>
      <c r="C16" s="30" t="s">
        <v>33</v>
      </c>
      <c r="D16" s="36"/>
    </row>
    <row r="17" spans="1:4" ht="20" customHeight="1" x14ac:dyDescent="0.2">
      <c r="A17" s="35"/>
      <c r="B17" s="31" t="s">
        <v>34</v>
      </c>
      <c r="C17" s="30" t="s">
        <v>35</v>
      </c>
      <c r="D17" s="36"/>
    </row>
    <row r="18" spans="1:4" ht="20" customHeight="1" x14ac:dyDescent="0.2">
      <c r="A18" s="35"/>
      <c r="B18" s="409" t="s">
        <v>36</v>
      </c>
      <c r="C18" s="395"/>
      <c r="D18" s="395"/>
    </row>
    <row r="19" spans="1:4" ht="20" customHeight="1" x14ac:dyDescent="0.2">
      <c r="A19" s="35"/>
      <c r="B19" s="31" t="s">
        <v>37</v>
      </c>
      <c r="C19" s="30" t="s">
        <v>38</v>
      </c>
      <c r="D19" s="36"/>
    </row>
    <row r="20" spans="1:4" ht="10" customHeight="1" x14ac:dyDescent="0.2">
      <c r="A20" s="35"/>
      <c r="B20" s="35"/>
      <c r="C20" s="35"/>
      <c r="D20" s="35"/>
    </row>
    <row r="21" spans="1:4" ht="22" customHeight="1" x14ac:dyDescent="0.2">
      <c r="A21" s="35"/>
      <c r="B21" s="403" t="s">
        <v>39</v>
      </c>
      <c r="C21" s="395"/>
      <c r="D21" s="395"/>
    </row>
    <row r="22" spans="1:4" ht="20" customHeight="1" x14ac:dyDescent="0.2">
      <c r="A22" s="35"/>
      <c r="B22" s="31" t="s">
        <v>40</v>
      </c>
      <c r="C22" s="30" t="s">
        <v>41</v>
      </c>
      <c r="D22" s="36"/>
    </row>
    <row r="23" spans="1:4" ht="20" customHeight="1" x14ac:dyDescent="0.2">
      <c r="A23" s="35"/>
      <c r="B23" s="31" t="s">
        <v>42</v>
      </c>
      <c r="C23" s="30" t="s">
        <v>43</v>
      </c>
      <c r="D23" s="36"/>
    </row>
    <row r="24" spans="1:4" ht="20" customHeight="1" x14ac:dyDescent="0.2">
      <c r="A24" s="35"/>
      <c r="B24" s="31" t="s">
        <v>44</v>
      </c>
      <c r="C24" s="30" t="s">
        <v>45</v>
      </c>
      <c r="D24" s="36"/>
    </row>
    <row r="25" spans="1:4" ht="20" customHeight="1" x14ac:dyDescent="0.2">
      <c r="A25" s="35"/>
      <c r="B25" s="409" t="s">
        <v>46</v>
      </c>
      <c r="C25" s="395"/>
      <c r="D25" s="395"/>
    </row>
    <row r="26" spans="1:4" ht="10" customHeight="1" x14ac:dyDescent="0.2">
      <c r="A26" s="35"/>
      <c r="B26" s="35"/>
      <c r="C26" s="35"/>
      <c r="D26" s="35"/>
    </row>
    <row r="27" spans="1:4" ht="22" customHeight="1" x14ac:dyDescent="0.2">
      <c r="A27" s="35"/>
      <c r="B27" s="403" t="s">
        <v>47</v>
      </c>
      <c r="C27" s="395"/>
      <c r="D27" s="395"/>
    </row>
    <row r="28" spans="1:4" ht="20" customHeight="1" x14ac:dyDescent="0.2">
      <c r="A28" s="35"/>
      <c r="B28" s="31" t="s">
        <v>48</v>
      </c>
      <c r="C28" s="30" t="s">
        <v>49</v>
      </c>
      <c r="D28" s="36"/>
    </row>
    <row r="29" spans="1:4" ht="20" customHeight="1" x14ac:dyDescent="0.2">
      <c r="A29" s="35"/>
      <c r="B29" s="31" t="s">
        <v>50</v>
      </c>
      <c r="C29" s="30" t="s">
        <v>51</v>
      </c>
      <c r="D29" s="36"/>
    </row>
    <row r="30" spans="1:4" ht="20" customHeight="1" x14ac:dyDescent="0.2">
      <c r="A30" s="35"/>
      <c r="B30" s="31" t="s">
        <v>52</v>
      </c>
      <c r="C30" s="30" t="s">
        <v>53</v>
      </c>
      <c r="D30" s="36"/>
    </row>
    <row r="31" spans="1:4" ht="20" customHeight="1" x14ac:dyDescent="0.2">
      <c r="A31" s="35"/>
      <c r="B31" s="409" t="s">
        <v>54</v>
      </c>
      <c r="C31" s="395"/>
      <c r="D31" s="395"/>
    </row>
    <row r="32" spans="1:4" ht="10" customHeight="1" x14ac:dyDescent="0.2">
      <c r="A32" s="35"/>
      <c r="B32" s="35"/>
      <c r="C32" s="35"/>
      <c r="D32" s="35"/>
    </row>
    <row r="33" spans="1:4" ht="22" customHeight="1" x14ac:dyDescent="0.2">
      <c r="A33" s="35"/>
      <c r="B33" s="404" t="s">
        <v>55</v>
      </c>
      <c r="C33" s="395"/>
      <c r="D33" s="395"/>
    </row>
    <row r="34" spans="1:4" ht="20" customHeight="1" x14ac:dyDescent="0.2">
      <c r="A34" s="35"/>
      <c r="B34" s="32" t="s">
        <v>56</v>
      </c>
      <c r="C34" s="399" t="s">
        <v>57</v>
      </c>
      <c r="D34" s="395"/>
    </row>
    <row r="35" spans="1:4" ht="20" customHeight="1" x14ac:dyDescent="0.2">
      <c r="A35" s="35"/>
      <c r="B35" s="32" t="s">
        <v>56</v>
      </c>
      <c r="C35" s="399" t="s">
        <v>58</v>
      </c>
      <c r="D35" s="395"/>
    </row>
    <row r="36" spans="1:4" ht="20" customHeight="1" x14ac:dyDescent="0.2">
      <c r="A36" s="35"/>
      <c r="B36" s="405" t="s">
        <v>56</v>
      </c>
      <c r="C36" s="395"/>
      <c r="D36" s="395"/>
    </row>
    <row r="37" spans="1:4" ht="20" customHeight="1" x14ac:dyDescent="0.2">
      <c r="A37" s="35"/>
      <c r="B37" s="32" t="s">
        <v>56</v>
      </c>
      <c r="C37" s="399" t="s">
        <v>59</v>
      </c>
      <c r="D37" s="395"/>
    </row>
    <row r="38" spans="1:4" ht="20" customHeight="1" x14ac:dyDescent="0.2">
      <c r="A38" s="35"/>
      <c r="B38" s="32" t="s">
        <v>56</v>
      </c>
      <c r="C38" s="399" t="s">
        <v>60</v>
      </c>
      <c r="D38" s="395"/>
    </row>
    <row r="39" spans="1:4" ht="20" customHeight="1" x14ac:dyDescent="0.2">
      <c r="A39" s="35"/>
      <c r="B39" s="32" t="s">
        <v>56</v>
      </c>
      <c r="C39" s="399" t="s">
        <v>61</v>
      </c>
      <c r="D39" s="395"/>
    </row>
    <row r="40" spans="1:4" ht="20" customHeight="1" x14ac:dyDescent="0.2">
      <c r="A40" s="35"/>
      <c r="B40" s="32" t="s">
        <v>56</v>
      </c>
      <c r="C40" s="399" t="s">
        <v>62</v>
      </c>
      <c r="D40" s="395"/>
    </row>
    <row r="41" spans="1:4" ht="20" customHeight="1" x14ac:dyDescent="0.2">
      <c r="A41" s="35"/>
      <c r="B41" s="32" t="s">
        <v>56</v>
      </c>
      <c r="C41" s="399" t="s">
        <v>63</v>
      </c>
      <c r="D41" s="395"/>
    </row>
    <row r="42" spans="1:4" ht="20" customHeight="1" x14ac:dyDescent="0.2">
      <c r="A42" s="35"/>
      <c r="B42" s="32" t="s">
        <v>56</v>
      </c>
      <c r="C42" s="399" t="s">
        <v>64</v>
      </c>
      <c r="D42" s="395"/>
    </row>
    <row r="43" spans="1:4" ht="20" customHeight="1" x14ac:dyDescent="0.2">
      <c r="A43" s="35"/>
      <c r="B43" s="405" t="s">
        <v>56</v>
      </c>
      <c r="C43" s="395"/>
      <c r="D43" s="395"/>
    </row>
    <row r="44" spans="1:4" ht="10" customHeight="1" x14ac:dyDescent="0.2">
      <c r="A44" s="35"/>
      <c r="B44" s="35"/>
      <c r="C44" s="35"/>
      <c r="D44" s="35"/>
    </row>
    <row r="45" spans="1:4" ht="22" customHeight="1" x14ac:dyDescent="0.2">
      <c r="A45" s="35"/>
      <c r="B45" s="406" t="s">
        <v>65</v>
      </c>
      <c r="C45" s="395"/>
      <c r="D45" s="395"/>
    </row>
    <row r="46" spans="1:4" ht="20" customHeight="1" x14ac:dyDescent="0.2">
      <c r="A46" s="35"/>
      <c r="B46" s="410" t="s">
        <v>66</v>
      </c>
      <c r="C46" s="395"/>
      <c r="D46" s="395"/>
    </row>
    <row r="47" spans="1:4" ht="18" customHeight="1" x14ac:dyDescent="0.2">
      <c r="A47" s="35"/>
      <c r="B47" s="33" t="s">
        <v>67</v>
      </c>
      <c r="C47" s="34" t="s">
        <v>68</v>
      </c>
      <c r="D47" s="37"/>
    </row>
    <row r="48" spans="1:4" ht="18" customHeight="1" x14ac:dyDescent="0.2">
      <c r="A48" s="35"/>
      <c r="B48" s="33" t="s">
        <v>69</v>
      </c>
      <c r="C48" s="34" t="s">
        <v>70</v>
      </c>
      <c r="D48" s="37"/>
    </row>
    <row r="49" spans="1:4" ht="18" customHeight="1" x14ac:dyDescent="0.2">
      <c r="A49" s="35"/>
      <c r="B49" s="33" t="s">
        <v>71</v>
      </c>
      <c r="C49" s="34" t="s">
        <v>72</v>
      </c>
      <c r="D49" s="37"/>
    </row>
    <row r="50" spans="1:4" ht="18" customHeight="1" x14ac:dyDescent="0.2">
      <c r="A50" s="35"/>
      <c r="B50" s="33" t="s">
        <v>73</v>
      </c>
      <c r="C50" s="34" t="s">
        <v>74</v>
      </c>
      <c r="D50" s="37"/>
    </row>
    <row r="51" spans="1:4" ht="6" customHeight="1" x14ac:dyDescent="0.2">
      <c r="A51" s="35"/>
      <c r="B51" s="35"/>
      <c r="C51" s="35"/>
      <c r="D51" s="35"/>
    </row>
    <row r="52" spans="1:4" ht="20" customHeight="1" x14ac:dyDescent="0.2">
      <c r="A52" s="35"/>
      <c r="B52" s="411" t="s">
        <v>75</v>
      </c>
      <c r="C52" s="395"/>
      <c r="D52" s="395"/>
    </row>
    <row r="53" spans="1:4" ht="18" customHeight="1" x14ac:dyDescent="0.2">
      <c r="A53" s="35"/>
      <c r="B53" s="33" t="s">
        <v>76</v>
      </c>
      <c r="C53" s="34" t="s">
        <v>77</v>
      </c>
      <c r="D53" s="37"/>
    </row>
    <row r="54" spans="1:4" ht="18" customHeight="1" x14ac:dyDescent="0.2">
      <c r="A54" s="35"/>
      <c r="B54" s="33" t="s">
        <v>78</v>
      </c>
      <c r="C54" s="34" t="s">
        <v>79</v>
      </c>
      <c r="D54" s="37"/>
    </row>
    <row r="55" spans="1:4" ht="18" customHeight="1" x14ac:dyDescent="0.2">
      <c r="A55" s="35"/>
      <c r="B55" s="33" t="s">
        <v>80</v>
      </c>
      <c r="C55" s="34" t="s">
        <v>81</v>
      </c>
      <c r="D55" s="37"/>
    </row>
    <row r="56" spans="1:4" ht="18" customHeight="1" x14ac:dyDescent="0.2">
      <c r="A56" s="35"/>
      <c r="B56" s="33" t="s">
        <v>82</v>
      </c>
      <c r="C56" s="34" t="s">
        <v>83</v>
      </c>
      <c r="D56" s="37"/>
    </row>
    <row r="57" spans="1:4" ht="18" customHeight="1" x14ac:dyDescent="0.2">
      <c r="A57" s="35"/>
      <c r="B57" s="33" t="s">
        <v>84</v>
      </c>
      <c r="C57" s="34" t="s">
        <v>85</v>
      </c>
      <c r="D57" s="37"/>
    </row>
    <row r="58" spans="1:4" ht="18" customHeight="1" x14ac:dyDescent="0.2">
      <c r="A58" s="35"/>
      <c r="B58" s="33" t="s">
        <v>86</v>
      </c>
      <c r="C58" s="34" t="s">
        <v>87</v>
      </c>
      <c r="D58" s="37"/>
    </row>
    <row r="59" spans="1:4" ht="18" customHeight="1" x14ac:dyDescent="0.2">
      <c r="A59" s="35"/>
      <c r="B59" s="33" t="s">
        <v>88</v>
      </c>
      <c r="C59" s="34" t="s">
        <v>89</v>
      </c>
      <c r="D59" s="37"/>
    </row>
    <row r="60" spans="1:4" ht="6" customHeight="1" x14ac:dyDescent="0.2">
      <c r="A60" s="35"/>
      <c r="B60" s="35"/>
      <c r="C60" s="35"/>
      <c r="D60" s="35"/>
    </row>
    <row r="61" spans="1:4" ht="20" customHeight="1" x14ac:dyDescent="0.2">
      <c r="A61" s="35"/>
      <c r="B61" s="400" t="s">
        <v>90</v>
      </c>
      <c r="C61" s="395"/>
      <c r="D61" s="395"/>
    </row>
    <row r="62" spans="1:4" ht="18" customHeight="1" x14ac:dyDescent="0.2">
      <c r="A62" s="35"/>
      <c r="B62" s="33" t="s">
        <v>91</v>
      </c>
      <c r="C62" s="34" t="s">
        <v>92</v>
      </c>
      <c r="D62" s="37"/>
    </row>
    <row r="63" spans="1:4" ht="18" customHeight="1" x14ac:dyDescent="0.2">
      <c r="A63" s="35"/>
      <c r="B63" s="33" t="s">
        <v>93</v>
      </c>
      <c r="C63" s="34" t="s">
        <v>94</v>
      </c>
      <c r="D63" s="37"/>
    </row>
    <row r="64" spans="1:4" ht="18" customHeight="1" x14ac:dyDescent="0.2">
      <c r="A64" s="35"/>
      <c r="B64" s="33" t="s">
        <v>95</v>
      </c>
      <c r="C64" s="34" t="s">
        <v>96</v>
      </c>
      <c r="D64" s="37"/>
    </row>
    <row r="65" spans="1:4" ht="18" customHeight="1" x14ac:dyDescent="0.2">
      <c r="A65" s="35"/>
      <c r="B65" s="33" t="s">
        <v>97</v>
      </c>
      <c r="C65" s="34" t="s">
        <v>98</v>
      </c>
      <c r="D65" s="37"/>
    </row>
    <row r="66" spans="1:4" ht="6" customHeight="1" x14ac:dyDescent="0.2">
      <c r="A66" s="35"/>
      <c r="B66" s="35"/>
      <c r="C66" s="35"/>
      <c r="D66" s="35"/>
    </row>
    <row r="67" spans="1:4" ht="20" customHeight="1" x14ac:dyDescent="0.2">
      <c r="A67" s="35"/>
      <c r="B67" s="400" t="s">
        <v>99</v>
      </c>
      <c r="C67" s="395"/>
      <c r="D67" s="395"/>
    </row>
    <row r="68" spans="1:4" ht="18" customHeight="1" x14ac:dyDescent="0.2">
      <c r="A68" s="35"/>
      <c r="B68" s="33" t="s">
        <v>100</v>
      </c>
      <c r="C68" s="34" t="s">
        <v>101</v>
      </c>
      <c r="D68" s="37"/>
    </row>
    <row r="69" spans="1:4" ht="18" customHeight="1" x14ac:dyDescent="0.2">
      <c r="A69" s="35"/>
      <c r="B69" s="33" t="s">
        <v>102</v>
      </c>
      <c r="C69" s="34" t="s">
        <v>103</v>
      </c>
      <c r="D69" s="37"/>
    </row>
    <row r="70" spans="1:4" ht="18" customHeight="1" x14ac:dyDescent="0.2">
      <c r="A70" s="35"/>
      <c r="B70" s="33" t="s">
        <v>104</v>
      </c>
      <c r="C70" s="34" t="s">
        <v>105</v>
      </c>
      <c r="D70" s="37"/>
    </row>
    <row r="71" spans="1:4" ht="18" customHeight="1" x14ac:dyDescent="0.2">
      <c r="A71" s="35"/>
      <c r="B71" s="33" t="s">
        <v>106</v>
      </c>
      <c r="C71" s="34" t="s">
        <v>107</v>
      </c>
      <c r="D71" s="37"/>
    </row>
    <row r="72" spans="1:4" ht="6" customHeight="1" x14ac:dyDescent="0.2">
      <c r="A72" s="35"/>
      <c r="B72" s="35"/>
      <c r="C72" s="35"/>
      <c r="D72" s="35"/>
    </row>
    <row r="73" spans="1:4" ht="20" customHeight="1" x14ac:dyDescent="0.2">
      <c r="A73" s="35"/>
      <c r="B73" s="402" t="s">
        <v>108</v>
      </c>
      <c r="C73" s="395"/>
      <c r="D73" s="395"/>
    </row>
    <row r="74" spans="1:4" ht="18" customHeight="1" x14ac:dyDescent="0.2">
      <c r="A74" s="35"/>
      <c r="B74" s="33" t="s">
        <v>109</v>
      </c>
      <c r="C74" s="34" t="s">
        <v>110</v>
      </c>
      <c r="D74" s="37"/>
    </row>
    <row r="75" spans="1:4" ht="18" customHeight="1" x14ac:dyDescent="0.2">
      <c r="A75" s="35"/>
      <c r="B75" s="33" t="s">
        <v>111</v>
      </c>
      <c r="C75" s="34" t="s">
        <v>112</v>
      </c>
      <c r="D75" s="37"/>
    </row>
    <row r="76" spans="1:4" ht="18" customHeight="1" x14ac:dyDescent="0.2">
      <c r="A76" s="35"/>
      <c r="B76" s="33" t="s">
        <v>113</v>
      </c>
      <c r="C76" s="34" t="s">
        <v>114</v>
      </c>
      <c r="D76" s="37"/>
    </row>
    <row r="77" spans="1:4" ht="18" customHeight="1" x14ac:dyDescent="0.2">
      <c r="A77" s="35"/>
      <c r="B77" s="33" t="s">
        <v>115</v>
      </c>
      <c r="C77" s="34" t="s">
        <v>116</v>
      </c>
      <c r="D77" s="37"/>
    </row>
    <row r="78" spans="1:4" ht="6" customHeight="1" x14ac:dyDescent="0.2">
      <c r="A78" s="35"/>
      <c r="B78" s="35"/>
      <c r="C78" s="35"/>
      <c r="D78" s="35"/>
    </row>
    <row r="79" spans="1:4" ht="22" customHeight="1" x14ac:dyDescent="0.2">
      <c r="A79" s="35"/>
      <c r="B79" s="407" t="s">
        <v>117</v>
      </c>
      <c r="C79" s="395"/>
      <c r="D79" s="395"/>
    </row>
  </sheetData>
  <mergeCells count="32">
    <mergeCell ref="B79:D79"/>
    <mergeCell ref="B4:D4"/>
    <mergeCell ref="B7:D7"/>
    <mergeCell ref="B25:D25"/>
    <mergeCell ref="C39:D39"/>
    <mergeCell ref="C38:D38"/>
    <mergeCell ref="B31:D31"/>
    <mergeCell ref="B46:D46"/>
    <mergeCell ref="C37:D37"/>
    <mergeCell ref="B18:D18"/>
    <mergeCell ref="B27:D27"/>
    <mergeCell ref="B52:D52"/>
    <mergeCell ref="B21:D21"/>
    <mergeCell ref="B43:D43"/>
    <mergeCell ref="B12:D12"/>
    <mergeCell ref="B73:D73"/>
    <mergeCell ref="C35:D35"/>
    <mergeCell ref="C41:D41"/>
    <mergeCell ref="B9:D9"/>
    <mergeCell ref="C40:D40"/>
    <mergeCell ref="B15:D15"/>
    <mergeCell ref="B33:D33"/>
    <mergeCell ref="B36:D36"/>
    <mergeCell ref="B45:D45"/>
    <mergeCell ref="C34:D34"/>
    <mergeCell ref="B67:D67"/>
    <mergeCell ref="B61:D61"/>
    <mergeCell ref="B1:D1"/>
    <mergeCell ref="C42:D42"/>
    <mergeCell ref="B6:D6"/>
    <mergeCell ref="B5:D5"/>
    <mergeCell ref="B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zoomScaleNormal="100" workbookViewId="0">
      <selection sqref="A1:H1"/>
    </sheetView>
  </sheetViews>
  <sheetFormatPr baseColWidth="10" defaultColWidth="8.6640625" defaultRowHeight="15" x14ac:dyDescent="0.2"/>
  <cols>
    <col min="1" max="1" width="14" customWidth="1"/>
    <col min="2" max="8" width="18" customWidth="1"/>
  </cols>
  <sheetData>
    <row r="1" spans="1:9" ht="31.5" customHeight="1" x14ac:dyDescent="0.2">
      <c r="A1" s="417" t="s">
        <v>118</v>
      </c>
      <c r="B1" s="395"/>
      <c r="C1" s="395"/>
      <c r="D1" s="395"/>
      <c r="E1" s="395"/>
      <c r="F1" s="395"/>
      <c r="G1" s="395"/>
      <c r="H1" s="395"/>
      <c r="I1" s="35"/>
    </row>
    <row r="2" spans="1:9" ht="18" customHeight="1" x14ac:dyDescent="0.2">
      <c r="A2" s="426" t="s">
        <v>119</v>
      </c>
      <c r="B2" s="395"/>
      <c r="C2" s="395"/>
      <c r="D2" s="395"/>
      <c r="E2" s="395"/>
      <c r="F2" s="395"/>
      <c r="G2" s="395"/>
      <c r="H2" s="395"/>
      <c r="I2" s="35"/>
    </row>
    <row r="3" spans="1:9" x14ac:dyDescent="0.2">
      <c r="A3" s="35"/>
      <c r="B3" s="35"/>
      <c r="C3" s="35"/>
      <c r="D3" s="35"/>
      <c r="E3" s="35"/>
      <c r="F3" s="35"/>
      <c r="G3" s="35"/>
      <c r="H3" s="35"/>
      <c r="I3" s="35"/>
    </row>
    <row r="4" spans="1:9" ht="21.75" customHeight="1" x14ac:dyDescent="0.2">
      <c r="A4" s="431" t="s">
        <v>120</v>
      </c>
      <c r="B4" s="395"/>
      <c r="C4" s="395"/>
      <c r="D4" s="395"/>
      <c r="E4" s="395"/>
      <c r="F4" s="395"/>
      <c r="G4" s="395"/>
      <c r="H4" s="395"/>
      <c r="I4" s="35"/>
    </row>
    <row r="5" spans="1:9" ht="21.75" customHeight="1" x14ac:dyDescent="0.2">
      <c r="A5" s="35"/>
      <c r="B5" s="422" t="s">
        <v>121</v>
      </c>
      <c r="C5" s="415"/>
      <c r="D5" s="432" t="s">
        <v>122</v>
      </c>
      <c r="E5" s="415"/>
      <c r="F5" s="422" t="s">
        <v>123</v>
      </c>
      <c r="G5" s="415"/>
      <c r="H5" s="434" t="s">
        <v>124</v>
      </c>
      <c r="I5" s="415"/>
    </row>
    <row r="6" spans="1:9" ht="43.5" customHeight="1" x14ac:dyDescent="0.2">
      <c r="A6" s="35"/>
      <c r="B6" s="416">
        <f>'Sales Log'!F3</f>
        <v>128</v>
      </c>
      <c r="C6" s="415"/>
      <c r="D6" s="420">
        <f>'Sales Log'!J3</f>
        <v>44.78</v>
      </c>
      <c r="E6" s="415"/>
      <c r="F6" s="416">
        <f>'Consignment Tracker'!I3</f>
        <v>0</v>
      </c>
      <c r="G6" s="415"/>
      <c r="H6" s="421">
        <f>'Sales Log'!J3+'Consignment Tracker'!I3</f>
        <v>44.78</v>
      </c>
      <c r="I6" s="415"/>
    </row>
    <row r="7" spans="1:9" x14ac:dyDescent="0.2">
      <c r="A7" s="35"/>
      <c r="B7" s="35"/>
      <c r="C7" s="35"/>
      <c r="D7" s="35"/>
      <c r="E7" s="35"/>
      <c r="F7" s="35"/>
      <c r="G7" s="35"/>
      <c r="H7" s="35"/>
      <c r="I7" s="35"/>
    </row>
    <row r="8" spans="1:9" ht="21.75" customHeight="1" x14ac:dyDescent="0.2">
      <c r="A8" s="35"/>
      <c r="B8" s="422" t="s">
        <v>125</v>
      </c>
      <c r="C8" s="415"/>
      <c r="D8" s="422" t="s">
        <v>126</v>
      </c>
      <c r="E8" s="415"/>
      <c r="F8" s="423" t="s">
        <v>127</v>
      </c>
      <c r="G8" s="415"/>
      <c r="H8" s="423" t="s">
        <v>128</v>
      </c>
      <c r="I8" s="415"/>
    </row>
    <row r="9" spans="1:9" ht="43.5" customHeight="1" x14ac:dyDescent="0.2">
      <c r="A9" s="35"/>
      <c r="B9" s="427">
        <f>IFERROR('Sales Log'!J3/'Sales Log'!F3,"")</f>
        <v>0.34984375000000001</v>
      </c>
      <c r="C9" s="415"/>
      <c r="D9" s="428" t="str">
        <f>IFERROR('Consignment Tracker'!I3/'Consignment Tracker'!C3,"")</f>
        <v/>
      </c>
      <c r="E9" s="415"/>
      <c r="F9" s="429">
        <f>'Inventory &amp; Aging'!E3</f>
        <v>0</v>
      </c>
      <c r="G9" s="415"/>
      <c r="H9" s="419">
        <f>'Inventory &amp; Aging'!G3</f>
        <v>0</v>
      </c>
      <c r="I9" s="415"/>
    </row>
    <row r="10" spans="1:9" x14ac:dyDescent="0.2">
      <c r="A10" s="35"/>
      <c r="B10" s="35"/>
      <c r="C10" s="35"/>
      <c r="D10" s="35"/>
      <c r="E10" s="35"/>
      <c r="F10" s="35"/>
      <c r="G10" s="35"/>
      <c r="H10" s="35"/>
      <c r="I10" s="35"/>
    </row>
    <row r="11" spans="1:9" x14ac:dyDescent="0.2">
      <c r="A11" s="35"/>
      <c r="B11" s="35"/>
      <c r="C11" s="35"/>
      <c r="D11" s="35"/>
      <c r="E11" s="35"/>
      <c r="F11" s="35"/>
      <c r="G11" s="35"/>
      <c r="H11" s="35"/>
      <c r="I11" s="35"/>
    </row>
    <row r="12" spans="1:9" ht="21.75" customHeight="1" x14ac:dyDescent="0.2">
      <c r="A12" s="424" t="s">
        <v>129</v>
      </c>
      <c r="B12" s="395"/>
      <c r="C12" s="395"/>
      <c r="D12" s="395"/>
      <c r="E12" s="395"/>
      <c r="F12" s="395"/>
      <c r="G12" s="395"/>
      <c r="H12" s="395"/>
      <c r="I12" s="35"/>
    </row>
    <row r="13" spans="1:9" x14ac:dyDescent="0.2">
      <c r="A13" s="35"/>
      <c r="B13" s="413" t="s">
        <v>130</v>
      </c>
      <c r="C13" s="414"/>
      <c r="D13" s="415"/>
      <c r="E13" s="430">
        <v>8000</v>
      </c>
      <c r="F13" s="414"/>
      <c r="G13" s="414"/>
      <c r="H13" s="415"/>
      <c r="I13" s="35"/>
    </row>
    <row r="14" spans="1:9" x14ac:dyDescent="0.2">
      <c r="A14" s="35"/>
      <c r="B14" s="413" t="s">
        <v>131</v>
      </c>
      <c r="C14" s="414"/>
      <c r="D14" s="415"/>
      <c r="E14" s="425">
        <f>'Sales Log'!J3+'Consignment Tracker'!I3</f>
        <v>44.78</v>
      </c>
      <c r="F14" s="414"/>
      <c r="G14" s="414"/>
      <c r="H14" s="415"/>
      <c r="I14" s="35"/>
    </row>
    <row r="15" spans="1:9" x14ac:dyDescent="0.2">
      <c r="A15" s="35"/>
      <c r="B15" s="413" t="s">
        <v>132</v>
      </c>
      <c r="C15" s="414"/>
      <c r="D15" s="415"/>
      <c r="E15" s="433" t="str">
        <f>IFERROR(C14/C13,"")</f>
        <v/>
      </c>
      <c r="F15" s="414"/>
      <c r="G15" s="414"/>
      <c r="H15" s="415"/>
      <c r="I15" s="35"/>
    </row>
    <row r="16" spans="1:9" x14ac:dyDescent="0.2">
      <c r="A16" s="35"/>
      <c r="B16" s="35"/>
      <c r="C16" s="35"/>
      <c r="D16" s="35"/>
      <c r="E16" s="35"/>
      <c r="F16" s="35"/>
      <c r="G16" s="35"/>
      <c r="H16" s="35"/>
      <c r="I16" s="35"/>
    </row>
    <row r="17" spans="1:9" x14ac:dyDescent="0.2">
      <c r="A17" s="35"/>
      <c r="B17" s="35"/>
      <c r="C17" s="35"/>
      <c r="D17" s="35"/>
      <c r="E17" s="35"/>
      <c r="F17" s="35"/>
      <c r="G17" s="35"/>
      <c r="H17" s="35"/>
      <c r="I17" s="35"/>
    </row>
    <row r="18" spans="1:9" ht="21.75" customHeight="1" x14ac:dyDescent="0.2">
      <c r="A18" s="424" t="s">
        <v>133</v>
      </c>
      <c r="B18" s="395"/>
      <c r="C18" s="395"/>
      <c r="D18" s="395"/>
      <c r="E18" s="395"/>
      <c r="F18" s="395"/>
      <c r="G18" s="395"/>
      <c r="H18" s="395"/>
      <c r="I18" s="35"/>
    </row>
    <row r="19" spans="1:9" ht="19.5" customHeight="1" x14ac:dyDescent="0.2">
      <c r="A19" s="35"/>
      <c r="B19" s="418" t="s">
        <v>134</v>
      </c>
      <c r="C19" s="395"/>
      <c r="D19" s="395"/>
      <c r="E19" s="395"/>
      <c r="F19" s="395"/>
      <c r="G19" s="395"/>
      <c r="H19" s="395"/>
      <c r="I19" s="35"/>
    </row>
    <row r="20" spans="1:9" ht="19.5" customHeight="1" x14ac:dyDescent="0.2">
      <c r="A20" s="35"/>
      <c r="B20" s="418" t="s">
        <v>135</v>
      </c>
      <c r="C20" s="395"/>
      <c r="D20" s="395"/>
      <c r="E20" s="395"/>
      <c r="F20" s="395"/>
      <c r="G20" s="395"/>
      <c r="H20" s="395"/>
      <c r="I20" s="35"/>
    </row>
    <row r="21" spans="1:9" ht="19.5" customHeight="1" x14ac:dyDescent="0.2">
      <c r="A21" s="35"/>
      <c r="B21" s="418" t="s">
        <v>136</v>
      </c>
      <c r="C21" s="395"/>
      <c r="D21" s="395"/>
      <c r="E21" s="395"/>
      <c r="F21" s="395"/>
      <c r="G21" s="395"/>
      <c r="H21" s="395"/>
      <c r="I21" s="35"/>
    </row>
    <row r="22" spans="1:9" ht="19.5" customHeight="1" x14ac:dyDescent="0.2">
      <c r="A22" s="35"/>
      <c r="B22" s="418" t="s">
        <v>137</v>
      </c>
      <c r="C22" s="395"/>
      <c r="D22" s="395"/>
      <c r="E22" s="395"/>
      <c r="F22" s="395"/>
      <c r="G22" s="395"/>
      <c r="H22" s="395"/>
      <c r="I22" s="35"/>
    </row>
    <row r="23" spans="1:9" ht="19.5" customHeight="1" x14ac:dyDescent="0.2">
      <c r="A23" s="35"/>
      <c r="B23" s="418" t="s">
        <v>138</v>
      </c>
      <c r="C23" s="395"/>
      <c r="D23" s="395"/>
      <c r="E23" s="395"/>
      <c r="F23" s="395"/>
      <c r="G23" s="395"/>
      <c r="H23" s="395"/>
      <c r="I23" s="35"/>
    </row>
  </sheetData>
  <mergeCells count="32">
    <mergeCell ref="B23:H23"/>
    <mergeCell ref="B5:C5"/>
    <mergeCell ref="D5:E5"/>
    <mergeCell ref="E15:H15"/>
    <mergeCell ref="H5:I5"/>
    <mergeCell ref="H8:I8"/>
    <mergeCell ref="B19:H19"/>
    <mergeCell ref="B22:H22"/>
    <mergeCell ref="E14:H14"/>
    <mergeCell ref="A18:H18"/>
    <mergeCell ref="B21:H21"/>
    <mergeCell ref="A2:H2"/>
    <mergeCell ref="B9:C9"/>
    <mergeCell ref="D9:E9"/>
    <mergeCell ref="F9:G9"/>
    <mergeCell ref="E13:H13"/>
    <mergeCell ref="D8:E8"/>
    <mergeCell ref="A4:H4"/>
    <mergeCell ref="B6:C6"/>
    <mergeCell ref="B14:D14"/>
    <mergeCell ref="B13:D13"/>
    <mergeCell ref="F6:G6"/>
    <mergeCell ref="A1:H1"/>
    <mergeCell ref="B20:H20"/>
    <mergeCell ref="H9:I9"/>
    <mergeCell ref="D6:E6"/>
    <mergeCell ref="H6:I6"/>
    <mergeCell ref="F5:G5"/>
    <mergeCell ref="B15:D15"/>
    <mergeCell ref="B8:C8"/>
    <mergeCell ref="F8:G8"/>
    <mergeCell ref="A12:H12"/>
  </mergeCells>
  <hyperlinks>
    <hyperlink ref="A1" location="'Start Here'!A1" display="🏠 Start Here"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2"/>
  <sheetViews>
    <sheetView showGridLines="0" zoomScaleNormal="100" workbookViewId="0">
      <pane ySplit="4" topLeftCell="A5" activePane="bottomLeft" state="frozen"/>
      <selection pane="bottomLeft" activeCell="D54" sqref="D54"/>
    </sheetView>
  </sheetViews>
  <sheetFormatPr baseColWidth="10" defaultColWidth="8.6640625" defaultRowHeight="15" x14ac:dyDescent="0.2"/>
  <cols>
    <col min="1" max="1" width="14" customWidth="1"/>
    <col min="2" max="2" width="10" customWidth="1"/>
    <col min="3" max="3" width="22" customWidth="1"/>
    <col min="4" max="4" width="40" customWidth="1"/>
    <col min="5" max="5" width="18" customWidth="1"/>
    <col min="6" max="9" width="12" customWidth="1"/>
    <col min="10" max="10" width="28" customWidth="1"/>
    <col min="11" max="11" width="14" customWidth="1"/>
    <col min="12" max="13" width="10" customWidth="1"/>
    <col min="14" max="14" width="12" customWidth="1"/>
    <col min="15" max="15" width="22" customWidth="1"/>
  </cols>
  <sheetData>
    <row r="1" spans="1:15" ht="24" customHeight="1" x14ac:dyDescent="0.2">
      <c r="A1" s="435" t="s">
        <v>118</v>
      </c>
      <c r="B1" s="395"/>
      <c r="C1" s="395"/>
      <c r="D1" s="395"/>
      <c r="E1" s="395"/>
      <c r="F1" s="395"/>
      <c r="G1" s="395"/>
      <c r="H1" s="395"/>
      <c r="I1" s="395"/>
      <c r="J1" s="395"/>
      <c r="K1" s="395"/>
      <c r="L1" s="41"/>
      <c r="M1" s="41"/>
      <c r="N1" s="41"/>
      <c r="O1" s="41"/>
    </row>
    <row r="2" spans="1:15" x14ac:dyDescent="0.2">
      <c r="A2" s="426" t="s">
        <v>139</v>
      </c>
      <c r="B2" s="395"/>
      <c r="C2" s="395"/>
      <c r="D2" s="395"/>
      <c r="E2" s="395"/>
      <c r="F2" s="395"/>
      <c r="G2" s="395"/>
      <c r="H2" s="395"/>
      <c r="I2" s="395"/>
      <c r="J2" s="395"/>
      <c r="K2" s="395"/>
      <c r="L2" s="35"/>
      <c r="M2" s="35"/>
      <c r="N2" s="35"/>
      <c r="O2" s="35"/>
    </row>
    <row r="3" spans="1:15" x14ac:dyDescent="0.2">
      <c r="A3" s="35"/>
      <c r="B3" s="35"/>
      <c r="C3" s="35"/>
      <c r="D3" s="35"/>
      <c r="E3" s="42" t="s">
        <v>140</v>
      </c>
      <c r="F3" s="43">
        <f>SUM(F5:F55)</f>
        <v>73</v>
      </c>
      <c r="G3" s="43">
        <f>SUM(G5:G55)</f>
        <v>180</v>
      </c>
      <c r="H3" s="43">
        <f>SUM(H5:H55)</f>
        <v>281.40000000000003</v>
      </c>
      <c r="I3" s="44">
        <f>SUM(I5:I55)</f>
        <v>-174.40000000000003</v>
      </c>
      <c r="J3" s="35"/>
      <c r="K3" s="35"/>
      <c r="L3" s="45">
        <f>IFERROR(I3/G3,"")</f>
        <v>-0.96888888888888913</v>
      </c>
      <c r="M3" s="35"/>
      <c r="N3" s="35"/>
      <c r="O3" s="35"/>
    </row>
    <row r="4" spans="1:15" ht="24" customHeight="1" x14ac:dyDescent="0.2">
      <c r="A4" s="46" t="s">
        <v>141</v>
      </c>
      <c r="B4" s="46" t="s">
        <v>142</v>
      </c>
      <c r="C4" s="46" t="s">
        <v>143</v>
      </c>
      <c r="D4" s="46" t="s">
        <v>144</v>
      </c>
      <c r="E4" s="46" t="s">
        <v>145</v>
      </c>
      <c r="F4" s="46" t="s">
        <v>146</v>
      </c>
      <c r="G4" s="46" t="s">
        <v>147</v>
      </c>
      <c r="H4" s="46" t="s">
        <v>148</v>
      </c>
      <c r="I4" s="46" t="s">
        <v>149</v>
      </c>
      <c r="J4" s="46" t="s">
        <v>150</v>
      </c>
      <c r="K4" s="46" t="s">
        <v>151</v>
      </c>
      <c r="L4" s="46" t="s">
        <v>152</v>
      </c>
      <c r="M4" s="46" t="s">
        <v>153</v>
      </c>
      <c r="N4" s="46" t="s">
        <v>154</v>
      </c>
      <c r="O4" s="46" t="s">
        <v>155</v>
      </c>
    </row>
    <row r="5" spans="1:15" ht="31.5" customHeight="1" x14ac:dyDescent="0.2">
      <c r="A5" s="47">
        <v>1</v>
      </c>
      <c r="B5" s="1" t="s">
        <v>156</v>
      </c>
      <c r="C5" s="48" t="s">
        <v>157</v>
      </c>
      <c r="D5" s="49" t="s">
        <v>158</v>
      </c>
      <c r="E5" s="47" t="s">
        <v>159</v>
      </c>
      <c r="F5" s="50">
        <v>35</v>
      </c>
      <c r="G5" s="50">
        <v>80</v>
      </c>
      <c r="H5" s="50">
        <f>G5*0.1325</f>
        <v>10.600000000000001</v>
      </c>
      <c r="I5" s="2">
        <f>G5-H5-F5</f>
        <v>34.400000000000006</v>
      </c>
      <c r="J5" s="49" t="s">
        <v>160</v>
      </c>
      <c r="K5" s="47" t="s">
        <v>161</v>
      </c>
      <c r="L5" s="51">
        <f t="shared" ref="L5:L51" si="0">IFERROR(I5/G5,"")</f>
        <v>0.43000000000000005</v>
      </c>
      <c r="M5" s="52"/>
      <c r="N5" s="53"/>
      <c r="O5" s="54"/>
    </row>
    <row r="6" spans="1:15" ht="31.5" customHeight="1" x14ac:dyDescent="0.2">
      <c r="A6" s="55">
        <v>2</v>
      </c>
      <c r="B6" s="1" t="s">
        <v>156</v>
      </c>
      <c r="C6" s="56" t="s">
        <v>162</v>
      </c>
      <c r="D6" s="57" t="s">
        <v>163</v>
      </c>
      <c r="E6" s="55" t="s">
        <v>159</v>
      </c>
      <c r="F6" s="58">
        <v>20</v>
      </c>
      <c r="G6" s="58">
        <v>55</v>
      </c>
      <c r="H6" s="58">
        <f>G6*0.1325</f>
        <v>7.2875000000000005</v>
      </c>
      <c r="I6" s="2">
        <f>G6-H6-F6</f>
        <v>27.712499999999999</v>
      </c>
      <c r="J6" s="57" t="s">
        <v>164</v>
      </c>
      <c r="K6" s="55" t="s">
        <v>161</v>
      </c>
      <c r="L6" s="59">
        <f t="shared" si="0"/>
        <v>0.50386363636363629</v>
      </c>
      <c r="M6" s="60"/>
      <c r="N6" s="61"/>
      <c r="O6" s="62"/>
    </row>
    <row r="7" spans="1:15" ht="31.5" customHeight="1" x14ac:dyDescent="0.2">
      <c r="A7" s="47">
        <v>3</v>
      </c>
      <c r="B7" s="1" t="s">
        <v>165</v>
      </c>
      <c r="C7" s="48" t="s">
        <v>166</v>
      </c>
      <c r="D7" s="49" t="s">
        <v>167</v>
      </c>
      <c r="E7" s="47" t="s">
        <v>159</v>
      </c>
      <c r="F7" s="50">
        <v>18</v>
      </c>
      <c r="G7" s="50">
        <v>45</v>
      </c>
      <c r="H7" s="50">
        <f>G7*0.1325</f>
        <v>5.9625000000000004</v>
      </c>
      <c r="I7" s="2">
        <f>G7-H7-F7</f>
        <v>21.037500000000001</v>
      </c>
      <c r="J7" s="49" t="s">
        <v>168</v>
      </c>
      <c r="K7" s="47" t="s">
        <v>169</v>
      </c>
      <c r="L7" s="51">
        <f t="shared" si="0"/>
        <v>0.46750000000000003</v>
      </c>
      <c r="M7" s="52"/>
      <c r="N7" s="53"/>
      <c r="O7" s="54"/>
    </row>
    <row r="8" spans="1:15" ht="31.5" customHeight="1" x14ac:dyDescent="0.2">
      <c r="A8" s="63"/>
      <c r="B8" s="64"/>
      <c r="C8" s="65"/>
      <c r="D8" s="66"/>
      <c r="E8" s="67"/>
      <c r="F8" s="68"/>
      <c r="G8" s="68"/>
      <c r="H8" s="69">
        <f>G8*0.136+0.4+4.5+0.75</f>
        <v>5.65</v>
      </c>
      <c r="I8" s="70">
        <f t="shared" ref="I8:I51" si="1">G8-F8-H8</f>
        <v>-5.65</v>
      </c>
      <c r="J8" s="71"/>
      <c r="K8" s="72"/>
      <c r="L8" s="59" t="str">
        <f t="shared" si="0"/>
        <v/>
      </c>
      <c r="M8" s="60"/>
      <c r="N8" s="61"/>
      <c r="O8" s="62"/>
    </row>
    <row r="9" spans="1:15" ht="31.5" customHeight="1" x14ac:dyDescent="0.2">
      <c r="A9" s="73"/>
      <c r="B9" s="64"/>
      <c r="C9" s="74"/>
      <c r="D9" s="75"/>
      <c r="E9" s="76"/>
      <c r="F9" s="77"/>
      <c r="G9" s="77"/>
      <c r="H9" s="78">
        <f>G9*0.1+0+4.5+0.75</f>
        <v>5.25</v>
      </c>
      <c r="I9" s="70">
        <f t="shared" si="1"/>
        <v>-5.25</v>
      </c>
      <c r="J9" s="79"/>
      <c r="K9" s="80"/>
      <c r="L9" s="51" t="str">
        <f t="shared" si="0"/>
        <v/>
      </c>
      <c r="M9" s="52"/>
      <c r="N9" s="53"/>
      <c r="O9" s="54"/>
    </row>
    <row r="10" spans="1:15" ht="31.5" customHeight="1" x14ac:dyDescent="0.2">
      <c r="A10" s="63"/>
      <c r="B10" s="64"/>
      <c r="C10" s="65"/>
      <c r="D10" s="66"/>
      <c r="E10" s="67"/>
      <c r="F10" s="68"/>
      <c r="G10" s="68"/>
      <c r="H10" s="69">
        <f>G10*0.136+0.4+4.5+0.75</f>
        <v>5.65</v>
      </c>
      <c r="I10" s="70">
        <f t="shared" si="1"/>
        <v>-5.65</v>
      </c>
      <c r="J10" s="71"/>
      <c r="K10" s="72"/>
      <c r="L10" s="59" t="str">
        <f t="shared" si="0"/>
        <v/>
      </c>
      <c r="M10" s="60"/>
      <c r="N10" s="61"/>
      <c r="O10" s="62"/>
    </row>
    <row r="11" spans="1:15" ht="31.5" customHeight="1" x14ac:dyDescent="0.2">
      <c r="A11" s="73"/>
      <c r="B11" s="64"/>
      <c r="C11" s="74"/>
      <c r="D11" s="75"/>
      <c r="E11" s="76"/>
      <c r="F11" s="77"/>
      <c r="G11" s="77"/>
      <c r="H11" s="78">
        <f>G11*0.136+0.4+4.5+0.75</f>
        <v>5.65</v>
      </c>
      <c r="I11" s="70">
        <f t="shared" si="1"/>
        <v>-5.65</v>
      </c>
      <c r="J11" s="79"/>
      <c r="K11" s="80"/>
      <c r="L11" s="51" t="str">
        <f t="shared" si="0"/>
        <v/>
      </c>
      <c r="M11" s="52"/>
      <c r="N11" s="53"/>
      <c r="O11" s="54"/>
    </row>
    <row r="12" spans="1:15" ht="31.5" customHeight="1" x14ac:dyDescent="0.2">
      <c r="A12" s="63"/>
      <c r="B12" s="64"/>
      <c r="C12" s="65"/>
      <c r="D12" s="66"/>
      <c r="E12" s="67"/>
      <c r="F12" s="68"/>
      <c r="G12" s="68"/>
      <c r="H12" s="69">
        <f>G12*0.136+0.4+4.5+0.75</f>
        <v>5.65</v>
      </c>
      <c r="I12" s="70">
        <f t="shared" si="1"/>
        <v>-5.65</v>
      </c>
      <c r="J12" s="71"/>
      <c r="K12" s="72"/>
      <c r="L12" s="59" t="str">
        <f t="shared" si="0"/>
        <v/>
      </c>
      <c r="M12" s="60"/>
      <c r="N12" s="61"/>
      <c r="O12" s="62"/>
    </row>
    <row r="13" spans="1:15" ht="31.5" customHeight="1" x14ac:dyDescent="0.2">
      <c r="A13" s="73"/>
      <c r="B13" s="64"/>
      <c r="C13" s="74"/>
      <c r="D13" s="75"/>
      <c r="E13" s="76"/>
      <c r="F13" s="77"/>
      <c r="G13" s="77"/>
      <c r="H13" s="78">
        <f>G13*0.1+0+4.5+0.75</f>
        <v>5.25</v>
      </c>
      <c r="I13" s="70">
        <f t="shared" si="1"/>
        <v>-5.25</v>
      </c>
      <c r="J13" s="79"/>
      <c r="K13" s="80"/>
      <c r="L13" s="51" t="str">
        <f t="shared" si="0"/>
        <v/>
      </c>
      <c r="M13" s="52"/>
      <c r="N13" s="53"/>
      <c r="O13" s="54"/>
    </row>
    <row r="14" spans="1:15" ht="31.5" customHeight="1" x14ac:dyDescent="0.2">
      <c r="A14" s="63"/>
      <c r="B14" s="64"/>
      <c r="C14" s="65"/>
      <c r="D14" s="66"/>
      <c r="E14" s="67"/>
      <c r="F14" s="68"/>
      <c r="G14" s="68"/>
      <c r="H14" s="69">
        <f>G14*0.136+0.4+4.5+0.75</f>
        <v>5.65</v>
      </c>
      <c r="I14" s="70">
        <f t="shared" si="1"/>
        <v>-5.65</v>
      </c>
      <c r="J14" s="71"/>
      <c r="K14" s="72"/>
      <c r="L14" s="59" t="str">
        <f t="shared" si="0"/>
        <v/>
      </c>
      <c r="M14" s="60"/>
      <c r="N14" s="61"/>
      <c r="O14" s="62"/>
    </row>
    <row r="15" spans="1:15" ht="31.5" customHeight="1" x14ac:dyDescent="0.2">
      <c r="A15" s="73"/>
      <c r="B15" s="64"/>
      <c r="C15" s="74"/>
      <c r="D15" s="75"/>
      <c r="E15" s="76"/>
      <c r="F15" s="77"/>
      <c r="G15" s="77"/>
      <c r="H15" s="78">
        <f>G15*0.136+0.4+4.5+0.75</f>
        <v>5.65</v>
      </c>
      <c r="I15" s="70">
        <f t="shared" si="1"/>
        <v>-5.65</v>
      </c>
      <c r="J15" s="79"/>
      <c r="K15" s="80"/>
      <c r="L15" s="51" t="str">
        <f t="shared" si="0"/>
        <v/>
      </c>
      <c r="M15" s="52"/>
      <c r="N15" s="53"/>
      <c r="O15" s="54"/>
    </row>
    <row r="16" spans="1:15" ht="31.5" customHeight="1" x14ac:dyDescent="0.2">
      <c r="A16" s="63"/>
      <c r="B16" s="64"/>
      <c r="C16" s="65"/>
      <c r="D16" s="66"/>
      <c r="E16" s="67"/>
      <c r="F16" s="68"/>
      <c r="G16" s="68"/>
      <c r="H16" s="69">
        <f>G16*0.136+0.4+4.5+0.75</f>
        <v>5.65</v>
      </c>
      <c r="I16" s="70">
        <f t="shared" si="1"/>
        <v>-5.65</v>
      </c>
      <c r="J16" s="71"/>
      <c r="K16" s="72"/>
      <c r="L16" s="59" t="str">
        <f t="shared" si="0"/>
        <v/>
      </c>
      <c r="M16" s="60"/>
      <c r="N16" s="61"/>
      <c r="O16" s="62"/>
    </row>
    <row r="17" spans="1:15" ht="31.5" customHeight="1" x14ac:dyDescent="0.2">
      <c r="A17" s="73"/>
      <c r="B17" s="64"/>
      <c r="C17" s="74"/>
      <c r="D17" s="75"/>
      <c r="E17" s="76"/>
      <c r="F17" s="77"/>
      <c r="G17" s="77"/>
      <c r="H17" s="78">
        <f>G17*0.1+0+4.5+0.75</f>
        <v>5.25</v>
      </c>
      <c r="I17" s="70">
        <f t="shared" si="1"/>
        <v>-5.25</v>
      </c>
      <c r="J17" s="79"/>
      <c r="K17" s="80"/>
      <c r="L17" s="51" t="str">
        <f t="shared" si="0"/>
        <v/>
      </c>
      <c r="M17" s="52"/>
      <c r="N17" s="53"/>
      <c r="O17" s="54"/>
    </row>
    <row r="18" spans="1:15" ht="31.5" customHeight="1" x14ac:dyDescent="0.2">
      <c r="A18" s="63"/>
      <c r="B18" s="64"/>
      <c r="C18" s="65"/>
      <c r="D18" s="66"/>
      <c r="E18" s="67"/>
      <c r="F18" s="68"/>
      <c r="G18" s="68"/>
      <c r="H18" s="69">
        <f>G18*0.1+0+4.5+0.75</f>
        <v>5.25</v>
      </c>
      <c r="I18" s="70">
        <f t="shared" si="1"/>
        <v>-5.25</v>
      </c>
      <c r="J18" s="71"/>
      <c r="K18" s="72"/>
      <c r="L18" s="59" t="str">
        <f t="shared" si="0"/>
        <v/>
      </c>
      <c r="M18" s="60"/>
      <c r="N18" s="61"/>
      <c r="O18" s="62"/>
    </row>
    <row r="19" spans="1:15" ht="31.5" customHeight="1" x14ac:dyDescent="0.2">
      <c r="A19" s="73"/>
      <c r="B19" s="64"/>
      <c r="C19" s="74"/>
      <c r="D19" s="75"/>
      <c r="E19" s="76"/>
      <c r="F19" s="77"/>
      <c r="G19" s="77"/>
      <c r="H19" s="78">
        <f>G19*0.136+0.4+4.5+0.75</f>
        <v>5.65</v>
      </c>
      <c r="I19" s="70">
        <f t="shared" si="1"/>
        <v>-5.65</v>
      </c>
      <c r="J19" s="79"/>
      <c r="K19" s="80"/>
      <c r="L19" s="51" t="str">
        <f t="shared" si="0"/>
        <v/>
      </c>
      <c r="M19" s="52"/>
      <c r="N19" s="53"/>
      <c r="O19" s="54"/>
    </row>
    <row r="20" spans="1:15" ht="31.5" customHeight="1" x14ac:dyDescent="0.2">
      <c r="A20" s="63"/>
      <c r="B20" s="64"/>
      <c r="C20" s="65"/>
      <c r="D20" s="66"/>
      <c r="E20" s="67"/>
      <c r="F20" s="68"/>
      <c r="G20" s="68"/>
      <c r="H20" s="69">
        <f>G20*0.1+0+4.5+0.75</f>
        <v>5.25</v>
      </c>
      <c r="I20" s="70">
        <f t="shared" si="1"/>
        <v>-5.25</v>
      </c>
      <c r="J20" s="71"/>
      <c r="K20" s="72"/>
      <c r="L20" s="59" t="str">
        <f t="shared" si="0"/>
        <v/>
      </c>
      <c r="M20" s="60"/>
      <c r="N20" s="61"/>
      <c r="O20" s="62"/>
    </row>
    <row r="21" spans="1:15" ht="31.5" customHeight="1" x14ac:dyDescent="0.2">
      <c r="A21" s="73"/>
      <c r="B21" s="64"/>
      <c r="C21" s="74"/>
      <c r="D21" s="75"/>
      <c r="E21" s="76"/>
      <c r="F21" s="77"/>
      <c r="G21" s="77"/>
      <c r="H21" s="78">
        <f>G21*0.1+0+4.5+0.75</f>
        <v>5.25</v>
      </c>
      <c r="I21" s="70">
        <f t="shared" si="1"/>
        <v>-5.25</v>
      </c>
      <c r="J21" s="79"/>
      <c r="K21" s="80"/>
      <c r="L21" s="51" t="str">
        <f t="shared" si="0"/>
        <v/>
      </c>
      <c r="M21" s="52"/>
      <c r="N21" s="53"/>
      <c r="O21" s="54"/>
    </row>
    <row r="22" spans="1:15" ht="31.5" customHeight="1" x14ac:dyDescent="0.2">
      <c r="A22" s="63"/>
      <c r="B22" s="64"/>
      <c r="C22" s="65"/>
      <c r="D22" s="66"/>
      <c r="E22" s="67"/>
      <c r="F22" s="68"/>
      <c r="G22" s="68"/>
      <c r="H22" s="69">
        <f>G22*0.1+0+4.5+0.75</f>
        <v>5.25</v>
      </c>
      <c r="I22" s="70">
        <f t="shared" si="1"/>
        <v>-5.25</v>
      </c>
      <c r="J22" s="71"/>
      <c r="K22" s="72"/>
      <c r="L22" s="59" t="str">
        <f t="shared" si="0"/>
        <v/>
      </c>
      <c r="M22" s="60"/>
      <c r="N22" s="61"/>
      <c r="O22" s="62"/>
    </row>
    <row r="23" spans="1:15" ht="31.5" customHeight="1" x14ac:dyDescent="0.2">
      <c r="A23" s="73"/>
      <c r="B23" s="64"/>
      <c r="C23" s="74"/>
      <c r="D23" s="75"/>
      <c r="E23" s="76"/>
      <c r="F23" s="77"/>
      <c r="G23" s="77"/>
      <c r="H23" s="78">
        <f>G23*0.068+0.4+4.5+0.75</f>
        <v>5.65</v>
      </c>
      <c r="I23" s="70">
        <f t="shared" si="1"/>
        <v>-5.65</v>
      </c>
      <c r="J23" s="79"/>
      <c r="K23" s="80"/>
      <c r="L23" s="51" t="str">
        <f t="shared" si="0"/>
        <v/>
      </c>
      <c r="M23" s="52"/>
      <c r="N23" s="53"/>
      <c r="O23" s="54"/>
    </row>
    <row r="24" spans="1:15" ht="31.5" customHeight="1" x14ac:dyDescent="0.2">
      <c r="A24" s="63"/>
      <c r="B24" s="64"/>
      <c r="C24" s="65"/>
      <c r="D24" s="66"/>
      <c r="E24" s="67"/>
      <c r="F24" s="68"/>
      <c r="G24" s="68"/>
      <c r="H24" s="69">
        <f>G24*0.136+0.4+4.5+0.75</f>
        <v>5.65</v>
      </c>
      <c r="I24" s="70">
        <f t="shared" si="1"/>
        <v>-5.65</v>
      </c>
      <c r="J24" s="71"/>
      <c r="K24" s="72"/>
      <c r="L24" s="59" t="str">
        <f t="shared" si="0"/>
        <v/>
      </c>
      <c r="M24" s="60"/>
      <c r="N24" s="61"/>
      <c r="O24" s="62"/>
    </row>
    <row r="25" spans="1:15" ht="31.5" customHeight="1" x14ac:dyDescent="0.2">
      <c r="A25" s="73"/>
      <c r="B25" s="64"/>
      <c r="C25" s="74"/>
      <c r="D25" s="75"/>
      <c r="E25" s="76"/>
      <c r="F25" s="77"/>
      <c r="G25" s="77"/>
      <c r="H25" s="78">
        <f>G25*0.136+0.4+4.5+0.75</f>
        <v>5.65</v>
      </c>
      <c r="I25" s="70">
        <f t="shared" si="1"/>
        <v>-5.65</v>
      </c>
      <c r="J25" s="79"/>
      <c r="K25" s="80"/>
      <c r="L25" s="51" t="str">
        <f t="shared" si="0"/>
        <v/>
      </c>
      <c r="M25" s="52"/>
      <c r="N25" s="53"/>
      <c r="O25" s="54"/>
    </row>
    <row r="26" spans="1:15" ht="31.5" customHeight="1" x14ac:dyDescent="0.2">
      <c r="A26" s="63"/>
      <c r="B26" s="64"/>
      <c r="C26" s="65"/>
      <c r="D26" s="66"/>
      <c r="E26" s="67"/>
      <c r="F26" s="68"/>
      <c r="G26" s="68"/>
      <c r="H26" s="69">
        <f>G26*0.068+0.4+4.5+0.75</f>
        <v>5.65</v>
      </c>
      <c r="I26" s="70">
        <f t="shared" si="1"/>
        <v>-5.65</v>
      </c>
      <c r="J26" s="71"/>
      <c r="K26" s="72"/>
      <c r="L26" s="59" t="str">
        <f t="shared" si="0"/>
        <v/>
      </c>
      <c r="M26" s="60"/>
      <c r="N26" s="61"/>
      <c r="O26" s="62"/>
    </row>
    <row r="27" spans="1:15" ht="31.5" customHeight="1" x14ac:dyDescent="0.2">
      <c r="A27" s="73"/>
      <c r="B27" s="64"/>
      <c r="C27" s="74"/>
      <c r="D27" s="75"/>
      <c r="E27" s="76"/>
      <c r="F27" s="77"/>
      <c r="G27" s="77"/>
      <c r="H27" s="78">
        <f>G27*0.1+0+4.5+0.75</f>
        <v>5.25</v>
      </c>
      <c r="I27" s="70">
        <f t="shared" si="1"/>
        <v>-5.25</v>
      </c>
      <c r="J27" s="79"/>
      <c r="K27" s="80"/>
      <c r="L27" s="51" t="str">
        <f t="shared" si="0"/>
        <v/>
      </c>
      <c r="M27" s="52"/>
      <c r="N27" s="53"/>
      <c r="O27" s="54"/>
    </row>
    <row r="28" spans="1:15" ht="31.5" customHeight="1" x14ac:dyDescent="0.2">
      <c r="A28" s="63"/>
      <c r="B28" s="64"/>
      <c r="C28" s="65"/>
      <c r="D28" s="66"/>
      <c r="E28" s="67"/>
      <c r="F28" s="68"/>
      <c r="G28" s="68"/>
      <c r="H28" s="69">
        <f>G28*0.136+0.4+4.5+0.75</f>
        <v>5.65</v>
      </c>
      <c r="I28" s="70">
        <f t="shared" si="1"/>
        <v>-5.65</v>
      </c>
      <c r="J28" s="71"/>
      <c r="K28" s="72"/>
      <c r="L28" s="59" t="str">
        <f t="shared" si="0"/>
        <v/>
      </c>
      <c r="M28" s="81"/>
      <c r="N28" s="61"/>
      <c r="O28" s="82"/>
    </row>
    <row r="29" spans="1:15" ht="31.5" customHeight="1" x14ac:dyDescent="0.2">
      <c r="A29" s="73"/>
      <c r="B29" s="64"/>
      <c r="C29" s="74"/>
      <c r="D29" s="75"/>
      <c r="E29" s="76"/>
      <c r="F29" s="77"/>
      <c r="G29" s="77"/>
      <c r="H29" s="78">
        <f>G29*0.1+0+4.5+0.75</f>
        <v>5.25</v>
      </c>
      <c r="I29" s="70">
        <f t="shared" si="1"/>
        <v>-5.25</v>
      </c>
      <c r="J29" s="79"/>
      <c r="K29" s="80"/>
      <c r="L29" s="51" t="str">
        <f t="shared" si="0"/>
        <v/>
      </c>
      <c r="M29" s="52"/>
      <c r="N29" s="53"/>
      <c r="O29" s="54"/>
    </row>
    <row r="30" spans="1:15" ht="31.5" customHeight="1" x14ac:dyDescent="0.2">
      <c r="A30" s="63"/>
      <c r="B30" s="83"/>
      <c r="C30" s="65"/>
      <c r="D30" s="66"/>
      <c r="E30" s="67"/>
      <c r="F30" s="68"/>
      <c r="G30" s="68"/>
      <c r="H30" s="69">
        <f>G30*0.136+0.4+4.5+0.75</f>
        <v>5.65</v>
      </c>
      <c r="I30" s="70">
        <f t="shared" si="1"/>
        <v>-5.65</v>
      </c>
      <c r="J30" s="71"/>
      <c r="K30" s="72"/>
      <c r="L30" s="59" t="str">
        <f t="shared" si="0"/>
        <v/>
      </c>
      <c r="M30" s="60"/>
      <c r="N30" s="61"/>
      <c r="O30" s="62"/>
    </row>
    <row r="31" spans="1:15" ht="31.5" customHeight="1" x14ac:dyDescent="0.2">
      <c r="A31" s="73"/>
      <c r="B31" s="83"/>
      <c r="C31" s="74"/>
      <c r="D31" s="75"/>
      <c r="E31" s="76"/>
      <c r="F31" s="77"/>
      <c r="G31" s="77"/>
      <c r="H31" s="78">
        <f>G31*0.136+0.4+4.5+0.75</f>
        <v>5.65</v>
      </c>
      <c r="I31" s="70">
        <f t="shared" si="1"/>
        <v>-5.65</v>
      </c>
      <c r="J31" s="79"/>
      <c r="K31" s="80"/>
      <c r="L31" s="51" t="str">
        <f t="shared" si="0"/>
        <v/>
      </c>
      <c r="M31" s="52"/>
      <c r="N31" s="53"/>
      <c r="O31" s="54"/>
    </row>
    <row r="32" spans="1:15" ht="31.5" customHeight="1" x14ac:dyDescent="0.2">
      <c r="A32" s="63"/>
      <c r="B32" s="83"/>
      <c r="C32" s="65"/>
      <c r="D32" s="66"/>
      <c r="E32" s="67"/>
      <c r="F32" s="68"/>
      <c r="G32" s="68"/>
      <c r="H32" s="69">
        <f>G32*0.136+0.4+4.5+0.75</f>
        <v>5.65</v>
      </c>
      <c r="I32" s="70">
        <f t="shared" si="1"/>
        <v>-5.65</v>
      </c>
      <c r="J32" s="71"/>
      <c r="K32" s="72"/>
      <c r="L32" s="59" t="str">
        <f t="shared" si="0"/>
        <v/>
      </c>
      <c r="M32" s="60"/>
      <c r="N32" s="61"/>
      <c r="O32" s="62"/>
    </row>
    <row r="33" spans="1:15" ht="31.5" customHeight="1" x14ac:dyDescent="0.2">
      <c r="A33" s="73"/>
      <c r="B33" s="83"/>
      <c r="C33" s="74"/>
      <c r="D33" s="75"/>
      <c r="E33" s="76"/>
      <c r="F33" s="77"/>
      <c r="G33" s="77"/>
      <c r="H33" s="78">
        <f>G33*0.1+0+4.5+0.75</f>
        <v>5.25</v>
      </c>
      <c r="I33" s="70">
        <f t="shared" si="1"/>
        <v>-5.25</v>
      </c>
      <c r="J33" s="79"/>
      <c r="K33" s="80"/>
      <c r="L33" s="51" t="str">
        <f t="shared" si="0"/>
        <v/>
      </c>
      <c r="M33" s="52"/>
      <c r="N33" s="53"/>
      <c r="O33" s="54"/>
    </row>
    <row r="34" spans="1:15" ht="31.5" customHeight="1" x14ac:dyDescent="0.2">
      <c r="A34" s="63"/>
      <c r="B34" s="83"/>
      <c r="C34" s="65"/>
      <c r="D34" s="66"/>
      <c r="E34" s="67"/>
      <c r="F34" s="68"/>
      <c r="G34" s="68"/>
      <c r="H34" s="69">
        <f>G34*0.136+0.4+4.5+0.75</f>
        <v>5.65</v>
      </c>
      <c r="I34" s="70">
        <f t="shared" si="1"/>
        <v>-5.65</v>
      </c>
      <c r="J34" s="71"/>
      <c r="K34" s="72"/>
      <c r="L34" s="59" t="str">
        <f t="shared" si="0"/>
        <v/>
      </c>
      <c r="M34" s="60"/>
      <c r="N34" s="61"/>
      <c r="O34" s="62"/>
    </row>
    <row r="35" spans="1:15" ht="31.5" customHeight="1" x14ac:dyDescent="0.2">
      <c r="A35" s="73"/>
      <c r="B35" s="83"/>
      <c r="C35" s="74"/>
      <c r="D35" s="75"/>
      <c r="E35" s="76"/>
      <c r="F35" s="77"/>
      <c r="G35" s="77"/>
      <c r="H35" s="78">
        <f>G35*0.136+0.4+4.5+0.75</f>
        <v>5.65</v>
      </c>
      <c r="I35" s="70">
        <f t="shared" si="1"/>
        <v>-5.65</v>
      </c>
      <c r="J35" s="79"/>
      <c r="K35" s="80"/>
      <c r="L35" s="51" t="str">
        <f t="shared" si="0"/>
        <v/>
      </c>
      <c r="M35" s="52"/>
      <c r="N35" s="53"/>
      <c r="O35" s="54"/>
    </row>
    <row r="36" spans="1:15" ht="31.5" customHeight="1" x14ac:dyDescent="0.2">
      <c r="A36" s="63"/>
      <c r="B36" s="83"/>
      <c r="C36" s="65"/>
      <c r="D36" s="66"/>
      <c r="E36" s="67"/>
      <c r="F36" s="68"/>
      <c r="G36" s="68"/>
      <c r="H36" s="69">
        <f>G36*0.136+0.4+4.5+0.75</f>
        <v>5.65</v>
      </c>
      <c r="I36" s="70">
        <f t="shared" si="1"/>
        <v>-5.65</v>
      </c>
      <c r="J36" s="71"/>
      <c r="K36" s="72"/>
      <c r="L36" s="59" t="str">
        <f t="shared" si="0"/>
        <v/>
      </c>
      <c r="M36" s="60"/>
      <c r="N36" s="61"/>
      <c r="O36" s="62"/>
    </row>
    <row r="37" spans="1:15" ht="31.5" customHeight="1" x14ac:dyDescent="0.2">
      <c r="A37" s="73"/>
      <c r="B37" s="83"/>
      <c r="C37" s="74"/>
      <c r="D37" s="75"/>
      <c r="E37" s="76"/>
      <c r="F37" s="77"/>
      <c r="G37" s="77"/>
      <c r="H37" s="78">
        <f>G37*0.1+0+4.5+0.75</f>
        <v>5.25</v>
      </c>
      <c r="I37" s="70">
        <f t="shared" si="1"/>
        <v>-5.25</v>
      </c>
      <c r="J37" s="79"/>
      <c r="K37" s="80"/>
      <c r="L37" s="51" t="str">
        <f t="shared" si="0"/>
        <v/>
      </c>
      <c r="M37" s="52"/>
      <c r="N37" s="53"/>
      <c r="O37" s="54"/>
    </row>
    <row r="38" spans="1:15" ht="31.5" customHeight="1" x14ac:dyDescent="0.2">
      <c r="A38" s="63"/>
      <c r="B38" s="83"/>
      <c r="C38" s="65"/>
      <c r="D38" s="66"/>
      <c r="E38" s="67"/>
      <c r="F38" s="68"/>
      <c r="G38" s="68"/>
      <c r="H38" s="69">
        <f>G38*0.136+0.4+4.5+0.75</f>
        <v>5.65</v>
      </c>
      <c r="I38" s="70">
        <f t="shared" si="1"/>
        <v>-5.65</v>
      </c>
      <c r="J38" s="71"/>
      <c r="K38" s="72"/>
      <c r="L38" s="59" t="str">
        <f t="shared" si="0"/>
        <v/>
      </c>
      <c r="M38" s="60"/>
      <c r="N38" s="61"/>
      <c r="O38" s="62"/>
    </row>
    <row r="39" spans="1:15" ht="31.5" customHeight="1" x14ac:dyDescent="0.2">
      <c r="A39" s="73"/>
      <c r="B39" s="83"/>
      <c r="C39" s="74"/>
      <c r="D39" s="75"/>
      <c r="E39" s="76"/>
      <c r="F39" s="77"/>
      <c r="G39" s="77"/>
      <c r="H39" s="78">
        <f>G39*0.1+0+4.5+0.75</f>
        <v>5.25</v>
      </c>
      <c r="I39" s="70">
        <f t="shared" si="1"/>
        <v>-5.25</v>
      </c>
      <c r="J39" s="79"/>
      <c r="K39" s="80"/>
      <c r="L39" s="51" t="str">
        <f t="shared" si="0"/>
        <v/>
      </c>
      <c r="M39" s="52"/>
      <c r="N39" s="53"/>
      <c r="O39" s="54"/>
    </row>
    <row r="40" spans="1:15" ht="31.5" customHeight="1" x14ac:dyDescent="0.2">
      <c r="A40" s="63"/>
      <c r="B40" s="83"/>
      <c r="C40" s="65"/>
      <c r="D40" s="66"/>
      <c r="E40" s="67"/>
      <c r="F40" s="68"/>
      <c r="G40" s="68"/>
      <c r="H40" s="69">
        <f>G40*0.136+0.4+4.5+0.75</f>
        <v>5.65</v>
      </c>
      <c r="I40" s="70">
        <f t="shared" si="1"/>
        <v>-5.65</v>
      </c>
      <c r="J40" s="71"/>
      <c r="K40" s="72"/>
      <c r="L40" s="59" t="str">
        <f t="shared" si="0"/>
        <v/>
      </c>
      <c r="M40" s="60"/>
      <c r="N40" s="61"/>
      <c r="O40" s="62"/>
    </row>
    <row r="41" spans="1:15" ht="31.5" customHeight="1" x14ac:dyDescent="0.2">
      <c r="A41" s="73"/>
      <c r="B41" s="83"/>
      <c r="C41" s="74"/>
      <c r="D41" s="75"/>
      <c r="E41" s="76"/>
      <c r="F41" s="77"/>
      <c r="G41" s="77"/>
      <c r="H41" s="78">
        <f t="shared" ref="H41:H47" si="2">G41*0.1+0+4.5+0.75</f>
        <v>5.25</v>
      </c>
      <c r="I41" s="70">
        <f t="shared" si="1"/>
        <v>-5.25</v>
      </c>
      <c r="J41" s="79"/>
      <c r="K41" s="80"/>
      <c r="L41" s="51" t="str">
        <f t="shared" si="0"/>
        <v/>
      </c>
      <c r="M41" s="52"/>
      <c r="N41" s="53"/>
      <c r="O41" s="54"/>
    </row>
    <row r="42" spans="1:15" ht="31.5" customHeight="1" x14ac:dyDescent="0.2">
      <c r="A42" s="63"/>
      <c r="B42" s="83"/>
      <c r="C42" s="65"/>
      <c r="D42" s="66"/>
      <c r="E42" s="67"/>
      <c r="F42" s="68"/>
      <c r="G42" s="68"/>
      <c r="H42" s="69">
        <f t="shared" si="2"/>
        <v>5.25</v>
      </c>
      <c r="I42" s="70">
        <f t="shared" si="1"/>
        <v>-5.25</v>
      </c>
      <c r="J42" s="71"/>
      <c r="K42" s="72"/>
      <c r="L42" s="59" t="str">
        <f t="shared" si="0"/>
        <v/>
      </c>
      <c r="M42" s="60"/>
      <c r="N42" s="61"/>
      <c r="O42" s="62"/>
    </row>
    <row r="43" spans="1:15" ht="31.5" customHeight="1" x14ac:dyDescent="0.2">
      <c r="A43" s="73"/>
      <c r="B43" s="83"/>
      <c r="C43" s="74"/>
      <c r="D43" s="75"/>
      <c r="E43" s="76"/>
      <c r="F43" s="77"/>
      <c r="G43" s="77"/>
      <c r="H43" s="78">
        <f t="shared" si="2"/>
        <v>5.25</v>
      </c>
      <c r="I43" s="70">
        <f t="shared" si="1"/>
        <v>-5.25</v>
      </c>
      <c r="J43" s="79"/>
      <c r="K43" s="80"/>
      <c r="L43" s="51" t="str">
        <f t="shared" si="0"/>
        <v/>
      </c>
      <c r="M43" s="52"/>
      <c r="N43" s="53"/>
      <c r="O43" s="54"/>
    </row>
    <row r="44" spans="1:15" ht="31.5" customHeight="1" x14ac:dyDescent="0.2">
      <c r="A44" s="63"/>
      <c r="B44" s="83"/>
      <c r="C44" s="65"/>
      <c r="D44" s="66"/>
      <c r="E44" s="67"/>
      <c r="F44" s="68"/>
      <c r="G44" s="68"/>
      <c r="H44" s="69">
        <f t="shared" si="2"/>
        <v>5.25</v>
      </c>
      <c r="I44" s="70">
        <f t="shared" si="1"/>
        <v>-5.25</v>
      </c>
      <c r="J44" s="71"/>
      <c r="K44" s="72"/>
      <c r="L44" s="59" t="str">
        <f t="shared" si="0"/>
        <v/>
      </c>
      <c r="M44" s="60"/>
      <c r="N44" s="61"/>
      <c r="O44" s="62"/>
    </row>
    <row r="45" spans="1:15" ht="31.5" customHeight="1" x14ac:dyDescent="0.2">
      <c r="A45" s="73"/>
      <c r="B45" s="83"/>
      <c r="C45" s="74"/>
      <c r="D45" s="75"/>
      <c r="E45" s="76"/>
      <c r="F45" s="77"/>
      <c r="G45" s="77"/>
      <c r="H45" s="78">
        <f t="shared" si="2"/>
        <v>5.25</v>
      </c>
      <c r="I45" s="70">
        <f t="shared" si="1"/>
        <v>-5.25</v>
      </c>
      <c r="J45" s="79"/>
      <c r="K45" s="80"/>
      <c r="L45" s="51" t="str">
        <f t="shared" si="0"/>
        <v/>
      </c>
      <c r="M45" s="52"/>
      <c r="N45" s="53"/>
      <c r="O45" s="54"/>
    </row>
    <row r="46" spans="1:15" ht="31.5" customHeight="1" x14ac:dyDescent="0.2">
      <c r="A46" s="63"/>
      <c r="B46" s="83"/>
      <c r="C46" s="65"/>
      <c r="D46" s="66"/>
      <c r="E46" s="67"/>
      <c r="F46" s="68"/>
      <c r="G46" s="68"/>
      <c r="H46" s="69">
        <f t="shared" si="2"/>
        <v>5.25</v>
      </c>
      <c r="I46" s="70">
        <f t="shared" si="1"/>
        <v>-5.25</v>
      </c>
      <c r="J46" s="71"/>
      <c r="K46" s="72"/>
      <c r="L46" s="59" t="str">
        <f t="shared" si="0"/>
        <v/>
      </c>
      <c r="M46" s="60"/>
      <c r="N46" s="61"/>
      <c r="O46" s="62"/>
    </row>
    <row r="47" spans="1:15" ht="31.5" customHeight="1" x14ac:dyDescent="0.2">
      <c r="A47" s="73"/>
      <c r="B47" s="83"/>
      <c r="C47" s="74"/>
      <c r="D47" s="75"/>
      <c r="E47" s="76"/>
      <c r="F47" s="77"/>
      <c r="G47" s="77"/>
      <c r="H47" s="78">
        <f t="shared" si="2"/>
        <v>5.25</v>
      </c>
      <c r="I47" s="70">
        <f t="shared" si="1"/>
        <v>-5.25</v>
      </c>
      <c r="J47" s="79"/>
      <c r="K47" s="80"/>
      <c r="L47" s="51" t="str">
        <f t="shared" si="0"/>
        <v/>
      </c>
      <c r="M47" s="52"/>
      <c r="N47" s="53"/>
      <c r="O47" s="54"/>
    </row>
    <row r="48" spans="1:15" ht="31.5" customHeight="1" x14ac:dyDescent="0.2">
      <c r="A48" s="63"/>
      <c r="B48" s="83"/>
      <c r="C48" s="65"/>
      <c r="D48" s="66"/>
      <c r="E48" s="67"/>
      <c r="F48" s="68"/>
      <c r="G48" s="68"/>
      <c r="H48" s="69">
        <f>G48*0.136+0.4+4.5+0.75</f>
        <v>5.65</v>
      </c>
      <c r="I48" s="70">
        <f t="shared" si="1"/>
        <v>-5.65</v>
      </c>
      <c r="J48" s="71"/>
      <c r="K48" s="72"/>
      <c r="L48" s="59" t="str">
        <f t="shared" si="0"/>
        <v/>
      </c>
      <c r="M48" s="60"/>
      <c r="N48" s="61"/>
      <c r="O48" s="62"/>
    </row>
    <row r="49" spans="1:15" ht="31.5" customHeight="1" x14ac:dyDescent="0.2">
      <c r="A49" s="73"/>
      <c r="B49" s="83"/>
      <c r="C49" s="74"/>
      <c r="D49" s="75"/>
      <c r="E49" s="76"/>
      <c r="F49" s="77"/>
      <c r="G49" s="77"/>
      <c r="H49" s="78">
        <f>G49*0.136+0.4+4.5+0.75</f>
        <v>5.65</v>
      </c>
      <c r="I49" s="70">
        <f t="shared" si="1"/>
        <v>-5.65</v>
      </c>
      <c r="J49" s="79"/>
      <c r="K49" s="80"/>
      <c r="L49" s="51" t="str">
        <f t="shared" si="0"/>
        <v/>
      </c>
      <c r="M49" s="84"/>
      <c r="N49" s="53"/>
      <c r="O49" s="85"/>
    </row>
    <row r="50" spans="1:15" x14ac:dyDescent="0.2">
      <c r="A50" s="86"/>
      <c r="B50" s="86"/>
      <c r="C50" s="87"/>
      <c r="D50" s="86"/>
      <c r="E50" s="86"/>
      <c r="F50" s="88"/>
      <c r="G50" s="88"/>
      <c r="H50" s="88">
        <f>G50*0.136+0.4+4.5+0.75</f>
        <v>5.65</v>
      </c>
      <c r="I50" s="88">
        <f t="shared" si="1"/>
        <v>-5.65</v>
      </c>
      <c r="J50" s="86"/>
      <c r="K50" s="86"/>
      <c r="L50" s="89" t="str">
        <f t="shared" si="0"/>
        <v/>
      </c>
      <c r="M50" s="86"/>
      <c r="N50" s="88"/>
      <c r="O50" s="86"/>
    </row>
    <row r="51" spans="1:15" x14ac:dyDescent="0.2">
      <c r="A51" s="90"/>
      <c r="B51" s="90"/>
      <c r="C51" s="91"/>
      <c r="D51" s="90"/>
      <c r="E51" s="90"/>
      <c r="F51" s="92"/>
      <c r="G51" s="92"/>
      <c r="H51" s="92">
        <f>G51*0.1+0+4.5+0.75</f>
        <v>5.25</v>
      </c>
      <c r="I51" s="92">
        <f t="shared" si="1"/>
        <v>-5.25</v>
      </c>
      <c r="J51" s="90"/>
      <c r="K51" s="90"/>
      <c r="L51" s="93" t="str">
        <f t="shared" si="0"/>
        <v/>
      </c>
      <c r="M51" s="90"/>
      <c r="N51" s="92"/>
      <c r="O51" s="90"/>
    </row>
    <row r="52" spans="1:15" ht="24" customHeight="1" x14ac:dyDescent="0.2">
      <c r="A52" s="436"/>
      <c r="B52" s="395"/>
      <c r="C52" s="395"/>
      <c r="D52" s="395"/>
      <c r="E52" s="395"/>
      <c r="F52" s="395"/>
      <c r="G52" s="395"/>
      <c r="H52" s="395"/>
      <c r="I52" s="395"/>
      <c r="J52" s="395"/>
      <c r="K52" s="395"/>
      <c r="L52" s="395"/>
      <c r="M52" s="94"/>
      <c r="N52" s="96"/>
      <c r="O52" s="94"/>
    </row>
    <row r="53" spans="1:15" ht="18" customHeight="1" x14ac:dyDescent="0.2">
      <c r="A53" s="98"/>
      <c r="B53" s="99"/>
      <c r="C53" s="100"/>
      <c r="D53" s="99"/>
      <c r="E53" s="99"/>
      <c r="F53" s="101"/>
      <c r="G53" s="101"/>
      <c r="H53" s="101">
        <f t="shared" ref="H53:H58" si="3">G53*0.136+0.4+4.5+0.75</f>
        <v>5.65</v>
      </c>
      <c r="I53" s="101">
        <f t="shared" ref="I53:I72" si="4">G53-F53-H53</f>
        <v>-5.65</v>
      </c>
      <c r="J53" s="102"/>
      <c r="K53" s="99"/>
      <c r="L53" s="103" t="str">
        <f t="shared" ref="L53:L72" si="5">IFERROR(I53/G53,"")</f>
        <v/>
      </c>
      <c r="M53" s="99"/>
      <c r="N53" s="101"/>
      <c r="O53" s="99"/>
    </row>
    <row r="54" spans="1:15" ht="48" customHeight="1" x14ac:dyDescent="0.2">
      <c r="A54" s="104"/>
      <c r="B54" s="105"/>
      <c r="C54" s="106"/>
      <c r="D54" s="105"/>
      <c r="E54" s="105"/>
      <c r="F54" s="107"/>
      <c r="G54" s="107"/>
      <c r="H54" s="107">
        <f t="shared" si="3"/>
        <v>5.65</v>
      </c>
      <c r="I54" s="107">
        <f t="shared" si="4"/>
        <v>-5.65</v>
      </c>
      <c r="J54" s="108"/>
      <c r="K54" s="105"/>
      <c r="L54" s="109" t="str">
        <f t="shared" si="5"/>
        <v/>
      </c>
      <c r="M54" s="105"/>
      <c r="N54" s="107"/>
      <c r="O54" s="105"/>
    </row>
    <row r="55" spans="1:15" ht="18" customHeight="1" x14ac:dyDescent="0.2">
      <c r="A55" s="98"/>
      <c r="B55" s="99"/>
      <c r="C55" s="100"/>
      <c r="D55" s="99"/>
      <c r="E55" s="99"/>
      <c r="F55" s="101"/>
      <c r="G55" s="101"/>
      <c r="H55" s="101">
        <f t="shared" si="3"/>
        <v>5.65</v>
      </c>
      <c r="I55" s="101">
        <f t="shared" si="4"/>
        <v>-5.65</v>
      </c>
      <c r="J55" s="102"/>
      <c r="K55" s="99"/>
      <c r="L55" s="103" t="str">
        <f t="shared" si="5"/>
        <v/>
      </c>
      <c r="M55" s="99"/>
      <c r="N55" s="101"/>
      <c r="O55" s="99"/>
    </row>
    <row r="56" spans="1:15" ht="18" customHeight="1" x14ac:dyDescent="0.2">
      <c r="A56" s="104"/>
      <c r="B56" s="105"/>
      <c r="C56" s="106"/>
      <c r="D56" s="105"/>
      <c r="E56" s="105"/>
      <c r="F56" s="107"/>
      <c r="G56" s="107"/>
      <c r="H56" s="107">
        <f t="shared" si="3"/>
        <v>5.65</v>
      </c>
      <c r="I56" s="107">
        <f t="shared" si="4"/>
        <v>-5.65</v>
      </c>
      <c r="J56" s="108"/>
      <c r="K56" s="105"/>
      <c r="L56" s="109" t="str">
        <f t="shared" si="5"/>
        <v/>
      </c>
      <c r="M56" s="105"/>
      <c r="N56" s="107"/>
      <c r="O56" s="105"/>
    </row>
    <row r="57" spans="1:15" ht="18" customHeight="1" x14ac:dyDescent="0.2">
      <c r="A57" s="98"/>
      <c r="B57" s="99"/>
      <c r="C57" s="100"/>
      <c r="D57" s="99"/>
      <c r="E57" s="99"/>
      <c r="F57" s="101"/>
      <c r="G57" s="101"/>
      <c r="H57" s="101">
        <f t="shared" si="3"/>
        <v>5.65</v>
      </c>
      <c r="I57" s="101">
        <f t="shared" si="4"/>
        <v>-5.65</v>
      </c>
      <c r="J57" s="102"/>
      <c r="K57" s="99"/>
      <c r="L57" s="103" t="str">
        <f t="shared" si="5"/>
        <v/>
      </c>
      <c r="M57" s="99"/>
      <c r="N57" s="101"/>
      <c r="O57" s="99"/>
    </row>
    <row r="58" spans="1:15" ht="18" customHeight="1" x14ac:dyDescent="0.2">
      <c r="A58" s="104"/>
      <c r="B58" s="105"/>
      <c r="C58" s="106"/>
      <c r="D58" s="105"/>
      <c r="E58" s="105"/>
      <c r="F58" s="107"/>
      <c r="G58" s="107"/>
      <c r="H58" s="107">
        <f t="shared" si="3"/>
        <v>5.65</v>
      </c>
      <c r="I58" s="107">
        <f t="shared" si="4"/>
        <v>-5.65</v>
      </c>
      <c r="J58" s="108"/>
      <c r="K58" s="105"/>
      <c r="L58" s="109" t="str">
        <f t="shared" si="5"/>
        <v/>
      </c>
      <c r="M58" s="105"/>
      <c r="N58" s="107"/>
      <c r="O58" s="105"/>
    </row>
    <row r="59" spans="1:15" ht="18" customHeight="1" x14ac:dyDescent="0.2">
      <c r="A59" s="98"/>
      <c r="B59" s="99"/>
      <c r="C59" s="100"/>
      <c r="D59" s="99"/>
      <c r="E59" s="99"/>
      <c r="F59" s="101"/>
      <c r="G59" s="101"/>
      <c r="H59" s="101">
        <f>G59*0.1+0+4.5+0.75</f>
        <v>5.25</v>
      </c>
      <c r="I59" s="101">
        <f t="shared" si="4"/>
        <v>-5.25</v>
      </c>
      <c r="J59" s="102"/>
      <c r="K59" s="99"/>
      <c r="L59" s="103" t="str">
        <f t="shared" si="5"/>
        <v/>
      </c>
      <c r="M59" s="99"/>
      <c r="N59" s="101"/>
      <c r="O59" s="99"/>
    </row>
    <row r="60" spans="1:15" ht="18" customHeight="1" x14ac:dyDescent="0.2">
      <c r="A60" s="104"/>
      <c r="B60" s="105"/>
      <c r="C60" s="106"/>
      <c r="D60" s="105"/>
      <c r="E60" s="105"/>
      <c r="F60" s="107"/>
      <c r="G60" s="107"/>
      <c r="H60" s="107">
        <f>G60*0.136+0.4+4.5+0.75</f>
        <v>5.65</v>
      </c>
      <c r="I60" s="107">
        <f t="shared" si="4"/>
        <v>-5.65</v>
      </c>
      <c r="J60" s="108"/>
      <c r="K60" s="105"/>
      <c r="L60" s="109" t="str">
        <f t="shared" si="5"/>
        <v/>
      </c>
      <c r="M60" s="105"/>
      <c r="N60" s="107"/>
      <c r="O60" s="105"/>
    </row>
    <row r="61" spans="1:15" ht="18" customHeight="1" x14ac:dyDescent="0.2">
      <c r="A61" s="98"/>
      <c r="B61" s="99"/>
      <c r="C61" s="100"/>
      <c r="D61" s="99"/>
      <c r="E61" s="99"/>
      <c r="F61" s="101"/>
      <c r="G61" s="101"/>
      <c r="H61" s="101">
        <f>G61*0.136+0.4+4.5+0.75</f>
        <v>5.65</v>
      </c>
      <c r="I61" s="101">
        <f t="shared" si="4"/>
        <v>-5.65</v>
      </c>
      <c r="J61" s="102"/>
      <c r="K61" s="99"/>
      <c r="L61" s="103" t="str">
        <f t="shared" si="5"/>
        <v/>
      </c>
      <c r="M61" s="99"/>
      <c r="N61" s="101"/>
      <c r="O61" s="99"/>
    </row>
    <row r="62" spans="1:15" ht="18" customHeight="1" x14ac:dyDescent="0.2">
      <c r="A62" s="104"/>
      <c r="B62" s="105"/>
      <c r="C62" s="106"/>
      <c r="D62" s="105"/>
      <c r="E62" s="105"/>
      <c r="F62" s="107"/>
      <c r="G62" s="107"/>
      <c r="H62" s="107">
        <f>G62*0.136+0.4+4.5+0.75</f>
        <v>5.65</v>
      </c>
      <c r="I62" s="107">
        <f t="shared" si="4"/>
        <v>-5.65</v>
      </c>
      <c r="J62" s="108"/>
      <c r="K62" s="105"/>
      <c r="L62" s="109" t="str">
        <f t="shared" si="5"/>
        <v/>
      </c>
      <c r="M62" s="105"/>
      <c r="N62" s="107"/>
      <c r="O62" s="105"/>
    </row>
    <row r="63" spans="1:15" ht="18" customHeight="1" x14ac:dyDescent="0.2">
      <c r="A63" s="98"/>
      <c r="B63" s="99"/>
      <c r="C63" s="100"/>
      <c r="D63" s="99"/>
      <c r="E63" s="99"/>
      <c r="F63" s="101"/>
      <c r="G63" s="101"/>
      <c r="H63" s="101">
        <f>G63*0.136+0.4+4.5+0.75</f>
        <v>5.65</v>
      </c>
      <c r="I63" s="101">
        <f t="shared" si="4"/>
        <v>-5.65</v>
      </c>
      <c r="J63" s="102"/>
      <c r="K63" s="99"/>
      <c r="L63" s="103" t="str">
        <f t="shared" si="5"/>
        <v/>
      </c>
      <c r="M63" s="99"/>
      <c r="N63" s="101"/>
      <c r="O63" s="99"/>
    </row>
    <row r="64" spans="1:15" ht="18" customHeight="1" x14ac:dyDescent="0.2">
      <c r="A64" s="104"/>
      <c r="B64" s="105"/>
      <c r="C64" s="106"/>
      <c r="D64" s="105"/>
      <c r="E64" s="105"/>
      <c r="F64" s="107"/>
      <c r="G64" s="107"/>
      <c r="H64" s="107">
        <f>G64*0.136+0.4+4.5+0.75</f>
        <v>5.65</v>
      </c>
      <c r="I64" s="107">
        <f t="shared" si="4"/>
        <v>-5.65</v>
      </c>
      <c r="J64" s="108"/>
      <c r="K64" s="105"/>
      <c r="L64" s="109" t="str">
        <f t="shared" si="5"/>
        <v/>
      </c>
      <c r="M64" s="105"/>
      <c r="N64" s="107"/>
      <c r="O64" s="105"/>
    </row>
    <row r="65" spans="1:15" ht="18" customHeight="1" x14ac:dyDescent="0.2">
      <c r="A65" s="98"/>
      <c r="B65" s="99"/>
      <c r="C65" s="100"/>
      <c r="D65" s="99"/>
      <c r="E65" s="99"/>
      <c r="F65" s="101"/>
      <c r="G65" s="101"/>
      <c r="H65" s="101">
        <f>G65*0.1+0+4.5+0.75</f>
        <v>5.25</v>
      </c>
      <c r="I65" s="101">
        <f t="shared" si="4"/>
        <v>-5.25</v>
      </c>
      <c r="J65" s="102"/>
      <c r="K65" s="99"/>
      <c r="L65" s="103" t="str">
        <f t="shared" si="5"/>
        <v/>
      </c>
      <c r="M65" s="99"/>
      <c r="N65" s="101"/>
      <c r="O65" s="99"/>
    </row>
    <row r="66" spans="1:15" ht="18" customHeight="1" x14ac:dyDescent="0.2">
      <c r="A66" s="104"/>
      <c r="B66" s="105"/>
      <c r="C66" s="106"/>
      <c r="D66" s="105"/>
      <c r="E66" s="105"/>
      <c r="F66" s="107"/>
      <c r="G66" s="107"/>
      <c r="H66" s="107">
        <f>G66*0.1+0+4.5+0.75</f>
        <v>5.25</v>
      </c>
      <c r="I66" s="107">
        <f t="shared" si="4"/>
        <v>-5.25</v>
      </c>
      <c r="J66" s="108"/>
      <c r="K66" s="105"/>
      <c r="L66" s="109" t="str">
        <f t="shared" si="5"/>
        <v/>
      </c>
      <c r="M66" s="105"/>
      <c r="N66" s="107"/>
      <c r="O66" s="105"/>
    </row>
    <row r="67" spans="1:15" ht="18" customHeight="1" x14ac:dyDescent="0.2">
      <c r="A67" s="98"/>
      <c r="B67" s="99"/>
      <c r="C67" s="100"/>
      <c r="D67" s="99"/>
      <c r="E67" s="99"/>
      <c r="F67" s="101"/>
      <c r="G67" s="101"/>
      <c r="H67" s="101">
        <f>G67*0.136+0.4+4.5+0.75</f>
        <v>5.65</v>
      </c>
      <c r="I67" s="101">
        <f t="shared" si="4"/>
        <v>-5.65</v>
      </c>
      <c r="J67" s="102"/>
      <c r="K67" s="99"/>
      <c r="L67" s="103" t="str">
        <f t="shared" si="5"/>
        <v/>
      </c>
      <c r="M67" s="99"/>
      <c r="N67" s="101"/>
      <c r="O67" s="99"/>
    </row>
    <row r="68" spans="1:15" ht="18" customHeight="1" x14ac:dyDescent="0.2">
      <c r="A68" s="104"/>
      <c r="B68" s="105"/>
      <c r="C68" s="106"/>
      <c r="D68" s="105"/>
      <c r="E68" s="105"/>
      <c r="F68" s="107"/>
      <c r="G68" s="107"/>
      <c r="H68" s="107">
        <f>G68*0.1+0+4.5+0.75</f>
        <v>5.25</v>
      </c>
      <c r="I68" s="107">
        <f t="shared" si="4"/>
        <v>-5.25</v>
      </c>
      <c r="J68" s="108"/>
      <c r="K68" s="105"/>
      <c r="L68" s="109" t="str">
        <f t="shared" si="5"/>
        <v/>
      </c>
      <c r="M68" s="105"/>
      <c r="N68" s="107"/>
      <c r="O68" s="105"/>
    </row>
    <row r="69" spans="1:15" ht="18" customHeight="1" x14ac:dyDescent="0.2">
      <c r="A69" s="98"/>
      <c r="B69" s="99"/>
      <c r="C69" s="100"/>
      <c r="D69" s="99"/>
      <c r="E69" s="99"/>
      <c r="F69" s="101"/>
      <c r="G69" s="101"/>
      <c r="H69" s="101">
        <f>G69*0.136+0.4+4.5+0.75</f>
        <v>5.65</v>
      </c>
      <c r="I69" s="101">
        <f t="shared" si="4"/>
        <v>-5.65</v>
      </c>
      <c r="J69" s="102"/>
      <c r="K69" s="99"/>
      <c r="L69" s="103" t="str">
        <f t="shared" si="5"/>
        <v/>
      </c>
      <c r="M69" s="99"/>
      <c r="N69" s="101"/>
      <c r="O69" s="99"/>
    </row>
    <row r="70" spans="1:15" ht="18" customHeight="1" x14ac:dyDescent="0.2">
      <c r="A70" s="104"/>
      <c r="B70" s="105"/>
      <c r="C70" s="106"/>
      <c r="D70" s="105"/>
      <c r="E70" s="105"/>
      <c r="F70" s="107"/>
      <c r="G70" s="107"/>
      <c r="H70" s="107">
        <f>G70*0.136+0.4+4.5+0.75</f>
        <v>5.65</v>
      </c>
      <c r="I70" s="107">
        <f t="shared" si="4"/>
        <v>-5.65</v>
      </c>
      <c r="J70" s="108"/>
      <c r="K70" s="105"/>
      <c r="L70" s="109" t="str">
        <f t="shared" si="5"/>
        <v/>
      </c>
      <c r="M70" s="105"/>
      <c r="N70" s="107"/>
      <c r="O70" s="105"/>
    </row>
    <row r="71" spans="1:15" ht="18" customHeight="1" x14ac:dyDescent="0.2">
      <c r="A71" s="98"/>
      <c r="B71" s="99"/>
      <c r="C71" s="100"/>
      <c r="D71" s="99"/>
      <c r="E71" s="99"/>
      <c r="F71" s="101"/>
      <c r="G71" s="101"/>
      <c r="H71" s="101">
        <f>G71*0.136+0.4+4.5+0.75</f>
        <v>5.65</v>
      </c>
      <c r="I71" s="101">
        <f t="shared" si="4"/>
        <v>-5.65</v>
      </c>
      <c r="J71" s="102"/>
      <c r="K71" s="99"/>
      <c r="L71" s="103" t="str">
        <f t="shared" si="5"/>
        <v/>
      </c>
      <c r="M71" s="99"/>
      <c r="N71" s="101"/>
      <c r="O71" s="99"/>
    </row>
    <row r="72" spans="1:15" ht="18" customHeight="1" x14ac:dyDescent="0.2">
      <c r="A72" s="104"/>
      <c r="B72" s="105"/>
      <c r="C72" s="106"/>
      <c r="D72" s="105"/>
      <c r="E72" s="105"/>
      <c r="F72" s="107"/>
      <c r="G72" s="107"/>
      <c r="H72" s="107">
        <f>G72*0.1+0+4.5+0.75</f>
        <v>5.25</v>
      </c>
      <c r="I72" s="107">
        <f t="shared" si="4"/>
        <v>-5.25</v>
      </c>
      <c r="J72" s="108"/>
      <c r="K72" s="105"/>
      <c r="L72" s="109" t="str">
        <f t="shared" si="5"/>
        <v/>
      </c>
      <c r="M72" s="105"/>
      <c r="N72" s="107"/>
      <c r="O72" s="105"/>
    </row>
    <row r="73" spans="1:15" x14ac:dyDescent="0.2">
      <c r="A73" s="110"/>
      <c r="B73" s="110"/>
      <c r="C73" s="111"/>
      <c r="D73" s="110"/>
      <c r="E73" s="110"/>
      <c r="F73" s="112"/>
      <c r="G73" s="112"/>
      <c r="H73" s="112"/>
      <c r="I73" s="112"/>
      <c r="J73" s="110"/>
      <c r="K73" s="110"/>
      <c r="L73" s="113"/>
      <c r="M73" s="110"/>
      <c r="N73" s="112"/>
      <c r="O73" s="110"/>
    </row>
    <row r="74" spans="1:15" ht="16" customHeight="1" x14ac:dyDescent="0.2">
      <c r="A74" s="114"/>
      <c r="B74" s="94"/>
      <c r="C74" s="95"/>
      <c r="D74" s="94"/>
      <c r="E74" s="94"/>
      <c r="F74" s="96"/>
      <c r="G74" s="96"/>
      <c r="H74" s="96"/>
      <c r="I74" s="96"/>
      <c r="J74" s="94"/>
      <c r="K74" s="94"/>
      <c r="L74" s="97"/>
      <c r="M74" s="86"/>
      <c r="N74" s="88"/>
      <c r="O74" s="86"/>
    </row>
    <row r="75" spans="1:15" x14ac:dyDescent="0.2">
      <c r="A75" s="115"/>
      <c r="B75" s="110"/>
      <c r="C75" s="111"/>
      <c r="D75" s="110"/>
      <c r="E75" s="110"/>
      <c r="F75" s="112"/>
      <c r="G75" s="112"/>
      <c r="H75" s="112"/>
      <c r="I75" s="112"/>
      <c r="J75" s="110"/>
      <c r="K75" s="110"/>
      <c r="L75" s="113"/>
      <c r="M75" s="90"/>
      <c r="N75" s="92"/>
      <c r="O75" s="90"/>
    </row>
    <row r="76" spans="1:15" x14ac:dyDescent="0.2">
      <c r="A76" s="116"/>
      <c r="B76" s="94"/>
      <c r="C76" s="95"/>
      <c r="D76" s="94"/>
      <c r="E76" s="94"/>
      <c r="F76" s="96"/>
      <c r="G76" s="96"/>
      <c r="H76" s="96"/>
      <c r="I76" s="96"/>
      <c r="J76" s="94"/>
      <c r="K76" s="94"/>
      <c r="L76" s="97"/>
      <c r="M76" s="86"/>
      <c r="N76" s="88"/>
      <c r="O76" s="86"/>
    </row>
    <row r="77" spans="1:15" ht="160" customHeight="1" x14ac:dyDescent="0.2">
      <c r="A77" s="117"/>
      <c r="B77" s="110"/>
      <c r="C77" s="111"/>
      <c r="D77" s="110"/>
      <c r="E77" s="110"/>
      <c r="F77" s="112"/>
      <c r="G77" s="112"/>
      <c r="H77" s="112"/>
      <c r="I77" s="112"/>
      <c r="J77" s="110"/>
      <c r="K77" s="110"/>
      <c r="L77" s="113"/>
      <c r="M77" s="110"/>
      <c r="N77" s="112"/>
      <c r="O77" s="110"/>
    </row>
    <row r="78" spans="1:15" ht="128" customHeight="1" x14ac:dyDescent="0.2">
      <c r="A78" s="118"/>
      <c r="B78" s="94"/>
      <c r="C78" s="95"/>
      <c r="D78" s="94"/>
      <c r="E78" s="94"/>
      <c r="F78" s="96"/>
      <c r="G78" s="96"/>
      <c r="H78" s="96"/>
      <c r="I78" s="96"/>
      <c r="J78" s="94"/>
      <c r="K78" s="94"/>
      <c r="L78" s="97"/>
      <c r="M78" s="94"/>
      <c r="N78" s="96"/>
      <c r="O78" s="94"/>
    </row>
    <row r="79" spans="1:15" ht="144" customHeight="1" x14ac:dyDescent="0.2">
      <c r="A79" s="117"/>
      <c r="B79" s="110"/>
      <c r="C79" s="111"/>
      <c r="D79" s="110"/>
      <c r="E79" s="110"/>
      <c r="F79" s="112"/>
      <c r="G79" s="112"/>
      <c r="H79" s="112"/>
      <c r="I79" s="112"/>
      <c r="J79" s="110"/>
      <c r="K79" s="110"/>
      <c r="L79" s="113"/>
      <c r="M79" s="110"/>
      <c r="N79" s="112"/>
      <c r="O79" s="110"/>
    </row>
    <row r="80" spans="1:15" ht="160" customHeight="1" x14ac:dyDescent="0.2">
      <c r="A80" s="118"/>
      <c r="B80" s="94"/>
      <c r="C80" s="95"/>
      <c r="D80" s="94"/>
      <c r="E80" s="94"/>
      <c r="F80" s="96"/>
      <c r="G80" s="96"/>
      <c r="H80" s="96"/>
      <c r="I80" s="96"/>
      <c r="J80" s="94"/>
      <c r="K80" s="94"/>
      <c r="L80" s="97"/>
      <c r="M80" s="94"/>
      <c r="N80" s="96"/>
      <c r="O80" s="94"/>
    </row>
    <row r="81" spans="1:15" ht="144" customHeight="1" x14ac:dyDescent="0.2">
      <c r="A81" s="117"/>
      <c r="B81" s="110"/>
      <c r="C81" s="111"/>
      <c r="D81" s="110"/>
      <c r="E81" s="110"/>
      <c r="F81" s="112"/>
      <c r="G81" s="112"/>
      <c r="H81" s="112"/>
      <c r="I81" s="112"/>
      <c r="J81" s="110"/>
      <c r="K81" s="110"/>
      <c r="L81" s="113"/>
      <c r="M81" s="110"/>
      <c r="N81" s="112"/>
      <c r="O81" s="110"/>
    </row>
    <row r="82" spans="1:15" ht="160" customHeight="1" x14ac:dyDescent="0.2">
      <c r="A82" s="118"/>
      <c r="B82" s="94"/>
      <c r="C82" s="95"/>
      <c r="D82" s="94"/>
      <c r="E82" s="94"/>
      <c r="F82" s="96"/>
      <c r="G82" s="96"/>
      <c r="H82" s="96"/>
      <c r="I82" s="96"/>
      <c r="J82" s="94"/>
      <c r="K82" s="94"/>
      <c r="L82" s="97"/>
      <c r="M82" s="94"/>
      <c r="N82" s="96"/>
      <c r="O82" s="94"/>
    </row>
  </sheetData>
  <mergeCells count="3">
    <mergeCell ref="A2:K2"/>
    <mergeCell ref="A1:K1"/>
    <mergeCell ref="A52:L52"/>
  </mergeCells>
  <conditionalFormatting sqref="L5:L49">
    <cfRule type="cellIs" dxfId="26" priority="2" operator="lessThan">
      <formula>0.3</formula>
    </cfRule>
    <cfRule type="cellIs" dxfId="25" priority="3" operator="greaterThanOrEqual">
      <formula>0.37</formula>
    </cfRule>
  </conditionalFormatting>
  <conditionalFormatting sqref="L5:L82">
    <cfRule type="cellIs" dxfId="24" priority="6" operator="greaterThanOrEqual">
      <formula>0.5</formula>
    </cfRule>
    <cfRule type="cellIs" dxfId="23" priority="6" operator="between">
      <formula>0.3</formula>
      <formula>0.4999</formula>
    </cfRule>
    <cfRule type="cellIs" dxfId="22" priority="7" operator="lessThan">
      <formula>0.3</formula>
    </cfRule>
  </conditionalFormatting>
  <conditionalFormatting sqref="M5:M49">
    <cfRule type="cellIs" dxfId="21" priority="4" operator="equal">
      <formula>0</formula>
    </cfRule>
    <cfRule type="cellIs" dxfId="20" priority="5" operator="greaterThan">
      <formula>0</formula>
    </cfRule>
  </conditionalFormatting>
  <hyperlinks>
    <hyperlink ref="A1" location="'Start Here'!A1" display="🏠 Start Here"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0"/>
  <sheetViews>
    <sheetView workbookViewId="0">
      <selection sqref="A1:H1"/>
    </sheetView>
  </sheetViews>
  <sheetFormatPr baseColWidth="10" defaultColWidth="8.6640625" defaultRowHeight="15" x14ac:dyDescent="0.2"/>
  <cols>
    <col min="1" max="1" width="22" customWidth="1"/>
    <col min="2" max="2" width="16" customWidth="1"/>
    <col min="3" max="3" width="14" customWidth="1"/>
    <col min="4" max="4" width="28" customWidth="1"/>
    <col min="5" max="5" width="14" customWidth="1"/>
  </cols>
  <sheetData>
    <row r="1" spans="1:8" ht="27.75" customHeight="1" x14ac:dyDescent="0.2">
      <c r="A1" s="417" t="s">
        <v>118</v>
      </c>
      <c r="B1" s="395"/>
      <c r="C1" s="395"/>
      <c r="D1" s="395"/>
      <c r="E1" s="395"/>
      <c r="F1" s="395"/>
      <c r="G1" s="395"/>
      <c r="H1" s="395"/>
    </row>
    <row r="2" spans="1:8" x14ac:dyDescent="0.2">
      <c r="A2" s="441" t="s">
        <v>170</v>
      </c>
      <c r="B2" s="395"/>
      <c r="C2" s="395"/>
      <c r="D2" s="395"/>
      <c r="E2" s="395"/>
      <c r="F2" s="395"/>
      <c r="G2" s="395"/>
      <c r="H2" s="395"/>
    </row>
    <row r="3" spans="1:8" x14ac:dyDescent="0.2">
      <c r="A3" s="35"/>
      <c r="B3" s="35"/>
      <c r="C3" s="35"/>
      <c r="D3" s="35"/>
      <c r="E3" s="35"/>
      <c r="F3" s="35"/>
      <c r="G3" s="35"/>
      <c r="H3" s="35"/>
    </row>
    <row r="4" spans="1:8" ht="16" customHeight="1" x14ac:dyDescent="0.2">
      <c r="A4" s="438" t="s">
        <v>171</v>
      </c>
      <c r="B4" s="395"/>
      <c r="C4" s="395"/>
      <c r="D4" s="395"/>
      <c r="E4" s="395"/>
      <c r="F4" s="395"/>
      <c r="G4" s="395"/>
      <c r="H4" s="395"/>
    </row>
    <row r="5" spans="1:8" x14ac:dyDescent="0.2">
      <c r="A5" s="119" t="s">
        <v>172</v>
      </c>
      <c r="B5" s="119" t="s">
        <v>173</v>
      </c>
      <c r="C5" s="119" t="s">
        <v>174</v>
      </c>
      <c r="D5" s="119" t="s">
        <v>175</v>
      </c>
      <c r="E5" s="35"/>
      <c r="F5" s="35"/>
      <c r="G5" s="35"/>
      <c r="H5" s="35"/>
    </row>
    <row r="6" spans="1:8" x14ac:dyDescent="0.2">
      <c r="A6" s="120" t="s">
        <v>176</v>
      </c>
      <c r="B6" s="121">
        <v>2251</v>
      </c>
      <c r="C6" s="122">
        <v>0.53177415544531104</v>
      </c>
      <c r="D6" s="123" t="s">
        <v>177</v>
      </c>
      <c r="E6" s="35"/>
      <c r="F6" s="35"/>
      <c r="G6" s="35"/>
      <c r="H6" s="35"/>
    </row>
    <row r="7" spans="1:8" x14ac:dyDescent="0.2">
      <c r="A7" s="120" t="s">
        <v>178</v>
      </c>
      <c r="B7" s="121">
        <v>1511</v>
      </c>
      <c r="C7" s="122">
        <v>0.35695724072761598</v>
      </c>
      <c r="D7" s="123" t="s">
        <v>177</v>
      </c>
      <c r="E7" s="35"/>
      <c r="F7" s="35"/>
      <c r="G7" s="35"/>
      <c r="H7" s="35"/>
    </row>
    <row r="8" spans="1:8" x14ac:dyDescent="0.2">
      <c r="A8" s="120" t="s">
        <v>179</v>
      </c>
      <c r="B8" s="121">
        <v>263</v>
      </c>
      <c r="C8" s="122">
        <v>6.21308764469643E-2</v>
      </c>
      <c r="D8" s="124" t="s">
        <v>180</v>
      </c>
      <c r="E8" s="35"/>
      <c r="F8" s="35"/>
      <c r="G8" s="35"/>
      <c r="H8" s="35"/>
    </row>
    <row r="9" spans="1:8" x14ac:dyDescent="0.2">
      <c r="A9" s="120" t="s">
        <v>181</v>
      </c>
      <c r="B9" s="121">
        <v>126</v>
      </c>
      <c r="C9" s="122">
        <v>2.9766123316796601E-2</v>
      </c>
      <c r="D9" s="124" t="s">
        <v>180</v>
      </c>
      <c r="E9" s="35"/>
      <c r="F9" s="35"/>
      <c r="G9" s="35"/>
      <c r="H9" s="35"/>
    </row>
    <row r="10" spans="1:8" x14ac:dyDescent="0.2">
      <c r="A10" s="120" t="s">
        <v>182</v>
      </c>
      <c r="B10" s="121">
        <v>55</v>
      </c>
      <c r="C10" s="122">
        <v>1.2993149066855701E-2</v>
      </c>
      <c r="D10" s="125" t="s">
        <v>183</v>
      </c>
      <c r="E10" s="35"/>
      <c r="F10" s="35"/>
      <c r="G10" s="35"/>
      <c r="H10" s="35"/>
    </row>
    <row r="11" spans="1:8" x14ac:dyDescent="0.2">
      <c r="A11" s="120" t="s">
        <v>184</v>
      </c>
      <c r="B11" s="121">
        <v>14</v>
      </c>
      <c r="C11" s="122">
        <v>3.3073470351996201E-3</v>
      </c>
      <c r="D11" s="125" t="s">
        <v>183</v>
      </c>
      <c r="E11" s="35"/>
      <c r="F11" s="35"/>
      <c r="G11" s="35"/>
      <c r="H11" s="35"/>
    </row>
    <row r="12" spans="1:8" x14ac:dyDescent="0.2">
      <c r="A12" s="120" t="s">
        <v>185</v>
      </c>
      <c r="B12" s="121">
        <v>13</v>
      </c>
      <c r="C12" s="122">
        <v>3.0711079612567899E-3</v>
      </c>
      <c r="D12" s="126" t="s">
        <v>186</v>
      </c>
      <c r="E12" s="35"/>
      <c r="F12" s="35"/>
      <c r="G12" s="35"/>
      <c r="H12" s="35"/>
    </row>
    <row r="13" spans="1:8" ht="33.75" customHeight="1" x14ac:dyDescent="0.2">
      <c r="A13" s="442" t="s">
        <v>187</v>
      </c>
      <c r="B13" s="414"/>
      <c r="C13" s="414"/>
      <c r="D13" s="414"/>
      <c r="E13" s="414"/>
      <c r="F13" s="414"/>
      <c r="G13" s="414"/>
      <c r="H13" s="415"/>
    </row>
    <row r="14" spans="1:8" x14ac:dyDescent="0.2">
      <c r="A14" s="35"/>
      <c r="B14" s="35"/>
      <c r="C14" s="35"/>
      <c r="D14" s="35"/>
      <c r="E14" s="35"/>
      <c r="F14" s="35"/>
      <c r="G14" s="35"/>
      <c r="H14" s="35"/>
    </row>
    <row r="15" spans="1:8" ht="16" customHeight="1" x14ac:dyDescent="0.2">
      <c r="A15" s="438" t="s">
        <v>188</v>
      </c>
      <c r="B15" s="395"/>
      <c r="C15" s="395"/>
      <c r="D15" s="395"/>
      <c r="E15" s="395"/>
      <c r="F15" s="395"/>
      <c r="G15" s="395"/>
      <c r="H15" s="395"/>
    </row>
    <row r="16" spans="1:8" x14ac:dyDescent="0.2">
      <c r="A16" s="127" t="s">
        <v>189</v>
      </c>
      <c r="B16" s="128">
        <v>430</v>
      </c>
      <c r="C16" s="35"/>
      <c r="D16" s="35"/>
      <c r="E16" s="35"/>
      <c r="F16" s="35"/>
      <c r="G16" s="35"/>
      <c r="H16" s="35"/>
    </row>
    <row r="17" spans="1:8" x14ac:dyDescent="0.2">
      <c r="A17" s="127" t="s">
        <v>190</v>
      </c>
      <c r="B17" s="129">
        <v>7029.8299999999899</v>
      </c>
      <c r="C17" s="35"/>
      <c r="D17" s="35"/>
      <c r="E17" s="35"/>
      <c r="F17" s="35"/>
      <c r="G17" s="35"/>
      <c r="H17" s="35"/>
    </row>
    <row r="18" spans="1:8" x14ac:dyDescent="0.2">
      <c r="A18" s="127" t="s">
        <v>191</v>
      </c>
      <c r="B18" s="129">
        <v>16.348441860465101</v>
      </c>
      <c r="C18" s="35"/>
      <c r="D18" s="35"/>
      <c r="E18" s="35"/>
      <c r="F18" s="35"/>
      <c r="G18" s="35"/>
      <c r="H18" s="35"/>
    </row>
    <row r="19" spans="1:8" x14ac:dyDescent="0.2">
      <c r="A19" s="127" t="s">
        <v>192</v>
      </c>
      <c r="B19" s="130">
        <v>4.7777777777777803</v>
      </c>
      <c r="C19" s="35"/>
      <c r="D19" s="35"/>
      <c r="E19" s="35"/>
      <c r="F19" s="35"/>
      <c r="G19" s="35"/>
      <c r="H19" s="35"/>
    </row>
    <row r="20" spans="1:8" x14ac:dyDescent="0.2">
      <c r="A20" s="127" t="s">
        <v>193</v>
      </c>
      <c r="B20" s="129">
        <v>2343.2766666666598</v>
      </c>
      <c r="C20" s="35"/>
      <c r="D20" s="35"/>
      <c r="E20" s="35"/>
      <c r="F20" s="35"/>
      <c r="G20" s="35"/>
      <c r="H20" s="35"/>
    </row>
    <row r="21" spans="1:8" x14ac:dyDescent="0.2">
      <c r="A21" s="127" t="s">
        <v>194</v>
      </c>
      <c r="B21" s="129">
        <v>702.98299999999904</v>
      </c>
      <c r="C21" s="35"/>
      <c r="D21" s="35"/>
      <c r="E21" s="35"/>
      <c r="F21" s="35"/>
      <c r="G21" s="35"/>
      <c r="H21" s="35"/>
    </row>
    <row r="22" spans="1:8" x14ac:dyDescent="0.2">
      <c r="A22" s="35"/>
      <c r="B22" s="35"/>
      <c r="C22" s="35"/>
      <c r="D22" s="35"/>
      <c r="E22" s="35"/>
      <c r="F22" s="35"/>
      <c r="G22" s="35"/>
      <c r="H22" s="35"/>
    </row>
    <row r="23" spans="1:8" ht="16" customHeight="1" x14ac:dyDescent="0.2">
      <c r="A23" s="438" t="s">
        <v>195</v>
      </c>
      <c r="B23" s="395"/>
      <c r="C23" s="395"/>
      <c r="D23" s="395"/>
      <c r="E23" s="395"/>
      <c r="F23" s="395"/>
      <c r="G23" s="395"/>
      <c r="H23" s="395"/>
    </row>
    <row r="24" spans="1:8" x14ac:dyDescent="0.2">
      <c r="A24" s="119" t="s">
        <v>143</v>
      </c>
      <c r="B24" s="119" t="s">
        <v>196</v>
      </c>
      <c r="C24" s="119" t="s">
        <v>197</v>
      </c>
      <c r="D24" s="119" t="s">
        <v>198</v>
      </c>
      <c r="E24" s="35"/>
      <c r="F24" s="35"/>
      <c r="G24" s="35"/>
      <c r="H24" s="35"/>
    </row>
    <row r="25" spans="1:8" x14ac:dyDescent="0.2">
      <c r="A25" s="120" t="s">
        <v>199</v>
      </c>
      <c r="B25" s="121">
        <v>2</v>
      </c>
      <c r="C25" s="129">
        <v>24</v>
      </c>
      <c r="D25" s="129">
        <v>48</v>
      </c>
      <c r="E25" s="35"/>
      <c r="F25" s="35"/>
      <c r="G25" s="35"/>
      <c r="H25" s="35"/>
    </row>
    <row r="26" spans="1:8" x14ac:dyDescent="0.2">
      <c r="A26" s="120" t="s">
        <v>200</v>
      </c>
      <c r="B26" s="121">
        <v>5</v>
      </c>
      <c r="C26" s="129">
        <v>9.0340000000000007</v>
      </c>
      <c r="D26" s="129">
        <v>45.17</v>
      </c>
      <c r="E26" s="35"/>
      <c r="F26" s="35"/>
      <c r="G26" s="35"/>
      <c r="H26" s="35"/>
    </row>
    <row r="27" spans="1:8" x14ac:dyDescent="0.2">
      <c r="A27" s="120" t="s">
        <v>201</v>
      </c>
      <c r="B27" s="121">
        <v>1</v>
      </c>
      <c r="C27" s="129">
        <v>41</v>
      </c>
      <c r="D27" s="129">
        <v>41</v>
      </c>
      <c r="E27" s="35"/>
      <c r="F27" s="35"/>
      <c r="G27" s="35"/>
      <c r="H27" s="35"/>
    </row>
    <row r="28" spans="1:8" x14ac:dyDescent="0.2">
      <c r="A28" s="120" t="s">
        <v>202</v>
      </c>
      <c r="B28" s="121">
        <v>2</v>
      </c>
      <c r="C28" s="129">
        <v>15.994999999999999</v>
      </c>
      <c r="D28" s="129">
        <v>31.99</v>
      </c>
      <c r="E28" s="35"/>
      <c r="F28" s="35"/>
      <c r="G28" s="35"/>
      <c r="H28" s="35"/>
    </row>
    <row r="29" spans="1:8" x14ac:dyDescent="0.2">
      <c r="A29" s="120" t="s">
        <v>203</v>
      </c>
      <c r="B29" s="121">
        <v>1</v>
      </c>
      <c r="C29" s="129">
        <v>9.08</v>
      </c>
      <c r="D29" s="129">
        <v>9.08</v>
      </c>
      <c r="E29" s="35"/>
      <c r="F29" s="35"/>
      <c r="G29" s="35"/>
      <c r="H29" s="35"/>
    </row>
    <row r="30" spans="1:8" x14ac:dyDescent="0.2">
      <c r="A30" s="120" t="s">
        <v>204</v>
      </c>
      <c r="B30" s="121">
        <v>1</v>
      </c>
      <c r="C30" s="129">
        <v>2.25</v>
      </c>
      <c r="D30" s="129">
        <v>2.25</v>
      </c>
      <c r="E30" s="35"/>
      <c r="F30" s="35"/>
      <c r="G30" s="35"/>
      <c r="H30" s="35"/>
    </row>
    <row r="31" spans="1:8" x14ac:dyDescent="0.2">
      <c r="A31" s="35"/>
      <c r="B31" s="35"/>
      <c r="C31" s="35"/>
      <c r="D31" s="35"/>
      <c r="E31" s="35"/>
      <c r="F31" s="35"/>
      <c r="G31" s="35"/>
      <c r="H31" s="35"/>
    </row>
    <row r="32" spans="1:8" ht="16" customHeight="1" x14ac:dyDescent="0.2">
      <c r="A32" s="438" t="s">
        <v>205</v>
      </c>
      <c r="B32" s="395"/>
      <c r="C32" s="395"/>
      <c r="D32" s="395"/>
      <c r="E32" s="395"/>
      <c r="F32" s="395"/>
      <c r="G32" s="395"/>
      <c r="H32" s="395"/>
    </row>
    <row r="33" spans="1:8" x14ac:dyDescent="0.2">
      <c r="A33" s="119" t="s">
        <v>206</v>
      </c>
      <c r="B33" s="440" t="s">
        <v>207</v>
      </c>
      <c r="C33" s="414"/>
      <c r="D33" s="414"/>
      <c r="E33" s="414"/>
      <c r="F33" s="414"/>
      <c r="G33" s="414"/>
      <c r="H33" s="415"/>
    </row>
    <row r="34" spans="1:8" x14ac:dyDescent="0.2">
      <c r="A34" s="131">
        <v>600</v>
      </c>
      <c r="B34" s="437" t="s">
        <v>208</v>
      </c>
      <c r="C34" s="414"/>
      <c r="D34" s="414"/>
      <c r="E34" s="414"/>
      <c r="F34" s="414"/>
      <c r="G34" s="414"/>
      <c r="H34" s="415"/>
    </row>
    <row r="35" spans="1:8" x14ac:dyDescent="0.2">
      <c r="A35" s="131">
        <v>425</v>
      </c>
      <c r="B35" s="437" t="s">
        <v>209</v>
      </c>
      <c r="C35" s="414"/>
      <c r="D35" s="414"/>
      <c r="E35" s="414"/>
      <c r="F35" s="414"/>
      <c r="G35" s="414"/>
      <c r="H35" s="415"/>
    </row>
    <row r="36" spans="1:8" x14ac:dyDescent="0.2">
      <c r="A36" s="131">
        <v>305</v>
      </c>
      <c r="B36" s="437" t="s">
        <v>210</v>
      </c>
      <c r="C36" s="414"/>
      <c r="D36" s="414"/>
      <c r="E36" s="414"/>
      <c r="F36" s="414"/>
      <c r="G36" s="414"/>
      <c r="H36" s="415"/>
    </row>
    <row r="37" spans="1:8" x14ac:dyDescent="0.2">
      <c r="A37" s="131">
        <v>222</v>
      </c>
      <c r="B37" s="437" t="s">
        <v>211</v>
      </c>
      <c r="C37" s="414"/>
      <c r="D37" s="414"/>
      <c r="E37" s="414"/>
      <c r="F37" s="414"/>
      <c r="G37" s="414"/>
      <c r="H37" s="415"/>
    </row>
    <row r="38" spans="1:8" x14ac:dyDescent="0.2">
      <c r="A38" s="131">
        <v>185</v>
      </c>
      <c r="B38" s="437" t="s">
        <v>212</v>
      </c>
      <c r="C38" s="414"/>
      <c r="D38" s="414"/>
      <c r="E38" s="414"/>
      <c r="F38" s="414"/>
      <c r="G38" s="414"/>
      <c r="H38" s="415"/>
    </row>
    <row r="39" spans="1:8" x14ac:dyDescent="0.2">
      <c r="A39" s="131">
        <v>135</v>
      </c>
      <c r="B39" s="437" t="s">
        <v>213</v>
      </c>
      <c r="C39" s="414"/>
      <c r="D39" s="414"/>
      <c r="E39" s="414"/>
      <c r="F39" s="414"/>
      <c r="G39" s="414"/>
      <c r="H39" s="415"/>
    </row>
    <row r="40" spans="1:8" x14ac:dyDescent="0.2">
      <c r="A40" s="131">
        <v>130</v>
      </c>
      <c r="B40" s="437" t="s">
        <v>214</v>
      </c>
      <c r="C40" s="414"/>
      <c r="D40" s="414"/>
      <c r="E40" s="414"/>
      <c r="F40" s="414"/>
      <c r="G40" s="414"/>
      <c r="H40" s="415"/>
    </row>
    <row r="41" spans="1:8" x14ac:dyDescent="0.2">
      <c r="A41" s="131">
        <v>122.5</v>
      </c>
      <c r="B41" s="437" t="s">
        <v>215</v>
      </c>
      <c r="C41" s="414"/>
      <c r="D41" s="414"/>
      <c r="E41" s="414"/>
      <c r="F41" s="414"/>
      <c r="G41" s="414"/>
      <c r="H41" s="415"/>
    </row>
    <row r="42" spans="1:8" x14ac:dyDescent="0.2">
      <c r="A42" s="131">
        <v>120</v>
      </c>
      <c r="B42" s="437" t="s">
        <v>216</v>
      </c>
      <c r="C42" s="414"/>
      <c r="D42" s="414"/>
      <c r="E42" s="414"/>
      <c r="F42" s="414"/>
      <c r="G42" s="414"/>
      <c r="H42" s="415"/>
    </row>
    <row r="43" spans="1:8" x14ac:dyDescent="0.2">
      <c r="A43" s="131">
        <v>117.5</v>
      </c>
      <c r="B43" s="437" t="s">
        <v>217</v>
      </c>
      <c r="C43" s="414"/>
      <c r="D43" s="414"/>
      <c r="E43" s="414"/>
      <c r="F43" s="414"/>
      <c r="G43" s="414"/>
      <c r="H43" s="415"/>
    </row>
    <row r="44" spans="1:8" x14ac:dyDescent="0.2">
      <c r="A44" s="35"/>
      <c r="B44" s="35"/>
      <c r="C44" s="35"/>
      <c r="D44" s="35"/>
      <c r="E44" s="35"/>
      <c r="F44" s="35"/>
      <c r="G44" s="35"/>
      <c r="H44" s="35"/>
    </row>
    <row r="45" spans="1:8" ht="16" customHeight="1" x14ac:dyDescent="0.2">
      <c r="A45" s="438" t="s">
        <v>218</v>
      </c>
      <c r="B45" s="395"/>
      <c r="C45" s="395"/>
      <c r="D45" s="395"/>
      <c r="E45" s="395"/>
      <c r="F45" s="395"/>
      <c r="G45" s="395"/>
      <c r="H45" s="395"/>
    </row>
    <row r="46" spans="1:8" ht="31.5" customHeight="1" x14ac:dyDescent="0.2">
      <c r="A46" s="132" t="s">
        <v>219</v>
      </c>
      <c r="B46" s="439" t="s">
        <v>220</v>
      </c>
      <c r="C46" s="414"/>
      <c r="D46" s="414"/>
      <c r="E46" s="414"/>
      <c r="F46" s="414"/>
      <c r="G46" s="414"/>
      <c r="H46" s="415"/>
    </row>
    <row r="47" spans="1:8" ht="31.5" customHeight="1" x14ac:dyDescent="0.2">
      <c r="A47" s="132" t="s">
        <v>221</v>
      </c>
      <c r="B47" s="439" t="s">
        <v>222</v>
      </c>
      <c r="C47" s="414"/>
      <c r="D47" s="414"/>
      <c r="E47" s="414"/>
      <c r="F47" s="414"/>
      <c r="G47" s="414"/>
      <c r="H47" s="415"/>
    </row>
    <row r="48" spans="1:8" ht="31.5" customHeight="1" x14ac:dyDescent="0.2">
      <c r="A48" s="132" t="s">
        <v>223</v>
      </c>
      <c r="B48" s="439" t="s">
        <v>224</v>
      </c>
      <c r="C48" s="414"/>
      <c r="D48" s="414"/>
      <c r="E48" s="414"/>
      <c r="F48" s="414"/>
      <c r="G48" s="414"/>
      <c r="H48" s="415"/>
    </row>
    <row r="49" spans="1:8" ht="31.5" customHeight="1" x14ac:dyDescent="0.2">
      <c r="A49" s="132" t="s">
        <v>225</v>
      </c>
      <c r="B49" s="439" t="s">
        <v>226</v>
      </c>
      <c r="C49" s="414"/>
      <c r="D49" s="414"/>
      <c r="E49" s="414"/>
      <c r="F49" s="414"/>
      <c r="G49" s="414"/>
      <c r="H49" s="415"/>
    </row>
    <row r="50" spans="1:8" ht="31.5" customHeight="1" x14ac:dyDescent="0.2">
      <c r="A50" s="132" t="s">
        <v>227</v>
      </c>
      <c r="B50" s="439" t="s">
        <v>228</v>
      </c>
      <c r="C50" s="414"/>
      <c r="D50" s="414"/>
      <c r="E50" s="414"/>
      <c r="F50" s="414"/>
      <c r="G50" s="414"/>
      <c r="H50" s="415"/>
    </row>
  </sheetData>
  <mergeCells count="24">
    <mergeCell ref="B50:H50"/>
    <mergeCell ref="B41:H41"/>
    <mergeCell ref="B35:H35"/>
    <mergeCell ref="B47:H47"/>
    <mergeCell ref="B46:H46"/>
    <mergeCell ref="B43:H43"/>
    <mergeCell ref="B39:H39"/>
    <mergeCell ref="B48:H48"/>
    <mergeCell ref="B42:H42"/>
    <mergeCell ref="B38:H38"/>
    <mergeCell ref="B40:H40"/>
    <mergeCell ref="A15:H15"/>
    <mergeCell ref="B49:H49"/>
    <mergeCell ref="B33:H33"/>
    <mergeCell ref="A1:H1"/>
    <mergeCell ref="A45:H45"/>
    <mergeCell ref="B37:H37"/>
    <mergeCell ref="B36:H36"/>
    <mergeCell ref="A2:H2"/>
    <mergeCell ref="A23:H23"/>
    <mergeCell ref="A32:H32"/>
    <mergeCell ref="A4:H4"/>
    <mergeCell ref="A13:H13"/>
    <mergeCell ref="B34:H3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0"/>
  <sheetViews>
    <sheetView workbookViewId="0">
      <selection activeCell="G37" sqref="G37"/>
    </sheetView>
  </sheetViews>
  <sheetFormatPr baseColWidth="10" defaultColWidth="8.6640625" defaultRowHeight="15" x14ac:dyDescent="0.2"/>
  <cols>
    <col min="1" max="1" width="14" customWidth="1"/>
    <col min="2" max="2" width="11" customWidth="1"/>
    <col min="4" max="4" width="12" customWidth="1"/>
    <col min="5" max="5" width="10" customWidth="1"/>
    <col min="6" max="6" width="6" customWidth="1"/>
    <col min="7" max="7" width="60" customWidth="1"/>
    <col min="8" max="8" width="16" customWidth="1"/>
  </cols>
  <sheetData>
    <row r="1" spans="1:9" ht="31.5" customHeight="1" x14ac:dyDescent="0.2">
      <c r="A1" s="417" t="s">
        <v>118</v>
      </c>
      <c r="B1" s="395"/>
      <c r="C1" s="395"/>
      <c r="D1" s="395"/>
      <c r="E1" s="395"/>
      <c r="F1" s="395"/>
      <c r="G1" s="395"/>
      <c r="H1" s="395"/>
      <c r="I1" s="395"/>
    </row>
    <row r="2" spans="1:9" x14ac:dyDescent="0.2">
      <c r="A2" s="447" t="s">
        <v>229</v>
      </c>
      <c r="B2" s="395"/>
      <c r="C2" s="395"/>
      <c r="D2" s="395"/>
      <c r="E2" s="395"/>
      <c r="F2" s="395"/>
      <c r="G2" s="395"/>
      <c r="H2" s="395"/>
      <c r="I2" s="395"/>
    </row>
    <row r="3" spans="1:9" x14ac:dyDescent="0.2">
      <c r="A3" s="35"/>
      <c r="B3" s="35"/>
      <c r="C3" s="35"/>
      <c r="D3" s="35"/>
      <c r="E3" s="35"/>
      <c r="F3" s="35"/>
      <c r="G3" s="35"/>
      <c r="H3" s="35"/>
      <c r="I3" s="35"/>
    </row>
    <row r="4" spans="1:9" ht="24" customHeight="1" x14ac:dyDescent="0.2">
      <c r="A4" s="456" t="s">
        <v>230</v>
      </c>
      <c r="B4" s="395"/>
      <c r="C4" s="395"/>
      <c r="D4" s="395"/>
      <c r="E4" s="395"/>
      <c r="F4" s="395"/>
      <c r="G4" s="395"/>
      <c r="H4" s="395"/>
      <c r="I4" s="395"/>
    </row>
    <row r="5" spans="1:9" x14ac:dyDescent="0.2">
      <c r="A5" s="443" t="s">
        <v>231</v>
      </c>
      <c r="B5" s="414"/>
      <c r="C5" s="414"/>
      <c r="D5" s="415"/>
      <c r="E5" s="453">
        <v>4252</v>
      </c>
      <c r="F5" s="415"/>
      <c r="G5" s="35"/>
      <c r="H5" s="35"/>
      <c r="I5" s="35"/>
    </row>
    <row r="6" spans="1:9" x14ac:dyDescent="0.2">
      <c r="A6" s="443" t="s">
        <v>232</v>
      </c>
      <c r="B6" s="414"/>
      <c r="C6" s="414"/>
      <c r="D6" s="415"/>
      <c r="E6" s="453">
        <v>3541</v>
      </c>
      <c r="F6" s="415"/>
      <c r="G6" s="35"/>
      <c r="H6" s="35"/>
      <c r="I6" s="35"/>
    </row>
    <row r="7" spans="1:9" x14ac:dyDescent="0.2">
      <c r="A7" s="443" t="s">
        <v>233</v>
      </c>
      <c r="B7" s="414"/>
      <c r="C7" s="414"/>
      <c r="D7" s="415"/>
      <c r="E7" s="459">
        <v>0.83278457196613398</v>
      </c>
      <c r="F7" s="415"/>
      <c r="G7" s="35"/>
      <c r="H7" s="35"/>
      <c r="I7" s="35"/>
    </row>
    <row r="8" spans="1:9" x14ac:dyDescent="0.2">
      <c r="A8" s="443" t="s">
        <v>234</v>
      </c>
      <c r="B8" s="414"/>
      <c r="C8" s="414"/>
      <c r="D8" s="415"/>
      <c r="E8" s="446">
        <v>9758.3899999997593</v>
      </c>
      <c r="F8" s="415"/>
      <c r="G8" s="35"/>
      <c r="H8" s="35"/>
      <c r="I8" s="35"/>
    </row>
    <row r="9" spans="1:9" x14ac:dyDescent="0.2">
      <c r="A9" s="443" t="s">
        <v>235</v>
      </c>
      <c r="B9" s="414"/>
      <c r="C9" s="414"/>
      <c r="D9" s="415"/>
      <c r="E9" s="453">
        <v>53</v>
      </c>
      <c r="F9" s="415"/>
      <c r="G9" s="35"/>
      <c r="H9" s="35"/>
      <c r="I9" s="35"/>
    </row>
    <row r="10" spans="1:9" x14ac:dyDescent="0.2">
      <c r="A10" s="443" t="s">
        <v>236</v>
      </c>
      <c r="B10" s="414"/>
      <c r="C10" s="414"/>
      <c r="D10" s="415"/>
      <c r="E10" s="453">
        <v>3488</v>
      </c>
      <c r="F10" s="415"/>
      <c r="G10" s="35"/>
      <c r="H10" s="35"/>
      <c r="I10" s="35"/>
    </row>
    <row r="11" spans="1:9" x14ac:dyDescent="0.2">
      <c r="A11" s="443" t="s">
        <v>237</v>
      </c>
      <c r="B11" s="414"/>
      <c r="C11" s="414"/>
      <c r="D11" s="415"/>
      <c r="E11" s="453">
        <v>17</v>
      </c>
      <c r="F11" s="415"/>
      <c r="G11" s="35"/>
      <c r="H11" s="35"/>
      <c r="I11" s="35"/>
    </row>
    <row r="12" spans="1:9" x14ac:dyDescent="0.2">
      <c r="A12" s="443" t="s">
        <v>238</v>
      </c>
      <c r="B12" s="414"/>
      <c r="C12" s="414"/>
      <c r="D12" s="415"/>
      <c r="E12" s="446">
        <v>508.72</v>
      </c>
      <c r="F12" s="415"/>
      <c r="G12" s="35"/>
      <c r="H12" s="35"/>
      <c r="I12" s="35"/>
    </row>
    <row r="13" spans="1:9" x14ac:dyDescent="0.2">
      <c r="A13" s="35"/>
      <c r="B13" s="35"/>
      <c r="C13" s="35"/>
      <c r="D13" s="35"/>
      <c r="E13" s="35"/>
      <c r="F13" s="35"/>
      <c r="G13" s="35"/>
      <c r="H13" s="35"/>
      <c r="I13" s="35"/>
    </row>
    <row r="14" spans="1:9" ht="39.75" customHeight="1" x14ac:dyDescent="0.2">
      <c r="A14" s="457" t="s">
        <v>239</v>
      </c>
      <c r="B14" s="414"/>
      <c r="C14" s="414"/>
      <c r="D14" s="414"/>
      <c r="E14" s="414"/>
      <c r="F14" s="414"/>
      <c r="G14" s="414"/>
      <c r="H14" s="414"/>
      <c r="I14" s="414"/>
    </row>
    <row r="15" spans="1:9" x14ac:dyDescent="0.2">
      <c r="A15" s="35"/>
      <c r="B15" s="35"/>
      <c r="C15" s="35"/>
      <c r="D15" s="35"/>
      <c r="E15" s="35"/>
      <c r="F15" s="35"/>
      <c r="G15" s="35"/>
      <c r="H15" s="35"/>
      <c r="I15" s="35"/>
    </row>
    <row r="16" spans="1:9" ht="24" customHeight="1" x14ac:dyDescent="0.2">
      <c r="A16" s="456" t="s">
        <v>240</v>
      </c>
      <c r="B16" s="395"/>
      <c r="C16" s="395"/>
      <c r="D16" s="395"/>
      <c r="E16" s="395"/>
      <c r="F16" s="395"/>
      <c r="G16" s="395"/>
      <c r="H16" s="395"/>
      <c r="I16" s="395"/>
    </row>
    <row r="17" spans="1:9" ht="26.75" customHeight="1" x14ac:dyDescent="0.2">
      <c r="A17" s="133" t="s">
        <v>241</v>
      </c>
      <c r="B17" s="133" t="s">
        <v>242</v>
      </c>
      <c r="C17" s="448" t="s">
        <v>243</v>
      </c>
      <c r="D17" s="414"/>
      <c r="E17" s="414"/>
      <c r="F17" s="415"/>
      <c r="G17" s="35"/>
      <c r="H17" s="35"/>
      <c r="I17" s="35"/>
    </row>
    <row r="18" spans="1:9" x14ac:dyDescent="0.2">
      <c r="A18" s="127" t="s">
        <v>244</v>
      </c>
      <c r="B18" s="121">
        <v>461</v>
      </c>
      <c r="C18" s="454" t="s">
        <v>245</v>
      </c>
      <c r="D18" s="414"/>
      <c r="E18" s="414"/>
      <c r="F18" s="414"/>
      <c r="G18" s="35"/>
      <c r="H18" s="35"/>
      <c r="I18" s="35"/>
    </row>
    <row r="19" spans="1:9" x14ac:dyDescent="0.2">
      <c r="A19" s="127" t="s">
        <v>246</v>
      </c>
      <c r="B19" s="121">
        <v>188</v>
      </c>
      <c r="C19" s="454" t="s">
        <v>247</v>
      </c>
      <c r="D19" s="414"/>
      <c r="E19" s="414"/>
      <c r="F19" s="414"/>
      <c r="G19" s="35"/>
      <c r="H19" s="35"/>
      <c r="I19" s="35"/>
    </row>
    <row r="20" spans="1:9" x14ac:dyDescent="0.2">
      <c r="A20" s="127" t="s">
        <v>248</v>
      </c>
      <c r="B20" s="121">
        <v>782</v>
      </c>
      <c r="C20" s="454" t="s">
        <v>249</v>
      </c>
      <c r="D20" s="414"/>
      <c r="E20" s="414"/>
      <c r="F20" s="414"/>
      <c r="G20" s="35"/>
      <c r="H20" s="35"/>
      <c r="I20" s="35"/>
    </row>
    <row r="21" spans="1:9" x14ac:dyDescent="0.2">
      <c r="A21" s="127" t="s">
        <v>250</v>
      </c>
      <c r="B21" s="121">
        <v>2110</v>
      </c>
      <c r="C21" s="454" t="s">
        <v>251</v>
      </c>
      <c r="D21" s="414"/>
      <c r="E21" s="414"/>
      <c r="F21" s="414"/>
      <c r="G21" s="35"/>
      <c r="H21" s="35"/>
      <c r="I21" s="35"/>
    </row>
    <row r="22" spans="1:9" x14ac:dyDescent="0.2">
      <c r="A22" s="127" t="s">
        <v>252</v>
      </c>
      <c r="B22" s="121">
        <v>0</v>
      </c>
      <c r="C22" s="454" t="s">
        <v>253</v>
      </c>
      <c r="D22" s="414"/>
      <c r="E22" s="414"/>
      <c r="F22" s="414"/>
      <c r="G22" s="35"/>
      <c r="H22" s="35"/>
      <c r="I22" s="35"/>
    </row>
    <row r="23" spans="1:9" x14ac:dyDescent="0.2">
      <c r="A23" s="35"/>
      <c r="B23" s="35"/>
      <c r="C23" s="35"/>
      <c r="D23" s="35"/>
      <c r="E23" s="35"/>
      <c r="F23" s="35"/>
      <c r="G23" s="35"/>
      <c r="H23" s="35"/>
      <c r="I23" s="35"/>
    </row>
    <row r="24" spans="1:9" ht="24" customHeight="1" x14ac:dyDescent="0.2">
      <c r="A24" s="456" t="s">
        <v>254</v>
      </c>
      <c r="B24" s="395"/>
      <c r="C24" s="395"/>
      <c r="D24" s="395"/>
      <c r="E24" s="395"/>
      <c r="F24" s="395"/>
      <c r="G24" s="395"/>
      <c r="H24" s="395"/>
      <c r="I24" s="395"/>
    </row>
    <row r="25" spans="1:9" ht="31.5" customHeight="1" x14ac:dyDescent="0.2">
      <c r="A25" s="460" t="s">
        <v>255</v>
      </c>
      <c r="B25" s="414"/>
      <c r="C25" s="414"/>
      <c r="D25" s="414"/>
      <c r="E25" s="414"/>
      <c r="F25" s="414"/>
      <c r="G25" s="414"/>
      <c r="H25" s="414"/>
      <c r="I25" s="414"/>
    </row>
    <row r="26" spans="1:9" ht="30" x14ac:dyDescent="0.2">
      <c r="A26" s="133" t="s">
        <v>256</v>
      </c>
      <c r="B26" s="133" t="s">
        <v>257</v>
      </c>
      <c r="C26" s="133" t="s">
        <v>258</v>
      </c>
      <c r="D26" s="133" t="s">
        <v>259</v>
      </c>
      <c r="E26" s="133" t="s">
        <v>260</v>
      </c>
      <c r="F26" s="133" t="s">
        <v>261</v>
      </c>
      <c r="G26" s="133" t="s">
        <v>207</v>
      </c>
      <c r="H26" s="133" t="s">
        <v>262</v>
      </c>
      <c r="I26" s="35"/>
    </row>
    <row r="27" spans="1:9" x14ac:dyDescent="0.2">
      <c r="A27" s="121">
        <v>43</v>
      </c>
      <c r="B27" s="129">
        <v>26</v>
      </c>
      <c r="C27" s="129">
        <v>5.66</v>
      </c>
      <c r="D27" s="129">
        <v>11</v>
      </c>
      <c r="E27" s="134">
        <v>3.5936395759717299</v>
      </c>
      <c r="F27" s="121">
        <v>1</v>
      </c>
      <c r="G27" s="135" t="s">
        <v>263</v>
      </c>
      <c r="H27" s="136">
        <v>5.3769999999999998</v>
      </c>
      <c r="I27" s="35"/>
    </row>
    <row r="28" spans="1:9" x14ac:dyDescent="0.2">
      <c r="A28" s="121">
        <v>75</v>
      </c>
      <c r="B28" s="129">
        <v>13</v>
      </c>
      <c r="C28" s="129">
        <v>8.18</v>
      </c>
      <c r="D28" s="129">
        <v>8.18</v>
      </c>
      <c r="E28" s="134">
        <v>0.58924205378973105</v>
      </c>
      <c r="F28" s="121">
        <v>1</v>
      </c>
      <c r="G28" s="135" t="s">
        <v>264</v>
      </c>
      <c r="H28" s="136">
        <v>7.7709999999999999</v>
      </c>
      <c r="I28" s="35"/>
    </row>
    <row r="29" spans="1:9" x14ac:dyDescent="0.2">
      <c r="A29" s="121">
        <v>37</v>
      </c>
      <c r="B29" s="129">
        <v>13</v>
      </c>
      <c r="C29" s="129">
        <v>3.5</v>
      </c>
      <c r="D29" s="129">
        <v>3.5</v>
      </c>
      <c r="E29" s="134">
        <v>2.71428571428571</v>
      </c>
      <c r="F29" s="121">
        <v>1</v>
      </c>
      <c r="G29" s="135" t="s">
        <v>265</v>
      </c>
      <c r="H29" s="136">
        <v>3.3250000000000002</v>
      </c>
      <c r="I29" s="35"/>
    </row>
    <row r="30" spans="1:9" x14ac:dyDescent="0.2">
      <c r="A30" s="121">
        <v>49</v>
      </c>
      <c r="B30" s="129">
        <v>12</v>
      </c>
      <c r="C30" s="129">
        <v>8.75</v>
      </c>
      <c r="D30" s="129">
        <v>11</v>
      </c>
      <c r="E30" s="134">
        <v>0.371428571428571</v>
      </c>
      <c r="F30" s="121">
        <v>1</v>
      </c>
      <c r="G30" s="135" t="s">
        <v>266</v>
      </c>
      <c r="H30" s="136">
        <v>8.3125</v>
      </c>
      <c r="I30" s="35"/>
    </row>
    <row r="31" spans="1:9" x14ac:dyDescent="0.2">
      <c r="A31" s="121">
        <v>37</v>
      </c>
      <c r="B31" s="129">
        <v>10</v>
      </c>
      <c r="C31" s="129">
        <v>1</v>
      </c>
      <c r="D31" s="129">
        <v>1</v>
      </c>
      <c r="E31" s="134">
        <v>9</v>
      </c>
      <c r="F31" s="121">
        <v>1</v>
      </c>
      <c r="G31" s="135" t="s">
        <v>267</v>
      </c>
      <c r="H31" s="136">
        <v>0.95</v>
      </c>
      <c r="I31" s="35"/>
    </row>
    <row r="32" spans="1:9" x14ac:dyDescent="0.2">
      <c r="A32" s="121">
        <v>52</v>
      </c>
      <c r="B32" s="129">
        <v>7.55</v>
      </c>
      <c r="C32" s="129">
        <v>2.2450000000000001</v>
      </c>
      <c r="D32" s="129">
        <v>2.5</v>
      </c>
      <c r="E32" s="134">
        <v>2.3630289532294002</v>
      </c>
      <c r="F32" s="121">
        <v>1</v>
      </c>
      <c r="G32" s="135" t="s">
        <v>268</v>
      </c>
      <c r="H32" s="136">
        <v>2.1327500000000001</v>
      </c>
      <c r="I32" s="35"/>
    </row>
    <row r="33" spans="1:9" x14ac:dyDescent="0.2">
      <c r="A33" s="121">
        <v>152</v>
      </c>
      <c r="B33" s="129">
        <v>6</v>
      </c>
      <c r="C33" s="129">
        <v>1.25</v>
      </c>
      <c r="D33" s="129">
        <v>1.25</v>
      </c>
      <c r="E33" s="134">
        <v>3.8</v>
      </c>
      <c r="F33" s="121">
        <v>1</v>
      </c>
      <c r="G33" s="135" t="s">
        <v>269</v>
      </c>
      <c r="H33" s="136">
        <v>1.1875</v>
      </c>
      <c r="I33" s="35"/>
    </row>
    <row r="34" spans="1:9" x14ac:dyDescent="0.2">
      <c r="A34" s="121">
        <v>50</v>
      </c>
      <c r="B34" s="129">
        <v>5.99</v>
      </c>
      <c r="C34" s="129">
        <v>25.75</v>
      </c>
      <c r="D34" s="129">
        <v>40</v>
      </c>
      <c r="E34" s="137">
        <v>-0.76737864077669904</v>
      </c>
      <c r="F34" s="121">
        <v>1</v>
      </c>
      <c r="G34" s="135" t="s">
        <v>270</v>
      </c>
      <c r="H34" s="136">
        <v>27.037500000000001</v>
      </c>
      <c r="I34" s="35"/>
    </row>
    <row r="35" spans="1:9" x14ac:dyDescent="0.2">
      <c r="A35" s="121">
        <v>51</v>
      </c>
      <c r="B35" s="129">
        <v>5.95</v>
      </c>
      <c r="C35" s="129">
        <v>3.99</v>
      </c>
      <c r="D35" s="129">
        <v>3.99</v>
      </c>
      <c r="E35" s="134">
        <v>0.49122807017543901</v>
      </c>
      <c r="F35" s="121">
        <v>1</v>
      </c>
      <c r="G35" s="135" t="s">
        <v>271</v>
      </c>
      <c r="H35" s="136">
        <v>3.7905000000000002</v>
      </c>
      <c r="I35" s="35"/>
    </row>
    <row r="36" spans="1:9" x14ac:dyDescent="0.2">
      <c r="A36" s="121">
        <v>100</v>
      </c>
      <c r="B36" s="129">
        <v>4.99</v>
      </c>
      <c r="C36" s="129">
        <v>8.2966666666666704</v>
      </c>
      <c r="D36" s="129">
        <v>20</v>
      </c>
      <c r="E36" s="137">
        <v>-0.398553635998393</v>
      </c>
      <c r="F36" s="121">
        <v>1</v>
      </c>
      <c r="G36" s="135" t="s">
        <v>272</v>
      </c>
      <c r="H36" s="136">
        <v>8.7114999999999991</v>
      </c>
      <c r="I36" s="35"/>
    </row>
    <row r="37" spans="1:9" x14ac:dyDescent="0.2">
      <c r="A37" s="121">
        <v>54</v>
      </c>
      <c r="B37" s="129">
        <v>1.59</v>
      </c>
      <c r="C37" s="129">
        <v>1.99</v>
      </c>
      <c r="D37" s="129">
        <v>1.99</v>
      </c>
      <c r="E37" s="137">
        <v>-0.20100502512562801</v>
      </c>
      <c r="F37" s="121">
        <v>3</v>
      </c>
      <c r="G37" s="135" t="s">
        <v>273</v>
      </c>
      <c r="H37" s="136">
        <v>2.0895000000000001</v>
      </c>
      <c r="I37" s="35"/>
    </row>
    <row r="38" spans="1:9" x14ac:dyDescent="0.2">
      <c r="A38" s="121">
        <v>55</v>
      </c>
      <c r="B38" s="129">
        <v>3.99</v>
      </c>
      <c r="C38" s="129">
        <v>5.66</v>
      </c>
      <c r="D38" s="129">
        <v>11</v>
      </c>
      <c r="E38" s="137">
        <v>-0.295053003533569</v>
      </c>
      <c r="F38" s="121">
        <v>1</v>
      </c>
      <c r="G38" s="135" t="s">
        <v>274</v>
      </c>
      <c r="H38" s="136">
        <v>5.9429999999999996</v>
      </c>
      <c r="I38" s="35"/>
    </row>
    <row r="39" spans="1:9" x14ac:dyDescent="0.2">
      <c r="A39" s="121">
        <v>70</v>
      </c>
      <c r="B39" s="129">
        <v>2.99</v>
      </c>
      <c r="C39" s="129">
        <v>1.49</v>
      </c>
      <c r="D39" s="129">
        <v>1.49</v>
      </c>
      <c r="E39" s="134">
        <v>1.0067114093959699</v>
      </c>
      <c r="F39" s="121">
        <v>1</v>
      </c>
      <c r="G39" s="135" t="s">
        <v>275</v>
      </c>
      <c r="H39" s="136">
        <v>1.4155</v>
      </c>
      <c r="I39" s="35"/>
    </row>
    <row r="40" spans="1:9" x14ac:dyDescent="0.2">
      <c r="A40" s="121">
        <v>55</v>
      </c>
      <c r="B40" s="129">
        <v>2.99</v>
      </c>
      <c r="C40" s="129">
        <v>8.41</v>
      </c>
      <c r="D40" s="129">
        <v>8.41</v>
      </c>
      <c r="E40" s="137">
        <v>-0.644470868014269</v>
      </c>
      <c r="F40" s="121">
        <v>1</v>
      </c>
      <c r="G40" s="135" t="s">
        <v>276</v>
      </c>
      <c r="H40" s="136">
        <v>8.8305000000000007</v>
      </c>
      <c r="I40" s="35"/>
    </row>
    <row r="41" spans="1:9" x14ac:dyDescent="0.2">
      <c r="A41" s="121">
        <v>51</v>
      </c>
      <c r="B41" s="129">
        <v>2.99</v>
      </c>
      <c r="C41" s="129">
        <v>2.5</v>
      </c>
      <c r="D41" s="129">
        <v>2.5</v>
      </c>
      <c r="E41" s="138">
        <v>0.19600000000000001</v>
      </c>
      <c r="F41" s="121">
        <v>1</v>
      </c>
      <c r="G41" s="135" t="s">
        <v>277</v>
      </c>
      <c r="H41" s="136">
        <v>2.375</v>
      </c>
      <c r="I41" s="35"/>
    </row>
    <row r="42" spans="1:9" x14ac:dyDescent="0.2">
      <c r="A42" s="121">
        <v>71</v>
      </c>
      <c r="B42" s="129">
        <v>2.85</v>
      </c>
      <c r="C42" s="129">
        <v>2.25</v>
      </c>
      <c r="D42" s="129">
        <v>2.25</v>
      </c>
      <c r="E42" s="134">
        <v>0.266666666666667</v>
      </c>
      <c r="F42" s="121">
        <v>1</v>
      </c>
      <c r="G42" s="135" t="s">
        <v>278</v>
      </c>
      <c r="H42" s="136">
        <v>2.1375000000000002</v>
      </c>
      <c r="I42" s="35"/>
    </row>
    <row r="43" spans="1:9" x14ac:dyDescent="0.2">
      <c r="A43" s="121">
        <v>70</v>
      </c>
      <c r="B43" s="129">
        <v>2.75</v>
      </c>
      <c r="C43" s="129">
        <v>1.7450000000000001</v>
      </c>
      <c r="D43" s="129">
        <v>1.99</v>
      </c>
      <c r="E43" s="134">
        <v>0.57593123209168995</v>
      </c>
      <c r="F43" s="121">
        <v>1</v>
      </c>
      <c r="G43" s="135" t="s">
        <v>279</v>
      </c>
      <c r="H43" s="136">
        <v>1.6577500000000001</v>
      </c>
      <c r="I43" s="35"/>
    </row>
    <row r="44" spans="1:9" x14ac:dyDescent="0.2">
      <c r="A44" s="121">
        <v>142</v>
      </c>
      <c r="B44" s="129">
        <v>2.48</v>
      </c>
      <c r="C44" s="129">
        <v>2.09</v>
      </c>
      <c r="D44" s="129">
        <v>2.09</v>
      </c>
      <c r="E44" s="138">
        <v>0.18660287081339699</v>
      </c>
      <c r="F44" s="121">
        <v>1</v>
      </c>
      <c r="G44" s="135" t="s">
        <v>280</v>
      </c>
      <c r="H44" s="136">
        <v>1.9855</v>
      </c>
      <c r="I44" s="35"/>
    </row>
    <row r="45" spans="1:9" x14ac:dyDescent="0.2">
      <c r="A45" s="121">
        <v>55</v>
      </c>
      <c r="B45" s="129">
        <v>2.29</v>
      </c>
      <c r="C45" s="129">
        <v>25.75</v>
      </c>
      <c r="D45" s="129">
        <v>40</v>
      </c>
      <c r="E45" s="137">
        <v>-0.91106796116504896</v>
      </c>
      <c r="F45" s="121">
        <v>1</v>
      </c>
      <c r="G45" s="135" t="s">
        <v>281</v>
      </c>
      <c r="H45" s="136">
        <v>27.037500000000001</v>
      </c>
      <c r="I45" s="35"/>
    </row>
    <row r="46" spans="1:9" x14ac:dyDescent="0.2">
      <c r="A46" s="121">
        <v>110</v>
      </c>
      <c r="B46" s="129">
        <v>2.25</v>
      </c>
      <c r="C46" s="129">
        <v>14</v>
      </c>
      <c r="D46" s="129">
        <v>23</v>
      </c>
      <c r="E46" s="137">
        <v>-0.83928571428571397</v>
      </c>
      <c r="F46" s="121">
        <v>1</v>
      </c>
      <c r="G46" s="135" t="s">
        <v>282</v>
      </c>
      <c r="H46" s="136">
        <v>14.7</v>
      </c>
      <c r="I46" s="35"/>
    </row>
    <row r="47" spans="1:9" x14ac:dyDescent="0.2">
      <c r="A47" s="121">
        <v>38</v>
      </c>
      <c r="B47" s="129">
        <v>2.25</v>
      </c>
      <c r="C47" s="129">
        <v>2.5</v>
      </c>
      <c r="D47" s="129">
        <v>2.5</v>
      </c>
      <c r="E47" s="138">
        <v>-0.1</v>
      </c>
      <c r="F47" s="121">
        <v>1</v>
      </c>
      <c r="G47" s="135" t="s">
        <v>283</v>
      </c>
      <c r="H47" s="136">
        <v>2.625</v>
      </c>
      <c r="I47" s="35"/>
    </row>
    <row r="48" spans="1:9" x14ac:dyDescent="0.2">
      <c r="A48" s="121">
        <v>38</v>
      </c>
      <c r="B48" s="129">
        <v>2.25</v>
      </c>
      <c r="C48" s="129">
        <v>8.9949999999999992</v>
      </c>
      <c r="D48" s="129">
        <v>14.99</v>
      </c>
      <c r="E48" s="137">
        <v>-0.74986103390772696</v>
      </c>
      <c r="F48" s="121">
        <v>1</v>
      </c>
      <c r="G48" s="135" t="s">
        <v>284</v>
      </c>
      <c r="H48" s="136">
        <v>9.4447500000000009</v>
      </c>
      <c r="I48" s="35"/>
    </row>
    <row r="49" spans="1:9" x14ac:dyDescent="0.2">
      <c r="A49" s="121">
        <v>221</v>
      </c>
      <c r="B49" s="129">
        <v>2.09</v>
      </c>
      <c r="C49" s="129">
        <v>2.09</v>
      </c>
      <c r="D49" s="129">
        <v>2.09</v>
      </c>
      <c r="E49" s="138">
        <v>0</v>
      </c>
      <c r="F49" s="121">
        <v>1</v>
      </c>
      <c r="G49" s="135" t="s">
        <v>285</v>
      </c>
      <c r="H49" s="136">
        <v>2.1945000000000001</v>
      </c>
      <c r="I49" s="35"/>
    </row>
    <row r="50" spans="1:9" x14ac:dyDescent="0.2">
      <c r="A50" s="121">
        <v>152</v>
      </c>
      <c r="B50" s="129">
        <v>2</v>
      </c>
      <c r="C50" s="129">
        <v>1.25</v>
      </c>
      <c r="D50" s="129">
        <v>1.25</v>
      </c>
      <c r="E50" s="134">
        <v>0.6</v>
      </c>
      <c r="F50" s="121">
        <v>1</v>
      </c>
      <c r="G50" s="135" t="s">
        <v>286</v>
      </c>
      <c r="H50" s="136">
        <v>1.1875</v>
      </c>
      <c r="I50" s="35"/>
    </row>
    <row r="51" spans="1:9" x14ac:dyDescent="0.2">
      <c r="A51" s="121">
        <v>100</v>
      </c>
      <c r="B51" s="129">
        <v>2</v>
      </c>
      <c r="C51" s="129">
        <v>1.99</v>
      </c>
      <c r="D51" s="129">
        <v>1.99</v>
      </c>
      <c r="E51" s="138">
        <v>5.0251256281407097E-3</v>
      </c>
      <c r="F51" s="121">
        <v>1</v>
      </c>
      <c r="G51" s="135" t="s">
        <v>287</v>
      </c>
      <c r="H51" s="136">
        <v>1.8905000000000001</v>
      </c>
      <c r="I51" s="35"/>
    </row>
    <row r="52" spans="1:9" x14ac:dyDescent="0.2">
      <c r="A52" s="121">
        <v>49</v>
      </c>
      <c r="B52" s="129">
        <v>2</v>
      </c>
      <c r="C52" s="129">
        <v>7.99</v>
      </c>
      <c r="D52" s="129">
        <v>7.99</v>
      </c>
      <c r="E52" s="137">
        <v>-0.74968710888610801</v>
      </c>
      <c r="F52" s="121">
        <v>1</v>
      </c>
      <c r="G52" s="135" t="s">
        <v>288</v>
      </c>
      <c r="H52" s="136">
        <v>8.3895</v>
      </c>
      <c r="I52" s="35"/>
    </row>
    <row r="53" spans="1:9" x14ac:dyDescent="0.2">
      <c r="A53" s="121">
        <v>203</v>
      </c>
      <c r="B53" s="129">
        <v>1.99</v>
      </c>
      <c r="C53" s="129">
        <v>6.99</v>
      </c>
      <c r="D53" s="129">
        <v>6.99</v>
      </c>
      <c r="E53" s="137">
        <v>-0.71530758226037205</v>
      </c>
      <c r="F53" s="121">
        <v>1</v>
      </c>
      <c r="G53" s="135" t="s">
        <v>289</v>
      </c>
      <c r="H53" s="136">
        <v>7.3395000000000001</v>
      </c>
      <c r="I53" s="35"/>
    </row>
    <row r="54" spans="1:9" x14ac:dyDescent="0.2">
      <c r="A54" s="121">
        <v>177</v>
      </c>
      <c r="B54" s="129">
        <v>1.99</v>
      </c>
      <c r="C54" s="129">
        <v>6.99</v>
      </c>
      <c r="D54" s="129">
        <v>6.99</v>
      </c>
      <c r="E54" s="137">
        <v>-0.71530758226037205</v>
      </c>
      <c r="F54" s="121">
        <v>1</v>
      </c>
      <c r="G54" s="135" t="s">
        <v>290</v>
      </c>
      <c r="H54" s="136">
        <v>7.3395000000000001</v>
      </c>
      <c r="I54" s="35"/>
    </row>
    <row r="55" spans="1:9" x14ac:dyDescent="0.2">
      <c r="A55" s="121">
        <v>152</v>
      </c>
      <c r="B55" s="129">
        <v>1.99</v>
      </c>
      <c r="C55" s="129">
        <v>1.25</v>
      </c>
      <c r="D55" s="129">
        <v>1.25</v>
      </c>
      <c r="E55" s="134">
        <v>0.59199999999999997</v>
      </c>
      <c r="F55" s="121">
        <v>1</v>
      </c>
      <c r="G55" s="135" t="s">
        <v>291</v>
      </c>
      <c r="H55" s="136">
        <v>1.1875</v>
      </c>
      <c r="I55" s="35"/>
    </row>
    <row r="56" spans="1:9" x14ac:dyDescent="0.2">
      <c r="A56" s="121">
        <v>98</v>
      </c>
      <c r="B56" s="129">
        <v>1.99</v>
      </c>
      <c r="C56" s="129">
        <v>1.99</v>
      </c>
      <c r="D56" s="129">
        <v>1.99</v>
      </c>
      <c r="E56" s="138">
        <v>0</v>
      </c>
      <c r="F56" s="121">
        <v>1</v>
      </c>
      <c r="G56" s="135" t="s">
        <v>292</v>
      </c>
      <c r="H56" s="136">
        <v>2.0895000000000001</v>
      </c>
      <c r="I56" s="35"/>
    </row>
    <row r="57" spans="1:9" x14ac:dyDescent="0.2">
      <c r="A57" s="35"/>
      <c r="B57" s="35"/>
      <c r="C57" s="35"/>
      <c r="D57" s="35"/>
      <c r="E57" s="35"/>
      <c r="F57" s="35"/>
      <c r="G57" s="35"/>
      <c r="H57" s="35"/>
      <c r="I57" s="35"/>
    </row>
    <row r="58" spans="1:9" ht="24" customHeight="1" x14ac:dyDescent="0.2">
      <c r="A58" s="456" t="s">
        <v>293</v>
      </c>
      <c r="B58" s="395"/>
      <c r="C58" s="395"/>
      <c r="D58" s="395"/>
      <c r="E58" s="395"/>
      <c r="F58" s="395"/>
      <c r="G58" s="395"/>
      <c r="H58" s="395"/>
      <c r="I58" s="395"/>
    </row>
    <row r="59" spans="1:9" ht="27.75" customHeight="1" x14ac:dyDescent="0.2">
      <c r="A59" s="451" t="s">
        <v>294</v>
      </c>
      <c r="B59" s="414"/>
      <c r="C59" s="414"/>
      <c r="D59" s="414"/>
      <c r="E59" s="414"/>
      <c r="F59" s="414"/>
      <c r="G59" s="414"/>
      <c r="H59" s="414"/>
      <c r="I59" s="414"/>
    </row>
    <row r="60" spans="1:9" ht="26.75" customHeight="1" x14ac:dyDescent="0.2">
      <c r="A60" s="133" t="s">
        <v>295</v>
      </c>
      <c r="B60" s="133" t="s">
        <v>296</v>
      </c>
      <c r="C60" s="133" t="s">
        <v>297</v>
      </c>
      <c r="D60" s="448" t="s">
        <v>298</v>
      </c>
      <c r="E60" s="414"/>
      <c r="F60" s="414"/>
      <c r="G60" s="415"/>
      <c r="H60" s="455"/>
      <c r="I60" s="395"/>
    </row>
    <row r="61" spans="1:9" x14ac:dyDescent="0.2">
      <c r="A61" s="139">
        <v>17</v>
      </c>
      <c r="B61" s="129">
        <v>2.3199999999999998</v>
      </c>
      <c r="C61" s="129">
        <v>40.549999999999997</v>
      </c>
      <c r="D61" s="445" t="s">
        <v>299</v>
      </c>
      <c r="E61" s="414"/>
      <c r="F61" s="414"/>
      <c r="G61" s="414"/>
      <c r="H61" s="450" t="s">
        <v>300</v>
      </c>
      <c r="I61" s="414"/>
    </row>
    <row r="62" spans="1:9" x14ac:dyDescent="0.2">
      <c r="A62" s="139">
        <v>7</v>
      </c>
      <c r="B62" s="129">
        <v>1.49</v>
      </c>
      <c r="C62" s="129">
        <v>11.93</v>
      </c>
      <c r="D62" s="445" t="s">
        <v>301</v>
      </c>
      <c r="E62" s="414"/>
      <c r="F62" s="414"/>
      <c r="G62" s="414"/>
      <c r="H62" s="450" t="s">
        <v>300</v>
      </c>
      <c r="I62" s="414"/>
    </row>
    <row r="63" spans="1:9" x14ac:dyDescent="0.2">
      <c r="A63" s="139">
        <v>6</v>
      </c>
      <c r="B63" s="129">
        <v>1.99</v>
      </c>
      <c r="C63" s="129">
        <v>11.94</v>
      </c>
      <c r="D63" s="445" t="s">
        <v>302</v>
      </c>
      <c r="E63" s="414"/>
      <c r="F63" s="414"/>
      <c r="G63" s="414"/>
      <c r="H63" s="450" t="s">
        <v>300</v>
      </c>
      <c r="I63" s="414"/>
    </row>
    <row r="64" spans="1:9" x14ac:dyDescent="0.2">
      <c r="A64" s="139">
        <v>4</v>
      </c>
      <c r="B64" s="129">
        <v>6.69</v>
      </c>
      <c r="C64" s="129">
        <v>12.68</v>
      </c>
      <c r="D64" s="445" t="s">
        <v>303</v>
      </c>
      <c r="E64" s="414"/>
      <c r="F64" s="414"/>
      <c r="G64" s="414"/>
      <c r="H64" s="450" t="s">
        <v>304</v>
      </c>
      <c r="I64" s="414"/>
    </row>
    <row r="65" spans="1:9" x14ac:dyDescent="0.2">
      <c r="A65" s="139">
        <v>4</v>
      </c>
      <c r="B65" s="129">
        <v>4.99</v>
      </c>
      <c r="C65" s="129">
        <v>10.56</v>
      </c>
      <c r="D65" s="445" t="s">
        <v>305</v>
      </c>
      <c r="E65" s="414"/>
      <c r="F65" s="414"/>
      <c r="G65" s="414"/>
      <c r="H65" s="450" t="s">
        <v>304</v>
      </c>
      <c r="I65" s="414"/>
    </row>
    <row r="66" spans="1:9" x14ac:dyDescent="0.2">
      <c r="A66" s="139">
        <v>4</v>
      </c>
      <c r="B66" s="129">
        <v>2.99</v>
      </c>
      <c r="C66" s="129">
        <v>9.16</v>
      </c>
      <c r="D66" s="445" t="s">
        <v>306</v>
      </c>
      <c r="E66" s="414"/>
      <c r="F66" s="414"/>
      <c r="G66" s="414"/>
      <c r="H66" s="450" t="s">
        <v>304</v>
      </c>
      <c r="I66" s="414"/>
    </row>
    <row r="67" spans="1:9" x14ac:dyDescent="0.2">
      <c r="A67" s="139">
        <v>4</v>
      </c>
      <c r="B67" s="129">
        <v>1.99</v>
      </c>
      <c r="C67" s="129">
        <v>7.66</v>
      </c>
      <c r="D67" s="445" t="s">
        <v>307</v>
      </c>
      <c r="E67" s="414"/>
      <c r="F67" s="414"/>
      <c r="G67" s="414"/>
      <c r="H67" s="450" t="s">
        <v>304</v>
      </c>
      <c r="I67" s="414"/>
    </row>
    <row r="68" spans="1:9" x14ac:dyDescent="0.2">
      <c r="A68" s="139">
        <v>4</v>
      </c>
      <c r="B68" s="129">
        <v>1.99</v>
      </c>
      <c r="C68" s="129">
        <v>5.96</v>
      </c>
      <c r="D68" s="445" t="s">
        <v>308</v>
      </c>
      <c r="E68" s="414"/>
      <c r="F68" s="414"/>
      <c r="G68" s="414"/>
      <c r="H68" s="450" t="s">
        <v>304</v>
      </c>
      <c r="I68" s="414"/>
    </row>
    <row r="69" spans="1:9" x14ac:dyDescent="0.2">
      <c r="A69" s="139">
        <v>4</v>
      </c>
      <c r="B69" s="129">
        <v>1.5</v>
      </c>
      <c r="C69" s="129">
        <v>13.46</v>
      </c>
      <c r="D69" s="445" t="s">
        <v>309</v>
      </c>
      <c r="E69" s="414"/>
      <c r="F69" s="414"/>
      <c r="G69" s="414"/>
      <c r="H69" s="450" t="s">
        <v>304</v>
      </c>
      <c r="I69" s="414"/>
    </row>
    <row r="70" spans="1:9" x14ac:dyDescent="0.2">
      <c r="A70" s="139">
        <v>4</v>
      </c>
      <c r="B70" s="129">
        <v>2.5</v>
      </c>
      <c r="C70" s="129">
        <v>6.24</v>
      </c>
      <c r="D70" s="445" t="s">
        <v>310</v>
      </c>
      <c r="E70" s="414"/>
      <c r="F70" s="414"/>
      <c r="G70" s="414"/>
      <c r="H70" s="450" t="s">
        <v>304</v>
      </c>
      <c r="I70" s="414"/>
    </row>
    <row r="71" spans="1:9" x14ac:dyDescent="0.2">
      <c r="A71" s="139">
        <v>3</v>
      </c>
      <c r="B71" s="129">
        <v>2.99</v>
      </c>
      <c r="C71" s="129">
        <v>7.44</v>
      </c>
      <c r="D71" s="445" t="s">
        <v>311</v>
      </c>
      <c r="E71" s="414"/>
      <c r="F71" s="414"/>
      <c r="G71" s="414"/>
      <c r="H71" s="450" t="s">
        <v>304</v>
      </c>
      <c r="I71" s="414"/>
    </row>
    <row r="72" spans="1:9" x14ac:dyDescent="0.2">
      <c r="A72" s="139">
        <v>3</v>
      </c>
      <c r="B72" s="129">
        <v>4.49</v>
      </c>
      <c r="C72" s="129">
        <v>12.27</v>
      </c>
      <c r="D72" s="445" t="s">
        <v>312</v>
      </c>
      <c r="E72" s="414"/>
      <c r="F72" s="414"/>
      <c r="G72" s="414"/>
      <c r="H72" s="450" t="s">
        <v>304</v>
      </c>
      <c r="I72" s="414"/>
    </row>
    <row r="73" spans="1:9" x14ac:dyDescent="0.2">
      <c r="A73" s="139">
        <v>3</v>
      </c>
      <c r="B73" s="129">
        <v>2.99</v>
      </c>
      <c r="C73" s="129">
        <v>9.9700000000000006</v>
      </c>
      <c r="D73" s="445" t="s">
        <v>313</v>
      </c>
      <c r="E73" s="414"/>
      <c r="F73" s="414"/>
      <c r="G73" s="414"/>
      <c r="H73" s="450" t="s">
        <v>304</v>
      </c>
      <c r="I73" s="414"/>
    </row>
    <row r="74" spans="1:9" x14ac:dyDescent="0.2">
      <c r="A74" s="139">
        <v>3</v>
      </c>
      <c r="B74" s="129">
        <v>1.99</v>
      </c>
      <c r="C74" s="129">
        <v>5.23</v>
      </c>
      <c r="D74" s="445" t="s">
        <v>314</v>
      </c>
      <c r="E74" s="414"/>
      <c r="F74" s="414"/>
      <c r="G74" s="414"/>
      <c r="H74" s="450" t="s">
        <v>304</v>
      </c>
      <c r="I74" s="414"/>
    </row>
    <row r="75" spans="1:9" x14ac:dyDescent="0.2">
      <c r="A75" s="139">
        <v>3</v>
      </c>
      <c r="B75" s="129">
        <v>1.99</v>
      </c>
      <c r="C75" s="129">
        <v>5.97</v>
      </c>
      <c r="D75" s="445" t="s">
        <v>315</v>
      </c>
      <c r="E75" s="414"/>
      <c r="F75" s="414"/>
      <c r="G75" s="414"/>
      <c r="H75" s="450" t="s">
        <v>304</v>
      </c>
      <c r="I75" s="414"/>
    </row>
    <row r="76" spans="1:9" x14ac:dyDescent="0.2">
      <c r="A76" s="139">
        <v>3</v>
      </c>
      <c r="B76" s="129">
        <v>1.99</v>
      </c>
      <c r="C76" s="129">
        <v>5.97</v>
      </c>
      <c r="D76" s="445" t="s">
        <v>316</v>
      </c>
      <c r="E76" s="414"/>
      <c r="F76" s="414"/>
      <c r="G76" s="414"/>
      <c r="H76" s="450" t="s">
        <v>304</v>
      </c>
      <c r="I76" s="414"/>
    </row>
    <row r="77" spans="1:9" x14ac:dyDescent="0.2">
      <c r="A77" s="139">
        <v>3</v>
      </c>
      <c r="B77" s="129">
        <v>2</v>
      </c>
      <c r="C77" s="129">
        <v>8.25</v>
      </c>
      <c r="D77" s="445" t="s">
        <v>317</v>
      </c>
      <c r="E77" s="414"/>
      <c r="F77" s="414"/>
      <c r="G77" s="414"/>
      <c r="H77" s="450" t="s">
        <v>304</v>
      </c>
      <c r="I77" s="414"/>
    </row>
    <row r="78" spans="1:9" x14ac:dyDescent="0.2">
      <c r="A78" s="139">
        <v>3</v>
      </c>
      <c r="B78" s="129">
        <v>2.25</v>
      </c>
      <c r="C78" s="129">
        <v>5.74</v>
      </c>
      <c r="D78" s="445" t="s">
        <v>318</v>
      </c>
      <c r="E78" s="414"/>
      <c r="F78" s="414"/>
      <c r="G78" s="414"/>
      <c r="H78" s="450" t="s">
        <v>304</v>
      </c>
      <c r="I78" s="414"/>
    </row>
    <row r="79" spans="1:9" x14ac:dyDescent="0.2">
      <c r="A79" s="139">
        <v>3</v>
      </c>
      <c r="B79" s="129">
        <v>1.5</v>
      </c>
      <c r="C79" s="129">
        <v>7.3</v>
      </c>
      <c r="D79" s="445" t="s">
        <v>319</v>
      </c>
      <c r="E79" s="414"/>
      <c r="F79" s="414"/>
      <c r="G79" s="414"/>
      <c r="H79" s="450" t="s">
        <v>304</v>
      </c>
      <c r="I79" s="414"/>
    </row>
    <row r="80" spans="1:9" x14ac:dyDescent="0.2">
      <c r="A80" s="35"/>
      <c r="B80" s="35"/>
      <c r="C80" s="35"/>
      <c r="D80" s="35"/>
      <c r="E80" s="35"/>
      <c r="F80" s="35"/>
      <c r="G80" s="35"/>
      <c r="H80" s="35"/>
      <c r="I80" s="35"/>
    </row>
    <row r="81" spans="1:9" ht="24" customHeight="1" x14ac:dyDescent="0.2">
      <c r="A81" s="456" t="s">
        <v>320</v>
      </c>
      <c r="B81" s="395"/>
      <c r="C81" s="395"/>
      <c r="D81" s="395"/>
      <c r="E81" s="395"/>
      <c r="F81" s="395"/>
      <c r="G81" s="395"/>
      <c r="H81" s="395"/>
      <c r="I81" s="395"/>
    </row>
    <row r="82" spans="1:9" ht="27.75" customHeight="1" x14ac:dyDescent="0.2">
      <c r="A82" s="458" t="s">
        <v>321</v>
      </c>
      <c r="B82" s="414"/>
      <c r="C82" s="414"/>
      <c r="D82" s="414"/>
      <c r="E82" s="414"/>
      <c r="F82" s="414"/>
      <c r="G82" s="414"/>
      <c r="H82" s="414"/>
      <c r="I82" s="414"/>
    </row>
    <row r="83" spans="1:9" ht="26.75" customHeight="1" x14ac:dyDescent="0.2">
      <c r="A83" s="133" t="s">
        <v>256</v>
      </c>
      <c r="B83" s="133" t="s">
        <v>257</v>
      </c>
      <c r="C83" s="133" t="s">
        <v>322</v>
      </c>
      <c r="D83" s="448" t="s">
        <v>207</v>
      </c>
      <c r="E83" s="414"/>
      <c r="F83" s="414"/>
      <c r="G83" s="415"/>
      <c r="H83" s="455"/>
      <c r="I83" s="395"/>
    </row>
    <row r="84" spans="1:9" x14ac:dyDescent="0.2">
      <c r="A84" s="121">
        <v>279</v>
      </c>
      <c r="B84" s="129">
        <v>50</v>
      </c>
      <c r="C84" s="140" t="s">
        <v>323</v>
      </c>
      <c r="D84" s="445" t="s">
        <v>324</v>
      </c>
      <c r="E84" s="414"/>
      <c r="F84" s="414"/>
      <c r="G84" s="414"/>
      <c r="H84" s="449" t="s">
        <v>325</v>
      </c>
      <c r="I84" s="414"/>
    </row>
    <row r="85" spans="1:9" x14ac:dyDescent="0.2">
      <c r="A85" s="121">
        <v>119</v>
      </c>
      <c r="B85" s="129">
        <v>43</v>
      </c>
      <c r="C85" s="140" t="s">
        <v>323</v>
      </c>
      <c r="D85" s="445" t="s">
        <v>326</v>
      </c>
      <c r="E85" s="414"/>
      <c r="F85" s="414"/>
      <c r="G85" s="414"/>
      <c r="H85" s="449" t="s">
        <v>325</v>
      </c>
      <c r="I85" s="414"/>
    </row>
    <row r="86" spans="1:9" x14ac:dyDescent="0.2">
      <c r="A86" s="121">
        <v>235</v>
      </c>
      <c r="B86" s="129">
        <v>38</v>
      </c>
      <c r="C86" s="140" t="s">
        <v>323</v>
      </c>
      <c r="D86" s="445" t="s">
        <v>327</v>
      </c>
      <c r="E86" s="414"/>
      <c r="F86" s="414"/>
      <c r="G86" s="414"/>
      <c r="H86" s="449" t="s">
        <v>325</v>
      </c>
      <c r="I86" s="414"/>
    </row>
    <row r="87" spans="1:9" x14ac:dyDescent="0.2">
      <c r="A87" s="121">
        <v>310</v>
      </c>
      <c r="B87" s="129">
        <v>35</v>
      </c>
      <c r="C87" s="140" t="s">
        <v>323</v>
      </c>
      <c r="D87" s="445" t="s">
        <v>328</v>
      </c>
      <c r="E87" s="414"/>
      <c r="F87" s="414"/>
      <c r="G87" s="414"/>
      <c r="H87" s="449" t="s">
        <v>325</v>
      </c>
      <c r="I87" s="414"/>
    </row>
    <row r="88" spans="1:9" x14ac:dyDescent="0.2">
      <c r="A88" s="121">
        <v>118</v>
      </c>
      <c r="B88" s="129">
        <v>30</v>
      </c>
      <c r="C88" s="140" t="s">
        <v>323</v>
      </c>
      <c r="D88" s="445" t="s">
        <v>329</v>
      </c>
      <c r="E88" s="414"/>
      <c r="F88" s="414"/>
      <c r="G88" s="414"/>
      <c r="H88" s="449" t="s">
        <v>325</v>
      </c>
      <c r="I88" s="414"/>
    </row>
    <row r="89" spans="1:9" x14ac:dyDescent="0.2">
      <c r="A89" s="121">
        <v>207</v>
      </c>
      <c r="B89" s="129">
        <v>29.99</v>
      </c>
      <c r="C89" s="140" t="s">
        <v>323</v>
      </c>
      <c r="D89" s="445" t="s">
        <v>330</v>
      </c>
      <c r="E89" s="414"/>
      <c r="F89" s="414"/>
      <c r="G89" s="414"/>
      <c r="H89" s="449" t="s">
        <v>325</v>
      </c>
      <c r="I89" s="414"/>
    </row>
    <row r="90" spans="1:9" x14ac:dyDescent="0.2">
      <c r="A90" s="121">
        <v>190</v>
      </c>
      <c r="B90" s="129">
        <v>29</v>
      </c>
      <c r="C90" s="140" t="s">
        <v>323</v>
      </c>
      <c r="D90" s="445" t="s">
        <v>331</v>
      </c>
      <c r="E90" s="414"/>
      <c r="F90" s="414"/>
      <c r="G90" s="414"/>
      <c r="H90" s="449" t="s">
        <v>325</v>
      </c>
      <c r="I90" s="414"/>
    </row>
    <row r="91" spans="1:9" x14ac:dyDescent="0.2">
      <c r="A91" s="121">
        <v>182</v>
      </c>
      <c r="B91" s="129">
        <v>25</v>
      </c>
      <c r="C91" s="140" t="s">
        <v>323</v>
      </c>
      <c r="D91" s="445" t="s">
        <v>332</v>
      </c>
      <c r="E91" s="414"/>
      <c r="F91" s="414"/>
      <c r="G91" s="414"/>
      <c r="H91" s="449" t="s">
        <v>325</v>
      </c>
      <c r="I91" s="414"/>
    </row>
    <row r="92" spans="1:9" x14ac:dyDescent="0.2">
      <c r="A92" s="121">
        <v>179</v>
      </c>
      <c r="B92" s="129">
        <v>25</v>
      </c>
      <c r="C92" s="140" t="s">
        <v>323</v>
      </c>
      <c r="D92" s="445" t="s">
        <v>333</v>
      </c>
      <c r="E92" s="414"/>
      <c r="F92" s="414"/>
      <c r="G92" s="414"/>
      <c r="H92" s="449" t="s">
        <v>325</v>
      </c>
      <c r="I92" s="414"/>
    </row>
    <row r="93" spans="1:9" x14ac:dyDescent="0.2">
      <c r="A93" s="121">
        <v>167</v>
      </c>
      <c r="B93" s="129">
        <v>25</v>
      </c>
      <c r="C93" s="140" t="s">
        <v>323</v>
      </c>
      <c r="D93" s="445" t="s">
        <v>334</v>
      </c>
      <c r="E93" s="414"/>
      <c r="F93" s="414"/>
      <c r="G93" s="414"/>
      <c r="H93" s="449" t="s">
        <v>325</v>
      </c>
      <c r="I93" s="414"/>
    </row>
    <row r="94" spans="1:9" x14ac:dyDescent="0.2">
      <c r="A94" s="121">
        <v>124</v>
      </c>
      <c r="B94" s="129">
        <v>25</v>
      </c>
      <c r="C94" s="140" t="s">
        <v>323</v>
      </c>
      <c r="D94" s="445" t="s">
        <v>335</v>
      </c>
      <c r="E94" s="414"/>
      <c r="F94" s="414"/>
      <c r="G94" s="414"/>
      <c r="H94" s="449" t="s">
        <v>325</v>
      </c>
      <c r="I94" s="414"/>
    </row>
    <row r="95" spans="1:9" x14ac:dyDescent="0.2">
      <c r="A95" s="121">
        <v>276</v>
      </c>
      <c r="B95" s="129">
        <v>24.95</v>
      </c>
      <c r="C95" s="140" t="s">
        <v>323</v>
      </c>
      <c r="D95" s="445" t="s">
        <v>336</v>
      </c>
      <c r="E95" s="414"/>
      <c r="F95" s="414"/>
      <c r="G95" s="414"/>
      <c r="H95" s="449" t="s">
        <v>337</v>
      </c>
      <c r="I95" s="414"/>
    </row>
    <row r="96" spans="1:9" x14ac:dyDescent="0.2">
      <c r="A96" s="121">
        <v>179</v>
      </c>
      <c r="B96" s="129">
        <v>22</v>
      </c>
      <c r="C96" s="140" t="s">
        <v>323</v>
      </c>
      <c r="D96" s="445" t="s">
        <v>338</v>
      </c>
      <c r="E96" s="414"/>
      <c r="F96" s="414"/>
      <c r="G96" s="414"/>
      <c r="H96" s="449" t="s">
        <v>337</v>
      </c>
      <c r="I96" s="414"/>
    </row>
    <row r="97" spans="1:9" x14ac:dyDescent="0.2">
      <c r="A97" s="121">
        <v>222</v>
      </c>
      <c r="B97" s="129">
        <v>21</v>
      </c>
      <c r="C97" s="140" t="s">
        <v>323</v>
      </c>
      <c r="D97" s="445" t="s">
        <v>339</v>
      </c>
      <c r="E97" s="414"/>
      <c r="F97" s="414"/>
      <c r="G97" s="414"/>
      <c r="H97" s="449" t="s">
        <v>337</v>
      </c>
      <c r="I97" s="414"/>
    </row>
    <row r="98" spans="1:9" x14ac:dyDescent="0.2">
      <c r="A98" s="121">
        <v>221</v>
      </c>
      <c r="B98" s="129">
        <v>20.49</v>
      </c>
      <c r="C98" s="140" t="s">
        <v>323</v>
      </c>
      <c r="D98" s="445" t="s">
        <v>340</v>
      </c>
      <c r="E98" s="414"/>
      <c r="F98" s="414"/>
      <c r="G98" s="414"/>
      <c r="H98" s="449" t="s">
        <v>337</v>
      </c>
      <c r="I98" s="414"/>
    </row>
    <row r="99" spans="1:9" x14ac:dyDescent="0.2">
      <c r="A99" s="121">
        <v>220</v>
      </c>
      <c r="B99" s="129">
        <v>20.29</v>
      </c>
      <c r="C99" s="140" t="s">
        <v>323</v>
      </c>
      <c r="D99" s="445" t="s">
        <v>341</v>
      </c>
      <c r="E99" s="414"/>
      <c r="F99" s="414"/>
      <c r="G99" s="414"/>
      <c r="H99" s="449" t="s">
        <v>337</v>
      </c>
      <c r="I99" s="414"/>
    </row>
    <row r="100" spans="1:9" x14ac:dyDescent="0.2">
      <c r="A100" s="121">
        <v>179</v>
      </c>
      <c r="B100" s="129">
        <v>20</v>
      </c>
      <c r="C100" s="140" t="s">
        <v>323</v>
      </c>
      <c r="D100" s="445" t="s">
        <v>342</v>
      </c>
      <c r="E100" s="414"/>
      <c r="F100" s="414"/>
      <c r="G100" s="414"/>
      <c r="H100" s="449" t="s">
        <v>337</v>
      </c>
      <c r="I100" s="414"/>
    </row>
    <row r="101" spans="1:9" x14ac:dyDescent="0.2">
      <c r="A101" s="35"/>
      <c r="B101" s="35"/>
      <c r="C101" s="35"/>
      <c r="D101" s="35"/>
      <c r="E101" s="35"/>
      <c r="F101" s="35"/>
      <c r="G101" s="35"/>
      <c r="H101" s="35"/>
      <c r="I101" s="35"/>
    </row>
    <row r="102" spans="1:9" ht="24" customHeight="1" x14ac:dyDescent="0.2">
      <c r="A102" s="456" t="s">
        <v>343</v>
      </c>
      <c r="B102" s="395"/>
      <c r="C102" s="395"/>
      <c r="D102" s="395"/>
      <c r="E102" s="395"/>
      <c r="F102" s="395"/>
      <c r="G102" s="395"/>
      <c r="H102" s="395"/>
      <c r="I102" s="395"/>
    </row>
    <row r="103" spans="1:9" ht="21.75" customHeight="1" x14ac:dyDescent="0.2">
      <c r="A103" s="424" t="s">
        <v>344</v>
      </c>
      <c r="B103" s="395"/>
      <c r="C103" s="395"/>
      <c r="D103" s="395"/>
      <c r="E103" s="395"/>
      <c r="F103" s="395"/>
      <c r="G103" s="395"/>
      <c r="H103" s="395"/>
      <c r="I103" s="395"/>
    </row>
    <row r="104" spans="1:9" ht="51.75" customHeight="1" x14ac:dyDescent="0.2">
      <c r="A104" s="444" t="s">
        <v>345</v>
      </c>
      <c r="B104" s="395"/>
      <c r="C104" s="452" t="s">
        <v>346</v>
      </c>
      <c r="D104" s="395"/>
      <c r="E104" s="395"/>
      <c r="F104" s="395"/>
      <c r="G104" s="395"/>
      <c r="H104" s="395"/>
      <c r="I104" s="395"/>
    </row>
    <row r="105" spans="1:9" x14ac:dyDescent="0.2">
      <c r="A105" s="35"/>
      <c r="B105" s="35"/>
      <c r="C105" s="35"/>
      <c r="D105" s="35"/>
      <c r="E105" s="35"/>
      <c r="F105" s="35"/>
      <c r="G105" s="35"/>
      <c r="H105" s="35"/>
      <c r="I105" s="35"/>
    </row>
    <row r="106" spans="1:9" ht="21.75" customHeight="1" x14ac:dyDescent="0.2">
      <c r="A106" s="424" t="s">
        <v>347</v>
      </c>
      <c r="B106" s="395"/>
      <c r="C106" s="395"/>
      <c r="D106" s="395"/>
      <c r="E106" s="395"/>
      <c r="F106" s="395"/>
      <c r="G106" s="395"/>
      <c r="H106" s="395"/>
      <c r="I106" s="395"/>
    </row>
    <row r="107" spans="1:9" ht="51.75" customHeight="1" x14ac:dyDescent="0.2">
      <c r="A107" s="444" t="s">
        <v>348</v>
      </c>
      <c r="B107" s="395"/>
      <c r="C107" s="452" t="s">
        <v>349</v>
      </c>
      <c r="D107" s="395"/>
      <c r="E107" s="395"/>
      <c r="F107" s="395"/>
      <c r="G107" s="395"/>
      <c r="H107" s="395"/>
      <c r="I107" s="395"/>
    </row>
    <row r="108" spans="1:9" x14ac:dyDescent="0.2">
      <c r="A108" s="35"/>
      <c r="B108" s="35"/>
      <c r="C108" s="35"/>
      <c r="D108" s="35"/>
      <c r="E108" s="35"/>
      <c r="F108" s="35"/>
      <c r="G108" s="35"/>
      <c r="H108" s="35"/>
      <c r="I108" s="35"/>
    </row>
    <row r="109" spans="1:9" ht="21.75" customHeight="1" x14ac:dyDescent="0.2">
      <c r="A109" s="424" t="s">
        <v>350</v>
      </c>
      <c r="B109" s="395"/>
      <c r="C109" s="395"/>
      <c r="D109" s="395"/>
      <c r="E109" s="395"/>
      <c r="F109" s="395"/>
      <c r="G109" s="395"/>
      <c r="H109" s="395"/>
      <c r="I109" s="395"/>
    </row>
    <row r="110" spans="1:9" ht="51.75" customHeight="1" x14ac:dyDescent="0.2">
      <c r="A110" s="444" t="s">
        <v>351</v>
      </c>
      <c r="B110" s="395"/>
      <c r="C110" s="452" t="s">
        <v>352</v>
      </c>
      <c r="D110" s="395"/>
      <c r="E110" s="395"/>
      <c r="F110" s="395"/>
      <c r="G110" s="395"/>
      <c r="H110" s="395"/>
      <c r="I110" s="395"/>
    </row>
  </sheetData>
  <mergeCells count="119">
    <mergeCell ref="E9:F9"/>
    <mergeCell ref="H88:I88"/>
    <mergeCell ref="H70:I70"/>
    <mergeCell ref="C107:I107"/>
    <mergeCell ref="A81:I81"/>
    <mergeCell ref="A6:D6"/>
    <mergeCell ref="D96:G96"/>
    <mergeCell ref="E11:F11"/>
    <mergeCell ref="H90:I90"/>
    <mergeCell ref="H99:I99"/>
    <mergeCell ref="A58:I58"/>
    <mergeCell ref="H76:I76"/>
    <mergeCell ref="D83:G83"/>
    <mergeCell ref="D92:G92"/>
    <mergeCell ref="D67:G67"/>
    <mergeCell ref="A110:B110"/>
    <mergeCell ref="D85:G85"/>
    <mergeCell ref="D94:G94"/>
    <mergeCell ref="E10:F10"/>
    <mergeCell ref="H64:I64"/>
    <mergeCell ref="D69:G69"/>
    <mergeCell ref="H98:I98"/>
    <mergeCell ref="H61:I61"/>
    <mergeCell ref="A1:I1"/>
    <mergeCell ref="H97:I97"/>
    <mergeCell ref="A8:D8"/>
    <mergeCell ref="A10:D10"/>
    <mergeCell ref="D89:G89"/>
    <mergeCell ref="C18:F18"/>
    <mergeCell ref="D79:G79"/>
    <mergeCell ref="H73:I73"/>
    <mergeCell ref="A14:I14"/>
    <mergeCell ref="H60:I60"/>
    <mergeCell ref="D63:G63"/>
    <mergeCell ref="A4:I4"/>
    <mergeCell ref="E6:F6"/>
    <mergeCell ref="D65:G65"/>
    <mergeCell ref="C20:F20"/>
    <mergeCell ref="H84:I84"/>
    <mergeCell ref="H66:I66"/>
    <mergeCell ref="A24:I24"/>
    <mergeCell ref="D76:G76"/>
    <mergeCell ref="C22:F22"/>
    <mergeCell ref="A82:I82"/>
    <mergeCell ref="H77:I77"/>
    <mergeCell ref="E7:F7"/>
    <mergeCell ref="A12:D12"/>
    <mergeCell ref="C110:I110"/>
    <mergeCell ref="H63:I63"/>
    <mergeCell ref="E5:F5"/>
    <mergeCell ref="D64:G64"/>
    <mergeCell ref="H93:I93"/>
    <mergeCell ref="D98:G98"/>
    <mergeCell ref="D73:G73"/>
    <mergeCell ref="C19:F19"/>
    <mergeCell ref="H74:I74"/>
    <mergeCell ref="H68:I68"/>
    <mergeCell ref="H83:I83"/>
    <mergeCell ref="A9:D9"/>
    <mergeCell ref="D88:G88"/>
    <mergeCell ref="H85:I85"/>
    <mergeCell ref="A11:D11"/>
    <mergeCell ref="D90:G90"/>
    <mergeCell ref="D99:G99"/>
    <mergeCell ref="H69:I69"/>
    <mergeCell ref="A102:I102"/>
    <mergeCell ref="H75:I75"/>
    <mergeCell ref="D61:G61"/>
    <mergeCell ref="H95:I95"/>
    <mergeCell ref="D75:G75"/>
    <mergeCell ref="A106:I106"/>
    <mergeCell ref="A109:I109"/>
    <mergeCell ref="H79:I79"/>
    <mergeCell ref="D84:G84"/>
    <mergeCell ref="H72:I72"/>
    <mergeCell ref="D77:G77"/>
    <mergeCell ref="A7:D7"/>
    <mergeCell ref="D86:G86"/>
    <mergeCell ref="D95:G95"/>
    <mergeCell ref="H65:I65"/>
    <mergeCell ref="H96:I96"/>
    <mergeCell ref="A59:I59"/>
    <mergeCell ref="D70:G70"/>
    <mergeCell ref="H87:I87"/>
    <mergeCell ref="A103:I103"/>
    <mergeCell ref="D97:G97"/>
    <mergeCell ref="H62:I62"/>
    <mergeCell ref="H71:I71"/>
    <mergeCell ref="D72:G72"/>
    <mergeCell ref="D78:G78"/>
    <mergeCell ref="D87:G87"/>
    <mergeCell ref="D62:G62"/>
    <mergeCell ref="E12:F12"/>
    <mergeCell ref="H91:I91"/>
    <mergeCell ref="D71:G71"/>
    <mergeCell ref="A5:D5"/>
    <mergeCell ref="A107:B107"/>
    <mergeCell ref="D74:G74"/>
    <mergeCell ref="D68:G68"/>
    <mergeCell ref="E8:F8"/>
    <mergeCell ref="A2:I2"/>
    <mergeCell ref="D60:G60"/>
    <mergeCell ref="D100:G100"/>
    <mergeCell ref="H94:I94"/>
    <mergeCell ref="H89:I89"/>
    <mergeCell ref="C17:F17"/>
    <mergeCell ref="C104:I104"/>
    <mergeCell ref="A104:B104"/>
    <mergeCell ref="H100:I100"/>
    <mergeCell ref="D66:G66"/>
    <mergeCell ref="H86:I86"/>
    <mergeCell ref="D91:G91"/>
    <mergeCell ref="C21:F21"/>
    <mergeCell ref="H92:I92"/>
    <mergeCell ref="A16:I16"/>
    <mergeCell ref="D93:G93"/>
    <mergeCell ref="A25:I25"/>
    <mergeCell ref="H67:I67"/>
    <mergeCell ref="H78:I7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0"/>
  <sheetViews>
    <sheetView showGridLines="0" topLeftCell="A10" zoomScaleNormal="100" workbookViewId="0">
      <selection sqref="A1:J1"/>
    </sheetView>
  </sheetViews>
  <sheetFormatPr baseColWidth="10" defaultColWidth="8.6640625" defaultRowHeight="15" x14ac:dyDescent="0.2"/>
  <cols>
    <col min="1" max="1" width="14" customWidth="1"/>
    <col min="2" max="2" width="8" customWidth="1"/>
    <col min="3" max="3" width="12" customWidth="1"/>
    <col min="4" max="4" width="38" customWidth="1"/>
    <col min="5" max="9" width="14" customWidth="1"/>
    <col min="10" max="10" width="18" customWidth="1"/>
  </cols>
  <sheetData>
    <row r="1" spans="1:10" ht="31.5" customHeight="1" x14ac:dyDescent="0.2">
      <c r="A1" s="417" t="s">
        <v>118</v>
      </c>
      <c r="B1" s="395"/>
      <c r="C1" s="395"/>
      <c r="D1" s="395"/>
      <c r="E1" s="395"/>
      <c r="F1" s="395"/>
      <c r="G1" s="395"/>
      <c r="H1" s="395"/>
      <c r="I1" s="395"/>
      <c r="J1" s="395"/>
    </row>
    <row r="2" spans="1:10" x14ac:dyDescent="0.2">
      <c r="A2" s="426" t="s">
        <v>353</v>
      </c>
      <c r="B2" s="395"/>
      <c r="C2" s="395"/>
      <c r="D2" s="395"/>
      <c r="E2" s="395"/>
      <c r="F2" s="395"/>
      <c r="G2" s="395"/>
      <c r="H2" s="395"/>
      <c r="I2" s="395"/>
      <c r="J2" s="395"/>
    </row>
    <row r="3" spans="1:10" x14ac:dyDescent="0.2">
      <c r="A3" s="35"/>
      <c r="B3" s="35"/>
      <c r="C3" s="35"/>
      <c r="D3" s="35"/>
      <c r="E3" s="35"/>
      <c r="F3" s="35"/>
      <c r="G3" s="35"/>
      <c r="H3" s="35"/>
      <c r="I3" s="35"/>
      <c r="J3" s="35"/>
    </row>
    <row r="4" spans="1:10" ht="21.75" customHeight="1" x14ac:dyDescent="0.2">
      <c r="A4" s="431" t="s">
        <v>354</v>
      </c>
      <c r="B4" s="395"/>
      <c r="C4" s="395"/>
      <c r="D4" s="395"/>
      <c r="E4" s="395"/>
      <c r="F4" s="395"/>
      <c r="G4" s="395"/>
      <c r="H4" s="395"/>
      <c r="I4" s="395"/>
      <c r="J4" s="395"/>
    </row>
    <row r="5" spans="1:10" ht="16" customHeight="1" x14ac:dyDescent="0.2">
      <c r="A5" s="35"/>
      <c r="B5" s="141" t="s">
        <v>355</v>
      </c>
      <c r="C5" s="142" t="s">
        <v>356</v>
      </c>
      <c r="D5" s="142" t="s">
        <v>357</v>
      </c>
      <c r="E5" s="142" t="s">
        <v>358</v>
      </c>
      <c r="F5" s="142" t="s">
        <v>359</v>
      </c>
      <c r="G5" s="35"/>
      <c r="H5" s="35"/>
      <c r="I5" s="35"/>
      <c r="J5" s="35"/>
    </row>
    <row r="6" spans="1:10" ht="48" customHeight="1" x14ac:dyDescent="0.2">
      <c r="A6" s="35"/>
      <c r="B6" s="143" t="s">
        <v>360</v>
      </c>
      <c r="C6" s="144" t="s">
        <v>361</v>
      </c>
      <c r="D6" s="144" t="s">
        <v>362</v>
      </c>
      <c r="E6" s="144" t="s">
        <v>363</v>
      </c>
      <c r="F6" s="145" t="s">
        <v>364</v>
      </c>
      <c r="G6" s="35"/>
      <c r="H6" s="35"/>
      <c r="I6" s="35"/>
      <c r="J6" s="35"/>
    </row>
    <row r="7" spans="1:10" ht="64" customHeight="1" x14ac:dyDescent="0.2">
      <c r="A7" s="35"/>
      <c r="B7" s="143" t="s">
        <v>365</v>
      </c>
      <c r="C7" s="144" t="s">
        <v>366</v>
      </c>
      <c r="D7" s="144" t="s">
        <v>367</v>
      </c>
      <c r="E7" s="144" t="s">
        <v>368</v>
      </c>
      <c r="F7" s="145" t="s">
        <v>369</v>
      </c>
      <c r="G7" s="35"/>
      <c r="H7" s="35"/>
      <c r="I7" s="35"/>
      <c r="J7" s="35"/>
    </row>
    <row r="8" spans="1:10" ht="80" customHeight="1" x14ac:dyDescent="0.2">
      <c r="A8" s="35"/>
      <c r="B8" s="143" t="s">
        <v>370</v>
      </c>
      <c r="C8" s="144" t="s">
        <v>371</v>
      </c>
      <c r="D8" s="144" t="s">
        <v>372</v>
      </c>
      <c r="E8" s="144" t="s">
        <v>373</v>
      </c>
      <c r="F8" s="145" t="s">
        <v>374</v>
      </c>
      <c r="G8" s="35"/>
      <c r="H8" s="35"/>
      <c r="I8" s="35"/>
      <c r="J8" s="35"/>
    </row>
    <row r="9" spans="1:10" ht="96" customHeight="1" x14ac:dyDescent="0.2">
      <c r="A9" s="35"/>
      <c r="B9" s="143" t="s">
        <v>375</v>
      </c>
      <c r="C9" s="144" t="s">
        <v>376</v>
      </c>
      <c r="D9" s="144" t="s">
        <v>377</v>
      </c>
      <c r="E9" s="144" t="s">
        <v>378</v>
      </c>
      <c r="F9" s="145" t="s">
        <v>378</v>
      </c>
      <c r="G9" s="35"/>
      <c r="H9" s="35"/>
      <c r="I9" s="35"/>
      <c r="J9" s="35"/>
    </row>
    <row r="10" spans="1:10" ht="96" customHeight="1" x14ac:dyDescent="0.2">
      <c r="A10" s="35"/>
      <c r="B10" s="143" t="s">
        <v>379</v>
      </c>
      <c r="C10" s="144" t="s">
        <v>380</v>
      </c>
      <c r="D10" s="144" t="s">
        <v>381</v>
      </c>
      <c r="E10" s="144" t="s">
        <v>382</v>
      </c>
      <c r="F10" s="145" t="s">
        <v>383</v>
      </c>
      <c r="G10" s="35"/>
      <c r="H10" s="35"/>
      <c r="I10" s="35"/>
      <c r="J10" s="35"/>
    </row>
    <row r="11" spans="1:10" ht="80" customHeight="1" x14ac:dyDescent="0.2">
      <c r="A11" s="35"/>
      <c r="B11" s="143" t="s">
        <v>384</v>
      </c>
      <c r="C11" s="144" t="s">
        <v>380</v>
      </c>
      <c r="D11" s="144" t="s">
        <v>385</v>
      </c>
      <c r="E11" s="144" t="s">
        <v>386</v>
      </c>
      <c r="F11" s="145" t="s">
        <v>386</v>
      </c>
      <c r="G11" s="35"/>
      <c r="H11" s="35"/>
      <c r="I11" s="35"/>
      <c r="J11" s="35"/>
    </row>
    <row r="12" spans="1:10" x14ac:dyDescent="0.2">
      <c r="A12" s="35"/>
      <c r="B12" s="35"/>
      <c r="C12" s="35"/>
      <c r="D12" s="35"/>
      <c r="E12" s="35"/>
      <c r="F12" s="35"/>
      <c r="G12" s="35"/>
      <c r="H12" s="35"/>
      <c r="I12" s="35"/>
      <c r="J12" s="35"/>
    </row>
    <row r="13" spans="1:10" x14ac:dyDescent="0.2">
      <c r="A13" s="35"/>
      <c r="B13" s="35"/>
      <c r="C13" s="35"/>
      <c r="D13" s="35"/>
      <c r="E13" s="35"/>
      <c r="F13" s="35"/>
      <c r="G13" s="35"/>
      <c r="H13" s="35"/>
      <c r="I13" s="35"/>
      <c r="J13" s="35"/>
    </row>
    <row r="14" spans="1:10" x14ac:dyDescent="0.2">
      <c r="A14" s="35"/>
      <c r="B14" s="35"/>
      <c r="C14" s="35"/>
      <c r="D14" s="35"/>
      <c r="E14" s="35"/>
      <c r="F14" s="35"/>
      <c r="G14" s="35"/>
      <c r="H14" s="35"/>
      <c r="I14" s="35"/>
      <c r="J14" s="35"/>
    </row>
    <row r="15" spans="1:10" ht="21.75" customHeight="1" x14ac:dyDescent="0.2">
      <c r="A15" s="431" t="s">
        <v>387</v>
      </c>
      <c r="B15" s="395"/>
      <c r="C15" s="395"/>
      <c r="D15" s="395"/>
      <c r="E15" s="395"/>
      <c r="F15" s="395"/>
      <c r="G15" s="395"/>
      <c r="H15" s="395"/>
      <c r="I15" s="395"/>
      <c r="J15" s="395"/>
    </row>
    <row r="16" spans="1:10" x14ac:dyDescent="0.2">
      <c r="A16" s="35"/>
      <c r="B16" s="35"/>
      <c r="C16" s="35"/>
      <c r="D16" s="35"/>
      <c r="E16" s="35"/>
      <c r="F16" s="35"/>
      <c r="G16" s="35"/>
      <c r="H16" s="35"/>
      <c r="I16" s="35"/>
      <c r="J16" s="35"/>
    </row>
    <row r="17" spans="1:10" ht="27.75" customHeight="1" x14ac:dyDescent="0.2">
      <c r="A17" s="35"/>
      <c r="B17" s="142" t="s">
        <v>388</v>
      </c>
      <c r="C17" s="142" t="s">
        <v>389</v>
      </c>
      <c r="D17" s="142" t="s">
        <v>390</v>
      </c>
      <c r="E17" s="142" t="s">
        <v>391</v>
      </c>
      <c r="F17" s="142" t="s">
        <v>392</v>
      </c>
      <c r="G17" s="142" t="s">
        <v>393</v>
      </c>
      <c r="H17" s="142" t="s">
        <v>394</v>
      </c>
      <c r="I17" s="142" t="s">
        <v>395</v>
      </c>
      <c r="J17" s="35"/>
    </row>
    <row r="18" spans="1:10" ht="48" customHeight="1" x14ac:dyDescent="0.2">
      <c r="A18" s="35"/>
      <c r="B18" s="146" t="s">
        <v>396</v>
      </c>
      <c r="C18" s="147" t="s">
        <v>397</v>
      </c>
      <c r="D18" s="148" t="s">
        <v>398</v>
      </c>
      <c r="E18" s="149">
        <v>60</v>
      </c>
      <c r="F18" s="145">
        <v>30</v>
      </c>
      <c r="G18" s="144" t="s">
        <v>399</v>
      </c>
      <c r="H18" s="150" t="s">
        <v>400</v>
      </c>
      <c r="I18" s="151"/>
      <c r="J18" s="35"/>
    </row>
    <row r="19" spans="1:10" ht="48" customHeight="1" x14ac:dyDescent="0.2">
      <c r="A19" s="35"/>
      <c r="B19" s="146" t="s">
        <v>401</v>
      </c>
      <c r="C19" s="147" t="s">
        <v>402</v>
      </c>
      <c r="D19" s="148" t="s">
        <v>403</v>
      </c>
      <c r="E19" s="149">
        <v>75</v>
      </c>
      <c r="F19" s="145">
        <v>35</v>
      </c>
      <c r="G19" s="144" t="s">
        <v>404</v>
      </c>
      <c r="H19" s="150" t="s">
        <v>376</v>
      </c>
      <c r="I19" s="151"/>
      <c r="J19" s="35"/>
    </row>
    <row r="20" spans="1:10" ht="48" customHeight="1" x14ac:dyDescent="0.2">
      <c r="A20" s="35"/>
      <c r="B20" s="146" t="s">
        <v>405</v>
      </c>
      <c r="C20" s="147" t="s">
        <v>406</v>
      </c>
      <c r="D20" s="148" t="s">
        <v>407</v>
      </c>
      <c r="E20" s="149">
        <v>80</v>
      </c>
      <c r="F20" s="145">
        <v>45</v>
      </c>
      <c r="G20" s="152" t="s">
        <v>408</v>
      </c>
      <c r="H20" s="150" t="s">
        <v>409</v>
      </c>
      <c r="I20" s="151"/>
      <c r="J20" s="35"/>
    </row>
    <row r="21" spans="1:10" ht="48" customHeight="1" x14ac:dyDescent="0.2">
      <c r="A21" s="35"/>
      <c r="B21" s="146" t="s">
        <v>410</v>
      </c>
      <c r="C21" s="147" t="s">
        <v>411</v>
      </c>
      <c r="D21" s="148" t="s">
        <v>412</v>
      </c>
      <c r="E21" s="149">
        <v>80</v>
      </c>
      <c r="F21" s="145">
        <v>40</v>
      </c>
      <c r="G21" s="144" t="s">
        <v>399</v>
      </c>
      <c r="H21" s="150" t="s">
        <v>376</v>
      </c>
      <c r="I21" s="151"/>
      <c r="J21" s="35"/>
    </row>
    <row r="22" spans="1:10" ht="48" customHeight="1" x14ac:dyDescent="0.2">
      <c r="A22" s="35"/>
      <c r="B22" s="146" t="s">
        <v>413</v>
      </c>
      <c r="C22" s="147" t="s">
        <v>414</v>
      </c>
      <c r="D22" s="148" t="s">
        <v>415</v>
      </c>
      <c r="E22" s="149">
        <v>70</v>
      </c>
      <c r="F22" s="145">
        <v>42</v>
      </c>
      <c r="G22" s="144" t="s">
        <v>399</v>
      </c>
      <c r="H22" s="150" t="s">
        <v>409</v>
      </c>
      <c r="I22" s="151"/>
      <c r="J22" s="35"/>
    </row>
    <row r="23" spans="1:10" ht="48" customHeight="1" x14ac:dyDescent="0.2">
      <c r="A23" s="35"/>
      <c r="B23" s="146" t="s">
        <v>416</v>
      </c>
      <c r="C23" s="147" t="s">
        <v>417</v>
      </c>
      <c r="D23" s="148" t="s">
        <v>418</v>
      </c>
      <c r="E23" s="149">
        <v>50</v>
      </c>
      <c r="F23" s="145">
        <v>40</v>
      </c>
      <c r="G23" s="144" t="s">
        <v>399</v>
      </c>
      <c r="H23" s="150" t="s">
        <v>377</v>
      </c>
      <c r="I23" s="151"/>
      <c r="J23" s="35"/>
    </row>
    <row r="24" spans="1:10" ht="48" customHeight="1" x14ac:dyDescent="0.2">
      <c r="A24" s="35"/>
      <c r="B24" s="146" t="s">
        <v>419</v>
      </c>
      <c r="C24" s="147" t="s">
        <v>420</v>
      </c>
      <c r="D24" s="148" t="s">
        <v>421</v>
      </c>
      <c r="E24" s="149">
        <v>60</v>
      </c>
      <c r="F24" s="145">
        <v>55</v>
      </c>
      <c r="G24" s="152" t="s">
        <v>408</v>
      </c>
      <c r="H24" s="150" t="s">
        <v>409</v>
      </c>
      <c r="I24" s="151"/>
      <c r="J24" s="35"/>
    </row>
    <row r="25" spans="1:10" ht="48" customHeight="1" x14ac:dyDescent="0.2">
      <c r="A25" s="35"/>
      <c r="B25" s="153" t="s">
        <v>422</v>
      </c>
      <c r="C25" s="147" t="s">
        <v>423</v>
      </c>
      <c r="D25" s="148" t="s">
        <v>424</v>
      </c>
      <c r="E25" s="149">
        <v>80</v>
      </c>
      <c r="F25" s="145">
        <v>45</v>
      </c>
      <c r="G25" s="144" t="s">
        <v>399</v>
      </c>
      <c r="H25" s="150" t="s">
        <v>425</v>
      </c>
      <c r="I25" s="151"/>
      <c r="J25" s="35"/>
    </row>
    <row r="26" spans="1:10" ht="48" customHeight="1" x14ac:dyDescent="0.2">
      <c r="A26" s="35"/>
      <c r="B26" s="153" t="s">
        <v>426</v>
      </c>
      <c r="C26" s="147" t="s">
        <v>427</v>
      </c>
      <c r="D26" s="148" t="s">
        <v>428</v>
      </c>
      <c r="E26" s="149">
        <v>90</v>
      </c>
      <c r="F26" s="145">
        <v>50</v>
      </c>
      <c r="G26" s="144" t="s">
        <v>399</v>
      </c>
      <c r="H26" s="150" t="s">
        <v>378</v>
      </c>
      <c r="I26" s="151"/>
      <c r="J26" s="35"/>
    </row>
    <row r="27" spans="1:10" ht="48" customHeight="1" x14ac:dyDescent="0.2">
      <c r="A27" s="35"/>
      <c r="B27" s="153" t="s">
        <v>429</v>
      </c>
      <c r="C27" s="147" t="s">
        <v>430</v>
      </c>
      <c r="D27" s="148" t="s">
        <v>431</v>
      </c>
      <c r="E27" s="149">
        <v>80</v>
      </c>
      <c r="F27" s="145">
        <v>60</v>
      </c>
      <c r="G27" s="152" t="s">
        <v>408</v>
      </c>
      <c r="H27" s="150" t="s">
        <v>409</v>
      </c>
      <c r="I27" s="151"/>
      <c r="J27" s="35"/>
    </row>
    <row r="28" spans="1:10" ht="48" customHeight="1" x14ac:dyDescent="0.2">
      <c r="A28" s="35"/>
      <c r="B28" s="153" t="s">
        <v>432</v>
      </c>
      <c r="C28" s="147" t="s">
        <v>433</v>
      </c>
      <c r="D28" s="148" t="s">
        <v>434</v>
      </c>
      <c r="E28" s="149">
        <v>80</v>
      </c>
      <c r="F28" s="145">
        <v>50</v>
      </c>
      <c r="G28" s="144" t="s">
        <v>399</v>
      </c>
      <c r="H28" s="150" t="s">
        <v>378</v>
      </c>
      <c r="I28" s="151"/>
      <c r="J28" s="35"/>
    </row>
    <row r="29" spans="1:10" ht="48" customHeight="1" x14ac:dyDescent="0.2">
      <c r="A29" s="35"/>
      <c r="B29" s="153" t="s">
        <v>435</v>
      </c>
      <c r="C29" s="147" t="s">
        <v>436</v>
      </c>
      <c r="D29" s="148" t="s">
        <v>437</v>
      </c>
      <c r="E29" s="149">
        <v>85</v>
      </c>
      <c r="F29" s="145">
        <v>50</v>
      </c>
      <c r="G29" s="144" t="s">
        <v>399</v>
      </c>
      <c r="H29" s="150" t="s">
        <v>378</v>
      </c>
      <c r="I29" s="151"/>
      <c r="J29" s="35"/>
    </row>
    <row r="30" spans="1:10" ht="48" customHeight="1" x14ac:dyDescent="0.2">
      <c r="A30" s="35"/>
      <c r="B30" s="153" t="s">
        <v>438</v>
      </c>
      <c r="C30" s="147" t="s">
        <v>439</v>
      </c>
      <c r="D30" s="148" t="s">
        <v>440</v>
      </c>
      <c r="E30" s="149">
        <v>70</v>
      </c>
      <c r="F30" s="145">
        <v>45</v>
      </c>
      <c r="G30" s="144" t="s">
        <v>399</v>
      </c>
      <c r="H30" s="150" t="s">
        <v>378</v>
      </c>
      <c r="I30" s="151"/>
      <c r="J30" s="35"/>
    </row>
    <row r="31" spans="1:10" ht="48" customHeight="1" x14ac:dyDescent="0.2">
      <c r="A31" s="35"/>
      <c r="B31" s="153" t="s">
        <v>441</v>
      </c>
      <c r="C31" s="147" t="s">
        <v>442</v>
      </c>
      <c r="D31" s="148" t="s">
        <v>443</v>
      </c>
      <c r="E31" s="149">
        <v>100</v>
      </c>
      <c r="F31" s="145">
        <v>65</v>
      </c>
      <c r="G31" s="152" t="s">
        <v>408</v>
      </c>
      <c r="H31" s="150" t="s">
        <v>409</v>
      </c>
      <c r="I31" s="151"/>
      <c r="J31" s="35"/>
    </row>
    <row r="32" spans="1:10" ht="15" customHeight="1" x14ac:dyDescent="0.2">
      <c r="A32" s="35"/>
      <c r="B32" s="448" t="s">
        <v>444</v>
      </c>
      <c r="C32" s="414"/>
      <c r="D32" s="415"/>
      <c r="E32" s="154">
        <f>SUM(E18:E31)</f>
        <v>1060</v>
      </c>
      <c r="F32" s="155">
        <f>SUM(F18:F31)</f>
        <v>652</v>
      </c>
      <c r="G32" s="120"/>
      <c r="H32" s="120"/>
      <c r="I32" s="120"/>
      <c r="J32" s="35"/>
    </row>
    <row r="33" spans="1:10" x14ac:dyDescent="0.2">
      <c r="A33" s="35"/>
      <c r="B33" s="35"/>
      <c r="C33" s="35"/>
      <c r="D33" s="35"/>
      <c r="E33" s="35"/>
      <c r="F33" s="35"/>
      <c r="G33" s="35"/>
      <c r="H33" s="35"/>
      <c r="I33" s="35"/>
      <c r="J33" s="35"/>
    </row>
    <row r="34" spans="1:10" x14ac:dyDescent="0.2">
      <c r="A34" s="35"/>
      <c r="B34" s="35"/>
      <c r="C34" s="35"/>
      <c r="D34" s="35"/>
      <c r="E34" s="35"/>
      <c r="F34" s="35"/>
      <c r="G34" s="35"/>
      <c r="H34" s="35"/>
      <c r="I34" s="35"/>
      <c r="J34" s="35"/>
    </row>
    <row r="35" spans="1:10" ht="21.75" customHeight="1" x14ac:dyDescent="0.2">
      <c r="A35" s="431" t="s">
        <v>445</v>
      </c>
      <c r="B35" s="395"/>
      <c r="C35" s="395"/>
      <c r="D35" s="395"/>
      <c r="E35" s="395"/>
      <c r="F35" s="395"/>
      <c r="G35" s="395"/>
      <c r="H35" s="395"/>
      <c r="I35" s="395"/>
      <c r="J35" s="395"/>
    </row>
    <row r="36" spans="1:10" x14ac:dyDescent="0.2">
      <c r="A36" s="35"/>
      <c r="B36" s="35"/>
      <c r="C36" s="35"/>
      <c r="D36" s="35"/>
      <c r="E36" s="35"/>
      <c r="F36" s="35"/>
      <c r="G36" s="35"/>
      <c r="H36" s="35"/>
      <c r="I36" s="35"/>
      <c r="J36" s="35"/>
    </row>
    <row r="37" spans="1:10" x14ac:dyDescent="0.2">
      <c r="A37" s="35"/>
      <c r="B37" s="462" t="s">
        <v>446</v>
      </c>
      <c r="C37" s="395"/>
      <c r="D37" s="395"/>
      <c r="E37" s="395"/>
      <c r="F37" s="395"/>
      <c r="G37" s="395"/>
      <c r="H37" s="395"/>
      <c r="I37" s="395"/>
      <c r="J37" s="395"/>
    </row>
    <row r="38" spans="1:10" ht="25.5" customHeight="1" x14ac:dyDescent="0.2">
      <c r="A38" s="35"/>
      <c r="B38" s="461" t="s">
        <v>447</v>
      </c>
      <c r="C38" s="395"/>
      <c r="D38" s="395"/>
      <c r="E38" s="395"/>
      <c r="F38" s="395"/>
      <c r="G38" s="395"/>
      <c r="H38" s="395"/>
      <c r="I38" s="395"/>
      <c r="J38" s="395"/>
    </row>
    <row r="39" spans="1:10" x14ac:dyDescent="0.2">
      <c r="A39" s="35"/>
      <c r="B39" s="462" t="s">
        <v>448</v>
      </c>
      <c r="C39" s="395"/>
      <c r="D39" s="395"/>
      <c r="E39" s="395"/>
      <c r="F39" s="395"/>
      <c r="G39" s="395"/>
      <c r="H39" s="395"/>
      <c r="I39" s="395"/>
      <c r="J39" s="395"/>
    </row>
    <row r="40" spans="1:10" ht="25.5" customHeight="1" x14ac:dyDescent="0.2">
      <c r="A40" s="35"/>
      <c r="B40" s="461" t="s">
        <v>449</v>
      </c>
      <c r="C40" s="395"/>
      <c r="D40" s="395"/>
      <c r="E40" s="395"/>
      <c r="F40" s="395"/>
      <c r="G40" s="395"/>
      <c r="H40" s="395"/>
      <c r="I40" s="395"/>
      <c r="J40" s="395"/>
    </row>
    <row r="41" spans="1:10" x14ac:dyDescent="0.2">
      <c r="A41" s="35"/>
      <c r="B41" s="462" t="s">
        <v>450</v>
      </c>
      <c r="C41" s="395"/>
      <c r="D41" s="395"/>
      <c r="E41" s="395"/>
      <c r="F41" s="395"/>
      <c r="G41" s="395"/>
      <c r="H41" s="395"/>
      <c r="I41" s="395"/>
      <c r="J41" s="395"/>
    </row>
    <row r="42" spans="1:10" ht="25.5" customHeight="1" x14ac:dyDescent="0.2">
      <c r="A42" s="35"/>
      <c r="B42" s="461" t="s">
        <v>451</v>
      </c>
      <c r="C42" s="395"/>
      <c r="D42" s="395"/>
      <c r="E42" s="395"/>
      <c r="F42" s="395"/>
      <c r="G42" s="395"/>
      <c r="H42" s="395"/>
      <c r="I42" s="395"/>
      <c r="J42" s="395"/>
    </row>
    <row r="43" spans="1:10" x14ac:dyDescent="0.2">
      <c r="A43" s="35"/>
      <c r="B43" s="462" t="s">
        <v>452</v>
      </c>
      <c r="C43" s="395"/>
      <c r="D43" s="395"/>
      <c r="E43" s="395"/>
      <c r="F43" s="395"/>
      <c r="G43" s="395"/>
      <c r="H43" s="395"/>
      <c r="I43" s="395"/>
      <c r="J43" s="395"/>
    </row>
    <row r="44" spans="1:10" ht="25.5" customHeight="1" x14ac:dyDescent="0.2">
      <c r="A44" s="35"/>
      <c r="B44" s="461" t="s">
        <v>453</v>
      </c>
      <c r="C44" s="395"/>
      <c r="D44" s="395"/>
      <c r="E44" s="395"/>
      <c r="F44" s="395"/>
      <c r="G44" s="395"/>
      <c r="H44" s="395"/>
      <c r="I44" s="395"/>
      <c r="J44" s="395"/>
    </row>
    <row r="45" spans="1:10" x14ac:dyDescent="0.2">
      <c r="A45" s="35"/>
      <c r="B45" s="462" t="s">
        <v>454</v>
      </c>
      <c r="C45" s="395"/>
      <c r="D45" s="395"/>
      <c r="E45" s="395"/>
      <c r="F45" s="395"/>
      <c r="G45" s="395"/>
      <c r="H45" s="395"/>
      <c r="I45" s="395"/>
      <c r="J45" s="395"/>
    </row>
    <row r="46" spans="1:10" ht="25.5" customHeight="1" x14ac:dyDescent="0.2">
      <c r="A46" s="35"/>
      <c r="B46" s="461" t="s">
        <v>455</v>
      </c>
      <c r="C46" s="395"/>
      <c r="D46" s="395"/>
      <c r="E46" s="395"/>
      <c r="F46" s="395"/>
      <c r="G46" s="395"/>
      <c r="H46" s="395"/>
      <c r="I46" s="395"/>
      <c r="J46" s="395"/>
    </row>
    <row r="47" spans="1:10" x14ac:dyDescent="0.2">
      <c r="A47" s="35"/>
      <c r="B47" s="35"/>
      <c r="C47" s="35"/>
      <c r="D47" s="35"/>
      <c r="E47" s="35"/>
      <c r="F47" s="35"/>
      <c r="G47" s="35"/>
      <c r="H47" s="35"/>
      <c r="I47" s="35"/>
      <c r="J47" s="35"/>
    </row>
    <row r="48" spans="1:10" x14ac:dyDescent="0.2">
      <c r="A48" s="35"/>
      <c r="B48" s="35"/>
      <c r="C48" s="35"/>
      <c r="D48" s="35"/>
      <c r="E48" s="35"/>
      <c r="F48" s="35"/>
      <c r="G48" s="35"/>
      <c r="H48" s="35"/>
      <c r="I48" s="35"/>
      <c r="J48" s="35"/>
    </row>
    <row r="49" spans="1:10" ht="16" customHeight="1" x14ac:dyDescent="0.2">
      <c r="A49" s="464" t="s">
        <v>456</v>
      </c>
      <c r="B49" s="395"/>
      <c r="C49" s="395"/>
      <c r="D49" s="395"/>
      <c r="E49" s="395"/>
      <c r="F49" s="395"/>
      <c r="G49" s="395"/>
      <c r="H49" s="395"/>
      <c r="I49" s="395"/>
      <c r="J49" s="395"/>
    </row>
    <row r="50" spans="1:10" ht="49.5" customHeight="1" x14ac:dyDescent="0.2">
      <c r="A50" s="463" t="s">
        <v>457</v>
      </c>
      <c r="B50" s="395"/>
      <c r="C50" s="395"/>
      <c r="D50" s="395"/>
      <c r="E50" s="395"/>
      <c r="F50" s="395"/>
      <c r="G50" s="395"/>
      <c r="H50" s="395"/>
      <c r="I50" s="395"/>
      <c r="J50" s="395"/>
    </row>
  </sheetData>
  <mergeCells count="18">
    <mergeCell ref="A50:J50"/>
    <mergeCell ref="B41:J41"/>
    <mergeCell ref="A15:J15"/>
    <mergeCell ref="A4:J4"/>
    <mergeCell ref="A35:J35"/>
    <mergeCell ref="B43:J43"/>
    <mergeCell ref="B39:J39"/>
    <mergeCell ref="B38:J38"/>
    <mergeCell ref="A49:J49"/>
    <mergeCell ref="A1:J1"/>
    <mergeCell ref="B44:J44"/>
    <mergeCell ref="B37:J37"/>
    <mergeCell ref="B42:J42"/>
    <mergeCell ref="B46:J46"/>
    <mergeCell ref="B45:J45"/>
    <mergeCell ref="B32:D32"/>
    <mergeCell ref="B40:J40"/>
    <mergeCell ref="A2:J2"/>
  </mergeCells>
  <hyperlinks>
    <hyperlink ref="A1" location="'Start Here'!A1" display="🏠 Start Here" xr:uid="{00000000-0004-0000-0500-000000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714"/>
  <sheetViews>
    <sheetView showGridLines="0" zoomScaleNormal="100" workbookViewId="0">
      <pane ySplit="4" topLeftCell="A5" activePane="bottomLeft" state="frozen"/>
      <selection pane="bottomLeft" activeCell="L5" sqref="L5:L10"/>
    </sheetView>
  </sheetViews>
  <sheetFormatPr baseColWidth="10" defaultColWidth="8.6640625" defaultRowHeight="15" x14ac:dyDescent="0.2"/>
  <cols>
    <col min="1" max="2" width="14" customWidth="1"/>
    <col min="3" max="3" width="36" customWidth="1"/>
    <col min="4" max="4" width="16" customWidth="1"/>
    <col min="5" max="6" width="12" customWidth="1"/>
    <col min="7" max="7" width="10" customWidth="1"/>
    <col min="8" max="8" width="12" customWidth="1"/>
    <col min="9" max="9" width="10" customWidth="1"/>
    <col min="10" max="10" width="12" customWidth="1"/>
    <col min="11" max="12" width="10" customWidth="1"/>
  </cols>
  <sheetData>
    <row r="1" spans="1:12" ht="24" customHeight="1" x14ac:dyDescent="0.2">
      <c r="A1" s="435" t="s">
        <v>118</v>
      </c>
      <c r="B1" s="395"/>
      <c r="C1" s="395"/>
      <c r="D1" s="395"/>
      <c r="E1" s="395"/>
      <c r="F1" s="395"/>
      <c r="G1" s="395"/>
      <c r="H1" s="395"/>
      <c r="I1" s="395"/>
      <c r="J1" s="395"/>
      <c r="K1" s="395"/>
      <c r="L1" s="395"/>
    </row>
    <row r="2" spans="1:12" ht="18" customHeight="1" x14ac:dyDescent="0.2">
      <c r="A2" s="426" t="s">
        <v>458</v>
      </c>
      <c r="B2" s="395"/>
      <c r="C2" s="395"/>
      <c r="D2" s="395"/>
      <c r="E2" s="395"/>
      <c r="F2" s="395"/>
      <c r="G2" s="395"/>
      <c r="H2" s="395"/>
      <c r="I2" s="395"/>
      <c r="J2" s="395"/>
      <c r="K2" s="395"/>
      <c r="L2" s="395"/>
    </row>
    <row r="3" spans="1:12" x14ac:dyDescent="0.2">
      <c r="A3" s="42" t="s">
        <v>140</v>
      </c>
      <c r="B3" s="35"/>
      <c r="C3" s="35"/>
      <c r="D3" s="35"/>
      <c r="E3" s="156">
        <f t="shared" ref="E3:J3" si="0">SUM(E5:E734)</f>
        <v>55</v>
      </c>
      <c r="F3" s="156">
        <f t="shared" si="0"/>
        <v>128</v>
      </c>
      <c r="G3" s="156">
        <f t="shared" si="0"/>
        <v>16.970000000000002</v>
      </c>
      <c r="H3" s="156">
        <f t="shared" si="0"/>
        <v>9</v>
      </c>
      <c r="I3" s="156">
        <f t="shared" si="0"/>
        <v>2.25</v>
      </c>
      <c r="J3" s="157">
        <f t="shared" si="0"/>
        <v>44.78</v>
      </c>
      <c r="K3" s="158">
        <f>IFERROR(J3/F3,"")</f>
        <v>0.34984375000000001</v>
      </c>
      <c r="L3" s="35"/>
    </row>
    <row r="4" spans="1:12" ht="24" customHeight="1" x14ac:dyDescent="0.2">
      <c r="A4" s="46" t="s">
        <v>459</v>
      </c>
      <c r="B4" s="46" t="s">
        <v>460</v>
      </c>
      <c r="C4" s="46" t="s">
        <v>461</v>
      </c>
      <c r="D4" s="46" t="s">
        <v>175</v>
      </c>
      <c r="E4" s="46" t="s">
        <v>462</v>
      </c>
      <c r="F4" s="46" t="s">
        <v>463</v>
      </c>
      <c r="G4" s="46" t="s">
        <v>464</v>
      </c>
      <c r="H4" s="46" t="s">
        <v>465</v>
      </c>
      <c r="I4" s="46" t="s">
        <v>466</v>
      </c>
      <c r="J4" s="46" t="s">
        <v>467</v>
      </c>
      <c r="K4" s="46" t="s">
        <v>152</v>
      </c>
      <c r="L4" s="46" t="s">
        <v>468</v>
      </c>
    </row>
    <row r="5" spans="1:12" ht="16" customHeight="1" x14ac:dyDescent="0.2">
      <c r="A5" s="159">
        <v>46037</v>
      </c>
      <c r="B5" s="160" t="s">
        <v>469</v>
      </c>
      <c r="C5" s="161" t="s">
        <v>470</v>
      </c>
      <c r="D5" s="161" t="s">
        <v>471</v>
      </c>
      <c r="E5" s="162">
        <v>18</v>
      </c>
      <c r="F5" s="162">
        <v>42</v>
      </c>
      <c r="G5" s="162">
        <v>5.57</v>
      </c>
      <c r="H5" s="162">
        <v>4.5</v>
      </c>
      <c r="I5" s="162">
        <v>0.75</v>
      </c>
      <c r="J5" s="163">
        <f t="shared" ref="J5:J68" si="1">IFERROR(F5-E5-G5-H5-I5,"")</f>
        <v>13.18</v>
      </c>
      <c r="K5" s="164">
        <f t="shared" ref="K5:K68" si="2">IFERROR(J5/F5,"")</f>
        <v>0.31380952380952382</v>
      </c>
      <c r="L5" s="165"/>
    </row>
    <row r="6" spans="1:12" ht="16" customHeight="1" x14ac:dyDescent="0.2">
      <c r="A6" s="166">
        <v>46054</v>
      </c>
      <c r="B6" s="160" t="s">
        <v>469</v>
      </c>
      <c r="C6" s="167" t="s">
        <v>472</v>
      </c>
      <c r="D6" s="167" t="s">
        <v>473</v>
      </c>
      <c r="E6" s="168">
        <v>12</v>
      </c>
      <c r="F6" s="168">
        <v>28</v>
      </c>
      <c r="G6" s="168">
        <v>3.71</v>
      </c>
      <c r="H6" s="168">
        <v>4.5</v>
      </c>
      <c r="I6" s="168">
        <v>0.75</v>
      </c>
      <c r="J6" s="169">
        <f t="shared" si="1"/>
        <v>7.0399999999999991</v>
      </c>
      <c r="K6" s="170">
        <f t="shared" si="2"/>
        <v>0.25142857142857139</v>
      </c>
      <c r="L6" s="171"/>
    </row>
    <row r="7" spans="1:12" ht="32" customHeight="1" x14ac:dyDescent="0.2">
      <c r="A7" s="159">
        <v>46091</v>
      </c>
      <c r="B7" s="172" t="s">
        <v>474</v>
      </c>
      <c r="C7" s="161" t="s">
        <v>475</v>
      </c>
      <c r="D7" s="161" t="s">
        <v>476</v>
      </c>
      <c r="E7" s="162">
        <v>25</v>
      </c>
      <c r="F7" s="162">
        <v>58</v>
      </c>
      <c r="G7" s="162">
        <v>7.69</v>
      </c>
      <c r="H7" s="162">
        <v>0</v>
      </c>
      <c r="I7" s="162">
        <v>0.75</v>
      </c>
      <c r="J7" s="163">
        <f t="shared" si="1"/>
        <v>24.56</v>
      </c>
      <c r="K7" s="164">
        <f t="shared" si="2"/>
        <v>0.42344827586206896</v>
      </c>
      <c r="L7" s="165"/>
    </row>
    <row r="8" spans="1:12" ht="16" customHeight="1" x14ac:dyDescent="0.2">
      <c r="A8" s="173"/>
      <c r="B8" s="174"/>
      <c r="C8" s="175"/>
      <c r="D8" s="175"/>
      <c r="E8" s="176"/>
      <c r="F8" s="177"/>
      <c r="G8" s="177"/>
      <c r="H8" s="176"/>
      <c r="I8" s="176"/>
      <c r="J8" s="169">
        <f t="shared" si="1"/>
        <v>0</v>
      </c>
      <c r="K8" s="170" t="str">
        <f t="shared" si="2"/>
        <v/>
      </c>
      <c r="L8" s="171"/>
    </row>
    <row r="9" spans="1:12" ht="16" customHeight="1" x14ac:dyDescent="0.2">
      <c r="A9" s="178"/>
      <c r="B9" s="179"/>
      <c r="C9" s="180"/>
      <c r="D9" s="180"/>
      <c r="E9" s="181"/>
      <c r="F9" s="182"/>
      <c r="G9" s="182"/>
      <c r="H9" s="181"/>
      <c r="I9" s="181"/>
      <c r="J9" s="163">
        <f t="shared" si="1"/>
        <v>0</v>
      </c>
      <c r="K9" s="164" t="str">
        <f t="shared" si="2"/>
        <v/>
      </c>
      <c r="L9" s="165"/>
    </row>
    <row r="10" spans="1:12" ht="32" customHeight="1" x14ac:dyDescent="0.2">
      <c r="A10" s="183"/>
      <c r="B10" s="174"/>
      <c r="C10" s="184"/>
      <c r="D10" s="184"/>
      <c r="E10" s="185"/>
      <c r="F10" s="186"/>
      <c r="G10" s="186"/>
      <c r="H10" s="185"/>
      <c r="I10" s="185"/>
      <c r="J10" s="187">
        <f t="shared" si="1"/>
        <v>0</v>
      </c>
      <c r="K10" s="188" t="str">
        <f t="shared" si="2"/>
        <v/>
      </c>
      <c r="L10" s="189"/>
    </row>
    <row r="11" spans="1:12" x14ac:dyDescent="0.2">
      <c r="A11" s="178"/>
      <c r="B11" s="179"/>
      <c r="C11" s="180"/>
      <c r="D11" s="180"/>
      <c r="E11" s="181"/>
      <c r="F11" s="182"/>
      <c r="G11" s="182"/>
      <c r="H11" s="181"/>
      <c r="I11" s="181"/>
      <c r="J11" s="163">
        <f t="shared" si="1"/>
        <v>0</v>
      </c>
      <c r="K11" s="164" t="str">
        <f t="shared" si="2"/>
        <v/>
      </c>
      <c r="L11" s="165"/>
    </row>
    <row r="12" spans="1:12" x14ac:dyDescent="0.2">
      <c r="A12" s="173"/>
      <c r="B12" s="174"/>
      <c r="C12" s="175"/>
      <c r="D12" s="175"/>
      <c r="E12" s="176"/>
      <c r="F12" s="177"/>
      <c r="G12" s="177"/>
      <c r="H12" s="176"/>
      <c r="I12" s="176"/>
      <c r="J12" s="169">
        <f t="shared" si="1"/>
        <v>0</v>
      </c>
      <c r="K12" s="170" t="str">
        <f t="shared" si="2"/>
        <v/>
      </c>
      <c r="L12" s="171"/>
    </row>
    <row r="13" spans="1:12" x14ac:dyDescent="0.2">
      <c r="A13" s="178"/>
      <c r="B13" s="179"/>
      <c r="C13" s="180"/>
      <c r="D13" s="180"/>
      <c r="E13" s="181"/>
      <c r="F13" s="182"/>
      <c r="G13" s="182"/>
      <c r="H13" s="181"/>
      <c r="I13" s="181"/>
      <c r="J13" s="163">
        <f t="shared" si="1"/>
        <v>0</v>
      </c>
      <c r="K13" s="164" t="str">
        <f t="shared" si="2"/>
        <v/>
      </c>
      <c r="L13" s="165"/>
    </row>
    <row r="14" spans="1:12" x14ac:dyDescent="0.2">
      <c r="A14" s="173"/>
      <c r="B14" s="174"/>
      <c r="C14" s="175"/>
      <c r="D14" s="175"/>
      <c r="E14" s="176"/>
      <c r="F14" s="177"/>
      <c r="G14" s="177"/>
      <c r="H14" s="176"/>
      <c r="I14" s="176"/>
      <c r="J14" s="169">
        <f t="shared" si="1"/>
        <v>0</v>
      </c>
      <c r="K14" s="170" t="str">
        <f t="shared" si="2"/>
        <v/>
      </c>
      <c r="L14" s="171"/>
    </row>
    <row r="15" spans="1:12" x14ac:dyDescent="0.2">
      <c r="A15" s="178"/>
      <c r="B15" s="179"/>
      <c r="C15" s="180"/>
      <c r="D15" s="180"/>
      <c r="E15" s="181"/>
      <c r="F15" s="182"/>
      <c r="G15" s="182"/>
      <c r="H15" s="181"/>
      <c r="I15" s="181"/>
      <c r="J15" s="163">
        <f t="shared" si="1"/>
        <v>0</v>
      </c>
      <c r="K15" s="164" t="str">
        <f t="shared" si="2"/>
        <v/>
      </c>
      <c r="L15" s="165"/>
    </row>
    <row r="16" spans="1:12" x14ac:dyDescent="0.2">
      <c r="A16" s="173"/>
      <c r="B16" s="174"/>
      <c r="C16" s="175"/>
      <c r="D16" s="175"/>
      <c r="E16" s="176"/>
      <c r="F16" s="177"/>
      <c r="G16" s="177"/>
      <c r="H16" s="176"/>
      <c r="I16" s="176"/>
      <c r="J16" s="169">
        <f t="shared" si="1"/>
        <v>0</v>
      </c>
      <c r="K16" s="170" t="str">
        <f t="shared" si="2"/>
        <v/>
      </c>
      <c r="L16" s="171"/>
    </row>
    <row r="17" spans="1:12" x14ac:dyDescent="0.2">
      <c r="A17" s="178"/>
      <c r="B17" s="179"/>
      <c r="C17" s="180"/>
      <c r="D17" s="180"/>
      <c r="E17" s="181"/>
      <c r="F17" s="182"/>
      <c r="G17" s="182"/>
      <c r="H17" s="181"/>
      <c r="I17" s="181"/>
      <c r="J17" s="163">
        <f t="shared" si="1"/>
        <v>0</v>
      </c>
      <c r="K17" s="164" t="str">
        <f t="shared" si="2"/>
        <v/>
      </c>
      <c r="L17" s="165"/>
    </row>
    <row r="18" spans="1:12" x14ac:dyDescent="0.2">
      <c r="A18" s="173"/>
      <c r="B18" s="174"/>
      <c r="C18" s="175"/>
      <c r="D18" s="175"/>
      <c r="E18" s="176"/>
      <c r="F18" s="177"/>
      <c r="G18" s="177"/>
      <c r="H18" s="176"/>
      <c r="I18" s="176"/>
      <c r="J18" s="169">
        <f t="shared" si="1"/>
        <v>0</v>
      </c>
      <c r="K18" s="170" t="str">
        <f t="shared" si="2"/>
        <v/>
      </c>
      <c r="L18" s="171"/>
    </row>
    <row r="19" spans="1:12" x14ac:dyDescent="0.2">
      <c r="A19" s="178"/>
      <c r="B19" s="179"/>
      <c r="C19" s="180"/>
      <c r="D19" s="180"/>
      <c r="E19" s="181"/>
      <c r="F19" s="182"/>
      <c r="G19" s="182"/>
      <c r="H19" s="181"/>
      <c r="I19" s="181"/>
      <c r="J19" s="163">
        <f t="shared" si="1"/>
        <v>0</v>
      </c>
      <c r="K19" s="164" t="str">
        <f t="shared" si="2"/>
        <v/>
      </c>
      <c r="L19" s="165"/>
    </row>
    <row r="20" spans="1:12" x14ac:dyDescent="0.2">
      <c r="A20" s="173"/>
      <c r="B20" s="174"/>
      <c r="C20" s="175"/>
      <c r="D20" s="175"/>
      <c r="E20" s="176"/>
      <c r="F20" s="177"/>
      <c r="G20" s="177"/>
      <c r="H20" s="176"/>
      <c r="I20" s="176"/>
      <c r="J20" s="169">
        <f t="shared" si="1"/>
        <v>0</v>
      </c>
      <c r="K20" s="170" t="str">
        <f t="shared" si="2"/>
        <v/>
      </c>
      <c r="L20" s="171"/>
    </row>
    <row r="21" spans="1:12" x14ac:dyDescent="0.2">
      <c r="A21" s="178"/>
      <c r="B21" s="179"/>
      <c r="C21" s="180"/>
      <c r="D21" s="180"/>
      <c r="E21" s="181"/>
      <c r="F21" s="182"/>
      <c r="G21" s="182"/>
      <c r="H21" s="181"/>
      <c r="I21" s="181"/>
      <c r="J21" s="163">
        <f t="shared" si="1"/>
        <v>0</v>
      </c>
      <c r="K21" s="164" t="str">
        <f t="shared" si="2"/>
        <v/>
      </c>
      <c r="L21" s="165"/>
    </row>
    <row r="22" spans="1:12" x14ac:dyDescent="0.2">
      <c r="A22" s="173"/>
      <c r="B22" s="174"/>
      <c r="C22" s="175"/>
      <c r="D22" s="175"/>
      <c r="E22" s="176"/>
      <c r="F22" s="177"/>
      <c r="G22" s="177"/>
      <c r="H22" s="176"/>
      <c r="I22" s="176"/>
      <c r="J22" s="169">
        <f t="shared" si="1"/>
        <v>0</v>
      </c>
      <c r="K22" s="170" t="str">
        <f t="shared" si="2"/>
        <v/>
      </c>
      <c r="L22" s="171"/>
    </row>
    <row r="23" spans="1:12" x14ac:dyDescent="0.2">
      <c r="A23" s="178"/>
      <c r="B23" s="179"/>
      <c r="C23" s="180"/>
      <c r="D23" s="180"/>
      <c r="E23" s="181"/>
      <c r="F23" s="182"/>
      <c r="G23" s="182"/>
      <c r="H23" s="181"/>
      <c r="I23" s="181"/>
      <c r="J23" s="163">
        <f t="shared" si="1"/>
        <v>0</v>
      </c>
      <c r="K23" s="164" t="str">
        <f t="shared" si="2"/>
        <v/>
      </c>
      <c r="L23" s="165"/>
    </row>
    <row r="24" spans="1:12" x14ac:dyDescent="0.2">
      <c r="A24" s="173"/>
      <c r="B24" s="174"/>
      <c r="C24" s="175"/>
      <c r="D24" s="175"/>
      <c r="E24" s="176"/>
      <c r="F24" s="177"/>
      <c r="G24" s="177"/>
      <c r="H24" s="176"/>
      <c r="I24" s="176"/>
      <c r="J24" s="169">
        <f t="shared" si="1"/>
        <v>0</v>
      </c>
      <c r="K24" s="170" t="str">
        <f t="shared" si="2"/>
        <v/>
      </c>
      <c r="L24" s="171"/>
    </row>
    <row r="25" spans="1:12" x14ac:dyDescent="0.2">
      <c r="A25" s="178"/>
      <c r="B25" s="179"/>
      <c r="C25" s="180"/>
      <c r="D25" s="180"/>
      <c r="E25" s="181"/>
      <c r="F25" s="182"/>
      <c r="G25" s="182"/>
      <c r="H25" s="181"/>
      <c r="I25" s="181"/>
      <c r="J25" s="163">
        <f t="shared" si="1"/>
        <v>0</v>
      </c>
      <c r="K25" s="164" t="str">
        <f t="shared" si="2"/>
        <v/>
      </c>
      <c r="L25" s="165"/>
    </row>
    <row r="26" spans="1:12" x14ac:dyDescent="0.2">
      <c r="A26" s="173"/>
      <c r="B26" s="174"/>
      <c r="C26" s="175"/>
      <c r="D26" s="175"/>
      <c r="E26" s="176"/>
      <c r="F26" s="177"/>
      <c r="G26" s="177"/>
      <c r="H26" s="176"/>
      <c r="I26" s="176"/>
      <c r="J26" s="169">
        <f t="shared" si="1"/>
        <v>0</v>
      </c>
      <c r="K26" s="170" t="str">
        <f t="shared" si="2"/>
        <v/>
      </c>
      <c r="L26" s="171"/>
    </row>
    <row r="27" spans="1:12" x14ac:dyDescent="0.2">
      <c r="A27" s="178"/>
      <c r="B27" s="179"/>
      <c r="C27" s="180"/>
      <c r="D27" s="180"/>
      <c r="E27" s="181"/>
      <c r="F27" s="182"/>
      <c r="G27" s="182"/>
      <c r="H27" s="181"/>
      <c r="I27" s="181"/>
      <c r="J27" s="163">
        <f t="shared" si="1"/>
        <v>0</v>
      </c>
      <c r="K27" s="164" t="str">
        <f t="shared" si="2"/>
        <v/>
      </c>
      <c r="L27" s="165"/>
    </row>
    <row r="28" spans="1:12" x14ac:dyDescent="0.2">
      <c r="A28" s="173"/>
      <c r="B28" s="174"/>
      <c r="C28" s="175"/>
      <c r="D28" s="175"/>
      <c r="E28" s="176"/>
      <c r="F28" s="177"/>
      <c r="G28" s="177"/>
      <c r="H28" s="176"/>
      <c r="I28" s="176"/>
      <c r="J28" s="169">
        <f t="shared" si="1"/>
        <v>0</v>
      </c>
      <c r="K28" s="170" t="str">
        <f t="shared" si="2"/>
        <v/>
      </c>
      <c r="L28" s="171"/>
    </row>
    <row r="29" spans="1:12" x14ac:dyDescent="0.2">
      <c r="A29" s="178"/>
      <c r="B29" s="179"/>
      <c r="C29" s="180"/>
      <c r="D29" s="180"/>
      <c r="E29" s="181"/>
      <c r="F29" s="182"/>
      <c r="G29" s="182"/>
      <c r="H29" s="181"/>
      <c r="I29" s="181"/>
      <c r="J29" s="163">
        <f t="shared" si="1"/>
        <v>0</v>
      </c>
      <c r="K29" s="164" t="str">
        <f t="shared" si="2"/>
        <v/>
      </c>
      <c r="L29" s="165"/>
    </row>
    <row r="30" spans="1:12" x14ac:dyDescent="0.2">
      <c r="A30" s="173"/>
      <c r="B30" s="174"/>
      <c r="C30" s="175"/>
      <c r="D30" s="175"/>
      <c r="E30" s="176"/>
      <c r="F30" s="177"/>
      <c r="G30" s="177"/>
      <c r="H30" s="176"/>
      <c r="I30" s="176"/>
      <c r="J30" s="169">
        <f t="shared" si="1"/>
        <v>0</v>
      </c>
      <c r="K30" s="170" t="str">
        <f t="shared" si="2"/>
        <v/>
      </c>
      <c r="L30" s="171"/>
    </row>
    <row r="31" spans="1:12" x14ac:dyDescent="0.2">
      <c r="A31" s="178"/>
      <c r="B31" s="179"/>
      <c r="C31" s="180"/>
      <c r="D31" s="180"/>
      <c r="E31" s="181"/>
      <c r="F31" s="182"/>
      <c r="G31" s="182"/>
      <c r="H31" s="181"/>
      <c r="I31" s="181"/>
      <c r="J31" s="163">
        <f t="shared" si="1"/>
        <v>0</v>
      </c>
      <c r="K31" s="164" t="str">
        <f t="shared" si="2"/>
        <v/>
      </c>
      <c r="L31" s="165"/>
    </row>
    <row r="32" spans="1:12" x14ac:dyDescent="0.2">
      <c r="A32" s="173"/>
      <c r="B32" s="174"/>
      <c r="C32" s="175"/>
      <c r="D32" s="175"/>
      <c r="E32" s="176"/>
      <c r="F32" s="177"/>
      <c r="G32" s="177"/>
      <c r="H32" s="176"/>
      <c r="I32" s="176"/>
      <c r="J32" s="169">
        <f t="shared" si="1"/>
        <v>0</v>
      </c>
      <c r="K32" s="170" t="str">
        <f t="shared" si="2"/>
        <v/>
      </c>
      <c r="L32" s="171"/>
    </row>
    <row r="33" spans="1:12" x14ac:dyDescent="0.2">
      <c r="A33" s="178"/>
      <c r="B33" s="179"/>
      <c r="C33" s="180"/>
      <c r="D33" s="180"/>
      <c r="E33" s="181"/>
      <c r="F33" s="182"/>
      <c r="G33" s="182"/>
      <c r="H33" s="181"/>
      <c r="I33" s="181"/>
      <c r="J33" s="163">
        <f t="shared" si="1"/>
        <v>0</v>
      </c>
      <c r="K33" s="164" t="str">
        <f t="shared" si="2"/>
        <v/>
      </c>
      <c r="L33" s="165"/>
    </row>
    <row r="34" spans="1:12" x14ac:dyDescent="0.2">
      <c r="A34" s="173"/>
      <c r="B34" s="174"/>
      <c r="C34" s="175"/>
      <c r="D34" s="175"/>
      <c r="E34" s="176"/>
      <c r="F34" s="177"/>
      <c r="G34" s="177"/>
      <c r="H34" s="176"/>
      <c r="I34" s="176"/>
      <c r="J34" s="169">
        <f t="shared" si="1"/>
        <v>0</v>
      </c>
      <c r="K34" s="170" t="str">
        <f t="shared" si="2"/>
        <v/>
      </c>
      <c r="L34" s="171"/>
    </row>
    <row r="35" spans="1:12" x14ac:dyDescent="0.2">
      <c r="A35" s="178"/>
      <c r="B35" s="179"/>
      <c r="C35" s="180"/>
      <c r="D35" s="180"/>
      <c r="E35" s="181"/>
      <c r="F35" s="182"/>
      <c r="G35" s="182"/>
      <c r="H35" s="181"/>
      <c r="I35" s="181"/>
      <c r="J35" s="163">
        <f t="shared" si="1"/>
        <v>0</v>
      </c>
      <c r="K35" s="164" t="str">
        <f t="shared" si="2"/>
        <v/>
      </c>
      <c r="L35" s="165"/>
    </row>
    <row r="36" spans="1:12" x14ac:dyDescent="0.2">
      <c r="A36" s="173"/>
      <c r="B36" s="174"/>
      <c r="C36" s="175"/>
      <c r="D36" s="175"/>
      <c r="E36" s="176"/>
      <c r="F36" s="177"/>
      <c r="G36" s="177"/>
      <c r="H36" s="176"/>
      <c r="I36" s="176"/>
      <c r="J36" s="169">
        <f t="shared" si="1"/>
        <v>0</v>
      </c>
      <c r="K36" s="170" t="str">
        <f t="shared" si="2"/>
        <v/>
      </c>
      <c r="L36" s="171"/>
    </row>
    <row r="37" spans="1:12" x14ac:dyDescent="0.2">
      <c r="A37" s="178"/>
      <c r="B37" s="179"/>
      <c r="C37" s="180"/>
      <c r="D37" s="180"/>
      <c r="E37" s="181"/>
      <c r="F37" s="182"/>
      <c r="G37" s="182"/>
      <c r="H37" s="181"/>
      <c r="I37" s="181"/>
      <c r="J37" s="163">
        <f t="shared" si="1"/>
        <v>0</v>
      </c>
      <c r="K37" s="164" t="str">
        <f t="shared" si="2"/>
        <v/>
      </c>
      <c r="L37" s="165"/>
    </row>
    <row r="38" spans="1:12" x14ac:dyDescent="0.2">
      <c r="A38" s="173"/>
      <c r="B38" s="174"/>
      <c r="C38" s="175"/>
      <c r="D38" s="175"/>
      <c r="E38" s="176"/>
      <c r="F38" s="177"/>
      <c r="G38" s="177"/>
      <c r="H38" s="176"/>
      <c r="I38" s="176"/>
      <c r="J38" s="169">
        <f t="shared" si="1"/>
        <v>0</v>
      </c>
      <c r="K38" s="170" t="str">
        <f t="shared" si="2"/>
        <v/>
      </c>
      <c r="L38" s="171"/>
    </row>
    <row r="39" spans="1:12" x14ac:dyDescent="0.2">
      <c r="A39" s="178"/>
      <c r="B39" s="179"/>
      <c r="C39" s="180"/>
      <c r="D39" s="180"/>
      <c r="E39" s="181"/>
      <c r="F39" s="182"/>
      <c r="G39" s="182"/>
      <c r="H39" s="181"/>
      <c r="I39" s="181"/>
      <c r="J39" s="163">
        <f t="shared" si="1"/>
        <v>0</v>
      </c>
      <c r="K39" s="164" t="str">
        <f t="shared" si="2"/>
        <v/>
      </c>
      <c r="L39" s="165"/>
    </row>
    <row r="40" spans="1:12" x14ac:dyDescent="0.2">
      <c r="A40" s="173"/>
      <c r="B40" s="174"/>
      <c r="C40" s="175"/>
      <c r="D40" s="175"/>
      <c r="E40" s="176"/>
      <c r="F40" s="177"/>
      <c r="G40" s="177"/>
      <c r="H40" s="176"/>
      <c r="I40" s="176"/>
      <c r="J40" s="169">
        <f t="shared" si="1"/>
        <v>0</v>
      </c>
      <c r="K40" s="170" t="str">
        <f t="shared" si="2"/>
        <v/>
      </c>
      <c r="L40" s="171"/>
    </row>
    <row r="41" spans="1:12" x14ac:dyDescent="0.2">
      <c r="A41" s="178"/>
      <c r="B41" s="179"/>
      <c r="C41" s="180"/>
      <c r="D41" s="180"/>
      <c r="E41" s="181"/>
      <c r="F41" s="182"/>
      <c r="G41" s="182"/>
      <c r="H41" s="181"/>
      <c r="I41" s="181"/>
      <c r="J41" s="163">
        <f t="shared" si="1"/>
        <v>0</v>
      </c>
      <c r="K41" s="164" t="str">
        <f t="shared" si="2"/>
        <v/>
      </c>
      <c r="L41" s="165"/>
    </row>
    <row r="42" spans="1:12" x14ac:dyDescent="0.2">
      <c r="A42" s="173"/>
      <c r="B42" s="174"/>
      <c r="C42" s="175"/>
      <c r="D42" s="175"/>
      <c r="E42" s="176"/>
      <c r="F42" s="177"/>
      <c r="G42" s="177"/>
      <c r="H42" s="176"/>
      <c r="I42" s="176"/>
      <c r="J42" s="169">
        <f t="shared" si="1"/>
        <v>0</v>
      </c>
      <c r="K42" s="170" t="str">
        <f t="shared" si="2"/>
        <v/>
      </c>
      <c r="L42" s="171"/>
    </row>
    <row r="43" spans="1:12" x14ac:dyDescent="0.2">
      <c r="A43" s="178"/>
      <c r="B43" s="179"/>
      <c r="C43" s="180"/>
      <c r="D43" s="180"/>
      <c r="E43" s="181"/>
      <c r="F43" s="182"/>
      <c r="G43" s="182"/>
      <c r="H43" s="181"/>
      <c r="I43" s="181"/>
      <c r="J43" s="163">
        <f t="shared" si="1"/>
        <v>0</v>
      </c>
      <c r="K43" s="164" t="str">
        <f t="shared" si="2"/>
        <v/>
      </c>
      <c r="L43" s="165"/>
    </row>
    <row r="44" spans="1:12" x14ac:dyDescent="0.2">
      <c r="A44" s="173"/>
      <c r="B44" s="174"/>
      <c r="C44" s="175"/>
      <c r="D44" s="175"/>
      <c r="E44" s="176"/>
      <c r="F44" s="177"/>
      <c r="G44" s="177"/>
      <c r="H44" s="176"/>
      <c r="I44" s="176"/>
      <c r="J44" s="169">
        <f t="shared" si="1"/>
        <v>0</v>
      </c>
      <c r="K44" s="170" t="str">
        <f t="shared" si="2"/>
        <v/>
      </c>
      <c r="L44" s="171"/>
    </row>
    <row r="45" spans="1:12" x14ac:dyDescent="0.2">
      <c r="A45" s="178"/>
      <c r="B45" s="179"/>
      <c r="C45" s="180"/>
      <c r="D45" s="180"/>
      <c r="E45" s="181"/>
      <c r="F45" s="182"/>
      <c r="G45" s="182"/>
      <c r="H45" s="181"/>
      <c r="I45" s="181"/>
      <c r="J45" s="163">
        <f t="shared" si="1"/>
        <v>0</v>
      </c>
      <c r="K45" s="164" t="str">
        <f t="shared" si="2"/>
        <v/>
      </c>
      <c r="L45" s="165"/>
    </row>
    <row r="46" spans="1:12" x14ac:dyDescent="0.2">
      <c r="A46" s="173"/>
      <c r="B46" s="174"/>
      <c r="C46" s="175"/>
      <c r="D46" s="175"/>
      <c r="E46" s="176"/>
      <c r="F46" s="177"/>
      <c r="G46" s="177"/>
      <c r="H46" s="176"/>
      <c r="I46" s="176"/>
      <c r="J46" s="169">
        <f t="shared" si="1"/>
        <v>0</v>
      </c>
      <c r="K46" s="170" t="str">
        <f t="shared" si="2"/>
        <v/>
      </c>
      <c r="L46" s="171"/>
    </row>
    <row r="47" spans="1:12" x14ac:dyDescent="0.2">
      <c r="A47" s="178"/>
      <c r="B47" s="179"/>
      <c r="C47" s="180"/>
      <c r="D47" s="180"/>
      <c r="E47" s="181"/>
      <c r="F47" s="182"/>
      <c r="G47" s="182"/>
      <c r="H47" s="181"/>
      <c r="I47" s="181"/>
      <c r="J47" s="163">
        <f t="shared" si="1"/>
        <v>0</v>
      </c>
      <c r="K47" s="164" t="str">
        <f t="shared" si="2"/>
        <v/>
      </c>
      <c r="L47" s="165"/>
    </row>
    <row r="48" spans="1:12" x14ac:dyDescent="0.2">
      <c r="A48" s="173"/>
      <c r="B48" s="174"/>
      <c r="C48" s="175"/>
      <c r="D48" s="175"/>
      <c r="E48" s="176"/>
      <c r="F48" s="177"/>
      <c r="G48" s="177"/>
      <c r="H48" s="176"/>
      <c r="I48" s="176"/>
      <c r="J48" s="169">
        <f t="shared" si="1"/>
        <v>0</v>
      </c>
      <c r="K48" s="170" t="str">
        <f t="shared" si="2"/>
        <v/>
      </c>
      <c r="L48" s="171"/>
    </row>
    <row r="49" spans="1:12" x14ac:dyDescent="0.2">
      <c r="A49" s="178"/>
      <c r="B49" s="179"/>
      <c r="C49" s="180"/>
      <c r="D49" s="180"/>
      <c r="E49" s="181"/>
      <c r="F49" s="182"/>
      <c r="G49" s="182"/>
      <c r="H49" s="181"/>
      <c r="I49" s="181"/>
      <c r="J49" s="163">
        <f t="shared" si="1"/>
        <v>0</v>
      </c>
      <c r="K49" s="164" t="str">
        <f t="shared" si="2"/>
        <v/>
      </c>
      <c r="L49" s="165"/>
    </row>
    <row r="50" spans="1:12" x14ac:dyDescent="0.2">
      <c r="A50" s="173"/>
      <c r="B50" s="174"/>
      <c r="C50" s="175"/>
      <c r="D50" s="175"/>
      <c r="E50" s="176"/>
      <c r="F50" s="177"/>
      <c r="G50" s="177"/>
      <c r="H50" s="176"/>
      <c r="I50" s="176"/>
      <c r="J50" s="169">
        <f t="shared" si="1"/>
        <v>0</v>
      </c>
      <c r="K50" s="170" t="str">
        <f t="shared" si="2"/>
        <v/>
      </c>
      <c r="L50" s="171"/>
    </row>
    <row r="51" spans="1:12" x14ac:dyDescent="0.2">
      <c r="A51" s="178"/>
      <c r="B51" s="179"/>
      <c r="C51" s="180"/>
      <c r="D51" s="180"/>
      <c r="E51" s="181"/>
      <c r="F51" s="182"/>
      <c r="G51" s="182"/>
      <c r="H51" s="181"/>
      <c r="I51" s="181"/>
      <c r="J51" s="163">
        <f t="shared" si="1"/>
        <v>0</v>
      </c>
      <c r="K51" s="164" t="str">
        <f t="shared" si="2"/>
        <v/>
      </c>
      <c r="L51" s="165"/>
    </row>
    <row r="52" spans="1:12" x14ac:dyDescent="0.2">
      <c r="A52" s="173"/>
      <c r="B52" s="174"/>
      <c r="C52" s="175"/>
      <c r="D52" s="175"/>
      <c r="E52" s="176"/>
      <c r="F52" s="177"/>
      <c r="G52" s="177"/>
      <c r="H52" s="176"/>
      <c r="I52" s="176"/>
      <c r="J52" s="169">
        <f t="shared" si="1"/>
        <v>0</v>
      </c>
      <c r="K52" s="170" t="str">
        <f t="shared" si="2"/>
        <v/>
      </c>
      <c r="L52" s="171"/>
    </row>
    <row r="53" spans="1:12" x14ac:dyDescent="0.2">
      <c r="A53" s="178"/>
      <c r="B53" s="179"/>
      <c r="C53" s="180"/>
      <c r="D53" s="180"/>
      <c r="E53" s="181"/>
      <c r="F53" s="182"/>
      <c r="G53" s="182"/>
      <c r="H53" s="181"/>
      <c r="I53" s="181"/>
      <c r="J53" s="163">
        <f t="shared" si="1"/>
        <v>0</v>
      </c>
      <c r="K53" s="164" t="str">
        <f t="shared" si="2"/>
        <v/>
      </c>
      <c r="L53" s="165"/>
    </row>
    <row r="54" spans="1:12" x14ac:dyDescent="0.2">
      <c r="A54" s="173"/>
      <c r="B54" s="174"/>
      <c r="C54" s="175"/>
      <c r="D54" s="175"/>
      <c r="E54" s="176"/>
      <c r="F54" s="177"/>
      <c r="G54" s="177"/>
      <c r="H54" s="176"/>
      <c r="I54" s="176"/>
      <c r="J54" s="169">
        <f t="shared" si="1"/>
        <v>0</v>
      </c>
      <c r="K54" s="170" t="str">
        <f t="shared" si="2"/>
        <v/>
      </c>
      <c r="L54" s="171"/>
    </row>
    <row r="55" spans="1:12" x14ac:dyDescent="0.2">
      <c r="A55" s="178"/>
      <c r="B55" s="179"/>
      <c r="C55" s="180"/>
      <c r="D55" s="180"/>
      <c r="E55" s="181"/>
      <c r="F55" s="182"/>
      <c r="G55" s="182"/>
      <c r="H55" s="181"/>
      <c r="I55" s="181"/>
      <c r="J55" s="163">
        <f t="shared" si="1"/>
        <v>0</v>
      </c>
      <c r="K55" s="164" t="str">
        <f t="shared" si="2"/>
        <v/>
      </c>
      <c r="L55" s="165"/>
    </row>
    <row r="56" spans="1:12" x14ac:dyDescent="0.2">
      <c r="A56" s="173"/>
      <c r="B56" s="174"/>
      <c r="C56" s="175"/>
      <c r="D56" s="175"/>
      <c r="E56" s="176"/>
      <c r="F56" s="177"/>
      <c r="G56" s="177"/>
      <c r="H56" s="176"/>
      <c r="I56" s="176"/>
      <c r="J56" s="169">
        <f t="shared" si="1"/>
        <v>0</v>
      </c>
      <c r="K56" s="170" t="str">
        <f t="shared" si="2"/>
        <v/>
      </c>
      <c r="L56" s="171"/>
    </row>
    <row r="57" spans="1:12" x14ac:dyDescent="0.2">
      <c r="A57" s="178"/>
      <c r="B57" s="179"/>
      <c r="C57" s="180"/>
      <c r="D57" s="180"/>
      <c r="E57" s="181"/>
      <c r="F57" s="182"/>
      <c r="G57" s="182"/>
      <c r="H57" s="181"/>
      <c r="I57" s="181"/>
      <c r="J57" s="163">
        <f t="shared" si="1"/>
        <v>0</v>
      </c>
      <c r="K57" s="164" t="str">
        <f t="shared" si="2"/>
        <v/>
      </c>
      <c r="L57" s="165"/>
    </row>
    <row r="58" spans="1:12" x14ac:dyDescent="0.2">
      <c r="A58" s="173"/>
      <c r="B58" s="174"/>
      <c r="C58" s="175"/>
      <c r="D58" s="175"/>
      <c r="E58" s="176"/>
      <c r="F58" s="177"/>
      <c r="G58" s="177"/>
      <c r="H58" s="176"/>
      <c r="I58" s="176"/>
      <c r="J58" s="169">
        <f t="shared" si="1"/>
        <v>0</v>
      </c>
      <c r="K58" s="170" t="str">
        <f t="shared" si="2"/>
        <v/>
      </c>
      <c r="L58" s="171"/>
    </row>
    <row r="59" spans="1:12" x14ac:dyDescent="0.2">
      <c r="A59" s="178"/>
      <c r="B59" s="179"/>
      <c r="C59" s="180"/>
      <c r="D59" s="180"/>
      <c r="E59" s="181"/>
      <c r="F59" s="182"/>
      <c r="G59" s="182"/>
      <c r="H59" s="181"/>
      <c r="I59" s="181"/>
      <c r="J59" s="163">
        <f t="shared" si="1"/>
        <v>0</v>
      </c>
      <c r="K59" s="164" t="str">
        <f t="shared" si="2"/>
        <v/>
      </c>
      <c r="L59" s="165"/>
    </row>
    <row r="60" spans="1:12" x14ac:dyDescent="0.2">
      <c r="A60" s="173"/>
      <c r="B60" s="174"/>
      <c r="C60" s="175"/>
      <c r="D60" s="175"/>
      <c r="E60" s="176"/>
      <c r="F60" s="177"/>
      <c r="G60" s="177"/>
      <c r="H60" s="176"/>
      <c r="I60" s="176"/>
      <c r="J60" s="169">
        <f t="shared" si="1"/>
        <v>0</v>
      </c>
      <c r="K60" s="170" t="str">
        <f t="shared" si="2"/>
        <v/>
      </c>
      <c r="L60" s="171"/>
    </row>
    <row r="61" spans="1:12" x14ac:dyDescent="0.2">
      <c r="A61" s="178"/>
      <c r="B61" s="179"/>
      <c r="C61" s="180"/>
      <c r="D61" s="180"/>
      <c r="E61" s="181"/>
      <c r="F61" s="182"/>
      <c r="G61" s="182"/>
      <c r="H61" s="181"/>
      <c r="I61" s="181"/>
      <c r="J61" s="163">
        <f t="shared" si="1"/>
        <v>0</v>
      </c>
      <c r="K61" s="164" t="str">
        <f t="shared" si="2"/>
        <v/>
      </c>
      <c r="L61" s="165"/>
    </row>
    <row r="62" spans="1:12" x14ac:dyDescent="0.2">
      <c r="A62" s="173"/>
      <c r="B62" s="174"/>
      <c r="C62" s="175"/>
      <c r="D62" s="175"/>
      <c r="E62" s="176"/>
      <c r="F62" s="177"/>
      <c r="G62" s="177"/>
      <c r="H62" s="176"/>
      <c r="I62" s="176"/>
      <c r="J62" s="169">
        <f t="shared" si="1"/>
        <v>0</v>
      </c>
      <c r="K62" s="170" t="str">
        <f t="shared" si="2"/>
        <v/>
      </c>
      <c r="L62" s="171"/>
    </row>
    <row r="63" spans="1:12" x14ac:dyDescent="0.2">
      <c r="A63" s="178"/>
      <c r="B63" s="179"/>
      <c r="C63" s="180"/>
      <c r="D63" s="180"/>
      <c r="E63" s="181"/>
      <c r="F63" s="182"/>
      <c r="G63" s="182"/>
      <c r="H63" s="181"/>
      <c r="I63" s="181"/>
      <c r="J63" s="163">
        <f t="shared" si="1"/>
        <v>0</v>
      </c>
      <c r="K63" s="164" t="str">
        <f t="shared" si="2"/>
        <v/>
      </c>
      <c r="L63" s="165"/>
    </row>
    <row r="64" spans="1:12" x14ac:dyDescent="0.2">
      <c r="A64" s="173"/>
      <c r="B64" s="174"/>
      <c r="C64" s="175"/>
      <c r="D64" s="175"/>
      <c r="E64" s="176"/>
      <c r="F64" s="177"/>
      <c r="G64" s="177"/>
      <c r="H64" s="176"/>
      <c r="I64" s="176"/>
      <c r="J64" s="169">
        <f t="shared" si="1"/>
        <v>0</v>
      </c>
      <c r="K64" s="170" t="str">
        <f t="shared" si="2"/>
        <v/>
      </c>
      <c r="L64" s="171"/>
    </row>
    <row r="65" spans="1:12" x14ac:dyDescent="0.2">
      <c r="A65" s="178"/>
      <c r="B65" s="179"/>
      <c r="C65" s="180"/>
      <c r="D65" s="180"/>
      <c r="E65" s="181"/>
      <c r="F65" s="182"/>
      <c r="G65" s="182"/>
      <c r="H65" s="181"/>
      <c r="I65" s="181"/>
      <c r="J65" s="163">
        <f t="shared" si="1"/>
        <v>0</v>
      </c>
      <c r="K65" s="164" t="str">
        <f t="shared" si="2"/>
        <v/>
      </c>
      <c r="L65" s="165"/>
    </row>
    <row r="66" spans="1:12" x14ac:dyDescent="0.2">
      <c r="A66" s="173"/>
      <c r="B66" s="174"/>
      <c r="C66" s="175"/>
      <c r="D66" s="175"/>
      <c r="E66" s="176"/>
      <c r="F66" s="177"/>
      <c r="G66" s="177"/>
      <c r="H66" s="176"/>
      <c r="I66" s="176"/>
      <c r="J66" s="169">
        <f t="shared" si="1"/>
        <v>0</v>
      </c>
      <c r="K66" s="170" t="str">
        <f t="shared" si="2"/>
        <v/>
      </c>
      <c r="L66" s="171"/>
    </row>
    <row r="67" spans="1:12" x14ac:dyDescent="0.2">
      <c r="A67" s="178"/>
      <c r="B67" s="179"/>
      <c r="C67" s="180"/>
      <c r="D67" s="180"/>
      <c r="E67" s="181"/>
      <c r="F67" s="182"/>
      <c r="G67" s="182"/>
      <c r="H67" s="181"/>
      <c r="I67" s="181"/>
      <c r="J67" s="163">
        <f t="shared" si="1"/>
        <v>0</v>
      </c>
      <c r="K67" s="164" t="str">
        <f t="shared" si="2"/>
        <v/>
      </c>
      <c r="L67" s="165"/>
    </row>
    <row r="68" spans="1:12" x14ac:dyDescent="0.2">
      <c r="A68" s="173"/>
      <c r="B68" s="174"/>
      <c r="C68" s="175"/>
      <c r="D68" s="175"/>
      <c r="E68" s="176"/>
      <c r="F68" s="177"/>
      <c r="G68" s="177"/>
      <c r="H68" s="176"/>
      <c r="I68" s="176"/>
      <c r="J68" s="169">
        <f t="shared" si="1"/>
        <v>0</v>
      </c>
      <c r="K68" s="170" t="str">
        <f t="shared" si="2"/>
        <v/>
      </c>
      <c r="L68" s="171"/>
    </row>
    <row r="69" spans="1:12" x14ac:dyDescent="0.2">
      <c r="A69" s="178"/>
      <c r="B69" s="179"/>
      <c r="C69" s="180"/>
      <c r="D69" s="180"/>
      <c r="E69" s="181"/>
      <c r="F69" s="182"/>
      <c r="G69" s="182"/>
      <c r="H69" s="181"/>
      <c r="I69" s="181"/>
      <c r="J69" s="163">
        <f t="shared" ref="J69:J132" si="3">IFERROR(F69-E69-G69-H69-I69,"")</f>
        <v>0</v>
      </c>
      <c r="K69" s="164" t="str">
        <f t="shared" ref="K69:K132" si="4">IFERROR(J69/F69,"")</f>
        <v/>
      </c>
      <c r="L69" s="165"/>
    </row>
    <row r="70" spans="1:12" x14ac:dyDescent="0.2">
      <c r="A70" s="173"/>
      <c r="B70" s="174"/>
      <c r="C70" s="175"/>
      <c r="D70" s="175"/>
      <c r="E70" s="176"/>
      <c r="F70" s="177"/>
      <c r="G70" s="177"/>
      <c r="H70" s="176"/>
      <c r="I70" s="176"/>
      <c r="J70" s="169">
        <f t="shared" si="3"/>
        <v>0</v>
      </c>
      <c r="K70" s="170" t="str">
        <f t="shared" si="4"/>
        <v/>
      </c>
      <c r="L70" s="171"/>
    </row>
    <row r="71" spans="1:12" x14ac:dyDescent="0.2">
      <c r="A71" s="178"/>
      <c r="B71" s="179"/>
      <c r="C71" s="180"/>
      <c r="D71" s="180"/>
      <c r="E71" s="181"/>
      <c r="F71" s="182"/>
      <c r="G71" s="182"/>
      <c r="H71" s="181"/>
      <c r="I71" s="181"/>
      <c r="J71" s="163">
        <f t="shared" si="3"/>
        <v>0</v>
      </c>
      <c r="K71" s="164" t="str">
        <f t="shared" si="4"/>
        <v/>
      </c>
      <c r="L71" s="165"/>
    </row>
    <row r="72" spans="1:12" x14ac:dyDescent="0.2">
      <c r="A72" s="173"/>
      <c r="B72" s="174"/>
      <c r="C72" s="175"/>
      <c r="D72" s="175"/>
      <c r="E72" s="176"/>
      <c r="F72" s="177"/>
      <c r="G72" s="177"/>
      <c r="H72" s="176"/>
      <c r="I72" s="176"/>
      <c r="J72" s="169">
        <f t="shared" si="3"/>
        <v>0</v>
      </c>
      <c r="K72" s="170" t="str">
        <f t="shared" si="4"/>
        <v/>
      </c>
      <c r="L72" s="171"/>
    </row>
    <row r="73" spans="1:12" x14ac:dyDescent="0.2">
      <c r="A73" s="178"/>
      <c r="B73" s="179"/>
      <c r="C73" s="180"/>
      <c r="D73" s="180"/>
      <c r="E73" s="181"/>
      <c r="F73" s="182"/>
      <c r="G73" s="182"/>
      <c r="H73" s="181"/>
      <c r="I73" s="181"/>
      <c r="J73" s="163">
        <f t="shared" si="3"/>
        <v>0</v>
      </c>
      <c r="K73" s="164" t="str">
        <f t="shared" si="4"/>
        <v/>
      </c>
      <c r="L73" s="165"/>
    </row>
    <row r="74" spans="1:12" x14ac:dyDescent="0.2">
      <c r="A74" s="173"/>
      <c r="B74" s="174"/>
      <c r="C74" s="175"/>
      <c r="D74" s="175"/>
      <c r="E74" s="176"/>
      <c r="F74" s="177"/>
      <c r="G74" s="177"/>
      <c r="H74" s="176"/>
      <c r="I74" s="176"/>
      <c r="J74" s="169">
        <f t="shared" si="3"/>
        <v>0</v>
      </c>
      <c r="K74" s="170" t="str">
        <f t="shared" si="4"/>
        <v/>
      </c>
      <c r="L74" s="171"/>
    </row>
    <row r="75" spans="1:12" x14ac:dyDescent="0.2">
      <c r="A75" s="178"/>
      <c r="B75" s="179"/>
      <c r="C75" s="180"/>
      <c r="D75" s="180"/>
      <c r="E75" s="181"/>
      <c r="F75" s="182"/>
      <c r="G75" s="182"/>
      <c r="H75" s="181"/>
      <c r="I75" s="181"/>
      <c r="J75" s="163">
        <f t="shared" si="3"/>
        <v>0</v>
      </c>
      <c r="K75" s="164" t="str">
        <f t="shared" si="4"/>
        <v/>
      </c>
      <c r="L75" s="165"/>
    </row>
    <row r="76" spans="1:12" x14ac:dyDescent="0.2">
      <c r="A76" s="173"/>
      <c r="B76" s="174"/>
      <c r="C76" s="175"/>
      <c r="D76" s="175"/>
      <c r="E76" s="176"/>
      <c r="F76" s="177"/>
      <c r="G76" s="177"/>
      <c r="H76" s="176"/>
      <c r="I76" s="176"/>
      <c r="J76" s="169">
        <f t="shared" si="3"/>
        <v>0</v>
      </c>
      <c r="K76" s="170" t="str">
        <f t="shared" si="4"/>
        <v/>
      </c>
      <c r="L76" s="171"/>
    </row>
    <row r="77" spans="1:12" x14ac:dyDescent="0.2">
      <c r="A77" s="178"/>
      <c r="B77" s="179"/>
      <c r="C77" s="180"/>
      <c r="D77" s="180"/>
      <c r="E77" s="181"/>
      <c r="F77" s="182"/>
      <c r="G77" s="182"/>
      <c r="H77" s="181"/>
      <c r="I77" s="181"/>
      <c r="J77" s="163">
        <f t="shared" si="3"/>
        <v>0</v>
      </c>
      <c r="K77" s="164" t="str">
        <f t="shared" si="4"/>
        <v/>
      </c>
      <c r="L77" s="165"/>
    </row>
    <row r="78" spans="1:12" x14ac:dyDescent="0.2">
      <c r="A78" s="173"/>
      <c r="B78" s="174"/>
      <c r="C78" s="175"/>
      <c r="D78" s="175"/>
      <c r="E78" s="176"/>
      <c r="F78" s="177"/>
      <c r="G78" s="177"/>
      <c r="H78" s="176"/>
      <c r="I78" s="176"/>
      <c r="J78" s="169">
        <f t="shared" si="3"/>
        <v>0</v>
      </c>
      <c r="K78" s="170" t="str">
        <f t="shared" si="4"/>
        <v/>
      </c>
      <c r="L78" s="171"/>
    </row>
    <row r="79" spans="1:12" x14ac:dyDescent="0.2">
      <c r="A79" s="178"/>
      <c r="B79" s="179"/>
      <c r="C79" s="180"/>
      <c r="D79" s="180"/>
      <c r="E79" s="181"/>
      <c r="F79" s="182"/>
      <c r="G79" s="182"/>
      <c r="H79" s="181"/>
      <c r="I79" s="181"/>
      <c r="J79" s="163">
        <f t="shared" si="3"/>
        <v>0</v>
      </c>
      <c r="K79" s="164" t="str">
        <f t="shared" si="4"/>
        <v/>
      </c>
      <c r="L79" s="165"/>
    </row>
    <row r="80" spans="1:12" x14ac:dyDescent="0.2">
      <c r="A80" s="173"/>
      <c r="B80" s="174"/>
      <c r="C80" s="175"/>
      <c r="D80" s="175"/>
      <c r="E80" s="176"/>
      <c r="F80" s="177"/>
      <c r="G80" s="177"/>
      <c r="H80" s="176"/>
      <c r="I80" s="176"/>
      <c r="J80" s="169">
        <f t="shared" si="3"/>
        <v>0</v>
      </c>
      <c r="K80" s="170" t="str">
        <f t="shared" si="4"/>
        <v/>
      </c>
      <c r="L80" s="171"/>
    </row>
    <row r="81" spans="1:12" x14ac:dyDescent="0.2">
      <c r="A81" s="178"/>
      <c r="B81" s="179"/>
      <c r="C81" s="180"/>
      <c r="D81" s="180"/>
      <c r="E81" s="181"/>
      <c r="F81" s="182"/>
      <c r="G81" s="182"/>
      <c r="H81" s="181"/>
      <c r="I81" s="181"/>
      <c r="J81" s="163">
        <f t="shared" si="3"/>
        <v>0</v>
      </c>
      <c r="K81" s="164" t="str">
        <f t="shared" si="4"/>
        <v/>
      </c>
      <c r="L81" s="165"/>
    </row>
    <row r="82" spans="1:12" x14ac:dyDescent="0.2">
      <c r="A82" s="173"/>
      <c r="B82" s="174"/>
      <c r="C82" s="175"/>
      <c r="D82" s="175"/>
      <c r="E82" s="176"/>
      <c r="F82" s="177"/>
      <c r="G82" s="177"/>
      <c r="H82" s="176"/>
      <c r="I82" s="176"/>
      <c r="J82" s="169">
        <f t="shared" si="3"/>
        <v>0</v>
      </c>
      <c r="K82" s="170" t="str">
        <f t="shared" si="4"/>
        <v/>
      </c>
      <c r="L82" s="171"/>
    </row>
    <row r="83" spans="1:12" x14ac:dyDescent="0.2">
      <c r="A83" s="178"/>
      <c r="B83" s="179"/>
      <c r="C83" s="180"/>
      <c r="D83" s="180"/>
      <c r="E83" s="181"/>
      <c r="F83" s="182"/>
      <c r="G83" s="182"/>
      <c r="H83" s="181"/>
      <c r="I83" s="181"/>
      <c r="J83" s="163">
        <f t="shared" si="3"/>
        <v>0</v>
      </c>
      <c r="K83" s="164" t="str">
        <f t="shared" si="4"/>
        <v/>
      </c>
      <c r="L83" s="165"/>
    </row>
    <row r="84" spans="1:12" x14ac:dyDescent="0.2">
      <c r="A84" s="173"/>
      <c r="B84" s="174"/>
      <c r="C84" s="175"/>
      <c r="D84" s="175"/>
      <c r="E84" s="176"/>
      <c r="F84" s="177"/>
      <c r="G84" s="177"/>
      <c r="H84" s="176"/>
      <c r="I84" s="176"/>
      <c r="J84" s="169">
        <f t="shared" si="3"/>
        <v>0</v>
      </c>
      <c r="K84" s="170" t="str">
        <f t="shared" si="4"/>
        <v/>
      </c>
      <c r="L84" s="171"/>
    </row>
    <row r="85" spans="1:12" x14ac:dyDescent="0.2">
      <c r="A85" s="178"/>
      <c r="B85" s="179"/>
      <c r="C85" s="180"/>
      <c r="D85" s="180"/>
      <c r="E85" s="181"/>
      <c r="F85" s="182"/>
      <c r="G85" s="182"/>
      <c r="H85" s="181"/>
      <c r="I85" s="181"/>
      <c r="J85" s="163">
        <f t="shared" si="3"/>
        <v>0</v>
      </c>
      <c r="K85" s="164" t="str">
        <f t="shared" si="4"/>
        <v/>
      </c>
      <c r="L85" s="165"/>
    </row>
    <row r="86" spans="1:12" x14ac:dyDescent="0.2">
      <c r="A86" s="173"/>
      <c r="B86" s="174"/>
      <c r="C86" s="175"/>
      <c r="D86" s="175"/>
      <c r="E86" s="176"/>
      <c r="F86" s="177"/>
      <c r="G86" s="177"/>
      <c r="H86" s="176"/>
      <c r="I86" s="176"/>
      <c r="J86" s="169">
        <f t="shared" si="3"/>
        <v>0</v>
      </c>
      <c r="K86" s="170" t="str">
        <f t="shared" si="4"/>
        <v/>
      </c>
      <c r="L86" s="171"/>
    </row>
    <row r="87" spans="1:12" x14ac:dyDescent="0.2">
      <c r="A87" s="178"/>
      <c r="B87" s="179"/>
      <c r="C87" s="180"/>
      <c r="D87" s="180"/>
      <c r="E87" s="181"/>
      <c r="F87" s="182"/>
      <c r="G87" s="182"/>
      <c r="H87" s="181"/>
      <c r="I87" s="181"/>
      <c r="J87" s="163">
        <f t="shared" si="3"/>
        <v>0</v>
      </c>
      <c r="K87" s="164" t="str">
        <f t="shared" si="4"/>
        <v/>
      </c>
      <c r="L87" s="165"/>
    </row>
    <row r="88" spans="1:12" x14ac:dyDescent="0.2">
      <c r="A88" s="173"/>
      <c r="B88" s="174"/>
      <c r="C88" s="175"/>
      <c r="D88" s="175"/>
      <c r="E88" s="176"/>
      <c r="F88" s="177"/>
      <c r="G88" s="177"/>
      <c r="H88" s="176"/>
      <c r="I88" s="176"/>
      <c r="J88" s="169">
        <f t="shared" si="3"/>
        <v>0</v>
      </c>
      <c r="K88" s="170" t="str">
        <f t="shared" si="4"/>
        <v/>
      </c>
      <c r="L88" s="171"/>
    </row>
    <row r="89" spans="1:12" x14ac:dyDescent="0.2">
      <c r="A89" s="178"/>
      <c r="B89" s="179"/>
      <c r="C89" s="180"/>
      <c r="D89" s="180"/>
      <c r="E89" s="181"/>
      <c r="F89" s="182"/>
      <c r="G89" s="182"/>
      <c r="H89" s="181"/>
      <c r="I89" s="181"/>
      <c r="J89" s="163">
        <f t="shared" si="3"/>
        <v>0</v>
      </c>
      <c r="K89" s="164" t="str">
        <f t="shared" si="4"/>
        <v/>
      </c>
      <c r="L89" s="165"/>
    </row>
    <row r="90" spans="1:12" x14ac:dyDescent="0.2">
      <c r="A90" s="173"/>
      <c r="B90" s="174"/>
      <c r="C90" s="175"/>
      <c r="D90" s="175"/>
      <c r="E90" s="176"/>
      <c r="F90" s="177"/>
      <c r="G90" s="177"/>
      <c r="H90" s="176"/>
      <c r="I90" s="176"/>
      <c r="J90" s="169">
        <f t="shared" si="3"/>
        <v>0</v>
      </c>
      <c r="K90" s="170" t="str">
        <f t="shared" si="4"/>
        <v/>
      </c>
      <c r="L90" s="171"/>
    </row>
    <row r="91" spans="1:12" x14ac:dyDescent="0.2">
      <c r="A91" s="178"/>
      <c r="B91" s="179"/>
      <c r="C91" s="180"/>
      <c r="D91" s="180"/>
      <c r="E91" s="181"/>
      <c r="F91" s="182"/>
      <c r="G91" s="182"/>
      <c r="H91" s="181"/>
      <c r="I91" s="181"/>
      <c r="J91" s="163">
        <f t="shared" si="3"/>
        <v>0</v>
      </c>
      <c r="K91" s="164" t="str">
        <f t="shared" si="4"/>
        <v/>
      </c>
      <c r="L91" s="165"/>
    </row>
    <row r="92" spans="1:12" x14ac:dyDescent="0.2">
      <c r="A92" s="173"/>
      <c r="B92" s="174"/>
      <c r="C92" s="175"/>
      <c r="D92" s="175"/>
      <c r="E92" s="176"/>
      <c r="F92" s="177"/>
      <c r="G92" s="177"/>
      <c r="H92" s="176"/>
      <c r="I92" s="176"/>
      <c r="J92" s="169">
        <f t="shared" si="3"/>
        <v>0</v>
      </c>
      <c r="K92" s="170" t="str">
        <f t="shared" si="4"/>
        <v/>
      </c>
      <c r="L92" s="171"/>
    </row>
    <row r="93" spans="1:12" x14ac:dyDescent="0.2">
      <c r="A93" s="178"/>
      <c r="B93" s="179"/>
      <c r="C93" s="180"/>
      <c r="D93" s="180"/>
      <c r="E93" s="181"/>
      <c r="F93" s="182"/>
      <c r="G93" s="182"/>
      <c r="H93" s="181"/>
      <c r="I93" s="181"/>
      <c r="J93" s="163">
        <f t="shared" si="3"/>
        <v>0</v>
      </c>
      <c r="K93" s="164" t="str">
        <f t="shared" si="4"/>
        <v/>
      </c>
      <c r="L93" s="165"/>
    </row>
    <row r="94" spans="1:12" x14ac:dyDescent="0.2">
      <c r="A94" s="173"/>
      <c r="B94" s="174"/>
      <c r="C94" s="175"/>
      <c r="D94" s="175"/>
      <c r="E94" s="176"/>
      <c r="F94" s="177"/>
      <c r="G94" s="177"/>
      <c r="H94" s="176"/>
      <c r="I94" s="176"/>
      <c r="J94" s="169">
        <f t="shared" si="3"/>
        <v>0</v>
      </c>
      <c r="K94" s="170" t="str">
        <f t="shared" si="4"/>
        <v/>
      </c>
      <c r="L94" s="171"/>
    </row>
    <row r="95" spans="1:12" x14ac:dyDescent="0.2">
      <c r="A95" s="178"/>
      <c r="B95" s="179"/>
      <c r="C95" s="180"/>
      <c r="D95" s="180"/>
      <c r="E95" s="181"/>
      <c r="F95" s="182"/>
      <c r="G95" s="182"/>
      <c r="H95" s="181"/>
      <c r="I95" s="181"/>
      <c r="J95" s="163">
        <f t="shared" si="3"/>
        <v>0</v>
      </c>
      <c r="K95" s="164" t="str">
        <f t="shared" si="4"/>
        <v/>
      </c>
      <c r="L95" s="165"/>
    </row>
    <row r="96" spans="1:12" x14ac:dyDescent="0.2">
      <c r="A96" s="173"/>
      <c r="B96" s="174"/>
      <c r="C96" s="175"/>
      <c r="D96" s="175"/>
      <c r="E96" s="176"/>
      <c r="F96" s="177"/>
      <c r="G96" s="177"/>
      <c r="H96" s="176"/>
      <c r="I96" s="176"/>
      <c r="J96" s="169">
        <f t="shared" si="3"/>
        <v>0</v>
      </c>
      <c r="K96" s="170" t="str">
        <f t="shared" si="4"/>
        <v/>
      </c>
      <c r="L96" s="171"/>
    </row>
    <row r="97" spans="1:12" x14ac:dyDescent="0.2">
      <c r="A97" s="178"/>
      <c r="B97" s="179"/>
      <c r="C97" s="180"/>
      <c r="D97" s="180"/>
      <c r="E97" s="181"/>
      <c r="F97" s="182"/>
      <c r="G97" s="182"/>
      <c r="H97" s="181"/>
      <c r="I97" s="181"/>
      <c r="J97" s="163">
        <f t="shared" si="3"/>
        <v>0</v>
      </c>
      <c r="K97" s="164" t="str">
        <f t="shared" si="4"/>
        <v/>
      </c>
      <c r="L97" s="165"/>
    </row>
    <row r="98" spans="1:12" x14ac:dyDescent="0.2">
      <c r="A98" s="173"/>
      <c r="B98" s="174"/>
      <c r="C98" s="175"/>
      <c r="D98" s="175"/>
      <c r="E98" s="176"/>
      <c r="F98" s="177"/>
      <c r="G98" s="177"/>
      <c r="H98" s="176"/>
      <c r="I98" s="176"/>
      <c r="J98" s="169">
        <f t="shared" si="3"/>
        <v>0</v>
      </c>
      <c r="K98" s="170" t="str">
        <f t="shared" si="4"/>
        <v/>
      </c>
      <c r="L98" s="171"/>
    </row>
    <row r="99" spans="1:12" x14ac:dyDescent="0.2">
      <c r="A99" s="178"/>
      <c r="B99" s="179"/>
      <c r="C99" s="180"/>
      <c r="D99" s="180"/>
      <c r="E99" s="181"/>
      <c r="F99" s="182"/>
      <c r="G99" s="182"/>
      <c r="H99" s="181"/>
      <c r="I99" s="181"/>
      <c r="J99" s="163">
        <f t="shared" si="3"/>
        <v>0</v>
      </c>
      <c r="K99" s="164" t="str">
        <f t="shared" si="4"/>
        <v/>
      </c>
      <c r="L99" s="165"/>
    </row>
    <row r="100" spans="1:12" x14ac:dyDescent="0.2">
      <c r="A100" s="173"/>
      <c r="B100" s="174"/>
      <c r="C100" s="175"/>
      <c r="D100" s="175"/>
      <c r="E100" s="176"/>
      <c r="F100" s="177"/>
      <c r="G100" s="177"/>
      <c r="H100" s="176"/>
      <c r="I100" s="176"/>
      <c r="J100" s="169">
        <f t="shared" si="3"/>
        <v>0</v>
      </c>
      <c r="K100" s="170" t="str">
        <f t="shared" si="4"/>
        <v/>
      </c>
      <c r="L100" s="171"/>
    </row>
    <row r="101" spans="1:12" x14ac:dyDescent="0.2">
      <c r="A101" s="178"/>
      <c r="B101" s="179"/>
      <c r="C101" s="180"/>
      <c r="D101" s="180"/>
      <c r="E101" s="181"/>
      <c r="F101" s="182"/>
      <c r="G101" s="182"/>
      <c r="H101" s="181"/>
      <c r="I101" s="181"/>
      <c r="J101" s="163">
        <f t="shared" si="3"/>
        <v>0</v>
      </c>
      <c r="K101" s="164" t="str">
        <f t="shared" si="4"/>
        <v/>
      </c>
      <c r="L101" s="165"/>
    </row>
    <row r="102" spans="1:12" x14ac:dyDescent="0.2">
      <c r="A102" s="173"/>
      <c r="B102" s="174"/>
      <c r="C102" s="175"/>
      <c r="D102" s="175"/>
      <c r="E102" s="176"/>
      <c r="F102" s="177"/>
      <c r="G102" s="177"/>
      <c r="H102" s="176"/>
      <c r="I102" s="176"/>
      <c r="J102" s="169">
        <f t="shared" si="3"/>
        <v>0</v>
      </c>
      <c r="K102" s="170" t="str">
        <f t="shared" si="4"/>
        <v/>
      </c>
      <c r="L102" s="171"/>
    </row>
    <row r="103" spans="1:12" x14ac:dyDescent="0.2">
      <c r="A103" s="178"/>
      <c r="B103" s="179"/>
      <c r="C103" s="180"/>
      <c r="D103" s="180"/>
      <c r="E103" s="181"/>
      <c r="F103" s="182"/>
      <c r="G103" s="182"/>
      <c r="H103" s="181"/>
      <c r="I103" s="181"/>
      <c r="J103" s="163">
        <f t="shared" si="3"/>
        <v>0</v>
      </c>
      <c r="K103" s="164" t="str">
        <f t="shared" si="4"/>
        <v/>
      </c>
      <c r="L103" s="165"/>
    </row>
    <row r="104" spans="1:12" x14ac:dyDescent="0.2">
      <c r="A104" s="173"/>
      <c r="B104" s="174"/>
      <c r="C104" s="175"/>
      <c r="D104" s="175"/>
      <c r="E104" s="176"/>
      <c r="F104" s="177"/>
      <c r="G104" s="177"/>
      <c r="H104" s="176"/>
      <c r="I104" s="176"/>
      <c r="J104" s="169">
        <f t="shared" si="3"/>
        <v>0</v>
      </c>
      <c r="K104" s="170" t="str">
        <f t="shared" si="4"/>
        <v/>
      </c>
      <c r="L104" s="171"/>
    </row>
    <row r="105" spans="1:12" x14ac:dyDescent="0.2">
      <c r="A105" s="178"/>
      <c r="B105" s="179"/>
      <c r="C105" s="180"/>
      <c r="D105" s="180"/>
      <c r="E105" s="181"/>
      <c r="F105" s="182"/>
      <c r="G105" s="182"/>
      <c r="H105" s="181"/>
      <c r="I105" s="181"/>
      <c r="J105" s="163">
        <f t="shared" si="3"/>
        <v>0</v>
      </c>
      <c r="K105" s="164" t="str">
        <f t="shared" si="4"/>
        <v/>
      </c>
      <c r="L105" s="165"/>
    </row>
    <row r="106" spans="1:12" x14ac:dyDescent="0.2">
      <c r="A106" s="173"/>
      <c r="B106" s="174"/>
      <c r="C106" s="175"/>
      <c r="D106" s="175"/>
      <c r="E106" s="176"/>
      <c r="F106" s="177"/>
      <c r="G106" s="177"/>
      <c r="H106" s="176"/>
      <c r="I106" s="176"/>
      <c r="J106" s="169">
        <f t="shared" si="3"/>
        <v>0</v>
      </c>
      <c r="K106" s="170" t="str">
        <f t="shared" si="4"/>
        <v/>
      </c>
      <c r="L106" s="171"/>
    </row>
    <row r="107" spans="1:12" x14ac:dyDescent="0.2">
      <c r="A107" s="178"/>
      <c r="B107" s="179"/>
      <c r="C107" s="180"/>
      <c r="D107" s="180"/>
      <c r="E107" s="181"/>
      <c r="F107" s="182"/>
      <c r="G107" s="182"/>
      <c r="H107" s="181"/>
      <c r="I107" s="181"/>
      <c r="J107" s="163">
        <f t="shared" si="3"/>
        <v>0</v>
      </c>
      <c r="K107" s="164" t="str">
        <f t="shared" si="4"/>
        <v/>
      </c>
      <c r="L107" s="165"/>
    </row>
    <row r="108" spans="1:12" x14ac:dyDescent="0.2">
      <c r="A108" s="173"/>
      <c r="B108" s="174"/>
      <c r="C108" s="175"/>
      <c r="D108" s="175"/>
      <c r="E108" s="176"/>
      <c r="F108" s="177"/>
      <c r="G108" s="177"/>
      <c r="H108" s="176"/>
      <c r="I108" s="176"/>
      <c r="J108" s="169">
        <f t="shared" si="3"/>
        <v>0</v>
      </c>
      <c r="K108" s="170" t="str">
        <f t="shared" si="4"/>
        <v/>
      </c>
      <c r="L108" s="171"/>
    </row>
    <row r="109" spans="1:12" x14ac:dyDescent="0.2">
      <c r="A109" s="178"/>
      <c r="B109" s="179"/>
      <c r="C109" s="180"/>
      <c r="D109" s="180"/>
      <c r="E109" s="181"/>
      <c r="F109" s="182"/>
      <c r="G109" s="182"/>
      <c r="H109" s="181"/>
      <c r="I109" s="181"/>
      <c r="J109" s="163">
        <f t="shared" si="3"/>
        <v>0</v>
      </c>
      <c r="K109" s="164" t="str">
        <f t="shared" si="4"/>
        <v/>
      </c>
      <c r="L109" s="165"/>
    </row>
    <row r="110" spans="1:12" x14ac:dyDescent="0.2">
      <c r="A110" s="173"/>
      <c r="B110" s="174"/>
      <c r="C110" s="175"/>
      <c r="D110" s="175"/>
      <c r="E110" s="176"/>
      <c r="F110" s="177"/>
      <c r="G110" s="177"/>
      <c r="H110" s="176"/>
      <c r="I110" s="176"/>
      <c r="J110" s="169">
        <f t="shared" si="3"/>
        <v>0</v>
      </c>
      <c r="K110" s="170" t="str">
        <f t="shared" si="4"/>
        <v/>
      </c>
      <c r="L110" s="171"/>
    </row>
    <row r="111" spans="1:12" x14ac:dyDescent="0.2">
      <c r="A111" s="178"/>
      <c r="B111" s="179"/>
      <c r="C111" s="180"/>
      <c r="D111" s="180"/>
      <c r="E111" s="181"/>
      <c r="F111" s="182"/>
      <c r="G111" s="182"/>
      <c r="H111" s="181"/>
      <c r="I111" s="181"/>
      <c r="J111" s="163">
        <f t="shared" si="3"/>
        <v>0</v>
      </c>
      <c r="K111" s="164" t="str">
        <f t="shared" si="4"/>
        <v/>
      </c>
      <c r="L111" s="165"/>
    </row>
    <row r="112" spans="1:12" x14ac:dyDescent="0.2">
      <c r="A112" s="173"/>
      <c r="B112" s="174"/>
      <c r="C112" s="175"/>
      <c r="D112" s="175"/>
      <c r="E112" s="176"/>
      <c r="F112" s="177"/>
      <c r="G112" s="177"/>
      <c r="H112" s="176"/>
      <c r="I112" s="176"/>
      <c r="J112" s="169">
        <f t="shared" si="3"/>
        <v>0</v>
      </c>
      <c r="K112" s="170" t="str">
        <f t="shared" si="4"/>
        <v/>
      </c>
      <c r="L112" s="171"/>
    </row>
    <row r="113" spans="1:12" x14ac:dyDescent="0.2">
      <c r="A113" s="178"/>
      <c r="B113" s="179"/>
      <c r="C113" s="180"/>
      <c r="D113" s="180"/>
      <c r="E113" s="181"/>
      <c r="F113" s="182"/>
      <c r="G113" s="182"/>
      <c r="H113" s="181"/>
      <c r="I113" s="181"/>
      <c r="J113" s="163">
        <f t="shared" si="3"/>
        <v>0</v>
      </c>
      <c r="K113" s="164" t="str">
        <f t="shared" si="4"/>
        <v/>
      </c>
      <c r="L113" s="165"/>
    </row>
    <row r="114" spans="1:12" x14ac:dyDescent="0.2">
      <c r="A114" s="173"/>
      <c r="B114" s="174"/>
      <c r="C114" s="175"/>
      <c r="D114" s="175"/>
      <c r="E114" s="176"/>
      <c r="F114" s="177"/>
      <c r="G114" s="177"/>
      <c r="H114" s="176"/>
      <c r="I114" s="176"/>
      <c r="J114" s="169">
        <f t="shared" si="3"/>
        <v>0</v>
      </c>
      <c r="K114" s="170" t="str">
        <f t="shared" si="4"/>
        <v/>
      </c>
      <c r="L114" s="171"/>
    </row>
    <row r="115" spans="1:12" x14ac:dyDescent="0.2">
      <c r="A115" s="178"/>
      <c r="B115" s="179"/>
      <c r="C115" s="180"/>
      <c r="D115" s="180"/>
      <c r="E115" s="181"/>
      <c r="F115" s="182"/>
      <c r="G115" s="182"/>
      <c r="H115" s="181"/>
      <c r="I115" s="181"/>
      <c r="J115" s="163">
        <f t="shared" si="3"/>
        <v>0</v>
      </c>
      <c r="K115" s="164" t="str">
        <f t="shared" si="4"/>
        <v/>
      </c>
      <c r="L115" s="165"/>
    </row>
    <row r="116" spans="1:12" x14ac:dyDescent="0.2">
      <c r="A116" s="173"/>
      <c r="B116" s="174"/>
      <c r="C116" s="175"/>
      <c r="D116" s="175"/>
      <c r="E116" s="176"/>
      <c r="F116" s="177"/>
      <c r="G116" s="177"/>
      <c r="H116" s="176"/>
      <c r="I116" s="176"/>
      <c r="J116" s="169">
        <f t="shared" si="3"/>
        <v>0</v>
      </c>
      <c r="K116" s="170" t="str">
        <f t="shared" si="4"/>
        <v/>
      </c>
      <c r="L116" s="171"/>
    </row>
    <row r="117" spans="1:12" x14ac:dyDescent="0.2">
      <c r="A117" s="178"/>
      <c r="B117" s="179"/>
      <c r="C117" s="180"/>
      <c r="D117" s="180"/>
      <c r="E117" s="181"/>
      <c r="F117" s="182"/>
      <c r="G117" s="182"/>
      <c r="H117" s="181"/>
      <c r="I117" s="181"/>
      <c r="J117" s="163">
        <f t="shared" si="3"/>
        <v>0</v>
      </c>
      <c r="K117" s="164" t="str">
        <f t="shared" si="4"/>
        <v/>
      </c>
      <c r="L117" s="165"/>
    </row>
    <row r="118" spans="1:12" x14ac:dyDescent="0.2">
      <c r="A118" s="173"/>
      <c r="B118" s="174"/>
      <c r="C118" s="175"/>
      <c r="D118" s="175"/>
      <c r="E118" s="176"/>
      <c r="F118" s="177"/>
      <c r="G118" s="177"/>
      <c r="H118" s="176"/>
      <c r="I118" s="176"/>
      <c r="J118" s="169">
        <f t="shared" si="3"/>
        <v>0</v>
      </c>
      <c r="K118" s="170" t="str">
        <f t="shared" si="4"/>
        <v/>
      </c>
      <c r="L118" s="171"/>
    </row>
    <row r="119" spans="1:12" x14ac:dyDescent="0.2">
      <c r="A119" s="178"/>
      <c r="B119" s="179"/>
      <c r="C119" s="180"/>
      <c r="D119" s="180"/>
      <c r="E119" s="181"/>
      <c r="F119" s="182"/>
      <c r="G119" s="182"/>
      <c r="H119" s="181"/>
      <c r="I119" s="181"/>
      <c r="J119" s="163">
        <f t="shared" si="3"/>
        <v>0</v>
      </c>
      <c r="K119" s="164" t="str">
        <f t="shared" si="4"/>
        <v/>
      </c>
      <c r="L119" s="165"/>
    </row>
    <row r="120" spans="1:12" x14ac:dyDescent="0.2">
      <c r="A120" s="173"/>
      <c r="B120" s="174"/>
      <c r="C120" s="175"/>
      <c r="D120" s="175"/>
      <c r="E120" s="176"/>
      <c r="F120" s="177"/>
      <c r="G120" s="177"/>
      <c r="H120" s="176"/>
      <c r="I120" s="176"/>
      <c r="J120" s="169">
        <f t="shared" si="3"/>
        <v>0</v>
      </c>
      <c r="K120" s="170" t="str">
        <f t="shared" si="4"/>
        <v/>
      </c>
      <c r="L120" s="171"/>
    </row>
    <row r="121" spans="1:12" x14ac:dyDescent="0.2">
      <c r="A121" s="178"/>
      <c r="B121" s="179"/>
      <c r="C121" s="180"/>
      <c r="D121" s="180"/>
      <c r="E121" s="181"/>
      <c r="F121" s="182"/>
      <c r="G121" s="182"/>
      <c r="H121" s="181"/>
      <c r="I121" s="181"/>
      <c r="J121" s="163">
        <f t="shared" si="3"/>
        <v>0</v>
      </c>
      <c r="K121" s="164" t="str">
        <f t="shared" si="4"/>
        <v/>
      </c>
      <c r="L121" s="165"/>
    </row>
    <row r="122" spans="1:12" x14ac:dyDescent="0.2">
      <c r="A122" s="173"/>
      <c r="B122" s="174"/>
      <c r="C122" s="175"/>
      <c r="D122" s="175"/>
      <c r="E122" s="176"/>
      <c r="F122" s="177"/>
      <c r="G122" s="177"/>
      <c r="H122" s="176"/>
      <c r="I122" s="176"/>
      <c r="J122" s="169">
        <f t="shared" si="3"/>
        <v>0</v>
      </c>
      <c r="K122" s="170" t="str">
        <f t="shared" si="4"/>
        <v/>
      </c>
      <c r="L122" s="171"/>
    </row>
    <row r="123" spans="1:12" x14ac:dyDescent="0.2">
      <c r="A123" s="178"/>
      <c r="B123" s="179"/>
      <c r="C123" s="180"/>
      <c r="D123" s="180"/>
      <c r="E123" s="181"/>
      <c r="F123" s="182"/>
      <c r="G123" s="182"/>
      <c r="H123" s="181"/>
      <c r="I123" s="181"/>
      <c r="J123" s="163">
        <f t="shared" si="3"/>
        <v>0</v>
      </c>
      <c r="K123" s="164" t="str">
        <f t="shared" si="4"/>
        <v/>
      </c>
      <c r="L123" s="165"/>
    </row>
    <row r="124" spans="1:12" x14ac:dyDescent="0.2">
      <c r="A124" s="173"/>
      <c r="B124" s="174"/>
      <c r="C124" s="175"/>
      <c r="D124" s="175"/>
      <c r="E124" s="176"/>
      <c r="F124" s="177"/>
      <c r="G124" s="177"/>
      <c r="H124" s="176"/>
      <c r="I124" s="176"/>
      <c r="J124" s="169">
        <f t="shared" si="3"/>
        <v>0</v>
      </c>
      <c r="K124" s="170" t="str">
        <f t="shared" si="4"/>
        <v/>
      </c>
      <c r="L124" s="171"/>
    </row>
    <row r="125" spans="1:12" x14ac:dyDescent="0.2">
      <c r="A125" s="178"/>
      <c r="B125" s="179"/>
      <c r="C125" s="180"/>
      <c r="D125" s="180"/>
      <c r="E125" s="181"/>
      <c r="F125" s="182"/>
      <c r="G125" s="182"/>
      <c r="H125" s="181"/>
      <c r="I125" s="181"/>
      <c r="J125" s="163">
        <f t="shared" si="3"/>
        <v>0</v>
      </c>
      <c r="K125" s="164" t="str">
        <f t="shared" si="4"/>
        <v/>
      </c>
      <c r="L125" s="165"/>
    </row>
    <row r="126" spans="1:12" x14ac:dyDescent="0.2">
      <c r="A126" s="173"/>
      <c r="B126" s="174"/>
      <c r="C126" s="175"/>
      <c r="D126" s="175"/>
      <c r="E126" s="176"/>
      <c r="F126" s="177"/>
      <c r="G126" s="177"/>
      <c r="H126" s="176"/>
      <c r="I126" s="176"/>
      <c r="J126" s="169">
        <f t="shared" si="3"/>
        <v>0</v>
      </c>
      <c r="K126" s="170" t="str">
        <f t="shared" si="4"/>
        <v/>
      </c>
      <c r="L126" s="171"/>
    </row>
    <row r="127" spans="1:12" x14ac:dyDescent="0.2">
      <c r="A127" s="178"/>
      <c r="B127" s="179"/>
      <c r="C127" s="180"/>
      <c r="D127" s="180"/>
      <c r="E127" s="181"/>
      <c r="F127" s="182"/>
      <c r="G127" s="182"/>
      <c r="H127" s="181"/>
      <c r="I127" s="181"/>
      <c r="J127" s="163">
        <f t="shared" si="3"/>
        <v>0</v>
      </c>
      <c r="K127" s="164" t="str">
        <f t="shared" si="4"/>
        <v/>
      </c>
      <c r="L127" s="165"/>
    </row>
    <row r="128" spans="1:12" x14ac:dyDescent="0.2">
      <c r="A128" s="173"/>
      <c r="B128" s="174"/>
      <c r="C128" s="175"/>
      <c r="D128" s="175"/>
      <c r="E128" s="176"/>
      <c r="F128" s="177"/>
      <c r="G128" s="177"/>
      <c r="H128" s="176"/>
      <c r="I128" s="176"/>
      <c r="J128" s="169">
        <f t="shared" si="3"/>
        <v>0</v>
      </c>
      <c r="K128" s="170" t="str">
        <f t="shared" si="4"/>
        <v/>
      </c>
      <c r="L128" s="171"/>
    </row>
    <row r="129" spans="1:12" x14ac:dyDescent="0.2">
      <c r="A129" s="178"/>
      <c r="B129" s="179"/>
      <c r="C129" s="180"/>
      <c r="D129" s="180"/>
      <c r="E129" s="181"/>
      <c r="F129" s="182"/>
      <c r="G129" s="182"/>
      <c r="H129" s="181"/>
      <c r="I129" s="181"/>
      <c r="J129" s="163">
        <f t="shared" si="3"/>
        <v>0</v>
      </c>
      <c r="K129" s="164" t="str">
        <f t="shared" si="4"/>
        <v/>
      </c>
      <c r="L129" s="165"/>
    </row>
    <row r="130" spans="1:12" x14ac:dyDescent="0.2">
      <c r="A130" s="173"/>
      <c r="B130" s="174"/>
      <c r="C130" s="175"/>
      <c r="D130" s="175"/>
      <c r="E130" s="176"/>
      <c r="F130" s="177"/>
      <c r="G130" s="177"/>
      <c r="H130" s="176"/>
      <c r="I130" s="176"/>
      <c r="J130" s="169">
        <f t="shared" si="3"/>
        <v>0</v>
      </c>
      <c r="K130" s="170" t="str">
        <f t="shared" si="4"/>
        <v/>
      </c>
      <c r="L130" s="171"/>
    </row>
    <row r="131" spans="1:12" x14ac:dyDescent="0.2">
      <c r="A131" s="178"/>
      <c r="B131" s="179"/>
      <c r="C131" s="180"/>
      <c r="D131" s="180"/>
      <c r="E131" s="181"/>
      <c r="F131" s="182"/>
      <c r="G131" s="182"/>
      <c r="H131" s="181"/>
      <c r="I131" s="181"/>
      <c r="J131" s="163">
        <f t="shared" si="3"/>
        <v>0</v>
      </c>
      <c r="K131" s="164" t="str">
        <f t="shared" si="4"/>
        <v/>
      </c>
      <c r="L131" s="165"/>
    </row>
    <row r="132" spans="1:12" x14ac:dyDescent="0.2">
      <c r="A132" s="173"/>
      <c r="B132" s="174"/>
      <c r="C132" s="175"/>
      <c r="D132" s="175"/>
      <c r="E132" s="176"/>
      <c r="F132" s="177"/>
      <c r="G132" s="177"/>
      <c r="H132" s="176"/>
      <c r="I132" s="176"/>
      <c r="J132" s="169">
        <f t="shared" si="3"/>
        <v>0</v>
      </c>
      <c r="K132" s="170" t="str">
        <f t="shared" si="4"/>
        <v/>
      </c>
      <c r="L132" s="171"/>
    </row>
    <row r="133" spans="1:12" x14ac:dyDescent="0.2">
      <c r="A133" s="178"/>
      <c r="B133" s="179"/>
      <c r="C133" s="180"/>
      <c r="D133" s="180"/>
      <c r="E133" s="181"/>
      <c r="F133" s="182"/>
      <c r="G133" s="182"/>
      <c r="H133" s="181"/>
      <c r="I133" s="181"/>
      <c r="J133" s="163">
        <f t="shared" ref="J133:J196" si="5">IFERROR(F133-E133-G133-H133-I133,"")</f>
        <v>0</v>
      </c>
      <c r="K133" s="164" t="str">
        <f t="shared" ref="K133:K196" si="6">IFERROR(J133/F133,"")</f>
        <v/>
      </c>
      <c r="L133" s="165"/>
    </row>
    <row r="134" spans="1:12" x14ac:dyDescent="0.2">
      <c r="A134" s="173"/>
      <c r="B134" s="174"/>
      <c r="C134" s="175"/>
      <c r="D134" s="175"/>
      <c r="E134" s="176"/>
      <c r="F134" s="177"/>
      <c r="G134" s="177"/>
      <c r="H134" s="176"/>
      <c r="I134" s="176"/>
      <c r="J134" s="169">
        <f t="shared" si="5"/>
        <v>0</v>
      </c>
      <c r="K134" s="170" t="str">
        <f t="shared" si="6"/>
        <v/>
      </c>
      <c r="L134" s="171"/>
    </row>
    <row r="135" spans="1:12" x14ac:dyDescent="0.2">
      <c r="A135" s="178"/>
      <c r="B135" s="179"/>
      <c r="C135" s="180"/>
      <c r="D135" s="180"/>
      <c r="E135" s="181"/>
      <c r="F135" s="182"/>
      <c r="G135" s="182"/>
      <c r="H135" s="181"/>
      <c r="I135" s="181"/>
      <c r="J135" s="163">
        <f t="shared" si="5"/>
        <v>0</v>
      </c>
      <c r="K135" s="164" t="str">
        <f t="shared" si="6"/>
        <v/>
      </c>
      <c r="L135" s="165"/>
    </row>
    <row r="136" spans="1:12" x14ac:dyDescent="0.2">
      <c r="A136" s="173"/>
      <c r="B136" s="174"/>
      <c r="C136" s="175"/>
      <c r="D136" s="175"/>
      <c r="E136" s="176"/>
      <c r="F136" s="177"/>
      <c r="G136" s="177"/>
      <c r="H136" s="176"/>
      <c r="I136" s="176"/>
      <c r="J136" s="169">
        <f t="shared" si="5"/>
        <v>0</v>
      </c>
      <c r="K136" s="170" t="str">
        <f t="shared" si="6"/>
        <v/>
      </c>
      <c r="L136" s="171"/>
    </row>
    <row r="137" spans="1:12" x14ac:dyDescent="0.2">
      <c r="A137" s="178"/>
      <c r="B137" s="179"/>
      <c r="C137" s="180"/>
      <c r="D137" s="180"/>
      <c r="E137" s="181"/>
      <c r="F137" s="182"/>
      <c r="G137" s="182"/>
      <c r="H137" s="181"/>
      <c r="I137" s="181"/>
      <c r="J137" s="163">
        <f t="shared" si="5"/>
        <v>0</v>
      </c>
      <c r="K137" s="164" t="str">
        <f t="shared" si="6"/>
        <v/>
      </c>
      <c r="L137" s="165"/>
    </row>
    <row r="138" spans="1:12" x14ac:dyDescent="0.2">
      <c r="A138" s="173"/>
      <c r="B138" s="174"/>
      <c r="C138" s="175"/>
      <c r="D138" s="175"/>
      <c r="E138" s="176"/>
      <c r="F138" s="177"/>
      <c r="G138" s="177"/>
      <c r="H138" s="176"/>
      <c r="I138" s="176"/>
      <c r="J138" s="169">
        <f t="shared" si="5"/>
        <v>0</v>
      </c>
      <c r="K138" s="170" t="str">
        <f t="shared" si="6"/>
        <v/>
      </c>
      <c r="L138" s="171"/>
    </row>
    <row r="139" spans="1:12" x14ac:dyDescent="0.2">
      <c r="A139" s="178"/>
      <c r="B139" s="179"/>
      <c r="C139" s="180"/>
      <c r="D139" s="180"/>
      <c r="E139" s="181"/>
      <c r="F139" s="182"/>
      <c r="G139" s="182"/>
      <c r="H139" s="181"/>
      <c r="I139" s="181"/>
      <c r="J139" s="163">
        <f t="shared" si="5"/>
        <v>0</v>
      </c>
      <c r="K139" s="164" t="str">
        <f t="shared" si="6"/>
        <v/>
      </c>
      <c r="L139" s="165"/>
    </row>
    <row r="140" spans="1:12" x14ac:dyDescent="0.2">
      <c r="A140" s="173"/>
      <c r="B140" s="174"/>
      <c r="C140" s="175"/>
      <c r="D140" s="175"/>
      <c r="E140" s="176"/>
      <c r="F140" s="177"/>
      <c r="G140" s="177"/>
      <c r="H140" s="176"/>
      <c r="I140" s="176"/>
      <c r="J140" s="169">
        <f t="shared" si="5"/>
        <v>0</v>
      </c>
      <c r="K140" s="170" t="str">
        <f t="shared" si="6"/>
        <v/>
      </c>
      <c r="L140" s="171"/>
    </row>
    <row r="141" spans="1:12" x14ac:dyDescent="0.2">
      <c r="A141" s="178"/>
      <c r="B141" s="179"/>
      <c r="C141" s="180"/>
      <c r="D141" s="180"/>
      <c r="E141" s="181"/>
      <c r="F141" s="182"/>
      <c r="G141" s="182"/>
      <c r="H141" s="181"/>
      <c r="I141" s="181"/>
      <c r="J141" s="163">
        <f t="shared" si="5"/>
        <v>0</v>
      </c>
      <c r="K141" s="164" t="str">
        <f t="shared" si="6"/>
        <v/>
      </c>
      <c r="L141" s="165"/>
    </row>
    <row r="142" spans="1:12" x14ac:dyDescent="0.2">
      <c r="A142" s="173"/>
      <c r="B142" s="174"/>
      <c r="C142" s="175"/>
      <c r="D142" s="175"/>
      <c r="E142" s="176"/>
      <c r="F142" s="177"/>
      <c r="G142" s="177"/>
      <c r="H142" s="176"/>
      <c r="I142" s="176"/>
      <c r="J142" s="169">
        <f t="shared" si="5"/>
        <v>0</v>
      </c>
      <c r="K142" s="170" t="str">
        <f t="shared" si="6"/>
        <v/>
      </c>
      <c r="L142" s="171"/>
    </row>
    <row r="143" spans="1:12" x14ac:dyDescent="0.2">
      <c r="A143" s="178"/>
      <c r="B143" s="179"/>
      <c r="C143" s="180"/>
      <c r="D143" s="180"/>
      <c r="E143" s="181"/>
      <c r="F143" s="182"/>
      <c r="G143" s="182"/>
      <c r="H143" s="181"/>
      <c r="I143" s="181"/>
      <c r="J143" s="163">
        <f t="shared" si="5"/>
        <v>0</v>
      </c>
      <c r="K143" s="164" t="str">
        <f t="shared" si="6"/>
        <v/>
      </c>
      <c r="L143" s="165"/>
    </row>
    <row r="144" spans="1:12" x14ac:dyDescent="0.2">
      <c r="A144" s="173"/>
      <c r="B144" s="174"/>
      <c r="C144" s="175"/>
      <c r="D144" s="175"/>
      <c r="E144" s="176"/>
      <c r="F144" s="177"/>
      <c r="G144" s="177"/>
      <c r="H144" s="176"/>
      <c r="I144" s="176"/>
      <c r="J144" s="169">
        <f t="shared" si="5"/>
        <v>0</v>
      </c>
      <c r="K144" s="170" t="str">
        <f t="shared" si="6"/>
        <v/>
      </c>
      <c r="L144" s="171"/>
    </row>
    <row r="145" spans="1:12" x14ac:dyDescent="0.2">
      <c r="A145" s="178"/>
      <c r="B145" s="179"/>
      <c r="C145" s="180"/>
      <c r="D145" s="180"/>
      <c r="E145" s="181"/>
      <c r="F145" s="182"/>
      <c r="G145" s="182"/>
      <c r="H145" s="181"/>
      <c r="I145" s="181"/>
      <c r="J145" s="163">
        <f t="shared" si="5"/>
        <v>0</v>
      </c>
      <c r="K145" s="164" t="str">
        <f t="shared" si="6"/>
        <v/>
      </c>
      <c r="L145" s="165"/>
    </row>
    <row r="146" spans="1:12" x14ac:dyDescent="0.2">
      <c r="A146" s="173"/>
      <c r="B146" s="174"/>
      <c r="C146" s="175"/>
      <c r="D146" s="175"/>
      <c r="E146" s="176"/>
      <c r="F146" s="177"/>
      <c r="G146" s="177"/>
      <c r="H146" s="176"/>
      <c r="I146" s="176"/>
      <c r="J146" s="169">
        <f t="shared" si="5"/>
        <v>0</v>
      </c>
      <c r="K146" s="170" t="str">
        <f t="shared" si="6"/>
        <v/>
      </c>
      <c r="L146" s="171"/>
    </row>
    <row r="147" spans="1:12" x14ac:dyDescent="0.2">
      <c r="A147" s="178"/>
      <c r="B147" s="179"/>
      <c r="C147" s="180"/>
      <c r="D147" s="180"/>
      <c r="E147" s="181"/>
      <c r="F147" s="182"/>
      <c r="G147" s="182"/>
      <c r="H147" s="181"/>
      <c r="I147" s="181"/>
      <c r="J147" s="163">
        <f t="shared" si="5"/>
        <v>0</v>
      </c>
      <c r="K147" s="164" t="str">
        <f t="shared" si="6"/>
        <v/>
      </c>
      <c r="L147" s="165"/>
    </row>
    <row r="148" spans="1:12" x14ac:dyDescent="0.2">
      <c r="A148" s="173"/>
      <c r="B148" s="174"/>
      <c r="C148" s="175"/>
      <c r="D148" s="175"/>
      <c r="E148" s="176"/>
      <c r="F148" s="177"/>
      <c r="G148" s="177"/>
      <c r="H148" s="176"/>
      <c r="I148" s="176"/>
      <c r="J148" s="169">
        <f t="shared" si="5"/>
        <v>0</v>
      </c>
      <c r="K148" s="170" t="str">
        <f t="shared" si="6"/>
        <v/>
      </c>
      <c r="L148" s="171"/>
    </row>
    <row r="149" spans="1:12" x14ac:dyDescent="0.2">
      <c r="A149" s="178"/>
      <c r="B149" s="179"/>
      <c r="C149" s="180"/>
      <c r="D149" s="180"/>
      <c r="E149" s="181"/>
      <c r="F149" s="182"/>
      <c r="G149" s="182"/>
      <c r="H149" s="181"/>
      <c r="I149" s="181"/>
      <c r="J149" s="163">
        <f t="shared" si="5"/>
        <v>0</v>
      </c>
      <c r="K149" s="164" t="str">
        <f t="shared" si="6"/>
        <v/>
      </c>
      <c r="L149" s="165"/>
    </row>
    <row r="150" spans="1:12" x14ac:dyDescent="0.2">
      <c r="A150" s="173"/>
      <c r="B150" s="174"/>
      <c r="C150" s="175"/>
      <c r="D150" s="175"/>
      <c r="E150" s="176"/>
      <c r="F150" s="177"/>
      <c r="G150" s="177"/>
      <c r="H150" s="176"/>
      <c r="I150" s="176"/>
      <c r="J150" s="169">
        <f t="shared" si="5"/>
        <v>0</v>
      </c>
      <c r="K150" s="170" t="str">
        <f t="shared" si="6"/>
        <v/>
      </c>
      <c r="L150" s="171"/>
    </row>
    <row r="151" spans="1:12" x14ac:dyDescent="0.2">
      <c r="A151" s="178"/>
      <c r="B151" s="179"/>
      <c r="C151" s="180"/>
      <c r="D151" s="180"/>
      <c r="E151" s="181"/>
      <c r="F151" s="182"/>
      <c r="G151" s="182"/>
      <c r="H151" s="181"/>
      <c r="I151" s="181"/>
      <c r="J151" s="163">
        <f t="shared" si="5"/>
        <v>0</v>
      </c>
      <c r="K151" s="164" t="str">
        <f t="shared" si="6"/>
        <v/>
      </c>
      <c r="L151" s="165"/>
    </row>
    <row r="152" spans="1:12" x14ac:dyDescent="0.2">
      <c r="A152" s="173"/>
      <c r="B152" s="174"/>
      <c r="C152" s="175"/>
      <c r="D152" s="175"/>
      <c r="E152" s="176"/>
      <c r="F152" s="177"/>
      <c r="G152" s="177"/>
      <c r="H152" s="176"/>
      <c r="I152" s="176"/>
      <c r="J152" s="169">
        <f t="shared" si="5"/>
        <v>0</v>
      </c>
      <c r="K152" s="170" t="str">
        <f t="shared" si="6"/>
        <v/>
      </c>
      <c r="L152" s="171"/>
    </row>
    <row r="153" spans="1:12" x14ac:dyDescent="0.2">
      <c r="A153" s="178"/>
      <c r="B153" s="179"/>
      <c r="C153" s="180"/>
      <c r="D153" s="180"/>
      <c r="E153" s="181"/>
      <c r="F153" s="182"/>
      <c r="G153" s="182"/>
      <c r="H153" s="181"/>
      <c r="I153" s="181"/>
      <c r="J153" s="163">
        <f t="shared" si="5"/>
        <v>0</v>
      </c>
      <c r="K153" s="164" t="str">
        <f t="shared" si="6"/>
        <v/>
      </c>
      <c r="L153" s="165"/>
    </row>
    <row r="154" spans="1:12" x14ac:dyDescent="0.2">
      <c r="A154" s="173"/>
      <c r="B154" s="174"/>
      <c r="C154" s="175"/>
      <c r="D154" s="175"/>
      <c r="E154" s="176"/>
      <c r="F154" s="177"/>
      <c r="G154" s="177"/>
      <c r="H154" s="176"/>
      <c r="I154" s="176"/>
      <c r="J154" s="169">
        <f t="shared" si="5"/>
        <v>0</v>
      </c>
      <c r="K154" s="170" t="str">
        <f t="shared" si="6"/>
        <v/>
      </c>
      <c r="L154" s="171"/>
    </row>
    <row r="155" spans="1:12" x14ac:dyDescent="0.2">
      <c r="A155" s="178"/>
      <c r="B155" s="179"/>
      <c r="C155" s="180"/>
      <c r="D155" s="180"/>
      <c r="E155" s="181"/>
      <c r="F155" s="182"/>
      <c r="G155" s="182"/>
      <c r="H155" s="181"/>
      <c r="I155" s="181"/>
      <c r="J155" s="163">
        <f t="shared" si="5"/>
        <v>0</v>
      </c>
      <c r="K155" s="164" t="str">
        <f t="shared" si="6"/>
        <v/>
      </c>
      <c r="L155" s="165"/>
    </row>
    <row r="156" spans="1:12" x14ac:dyDescent="0.2">
      <c r="A156" s="173"/>
      <c r="B156" s="174"/>
      <c r="C156" s="175"/>
      <c r="D156" s="175"/>
      <c r="E156" s="176"/>
      <c r="F156" s="177"/>
      <c r="G156" s="177"/>
      <c r="H156" s="176"/>
      <c r="I156" s="176"/>
      <c r="J156" s="169">
        <f t="shared" si="5"/>
        <v>0</v>
      </c>
      <c r="K156" s="170" t="str">
        <f t="shared" si="6"/>
        <v/>
      </c>
      <c r="L156" s="171"/>
    </row>
    <row r="157" spans="1:12" x14ac:dyDescent="0.2">
      <c r="A157" s="178"/>
      <c r="B157" s="179"/>
      <c r="C157" s="180"/>
      <c r="D157" s="180"/>
      <c r="E157" s="181"/>
      <c r="F157" s="182"/>
      <c r="G157" s="182"/>
      <c r="H157" s="181"/>
      <c r="I157" s="181"/>
      <c r="J157" s="163">
        <f t="shared" si="5"/>
        <v>0</v>
      </c>
      <c r="K157" s="164" t="str">
        <f t="shared" si="6"/>
        <v/>
      </c>
      <c r="L157" s="165"/>
    </row>
    <row r="158" spans="1:12" x14ac:dyDescent="0.2">
      <c r="A158" s="173"/>
      <c r="B158" s="174"/>
      <c r="C158" s="175"/>
      <c r="D158" s="175"/>
      <c r="E158" s="176"/>
      <c r="F158" s="177"/>
      <c r="G158" s="177"/>
      <c r="H158" s="176"/>
      <c r="I158" s="176"/>
      <c r="J158" s="169">
        <f t="shared" si="5"/>
        <v>0</v>
      </c>
      <c r="K158" s="170" t="str">
        <f t="shared" si="6"/>
        <v/>
      </c>
      <c r="L158" s="171"/>
    </row>
    <row r="159" spans="1:12" x14ac:dyDescent="0.2">
      <c r="A159" s="178"/>
      <c r="B159" s="179"/>
      <c r="C159" s="180"/>
      <c r="D159" s="180"/>
      <c r="E159" s="181"/>
      <c r="F159" s="182"/>
      <c r="G159" s="182"/>
      <c r="H159" s="181"/>
      <c r="I159" s="181"/>
      <c r="J159" s="163">
        <f t="shared" si="5"/>
        <v>0</v>
      </c>
      <c r="K159" s="164" t="str">
        <f t="shared" si="6"/>
        <v/>
      </c>
      <c r="L159" s="165"/>
    </row>
    <row r="160" spans="1:12" x14ac:dyDescent="0.2">
      <c r="A160" s="173"/>
      <c r="B160" s="174"/>
      <c r="C160" s="175"/>
      <c r="D160" s="175"/>
      <c r="E160" s="176"/>
      <c r="F160" s="177"/>
      <c r="G160" s="177"/>
      <c r="H160" s="176"/>
      <c r="I160" s="176"/>
      <c r="J160" s="169">
        <f t="shared" si="5"/>
        <v>0</v>
      </c>
      <c r="K160" s="170" t="str">
        <f t="shared" si="6"/>
        <v/>
      </c>
      <c r="L160" s="171"/>
    </row>
    <row r="161" spans="1:12" x14ac:dyDescent="0.2">
      <c r="A161" s="178"/>
      <c r="B161" s="179"/>
      <c r="C161" s="180"/>
      <c r="D161" s="180"/>
      <c r="E161" s="181"/>
      <c r="F161" s="182"/>
      <c r="G161" s="182"/>
      <c r="H161" s="181"/>
      <c r="I161" s="181"/>
      <c r="J161" s="163">
        <f t="shared" si="5"/>
        <v>0</v>
      </c>
      <c r="K161" s="164" t="str">
        <f t="shared" si="6"/>
        <v/>
      </c>
      <c r="L161" s="165"/>
    </row>
    <row r="162" spans="1:12" x14ac:dyDescent="0.2">
      <c r="A162" s="173"/>
      <c r="B162" s="174"/>
      <c r="C162" s="175"/>
      <c r="D162" s="175"/>
      <c r="E162" s="176"/>
      <c r="F162" s="177"/>
      <c r="G162" s="177"/>
      <c r="H162" s="176"/>
      <c r="I162" s="176"/>
      <c r="J162" s="169">
        <f t="shared" si="5"/>
        <v>0</v>
      </c>
      <c r="K162" s="170" t="str">
        <f t="shared" si="6"/>
        <v/>
      </c>
      <c r="L162" s="171"/>
    </row>
    <row r="163" spans="1:12" x14ac:dyDescent="0.2">
      <c r="A163" s="178"/>
      <c r="B163" s="179"/>
      <c r="C163" s="180"/>
      <c r="D163" s="180"/>
      <c r="E163" s="181"/>
      <c r="F163" s="182"/>
      <c r="G163" s="182"/>
      <c r="H163" s="181"/>
      <c r="I163" s="181"/>
      <c r="J163" s="163">
        <f t="shared" si="5"/>
        <v>0</v>
      </c>
      <c r="K163" s="164" t="str">
        <f t="shared" si="6"/>
        <v/>
      </c>
      <c r="L163" s="165"/>
    </row>
    <row r="164" spans="1:12" x14ac:dyDescent="0.2">
      <c r="A164" s="173"/>
      <c r="B164" s="174"/>
      <c r="C164" s="175"/>
      <c r="D164" s="175"/>
      <c r="E164" s="176"/>
      <c r="F164" s="177"/>
      <c r="G164" s="177"/>
      <c r="H164" s="176"/>
      <c r="I164" s="176"/>
      <c r="J164" s="169">
        <f t="shared" si="5"/>
        <v>0</v>
      </c>
      <c r="K164" s="170" t="str">
        <f t="shared" si="6"/>
        <v/>
      </c>
      <c r="L164" s="171"/>
    </row>
    <row r="165" spans="1:12" x14ac:dyDescent="0.2">
      <c r="A165" s="178"/>
      <c r="B165" s="179"/>
      <c r="C165" s="180"/>
      <c r="D165" s="180"/>
      <c r="E165" s="181"/>
      <c r="F165" s="182"/>
      <c r="G165" s="182"/>
      <c r="H165" s="181"/>
      <c r="I165" s="181"/>
      <c r="J165" s="163">
        <f t="shared" si="5"/>
        <v>0</v>
      </c>
      <c r="K165" s="164" t="str">
        <f t="shared" si="6"/>
        <v/>
      </c>
      <c r="L165" s="165"/>
    </row>
    <row r="166" spans="1:12" x14ac:dyDescent="0.2">
      <c r="A166" s="173"/>
      <c r="B166" s="174"/>
      <c r="C166" s="175"/>
      <c r="D166" s="175"/>
      <c r="E166" s="176"/>
      <c r="F166" s="177"/>
      <c r="G166" s="177"/>
      <c r="H166" s="176"/>
      <c r="I166" s="176"/>
      <c r="J166" s="169">
        <f t="shared" si="5"/>
        <v>0</v>
      </c>
      <c r="K166" s="170" t="str">
        <f t="shared" si="6"/>
        <v/>
      </c>
      <c r="L166" s="171"/>
    </row>
    <row r="167" spans="1:12" x14ac:dyDescent="0.2">
      <c r="A167" s="178"/>
      <c r="B167" s="179"/>
      <c r="C167" s="180"/>
      <c r="D167" s="180"/>
      <c r="E167" s="181"/>
      <c r="F167" s="182"/>
      <c r="G167" s="182"/>
      <c r="H167" s="181"/>
      <c r="I167" s="181"/>
      <c r="J167" s="163">
        <f t="shared" si="5"/>
        <v>0</v>
      </c>
      <c r="K167" s="164" t="str">
        <f t="shared" si="6"/>
        <v/>
      </c>
      <c r="L167" s="165"/>
    </row>
    <row r="168" spans="1:12" x14ac:dyDescent="0.2">
      <c r="A168" s="173"/>
      <c r="B168" s="174"/>
      <c r="C168" s="175"/>
      <c r="D168" s="175"/>
      <c r="E168" s="176"/>
      <c r="F168" s="177"/>
      <c r="G168" s="177"/>
      <c r="H168" s="176"/>
      <c r="I168" s="176"/>
      <c r="J168" s="169">
        <f t="shared" si="5"/>
        <v>0</v>
      </c>
      <c r="K168" s="170" t="str">
        <f t="shared" si="6"/>
        <v/>
      </c>
      <c r="L168" s="171"/>
    </row>
    <row r="169" spans="1:12" x14ac:dyDescent="0.2">
      <c r="A169" s="178"/>
      <c r="B169" s="179"/>
      <c r="C169" s="180"/>
      <c r="D169" s="180"/>
      <c r="E169" s="181"/>
      <c r="F169" s="182"/>
      <c r="G169" s="182"/>
      <c r="H169" s="181"/>
      <c r="I169" s="181"/>
      <c r="J169" s="163">
        <f t="shared" si="5"/>
        <v>0</v>
      </c>
      <c r="K169" s="164" t="str">
        <f t="shared" si="6"/>
        <v/>
      </c>
      <c r="L169" s="165"/>
    </row>
    <row r="170" spans="1:12" x14ac:dyDescent="0.2">
      <c r="A170" s="173"/>
      <c r="B170" s="174"/>
      <c r="C170" s="175"/>
      <c r="D170" s="175"/>
      <c r="E170" s="176"/>
      <c r="F170" s="177"/>
      <c r="G170" s="177"/>
      <c r="H170" s="176"/>
      <c r="I170" s="176"/>
      <c r="J170" s="169">
        <f t="shared" si="5"/>
        <v>0</v>
      </c>
      <c r="K170" s="170" t="str">
        <f t="shared" si="6"/>
        <v/>
      </c>
      <c r="L170" s="171"/>
    </row>
    <row r="171" spans="1:12" x14ac:dyDescent="0.2">
      <c r="A171" s="178"/>
      <c r="B171" s="179"/>
      <c r="C171" s="180"/>
      <c r="D171" s="180"/>
      <c r="E171" s="181"/>
      <c r="F171" s="182"/>
      <c r="G171" s="182"/>
      <c r="H171" s="181"/>
      <c r="I171" s="181"/>
      <c r="J171" s="163">
        <f t="shared" si="5"/>
        <v>0</v>
      </c>
      <c r="K171" s="164" t="str">
        <f t="shared" si="6"/>
        <v/>
      </c>
      <c r="L171" s="165"/>
    </row>
    <row r="172" spans="1:12" x14ac:dyDescent="0.2">
      <c r="A172" s="173"/>
      <c r="B172" s="174"/>
      <c r="C172" s="175"/>
      <c r="D172" s="175"/>
      <c r="E172" s="176"/>
      <c r="F172" s="177"/>
      <c r="G172" s="177"/>
      <c r="H172" s="176"/>
      <c r="I172" s="176"/>
      <c r="J172" s="169">
        <f t="shared" si="5"/>
        <v>0</v>
      </c>
      <c r="K172" s="170" t="str">
        <f t="shared" si="6"/>
        <v/>
      </c>
      <c r="L172" s="171"/>
    </row>
    <row r="173" spans="1:12" x14ac:dyDescent="0.2">
      <c r="A173" s="178"/>
      <c r="B173" s="179"/>
      <c r="C173" s="180"/>
      <c r="D173" s="180"/>
      <c r="E173" s="181"/>
      <c r="F173" s="182"/>
      <c r="G173" s="182"/>
      <c r="H173" s="181"/>
      <c r="I173" s="181"/>
      <c r="J173" s="163">
        <f t="shared" si="5"/>
        <v>0</v>
      </c>
      <c r="K173" s="164" t="str">
        <f t="shared" si="6"/>
        <v/>
      </c>
      <c r="L173" s="165"/>
    </row>
    <row r="174" spans="1:12" x14ac:dyDescent="0.2">
      <c r="A174" s="173"/>
      <c r="B174" s="174"/>
      <c r="C174" s="175"/>
      <c r="D174" s="175"/>
      <c r="E174" s="176"/>
      <c r="F174" s="177"/>
      <c r="G174" s="177"/>
      <c r="H174" s="176"/>
      <c r="I174" s="176"/>
      <c r="J174" s="169">
        <f t="shared" si="5"/>
        <v>0</v>
      </c>
      <c r="K174" s="170" t="str">
        <f t="shared" si="6"/>
        <v/>
      </c>
      <c r="L174" s="171"/>
    </row>
    <row r="175" spans="1:12" x14ac:dyDescent="0.2">
      <c r="A175" s="178"/>
      <c r="B175" s="179"/>
      <c r="C175" s="180"/>
      <c r="D175" s="180"/>
      <c r="E175" s="181"/>
      <c r="F175" s="182"/>
      <c r="G175" s="182"/>
      <c r="H175" s="181"/>
      <c r="I175" s="181"/>
      <c r="J175" s="163">
        <f t="shared" si="5"/>
        <v>0</v>
      </c>
      <c r="K175" s="164" t="str">
        <f t="shared" si="6"/>
        <v/>
      </c>
      <c r="L175" s="165"/>
    </row>
    <row r="176" spans="1:12" x14ac:dyDescent="0.2">
      <c r="A176" s="173"/>
      <c r="B176" s="174"/>
      <c r="C176" s="175"/>
      <c r="D176" s="175"/>
      <c r="E176" s="176"/>
      <c r="F176" s="177"/>
      <c r="G176" s="177"/>
      <c r="H176" s="176"/>
      <c r="I176" s="176"/>
      <c r="J176" s="169">
        <f t="shared" si="5"/>
        <v>0</v>
      </c>
      <c r="K176" s="170" t="str">
        <f t="shared" si="6"/>
        <v/>
      </c>
      <c r="L176" s="171"/>
    </row>
    <row r="177" spans="1:12" x14ac:dyDescent="0.2">
      <c r="A177" s="178"/>
      <c r="B177" s="179"/>
      <c r="C177" s="180"/>
      <c r="D177" s="180"/>
      <c r="E177" s="181"/>
      <c r="F177" s="182"/>
      <c r="G177" s="182"/>
      <c r="H177" s="181"/>
      <c r="I177" s="181"/>
      <c r="J177" s="163">
        <f t="shared" si="5"/>
        <v>0</v>
      </c>
      <c r="K177" s="164" t="str">
        <f t="shared" si="6"/>
        <v/>
      </c>
      <c r="L177" s="165"/>
    </row>
    <row r="178" spans="1:12" x14ac:dyDescent="0.2">
      <c r="A178" s="173"/>
      <c r="B178" s="174"/>
      <c r="C178" s="175"/>
      <c r="D178" s="175"/>
      <c r="E178" s="176"/>
      <c r="F178" s="177"/>
      <c r="G178" s="177"/>
      <c r="H178" s="176"/>
      <c r="I178" s="176"/>
      <c r="J178" s="169">
        <f t="shared" si="5"/>
        <v>0</v>
      </c>
      <c r="K178" s="170" t="str">
        <f t="shared" si="6"/>
        <v/>
      </c>
      <c r="L178" s="171"/>
    </row>
    <row r="179" spans="1:12" x14ac:dyDescent="0.2">
      <c r="A179" s="178"/>
      <c r="B179" s="179"/>
      <c r="C179" s="180"/>
      <c r="D179" s="180"/>
      <c r="E179" s="181"/>
      <c r="F179" s="182"/>
      <c r="G179" s="182"/>
      <c r="H179" s="181"/>
      <c r="I179" s="181"/>
      <c r="J179" s="163">
        <f t="shared" si="5"/>
        <v>0</v>
      </c>
      <c r="K179" s="164" t="str">
        <f t="shared" si="6"/>
        <v/>
      </c>
      <c r="L179" s="165"/>
    </row>
    <row r="180" spans="1:12" x14ac:dyDescent="0.2">
      <c r="A180" s="173"/>
      <c r="B180" s="174"/>
      <c r="C180" s="175"/>
      <c r="D180" s="175"/>
      <c r="E180" s="176"/>
      <c r="F180" s="177"/>
      <c r="G180" s="177"/>
      <c r="H180" s="176"/>
      <c r="I180" s="176"/>
      <c r="J180" s="169">
        <f t="shared" si="5"/>
        <v>0</v>
      </c>
      <c r="K180" s="170" t="str">
        <f t="shared" si="6"/>
        <v/>
      </c>
      <c r="L180" s="171"/>
    </row>
    <row r="181" spans="1:12" x14ac:dyDescent="0.2">
      <c r="A181" s="178"/>
      <c r="B181" s="179"/>
      <c r="C181" s="180"/>
      <c r="D181" s="180"/>
      <c r="E181" s="181"/>
      <c r="F181" s="182"/>
      <c r="G181" s="182"/>
      <c r="H181" s="181"/>
      <c r="I181" s="181"/>
      <c r="J181" s="163">
        <f t="shared" si="5"/>
        <v>0</v>
      </c>
      <c r="K181" s="164" t="str">
        <f t="shared" si="6"/>
        <v/>
      </c>
      <c r="L181" s="165"/>
    </row>
    <row r="182" spans="1:12" x14ac:dyDescent="0.2">
      <c r="A182" s="173"/>
      <c r="B182" s="174"/>
      <c r="C182" s="175"/>
      <c r="D182" s="175"/>
      <c r="E182" s="176"/>
      <c r="F182" s="177"/>
      <c r="G182" s="177"/>
      <c r="H182" s="176"/>
      <c r="I182" s="176"/>
      <c r="J182" s="169">
        <f t="shared" si="5"/>
        <v>0</v>
      </c>
      <c r="K182" s="170" t="str">
        <f t="shared" si="6"/>
        <v/>
      </c>
      <c r="L182" s="171"/>
    </row>
    <row r="183" spans="1:12" x14ac:dyDescent="0.2">
      <c r="A183" s="178"/>
      <c r="B183" s="179"/>
      <c r="C183" s="180"/>
      <c r="D183" s="180"/>
      <c r="E183" s="181"/>
      <c r="F183" s="182"/>
      <c r="G183" s="182"/>
      <c r="H183" s="181"/>
      <c r="I183" s="181"/>
      <c r="J183" s="163">
        <f t="shared" si="5"/>
        <v>0</v>
      </c>
      <c r="K183" s="164" t="str">
        <f t="shared" si="6"/>
        <v/>
      </c>
      <c r="L183" s="165"/>
    </row>
    <row r="184" spans="1:12" x14ac:dyDescent="0.2">
      <c r="A184" s="173"/>
      <c r="B184" s="174"/>
      <c r="C184" s="175"/>
      <c r="D184" s="175"/>
      <c r="E184" s="176"/>
      <c r="F184" s="177"/>
      <c r="G184" s="177"/>
      <c r="H184" s="176"/>
      <c r="I184" s="176"/>
      <c r="J184" s="169">
        <f t="shared" si="5"/>
        <v>0</v>
      </c>
      <c r="K184" s="170" t="str">
        <f t="shared" si="6"/>
        <v/>
      </c>
      <c r="L184" s="171"/>
    </row>
    <row r="185" spans="1:12" x14ac:dyDescent="0.2">
      <c r="A185" s="178"/>
      <c r="B185" s="179"/>
      <c r="C185" s="180"/>
      <c r="D185" s="180"/>
      <c r="E185" s="181"/>
      <c r="F185" s="182"/>
      <c r="G185" s="182"/>
      <c r="H185" s="181"/>
      <c r="I185" s="181"/>
      <c r="J185" s="163">
        <f t="shared" si="5"/>
        <v>0</v>
      </c>
      <c r="K185" s="164" t="str">
        <f t="shared" si="6"/>
        <v/>
      </c>
      <c r="L185" s="165"/>
    </row>
    <row r="186" spans="1:12" x14ac:dyDescent="0.2">
      <c r="A186" s="173"/>
      <c r="B186" s="174"/>
      <c r="C186" s="175"/>
      <c r="D186" s="175"/>
      <c r="E186" s="176"/>
      <c r="F186" s="177"/>
      <c r="G186" s="177"/>
      <c r="H186" s="176"/>
      <c r="I186" s="176"/>
      <c r="J186" s="169">
        <f t="shared" si="5"/>
        <v>0</v>
      </c>
      <c r="K186" s="170" t="str">
        <f t="shared" si="6"/>
        <v/>
      </c>
      <c r="L186" s="171"/>
    </row>
    <row r="187" spans="1:12" x14ac:dyDescent="0.2">
      <c r="A187" s="178"/>
      <c r="B187" s="179"/>
      <c r="C187" s="180"/>
      <c r="D187" s="180"/>
      <c r="E187" s="181"/>
      <c r="F187" s="182"/>
      <c r="G187" s="182"/>
      <c r="H187" s="181"/>
      <c r="I187" s="181"/>
      <c r="J187" s="163">
        <f t="shared" si="5"/>
        <v>0</v>
      </c>
      <c r="K187" s="164" t="str">
        <f t="shared" si="6"/>
        <v/>
      </c>
      <c r="L187" s="165"/>
    </row>
    <row r="188" spans="1:12" x14ac:dyDescent="0.2">
      <c r="A188" s="173"/>
      <c r="B188" s="174"/>
      <c r="C188" s="175"/>
      <c r="D188" s="175"/>
      <c r="E188" s="176"/>
      <c r="F188" s="177"/>
      <c r="G188" s="177"/>
      <c r="H188" s="176"/>
      <c r="I188" s="176"/>
      <c r="J188" s="169">
        <f t="shared" si="5"/>
        <v>0</v>
      </c>
      <c r="K188" s="170" t="str">
        <f t="shared" si="6"/>
        <v/>
      </c>
      <c r="L188" s="171"/>
    </row>
    <row r="189" spans="1:12" x14ac:dyDescent="0.2">
      <c r="A189" s="178"/>
      <c r="B189" s="179"/>
      <c r="C189" s="180"/>
      <c r="D189" s="180"/>
      <c r="E189" s="181"/>
      <c r="F189" s="182"/>
      <c r="G189" s="182"/>
      <c r="H189" s="181"/>
      <c r="I189" s="181"/>
      <c r="J189" s="163">
        <f t="shared" si="5"/>
        <v>0</v>
      </c>
      <c r="K189" s="164" t="str">
        <f t="shared" si="6"/>
        <v/>
      </c>
      <c r="L189" s="165"/>
    </row>
    <row r="190" spans="1:12" x14ac:dyDescent="0.2">
      <c r="A190" s="173"/>
      <c r="B190" s="174"/>
      <c r="C190" s="175"/>
      <c r="D190" s="175"/>
      <c r="E190" s="176"/>
      <c r="F190" s="177"/>
      <c r="G190" s="177"/>
      <c r="H190" s="176"/>
      <c r="I190" s="176"/>
      <c r="J190" s="169">
        <f t="shared" si="5"/>
        <v>0</v>
      </c>
      <c r="K190" s="170" t="str">
        <f t="shared" si="6"/>
        <v/>
      </c>
      <c r="L190" s="171"/>
    </row>
    <row r="191" spans="1:12" x14ac:dyDescent="0.2">
      <c r="A191" s="178"/>
      <c r="B191" s="179"/>
      <c r="C191" s="180"/>
      <c r="D191" s="180"/>
      <c r="E191" s="181"/>
      <c r="F191" s="182"/>
      <c r="G191" s="182"/>
      <c r="H191" s="181"/>
      <c r="I191" s="181"/>
      <c r="J191" s="163">
        <f t="shared" si="5"/>
        <v>0</v>
      </c>
      <c r="K191" s="164" t="str">
        <f t="shared" si="6"/>
        <v/>
      </c>
      <c r="L191" s="165"/>
    </row>
    <row r="192" spans="1:12" x14ac:dyDescent="0.2">
      <c r="A192" s="173"/>
      <c r="B192" s="174"/>
      <c r="C192" s="175"/>
      <c r="D192" s="175"/>
      <c r="E192" s="176"/>
      <c r="F192" s="177"/>
      <c r="G192" s="177"/>
      <c r="H192" s="176"/>
      <c r="I192" s="176"/>
      <c r="J192" s="169">
        <f t="shared" si="5"/>
        <v>0</v>
      </c>
      <c r="K192" s="170" t="str">
        <f t="shared" si="6"/>
        <v/>
      </c>
      <c r="L192" s="171"/>
    </row>
    <row r="193" spans="1:12" x14ac:dyDescent="0.2">
      <c r="A193" s="178"/>
      <c r="B193" s="179"/>
      <c r="C193" s="180"/>
      <c r="D193" s="180"/>
      <c r="E193" s="181"/>
      <c r="F193" s="182"/>
      <c r="G193" s="182"/>
      <c r="H193" s="181"/>
      <c r="I193" s="181"/>
      <c r="J193" s="163">
        <f t="shared" si="5"/>
        <v>0</v>
      </c>
      <c r="K193" s="164" t="str">
        <f t="shared" si="6"/>
        <v/>
      </c>
      <c r="L193" s="165"/>
    </row>
    <row r="194" spans="1:12" x14ac:dyDescent="0.2">
      <c r="A194" s="173"/>
      <c r="B194" s="174"/>
      <c r="C194" s="175"/>
      <c r="D194" s="175"/>
      <c r="E194" s="176"/>
      <c r="F194" s="177"/>
      <c r="G194" s="177"/>
      <c r="H194" s="176"/>
      <c r="I194" s="176"/>
      <c r="J194" s="169">
        <f t="shared" si="5"/>
        <v>0</v>
      </c>
      <c r="K194" s="170" t="str">
        <f t="shared" si="6"/>
        <v/>
      </c>
      <c r="L194" s="171"/>
    </row>
    <row r="195" spans="1:12" x14ac:dyDescent="0.2">
      <c r="A195" s="178"/>
      <c r="B195" s="179"/>
      <c r="C195" s="180"/>
      <c r="D195" s="180"/>
      <c r="E195" s="181"/>
      <c r="F195" s="182"/>
      <c r="G195" s="182"/>
      <c r="H195" s="181"/>
      <c r="I195" s="181"/>
      <c r="J195" s="163">
        <f t="shared" si="5"/>
        <v>0</v>
      </c>
      <c r="K195" s="164" t="str">
        <f t="shared" si="6"/>
        <v/>
      </c>
      <c r="L195" s="165"/>
    </row>
    <row r="196" spans="1:12" x14ac:dyDescent="0.2">
      <c r="A196" s="173"/>
      <c r="B196" s="174"/>
      <c r="C196" s="175"/>
      <c r="D196" s="175"/>
      <c r="E196" s="176"/>
      <c r="F196" s="177"/>
      <c r="G196" s="177"/>
      <c r="H196" s="176"/>
      <c r="I196" s="176"/>
      <c r="J196" s="169">
        <f t="shared" si="5"/>
        <v>0</v>
      </c>
      <c r="K196" s="170" t="str">
        <f t="shared" si="6"/>
        <v/>
      </c>
      <c r="L196" s="171"/>
    </row>
    <row r="197" spans="1:12" x14ac:dyDescent="0.2">
      <c r="A197" s="178"/>
      <c r="B197" s="179"/>
      <c r="C197" s="180"/>
      <c r="D197" s="180"/>
      <c r="E197" s="181"/>
      <c r="F197" s="182"/>
      <c r="G197" s="182"/>
      <c r="H197" s="181"/>
      <c r="I197" s="181"/>
      <c r="J197" s="163">
        <f t="shared" ref="J197:J260" si="7">IFERROR(F197-E197-G197-H197-I197,"")</f>
        <v>0</v>
      </c>
      <c r="K197" s="164" t="str">
        <f t="shared" ref="K197:K260" si="8">IFERROR(J197/F197,"")</f>
        <v/>
      </c>
      <c r="L197" s="165"/>
    </row>
    <row r="198" spans="1:12" x14ac:dyDescent="0.2">
      <c r="A198" s="173"/>
      <c r="B198" s="174"/>
      <c r="C198" s="175"/>
      <c r="D198" s="175"/>
      <c r="E198" s="176"/>
      <c r="F198" s="177"/>
      <c r="G198" s="177"/>
      <c r="H198" s="176"/>
      <c r="I198" s="176"/>
      <c r="J198" s="169">
        <f t="shared" si="7"/>
        <v>0</v>
      </c>
      <c r="K198" s="170" t="str">
        <f t="shared" si="8"/>
        <v/>
      </c>
      <c r="L198" s="171"/>
    </row>
    <row r="199" spans="1:12" x14ac:dyDescent="0.2">
      <c r="A199" s="178"/>
      <c r="B199" s="179"/>
      <c r="C199" s="180"/>
      <c r="D199" s="180"/>
      <c r="E199" s="181"/>
      <c r="F199" s="182"/>
      <c r="G199" s="182"/>
      <c r="H199" s="181"/>
      <c r="I199" s="181"/>
      <c r="J199" s="163">
        <f t="shared" si="7"/>
        <v>0</v>
      </c>
      <c r="K199" s="164" t="str">
        <f t="shared" si="8"/>
        <v/>
      </c>
      <c r="L199" s="165"/>
    </row>
    <row r="200" spans="1:12" x14ac:dyDescent="0.2">
      <c r="A200" s="173"/>
      <c r="B200" s="174"/>
      <c r="C200" s="175"/>
      <c r="D200" s="175"/>
      <c r="E200" s="176"/>
      <c r="F200" s="177"/>
      <c r="G200" s="177"/>
      <c r="H200" s="176"/>
      <c r="I200" s="176"/>
      <c r="J200" s="169">
        <f t="shared" si="7"/>
        <v>0</v>
      </c>
      <c r="K200" s="170" t="str">
        <f t="shared" si="8"/>
        <v/>
      </c>
      <c r="L200" s="171"/>
    </row>
    <row r="201" spans="1:12" x14ac:dyDescent="0.2">
      <c r="A201" s="178"/>
      <c r="B201" s="179"/>
      <c r="C201" s="180"/>
      <c r="D201" s="180"/>
      <c r="E201" s="181"/>
      <c r="F201" s="182"/>
      <c r="G201" s="182"/>
      <c r="H201" s="181"/>
      <c r="I201" s="181"/>
      <c r="J201" s="163">
        <f t="shared" si="7"/>
        <v>0</v>
      </c>
      <c r="K201" s="164" t="str">
        <f t="shared" si="8"/>
        <v/>
      </c>
      <c r="L201" s="165"/>
    </row>
    <row r="202" spans="1:12" x14ac:dyDescent="0.2">
      <c r="A202" s="173"/>
      <c r="B202" s="174"/>
      <c r="C202" s="175"/>
      <c r="D202" s="175"/>
      <c r="E202" s="176"/>
      <c r="F202" s="177"/>
      <c r="G202" s="177"/>
      <c r="H202" s="176"/>
      <c r="I202" s="176"/>
      <c r="J202" s="169">
        <f t="shared" si="7"/>
        <v>0</v>
      </c>
      <c r="K202" s="170" t="str">
        <f t="shared" si="8"/>
        <v/>
      </c>
      <c r="L202" s="171"/>
    </row>
    <row r="203" spans="1:12" x14ac:dyDescent="0.2">
      <c r="A203" s="178"/>
      <c r="B203" s="179"/>
      <c r="C203" s="180"/>
      <c r="D203" s="180"/>
      <c r="E203" s="181"/>
      <c r="F203" s="182"/>
      <c r="G203" s="182"/>
      <c r="H203" s="181"/>
      <c r="I203" s="181"/>
      <c r="J203" s="163">
        <f t="shared" si="7"/>
        <v>0</v>
      </c>
      <c r="K203" s="164" t="str">
        <f t="shared" si="8"/>
        <v/>
      </c>
      <c r="L203" s="165"/>
    </row>
    <row r="204" spans="1:12" x14ac:dyDescent="0.2">
      <c r="A204" s="173"/>
      <c r="B204" s="174"/>
      <c r="C204" s="175"/>
      <c r="D204" s="175"/>
      <c r="E204" s="176"/>
      <c r="F204" s="177"/>
      <c r="G204" s="177"/>
      <c r="H204" s="176"/>
      <c r="I204" s="176"/>
      <c r="J204" s="169">
        <f t="shared" si="7"/>
        <v>0</v>
      </c>
      <c r="K204" s="170" t="str">
        <f t="shared" si="8"/>
        <v/>
      </c>
      <c r="L204" s="171"/>
    </row>
    <row r="205" spans="1:12" x14ac:dyDescent="0.2">
      <c r="A205" s="3"/>
      <c r="B205" s="4"/>
      <c r="C205" s="4"/>
      <c r="D205" s="4"/>
      <c r="E205" s="4"/>
      <c r="F205" s="190"/>
      <c r="G205" s="190"/>
      <c r="H205" s="4"/>
      <c r="I205" s="5"/>
      <c r="J205" s="191">
        <f t="shared" si="7"/>
        <v>0</v>
      </c>
      <c r="K205" s="89" t="str">
        <f t="shared" si="8"/>
        <v/>
      </c>
      <c r="L205" s="86"/>
    </row>
    <row r="206" spans="1:12" x14ac:dyDescent="0.2">
      <c r="A206" s="6"/>
      <c r="B206" s="7"/>
      <c r="C206" s="7"/>
      <c r="D206" s="7"/>
      <c r="E206" s="7"/>
      <c r="F206" s="192"/>
      <c r="G206" s="192"/>
      <c r="H206" s="7"/>
      <c r="I206" s="8"/>
      <c r="J206" s="193">
        <f t="shared" si="7"/>
        <v>0</v>
      </c>
      <c r="K206" s="93" t="str">
        <f t="shared" si="8"/>
        <v/>
      </c>
      <c r="L206" s="90"/>
    </row>
    <row r="207" spans="1:12" x14ac:dyDescent="0.2">
      <c r="A207" s="3"/>
      <c r="B207" s="4"/>
      <c r="C207" s="4"/>
      <c r="D207" s="4"/>
      <c r="E207" s="4"/>
      <c r="F207" s="190"/>
      <c r="G207" s="190"/>
      <c r="H207" s="4"/>
      <c r="I207" s="5"/>
      <c r="J207" s="191">
        <f t="shared" si="7"/>
        <v>0</v>
      </c>
      <c r="K207" s="89" t="str">
        <f t="shared" si="8"/>
        <v/>
      </c>
      <c r="L207" s="86"/>
    </row>
    <row r="208" spans="1:12" x14ac:dyDescent="0.2">
      <c r="A208" s="194"/>
      <c r="B208" s="90"/>
      <c r="C208" s="90"/>
      <c r="D208" s="90"/>
      <c r="E208" s="90"/>
      <c r="F208" s="92"/>
      <c r="G208" s="92"/>
      <c r="H208" s="90"/>
      <c r="I208" s="195"/>
      <c r="J208" s="193">
        <f t="shared" si="7"/>
        <v>0</v>
      </c>
      <c r="K208" s="93" t="str">
        <f t="shared" si="8"/>
        <v/>
      </c>
      <c r="L208" s="90"/>
    </row>
    <row r="209" spans="1:12" x14ac:dyDescent="0.2">
      <c r="A209" s="196"/>
      <c r="B209" s="86"/>
      <c r="C209" s="86"/>
      <c r="D209" s="86"/>
      <c r="E209" s="86"/>
      <c r="F209" s="88"/>
      <c r="G209" s="88"/>
      <c r="H209" s="86"/>
      <c r="I209" s="197"/>
      <c r="J209" s="191">
        <f t="shared" si="7"/>
        <v>0</v>
      </c>
      <c r="K209" s="89" t="str">
        <f t="shared" si="8"/>
        <v/>
      </c>
      <c r="L209" s="86"/>
    </row>
    <row r="210" spans="1:12" x14ac:dyDescent="0.2">
      <c r="A210" s="194"/>
      <c r="B210" s="90"/>
      <c r="C210" s="90"/>
      <c r="D210" s="90"/>
      <c r="E210" s="90"/>
      <c r="F210" s="92"/>
      <c r="G210" s="92"/>
      <c r="H210" s="90"/>
      <c r="I210" s="195"/>
      <c r="J210" s="193">
        <f t="shared" si="7"/>
        <v>0</v>
      </c>
      <c r="K210" s="93" t="str">
        <f t="shared" si="8"/>
        <v/>
      </c>
      <c r="L210" s="90"/>
    </row>
    <row r="211" spans="1:12" x14ac:dyDescent="0.2">
      <c r="A211" s="196"/>
      <c r="B211" s="86"/>
      <c r="C211" s="86"/>
      <c r="D211" s="86"/>
      <c r="E211" s="86"/>
      <c r="F211" s="88"/>
      <c r="G211" s="88"/>
      <c r="H211" s="86"/>
      <c r="I211" s="197"/>
      <c r="J211" s="191">
        <f t="shared" si="7"/>
        <v>0</v>
      </c>
      <c r="K211" s="89" t="str">
        <f t="shared" si="8"/>
        <v/>
      </c>
      <c r="L211" s="86"/>
    </row>
    <row r="212" spans="1:12" x14ac:dyDescent="0.2">
      <c r="A212" s="194"/>
      <c r="B212" s="90"/>
      <c r="C212" s="90"/>
      <c r="D212" s="90"/>
      <c r="E212" s="90"/>
      <c r="F212" s="92"/>
      <c r="G212" s="92"/>
      <c r="H212" s="90"/>
      <c r="I212" s="195"/>
      <c r="J212" s="193">
        <f t="shared" si="7"/>
        <v>0</v>
      </c>
      <c r="K212" s="93" t="str">
        <f t="shared" si="8"/>
        <v/>
      </c>
      <c r="L212" s="90"/>
    </row>
    <row r="213" spans="1:12" x14ac:dyDescent="0.2">
      <c r="A213" s="196"/>
      <c r="B213" s="86"/>
      <c r="C213" s="86"/>
      <c r="D213" s="86"/>
      <c r="E213" s="86"/>
      <c r="F213" s="88"/>
      <c r="G213" s="88"/>
      <c r="H213" s="86"/>
      <c r="I213" s="197"/>
      <c r="J213" s="191">
        <f t="shared" si="7"/>
        <v>0</v>
      </c>
      <c r="K213" s="89" t="str">
        <f t="shared" si="8"/>
        <v/>
      </c>
      <c r="L213" s="86"/>
    </row>
    <row r="214" spans="1:12" x14ac:dyDescent="0.2">
      <c r="A214" s="194"/>
      <c r="B214" s="90"/>
      <c r="C214" s="90"/>
      <c r="D214" s="90"/>
      <c r="E214" s="90"/>
      <c r="F214" s="92"/>
      <c r="G214" s="92"/>
      <c r="H214" s="90"/>
      <c r="I214" s="195"/>
      <c r="J214" s="193">
        <f t="shared" si="7"/>
        <v>0</v>
      </c>
      <c r="K214" s="93" t="str">
        <f t="shared" si="8"/>
        <v/>
      </c>
      <c r="L214" s="90"/>
    </row>
    <row r="215" spans="1:12" x14ac:dyDescent="0.2">
      <c r="A215" s="196"/>
      <c r="B215" s="86"/>
      <c r="C215" s="86"/>
      <c r="D215" s="86"/>
      <c r="E215" s="86"/>
      <c r="F215" s="88"/>
      <c r="G215" s="88"/>
      <c r="H215" s="86"/>
      <c r="I215" s="197"/>
      <c r="J215" s="191">
        <f t="shared" si="7"/>
        <v>0</v>
      </c>
      <c r="K215" s="89" t="str">
        <f t="shared" si="8"/>
        <v/>
      </c>
      <c r="L215" s="86"/>
    </row>
    <row r="216" spans="1:12" x14ac:dyDescent="0.2">
      <c r="A216" s="194"/>
      <c r="B216" s="90"/>
      <c r="C216" s="90"/>
      <c r="D216" s="90"/>
      <c r="E216" s="90"/>
      <c r="F216" s="92"/>
      <c r="G216" s="92"/>
      <c r="H216" s="90"/>
      <c r="I216" s="195"/>
      <c r="J216" s="193">
        <f t="shared" si="7"/>
        <v>0</v>
      </c>
      <c r="K216" s="93" t="str">
        <f t="shared" si="8"/>
        <v/>
      </c>
      <c r="L216" s="90"/>
    </row>
    <row r="217" spans="1:12" x14ac:dyDescent="0.2">
      <c r="A217" s="196"/>
      <c r="B217" s="86"/>
      <c r="C217" s="86"/>
      <c r="D217" s="86"/>
      <c r="E217" s="86"/>
      <c r="F217" s="88"/>
      <c r="G217" s="88"/>
      <c r="H217" s="86"/>
      <c r="I217" s="197"/>
      <c r="J217" s="191">
        <f t="shared" si="7"/>
        <v>0</v>
      </c>
      <c r="K217" s="89" t="str">
        <f t="shared" si="8"/>
        <v/>
      </c>
      <c r="L217" s="86"/>
    </row>
    <row r="218" spans="1:12" x14ac:dyDescent="0.2">
      <c r="A218" s="194"/>
      <c r="B218" s="90"/>
      <c r="C218" s="90"/>
      <c r="D218" s="90"/>
      <c r="E218" s="90"/>
      <c r="F218" s="92"/>
      <c r="G218" s="92"/>
      <c r="H218" s="90"/>
      <c r="I218" s="195"/>
      <c r="J218" s="193">
        <f t="shared" si="7"/>
        <v>0</v>
      </c>
      <c r="K218" s="93" t="str">
        <f t="shared" si="8"/>
        <v/>
      </c>
      <c r="L218" s="90"/>
    </row>
    <row r="219" spans="1:12" x14ac:dyDescent="0.2">
      <c r="A219" s="196"/>
      <c r="B219" s="86"/>
      <c r="C219" s="86"/>
      <c r="D219" s="86"/>
      <c r="E219" s="86"/>
      <c r="F219" s="88"/>
      <c r="G219" s="88"/>
      <c r="H219" s="86"/>
      <c r="I219" s="197"/>
      <c r="J219" s="191">
        <f t="shared" si="7"/>
        <v>0</v>
      </c>
      <c r="K219" s="89" t="str">
        <f t="shared" si="8"/>
        <v/>
      </c>
      <c r="L219" s="86"/>
    </row>
    <row r="220" spans="1:12" x14ac:dyDescent="0.2">
      <c r="A220" s="194"/>
      <c r="B220" s="90"/>
      <c r="C220" s="90"/>
      <c r="D220" s="90"/>
      <c r="E220" s="90"/>
      <c r="F220" s="92"/>
      <c r="G220" s="92"/>
      <c r="H220" s="90"/>
      <c r="I220" s="195"/>
      <c r="J220" s="193">
        <f t="shared" si="7"/>
        <v>0</v>
      </c>
      <c r="K220" s="93" t="str">
        <f t="shared" si="8"/>
        <v/>
      </c>
      <c r="L220" s="90"/>
    </row>
    <row r="221" spans="1:12" x14ac:dyDescent="0.2">
      <c r="A221" s="196"/>
      <c r="B221" s="86"/>
      <c r="C221" s="86"/>
      <c r="D221" s="86"/>
      <c r="E221" s="86"/>
      <c r="F221" s="88"/>
      <c r="G221" s="88"/>
      <c r="H221" s="86"/>
      <c r="I221" s="197"/>
      <c r="J221" s="191">
        <f t="shared" si="7"/>
        <v>0</v>
      </c>
      <c r="K221" s="89" t="str">
        <f t="shared" si="8"/>
        <v/>
      </c>
      <c r="L221" s="86"/>
    </row>
    <row r="222" spans="1:12" x14ac:dyDescent="0.2">
      <c r="A222" s="194"/>
      <c r="B222" s="90"/>
      <c r="C222" s="90"/>
      <c r="D222" s="90"/>
      <c r="E222" s="90"/>
      <c r="F222" s="92"/>
      <c r="G222" s="92"/>
      <c r="H222" s="90"/>
      <c r="I222" s="195"/>
      <c r="J222" s="193">
        <f t="shared" si="7"/>
        <v>0</v>
      </c>
      <c r="K222" s="93" t="str">
        <f t="shared" si="8"/>
        <v/>
      </c>
      <c r="L222" s="90"/>
    </row>
    <row r="223" spans="1:12" x14ac:dyDescent="0.2">
      <c r="A223" s="196"/>
      <c r="B223" s="86"/>
      <c r="C223" s="86"/>
      <c r="D223" s="86"/>
      <c r="E223" s="86"/>
      <c r="F223" s="88"/>
      <c r="G223" s="88"/>
      <c r="H223" s="86"/>
      <c r="I223" s="197"/>
      <c r="J223" s="191">
        <f t="shared" si="7"/>
        <v>0</v>
      </c>
      <c r="K223" s="89" t="str">
        <f t="shared" si="8"/>
        <v/>
      </c>
      <c r="L223" s="86"/>
    </row>
    <row r="224" spans="1:12" x14ac:dyDescent="0.2">
      <c r="A224" s="194"/>
      <c r="B224" s="90"/>
      <c r="C224" s="90"/>
      <c r="D224" s="90"/>
      <c r="E224" s="90"/>
      <c r="F224" s="92"/>
      <c r="G224" s="92"/>
      <c r="H224" s="90"/>
      <c r="I224" s="195"/>
      <c r="J224" s="193">
        <f t="shared" si="7"/>
        <v>0</v>
      </c>
      <c r="K224" s="93" t="str">
        <f t="shared" si="8"/>
        <v/>
      </c>
      <c r="L224" s="90"/>
    </row>
    <row r="225" spans="1:12" x14ac:dyDescent="0.2">
      <c r="A225" s="196"/>
      <c r="B225" s="86"/>
      <c r="C225" s="86"/>
      <c r="D225" s="86"/>
      <c r="E225" s="86"/>
      <c r="F225" s="88"/>
      <c r="G225" s="88"/>
      <c r="H225" s="86"/>
      <c r="I225" s="197"/>
      <c r="J225" s="191">
        <f t="shared" si="7"/>
        <v>0</v>
      </c>
      <c r="K225" s="89" t="str">
        <f t="shared" si="8"/>
        <v/>
      </c>
      <c r="L225" s="86"/>
    </row>
    <row r="226" spans="1:12" x14ac:dyDescent="0.2">
      <c r="A226" s="194"/>
      <c r="B226" s="90"/>
      <c r="C226" s="90"/>
      <c r="D226" s="90"/>
      <c r="E226" s="90"/>
      <c r="F226" s="92"/>
      <c r="G226" s="92"/>
      <c r="H226" s="90"/>
      <c r="I226" s="195"/>
      <c r="J226" s="193">
        <f t="shared" si="7"/>
        <v>0</v>
      </c>
      <c r="K226" s="93" t="str">
        <f t="shared" si="8"/>
        <v/>
      </c>
      <c r="L226" s="90"/>
    </row>
    <row r="227" spans="1:12" x14ac:dyDescent="0.2">
      <c r="A227" s="196"/>
      <c r="B227" s="86"/>
      <c r="C227" s="86"/>
      <c r="D227" s="86"/>
      <c r="E227" s="86"/>
      <c r="F227" s="88"/>
      <c r="G227" s="88"/>
      <c r="H227" s="86"/>
      <c r="I227" s="197"/>
      <c r="J227" s="191">
        <f t="shared" si="7"/>
        <v>0</v>
      </c>
      <c r="K227" s="89" t="str">
        <f t="shared" si="8"/>
        <v/>
      </c>
      <c r="L227" s="86"/>
    </row>
    <row r="228" spans="1:12" x14ac:dyDescent="0.2">
      <c r="A228" s="194"/>
      <c r="B228" s="90"/>
      <c r="C228" s="90"/>
      <c r="D228" s="90"/>
      <c r="E228" s="90"/>
      <c r="F228" s="92"/>
      <c r="G228" s="92"/>
      <c r="H228" s="90"/>
      <c r="I228" s="195"/>
      <c r="J228" s="193">
        <f t="shared" si="7"/>
        <v>0</v>
      </c>
      <c r="K228" s="93" t="str">
        <f t="shared" si="8"/>
        <v/>
      </c>
      <c r="L228" s="90"/>
    </row>
    <row r="229" spans="1:12" x14ac:dyDescent="0.2">
      <c r="A229" s="196"/>
      <c r="B229" s="86"/>
      <c r="C229" s="86"/>
      <c r="D229" s="86"/>
      <c r="E229" s="86"/>
      <c r="F229" s="88"/>
      <c r="G229" s="88"/>
      <c r="H229" s="86"/>
      <c r="I229" s="197"/>
      <c r="J229" s="191">
        <f t="shared" si="7"/>
        <v>0</v>
      </c>
      <c r="K229" s="89" t="str">
        <f t="shared" si="8"/>
        <v/>
      </c>
      <c r="L229" s="86"/>
    </row>
    <row r="230" spans="1:12" x14ac:dyDescent="0.2">
      <c r="A230" s="194"/>
      <c r="B230" s="90"/>
      <c r="C230" s="90"/>
      <c r="D230" s="90"/>
      <c r="E230" s="90"/>
      <c r="F230" s="92"/>
      <c r="G230" s="92"/>
      <c r="H230" s="90"/>
      <c r="I230" s="195"/>
      <c r="J230" s="193">
        <f t="shared" si="7"/>
        <v>0</v>
      </c>
      <c r="K230" s="93" t="str">
        <f t="shared" si="8"/>
        <v/>
      </c>
      <c r="L230" s="90"/>
    </row>
    <row r="231" spans="1:12" x14ac:dyDescent="0.2">
      <c r="A231" s="196"/>
      <c r="B231" s="86"/>
      <c r="C231" s="86"/>
      <c r="D231" s="86"/>
      <c r="E231" s="86"/>
      <c r="F231" s="88"/>
      <c r="G231" s="88"/>
      <c r="H231" s="86"/>
      <c r="I231" s="197"/>
      <c r="J231" s="191">
        <f t="shared" si="7"/>
        <v>0</v>
      </c>
      <c r="K231" s="89" t="str">
        <f t="shared" si="8"/>
        <v/>
      </c>
      <c r="L231" s="86"/>
    </row>
    <row r="232" spans="1:12" x14ac:dyDescent="0.2">
      <c r="A232" s="194"/>
      <c r="B232" s="90"/>
      <c r="C232" s="90"/>
      <c r="D232" s="90"/>
      <c r="E232" s="90"/>
      <c r="F232" s="92"/>
      <c r="G232" s="92"/>
      <c r="H232" s="90"/>
      <c r="I232" s="195"/>
      <c r="J232" s="193">
        <f t="shared" si="7"/>
        <v>0</v>
      </c>
      <c r="K232" s="93" t="str">
        <f t="shared" si="8"/>
        <v/>
      </c>
      <c r="L232" s="90"/>
    </row>
    <row r="233" spans="1:12" x14ac:dyDescent="0.2">
      <c r="A233" s="196"/>
      <c r="B233" s="86"/>
      <c r="C233" s="86"/>
      <c r="D233" s="86"/>
      <c r="E233" s="86"/>
      <c r="F233" s="88"/>
      <c r="G233" s="88"/>
      <c r="H233" s="86"/>
      <c r="I233" s="197"/>
      <c r="J233" s="191">
        <f t="shared" si="7"/>
        <v>0</v>
      </c>
      <c r="K233" s="89" t="str">
        <f t="shared" si="8"/>
        <v/>
      </c>
      <c r="L233" s="86"/>
    </row>
    <row r="234" spans="1:12" x14ac:dyDescent="0.2">
      <c r="A234" s="194"/>
      <c r="B234" s="90"/>
      <c r="C234" s="90"/>
      <c r="D234" s="90"/>
      <c r="E234" s="90"/>
      <c r="F234" s="92"/>
      <c r="G234" s="92"/>
      <c r="H234" s="90"/>
      <c r="I234" s="195"/>
      <c r="J234" s="193">
        <f t="shared" si="7"/>
        <v>0</v>
      </c>
      <c r="K234" s="93" t="str">
        <f t="shared" si="8"/>
        <v/>
      </c>
      <c r="L234" s="90"/>
    </row>
    <row r="235" spans="1:12" x14ac:dyDescent="0.2">
      <c r="A235" s="196"/>
      <c r="B235" s="86"/>
      <c r="C235" s="86"/>
      <c r="D235" s="86"/>
      <c r="E235" s="86"/>
      <c r="F235" s="88"/>
      <c r="G235" s="88"/>
      <c r="H235" s="86"/>
      <c r="I235" s="197"/>
      <c r="J235" s="191">
        <f t="shared" si="7"/>
        <v>0</v>
      </c>
      <c r="K235" s="89" t="str">
        <f t="shared" si="8"/>
        <v/>
      </c>
      <c r="L235" s="86"/>
    </row>
    <row r="236" spans="1:12" x14ac:dyDescent="0.2">
      <c r="A236" s="194"/>
      <c r="B236" s="90"/>
      <c r="C236" s="90"/>
      <c r="D236" s="90"/>
      <c r="E236" s="90"/>
      <c r="F236" s="92"/>
      <c r="G236" s="92"/>
      <c r="H236" s="90"/>
      <c r="I236" s="195"/>
      <c r="J236" s="193">
        <f t="shared" si="7"/>
        <v>0</v>
      </c>
      <c r="K236" s="93" t="str">
        <f t="shared" si="8"/>
        <v/>
      </c>
      <c r="L236" s="90"/>
    </row>
    <row r="237" spans="1:12" x14ac:dyDescent="0.2">
      <c r="A237" s="196"/>
      <c r="B237" s="86"/>
      <c r="C237" s="86"/>
      <c r="D237" s="86"/>
      <c r="E237" s="86"/>
      <c r="F237" s="88"/>
      <c r="G237" s="88"/>
      <c r="H237" s="86"/>
      <c r="I237" s="197"/>
      <c r="J237" s="191">
        <f t="shared" si="7"/>
        <v>0</v>
      </c>
      <c r="K237" s="89" t="str">
        <f t="shared" si="8"/>
        <v/>
      </c>
      <c r="L237" s="86"/>
    </row>
    <row r="238" spans="1:12" x14ac:dyDescent="0.2">
      <c r="A238" s="194"/>
      <c r="B238" s="90"/>
      <c r="C238" s="90"/>
      <c r="D238" s="90"/>
      <c r="E238" s="90"/>
      <c r="F238" s="92"/>
      <c r="G238" s="92"/>
      <c r="H238" s="90"/>
      <c r="I238" s="195"/>
      <c r="J238" s="193">
        <f t="shared" si="7"/>
        <v>0</v>
      </c>
      <c r="K238" s="93" t="str">
        <f t="shared" si="8"/>
        <v/>
      </c>
      <c r="L238" s="90"/>
    </row>
    <row r="239" spans="1:12" x14ac:dyDescent="0.2">
      <c r="A239" s="196"/>
      <c r="B239" s="86"/>
      <c r="C239" s="86"/>
      <c r="D239" s="86"/>
      <c r="E239" s="86"/>
      <c r="F239" s="88"/>
      <c r="G239" s="88"/>
      <c r="H239" s="86"/>
      <c r="I239" s="197"/>
      <c r="J239" s="191">
        <f t="shared" si="7"/>
        <v>0</v>
      </c>
      <c r="K239" s="89" t="str">
        <f t="shared" si="8"/>
        <v/>
      </c>
      <c r="L239" s="86"/>
    </row>
    <row r="240" spans="1:12" x14ac:dyDescent="0.2">
      <c r="A240" s="194"/>
      <c r="B240" s="90"/>
      <c r="C240" s="90"/>
      <c r="D240" s="90"/>
      <c r="E240" s="90"/>
      <c r="F240" s="92"/>
      <c r="G240" s="92"/>
      <c r="H240" s="90"/>
      <c r="I240" s="195"/>
      <c r="J240" s="193">
        <f t="shared" si="7"/>
        <v>0</v>
      </c>
      <c r="K240" s="93" t="str">
        <f t="shared" si="8"/>
        <v/>
      </c>
      <c r="L240" s="90"/>
    </row>
    <row r="241" spans="1:12" x14ac:dyDescent="0.2">
      <c r="A241" s="196"/>
      <c r="B241" s="86"/>
      <c r="C241" s="86"/>
      <c r="D241" s="86"/>
      <c r="E241" s="86"/>
      <c r="F241" s="88"/>
      <c r="G241" s="88"/>
      <c r="H241" s="86"/>
      <c r="I241" s="197"/>
      <c r="J241" s="191">
        <f t="shared" si="7"/>
        <v>0</v>
      </c>
      <c r="K241" s="89" t="str">
        <f t="shared" si="8"/>
        <v/>
      </c>
      <c r="L241" s="86"/>
    </row>
    <row r="242" spans="1:12" x14ac:dyDescent="0.2">
      <c r="A242" s="194"/>
      <c r="B242" s="90"/>
      <c r="C242" s="90"/>
      <c r="D242" s="90"/>
      <c r="E242" s="90"/>
      <c r="F242" s="92"/>
      <c r="G242" s="92"/>
      <c r="H242" s="90"/>
      <c r="I242" s="195"/>
      <c r="J242" s="193">
        <f t="shared" si="7"/>
        <v>0</v>
      </c>
      <c r="K242" s="93" t="str">
        <f t="shared" si="8"/>
        <v/>
      </c>
      <c r="L242" s="90"/>
    </row>
    <row r="243" spans="1:12" x14ac:dyDescent="0.2">
      <c r="A243" s="196"/>
      <c r="B243" s="86"/>
      <c r="C243" s="86"/>
      <c r="D243" s="86"/>
      <c r="E243" s="86"/>
      <c r="F243" s="88"/>
      <c r="G243" s="88"/>
      <c r="H243" s="86"/>
      <c r="I243" s="197"/>
      <c r="J243" s="191">
        <f t="shared" si="7"/>
        <v>0</v>
      </c>
      <c r="K243" s="89" t="str">
        <f t="shared" si="8"/>
        <v/>
      </c>
      <c r="L243" s="86"/>
    </row>
    <row r="244" spans="1:12" x14ac:dyDescent="0.2">
      <c r="A244" s="194"/>
      <c r="B244" s="90"/>
      <c r="C244" s="90"/>
      <c r="D244" s="90"/>
      <c r="E244" s="90"/>
      <c r="F244" s="92"/>
      <c r="G244" s="92"/>
      <c r="H244" s="90"/>
      <c r="I244" s="195"/>
      <c r="J244" s="193">
        <f t="shared" si="7"/>
        <v>0</v>
      </c>
      <c r="K244" s="93" t="str">
        <f t="shared" si="8"/>
        <v/>
      </c>
      <c r="L244" s="90"/>
    </row>
    <row r="245" spans="1:12" x14ac:dyDescent="0.2">
      <c r="A245" s="196"/>
      <c r="B245" s="86"/>
      <c r="C245" s="86"/>
      <c r="D245" s="86"/>
      <c r="E245" s="86"/>
      <c r="F245" s="88"/>
      <c r="G245" s="88"/>
      <c r="H245" s="86"/>
      <c r="I245" s="197"/>
      <c r="J245" s="191">
        <f t="shared" si="7"/>
        <v>0</v>
      </c>
      <c r="K245" s="89" t="str">
        <f t="shared" si="8"/>
        <v/>
      </c>
      <c r="L245" s="86"/>
    </row>
    <row r="246" spans="1:12" x14ac:dyDescent="0.2">
      <c r="A246" s="194"/>
      <c r="B246" s="90"/>
      <c r="C246" s="90"/>
      <c r="D246" s="90"/>
      <c r="E246" s="90"/>
      <c r="F246" s="92"/>
      <c r="G246" s="92"/>
      <c r="H246" s="90"/>
      <c r="I246" s="195"/>
      <c r="J246" s="193">
        <f t="shared" si="7"/>
        <v>0</v>
      </c>
      <c r="K246" s="93" t="str">
        <f t="shared" si="8"/>
        <v/>
      </c>
      <c r="L246" s="90"/>
    </row>
    <row r="247" spans="1:12" x14ac:dyDescent="0.2">
      <c r="A247" s="196"/>
      <c r="B247" s="86"/>
      <c r="C247" s="86"/>
      <c r="D247" s="86"/>
      <c r="E247" s="86"/>
      <c r="F247" s="88"/>
      <c r="G247" s="88"/>
      <c r="H247" s="86"/>
      <c r="I247" s="197"/>
      <c r="J247" s="191">
        <f t="shared" si="7"/>
        <v>0</v>
      </c>
      <c r="K247" s="89" t="str">
        <f t="shared" si="8"/>
        <v/>
      </c>
      <c r="L247" s="86"/>
    </row>
    <row r="248" spans="1:12" x14ac:dyDescent="0.2">
      <c r="A248" s="194"/>
      <c r="B248" s="90"/>
      <c r="C248" s="90"/>
      <c r="D248" s="90"/>
      <c r="E248" s="90"/>
      <c r="F248" s="92"/>
      <c r="G248" s="92"/>
      <c r="H248" s="90"/>
      <c r="I248" s="195"/>
      <c r="J248" s="193">
        <f t="shared" si="7"/>
        <v>0</v>
      </c>
      <c r="K248" s="93" t="str">
        <f t="shared" si="8"/>
        <v/>
      </c>
      <c r="L248" s="90"/>
    </row>
    <row r="249" spans="1:12" x14ac:dyDescent="0.2">
      <c r="A249" s="196"/>
      <c r="B249" s="86"/>
      <c r="C249" s="86"/>
      <c r="D249" s="86"/>
      <c r="E249" s="86"/>
      <c r="F249" s="88"/>
      <c r="G249" s="88"/>
      <c r="H249" s="86"/>
      <c r="I249" s="197"/>
      <c r="J249" s="191">
        <f t="shared" si="7"/>
        <v>0</v>
      </c>
      <c r="K249" s="89" t="str">
        <f t="shared" si="8"/>
        <v/>
      </c>
      <c r="L249" s="86"/>
    </row>
    <row r="250" spans="1:12" x14ac:dyDescent="0.2">
      <c r="A250" s="194"/>
      <c r="B250" s="90"/>
      <c r="C250" s="90"/>
      <c r="D250" s="90"/>
      <c r="E250" s="90"/>
      <c r="F250" s="92"/>
      <c r="G250" s="92"/>
      <c r="H250" s="90"/>
      <c r="I250" s="195"/>
      <c r="J250" s="193">
        <f t="shared" si="7"/>
        <v>0</v>
      </c>
      <c r="K250" s="93" t="str">
        <f t="shared" si="8"/>
        <v/>
      </c>
      <c r="L250" s="90"/>
    </row>
    <row r="251" spans="1:12" x14ac:dyDescent="0.2">
      <c r="A251" s="196"/>
      <c r="B251" s="86"/>
      <c r="C251" s="86"/>
      <c r="D251" s="86"/>
      <c r="E251" s="86"/>
      <c r="F251" s="88"/>
      <c r="G251" s="88"/>
      <c r="H251" s="86"/>
      <c r="I251" s="197"/>
      <c r="J251" s="191">
        <f t="shared" si="7"/>
        <v>0</v>
      </c>
      <c r="K251" s="89" t="str">
        <f t="shared" si="8"/>
        <v/>
      </c>
      <c r="L251" s="86"/>
    </row>
    <row r="252" spans="1:12" x14ac:dyDescent="0.2">
      <c r="A252" s="194"/>
      <c r="B252" s="90"/>
      <c r="C252" s="90"/>
      <c r="D252" s="90"/>
      <c r="E252" s="90"/>
      <c r="F252" s="92"/>
      <c r="G252" s="92"/>
      <c r="H252" s="90"/>
      <c r="I252" s="195"/>
      <c r="J252" s="193">
        <f t="shared" si="7"/>
        <v>0</v>
      </c>
      <c r="K252" s="93" t="str">
        <f t="shared" si="8"/>
        <v/>
      </c>
      <c r="L252" s="90"/>
    </row>
    <row r="253" spans="1:12" x14ac:dyDescent="0.2">
      <c r="A253" s="196"/>
      <c r="B253" s="86"/>
      <c r="C253" s="86"/>
      <c r="D253" s="86"/>
      <c r="E253" s="86"/>
      <c r="F253" s="88"/>
      <c r="G253" s="88"/>
      <c r="H253" s="86"/>
      <c r="I253" s="197"/>
      <c r="J253" s="191">
        <f t="shared" si="7"/>
        <v>0</v>
      </c>
      <c r="K253" s="89" t="str">
        <f t="shared" si="8"/>
        <v/>
      </c>
      <c r="L253" s="86"/>
    </row>
    <row r="254" spans="1:12" x14ac:dyDescent="0.2">
      <c r="A254" s="194"/>
      <c r="B254" s="90"/>
      <c r="C254" s="90"/>
      <c r="D254" s="90"/>
      <c r="E254" s="90"/>
      <c r="F254" s="92"/>
      <c r="G254" s="92"/>
      <c r="H254" s="90"/>
      <c r="I254" s="195"/>
      <c r="J254" s="193">
        <f t="shared" si="7"/>
        <v>0</v>
      </c>
      <c r="K254" s="93" t="str">
        <f t="shared" si="8"/>
        <v/>
      </c>
      <c r="L254" s="90"/>
    </row>
    <row r="255" spans="1:12" x14ac:dyDescent="0.2">
      <c r="A255" s="196"/>
      <c r="B255" s="86"/>
      <c r="C255" s="86"/>
      <c r="D255" s="86"/>
      <c r="E255" s="86"/>
      <c r="F255" s="88"/>
      <c r="G255" s="88"/>
      <c r="H255" s="86"/>
      <c r="I255" s="197"/>
      <c r="J255" s="191">
        <f t="shared" si="7"/>
        <v>0</v>
      </c>
      <c r="K255" s="89" t="str">
        <f t="shared" si="8"/>
        <v/>
      </c>
      <c r="L255" s="86"/>
    </row>
    <row r="256" spans="1:12" x14ac:dyDescent="0.2">
      <c r="A256" s="194"/>
      <c r="B256" s="90"/>
      <c r="C256" s="90"/>
      <c r="D256" s="90"/>
      <c r="E256" s="90"/>
      <c r="F256" s="92"/>
      <c r="G256" s="92"/>
      <c r="H256" s="90"/>
      <c r="I256" s="195"/>
      <c r="J256" s="193">
        <f t="shared" si="7"/>
        <v>0</v>
      </c>
      <c r="K256" s="93" t="str">
        <f t="shared" si="8"/>
        <v/>
      </c>
      <c r="L256" s="90"/>
    </row>
    <row r="257" spans="1:12" x14ac:dyDescent="0.2">
      <c r="A257" s="196"/>
      <c r="B257" s="86"/>
      <c r="C257" s="86"/>
      <c r="D257" s="86"/>
      <c r="E257" s="86"/>
      <c r="F257" s="88"/>
      <c r="G257" s="88"/>
      <c r="H257" s="86"/>
      <c r="I257" s="197"/>
      <c r="J257" s="191">
        <f t="shared" si="7"/>
        <v>0</v>
      </c>
      <c r="K257" s="89" t="str">
        <f t="shared" si="8"/>
        <v/>
      </c>
      <c r="L257" s="86"/>
    </row>
    <row r="258" spans="1:12" x14ac:dyDescent="0.2">
      <c r="A258" s="194"/>
      <c r="B258" s="90"/>
      <c r="C258" s="90"/>
      <c r="D258" s="90"/>
      <c r="E258" s="90"/>
      <c r="F258" s="92"/>
      <c r="G258" s="92"/>
      <c r="H258" s="90"/>
      <c r="I258" s="195"/>
      <c r="J258" s="193">
        <f t="shared" si="7"/>
        <v>0</v>
      </c>
      <c r="K258" s="93" t="str">
        <f t="shared" si="8"/>
        <v/>
      </c>
      <c r="L258" s="90"/>
    </row>
    <row r="259" spans="1:12" x14ac:dyDescent="0.2">
      <c r="A259" s="196"/>
      <c r="B259" s="86"/>
      <c r="C259" s="86"/>
      <c r="D259" s="86"/>
      <c r="E259" s="86"/>
      <c r="F259" s="88"/>
      <c r="G259" s="88"/>
      <c r="H259" s="86"/>
      <c r="I259" s="197"/>
      <c r="J259" s="191">
        <f t="shared" si="7"/>
        <v>0</v>
      </c>
      <c r="K259" s="89" t="str">
        <f t="shared" si="8"/>
        <v/>
      </c>
      <c r="L259" s="86"/>
    </row>
    <row r="260" spans="1:12" x14ac:dyDescent="0.2">
      <c r="A260" s="194"/>
      <c r="B260" s="90"/>
      <c r="C260" s="90"/>
      <c r="D260" s="90"/>
      <c r="E260" s="90"/>
      <c r="F260" s="92"/>
      <c r="G260" s="92"/>
      <c r="H260" s="90"/>
      <c r="I260" s="195"/>
      <c r="J260" s="193">
        <f t="shared" si="7"/>
        <v>0</v>
      </c>
      <c r="K260" s="93" t="str">
        <f t="shared" si="8"/>
        <v/>
      </c>
      <c r="L260" s="90"/>
    </row>
    <row r="261" spans="1:12" x14ac:dyDescent="0.2">
      <c r="A261" s="196"/>
      <c r="B261" s="86"/>
      <c r="C261" s="86"/>
      <c r="D261" s="86"/>
      <c r="E261" s="86"/>
      <c r="F261" s="88"/>
      <c r="G261" s="88"/>
      <c r="H261" s="86"/>
      <c r="I261" s="197"/>
      <c r="J261" s="191">
        <f t="shared" ref="J261:J324" si="9">IFERROR(F261-E261-G261-H261-I261,"")</f>
        <v>0</v>
      </c>
      <c r="K261" s="89" t="str">
        <f t="shared" ref="K261:K324" si="10">IFERROR(J261/F261,"")</f>
        <v/>
      </c>
      <c r="L261" s="86"/>
    </row>
    <row r="262" spans="1:12" x14ac:dyDescent="0.2">
      <c r="A262" s="194"/>
      <c r="B262" s="90"/>
      <c r="C262" s="90"/>
      <c r="D262" s="90"/>
      <c r="E262" s="90"/>
      <c r="F262" s="92"/>
      <c r="G262" s="92"/>
      <c r="H262" s="90"/>
      <c r="I262" s="195"/>
      <c r="J262" s="193">
        <f t="shared" si="9"/>
        <v>0</v>
      </c>
      <c r="K262" s="93" t="str">
        <f t="shared" si="10"/>
        <v/>
      </c>
      <c r="L262" s="90"/>
    </row>
    <row r="263" spans="1:12" x14ac:dyDescent="0.2">
      <c r="A263" s="196"/>
      <c r="B263" s="86"/>
      <c r="C263" s="86"/>
      <c r="D263" s="86"/>
      <c r="E263" s="86"/>
      <c r="F263" s="88"/>
      <c r="G263" s="88"/>
      <c r="H263" s="86"/>
      <c r="I263" s="197"/>
      <c r="J263" s="191">
        <f t="shared" si="9"/>
        <v>0</v>
      </c>
      <c r="K263" s="89" t="str">
        <f t="shared" si="10"/>
        <v/>
      </c>
      <c r="L263" s="86"/>
    </row>
    <row r="264" spans="1:12" x14ac:dyDescent="0.2">
      <c r="A264" s="194"/>
      <c r="B264" s="90"/>
      <c r="C264" s="90"/>
      <c r="D264" s="90"/>
      <c r="E264" s="90"/>
      <c r="F264" s="92"/>
      <c r="G264" s="92"/>
      <c r="H264" s="90"/>
      <c r="I264" s="195"/>
      <c r="J264" s="193">
        <f t="shared" si="9"/>
        <v>0</v>
      </c>
      <c r="K264" s="93" t="str">
        <f t="shared" si="10"/>
        <v/>
      </c>
      <c r="L264" s="90"/>
    </row>
    <row r="265" spans="1:12" x14ac:dyDescent="0.2">
      <c r="A265" s="196"/>
      <c r="B265" s="86"/>
      <c r="C265" s="86"/>
      <c r="D265" s="86"/>
      <c r="E265" s="86"/>
      <c r="F265" s="88"/>
      <c r="G265" s="88"/>
      <c r="H265" s="86"/>
      <c r="I265" s="197"/>
      <c r="J265" s="191">
        <f t="shared" si="9"/>
        <v>0</v>
      </c>
      <c r="K265" s="89" t="str">
        <f t="shared" si="10"/>
        <v/>
      </c>
      <c r="L265" s="86"/>
    </row>
    <row r="266" spans="1:12" x14ac:dyDescent="0.2">
      <c r="A266" s="194"/>
      <c r="B266" s="90"/>
      <c r="C266" s="90"/>
      <c r="D266" s="90"/>
      <c r="E266" s="90"/>
      <c r="F266" s="92"/>
      <c r="G266" s="92"/>
      <c r="H266" s="90"/>
      <c r="I266" s="195"/>
      <c r="J266" s="193">
        <f t="shared" si="9"/>
        <v>0</v>
      </c>
      <c r="K266" s="93" t="str">
        <f t="shared" si="10"/>
        <v/>
      </c>
      <c r="L266" s="90"/>
    </row>
    <row r="267" spans="1:12" x14ac:dyDescent="0.2">
      <c r="A267" s="196"/>
      <c r="B267" s="86"/>
      <c r="C267" s="86"/>
      <c r="D267" s="86"/>
      <c r="E267" s="86"/>
      <c r="F267" s="88"/>
      <c r="G267" s="88"/>
      <c r="H267" s="86"/>
      <c r="I267" s="197"/>
      <c r="J267" s="191">
        <f t="shared" si="9"/>
        <v>0</v>
      </c>
      <c r="K267" s="89" t="str">
        <f t="shared" si="10"/>
        <v/>
      </c>
      <c r="L267" s="86"/>
    </row>
    <row r="268" spans="1:12" x14ac:dyDescent="0.2">
      <c r="A268" s="194"/>
      <c r="B268" s="90"/>
      <c r="C268" s="90"/>
      <c r="D268" s="90"/>
      <c r="E268" s="90"/>
      <c r="F268" s="92"/>
      <c r="G268" s="92"/>
      <c r="H268" s="90"/>
      <c r="I268" s="195"/>
      <c r="J268" s="193">
        <f t="shared" si="9"/>
        <v>0</v>
      </c>
      <c r="K268" s="93" t="str">
        <f t="shared" si="10"/>
        <v/>
      </c>
      <c r="L268" s="90"/>
    </row>
    <row r="269" spans="1:12" x14ac:dyDescent="0.2">
      <c r="A269" s="196"/>
      <c r="B269" s="86"/>
      <c r="C269" s="86"/>
      <c r="D269" s="86"/>
      <c r="E269" s="86"/>
      <c r="F269" s="88"/>
      <c r="G269" s="88"/>
      <c r="H269" s="86"/>
      <c r="I269" s="197"/>
      <c r="J269" s="191">
        <f t="shared" si="9"/>
        <v>0</v>
      </c>
      <c r="K269" s="89" t="str">
        <f t="shared" si="10"/>
        <v/>
      </c>
      <c r="L269" s="86"/>
    </row>
    <row r="270" spans="1:12" x14ac:dyDescent="0.2">
      <c r="A270" s="194"/>
      <c r="B270" s="90"/>
      <c r="C270" s="90"/>
      <c r="D270" s="90"/>
      <c r="E270" s="90"/>
      <c r="F270" s="92"/>
      <c r="G270" s="92"/>
      <c r="H270" s="90"/>
      <c r="I270" s="195"/>
      <c r="J270" s="193">
        <f t="shared" si="9"/>
        <v>0</v>
      </c>
      <c r="K270" s="93" t="str">
        <f t="shared" si="10"/>
        <v/>
      </c>
      <c r="L270" s="90"/>
    </row>
    <row r="271" spans="1:12" x14ac:dyDescent="0.2">
      <c r="A271" s="196"/>
      <c r="B271" s="86"/>
      <c r="C271" s="86"/>
      <c r="D271" s="86"/>
      <c r="E271" s="86"/>
      <c r="F271" s="88"/>
      <c r="G271" s="88"/>
      <c r="H271" s="86"/>
      <c r="I271" s="197"/>
      <c r="J271" s="191">
        <f t="shared" si="9"/>
        <v>0</v>
      </c>
      <c r="K271" s="89" t="str">
        <f t="shared" si="10"/>
        <v/>
      </c>
      <c r="L271" s="86"/>
    </row>
    <row r="272" spans="1:12" x14ac:dyDescent="0.2">
      <c r="A272" s="194"/>
      <c r="B272" s="90"/>
      <c r="C272" s="90"/>
      <c r="D272" s="90"/>
      <c r="E272" s="90"/>
      <c r="F272" s="92"/>
      <c r="G272" s="92"/>
      <c r="H272" s="90"/>
      <c r="I272" s="195"/>
      <c r="J272" s="193">
        <f t="shared" si="9"/>
        <v>0</v>
      </c>
      <c r="K272" s="93" t="str">
        <f t="shared" si="10"/>
        <v/>
      </c>
      <c r="L272" s="90"/>
    </row>
    <row r="273" spans="1:12" x14ac:dyDescent="0.2">
      <c r="A273" s="196"/>
      <c r="B273" s="86"/>
      <c r="C273" s="86"/>
      <c r="D273" s="86"/>
      <c r="E273" s="86"/>
      <c r="F273" s="88"/>
      <c r="G273" s="88"/>
      <c r="H273" s="86"/>
      <c r="I273" s="197"/>
      <c r="J273" s="191">
        <f t="shared" si="9"/>
        <v>0</v>
      </c>
      <c r="K273" s="89" t="str">
        <f t="shared" si="10"/>
        <v/>
      </c>
      <c r="L273" s="86"/>
    </row>
    <row r="274" spans="1:12" x14ac:dyDescent="0.2">
      <c r="A274" s="194"/>
      <c r="B274" s="90"/>
      <c r="C274" s="90"/>
      <c r="D274" s="90"/>
      <c r="E274" s="90"/>
      <c r="F274" s="92"/>
      <c r="G274" s="92"/>
      <c r="H274" s="90"/>
      <c r="I274" s="195"/>
      <c r="J274" s="193">
        <f t="shared" si="9"/>
        <v>0</v>
      </c>
      <c r="K274" s="93" t="str">
        <f t="shared" si="10"/>
        <v/>
      </c>
      <c r="L274" s="90"/>
    </row>
    <row r="275" spans="1:12" x14ac:dyDescent="0.2">
      <c r="A275" s="196"/>
      <c r="B275" s="86"/>
      <c r="C275" s="86"/>
      <c r="D275" s="86"/>
      <c r="E275" s="86"/>
      <c r="F275" s="88"/>
      <c r="G275" s="88"/>
      <c r="H275" s="86"/>
      <c r="I275" s="197"/>
      <c r="J275" s="191">
        <f t="shared" si="9"/>
        <v>0</v>
      </c>
      <c r="K275" s="89" t="str">
        <f t="shared" si="10"/>
        <v/>
      </c>
      <c r="L275" s="86"/>
    </row>
    <row r="276" spans="1:12" x14ac:dyDescent="0.2">
      <c r="A276" s="194"/>
      <c r="B276" s="90"/>
      <c r="C276" s="90"/>
      <c r="D276" s="90"/>
      <c r="E276" s="90"/>
      <c r="F276" s="92"/>
      <c r="G276" s="92"/>
      <c r="H276" s="90"/>
      <c r="I276" s="195"/>
      <c r="J276" s="193">
        <f t="shared" si="9"/>
        <v>0</v>
      </c>
      <c r="K276" s="93" t="str">
        <f t="shared" si="10"/>
        <v/>
      </c>
      <c r="L276" s="90"/>
    </row>
    <row r="277" spans="1:12" x14ac:dyDescent="0.2">
      <c r="A277" s="196"/>
      <c r="B277" s="86"/>
      <c r="C277" s="86"/>
      <c r="D277" s="86"/>
      <c r="E277" s="86"/>
      <c r="F277" s="88"/>
      <c r="G277" s="88"/>
      <c r="H277" s="86"/>
      <c r="I277" s="197"/>
      <c r="J277" s="191">
        <f t="shared" si="9"/>
        <v>0</v>
      </c>
      <c r="K277" s="89" t="str">
        <f t="shared" si="10"/>
        <v/>
      </c>
      <c r="L277" s="86"/>
    </row>
    <row r="278" spans="1:12" x14ac:dyDescent="0.2">
      <c r="A278" s="194"/>
      <c r="B278" s="90"/>
      <c r="C278" s="90"/>
      <c r="D278" s="90"/>
      <c r="E278" s="90"/>
      <c r="F278" s="92"/>
      <c r="G278" s="92"/>
      <c r="H278" s="90"/>
      <c r="I278" s="195"/>
      <c r="J278" s="193">
        <f t="shared" si="9"/>
        <v>0</v>
      </c>
      <c r="K278" s="93" t="str">
        <f t="shared" si="10"/>
        <v/>
      </c>
      <c r="L278" s="90"/>
    </row>
    <row r="279" spans="1:12" x14ac:dyDescent="0.2">
      <c r="A279" s="196"/>
      <c r="B279" s="86"/>
      <c r="C279" s="86"/>
      <c r="D279" s="86"/>
      <c r="E279" s="86"/>
      <c r="F279" s="88"/>
      <c r="G279" s="88"/>
      <c r="H279" s="86"/>
      <c r="I279" s="197"/>
      <c r="J279" s="191">
        <f t="shared" si="9"/>
        <v>0</v>
      </c>
      <c r="K279" s="89" t="str">
        <f t="shared" si="10"/>
        <v/>
      </c>
      <c r="L279" s="86"/>
    </row>
    <row r="280" spans="1:12" x14ac:dyDescent="0.2">
      <c r="A280" s="194"/>
      <c r="B280" s="90"/>
      <c r="C280" s="90"/>
      <c r="D280" s="90"/>
      <c r="E280" s="90"/>
      <c r="F280" s="92"/>
      <c r="G280" s="92"/>
      <c r="H280" s="90"/>
      <c r="I280" s="195"/>
      <c r="J280" s="193">
        <f t="shared" si="9"/>
        <v>0</v>
      </c>
      <c r="K280" s="93" t="str">
        <f t="shared" si="10"/>
        <v/>
      </c>
      <c r="L280" s="90"/>
    </row>
    <row r="281" spans="1:12" x14ac:dyDescent="0.2">
      <c r="A281" s="196"/>
      <c r="B281" s="86"/>
      <c r="C281" s="86"/>
      <c r="D281" s="86"/>
      <c r="E281" s="86"/>
      <c r="F281" s="88"/>
      <c r="G281" s="88"/>
      <c r="H281" s="86"/>
      <c r="I281" s="197"/>
      <c r="J281" s="191">
        <f t="shared" si="9"/>
        <v>0</v>
      </c>
      <c r="K281" s="89" t="str">
        <f t="shared" si="10"/>
        <v/>
      </c>
      <c r="L281" s="86"/>
    </row>
    <row r="282" spans="1:12" x14ac:dyDescent="0.2">
      <c r="A282" s="194"/>
      <c r="B282" s="90"/>
      <c r="C282" s="90"/>
      <c r="D282" s="90"/>
      <c r="E282" s="90"/>
      <c r="F282" s="92"/>
      <c r="G282" s="92"/>
      <c r="H282" s="90"/>
      <c r="I282" s="195"/>
      <c r="J282" s="193">
        <f t="shared" si="9"/>
        <v>0</v>
      </c>
      <c r="K282" s="93" t="str">
        <f t="shared" si="10"/>
        <v/>
      </c>
      <c r="L282" s="90"/>
    </row>
    <row r="283" spans="1:12" x14ac:dyDescent="0.2">
      <c r="A283" s="196"/>
      <c r="B283" s="86"/>
      <c r="C283" s="86"/>
      <c r="D283" s="86"/>
      <c r="E283" s="86"/>
      <c r="F283" s="88"/>
      <c r="G283" s="88"/>
      <c r="H283" s="86"/>
      <c r="I283" s="197"/>
      <c r="J283" s="191">
        <f t="shared" si="9"/>
        <v>0</v>
      </c>
      <c r="K283" s="89" t="str">
        <f t="shared" si="10"/>
        <v/>
      </c>
      <c r="L283" s="86"/>
    </row>
    <row r="284" spans="1:12" x14ac:dyDescent="0.2">
      <c r="A284" s="194"/>
      <c r="B284" s="90"/>
      <c r="C284" s="90"/>
      <c r="D284" s="90"/>
      <c r="E284" s="90"/>
      <c r="F284" s="92"/>
      <c r="G284" s="92"/>
      <c r="H284" s="90"/>
      <c r="I284" s="195"/>
      <c r="J284" s="193">
        <f t="shared" si="9"/>
        <v>0</v>
      </c>
      <c r="K284" s="93" t="str">
        <f t="shared" si="10"/>
        <v/>
      </c>
      <c r="L284" s="90"/>
    </row>
    <row r="285" spans="1:12" x14ac:dyDescent="0.2">
      <c r="A285" s="196"/>
      <c r="B285" s="86"/>
      <c r="C285" s="86"/>
      <c r="D285" s="86"/>
      <c r="E285" s="86"/>
      <c r="F285" s="88"/>
      <c r="G285" s="88"/>
      <c r="H285" s="86"/>
      <c r="I285" s="197"/>
      <c r="J285" s="191">
        <f t="shared" si="9"/>
        <v>0</v>
      </c>
      <c r="K285" s="89" t="str">
        <f t="shared" si="10"/>
        <v/>
      </c>
      <c r="L285" s="86"/>
    </row>
    <row r="286" spans="1:12" x14ac:dyDescent="0.2">
      <c r="A286" s="194"/>
      <c r="B286" s="90"/>
      <c r="C286" s="90"/>
      <c r="D286" s="90"/>
      <c r="E286" s="90"/>
      <c r="F286" s="92"/>
      <c r="G286" s="92"/>
      <c r="H286" s="90"/>
      <c r="I286" s="195"/>
      <c r="J286" s="193">
        <f t="shared" si="9"/>
        <v>0</v>
      </c>
      <c r="K286" s="93" t="str">
        <f t="shared" si="10"/>
        <v/>
      </c>
      <c r="L286" s="90"/>
    </row>
    <row r="287" spans="1:12" x14ac:dyDescent="0.2">
      <c r="A287" s="196"/>
      <c r="B287" s="86"/>
      <c r="C287" s="86"/>
      <c r="D287" s="86"/>
      <c r="E287" s="86"/>
      <c r="F287" s="88"/>
      <c r="G287" s="88"/>
      <c r="H287" s="86"/>
      <c r="I287" s="197"/>
      <c r="J287" s="191">
        <f t="shared" si="9"/>
        <v>0</v>
      </c>
      <c r="K287" s="89" t="str">
        <f t="shared" si="10"/>
        <v/>
      </c>
      <c r="L287" s="86"/>
    </row>
    <row r="288" spans="1:12" x14ac:dyDescent="0.2">
      <c r="A288" s="194"/>
      <c r="B288" s="90"/>
      <c r="C288" s="90"/>
      <c r="D288" s="90"/>
      <c r="E288" s="90"/>
      <c r="F288" s="92"/>
      <c r="G288" s="92"/>
      <c r="H288" s="90"/>
      <c r="I288" s="195"/>
      <c r="J288" s="193">
        <f t="shared" si="9"/>
        <v>0</v>
      </c>
      <c r="K288" s="93" t="str">
        <f t="shared" si="10"/>
        <v/>
      </c>
      <c r="L288" s="90"/>
    </row>
    <row r="289" spans="1:12" x14ac:dyDescent="0.2">
      <c r="A289" s="196"/>
      <c r="B289" s="86"/>
      <c r="C289" s="86"/>
      <c r="D289" s="86"/>
      <c r="E289" s="86"/>
      <c r="F289" s="88"/>
      <c r="G289" s="88"/>
      <c r="H289" s="86"/>
      <c r="I289" s="197"/>
      <c r="J289" s="191">
        <f t="shared" si="9"/>
        <v>0</v>
      </c>
      <c r="K289" s="89" t="str">
        <f t="shared" si="10"/>
        <v/>
      </c>
      <c r="L289" s="86"/>
    </row>
    <row r="290" spans="1:12" x14ac:dyDescent="0.2">
      <c r="A290" s="194"/>
      <c r="B290" s="90"/>
      <c r="C290" s="90"/>
      <c r="D290" s="90"/>
      <c r="E290" s="90"/>
      <c r="F290" s="92"/>
      <c r="G290" s="92"/>
      <c r="H290" s="90"/>
      <c r="I290" s="195"/>
      <c r="J290" s="193">
        <f t="shared" si="9"/>
        <v>0</v>
      </c>
      <c r="K290" s="93" t="str">
        <f t="shared" si="10"/>
        <v/>
      </c>
      <c r="L290" s="90"/>
    </row>
    <row r="291" spans="1:12" x14ac:dyDescent="0.2">
      <c r="A291" s="196"/>
      <c r="B291" s="86"/>
      <c r="C291" s="86"/>
      <c r="D291" s="86"/>
      <c r="E291" s="86"/>
      <c r="F291" s="88"/>
      <c r="G291" s="88"/>
      <c r="H291" s="86"/>
      <c r="I291" s="197"/>
      <c r="J291" s="191">
        <f t="shared" si="9"/>
        <v>0</v>
      </c>
      <c r="K291" s="89" t="str">
        <f t="shared" si="10"/>
        <v/>
      </c>
      <c r="L291" s="86"/>
    </row>
    <row r="292" spans="1:12" x14ac:dyDescent="0.2">
      <c r="A292" s="194"/>
      <c r="B292" s="90"/>
      <c r="C292" s="90"/>
      <c r="D292" s="90"/>
      <c r="E292" s="90"/>
      <c r="F292" s="92"/>
      <c r="G292" s="92"/>
      <c r="H292" s="90"/>
      <c r="I292" s="195"/>
      <c r="J292" s="193">
        <f t="shared" si="9"/>
        <v>0</v>
      </c>
      <c r="K292" s="93" t="str">
        <f t="shared" si="10"/>
        <v/>
      </c>
      <c r="L292" s="90"/>
    </row>
    <row r="293" spans="1:12" x14ac:dyDescent="0.2">
      <c r="A293" s="196"/>
      <c r="B293" s="86"/>
      <c r="C293" s="86"/>
      <c r="D293" s="86"/>
      <c r="E293" s="86"/>
      <c r="F293" s="88"/>
      <c r="G293" s="88"/>
      <c r="H293" s="86"/>
      <c r="I293" s="197"/>
      <c r="J293" s="191">
        <f t="shared" si="9"/>
        <v>0</v>
      </c>
      <c r="K293" s="89" t="str">
        <f t="shared" si="10"/>
        <v/>
      </c>
      <c r="L293" s="86"/>
    </row>
    <row r="294" spans="1:12" x14ac:dyDescent="0.2">
      <c r="A294" s="194"/>
      <c r="B294" s="90"/>
      <c r="C294" s="90"/>
      <c r="D294" s="90"/>
      <c r="E294" s="90"/>
      <c r="F294" s="92"/>
      <c r="G294" s="92"/>
      <c r="H294" s="90"/>
      <c r="I294" s="195"/>
      <c r="J294" s="193">
        <f t="shared" si="9"/>
        <v>0</v>
      </c>
      <c r="K294" s="93" t="str">
        <f t="shared" si="10"/>
        <v/>
      </c>
      <c r="L294" s="90"/>
    </row>
    <row r="295" spans="1:12" x14ac:dyDescent="0.2">
      <c r="A295" s="196"/>
      <c r="B295" s="86"/>
      <c r="C295" s="86"/>
      <c r="D295" s="86"/>
      <c r="E295" s="86"/>
      <c r="F295" s="88"/>
      <c r="G295" s="88"/>
      <c r="H295" s="86"/>
      <c r="I295" s="197"/>
      <c r="J295" s="191">
        <f t="shared" si="9"/>
        <v>0</v>
      </c>
      <c r="K295" s="89" t="str">
        <f t="shared" si="10"/>
        <v/>
      </c>
      <c r="L295" s="86"/>
    </row>
    <row r="296" spans="1:12" x14ac:dyDescent="0.2">
      <c r="A296" s="194"/>
      <c r="B296" s="90"/>
      <c r="C296" s="90"/>
      <c r="D296" s="90"/>
      <c r="E296" s="90"/>
      <c r="F296" s="92"/>
      <c r="G296" s="92"/>
      <c r="H296" s="90"/>
      <c r="I296" s="195"/>
      <c r="J296" s="193">
        <f t="shared" si="9"/>
        <v>0</v>
      </c>
      <c r="K296" s="93" t="str">
        <f t="shared" si="10"/>
        <v/>
      </c>
      <c r="L296" s="90"/>
    </row>
    <row r="297" spans="1:12" x14ac:dyDescent="0.2">
      <c r="A297" s="196"/>
      <c r="B297" s="86"/>
      <c r="C297" s="86"/>
      <c r="D297" s="86"/>
      <c r="E297" s="86"/>
      <c r="F297" s="88"/>
      <c r="G297" s="88"/>
      <c r="H297" s="86"/>
      <c r="I297" s="197"/>
      <c r="J297" s="191">
        <f t="shared" si="9"/>
        <v>0</v>
      </c>
      <c r="K297" s="89" t="str">
        <f t="shared" si="10"/>
        <v/>
      </c>
      <c r="L297" s="86"/>
    </row>
    <row r="298" spans="1:12" x14ac:dyDescent="0.2">
      <c r="A298" s="194"/>
      <c r="B298" s="90"/>
      <c r="C298" s="90"/>
      <c r="D298" s="90"/>
      <c r="E298" s="90"/>
      <c r="F298" s="92"/>
      <c r="G298" s="92"/>
      <c r="H298" s="90"/>
      <c r="I298" s="195"/>
      <c r="J298" s="193">
        <f t="shared" si="9"/>
        <v>0</v>
      </c>
      <c r="K298" s="93" t="str">
        <f t="shared" si="10"/>
        <v/>
      </c>
      <c r="L298" s="90"/>
    </row>
    <row r="299" spans="1:12" x14ac:dyDescent="0.2">
      <c r="A299" s="196"/>
      <c r="B299" s="86"/>
      <c r="C299" s="86"/>
      <c r="D299" s="86"/>
      <c r="E299" s="86"/>
      <c r="F299" s="88"/>
      <c r="G299" s="88"/>
      <c r="H299" s="86"/>
      <c r="I299" s="197"/>
      <c r="J299" s="191">
        <f t="shared" si="9"/>
        <v>0</v>
      </c>
      <c r="K299" s="89" t="str">
        <f t="shared" si="10"/>
        <v/>
      </c>
      <c r="L299" s="86"/>
    </row>
    <row r="300" spans="1:12" x14ac:dyDescent="0.2">
      <c r="A300" s="194"/>
      <c r="B300" s="90"/>
      <c r="C300" s="90"/>
      <c r="D300" s="90"/>
      <c r="E300" s="90"/>
      <c r="F300" s="92"/>
      <c r="G300" s="92"/>
      <c r="H300" s="90"/>
      <c r="I300" s="195"/>
      <c r="J300" s="193">
        <f t="shared" si="9"/>
        <v>0</v>
      </c>
      <c r="K300" s="93" t="str">
        <f t="shared" si="10"/>
        <v/>
      </c>
      <c r="L300" s="90"/>
    </row>
    <row r="301" spans="1:12" x14ac:dyDescent="0.2">
      <c r="A301" s="196"/>
      <c r="B301" s="86"/>
      <c r="C301" s="86"/>
      <c r="D301" s="86"/>
      <c r="E301" s="86"/>
      <c r="F301" s="88"/>
      <c r="G301" s="88"/>
      <c r="H301" s="86"/>
      <c r="I301" s="197"/>
      <c r="J301" s="191">
        <f t="shared" si="9"/>
        <v>0</v>
      </c>
      <c r="K301" s="89" t="str">
        <f t="shared" si="10"/>
        <v/>
      </c>
      <c r="L301" s="86"/>
    </row>
    <row r="302" spans="1:12" x14ac:dyDescent="0.2">
      <c r="A302" s="194"/>
      <c r="B302" s="90"/>
      <c r="C302" s="90"/>
      <c r="D302" s="90"/>
      <c r="E302" s="90"/>
      <c r="F302" s="92"/>
      <c r="G302" s="92"/>
      <c r="H302" s="90"/>
      <c r="I302" s="195"/>
      <c r="J302" s="193">
        <f t="shared" si="9"/>
        <v>0</v>
      </c>
      <c r="K302" s="93" t="str">
        <f t="shared" si="10"/>
        <v/>
      </c>
      <c r="L302" s="90"/>
    </row>
    <row r="303" spans="1:12" x14ac:dyDescent="0.2">
      <c r="A303" s="196"/>
      <c r="B303" s="86"/>
      <c r="C303" s="86"/>
      <c r="D303" s="86"/>
      <c r="E303" s="86"/>
      <c r="F303" s="88"/>
      <c r="G303" s="88"/>
      <c r="H303" s="86"/>
      <c r="I303" s="197"/>
      <c r="J303" s="191">
        <f t="shared" si="9"/>
        <v>0</v>
      </c>
      <c r="K303" s="89" t="str">
        <f t="shared" si="10"/>
        <v/>
      </c>
      <c r="L303" s="86"/>
    </row>
    <row r="304" spans="1:12" x14ac:dyDescent="0.2">
      <c r="A304" s="194"/>
      <c r="B304" s="90"/>
      <c r="C304" s="90"/>
      <c r="D304" s="90"/>
      <c r="E304" s="90"/>
      <c r="F304" s="92"/>
      <c r="G304" s="92"/>
      <c r="H304" s="90"/>
      <c r="I304" s="195"/>
      <c r="J304" s="193">
        <f t="shared" si="9"/>
        <v>0</v>
      </c>
      <c r="K304" s="93" t="str">
        <f t="shared" si="10"/>
        <v/>
      </c>
      <c r="L304" s="90"/>
    </row>
    <row r="305" spans="1:12" x14ac:dyDescent="0.2">
      <c r="A305" s="196"/>
      <c r="B305" s="86"/>
      <c r="C305" s="86"/>
      <c r="D305" s="86"/>
      <c r="E305" s="86"/>
      <c r="F305" s="88"/>
      <c r="G305" s="88"/>
      <c r="H305" s="86"/>
      <c r="I305" s="197"/>
      <c r="J305" s="191">
        <f t="shared" si="9"/>
        <v>0</v>
      </c>
      <c r="K305" s="89" t="str">
        <f t="shared" si="10"/>
        <v/>
      </c>
      <c r="L305" s="86"/>
    </row>
    <row r="306" spans="1:12" x14ac:dyDescent="0.2">
      <c r="A306" s="194"/>
      <c r="B306" s="90"/>
      <c r="C306" s="90"/>
      <c r="D306" s="90"/>
      <c r="E306" s="90"/>
      <c r="F306" s="92"/>
      <c r="G306" s="92"/>
      <c r="H306" s="90"/>
      <c r="I306" s="195"/>
      <c r="J306" s="193">
        <f t="shared" si="9"/>
        <v>0</v>
      </c>
      <c r="K306" s="93" t="str">
        <f t="shared" si="10"/>
        <v/>
      </c>
      <c r="L306" s="90"/>
    </row>
    <row r="307" spans="1:12" x14ac:dyDescent="0.2">
      <c r="A307" s="196"/>
      <c r="B307" s="86"/>
      <c r="C307" s="86"/>
      <c r="D307" s="86"/>
      <c r="E307" s="86"/>
      <c r="F307" s="88"/>
      <c r="G307" s="88"/>
      <c r="H307" s="86"/>
      <c r="I307" s="197"/>
      <c r="J307" s="191">
        <f t="shared" si="9"/>
        <v>0</v>
      </c>
      <c r="K307" s="89" t="str">
        <f t="shared" si="10"/>
        <v/>
      </c>
      <c r="L307" s="86"/>
    </row>
    <row r="308" spans="1:12" x14ac:dyDescent="0.2">
      <c r="A308" s="194"/>
      <c r="B308" s="90"/>
      <c r="C308" s="90"/>
      <c r="D308" s="90"/>
      <c r="E308" s="90"/>
      <c r="F308" s="92"/>
      <c r="G308" s="92"/>
      <c r="H308" s="90"/>
      <c r="I308" s="195"/>
      <c r="J308" s="193">
        <f t="shared" si="9"/>
        <v>0</v>
      </c>
      <c r="K308" s="93" t="str">
        <f t="shared" si="10"/>
        <v/>
      </c>
      <c r="L308" s="90"/>
    </row>
    <row r="309" spans="1:12" x14ac:dyDescent="0.2">
      <c r="A309" s="196"/>
      <c r="B309" s="86"/>
      <c r="C309" s="86"/>
      <c r="D309" s="86"/>
      <c r="E309" s="86"/>
      <c r="F309" s="88"/>
      <c r="G309" s="88"/>
      <c r="H309" s="86"/>
      <c r="I309" s="197"/>
      <c r="J309" s="191">
        <f t="shared" si="9"/>
        <v>0</v>
      </c>
      <c r="K309" s="89" t="str">
        <f t="shared" si="10"/>
        <v/>
      </c>
      <c r="L309" s="86"/>
    </row>
    <row r="310" spans="1:12" x14ac:dyDescent="0.2">
      <c r="A310" s="194"/>
      <c r="B310" s="90"/>
      <c r="C310" s="90"/>
      <c r="D310" s="90"/>
      <c r="E310" s="90"/>
      <c r="F310" s="92"/>
      <c r="G310" s="92"/>
      <c r="H310" s="90"/>
      <c r="I310" s="195"/>
      <c r="J310" s="193">
        <f t="shared" si="9"/>
        <v>0</v>
      </c>
      <c r="K310" s="93" t="str">
        <f t="shared" si="10"/>
        <v/>
      </c>
      <c r="L310" s="90"/>
    </row>
    <row r="311" spans="1:12" x14ac:dyDescent="0.2">
      <c r="A311" s="196"/>
      <c r="B311" s="86"/>
      <c r="C311" s="86"/>
      <c r="D311" s="86"/>
      <c r="E311" s="86"/>
      <c r="F311" s="88"/>
      <c r="G311" s="88"/>
      <c r="H311" s="86"/>
      <c r="I311" s="197"/>
      <c r="J311" s="191">
        <f t="shared" si="9"/>
        <v>0</v>
      </c>
      <c r="K311" s="89" t="str">
        <f t="shared" si="10"/>
        <v/>
      </c>
      <c r="L311" s="86"/>
    </row>
    <row r="312" spans="1:12" x14ac:dyDescent="0.2">
      <c r="A312" s="194"/>
      <c r="B312" s="90"/>
      <c r="C312" s="90"/>
      <c r="D312" s="90"/>
      <c r="E312" s="90"/>
      <c r="F312" s="92"/>
      <c r="G312" s="92"/>
      <c r="H312" s="90"/>
      <c r="I312" s="195"/>
      <c r="J312" s="193">
        <f t="shared" si="9"/>
        <v>0</v>
      </c>
      <c r="K312" s="93" t="str">
        <f t="shared" si="10"/>
        <v/>
      </c>
      <c r="L312" s="90"/>
    </row>
    <row r="313" spans="1:12" x14ac:dyDescent="0.2">
      <c r="A313" s="196"/>
      <c r="B313" s="86"/>
      <c r="C313" s="86"/>
      <c r="D313" s="86"/>
      <c r="E313" s="86"/>
      <c r="F313" s="88"/>
      <c r="G313" s="88"/>
      <c r="H313" s="86"/>
      <c r="I313" s="197"/>
      <c r="J313" s="191">
        <f t="shared" si="9"/>
        <v>0</v>
      </c>
      <c r="K313" s="89" t="str">
        <f t="shared" si="10"/>
        <v/>
      </c>
      <c r="L313" s="86"/>
    </row>
    <row r="314" spans="1:12" x14ac:dyDescent="0.2">
      <c r="A314" s="194"/>
      <c r="B314" s="90"/>
      <c r="C314" s="90"/>
      <c r="D314" s="90"/>
      <c r="E314" s="90"/>
      <c r="F314" s="92"/>
      <c r="G314" s="92"/>
      <c r="H314" s="90"/>
      <c r="I314" s="195"/>
      <c r="J314" s="193">
        <f t="shared" si="9"/>
        <v>0</v>
      </c>
      <c r="K314" s="93" t="str">
        <f t="shared" si="10"/>
        <v/>
      </c>
      <c r="L314" s="90"/>
    </row>
    <row r="315" spans="1:12" x14ac:dyDescent="0.2">
      <c r="A315" s="196"/>
      <c r="B315" s="86"/>
      <c r="C315" s="86"/>
      <c r="D315" s="86"/>
      <c r="E315" s="86"/>
      <c r="F315" s="88"/>
      <c r="G315" s="88"/>
      <c r="H315" s="86"/>
      <c r="I315" s="197"/>
      <c r="J315" s="191">
        <f t="shared" si="9"/>
        <v>0</v>
      </c>
      <c r="K315" s="89" t="str">
        <f t="shared" si="10"/>
        <v/>
      </c>
      <c r="L315" s="86"/>
    </row>
    <row r="316" spans="1:12" x14ac:dyDescent="0.2">
      <c r="A316" s="194"/>
      <c r="B316" s="90"/>
      <c r="C316" s="90"/>
      <c r="D316" s="90"/>
      <c r="E316" s="90"/>
      <c r="F316" s="92"/>
      <c r="G316" s="92"/>
      <c r="H316" s="90"/>
      <c r="I316" s="195"/>
      <c r="J316" s="193">
        <f t="shared" si="9"/>
        <v>0</v>
      </c>
      <c r="K316" s="93" t="str">
        <f t="shared" si="10"/>
        <v/>
      </c>
      <c r="L316" s="90"/>
    </row>
    <row r="317" spans="1:12" x14ac:dyDescent="0.2">
      <c r="A317" s="196"/>
      <c r="B317" s="86"/>
      <c r="C317" s="86"/>
      <c r="D317" s="86"/>
      <c r="E317" s="86"/>
      <c r="F317" s="88"/>
      <c r="G317" s="88"/>
      <c r="H317" s="86"/>
      <c r="I317" s="197"/>
      <c r="J317" s="191">
        <f t="shared" si="9"/>
        <v>0</v>
      </c>
      <c r="K317" s="89" t="str">
        <f t="shared" si="10"/>
        <v/>
      </c>
      <c r="L317" s="86"/>
    </row>
    <row r="318" spans="1:12" x14ac:dyDescent="0.2">
      <c r="A318" s="194"/>
      <c r="B318" s="90"/>
      <c r="C318" s="90"/>
      <c r="D318" s="90"/>
      <c r="E318" s="90"/>
      <c r="F318" s="92"/>
      <c r="G318" s="92"/>
      <c r="H318" s="90"/>
      <c r="I318" s="195"/>
      <c r="J318" s="193">
        <f t="shared" si="9"/>
        <v>0</v>
      </c>
      <c r="K318" s="93" t="str">
        <f t="shared" si="10"/>
        <v/>
      </c>
      <c r="L318" s="90"/>
    </row>
    <row r="319" spans="1:12" x14ac:dyDescent="0.2">
      <c r="A319" s="196"/>
      <c r="B319" s="86"/>
      <c r="C319" s="86"/>
      <c r="D319" s="86"/>
      <c r="E319" s="86"/>
      <c r="F319" s="88"/>
      <c r="G319" s="88"/>
      <c r="H319" s="86"/>
      <c r="I319" s="197"/>
      <c r="J319" s="191">
        <f t="shared" si="9"/>
        <v>0</v>
      </c>
      <c r="K319" s="89" t="str">
        <f t="shared" si="10"/>
        <v/>
      </c>
      <c r="L319" s="86"/>
    </row>
    <row r="320" spans="1:12" x14ac:dyDescent="0.2">
      <c r="A320" s="194"/>
      <c r="B320" s="90"/>
      <c r="C320" s="90"/>
      <c r="D320" s="90"/>
      <c r="E320" s="90"/>
      <c r="F320" s="92"/>
      <c r="G320" s="92"/>
      <c r="H320" s="90"/>
      <c r="I320" s="195"/>
      <c r="J320" s="193">
        <f t="shared" si="9"/>
        <v>0</v>
      </c>
      <c r="K320" s="93" t="str">
        <f t="shared" si="10"/>
        <v/>
      </c>
      <c r="L320" s="90"/>
    </row>
    <row r="321" spans="1:12" x14ac:dyDescent="0.2">
      <c r="A321" s="196"/>
      <c r="B321" s="86"/>
      <c r="C321" s="86"/>
      <c r="D321" s="86"/>
      <c r="E321" s="86"/>
      <c r="F321" s="88"/>
      <c r="G321" s="88"/>
      <c r="H321" s="86"/>
      <c r="I321" s="197"/>
      <c r="J321" s="191">
        <f t="shared" si="9"/>
        <v>0</v>
      </c>
      <c r="K321" s="89" t="str">
        <f t="shared" si="10"/>
        <v/>
      </c>
      <c r="L321" s="86"/>
    </row>
    <row r="322" spans="1:12" x14ac:dyDescent="0.2">
      <c r="A322" s="194"/>
      <c r="B322" s="90"/>
      <c r="C322" s="90"/>
      <c r="D322" s="90"/>
      <c r="E322" s="90"/>
      <c r="F322" s="92"/>
      <c r="G322" s="92"/>
      <c r="H322" s="90"/>
      <c r="I322" s="195"/>
      <c r="J322" s="193">
        <f t="shared" si="9"/>
        <v>0</v>
      </c>
      <c r="K322" s="93" t="str">
        <f t="shared" si="10"/>
        <v/>
      </c>
      <c r="L322" s="90"/>
    </row>
    <row r="323" spans="1:12" x14ac:dyDescent="0.2">
      <c r="A323" s="196"/>
      <c r="B323" s="86"/>
      <c r="C323" s="86"/>
      <c r="D323" s="86"/>
      <c r="E323" s="86"/>
      <c r="F323" s="88"/>
      <c r="G323" s="88"/>
      <c r="H323" s="86"/>
      <c r="I323" s="197"/>
      <c r="J323" s="191">
        <f t="shared" si="9"/>
        <v>0</v>
      </c>
      <c r="K323" s="89" t="str">
        <f t="shared" si="10"/>
        <v/>
      </c>
      <c r="L323" s="86"/>
    </row>
    <row r="324" spans="1:12" x14ac:dyDescent="0.2">
      <c r="A324" s="194"/>
      <c r="B324" s="90"/>
      <c r="C324" s="90"/>
      <c r="D324" s="90"/>
      <c r="E324" s="90"/>
      <c r="F324" s="92"/>
      <c r="G324" s="92"/>
      <c r="H324" s="90"/>
      <c r="I324" s="195"/>
      <c r="J324" s="193">
        <f t="shared" si="9"/>
        <v>0</v>
      </c>
      <c r="K324" s="93" t="str">
        <f t="shared" si="10"/>
        <v/>
      </c>
      <c r="L324" s="90"/>
    </row>
    <row r="325" spans="1:12" x14ac:dyDescent="0.2">
      <c r="A325" s="196"/>
      <c r="B325" s="86"/>
      <c r="C325" s="86"/>
      <c r="D325" s="86"/>
      <c r="E325" s="86"/>
      <c r="F325" s="88"/>
      <c r="G325" s="88"/>
      <c r="H325" s="86"/>
      <c r="I325" s="197"/>
      <c r="J325" s="191">
        <f t="shared" ref="J325:J388" si="11">IFERROR(F325-E325-G325-H325-I325,"")</f>
        <v>0</v>
      </c>
      <c r="K325" s="89" t="str">
        <f t="shared" ref="K325:K388" si="12">IFERROR(J325/F325,"")</f>
        <v/>
      </c>
      <c r="L325" s="86"/>
    </row>
    <row r="326" spans="1:12" x14ac:dyDescent="0.2">
      <c r="A326" s="194"/>
      <c r="B326" s="90"/>
      <c r="C326" s="90"/>
      <c r="D326" s="90"/>
      <c r="E326" s="90"/>
      <c r="F326" s="92"/>
      <c r="G326" s="92"/>
      <c r="H326" s="90"/>
      <c r="I326" s="195"/>
      <c r="J326" s="193">
        <f t="shared" si="11"/>
        <v>0</v>
      </c>
      <c r="K326" s="93" t="str">
        <f t="shared" si="12"/>
        <v/>
      </c>
      <c r="L326" s="90"/>
    </row>
    <row r="327" spans="1:12" x14ac:dyDescent="0.2">
      <c r="A327" s="196"/>
      <c r="B327" s="86"/>
      <c r="C327" s="86"/>
      <c r="D327" s="86"/>
      <c r="E327" s="86"/>
      <c r="F327" s="88"/>
      <c r="G327" s="88"/>
      <c r="H327" s="86"/>
      <c r="I327" s="197"/>
      <c r="J327" s="191">
        <f t="shared" si="11"/>
        <v>0</v>
      </c>
      <c r="K327" s="89" t="str">
        <f t="shared" si="12"/>
        <v/>
      </c>
      <c r="L327" s="86"/>
    </row>
    <row r="328" spans="1:12" x14ac:dyDescent="0.2">
      <c r="A328" s="194"/>
      <c r="B328" s="90"/>
      <c r="C328" s="90"/>
      <c r="D328" s="90"/>
      <c r="E328" s="90"/>
      <c r="F328" s="92"/>
      <c r="G328" s="92"/>
      <c r="H328" s="90"/>
      <c r="I328" s="195"/>
      <c r="J328" s="193">
        <f t="shared" si="11"/>
        <v>0</v>
      </c>
      <c r="K328" s="93" t="str">
        <f t="shared" si="12"/>
        <v/>
      </c>
      <c r="L328" s="90"/>
    </row>
    <row r="329" spans="1:12" x14ac:dyDescent="0.2">
      <c r="A329" s="196"/>
      <c r="B329" s="86"/>
      <c r="C329" s="86"/>
      <c r="D329" s="86"/>
      <c r="E329" s="86"/>
      <c r="F329" s="88"/>
      <c r="G329" s="88"/>
      <c r="H329" s="86"/>
      <c r="I329" s="197"/>
      <c r="J329" s="191">
        <f t="shared" si="11"/>
        <v>0</v>
      </c>
      <c r="K329" s="89" t="str">
        <f t="shared" si="12"/>
        <v/>
      </c>
      <c r="L329" s="86"/>
    </row>
    <row r="330" spans="1:12" x14ac:dyDescent="0.2">
      <c r="A330" s="194"/>
      <c r="B330" s="90"/>
      <c r="C330" s="90"/>
      <c r="D330" s="90"/>
      <c r="E330" s="90"/>
      <c r="F330" s="92"/>
      <c r="G330" s="92"/>
      <c r="H330" s="90"/>
      <c r="I330" s="195"/>
      <c r="J330" s="193">
        <f t="shared" si="11"/>
        <v>0</v>
      </c>
      <c r="K330" s="93" t="str">
        <f t="shared" si="12"/>
        <v/>
      </c>
      <c r="L330" s="90"/>
    </row>
    <row r="331" spans="1:12" x14ac:dyDescent="0.2">
      <c r="A331" s="196"/>
      <c r="B331" s="86"/>
      <c r="C331" s="86"/>
      <c r="D331" s="86"/>
      <c r="E331" s="86"/>
      <c r="F331" s="88"/>
      <c r="G331" s="88"/>
      <c r="H331" s="86"/>
      <c r="I331" s="197"/>
      <c r="J331" s="191">
        <f t="shared" si="11"/>
        <v>0</v>
      </c>
      <c r="K331" s="89" t="str">
        <f t="shared" si="12"/>
        <v/>
      </c>
      <c r="L331" s="86"/>
    </row>
    <row r="332" spans="1:12" x14ac:dyDescent="0.2">
      <c r="A332" s="194"/>
      <c r="B332" s="90"/>
      <c r="C332" s="90"/>
      <c r="D332" s="90"/>
      <c r="E332" s="90"/>
      <c r="F332" s="92"/>
      <c r="G332" s="92"/>
      <c r="H332" s="90"/>
      <c r="I332" s="195"/>
      <c r="J332" s="193">
        <f t="shared" si="11"/>
        <v>0</v>
      </c>
      <c r="K332" s="93" t="str">
        <f t="shared" si="12"/>
        <v/>
      </c>
      <c r="L332" s="90"/>
    </row>
    <row r="333" spans="1:12" x14ac:dyDescent="0.2">
      <c r="A333" s="196"/>
      <c r="B333" s="86"/>
      <c r="C333" s="86"/>
      <c r="D333" s="86"/>
      <c r="E333" s="86"/>
      <c r="F333" s="88"/>
      <c r="G333" s="88"/>
      <c r="H333" s="86"/>
      <c r="I333" s="197"/>
      <c r="J333" s="191">
        <f t="shared" si="11"/>
        <v>0</v>
      </c>
      <c r="K333" s="89" t="str">
        <f t="shared" si="12"/>
        <v/>
      </c>
      <c r="L333" s="86"/>
    </row>
    <row r="334" spans="1:12" x14ac:dyDescent="0.2">
      <c r="A334" s="194"/>
      <c r="B334" s="90"/>
      <c r="C334" s="90"/>
      <c r="D334" s="90"/>
      <c r="E334" s="90"/>
      <c r="F334" s="92"/>
      <c r="G334" s="92"/>
      <c r="H334" s="90"/>
      <c r="I334" s="195"/>
      <c r="J334" s="193">
        <f t="shared" si="11"/>
        <v>0</v>
      </c>
      <c r="K334" s="93" t="str">
        <f t="shared" si="12"/>
        <v/>
      </c>
      <c r="L334" s="90"/>
    </row>
    <row r="335" spans="1:12" x14ac:dyDescent="0.2">
      <c r="A335" s="196"/>
      <c r="B335" s="86"/>
      <c r="C335" s="86"/>
      <c r="D335" s="86"/>
      <c r="E335" s="86"/>
      <c r="F335" s="88"/>
      <c r="G335" s="88"/>
      <c r="H335" s="86"/>
      <c r="I335" s="197"/>
      <c r="J335" s="191">
        <f t="shared" si="11"/>
        <v>0</v>
      </c>
      <c r="K335" s="89" t="str">
        <f t="shared" si="12"/>
        <v/>
      </c>
      <c r="L335" s="86"/>
    </row>
    <row r="336" spans="1:12" x14ac:dyDescent="0.2">
      <c r="A336" s="194"/>
      <c r="B336" s="90"/>
      <c r="C336" s="90"/>
      <c r="D336" s="90"/>
      <c r="E336" s="90"/>
      <c r="F336" s="92"/>
      <c r="G336" s="92"/>
      <c r="H336" s="90"/>
      <c r="I336" s="195"/>
      <c r="J336" s="193">
        <f t="shared" si="11"/>
        <v>0</v>
      </c>
      <c r="K336" s="93" t="str">
        <f t="shared" si="12"/>
        <v/>
      </c>
      <c r="L336" s="90"/>
    </row>
    <row r="337" spans="1:12" x14ac:dyDescent="0.2">
      <c r="A337" s="196"/>
      <c r="B337" s="86"/>
      <c r="C337" s="86"/>
      <c r="D337" s="86"/>
      <c r="E337" s="86"/>
      <c r="F337" s="88"/>
      <c r="G337" s="88"/>
      <c r="H337" s="86"/>
      <c r="I337" s="197"/>
      <c r="J337" s="191">
        <f t="shared" si="11"/>
        <v>0</v>
      </c>
      <c r="K337" s="89" t="str">
        <f t="shared" si="12"/>
        <v/>
      </c>
      <c r="L337" s="86"/>
    </row>
    <row r="338" spans="1:12" x14ac:dyDescent="0.2">
      <c r="A338" s="194"/>
      <c r="B338" s="90"/>
      <c r="C338" s="90"/>
      <c r="D338" s="90"/>
      <c r="E338" s="90"/>
      <c r="F338" s="92"/>
      <c r="G338" s="92"/>
      <c r="H338" s="90"/>
      <c r="I338" s="195"/>
      <c r="J338" s="193">
        <f t="shared" si="11"/>
        <v>0</v>
      </c>
      <c r="K338" s="93" t="str">
        <f t="shared" si="12"/>
        <v/>
      </c>
      <c r="L338" s="90"/>
    </row>
    <row r="339" spans="1:12" x14ac:dyDescent="0.2">
      <c r="A339" s="196"/>
      <c r="B339" s="86"/>
      <c r="C339" s="86"/>
      <c r="D339" s="86"/>
      <c r="E339" s="86"/>
      <c r="F339" s="88"/>
      <c r="G339" s="88"/>
      <c r="H339" s="86"/>
      <c r="I339" s="197"/>
      <c r="J339" s="191">
        <f t="shared" si="11"/>
        <v>0</v>
      </c>
      <c r="K339" s="89" t="str">
        <f t="shared" si="12"/>
        <v/>
      </c>
      <c r="L339" s="86"/>
    </row>
    <row r="340" spans="1:12" x14ac:dyDescent="0.2">
      <c r="A340" s="194"/>
      <c r="B340" s="90"/>
      <c r="C340" s="90"/>
      <c r="D340" s="90"/>
      <c r="E340" s="90"/>
      <c r="F340" s="92"/>
      <c r="G340" s="92"/>
      <c r="H340" s="90"/>
      <c r="I340" s="195"/>
      <c r="J340" s="193">
        <f t="shared" si="11"/>
        <v>0</v>
      </c>
      <c r="K340" s="93" t="str">
        <f t="shared" si="12"/>
        <v/>
      </c>
      <c r="L340" s="90"/>
    </row>
    <row r="341" spans="1:12" x14ac:dyDescent="0.2">
      <c r="A341" s="196"/>
      <c r="B341" s="86"/>
      <c r="C341" s="86"/>
      <c r="D341" s="86"/>
      <c r="E341" s="86"/>
      <c r="F341" s="88"/>
      <c r="G341" s="88"/>
      <c r="H341" s="86"/>
      <c r="I341" s="197"/>
      <c r="J341" s="191">
        <f t="shared" si="11"/>
        <v>0</v>
      </c>
      <c r="K341" s="89" t="str">
        <f t="shared" si="12"/>
        <v/>
      </c>
      <c r="L341" s="86"/>
    </row>
    <row r="342" spans="1:12" x14ac:dyDescent="0.2">
      <c r="A342" s="194"/>
      <c r="B342" s="90"/>
      <c r="C342" s="90"/>
      <c r="D342" s="90"/>
      <c r="E342" s="90"/>
      <c r="F342" s="92"/>
      <c r="G342" s="92"/>
      <c r="H342" s="90"/>
      <c r="I342" s="195"/>
      <c r="J342" s="193">
        <f t="shared" si="11"/>
        <v>0</v>
      </c>
      <c r="K342" s="93" t="str">
        <f t="shared" si="12"/>
        <v/>
      </c>
      <c r="L342" s="90"/>
    </row>
    <row r="343" spans="1:12" x14ac:dyDescent="0.2">
      <c r="A343" s="196"/>
      <c r="B343" s="86"/>
      <c r="C343" s="86"/>
      <c r="D343" s="86"/>
      <c r="E343" s="86"/>
      <c r="F343" s="88"/>
      <c r="G343" s="88"/>
      <c r="H343" s="86"/>
      <c r="I343" s="197"/>
      <c r="J343" s="191">
        <f t="shared" si="11"/>
        <v>0</v>
      </c>
      <c r="K343" s="89" t="str">
        <f t="shared" si="12"/>
        <v/>
      </c>
      <c r="L343" s="86"/>
    </row>
    <row r="344" spans="1:12" x14ac:dyDescent="0.2">
      <c r="A344" s="194"/>
      <c r="B344" s="90"/>
      <c r="C344" s="90"/>
      <c r="D344" s="90"/>
      <c r="E344" s="90"/>
      <c r="F344" s="92"/>
      <c r="G344" s="92"/>
      <c r="H344" s="90"/>
      <c r="I344" s="195"/>
      <c r="J344" s="193">
        <f t="shared" si="11"/>
        <v>0</v>
      </c>
      <c r="K344" s="93" t="str">
        <f t="shared" si="12"/>
        <v/>
      </c>
      <c r="L344" s="90"/>
    </row>
    <row r="345" spans="1:12" x14ac:dyDescent="0.2">
      <c r="A345" s="196"/>
      <c r="B345" s="86"/>
      <c r="C345" s="86"/>
      <c r="D345" s="86"/>
      <c r="E345" s="86"/>
      <c r="F345" s="88"/>
      <c r="G345" s="88"/>
      <c r="H345" s="86"/>
      <c r="I345" s="197"/>
      <c r="J345" s="191">
        <f t="shared" si="11"/>
        <v>0</v>
      </c>
      <c r="K345" s="89" t="str">
        <f t="shared" si="12"/>
        <v/>
      </c>
      <c r="L345" s="86"/>
    </row>
    <row r="346" spans="1:12" x14ac:dyDescent="0.2">
      <c r="A346" s="194"/>
      <c r="B346" s="90"/>
      <c r="C346" s="90"/>
      <c r="D346" s="90"/>
      <c r="E346" s="90"/>
      <c r="F346" s="92"/>
      <c r="G346" s="92"/>
      <c r="H346" s="90"/>
      <c r="I346" s="195"/>
      <c r="J346" s="193">
        <f t="shared" si="11"/>
        <v>0</v>
      </c>
      <c r="K346" s="93" t="str">
        <f t="shared" si="12"/>
        <v/>
      </c>
      <c r="L346" s="90"/>
    </row>
    <row r="347" spans="1:12" x14ac:dyDescent="0.2">
      <c r="A347" s="196"/>
      <c r="B347" s="86"/>
      <c r="C347" s="86"/>
      <c r="D347" s="86"/>
      <c r="E347" s="86"/>
      <c r="F347" s="88"/>
      <c r="G347" s="88"/>
      <c r="H347" s="86"/>
      <c r="I347" s="197"/>
      <c r="J347" s="191">
        <f t="shared" si="11"/>
        <v>0</v>
      </c>
      <c r="K347" s="89" t="str">
        <f t="shared" si="12"/>
        <v/>
      </c>
      <c r="L347" s="86"/>
    </row>
    <row r="348" spans="1:12" x14ac:dyDescent="0.2">
      <c r="A348" s="194"/>
      <c r="B348" s="90"/>
      <c r="C348" s="90"/>
      <c r="D348" s="90"/>
      <c r="E348" s="90"/>
      <c r="F348" s="92"/>
      <c r="G348" s="92"/>
      <c r="H348" s="90"/>
      <c r="I348" s="195"/>
      <c r="J348" s="193">
        <f t="shared" si="11"/>
        <v>0</v>
      </c>
      <c r="K348" s="93" t="str">
        <f t="shared" si="12"/>
        <v/>
      </c>
      <c r="L348" s="90"/>
    </row>
    <row r="349" spans="1:12" x14ac:dyDescent="0.2">
      <c r="A349" s="196"/>
      <c r="B349" s="86"/>
      <c r="C349" s="86"/>
      <c r="D349" s="86"/>
      <c r="E349" s="86"/>
      <c r="F349" s="88"/>
      <c r="G349" s="88"/>
      <c r="H349" s="86"/>
      <c r="I349" s="197"/>
      <c r="J349" s="191">
        <f t="shared" si="11"/>
        <v>0</v>
      </c>
      <c r="K349" s="89" t="str">
        <f t="shared" si="12"/>
        <v/>
      </c>
      <c r="L349" s="86"/>
    </row>
    <row r="350" spans="1:12" x14ac:dyDescent="0.2">
      <c r="A350" s="194"/>
      <c r="B350" s="90"/>
      <c r="C350" s="90"/>
      <c r="D350" s="90"/>
      <c r="E350" s="90"/>
      <c r="F350" s="92"/>
      <c r="G350" s="92"/>
      <c r="H350" s="90"/>
      <c r="I350" s="195"/>
      <c r="J350" s="193">
        <f t="shared" si="11"/>
        <v>0</v>
      </c>
      <c r="K350" s="93" t="str">
        <f t="shared" si="12"/>
        <v/>
      </c>
      <c r="L350" s="90"/>
    </row>
    <row r="351" spans="1:12" x14ac:dyDescent="0.2">
      <c r="A351" s="196"/>
      <c r="B351" s="86"/>
      <c r="C351" s="86"/>
      <c r="D351" s="86"/>
      <c r="E351" s="86"/>
      <c r="F351" s="88"/>
      <c r="G351" s="88"/>
      <c r="H351" s="86"/>
      <c r="I351" s="197"/>
      <c r="J351" s="191">
        <f t="shared" si="11"/>
        <v>0</v>
      </c>
      <c r="K351" s="89" t="str">
        <f t="shared" si="12"/>
        <v/>
      </c>
      <c r="L351" s="86"/>
    </row>
    <row r="352" spans="1:12" x14ac:dyDescent="0.2">
      <c r="A352" s="194"/>
      <c r="B352" s="90"/>
      <c r="C352" s="90"/>
      <c r="D352" s="90"/>
      <c r="E352" s="90"/>
      <c r="F352" s="92"/>
      <c r="G352" s="92"/>
      <c r="H352" s="90"/>
      <c r="I352" s="195"/>
      <c r="J352" s="193">
        <f t="shared" si="11"/>
        <v>0</v>
      </c>
      <c r="K352" s="93" t="str">
        <f t="shared" si="12"/>
        <v/>
      </c>
      <c r="L352" s="90"/>
    </row>
    <row r="353" spans="1:12" x14ac:dyDescent="0.2">
      <c r="A353" s="196"/>
      <c r="B353" s="86"/>
      <c r="C353" s="86"/>
      <c r="D353" s="86"/>
      <c r="E353" s="86"/>
      <c r="F353" s="88"/>
      <c r="G353" s="88"/>
      <c r="H353" s="86"/>
      <c r="I353" s="197"/>
      <c r="J353" s="191">
        <f t="shared" si="11"/>
        <v>0</v>
      </c>
      <c r="K353" s="89" t="str">
        <f t="shared" si="12"/>
        <v/>
      </c>
      <c r="L353" s="86"/>
    </row>
    <row r="354" spans="1:12" x14ac:dyDescent="0.2">
      <c r="A354" s="194"/>
      <c r="B354" s="90"/>
      <c r="C354" s="90"/>
      <c r="D354" s="90"/>
      <c r="E354" s="90"/>
      <c r="F354" s="92"/>
      <c r="G354" s="92"/>
      <c r="H354" s="90"/>
      <c r="I354" s="195"/>
      <c r="J354" s="193">
        <f t="shared" si="11"/>
        <v>0</v>
      </c>
      <c r="K354" s="93" t="str">
        <f t="shared" si="12"/>
        <v/>
      </c>
      <c r="L354" s="90"/>
    </row>
    <row r="355" spans="1:12" x14ac:dyDescent="0.2">
      <c r="A355" s="196"/>
      <c r="B355" s="86"/>
      <c r="C355" s="86"/>
      <c r="D355" s="86"/>
      <c r="E355" s="86"/>
      <c r="F355" s="88"/>
      <c r="G355" s="88"/>
      <c r="H355" s="86"/>
      <c r="I355" s="197"/>
      <c r="J355" s="191">
        <f t="shared" si="11"/>
        <v>0</v>
      </c>
      <c r="K355" s="89" t="str">
        <f t="shared" si="12"/>
        <v/>
      </c>
      <c r="L355" s="86"/>
    </row>
    <row r="356" spans="1:12" x14ac:dyDescent="0.2">
      <c r="A356" s="194"/>
      <c r="B356" s="90"/>
      <c r="C356" s="90"/>
      <c r="D356" s="90"/>
      <c r="E356" s="90"/>
      <c r="F356" s="92"/>
      <c r="G356" s="92"/>
      <c r="H356" s="90"/>
      <c r="I356" s="195"/>
      <c r="J356" s="193">
        <f t="shared" si="11"/>
        <v>0</v>
      </c>
      <c r="K356" s="93" t="str">
        <f t="shared" si="12"/>
        <v/>
      </c>
      <c r="L356" s="90"/>
    </row>
    <row r="357" spans="1:12" x14ac:dyDescent="0.2">
      <c r="A357" s="196"/>
      <c r="B357" s="86"/>
      <c r="C357" s="86"/>
      <c r="D357" s="86"/>
      <c r="E357" s="86"/>
      <c r="F357" s="88"/>
      <c r="G357" s="88"/>
      <c r="H357" s="86"/>
      <c r="I357" s="197"/>
      <c r="J357" s="191">
        <f t="shared" si="11"/>
        <v>0</v>
      </c>
      <c r="K357" s="89" t="str">
        <f t="shared" si="12"/>
        <v/>
      </c>
      <c r="L357" s="86"/>
    </row>
    <row r="358" spans="1:12" x14ac:dyDescent="0.2">
      <c r="A358" s="194"/>
      <c r="B358" s="90"/>
      <c r="C358" s="90"/>
      <c r="D358" s="90"/>
      <c r="E358" s="90"/>
      <c r="F358" s="92"/>
      <c r="G358" s="92"/>
      <c r="H358" s="90"/>
      <c r="I358" s="195"/>
      <c r="J358" s="193">
        <f t="shared" si="11"/>
        <v>0</v>
      </c>
      <c r="K358" s="93" t="str">
        <f t="shared" si="12"/>
        <v/>
      </c>
      <c r="L358" s="90"/>
    </row>
    <row r="359" spans="1:12" x14ac:dyDescent="0.2">
      <c r="A359" s="196"/>
      <c r="B359" s="86"/>
      <c r="C359" s="86"/>
      <c r="D359" s="86"/>
      <c r="E359" s="86"/>
      <c r="F359" s="88"/>
      <c r="G359" s="88"/>
      <c r="H359" s="86"/>
      <c r="I359" s="197"/>
      <c r="J359" s="191">
        <f t="shared" si="11"/>
        <v>0</v>
      </c>
      <c r="K359" s="89" t="str">
        <f t="shared" si="12"/>
        <v/>
      </c>
      <c r="L359" s="86"/>
    </row>
    <row r="360" spans="1:12" x14ac:dyDescent="0.2">
      <c r="A360" s="194"/>
      <c r="B360" s="90"/>
      <c r="C360" s="90"/>
      <c r="D360" s="90"/>
      <c r="E360" s="90"/>
      <c r="F360" s="92"/>
      <c r="G360" s="92"/>
      <c r="H360" s="90"/>
      <c r="I360" s="195"/>
      <c r="J360" s="193">
        <f t="shared" si="11"/>
        <v>0</v>
      </c>
      <c r="K360" s="93" t="str">
        <f t="shared" si="12"/>
        <v/>
      </c>
      <c r="L360" s="90"/>
    </row>
    <row r="361" spans="1:12" x14ac:dyDescent="0.2">
      <c r="A361" s="196"/>
      <c r="B361" s="86"/>
      <c r="C361" s="86"/>
      <c r="D361" s="86"/>
      <c r="E361" s="86"/>
      <c r="F361" s="88"/>
      <c r="G361" s="88"/>
      <c r="H361" s="86"/>
      <c r="I361" s="197"/>
      <c r="J361" s="191">
        <f t="shared" si="11"/>
        <v>0</v>
      </c>
      <c r="K361" s="89" t="str">
        <f t="shared" si="12"/>
        <v/>
      </c>
      <c r="L361" s="86"/>
    </row>
    <row r="362" spans="1:12" x14ac:dyDescent="0.2">
      <c r="A362" s="194"/>
      <c r="B362" s="90"/>
      <c r="C362" s="90"/>
      <c r="D362" s="90"/>
      <c r="E362" s="90"/>
      <c r="F362" s="92"/>
      <c r="G362" s="92"/>
      <c r="H362" s="90"/>
      <c r="I362" s="195"/>
      <c r="J362" s="193">
        <f t="shared" si="11"/>
        <v>0</v>
      </c>
      <c r="K362" s="93" t="str">
        <f t="shared" si="12"/>
        <v/>
      </c>
      <c r="L362" s="90"/>
    </row>
    <row r="363" spans="1:12" x14ac:dyDescent="0.2">
      <c r="A363" s="196"/>
      <c r="B363" s="86"/>
      <c r="C363" s="86"/>
      <c r="D363" s="86"/>
      <c r="E363" s="86"/>
      <c r="F363" s="88"/>
      <c r="G363" s="88"/>
      <c r="H363" s="86"/>
      <c r="I363" s="197"/>
      <c r="J363" s="191">
        <f t="shared" si="11"/>
        <v>0</v>
      </c>
      <c r="K363" s="89" t="str">
        <f t="shared" si="12"/>
        <v/>
      </c>
      <c r="L363" s="86"/>
    </row>
    <row r="364" spans="1:12" x14ac:dyDescent="0.2">
      <c r="A364" s="194"/>
      <c r="B364" s="90"/>
      <c r="C364" s="90"/>
      <c r="D364" s="90"/>
      <c r="E364" s="90"/>
      <c r="F364" s="92"/>
      <c r="G364" s="92"/>
      <c r="H364" s="90"/>
      <c r="I364" s="195"/>
      <c r="J364" s="193">
        <f t="shared" si="11"/>
        <v>0</v>
      </c>
      <c r="K364" s="93" t="str">
        <f t="shared" si="12"/>
        <v/>
      </c>
      <c r="L364" s="90"/>
    </row>
    <row r="365" spans="1:12" x14ac:dyDescent="0.2">
      <c r="A365" s="196"/>
      <c r="B365" s="86"/>
      <c r="C365" s="86"/>
      <c r="D365" s="86"/>
      <c r="E365" s="86"/>
      <c r="F365" s="88"/>
      <c r="G365" s="88"/>
      <c r="H365" s="86"/>
      <c r="I365" s="197"/>
      <c r="J365" s="191">
        <f t="shared" si="11"/>
        <v>0</v>
      </c>
      <c r="K365" s="89" t="str">
        <f t="shared" si="12"/>
        <v/>
      </c>
      <c r="L365" s="86"/>
    </row>
    <row r="366" spans="1:12" x14ac:dyDescent="0.2">
      <c r="A366" s="194"/>
      <c r="B366" s="90"/>
      <c r="C366" s="90"/>
      <c r="D366" s="90"/>
      <c r="E366" s="90"/>
      <c r="F366" s="92"/>
      <c r="G366" s="92"/>
      <c r="H366" s="90"/>
      <c r="I366" s="195"/>
      <c r="J366" s="193">
        <f t="shared" si="11"/>
        <v>0</v>
      </c>
      <c r="K366" s="93" t="str">
        <f t="shared" si="12"/>
        <v/>
      </c>
      <c r="L366" s="90"/>
    </row>
    <row r="367" spans="1:12" x14ac:dyDescent="0.2">
      <c r="A367" s="196"/>
      <c r="B367" s="86"/>
      <c r="C367" s="86"/>
      <c r="D367" s="86"/>
      <c r="E367" s="86"/>
      <c r="F367" s="88"/>
      <c r="G367" s="88"/>
      <c r="H367" s="86"/>
      <c r="I367" s="197"/>
      <c r="J367" s="191">
        <f t="shared" si="11"/>
        <v>0</v>
      </c>
      <c r="K367" s="89" t="str">
        <f t="shared" si="12"/>
        <v/>
      </c>
      <c r="L367" s="86"/>
    </row>
    <row r="368" spans="1:12" x14ac:dyDescent="0.2">
      <c r="A368" s="194"/>
      <c r="B368" s="90"/>
      <c r="C368" s="90"/>
      <c r="D368" s="90"/>
      <c r="E368" s="90"/>
      <c r="F368" s="92"/>
      <c r="G368" s="92"/>
      <c r="H368" s="90"/>
      <c r="I368" s="195"/>
      <c r="J368" s="193">
        <f t="shared" si="11"/>
        <v>0</v>
      </c>
      <c r="K368" s="93" t="str">
        <f t="shared" si="12"/>
        <v/>
      </c>
      <c r="L368" s="90"/>
    </row>
    <row r="369" spans="1:12" x14ac:dyDescent="0.2">
      <c r="A369" s="196"/>
      <c r="B369" s="86"/>
      <c r="C369" s="86"/>
      <c r="D369" s="86"/>
      <c r="E369" s="86"/>
      <c r="F369" s="88"/>
      <c r="G369" s="88"/>
      <c r="H369" s="86"/>
      <c r="I369" s="197"/>
      <c r="J369" s="191">
        <f t="shared" si="11"/>
        <v>0</v>
      </c>
      <c r="K369" s="89" t="str">
        <f t="shared" si="12"/>
        <v/>
      </c>
      <c r="L369" s="86"/>
    </row>
    <row r="370" spans="1:12" x14ac:dyDescent="0.2">
      <c r="A370" s="194"/>
      <c r="B370" s="90"/>
      <c r="C370" s="90"/>
      <c r="D370" s="90"/>
      <c r="E370" s="90"/>
      <c r="F370" s="92"/>
      <c r="G370" s="92"/>
      <c r="H370" s="90"/>
      <c r="I370" s="195"/>
      <c r="J370" s="193">
        <f t="shared" si="11"/>
        <v>0</v>
      </c>
      <c r="K370" s="93" t="str">
        <f t="shared" si="12"/>
        <v/>
      </c>
      <c r="L370" s="90"/>
    </row>
    <row r="371" spans="1:12" x14ac:dyDescent="0.2">
      <c r="A371" s="196"/>
      <c r="B371" s="86"/>
      <c r="C371" s="86"/>
      <c r="D371" s="86"/>
      <c r="E371" s="86"/>
      <c r="F371" s="88"/>
      <c r="G371" s="88"/>
      <c r="H371" s="86"/>
      <c r="I371" s="197"/>
      <c r="J371" s="191">
        <f t="shared" si="11"/>
        <v>0</v>
      </c>
      <c r="K371" s="89" t="str">
        <f t="shared" si="12"/>
        <v/>
      </c>
      <c r="L371" s="86"/>
    </row>
    <row r="372" spans="1:12" x14ac:dyDescent="0.2">
      <c r="A372" s="194"/>
      <c r="B372" s="90"/>
      <c r="C372" s="90"/>
      <c r="D372" s="90"/>
      <c r="E372" s="90"/>
      <c r="F372" s="92"/>
      <c r="G372" s="92"/>
      <c r="H372" s="90"/>
      <c r="I372" s="195"/>
      <c r="J372" s="193">
        <f t="shared" si="11"/>
        <v>0</v>
      </c>
      <c r="K372" s="93" t="str">
        <f t="shared" si="12"/>
        <v/>
      </c>
      <c r="L372" s="90"/>
    </row>
    <row r="373" spans="1:12" x14ac:dyDescent="0.2">
      <c r="A373" s="196"/>
      <c r="B373" s="86"/>
      <c r="C373" s="86"/>
      <c r="D373" s="86"/>
      <c r="E373" s="86"/>
      <c r="F373" s="88"/>
      <c r="G373" s="88"/>
      <c r="H373" s="86"/>
      <c r="I373" s="197"/>
      <c r="J373" s="191">
        <f t="shared" si="11"/>
        <v>0</v>
      </c>
      <c r="K373" s="89" t="str">
        <f t="shared" si="12"/>
        <v/>
      </c>
      <c r="L373" s="86"/>
    </row>
    <row r="374" spans="1:12" x14ac:dyDescent="0.2">
      <c r="A374" s="194"/>
      <c r="B374" s="90"/>
      <c r="C374" s="90"/>
      <c r="D374" s="90"/>
      <c r="E374" s="90"/>
      <c r="F374" s="92"/>
      <c r="G374" s="92"/>
      <c r="H374" s="90"/>
      <c r="I374" s="195"/>
      <c r="J374" s="193">
        <f t="shared" si="11"/>
        <v>0</v>
      </c>
      <c r="K374" s="93" t="str">
        <f t="shared" si="12"/>
        <v/>
      </c>
      <c r="L374" s="90"/>
    </row>
    <row r="375" spans="1:12" x14ac:dyDescent="0.2">
      <c r="A375" s="196"/>
      <c r="B375" s="86"/>
      <c r="C375" s="86"/>
      <c r="D375" s="86"/>
      <c r="E375" s="86"/>
      <c r="F375" s="88"/>
      <c r="G375" s="88"/>
      <c r="H375" s="86"/>
      <c r="I375" s="197"/>
      <c r="J375" s="191">
        <f t="shared" si="11"/>
        <v>0</v>
      </c>
      <c r="K375" s="89" t="str">
        <f t="shared" si="12"/>
        <v/>
      </c>
      <c r="L375" s="86"/>
    </row>
    <row r="376" spans="1:12" x14ac:dyDescent="0.2">
      <c r="A376" s="194"/>
      <c r="B376" s="90"/>
      <c r="C376" s="90"/>
      <c r="D376" s="90"/>
      <c r="E376" s="90"/>
      <c r="F376" s="92"/>
      <c r="G376" s="92"/>
      <c r="H376" s="90"/>
      <c r="I376" s="195"/>
      <c r="J376" s="193">
        <f t="shared" si="11"/>
        <v>0</v>
      </c>
      <c r="K376" s="93" t="str">
        <f t="shared" si="12"/>
        <v/>
      </c>
      <c r="L376" s="90"/>
    </row>
    <row r="377" spans="1:12" x14ac:dyDescent="0.2">
      <c r="A377" s="196"/>
      <c r="B377" s="86"/>
      <c r="C377" s="86"/>
      <c r="D377" s="86"/>
      <c r="E377" s="86"/>
      <c r="F377" s="88"/>
      <c r="G377" s="88"/>
      <c r="H377" s="86"/>
      <c r="I377" s="197"/>
      <c r="J377" s="191">
        <f t="shared" si="11"/>
        <v>0</v>
      </c>
      <c r="K377" s="89" t="str">
        <f t="shared" si="12"/>
        <v/>
      </c>
      <c r="L377" s="86"/>
    </row>
    <row r="378" spans="1:12" x14ac:dyDescent="0.2">
      <c r="A378" s="194"/>
      <c r="B378" s="90"/>
      <c r="C378" s="90"/>
      <c r="D378" s="90"/>
      <c r="E378" s="90"/>
      <c r="F378" s="92"/>
      <c r="G378" s="92"/>
      <c r="H378" s="90"/>
      <c r="I378" s="195"/>
      <c r="J378" s="193">
        <f t="shared" si="11"/>
        <v>0</v>
      </c>
      <c r="K378" s="93" t="str">
        <f t="shared" si="12"/>
        <v/>
      </c>
      <c r="L378" s="90"/>
    </row>
    <row r="379" spans="1:12" x14ac:dyDescent="0.2">
      <c r="A379" s="196"/>
      <c r="B379" s="86"/>
      <c r="C379" s="86"/>
      <c r="D379" s="86"/>
      <c r="E379" s="86"/>
      <c r="F379" s="88"/>
      <c r="G379" s="88"/>
      <c r="H379" s="86"/>
      <c r="I379" s="197"/>
      <c r="J379" s="191">
        <f t="shared" si="11"/>
        <v>0</v>
      </c>
      <c r="K379" s="89" t="str">
        <f t="shared" si="12"/>
        <v/>
      </c>
      <c r="L379" s="86"/>
    </row>
    <row r="380" spans="1:12" x14ac:dyDescent="0.2">
      <c r="A380" s="194"/>
      <c r="B380" s="90"/>
      <c r="C380" s="90"/>
      <c r="D380" s="90"/>
      <c r="E380" s="90"/>
      <c r="F380" s="92"/>
      <c r="G380" s="92"/>
      <c r="H380" s="90"/>
      <c r="I380" s="195"/>
      <c r="J380" s="193">
        <f t="shared" si="11"/>
        <v>0</v>
      </c>
      <c r="K380" s="93" t="str">
        <f t="shared" si="12"/>
        <v/>
      </c>
      <c r="L380" s="90"/>
    </row>
    <row r="381" spans="1:12" x14ac:dyDescent="0.2">
      <c r="A381" s="196"/>
      <c r="B381" s="86"/>
      <c r="C381" s="86"/>
      <c r="D381" s="86"/>
      <c r="E381" s="86"/>
      <c r="F381" s="88"/>
      <c r="G381" s="88"/>
      <c r="H381" s="86"/>
      <c r="I381" s="197"/>
      <c r="J381" s="191">
        <f t="shared" si="11"/>
        <v>0</v>
      </c>
      <c r="K381" s="89" t="str">
        <f t="shared" si="12"/>
        <v/>
      </c>
      <c r="L381" s="86"/>
    </row>
    <row r="382" spans="1:12" x14ac:dyDescent="0.2">
      <c r="A382" s="194"/>
      <c r="B382" s="90"/>
      <c r="C382" s="90"/>
      <c r="D382" s="90"/>
      <c r="E382" s="90"/>
      <c r="F382" s="92"/>
      <c r="G382" s="92"/>
      <c r="H382" s="90"/>
      <c r="I382" s="195"/>
      <c r="J382" s="193">
        <f t="shared" si="11"/>
        <v>0</v>
      </c>
      <c r="K382" s="93" t="str">
        <f t="shared" si="12"/>
        <v/>
      </c>
      <c r="L382" s="90"/>
    </row>
    <row r="383" spans="1:12" x14ac:dyDescent="0.2">
      <c r="A383" s="196"/>
      <c r="B383" s="86"/>
      <c r="C383" s="86"/>
      <c r="D383" s="86"/>
      <c r="E383" s="86"/>
      <c r="F383" s="88"/>
      <c r="G383" s="88"/>
      <c r="H383" s="86"/>
      <c r="I383" s="197"/>
      <c r="J383" s="191">
        <f t="shared" si="11"/>
        <v>0</v>
      </c>
      <c r="K383" s="89" t="str">
        <f t="shared" si="12"/>
        <v/>
      </c>
      <c r="L383" s="86"/>
    </row>
    <row r="384" spans="1:12" x14ac:dyDescent="0.2">
      <c r="A384" s="194"/>
      <c r="B384" s="90"/>
      <c r="C384" s="90"/>
      <c r="D384" s="90"/>
      <c r="E384" s="90"/>
      <c r="F384" s="92"/>
      <c r="G384" s="92"/>
      <c r="H384" s="90"/>
      <c r="I384" s="195"/>
      <c r="J384" s="193">
        <f t="shared" si="11"/>
        <v>0</v>
      </c>
      <c r="K384" s="93" t="str">
        <f t="shared" si="12"/>
        <v/>
      </c>
      <c r="L384" s="90"/>
    </row>
    <row r="385" spans="1:12" x14ac:dyDescent="0.2">
      <c r="A385" s="196"/>
      <c r="B385" s="86"/>
      <c r="C385" s="86"/>
      <c r="D385" s="86"/>
      <c r="E385" s="86"/>
      <c r="F385" s="88"/>
      <c r="G385" s="88"/>
      <c r="H385" s="86"/>
      <c r="I385" s="197"/>
      <c r="J385" s="191">
        <f t="shared" si="11"/>
        <v>0</v>
      </c>
      <c r="K385" s="89" t="str">
        <f t="shared" si="12"/>
        <v/>
      </c>
      <c r="L385" s="86"/>
    </row>
    <row r="386" spans="1:12" x14ac:dyDescent="0.2">
      <c r="A386" s="194"/>
      <c r="B386" s="90"/>
      <c r="C386" s="90"/>
      <c r="D386" s="90"/>
      <c r="E386" s="90"/>
      <c r="F386" s="92"/>
      <c r="G386" s="92"/>
      <c r="H386" s="90"/>
      <c r="I386" s="195"/>
      <c r="J386" s="193">
        <f t="shared" si="11"/>
        <v>0</v>
      </c>
      <c r="K386" s="93" t="str">
        <f t="shared" si="12"/>
        <v/>
      </c>
      <c r="L386" s="90"/>
    </row>
    <row r="387" spans="1:12" x14ac:dyDescent="0.2">
      <c r="A387" s="196"/>
      <c r="B387" s="86"/>
      <c r="C387" s="86"/>
      <c r="D387" s="86"/>
      <c r="E387" s="86"/>
      <c r="F387" s="88"/>
      <c r="G387" s="88"/>
      <c r="H387" s="86"/>
      <c r="I387" s="197"/>
      <c r="J387" s="191">
        <f t="shared" si="11"/>
        <v>0</v>
      </c>
      <c r="K387" s="89" t="str">
        <f t="shared" si="12"/>
        <v/>
      </c>
      <c r="L387" s="86"/>
    </row>
    <row r="388" spans="1:12" x14ac:dyDescent="0.2">
      <c r="A388" s="194"/>
      <c r="B388" s="90"/>
      <c r="C388" s="90"/>
      <c r="D388" s="90"/>
      <c r="E388" s="90"/>
      <c r="F388" s="92"/>
      <c r="G388" s="92"/>
      <c r="H388" s="90"/>
      <c r="I388" s="195"/>
      <c r="J388" s="193">
        <f t="shared" si="11"/>
        <v>0</v>
      </c>
      <c r="K388" s="93" t="str">
        <f t="shared" si="12"/>
        <v/>
      </c>
      <c r="L388" s="90"/>
    </row>
    <row r="389" spans="1:12" x14ac:dyDescent="0.2">
      <c r="A389" s="196"/>
      <c r="B389" s="86"/>
      <c r="C389" s="86"/>
      <c r="D389" s="86"/>
      <c r="E389" s="86"/>
      <c r="F389" s="88"/>
      <c r="G389" s="88"/>
      <c r="H389" s="86"/>
      <c r="I389" s="197"/>
      <c r="J389" s="191">
        <f t="shared" ref="J389:J452" si="13">IFERROR(F389-E389-G389-H389-I389,"")</f>
        <v>0</v>
      </c>
      <c r="K389" s="89" t="str">
        <f t="shared" ref="K389:K452" si="14">IFERROR(J389/F389,"")</f>
        <v/>
      </c>
      <c r="L389" s="86"/>
    </row>
    <row r="390" spans="1:12" x14ac:dyDescent="0.2">
      <c r="A390" s="194"/>
      <c r="B390" s="90"/>
      <c r="C390" s="90"/>
      <c r="D390" s="90"/>
      <c r="E390" s="90"/>
      <c r="F390" s="92"/>
      <c r="G390" s="92"/>
      <c r="H390" s="90"/>
      <c r="I390" s="195"/>
      <c r="J390" s="193">
        <f t="shared" si="13"/>
        <v>0</v>
      </c>
      <c r="K390" s="93" t="str">
        <f t="shared" si="14"/>
        <v/>
      </c>
      <c r="L390" s="90"/>
    </row>
    <row r="391" spans="1:12" x14ac:dyDescent="0.2">
      <c r="A391" s="196"/>
      <c r="B391" s="86"/>
      <c r="C391" s="86"/>
      <c r="D391" s="86"/>
      <c r="E391" s="86"/>
      <c r="F391" s="88"/>
      <c r="G391" s="88"/>
      <c r="H391" s="86"/>
      <c r="I391" s="197"/>
      <c r="J391" s="191">
        <f t="shared" si="13"/>
        <v>0</v>
      </c>
      <c r="K391" s="89" t="str">
        <f t="shared" si="14"/>
        <v/>
      </c>
      <c r="L391" s="86"/>
    </row>
    <row r="392" spans="1:12" x14ac:dyDescent="0.2">
      <c r="A392" s="194"/>
      <c r="B392" s="90"/>
      <c r="C392" s="90"/>
      <c r="D392" s="90"/>
      <c r="E392" s="90"/>
      <c r="F392" s="92"/>
      <c r="G392" s="92"/>
      <c r="H392" s="90"/>
      <c r="I392" s="195"/>
      <c r="J392" s="193">
        <f t="shared" si="13"/>
        <v>0</v>
      </c>
      <c r="K392" s="93" t="str">
        <f t="shared" si="14"/>
        <v/>
      </c>
      <c r="L392" s="90"/>
    </row>
    <row r="393" spans="1:12" x14ac:dyDescent="0.2">
      <c r="A393" s="196"/>
      <c r="B393" s="86"/>
      <c r="C393" s="86"/>
      <c r="D393" s="86"/>
      <c r="E393" s="86"/>
      <c r="F393" s="88"/>
      <c r="G393" s="88"/>
      <c r="H393" s="86"/>
      <c r="I393" s="197"/>
      <c r="J393" s="191">
        <f t="shared" si="13"/>
        <v>0</v>
      </c>
      <c r="K393" s="89" t="str">
        <f t="shared" si="14"/>
        <v/>
      </c>
      <c r="L393" s="86"/>
    </row>
    <row r="394" spans="1:12" x14ac:dyDescent="0.2">
      <c r="A394" s="194"/>
      <c r="B394" s="90"/>
      <c r="C394" s="90"/>
      <c r="D394" s="90"/>
      <c r="E394" s="90"/>
      <c r="F394" s="92"/>
      <c r="G394" s="92"/>
      <c r="H394" s="90"/>
      <c r="I394" s="195"/>
      <c r="J394" s="193">
        <f t="shared" si="13"/>
        <v>0</v>
      </c>
      <c r="K394" s="93" t="str">
        <f t="shared" si="14"/>
        <v/>
      </c>
      <c r="L394" s="90"/>
    </row>
    <row r="395" spans="1:12" x14ac:dyDescent="0.2">
      <c r="A395" s="196"/>
      <c r="B395" s="86"/>
      <c r="C395" s="86"/>
      <c r="D395" s="86"/>
      <c r="E395" s="86"/>
      <c r="F395" s="88"/>
      <c r="G395" s="88"/>
      <c r="H395" s="86"/>
      <c r="I395" s="197"/>
      <c r="J395" s="191">
        <f t="shared" si="13"/>
        <v>0</v>
      </c>
      <c r="K395" s="89" t="str">
        <f t="shared" si="14"/>
        <v/>
      </c>
      <c r="L395" s="86"/>
    </row>
    <row r="396" spans="1:12" x14ac:dyDescent="0.2">
      <c r="A396" s="194"/>
      <c r="B396" s="90"/>
      <c r="C396" s="90"/>
      <c r="D396" s="90"/>
      <c r="E396" s="90"/>
      <c r="F396" s="92"/>
      <c r="G396" s="92"/>
      <c r="H396" s="90"/>
      <c r="I396" s="195"/>
      <c r="J396" s="193">
        <f t="shared" si="13"/>
        <v>0</v>
      </c>
      <c r="K396" s="93" t="str">
        <f t="shared" si="14"/>
        <v/>
      </c>
      <c r="L396" s="90"/>
    </row>
    <row r="397" spans="1:12" x14ac:dyDescent="0.2">
      <c r="A397" s="196"/>
      <c r="B397" s="86"/>
      <c r="C397" s="86"/>
      <c r="D397" s="86"/>
      <c r="E397" s="86"/>
      <c r="F397" s="88"/>
      <c r="G397" s="88"/>
      <c r="H397" s="86"/>
      <c r="I397" s="197"/>
      <c r="J397" s="191">
        <f t="shared" si="13"/>
        <v>0</v>
      </c>
      <c r="K397" s="89" t="str">
        <f t="shared" si="14"/>
        <v/>
      </c>
      <c r="L397" s="86"/>
    </row>
    <row r="398" spans="1:12" x14ac:dyDescent="0.2">
      <c r="A398" s="194"/>
      <c r="B398" s="90"/>
      <c r="C398" s="90"/>
      <c r="D398" s="90"/>
      <c r="E398" s="90"/>
      <c r="F398" s="92"/>
      <c r="G398" s="92"/>
      <c r="H398" s="90"/>
      <c r="I398" s="195"/>
      <c r="J398" s="193">
        <f t="shared" si="13"/>
        <v>0</v>
      </c>
      <c r="K398" s="93" t="str">
        <f t="shared" si="14"/>
        <v/>
      </c>
      <c r="L398" s="90"/>
    </row>
    <row r="399" spans="1:12" x14ac:dyDescent="0.2">
      <c r="A399" s="196"/>
      <c r="B399" s="86"/>
      <c r="C399" s="86"/>
      <c r="D399" s="86"/>
      <c r="E399" s="86"/>
      <c r="F399" s="88"/>
      <c r="G399" s="88"/>
      <c r="H399" s="86"/>
      <c r="I399" s="197"/>
      <c r="J399" s="191">
        <f t="shared" si="13"/>
        <v>0</v>
      </c>
      <c r="K399" s="89" t="str">
        <f t="shared" si="14"/>
        <v/>
      </c>
      <c r="L399" s="86"/>
    </row>
    <row r="400" spans="1:12" x14ac:dyDescent="0.2">
      <c r="A400" s="194"/>
      <c r="B400" s="90"/>
      <c r="C400" s="90"/>
      <c r="D400" s="90"/>
      <c r="E400" s="90"/>
      <c r="F400" s="92"/>
      <c r="G400" s="92"/>
      <c r="H400" s="90"/>
      <c r="I400" s="195"/>
      <c r="J400" s="193">
        <f t="shared" si="13"/>
        <v>0</v>
      </c>
      <c r="K400" s="93" t="str">
        <f t="shared" si="14"/>
        <v/>
      </c>
      <c r="L400" s="90"/>
    </row>
    <row r="401" spans="1:12" x14ac:dyDescent="0.2">
      <c r="A401" s="196"/>
      <c r="B401" s="86"/>
      <c r="C401" s="86"/>
      <c r="D401" s="86"/>
      <c r="E401" s="86"/>
      <c r="F401" s="88"/>
      <c r="G401" s="88"/>
      <c r="H401" s="86"/>
      <c r="I401" s="197"/>
      <c r="J401" s="191">
        <f t="shared" si="13"/>
        <v>0</v>
      </c>
      <c r="K401" s="89" t="str">
        <f t="shared" si="14"/>
        <v/>
      </c>
      <c r="L401" s="86"/>
    </row>
    <row r="402" spans="1:12" x14ac:dyDescent="0.2">
      <c r="A402" s="194"/>
      <c r="B402" s="90"/>
      <c r="C402" s="90"/>
      <c r="D402" s="90"/>
      <c r="E402" s="90"/>
      <c r="F402" s="92"/>
      <c r="G402" s="92"/>
      <c r="H402" s="90"/>
      <c r="I402" s="195"/>
      <c r="J402" s="193">
        <f t="shared" si="13"/>
        <v>0</v>
      </c>
      <c r="K402" s="93" t="str">
        <f t="shared" si="14"/>
        <v/>
      </c>
      <c r="L402" s="90"/>
    </row>
    <row r="403" spans="1:12" x14ac:dyDescent="0.2">
      <c r="A403" s="196"/>
      <c r="B403" s="86"/>
      <c r="C403" s="86"/>
      <c r="D403" s="86"/>
      <c r="E403" s="86"/>
      <c r="F403" s="88"/>
      <c r="G403" s="88"/>
      <c r="H403" s="86"/>
      <c r="I403" s="197"/>
      <c r="J403" s="191">
        <f t="shared" si="13"/>
        <v>0</v>
      </c>
      <c r="K403" s="89" t="str">
        <f t="shared" si="14"/>
        <v/>
      </c>
      <c r="L403" s="86"/>
    </row>
    <row r="404" spans="1:12" x14ac:dyDescent="0.2">
      <c r="A404" s="194"/>
      <c r="B404" s="90"/>
      <c r="C404" s="90"/>
      <c r="D404" s="90"/>
      <c r="E404" s="90"/>
      <c r="F404" s="92"/>
      <c r="G404" s="92"/>
      <c r="H404" s="90"/>
      <c r="I404" s="195"/>
      <c r="J404" s="193">
        <f t="shared" si="13"/>
        <v>0</v>
      </c>
      <c r="K404" s="93" t="str">
        <f t="shared" si="14"/>
        <v/>
      </c>
      <c r="L404" s="90"/>
    </row>
    <row r="405" spans="1:12" x14ac:dyDescent="0.2">
      <c r="A405" s="196"/>
      <c r="B405" s="86"/>
      <c r="C405" s="86"/>
      <c r="D405" s="86"/>
      <c r="E405" s="86"/>
      <c r="F405" s="88"/>
      <c r="G405" s="88"/>
      <c r="H405" s="86"/>
      <c r="I405" s="197"/>
      <c r="J405" s="191">
        <f t="shared" si="13"/>
        <v>0</v>
      </c>
      <c r="K405" s="89" t="str">
        <f t="shared" si="14"/>
        <v/>
      </c>
      <c r="L405" s="86"/>
    </row>
    <row r="406" spans="1:12" x14ac:dyDescent="0.2">
      <c r="A406" s="194"/>
      <c r="B406" s="90"/>
      <c r="C406" s="90"/>
      <c r="D406" s="90"/>
      <c r="E406" s="90"/>
      <c r="F406" s="92"/>
      <c r="G406" s="92"/>
      <c r="H406" s="90"/>
      <c r="I406" s="195"/>
      <c r="J406" s="193">
        <f t="shared" si="13"/>
        <v>0</v>
      </c>
      <c r="K406" s="93" t="str">
        <f t="shared" si="14"/>
        <v/>
      </c>
      <c r="L406" s="90"/>
    </row>
    <row r="407" spans="1:12" x14ac:dyDescent="0.2">
      <c r="A407" s="196"/>
      <c r="B407" s="86"/>
      <c r="C407" s="86"/>
      <c r="D407" s="86"/>
      <c r="E407" s="86"/>
      <c r="F407" s="88"/>
      <c r="G407" s="88"/>
      <c r="H407" s="86"/>
      <c r="I407" s="197"/>
      <c r="J407" s="191">
        <f t="shared" si="13"/>
        <v>0</v>
      </c>
      <c r="K407" s="89" t="str">
        <f t="shared" si="14"/>
        <v/>
      </c>
      <c r="L407" s="86"/>
    </row>
    <row r="408" spans="1:12" x14ac:dyDescent="0.2">
      <c r="A408" s="194"/>
      <c r="B408" s="90"/>
      <c r="C408" s="90"/>
      <c r="D408" s="90"/>
      <c r="E408" s="90"/>
      <c r="F408" s="92"/>
      <c r="G408" s="92"/>
      <c r="H408" s="90"/>
      <c r="I408" s="195"/>
      <c r="J408" s="193">
        <f t="shared" si="13"/>
        <v>0</v>
      </c>
      <c r="K408" s="93" t="str">
        <f t="shared" si="14"/>
        <v/>
      </c>
      <c r="L408" s="90"/>
    </row>
    <row r="409" spans="1:12" x14ac:dyDescent="0.2">
      <c r="A409" s="196"/>
      <c r="B409" s="86"/>
      <c r="C409" s="86"/>
      <c r="D409" s="86"/>
      <c r="E409" s="86"/>
      <c r="F409" s="88"/>
      <c r="G409" s="88"/>
      <c r="H409" s="86"/>
      <c r="I409" s="197"/>
      <c r="J409" s="191">
        <f t="shared" si="13"/>
        <v>0</v>
      </c>
      <c r="K409" s="89" t="str">
        <f t="shared" si="14"/>
        <v/>
      </c>
      <c r="L409" s="86"/>
    </row>
    <row r="410" spans="1:12" x14ac:dyDescent="0.2">
      <c r="A410" s="194"/>
      <c r="B410" s="90"/>
      <c r="C410" s="90"/>
      <c r="D410" s="90"/>
      <c r="E410" s="90"/>
      <c r="F410" s="92"/>
      <c r="G410" s="92"/>
      <c r="H410" s="90"/>
      <c r="I410" s="195"/>
      <c r="J410" s="193">
        <f t="shared" si="13"/>
        <v>0</v>
      </c>
      <c r="K410" s="93" t="str">
        <f t="shared" si="14"/>
        <v/>
      </c>
      <c r="L410" s="90"/>
    </row>
    <row r="411" spans="1:12" x14ac:dyDescent="0.2">
      <c r="A411" s="196"/>
      <c r="B411" s="86"/>
      <c r="C411" s="86"/>
      <c r="D411" s="86"/>
      <c r="E411" s="86"/>
      <c r="F411" s="88"/>
      <c r="G411" s="88"/>
      <c r="H411" s="86"/>
      <c r="I411" s="197"/>
      <c r="J411" s="191">
        <f t="shared" si="13"/>
        <v>0</v>
      </c>
      <c r="K411" s="89" t="str">
        <f t="shared" si="14"/>
        <v/>
      </c>
      <c r="L411" s="86"/>
    </row>
    <row r="412" spans="1:12" x14ac:dyDescent="0.2">
      <c r="A412" s="194"/>
      <c r="B412" s="90"/>
      <c r="C412" s="90"/>
      <c r="D412" s="90"/>
      <c r="E412" s="90"/>
      <c r="F412" s="92"/>
      <c r="G412" s="92"/>
      <c r="H412" s="90"/>
      <c r="I412" s="195"/>
      <c r="J412" s="193">
        <f t="shared" si="13"/>
        <v>0</v>
      </c>
      <c r="K412" s="93" t="str">
        <f t="shared" si="14"/>
        <v/>
      </c>
      <c r="L412" s="90"/>
    </row>
    <row r="413" spans="1:12" x14ac:dyDescent="0.2">
      <c r="A413" s="196"/>
      <c r="B413" s="86"/>
      <c r="C413" s="86"/>
      <c r="D413" s="86"/>
      <c r="E413" s="86"/>
      <c r="F413" s="88"/>
      <c r="G413" s="88"/>
      <c r="H413" s="86"/>
      <c r="I413" s="197"/>
      <c r="J413" s="191">
        <f t="shared" si="13"/>
        <v>0</v>
      </c>
      <c r="K413" s="89" t="str">
        <f t="shared" si="14"/>
        <v/>
      </c>
      <c r="L413" s="86"/>
    </row>
    <row r="414" spans="1:12" x14ac:dyDescent="0.2">
      <c r="A414" s="194"/>
      <c r="B414" s="90"/>
      <c r="C414" s="90"/>
      <c r="D414" s="90"/>
      <c r="E414" s="90"/>
      <c r="F414" s="92"/>
      <c r="G414" s="92"/>
      <c r="H414" s="90"/>
      <c r="I414" s="195"/>
      <c r="J414" s="193">
        <f t="shared" si="13"/>
        <v>0</v>
      </c>
      <c r="K414" s="93" t="str">
        <f t="shared" si="14"/>
        <v/>
      </c>
      <c r="L414" s="90"/>
    </row>
    <row r="415" spans="1:12" x14ac:dyDescent="0.2">
      <c r="A415" s="196"/>
      <c r="B415" s="86"/>
      <c r="C415" s="86"/>
      <c r="D415" s="86"/>
      <c r="E415" s="86"/>
      <c r="F415" s="88"/>
      <c r="G415" s="88"/>
      <c r="H415" s="86"/>
      <c r="I415" s="197"/>
      <c r="J415" s="191">
        <f t="shared" si="13"/>
        <v>0</v>
      </c>
      <c r="K415" s="89" t="str">
        <f t="shared" si="14"/>
        <v/>
      </c>
      <c r="L415" s="86"/>
    </row>
    <row r="416" spans="1:12" x14ac:dyDescent="0.2">
      <c r="A416" s="194"/>
      <c r="B416" s="90"/>
      <c r="C416" s="90"/>
      <c r="D416" s="90"/>
      <c r="E416" s="90"/>
      <c r="F416" s="92"/>
      <c r="G416" s="92"/>
      <c r="H416" s="90"/>
      <c r="I416" s="195"/>
      <c r="J416" s="193">
        <f t="shared" si="13"/>
        <v>0</v>
      </c>
      <c r="K416" s="93" t="str">
        <f t="shared" si="14"/>
        <v/>
      </c>
      <c r="L416" s="90"/>
    </row>
    <row r="417" spans="1:12" x14ac:dyDescent="0.2">
      <c r="A417" s="196"/>
      <c r="B417" s="86"/>
      <c r="C417" s="86"/>
      <c r="D417" s="86"/>
      <c r="E417" s="86"/>
      <c r="F417" s="88"/>
      <c r="G417" s="88"/>
      <c r="H417" s="86"/>
      <c r="I417" s="197"/>
      <c r="J417" s="191">
        <f t="shared" si="13"/>
        <v>0</v>
      </c>
      <c r="K417" s="89" t="str">
        <f t="shared" si="14"/>
        <v/>
      </c>
      <c r="L417" s="86"/>
    </row>
    <row r="418" spans="1:12" x14ac:dyDescent="0.2">
      <c r="A418" s="194"/>
      <c r="B418" s="90"/>
      <c r="C418" s="90"/>
      <c r="D418" s="90"/>
      <c r="E418" s="90"/>
      <c r="F418" s="92"/>
      <c r="G418" s="92"/>
      <c r="H418" s="90"/>
      <c r="I418" s="195"/>
      <c r="J418" s="193">
        <f t="shared" si="13"/>
        <v>0</v>
      </c>
      <c r="K418" s="93" t="str">
        <f t="shared" si="14"/>
        <v/>
      </c>
      <c r="L418" s="90"/>
    </row>
    <row r="419" spans="1:12" x14ac:dyDescent="0.2">
      <c r="A419" s="196"/>
      <c r="B419" s="86"/>
      <c r="C419" s="86"/>
      <c r="D419" s="86"/>
      <c r="E419" s="86"/>
      <c r="F419" s="88"/>
      <c r="G419" s="88"/>
      <c r="H419" s="86"/>
      <c r="I419" s="197"/>
      <c r="J419" s="191">
        <f t="shared" si="13"/>
        <v>0</v>
      </c>
      <c r="K419" s="89" t="str">
        <f t="shared" si="14"/>
        <v/>
      </c>
      <c r="L419" s="86"/>
    </row>
    <row r="420" spans="1:12" x14ac:dyDescent="0.2">
      <c r="A420" s="194"/>
      <c r="B420" s="90"/>
      <c r="C420" s="90"/>
      <c r="D420" s="90"/>
      <c r="E420" s="90"/>
      <c r="F420" s="92"/>
      <c r="G420" s="92"/>
      <c r="H420" s="90"/>
      <c r="I420" s="195"/>
      <c r="J420" s="193">
        <f t="shared" si="13"/>
        <v>0</v>
      </c>
      <c r="K420" s="93" t="str">
        <f t="shared" si="14"/>
        <v/>
      </c>
      <c r="L420" s="90"/>
    </row>
    <row r="421" spans="1:12" x14ac:dyDescent="0.2">
      <c r="A421" s="196"/>
      <c r="B421" s="86"/>
      <c r="C421" s="86"/>
      <c r="D421" s="86"/>
      <c r="E421" s="86"/>
      <c r="F421" s="88"/>
      <c r="G421" s="88"/>
      <c r="H421" s="86"/>
      <c r="I421" s="197"/>
      <c r="J421" s="191">
        <f t="shared" si="13"/>
        <v>0</v>
      </c>
      <c r="K421" s="89" t="str">
        <f t="shared" si="14"/>
        <v/>
      </c>
      <c r="L421" s="86"/>
    </row>
    <row r="422" spans="1:12" x14ac:dyDescent="0.2">
      <c r="A422" s="194"/>
      <c r="B422" s="90"/>
      <c r="C422" s="90"/>
      <c r="D422" s="90"/>
      <c r="E422" s="90"/>
      <c r="F422" s="92"/>
      <c r="G422" s="92"/>
      <c r="H422" s="90"/>
      <c r="I422" s="195"/>
      <c r="J422" s="193">
        <f t="shared" si="13"/>
        <v>0</v>
      </c>
      <c r="K422" s="93" t="str">
        <f t="shared" si="14"/>
        <v/>
      </c>
      <c r="L422" s="90"/>
    </row>
    <row r="423" spans="1:12" x14ac:dyDescent="0.2">
      <c r="A423" s="196"/>
      <c r="B423" s="86"/>
      <c r="C423" s="86"/>
      <c r="D423" s="86"/>
      <c r="E423" s="86"/>
      <c r="F423" s="88"/>
      <c r="G423" s="88"/>
      <c r="H423" s="86"/>
      <c r="I423" s="197"/>
      <c r="J423" s="191">
        <f t="shared" si="13"/>
        <v>0</v>
      </c>
      <c r="K423" s="89" t="str">
        <f t="shared" si="14"/>
        <v/>
      </c>
      <c r="L423" s="86"/>
    </row>
    <row r="424" spans="1:12" x14ac:dyDescent="0.2">
      <c r="A424" s="194"/>
      <c r="B424" s="90"/>
      <c r="C424" s="90"/>
      <c r="D424" s="90"/>
      <c r="E424" s="90"/>
      <c r="F424" s="92"/>
      <c r="G424" s="92"/>
      <c r="H424" s="90"/>
      <c r="I424" s="195"/>
      <c r="J424" s="193">
        <f t="shared" si="13"/>
        <v>0</v>
      </c>
      <c r="K424" s="93" t="str">
        <f t="shared" si="14"/>
        <v/>
      </c>
      <c r="L424" s="90"/>
    </row>
    <row r="425" spans="1:12" x14ac:dyDescent="0.2">
      <c r="A425" s="196"/>
      <c r="B425" s="86"/>
      <c r="C425" s="86"/>
      <c r="D425" s="86"/>
      <c r="E425" s="86"/>
      <c r="F425" s="88"/>
      <c r="G425" s="88"/>
      <c r="H425" s="86"/>
      <c r="I425" s="197"/>
      <c r="J425" s="191">
        <f t="shared" si="13"/>
        <v>0</v>
      </c>
      <c r="K425" s="89" t="str">
        <f t="shared" si="14"/>
        <v/>
      </c>
      <c r="L425" s="86"/>
    </row>
    <row r="426" spans="1:12" x14ac:dyDescent="0.2">
      <c r="A426" s="194"/>
      <c r="B426" s="90"/>
      <c r="C426" s="90"/>
      <c r="D426" s="90"/>
      <c r="E426" s="90"/>
      <c r="F426" s="92"/>
      <c r="G426" s="92"/>
      <c r="H426" s="90"/>
      <c r="I426" s="195"/>
      <c r="J426" s="193">
        <f t="shared" si="13"/>
        <v>0</v>
      </c>
      <c r="K426" s="93" t="str">
        <f t="shared" si="14"/>
        <v/>
      </c>
      <c r="L426" s="90"/>
    </row>
    <row r="427" spans="1:12" x14ac:dyDescent="0.2">
      <c r="A427" s="196"/>
      <c r="B427" s="86"/>
      <c r="C427" s="86"/>
      <c r="D427" s="86"/>
      <c r="E427" s="86"/>
      <c r="F427" s="88"/>
      <c r="G427" s="88"/>
      <c r="H427" s="86"/>
      <c r="I427" s="197"/>
      <c r="J427" s="191">
        <f t="shared" si="13"/>
        <v>0</v>
      </c>
      <c r="K427" s="89" t="str">
        <f t="shared" si="14"/>
        <v/>
      </c>
      <c r="L427" s="86"/>
    </row>
    <row r="428" spans="1:12" x14ac:dyDescent="0.2">
      <c r="A428" s="194"/>
      <c r="B428" s="90"/>
      <c r="C428" s="90"/>
      <c r="D428" s="90"/>
      <c r="E428" s="90"/>
      <c r="F428" s="92"/>
      <c r="G428" s="92"/>
      <c r="H428" s="90"/>
      <c r="I428" s="195"/>
      <c r="J428" s="193">
        <f t="shared" si="13"/>
        <v>0</v>
      </c>
      <c r="K428" s="93" t="str">
        <f t="shared" si="14"/>
        <v/>
      </c>
      <c r="L428" s="90"/>
    </row>
    <row r="429" spans="1:12" x14ac:dyDescent="0.2">
      <c r="A429" s="196"/>
      <c r="B429" s="86"/>
      <c r="C429" s="86"/>
      <c r="D429" s="86"/>
      <c r="E429" s="86"/>
      <c r="F429" s="88"/>
      <c r="G429" s="88"/>
      <c r="H429" s="86"/>
      <c r="I429" s="197"/>
      <c r="J429" s="191">
        <f t="shared" si="13"/>
        <v>0</v>
      </c>
      <c r="K429" s="89" t="str">
        <f t="shared" si="14"/>
        <v/>
      </c>
      <c r="L429" s="86"/>
    </row>
    <row r="430" spans="1:12" x14ac:dyDescent="0.2">
      <c r="A430" s="194"/>
      <c r="B430" s="90"/>
      <c r="C430" s="90"/>
      <c r="D430" s="90"/>
      <c r="E430" s="90"/>
      <c r="F430" s="92"/>
      <c r="G430" s="92"/>
      <c r="H430" s="90"/>
      <c r="I430" s="195"/>
      <c r="J430" s="193">
        <f t="shared" si="13"/>
        <v>0</v>
      </c>
      <c r="K430" s="93" t="str">
        <f t="shared" si="14"/>
        <v/>
      </c>
      <c r="L430" s="90"/>
    </row>
    <row r="431" spans="1:12" x14ac:dyDescent="0.2">
      <c r="A431" s="196"/>
      <c r="B431" s="86"/>
      <c r="C431" s="86"/>
      <c r="D431" s="86"/>
      <c r="E431" s="86"/>
      <c r="F431" s="88"/>
      <c r="G431" s="88"/>
      <c r="H431" s="86"/>
      <c r="I431" s="197"/>
      <c r="J431" s="191">
        <f t="shared" si="13"/>
        <v>0</v>
      </c>
      <c r="K431" s="89" t="str">
        <f t="shared" si="14"/>
        <v/>
      </c>
      <c r="L431" s="86"/>
    </row>
    <row r="432" spans="1:12" x14ac:dyDescent="0.2">
      <c r="A432" s="194"/>
      <c r="B432" s="90"/>
      <c r="C432" s="90"/>
      <c r="D432" s="90"/>
      <c r="E432" s="90"/>
      <c r="F432" s="92"/>
      <c r="G432" s="92"/>
      <c r="H432" s="90"/>
      <c r="I432" s="195"/>
      <c r="J432" s="193">
        <f t="shared" si="13"/>
        <v>0</v>
      </c>
      <c r="K432" s="93" t="str">
        <f t="shared" si="14"/>
        <v/>
      </c>
      <c r="L432" s="90"/>
    </row>
    <row r="433" spans="1:12" x14ac:dyDescent="0.2">
      <c r="A433" s="196"/>
      <c r="B433" s="86"/>
      <c r="C433" s="86"/>
      <c r="D433" s="86"/>
      <c r="E433" s="86"/>
      <c r="F433" s="88"/>
      <c r="G433" s="88"/>
      <c r="H433" s="86"/>
      <c r="I433" s="197"/>
      <c r="J433" s="191">
        <f t="shared" si="13"/>
        <v>0</v>
      </c>
      <c r="K433" s="89" t="str">
        <f t="shared" si="14"/>
        <v/>
      </c>
      <c r="L433" s="86"/>
    </row>
    <row r="434" spans="1:12" x14ac:dyDescent="0.2">
      <c r="A434" s="194"/>
      <c r="B434" s="90"/>
      <c r="C434" s="90"/>
      <c r="D434" s="90"/>
      <c r="E434" s="90"/>
      <c r="F434" s="92"/>
      <c r="G434" s="92"/>
      <c r="H434" s="90"/>
      <c r="I434" s="195"/>
      <c r="J434" s="193">
        <f t="shared" si="13"/>
        <v>0</v>
      </c>
      <c r="K434" s="93" t="str">
        <f t="shared" si="14"/>
        <v/>
      </c>
      <c r="L434" s="90"/>
    </row>
    <row r="435" spans="1:12" x14ac:dyDescent="0.2">
      <c r="A435" s="196"/>
      <c r="B435" s="86"/>
      <c r="C435" s="86"/>
      <c r="D435" s="86"/>
      <c r="E435" s="86"/>
      <c r="F435" s="88"/>
      <c r="G435" s="88"/>
      <c r="H435" s="86"/>
      <c r="I435" s="197"/>
      <c r="J435" s="191">
        <f t="shared" si="13"/>
        <v>0</v>
      </c>
      <c r="K435" s="89" t="str">
        <f t="shared" si="14"/>
        <v/>
      </c>
      <c r="L435" s="86"/>
    </row>
    <row r="436" spans="1:12" x14ac:dyDescent="0.2">
      <c r="A436" s="194"/>
      <c r="B436" s="90"/>
      <c r="C436" s="90"/>
      <c r="D436" s="90"/>
      <c r="E436" s="90"/>
      <c r="F436" s="92"/>
      <c r="G436" s="92"/>
      <c r="H436" s="90"/>
      <c r="I436" s="195"/>
      <c r="J436" s="193">
        <f t="shared" si="13"/>
        <v>0</v>
      </c>
      <c r="K436" s="93" t="str">
        <f t="shared" si="14"/>
        <v/>
      </c>
      <c r="L436" s="90"/>
    </row>
    <row r="437" spans="1:12" x14ac:dyDescent="0.2">
      <c r="A437" s="196"/>
      <c r="B437" s="86"/>
      <c r="C437" s="86"/>
      <c r="D437" s="86"/>
      <c r="E437" s="86"/>
      <c r="F437" s="88"/>
      <c r="G437" s="88"/>
      <c r="H437" s="86"/>
      <c r="I437" s="197"/>
      <c r="J437" s="191">
        <f t="shared" si="13"/>
        <v>0</v>
      </c>
      <c r="K437" s="89" t="str">
        <f t="shared" si="14"/>
        <v/>
      </c>
      <c r="L437" s="86"/>
    </row>
    <row r="438" spans="1:12" x14ac:dyDescent="0.2">
      <c r="A438" s="194"/>
      <c r="B438" s="90"/>
      <c r="C438" s="90"/>
      <c r="D438" s="90"/>
      <c r="E438" s="90"/>
      <c r="F438" s="92"/>
      <c r="G438" s="92"/>
      <c r="H438" s="90"/>
      <c r="I438" s="195"/>
      <c r="J438" s="193">
        <f t="shared" si="13"/>
        <v>0</v>
      </c>
      <c r="K438" s="93" t="str">
        <f t="shared" si="14"/>
        <v/>
      </c>
      <c r="L438" s="90"/>
    </row>
    <row r="439" spans="1:12" x14ac:dyDescent="0.2">
      <c r="A439" s="196"/>
      <c r="B439" s="86"/>
      <c r="C439" s="86"/>
      <c r="D439" s="86"/>
      <c r="E439" s="86"/>
      <c r="F439" s="88"/>
      <c r="G439" s="88"/>
      <c r="H439" s="86"/>
      <c r="I439" s="197"/>
      <c r="J439" s="191">
        <f t="shared" si="13"/>
        <v>0</v>
      </c>
      <c r="K439" s="89" t="str">
        <f t="shared" si="14"/>
        <v/>
      </c>
      <c r="L439" s="86"/>
    </row>
    <row r="440" spans="1:12" x14ac:dyDescent="0.2">
      <c r="A440" s="194"/>
      <c r="B440" s="90"/>
      <c r="C440" s="90"/>
      <c r="D440" s="90"/>
      <c r="E440" s="90"/>
      <c r="F440" s="92"/>
      <c r="G440" s="92"/>
      <c r="H440" s="90"/>
      <c r="I440" s="195"/>
      <c r="J440" s="193">
        <f t="shared" si="13"/>
        <v>0</v>
      </c>
      <c r="K440" s="93" t="str">
        <f t="shared" si="14"/>
        <v/>
      </c>
      <c r="L440" s="90"/>
    </row>
    <row r="441" spans="1:12" x14ac:dyDescent="0.2">
      <c r="A441" s="196"/>
      <c r="B441" s="86"/>
      <c r="C441" s="86"/>
      <c r="D441" s="86"/>
      <c r="E441" s="86"/>
      <c r="F441" s="88"/>
      <c r="G441" s="88"/>
      <c r="H441" s="86"/>
      <c r="I441" s="197"/>
      <c r="J441" s="191">
        <f t="shared" si="13"/>
        <v>0</v>
      </c>
      <c r="K441" s="89" t="str">
        <f t="shared" si="14"/>
        <v/>
      </c>
      <c r="L441" s="86"/>
    </row>
    <row r="442" spans="1:12" x14ac:dyDescent="0.2">
      <c r="A442" s="194"/>
      <c r="B442" s="90"/>
      <c r="C442" s="90"/>
      <c r="D442" s="90"/>
      <c r="E442" s="90"/>
      <c r="F442" s="92"/>
      <c r="G442" s="92"/>
      <c r="H442" s="90"/>
      <c r="I442" s="195"/>
      <c r="J442" s="193">
        <f t="shared" si="13"/>
        <v>0</v>
      </c>
      <c r="K442" s="93" t="str">
        <f t="shared" si="14"/>
        <v/>
      </c>
      <c r="L442" s="90"/>
    </row>
    <row r="443" spans="1:12" x14ac:dyDescent="0.2">
      <c r="A443" s="196"/>
      <c r="B443" s="86"/>
      <c r="C443" s="86"/>
      <c r="D443" s="86"/>
      <c r="E443" s="86"/>
      <c r="F443" s="88"/>
      <c r="G443" s="88"/>
      <c r="H443" s="86"/>
      <c r="I443" s="197"/>
      <c r="J443" s="191">
        <f t="shared" si="13"/>
        <v>0</v>
      </c>
      <c r="K443" s="89" t="str">
        <f t="shared" si="14"/>
        <v/>
      </c>
      <c r="L443" s="86"/>
    </row>
    <row r="444" spans="1:12" x14ac:dyDescent="0.2">
      <c r="A444" s="194"/>
      <c r="B444" s="90"/>
      <c r="C444" s="90"/>
      <c r="D444" s="90"/>
      <c r="E444" s="90"/>
      <c r="F444" s="92"/>
      <c r="G444" s="92"/>
      <c r="H444" s="90"/>
      <c r="I444" s="195"/>
      <c r="J444" s="193">
        <f t="shared" si="13"/>
        <v>0</v>
      </c>
      <c r="K444" s="93" t="str">
        <f t="shared" si="14"/>
        <v/>
      </c>
      <c r="L444" s="90"/>
    </row>
    <row r="445" spans="1:12" x14ac:dyDescent="0.2">
      <c r="A445" s="196"/>
      <c r="B445" s="86"/>
      <c r="C445" s="86"/>
      <c r="D445" s="86"/>
      <c r="E445" s="86"/>
      <c r="F445" s="88"/>
      <c r="G445" s="88"/>
      <c r="H445" s="86"/>
      <c r="I445" s="197"/>
      <c r="J445" s="191">
        <f t="shared" si="13"/>
        <v>0</v>
      </c>
      <c r="K445" s="89" t="str">
        <f t="shared" si="14"/>
        <v/>
      </c>
      <c r="L445" s="86"/>
    </row>
    <row r="446" spans="1:12" x14ac:dyDescent="0.2">
      <c r="A446" s="194"/>
      <c r="B446" s="90"/>
      <c r="C446" s="90"/>
      <c r="D446" s="90"/>
      <c r="E446" s="90"/>
      <c r="F446" s="92"/>
      <c r="G446" s="92"/>
      <c r="H446" s="90"/>
      <c r="I446" s="195"/>
      <c r="J446" s="193">
        <f t="shared" si="13"/>
        <v>0</v>
      </c>
      <c r="K446" s="93" t="str">
        <f t="shared" si="14"/>
        <v/>
      </c>
      <c r="L446" s="90"/>
    </row>
    <row r="447" spans="1:12" x14ac:dyDescent="0.2">
      <c r="A447" s="196"/>
      <c r="B447" s="86"/>
      <c r="C447" s="86"/>
      <c r="D447" s="86"/>
      <c r="E447" s="86"/>
      <c r="F447" s="88"/>
      <c r="G447" s="88"/>
      <c r="H447" s="86"/>
      <c r="I447" s="197"/>
      <c r="J447" s="191">
        <f t="shared" si="13"/>
        <v>0</v>
      </c>
      <c r="K447" s="89" t="str">
        <f t="shared" si="14"/>
        <v/>
      </c>
      <c r="L447" s="86"/>
    </row>
    <row r="448" spans="1:12" x14ac:dyDescent="0.2">
      <c r="A448" s="194"/>
      <c r="B448" s="90"/>
      <c r="C448" s="90"/>
      <c r="D448" s="90"/>
      <c r="E448" s="90"/>
      <c r="F448" s="92"/>
      <c r="G448" s="92"/>
      <c r="H448" s="90"/>
      <c r="I448" s="195"/>
      <c r="J448" s="193">
        <f t="shared" si="13"/>
        <v>0</v>
      </c>
      <c r="K448" s="93" t="str">
        <f t="shared" si="14"/>
        <v/>
      </c>
      <c r="L448" s="90"/>
    </row>
    <row r="449" spans="1:12" x14ac:dyDescent="0.2">
      <c r="A449" s="196"/>
      <c r="B449" s="86"/>
      <c r="C449" s="86"/>
      <c r="D449" s="86"/>
      <c r="E449" s="86"/>
      <c r="F449" s="88"/>
      <c r="G449" s="88"/>
      <c r="H449" s="86"/>
      <c r="I449" s="197"/>
      <c r="J449" s="191">
        <f t="shared" si="13"/>
        <v>0</v>
      </c>
      <c r="K449" s="89" t="str">
        <f t="shared" si="14"/>
        <v/>
      </c>
      <c r="L449" s="86"/>
    </row>
    <row r="450" spans="1:12" x14ac:dyDescent="0.2">
      <c r="A450" s="194"/>
      <c r="B450" s="90"/>
      <c r="C450" s="90"/>
      <c r="D450" s="90"/>
      <c r="E450" s="90"/>
      <c r="F450" s="92"/>
      <c r="G450" s="92"/>
      <c r="H450" s="90"/>
      <c r="I450" s="195"/>
      <c r="J450" s="193">
        <f t="shared" si="13"/>
        <v>0</v>
      </c>
      <c r="K450" s="93" t="str">
        <f t="shared" si="14"/>
        <v/>
      </c>
      <c r="L450" s="90"/>
    </row>
    <row r="451" spans="1:12" x14ac:dyDescent="0.2">
      <c r="A451" s="196"/>
      <c r="B451" s="86"/>
      <c r="C451" s="86"/>
      <c r="D451" s="86"/>
      <c r="E451" s="86"/>
      <c r="F451" s="88"/>
      <c r="G451" s="88"/>
      <c r="H451" s="86"/>
      <c r="I451" s="197"/>
      <c r="J451" s="191">
        <f t="shared" si="13"/>
        <v>0</v>
      </c>
      <c r="K451" s="89" t="str">
        <f t="shared" si="14"/>
        <v/>
      </c>
      <c r="L451" s="86"/>
    </row>
    <row r="452" spans="1:12" x14ac:dyDescent="0.2">
      <c r="A452" s="194"/>
      <c r="B452" s="90"/>
      <c r="C452" s="90"/>
      <c r="D452" s="90"/>
      <c r="E452" s="90"/>
      <c r="F452" s="92"/>
      <c r="G452" s="92"/>
      <c r="H452" s="90"/>
      <c r="I452" s="195"/>
      <c r="J452" s="193">
        <f t="shared" si="13"/>
        <v>0</v>
      </c>
      <c r="K452" s="93" t="str">
        <f t="shared" si="14"/>
        <v/>
      </c>
      <c r="L452" s="90"/>
    </row>
    <row r="453" spans="1:12" x14ac:dyDescent="0.2">
      <c r="A453" s="196"/>
      <c r="B453" s="86"/>
      <c r="C453" s="86"/>
      <c r="D453" s="86"/>
      <c r="E453" s="86"/>
      <c r="F453" s="88"/>
      <c r="G453" s="88"/>
      <c r="H453" s="86"/>
      <c r="I453" s="197"/>
      <c r="J453" s="191">
        <f t="shared" ref="J453:J516" si="15">IFERROR(F453-E453-G453-H453-I453,"")</f>
        <v>0</v>
      </c>
      <c r="K453" s="89" t="str">
        <f t="shared" ref="K453:K516" si="16">IFERROR(J453/F453,"")</f>
        <v/>
      </c>
      <c r="L453" s="86"/>
    </row>
    <row r="454" spans="1:12" x14ac:dyDescent="0.2">
      <c r="A454" s="194"/>
      <c r="B454" s="90"/>
      <c r="C454" s="90"/>
      <c r="D454" s="90"/>
      <c r="E454" s="90"/>
      <c r="F454" s="92"/>
      <c r="G454" s="92"/>
      <c r="H454" s="90"/>
      <c r="I454" s="195"/>
      <c r="J454" s="193">
        <f t="shared" si="15"/>
        <v>0</v>
      </c>
      <c r="K454" s="93" t="str">
        <f t="shared" si="16"/>
        <v/>
      </c>
      <c r="L454" s="90"/>
    </row>
    <row r="455" spans="1:12" x14ac:dyDescent="0.2">
      <c r="A455" s="196"/>
      <c r="B455" s="86"/>
      <c r="C455" s="86"/>
      <c r="D455" s="86"/>
      <c r="E455" s="86"/>
      <c r="F455" s="88"/>
      <c r="G455" s="88"/>
      <c r="H455" s="86"/>
      <c r="I455" s="197"/>
      <c r="J455" s="191">
        <f t="shared" si="15"/>
        <v>0</v>
      </c>
      <c r="K455" s="89" t="str">
        <f t="shared" si="16"/>
        <v/>
      </c>
      <c r="L455" s="86"/>
    </row>
    <row r="456" spans="1:12" x14ac:dyDescent="0.2">
      <c r="A456" s="194"/>
      <c r="B456" s="90"/>
      <c r="C456" s="90"/>
      <c r="D456" s="90"/>
      <c r="E456" s="90"/>
      <c r="F456" s="92"/>
      <c r="G456" s="92"/>
      <c r="H456" s="90"/>
      <c r="I456" s="195"/>
      <c r="J456" s="193">
        <f t="shared" si="15"/>
        <v>0</v>
      </c>
      <c r="K456" s="93" t="str">
        <f t="shared" si="16"/>
        <v/>
      </c>
      <c r="L456" s="90"/>
    </row>
    <row r="457" spans="1:12" x14ac:dyDescent="0.2">
      <c r="A457" s="196"/>
      <c r="B457" s="86"/>
      <c r="C457" s="86"/>
      <c r="D457" s="86"/>
      <c r="E457" s="86"/>
      <c r="F457" s="88"/>
      <c r="G457" s="88"/>
      <c r="H457" s="86"/>
      <c r="I457" s="197"/>
      <c r="J457" s="191">
        <f t="shared" si="15"/>
        <v>0</v>
      </c>
      <c r="K457" s="89" t="str">
        <f t="shared" si="16"/>
        <v/>
      </c>
      <c r="L457" s="86"/>
    </row>
    <row r="458" spans="1:12" x14ac:dyDescent="0.2">
      <c r="A458" s="194"/>
      <c r="B458" s="90"/>
      <c r="C458" s="90"/>
      <c r="D458" s="90"/>
      <c r="E458" s="90"/>
      <c r="F458" s="92"/>
      <c r="G458" s="92"/>
      <c r="H458" s="90"/>
      <c r="I458" s="195"/>
      <c r="J458" s="193">
        <f t="shared" si="15"/>
        <v>0</v>
      </c>
      <c r="K458" s="93" t="str">
        <f t="shared" si="16"/>
        <v/>
      </c>
      <c r="L458" s="90"/>
    </row>
    <row r="459" spans="1:12" x14ac:dyDescent="0.2">
      <c r="A459" s="196"/>
      <c r="B459" s="86"/>
      <c r="C459" s="86"/>
      <c r="D459" s="86"/>
      <c r="E459" s="86"/>
      <c r="F459" s="88"/>
      <c r="G459" s="88"/>
      <c r="H459" s="86"/>
      <c r="I459" s="197"/>
      <c r="J459" s="191">
        <f t="shared" si="15"/>
        <v>0</v>
      </c>
      <c r="K459" s="89" t="str">
        <f t="shared" si="16"/>
        <v/>
      </c>
      <c r="L459" s="86"/>
    </row>
    <row r="460" spans="1:12" x14ac:dyDescent="0.2">
      <c r="A460" s="194"/>
      <c r="B460" s="90"/>
      <c r="C460" s="90"/>
      <c r="D460" s="90"/>
      <c r="E460" s="90"/>
      <c r="F460" s="92"/>
      <c r="G460" s="92"/>
      <c r="H460" s="90"/>
      <c r="I460" s="195"/>
      <c r="J460" s="193">
        <f t="shared" si="15"/>
        <v>0</v>
      </c>
      <c r="K460" s="93" t="str">
        <f t="shared" si="16"/>
        <v/>
      </c>
      <c r="L460" s="90"/>
    </row>
    <row r="461" spans="1:12" x14ac:dyDescent="0.2">
      <c r="A461" s="196"/>
      <c r="B461" s="86"/>
      <c r="C461" s="86"/>
      <c r="D461" s="86"/>
      <c r="E461" s="86"/>
      <c r="F461" s="88"/>
      <c r="G461" s="88"/>
      <c r="H461" s="86"/>
      <c r="I461" s="197"/>
      <c r="J461" s="191">
        <f t="shared" si="15"/>
        <v>0</v>
      </c>
      <c r="K461" s="89" t="str">
        <f t="shared" si="16"/>
        <v/>
      </c>
      <c r="L461" s="86"/>
    </row>
    <row r="462" spans="1:12" x14ac:dyDescent="0.2">
      <c r="A462" s="194"/>
      <c r="B462" s="90"/>
      <c r="C462" s="90"/>
      <c r="D462" s="90"/>
      <c r="E462" s="90"/>
      <c r="F462" s="92"/>
      <c r="G462" s="92"/>
      <c r="H462" s="90"/>
      <c r="I462" s="195"/>
      <c r="J462" s="193">
        <f t="shared" si="15"/>
        <v>0</v>
      </c>
      <c r="K462" s="93" t="str">
        <f t="shared" si="16"/>
        <v/>
      </c>
      <c r="L462" s="90"/>
    </row>
    <row r="463" spans="1:12" x14ac:dyDescent="0.2">
      <c r="A463" s="196"/>
      <c r="B463" s="86"/>
      <c r="C463" s="86"/>
      <c r="D463" s="86"/>
      <c r="E463" s="86"/>
      <c r="F463" s="88"/>
      <c r="G463" s="88"/>
      <c r="H463" s="86"/>
      <c r="I463" s="197"/>
      <c r="J463" s="191">
        <f t="shared" si="15"/>
        <v>0</v>
      </c>
      <c r="K463" s="89" t="str">
        <f t="shared" si="16"/>
        <v/>
      </c>
      <c r="L463" s="86"/>
    </row>
    <row r="464" spans="1:12" x14ac:dyDescent="0.2">
      <c r="A464" s="194"/>
      <c r="B464" s="90"/>
      <c r="C464" s="90"/>
      <c r="D464" s="90"/>
      <c r="E464" s="90"/>
      <c r="F464" s="92"/>
      <c r="G464" s="92"/>
      <c r="H464" s="90"/>
      <c r="I464" s="195"/>
      <c r="J464" s="193">
        <f t="shared" si="15"/>
        <v>0</v>
      </c>
      <c r="K464" s="93" t="str">
        <f t="shared" si="16"/>
        <v/>
      </c>
      <c r="L464" s="90"/>
    </row>
    <row r="465" spans="1:12" x14ac:dyDescent="0.2">
      <c r="A465" s="196"/>
      <c r="B465" s="86"/>
      <c r="C465" s="86"/>
      <c r="D465" s="86"/>
      <c r="E465" s="86"/>
      <c r="F465" s="88"/>
      <c r="G465" s="88"/>
      <c r="H465" s="86"/>
      <c r="I465" s="197"/>
      <c r="J465" s="191">
        <f t="shared" si="15"/>
        <v>0</v>
      </c>
      <c r="K465" s="89" t="str">
        <f t="shared" si="16"/>
        <v/>
      </c>
      <c r="L465" s="86"/>
    </row>
    <row r="466" spans="1:12" x14ac:dyDescent="0.2">
      <c r="A466" s="194"/>
      <c r="B466" s="90"/>
      <c r="C466" s="90"/>
      <c r="D466" s="90"/>
      <c r="E466" s="90"/>
      <c r="F466" s="92"/>
      <c r="G466" s="92"/>
      <c r="H466" s="90"/>
      <c r="I466" s="195"/>
      <c r="J466" s="193">
        <f t="shared" si="15"/>
        <v>0</v>
      </c>
      <c r="K466" s="93" t="str">
        <f t="shared" si="16"/>
        <v/>
      </c>
      <c r="L466" s="90"/>
    </row>
    <row r="467" spans="1:12" x14ac:dyDescent="0.2">
      <c r="A467" s="196"/>
      <c r="B467" s="86"/>
      <c r="C467" s="86"/>
      <c r="D467" s="86"/>
      <c r="E467" s="86"/>
      <c r="F467" s="88"/>
      <c r="G467" s="88"/>
      <c r="H467" s="86"/>
      <c r="I467" s="197"/>
      <c r="J467" s="191">
        <f t="shared" si="15"/>
        <v>0</v>
      </c>
      <c r="K467" s="89" t="str">
        <f t="shared" si="16"/>
        <v/>
      </c>
      <c r="L467" s="86"/>
    </row>
    <row r="468" spans="1:12" x14ac:dyDescent="0.2">
      <c r="A468" s="194"/>
      <c r="B468" s="90"/>
      <c r="C468" s="90"/>
      <c r="D468" s="90"/>
      <c r="E468" s="90"/>
      <c r="F468" s="92"/>
      <c r="G468" s="92"/>
      <c r="H468" s="90"/>
      <c r="I468" s="195"/>
      <c r="J468" s="193">
        <f t="shared" si="15"/>
        <v>0</v>
      </c>
      <c r="K468" s="93" t="str">
        <f t="shared" si="16"/>
        <v/>
      </c>
      <c r="L468" s="90"/>
    </row>
    <row r="469" spans="1:12" x14ac:dyDescent="0.2">
      <c r="A469" s="196"/>
      <c r="B469" s="86"/>
      <c r="C469" s="86"/>
      <c r="D469" s="86"/>
      <c r="E469" s="86"/>
      <c r="F469" s="88"/>
      <c r="G469" s="88"/>
      <c r="H469" s="86"/>
      <c r="I469" s="197"/>
      <c r="J469" s="191">
        <f t="shared" si="15"/>
        <v>0</v>
      </c>
      <c r="K469" s="89" t="str">
        <f t="shared" si="16"/>
        <v/>
      </c>
      <c r="L469" s="86"/>
    </row>
    <row r="470" spans="1:12" x14ac:dyDescent="0.2">
      <c r="A470" s="194"/>
      <c r="B470" s="90"/>
      <c r="C470" s="90"/>
      <c r="D470" s="90"/>
      <c r="E470" s="90"/>
      <c r="F470" s="92"/>
      <c r="G470" s="92"/>
      <c r="H470" s="90"/>
      <c r="I470" s="195"/>
      <c r="J470" s="193">
        <f t="shared" si="15"/>
        <v>0</v>
      </c>
      <c r="K470" s="93" t="str">
        <f t="shared" si="16"/>
        <v/>
      </c>
      <c r="L470" s="90"/>
    </row>
    <row r="471" spans="1:12" x14ac:dyDescent="0.2">
      <c r="A471" s="196"/>
      <c r="B471" s="86"/>
      <c r="C471" s="86"/>
      <c r="D471" s="86"/>
      <c r="E471" s="86"/>
      <c r="F471" s="88"/>
      <c r="G471" s="88"/>
      <c r="H471" s="86"/>
      <c r="I471" s="197"/>
      <c r="J471" s="191">
        <f t="shared" si="15"/>
        <v>0</v>
      </c>
      <c r="K471" s="89" t="str">
        <f t="shared" si="16"/>
        <v/>
      </c>
      <c r="L471" s="86"/>
    </row>
    <row r="472" spans="1:12" x14ac:dyDescent="0.2">
      <c r="A472" s="194"/>
      <c r="B472" s="90"/>
      <c r="C472" s="90"/>
      <c r="D472" s="90"/>
      <c r="E472" s="90"/>
      <c r="F472" s="92"/>
      <c r="G472" s="92"/>
      <c r="H472" s="90"/>
      <c r="I472" s="195"/>
      <c r="J472" s="193">
        <f t="shared" si="15"/>
        <v>0</v>
      </c>
      <c r="K472" s="93" t="str">
        <f t="shared" si="16"/>
        <v/>
      </c>
      <c r="L472" s="90"/>
    </row>
    <row r="473" spans="1:12" x14ac:dyDescent="0.2">
      <c r="A473" s="196"/>
      <c r="B473" s="86"/>
      <c r="C473" s="86"/>
      <c r="D473" s="86"/>
      <c r="E473" s="86"/>
      <c r="F473" s="88"/>
      <c r="G473" s="88"/>
      <c r="H473" s="86"/>
      <c r="I473" s="197"/>
      <c r="J473" s="191">
        <f t="shared" si="15"/>
        <v>0</v>
      </c>
      <c r="K473" s="89" t="str">
        <f t="shared" si="16"/>
        <v/>
      </c>
      <c r="L473" s="86"/>
    </row>
    <row r="474" spans="1:12" x14ac:dyDescent="0.2">
      <c r="A474" s="194"/>
      <c r="B474" s="90"/>
      <c r="C474" s="90"/>
      <c r="D474" s="90"/>
      <c r="E474" s="90"/>
      <c r="F474" s="92"/>
      <c r="G474" s="92"/>
      <c r="H474" s="90"/>
      <c r="I474" s="195"/>
      <c r="J474" s="193">
        <f t="shared" si="15"/>
        <v>0</v>
      </c>
      <c r="K474" s="93" t="str">
        <f t="shared" si="16"/>
        <v/>
      </c>
      <c r="L474" s="90"/>
    </row>
    <row r="475" spans="1:12" x14ac:dyDescent="0.2">
      <c r="A475" s="196"/>
      <c r="B475" s="86"/>
      <c r="C475" s="86"/>
      <c r="D475" s="86"/>
      <c r="E475" s="86"/>
      <c r="F475" s="88"/>
      <c r="G475" s="88"/>
      <c r="H475" s="86"/>
      <c r="I475" s="197"/>
      <c r="J475" s="191">
        <f t="shared" si="15"/>
        <v>0</v>
      </c>
      <c r="K475" s="89" t="str">
        <f t="shared" si="16"/>
        <v/>
      </c>
      <c r="L475" s="86"/>
    </row>
    <row r="476" spans="1:12" x14ac:dyDescent="0.2">
      <c r="A476" s="194"/>
      <c r="B476" s="90"/>
      <c r="C476" s="90"/>
      <c r="D476" s="90"/>
      <c r="E476" s="90"/>
      <c r="F476" s="92"/>
      <c r="G476" s="92"/>
      <c r="H476" s="90"/>
      <c r="I476" s="195"/>
      <c r="J476" s="193">
        <f t="shared" si="15"/>
        <v>0</v>
      </c>
      <c r="K476" s="93" t="str">
        <f t="shared" si="16"/>
        <v/>
      </c>
      <c r="L476" s="90"/>
    </row>
    <row r="477" spans="1:12" x14ac:dyDescent="0.2">
      <c r="A477" s="196"/>
      <c r="B477" s="86"/>
      <c r="C477" s="86"/>
      <c r="D477" s="86"/>
      <c r="E477" s="86"/>
      <c r="F477" s="88"/>
      <c r="G477" s="88"/>
      <c r="H477" s="86"/>
      <c r="I477" s="197"/>
      <c r="J477" s="191">
        <f t="shared" si="15"/>
        <v>0</v>
      </c>
      <c r="K477" s="89" t="str">
        <f t="shared" si="16"/>
        <v/>
      </c>
      <c r="L477" s="86"/>
    </row>
    <row r="478" spans="1:12" x14ac:dyDescent="0.2">
      <c r="A478" s="194"/>
      <c r="B478" s="90"/>
      <c r="C478" s="90"/>
      <c r="D478" s="90"/>
      <c r="E478" s="90"/>
      <c r="F478" s="92"/>
      <c r="G478" s="92"/>
      <c r="H478" s="90"/>
      <c r="I478" s="195"/>
      <c r="J478" s="193">
        <f t="shared" si="15"/>
        <v>0</v>
      </c>
      <c r="K478" s="93" t="str">
        <f t="shared" si="16"/>
        <v/>
      </c>
      <c r="L478" s="90"/>
    </row>
    <row r="479" spans="1:12" x14ac:dyDescent="0.2">
      <c r="A479" s="196"/>
      <c r="B479" s="86"/>
      <c r="C479" s="86"/>
      <c r="D479" s="86"/>
      <c r="E479" s="86"/>
      <c r="F479" s="88"/>
      <c r="G479" s="88"/>
      <c r="H479" s="86"/>
      <c r="I479" s="197"/>
      <c r="J479" s="191">
        <f t="shared" si="15"/>
        <v>0</v>
      </c>
      <c r="K479" s="89" t="str">
        <f t="shared" si="16"/>
        <v/>
      </c>
      <c r="L479" s="86"/>
    </row>
    <row r="480" spans="1:12" x14ac:dyDescent="0.2">
      <c r="A480" s="194"/>
      <c r="B480" s="90"/>
      <c r="C480" s="90"/>
      <c r="D480" s="90"/>
      <c r="E480" s="90"/>
      <c r="F480" s="92"/>
      <c r="G480" s="92"/>
      <c r="H480" s="90"/>
      <c r="I480" s="195"/>
      <c r="J480" s="193">
        <f t="shared" si="15"/>
        <v>0</v>
      </c>
      <c r="K480" s="93" t="str">
        <f t="shared" si="16"/>
        <v/>
      </c>
      <c r="L480" s="90"/>
    </row>
    <row r="481" spans="1:12" x14ac:dyDescent="0.2">
      <c r="A481" s="196"/>
      <c r="B481" s="86"/>
      <c r="C481" s="86"/>
      <c r="D481" s="86"/>
      <c r="E481" s="86"/>
      <c r="F481" s="88"/>
      <c r="G481" s="88"/>
      <c r="H481" s="86"/>
      <c r="I481" s="197"/>
      <c r="J481" s="191">
        <f t="shared" si="15"/>
        <v>0</v>
      </c>
      <c r="K481" s="89" t="str">
        <f t="shared" si="16"/>
        <v/>
      </c>
      <c r="L481" s="86"/>
    </row>
    <row r="482" spans="1:12" x14ac:dyDescent="0.2">
      <c r="A482" s="194"/>
      <c r="B482" s="90"/>
      <c r="C482" s="90"/>
      <c r="D482" s="90"/>
      <c r="E482" s="90"/>
      <c r="F482" s="92"/>
      <c r="G482" s="92"/>
      <c r="H482" s="90"/>
      <c r="I482" s="195"/>
      <c r="J482" s="193">
        <f t="shared" si="15"/>
        <v>0</v>
      </c>
      <c r="K482" s="93" t="str">
        <f t="shared" si="16"/>
        <v/>
      </c>
      <c r="L482" s="90"/>
    </row>
    <row r="483" spans="1:12" x14ac:dyDescent="0.2">
      <c r="A483" s="196"/>
      <c r="B483" s="86"/>
      <c r="C483" s="86"/>
      <c r="D483" s="86"/>
      <c r="E483" s="86"/>
      <c r="F483" s="88"/>
      <c r="G483" s="88"/>
      <c r="H483" s="86"/>
      <c r="I483" s="197"/>
      <c r="J483" s="191">
        <f t="shared" si="15"/>
        <v>0</v>
      </c>
      <c r="K483" s="89" t="str">
        <f t="shared" si="16"/>
        <v/>
      </c>
      <c r="L483" s="86"/>
    </row>
    <row r="484" spans="1:12" x14ac:dyDescent="0.2">
      <c r="A484" s="194"/>
      <c r="B484" s="90"/>
      <c r="C484" s="90"/>
      <c r="D484" s="90"/>
      <c r="E484" s="90"/>
      <c r="F484" s="92"/>
      <c r="G484" s="92"/>
      <c r="H484" s="90"/>
      <c r="I484" s="195"/>
      <c r="J484" s="193">
        <f t="shared" si="15"/>
        <v>0</v>
      </c>
      <c r="K484" s="93" t="str">
        <f t="shared" si="16"/>
        <v/>
      </c>
      <c r="L484" s="90"/>
    </row>
    <row r="485" spans="1:12" x14ac:dyDescent="0.2">
      <c r="A485" s="196"/>
      <c r="B485" s="86"/>
      <c r="C485" s="86"/>
      <c r="D485" s="86"/>
      <c r="E485" s="86"/>
      <c r="F485" s="88"/>
      <c r="G485" s="88"/>
      <c r="H485" s="86"/>
      <c r="I485" s="197"/>
      <c r="J485" s="191">
        <f t="shared" si="15"/>
        <v>0</v>
      </c>
      <c r="K485" s="89" t="str">
        <f t="shared" si="16"/>
        <v/>
      </c>
      <c r="L485" s="86"/>
    </row>
    <row r="486" spans="1:12" x14ac:dyDescent="0.2">
      <c r="A486" s="194"/>
      <c r="B486" s="90"/>
      <c r="C486" s="90"/>
      <c r="D486" s="90"/>
      <c r="E486" s="90"/>
      <c r="F486" s="92"/>
      <c r="G486" s="92"/>
      <c r="H486" s="90"/>
      <c r="I486" s="195"/>
      <c r="J486" s="193">
        <f t="shared" si="15"/>
        <v>0</v>
      </c>
      <c r="K486" s="93" t="str">
        <f t="shared" si="16"/>
        <v/>
      </c>
      <c r="L486" s="90"/>
    </row>
    <row r="487" spans="1:12" x14ac:dyDescent="0.2">
      <c r="A487" s="196"/>
      <c r="B487" s="86"/>
      <c r="C487" s="86"/>
      <c r="D487" s="86"/>
      <c r="E487" s="86"/>
      <c r="F487" s="88"/>
      <c r="G487" s="88"/>
      <c r="H487" s="86"/>
      <c r="I487" s="197"/>
      <c r="J487" s="191">
        <f t="shared" si="15"/>
        <v>0</v>
      </c>
      <c r="K487" s="89" t="str">
        <f t="shared" si="16"/>
        <v/>
      </c>
      <c r="L487" s="86"/>
    </row>
    <row r="488" spans="1:12" x14ac:dyDescent="0.2">
      <c r="A488" s="194"/>
      <c r="B488" s="90"/>
      <c r="C488" s="90"/>
      <c r="D488" s="90"/>
      <c r="E488" s="90"/>
      <c r="F488" s="92"/>
      <c r="G488" s="92"/>
      <c r="H488" s="90"/>
      <c r="I488" s="195"/>
      <c r="J488" s="193">
        <f t="shared" si="15"/>
        <v>0</v>
      </c>
      <c r="K488" s="93" t="str">
        <f t="shared" si="16"/>
        <v/>
      </c>
      <c r="L488" s="90"/>
    </row>
    <row r="489" spans="1:12" x14ac:dyDescent="0.2">
      <c r="A489" s="196"/>
      <c r="B489" s="86"/>
      <c r="C489" s="86"/>
      <c r="D489" s="86"/>
      <c r="E489" s="86"/>
      <c r="F489" s="88"/>
      <c r="G489" s="88"/>
      <c r="H489" s="86"/>
      <c r="I489" s="197"/>
      <c r="J489" s="191">
        <f t="shared" si="15"/>
        <v>0</v>
      </c>
      <c r="K489" s="89" t="str">
        <f t="shared" si="16"/>
        <v/>
      </c>
      <c r="L489" s="86"/>
    </row>
    <row r="490" spans="1:12" x14ac:dyDescent="0.2">
      <c r="A490" s="194"/>
      <c r="B490" s="90"/>
      <c r="C490" s="90"/>
      <c r="D490" s="90"/>
      <c r="E490" s="90"/>
      <c r="F490" s="92"/>
      <c r="G490" s="92"/>
      <c r="H490" s="90"/>
      <c r="I490" s="195"/>
      <c r="J490" s="193">
        <f t="shared" si="15"/>
        <v>0</v>
      </c>
      <c r="K490" s="93" t="str">
        <f t="shared" si="16"/>
        <v/>
      </c>
      <c r="L490" s="90"/>
    </row>
    <row r="491" spans="1:12" x14ac:dyDescent="0.2">
      <c r="A491" s="196"/>
      <c r="B491" s="86"/>
      <c r="C491" s="86"/>
      <c r="D491" s="86"/>
      <c r="E491" s="86"/>
      <c r="F491" s="88"/>
      <c r="G491" s="88"/>
      <c r="H491" s="86"/>
      <c r="I491" s="197"/>
      <c r="J491" s="191">
        <f t="shared" si="15"/>
        <v>0</v>
      </c>
      <c r="K491" s="89" t="str">
        <f t="shared" si="16"/>
        <v/>
      </c>
      <c r="L491" s="86"/>
    </row>
    <row r="492" spans="1:12" x14ac:dyDescent="0.2">
      <c r="A492" s="194"/>
      <c r="B492" s="90"/>
      <c r="C492" s="90"/>
      <c r="D492" s="90"/>
      <c r="E492" s="90"/>
      <c r="F492" s="92"/>
      <c r="G492" s="92"/>
      <c r="H492" s="90"/>
      <c r="I492" s="195"/>
      <c r="J492" s="193">
        <f t="shared" si="15"/>
        <v>0</v>
      </c>
      <c r="K492" s="93" t="str">
        <f t="shared" si="16"/>
        <v/>
      </c>
      <c r="L492" s="90"/>
    </row>
    <row r="493" spans="1:12" x14ac:dyDescent="0.2">
      <c r="A493" s="196"/>
      <c r="B493" s="86"/>
      <c r="C493" s="86"/>
      <c r="D493" s="86"/>
      <c r="E493" s="86"/>
      <c r="F493" s="88"/>
      <c r="G493" s="88"/>
      <c r="H493" s="86"/>
      <c r="I493" s="197"/>
      <c r="J493" s="191">
        <f t="shared" si="15"/>
        <v>0</v>
      </c>
      <c r="K493" s="89" t="str">
        <f t="shared" si="16"/>
        <v/>
      </c>
      <c r="L493" s="86"/>
    </row>
    <row r="494" spans="1:12" x14ac:dyDescent="0.2">
      <c r="A494" s="194"/>
      <c r="B494" s="90"/>
      <c r="C494" s="90"/>
      <c r="D494" s="90"/>
      <c r="E494" s="90"/>
      <c r="F494" s="92"/>
      <c r="G494" s="92"/>
      <c r="H494" s="90"/>
      <c r="I494" s="195"/>
      <c r="J494" s="193">
        <f t="shared" si="15"/>
        <v>0</v>
      </c>
      <c r="K494" s="93" t="str">
        <f t="shared" si="16"/>
        <v/>
      </c>
      <c r="L494" s="90"/>
    </row>
    <row r="495" spans="1:12" x14ac:dyDescent="0.2">
      <c r="A495" s="196"/>
      <c r="B495" s="86"/>
      <c r="C495" s="86"/>
      <c r="D495" s="86"/>
      <c r="E495" s="86"/>
      <c r="F495" s="88"/>
      <c r="G495" s="88"/>
      <c r="H495" s="86"/>
      <c r="I495" s="197"/>
      <c r="J495" s="191">
        <f t="shared" si="15"/>
        <v>0</v>
      </c>
      <c r="K495" s="89" t="str">
        <f t="shared" si="16"/>
        <v/>
      </c>
      <c r="L495" s="86"/>
    </row>
    <row r="496" spans="1:12" x14ac:dyDescent="0.2">
      <c r="A496" s="194"/>
      <c r="B496" s="90"/>
      <c r="C496" s="90"/>
      <c r="D496" s="90"/>
      <c r="E496" s="90"/>
      <c r="F496" s="92"/>
      <c r="G496" s="92"/>
      <c r="H496" s="90"/>
      <c r="I496" s="195"/>
      <c r="J496" s="193">
        <f t="shared" si="15"/>
        <v>0</v>
      </c>
      <c r="K496" s="93" t="str">
        <f t="shared" si="16"/>
        <v/>
      </c>
      <c r="L496" s="90"/>
    </row>
    <row r="497" spans="1:12" x14ac:dyDescent="0.2">
      <c r="A497" s="196"/>
      <c r="B497" s="86"/>
      <c r="C497" s="86"/>
      <c r="D497" s="86"/>
      <c r="E497" s="86"/>
      <c r="F497" s="88"/>
      <c r="G497" s="88"/>
      <c r="H497" s="86"/>
      <c r="I497" s="197"/>
      <c r="J497" s="191">
        <f t="shared" si="15"/>
        <v>0</v>
      </c>
      <c r="K497" s="89" t="str">
        <f t="shared" si="16"/>
        <v/>
      </c>
      <c r="L497" s="86"/>
    </row>
    <row r="498" spans="1:12" x14ac:dyDescent="0.2">
      <c r="A498" s="194"/>
      <c r="B498" s="90"/>
      <c r="C498" s="90"/>
      <c r="D498" s="90"/>
      <c r="E498" s="90"/>
      <c r="F498" s="92"/>
      <c r="G498" s="92"/>
      <c r="H498" s="90"/>
      <c r="I498" s="195"/>
      <c r="J498" s="193">
        <f t="shared" si="15"/>
        <v>0</v>
      </c>
      <c r="K498" s="93" t="str">
        <f t="shared" si="16"/>
        <v/>
      </c>
      <c r="L498" s="90"/>
    </row>
    <row r="499" spans="1:12" x14ac:dyDescent="0.2">
      <c r="A499" s="196"/>
      <c r="B499" s="86"/>
      <c r="C499" s="86"/>
      <c r="D499" s="86"/>
      <c r="E499" s="86"/>
      <c r="F499" s="88"/>
      <c r="G499" s="88"/>
      <c r="H499" s="86"/>
      <c r="I499" s="197"/>
      <c r="J499" s="191">
        <f t="shared" si="15"/>
        <v>0</v>
      </c>
      <c r="K499" s="89" t="str">
        <f t="shared" si="16"/>
        <v/>
      </c>
      <c r="L499" s="86"/>
    </row>
    <row r="500" spans="1:12" x14ac:dyDescent="0.2">
      <c r="A500" s="194"/>
      <c r="B500" s="90"/>
      <c r="C500" s="90"/>
      <c r="D500" s="90"/>
      <c r="E500" s="90"/>
      <c r="F500" s="92"/>
      <c r="G500" s="92"/>
      <c r="H500" s="90"/>
      <c r="I500" s="195"/>
      <c r="J500" s="193">
        <f t="shared" si="15"/>
        <v>0</v>
      </c>
      <c r="K500" s="93" t="str">
        <f t="shared" si="16"/>
        <v/>
      </c>
      <c r="L500" s="90"/>
    </row>
    <row r="501" spans="1:12" x14ac:dyDescent="0.2">
      <c r="A501" s="196"/>
      <c r="B501" s="86"/>
      <c r="C501" s="86"/>
      <c r="D501" s="86"/>
      <c r="E501" s="86"/>
      <c r="F501" s="88"/>
      <c r="G501" s="88"/>
      <c r="H501" s="86"/>
      <c r="I501" s="197"/>
      <c r="J501" s="191">
        <f t="shared" si="15"/>
        <v>0</v>
      </c>
      <c r="K501" s="89" t="str">
        <f t="shared" si="16"/>
        <v/>
      </c>
      <c r="L501" s="86"/>
    </row>
    <row r="502" spans="1:12" x14ac:dyDescent="0.2">
      <c r="A502" s="194"/>
      <c r="B502" s="90"/>
      <c r="C502" s="90"/>
      <c r="D502" s="90"/>
      <c r="E502" s="90"/>
      <c r="F502" s="92"/>
      <c r="G502" s="92"/>
      <c r="H502" s="90"/>
      <c r="I502" s="195"/>
      <c r="J502" s="193">
        <f t="shared" si="15"/>
        <v>0</v>
      </c>
      <c r="K502" s="93" t="str">
        <f t="shared" si="16"/>
        <v/>
      </c>
      <c r="L502" s="90"/>
    </row>
    <row r="503" spans="1:12" x14ac:dyDescent="0.2">
      <c r="A503" s="196"/>
      <c r="B503" s="86"/>
      <c r="C503" s="86"/>
      <c r="D503" s="86"/>
      <c r="E503" s="86"/>
      <c r="F503" s="88"/>
      <c r="G503" s="88"/>
      <c r="H503" s="86"/>
      <c r="I503" s="197"/>
      <c r="J503" s="191">
        <f t="shared" si="15"/>
        <v>0</v>
      </c>
      <c r="K503" s="89" t="str">
        <f t="shared" si="16"/>
        <v/>
      </c>
      <c r="L503" s="86"/>
    </row>
    <row r="504" spans="1:12" x14ac:dyDescent="0.2">
      <c r="A504" s="194"/>
      <c r="B504" s="90"/>
      <c r="C504" s="90"/>
      <c r="D504" s="90"/>
      <c r="E504" s="90"/>
      <c r="F504" s="92"/>
      <c r="G504" s="92"/>
      <c r="H504" s="90"/>
      <c r="I504" s="195"/>
      <c r="J504" s="193">
        <f t="shared" si="15"/>
        <v>0</v>
      </c>
      <c r="K504" s="93" t="str">
        <f t="shared" si="16"/>
        <v/>
      </c>
      <c r="L504" s="90"/>
    </row>
    <row r="505" spans="1:12" x14ac:dyDescent="0.2">
      <c r="A505" s="196"/>
      <c r="B505" s="86"/>
      <c r="C505" s="86"/>
      <c r="D505" s="86"/>
      <c r="E505" s="86"/>
      <c r="F505" s="88"/>
      <c r="G505" s="88"/>
      <c r="H505" s="86"/>
      <c r="I505" s="197"/>
      <c r="J505" s="191">
        <f t="shared" si="15"/>
        <v>0</v>
      </c>
      <c r="K505" s="89" t="str">
        <f t="shared" si="16"/>
        <v/>
      </c>
      <c r="L505" s="86"/>
    </row>
    <row r="506" spans="1:12" x14ac:dyDescent="0.2">
      <c r="A506" s="194"/>
      <c r="B506" s="90"/>
      <c r="C506" s="90"/>
      <c r="D506" s="90"/>
      <c r="E506" s="90"/>
      <c r="F506" s="92"/>
      <c r="G506" s="92"/>
      <c r="H506" s="90"/>
      <c r="I506" s="195"/>
      <c r="J506" s="193">
        <f t="shared" si="15"/>
        <v>0</v>
      </c>
      <c r="K506" s="93" t="str">
        <f t="shared" si="16"/>
        <v/>
      </c>
      <c r="L506" s="90"/>
    </row>
    <row r="507" spans="1:12" x14ac:dyDescent="0.2">
      <c r="A507" s="196"/>
      <c r="B507" s="86"/>
      <c r="C507" s="86"/>
      <c r="D507" s="86"/>
      <c r="E507" s="86"/>
      <c r="F507" s="88"/>
      <c r="G507" s="88"/>
      <c r="H507" s="86"/>
      <c r="I507" s="197"/>
      <c r="J507" s="191">
        <f t="shared" si="15"/>
        <v>0</v>
      </c>
      <c r="K507" s="89" t="str">
        <f t="shared" si="16"/>
        <v/>
      </c>
      <c r="L507" s="86"/>
    </row>
    <row r="508" spans="1:12" x14ac:dyDescent="0.2">
      <c r="A508" s="194"/>
      <c r="B508" s="90"/>
      <c r="C508" s="90"/>
      <c r="D508" s="90"/>
      <c r="E508" s="90"/>
      <c r="F508" s="92"/>
      <c r="G508" s="92"/>
      <c r="H508" s="90"/>
      <c r="I508" s="195"/>
      <c r="J508" s="193">
        <f t="shared" si="15"/>
        <v>0</v>
      </c>
      <c r="K508" s="93" t="str">
        <f t="shared" si="16"/>
        <v/>
      </c>
      <c r="L508" s="90"/>
    </row>
    <row r="509" spans="1:12" x14ac:dyDescent="0.2">
      <c r="A509" s="196"/>
      <c r="B509" s="86"/>
      <c r="C509" s="86"/>
      <c r="D509" s="86"/>
      <c r="E509" s="86"/>
      <c r="F509" s="88"/>
      <c r="G509" s="88"/>
      <c r="H509" s="86"/>
      <c r="I509" s="197"/>
      <c r="J509" s="191">
        <f t="shared" si="15"/>
        <v>0</v>
      </c>
      <c r="K509" s="89" t="str">
        <f t="shared" si="16"/>
        <v/>
      </c>
      <c r="L509" s="86"/>
    </row>
    <row r="510" spans="1:12" x14ac:dyDescent="0.2">
      <c r="A510" s="194"/>
      <c r="B510" s="90"/>
      <c r="C510" s="90"/>
      <c r="D510" s="90"/>
      <c r="E510" s="90"/>
      <c r="F510" s="92"/>
      <c r="G510" s="92"/>
      <c r="H510" s="90"/>
      <c r="I510" s="195"/>
      <c r="J510" s="193">
        <f t="shared" si="15"/>
        <v>0</v>
      </c>
      <c r="K510" s="93" t="str">
        <f t="shared" si="16"/>
        <v/>
      </c>
      <c r="L510" s="90"/>
    </row>
    <row r="511" spans="1:12" x14ac:dyDescent="0.2">
      <c r="A511" s="196"/>
      <c r="B511" s="86"/>
      <c r="C511" s="86"/>
      <c r="D511" s="86"/>
      <c r="E511" s="86"/>
      <c r="F511" s="88"/>
      <c r="G511" s="88"/>
      <c r="H511" s="86"/>
      <c r="I511" s="197"/>
      <c r="J511" s="191">
        <f t="shared" si="15"/>
        <v>0</v>
      </c>
      <c r="K511" s="89" t="str">
        <f t="shared" si="16"/>
        <v/>
      </c>
      <c r="L511" s="86"/>
    </row>
    <row r="512" spans="1:12" x14ac:dyDescent="0.2">
      <c r="A512" s="194"/>
      <c r="B512" s="90"/>
      <c r="C512" s="90"/>
      <c r="D512" s="90"/>
      <c r="E512" s="90"/>
      <c r="F512" s="92"/>
      <c r="G512" s="92"/>
      <c r="H512" s="90"/>
      <c r="I512" s="195"/>
      <c r="J512" s="193">
        <f t="shared" si="15"/>
        <v>0</v>
      </c>
      <c r="K512" s="93" t="str">
        <f t="shared" si="16"/>
        <v/>
      </c>
      <c r="L512" s="90"/>
    </row>
    <row r="513" spans="1:12" x14ac:dyDescent="0.2">
      <c r="A513" s="196"/>
      <c r="B513" s="86"/>
      <c r="C513" s="86"/>
      <c r="D513" s="86"/>
      <c r="E513" s="86"/>
      <c r="F513" s="88"/>
      <c r="G513" s="88"/>
      <c r="H513" s="86"/>
      <c r="I513" s="197"/>
      <c r="J513" s="191">
        <f t="shared" si="15"/>
        <v>0</v>
      </c>
      <c r="K513" s="89" t="str">
        <f t="shared" si="16"/>
        <v/>
      </c>
      <c r="L513" s="86"/>
    </row>
    <row r="514" spans="1:12" x14ac:dyDescent="0.2">
      <c r="A514" s="194"/>
      <c r="B514" s="90"/>
      <c r="C514" s="90"/>
      <c r="D514" s="90"/>
      <c r="E514" s="90"/>
      <c r="F514" s="92"/>
      <c r="G514" s="92"/>
      <c r="H514" s="90"/>
      <c r="I514" s="195"/>
      <c r="J514" s="193">
        <f t="shared" si="15"/>
        <v>0</v>
      </c>
      <c r="K514" s="93" t="str">
        <f t="shared" si="16"/>
        <v/>
      </c>
      <c r="L514" s="90"/>
    </row>
    <row r="515" spans="1:12" x14ac:dyDescent="0.2">
      <c r="A515" s="196"/>
      <c r="B515" s="86"/>
      <c r="C515" s="86"/>
      <c r="D515" s="86"/>
      <c r="E515" s="86"/>
      <c r="F515" s="88"/>
      <c r="G515" s="88"/>
      <c r="H515" s="86"/>
      <c r="I515" s="197"/>
      <c r="J515" s="191">
        <f t="shared" si="15"/>
        <v>0</v>
      </c>
      <c r="K515" s="89" t="str">
        <f t="shared" si="16"/>
        <v/>
      </c>
      <c r="L515" s="86"/>
    </row>
    <row r="516" spans="1:12" x14ac:dyDescent="0.2">
      <c r="A516" s="194"/>
      <c r="B516" s="90"/>
      <c r="C516" s="90"/>
      <c r="D516" s="90"/>
      <c r="E516" s="90"/>
      <c r="F516" s="92"/>
      <c r="G516" s="92"/>
      <c r="H516" s="90"/>
      <c r="I516" s="195"/>
      <c r="J516" s="193">
        <f t="shared" si="15"/>
        <v>0</v>
      </c>
      <c r="K516" s="93" t="str">
        <f t="shared" si="16"/>
        <v/>
      </c>
      <c r="L516" s="90"/>
    </row>
    <row r="517" spans="1:12" x14ac:dyDescent="0.2">
      <c r="A517" s="196"/>
      <c r="B517" s="86"/>
      <c r="C517" s="86"/>
      <c r="D517" s="86"/>
      <c r="E517" s="86"/>
      <c r="F517" s="88"/>
      <c r="G517" s="88"/>
      <c r="H517" s="86"/>
      <c r="I517" s="197"/>
      <c r="J517" s="191">
        <f t="shared" ref="J517:J580" si="17">IFERROR(F517-E517-G517-H517-I517,"")</f>
        <v>0</v>
      </c>
      <c r="K517" s="89" t="str">
        <f t="shared" ref="K517:K580" si="18">IFERROR(J517/F517,"")</f>
        <v/>
      </c>
      <c r="L517" s="86"/>
    </row>
    <row r="518" spans="1:12" x14ac:dyDescent="0.2">
      <c r="A518" s="194"/>
      <c r="B518" s="90"/>
      <c r="C518" s="90"/>
      <c r="D518" s="90"/>
      <c r="E518" s="90"/>
      <c r="F518" s="92"/>
      <c r="G518" s="92"/>
      <c r="H518" s="90"/>
      <c r="I518" s="195"/>
      <c r="J518" s="193">
        <f t="shared" si="17"/>
        <v>0</v>
      </c>
      <c r="K518" s="93" t="str">
        <f t="shared" si="18"/>
        <v/>
      </c>
      <c r="L518" s="90"/>
    </row>
    <row r="519" spans="1:12" x14ac:dyDescent="0.2">
      <c r="A519" s="196"/>
      <c r="B519" s="86"/>
      <c r="C519" s="86"/>
      <c r="D519" s="86"/>
      <c r="E519" s="86"/>
      <c r="F519" s="88"/>
      <c r="G519" s="88"/>
      <c r="H519" s="86"/>
      <c r="I519" s="197"/>
      <c r="J519" s="191">
        <f t="shared" si="17"/>
        <v>0</v>
      </c>
      <c r="K519" s="89" t="str">
        <f t="shared" si="18"/>
        <v/>
      </c>
      <c r="L519" s="86"/>
    </row>
    <row r="520" spans="1:12" x14ac:dyDescent="0.2">
      <c r="A520" s="194"/>
      <c r="B520" s="90"/>
      <c r="C520" s="90"/>
      <c r="D520" s="90"/>
      <c r="E520" s="90"/>
      <c r="F520" s="92"/>
      <c r="G520" s="92"/>
      <c r="H520" s="90"/>
      <c r="I520" s="195"/>
      <c r="J520" s="193">
        <f t="shared" si="17"/>
        <v>0</v>
      </c>
      <c r="K520" s="93" t="str">
        <f t="shared" si="18"/>
        <v/>
      </c>
      <c r="L520" s="90"/>
    </row>
    <row r="521" spans="1:12" x14ac:dyDescent="0.2">
      <c r="A521" s="196"/>
      <c r="B521" s="86"/>
      <c r="C521" s="86"/>
      <c r="D521" s="86"/>
      <c r="E521" s="86"/>
      <c r="F521" s="88"/>
      <c r="G521" s="88"/>
      <c r="H521" s="86"/>
      <c r="I521" s="197"/>
      <c r="J521" s="191">
        <f t="shared" si="17"/>
        <v>0</v>
      </c>
      <c r="K521" s="89" t="str">
        <f t="shared" si="18"/>
        <v/>
      </c>
      <c r="L521" s="86"/>
    </row>
    <row r="522" spans="1:12" x14ac:dyDescent="0.2">
      <c r="A522" s="194"/>
      <c r="B522" s="90"/>
      <c r="C522" s="90"/>
      <c r="D522" s="90"/>
      <c r="E522" s="90"/>
      <c r="F522" s="92"/>
      <c r="G522" s="92"/>
      <c r="H522" s="90"/>
      <c r="I522" s="195"/>
      <c r="J522" s="193">
        <f t="shared" si="17"/>
        <v>0</v>
      </c>
      <c r="K522" s="93" t="str">
        <f t="shared" si="18"/>
        <v/>
      </c>
      <c r="L522" s="90"/>
    </row>
    <row r="523" spans="1:12" x14ac:dyDescent="0.2">
      <c r="A523" s="196"/>
      <c r="B523" s="86"/>
      <c r="C523" s="86"/>
      <c r="D523" s="86"/>
      <c r="E523" s="86"/>
      <c r="F523" s="88"/>
      <c r="G523" s="88"/>
      <c r="H523" s="86"/>
      <c r="I523" s="197"/>
      <c r="J523" s="191">
        <f t="shared" si="17"/>
        <v>0</v>
      </c>
      <c r="K523" s="89" t="str">
        <f t="shared" si="18"/>
        <v/>
      </c>
      <c r="L523" s="86"/>
    </row>
    <row r="524" spans="1:12" x14ac:dyDescent="0.2">
      <c r="A524" s="194"/>
      <c r="B524" s="90"/>
      <c r="C524" s="90"/>
      <c r="D524" s="90"/>
      <c r="E524" s="90"/>
      <c r="F524" s="92"/>
      <c r="G524" s="92"/>
      <c r="H524" s="90"/>
      <c r="I524" s="195"/>
      <c r="J524" s="193">
        <f t="shared" si="17"/>
        <v>0</v>
      </c>
      <c r="K524" s="93" t="str">
        <f t="shared" si="18"/>
        <v/>
      </c>
      <c r="L524" s="90"/>
    </row>
    <row r="525" spans="1:12" x14ac:dyDescent="0.2">
      <c r="A525" s="196"/>
      <c r="B525" s="86"/>
      <c r="C525" s="86"/>
      <c r="D525" s="86"/>
      <c r="E525" s="86"/>
      <c r="F525" s="88"/>
      <c r="G525" s="88"/>
      <c r="H525" s="86"/>
      <c r="I525" s="197"/>
      <c r="J525" s="191">
        <f t="shared" si="17"/>
        <v>0</v>
      </c>
      <c r="K525" s="89" t="str">
        <f t="shared" si="18"/>
        <v/>
      </c>
      <c r="L525" s="86"/>
    </row>
    <row r="526" spans="1:12" x14ac:dyDescent="0.2">
      <c r="A526" s="194"/>
      <c r="B526" s="90"/>
      <c r="C526" s="90"/>
      <c r="D526" s="90"/>
      <c r="E526" s="90"/>
      <c r="F526" s="92"/>
      <c r="G526" s="92"/>
      <c r="H526" s="90"/>
      <c r="I526" s="195"/>
      <c r="J526" s="193">
        <f t="shared" si="17"/>
        <v>0</v>
      </c>
      <c r="K526" s="93" t="str">
        <f t="shared" si="18"/>
        <v/>
      </c>
      <c r="L526" s="90"/>
    </row>
    <row r="527" spans="1:12" x14ac:dyDescent="0.2">
      <c r="A527" s="196"/>
      <c r="B527" s="86"/>
      <c r="C527" s="86"/>
      <c r="D527" s="86"/>
      <c r="E527" s="86"/>
      <c r="F527" s="88"/>
      <c r="G527" s="88"/>
      <c r="H527" s="86"/>
      <c r="I527" s="197"/>
      <c r="J527" s="191">
        <f t="shared" si="17"/>
        <v>0</v>
      </c>
      <c r="K527" s="89" t="str">
        <f t="shared" si="18"/>
        <v/>
      </c>
      <c r="L527" s="86"/>
    </row>
    <row r="528" spans="1:12" x14ac:dyDescent="0.2">
      <c r="A528" s="194"/>
      <c r="B528" s="90"/>
      <c r="C528" s="90"/>
      <c r="D528" s="90"/>
      <c r="E528" s="90"/>
      <c r="F528" s="92"/>
      <c r="G528" s="92"/>
      <c r="H528" s="90"/>
      <c r="I528" s="195"/>
      <c r="J528" s="193">
        <f t="shared" si="17"/>
        <v>0</v>
      </c>
      <c r="K528" s="93" t="str">
        <f t="shared" si="18"/>
        <v/>
      </c>
      <c r="L528" s="90"/>
    </row>
    <row r="529" spans="1:12" x14ac:dyDescent="0.2">
      <c r="A529" s="196"/>
      <c r="B529" s="86"/>
      <c r="C529" s="86"/>
      <c r="D529" s="86"/>
      <c r="E529" s="86"/>
      <c r="F529" s="88"/>
      <c r="G529" s="88"/>
      <c r="H529" s="86"/>
      <c r="I529" s="197"/>
      <c r="J529" s="191">
        <f t="shared" si="17"/>
        <v>0</v>
      </c>
      <c r="K529" s="89" t="str">
        <f t="shared" si="18"/>
        <v/>
      </c>
      <c r="L529" s="86"/>
    </row>
    <row r="530" spans="1:12" x14ac:dyDescent="0.2">
      <c r="A530" s="194"/>
      <c r="B530" s="90"/>
      <c r="C530" s="90"/>
      <c r="D530" s="90"/>
      <c r="E530" s="90"/>
      <c r="F530" s="92"/>
      <c r="G530" s="92"/>
      <c r="H530" s="90"/>
      <c r="I530" s="195"/>
      <c r="J530" s="193">
        <f t="shared" si="17"/>
        <v>0</v>
      </c>
      <c r="K530" s="93" t="str">
        <f t="shared" si="18"/>
        <v/>
      </c>
      <c r="L530" s="90"/>
    </row>
    <row r="531" spans="1:12" x14ac:dyDescent="0.2">
      <c r="A531" s="196"/>
      <c r="B531" s="86"/>
      <c r="C531" s="86"/>
      <c r="D531" s="86"/>
      <c r="E531" s="86"/>
      <c r="F531" s="88"/>
      <c r="G531" s="88"/>
      <c r="H531" s="86"/>
      <c r="I531" s="197"/>
      <c r="J531" s="191">
        <f t="shared" si="17"/>
        <v>0</v>
      </c>
      <c r="K531" s="89" t="str">
        <f t="shared" si="18"/>
        <v/>
      </c>
      <c r="L531" s="86"/>
    </row>
    <row r="532" spans="1:12" x14ac:dyDescent="0.2">
      <c r="A532" s="194"/>
      <c r="B532" s="90"/>
      <c r="C532" s="90"/>
      <c r="D532" s="90"/>
      <c r="E532" s="90"/>
      <c r="F532" s="92"/>
      <c r="G532" s="92"/>
      <c r="H532" s="90"/>
      <c r="I532" s="195"/>
      <c r="J532" s="193">
        <f t="shared" si="17"/>
        <v>0</v>
      </c>
      <c r="K532" s="93" t="str">
        <f t="shared" si="18"/>
        <v/>
      </c>
      <c r="L532" s="90"/>
    </row>
    <row r="533" spans="1:12" x14ac:dyDescent="0.2">
      <c r="A533" s="196"/>
      <c r="B533" s="86"/>
      <c r="C533" s="86"/>
      <c r="D533" s="86"/>
      <c r="E533" s="86"/>
      <c r="F533" s="88"/>
      <c r="G533" s="88"/>
      <c r="H533" s="86"/>
      <c r="I533" s="197"/>
      <c r="J533" s="191">
        <f t="shared" si="17"/>
        <v>0</v>
      </c>
      <c r="K533" s="89" t="str">
        <f t="shared" si="18"/>
        <v/>
      </c>
      <c r="L533" s="86"/>
    </row>
    <row r="534" spans="1:12" x14ac:dyDescent="0.2">
      <c r="A534" s="194"/>
      <c r="B534" s="90"/>
      <c r="C534" s="90"/>
      <c r="D534" s="90"/>
      <c r="E534" s="90"/>
      <c r="F534" s="92"/>
      <c r="G534" s="92"/>
      <c r="H534" s="90"/>
      <c r="I534" s="195"/>
      <c r="J534" s="193">
        <f t="shared" si="17"/>
        <v>0</v>
      </c>
      <c r="K534" s="93" t="str">
        <f t="shared" si="18"/>
        <v/>
      </c>
      <c r="L534" s="90"/>
    </row>
    <row r="535" spans="1:12" x14ac:dyDescent="0.2">
      <c r="A535" s="196"/>
      <c r="B535" s="86"/>
      <c r="C535" s="86"/>
      <c r="D535" s="86"/>
      <c r="E535" s="86"/>
      <c r="F535" s="88"/>
      <c r="G535" s="88"/>
      <c r="H535" s="86"/>
      <c r="I535" s="197"/>
      <c r="J535" s="191">
        <f t="shared" si="17"/>
        <v>0</v>
      </c>
      <c r="K535" s="89" t="str">
        <f t="shared" si="18"/>
        <v/>
      </c>
      <c r="L535" s="86"/>
    </row>
    <row r="536" spans="1:12" x14ac:dyDescent="0.2">
      <c r="A536" s="194"/>
      <c r="B536" s="90"/>
      <c r="C536" s="90"/>
      <c r="D536" s="90"/>
      <c r="E536" s="90"/>
      <c r="F536" s="92"/>
      <c r="G536" s="92"/>
      <c r="H536" s="90"/>
      <c r="I536" s="195"/>
      <c r="J536" s="193">
        <f t="shared" si="17"/>
        <v>0</v>
      </c>
      <c r="K536" s="93" t="str">
        <f t="shared" si="18"/>
        <v/>
      </c>
      <c r="L536" s="90"/>
    </row>
    <row r="537" spans="1:12" x14ac:dyDescent="0.2">
      <c r="A537" s="196"/>
      <c r="B537" s="86"/>
      <c r="C537" s="86"/>
      <c r="D537" s="86"/>
      <c r="E537" s="86"/>
      <c r="F537" s="88"/>
      <c r="G537" s="88"/>
      <c r="H537" s="86"/>
      <c r="I537" s="197"/>
      <c r="J537" s="191">
        <f t="shared" si="17"/>
        <v>0</v>
      </c>
      <c r="K537" s="89" t="str">
        <f t="shared" si="18"/>
        <v/>
      </c>
      <c r="L537" s="86"/>
    </row>
    <row r="538" spans="1:12" x14ac:dyDescent="0.2">
      <c r="A538" s="194"/>
      <c r="B538" s="90"/>
      <c r="C538" s="90"/>
      <c r="D538" s="90"/>
      <c r="E538" s="90"/>
      <c r="F538" s="92"/>
      <c r="G538" s="92"/>
      <c r="H538" s="90"/>
      <c r="I538" s="195"/>
      <c r="J538" s="193">
        <f t="shared" si="17"/>
        <v>0</v>
      </c>
      <c r="K538" s="93" t="str">
        <f t="shared" si="18"/>
        <v/>
      </c>
      <c r="L538" s="90"/>
    </row>
    <row r="539" spans="1:12" x14ac:dyDescent="0.2">
      <c r="A539" s="196"/>
      <c r="B539" s="86"/>
      <c r="C539" s="86"/>
      <c r="D539" s="86"/>
      <c r="E539" s="86"/>
      <c r="F539" s="88"/>
      <c r="G539" s="88"/>
      <c r="H539" s="86"/>
      <c r="I539" s="197"/>
      <c r="J539" s="191">
        <f t="shared" si="17"/>
        <v>0</v>
      </c>
      <c r="K539" s="89" t="str">
        <f t="shared" si="18"/>
        <v/>
      </c>
      <c r="L539" s="86"/>
    </row>
    <row r="540" spans="1:12" x14ac:dyDescent="0.2">
      <c r="A540" s="194"/>
      <c r="B540" s="90"/>
      <c r="C540" s="90"/>
      <c r="D540" s="90"/>
      <c r="E540" s="90"/>
      <c r="F540" s="92"/>
      <c r="G540" s="92"/>
      <c r="H540" s="90"/>
      <c r="I540" s="195"/>
      <c r="J540" s="193">
        <f t="shared" si="17"/>
        <v>0</v>
      </c>
      <c r="K540" s="93" t="str">
        <f t="shared" si="18"/>
        <v/>
      </c>
      <c r="L540" s="90"/>
    </row>
    <row r="541" spans="1:12" x14ac:dyDescent="0.2">
      <c r="A541" s="196"/>
      <c r="B541" s="86"/>
      <c r="C541" s="86"/>
      <c r="D541" s="86"/>
      <c r="E541" s="86"/>
      <c r="F541" s="88"/>
      <c r="G541" s="88"/>
      <c r="H541" s="86"/>
      <c r="I541" s="197"/>
      <c r="J541" s="191">
        <f t="shared" si="17"/>
        <v>0</v>
      </c>
      <c r="K541" s="89" t="str">
        <f t="shared" si="18"/>
        <v/>
      </c>
      <c r="L541" s="86"/>
    </row>
    <row r="542" spans="1:12" x14ac:dyDescent="0.2">
      <c r="A542" s="194"/>
      <c r="B542" s="90"/>
      <c r="C542" s="90"/>
      <c r="D542" s="90"/>
      <c r="E542" s="90"/>
      <c r="F542" s="92"/>
      <c r="G542" s="92"/>
      <c r="H542" s="90"/>
      <c r="I542" s="195"/>
      <c r="J542" s="193">
        <f t="shared" si="17"/>
        <v>0</v>
      </c>
      <c r="K542" s="93" t="str">
        <f t="shared" si="18"/>
        <v/>
      </c>
      <c r="L542" s="90"/>
    </row>
    <row r="543" spans="1:12" x14ac:dyDescent="0.2">
      <c r="A543" s="196"/>
      <c r="B543" s="86"/>
      <c r="C543" s="86"/>
      <c r="D543" s="86"/>
      <c r="E543" s="86"/>
      <c r="F543" s="88"/>
      <c r="G543" s="88"/>
      <c r="H543" s="86"/>
      <c r="I543" s="197"/>
      <c r="J543" s="191">
        <f t="shared" si="17"/>
        <v>0</v>
      </c>
      <c r="K543" s="89" t="str">
        <f t="shared" si="18"/>
        <v/>
      </c>
      <c r="L543" s="86"/>
    </row>
    <row r="544" spans="1:12" x14ac:dyDescent="0.2">
      <c r="A544" s="194"/>
      <c r="B544" s="90"/>
      <c r="C544" s="90"/>
      <c r="D544" s="90"/>
      <c r="E544" s="90"/>
      <c r="F544" s="92"/>
      <c r="G544" s="92"/>
      <c r="H544" s="90"/>
      <c r="I544" s="195"/>
      <c r="J544" s="193">
        <f t="shared" si="17"/>
        <v>0</v>
      </c>
      <c r="K544" s="93" t="str">
        <f t="shared" si="18"/>
        <v/>
      </c>
      <c r="L544" s="90"/>
    </row>
    <row r="545" spans="1:12" x14ac:dyDescent="0.2">
      <c r="A545" s="196"/>
      <c r="B545" s="86"/>
      <c r="C545" s="86"/>
      <c r="D545" s="86"/>
      <c r="E545" s="86"/>
      <c r="F545" s="88"/>
      <c r="G545" s="88"/>
      <c r="H545" s="86"/>
      <c r="I545" s="197"/>
      <c r="J545" s="191">
        <f t="shared" si="17"/>
        <v>0</v>
      </c>
      <c r="K545" s="89" t="str">
        <f t="shared" si="18"/>
        <v/>
      </c>
      <c r="L545" s="86"/>
    </row>
    <row r="546" spans="1:12" x14ac:dyDescent="0.2">
      <c r="A546" s="194"/>
      <c r="B546" s="90"/>
      <c r="C546" s="90"/>
      <c r="D546" s="90"/>
      <c r="E546" s="90"/>
      <c r="F546" s="92"/>
      <c r="G546" s="92"/>
      <c r="H546" s="90"/>
      <c r="I546" s="195"/>
      <c r="J546" s="193">
        <f t="shared" si="17"/>
        <v>0</v>
      </c>
      <c r="K546" s="93" t="str">
        <f t="shared" si="18"/>
        <v/>
      </c>
      <c r="L546" s="90"/>
    </row>
    <row r="547" spans="1:12" x14ac:dyDescent="0.2">
      <c r="A547" s="196"/>
      <c r="B547" s="86"/>
      <c r="C547" s="86"/>
      <c r="D547" s="86"/>
      <c r="E547" s="86"/>
      <c r="F547" s="88"/>
      <c r="G547" s="88"/>
      <c r="H547" s="86"/>
      <c r="I547" s="197"/>
      <c r="J547" s="191">
        <f t="shared" si="17"/>
        <v>0</v>
      </c>
      <c r="K547" s="89" t="str">
        <f t="shared" si="18"/>
        <v/>
      </c>
      <c r="L547" s="86"/>
    </row>
    <row r="548" spans="1:12" x14ac:dyDescent="0.2">
      <c r="A548" s="194"/>
      <c r="B548" s="90"/>
      <c r="C548" s="90"/>
      <c r="D548" s="90"/>
      <c r="E548" s="90"/>
      <c r="F548" s="92"/>
      <c r="G548" s="92"/>
      <c r="H548" s="90"/>
      <c r="I548" s="195"/>
      <c r="J548" s="193">
        <f t="shared" si="17"/>
        <v>0</v>
      </c>
      <c r="K548" s="93" t="str">
        <f t="shared" si="18"/>
        <v/>
      </c>
      <c r="L548" s="90"/>
    </row>
    <row r="549" spans="1:12" x14ac:dyDescent="0.2">
      <c r="A549" s="196"/>
      <c r="B549" s="86"/>
      <c r="C549" s="86"/>
      <c r="D549" s="86"/>
      <c r="E549" s="86"/>
      <c r="F549" s="88"/>
      <c r="G549" s="88"/>
      <c r="H549" s="86"/>
      <c r="I549" s="197"/>
      <c r="J549" s="191">
        <f t="shared" si="17"/>
        <v>0</v>
      </c>
      <c r="K549" s="89" t="str">
        <f t="shared" si="18"/>
        <v/>
      </c>
      <c r="L549" s="86"/>
    </row>
    <row r="550" spans="1:12" x14ac:dyDescent="0.2">
      <c r="A550" s="194"/>
      <c r="B550" s="90"/>
      <c r="C550" s="90"/>
      <c r="D550" s="90"/>
      <c r="E550" s="90"/>
      <c r="F550" s="92"/>
      <c r="G550" s="92"/>
      <c r="H550" s="90"/>
      <c r="I550" s="195"/>
      <c r="J550" s="193">
        <f t="shared" si="17"/>
        <v>0</v>
      </c>
      <c r="K550" s="93" t="str">
        <f t="shared" si="18"/>
        <v/>
      </c>
      <c r="L550" s="90"/>
    </row>
    <row r="551" spans="1:12" x14ac:dyDescent="0.2">
      <c r="A551" s="196"/>
      <c r="B551" s="86"/>
      <c r="C551" s="86"/>
      <c r="D551" s="86"/>
      <c r="E551" s="86"/>
      <c r="F551" s="88"/>
      <c r="G551" s="88"/>
      <c r="H551" s="86"/>
      <c r="I551" s="197"/>
      <c r="J551" s="191">
        <f t="shared" si="17"/>
        <v>0</v>
      </c>
      <c r="K551" s="89" t="str">
        <f t="shared" si="18"/>
        <v/>
      </c>
      <c r="L551" s="86"/>
    </row>
    <row r="552" spans="1:12" x14ac:dyDescent="0.2">
      <c r="A552" s="194"/>
      <c r="B552" s="90"/>
      <c r="C552" s="90"/>
      <c r="D552" s="90"/>
      <c r="E552" s="90"/>
      <c r="F552" s="92"/>
      <c r="G552" s="92"/>
      <c r="H552" s="90"/>
      <c r="I552" s="195"/>
      <c r="J552" s="193">
        <f t="shared" si="17"/>
        <v>0</v>
      </c>
      <c r="K552" s="93" t="str">
        <f t="shared" si="18"/>
        <v/>
      </c>
      <c r="L552" s="90"/>
    </row>
    <row r="553" spans="1:12" x14ac:dyDescent="0.2">
      <c r="A553" s="196"/>
      <c r="B553" s="86"/>
      <c r="C553" s="86"/>
      <c r="D553" s="86"/>
      <c r="E553" s="86"/>
      <c r="F553" s="88"/>
      <c r="G553" s="88"/>
      <c r="H553" s="86"/>
      <c r="I553" s="197"/>
      <c r="J553" s="191">
        <f t="shared" si="17"/>
        <v>0</v>
      </c>
      <c r="K553" s="89" t="str">
        <f t="shared" si="18"/>
        <v/>
      </c>
      <c r="L553" s="86"/>
    </row>
    <row r="554" spans="1:12" x14ac:dyDescent="0.2">
      <c r="A554" s="194"/>
      <c r="B554" s="90"/>
      <c r="C554" s="90"/>
      <c r="D554" s="90"/>
      <c r="E554" s="90"/>
      <c r="F554" s="92"/>
      <c r="G554" s="92"/>
      <c r="H554" s="90"/>
      <c r="I554" s="195"/>
      <c r="J554" s="193">
        <f t="shared" si="17"/>
        <v>0</v>
      </c>
      <c r="K554" s="93" t="str">
        <f t="shared" si="18"/>
        <v/>
      </c>
      <c r="L554" s="90"/>
    </row>
    <row r="555" spans="1:12" x14ac:dyDescent="0.2">
      <c r="A555" s="196"/>
      <c r="B555" s="86"/>
      <c r="C555" s="86"/>
      <c r="D555" s="86"/>
      <c r="E555" s="86"/>
      <c r="F555" s="88"/>
      <c r="G555" s="88"/>
      <c r="H555" s="86"/>
      <c r="I555" s="197"/>
      <c r="J555" s="191">
        <f t="shared" si="17"/>
        <v>0</v>
      </c>
      <c r="K555" s="89" t="str">
        <f t="shared" si="18"/>
        <v/>
      </c>
      <c r="L555" s="86"/>
    </row>
    <row r="556" spans="1:12" x14ac:dyDescent="0.2">
      <c r="A556" s="194"/>
      <c r="B556" s="90"/>
      <c r="C556" s="90"/>
      <c r="D556" s="90"/>
      <c r="E556" s="90"/>
      <c r="F556" s="92"/>
      <c r="G556" s="92"/>
      <c r="H556" s="90"/>
      <c r="I556" s="195"/>
      <c r="J556" s="193">
        <f t="shared" si="17"/>
        <v>0</v>
      </c>
      <c r="K556" s="93" t="str">
        <f t="shared" si="18"/>
        <v/>
      </c>
      <c r="L556" s="90"/>
    </row>
    <row r="557" spans="1:12" x14ac:dyDescent="0.2">
      <c r="A557" s="196"/>
      <c r="B557" s="86"/>
      <c r="C557" s="86"/>
      <c r="D557" s="86"/>
      <c r="E557" s="86"/>
      <c r="F557" s="88"/>
      <c r="G557" s="88"/>
      <c r="H557" s="86"/>
      <c r="I557" s="197"/>
      <c r="J557" s="191">
        <f t="shared" si="17"/>
        <v>0</v>
      </c>
      <c r="K557" s="89" t="str">
        <f t="shared" si="18"/>
        <v/>
      </c>
      <c r="L557" s="86"/>
    </row>
    <row r="558" spans="1:12" x14ac:dyDescent="0.2">
      <c r="A558" s="194"/>
      <c r="B558" s="90"/>
      <c r="C558" s="90"/>
      <c r="D558" s="90"/>
      <c r="E558" s="90"/>
      <c r="F558" s="92"/>
      <c r="G558" s="92"/>
      <c r="H558" s="90"/>
      <c r="I558" s="195"/>
      <c r="J558" s="193">
        <f t="shared" si="17"/>
        <v>0</v>
      </c>
      <c r="K558" s="93" t="str">
        <f t="shared" si="18"/>
        <v/>
      </c>
      <c r="L558" s="90"/>
    </row>
    <row r="559" spans="1:12" x14ac:dyDescent="0.2">
      <c r="A559" s="196"/>
      <c r="B559" s="86"/>
      <c r="C559" s="86"/>
      <c r="D559" s="86"/>
      <c r="E559" s="86"/>
      <c r="F559" s="88"/>
      <c r="G559" s="88"/>
      <c r="H559" s="86"/>
      <c r="I559" s="197"/>
      <c r="J559" s="191">
        <f t="shared" si="17"/>
        <v>0</v>
      </c>
      <c r="K559" s="89" t="str">
        <f t="shared" si="18"/>
        <v/>
      </c>
      <c r="L559" s="86"/>
    </row>
    <row r="560" spans="1:12" x14ac:dyDescent="0.2">
      <c r="A560" s="194"/>
      <c r="B560" s="90"/>
      <c r="C560" s="90"/>
      <c r="D560" s="90"/>
      <c r="E560" s="90"/>
      <c r="F560" s="92"/>
      <c r="G560" s="92"/>
      <c r="H560" s="90"/>
      <c r="I560" s="195"/>
      <c r="J560" s="193">
        <f t="shared" si="17"/>
        <v>0</v>
      </c>
      <c r="K560" s="93" t="str">
        <f t="shared" si="18"/>
        <v/>
      </c>
      <c r="L560" s="90"/>
    </row>
    <row r="561" spans="1:12" x14ac:dyDescent="0.2">
      <c r="A561" s="196"/>
      <c r="B561" s="86"/>
      <c r="C561" s="86"/>
      <c r="D561" s="86"/>
      <c r="E561" s="86"/>
      <c r="F561" s="88"/>
      <c r="G561" s="88"/>
      <c r="H561" s="86"/>
      <c r="I561" s="197"/>
      <c r="J561" s="191">
        <f t="shared" si="17"/>
        <v>0</v>
      </c>
      <c r="K561" s="89" t="str">
        <f t="shared" si="18"/>
        <v/>
      </c>
      <c r="L561" s="86"/>
    </row>
    <row r="562" spans="1:12" x14ac:dyDescent="0.2">
      <c r="A562" s="194"/>
      <c r="B562" s="90"/>
      <c r="C562" s="90"/>
      <c r="D562" s="90"/>
      <c r="E562" s="90"/>
      <c r="F562" s="92"/>
      <c r="G562" s="92"/>
      <c r="H562" s="90"/>
      <c r="I562" s="195"/>
      <c r="J562" s="193">
        <f t="shared" si="17"/>
        <v>0</v>
      </c>
      <c r="K562" s="93" t="str">
        <f t="shared" si="18"/>
        <v/>
      </c>
      <c r="L562" s="90"/>
    </row>
    <row r="563" spans="1:12" x14ac:dyDescent="0.2">
      <c r="A563" s="196"/>
      <c r="B563" s="86"/>
      <c r="C563" s="86"/>
      <c r="D563" s="86"/>
      <c r="E563" s="86"/>
      <c r="F563" s="88"/>
      <c r="G563" s="88"/>
      <c r="H563" s="86"/>
      <c r="I563" s="197"/>
      <c r="J563" s="191">
        <f t="shared" si="17"/>
        <v>0</v>
      </c>
      <c r="K563" s="89" t="str">
        <f t="shared" si="18"/>
        <v/>
      </c>
      <c r="L563" s="86"/>
    </row>
    <row r="564" spans="1:12" x14ac:dyDescent="0.2">
      <c r="A564" s="194"/>
      <c r="B564" s="90"/>
      <c r="C564" s="90"/>
      <c r="D564" s="90"/>
      <c r="E564" s="90"/>
      <c r="F564" s="92"/>
      <c r="G564" s="92"/>
      <c r="H564" s="90"/>
      <c r="I564" s="195"/>
      <c r="J564" s="193">
        <f t="shared" si="17"/>
        <v>0</v>
      </c>
      <c r="K564" s="93" t="str">
        <f t="shared" si="18"/>
        <v/>
      </c>
      <c r="L564" s="90"/>
    </row>
    <row r="565" spans="1:12" x14ac:dyDescent="0.2">
      <c r="A565" s="196"/>
      <c r="B565" s="86"/>
      <c r="C565" s="86"/>
      <c r="D565" s="86"/>
      <c r="E565" s="86"/>
      <c r="F565" s="88"/>
      <c r="G565" s="88"/>
      <c r="H565" s="86"/>
      <c r="I565" s="197"/>
      <c r="J565" s="191">
        <f t="shared" si="17"/>
        <v>0</v>
      </c>
      <c r="K565" s="89" t="str">
        <f t="shared" si="18"/>
        <v/>
      </c>
      <c r="L565" s="86"/>
    </row>
    <row r="566" spans="1:12" x14ac:dyDescent="0.2">
      <c r="A566" s="194"/>
      <c r="B566" s="90"/>
      <c r="C566" s="90"/>
      <c r="D566" s="90"/>
      <c r="E566" s="90"/>
      <c r="F566" s="92"/>
      <c r="G566" s="92"/>
      <c r="H566" s="90"/>
      <c r="I566" s="195"/>
      <c r="J566" s="193">
        <f t="shared" si="17"/>
        <v>0</v>
      </c>
      <c r="K566" s="93" t="str">
        <f t="shared" si="18"/>
        <v/>
      </c>
      <c r="L566" s="90"/>
    </row>
    <row r="567" spans="1:12" x14ac:dyDescent="0.2">
      <c r="A567" s="196"/>
      <c r="B567" s="86"/>
      <c r="C567" s="86"/>
      <c r="D567" s="86"/>
      <c r="E567" s="86"/>
      <c r="F567" s="88"/>
      <c r="G567" s="88"/>
      <c r="H567" s="86"/>
      <c r="I567" s="197"/>
      <c r="J567" s="191">
        <f t="shared" si="17"/>
        <v>0</v>
      </c>
      <c r="K567" s="89" t="str">
        <f t="shared" si="18"/>
        <v/>
      </c>
      <c r="L567" s="86"/>
    </row>
    <row r="568" spans="1:12" x14ac:dyDescent="0.2">
      <c r="A568" s="194"/>
      <c r="B568" s="90"/>
      <c r="C568" s="90"/>
      <c r="D568" s="90"/>
      <c r="E568" s="90"/>
      <c r="F568" s="92"/>
      <c r="G568" s="92"/>
      <c r="H568" s="90"/>
      <c r="I568" s="195"/>
      <c r="J568" s="193">
        <f t="shared" si="17"/>
        <v>0</v>
      </c>
      <c r="K568" s="93" t="str">
        <f t="shared" si="18"/>
        <v/>
      </c>
      <c r="L568" s="90"/>
    </row>
    <row r="569" spans="1:12" x14ac:dyDescent="0.2">
      <c r="A569" s="196"/>
      <c r="B569" s="86"/>
      <c r="C569" s="86"/>
      <c r="D569" s="86"/>
      <c r="E569" s="86"/>
      <c r="F569" s="88"/>
      <c r="G569" s="88"/>
      <c r="H569" s="86"/>
      <c r="I569" s="197"/>
      <c r="J569" s="191">
        <f t="shared" si="17"/>
        <v>0</v>
      </c>
      <c r="K569" s="89" t="str">
        <f t="shared" si="18"/>
        <v/>
      </c>
      <c r="L569" s="86"/>
    </row>
    <row r="570" spans="1:12" x14ac:dyDescent="0.2">
      <c r="A570" s="194"/>
      <c r="B570" s="90"/>
      <c r="C570" s="90"/>
      <c r="D570" s="90"/>
      <c r="E570" s="90"/>
      <c r="F570" s="92"/>
      <c r="G570" s="92"/>
      <c r="H570" s="90"/>
      <c r="I570" s="195"/>
      <c r="J570" s="193">
        <f t="shared" si="17"/>
        <v>0</v>
      </c>
      <c r="K570" s="93" t="str">
        <f t="shared" si="18"/>
        <v/>
      </c>
      <c r="L570" s="90"/>
    </row>
    <row r="571" spans="1:12" x14ac:dyDescent="0.2">
      <c r="A571" s="196"/>
      <c r="B571" s="86"/>
      <c r="C571" s="86"/>
      <c r="D571" s="86"/>
      <c r="E571" s="86"/>
      <c r="F571" s="88"/>
      <c r="G571" s="88"/>
      <c r="H571" s="86"/>
      <c r="I571" s="197"/>
      <c r="J571" s="191">
        <f t="shared" si="17"/>
        <v>0</v>
      </c>
      <c r="K571" s="89" t="str">
        <f t="shared" si="18"/>
        <v/>
      </c>
      <c r="L571" s="86"/>
    </row>
    <row r="572" spans="1:12" x14ac:dyDescent="0.2">
      <c r="A572" s="194"/>
      <c r="B572" s="90"/>
      <c r="C572" s="90"/>
      <c r="D572" s="90"/>
      <c r="E572" s="90"/>
      <c r="F572" s="92"/>
      <c r="G572" s="92"/>
      <c r="H572" s="90"/>
      <c r="I572" s="195"/>
      <c r="J572" s="193">
        <f t="shared" si="17"/>
        <v>0</v>
      </c>
      <c r="K572" s="93" t="str">
        <f t="shared" si="18"/>
        <v/>
      </c>
      <c r="L572" s="90"/>
    </row>
    <row r="573" spans="1:12" x14ac:dyDescent="0.2">
      <c r="A573" s="196"/>
      <c r="B573" s="86"/>
      <c r="C573" s="86"/>
      <c r="D573" s="86"/>
      <c r="E573" s="86"/>
      <c r="F573" s="88"/>
      <c r="G573" s="88"/>
      <c r="H573" s="86"/>
      <c r="I573" s="197"/>
      <c r="J573" s="191">
        <f t="shared" si="17"/>
        <v>0</v>
      </c>
      <c r="K573" s="89" t="str">
        <f t="shared" si="18"/>
        <v/>
      </c>
      <c r="L573" s="86"/>
    </row>
    <row r="574" spans="1:12" x14ac:dyDescent="0.2">
      <c r="A574" s="194"/>
      <c r="B574" s="90"/>
      <c r="C574" s="90"/>
      <c r="D574" s="90"/>
      <c r="E574" s="90"/>
      <c r="F574" s="92"/>
      <c r="G574" s="92"/>
      <c r="H574" s="90"/>
      <c r="I574" s="195"/>
      <c r="J574" s="193">
        <f t="shared" si="17"/>
        <v>0</v>
      </c>
      <c r="K574" s="93" t="str">
        <f t="shared" si="18"/>
        <v/>
      </c>
      <c r="L574" s="90"/>
    </row>
    <row r="575" spans="1:12" x14ac:dyDescent="0.2">
      <c r="A575" s="196"/>
      <c r="B575" s="86"/>
      <c r="C575" s="86"/>
      <c r="D575" s="86"/>
      <c r="E575" s="86"/>
      <c r="F575" s="88"/>
      <c r="G575" s="88"/>
      <c r="H575" s="86"/>
      <c r="I575" s="197"/>
      <c r="J575" s="191">
        <f t="shared" si="17"/>
        <v>0</v>
      </c>
      <c r="K575" s="89" t="str">
        <f t="shared" si="18"/>
        <v/>
      </c>
      <c r="L575" s="86"/>
    </row>
    <row r="576" spans="1:12" x14ac:dyDescent="0.2">
      <c r="A576" s="194"/>
      <c r="B576" s="90"/>
      <c r="C576" s="90"/>
      <c r="D576" s="90"/>
      <c r="E576" s="90"/>
      <c r="F576" s="92"/>
      <c r="G576" s="92"/>
      <c r="H576" s="90"/>
      <c r="I576" s="195"/>
      <c r="J576" s="193">
        <f t="shared" si="17"/>
        <v>0</v>
      </c>
      <c r="K576" s="93" t="str">
        <f t="shared" si="18"/>
        <v/>
      </c>
      <c r="L576" s="90"/>
    </row>
    <row r="577" spans="1:12" x14ac:dyDescent="0.2">
      <c r="A577" s="196"/>
      <c r="B577" s="86"/>
      <c r="C577" s="86"/>
      <c r="D577" s="86"/>
      <c r="E577" s="86"/>
      <c r="F577" s="88"/>
      <c r="G577" s="88"/>
      <c r="H577" s="86"/>
      <c r="I577" s="197"/>
      <c r="J577" s="191">
        <f t="shared" si="17"/>
        <v>0</v>
      </c>
      <c r="K577" s="89" t="str">
        <f t="shared" si="18"/>
        <v/>
      </c>
      <c r="L577" s="86"/>
    </row>
    <row r="578" spans="1:12" x14ac:dyDescent="0.2">
      <c r="A578" s="194"/>
      <c r="B578" s="90"/>
      <c r="C578" s="90"/>
      <c r="D578" s="90"/>
      <c r="E578" s="90"/>
      <c r="F578" s="92"/>
      <c r="G578" s="92"/>
      <c r="H578" s="90"/>
      <c r="I578" s="195"/>
      <c r="J578" s="193">
        <f t="shared" si="17"/>
        <v>0</v>
      </c>
      <c r="K578" s="93" t="str">
        <f t="shared" si="18"/>
        <v/>
      </c>
      <c r="L578" s="90"/>
    </row>
    <row r="579" spans="1:12" x14ac:dyDescent="0.2">
      <c r="A579" s="196"/>
      <c r="B579" s="86"/>
      <c r="C579" s="86"/>
      <c r="D579" s="86"/>
      <c r="E579" s="86"/>
      <c r="F579" s="88"/>
      <c r="G579" s="88"/>
      <c r="H579" s="86"/>
      <c r="I579" s="197"/>
      <c r="J579" s="191">
        <f t="shared" si="17"/>
        <v>0</v>
      </c>
      <c r="K579" s="89" t="str">
        <f t="shared" si="18"/>
        <v/>
      </c>
      <c r="L579" s="86"/>
    </row>
    <row r="580" spans="1:12" x14ac:dyDescent="0.2">
      <c r="A580" s="194"/>
      <c r="B580" s="90"/>
      <c r="C580" s="90"/>
      <c r="D580" s="90"/>
      <c r="E580" s="90"/>
      <c r="F580" s="92"/>
      <c r="G580" s="92"/>
      <c r="H580" s="90"/>
      <c r="I580" s="195"/>
      <c r="J580" s="193">
        <f t="shared" si="17"/>
        <v>0</v>
      </c>
      <c r="K580" s="93" t="str">
        <f t="shared" si="18"/>
        <v/>
      </c>
      <c r="L580" s="90"/>
    </row>
    <row r="581" spans="1:12" x14ac:dyDescent="0.2">
      <c r="A581" s="196"/>
      <c r="B581" s="86"/>
      <c r="C581" s="86"/>
      <c r="D581" s="86"/>
      <c r="E581" s="86"/>
      <c r="F581" s="88"/>
      <c r="G581" s="88"/>
      <c r="H581" s="86"/>
      <c r="I581" s="197"/>
      <c r="J581" s="191">
        <f t="shared" ref="J581:J644" si="19">IFERROR(F581-E581-G581-H581-I581,"")</f>
        <v>0</v>
      </c>
      <c r="K581" s="89" t="str">
        <f t="shared" ref="K581:K644" si="20">IFERROR(J581/F581,"")</f>
        <v/>
      </c>
      <c r="L581" s="86"/>
    </row>
    <row r="582" spans="1:12" x14ac:dyDescent="0.2">
      <c r="A582" s="194"/>
      <c r="B582" s="90"/>
      <c r="C582" s="90"/>
      <c r="D582" s="90"/>
      <c r="E582" s="90"/>
      <c r="F582" s="92"/>
      <c r="G582" s="92"/>
      <c r="H582" s="90"/>
      <c r="I582" s="195"/>
      <c r="J582" s="193">
        <f t="shared" si="19"/>
        <v>0</v>
      </c>
      <c r="K582" s="93" t="str">
        <f t="shared" si="20"/>
        <v/>
      </c>
      <c r="L582" s="90"/>
    </row>
    <row r="583" spans="1:12" x14ac:dyDescent="0.2">
      <c r="A583" s="196"/>
      <c r="B583" s="86"/>
      <c r="C583" s="86"/>
      <c r="D583" s="86"/>
      <c r="E583" s="86"/>
      <c r="F583" s="88"/>
      <c r="G583" s="88"/>
      <c r="H583" s="86"/>
      <c r="I583" s="197"/>
      <c r="J583" s="191">
        <f t="shared" si="19"/>
        <v>0</v>
      </c>
      <c r="K583" s="89" t="str">
        <f t="shared" si="20"/>
        <v/>
      </c>
      <c r="L583" s="86"/>
    </row>
    <row r="584" spans="1:12" x14ac:dyDescent="0.2">
      <c r="A584" s="194"/>
      <c r="B584" s="90"/>
      <c r="C584" s="90"/>
      <c r="D584" s="90"/>
      <c r="E584" s="90"/>
      <c r="F584" s="92"/>
      <c r="G584" s="92"/>
      <c r="H584" s="90"/>
      <c r="I584" s="195"/>
      <c r="J584" s="193">
        <f t="shared" si="19"/>
        <v>0</v>
      </c>
      <c r="K584" s="93" t="str">
        <f t="shared" si="20"/>
        <v/>
      </c>
      <c r="L584" s="90"/>
    </row>
    <row r="585" spans="1:12" x14ac:dyDescent="0.2">
      <c r="A585" s="196"/>
      <c r="B585" s="86"/>
      <c r="C585" s="86"/>
      <c r="D585" s="86"/>
      <c r="E585" s="86"/>
      <c r="F585" s="88"/>
      <c r="G585" s="88"/>
      <c r="H585" s="86"/>
      <c r="I585" s="197"/>
      <c r="J585" s="191">
        <f t="shared" si="19"/>
        <v>0</v>
      </c>
      <c r="K585" s="89" t="str">
        <f t="shared" si="20"/>
        <v/>
      </c>
      <c r="L585" s="86"/>
    </row>
    <row r="586" spans="1:12" x14ac:dyDescent="0.2">
      <c r="A586" s="194"/>
      <c r="B586" s="90"/>
      <c r="C586" s="90"/>
      <c r="D586" s="90"/>
      <c r="E586" s="90"/>
      <c r="F586" s="92"/>
      <c r="G586" s="92"/>
      <c r="H586" s="90"/>
      <c r="I586" s="195"/>
      <c r="J586" s="193">
        <f t="shared" si="19"/>
        <v>0</v>
      </c>
      <c r="K586" s="93" t="str">
        <f t="shared" si="20"/>
        <v/>
      </c>
      <c r="L586" s="90"/>
    </row>
    <row r="587" spans="1:12" x14ac:dyDescent="0.2">
      <c r="A587" s="196"/>
      <c r="B587" s="86"/>
      <c r="C587" s="86"/>
      <c r="D587" s="86"/>
      <c r="E587" s="86"/>
      <c r="F587" s="88"/>
      <c r="G587" s="88"/>
      <c r="H587" s="86"/>
      <c r="I587" s="197"/>
      <c r="J587" s="191">
        <f t="shared" si="19"/>
        <v>0</v>
      </c>
      <c r="K587" s="89" t="str">
        <f t="shared" si="20"/>
        <v/>
      </c>
      <c r="L587" s="86"/>
    </row>
    <row r="588" spans="1:12" x14ac:dyDescent="0.2">
      <c r="A588" s="194"/>
      <c r="B588" s="90"/>
      <c r="C588" s="90"/>
      <c r="D588" s="90"/>
      <c r="E588" s="90"/>
      <c r="F588" s="92"/>
      <c r="G588" s="92"/>
      <c r="H588" s="90"/>
      <c r="I588" s="195"/>
      <c r="J588" s="193">
        <f t="shared" si="19"/>
        <v>0</v>
      </c>
      <c r="K588" s="93" t="str">
        <f t="shared" si="20"/>
        <v/>
      </c>
      <c r="L588" s="90"/>
    </row>
    <row r="589" spans="1:12" x14ac:dyDescent="0.2">
      <c r="A589" s="196"/>
      <c r="B589" s="86"/>
      <c r="C589" s="86"/>
      <c r="D589" s="86"/>
      <c r="E589" s="86"/>
      <c r="F589" s="88"/>
      <c r="G589" s="88"/>
      <c r="H589" s="86"/>
      <c r="I589" s="197"/>
      <c r="J589" s="191">
        <f t="shared" si="19"/>
        <v>0</v>
      </c>
      <c r="K589" s="89" t="str">
        <f t="shared" si="20"/>
        <v/>
      </c>
      <c r="L589" s="86"/>
    </row>
    <row r="590" spans="1:12" x14ac:dyDescent="0.2">
      <c r="A590" s="194"/>
      <c r="B590" s="90"/>
      <c r="C590" s="90"/>
      <c r="D590" s="90"/>
      <c r="E590" s="90"/>
      <c r="F590" s="92"/>
      <c r="G590" s="92"/>
      <c r="H590" s="90"/>
      <c r="I590" s="195"/>
      <c r="J590" s="193">
        <f t="shared" si="19"/>
        <v>0</v>
      </c>
      <c r="K590" s="93" t="str">
        <f t="shared" si="20"/>
        <v/>
      </c>
      <c r="L590" s="90"/>
    </row>
    <row r="591" spans="1:12" x14ac:dyDescent="0.2">
      <c r="A591" s="196"/>
      <c r="B591" s="86"/>
      <c r="C591" s="86"/>
      <c r="D591" s="86"/>
      <c r="E591" s="86"/>
      <c r="F591" s="88"/>
      <c r="G591" s="88"/>
      <c r="H591" s="86"/>
      <c r="I591" s="197"/>
      <c r="J591" s="191">
        <f t="shared" si="19"/>
        <v>0</v>
      </c>
      <c r="K591" s="89" t="str">
        <f t="shared" si="20"/>
        <v/>
      </c>
      <c r="L591" s="86"/>
    </row>
    <row r="592" spans="1:12" x14ac:dyDescent="0.2">
      <c r="A592" s="194"/>
      <c r="B592" s="90"/>
      <c r="C592" s="90"/>
      <c r="D592" s="90"/>
      <c r="E592" s="90"/>
      <c r="F592" s="92"/>
      <c r="G592" s="92"/>
      <c r="H592" s="90"/>
      <c r="I592" s="195"/>
      <c r="J592" s="193">
        <f t="shared" si="19"/>
        <v>0</v>
      </c>
      <c r="K592" s="93" t="str">
        <f t="shared" si="20"/>
        <v/>
      </c>
      <c r="L592" s="90"/>
    </row>
    <row r="593" spans="1:12" x14ac:dyDescent="0.2">
      <c r="A593" s="196"/>
      <c r="B593" s="86"/>
      <c r="C593" s="86"/>
      <c r="D593" s="86"/>
      <c r="E593" s="86"/>
      <c r="F593" s="88"/>
      <c r="G593" s="88"/>
      <c r="H593" s="86"/>
      <c r="I593" s="197"/>
      <c r="J593" s="191">
        <f t="shared" si="19"/>
        <v>0</v>
      </c>
      <c r="K593" s="89" t="str">
        <f t="shared" si="20"/>
        <v/>
      </c>
      <c r="L593" s="86"/>
    </row>
    <row r="594" spans="1:12" x14ac:dyDescent="0.2">
      <c r="A594" s="194"/>
      <c r="B594" s="90"/>
      <c r="C594" s="90"/>
      <c r="D594" s="90"/>
      <c r="E594" s="90"/>
      <c r="F594" s="92"/>
      <c r="G594" s="92"/>
      <c r="H594" s="90"/>
      <c r="I594" s="195"/>
      <c r="J594" s="193">
        <f t="shared" si="19"/>
        <v>0</v>
      </c>
      <c r="K594" s="93" t="str">
        <f t="shared" si="20"/>
        <v/>
      </c>
      <c r="L594" s="90"/>
    </row>
    <row r="595" spans="1:12" x14ac:dyDescent="0.2">
      <c r="A595" s="196"/>
      <c r="B595" s="86"/>
      <c r="C595" s="86"/>
      <c r="D595" s="86"/>
      <c r="E595" s="86"/>
      <c r="F595" s="88"/>
      <c r="G595" s="88"/>
      <c r="H595" s="86"/>
      <c r="I595" s="197"/>
      <c r="J595" s="191">
        <f t="shared" si="19"/>
        <v>0</v>
      </c>
      <c r="K595" s="89" t="str">
        <f t="shared" si="20"/>
        <v/>
      </c>
      <c r="L595" s="86"/>
    </row>
    <row r="596" spans="1:12" x14ac:dyDescent="0.2">
      <c r="A596" s="194"/>
      <c r="B596" s="90"/>
      <c r="C596" s="90"/>
      <c r="D596" s="90"/>
      <c r="E596" s="90"/>
      <c r="F596" s="92"/>
      <c r="G596" s="92"/>
      <c r="H596" s="90"/>
      <c r="I596" s="195"/>
      <c r="J596" s="193">
        <f t="shared" si="19"/>
        <v>0</v>
      </c>
      <c r="K596" s="93" t="str">
        <f t="shared" si="20"/>
        <v/>
      </c>
      <c r="L596" s="90"/>
    </row>
    <row r="597" spans="1:12" x14ac:dyDescent="0.2">
      <c r="A597" s="196"/>
      <c r="B597" s="86"/>
      <c r="C597" s="86"/>
      <c r="D597" s="86"/>
      <c r="E597" s="86"/>
      <c r="F597" s="88"/>
      <c r="G597" s="88"/>
      <c r="H597" s="86"/>
      <c r="I597" s="197"/>
      <c r="J597" s="191">
        <f t="shared" si="19"/>
        <v>0</v>
      </c>
      <c r="K597" s="89" t="str">
        <f t="shared" si="20"/>
        <v/>
      </c>
      <c r="L597" s="86"/>
    </row>
    <row r="598" spans="1:12" x14ac:dyDescent="0.2">
      <c r="A598" s="194"/>
      <c r="B598" s="90"/>
      <c r="C598" s="90"/>
      <c r="D598" s="90"/>
      <c r="E598" s="90"/>
      <c r="F598" s="92"/>
      <c r="G598" s="92"/>
      <c r="H598" s="90"/>
      <c r="I598" s="195"/>
      <c r="J598" s="193">
        <f t="shared" si="19"/>
        <v>0</v>
      </c>
      <c r="K598" s="93" t="str">
        <f t="shared" si="20"/>
        <v/>
      </c>
      <c r="L598" s="90"/>
    </row>
    <row r="599" spans="1:12" x14ac:dyDescent="0.2">
      <c r="A599" s="196"/>
      <c r="B599" s="86"/>
      <c r="C599" s="86"/>
      <c r="D599" s="86"/>
      <c r="E599" s="86"/>
      <c r="F599" s="88"/>
      <c r="G599" s="88"/>
      <c r="H599" s="86"/>
      <c r="I599" s="197"/>
      <c r="J599" s="191">
        <f t="shared" si="19"/>
        <v>0</v>
      </c>
      <c r="K599" s="89" t="str">
        <f t="shared" si="20"/>
        <v/>
      </c>
      <c r="L599" s="86"/>
    </row>
    <row r="600" spans="1:12" x14ac:dyDescent="0.2">
      <c r="A600" s="194"/>
      <c r="B600" s="90"/>
      <c r="C600" s="90"/>
      <c r="D600" s="90"/>
      <c r="E600" s="90"/>
      <c r="F600" s="92"/>
      <c r="G600" s="92"/>
      <c r="H600" s="90"/>
      <c r="I600" s="195"/>
      <c r="J600" s="193">
        <f t="shared" si="19"/>
        <v>0</v>
      </c>
      <c r="K600" s="93" t="str">
        <f t="shared" si="20"/>
        <v/>
      </c>
      <c r="L600" s="90"/>
    </row>
    <row r="601" spans="1:12" x14ac:dyDescent="0.2">
      <c r="A601" s="196"/>
      <c r="B601" s="86"/>
      <c r="C601" s="86"/>
      <c r="D601" s="86"/>
      <c r="E601" s="86"/>
      <c r="F601" s="88"/>
      <c r="G601" s="88"/>
      <c r="H601" s="86"/>
      <c r="I601" s="197"/>
      <c r="J601" s="191">
        <f t="shared" si="19"/>
        <v>0</v>
      </c>
      <c r="K601" s="89" t="str">
        <f t="shared" si="20"/>
        <v/>
      </c>
      <c r="L601" s="86"/>
    </row>
    <row r="602" spans="1:12" x14ac:dyDescent="0.2">
      <c r="A602" s="194"/>
      <c r="B602" s="90"/>
      <c r="C602" s="90"/>
      <c r="D602" s="90"/>
      <c r="E602" s="90"/>
      <c r="F602" s="92"/>
      <c r="G602" s="92"/>
      <c r="H602" s="90"/>
      <c r="I602" s="195"/>
      <c r="J602" s="193">
        <f t="shared" si="19"/>
        <v>0</v>
      </c>
      <c r="K602" s="93" t="str">
        <f t="shared" si="20"/>
        <v/>
      </c>
      <c r="L602" s="90"/>
    </row>
    <row r="603" spans="1:12" x14ac:dyDescent="0.2">
      <c r="A603" s="196"/>
      <c r="B603" s="86"/>
      <c r="C603" s="86"/>
      <c r="D603" s="86"/>
      <c r="E603" s="86"/>
      <c r="F603" s="88"/>
      <c r="G603" s="88"/>
      <c r="H603" s="86"/>
      <c r="I603" s="197"/>
      <c r="J603" s="191">
        <f t="shared" si="19"/>
        <v>0</v>
      </c>
      <c r="K603" s="89" t="str">
        <f t="shared" si="20"/>
        <v/>
      </c>
      <c r="L603" s="86"/>
    </row>
    <row r="604" spans="1:12" x14ac:dyDescent="0.2">
      <c r="A604" s="194"/>
      <c r="B604" s="90"/>
      <c r="C604" s="90"/>
      <c r="D604" s="90"/>
      <c r="E604" s="90"/>
      <c r="F604" s="92"/>
      <c r="G604" s="92"/>
      <c r="H604" s="90"/>
      <c r="I604" s="195"/>
      <c r="J604" s="193">
        <f t="shared" si="19"/>
        <v>0</v>
      </c>
      <c r="K604" s="93" t="str">
        <f t="shared" si="20"/>
        <v/>
      </c>
      <c r="L604" s="90"/>
    </row>
    <row r="605" spans="1:12" x14ac:dyDescent="0.2">
      <c r="A605" s="196"/>
      <c r="B605" s="86"/>
      <c r="C605" s="86"/>
      <c r="D605" s="86"/>
      <c r="E605" s="86"/>
      <c r="F605" s="88"/>
      <c r="G605" s="88"/>
      <c r="H605" s="86"/>
      <c r="I605" s="197"/>
      <c r="J605" s="191">
        <f t="shared" si="19"/>
        <v>0</v>
      </c>
      <c r="K605" s="89" t="str">
        <f t="shared" si="20"/>
        <v/>
      </c>
      <c r="L605" s="86"/>
    </row>
    <row r="606" spans="1:12" x14ac:dyDescent="0.2">
      <c r="A606" s="194"/>
      <c r="B606" s="90"/>
      <c r="C606" s="90"/>
      <c r="D606" s="90"/>
      <c r="E606" s="90"/>
      <c r="F606" s="92"/>
      <c r="G606" s="92"/>
      <c r="H606" s="90"/>
      <c r="I606" s="195"/>
      <c r="J606" s="193">
        <f t="shared" si="19"/>
        <v>0</v>
      </c>
      <c r="K606" s="93" t="str">
        <f t="shared" si="20"/>
        <v/>
      </c>
      <c r="L606" s="90"/>
    </row>
    <row r="607" spans="1:12" x14ac:dyDescent="0.2">
      <c r="A607" s="196"/>
      <c r="B607" s="86"/>
      <c r="C607" s="86"/>
      <c r="D607" s="86"/>
      <c r="E607" s="86"/>
      <c r="F607" s="88"/>
      <c r="G607" s="88"/>
      <c r="H607" s="86"/>
      <c r="I607" s="197"/>
      <c r="J607" s="191">
        <f t="shared" si="19"/>
        <v>0</v>
      </c>
      <c r="K607" s="89" t="str">
        <f t="shared" si="20"/>
        <v/>
      </c>
      <c r="L607" s="86"/>
    </row>
    <row r="608" spans="1:12" x14ac:dyDescent="0.2">
      <c r="A608" s="194"/>
      <c r="B608" s="90"/>
      <c r="C608" s="90"/>
      <c r="D608" s="90"/>
      <c r="E608" s="90"/>
      <c r="F608" s="92"/>
      <c r="G608" s="92"/>
      <c r="H608" s="90"/>
      <c r="I608" s="195"/>
      <c r="J608" s="193">
        <f t="shared" si="19"/>
        <v>0</v>
      </c>
      <c r="K608" s="93" t="str">
        <f t="shared" si="20"/>
        <v/>
      </c>
      <c r="L608" s="90"/>
    </row>
    <row r="609" spans="1:12" x14ac:dyDescent="0.2">
      <c r="A609" s="196"/>
      <c r="B609" s="86"/>
      <c r="C609" s="86"/>
      <c r="D609" s="86"/>
      <c r="E609" s="86"/>
      <c r="F609" s="88"/>
      <c r="G609" s="88"/>
      <c r="H609" s="86"/>
      <c r="I609" s="197"/>
      <c r="J609" s="191">
        <f t="shared" si="19"/>
        <v>0</v>
      </c>
      <c r="K609" s="89" t="str">
        <f t="shared" si="20"/>
        <v/>
      </c>
      <c r="L609" s="86"/>
    </row>
    <row r="610" spans="1:12" x14ac:dyDescent="0.2">
      <c r="A610" s="194"/>
      <c r="B610" s="90"/>
      <c r="C610" s="90"/>
      <c r="D610" s="90"/>
      <c r="E610" s="90"/>
      <c r="F610" s="92"/>
      <c r="G610" s="92"/>
      <c r="H610" s="90"/>
      <c r="I610" s="195"/>
      <c r="J610" s="193">
        <f t="shared" si="19"/>
        <v>0</v>
      </c>
      <c r="K610" s="93" t="str">
        <f t="shared" si="20"/>
        <v/>
      </c>
      <c r="L610" s="90"/>
    </row>
    <row r="611" spans="1:12" x14ac:dyDescent="0.2">
      <c r="A611" s="196"/>
      <c r="B611" s="86"/>
      <c r="C611" s="86"/>
      <c r="D611" s="86"/>
      <c r="E611" s="86"/>
      <c r="F611" s="88"/>
      <c r="G611" s="88"/>
      <c r="H611" s="86"/>
      <c r="I611" s="197"/>
      <c r="J611" s="191">
        <f t="shared" si="19"/>
        <v>0</v>
      </c>
      <c r="K611" s="89" t="str">
        <f t="shared" si="20"/>
        <v/>
      </c>
      <c r="L611" s="86"/>
    </row>
    <row r="612" spans="1:12" x14ac:dyDescent="0.2">
      <c r="A612" s="194"/>
      <c r="B612" s="90"/>
      <c r="C612" s="90"/>
      <c r="D612" s="90"/>
      <c r="E612" s="90"/>
      <c r="F612" s="92"/>
      <c r="G612" s="92"/>
      <c r="H612" s="90"/>
      <c r="I612" s="195"/>
      <c r="J612" s="193">
        <f t="shared" si="19"/>
        <v>0</v>
      </c>
      <c r="K612" s="93" t="str">
        <f t="shared" si="20"/>
        <v/>
      </c>
      <c r="L612" s="90"/>
    </row>
    <row r="613" spans="1:12" x14ac:dyDescent="0.2">
      <c r="A613" s="196"/>
      <c r="B613" s="86"/>
      <c r="C613" s="86"/>
      <c r="D613" s="86"/>
      <c r="E613" s="86"/>
      <c r="F613" s="88"/>
      <c r="G613" s="88"/>
      <c r="H613" s="86"/>
      <c r="I613" s="197"/>
      <c r="J613" s="191">
        <f t="shared" si="19"/>
        <v>0</v>
      </c>
      <c r="K613" s="89" t="str">
        <f t="shared" si="20"/>
        <v/>
      </c>
      <c r="L613" s="86"/>
    </row>
    <row r="614" spans="1:12" x14ac:dyDescent="0.2">
      <c r="A614" s="194"/>
      <c r="B614" s="90"/>
      <c r="C614" s="90"/>
      <c r="D614" s="90"/>
      <c r="E614" s="90"/>
      <c r="F614" s="92"/>
      <c r="G614" s="92"/>
      <c r="H614" s="90"/>
      <c r="I614" s="195"/>
      <c r="J614" s="193">
        <f t="shared" si="19"/>
        <v>0</v>
      </c>
      <c r="K614" s="93" t="str">
        <f t="shared" si="20"/>
        <v/>
      </c>
      <c r="L614" s="90"/>
    </row>
    <row r="615" spans="1:12" x14ac:dyDescent="0.2">
      <c r="A615" s="196"/>
      <c r="B615" s="86"/>
      <c r="C615" s="86"/>
      <c r="D615" s="86"/>
      <c r="E615" s="86"/>
      <c r="F615" s="88"/>
      <c r="G615" s="88"/>
      <c r="H615" s="86"/>
      <c r="I615" s="197"/>
      <c r="J615" s="191">
        <f t="shared" si="19"/>
        <v>0</v>
      </c>
      <c r="K615" s="89" t="str">
        <f t="shared" si="20"/>
        <v/>
      </c>
      <c r="L615" s="86"/>
    </row>
    <row r="616" spans="1:12" x14ac:dyDescent="0.2">
      <c r="A616" s="194"/>
      <c r="B616" s="90"/>
      <c r="C616" s="90"/>
      <c r="D616" s="90"/>
      <c r="E616" s="90"/>
      <c r="F616" s="92"/>
      <c r="G616" s="92"/>
      <c r="H616" s="90"/>
      <c r="I616" s="195"/>
      <c r="J616" s="193">
        <f t="shared" si="19"/>
        <v>0</v>
      </c>
      <c r="K616" s="93" t="str">
        <f t="shared" si="20"/>
        <v/>
      </c>
      <c r="L616" s="90"/>
    </row>
    <row r="617" spans="1:12" x14ac:dyDescent="0.2">
      <c r="A617" s="196"/>
      <c r="B617" s="86"/>
      <c r="C617" s="86"/>
      <c r="D617" s="86"/>
      <c r="E617" s="86"/>
      <c r="F617" s="88"/>
      <c r="G617" s="88"/>
      <c r="H617" s="86"/>
      <c r="I617" s="197"/>
      <c r="J617" s="191">
        <f t="shared" si="19"/>
        <v>0</v>
      </c>
      <c r="K617" s="89" t="str">
        <f t="shared" si="20"/>
        <v/>
      </c>
      <c r="L617" s="86"/>
    </row>
    <row r="618" spans="1:12" x14ac:dyDescent="0.2">
      <c r="A618" s="194"/>
      <c r="B618" s="90"/>
      <c r="C618" s="90"/>
      <c r="D618" s="90"/>
      <c r="E618" s="90"/>
      <c r="F618" s="92"/>
      <c r="G618" s="92"/>
      <c r="H618" s="90"/>
      <c r="I618" s="195"/>
      <c r="J618" s="193">
        <f t="shared" si="19"/>
        <v>0</v>
      </c>
      <c r="K618" s="93" t="str">
        <f t="shared" si="20"/>
        <v/>
      </c>
      <c r="L618" s="90"/>
    </row>
    <row r="619" spans="1:12" x14ac:dyDescent="0.2">
      <c r="A619" s="196"/>
      <c r="B619" s="86"/>
      <c r="C619" s="86"/>
      <c r="D619" s="86"/>
      <c r="E619" s="86"/>
      <c r="F619" s="88"/>
      <c r="G619" s="88"/>
      <c r="H619" s="86"/>
      <c r="I619" s="197"/>
      <c r="J619" s="191">
        <f t="shared" si="19"/>
        <v>0</v>
      </c>
      <c r="K619" s="89" t="str">
        <f t="shared" si="20"/>
        <v/>
      </c>
      <c r="L619" s="86"/>
    </row>
    <row r="620" spans="1:12" x14ac:dyDescent="0.2">
      <c r="A620" s="194"/>
      <c r="B620" s="90"/>
      <c r="C620" s="90"/>
      <c r="D620" s="90"/>
      <c r="E620" s="90"/>
      <c r="F620" s="92"/>
      <c r="G620" s="92"/>
      <c r="H620" s="90"/>
      <c r="I620" s="195"/>
      <c r="J620" s="193">
        <f t="shared" si="19"/>
        <v>0</v>
      </c>
      <c r="K620" s="93" t="str">
        <f t="shared" si="20"/>
        <v/>
      </c>
      <c r="L620" s="90"/>
    </row>
    <row r="621" spans="1:12" x14ac:dyDescent="0.2">
      <c r="A621" s="196"/>
      <c r="B621" s="86"/>
      <c r="C621" s="86"/>
      <c r="D621" s="86"/>
      <c r="E621" s="86"/>
      <c r="F621" s="88"/>
      <c r="G621" s="88"/>
      <c r="H621" s="86"/>
      <c r="I621" s="197"/>
      <c r="J621" s="191">
        <f t="shared" si="19"/>
        <v>0</v>
      </c>
      <c r="K621" s="89" t="str">
        <f t="shared" si="20"/>
        <v/>
      </c>
      <c r="L621" s="86"/>
    </row>
    <row r="622" spans="1:12" x14ac:dyDescent="0.2">
      <c r="A622" s="194"/>
      <c r="B622" s="90"/>
      <c r="C622" s="90"/>
      <c r="D622" s="90"/>
      <c r="E622" s="90"/>
      <c r="F622" s="92"/>
      <c r="G622" s="92"/>
      <c r="H622" s="90"/>
      <c r="I622" s="195"/>
      <c r="J622" s="193">
        <f t="shared" si="19"/>
        <v>0</v>
      </c>
      <c r="K622" s="93" t="str">
        <f t="shared" si="20"/>
        <v/>
      </c>
      <c r="L622" s="90"/>
    </row>
    <row r="623" spans="1:12" x14ac:dyDescent="0.2">
      <c r="A623" s="196"/>
      <c r="B623" s="86"/>
      <c r="C623" s="86"/>
      <c r="D623" s="86"/>
      <c r="E623" s="86"/>
      <c r="F623" s="88"/>
      <c r="G623" s="88"/>
      <c r="H623" s="86"/>
      <c r="I623" s="197"/>
      <c r="J623" s="191">
        <f t="shared" si="19"/>
        <v>0</v>
      </c>
      <c r="K623" s="89" t="str">
        <f t="shared" si="20"/>
        <v/>
      </c>
      <c r="L623" s="86"/>
    </row>
    <row r="624" spans="1:12" x14ac:dyDescent="0.2">
      <c r="A624" s="194"/>
      <c r="B624" s="90"/>
      <c r="C624" s="90"/>
      <c r="D624" s="90"/>
      <c r="E624" s="90"/>
      <c r="F624" s="92"/>
      <c r="G624" s="92"/>
      <c r="H624" s="90"/>
      <c r="I624" s="195"/>
      <c r="J624" s="193">
        <f t="shared" si="19"/>
        <v>0</v>
      </c>
      <c r="K624" s="93" t="str">
        <f t="shared" si="20"/>
        <v/>
      </c>
      <c r="L624" s="90"/>
    </row>
    <row r="625" spans="1:12" x14ac:dyDescent="0.2">
      <c r="A625" s="196"/>
      <c r="B625" s="86"/>
      <c r="C625" s="86"/>
      <c r="D625" s="86"/>
      <c r="E625" s="86"/>
      <c r="F625" s="88"/>
      <c r="G625" s="88"/>
      <c r="H625" s="86"/>
      <c r="I625" s="197"/>
      <c r="J625" s="191">
        <f t="shared" si="19"/>
        <v>0</v>
      </c>
      <c r="K625" s="89" t="str">
        <f t="shared" si="20"/>
        <v/>
      </c>
      <c r="L625" s="86"/>
    </row>
    <row r="626" spans="1:12" x14ac:dyDescent="0.2">
      <c r="A626" s="194"/>
      <c r="B626" s="90"/>
      <c r="C626" s="90"/>
      <c r="D626" s="90"/>
      <c r="E626" s="90"/>
      <c r="F626" s="92"/>
      <c r="G626" s="92"/>
      <c r="H626" s="90"/>
      <c r="I626" s="195"/>
      <c r="J626" s="193">
        <f t="shared" si="19"/>
        <v>0</v>
      </c>
      <c r="K626" s="93" t="str">
        <f t="shared" si="20"/>
        <v/>
      </c>
      <c r="L626" s="90"/>
    </row>
    <row r="627" spans="1:12" x14ac:dyDescent="0.2">
      <c r="A627" s="196"/>
      <c r="B627" s="86"/>
      <c r="C627" s="86"/>
      <c r="D627" s="86"/>
      <c r="E627" s="86"/>
      <c r="F627" s="88"/>
      <c r="G627" s="88"/>
      <c r="H627" s="86"/>
      <c r="I627" s="197"/>
      <c r="J627" s="191">
        <f t="shared" si="19"/>
        <v>0</v>
      </c>
      <c r="K627" s="89" t="str">
        <f t="shared" si="20"/>
        <v/>
      </c>
      <c r="L627" s="86"/>
    </row>
    <row r="628" spans="1:12" x14ac:dyDescent="0.2">
      <c r="A628" s="194"/>
      <c r="B628" s="90"/>
      <c r="C628" s="90"/>
      <c r="D628" s="90"/>
      <c r="E628" s="90"/>
      <c r="F628" s="92"/>
      <c r="G628" s="92"/>
      <c r="H628" s="90"/>
      <c r="I628" s="195"/>
      <c r="J628" s="193">
        <f t="shared" si="19"/>
        <v>0</v>
      </c>
      <c r="K628" s="93" t="str">
        <f t="shared" si="20"/>
        <v/>
      </c>
      <c r="L628" s="90"/>
    </row>
    <row r="629" spans="1:12" x14ac:dyDescent="0.2">
      <c r="A629" s="196"/>
      <c r="B629" s="86"/>
      <c r="C629" s="86"/>
      <c r="D629" s="86"/>
      <c r="E629" s="86"/>
      <c r="F629" s="88"/>
      <c r="G629" s="88"/>
      <c r="H629" s="86"/>
      <c r="I629" s="197"/>
      <c r="J629" s="191">
        <f t="shared" si="19"/>
        <v>0</v>
      </c>
      <c r="K629" s="89" t="str">
        <f t="shared" si="20"/>
        <v/>
      </c>
      <c r="L629" s="86"/>
    </row>
    <row r="630" spans="1:12" x14ac:dyDescent="0.2">
      <c r="A630" s="194"/>
      <c r="B630" s="90"/>
      <c r="C630" s="90"/>
      <c r="D630" s="90"/>
      <c r="E630" s="90"/>
      <c r="F630" s="92"/>
      <c r="G630" s="92"/>
      <c r="H630" s="90"/>
      <c r="I630" s="195"/>
      <c r="J630" s="193">
        <f t="shared" si="19"/>
        <v>0</v>
      </c>
      <c r="K630" s="93" t="str">
        <f t="shared" si="20"/>
        <v/>
      </c>
      <c r="L630" s="90"/>
    </row>
    <row r="631" spans="1:12" x14ac:dyDescent="0.2">
      <c r="A631" s="196"/>
      <c r="B631" s="86"/>
      <c r="C631" s="86"/>
      <c r="D631" s="86"/>
      <c r="E631" s="86"/>
      <c r="F631" s="88"/>
      <c r="G631" s="88"/>
      <c r="H631" s="86"/>
      <c r="I631" s="197"/>
      <c r="J631" s="191">
        <f t="shared" si="19"/>
        <v>0</v>
      </c>
      <c r="K631" s="89" t="str">
        <f t="shared" si="20"/>
        <v/>
      </c>
      <c r="L631" s="86"/>
    </row>
    <row r="632" spans="1:12" x14ac:dyDescent="0.2">
      <c r="A632" s="194"/>
      <c r="B632" s="90"/>
      <c r="C632" s="90"/>
      <c r="D632" s="90"/>
      <c r="E632" s="90"/>
      <c r="F632" s="92"/>
      <c r="G632" s="92"/>
      <c r="H632" s="90"/>
      <c r="I632" s="195"/>
      <c r="J632" s="193">
        <f t="shared" si="19"/>
        <v>0</v>
      </c>
      <c r="K632" s="93" t="str">
        <f t="shared" si="20"/>
        <v/>
      </c>
      <c r="L632" s="90"/>
    </row>
    <row r="633" spans="1:12" x14ac:dyDescent="0.2">
      <c r="A633" s="196"/>
      <c r="B633" s="86"/>
      <c r="C633" s="86"/>
      <c r="D633" s="86"/>
      <c r="E633" s="86"/>
      <c r="F633" s="88"/>
      <c r="G633" s="88"/>
      <c r="H633" s="86"/>
      <c r="I633" s="197"/>
      <c r="J633" s="191">
        <f t="shared" si="19"/>
        <v>0</v>
      </c>
      <c r="K633" s="89" t="str">
        <f t="shared" si="20"/>
        <v/>
      </c>
      <c r="L633" s="86"/>
    </row>
    <row r="634" spans="1:12" x14ac:dyDescent="0.2">
      <c r="A634" s="194"/>
      <c r="B634" s="90"/>
      <c r="C634" s="90"/>
      <c r="D634" s="90"/>
      <c r="E634" s="90"/>
      <c r="F634" s="92"/>
      <c r="G634" s="92"/>
      <c r="H634" s="90"/>
      <c r="I634" s="195"/>
      <c r="J634" s="193">
        <f t="shared" si="19"/>
        <v>0</v>
      </c>
      <c r="K634" s="93" t="str">
        <f t="shared" si="20"/>
        <v/>
      </c>
      <c r="L634" s="90"/>
    </row>
    <row r="635" spans="1:12" x14ac:dyDescent="0.2">
      <c r="A635" s="196"/>
      <c r="B635" s="86"/>
      <c r="C635" s="86"/>
      <c r="D635" s="86"/>
      <c r="E635" s="86"/>
      <c r="F635" s="88"/>
      <c r="G635" s="88"/>
      <c r="H635" s="86"/>
      <c r="I635" s="197"/>
      <c r="J635" s="191">
        <f t="shared" si="19"/>
        <v>0</v>
      </c>
      <c r="K635" s="89" t="str">
        <f t="shared" si="20"/>
        <v/>
      </c>
      <c r="L635" s="86"/>
    </row>
    <row r="636" spans="1:12" x14ac:dyDescent="0.2">
      <c r="A636" s="194"/>
      <c r="B636" s="90"/>
      <c r="C636" s="90"/>
      <c r="D636" s="90"/>
      <c r="E636" s="90"/>
      <c r="F636" s="92"/>
      <c r="G636" s="92"/>
      <c r="H636" s="90"/>
      <c r="I636" s="195"/>
      <c r="J636" s="193">
        <f t="shared" si="19"/>
        <v>0</v>
      </c>
      <c r="K636" s="93" t="str">
        <f t="shared" si="20"/>
        <v/>
      </c>
      <c r="L636" s="90"/>
    </row>
    <row r="637" spans="1:12" x14ac:dyDescent="0.2">
      <c r="A637" s="196"/>
      <c r="B637" s="86"/>
      <c r="C637" s="86"/>
      <c r="D637" s="86"/>
      <c r="E637" s="86"/>
      <c r="F637" s="88"/>
      <c r="G637" s="88"/>
      <c r="H637" s="86"/>
      <c r="I637" s="197"/>
      <c r="J637" s="191">
        <f t="shared" si="19"/>
        <v>0</v>
      </c>
      <c r="K637" s="89" t="str">
        <f t="shared" si="20"/>
        <v/>
      </c>
      <c r="L637" s="86"/>
    </row>
    <row r="638" spans="1:12" x14ac:dyDescent="0.2">
      <c r="A638" s="194"/>
      <c r="B638" s="90"/>
      <c r="C638" s="90"/>
      <c r="D638" s="90"/>
      <c r="E638" s="90"/>
      <c r="F638" s="92"/>
      <c r="G638" s="92"/>
      <c r="H638" s="90"/>
      <c r="I638" s="195"/>
      <c r="J638" s="193">
        <f t="shared" si="19"/>
        <v>0</v>
      </c>
      <c r="K638" s="93" t="str">
        <f t="shared" si="20"/>
        <v/>
      </c>
      <c r="L638" s="90"/>
    </row>
    <row r="639" spans="1:12" x14ac:dyDescent="0.2">
      <c r="A639" s="196"/>
      <c r="B639" s="86"/>
      <c r="C639" s="86"/>
      <c r="D639" s="86"/>
      <c r="E639" s="86"/>
      <c r="F639" s="88"/>
      <c r="G639" s="88"/>
      <c r="H639" s="86"/>
      <c r="I639" s="197"/>
      <c r="J639" s="191">
        <f t="shared" si="19"/>
        <v>0</v>
      </c>
      <c r="K639" s="89" t="str">
        <f t="shared" si="20"/>
        <v/>
      </c>
      <c r="L639" s="86"/>
    </row>
    <row r="640" spans="1:12" x14ac:dyDescent="0.2">
      <c r="A640" s="194"/>
      <c r="B640" s="90"/>
      <c r="C640" s="90"/>
      <c r="D640" s="90"/>
      <c r="E640" s="90"/>
      <c r="F640" s="92"/>
      <c r="G640" s="92"/>
      <c r="H640" s="90"/>
      <c r="I640" s="195"/>
      <c r="J640" s="193">
        <f t="shared" si="19"/>
        <v>0</v>
      </c>
      <c r="K640" s="93" t="str">
        <f t="shared" si="20"/>
        <v/>
      </c>
      <c r="L640" s="90"/>
    </row>
    <row r="641" spans="1:12" x14ac:dyDescent="0.2">
      <c r="A641" s="196"/>
      <c r="B641" s="86"/>
      <c r="C641" s="86"/>
      <c r="D641" s="86"/>
      <c r="E641" s="86"/>
      <c r="F641" s="88"/>
      <c r="G641" s="88"/>
      <c r="H641" s="86"/>
      <c r="I641" s="197"/>
      <c r="J641" s="191">
        <f t="shared" si="19"/>
        <v>0</v>
      </c>
      <c r="K641" s="89" t="str">
        <f t="shared" si="20"/>
        <v/>
      </c>
      <c r="L641" s="86"/>
    </row>
    <row r="642" spans="1:12" x14ac:dyDescent="0.2">
      <c r="A642" s="194"/>
      <c r="B642" s="90"/>
      <c r="C642" s="90"/>
      <c r="D642" s="90"/>
      <c r="E642" s="90"/>
      <c r="F642" s="92"/>
      <c r="G642" s="92"/>
      <c r="H642" s="90"/>
      <c r="I642" s="195"/>
      <c r="J642" s="193">
        <f t="shared" si="19"/>
        <v>0</v>
      </c>
      <c r="K642" s="93" t="str">
        <f t="shared" si="20"/>
        <v/>
      </c>
      <c r="L642" s="90"/>
    </row>
    <row r="643" spans="1:12" x14ac:dyDescent="0.2">
      <c r="A643" s="196"/>
      <c r="B643" s="86"/>
      <c r="C643" s="86"/>
      <c r="D643" s="86"/>
      <c r="E643" s="86"/>
      <c r="F643" s="88"/>
      <c r="G643" s="88"/>
      <c r="H643" s="86"/>
      <c r="I643" s="197"/>
      <c r="J643" s="191">
        <f t="shared" si="19"/>
        <v>0</v>
      </c>
      <c r="K643" s="89" t="str">
        <f t="shared" si="20"/>
        <v/>
      </c>
      <c r="L643" s="86"/>
    </row>
    <row r="644" spans="1:12" x14ac:dyDescent="0.2">
      <c r="A644" s="194"/>
      <c r="B644" s="90"/>
      <c r="C644" s="90"/>
      <c r="D644" s="90"/>
      <c r="E644" s="90"/>
      <c r="F644" s="92"/>
      <c r="G644" s="92"/>
      <c r="H644" s="90"/>
      <c r="I644" s="195"/>
      <c r="J644" s="193">
        <f t="shared" si="19"/>
        <v>0</v>
      </c>
      <c r="K644" s="93" t="str">
        <f t="shared" si="20"/>
        <v/>
      </c>
      <c r="L644" s="90"/>
    </row>
    <row r="645" spans="1:12" x14ac:dyDescent="0.2">
      <c r="A645" s="196"/>
      <c r="B645" s="86"/>
      <c r="C645" s="86"/>
      <c r="D645" s="86"/>
      <c r="E645" s="86"/>
      <c r="F645" s="88"/>
      <c r="G645" s="88"/>
      <c r="H645" s="86"/>
      <c r="I645" s="197"/>
      <c r="J645" s="191">
        <f t="shared" ref="J645:J708" si="21">IFERROR(F645-E645-G645-H645-I645,"")</f>
        <v>0</v>
      </c>
      <c r="K645" s="89" t="str">
        <f t="shared" ref="K645:K708" si="22">IFERROR(J645/F645,"")</f>
        <v/>
      </c>
      <c r="L645" s="86"/>
    </row>
    <row r="646" spans="1:12" x14ac:dyDescent="0.2">
      <c r="A646" s="194"/>
      <c r="B646" s="90"/>
      <c r="C646" s="90"/>
      <c r="D646" s="90"/>
      <c r="E646" s="90"/>
      <c r="F646" s="92"/>
      <c r="G646" s="92"/>
      <c r="H646" s="90"/>
      <c r="I646" s="195"/>
      <c r="J646" s="193">
        <f t="shared" si="21"/>
        <v>0</v>
      </c>
      <c r="K646" s="93" t="str">
        <f t="shared" si="22"/>
        <v/>
      </c>
      <c r="L646" s="90"/>
    </row>
    <row r="647" spans="1:12" x14ac:dyDescent="0.2">
      <c r="A647" s="196"/>
      <c r="B647" s="86"/>
      <c r="C647" s="86"/>
      <c r="D647" s="86"/>
      <c r="E647" s="86"/>
      <c r="F647" s="88"/>
      <c r="G647" s="88"/>
      <c r="H647" s="86"/>
      <c r="I647" s="197"/>
      <c r="J647" s="191">
        <f t="shared" si="21"/>
        <v>0</v>
      </c>
      <c r="K647" s="89" t="str">
        <f t="shared" si="22"/>
        <v/>
      </c>
      <c r="L647" s="86"/>
    </row>
    <row r="648" spans="1:12" x14ac:dyDescent="0.2">
      <c r="A648" s="194"/>
      <c r="B648" s="90"/>
      <c r="C648" s="90"/>
      <c r="D648" s="90"/>
      <c r="E648" s="90"/>
      <c r="F648" s="92"/>
      <c r="G648" s="92"/>
      <c r="H648" s="90"/>
      <c r="I648" s="195"/>
      <c r="J648" s="193">
        <f t="shared" si="21"/>
        <v>0</v>
      </c>
      <c r="K648" s="93" t="str">
        <f t="shared" si="22"/>
        <v/>
      </c>
      <c r="L648" s="90"/>
    </row>
    <row r="649" spans="1:12" x14ac:dyDescent="0.2">
      <c r="A649" s="196"/>
      <c r="B649" s="86"/>
      <c r="C649" s="86"/>
      <c r="D649" s="86"/>
      <c r="E649" s="86"/>
      <c r="F649" s="88"/>
      <c r="G649" s="88"/>
      <c r="H649" s="86"/>
      <c r="I649" s="197"/>
      <c r="J649" s="191">
        <f t="shared" si="21"/>
        <v>0</v>
      </c>
      <c r="K649" s="89" t="str">
        <f t="shared" si="22"/>
        <v/>
      </c>
      <c r="L649" s="86"/>
    </row>
    <row r="650" spans="1:12" x14ac:dyDescent="0.2">
      <c r="A650" s="194"/>
      <c r="B650" s="90"/>
      <c r="C650" s="90"/>
      <c r="D650" s="90"/>
      <c r="E650" s="90"/>
      <c r="F650" s="92"/>
      <c r="G650" s="92"/>
      <c r="H650" s="90"/>
      <c r="I650" s="195"/>
      <c r="J650" s="193">
        <f t="shared" si="21"/>
        <v>0</v>
      </c>
      <c r="K650" s="93" t="str">
        <f t="shared" si="22"/>
        <v/>
      </c>
      <c r="L650" s="90"/>
    </row>
    <row r="651" spans="1:12" x14ac:dyDescent="0.2">
      <c r="A651" s="196"/>
      <c r="B651" s="86"/>
      <c r="C651" s="86"/>
      <c r="D651" s="86"/>
      <c r="E651" s="86"/>
      <c r="F651" s="88"/>
      <c r="G651" s="88"/>
      <c r="H651" s="86"/>
      <c r="I651" s="197"/>
      <c r="J651" s="191">
        <f t="shared" si="21"/>
        <v>0</v>
      </c>
      <c r="K651" s="89" t="str">
        <f t="shared" si="22"/>
        <v/>
      </c>
      <c r="L651" s="86"/>
    </row>
    <row r="652" spans="1:12" x14ac:dyDescent="0.2">
      <c r="A652" s="194"/>
      <c r="B652" s="90"/>
      <c r="C652" s="90"/>
      <c r="D652" s="90"/>
      <c r="E652" s="90"/>
      <c r="F652" s="92"/>
      <c r="G652" s="92"/>
      <c r="H652" s="90"/>
      <c r="I652" s="195"/>
      <c r="J652" s="193">
        <f t="shared" si="21"/>
        <v>0</v>
      </c>
      <c r="K652" s="93" t="str">
        <f t="shared" si="22"/>
        <v/>
      </c>
      <c r="L652" s="90"/>
    </row>
    <row r="653" spans="1:12" x14ac:dyDescent="0.2">
      <c r="A653" s="196"/>
      <c r="B653" s="86"/>
      <c r="C653" s="86"/>
      <c r="D653" s="86"/>
      <c r="E653" s="86"/>
      <c r="F653" s="88"/>
      <c r="G653" s="88"/>
      <c r="H653" s="86"/>
      <c r="I653" s="197"/>
      <c r="J653" s="191">
        <f t="shared" si="21"/>
        <v>0</v>
      </c>
      <c r="K653" s="89" t="str">
        <f t="shared" si="22"/>
        <v/>
      </c>
      <c r="L653" s="86"/>
    </row>
    <row r="654" spans="1:12" x14ac:dyDescent="0.2">
      <c r="A654" s="194"/>
      <c r="B654" s="90"/>
      <c r="C654" s="90"/>
      <c r="D654" s="90"/>
      <c r="E654" s="90"/>
      <c r="F654" s="92"/>
      <c r="G654" s="92"/>
      <c r="H654" s="90"/>
      <c r="I654" s="195"/>
      <c r="J654" s="193">
        <f t="shared" si="21"/>
        <v>0</v>
      </c>
      <c r="K654" s="93" t="str">
        <f t="shared" si="22"/>
        <v/>
      </c>
      <c r="L654" s="90"/>
    </row>
    <row r="655" spans="1:12" x14ac:dyDescent="0.2">
      <c r="A655" s="196"/>
      <c r="B655" s="86"/>
      <c r="C655" s="86"/>
      <c r="D655" s="86"/>
      <c r="E655" s="86"/>
      <c r="F655" s="88"/>
      <c r="G655" s="88"/>
      <c r="H655" s="86"/>
      <c r="I655" s="197"/>
      <c r="J655" s="191">
        <f t="shared" si="21"/>
        <v>0</v>
      </c>
      <c r="K655" s="89" t="str">
        <f t="shared" si="22"/>
        <v/>
      </c>
      <c r="L655" s="86"/>
    </row>
    <row r="656" spans="1:12" x14ac:dyDescent="0.2">
      <c r="A656" s="194"/>
      <c r="B656" s="90"/>
      <c r="C656" s="90"/>
      <c r="D656" s="90"/>
      <c r="E656" s="90"/>
      <c r="F656" s="92"/>
      <c r="G656" s="92"/>
      <c r="H656" s="90"/>
      <c r="I656" s="195"/>
      <c r="J656" s="193">
        <f t="shared" si="21"/>
        <v>0</v>
      </c>
      <c r="K656" s="93" t="str">
        <f t="shared" si="22"/>
        <v/>
      </c>
      <c r="L656" s="90"/>
    </row>
    <row r="657" spans="1:12" x14ac:dyDescent="0.2">
      <c r="A657" s="196"/>
      <c r="B657" s="86"/>
      <c r="C657" s="86"/>
      <c r="D657" s="86"/>
      <c r="E657" s="86"/>
      <c r="F657" s="88"/>
      <c r="G657" s="88"/>
      <c r="H657" s="86"/>
      <c r="I657" s="197"/>
      <c r="J657" s="191">
        <f t="shared" si="21"/>
        <v>0</v>
      </c>
      <c r="K657" s="89" t="str">
        <f t="shared" si="22"/>
        <v/>
      </c>
      <c r="L657" s="86"/>
    </row>
    <row r="658" spans="1:12" x14ac:dyDescent="0.2">
      <c r="A658" s="194"/>
      <c r="B658" s="90"/>
      <c r="C658" s="90"/>
      <c r="D658" s="90"/>
      <c r="E658" s="90"/>
      <c r="F658" s="92"/>
      <c r="G658" s="92"/>
      <c r="H658" s="90"/>
      <c r="I658" s="195"/>
      <c r="J658" s="193">
        <f t="shared" si="21"/>
        <v>0</v>
      </c>
      <c r="K658" s="93" t="str">
        <f t="shared" si="22"/>
        <v/>
      </c>
      <c r="L658" s="90"/>
    </row>
    <row r="659" spans="1:12" x14ac:dyDescent="0.2">
      <c r="A659" s="196"/>
      <c r="B659" s="86"/>
      <c r="C659" s="86"/>
      <c r="D659" s="86"/>
      <c r="E659" s="86"/>
      <c r="F659" s="88"/>
      <c r="G659" s="88"/>
      <c r="H659" s="86"/>
      <c r="I659" s="197"/>
      <c r="J659" s="191">
        <f t="shared" si="21"/>
        <v>0</v>
      </c>
      <c r="K659" s="89" t="str">
        <f t="shared" si="22"/>
        <v/>
      </c>
      <c r="L659" s="86"/>
    </row>
    <row r="660" spans="1:12" x14ac:dyDescent="0.2">
      <c r="A660" s="194"/>
      <c r="B660" s="90"/>
      <c r="C660" s="90"/>
      <c r="D660" s="90"/>
      <c r="E660" s="90"/>
      <c r="F660" s="92"/>
      <c r="G660" s="92"/>
      <c r="H660" s="90"/>
      <c r="I660" s="195"/>
      <c r="J660" s="193">
        <f t="shared" si="21"/>
        <v>0</v>
      </c>
      <c r="K660" s="93" t="str">
        <f t="shared" si="22"/>
        <v/>
      </c>
      <c r="L660" s="90"/>
    </row>
    <row r="661" spans="1:12" x14ac:dyDescent="0.2">
      <c r="A661" s="196"/>
      <c r="B661" s="86"/>
      <c r="C661" s="86"/>
      <c r="D661" s="86"/>
      <c r="E661" s="86"/>
      <c r="F661" s="88"/>
      <c r="G661" s="88"/>
      <c r="H661" s="86"/>
      <c r="I661" s="197"/>
      <c r="J661" s="191">
        <f t="shared" si="21"/>
        <v>0</v>
      </c>
      <c r="K661" s="89" t="str">
        <f t="shared" si="22"/>
        <v/>
      </c>
      <c r="L661" s="86"/>
    </row>
    <row r="662" spans="1:12" x14ac:dyDescent="0.2">
      <c r="A662" s="194"/>
      <c r="B662" s="90"/>
      <c r="C662" s="90"/>
      <c r="D662" s="90"/>
      <c r="E662" s="90"/>
      <c r="F662" s="92"/>
      <c r="G662" s="92"/>
      <c r="H662" s="90"/>
      <c r="I662" s="195"/>
      <c r="J662" s="193">
        <f t="shared" si="21"/>
        <v>0</v>
      </c>
      <c r="K662" s="93" t="str">
        <f t="shared" si="22"/>
        <v/>
      </c>
      <c r="L662" s="90"/>
    </row>
    <row r="663" spans="1:12" x14ac:dyDescent="0.2">
      <c r="A663" s="196"/>
      <c r="B663" s="86"/>
      <c r="C663" s="86"/>
      <c r="D663" s="86"/>
      <c r="E663" s="86"/>
      <c r="F663" s="88"/>
      <c r="G663" s="88"/>
      <c r="H663" s="86"/>
      <c r="I663" s="197"/>
      <c r="J663" s="191">
        <f t="shared" si="21"/>
        <v>0</v>
      </c>
      <c r="K663" s="89" t="str">
        <f t="shared" si="22"/>
        <v/>
      </c>
      <c r="L663" s="86"/>
    </row>
    <row r="664" spans="1:12" x14ac:dyDescent="0.2">
      <c r="A664" s="194"/>
      <c r="B664" s="90"/>
      <c r="C664" s="90"/>
      <c r="D664" s="90"/>
      <c r="E664" s="90"/>
      <c r="F664" s="92"/>
      <c r="G664" s="92"/>
      <c r="H664" s="90"/>
      <c r="I664" s="195"/>
      <c r="J664" s="193">
        <f t="shared" si="21"/>
        <v>0</v>
      </c>
      <c r="K664" s="93" t="str">
        <f t="shared" si="22"/>
        <v/>
      </c>
      <c r="L664" s="90"/>
    </row>
    <row r="665" spans="1:12" x14ac:dyDescent="0.2">
      <c r="A665" s="196"/>
      <c r="B665" s="86"/>
      <c r="C665" s="86"/>
      <c r="D665" s="86"/>
      <c r="E665" s="86"/>
      <c r="F665" s="88"/>
      <c r="G665" s="88"/>
      <c r="H665" s="86"/>
      <c r="I665" s="197"/>
      <c r="J665" s="191">
        <f t="shared" si="21"/>
        <v>0</v>
      </c>
      <c r="K665" s="89" t="str">
        <f t="shared" si="22"/>
        <v/>
      </c>
      <c r="L665" s="86"/>
    </row>
    <row r="666" spans="1:12" x14ac:dyDescent="0.2">
      <c r="A666" s="194"/>
      <c r="B666" s="90"/>
      <c r="C666" s="90"/>
      <c r="D666" s="90"/>
      <c r="E666" s="90"/>
      <c r="F666" s="92"/>
      <c r="G666" s="92"/>
      <c r="H666" s="90"/>
      <c r="I666" s="195"/>
      <c r="J666" s="193">
        <f t="shared" si="21"/>
        <v>0</v>
      </c>
      <c r="K666" s="93" t="str">
        <f t="shared" si="22"/>
        <v/>
      </c>
      <c r="L666" s="90"/>
    </row>
    <row r="667" spans="1:12" x14ac:dyDescent="0.2">
      <c r="A667" s="196"/>
      <c r="B667" s="86"/>
      <c r="C667" s="86"/>
      <c r="D667" s="86"/>
      <c r="E667" s="86"/>
      <c r="F667" s="88"/>
      <c r="G667" s="88"/>
      <c r="H667" s="86"/>
      <c r="I667" s="197"/>
      <c r="J667" s="191">
        <f t="shared" si="21"/>
        <v>0</v>
      </c>
      <c r="K667" s="89" t="str">
        <f t="shared" si="22"/>
        <v/>
      </c>
      <c r="L667" s="86"/>
    </row>
    <row r="668" spans="1:12" x14ac:dyDescent="0.2">
      <c r="A668" s="194"/>
      <c r="B668" s="90"/>
      <c r="C668" s="90"/>
      <c r="D668" s="90"/>
      <c r="E668" s="90"/>
      <c r="F668" s="92"/>
      <c r="G668" s="92"/>
      <c r="H668" s="90"/>
      <c r="I668" s="195"/>
      <c r="J668" s="193">
        <f t="shared" si="21"/>
        <v>0</v>
      </c>
      <c r="K668" s="93" t="str">
        <f t="shared" si="22"/>
        <v/>
      </c>
      <c r="L668" s="90"/>
    </row>
    <row r="669" spans="1:12" x14ac:dyDescent="0.2">
      <c r="A669" s="196"/>
      <c r="B669" s="86"/>
      <c r="C669" s="86"/>
      <c r="D669" s="86"/>
      <c r="E669" s="86"/>
      <c r="F669" s="88"/>
      <c r="G669" s="88"/>
      <c r="H669" s="86"/>
      <c r="I669" s="197"/>
      <c r="J669" s="191">
        <f t="shared" si="21"/>
        <v>0</v>
      </c>
      <c r="K669" s="89" t="str">
        <f t="shared" si="22"/>
        <v/>
      </c>
      <c r="L669" s="86"/>
    </row>
    <row r="670" spans="1:12" x14ac:dyDescent="0.2">
      <c r="A670" s="194"/>
      <c r="B670" s="90"/>
      <c r="C670" s="90"/>
      <c r="D670" s="90"/>
      <c r="E670" s="90"/>
      <c r="F670" s="92"/>
      <c r="G670" s="92"/>
      <c r="H670" s="90"/>
      <c r="I670" s="195"/>
      <c r="J670" s="193">
        <f t="shared" si="21"/>
        <v>0</v>
      </c>
      <c r="K670" s="93" t="str">
        <f t="shared" si="22"/>
        <v/>
      </c>
      <c r="L670" s="90"/>
    </row>
    <row r="671" spans="1:12" x14ac:dyDescent="0.2">
      <c r="A671" s="196"/>
      <c r="B671" s="86"/>
      <c r="C671" s="86"/>
      <c r="D671" s="86"/>
      <c r="E671" s="86"/>
      <c r="F671" s="88"/>
      <c r="G671" s="88"/>
      <c r="H671" s="86"/>
      <c r="I671" s="197"/>
      <c r="J671" s="191">
        <f t="shared" si="21"/>
        <v>0</v>
      </c>
      <c r="K671" s="89" t="str">
        <f t="shared" si="22"/>
        <v/>
      </c>
      <c r="L671" s="86"/>
    </row>
    <row r="672" spans="1:12" x14ac:dyDescent="0.2">
      <c r="A672" s="194"/>
      <c r="B672" s="90"/>
      <c r="C672" s="90"/>
      <c r="D672" s="90"/>
      <c r="E672" s="90"/>
      <c r="F672" s="92"/>
      <c r="G672" s="92"/>
      <c r="H672" s="90"/>
      <c r="I672" s="195"/>
      <c r="J672" s="193">
        <f t="shared" si="21"/>
        <v>0</v>
      </c>
      <c r="K672" s="93" t="str">
        <f t="shared" si="22"/>
        <v/>
      </c>
      <c r="L672" s="90"/>
    </row>
    <row r="673" spans="1:12" x14ac:dyDescent="0.2">
      <c r="A673" s="196"/>
      <c r="B673" s="86"/>
      <c r="C673" s="86"/>
      <c r="D673" s="86"/>
      <c r="E673" s="86"/>
      <c r="F673" s="88"/>
      <c r="G673" s="88"/>
      <c r="H673" s="86"/>
      <c r="I673" s="197"/>
      <c r="J673" s="191">
        <f t="shared" si="21"/>
        <v>0</v>
      </c>
      <c r="K673" s="89" t="str">
        <f t="shared" si="22"/>
        <v/>
      </c>
      <c r="L673" s="86"/>
    </row>
    <row r="674" spans="1:12" x14ac:dyDescent="0.2">
      <c r="A674" s="194"/>
      <c r="B674" s="90"/>
      <c r="C674" s="90"/>
      <c r="D674" s="90"/>
      <c r="E674" s="90"/>
      <c r="F674" s="92"/>
      <c r="G674" s="92"/>
      <c r="H674" s="90"/>
      <c r="I674" s="195"/>
      <c r="J674" s="193">
        <f t="shared" si="21"/>
        <v>0</v>
      </c>
      <c r="K674" s="93" t="str">
        <f t="shared" si="22"/>
        <v/>
      </c>
      <c r="L674" s="90"/>
    </row>
    <row r="675" spans="1:12" x14ac:dyDescent="0.2">
      <c r="A675" s="196"/>
      <c r="B675" s="86"/>
      <c r="C675" s="86"/>
      <c r="D675" s="86"/>
      <c r="E675" s="86"/>
      <c r="F675" s="88"/>
      <c r="G675" s="88"/>
      <c r="H675" s="86"/>
      <c r="I675" s="197"/>
      <c r="J675" s="191">
        <f t="shared" si="21"/>
        <v>0</v>
      </c>
      <c r="K675" s="89" t="str">
        <f t="shared" si="22"/>
        <v/>
      </c>
      <c r="L675" s="86"/>
    </row>
    <row r="676" spans="1:12" x14ac:dyDescent="0.2">
      <c r="A676" s="194"/>
      <c r="B676" s="90"/>
      <c r="C676" s="90"/>
      <c r="D676" s="90"/>
      <c r="E676" s="90"/>
      <c r="F676" s="92"/>
      <c r="G676" s="92"/>
      <c r="H676" s="90"/>
      <c r="I676" s="195"/>
      <c r="J676" s="193">
        <f t="shared" si="21"/>
        <v>0</v>
      </c>
      <c r="K676" s="93" t="str">
        <f t="shared" si="22"/>
        <v/>
      </c>
      <c r="L676" s="90"/>
    </row>
    <row r="677" spans="1:12" x14ac:dyDescent="0.2">
      <c r="A677" s="196"/>
      <c r="B677" s="86"/>
      <c r="C677" s="86"/>
      <c r="D677" s="86"/>
      <c r="E677" s="86"/>
      <c r="F677" s="88"/>
      <c r="G677" s="88"/>
      <c r="H677" s="86"/>
      <c r="I677" s="197"/>
      <c r="J677" s="191">
        <f t="shared" si="21"/>
        <v>0</v>
      </c>
      <c r="K677" s="89" t="str">
        <f t="shared" si="22"/>
        <v/>
      </c>
      <c r="L677" s="86"/>
    </row>
    <row r="678" spans="1:12" x14ac:dyDescent="0.2">
      <c r="A678" s="194"/>
      <c r="B678" s="90"/>
      <c r="C678" s="90"/>
      <c r="D678" s="90"/>
      <c r="E678" s="90"/>
      <c r="F678" s="92"/>
      <c r="G678" s="92"/>
      <c r="H678" s="90"/>
      <c r="I678" s="195"/>
      <c r="J678" s="193">
        <f t="shared" si="21"/>
        <v>0</v>
      </c>
      <c r="K678" s="93" t="str">
        <f t="shared" si="22"/>
        <v/>
      </c>
      <c r="L678" s="90"/>
    </row>
    <row r="679" spans="1:12" x14ac:dyDescent="0.2">
      <c r="A679" s="196"/>
      <c r="B679" s="86"/>
      <c r="C679" s="86"/>
      <c r="D679" s="86"/>
      <c r="E679" s="86"/>
      <c r="F679" s="88"/>
      <c r="G679" s="88"/>
      <c r="H679" s="86"/>
      <c r="I679" s="197"/>
      <c r="J679" s="191">
        <f t="shared" si="21"/>
        <v>0</v>
      </c>
      <c r="K679" s="89" t="str">
        <f t="shared" si="22"/>
        <v/>
      </c>
      <c r="L679" s="86"/>
    </row>
    <row r="680" spans="1:12" x14ac:dyDescent="0.2">
      <c r="A680" s="194"/>
      <c r="B680" s="90"/>
      <c r="C680" s="90"/>
      <c r="D680" s="90"/>
      <c r="E680" s="90"/>
      <c r="F680" s="92"/>
      <c r="G680" s="92"/>
      <c r="H680" s="90"/>
      <c r="I680" s="195"/>
      <c r="J680" s="193">
        <f t="shared" si="21"/>
        <v>0</v>
      </c>
      <c r="K680" s="93" t="str">
        <f t="shared" si="22"/>
        <v/>
      </c>
      <c r="L680" s="90"/>
    </row>
    <row r="681" spans="1:12" x14ac:dyDescent="0.2">
      <c r="A681" s="196"/>
      <c r="B681" s="86"/>
      <c r="C681" s="86"/>
      <c r="D681" s="86"/>
      <c r="E681" s="86"/>
      <c r="F681" s="88"/>
      <c r="G681" s="88"/>
      <c r="H681" s="86"/>
      <c r="I681" s="197"/>
      <c r="J681" s="191">
        <f t="shared" si="21"/>
        <v>0</v>
      </c>
      <c r="K681" s="89" t="str">
        <f t="shared" si="22"/>
        <v/>
      </c>
      <c r="L681" s="86"/>
    </row>
    <row r="682" spans="1:12" x14ac:dyDescent="0.2">
      <c r="A682" s="194"/>
      <c r="B682" s="90"/>
      <c r="C682" s="90"/>
      <c r="D682" s="90"/>
      <c r="E682" s="90"/>
      <c r="F682" s="92"/>
      <c r="G682" s="92"/>
      <c r="H682" s="90"/>
      <c r="I682" s="195"/>
      <c r="J682" s="193">
        <f t="shared" si="21"/>
        <v>0</v>
      </c>
      <c r="K682" s="93" t="str">
        <f t="shared" si="22"/>
        <v/>
      </c>
      <c r="L682" s="90"/>
    </row>
    <row r="683" spans="1:12" x14ac:dyDescent="0.2">
      <c r="A683" s="196"/>
      <c r="B683" s="86"/>
      <c r="C683" s="86"/>
      <c r="D683" s="86"/>
      <c r="E683" s="86"/>
      <c r="F683" s="88"/>
      <c r="G683" s="88"/>
      <c r="H683" s="86"/>
      <c r="I683" s="197"/>
      <c r="J683" s="191">
        <f t="shared" si="21"/>
        <v>0</v>
      </c>
      <c r="K683" s="89" t="str">
        <f t="shared" si="22"/>
        <v/>
      </c>
      <c r="L683" s="86"/>
    </row>
    <row r="684" spans="1:12" x14ac:dyDescent="0.2">
      <c r="A684" s="194"/>
      <c r="B684" s="90"/>
      <c r="C684" s="90"/>
      <c r="D684" s="90"/>
      <c r="E684" s="90"/>
      <c r="F684" s="92"/>
      <c r="G684" s="92"/>
      <c r="H684" s="90"/>
      <c r="I684" s="195"/>
      <c r="J684" s="193">
        <f t="shared" si="21"/>
        <v>0</v>
      </c>
      <c r="K684" s="93" t="str">
        <f t="shared" si="22"/>
        <v/>
      </c>
      <c r="L684" s="90"/>
    </row>
    <row r="685" spans="1:12" x14ac:dyDescent="0.2">
      <c r="A685" s="196"/>
      <c r="B685" s="86"/>
      <c r="C685" s="86"/>
      <c r="D685" s="86"/>
      <c r="E685" s="86"/>
      <c r="F685" s="88"/>
      <c r="G685" s="88"/>
      <c r="H685" s="86"/>
      <c r="I685" s="197"/>
      <c r="J685" s="191">
        <f t="shared" si="21"/>
        <v>0</v>
      </c>
      <c r="K685" s="89" t="str">
        <f t="shared" si="22"/>
        <v/>
      </c>
      <c r="L685" s="86"/>
    </row>
    <row r="686" spans="1:12" x14ac:dyDescent="0.2">
      <c r="A686" s="194"/>
      <c r="B686" s="90"/>
      <c r="C686" s="90"/>
      <c r="D686" s="90"/>
      <c r="E686" s="90"/>
      <c r="F686" s="92"/>
      <c r="G686" s="92"/>
      <c r="H686" s="90"/>
      <c r="I686" s="195"/>
      <c r="J686" s="193">
        <f t="shared" si="21"/>
        <v>0</v>
      </c>
      <c r="K686" s="93" t="str">
        <f t="shared" si="22"/>
        <v/>
      </c>
      <c r="L686" s="90"/>
    </row>
    <row r="687" spans="1:12" x14ac:dyDescent="0.2">
      <c r="A687" s="196"/>
      <c r="B687" s="86"/>
      <c r="C687" s="86"/>
      <c r="D687" s="86"/>
      <c r="E687" s="86"/>
      <c r="F687" s="88"/>
      <c r="G687" s="88"/>
      <c r="H687" s="86"/>
      <c r="I687" s="197"/>
      <c r="J687" s="191">
        <f t="shared" si="21"/>
        <v>0</v>
      </c>
      <c r="K687" s="89" t="str">
        <f t="shared" si="22"/>
        <v/>
      </c>
      <c r="L687" s="86"/>
    </row>
    <row r="688" spans="1:12" x14ac:dyDescent="0.2">
      <c r="A688" s="194"/>
      <c r="B688" s="90"/>
      <c r="C688" s="90"/>
      <c r="D688" s="90"/>
      <c r="E688" s="90"/>
      <c r="F688" s="92"/>
      <c r="G688" s="92"/>
      <c r="H688" s="90"/>
      <c r="I688" s="195"/>
      <c r="J688" s="193">
        <f t="shared" si="21"/>
        <v>0</v>
      </c>
      <c r="K688" s="93" t="str">
        <f t="shared" si="22"/>
        <v/>
      </c>
      <c r="L688" s="90"/>
    </row>
    <row r="689" spans="1:12" x14ac:dyDescent="0.2">
      <c r="A689" s="196"/>
      <c r="B689" s="86"/>
      <c r="C689" s="86"/>
      <c r="D689" s="86"/>
      <c r="E689" s="86"/>
      <c r="F689" s="88"/>
      <c r="G689" s="88"/>
      <c r="H689" s="86"/>
      <c r="I689" s="197"/>
      <c r="J689" s="191">
        <f t="shared" si="21"/>
        <v>0</v>
      </c>
      <c r="K689" s="89" t="str">
        <f t="shared" si="22"/>
        <v/>
      </c>
      <c r="L689" s="86"/>
    </row>
    <row r="690" spans="1:12" x14ac:dyDescent="0.2">
      <c r="A690" s="194"/>
      <c r="B690" s="90"/>
      <c r="C690" s="90"/>
      <c r="D690" s="90"/>
      <c r="E690" s="90"/>
      <c r="F690" s="92"/>
      <c r="G690" s="92"/>
      <c r="H690" s="90"/>
      <c r="I690" s="195"/>
      <c r="J690" s="193">
        <f t="shared" si="21"/>
        <v>0</v>
      </c>
      <c r="K690" s="93" t="str">
        <f t="shared" si="22"/>
        <v/>
      </c>
      <c r="L690" s="90"/>
    </row>
    <row r="691" spans="1:12" x14ac:dyDescent="0.2">
      <c r="A691" s="196"/>
      <c r="B691" s="86"/>
      <c r="C691" s="86"/>
      <c r="D691" s="86"/>
      <c r="E691" s="86"/>
      <c r="F691" s="88"/>
      <c r="G691" s="88"/>
      <c r="H691" s="86"/>
      <c r="I691" s="197"/>
      <c r="J691" s="191">
        <f t="shared" si="21"/>
        <v>0</v>
      </c>
      <c r="K691" s="89" t="str">
        <f t="shared" si="22"/>
        <v/>
      </c>
      <c r="L691" s="86"/>
    </row>
    <row r="692" spans="1:12" x14ac:dyDescent="0.2">
      <c r="A692" s="194"/>
      <c r="B692" s="90"/>
      <c r="C692" s="90"/>
      <c r="D692" s="90"/>
      <c r="E692" s="90"/>
      <c r="F692" s="92"/>
      <c r="G692" s="92"/>
      <c r="H692" s="90"/>
      <c r="I692" s="195"/>
      <c r="J692" s="193">
        <f t="shared" si="21"/>
        <v>0</v>
      </c>
      <c r="K692" s="93" t="str">
        <f t="shared" si="22"/>
        <v/>
      </c>
      <c r="L692" s="90"/>
    </row>
    <row r="693" spans="1:12" x14ac:dyDescent="0.2">
      <c r="A693" s="196"/>
      <c r="B693" s="86"/>
      <c r="C693" s="86"/>
      <c r="D693" s="86"/>
      <c r="E693" s="86"/>
      <c r="F693" s="88"/>
      <c r="G693" s="88"/>
      <c r="H693" s="86"/>
      <c r="I693" s="197"/>
      <c r="J693" s="191">
        <f t="shared" si="21"/>
        <v>0</v>
      </c>
      <c r="K693" s="89" t="str">
        <f t="shared" si="22"/>
        <v/>
      </c>
      <c r="L693" s="86"/>
    </row>
    <row r="694" spans="1:12" x14ac:dyDescent="0.2">
      <c r="A694" s="194"/>
      <c r="B694" s="90"/>
      <c r="C694" s="90"/>
      <c r="D694" s="90"/>
      <c r="E694" s="90"/>
      <c r="F694" s="92"/>
      <c r="G694" s="92"/>
      <c r="H694" s="90"/>
      <c r="I694" s="195"/>
      <c r="J694" s="193">
        <f t="shared" si="21"/>
        <v>0</v>
      </c>
      <c r="K694" s="93" t="str">
        <f t="shared" si="22"/>
        <v/>
      </c>
      <c r="L694" s="90"/>
    </row>
    <row r="695" spans="1:12" x14ac:dyDescent="0.2">
      <c r="A695" s="196"/>
      <c r="B695" s="86"/>
      <c r="C695" s="86"/>
      <c r="D695" s="86"/>
      <c r="E695" s="86"/>
      <c r="F695" s="88"/>
      <c r="G695" s="88"/>
      <c r="H695" s="86"/>
      <c r="I695" s="197"/>
      <c r="J695" s="191">
        <f t="shared" si="21"/>
        <v>0</v>
      </c>
      <c r="K695" s="89" t="str">
        <f t="shared" si="22"/>
        <v/>
      </c>
      <c r="L695" s="86"/>
    </row>
    <row r="696" spans="1:12" x14ac:dyDescent="0.2">
      <c r="A696" s="194"/>
      <c r="B696" s="90"/>
      <c r="C696" s="90"/>
      <c r="D696" s="90"/>
      <c r="E696" s="90"/>
      <c r="F696" s="92"/>
      <c r="G696" s="92"/>
      <c r="H696" s="90"/>
      <c r="I696" s="195"/>
      <c r="J696" s="193">
        <f t="shared" si="21"/>
        <v>0</v>
      </c>
      <c r="K696" s="93" t="str">
        <f t="shared" si="22"/>
        <v/>
      </c>
      <c r="L696" s="90"/>
    </row>
    <row r="697" spans="1:12" x14ac:dyDescent="0.2">
      <c r="A697" s="196"/>
      <c r="B697" s="86"/>
      <c r="C697" s="86"/>
      <c r="D697" s="86"/>
      <c r="E697" s="86"/>
      <c r="F697" s="88"/>
      <c r="G697" s="88"/>
      <c r="H697" s="86"/>
      <c r="I697" s="197"/>
      <c r="J697" s="191">
        <f t="shared" si="21"/>
        <v>0</v>
      </c>
      <c r="K697" s="89" t="str">
        <f t="shared" si="22"/>
        <v/>
      </c>
      <c r="L697" s="86"/>
    </row>
    <row r="698" spans="1:12" x14ac:dyDescent="0.2">
      <c r="A698" s="194"/>
      <c r="B698" s="90"/>
      <c r="C698" s="90"/>
      <c r="D698" s="90"/>
      <c r="E698" s="90"/>
      <c r="F698" s="92"/>
      <c r="G698" s="92"/>
      <c r="H698" s="90"/>
      <c r="I698" s="195"/>
      <c r="J698" s="193">
        <f t="shared" si="21"/>
        <v>0</v>
      </c>
      <c r="K698" s="93" t="str">
        <f t="shared" si="22"/>
        <v/>
      </c>
      <c r="L698" s="90"/>
    </row>
    <row r="699" spans="1:12" x14ac:dyDescent="0.2">
      <c r="A699" s="196"/>
      <c r="B699" s="86"/>
      <c r="C699" s="86"/>
      <c r="D699" s="86"/>
      <c r="E699" s="86"/>
      <c r="F699" s="88"/>
      <c r="G699" s="88"/>
      <c r="H699" s="86"/>
      <c r="I699" s="197"/>
      <c r="J699" s="191">
        <f t="shared" si="21"/>
        <v>0</v>
      </c>
      <c r="K699" s="89" t="str">
        <f t="shared" si="22"/>
        <v/>
      </c>
      <c r="L699" s="86"/>
    </row>
    <row r="700" spans="1:12" x14ac:dyDescent="0.2">
      <c r="A700" s="194"/>
      <c r="B700" s="90"/>
      <c r="C700" s="90"/>
      <c r="D700" s="90"/>
      <c r="E700" s="90"/>
      <c r="F700" s="92"/>
      <c r="G700" s="92"/>
      <c r="H700" s="90"/>
      <c r="I700" s="195"/>
      <c r="J700" s="193">
        <f t="shared" si="21"/>
        <v>0</v>
      </c>
      <c r="K700" s="93" t="str">
        <f t="shared" si="22"/>
        <v/>
      </c>
      <c r="L700" s="90"/>
    </row>
    <row r="701" spans="1:12" x14ac:dyDescent="0.2">
      <c r="A701" s="196"/>
      <c r="B701" s="86"/>
      <c r="C701" s="86"/>
      <c r="D701" s="86"/>
      <c r="E701" s="86"/>
      <c r="F701" s="88"/>
      <c r="G701" s="88"/>
      <c r="H701" s="86"/>
      <c r="I701" s="197"/>
      <c r="J701" s="191">
        <f t="shared" si="21"/>
        <v>0</v>
      </c>
      <c r="K701" s="89" t="str">
        <f t="shared" si="22"/>
        <v/>
      </c>
      <c r="L701" s="86"/>
    </row>
    <row r="702" spans="1:12" x14ac:dyDescent="0.2">
      <c r="A702" s="194"/>
      <c r="B702" s="90"/>
      <c r="C702" s="90"/>
      <c r="D702" s="90"/>
      <c r="E702" s="90"/>
      <c r="F702" s="92"/>
      <c r="G702" s="92"/>
      <c r="H702" s="90"/>
      <c r="I702" s="195"/>
      <c r="J702" s="193">
        <f t="shared" si="21"/>
        <v>0</v>
      </c>
      <c r="K702" s="93" t="str">
        <f t="shared" si="22"/>
        <v/>
      </c>
      <c r="L702" s="90"/>
    </row>
    <row r="703" spans="1:12" x14ac:dyDescent="0.2">
      <c r="A703" s="196"/>
      <c r="B703" s="86"/>
      <c r="C703" s="86"/>
      <c r="D703" s="86"/>
      <c r="E703" s="86"/>
      <c r="F703" s="88"/>
      <c r="G703" s="88"/>
      <c r="H703" s="86"/>
      <c r="I703" s="197"/>
      <c r="J703" s="191">
        <f t="shared" si="21"/>
        <v>0</v>
      </c>
      <c r="K703" s="89" t="str">
        <f t="shared" si="22"/>
        <v/>
      </c>
      <c r="L703" s="86"/>
    </row>
    <row r="704" spans="1:12" x14ac:dyDescent="0.2">
      <c r="A704" s="194"/>
      <c r="B704" s="90"/>
      <c r="C704" s="90"/>
      <c r="D704" s="90"/>
      <c r="E704" s="90"/>
      <c r="F704" s="92"/>
      <c r="G704" s="92"/>
      <c r="H704" s="90"/>
      <c r="I704" s="195"/>
      <c r="J704" s="193">
        <f t="shared" si="21"/>
        <v>0</v>
      </c>
      <c r="K704" s="93" t="str">
        <f t="shared" si="22"/>
        <v/>
      </c>
      <c r="L704" s="90"/>
    </row>
    <row r="705" spans="1:12" x14ac:dyDescent="0.2">
      <c r="A705" s="196"/>
      <c r="B705" s="86"/>
      <c r="C705" s="86"/>
      <c r="D705" s="86"/>
      <c r="E705" s="86"/>
      <c r="F705" s="88"/>
      <c r="G705" s="88"/>
      <c r="H705" s="86"/>
      <c r="I705" s="197"/>
      <c r="J705" s="191">
        <f t="shared" si="21"/>
        <v>0</v>
      </c>
      <c r="K705" s="89" t="str">
        <f t="shared" si="22"/>
        <v/>
      </c>
      <c r="L705" s="86"/>
    </row>
    <row r="706" spans="1:12" x14ac:dyDescent="0.2">
      <c r="A706" s="194"/>
      <c r="B706" s="90"/>
      <c r="C706" s="90"/>
      <c r="D706" s="90"/>
      <c r="E706" s="90"/>
      <c r="F706" s="92"/>
      <c r="G706" s="92"/>
      <c r="H706" s="90"/>
      <c r="I706" s="195"/>
      <c r="J706" s="193">
        <f t="shared" si="21"/>
        <v>0</v>
      </c>
      <c r="K706" s="93" t="str">
        <f t="shared" si="22"/>
        <v/>
      </c>
      <c r="L706" s="90"/>
    </row>
    <row r="707" spans="1:12" x14ac:dyDescent="0.2">
      <c r="A707" s="196"/>
      <c r="B707" s="86"/>
      <c r="C707" s="86"/>
      <c r="D707" s="86"/>
      <c r="E707" s="86"/>
      <c r="F707" s="88"/>
      <c r="G707" s="88"/>
      <c r="H707" s="86"/>
      <c r="I707" s="197"/>
      <c r="J707" s="191">
        <f t="shared" si="21"/>
        <v>0</v>
      </c>
      <c r="K707" s="89" t="str">
        <f t="shared" si="22"/>
        <v/>
      </c>
      <c r="L707" s="86"/>
    </row>
    <row r="708" spans="1:12" x14ac:dyDescent="0.2">
      <c r="A708" s="194"/>
      <c r="B708" s="90"/>
      <c r="C708" s="90"/>
      <c r="D708" s="90"/>
      <c r="E708" s="90"/>
      <c r="F708" s="92"/>
      <c r="G708" s="92"/>
      <c r="H708" s="90"/>
      <c r="I708" s="195"/>
      <c r="J708" s="193">
        <f t="shared" si="21"/>
        <v>0</v>
      </c>
      <c r="K708" s="93" t="str">
        <f t="shared" si="22"/>
        <v/>
      </c>
      <c r="L708" s="90"/>
    </row>
    <row r="709" spans="1:12" x14ac:dyDescent="0.2">
      <c r="A709" s="196"/>
      <c r="B709" s="86"/>
      <c r="C709" s="86"/>
      <c r="D709" s="86"/>
      <c r="E709" s="86"/>
      <c r="F709" s="88"/>
      <c r="G709" s="88"/>
      <c r="H709" s="86"/>
      <c r="I709" s="197"/>
      <c r="J709" s="191">
        <f t="shared" ref="J709:J772" si="23">IFERROR(F709-E709-G709-H709-I709,"")</f>
        <v>0</v>
      </c>
      <c r="K709" s="89" t="str">
        <f t="shared" ref="K709:K772" si="24">IFERROR(J709/F709,"")</f>
        <v/>
      </c>
      <c r="L709" s="86"/>
    </row>
    <row r="710" spans="1:12" x14ac:dyDescent="0.2">
      <c r="A710" s="194"/>
      <c r="B710" s="90"/>
      <c r="C710" s="90"/>
      <c r="D710" s="90"/>
      <c r="E710" s="90"/>
      <c r="F710" s="92"/>
      <c r="G710" s="92"/>
      <c r="H710" s="90"/>
      <c r="I710" s="195"/>
      <c r="J710" s="193">
        <f t="shared" si="23"/>
        <v>0</v>
      </c>
      <c r="K710" s="93" t="str">
        <f t="shared" si="24"/>
        <v/>
      </c>
      <c r="L710" s="90"/>
    </row>
    <row r="711" spans="1:12" x14ac:dyDescent="0.2">
      <c r="A711" s="196"/>
      <c r="B711" s="86"/>
      <c r="C711" s="86"/>
      <c r="D711" s="86"/>
      <c r="E711" s="86"/>
      <c r="F711" s="88"/>
      <c r="G711" s="88"/>
      <c r="H711" s="86"/>
      <c r="I711" s="197"/>
      <c r="J711" s="191">
        <f t="shared" si="23"/>
        <v>0</v>
      </c>
      <c r="K711" s="89" t="str">
        <f t="shared" si="24"/>
        <v/>
      </c>
      <c r="L711" s="86"/>
    </row>
    <row r="712" spans="1:12" x14ac:dyDescent="0.2">
      <c r="A712" s="194"/>
      <c r="B712" s="90"/>
      <c r="C712" s="90"/>
      <c r="D712" s="90"/>
      <c r="E712" s="90"/>
      <c r="F712" s="92"/>
      <c r="G712" s="92"/>
      <c r="H712" s="90"/>
      <c r="I712" s="195"/>
      <c r="J712" s="193">
        <f t="shared" si="23"/>
        <v>0</v>
      </c>
      <c r="K712" s="93" t="str">
        <f t="shared" si="24"/>
        <v/>
      </c>
      <c r="L712" s="90"/>
    </row>
    <row r="713" spans="1:12" x14ac:dyDescent="0.2">
      <c r="A713" s="196"/>
      <c r="B713" s="86"/>
      <c r="C713" s="86"/>
      <c r="D713" s="86"/>
      <c r="E713" s="86"/>
      <c r="F713" s="88"/>
      <c r="G713" s="88"/>
      <c r="H713" s="86"/>
      <c r="I713" s="197"/>
      <c r="J713" s="191">
        <f t="shared" si="23"/>
        <v>0</v>
      </c>
      <c r="K713" s="89" t="str">
        <f t="shared" si="24"/>
        <v/>
      </c>
      <c r="L713" s="86"/>
    </row>
    <row r="714" spans="1:12" x14ac:dyDescent="0.2">
      <c r="A714" s="194"/>
      <c r="B714" s="90"/>
      <c r="C714" s="90"/>
      <c r="D714" s="90"/>
      <c r="E714" s="90"/>
      <c r="F714" s="92"/>
      <c r="G714" s="92"/>
      <c r="H714" s="90"/>
      <c r="I714" s="195"/>
      <c r="J714" s="193">
        <f t="shared" si="23"/>
        <v>0</v>
      </c>
      <c r="K714" s="93" t="str">
        <f t="shared" si="24"/>
        <v/>
      </c>
      <c r="L714" s="90"/>
    </row>
  </sheetData>
  <mergeCells count="2">
    <mergeCell ref="A2:L2"/>
    <mergeCell ref="A1:L1"/>
  </mergeCells>
  <conditionalFormatting sqref="K5:K204">
    <cfRule type="cellIs" dxfId="19" priority="2" operator="lessThan">
      <formula>0.15</formula>
    </cfRule>
    <cfRule type="cellIs" dxfId="18" priority="3" operator="greaterThan">
      <formula>0.35</formula>
    </cfRule>
  </conditionalFormatting>
  <conditionalFormatting sqref="K5:K714">
    <cfRule type="cellIs" dxfId="17" priority="4" operator="greaterThanOrEqual">
      <formula>0.5</formula>
    </cfRule>
    <cfRule type="cellIs" dxfId="16" priority="4" operator="between">
      <formula>0.3</formula>
      <formula>0.4999</formula>
    </cfRule>
    <cfRule type="cellIs" dxfId="15" priority="5" operator="lessThan">
      <formula>0.3</formula>
    </cfRule>
  </conditionalFormatting>
  <dataValidations count="1">
    <dataValidation type="list" allowBlank="1" sqref="B5:B204" xr:uid="{00000000-0002-0000-0600-000000000000}">
      <formula1>"eBay,Whatnot,COLLX,FB Marketplace,COMC,DcSports87 Direct,Other"</formula1>
      <formula2>0</formula2>
    </dataValidation>
  </dataValidations>
  <hyperlinks>
    <hyperlink ref="A1" location="'Start Here'!A1" display="🏠 Start Here" xr:uid="{00000000-0004-0000-0600-000000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00"/>
  <sheetViews>
    <sheetView showGridLines="0" zoomScaleNormal="100" workbookViewId="0">
      <pane ySplit="4" topLeftCell="A5" activePane="bottomLeft" state="frozen"/>
      <selection pane="bottomLeft" activeCell="C17" sqref="C17"/>
    </sheetView>
  </sheetViews>
  <sheetFormatPr baseColWidth="10" defaultColWidth="8.6640625" defaultRowHeight="15" x14ac:dyDescent="0.2"/>
  <cols>
    <col min="1" max="1" width="14" customWidth="1"/>
    <col min="2" max="2" width="16" customWidth="1"/>
    <col min="3" max="3" width="10" customWidth="1"/>
    <col min="4" max="4" width="15" customWidth="1"/>
    <col min="5" max="5" width="22" customWidth="1"/>
    <col min="6" max="6" width="15" customWidth="1"/>
    <col min="7" max="7" width="16" customWidth="1"/>
    <col min="8" max="8" width="14" customWidth="1"/>
    <col min="9" max="9" width="16" customWidth="1"/>
    <col min="10" max="10" width="14" customWidth="1"/>
  </cols>
  <sheetData>
    <row r="1" spans="1:10" ht="24" customHeight="1" x14ac:dyDescent="0.2">
      <c r="A1" s="435" t="s">
        <v>118</v>
      </c>
      <c r="B1" s="395"/>
      <c r="C1" s="395"/>
      <c r="D1" s="395"/>
      <c r="E1" s="395"/>
      <c r="F1" s="395"/>
      <c r="G1" s="395"/>
      <c r="H1" s="395"/>
      <c r="I1" s="395"/>
      <c r="J1" s="395"/>
    </row>
    <row r="2" spans="1:10" ht="18" customHeight="1" x14ac:dyDescent="0.2">
      <c r="A2" s="426" t="s">
        <v>477</v>
      </c>
      <c r="B2" s="395"/>
      <c r="C2" s="395"/>
      <c r="D2" s="395"/>
      <c r="E2" s="395"/>
      <c r="F2" s="395"/>
      <c r="G2" s="395"/>
      <c r="H2" s="395"/>
      <c r="I2" s="395"/>
      <c r="J2" s="395"/>
    </row>
    <row r="3" spans="1:10" x14ac:dyDescent="0.2">
      <c r="A3" s="198" t="s">
        <v>140</v>
      </c>
      <c r="B3" s="41"/>
      <c r="C3" s="199">
        <f>SUM(C5:C104)</f>
        <v>0</v>
      </c>
      <c r="D3" s="41"/>
      <c r="E3" s="41"/>
      <c r="F3" s="41"/>
      <c r="G3" s="200">
        <f>SUM(G5:G104)</f>
        <v>0</v>
      </c>
      <c r="H3" s="200">
        <f>SUM(H5:H104)</f>
        <v>0</v>
      </c>
      <c r="I3" s="200">
        <f>SUM(I5:I104)</f>
        <v>0</v>
      </c>
      <c r="J3" s="200" t="str">
        <f>IFERROR(I3/C3,"")</f>
        <v/>
      </c>
    </row>
    <row r="4" spans="1:10" ht="24" customHeight="1" x14ac:dyDescent="0.2">
      <c r="A4" s="46" t="s">
        <v>478</v>
      </c>
      <c r="B4" s="46" t="s">
        <v>479</v>
      </c>
      <c r="C4" s="46" t="s">
        <v>480</v>
      </c>
      <c r="D4" s="46" t="s">
        <v>481</v>
      </c>
      <c r="E4" s="46" t="s">
        <v>482</v>
      </c>
      <c r="F4" s="46" t="s">
        <v>483</v>
      </c>
      <c r="G4" s="46" t="s">
        <v>484</v>
      </c>
      <c r="H4" s="46" t="s">
        <v>485</v>
      </c>
      <c r="I4" s="46" t="s">
        <v>486</v>
      </c>
      <c r="J4" s="46" t="s">
        <v>487</v>
      </c>
    </row>
    <row r="5" spans="1:10" ht="16" customHeight="1" x14ac:dyDescent="0.2">
      <c r="A5" s="201"/>
      <c r="B5" s="179"/>
      <c r="C5" s="202"/>
      <c r="D5" s="203"/>
      <c r="E5" s="180"/>
      <c r="F5" s="201"/>
      <c r="G5" s="203"/>
      <c r="H5" s="203"/>
      <c r="I5" s="78">
        <f t="shared" ref="I5:I36" si="0">IFERROR(G5-H5,"")</f>
        <v>0</v>
      </c>
      <c r="J5" s="78" t="str">
        <f t="shared" ref="J5:J36" si="1">IFERROR(I5/C5,"")</f>
        <v/>
      </c>
    </row>
    <row r="6" spans="1:10" ht="16" customHeight="1" x14ac:dyDescent="0.2">
      <c r="A6" s="183"/>
      <c r="B6" s="174"/>
      <c r="C6" s="189"/>
      <c r="D6" s="186"/>
      <c r="E6" s="175"/>
      <c r="F6" s="183"/>
      <c r="G6" s="186"/>
      <c r="H6" s="186"/>
      <c r="I6" s="69">
        <f t="shared" si="0"/>
        <v>0</v>
      </c>
      <c r="J6" s="69" t="str">
        <f t="shared" si="1"/>
        <v/>
      </c>
    </row>
    <row r="7" spans="1:10" ht="16" customHeight="1" x14ac:dyDescent="0.2">
      <c r="A7" s="201"/>
      <c r="B7" s="179"/>
      <c r="C7" s="202"/>
      <c r="D7" s="203"/>
      <c r="E7" s="180"/>
      <c r="F7" s="201"/>
      <c r="G7" s="203"/>
      <c r="H7" s="203"/>
      <c r="I7" s="78">
        <f t="shared" si="0"/>
        <v>0</v>
      </c>
      <c r="J7" s="78" t="str">
        <f t="shared" si="1"/>
        <v/>
      </c>
    </row>
    <row r="8" spans="1:10" ht="16" customHeight="1" x14ac:dyDescent="0.2">
      <c r="A8" s="183"/>
      <c r="B8" s="174"/>
      <c r="C8" s="189"/>
      <c r="D8" s="186"/>
      <c r="E8" s="175"/>
      <c r="F8" s="183"/>
      <c r="G8" s="186"/>
      <c r="H8" s="186"/>
      <c r="I8" s="69">
        <f t="shared" si="0"/>
        <v>0</v>
      </c>
      <c r="J8" s="69" t="str">
        <f t="shared" si="1"/>
        <v/>
      </c>
    </row>
    <row r="9" spans="1:10" ht="16" customHeight="1" x14ac:dyDescent="0.2">
      <c r="A9" s="201"/>
      <c r="B9" s="179"/>
      <c r="C9" s="202"/>
      <c r="D9" s="203"/>
      <c r="E9" s="180"/>
      <c r="F9" s="201"/>
      <c r="G9" s="203"/>
      <c r="H9" s="203"/>
      <c r="I9" s="78">
        <f t="shared" si="0"/>
        <v>0</v>
      </c>
      <c r="J9" s="78" t="str">
        <f t="shared" si="1"/>
        <v/>
      </c>
    </row>
    <row r="10" spans="1:10" ht="16" customHeight="1" x14ac:dyDescent="0.2">
      <c r="A10" s="183"/>
      <c r="B10" s="174"/>
      <c r="C10" s="189"/>
      <c r="D10" s="186"/>
      <c r="E10" s="175"/>
      <c r="F10" s="183"/>
      <c r="G10" s="186"/>
      <c r="H10" s="186"/>
      <c r="I10" s="69">
        <f t="shared" si="0"/>
        <v>0</v>
      </c>
      <c r="J10" s="69" t="str">
        <f t="shared" si="1"/>
        <v/>
      </c>
    </row>
    <row r="11" spans="1:10" ht="16" customHeight="1" x14ac:dyDescent="0.2">
      <c r="A11" s="201"/>
      <c r="B11" s="179"/>
      <c r="C11" s="202"/>
      <c r="D11" s="203"/>
      <c r="E11" s="180"/>
      <c r="F11" s="201"/>
      <c r="G11" s="203"/>
      <c r="H11" s="203"/>
      <c r="I11" s="78">
        <f t="shared" si="0"/>
        <v>0</v>
      </c>
      <c r="J11" s="78" t="str">
        <f t="shared" si="1"/>
        <v/>
      </c>
    </row>
    <row r="12" spans="1:10" ht="16" customHeight="1" x14ac:dyDescent="0.2">
      <c r="A12" s="183"/>
      <c r="B12" s="174"/>
      <c r="C12" s="189"/>
      <c r="D12" s="186"/>
      <c r="E12" s="175"/>
      <c r="F12" s="183"/>
      <c r="G12" s="186"/>
      <c r="H12" s="186"/>
      <c r="I12" s="69">
        <f t="shared" si="0"/>
        <v>0</v>
      </c>
      <c r="J12" s="69" t="str">
        <f t="shared" si="1"/>
        <v/>
      </c>
    </row>
    <row r="13" spans="1:10" ht="16" customHeight="1" x14ac:dyDescent="0.2">
      <c r="A13" s="201"/>
      <c r="B13" s="179"/>
      <c r="C13" s="202"/>
      <c r="D13" s="203"/>
      <c r="E13" s="180"/>
      <c r="F13" s="201"/>
      <c r="G13" s="203"/>
      <c r="H13" s="203"/>
      <c r="I13" s="78">
        <f t="shared" si="0"/>
        <v>0</v>
      </c>
      <c r="J13" s="78" t="str">
        <f t="shared" si="1"/>
        <v/>
      </c>
    </row>
    <row r="14" spans="1:10" ht="16" customHeight="1" x14ac:dyDescent="0.2">
      <c r="A14" s="183"/>
      <c r="B14" s="174"/>
      <c r="C14" s="189"/>
      <c r="D14" s="186"/>
      <c r="E14" s="175"/>
      <c r="F14" s="183"/>
      <c r="G14" s="186"/>
      <c r="H14" s="186"/>
      <c r="I14" s="69">
        <f t="shared" si="0"/>
        <v>0</v>
      </c>
      <c r="J14" s="69" t="str">
        <f t="shared" si="1"/>
        <v/>
      </c>
    </row>
    <row r="15" spans="1:10" ht="16" customHeight="1" x14ac:dyDescent="0.2">
      <c r="A15" s="201"/>
      <c r="B15" s="179"/>
      <c r="C15" s="202"/>
      <c r="D15" s="203"/>
      <c r="E15" s="180"/>
      <c r="F15" s="201"/>
      <c r="G15" s="203"/>
      <c r="H15" s="203"/>
      <c r="I15" s="78">
        <f t="shared" si="0"/>
        <v>0</v>
      </c>
      <c r="J15" s="78" t="str">
        <f t="shared" si="1"/>
        <v/>
      </c>
    </row>
    <row r="16" spans="1:10" ht="16" customHeight="1" x14ac:dyDescent="0.2">
      <c r="A16" s="183"/>
      <c r="B16" s="174"/>
      <c r="C16" s="189"/>
      <c r="D16" s="186"/>
      <c r="E16" s="175"/>
      <c r="F16" s="183"/>
      <c r="G16" s="186"/>
      <c r="H16" s="186"/>
      <c r="I16" s="69">
        <f t="shared" si="0"/>
        <v>0</v>
      </c>
      <c r="J16" s="69" t="str">
        <f t="shared" si="1"/>
        <v/>
      </c>
    </row>
    <row r="17" spans="1:10" ht="16" customHeight="1" x14ac:dyDescent="0.2">
      <c r="A17" s="201"/>
      <c r="B17" s="179"/>
      <c r="C17" s="202"/>
      <c r="D17" s="203"/>
      <c r="E17" s="180"/>
      <c r="F17" s="201"/>
      <c r="G17" s="203"/>
      <c r="H17" s="203"/>
      <c r="I17" s="78">
        <f t="shared" si="0"/>
        <v>0</v>
      </c>
      <c r="J17" s="78" t="str">
        <f t="shared" si="1"/>
        <v/>
      </c>
    </row>
    <row r="18" spans="1:10" ht="16" customHeight="1" x14ac:dyDescent="0.2">
      <c r="A18" s="183"/>
      <c r="B18" s="174"/>
      <c r="C18" s="189"/>
      <c r="D18" s="186"/>
      <c r="E18" s="175"/>
      <c r="F18" s="183"/>
      <c r="G18" s="186"/>
      <c r="H18" s="186"/>
      <c r="I18" s="69">
        <f t="shared" si="0"/>
        <v>0</v>
      </c>
      <c r="J18" s="69" t="str">
        <f t="shared" si="1"/>
        <v/>
      </c>
    </row>
    <row r="19" spans="1:10" ht="16" customHeight="1" x14ac:dyDescent="0.2">
      <c r="A19" s="201"/>
      <c r="B19" s="179"/>
      <c r="C19" s="202"/>
      <c r="D19" s="203"/>
      <c r="E19" s="180"/>
      <c r="F19" s="201"/>
      <c r="G19" s="203"/>
      <c r="H19" s="203"/>
      <c r="I19" s="78">
        <f t="shared" si="0"/>
        <v>0</v>
      </c>
      <c r="J19" s="78" t="str">
        <f t="shared" si="1"/>
        <v/>
      </c>
    </row>
    <row r="20" spans="1:10" ht="16" customHeight="1" x14ac:dyDescent="0.2">
      <c r="A20" s="183"/>
      <c r="B20" s="174"/>
      <c r="C20" s="189"/>
      <c r="D20" s="186"/>
      <c r="E20" s="175"/>
      <c r="F20" s="183"/>
      <c r="G20" s="186"/>
      <c r="H20" s="186"/>
      <c r="I20" s="69">
        <f t="shared" si="0"/>
        <v>0</v>
      </c>
      <c r="J20" s="69" t="str">
        <f t="shared" si="1"/>
        <v/>
      </c>
    </row>
    <row r="21" spans="1:10" ht="16" customHeight="1" x14ac:dyDescent="0.2">
      <c r="A21" s="201"/>
      <c r="B21" s="179"/>
      <c r="C21" s="202"/>
      <c r="D21" s="203"/>
      <c r="E21" s="180"/>
      <c r="F21" s="201"/>
      <c r="G21" s="203"/>
      <c r="H21" s="203"/>
      <c r="I21" s="78">
        <f t="shared" si="0"/>
        <v>0</v>
      </c>
      <c r="J21" s="78" t="str">
        <f t="shared" si="1"/>
        <v/>
      </c>
    </row>
    <row r="22" spans="1:10" ht="16" customHeight="1" x14ac:dyDescent="0.2">
      <c r="A22" s="183"/>
      <c r="B22" s="174"/>
      <c r="C22" s="189"/>
      <c r="D22" s="186"/>
      <c r="E22" s="175"/>
      <c r="F22" s="183"/>
      <c r="G22" s="186"/>
      <c r="H22" s="186"/>
      <c r="I22" s="69">
        <f t="shared" si="0"/>
        <v>0</v>
      </c>
      <c r="J22" s="69" t="str">
        <f t="shared" si="1"/>
        <v/>
      </c>
    </row>
    <row r="23" spans="1:10" ht="16" customHeight="1" x14ac:dyDescent="0.2">
      <c r="A23" s="201"/>
      <c r="B23" s="179"/>
      <c r="C23" s="202"/>
      <c r="D23" s="203"/>
      <c r="E23" s="180"/>
      <c r="F23" s="201"/>
      <c r="G23" s="203"/>
      <c r="H23" s="203"/>
      <c r="I23" s="78">
        <f t="shared" si="0"/>
        <v>0</v>
      </c>
      <c r="J23" s="78" t="str">
        <f t="shared" si="1"/>
        <v/>
      </c>
    </row>
    <row r="24" spans="1:10" ht="16" customHeight="1" x14ac:dyDescent="0.2">
      <c r="A24" s="183"/>
      <c r="B24" s="174"/>
      <c r="C24" s="189"/>
      <c r="D24" s="186"/>
      <c r="E24" s="175"/>
      <c r="F24" s="183"/>
      <c r="G24" s="186"/>
      <c r="H24" s="186"/>
      <c r="I24" s="69">
        <f t="shared" si="0"/>
        <v>0</v>
      </c>
      <c r="J24" s="69" t="str">
        <f t="shared" si="1"/>
        <v/>
      </c>
    </row>
    <row r="25" spans="1:10" ht="16" customHeight="1" x14ac:dyDescent="0.2">
      <c r="A25" s="201"/>
      <c r="B25" s="179"/>
      <c r="C25" s="202"/>
      <c r="D25" s="203"/>
      <c r="E25" s="180"/>
      <c r="F25" s="201"/>
      <c r="G25" s="203"/>
      <c r="H25" s="203"/>
      <c r="I25" s="78">
        <f t="shared" si="0"/>
        <v>0</v>
      </c>
      <c r="J25" s="78" t="str">
        <f t="shared" si="1"/>
        <v/>
      </c>
    </row>
    <row r="26" spans="1:10" ht="16" customHeight="1" x14ac:dyDescent="0.2">
      <c r="A26" s="183"/>
      <c r="B26" s="174"/>
      <c r="C26" s="189"/>
      <c r="D26" s="186"/>
      <c r="E26" s="175"/>
      <c r="F26" s="183"/>
      <c r="G26" s="186"/>
      <c r="H26" s="186"/>
      <c r="I26" s="69">
        <f t="shared" si="0"/>
        <v>0</v>
      </c>
      <c r="J26" s="69" t="str">
        <f t="shared" si="1"/>
        <v/>
      </c>
    </row>
    <row r="27" spans="1:10" ht="16" customHeight="1" x14ac:dyDescent="0.2">
      <c r="A27" s="201"/>
      <c r="B27" s="179"/>
      <c r="C27" s="202"/>
      <c r="D27" s="203"/>
      <c r="E27" s="180"/>
      <c r="F27" s="201"/>
      <c r="G27" s="203"/>
      <c r="H27" s="203"/>
      <c r="I27" s="78">
        <f t="shared" si="0"/>
        <v>0</v>
      </c>
      <c r="J27" s="78" t="str">
        <f t="shared" si="1"/>
        <v/>
      </c>
    </row>
    <row r="28" spans="1:10" ht="16" customHeight="1" x14ac:dyDescent="0.2">
      <c r="A28" s="183"/>
      <c r="B28" s="174"/>
      <c r="C28" s="189"/>
      <c r="D28" s="186"/>
      <c r="E28" s="175"/>
      <c r="F28" s="183"/>
      <c r="G28" s="186"/>
      <c r="H28" s="186"/>
      <c r="I28" s="69">
        <f t="shared" si="0"/>
        <v>0</v>
      </c>
      <c r="J28" s="69" t="str">
        <f t="shared" si="1"/>
        <v/>
      </c>
    </row>
    <row r="29" spans="1:10" ht="16" customHeight="1" x14ac:dyDescent="0.2">
      <c r="A29" s="201"/>
      <c r="B29" s="179"/>
      <c r="C29" s="202"/>
      <c r="D29" s="203"/>
      <c r="E29" s="180"/>
      <c r="F29" s="201"/>
      <c r="G29" s="203"/>
      <c r="H29" s="203"/>
      <c r="I29" s="78">
        <f t="shared" si="0"/>
        <v>0</v>
      </c>
      <c r="J29" s="78" t="str">
        <f t="shared" si="1"/>
        <v/>
      </c>
    </row>
    <row r="30" spans="1:10" ht="16" customHeight="1" x14ac:dyDescent="0.2">
      <c r="A30" s="183"/>
      <c r="B30" s="174"/>
      <c r="C30" s="189"/>
      <c r="D30" s="186"/>
      <c r="E30" s="175"/>
      <c r="F30" s="183"/>
      <c r="G30" s="186"/>
      <c r="H30" s="186"/>
      <c r="I30" s="69">
        <f t="shared" si="0"/>
        <v>0</v>
      </c>
      <c r="J30" s="69" t="str">
        <f t="shared" si="1"/>
        <v/>
      </c>
    </row>
    <row r="31" spans="1:10" ht="16" customHeight="1" x14ac:dyDescent="0.2">
      <c r="A31" s="201"/>
      <c r="B31" s="179"/>
      <c r="C31" s="202"/>
      <c r="D31" s="203"/>
      <c r="E31" s="180"/>
      <c r="F31" s="201"/>
      <c r="G31" s="203"/>
      <c r="H31" s="203"/>
      <c r="I31" s="78">
        <f t="shared" si="0"/>
        <v>0</v>
      </c>
      <c r="J31" s="78" t="str">
        <f t="shared" si="1"/>
        <v/>
      </c>
    </row>
    <row r="32" spans="1:10" ht="16" customHeight="1" x14ac:dyDescent="0.2">
      <c r="A32" s="183"/>
      <c r="B32" s="174"/>
      <c r="C32" s="189"/>
      <c r="D32" s="186"/>
      <c r="E32" s="175"/>
      <c r="F32" s="183"/>
      <c r="G32" s="186"/>
      <c r="H32" s="186"/>
      <c r="I32" s="69">
        <f t="shared" si="0"/>
        <v>0</v>
      </c>
      <c r="J32" s="69" t="str">
        <f t="shared" si="1"/>
        <v/>
      </c>
    </row>
    <row r="33" spans="1:10" ht="16" customHeight="1" x14ac:dyDescent="0.2">
      <c r="A33" s="201"/>
      <c r="B33" s="179"/>
      <c r="C33" s="202"/>
      <c r="D33" s="203"/>
      <c r="E33" s="180"/>
      <c r="F33" s="201"/>
      <c r="G33" s="203"/>
      <c r="H33" s="203"/>
      <c r="I33" s="78">
        <f t="shared" si="0"/>
        <v>0</v>
      </c>
      <c r="J33" s="78" t="str">
        <f t="shared" si="1"/>
        <v/>
      </c>
    </row>
    <row r="34" spans="1:10" ht="16" customHeight="1" x14ac:dyDescent="0.2">
      <c r="A34" s="183"/>
      <c r="B34" s="174"/>
      <c r="C34" s="189"/>
      <c r="D34" s="186"/>
      <c r="E34" s="175"/>
      <c r="F34" s="183"/>
      <c r="G34" s="186"/>
      <c r="H34" s="186"/>
      <c r="I34" s="69">
        <f t="shared" si="0"/>
        <v>0</v>
      </c>
      <c r="J34" s="69" t="str">
        <f t="shared" si="1"/>
        <v/>
      </c>
    </row>
    <row r="35" spans="1:10" ht="16" customHeight="1" x14ac:dyDescent="0.2">
      <c r="A35" s="201"/>
      <c r="B35" s="179"/>
      <c r="C35" s="202"/>
      <c r="D35" s="203"/>
      <c r="E35" s="180"/>
      <c r="F35" s="201"/>
      <c r="G35" s="203"/>
      <c r="H35" s="203"/>
      <c r="I35" s="78">
        <f t="shared" si="0"/>
        <v>0</v>
      </c>
      <c r="J35" s="78" t="str">
        <f t="shared" si="1"/>
        <v/>
      </c>
    </row>
    <row r="36" spans="1:10" ht="16" customHeight="1" x14ac:dyDescent="0.2">
      <c r="A36" s="183"/>
      <c r="B36" s="174"/>
      <c r="C36" s="189"/>
      <c r="D36" s="186"/>
      <c r="E36" s="175"/>
      <c r="F36" s="183"/>
      <c r="G36" s="186"/>
      <c r="H36" s="186"/>
      <c r="I36" s="69">
        <f t="shared" si="0"/>
        <v>0</v>
      </c>
      <c r="J36" s="69" t="str">
        <f t="shared" si="1"/>
        <v/>
      </c>
    </row>
    <row r="37" spans="1:10" ht="16" customHeight="1" x14ac:dyDescent="0.2">
      <c r="A37" s="201"/>
      <c r="B37" s="179"/>
      <c r="C37" s="202"/>
      <c r="D37" s="203"/>
      <c r="E37" s="180"/>
      <c r="F37" s="201"/>
      <c r="G37" s="203"/>
      <c r="H37" s="203"/>
      <c r="I37" s="78">
        <f t="shared" ref="I37:I68" si="2">IFERROR(G37-H37,"")</f>
        <v>0</v>
      </c>
      <c r="J37" s="78" t="str">
        <f t="shared" ref="J37:J68" si="3">IFERROR(I37/C37,"")</f>
        <v/>
      </c>
    </row>
    <row r="38" spans="1:10" ht="16" customHeight="1" x14ac:dyDescent="0.2">
      <c r="A38" s="183"/>
      <c r="B38" s="174"/>
      <c r="C38" s="189"/>
      <c r="D38" s="186"/>
      <c r="E38" s="175"/>
      <c r="F38" s="183"/>
      <c r="G38" s="186"/>
      <c r="H38" s="186"/>
      <c r="I38" s="69">
        <f t="shared" si="2"/>
        <v>0</v>
      </c>
      <c r="J38" s="69" t="str">
        <f t="shared" si="3"/>
        <v/>
      </c>
    </row>
    <row r="39" spans="1:10" ht="16" customHeight="1" x14ac:dyDescent="0.2">
      <c r="A39" s="201"/>
      <c r="B39" s="179"/>
      <c r="C39" s="202"/>
      <c r="D39" s="203"/>
      <c r="E39" s="180"/>
      <c r="F39" s="201"/>
      <c r="G39" s="203"/>
      <c r="H39" s="203"/>
      <c r="I39" s="78">
        <f t="shared" si="2"/>
        <v>0</v>
      </c>
      <c r="J39" s="78" t="str">
        <f t="shared" si="3"/>
        <v/>
      </c>
    </row>
    <row r="40" spans="1:10" ht="16" customHeight="1" x14ac:dyDescent="0.2">
      <c r="A40" s="183"/>
      <c r="B40" s="174"/>
      <c r="C40" s="189"/>
      <c r="D40" s="186"/>
      <c r="E40" s="175"/>
      <c r="F40" s="183"/>
      <c r="G40" s="186"/>
      <c r="H40" s="186"/>
      <c r="I40" s="69">
        <f t="shared" si="2"/>
        <v>0</v>
      </c>
      <c r="J40" s="69" t="str">
        <f t="shared" si="3"/>
        <v/>
      </c>
    </row>
    <row r="41" spans="1:10" ht="16" customHeight="1" x14ac:dyDescent="0.2">
      <c r="A41" s="201"/>
      <c r="B41" s="179"/>
      <c r="C41" s="202"/>
      <c r="D41" s="203"/>
      <c r="E41" s="180"/>
      <c r="F41" s="201"/>
      <c r="G41" s="203"/>
      <c r="H41" s="203"/>
      <c r="I41" s="78">
        <f t="shared" si="2"/>
        <v>0</v>
      </c>
      <c r="J41" s="78" t="str">
        <f t="shared" si="3"/>
        <v/>
      </c>
    </row>
    <row r="42" spans="1:10" ht="16" customHeight="1" x14ac:dyDescent="0.2">
      <c r="A42" s="183"/>
      <c r="B42" s="174"/>
      <c r="C42" s="189"/>
      <c r="D42" s="186"/>
      <c r="E42" s="175"/>
      <c r="F42" s="183"/>
      <c r="G42" s="186"/>
      <c r="H42" s="186"/>
      <c r="I42" s="69">
        <f t="shared" si="2"/>
        <v>0</v>
      </c>
      <c r="J42" s="69" t="str">
        <f t="shared" si="3"/>
        <v/>
      </c>
    </row>
    <row r="43" spans="1:10" ht="16" customHeight="1" x14ac:dyDescent="0.2">
      <c r="A43" s="201"/>
      <c r="B43" s="179"/>
      <c r="C43" s="202"/>
      <c r="D43" s="203"/>
      <c r="E43" s="180"/>
      <c r="F43" s="201"/>
      <c r="G43" s="203"/>
      <c r="H43" s="203"/>
      <c r="I43" s="78">
        <f t="shared" si="2"/>
        <v>0</v>
      </c>
      <c r="J43" s="78" t="str">
        <f t="shared" si="3"/>
        <v/>
      </c>
    </row>
    <row r="44" spans="1:10" ht="16" customHeight="1" x14ac:dyDescent="0.2">
      <c r="A44" s="183"/>
      <c r="B44" s="174"/>
      <c r="C44" s="189"/>
      <c r="D44" s="186"/>
      <c r="E44" s="175"/>
      <c r="F44" s="183"/>
      <c r="G44" s="186"/>
      <c r="H44" s="186"/>
      <c r="I44" s="69">
        <f t="shared" si="2"/>
        <v>0</v>
      </c>
      <c r="J44" s="69" t="str">
        <f t="shared" si="3"/>
        <v/>
      </c>
    </row>
    <row r="45" spans="1:10" ht="16" customHeight="1" x14ac:dyDescent="0.2">
      <c r="A45" s="201"/>
      <c r="B45" s="179"/>
      <c r="C45" s="202"/>
      <c r="D45" s="203"/>
      <c r="E45" s="180"/>
      <c r="F45" s="201"/>
      <c r="G45" s="203"/>
      <c r="H45" s="203"/>
      <c r="I45" s="78">
        <f t="shared" si="2"/>
        <v>0</v>
      </c>
      <c r="J45" s="78" t="str">
        <f t="shared" si="3"/>
        <v/>
      </c>
    </row>
    <row r="46" spans="1:10" ht="16" customHeight="1" x14ac:dyDescent="0.2">
      <c r="A46" s="183"/>
      <c r="B46" s="174"/>
      <c r="C46" s="189"/>
      <c r="D46" s="186"/>
      <c r="E46" s="175"/>
      <c r="F46" s="183"/>
      <c r="G46" s="186"/>
      <c r="H46" s="186"/>
      <c r="I46" s="69">
        <f t="shared" si="2"/>
        <v>0</v>
      </c>
      <c r="J46" s="69" t="str">
        <f t="shared" si="3"/>
        <v/>
      </c>
    </row>
    <row r="47" spans="1:10" ht="16" customHeight="1" x14ac:dyDescent="0.2">
      <c r="A47" s="201"/>
      <c r="B47" s="179"/>
      <c r="C47" s="202"/>
      <c r="D47" s="203"/>
      <c r="E47" s="180"/>
      <c r="F47" s="201"/>
      <c r="G47" s="203"/>
      <c r="H47" s="203"/>
      <c r="I47" s="78">
        <f t="shared" si="2"/>
        <v>0</v>
      </c>
      <c r="J47" s="78" t="str">
        <f t="shared" si="3"/>
        <v/>
      </c>
    </row>
    <row r="48" spans="1:10" ht="16" customHeight="1" x14ac:dyDescent="0.2">
      <c r="A48" s="183"/>
      <c r="B48" s="174"/>
      <c r="C48" s="189"/>
      <c r="D48" s="186"/>
      <c r="E48" s="175"/>
      <c r="F48" s="183"/>
      <c r="G48" s="186"/>
      <c r="H48" s="186"/>
      <c r="I48" s="69">
        <f t="shared" si="2"/>
        <v>0</v>
      </c>
      <c r="J48" s="69" t="str">
        <f t="shared" si="3"/>
        <v/>
      </c>
    </row>
    <row r="49" spans="1:10" ht="16" customHeight="1" x14ac:dyDescent="0.2">
      <c r="A49" s="201"/>
      <c r="B49" s="179"/>
      <c r="C49" s="202"/>
      <c r="D49" s="203"/>
      <c r="E49" s="180"/>
      <c r="F49" s="201"/>
      <c r="G49" s="203"/>
      <c r="H49" s="203"/>
      <c r="I49" s="78">
        <f t="shared" si="2"/>
        <v>0</v>
      </c>
      <c r="J49" s="78" t="str">
        <f t="shared" si="3"/>
        <v/>
      </c>
    </row>
    <row r="50" spans="1:10" ht="16" customHeight="1" x14ac:dyDescent="0.2">
      <c r="A50" s="183"/>
      <c r="B50" s="174"/>
      <c r="C50" s="189"/>
      <c r="D50" s="186"/>
      <c r="E50" s="175"/>
      <c r="F50" s="183"/>
      <c r="G50" s="186"/>
      <c r="H50" s="186"/>
      <c r="I50" s="69">
        <f t="shared" si="2"/>
        <v>0</v>
      </c>
      <c r="J50" s="69" t="str">
        <f t="shared" si="3"/>
        <v/>
      </c>
    </row>
    <row r="51" spans="1:10" ht="16" customHeight="1" x14ac:dyDescent="0.2">
      <c r="A51" s="201"/>
      <c r="B51" s="179"/>
      <c r="C51" s="202"/>
      <c r="D51" s="203"/>
      <c r="E51" s="180"/>
      <c r="F51" s="201"/>
      <c r="G51" s="203"/>
      <c r="H51" s="203"/>
      <c r="I51" s="78">
        <f t="shared" si="2"/>
        <v>0</v>
      </c>
      <c r="J51" s="78" t="str">
        <f t="shared" si="3"/>
        <v/>
      </c>
    </row>
    <row r="52" spans="1:10" ht="16" customHeight="1" x14ac:dyDescent="0.2">
      <c r="A52" s="183"/>
      <c r="B52" s="174"/>
      <c r="C52" s="189"/>
      <c r="D52" s="186"/>
      <c r="E52" s="175"/>
      <c r="F52" s="183"/>
      <c r="G52" s="186"/>
      <c r="H52" s="186"/>
      <c r="I52" s="69">
        <f t="shared" si="2"/>
        <v>0</v>
      </c>
      <c r="J52" s="69" t="str">
        <f t="shared" si="3"/>
        <v/>
      </c>
    </row>
    <row r="53" spans="1:10" ht="16" customHeight="1" x14ac:dyDescent="0.2">
      <c r="A53" s="201"/>
      <c r="B53" s="179"/>
      <c r="C53" s="202"/>
      <c r="D53" s="203"/>
      <c r="E53" s="180"/>
      <c r="F53" s="201"/>
      <c r="G53" s="203"/>
      <c r="H53" s="203"/>
      <c r="I53" s="78">
        <f t="shared" si="2"/>
        <v>0</v>
      </c>
      <c r="J53" s="78" t="str">
        <f t="shared" si="3"/>
        <v/>
      </c>
    </row>
    <row r="54" spans="1:10" ht="16" customHeight="1" x14ac:dyDescent="0.2">
      <c r="A54" s="183"/>
      <c r="B54" s="174"/>
      <c r="C54" s="189"/>
      <c r="D54" s="186"/>
      <c r="E54" s="175"/>
      <c r="F54" s="183"/>
      <c r="G54" s="186"/>
      <c r="H54" s="186"/>
      <c r="I54" s="69">
        <f t="shared" si="2"/>
        <v>0</v>
      </c>
      <c r="J54" s="69" t="str">
        <f t="shared" si="3"/>
        <v/>
      </c>
    </row>
    <row r="55" spans="1:10" ht="16" customHeight="1" x14ac:dyDescent="0.2">
      <c r="A55" s="201"/>
      <c r="B55" s="179"/>
      <c r="C55" s="202"/>
      <c r="D55" s="203"/>
      <c r="E55" s="180"/>
      <c r="F55" s="201"/>
      <c r="G55" s="203"/>
      <c r="H55" s="203"/>
      <c r="I55" s="78">
        <f t="shared" si="2"/>
        <v>0</v>
      </c>
      <c r="J55" s="78" t="str">
        <f t="shared" si="3"/>
        <v/>
      </c>
    </row>
    <row r="56" spans="1:10" ht="16" customHeight="1" x14ac:dyDescent="0.2">
      <c r="A56" s="183"/>
      <c r="B56" s="174"/>
      <c r="C56" s="189"/>
      <c r="D56" s="186"/>
      <c r="E56" s="175"/>
      <c r="F56" s="183"/>
      <c r="G56" s="186"/>
      <c r="H56" s="186"/>
      <c r="I56" s="69">
        <f t="shared" si="2"/>
        <v>0</v>
      </c>
      <c r="J56" s="69" t="str">
        <f t="shared" si="3"/>
        <v/>
      </c>
    </row>
    <row r="57" spans="1:10" ht="16" customHeight="1" x14ac:dyDescent="0.2">
      <c r="A57" s="201"/>
      <c r="B57" s="179"/>
      <c r="C57" s="202"/>
      <c r="D57" s="203"/>
      <c r="E57" s="180"/>
      <c r="F57" s="201"/>
      <c r="G57" s="203"/>
      <c r="H57" s="203"/>
      <c r="I57" s="78">
        <f t="shared" si="2"/>
        <v>0</v>
      </c>
      <c r="J57" s="78" t="str">
        <f t="shared" si="3"/>
        <v/>
      </c>
    </row>
    <row r="58" spans="1:10" ht="16" customHeight="1" x14ac:dyDescent="0.2">
      <c r="A58" s="183"/>
      <c r="B58" s="174"/>
      <c r="C58" s="189"/>
      <c r="D58" s="186"/>
      <c r="E58" s="175"/>
      <c r="F58" s="183"/>
      <c r="G58" s="186"/>
      <c r="H58" s="186"/>
      <c r="I58" s="69">
        <f t="shared" si="2"/>
        <v>0</v>
      </c>
      <c r="J58" s="69" t="str">
        <f t="shared" si="3"/>
        <v/>
      </c>
    </row>
    <row r="59" spans="1:10" ht="16" customHeight="1" x14ac:dyDescent="0.2">
      <c r="A59" s="201"/>
      <c r="B59" s="179"/>
      <c r="C59" s="202"/>
      <c r="D59" s="203"/>
      <c r="E59" s="180"/>
      <c r="F59" s="201"/>
      <c r="G59" s="203"/>
      <c r="H59" s="203"/>
      <c r="I59" s="78">
        <f t="shared" si="2"/>
        <v>0</v>
      </c>
      <c r="J59" s="78" t="str">
        <f t="shared" si="3"/>
        <v/>
      </c>
    </row>
    <row r="60" spans="1:10" ht="16" customHeight="1" x14ac:dyDescent="0.2">
      <c r="A60" s="183"/>
      <c r="B60" s="174"/>
      <c r="C60" s="189"/>
      <c r="D60" s="186"/>
      <c r="E60" s="175"/>
      <c r="F60" s="183"/>
      <c r="G60" s="186"/>
      <c r="H60" s="186"/>
      <c r="I60" s="69">
        <f t="shared" si="2"/>
        <v>0</v>
      </c>
      <c r="J60" s="69" t="str">
        <f t="shared" si="3"/>
        <v/>
      </c>
    </row>
    <row r="61" spans="1:10" ht="16" customHeight="1" x14ac:dyDescent="0.2">
      <c r="A61" s="201"/>
      <c r="B61" s="179"/>
      <c r="C61" s="202"/>
      <c r="D61" s="203"/>
      <c r="E61" s="180"/>
      <c r="F61" s="201"/>
      <c r="G61" s="203"/>
      <c r="H61" s="203"/>
      <c r="I61" s="78">
        <f t="shared" si="2"/>
        <v>0</v>
      </c>
      <c r="J61" s="78" t="str">
        <f t="shared" si="3"/>
        <v/>
      </c>
    </row>
    <row r="62" spans="1:10" ht="16" customHeight="1" x14ac:dyDescent="0.2">
      <c r="A62" s="183"/>
      <c r="B62" s="174"/>
      <c r="C62" s="189"/>
      <c r="D62" s="186"/>
      <c r="E62" s="175"/>
      <c r="F62" s="183"/>
      <c r="G62" s="186"/>
      <c r="H62" s="186"/>
      <c r="I62" s="69">
        <f t="shared" si="2"/>
        <v>0</v>
      </c>
      <c r="J62" s="69" t="str">
        <f t="shared" si="3"/>
        <v/>
      </c>
    </row>
    <row r="63" spans="1:10" ht="16" customHeight="1" x14ac:dyDescent="0.2">
      <c r="A63" s="201"/>
      <c r="B63" s="179"/>
      <c r="C63" s="202"/>
      <c r="D63" s="203"/>
      <c r="E63" s="180"/>
      <c r="F63" s="201"/>
      <c r="G63" s="203"/>
      <c r="H63" s="203"/>
      <c r="I63" s="78">
        <f t="shared" si="2"/>
        <v>0</v>
      </c>
      <c r="J63" s="78" t="str">
        <f t="shared" si="3"/>
        <v/>
      </c>
    </row>
    <row r="64" spans="1:10" ht="16" customHeight="1" x14ac:dyDescent="0.2">
      <c r="A64" s="183"/>
      <c r="B64" s="174"/>
      <c r="C64" s="189"/>
      <c r="D64" s="186"/>
      <c r="E64" s="175"/>
      <c r="F64" s="183"/>
      <c r="G64" s="186"/>
      <c r="H64" s="186"/>
      <c r="I64" s="69">
        <f t="shared" si="2"/>
        <v>0</v>
      </c>
      <c r="J64" s="69" t="str">
        <f t="shared" si="3"/>
        <v/>
      </c>
    </row>
    <row r="65" spans="1:10" ht="16" customHeight="1" x14ac:dyDescent="0.2">
      <c r="A65" s="201"/>
      <c r="B65" s="179"/>
      <c r="C65" s="202"/>
      <c r="D65" s="203"/>
      <c r="E65" s="180"/>
      <c r="F65" s="201"/>
      <c r="G65" s="203"/>
      <c r="H65" s="203"/>
      <c r="I65" s="78">
        <f t="shared" si="2"/>
        <v>0</v>
      </c>
      <c r="J65" s="78" t="str">
        <f t="shared" si="3"/>
        <v/>
      </c>
    </row>
    <row r="66" spans="1:10" ht="16" customHeight="1" x14ac:dyDescent="0.2">
      <c r="A66" s="183"/>
      <c r="B66" s="174"/>
      <c r="C66" s="189"/>
      <c r="D66" s="186"/>
      <c r="E66" s="175"/>
      <c r="F66" s="183"/>
      <c r="G66" s="186"/>
      <c r="H66" s="186"/>
      <c r="I66" s="69">
        <f t="shared" si="2"/>
        <v>0</v>
      </c>
      <c r="J66" s="69" t="str">
        <f t="shared" si="3"/>
        <v/>
      </c>
    </row>
    <row r="67" spans="1:10" ht="16" customHeight="1" x14ac:dyDescent="0.2">
      <c r="A67" s="201"/>
      <c r="B67" s="179"/>
      <c r="C67" s="202"/>
      <c r="D67" s="203"/>
      <c r="E67" s="180"/>
      <c r="F67" s="201"/>
      <c r="G67" s="203"/>
      <c r="H67" s="203"/>
      <c r="I67" s="78">
        <f t="shared" si="2"/>
        <v>0</v>
      </c>
      <c r="J67" s="78" t="str">
        <f t="shared" si="3"/>
        <v/>
      </c>
    </row>
    <row r="68" spans="1:10" ht="16" customHeight="1" x14ac:dyDescent="0.2">
      <c r="A68" s="183"/>
      <c r="B68" s="174"/>
      <c r="C68" s="189"/>
      <c r="D68" s="186"/>
      <c r="E68" s="175"/>
      <c r="F68" s="183"/>
      <c r="G68" s="186"/>
      <c r="H68" s="186"/>
      <c r="I68" s="69">
        <f t="shared" si="2"/>
        <v>0</v>
      </c>
      <c r="J68" s="69" t="str">
        <f t="shared" si="3"/>
        <v/>
      </c>
    </row>
    <row r="69" spans="1:10" ht="16" customHeight="1" x14ac:dyDescent="0.2">
      <c r="A69" s="201"/>
      <c r="B69" s="179"/>
      <c r="C69" s="202"/>
      <c r="D69" s="203"/>
      <c r="E69" s="180"/>
      <c r="F69" s="201"/>
      <c r="G69" s="203"/>
      <c r="H69" s="203"/>
      <c r="I69" s="78">
        <f t="shared" ref="I69:I100" si="4">IFERROR(G69-H69,"")</f>
        <v>0</v>
      </c>
      <c r="J69" s="78" t="str">
        <f t="shared" ref="J69:J100" si="5">IFERROR(I69/C69,"")</f>
        <v/>
      </c>
    </row>
    <row r="70" spans="1:10" ht="16" customHeight="1" x14ac:dyDescent="0.2">
      <c r="A70" s="183"/>
      <c r="B70" s="174"/>
      <c r="C70" s="189"/>
      <c r="D70" s="186"/>
      <c r="E70" s="175"/>
      <c r="F70" s="183"/>
      <c r="G70" s="186"/>
      <c r="H70" s="186"/>
      <c r="I70" s="69">
        <f t="shared" si="4"/>
        <v>0</v>
      </c>
      <c r="J70" s="69" t="str">
        <f t="shared" si="5"/>
        <v/>
      </c>
    </row>
    <row r="71" spans="1:10" ht="16" customHeight="1" x14ac:dyDescent="0.2">
      <c r="A71" s="201"/>
      <c r="B71" s="179"/>
      <c r="C71" s="202"/>
      <c r="D71" s="203"/>
      <c r="E71" s="180"/>
      <c r="F71" s="201"/>
      <c r="G71" s="203"/>
      <c r="H71" s="203"/>
      <c r="I71" s="78">
        <f t="shared" si="4"/>
        <v>0</v>
      </c>
      <c r="J71" s="78" t="str">
        <f t="shared" si="5"/>
        <v/>
      </c>
    </row>
    <row r="72" spans="1:10" ht="16" customHeight="1" x14ac:dyDescent="0.2">
      <c r="A72" s="183"/>
      <c r="B72" s="174"/>
      <c r="C72" s="189"/>
      <c r="D72" s="186"/>
      <c r="E72" s="175"/>
      <c r="F72" s="183"/>
      <c r="G72" s="186"/>
      <c r="H72" s="186"/>
      <c r="I72" s="69">
        <f t="shared" si="4"/>
        <v>0</v>
      </c>
      <c r="J72" s="69" t="str">
        <f t="shared" si="5"/>
        <v/>
      </c>
    </row>
    <row r="73" spans="1:10" ht="16" customHeight="1" x14ac:dyDescent="0.2">
      <c r="A73" s="201"/>
      <c r="B73" s="179"/>
      <c r="C73" s="202"/>
      <c r="D73" s="203"/>
      <c r="E73" s="180"/>
      <c r="F73" s="201"/>
      <c r="G73" s="203"/>
      <c r="H73" s="203"/>
      <c r="I73" s="78">
        <f t="shared" si="4"/>
        <v>0</v>
      </c>
      <c r="J73" s="78" t="str">
        <f t="shared" si="5"/>
        <v/>
      </c>
    </row>
    <row r="74" spans="1:10" ht="16" customHeight="1" x14ac:dyDescent="0.2">
      <c r="A74" s="183"/>
      <c r="B74" s="174"/>
      <c r="C74" s="189"/>
      <c r="D74" s="186"/>
      <c r="E74" s="175"/>
      <c r="F74" s="183"/>
      <c r="G74" s="186"/>
      <c r="H74" s="186"/>
      <c r="I74" s="69">
        <f t="shared" si="4"/>
        <v>0</v>
      </c>
      <c r="J74" s="69" t="str">
        <f t="shared" si="5"/>
        <v/>
      </c>
    </row>
    <row r="75" spans="1:10" ht="16" customHeight="1" x14ac:dyDescent="0.2">
      <c r="A75" s="201"/>
      <c r="B75" s="179"/>
      <c r="C75" s="202"/>
      <c r="D75" s="203"/>
      <c r="E75" s="180"/>
      <c r="F75" s="201"/>
      <c r="G75" s="203"/>
      <c r="H75" s="203"/>
      <c r="I75" s="78">
        <f t="shared" si="4"/>
        <v>0</v>
      </c>
      <c r="J75" s="78" t="str">
        <f t="shared" si="5"/>
        <v/>
      </c>
    </row>
    <row r="76" spans="1:10" ht="16" customHeight="1" x14ac:dyDescent="0.2">
      <c r="A76" s="183"/>
      <c r="B76" s="174"/>
      <c r="C76" s="189"/>
      <c r="D76" s="186"/>
      <c r="E76" s="175"/>
      <c r="F76" s="183"/>
      <c r="G76" s="186"/>
      <c r="H76" s="186"/>
      <c r="I76" s="69">
        <f t="shared" si="4"/>
        <v>0</v>
      </c>
      <c r="J76" s="69" t="str">
        <f t="shared" si="5"/>
        <v/>
      </c>
    </row>
    <row r="77" spans="1:10" ht="16" customHeight="1" x14ac:dyDescent="0.2">
      <c r="A77" s="201"/>
      <c r="B77" s="179"/>
      <c r="C77" s="202"/>
      <c r="D77" s="203"/>
      <c r="E77" s="180"/>
      <c r="F77" s="201"/>
      <c r="G77" s="203"/>
      <c r="H77" s="203"/>
      <c r="I77" s="78">
        <f t="shared" si="4"/>
        <v>0</v>
      </c>
      <c r="J77" s="78" t="str">
        <f t="shared" si="5"/>
        <v/>
      </c>
    </row>
    <row r="78" spans="1:10" ht="16" customHeight="1" x14ac:dyDescent="0.2">
      <c r="A78" s="183"/>
      <c r="B78" s="174"/>
      <c r="C78" s="189"/>
      <c r="D78" s="186"/>
      <c r="E78" s="175"/>
      <c r="F78" s="183"/>
      <c r="G78" s="186"/>
      <c r="H78" s="186"/>
      <c r="I78" s="69">
        <f t="shared" si="4"/>
        <v>0</v>
      </c>
      <c r="J78" s="69" t="str">
        <f t="shared" si="5"/>
        <v/>
      </c>
    </row>
    <row r="79" spans="1:10" ht="16" customHeight="1" x14ac:dyDescent="0.2">
      <c r="A79" s="201"/>
      <c r="B79" s="179"/>
      <c r="C79" s="202"/>
      <c r="D79" s="203"/>
      <c r="E79" s="180"/>
      <c r="F79" s="201"/>
      <c r="G79" s="203"/>
      <c r="H79" s="203"/>
      <c r="I79" s="78">
        <f t="shared" si="4"/>
        <v>0</v>
      </c>
      <c r="J79" s="78" t="str">
        <f t="shared" si="5"/>
        <v/>
      </c>
    </row>
    <row r="80" spans="1:10" ht="16" customHeight="1" x14ac:dyDescent="0.2">
      <c r="A80" s="183"/>
      <c r="B80" s="174"/>
      <c r="C80" s="189"/>
      <c r="D80" s="186"/>
      <c r="E80" s="175"/>
      <c r="F80" s="183"/>
      <c r="G80" s="186"/>
      <c r="H80" s="186"/>
      <c r="I80" s="69">
        <f t="shared" si="4"/>
        <v>0</v>
      </c>
      <c r="J80" s="69" t="str">
        <f t="shared" si="5"/>
        <v/>
      </c>
    </row>
    <row r="81" spans="1:10" ht="16" customHeight="1" x14ac:dyDescent="0.2">
      <c r="A81" s="201"/>
      <c r="B81" s="179"/>
      <c r="C81" s="202"/>
      <c r="D81" s="203"/>
      <c r="E81" s="180"/>
      <c r="F81" s="201"/>
      <c r="G81" s="203"/>
      <c r="H81" s="203"/>
      <c r="I81" s="78">
        <f t="shared" si="4"/>
        <v>0</v>
      </c>
      <c r="J81" s="78" t="str">
        <f t="shared" si="5"/>
        <v/>
      </c>
    </row>
    <row r="82" spans="1:10" ht="16" customHeight="1" x14ac:dyDescent="0.2">
      <c r="A82" s="183"/>
      <c r="B82" s="174"/>
      <c r="C82" s="189"/>
      <c r="D82" s="186"/>
      <c r="E82" s="175"/>
      <c r="F82" s="183"/>
      <c r="G82" s="186"/>
      <c r="H82" s="186"/>
      <c r="I82" s="69">
        <f t="shared" si="4"/>
        <v>0</v>
      </c>
      <c r="J82" s="69" t="str">
        <f t="shared" si="5"/>
        <v/>
      </c>
    </row>
    <row r="83" spans="1:10" ht="16" customHeight="1" x14ac:dyDescent="0.2">
      <c r="A83" s="201"/>
      <c r="B83" s="179"/>
      <c r="C83" s="202"/>
      <c r="D83" s="203"/>
      <c r="E83" s="180"/>
      <c r="F83" s="201"/>
      <c r="G83" s="203"/>
      <c r="H83" s="203"/>
      <c r="I83" s="78">
        <f t="shared" si="4"/>
        <v>0</v>
      </c>
      <c r="J83" s="78" t="str">
        <f t="shared" si="5"/>
        <v/>
      </c>
    </row>
    <row r="84" spans="1:10" ht="16" customHeight="1" x14ac:dyDescent="0.2">
      <c r="A84" s="183"/>
      <c r="B84" s="174"/>
      <c r="C84" s="189"/>
      <c r="D84" s="186"/>
      <c r="E84" s="175"/>
      <c r="F84" s="183"/>
      <c r="G84" s="186"/>
      <c r="H84" s="186"/>
      <c r="I84" s="69">
        <f t="shared" si="4"/>
        <v>0</v>
      </c>
      <c r="J84" s="69" t="str">
        <f t="shared" si="5"/>
        <v/>
      </c>
    </row>
    <row r="85" spans="1:10" ht="16" customHeight="1" x14ac:dyDescent="0.2">
      <c r="A85" s="201"/>
      <c r="B85" s="179"/>
      <c r="C85" s="202"/>
      <c r="D85" s="203"/>
      <c r="E85" s="180"/>
      <c r="F85" s="201"/>
      <c r="G85" s="203"/>
      <c r="H85" s="203"/>
      <c r="I85" s="78">
        <f t="shared" si="4"/>
        <v>0</v>
      </c>
      <c r="J85" s="78" t="str">
        <f t="shared" si="5"/>
        <v/>
      </c>
    </row>
    <row r="86" spans="1:10" ht="16" customHeight="1" x14ac:dyDescent="0.2">
      <c r="A86" s="183"/>
      <c r="B86" s="174"/>
      <c r="C86" s="189"/>
      <c r="D86" s="186"/>
      <c r="E86" s="175"/>
      <c r="F86" s="183"/>
      <c r="G86" s="186"/>
      <c r="H86" s="186"/>
      <c r="I86" s="69">
        <f t="shared" si="4"/>
        <v>0</v>
      </c>
      <c r="J86" s="69" t="str">
        <f t="shared" si="5"/>
        <v/>
      </c>
    </row>
    <row r="87" spans="1:10" ht="16" customHeight="1" x14ac:dyDescent="0.2">
      <c r="A87" s="201"/>
      <c r="B87" s="179"/>
      <c r="C87" s="202"/>
      <c r="D87" s="203"/>
      <c r="E87" s="180"/>
      <c r="F87" s="201"/>
      <c r="G87" s="203"/>
      <c r="H87" s="203"/>
      <c r="I87" s="78">
        <f t="shared" si="4"/>
        <v>0</v>
      </c>
      <c r="J87" s="78" t="str">
        <f t="shared" si="5"/>
        <v/>
      </c>
    </row>
    <row r="88" spans="1:10" ht="16" customHeight="1" x14ac:dyDescent="0.2">
      <c r="A88" s="183"/>
      <c r="B88" s="174"/>
      <c r="C88" s="189"/>
      <c r="D88" s="186"/>
      <c r="E88" s="175"/>
      <c r="F88" s="183"/>
      <c r="G88" s="186"/>
      <c r="H88" s="186"/>
      <c r="I88" s="69">
        <f t="shared" si="4"/>
        <v>0</v>
      </c>
      <c r="J88" s="69" t="str">
        <f t="shared" si="5"/>
        <v/>
      </c>
    </row>
    <row r="89" spans="1:10" ht="16" customHeight="1" x14ac:dyDescent="0.2">
      <c r="A89" s="201"/>
      <c r="B89" s="179"/>
      <c r="C89" s="202"/>
      <c r="D89" s="203"/>
      <c r="E89" s="180"/>
      <c r="F89" s="201"/>
      <c r="G89" s="203"/>
      <c r="H89" s="203"/>
      <c r="I89" s="78">
        <f t="shared" si="4"/>
        <v>0</v>
      </c>
      <c r="J89" s="78" t="str">
        <f t="shared" si="5"/>
        <v/>
      </c>
    </row>
    <row r="90" spans="1:10" ht="16" customHeight="1" x14ac:dyDescent="0.2">
      <c r="A90" s="183"/>
      <c r="B90" s="174"/>
      <c r="C90" s="189"/>
      <c r="D90" s="186"/>
      <c r="E90" s="175"/>
      <c r="F90" s="183"/>
      <c r="G90" s="186"/>
      <c r="H90" s="186"/>
      <c r="I90" s="69">
        <f t="shared" si="4"/>
        <v>0</v>
      </c>
      <c r="J90" s="69" t="str">
        <f t="shared" si="5"/>
        <v/>
      </c>
    </row>
    <row r="91" spans="1:10" ht="16" customHeight="1" x14ac:dyDescent="0.2">
      <c r="A91" s="201"/>
      <c r="B91" s="179"/>
      <c r="C91" s="202"/>
      <c r="D91" s="203"/>
      <c r="E91" s="180"/>
      <c r="F91" s="201"/>
      <c r="G91" s="203"/>
      <c r="H91" s="203"/>
      <c r="I91" s="78">
        <f t="shared" si="4"/>
        <v>0</v>
      </c>
      <c r="J91" s="78" t="str">
        <f t="shared" si="5"/>
        <v/>
      </c>
    </row>
    <row r="92" spans="1:10" ht="16" customHeight="1" x14ac:dyDescent="0.2">
      <c r="A92" s="183"/>
      <c r="B92" s="174"/>
      <c r="C92" s="189"/>
      <c r="D92" s="186"/>
      <c r="E92" s="175"/>
      <c r="F92" s="183"/>
      <c r="G92" s="186"/>
      <c r="H92" s="186"/>
      <c r="I92" s="69">
        <f t="shared" si="4"/>
        <v>0</v>
      </c>
      <c r="J92" s="69" t="str">
        <f t="shared" si="5"/>
        <v/>
      </c>
    </row>
    <row r="93" spans="1:10" ht="16" customHeight="1" x14ac:dyDescent="0.2">
      <c r="A93" s="201"/>
      <c r="B93" s="179"/>
      <c r="C93" s="202"/>
      <c r="D93" s="203"/>
      <c r="E93" s="180"/>
      <c r="F93" s="201"/>
      <c r="G93" s="203"/>
      <c r="H93" s="203"/>
      <c r="I93" s="78">
        <f t="shared" si="4"/>
        <v>0</v>
      </c>
      <c r="J93" s="78" t="str">
        <f t="shared" si="5"/>
        <v/>
      </c>
    </row>
    <row r="94" spans="1:10" ht="16" customHeight="1" x14ac:dyDescent="0.2">
      <c r="A94" s="183"/>
      <c r="B94" s="174"/>
      <c r="C94" s="189"/>
      <c r="D94" s="186"/>
      <c r="E94" s="175"/>
      <c r="F94" s="183"/>
      <c r="G94" s="186"/>
      <c r="H94" s="186"/>
      <c r="I94" s="69">
        <f t="shared" si="4"/>
        <v>0</v>
      </c>
      <c r="J94" s="69" t="str">
        <f t="shared" si="5"/>
        <v/>
      </c>
    </row>
    <row r="95" spans="1:10" ht="16" customHeight="1" x14ac:dyDescent="0.2">
      <c r="A95" s="201"/>
      <c r="B95" s="179"/>
      <c r="C95" s="202"/>
      <c r="D95" s="203"/>
      <c r="E95" s="180"/>
      <c r="F95" s="201"/>
      <c r="G95" s="203"/>
      <c r="H95" s="203"/>
      <c r="I95" s="78">
        <f t="shared" si="4"/>
        <v>0</v>
      </c>
      <c r="J95" s="78" t="str">
        <f t="shared" si="5"/>
        <v/>
      </c>
    </row>
    <row r="96" spans="1:10" ht="16" customHeight="1" x14ac:dyDescent="0.2">
      <c r="A96" s="183"/>
      <c r="B96" s="174"/>
      <c r="C96" s="189"/>
      <c r="D96" s="186"/>
      <c r="E96" s="175"/>
      <c r="F96" s="183"/>
      <c r="G96" s="186"/>
      <c r="H96" s="186"/>
      <c r="I96" s="69">
        <f t="shared" si="4"/>
        <v>0</v>
      </c>
      <c r="J96" s="69" t="str">
        <f t="shared" si="5"/>
        <v/>
      </c>
    </row>
    <row r="97" spans="1:10" ht="16" customHeight="1" x14ac:dyDescent="0.2">
      <c r="A97" s="201"/>
      <c r="B97" s="179"/>
      <c r="C97" s="202"/>
      <c r="D97" s="203"/>
      <c r="E97" s="180"/>
      <c r="F97" s="201"/>
      <c r="G97" s="203"/>
      <c r="H97" s="203"/>
      <c r="I97" s="78">
        <f t="shared" si="4"/>
        <v>0</v>
      </c>
      <c r="J97" s="78" t="str">
        <f t="shared" si="5"/>
        <v/>
      </c>
    </row>
    <row r="98" spans="1:10" ht="16" customHeight="1" x14ac:dyDescent="0.2">
      <c r="A98" s="183"/>
      <c r="B98" s="174"/>
      <c r="C98" s="189"/>
      <c r="D98" s="186"/>
      <c r="E98" s="175"/>
      <c r="F98" s="183"/>
      <c r="G98" s="186"/>
      <c r="H98" s="186"/>
      <c r="I98" s="69">
        <f t="shared" si="4"/>
        <v>0</v>
      </c>
      <c r="J98" s="69" t="str">
        <f t="shared" si="5"/>
        <v/>
      </c>
    </row>
    <row r="99" spans="1:10" ht="16" customHeight="1" x14ac:dyDescent="0.2">
      <c r="A99" s="201"/>
      <c r="B99" s="179"/>
      <c r="C99" s="202"/>
      <c r="D99" s="203"/>
      <c r="E99" s="180"/>
      <c r="F99" s="201"/>
      <c r="G99" s="203"/>
      <c r="H99" s="203"/>
      <c r="I99" s="78">
        <f t="shared" si="4"/>
        <v>0</v>
      </c>
      <c r="J99" s="78" t="str">
        <f t="shared" si="5"/>
        <v/>
      </c>
    </row>
    <row r="100" spans="1:10" ht="16" customHeight="1" x14ac:dyDescent="0.2">
      <c r="A100" s="183"/>
      <c r="B100" s="174"/>
      <c r="C100" s="189"/>
      <c r="D100" s="186"/>
      <c r="E100" s="175"/>
      <c r="F100" s="183"/>
      <c r="G100" s="186"/>
      <c r="H100" s="186"/>
      <c r="I100" s="69">
        <f t="shared" si="4"/>
        <v>0</v>
      </c>
      <c r="J100" s="69" t="str">
        <f t="shared" si="5"/>
        <v/>
      </c>
    </row>
    <row r="101" spans="1:10" ht="16" customHeight="1" x14ac:dyDescent="0.2">
      <c r="A101" s="201"/>
      <c r="B101" s="179"/>
      <c r="C101" s="202"/>
      <c r="D101" s="203"/>
      <c r="E101" s="180"/>
      <c r="F101" s="201"/>
      <c r="G101" s="203"/>
      <c r="H101" s="203"/>
      <c r="I101" s="78">
        <f t="shared" ref="I101:I132" si="6">IFERROR(G101-H101,"")</f>
        <v>0</v>
      </c>
      <c r="J101" s="78" t="str">
        <f t="shared" ref="J101:J132" si="7">IFERROR(I101/C101,"")</f>
        <v/>
      </c>
    </row>
    <row r="102" spans="1:10" ht="16" customHeight="1" x14ac:dyDescent="0.2">
      <c r="A102" s="183"/>
      <c r="B102" s="174"/>
      <c r="C102" s="189"/>
      <c r="D102" s="186"/>
      <c r="E102" s="175"/>
      <c r="F102" s="183"/>
      <c r="G102" s="186"/>
      <c r="H102" s="186"/>
      <c r="I102" s="69">
        <f t="shared" si="6"/>
        <v>0</v>
      </c>
      <c r="J102" s="69" t="str">
        <f t="shared" si="7"/>
        <v/>
      </c>
    </row>
    <row r="103" spans="1:10" ht="16" customHeight="1" x14ac:dyDescent="0.2">
      <c r="A103" s="201"/>
      <c r="B103" s="179"/>
      <c r="C103" s="202"/>
      <c r="D103" s="203"/>
      <c r="E103" s="180"/>
      <c r="F103" s="201"/>
      <c r="G103" s="203"/>
      <c r="H103" s="203"/>
      <c r="I103" s="78">
        <f t="shared" si="6"/>
        <v>0</v>
      </c>
      <c r="J103" s="78" t="str">
        <f t="shared" si="7"/>
        <v/>
      </c>
    </row>
    <row r="104" spans="1:10" ht="16" customHeight="1" x14ac:dyDescent="0.2">
      <c r="A104" s="183"/>
      <c r="B104" s="174"/>
      <c r="C104" s="189"/>
      <c r="D104" s="186"/>
      <c r="E104" s="175"/>
      <c r="F104" s="183"/>
      <c r="G104" s="186"/>
      <c r="H104" s="186"/>
      <c r="I104" s="69">
        <f t="shared" si="6"/>
        <v>0</v>
      </c>
      <c r="J104" s="69" t="str">
        <f t="shared" si="7"/>
        <v/>
      </c>
    </row>
    <row r="105" spans="1:10" x14ac:dyDescent="0.2">
      <c r="A105" s="110"/>
      <c r="B105" s="110"/>
      <c r="C105" s="110"/>
      <c r="D105" s="112"/>
      <c r="E105" s="110"/>
      <c r="F105" s="110"/>
      <c r="G105" s="112"/>
      <c r="H105" s="112"/>
      <c r="I105" s="204"/>
      <c r="J105" s="112"/>
    </row>
    <row r="106" spans="1:10" x14ac:dyDescent="0.2">
      <c r="A106" s="94"/>
      <c r="B106" s="94"/>
      <c r="C106" s="94"/>
      <c r="D106" s="96"/>
      <c r="E106" s="94"/>
      <c r="F106" s="94"/>
      <c r="G106" s="96"/>
      <c r="H106" s="96"/>
      <c r="I106" s="204"/>
      <c r="J106" s="96"/>
    </row>
    <row r="107" spans="1:10" ht="17" customHeight="1" x14ac:dyDescent="0.2">
      <c r="A107" s="465"/>
      <c r="B107" s="395"/>
      <c r="C107" s="395"/>
      <c r="D107" s="395"/>
      <c r="E107" s="395"/>
      <c r="F107" s="395"/>
      <c r="G107" s="112"/>
      <c r="H107" s="112"/>
      <c r="I107" s="204"/>
      <c r="J107" s="112"/>
    </row>
    <row r="108" spans="1:10" x14ac:dyDescent="0.2">
      <c r="A108" s="94"/>
      <c r="B108" s="94"/>
      <c r="C108" s="94"/>
      <c r="D108" s="96"/>
      <c r="E108" s="94"/>
      <c r="F108" s="94"/>
      <c r="G108" s="96"/>
      <c r="H108" s="96"/>
      <c r="I108" s="204"/>
      <c r="J108" s="96"/>
    </row>
    <row r="109" spans="1:10" ht="16" customHeight="1" x14ac:dyDescent="0.2">
      <c r="A109" s="142"/>
      <c r="B109" s="142"/>
      <c r="C109" s="142"/>
      <c r="D109" s="205"/>
      <c r="E109" s="142"/>
      <c r="F109" s="142"/>
      <c r="G109" s="112"/>
      <c r="H109" s="112"/>
      <c r="I109" s="204"/>
      <c r="J109" s="112"/>
    </row>
    <row r="110" spans="1:10" ht="45" customHeight="1" x14ac:dyDescent="0.2">
      <c r="A110" s="206"/>
      <c r="B110" s="67">
        <f>COUNTIF(B5:B104,A110)</f>
        <v>0</v>
      </c>
      <c r="C110" s="67">
        <f>SUMIF(B5:B104,A110,C5:C104)</f>
        <v>0</v>
      </c>
      <c r="D110" s="69">
        <f>SUMIF(B5:B104,A110,I5:I104)</f>
        <v>0</v>
      </c>
      <c r="E110" s="207" t="str">
        <f>IFERROR(D110/C110,"")</f>
        <v/>
      </c>
      <c r="F110" s="208"/>
      <c r="G110" s="96"/>
      <c r="H110" s="96"/>
      <c r="I110" s="204"/>
      <c r="J110" s="96"/>
    </row>
    <row r="111" spans="1:10" ht="45" customHeight="1" x14ac:dyDescent="0.2">
      <c r="A111" s="209"/>
      <c r="B111" s="76">
        <f>COUNTIF(B5:B104,A111)</f>
        <v>0</v>
      </c>
      <c r="C111" s="76">
        <f>SUMIF(B5:B104,A111,C5:C104)</f>
        <v>0</v>
      </c>
      <c r="D111" s="78">
        <f>SUMIF(B5:B104,A111,I5:I104)</f>
        <v>0</v>
      </c>
      <c r="E111" s="210" t="str">
        <f>IFERROR(D111/C111,"")</f>
        <v/>
      </c>
      <c r="F111" s="211"/>
      <c r="G111" s="112"/>
      <c r="H111" s="112"/>
      <c r="I111" s="204"/>
      <c r="J111" s="112"/>
    </row>
    <row r="112" spans="1:10" ht="60" customHeight="1" x14ac:dyDescent="0.2">
      <c r="A112" s="206"/>
      <c r="B112" s="67">
        <f>COUNTIF(B5:B104,A112)</f>
        <v>0</v>
      </c>
      <c r="C112" s="67">
        <f>SUMIF(B5:B104,A112,C5:C104)</f>
        <v>0</v>
      </c>
      <c r="D112" s="69">
        <f>SUMIF(B5:B104,A112,I5:I104)</f>
        <v>0</v>
      </c>
      <c r="E112" s="207" t="str">
        <f>IFERROR(D112/C112,"")</f>
        <v/>
      </c>
      <c r="F112" s="208"/>
      <c r="G112" s="96"/>
      <c r="H112" s="96"/>
      <c r="I112" s="204"/>
      <c r="J112" s="96"/>
    </row>
    <row r="113" spans="1:10" ht="30" customHeight="1" x14ac:dyDescent="0.2">
      <c r="A113" s="209"/>
      <c r="B113" s="76">
        <f>COUNTIF(B5:B104,A113)</f>
        <v>0</v>
      </c>
      <c r="C113" s="76">
        <f>SUMIF(B5:B104,A113,C5:C104)</f>
        <v>0</v>
      </c>
      <c r="D113" s="78">
        <f>SUMIF(B5:B104,A113,I5:I104)</f>
        <v>0</v>
      </c>
      <c r="E113" s="210" t="str">
        <f>IFERROR(D113/C113,"")</f>
        <v/>
      </c>
      <c r="F113" s="211"/>
      <c r="G113" s="112"/>
      <c r="H113" s="112"/>
      <c r="I113" s="204"/>
      <c r="J113" s="112"/>
    </row>
    <row r="114" spans="1:10" ht="30" customHeight="1" x14ac:dyDescent="0.2">
      <c r="A114" s="206"/>
      <c r="B114" s="67">
        <f>COUNTIF(B5:B104,A114)</f>
        <v>0</v>
      </c>
      <c r="C114" s="67">
        <f>SUMIF(B5:B104,A114,C5:C104)</f>
        <v>0</v>
      </c>
      <c r="D114" s="69">
        <f>SUMIF(B5:B104,A114,I5:I104)</f>
        <v>0</v>
      </c>
      <c r="E114" s="207" t="str">
        <f>IFERROR(D114/C114,"")</f>
        <v/>
      </c>
      <c r="F114" s="208"/>
      <c r="G114" s="96"/>
      <c r="H114" s="96"/>
      <c r="I114" s="204"/>
      <c r="J114" s="96"/>
    </row>
    <row r="115" spans="1:10" x14ac:dyDescent="0.2">
      <c r="A115" s="110"/>
      <c r="B115" s="110"/>
      <c r="C115" s="110"/>
      <c r="D115" s="112"/>
      <c r="E115" s="110"/>
      <c r="F115" s="110"/>
      <c r="G115" s="112"/>
      <c r="H115" s="112"/>
      <c r="I115" s="204"/>
      <c r="J115" s="112"/>
    </row>
    <row r="116" spans="1:10" x14ac:dyDescent="0.2">
      <c r="A116" s="94"/>
      <c r="B116" s="94"/>
      <c r="C116" s="94"/>
      <c r="D116" s="96"/>
      <c r="E116" s="94"/>
      <c r="F116" s="94"/>
      <c r="G116" s="96"/>
      <c r="H116" s="96"/>
      <c r="I116" s="204"/>
      <c r="J116" s="96"/>
    </row>
    <row r="117" spans="1:10" x14ac:dyDescent="0.2">
      <c r="A117" s="110"/>
      <c r="B117" s="110"/>
      <c r="C117" s="110"/>
      <c r="D117" s="112"/>
      <c r="E117" s="110"/>
      <c r="F117" s="110"/>
      <c r="G117" s="112"/>
      <c r="H117" s="112"/>
      <c r="I117" s="204"/>
      <c r="J117" s="112"/>
    </row>
    <row r="118" spans="1:10" x14ac:dyDescent="0.2">
      <c r="A118" s="94"/>
      <c r="B118" s="94"/>
      <c r="C118" s="94"/>
      <c r="D118" s="96"/>
      <c r="E118" s="94"/>
      <c r="F118" s="94"/>
      <c r="G118" s="96"/>
      <c r="H118" s="96"/>
      <c r="I118" s="204"/>
      <c r="J118" s="96"/>
    </row>
    <row r="119" spans="1:10" x14ac:dyDescent="0.2">
      <c r="A119" s="110"/>
      <c r="B119" s="110"/>
      <c r="C119" s="110"/>
      <c r="D119" s="112"/>
      <c r="E119" s="110"/>
      <c r="F119" s="110"/>
      <c r="G119" s="112"/>
      <c r="H119" s="112"/>
      <c r="I119" s="204"/>
      <c r="J119" s="112"/>
    </row>
    <row r="120" spans="1:10" x14ac:dyDescent="0.2">
      <c r="A120" s="94"/>
      <c r="B120" s="94"/>
      <c r="C120" s="94"/>
      <c r="D120" s="96"/>
      <c r="E120" s="94"/>
      <c r="F120" s="94"/>
      <c r="G120" s="96"/>
      <c r="H120" s="96"/>
      <c r="I120" s="204"/>
      <c r="J120" s="96"/>
    </row>
    <row r="121" spans="1:10" x14ac:dyDescent="0.2">
      <c r="A121" s="110"/>
      <c r="B121" s="110"/>
      <c r="C121" s="110"/>
      <c r="D121" s="112"/>
      <c r="E121" s="110"/>
      <c r="F121" s="110"/>
      <c r="G121" s="112"/>
      <c r="H121" s="112"/>
      <c r="I121" s="204"/>
      <c r="J121" s="112"/>
    </row>
    <row r="122" spans="1:10" x14ac:dyDescent="0.2">
      <c r="A122" s="94"/>
      <c r="B122" s="94"/>
      <c r="C122" s="94"/>
      <c r="D122" s="96"/>
      <c r="E122" s="94"/>
      <c r="F122" s="94"/>
      <c r="G122" s="96"/>
      <c r="H122" s="96"/>
      <c r="I122" s="204"/>
      <c r="J122" s="96"/>
    </row>
    <row r="123" spans="1:10" x14ac:dyDescent="0.2">
      <c r="A123" s="110"/>
      <c r="B123" s="110"/>
      <c r="C123" s="110"/>
      <c r="D123" s="112"/>
      <c r="E123" s="110"/>
      <c r="F123" s="110"/>
      <c r="G123" s="112"/>
      <c r="H123" s="112"/>
      <c r="I123" s="204"/>
      <c r="J123" s="112"/>
    </row>
    <row r="124" spans="1:10" x14ac:dyDescent="0.2">
      <c r="A124" s="94"/>
      <c r="B124" s="94"/>
      <c r="C124" s="94"/>
      <c r="D124" s="96"/>
      <c r="E124" s="94"/>
      <c r="F124" s="94"/>
      <c r="G124" s="96"/>
      <c r="H124" s="96"/>
      <c r="I124" s="204"/>
      <c r="J124" s="96"/>
    </row>
    <row r="125" spans="1:10" x14ac:dyDescent="0.2">
      <c r="A125" s="110"/>
      <c r="B125" s="110"/>
      <c r="C125" s="110"/>
      <c r="D125" s="112"/>
      <c r="E125" s="110"/>
      <c r="F125" s="110"/>
      <c r="G125" s="112"/>
      <c r="H125" s="112"/>
      <c r="I125" s="204"/>
      <c r="J125" s="112"/>
    </row>
    <row r="126" spans="1:10" x14ac:dyDescent="0.2">
      <c r="A126" s="94"/>
      <c r="B126" s="94"/>
      <c r="C126" s="94"/>
      <c r="D126" s="96"/>
      <c r="E126" s="94"/>
      <c r="F126" s="94"/>
      <c r="G126" s="96"/>
      <c r="H126" s="96"/>
      <c r="I126" s="204"/>
      <c r="J126" s="96"/>
    </row>
    <row r="127" spans="1:10" x14ac:dyDescent="0.2">
      <c r="A127" s="110"/>
      <c r="B127" s="110"/>
      <c r="C127" s="110"/>
      <c r="D127" s="112"/>
      <c r="E127" s="110"/>
      <c r="F127" s="110"/>
      <c r="G127" s="112"/>
      <c r="H127" s="112"/>
      <c r="I127" s="204"/>
      <c r="J127" s="112"/>
    </row>
    <row r="128" spans="1:10" x14ac:dyDescent="0.2">
      <c r="A128" s="94"/>
      <c r="B128" s="94"/>
      <c r="C128" s="94"/>
      <c r="D128" s="96"/>
      <c r="E128" s="94"/>
      <c r="F128" s="94"/>
      <c r="G128" s="96"/>
      <c r="H128" s="96"/>
      <c r="I128" s="204"/>
      <c r="J128" s="96"/>
    </row>
    <row r="129" spans="1:10" x14ac:dyDescent="0.2">
      <c r="A129" s="110"/>
      <c r="B129" s="110"/>
      <c r="C129" s="110"/>
      <c r="D129" s="112"/>
      <c r="E129" s="110"/>
      <c r="F129" s="110"/>
      <c r="G129" s="112"/>
      <c r="H129" s="112"/>
      <c r="I129" s="204"/>
      <c r="J129" s="112"/>
    </row>
    <row r="130" spans="1:10" x14ac:dyDescent="0.2">
      <c r="A130" s="94"/>
      <c r="B130" s="94"/>
      <c r="C130" s="94"/>
      <c r="D130" s="96"/>
      <c r="E130" s="94"/>
      <c r="F130" s="94"/>
      <c r="G130" s="96"/>
      <c r="H130" s="96"/>
      <c r="I130" s="204"/>
      <c r="J130" s="96"/>
    </row>
    <row r="131" spans="1:10" x14ac:dyDescent="0.2">
      <c r="A131" s="110"/>
      <c r="B131" s="110"/>
      <c r="C131" s="110"/>
      <c r="D131" s="112"/>
      <c r="E131" s="110"/>
      <c r="F131" s="110"/>
      <c r="G131" s="112"/>
      <c r="H131" s="112"/>
      <c r="I131" s="204"/>
      <c r="J131" s="112"/>
    </row>
    <row r="132" spans="1:10" x14ac:dyDescent="0.2">
      <c r="A132" s="94"/>
      <c r="B132" s="94"/>
      <c r="C132" s="94"/>
      <c r="D132" s="96"/>
      <c r="E132" s="94"/>
      <c r="F132" s="94"/>
      <c r="G132" s="96"/>
      <c r="H132" s="96"/>
      <c r="I132" s="204"/>
      <c r="J132" s="96"/>
    </row>
    <row r="133" spans="1:10" x14ac:dyDescent="0.2">
      <c r="A133" s="110"/>
      <c r="B133" s="110"/>
      <c r="C133" s="110"/>
      <c r="D133" s="112"/>
      <c r="E133" s="110"/>
      <c r="F133" s="110"/>
      <c r="G133" s="112"/>
      <c r="H133" s="112"/>
      <c r="I133" s="204"/>
      <c r="J133" s="112"/>
    </row>
    <row r="134" spans="1:10" x14ac:dyDescent="0.2">
      <c r="A134" s="94"/>
      <c r="B134" s="94"/>
      <c r="C134" s="94"/>
      <c r="D134" s="96"/>
      <c r="E134" s="94"/>
      <c r="F134" s="94"/>
      <c r="G134" s="96"/>
      <c r="H134" s="96"/>
      <c r="I134" s="204"/>
      <c r="J134" s="96"/>
    </row>
    <row r="135" spans="1:10" x14ac:dyDescent="0.2">
      <c r="A135" s="110"/>
      <c r="B135" s="110"/>
      <c r="C135" s="110"/>
      <c r="D135" s="112"/>
      <c r="E135" s="110"/>
      <c r="F135" s="110"/>
      <c r="G135" s="112"/>
      <c r="H135" s="112"/>
      <c r="I135" s="204"/>
      <c r="J135" s="112"/>
    </row>
    <row r="136" spans="1:10" x14ac:dyDescent="0.2">
      <c r="A136" s="94"/>
      <c r="B136" s="94"/>
      <c r="C136" s="94"/>
      <c r="D136" s="96"/>
      <c r="E136" s="94"/>
      <c r="F136" s="94"/>
      <c r="G136" s="96"/>
      <c r="H136" s="96"/>
      <c r="I136" s="204"/>
      <c r="J136" s="96"/>
    </row>
    <row r="137" spans="1:10" x14ac:dyDescent="0.2">
      <c r="A137" s="110"/>
      <c r="B137" s="110"/>
      <c r="C137" s="110"/>
      <c r="D137" s="112"/>
      <c r="E137" s="110"/>
      <c r="F137" s="110"/>
      <c r="G137" s="112"/>
      <c r="H137" s="112"/>
      <c r="I137" s="204"/>
      <c r="J137" s="112"/>
    </row>
    <row r="138" spans="1:10" x14ac:dyDescent="0.2">
      <c r="A138" s="94"/>
      <c r="B138" s="94"/>
      <c r="C138" s="94"/>
      <c r="D138" s="96"/>
      <c r="E138" s="94"/>
      <c r="F138" s="94"/>
      <c r="G138" s="96"/>
      <c r="H138" s="96"/>
      <c r="I138" s="204"/>
      <c r="J138" s="96"/>
    </row>
    <row r="139" spans="1:10" x14ac:dyDescent="0.2">
      <c r="A139" s="110"/>
      <c r="B139" s="110"/>
      <c r="C139" s="110"/>
      <c r="D139" s="112"/>
      <c r="E139" s="110"/>
      <c r="F139" s="110"/>
      <c r="G139" s="112"/>
      <c r="H139" s="112"/>
      <c r="I139" s="204"/>
      <c r="J139" s="112"/>
    </row>
    <row r="140" spans="1:10" x14ac:dyDescent="0.2">
      <c r="A140" s="94"/>
      <c r="B140" s="94"/>
      <c r="C140" s="94"/>
      <c r="D140" s="96"/>
      <c r="E140" s="94"/>
      <c r="F140" s="94"/>
      <c r="G140" s="96"/>
      <c r="H140" s="96"/>
      <c r="I140" s="204"/>
      <c r="J140" s="96"/>
    </row>
    <row r="141" spans="1:10" x14ac:dyDescent="0.2">
      <c r="A141" s="110"/>
      <c r="B141" s="110"/>
      <c r="C141" s="110"/>
      <c r="D141" s="112"/>
      <c r="E141" s="110"/>
      <c r="F141" s="110"/>
      <c r="G141" s="112"/>
      <c r="H141" s="112"/>
      <c r="I141" s="204"/>
      <c r="J141" s="112"/>
    </row>
    <row r="142" spans="1:10" x14ac:dyDescent="0.2">
      <c r="A142" s="94"/>
      <c r="B142" s="94"/>
      <c r="C142" s="94"/>
      <c r="D142" s="96"/>
      <c r="E142" s="94"/>
      <c r="F142" s="94"/>
      <c r="G142" s="96"/>
      <c r="H142" s="96"/>
      <c r="I142" s="204"/>
      <c r="J142" s="96"/>
    </row>
    <row r="143" spans="1:10" x14ac:dyDescent="0.2">
      <c r="A143" s="110"/>
      <c r="B143" s="110"/>
      <c r="C143" s="110"/>
      <c r="D143" s="112"/>
      <c r="E143" s="110"/>
      <c r="F143" s="110"/>
      <c r="G143" s="112"/>
      <c r="H143" s="112"/>
      <c r="I143" s="204"/>
      <c r="J143" s="112"/>
    </row>
    <row r="144" spans="1:10" x14ac:dyDescent="0.2">
      <c r="A144" s="94"/>
      <c r="B144" s="94"/>
      <c r="C144" s="94"/>
      <c r="D144" s="96"/>
      <c r="E144" s="94"/>
      <c r="F144" s="94"/>
      <c r="G144" s="96"/>
      <c r="H144" s="96"/>
      <c r="I144" s="204"/>
      <c r="J144" s="96"/>
    </row>
    <row r="145" spans="1:10" x14ac:dyDescent="0.2">
      <c r="A145" s="110"/>
      <c r="B145" s="110"/>
      <c r="C145" s="110"/>
      <c r="D145" s="112"/>
      <c r="E145" s="110"/>
      <c r="F145" s="110"/>
      <c r="G145" s="112"/>
      <c r="H145" s="112"/>
      <c r="I145" s="204"/>
      <c r="J145" s="112"/>
    </row>
    <row r="146" spans="1:10" x14ac:dyDescent="0.2">
      <c r="A146" s="94"/>
      <c r="B146" s="94"/>
      <c r="C146" s="94"/>
      <c r="D146" s="96"/>
      <c r="E146" s="94"/>
      <c r="F146" s="94"/>
      <c r="G146" s="96"/>
      <c r="H146" s="96"/>
      <c r="I146" s="204"/>
      <c r="J146" s="96"/>
    </row>
    <row r="147" spans="1:10" x14ac:dyDescent="0.2">
      <c r="A147" s="110"/>
      <c r="B147" s="110"/>
      <c r="C147" s="110"/>
      <c r="D147" s="112"/>
      <c r="E147" s="110"/>
      <c r="F147" s="110"/>
      <c r="G147" s="112"/>
      <c r="H147" s="112"/>
      <c r="I147" s="204"/>
      <c r="J147" s="112"/>
    </row>
    <row r="148" spans="1:10" x14ac:dyDescent="0.2">
      <c r="A148" s="94"/>
      <c r="B148" s="94"/>
      <c r="C148" s="94"/>
      <c r="D148" s="96"/>
      <c r="E148" s="94"/>
      <c r="F148" s="94"/>
      <c r="G148" s="96"/>
      <c r="H148" s="96"/>
      <c r="I148" s="204"/>
      <c r="J148" s="96"/>
    </row>
    <row r="149" spans="1:10" x14ac:dyDescent="0.2">
      <c r="A149" s="110"/>
      <c r="B149" s="110"/>
      <c r="C149" s="110"/>
      <c r="D149" s="112"/>
      <c r="E149" s="110"/>
      <c r="F149" s="110"/>
      <c r="G149" s="112"/>
      <c r="H149" s="112"/>
      <c r="I149" s="204"/>
      <c r="J149" s="112"/>
    </row>
    <row r="150" spans="1:10" x14ac:dyDescent="0.2">
      <c r="A150" s="94"/>
      <c r="B150" s="94"/>
      <c r="C150" s="94"/>
      <c r="D150" s="96"/>
      <c r="E150" s="94"/>
      <c r="F150" s="94"/>
      <c r="G150" s="96"/>
      <c r="H150" s="96"/>
      <c r="I150" s="204"/>
      <c r="J150" s="96"/>
    </row>
    <row r="151" spans="1:10" x14ac:dyDescent="0.2">
      <c r="A151" s="110"/>
      <c r="B151" s="110"/>
      <c r="C151" s="110"/>
      <c r="D151" s="112"/>
      <c r="E151" s="110"/>
      <c r="F151" s="110"/>
      <c r="G151" s="112"/>
      <c r="H151" s="112"/>
      <c r="I151" s="204"/>
      <c r="J151" s="112"/>
    </row>
    <row r="152" spans="1:10" x14ac:dyDescent="0.2">
      <c r="A152" s="94"/>
      <c r="B152" s="94"/>
      <c r="C152" s="94"/>
      <c r="D152" s="96"/>
      <c r="E152" s="94"/>
      <c r="F152" s="94"/>
      <c r="G152" s="96"/>
      <c r="H152" s="96"/>
      <c r="I152" s="204"/>
      <c r="J152" s="96"/>
    </row>
    <row r="153" spans="1:10" x14ac:dyDescent="0.2">
      <c r="A153" s="110"/>
      <c r="B153" s="110"/>
      <c r="C153" s="110"/>
      <c r="D153" s="112"/>
      <c r="E153" s="110"/>
      <c r="F153" s="110"/>
      <c r="G153" s="112"/>
      <c r="H153" s="112"/>
      <c r="I153" s="204"/>
      <c r="J153" s="112"/>
    </row>
    <row r="154" spans="1:10" x14ac:dyDescent="0.2">
      <c r="A154" s="94"/>
      <c r="B154" s="94"/>
      <c r="C154" s="94"/>
      <c r="D154" s="96"/>
      <c r="E154" s="94"/>
      <c r="F154" s="94"/>
      <c r="G154" s="96"/>
      <c r="H154" s="96"/>
      <c r="I154" s="204"/>
      <c r="J154" s="96"/>
    </row>
    <row r="155" spans="1:10" x14ac:dyDescent="0.2">
      <c r="A155" s="110"/>
      <c r="B155" s="110"/>
      <c r="C155" s="110"/>
      <c r="D155" s="112"/>
      <c r="E155" s="110"/>
      <c r="F155" s="110"/>
      <c r="G155" s="112"/>
      <c r="H155" s="112"/>
      <c r="I155" s="204"/>
      <c r="J155" s="112"/>
    </row>
    <row r="156" spans="1:10" x14ac:dyDescent="0.2">
      <c r="A156" s="94"/>
      <c r="B156" s="94"/>
      <c r="C156" s="94"/>
      <c r="D156" s="96"/>
      <c r="E156" s="94"/>
      <c r="F156" s="94"/>
      <c r="G156" s="96"/>
      <c r="H156" s="96"/>
      <c r="I156" s="204"/>
      <c r="J156" s="96"/>
    </row>
    <row r="157" spans="1:10" x14ac:dyDescent="0.2">
      <c r="A157" s="110"/>
      <c r="B157" s="110"/>
      <c r="C157" s="110"/>
      <c r="D157" s="112"/>
      <c r="E157" s="110"/>
      <c r="F157" s="110"/>
      <c r="G157" s="112"/>
      <c r="H157" s="112"/>
      <c r="I157" s="204"/>
      <c r="J157" s="112"/>
    </row>
    <row r="158" spans="1:10" x14ac:dyDescent="0.2">
      <c r="A158" s="94"/>
      <c r="B158" s="94"/>
      <c r="C158" s="94"/>
      <c r="D158" s="96"/>
      <c r="E158" s="94"/>
      <c r="F158" s="94"/>
      <c r="G158" s="96"/>
      <c r="H158" s="96"/>
      <c r="I158" s="204"/>
      <c r="J158" s="96"/>
    </row>
    <row r="159" spans="1:10" x14ac:dyDescent="0.2">
      <c r="A159" s="110"/>
      <c r="B159" s="110"/>
      <c r="C159" s="110"/>
      <c r="D159" s="112"/>
      <c r="E159" s="110"/>
      <c r="F159" s="110"/>
      <c r="G159" s="112"/>
      <c r="H159" s="112"/>
      <c r="I159" s="204"/>
      <c r="J159" s="112"/>
    </row>
    <row r="160" spans="1:10" x14ac:dyDescent="0.2">
      <c r="A160" s="94"/>
      <c r="B160" s="94"/>
      <c r="C160" s="94"/>
      <c r="D160" s="96"/>
      <c r="E160" s="94"/>
      <c r="F160" s="94"/>
      <c r="G160" s="96"/>
      <c r="H160" s="96"/>
      <c r="I160" s="204"/>
      <c r="J160" s="96"/>
    </row>
    <row r="161" spans="1:10" x14ac:dyDescent="0.2">
      <c r="A161" s="110"/>
      <c r="B161" s="110"/>
      <c r="C161" s="110"/>
      <c r="D161" s="112"/>
      <c r="E161" s="110"/>
      <c r="F161" s="110"/>
      <c r="G161" s="112"/>
      <c r="H161" s="112"/>
      <c r="I161" s="204"/>
      <c r="J161" s="112"/>
    </row>
    <row r="162" spans="1:10" x14ac:dyDescent="0.2">
      <c r="A162" s="94"/>
      <c r="B162" s="94"/>
      <c r="C162" s="94"/>
      <c r="D162" s="96"/>
      <c r="E162" s="94"/>
      <c r="F162" s="94"/>
      <c r="G162" s="96"/>
      <c r="H162" s="96"/>
      <c r="I162" s="204"/>
      <c r="J162" s="96"/>
    </row>
    <row r="163" spans="1:10" x14ac:dyDescent="0.2">
      <c r="A163" s="110"/>
      <c r="B163" s="110"/>
      <c r="C163" s="110"/>
      <c r="D163" s="112"/>
      <c r="E163" s="110"/>
      <c r="F163" s="110"/>
      <c r="G163" s="112"/>
      <c r="H163" s="112"/>
      <c r="I163" s="204"/>
      <c r="J163" s="112"/>
    </row>
    <row r="164" spans="1:10" x14ac:dyDescent="0.2">
      <c r="A164" s="94"/>
      <c r="B164" s="94"/>
      <c r="C164" s="94"/>
      <c r="D164" s="96"/>
      <c r="E164" s="94"/>
      <c r="F164" s="94"/>
      <c r="G164" s="96"/>
      <c r="H164" s="96"/>
      <c r="I164" s="204"/>
      <c r="J164" s="96"/>
    </row>
    <row r="165" spans="1:10" x14ac:dyDescent="0.2">
      <c r="A165" s="110"/>
      <c r="B165" s="110"/>
      <c r="C165" s="110"/>
      <c r="D165" s="112"/>
      <c r="E165" s="110"/>
      <c r="F165" s="110"/>
      <c r="G165" s="112"/>
      <c r="H165" s="112"/>
      <c r="I165" s="204"/>
      <c r="J165" s="112"/>
    </row>
    <row r="166" spans="1:10" x14ac:dyDescent="0.2">
      <c r="A166" s="94"/>
      <c r="B166" s="94"/>
      <c r="C166" s="94"/>
      <c r="D166" s="96"/>
      <c r="E166" s="94"/>
      <c r="F166" s="94"/>
      <c r="G166" s="96"/>
      <c r="H166" s="96"/>
      <c r="I166" s="204"/>
      <c r="J166" s="96"/>
    </row>
    <row r="167" spans="1:10" x14ac:dyDescent="0.2">
      <c r="A167" s="110"/>
      <c r="B167" s="110"/>
      <c r="C167" s="110"/>
      <c r="D167" s="112"/>
      <c r="E167" s="110"/>
      <c r="F167" s="110"/>
      <c r="G167" s="112"/>
      <c r="H167" s="112"/>
      <c r="I167" s="204"/>
      <c r="J167" s="112"/>
    </row>
    <row r="168" spans="1:10" x14ac:dyDescent="0.2">
      <c r="A168" s="94"/>
      <c r="B168" s="94"/>
      <c r="C168" s="94"/>
      <c r="D168" s="96"/>
      <c r="E168" s="94"/>
      <c r="F168" s="94"/>
      <c r="G168" s="96"/>
      <c r="H168" s="96"/>
      <c r="I168" s="204"/>
      <c r="J168" s="96"/>
    </row>
    <row r="169" spans="1:10" x14ac:dyDescent="0.2">
      <c r="A169" s="110"/>
      <c r="B169" s="110"/>
      <c r="C169" s="110"/>
      <c r="D169" s="112"/>
      <c r="E169" s="110"/>
      <c r="F169" s="110"/>
      <c r="G169" s="112"/>
      <c r="H169" s="112"/>
      <c r="I169" s="204"/>
      <c r="J169" s="112"/>
    </row>
    <row r="170" spans="1:10" x14ac:dyDescent="0.2">
      <c r="A170" s="94"/>
      <c r="B170" s="94"/>
      <c r="C170" s="94"/>
      <c r="D170" s="96"/>
      <c r="E170" s="94"/>
      <c r="F170" s="94"/>
      <c r="G170" s="96"/>
      <c r="H170" s="96"/>
      <c r="I170" s="204"/>
      <c r="J170" s="96"/>
    </row>
    <row r="171" spans="1:10" x14ac:dyDescent="0.2">
      <c r="A171" s="110"/>
      <c r="B171" s="110"/>
      <c r="C171" s="110"/>
      <c r="D171" s="112"/>
      <c r="E171" s="110"/>
      <c r="F171" s="110"/>
      <c r="G171" s="112"/>
      <c r="H171" s="112"/>
      <c r="I171" s="204"/>
      <c r="J171" s="112"/>
    </row>
    <row r="172" spans="1:10" x14ac:dyDescent="0.2">
      <c r="A172" s="94"/>
      <c r="B172" s="94"/>
      <c r="C172" s="94"/>
      <c r="D172" s="96"/>
      <c r="E172" s="94"/>
      <c r="F172" s="94"/>
      <c r="G172" s="96"/>
      <c r="H172" s="96"/>
      <c r="I172" s="204"/>
      <c r="J172" s="96"/>
    </row>
    <row r="173" spans="1:10" x14ac:dyDescent="0.2">
      <c r="A173" s="110"/>
      <c r="B173" s="110"/>
      <c r="C173" s="110"/>
      <c r="D173" s="112"/>
      <c r="E173" s="110"/>
      <c r="F173" s="110"/>
      <c r="G173" s="112"/>
      <c r="H173" s="112"/>
      <c r="I173" s="204"/>
      <c r="J173" s="112"/>
    </row>
    <row r="174" spans="1:10" x14ac:dyDescent="0.2">
      <c r="A174" s="94"/>
      <c r="B174" s="94"/>
      <c r="C174" s="94"/>
      <c r="D174" s="96"/>
      <c r="E174" s="94"/>
      <c r="F174" s="94"/>
      <c r="G174" s="96"/>
      <c r="H174" s="96"/>
      <c r="I174" s="204"/>
      <c r="J174" s="96"/>
    </row>
    <row r="175" spans="1:10" x14ac:dyDescent="0.2">
      <c r="A175" s="110"/>
      <c r="B175" s="110"/>
      <c r="C175" s="110"/>
      <c r="D175" s="112"/>
      <c r="E175" s="110"/>
      <c r="F175" s="110"/>
      <c r="G175" s="112"/>
      <c r="H175" s="112"/>
      <c r="I175" s="204"/>
      <c r="J175" s="112"/>
    </row>
    <row r="176" spans="1:10" x14ac:dyDescent="0.2">
      <c r="A176" s="94"/>
      <c r="B176" s="94"/>
      <c r="C176" s="94"/>
      <c r="D176" s="96"/>
      <c r="E176" s="94"/>
      <c r="F176" s="94"/>
      <c r="G176" s="96"/>
      <c r="H176" s="96"/>
      <c r="I176" s="204"/>
      <c r="J176" s="96"/>
    </row>
    <row r="177" spans="1:10" x14ac:dyDescent="0.2">
      <c r="A177" s="110"/>
      <c r="B177" s="110"/>
      <c r="C177" s="110"/>
      <c r="D177" s="112"/>
      <c r="E177" s="110"/>
      <c r="F177" s="110"/>
      <c r="G177" s="112"/>
      <c r="H177" s="112"/>
      <c r="I177" s="204"/>
      <c r="J177" s="112"/>
    </row>
    <row r="178" spans="1:10" x14ac:dyDescent="0.2">
      <c r="A178" s="94"/>
      <c r="B178" s="94"/>
      <c r="C178" s="94"/>
      <c r="D178" s="96"/>
      <c r="E178" s="94"/>
      <c r="F178" s="94"/>
      <c r="G178" s="96"/>
      <c r="H178" s="96"/>
      <c r="I178" s="204"/>
      <c r="J178" s="96"/>
    </row>
    <row r="179" spans="1:10" x14ac:dyDescent="0.2">
      <c r="A179" s="110"/>
      <c r="B179" s="110"/>
      <c r="C179" s="110"/>
      <c r="D179" s="112"/>
      <c r="E179" s="110"/>
      <c r="F179" s="110"/>
      <c r="G179" s="112"/>
      <c r="H179" s="112"/>
      <c r="I179" s="204"/>
      <c r="J179" s="112"/>
    </row>
    <row r="180" spans="1:10" x14ac:dyDescent="0.2">
      <c r="A180" s="94"/>
      <c r="B180" s="94"/>
      <c r="C180" s="94"/>
      <c r="D180" s="96"/>
      <c r="E180" s="94"/>
      <c r="F180" s="94"/>
      <c r="G180" s="96"/>
      <c r="H180" s="96"/>
      <c r="I180" s="204"/>
      <c r="J180" s="96"/>
    </row>
    <row r="181" spans="1:10" x14ac:dyDescent="0.2">
      <c r="A181" s="110"/>
      <c r="B181" s="110"/>
      <c r="C181" s="110"/>
      <c r="D181" s="112"/>
      <c r="E181" s="110"/>
      <c r="F181" s="110"/>
      <c r="G181" s="112"/>
      <c r="H181" s="112"/>
      <c r="I181" s="204"/>
      <c r="J181" s="112"/>
    </row>
    <row r="182" spans="1:10" x14ac:dyDescent="0.2">
      <c r="A182" s="94"/>
      <c r="B182" s="94"/>
      <c r="C182" s="94"/>
      <c r="D182" s="96"/>
      <c r="E182" s="94"/>
      <c r="F182" s="94"/>
      <c r="G182" s="96"/>
      <c r="H182" s="96"/>
      <c r="I182" s="204"/>
      <c r="J182" s="96"/>
    </row>
    <row r="183" spans="1:10" x14ac:dyDescent="0.2">
      <c r="A183" s="110"/>
      <c r="B183" s="110"/>
      <c r="C183" s="110"/>
      <c r="D183" s="112"/>
      <c r="E183" s="110"/>
      <c r="F183" s="110"/>
      <c r="G183" s="112"/>
      <c r="H183" s="112"/>
      <c r="I183" s="204"/>
      <c r="J183" s="112"/>
    </row>
    <row r="184" spans="1:10" x14ac:dyDescent="0.2">
      <c r="A184" s="94"/>
      <c r="B184" s="94"/>
      <c r="C184" s="94"/>
      <c r="D184" s="96"/>
      <c r="E184" s="94"/>
      <c r="F184" s="94"/>
      <c r="G184" s="96"/>
      <c r="H184" s="96"/>
      <c r="I184" s="204"/>
      <c r="J184" s="96"/>
    </row>
    <row r="185" spans="1:10" x14ac:dyDescent="0.2">
      <c r="A185" s="110"/>
      <c r="B185" s="110"/>
      <c r="C185" s="110"/>
      <c r="D185" s="112"/>
      <c r="E185" s="110"/>
      <c r="F185" s="110"/>
      <c r="G185" s="112"/>
      <c r="H185" s="112"/>
      <c r="I185" s="204"/>
      <c r="J185" s="112"/>
    </row>
    <row r="186" spans="1:10" x14ac:dyDescent="0.2">
      <c r="A186" s="94"/>
      <c r="B186" s="94"/>
      <c r="C186" s="94"/>
      <c r="D186" s="96"/>
      <c r="E186" s="94"/>
      <c r="F186" s="94"/>
      <c r="G186" s="96"/>
      <c r="H186" s="96"/>
      <c r="I186" s="204"/>
      <c r="J186" s="96"/>
    </row>
    <row r="187" spans="1:10" x14ac:dyDescent="0.2">
      <c r="A187" s="110"/>
      <c r="B187" s="110"/>
      <c r="C187" s="110"/>
      <c r="D187" s="112"/>
      <c r="E187" s="110"/>
      <c r="F187" s="110"/>
      <c r="G187" s="112"/>
      <c r="H187" s="112"/>
      <c r="I187" s="204"/>
      <c r="J187" s="112"/>
    </row>
    <row r="188" spans="1:10" x14ac:dyDescent="0.2">
      <c r="A188" s="94"/>
      <c r="B188" s="94"/>
      <c r="C188" s="94"/>
      <c r="D188" s="96"/>
      <c r="E188" s="94"/>
      <c r="F188" s="94"/>
      <c r="G188" s="96"/>
      <c r="H188" s="96"/>
      <c r="I188" s="204"/>
      <c r="J188" s="96"/>
    </row>
    <row r="189" spans="1:10" x14ac:dyDescent="0.2">
      <c r="A189" s="110"/>
      <c r="B189" s="110"/>
      <c r="C189" s="110"/>
      <c r="D189" s="112"/>
      <c r="E189" s="110"/>
      <c r="F189" s="110"/>
      <c r="G189" s="112"/>
      <c r="H189" s="112"/>
      <c r="I189" s="204"/>
      <c r="J189" s="112"/>
    </row>
    <row r="190" spans="1:10" x14ac:dyDescent="0.2">
      <c r="A190" s="94"/>
      <c r="B190" s="94"/>
      <c r="C190" s="94"/>
      <c r="D190" s="96"/>
      <c r="E190" s="94"/>
      <c r="F190" s="94"/>
      <c r="G190" s="96"/>
      <c r="H190" s="96"/>
      <c r="I190" s="204"/>
      <c r="J190" s="96"/>
    </row>
    <row r="191" spans="1:10" x14ac:dyDescent="0.2">
      <c r="A191" s="110"/>
      <c r="B191" s="110"/>
      <c r="C191" s="110"/>
      <c r="D191" s="112"/>
      <c r="E191" s="110"/>
      <c r="F191" s="110"/>
      <c r="G191" s="112"/>
      <c r="H191" s="112"/>
      <c r="I191" s="204"/>
      <c r="J191" s="112"/>
    </row>
    <row r="192" spans="1:10" x14ac:dyDescent="0.2">
      <c r="A192" s="94"/>
      <c r="B192" s="94"/>
      <c r="C192" s="94"/>
      <c r="D192" s="96"/>
      <c r="E192" s="94"/>
      <c r="F192" s="94"/>
      <c r="G192" s="96"/>
      <c r="H192" s="96"/>
      <c r="I192" s="204"/>
      <c r="J192" s="96"/>
    </row>
    <row r="193" spans="1:10" x14ac:dyDescent="0.2">
      <c r="A193" s="110"/>
      <c r="B193" s="110"/>
      <c r="C193" s="110"/>
      <c r="D193" s="112"/>
      <c r="E193" s="110"/>
      <c r="F193" s="110"/>
      <c r="G193" s="112"/>
      <c r="H193" s="112"/>
      <c r="I193" s="204"/>
      <c r="J193" s="112"/>
    </row>
    <row r="194" spans="1:10" x14ac:dyDescent="0.2">
      <c r="A194" s="94"/>
      <c r="B194" s="94"/>
      <c r="C194" s="94"/>
      <c r="D194" s="96"/>
      <c r="E194" s="94"/>
      <c r="F194" s="94"/>
      <c r="G194" s="96"/>
      <c r="H194" s="96"/>
      <c r="I194" s="204"/>
      <c r="J194" s="96"/>
    </row>
    <row r="195" spans="1:10" x14ac:dyDescent="0.2">
      <c r="A195" s="110"/>
      <c r="B195" s="110"/>
      <c r="C195" s="110"/>
      <c r="D195" s="112"/>
      <c r="E195" s="110"/>
      <c r="F195" s="110"/>
      <c r="G195" s="112"/>
      <c r="H195" s="112"/>
      <c r="I195" s="204"/>
      <c r="J195" s="112"/>
    </row>
    <row r="196" spans="1:10" x14ac:dyDescent="0.2">
      <c r="A196" s="94"/>
      <c r="B196" s="94"/>
      <c r="C196" s="94"/>
      <c r="D196" s="96"/>
      <c r="E196" s="94"/>
      <c r="F196" s="94"/>
      <c r="G196" s="96"/>
      <c r="H196" s="96"/>
      <c r="I196" s="204"/>
      <c r="J196" s="96"/>
    </row>
    <row r="197" spans="1:10" x14ac:dyDescent="0.2">
      <c r="A197" s="110"/>
      <c r="B197" s="110"/>
      <c r="C197" s="110"/>
      <c r="D197" s="112"/>
      <c r="E197" s="110"/>
      <c r="F197" s="110"/>
      <c r="G197" s="112"/>
      <c r="H197" s="112"/>
      <c r="I197" s="204"/>
      <c r="J197" s="112"/>
    </row>
    <row r="198" spans="1:10" x14ac:dyDescent="0.2">
      <c r="A198" s="94"/>
      <c r="B198" s="94"/>
      <c r="C198" s="94"/>
      <c r="D198" s="96"/>
      <c r="E198" s="94"/>
      <c r="F198" s="94"/>
      <c r="G198" s="96"/>
      <c r="H198" s="96"/>
      <c r="I198" s="204"/>
      <c r="J198" s="96"/>
    </row>
    <row r="199" spans="1:10" x14ac:dyDescent="0.2">
      <c r="A199" s="110"/>
      <c r="B199" s="110"/>
      <c r="C199" s="110"/>
      <c r="D199" s="112"/>
      <c r="E199" s="110"/>
      <c r="F199" s="110"/>
      <c r="G199" s="112"/>
      <c r="H199" s="112"/>
      <c r="I199" s="204"/>
      <c r="J199" s="112"/>
    </row>
    <row r="200" spans="1:10" x14ac:dyDescent="0.2">
      <c r="A200" s="94"/>
      <c r="B200" s="94"/>
      <c r="C200" s="94"/>
      <c r="D200" s="96"/>
      <c r="E200" s="94"/>
      <c r="F200" s="94"/>
      <c r="G200" s="96"/>
      <c r="H200" s="96"/>
      <c r="I200" s="204"/>
      <c r="J200" s="96"/>
    </row>
  </sheetData>
  <mergeCells count="3">
    <mergeCell ref="A1:J1"/>
    <mergeCell ref="A107:F107"/>
    <mergeCell ref="A2:J2"/>
  </mergeCells>
  <conditionalFormatting sqref="I5:I200">
    <cfRule type="cellIs" dxfId="14" priority="1" operator="greaterThan">
      <formula>0</formula>
    </cfRule>
  </conditionalFormatting>
  <dataValidations count="1">
    <dataValidation type="list" allowBlank="1" sqref="B5:B104" xr:uid="{00000000-0002-0000-0700-000000000000}">
      <formula1>"DcSports87,Probstein,PWCC,MyBrick,Goldin,Other"</formula1>
      <formula2>0</formula2>
    </dataValidation>
  </dataValidations>
  <hyperlinks>
    <hyperlink ref="A1" location="'Start Here'!A1" display="🏠 Start Here" xr:uid="{00000000-0004-0000-0700-000000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6"/>
  <sheetViews>
    <sheetView workbookViewId="0">
      <pane ySplit="4" topLeftCell="A5" activePane="bottomLeft" state="frozen"/>
      <selection pane="bottomLeft"/>
    </sheetView>
  </sheetViews>
  <sheetFormatPr baseColWidth="10" defaultColWidth="8.83203125" defaultRowHeight="15" x14ac:dyDescent="0.2"/>
  <cols>
    <col min="1" max="1" width="14" customWidth="1"/>
    <col min="2" max="2" width="60" customWidth="1"/>
    <col min="3" max="4" width="14" customWidth="1"/>
    <col min="5" max="5" width="8" customWidth="1"/>
    <col min="6" max="6" width="10" customWidth="1"/>
    <col min="7" max="7" width="24" customWidth="1"/>
    <col min="8" max="8" width="50" customWidth="1"/>
  </cols>
  <sheetData>
    <row r="1" spans="1:8" ht="20" customHeight="1" x14ac:dyDescent="0.2">
      <c r="A1" s="38" t="s">
        <v>118</v>
      </c>
      <c r="B1" s="35"/>
      <c r="C1" s="35"/>
      <c r="D1" s="35"/>
      <c r="E1" s="35"/>
      <c r="F1" s="35"/>
      <c r="G1" s="35"/>
      <c r="H1" s="35"/>
    </row>
    <row r="2" spans="1:8" x14ac:dyDescent="0.2">
      <c r="A2" s="212" t="s">
        <v>488</v>
      </c>
      <c r="B2" s="35"/>
      <c r="C2" s="35"/>
      <c r="D2" s="35"/>
      <c r="E2" s="35"/>
      <c r="F2" s="35"/>
      <c r="G2" s="35"/>
      <c r="H2" s="35"/>
    </row>
    <row r="3" spans="1:8" x14ac:dyDescent="0.2">
      <c r="A3" s="35"/>
      <c r="B3" s="35"/>
      <c r="C3" s="35"/>
      <c r="D3" s="35"/>
      <c r="E3" s="35"/>
      <c r="F3" s="35"/>
      <c r="G3" s="35"/>
      <c r="H3" s="35"/>
    </row>
    <row r="4" spans="1:8" x14ac:dyDescent="0.2">
      <c r="A4" s="213" t="s">
        <v>141</v>
      </c>
      <c r="B4" s="213" t="s">
        <v>461</v>
      </c>
      <c r="C4" s="213" t="s">
        <v>175</v>
      </c>
      <c r="D4" s="213" t="s">
        <v>489</v>
      </c>
      <c r="E4" s="213" t="s">
        <v>490</v>
      </c>
      <c r="F4" s="213" t="s">
        <v>491</v>
      </c>
      <c r="G4" s="213" t="s">
        <v>492</v>
      </c>
      <c r="H4" s="213" t="s">
        <v>493</v>
      </c>
    </row>
    <row r="5" spans="1:8" x14ac:dyDescent="0.2">
      <c r="A5" s="86"/>
      <c r="B5" s="86"/>
      <c r="C5" s="86"/>
      <c r="D5" s="197"/>
      <c r="E5" s="86"/>
      <c r="F5" s="86"/>
      <c r="G5" s="214"/>
      <c r="H5" s="86"/>
    </row>
    <row r="6" spans="1:8" x14ac:dyDescent="0.2">
      <c r="A6" s="215"/>
      <c r="B6" s="215"/>
      <c r="C6" s="215"/>
      <c r="D6" s="216"/>
      <c r="E6" s="215"/>
      <c r="F6" s="215"/>
      <c r="G6" s="215"/>
      <c r="H6" s="215"/>
    </row>
    <row r="7" spans="1:8" x14ac:dyDescent="0.2">
      <c r="A7" s="86"/>
      <c r="B7" s="86"/>
      <c r="C7" s="86"/>
      <c r="D7" s="197"/>
      <c r="E7" s="86"/>
      <c r="F7" s="86"/>
      <c r="G7" s="86"/>
      <c r="H7" s="86"/>
    </row>
    <row r="8" spans="1:8" x14ac:dyDescent="0.2">
      <c r="A8" s="215"/>
      <c r="B8" s="215"/>
      <c r="C8" s="215"/>
      <c r="D8" s="216"/>
      <c r="E8" s="215"/>
      <c r="F8" s="215"/>
      <c r="G8" s="215"/>
      <c r="H8" s="215"/>
    </row>
    <row r="9" spans="1:8" x14ac:dyDescent="0.2">
      <c r="A9" s="86"/>
      <c r="B9" s="86"/>
      <c r="C9" s="86"/>
      <c r="D9" s="197"/>
      <c r="E9" s="86"/>
      <c r="F9" s="86"/>
      <c r="G9" s="214"/>
      <c r="H9" s="86"/>
    </row>
    <row r="10" spans="1:8" x14ac:dyDescent="0.2">
      <c r="A10" s="215"/>
      <c r="B10" s="215"/>
      <c r="C10" s="215"/>
      <c r="D10" s="216"/>
      <c r="E10" s="215"/>
      <c r="F10" s="215"/>
      <c r="G10" s="217"/>
      <c r="H10" s="215"/>
    </row>
    <row r="11" spans="1:8" x14ac:dyDescent="0.2">
      <c r="A11" s="86"/>
      <c r="B11" s="86"/>
      <c r="C11" s="86"/>
      <c r="D11" s="197"/>
      <c r="E11" s="86"/>
      <c r="F11" s="86"/>
      <c r="G11" s="86"/>
      <c r="H11" s="86"/>
    </row>
    <row r="12" spans="1:8" x14ac:dyDescent="0.2">
      <c r="A12" s="215"/>
      <c r="B12" s="215"/>
      <c r="C12" s="215"/>
      <c r="D12" s="216"/>
      <c r="E12" s="215"/>
      <c r="F12" s="215"/>
      <c r="G12" s="218"/>
      <c r="H12" s="215"/>
    </row>
    <row r="13" spans="1:8" x14ac:dyDescent="0.2">
      <c r="A13" s="86"/>
      <c r="B13" s="86"/>
      <c r="C13" s="86"/>
      <c r="D13" s="197"/>
      <c r="E13" s="86"/>
      <c r="F13" s="86"/>
      <c r="G13" s="86"/>
      <c r="H13" s="86"/>
    </row>
    <row r="14" spans="1:8" x14ac:dyDescent="0.2">
      <c r="A14" s="215"/>
      <c r="B14" s="215"/>
      <c r="C14" s="215"/>
      <c r="D14" s="216"/>
      <c r="E14" s="215"/>
      <c r="F14" s="215"/>
      <c r="G14" s="218"/>
      <c r="H14" s="215"/>
    </row>
    <row r="15" spans="1:8" x14ac:dyDescent="0.2">
      <c r="A15" s="86"/>
      <c r="B15" s="86"/>
      <c r="C15" s="86"/>
      <c r="D15" s="197"/>
      <c r="E15" s="86"/>
      <c r="F15" s="86"/>
      <c r="G15" s="218"/>
      <c r="H15" s="86"/>
    </row>
    <row r="16" spans="1:8" x14ac:dyDescent="0.2">
      <c r="A16" s="215"/>
      <c r="B16" s="215"/>
      <c r="C16" s="215"/>
      <c r="D16" s="216"/>
      <c r="E16" s="215"/>
      <c r="F16" s="215"/>
      <c r="G16" s="215"/>
      <c r="H16" s="215"/>
    </row>
    <row r="17" spans="1:8" x14ac:dyDescent="0.2">
      <c r="A17" s="86"/>
      <c r="B17" s="86"/>
      <c r="C17" s="86"/>
      <c r="D17" s="197"/>
      <c r="E17" s="86"/>
      <c r="F17" s="86"/>
      <c r="G17" s="218"/>
      <c r="H17" s="86"/>
    </row>
    <row r="18" spans="1:8" x14ac:dyDescent="0.2">
      <c r="A18" s="215"/>
      <c r="B18" s="215"/>
      <c r="C18" s="215"/>
      <c r="D18" s="216"/>
      <c r="E18" s="215"/>
      <c r="F18" s="215"/>
      <c r="G18" s="215"/>
      <c r="H18" s="215"/>
    </row>
    <row r="19" spans="1:8" x14ac:dyDescent="0.2">
      <c r="A19" s="86"/>
      <c r="B19" s="86"/>
      <c r="C19" s="86"/>
      <c r="D19" s="197"/>
      <c r="E19" s="86"/>
      <c r="F19" s="86"/>
      <c r="G19" s="86"/>
      <c r="H19" s="86"/>
    </row>
    <row r="20" spans="1:8" x14ac:dyDescent="0.2">
      <c r="A20" s="215"/>
      <c r="B20" s="215"/>
      <c r="C20" s="215"/>
      <c r="D20" s="216"/>
      <c r="E20" s="215"/>
      <c r="F20" s="215"/>
      <c r="G20" s="218"/>
      <c r="H20" s="215"/>
    </row>
    <row r="21" spans="1:8" x14ac:dyDescent="0.2">
      <c r="A21" s="86"/>
      <c r="B21" s="86"/>
      <c r="C21" s="86"/>
      <c r="D21" s="197"/>
      <c r="E21" s="86"/>
      <c r="F21" s="86"/>
      <c r="G21" s="86"/>
      <c r="H21" s="86"/>
    </row>
    <row r="22" spans="1:8" x14ac:dyDescent="0.2">
      <c r="A22" s="215"/>
      <c r="B22" s="215"/>
      <c r="C22" s="215"/>
      <c r="D22" s="216"/>
      <c r="E22" s="215"/>
      <c r="F22" s="215"/>
      <c r="G22" s="215"/>
      <c r="H22" s="215"/>
    </row>
    <row r="23" spans="1:8" x14ac:dyDescent="0.2">
      <c r="A23" s="86"/>
      <c r="B23" s="86"/>
      <c r="C23" s="86"/>
      <c r="D23" s="197"/>
      <c r="E23" s="86"/>
      <c r="F23" s="86"/>
      <c r="G23" s="86"/>
      <c r="H23" s="86"/>
    </row>
    <row r="24" spans="1:8" x14ac:dyDescent="0.2">
      <c r="A24" s="215"/>
      <c r="B24" s="215"/>
      <c r="C24" s="215"/>
      <c r="D24" s="216"/>
      <c r="E24" s="215"/>
      <c r="F24" s="215"/>
      <c r="G24" s="215"/>
      <c r="H24" s="215"/>
    </row>
    <row r="25" spans="1:8" x14ac:dyDescent="0.2">
      <c r="A25" s="35"/>
      <c r="B25" s="35"/>
      <c r="C25" s="35"/>
      <c r="D25" s="35"/>
      <c r="E25" s="35"/>
      <c r="F25" s="35"/>
      <c r="G25" s="35"/>
      <c r="H25" s="35"/>
    </row>
    <row r="26" spans="1:8" x14ac:dyDescent="0.2">
      <c r="A26" s="219"/>
      <c r="B26" s="35"/>
      <c r="C26" s="35"/>
      <c r="D26" s="220">
        <f>SUM(D5:D24)</f>
        <v>0</v>
      </c>
      <c r="E26" s="35"/>
      <c r="F26" s="35"/>
      <c r="G26" s="35"/>
      <c r="H26" s="35"/>
    </row>
  </sheetData>
  <hyperlinks>
    <hyperlink ref="A1" location="'Start Here'!A1" display="🏠 Start Here"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4"/>
  <sheetViews>
    <sheetView workbookViewId="0">
      <pane ySplit="5" topLeftCell="A6" activePane="bottomLeft" state="frozen"/>
      <selection pane="bottomLeft" sqref="A1:H1"/>
    </sheetView>
  </sheetViews>
  <sheetFormatPr baseColWidth="10" defaultColWidth="8.83203125" defaultRowHeight="15" x14ac:dyDescent="0.2"/>
  <cols>
    <col min="1" max="1" width="14" customWidth="1"/>
    <col min="2" max="2" width="65" customWidth="1"/>
    <col min="3" max="3" width="12" customWidth="1"/>
    <col min="4" max="4" width="10" customWidth="1"/>
    <col min="5" max="5" width="7" customWidth="1"/>
    <col min="6" max="6" width="58" customWidth="1"/>
    <col min="7" max="7" width="9" customWidth="1"/>
    <col min="8" max="8" width="18" customWidth="1"/>
  </cols>
  <sheetData>
    <row r="1" spans="1:8" ht="20" customHeight="1" x14ac:dyDescent="0.2">
      <c r="A1" s="417" t="s">
        <v>118</v>
      </c>
      <c r="B1" s="395"/>
      <c r="C1" s="395"/>
      <c r="D1" s="395"/>
      <c r="E1" s="395"/>
      <c r="F1" s="395"/>
      <c r="G1" s="395"/>
      <c r="H1" s="395"/>
    </row>
    <row r="2" spans="1:8" x14ac:dyDescent="0.2">
      <c r="A2" s="467" t="s">
        <v>494</v>
      </c>
      <c r="B2" s="395"/>
      <c r="C2" s="395"/>
      <c r="D2" s="395"/>
      <c r="E2" s="395"/>
      <c r="F2" s="395"/>
      <c r="G2" s="395"/>
      <c r="H2" s="395"/>
    </row>
    <row r="3" spans="1:8" ht="28" customHeight="1" x14ac:dyDescent="0.2">
      <c r="A3" s="466" t="s">
        <v>495</v>
      </c>
      <c r="B3" s="395"/>
      <c r="C3" s="395"/>
      <c r="D3" s="395"/>
      <c r="E3" s="395"/>
      <c r="F3" s="395"/>
      <c r="G3" s="395"/>
      <c r="H3" s="395"/>
    </row>
    <row r="4" spans="1:8" x14ac:dyDescent="0.2">
      <c r="A4" s="35"/>
      <c r="B4" s="35"/>
      <c r="C4" s="35"/>
      <c r="D4" s="35"/>
      <c r="E4" s="35"/>
      <c r="F4" s="35"/>
      <c r="G4" s="35"/>
      <c r="H4" s="35"/>
    </row>
    <row r="5" spans="1:8" ht="22" customHeight="1" x14ac:dyDescent="0.2">
      <c r="A5" s="213" t="s">
        <v>141</v>
      </c>
      <c r="B5" s="213" t="s">
        <v>461</v>
      </c>
      <c r="C5" s="213" t="s">
        <v>175</v>
      </c>
      <c r="D5" s="213" t="s">
        <v>496</v>
      </c>
      <c r="E5" s="213" t="s">
        <v>490</v>
      </c>
      <c r="F5" s="213" t="s">
        <v>497</v>
      </c>
      <c r="G5" s="213" t="s">
        <v>491</v>
      </c>
      <c r="H5" s="213" t="s">
        <v>498</v>
      </c>
    </row>
    <row r="6" spans="1:8" x14ac:dyDescent="0.2">
      <c r="A6" s="86"/>
      <c r="B6" s="86"/>
      <c r="C6" s="221"/>
      <c r="D6" s="197"/>
      <c r="E6" s="86"/>
      <c r="F6" s="86"/>
      <c r="G6" s="86"/>
      <c r="H6" s="86"/>
    </row>
    <row r="7" spans="1:8" x14ac:dyDescent="0.2">
      <c r="A7" s="215"/>
      <c r="B7" s="215"/>
      <c r="C7" s="221"/>
      <c r="D7" s="216"/>
      <c r="E7" s="215"/>
      <c r="F7" s="215"/>
      <c r="G7" s="215"/>
      <c r="H7" s="215"/>
    </row>
    <row r="8" spans="1:8" x14ac:dyDescent="0.2">
      <c r="A8" s="86"/>
      <c r="B8" s="86"/>
      <c r="C8" s="221"/>
      <c r="D8" s="197"/>
      <c r="E8" s="86"/>
      <c r="F8" s="86"/>
      <c r="G8" s="86"/>
      <c r="H8" s="86"/>
    </row>
    <row r="9" spans="1:8" x14ac:dyDescent="0.2">
      <c r="A9" s="215"/>
      <c r="B9" s="215"/>
      <c r="C9" s="222"/>
      <c r="D9" s="216"/>
      <c r="E9" s="215"/>
      <c r="F9" s="215"/>
      <c r="G9" s="215"/>
      <c r="H9" s="215"/>
    </row>
    <row r="10" spans="1:8" x14ac:dyDescent="0.2">
      <c r="A10" s="86"/>
      <c r="B10" s="86"/>
      <c r="C10" s="90"/>
      <c r="D10" s="197"/>
      <c r="E10" s="86"/>
      <c r="F10" s="86"/>
      <c r="G10" s="86"/>
      <c r="H10" s="86"/>
    </row>
    <row r="11" spans="1:8" x14ac:dyDescent="0.2">
      <c r="A11" s="215"/>
      <c r="B11" s="215"/>
      <c r="C11" s="222"/>
      <c r="D11" s="216"/>
      <c r="E11" s="215"/>
      <c r="F11" s="215"/>
      <c r="G11" s="215"/>
      <c r="H11" s="215"/>
    </row>
    <row r="12" spans="1:8" x14ac:dyDescent="0.2">
      <c r="A12" s="86"/>
      <c r="B12" s="86"/>
      <c r="C12" s="90"/>
      <c r="D12" s="197"/>
      <c r="E12" s="86"/>
      <c r="F12" s="86"/>
      <c r="G12" s="86"/>
      <c r="H12" s="86"/>
    </row>
    <row r="13" spans="1:8" x14ac:dyDescent="0.2">
      <c r="A13" s="215"/>
      <c r="B13" s="215"/>
      <c r="C13" s="221"/>
      <c r="D13" s="216"/>
      <c r="E13" s="215"/>
      <c r="F13" s="215"/>
      <c r="G13" s="215"/>
      <c r="H13" s="215"/>
    </row>
    <row r="14" spans="1:8" x14ac:dyDescent="0.2">
      <c r="A14" s="86"/>
      <c r="B14" s="86"/>
      <c r="C14" s="90"/>
      <c r="D14" s="197"/>
      <c r="E14" s="86"/>
      <c r="F14" s="86"/>
      <c r="G14" s="86"/>
      <c r="H14" s="86"/>
    </row>
    <row r="15" spans="1:8" x14ac:dyDescent="0.2">
      <c r="A15" s="215"/>
      <c r="B15" s="215"/>
      <c r="C15" s="221"/>
      <c r="D15" s="216"/>
      <c r="E15" s="215"/>
      <c r="F15" s="215"/>
      <c r="G15" s="215"/>
      <c r="H15" s="215"/>
    </row>
    <row r="16" spans="1:8" x14ac:dyDescent="0.2">
      <c r="A16" s="86"/>
      <c r="B16" s="86"/>
      <c r="C16" s="90"/>
      <c r="D16" s="197"/>
      <c r="E16" s="86"/>
      <c r="F16" s="86"/>
      <c r="G16" s="86"/>
      <c r="H16" s="86"/>
    </row>
    <row r="17" spans="1:8" x14ac:dyDescent="0.2">
      <c r="A17" s="215"/>
      <c r="B17" s="215"/>
      <c r="C17" s="90"/>
      <c r="D17" s="216"/>
      <c r="E17" s="215"/>
      <c r="F17" s="215"/>
      <c r="G17" s="215"/>
      <c r="H17" s="215"/>
    </row>
    <row r="18" spans="1:8" x14ac:dyDescent="0.2">
      <c r="A18" s="86"/>
      <c r="B18" s="86"/>
      <c r="C18" s="221"/>
      <c r="D18" s="197"/>
      <c r="E18" s="86"/>
      <c r="F18" s="86"/>
      <c r="G18" s="86"/>
      <c r="H18" s="86"/>
    </row>
    <row r="19" spans="1:8" x14ac:dyDescent="0.2">
      <c r="A19" s="215"/>
      <c r="B19" s="215"/>
      <c r="C19" s="222"/>
      <c r="D19" s="216"/>
      <c r="E19" s="215"/>
      <c r="F19" s="215"/>
      <c r="G19" s="215"/>
      <c r="H19" s="215"/>
    </row>
    <row r="20" spans="1:8" x14ac:dyDescent="0.2">
      <c r="A20" s="86"/>
      <c r="B20" s="86"/>
      <c r="C20" s="222"/>
      <c r="D20" s="197"/>
      <c r="E20" s="86"/>
      <c r="F20" s="86"/>
      <c r="G20" s="86"/>
      <c r="H20" s="86"/>
    </row>
    <row r="21" spans="1:8" x14ac:dyDescent="0.2">
      <c r="A21" s="215"/>
      <c r="B21" s="215"/>
      <c r="C21" s="90"/>
      <c r="D21" s="216"/>
      <c r="E21" s="215"/>
      <c r="F21" s="215"/>
      <c r="G21" s="215"/>
      <c r="H21" s="215"/>
    </row>
    <row r="22" spans="1:8" x14ac:dyDescent="0.2">
      <c r="A22" s="86"/>
      <c r="B22" s="86"/>
      <c r="C22" s="221"/>
      <c r="D22" s="197"/>
      <c r="E22" s="86"/>
      <c r="F22" s="86"/>
      <c r="G22" s="86"/>
      <c r="H22" s="86"/>
    </row>
    <row r="23" spans="1:8" x14ac:dyDescent="0.2">
      <c r="A23" s="215"/>
      <c r="B23" s="215"/>
      <c r="C23" s="221"/>
      <c r="D23" s="216"/>
      <c r="E23" s="215"/>
      <c r="F23" s="215"/>
      <c r="G23" s="215"/>
      <c r="H23" s="215"/>
    </row>
    <row r="24" spans="1:8" x14ac:dyDescent="0.2">
      <c r="A24" s="86"/>
      <c r="B24" s="86"/>
      <c r="C24" s="90"/>
      <c r="D24" s="197"/>
      <c r="E24" s="86"/>
      <c r="F24" s="86"/>
      <c r="G24" s="86"/>
      <c r="H24" s="86"/>
    </row>
    <row r="25" spans="1:8" x14ac:dyDescent="0.2">
      <c r="A25" s="215"/>
      <c r="B25" s="215"/>
      <c r="C25" s="221"/>
      <c r="D25" s="216"/>
      <c r="E25" s="215"/>
      <c r="F25" s="215"/>
      <c r="G25" s="215"/>
      <c r="H25" s="215"/>
    </row>
    <row r="26" spans="1:8" x14ac:dyDescent="0.2">
      <c r="A26" s="86"/>
      <c r="B26" s="86"/>
      <c r="C26" s="221"/>
      <c r="D26" s="197"/>
      <c r="E26" s="86"/>
      <c r="F26" s="86"/>
      <c r="G26" s="86"/>
      <c r="H26" s="86"/>
    </row>
    <row r="27" spans="1:8" x14ac:dyDescent="0.2">
      <c r="A27" s="215"/>
      <c r="B27" s="215"/>
      <c r="C27" s="221"/>
      <c r="D27" s="216"/>
      <c r="E27" s="215"/>
      <c r="F27" s="215"/>
      <c r="G27" s="215"/>
      <c r="H27" s="215"/>
    </row>
    <row r="28" spans="1:8" x14ac:dyDescent="0.2">
      <c r="A28" s="86"/>
      <c r="B28" s="86"/>
      <c r="C28" s="90"/>
      <c r="D28" s="197"/>
      <c r="E28" s="86"/>
      <c r="F28" s="86"/>
      <c r="G28" s="86"/>
      <c r="H28" s="86"/>
    </row>
    <row r="29" spans="1:8" x14ac:dyDescent="0.2">
      <c r="A29" s="215"/>
      <c r="B29" s="215"/>
      <c r="C29" s="221"/>
      <c r="D29" s="216"/>
      <c r="E29" s="215"/>
      <c r="F29" s="215"/>
      <c r="G29" s="215"/>
      <c r="H29" s="215"/>
    </row>
    <row r="30" spans="1:8" x14ac:dyDescent="0.2">
      <c r="A30" s="86"/>
      <c r="B30" s="86"/>
      <c r="C30" s="221"/>
      <c r="D30" s="197"/>
      <c r="E30" s="86"/>
      <c r="F30" s="86"/>
      <c r="G30" s="86"/>
      <c r="H30" s="86"/>
    </row>
    <row r="31" spans="1:8" x14ac:dyDescent="0.2">
      <c r="A31" s="215"/>
      <c r="B31" s="215"/>
      <c r="C31" s="90"/>
      <c r="D31" s="216"/>
      <c r="E31" s="215"/>
      <c r="F31" s="215"/>
      <c r="G31" s="215"/>
      <c r="H31" s="215"/>
    </row>
    <row r="32" spans="1:8" x14ac:dyDescent="0.2">
      <c r="A32" s="86"/>
      <c r="B32" s="86"/>
      <c r="C32" s="90"/>
      <c r="D32" s="197"/>
      <c r="E32" s="86"/>
      <c r="F32" s="86"/>
      <c r="G32" s="86"/>
      <c r="H32" s="86"/>
    </row>
    <row r="33" spans="1:8" x14ac:dyDescent="0.2">
      <c r="A33" s="215"/>
      <c r="B33" s="215"/>
      <c r="C33" s="90"/>
      <c r="D33" s="216"/>
      <c r="E33" s="215"/>
      <c r="F33" s="215"/>
      <c r="G33" s="215"/>
      <c r="H33" s="215"/>
    </row>
    <row r="34" spans="1:8" x14ac:dyDescent="0.2">
      <c r="A34" s="86"/>
      <c r="B34" s="86"/>
      <c r="C34" s="90"/>
      <c r="D34" s="197"/>
      <c r="E34" s="86"/>
      <c r="F34" s="86"/>
      <c r="G34" s="86"/>
      <c r="H34" s="86"/>
    </row>
    <row r="35" spans="1:8" x14ac:dyDescent="0.2">
      <c r="A35" s="215"/>
      <c r="B35" s="215"/>
      <c r="C35" s="90"/>
      <c r="D35" s="216"/>
      <c r="E35" s="215"/>
      <c r="F35" s="215"/>
      <c r="G35" s="215"/>
      <c r="H35" s="215"/>
    </row>
    <row r="36" spans="1:8" x14ac:dyDescent="0.2">
      <c r="A36" s="86"/>
      <c r="B36" s="86"/>
      <c r="C36" s="221"/>
      <c r="D36" s="197"/>
      <c r="E36" s="86"/>
      <c r="F36" s="86"/>
      <c r="G36" s="86"/>
      <c r="H36" s="86"/>
    </row>
    <row r="37" spans="1:8" x14ac:dyDescent="0.2">
      <c r="A37" s="215"/>
      <c r="B37" s="215"/>
      <c r="C37" s="221"/>
      <c r="D37" s="216"/>
      <c r="E37" s="215"/>
      <c r="F37" s="215"/>
      <c r="G37" s="215"/>
      <c r="H37" s="215"/>
    </row>
    <row r="38" spans="1:8" x14ac:dyDescent="0.2">
      <c r="A38" s="86"/>
      <c r="B38" s="86"/>
      <c r="C38" s="221"/>
      <c r="D38" s="197"/>
      <c r="E38" s="86"/>
      <c r="F38" s="86"/>
      <c r="G38" s="86"/>
      <c r="H38" s="86"/>
    </row>
    <row r="39" spans="1:8" x14ac:dyDescent="0.2">
      <c r="A39" s="215"/>
      <c r="B39" s="215"/>
      <c r="C39" s="90"/>
      <c r="D39" s="216"/>
      <c r="E39" s="215"/>
      <c r="F39" s="215"/>
      <c r="G39" s="215"/>
      <c r="H39" s="215"/>
    </row>
    <row r="40" spans="1:8" x14ac:dyDescent="0.2">
      <c r="A40" s="86"/>
      <c r="B40" s="86"/>
      <c r="C40" s="90"/>
      <c r="D40" s="197"/>
      <c r="E40" s="86"/>
      <c r="F40" s="86"/>
      <c r="G40" s="86"/>
      <c r="H40" s="86"/>
    </row>
    <row r="41" spans="1:8" x14ac:dyDescent="0.2">
      <c r="A41" s="215"/>
      <c r="B41" s="215"/>
      <c r="C41" s="221"/>
      <c r="D41" s="216"/>
      <c r="E41" s="215"/>
      <c r="F41" s="215"/>
      <c r="G41" s="215"/>
      <c r="H41" s="215"/>
    </row>
    <row r="42" spans="1:8" x14ac:dyDescent="0.2">
      <c r="A42" s="86"/>
      <c r="B42" s="86"/>
      <c r="C42" s="222"/>
      <c r="D42" s="197"/>
      <c r="E42" s="86"/>
      <c r="F42" s="86"/>
      <c r="G42" s="86"/>
      <c r="H42" s="86"/>
    </row>
    <row r="43" spans="1:8" x14ac:dyDescent="0.2">
      <c r="A43" s="215"/>
      <c r="B43" s="215"/>
      <c r="C43" s="221"/>
      <c r="D43" s="216"/>
      <c r="E43" s="215"/>
      <c r="F43" s="215"/>
      <c r="G43" s="215"/>
      <c r="H43" s="215"/>
    </row>
    <row r="44" spans="1:8" x14ac:dyDescent="0.2">
      <c r="A44" s="86"/>
      <c r="B44" s="86"/>
      <c r="C44" s="221"/>
      <c r="D44" s="197"/>
      <c r="E44" s="86"/>
      <c r="F44" s="86"/>
      <c r="G44" s="86"/>
      <c r="H44" s="86"/>
    </row>
    <row r="45" spans="1:8" x14ac:dyDescent="0.2">
      <c r="A45" s="215"/>
      <c r="B45" s="215"/>
      <c r="C45" s="90"/>
      <c r="D45" s="216"/>
      <c r="E45" s="215"/>
      <c r="F45" s="215"/>
      <c r="G45" s="215"/>
      <c r="H45" s="215"/>
    </row>
    <row r="46" spans="1:8" x14ac:dyDescent="0.2">
      <c r="A46" s="86"/>
      <c r="B46" s="86"/>
      <c r="C46" s="90"/>
      <c r="D46" s="197"/>
      <c r="E46" s="86"/>
      <c r="F46" s="86"/>
      <c r="G46" s="86"/>
      <c r="H46" s="86"/>
    </row>
    <row r="47" spans="1:8" x14ac:dyDescent="0.2">
      <c r="A47" s="215"/>
      <c r="B47" s="215"/>
      <c r="C47" s="90"/>
      <c r="D47" s="216"/>
      <c r="E47" s="215"/>
      <c r="F47" s="215"/>
      <c r="G47" s="215"/>
      <c r="H47" s="215"/>
    </row>
    <row r="48" spans="1:8" x14ac:dyDescent="0.2">
      <c r="A48" s="86"/>
      <c r="B48" s="86"/>
      <c r="C48" s="90"/>
      <c r="D48" s="197"/>
      <c r="E48" s="86"/>
      <c r="F48" s="86"/>
      <c r="G48" s="86"/>
      <c r="H48" s="86"/>
    </row>
    <row r="49" spans="1:8" x14ac:dyDescent="0.2">
      <c r="A49" s="215"/>
      <c r="B49" s="215"/>
      <c r="C49" s="90"/>
      <c r="D49" s="216"/>
      <c r="E49" s="215"/>
      <c r="F49" s="215"/>
      <c r="G49" s="215"/>
      <c r="H49" s="215"/>
    </row>
    <row r="50" spans="1:8" x14ac:dyDescent="0.2">
      <c r="A50" s="86"/>
      <c r="B50" s="86"/>
      <c r="C50" s="90"/>
      <c r="D50" s="197"/>
      <c r="E50" s="86"/>
      <c r="F50" s="86"/>
      <c r="G50" s="86"/>
      <c r="H50" s="86"/>
    </row>
    <row r="51" spans="1:8" x14ac:dyDescent="0.2">
      <c r="A51" s="215"/>
      <c r="B51" s="215"/>
      <c r="C51" s="90"/>
      <c r="D51" s="216"/>
      <c r="E51" s="215"/>
      <c r="F51" s="215"/>
      <c r="G51" s="215"/>
      <c r="H51" s="215"/>
    </row>
    <row r="52" spans="1:8" x14ac:dyDescent="0.2">
      <c r="A52" s="86"/>
      <c r="B52" s="86"/>
      <c r="C52" s="221"/>
      <c r="D52" s="197"/>
      <c r="E52" s="86"/>
      <c r="F52" s="86"/>
      <c r="G52" s="86"/>
      <c r="H52" s="86"/>
    </row>
    <row r="53" spans="1:8" x14ac:dyDescent="0.2">
      <c r="A53" s="215"/>
      <c r="B53" s="215"/>
      <c r="C53" s="221"/>
      <c r="D53" s="216"/>
      <c r="E53" s="215"/>
      <c r="F53" s="215"/>
      <c r="G53" s="215"/>
      <c r="H53" s="215"/>
    </row>
    <row r="54" spans="1:8" x14ac:dyDescent="0.2">
      <c r="A54" s="86"/>
      <c r="B54" s="86"/>
      <c r="C54" s="90"/>
      <c r="D54" s="197"/>
      <c r="E54" s="86"/>
      <c r="F54" s="86"/>
      <c r="G54" s="86"/>
      <c r="H54" s="86"/>
    </row>
    <row r="55" spans="1:8" x14ac:dyDescent="0.2">
      <c r="A55" s="215"/>
      <c r="B55" s="215"/>
      <c r="C55" s="221"/>
      <c r="D55" s="216"/>
      <c r="E55" s="215"/>
      <c r="F55" s="215"/>
      <c r="G55" s="215"/>
      <c r="H55" s="215"/>
    </row>
    <row r="56" spans="1:8" x14ac:dyDescent="0.2">
      <c r="A56" s="86"/>
      <c r="B56" s="86"/>
      <c r="C56" s="221"/>
      <c r="D56" s="197"/>
      <c r="E56" s="86"/>
      <c r="F56" s="86"/>
      <c r="G56" s="86"/>
      <c r="H56" s="86"/>
    </row>
    <row r="57" spans="1:8" x14ac:dyDescent="0.2">
      <c r="A57" s="215"/>
      <c r="B57" s="215"/>
      <c r="C57" s="90"/>
      <c r="D57" s="216"/>
      <c r="E57" s="215"/>
      <c r="F57" s="215"/>
      <c r="G57" s="215"/>
      <c r="H57" s="215"/>
    </row>
    <row r="58" spans="1:8" x14ac:dyDescent="0.2">
      <c r="A58" s="86"/>
      <c r="B58" s="86"/>
      <c r="C58" s="222"/>
      <c r="D58" s="197"/>
      <c r="E58" s="86"/>
      <c r="F58" s="86"/>
      <c r="G58" s="86"/>
      <c r="H58" s="86"/>
    </row>
    <row r="59" spans="1:8" x14ac:dyDescent="0.2">
      <c r="A59" s="215"/>
      <c r="B59" s="215"/>
      <c r="C59" s="90"/>
      <c r="D59" s="216"/>
      <c r="E59" s="215"/>
      <c r="F59" s="215"/>
      <c r="G59" s="215"/>
      <c r="H59" s="215"/>
    </row>
    <row r="60" spans="1:8" x14ac:dyDescent="0.2">
      <c r="A60" s="86"/>
      <c r="B60" s="86"/>
      <c r="C60" s="90"/>
      <c r="D60" s="197"/>
      <c r="E60" s="86"/>
      <c r="F60" s="86"/>
      <c r="G60" s="86"/>
      <c r="H60" s="86"/>
    </row>
    <row r="61" spans="1:8" x14ac:dyDescent="0.2">
      <c r="A61" s="215"/>
      <c r="B61" s="215"/>
      <c r="C61" s="90"/>
      <c r="D61" s="216"/>
      <c r="E61" s="215"/>
      <c r="F61" s="215"/>
      <c r="G61" s="215"/>
      <c r="H61" s="215"/>
    </row>
    <row r="62" spans="1:8" x14ac:dyDescent="0.2">
      <c r="A62" s="86"/>
      <c r="B62" s="86"/>
      <c r="C62" s="90"/>
      <c r="D62" s="197"/>
      <c r="E62" s="86"/>
      <c r="F62" s="86"/>
      <c r="G62" s="86"/>
      <c r="H62" s="86"/>
    </row>
    <row r="63" spans="1:8" x14ac:dyDescent="0.2">
      <c r="A63" s="215"/>
      <c r="B63" s="215"/>
      <c r="C63" s="90"/>
      <c r="D63" s="216"/>
      <c r="E63" s="215"/>
      <c r="F63" s="215"/>
      <c r="G63" s="215"/>
      <c r="H63" s="215"/>
    </row>
    <row r="64" spans="1:8" x14ac:dyDescent="0.2">
      <c r="A64" s="86"/>
      <c r="B64" s="86"/>
      <c r="C64" s="90"/>
      <c r="D64" s="197"/>
      <c r="E64" s="86"/>
      <c r="F64" s="86"/>
      <c r="G64" s="86"/>
      <c r="H64" s="86"/>
    </row>
    <row r="65" spans="1:8" x14ac:dyDescent="0.2">
      <c r="A65" s="215"/>
      <c r="B65" s="215"/>
      <c r="C65" s="221"/>
      <c r="D65" s="216"/>
      <c r="E65" s="215"/>
      <c r="F65" s="215"/>
      <c r="G65" s="215"/>
      <c r="H65" s="215"/>
    </row>
    <row r="66" spans="1:8" x14ac:dyDescent="0.2">
      <c r="A66" s="86"/>
      <c r="B66" s="86"/>
      <c r="C66" s="221"/>
      <c r="D66" s="197"/>
      <c r="E66" s="86"/>
      <c r="F66" s="86"/>
      <c r="G66" s="86"/>
      <c r="H66" s="86"/>
    </row>
    <row r="67" spans="1:8" x14ac:dyDescent="0.2">
      <c r="A67" s="215"/>
      <c r="B67" s="215"/>
      <c r="C67" s="221"/>
      <c r="D67" s="216"/>
      <c r="E67" s="215"/>
      <c r="F67" s="215"/>
      <c r="G67" s="215"/>
      <c r="H67" s="215"/>
    </row>
    <row r="68" spans="1:8" x14ac:dyDescent="0.2">
      <c r="A68" s="86"/>
      <c r="B68" s="86"/>
      <c r="C68" s="90"/>
      <c r="D68" s="197"/>
      <c r="E68" s="86"/>
      <c r="F68" s="86"/>
      <c r="G68" s="86"/>
      <c r="H68" s="86"/>
    </row>
    <row r="69" spans="1:8" x14ac:dyDescent="0.2">
      <c r="A69" s="215"/>
      <c r="B69" s="215"/>
      <c r="C69" s="223"/>
      <c r="D69" s="216"/>
      <c r="E69" s="215"/>
      <c r="F69" s="215"/>
      <c r="G69" s="215"/>
      <c r="H69" s="215"/>
    </row>
    <row r="70" spans="1:8" x14ac:dyDescent="0.2">
      <c r="A70" s="86"/>
      <c r="B70" s="86"/>
      <c r="C70" s="90"/>
      <c r="D70" s="197"/>
      <c r="E70" s="86"/>
      <c r="F70" s="86"/>
      <c r="G70" s="86"/>
      <c r="H70" s="86"/>
    </row>
    <row r="71" spans="1:8" x14ac:dyDescent="0.2">
      <c r="A71" s="215"/>
      <c r="B71" s="215"/>
      <c r="C71" s="221"/>
      <c r="D71" s="216"/>
      <c r="E71" s="215"/>
      <c r="F71" s="215"/>
      <c r="G71" s="215"/>
      <c r="H71" s="215"/>
    </row>
    <row r="72" spans="1:8" x14ac:dyDescent="0.2">
      <c r="A72" s="86"/>
      <c r="B72" s="86"/>
      <c r="C72" s="221"/>
      <c r="D72" s="197"/>
      <c r="E72" s="86"/>
      <c r="F72" s="86"/>
      <c r="G72" s="86"/>
      <c r="H72" s="86"/>
    </row>
    <row r="73" spans="1:8" x14ac:dyDescent="0.2">
      <c r="A73" s="215"/>
      <c r="B73" s="215"/>
      <c r="C73" s="221"/>
      <c r="D73" s="216"/>
      <c r="E73" s="215"/>
      <c r="F73" s="215"/>
      <c r="G73" s="215"/>
      <c r="H73" s="215"/>
    </row>
    <row r="74" spans="1:8" x14ac:dyDescent="0.2">
      <c r="A74" s="86"/>
      <c r="B74" s="86"/>
      <c r="C74" s="90"/>
      <c r="D74" s="197"/>
      <c r="E74" s="86"/>
      <c r="F74" s="86"/>
      <c r="G74" s="86"/>
      <c r="H74" s="86"/>
    </row>
    <row r="75" spans="1:8" x14ac:dyDescent="0.2">
      <c r="A75" s="215"/>
      <c r="B75" s="215"/>
      <c r="C75" s="90"/>
      <c r="D75" s="216"/>
      <c r="E75" s="215"/>
      <c r="F75" s="215"/>
      <c r="G75" s="215"/>
      <c r="H75" s="215"/>
    </row>
    <row r="76" spans="1:8" x14ac:dyDescent="0.2">
      <c r="A76" s="86"/>
      <c r="B76" s="86"/>
      <c r="C76" s="221"/>
      <c r="D76" s="197"/>
      <c r="E76" s="86"/>
      <c r="F76" s="86"/>
      <c r="G76" s="86"/>
      <c r="H76" s="86"/>
    </row>
    <row r="77" spans="1:8" x14ac:dyDescent="0.2">
      <c r="A77" s="215"/>
      <c r="B77" s="215"/>
      <c r="C77" s="90"/>
      <c r="D77" s="216"/>
      <c r="E77" s="215"/>
      <c r="F77" s="215"/>
      <c r="G77" s="215"/>
      <c r="H77" s="215"/>
    </row>
    <row r="78" spans="1:8" x14ac:dyDescent="0.2">
      <c r="A78" s="86"/>
      <c r="B78" s="86"/>
      <c r="C78" s="221"/>
      <c r="D78" s="197"/>
      <c r="E78" s="86"/>
      <c r="F78" s="86"/>
      <c r="G78" s="86"/>
      <c r="H78" s="86"/>
    </row>
    <row r="79" spans="1:8" x14ac:dyDescent="0.2">
      <c r="A79" s="215"/>
      <c r="B79" s="215"/>
      <c r="C79" s="90"/>
      <c r="D79" s="216"/>
      <c r="E79" s="215"/>
      <c r="F79" s="215"/>
      <c r="G79" s="215"/>
      <c r="H79" s="215"/>
    </row>
    <row r="80" spans="1:8" x14ac:dyDescent="0.2">
      <c r="A80" s="86"/>
      <c r="B80" s="86"/>
      <c r="C80" s="221"/>
      <c r="D80" s="197"/>
      <c r="E80" s="86"/>
      <c r="F80" s="86"/>
      <c r="G80" s="86"/>
      <c r="H80" s="86"/>
    </row>
    <row r="81" spans="1:8" x14ac:dyDescent="0.2">
      <c r="A81" s="35"/>
      <c r="B81" s="35"/>
      <c r="C81" s="35"/>
      <c r="D81" s="35"/>
      <c r="E81" s="35"/>
      <c r="F81" s="35"/>
      <c r="G81" s="35"/>
      <c r="H81" s="35"/>
    </row>
    <row r="82" spans="1:8" x14ac:dyDescent="0.2">
      <c r="A82" s="219"/>
      <c r="B82" s="35"/>
      <c r="C82" s="35"/>
      <c r="D82" s="220">
        <f>SUM(D6:D80)</f>
        <v>0</v>
      </c>
      <c r="E82" s="224" t="e">
        <f>AVERAGE(E6:E80)</f>
        <v>#DIV/0!</v>
      </c>
      <c r="F82" s="35"/>
      <c r="G82" s="35"/>
      <c r="H82" s="35"/>
    </row>
    <row r="83" spans="1:8" x14ac:dyDescent="0.2">
      <c r="A83" s="35"/>
      <c r="B83" s="35"/>
      <c r="C83" s="35"/>
      <c r="D83" s="35"/>
      <c r="E83" s="35"/>
      <c r="F83" s="35"/>
      <c r="G83" s="35"/>
      <c r="H83" s="35"/>
    </row>
    <row r="84" spans="1:8" x14ac:dyDescent="0.2">
      <c r="A84" s="225"/>
      <c r="B84" s="226"/>
      <c r="C84" s="227"/>
      <c r="D84" s="228"/>
      <c r="E84" s="229"/>
      <c r="F84" s="230"/>
      <c r="G84" s="231"/>
      <c r="H84" s="35"/>
    </row>
  </sheetData>
  <mergeCells count="3">
    <mergeCell ref="A3:H3"/>
    <mergeCell ref="A2:H2"/>
    <mergeCell ref="A1:H1"/>
  </mergeCells>
  <hyperlinks>
    <hyperlink ref="A1" location="'Start Here'!A1" display="🏠 Start Here"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04"/>
  <sheetViews>
    <sheetView workbookViewId="0">
      <pane ySplit="4" topLeftCell="A91" activePane="bottomLeft" state="frozen"/>
      <selection pane="bottomLeft" activeCell="F14" sqref="F14"/>
    </sheetView>
  </sheetViews>
  <sheetFormatPr baseColWidth="10" defaultColWidth="8.83203125" defaultRowHeight="15" x14ac:dyDescent="0.2"/>
  <cols>
    <col min="1" max="3" width="14" customWidth="1"/>
    <col min="4" max="4" width="48" customWidth="1"/>
    <col min="5" max="5" width="16" customWidth="1"/>
    <col min="6" max="7" width="13" customWidth="1"/>
    <col min="8" max="8" width="11" customWidth="1"/>
    <col min="9" max="9" width="12" customWidth="1"/>
    <col min="10" max="10" width="20" customWidth="1"/>
    <col min="11" max="11" width="32" customWidth="1"/>
  </cols>
  <sheetData>
    <row r="1" spans="1:11" ht="24" customHeight="1" x14ac:dyDescent="0.2">
      <c r="A1" s="40" t="s">
        <v>118</v>
      </c>
      <c r="B1" s="41"/>
      <c r="C1" s="41"/>
      <c r="D1" s="41"/>
      <c r="E1" s="41"/>
      <c r="F1" s="41"/>
      <c r="G1" s="41"/>
      <c r="H1" s="41"/>
      <c r="I1" s="41"/>
      <c r="J1" s="41"/>
      <c r="K1" s="41"/>
    </row>
    <row r="2" spans="1:11" ht="20" customHeight="1" x14ac:dyDescent="0.2">
      <c r="A2" s="35"/>
      <c r="B2" s="396" t="s">
        <v>499</v>
      </c>
      <c r="C2" s="395"/>
      <c r="D2" s="395"/>
      <c r="E2" s="395"/>
      <c r="F2" s="395"/>
      <c r="G2" s="395"/>
      <c r="H2" s="395"/>
      <c r="I2" s="395"/>
      <c r="J2" s="395"/>
      <c r="K2" s="395"/>
    </row>
    <row r="3" spans="1:11" ht="22" customHeight="1" x14ac:dyDescent="0.2">
      <c r="A3" s="232" t="s">
        <v>500</v>
      </c>
      <c r="B3" s="232" t="s">
        <v>501</v>
      </c>
      <c r="C3" s="232">
        <f>COUNTIF(H5:H504,"Listed")</f>
        <v>0</v>
      </c>
      <c r="D3" s="232" t="s">
        <v>502</v>
      </c>
      <c r="E3" s="232">
        <f>COUNTIF(J5:J504,"STALE — route now")</f>
        <v>0</v>
      </c>
      <c r="F3" s="232" t="s">
        <v>503</v>
      </c>
      <c r="G3" s="233">
        <f>SUMIFS(F5:F504,J5:J504,"STALE — route now")</f>
        <v>0</v>
      </c>
      <c r="H3" s="232" t="s">
        <v>504</v>
      </c>
      <c r="I3" s="234" t="str">
        <f>IFERROR(AVERAGEIF(H5:H504,"Listed",I5:I504),"—")</f>
        <v>—</v>
      </c>
      <c r="J3" s="41"/>
      <c r="K3" s="41"/>
    </row>
    <row r="4" spans="1:11" ht="24" customHeight="1" x14ac:dyDescent="0.2">
      <c r="A4" s="235" t="s">
        <v>505</v>
      </c>
      <c r="B4" s="235" t="s">
        <v>506</v>
      </c>
      <c r="C4" s="235" t="s">
        <v>507</v>
      </c>
      <c r="D4" s="235" t="s">
        <v>461</v>
      </c>
      <c r="E4" s="235" t="s">
        <v>175</v>
      </c>
      <c r="F4" s="235" t="s">
        <v>462</v>
      </c>
      <c r="G4" s="235" t="s">
        <v>489</v>
      </c>
      <c r="H4" s="235" t="s">
        <v>155</v>
      </c>
      <c r="I4" s="235" t="s">
        <v>508</v>
      </c>
      <c r="J4" s="235" t="s">
        <v>509</v>
      </c>
      <c r="K4" s="235" t="s">
        <v>510</v>
      </c>
    </row>
    <row r="5" spans="1:11" ht="18" customHeight="1" x14ac:dyDescent="0.2">
      <c r="A5" s="9"/>
      <c r="B5" s="9"/>
      <c r="C5" s="10"/>
      <c r="D5" s="236"/>
      <c r="E5" s="10"/>
      <c r="F5" s="237"/>
      <c r="G5" s="237"/>
      <c r="H5" s="238"/>
      <c r="I5" s="239"/>
      <c r="J5" s="240"/>
      <c r="K5" s="241"/>
    </row>
    <row r="6" spans="1:11" ht="18" customHeight="1" x14ac:dyDescent="0.2">
      <c r="A6" s="11"/>
      <c r="B6" s="11"/>
      <c r="C6" s="12"/>
      <c r="D6" s="242"/>
      <c r="E6" s="12"/>
      <c r="F6" s="243"/>
      <c r="G6" s="243"/>
      <c r="H6" s="238"/>
      <c r="I6" s="244"/>
      <c r="J6" s="240"/>
      <c r="K6" s="245"/>
    </row>
    <row r="7" spans="1:11" ht="18" customHeight="1" x14ac:dyDescent="0.2">
      <c r="A7" s="9"/>
      <c r="B7" s="9"/>
      <c r="C7" s="10"/>
      <c r="D7" s="236"/>
      <c r="E7" s="10"/>
      <c r="F7" s="237"/>
      <c r="G7" s="237"/>
      <c r="H7" s="238"/>
      <c r="I7" s="239"/>
      <c r="J7" s="240"/>
      <c r="K7" s="241"/>
    </row>
    <row r="8" spans="1:11" ht="18" customHeight="1" x14ac:dyDescent="0.2">
      <c r="A8" s="246"/>
      <c r="B8" s="246"/>
      <c r="C8" s="247"/>
      <c r="D8" s="248"/>
      <c r="E8" s="247"/>
      <c r="F8" s="249"/>
      <c r="G8" s="249"/>
      <c r="H8" s="247"/>
      <c r="I8" s="244"/>
      <c r="J8" s="240"/>
      <c r="K8" s="245"/>
    </row>
    <row r="9" spans="1:11" ht="18" customHeight="1" x14ac:dyDescent="0.2">
      <c r="A9" s="250"/>
      <c r="B9" s="250"/>
      <c r="C9" s="251"/>
      <c r="D9" s="252"/>
      <c r="E9" s="251"/>
      <c r="F9" s="253"/>
      <c r="G9" s="253"/>
      <c r="H9" s="251"/>
      <c r="I9" s="239" t="str">
        <f ca="1">IF(OR(B9="",H9="Sold"),"—",TODAY()-B9)</f>
        <v>—</v>
      </c>
      <c r="J9" s="240" t="str">
        <f>IF(OR(B9="",H9="Sold"),"",IF(I9="—","",IF(I9&gt;=60,"STALE — route now",IF(I9&gt;=30,"Aging — watch",IF(I9&gt;=0,"Fresh","")))))</f>
        <v/>
      </c>
      <c r="K9" s="241" t="str">
        <f>IF(J9="STALE — route now","→ Send to consignment batch",IF(J9="Aging — watch","→ Consider 10% price drop",IF(J9="Fresh","→ Hold &amp; monitor","")))</f>
        <v/>
      </c>
    </row>
    <row r="10" spans="1:11" ht="36" customHeight="1" x14ac:dyDescent="0.2">
      <c r="A10" s="468"/>
      <c r="B10" s="469"/>
      <c r="C10" s="469"/>
      <c r="D10" s="469"/>
      <c r="E10" s="469"/>
      <c r="F10" s="469"/>
      <c r="G10" s="469"/>
      <c r="H10" s="469"/>
      <c r="I10" s="469"/>
      <c r="J10" s="469"/>
      <c r="K10" s="470"/>
    </row>
    <row r="11" spans="1:11" ht="18" customHeight="1" x14ac:dyDescent="0.2">
      <c r="A11" s="250"/>
      <c r="B11" s="250"/>
      <c r="C11" s="251"/>
      <c r="D11" s="252"/>
      <c r="E11" s="251"/>
      <c r="F11" s="253"/>
      <c r="G11" s="253"/>
      <c r="H11" s="251"/>
      <c r="I11" s="239" t="str">
        <f t="shared" ref="I11:I74" ca="1" si="0">IF(OR(B11="",H11="Sold"),"—",TODAY()-B11)</f>
        <v>—</v>
      </c>
      <c r="J11" s="240" t="str">
        <f t="shared" ref="J11:J74" si="1">IF(OR(B11="",H11="Sold"),"",IF(I11="—","",IF(I11&gt;=60,"STALE — route now",IF(I11&gt;=30,"Aging — watch",IF(I11&gt;=0,"Fresh","")))))</f>
        <v/>
      </c>
      <c r="K11" s="241" t="str">
        <f t="shared" ref="K11:K74" si="2">IF(J11="STALE — route now","→ Send to consignment batch",IF(J11="Aging — watch","→ Consider 10% price drop",IF(J11="Fresh","→ Hold &amp; monitor","")))</f>
        <v/>
      </c>
    </row>
    <row r="12" spans="1:11" ht="18" customHeight="1" x14ac:dyDescent="0.2">
      <c r="A12" s="246"/>
      <c r="B12" s="246"/>
      <c r="C12" s="247"/>
      <c r="D12" s="248"/>
      <c r="E12" s="247"/>
      <c r="F12" s="249"/>
      <c r="G12" s="249"/>
      <c r="H12" s="247"/>
      <c r="I12" s="244" t="str">
        <f t="shared" ca="1" si="0"/>
        <v>—</v>
      </c>
      <c r="J12" s="240" t="str">
        <f t="shared" si="1"/>
        <v/>
      </c>
      <c r="K12" s="245" t="str">
        <f t="shared" si="2"/>
        <v/>
      </c>
    </row>
    <row r="13" spans="1:11" ht="18" customHeight="1" x14ac:dyDescent="0.2">
      <c r="A13" s="250"/>
      <c r="B13" s="250"/>
      <c r="C13" s="251"/>
      <c r="D13" s="252"/>
      <c r="E13" s="251"/>
      <c r="F13" s="253"/>
      <c r="G13" s="253"/>
      <c r="H13" s="251"/>
      <c r="I13" s="239" t="str">
        <f t="shared" ca="1" si="0"/>
        <v>—</v>
      </c>
      <c r="J13" s="240" t="str">
        <f t="shared" si="1"/>
        <v/>
      </c>
      <c r="K13" s="241" t="str">
        <f t="shared" si="2"/>
        <v/>
      </c>
    </row>
    <row r="14" spans="1:11" ht="18" customHeight="1" x14ac:dyDescent="0.2">
      <c r="A14" s="246"/>
      <c r="B14" s="246"/>
      <c r="C14" s="247"/>
      <c r="D14" s="248"/>
      <c r="E14" s="247"/>
      <c r="F14" s="249"/>
      <c r="G14" s="249"/>
      <c r="H14" s="247"/>
      <c r="I14" s="244" t="str">
        <f t="shared" ca="1" si="0"/>
        <v>—</v>
      </c>
      <c r="J14" s="240" t="str">
        <f t="shared" si="1"/>
        <v/>
      </c>
      <c r="K14" s="245" t="str">
        <f t="shared" si="2"/>
        <v/>
      </c>
    </row>
    <row r="15" spans="1:11" ht="18" customHeight="1" x14ac:dyDescent="0.2">
      <c r="A15" s="250"/>
      <c r="B15" s="250"/>
      <c r="C15" s="251"/>
      <c r="D15" s="252"/>
      <c r="E15" s="251"/>
      <c r="F15" s="253"/>
      <c r="G15" s="253"/>
      <c r="H15" s="251"/>
      <c r="I15" s="239" t="str">
        <f t="shared" ca="1" si="0"/>
        <v>—</v>
      </c>
      <c r="J15" s="240" t="str">
        <f t="shared" si="1"/>
        <v/>
      </c>
      <c r="K15" s="241" t="str">
        <f t="shared" si="2"/>
        <v/>
      </c>
    </row>
    <row r="16" spans="1:11" ht="18" customHeight="1" x14ac:dyDescent="0.2">
      <c r="A16" s="246"/>
      <c r="B16" s="246"/>
      <c r="C16" s="247"/>
      <c r="D16" s="248"/>
      <c r="E16" s="247"/>
      <c r="F16" s="249"/>
      <c r="G16" s="249"/>
      <c r="H16" s="247"/>
      <c r="I16" s="244" t="str">
        <f t="shared" ca="1" si="0"/>
        <v>—</v>
      </c>
      <c r="J16" s="240" t="str">
        <f t="shared" si="1"/>
        <v/>
      </c>
      <c r="K16" s="245" t="str">
        <f t="shared" si="2"/>
        <v/>
      </c>
    </row>
    <row r="17" spans="1:11" ht="18" customHeight="1" x14ac:dyDescent="0.2">
      <c r="A17" s="250"/>
      <c r="B17" s="250"/>
      <c r="C17" s="251"/>
      <c r="D17" s="252"/>
      <c r="E17" s="251"/>
      <c r="F17" s="253"/>
      <c r="G17" s="253"/>
      <c r="H17" s="251"/>
      <c r="I17" s="239" t="str">
        <f t="shared" ca="1" si="0"/>
        <v>—</v>
      </c>
      <c r="J17" s="240" t="str">
        <f t="shared" si="1"/>
        <v/>
      </c>
      <c r="K17" s="241" t="str">
        <f t="shared" si="2"/>
        <v/>
      </c>
    </row>
    <row r="18" spans="1:11" ht="18" customHeight="1" x14ac:dyDescent="0.2">
      <c r="A18" s="246"/>
      <c r="B18" s="246"/>
      <c r="C18" s="247"/>
      <c r="D18" s="248"/>
      <c r="E18" s="247"/>
      <c r="F18" s="249"/>
      <c r="G18" s="249"/>
      <c r="H18" s="247"/>
      <c r="I18" s="244" t="str">
        <f t="shared" ca="1" si="0"/>
        <v>—</v>
      </c>
      <c r="J18" s="240" t="str">
        <f t="shared" si="1"/>
        <v/>
      </c>
      <c r="K18" s="245" t="str">
        <f t="shared" si="2"/>
        <v/>
      </c>
    </row>
    <row r="19" spans="1:11" ht="18" customHeight="1" x14ac:dyDescent="0.2">
      <c r="A19" s="250"/>
      <c r="B19" s="250"/>
      <c r="C19" s="251"/>
      <c r="D19" s="252"/>
      <c r="E19" s="251"/>
      <c r="F19" s="253"/>
      <c r="G19" s="253"/>
      <c r="H19" s="251"/>
      <c r="I19" s="239" t="str">
        <f t="shared" ca="1" si="0"/>
        <v>—</v>
      </c>
      <c r="J19" s="240" t="str">
        <f t="shared" si="1"/>
        <v/>
      </c>
      <c r="K19" s="241" t="str">
        <f t="shared" si="2"/>
        <v/>
      </c>
    </row>
    <row r="20" spans="1:11" ht="18" customHeight="1" x14ac:dyDescent="0.2">
      <c r="A20" s="246"/>
      <c r="B20" s="246"/>
      <c r="C20" s="247"/>
      <c r="D20" s="248"/>
      <c r="E20" s="247"/>
      <c r="F20" s="249"/>
      <c r="G20" s="249"/>
      <c r="H20" s="247"/>
      <c r="I20" s="244" t="str">
        <f t="shared" ca="1" si="0"/>
        <v>—</v>
      </c>
      <c r="J20" s="240" t="str">
        <f t="shared" si="1"/>
        <v/>
      </c>
      <c r="K20" s="245" t="str">
        <f t="shared" si="2"/>
        <v/>
      </c>
    </row>
    <row r="21" spans="1:11" ht="18" customHeight="1" x14ac:dyDescent="0.2">
      <c r="A21" s="250"/>
      <c r="B21" s="250"/>
      <c r="C21" s="251"/>
      <c r="D21" s="252"/>
      <c r="E21" s="251"/>
      <c r="F21" s="253"/>
      <c r="G21" s="253"/>
      <c r="H21" s="251"/>
      <c r="I21" s="239" t="str">
        <f t="shared" ca="1" si="0"/>
        <v>—</v>
      </c>
      <c r="J21" s="240" t="str">
        <f t="shared" si="1"/>
        <v/>
      </c>
      <c r="K21" s="241" t="str">
        <f t="shared" si="2"/>
        <v/>
      </c>
    </row>
    <row r="22" spans="1:11" ht="18" customHeight="1" x14ac:dyDescent="0.2">
      <c r="A22" s="246"/>
      <c r="B22" s="246"/>
      <c r="C22" s="247"/>
      <c r="D22" s="248"/>
      <c r="E22" s="247"/>
      <c r="F22" s="249"/>
      <c r="G22" s="249"/>
      <c r="H22" s="247"/>
      <c r="I22" s="244" t="str">
        <f t="shared" ca="1" si="0"/>
        <v>—</v>
      </c>
      <c r="J22" s="240" t="str">
        <f t="shared" si="1"/>
        <v/>
      </c>
      <c r="K22" s="245" t="str">
        <f t="shared" si="2"/>
        <v/>
      </c>
    </row>
    <row r="23" spans="1:11" ht="18" customHeight="1" x14ac:dyDescent="0.2">
      <c r="A23" s="250"/>
      <c r="B23" s="250"/>
      <c r="C23" s="251"/>
      <c r="D23" s="252"/>
      <c r="E23" s="251"/>
      <c r="F23" s="253"/>
      <c r="G23" s="253"/>
      <c r="H23" s="251"/>
      <c r="I23" s="239" t="str">
        <f t="shared" ca="1" si="0"/>
        <v>—</v>
      </c>
      <c r="J23" s="240" t="str">
        <f t="shared" si="1"/>
        <v/>
      </c>
      <c r="K23" s="241" t="str">
        <f t="shared" si="2"/>
        <v/>
      </c>
    </row>
    <row r="24" spans="1:11" ht="18" customHeight="1" x14ac:dyDescent="0.2">
      <c r="A24" s="246"/>
      <c r="B24" s="246"/>
      <c r="C24" s="247"/>
      <c r="D24" s="248"/>
      <c r="E24" s="247"/>
      <c r="F24" s="249"/>
      <c r="G24" s="249"/>
      <c r="H24" s="247"/>
      <c r="I24" s="244" t="str">
        <f t="shared" ca="1" si="0"/>
        <v>—</v>
      </c>
      <c r="J24" s="240" t="str">
        <f t="shared" si="1"/>
        <v/>
      </c>
      <c r="K24" s="245" t="str">
        <f t="shared" si="2"/>
        <v/>
      </c>
    </row>
    <row r="25" spans="1:11" ht="18" customHeight="1" x14ac:dyDescent="0.2">
      <c r="A25" s="250"/>
      <c r="B25" s="250"/>
      <c r="C25" s="251"/>
      <c r="D25" s="252"/>
      <c r="E25" s="251"/>
      <c r="F25" s="253"/>
      <c r="G25" s="253"/>
      <c r="H25" s="251"/>
      <c r="I25" s="239" t="str">
        <f t="shared" ca="1" si="0"/>
        <v>—</v>
      </c>
      <c r="J25" s="240" t="str">
        <f t="shared" si="1"/>
        <v/>
      </c>
      <c r="K25" s="241" t="str">
        <f t="shared" si="2"/>
        <v/>
      </c>
    </row>
    <row r="26" spans="1:11" ht="18" customHeight="1" x14ac:dyDescent="0.2">
      <c r="A26" s="246"/>
      <c r="B26" s="246"/>
      <c r="C26" s="247"/>
      <c r="D26" s="248"/>
      <c r="E26" s="247"/>
      <c r="F26" s="249"/>
      <c r="G26" s="249"/>
      <c r="H26" s="247"/>
      <c r="I26" s="244" t="str">
        <f t="shared" ca="1" si="0"/>
        <v>—</v>
      </c>
      <c r="J26" s="240" t="str">
        <f t="shared" si="1"/>
        <v/>
      </c>
      <c r="K26" s="245" t="str">
        <f t="shared" si="2"/>
        <v/>
      </c>
    </row>
    <row r="27" spans="1:11" ht="18" customHeight="1" x14ac:dyDescent="0.2">
      <c r="A27" s="250"/>
      <c r="B27" s="250"/>
      <c r="C27" s="251"/>
      <c r="D27" s="252"/>
      <c r="E27" s="251"/>
      <c r="F27" s="253"/>
      <c r="G27" s="253"/>
      <c r="H27" s="251"/>
      <c r="I27" s="239" t="str">
        <f t="shared" ca="1" si="0"/>
        <v>—</v>
      </c>
      <c r="J27" s="240" t="str">
        <f t="shared" si="1"/>
        <v/>
      </c>
      <c r="K27" s="241" t="str">
        <f t="shared" si="2"/>
        <v/>
      </c>
    </row>
    <row r="28" spans="1:11" ht="18" customHeight="1" x14ac:dyDescent="0.2">
      <c r="A28" s="246"/>
      <c r="B28" s="246"/>
      <c r="C28" s="247"/>
      <c r="D28" s="248"/>
      <c r="E28" s="247"/>
      <c r="F28" s="249"/>
      <c r="G28" s="249"/>
      <c r="H28" s="247"/>
      <c r="I28" s="244" t="str">
        <f t="shared" ca="1" si="0"/>
        <v>—</v>
      </c>
      <c r="J28" s="240" t="str">
        <f t="shared" si="1"/>
        <v/>
      </c>
      <c r="K28" s="245" t="str">
        <f t="shared" si="2"/>
        <v/>
      </c>
    </row>
    <row r="29" spans="1:11" ht="18" customHeight="1" x14ac:dyDescent="0.2">
      <c r="A29" s="250"/>
      <c r="B29" s="250"/>
      <c r="C29" s="251"/>
      <c r="D29" s="252"/>
      <c r="E29" s="251"/>
      <c r="F29" s="253"/>
      <c r="G29" s="253"/>
      <c r="H29" s="251"/>
      <c r="I29" s="239" t="str">
        <f t="shared" ca="1" si="0"/>
        <v>—</v>
      </c>
      <c r="J29" s="240" t="str">
        <f t="shared" si="1"/>
        <v/>
      </c>
      <c r="K29" s="241" t="str">
        <f t="shared" si="2"/>
        <v/>
      </c>
    </row>
    <row r="30" spans="1:11" ht="18" customHeight="1" x14ac:dyDescent="0.2">
      <c r="A30" s="246"/>
      <c r="B30" s="246"/>
      <c r="C30" s="247"/>
      <c r="D30" s="248"/>
      <c r="E30" s="247"/>
      <c r="F30" s="249"/>
      <c r="G30" s="249"/>
      <c r="H30" s="247"/>
      <c r="I30" s="244" t="str">
        <f t="shared" ca="1" si="0"/>
        <v>—</v>
      </c>
      <c r="J30" s="240" t="str">
        <f t="shared" si="1"/>
        <v/>
      </c>
      <c r="K30" s="245" t="str">
        <f t="shared" si="2"/>
        <v/>
      </c>
    </row>
    <row r="31" spans="1:11" ht="18" customHeight="1" x14ac:dyDescent="0.2">
      <c r="A31" s="250"/>
      <c r="B31" s="250"/>
      <c r="C31" s="251"/>
      <c r="D31" s="252"/>
      <c r="E31" s="251"/>
      <c r="F31" s="253"/>
      <c r="G31" s="253"/>
      <c r="H31" s="251"/>
      <c r="I31" s="239" t="str">
        <f t="shared" ca="1" si="0"/>
        <v>—</v>
      </c>
      <c r="J31" s="240" t="str">
        <f t="shared" si="1"/>
        <v/>
      </c>
      <c r="K31" s="241" t="str">
        <f t="shared" si="2"/>
        <v/>
      </c>
    </row>
    <row r="32" spans="1:11" ht="18" customHeight="1" x14ac:dyDescent="0.2">
      <c r="A32" s="246"/>
      <c r="B32" s="246"/>
      <c r="C32" s="247"/>
      <c r="D32" s="248"/>
      <c r="E32" s="247"/>
      <c r="F32" s="249"/>
      <c r="G32" s="249"/>
      <c r="H32" s="247"/>
      <c r="I32" s="244" t="str">
        <f t="shared" ca="1" si="0"/>
        <v>—</v>
      </c>
      <c r="J32" s="240" t="str">
        <f t="shared" si="1"/>
        <v/>
      </c>
      <c r="K32" s="245" t="str">
        <f t="shared" si="2"/>
        <v/>
      </c>
    </row>
    <row r="33" spans="1:11" ht="18" customHeight="1" x14ac:dyDescent="0.2">
      <c r="A33" s="250"/>
      <c r="B33" s="250"/>
      <c r="C33" s="251"/>
      <c r="D33" s="252"/>
      <c r="E33" s="251"/>
      <c r="F33" s="253"/>
      <c r="G33" s="253"/>
      <c r="H33" s="251"/>
      <c r="I33" s="239" t="str">
        <f t="shared" ca="1" si="0"/>
        <v>—</v>
      </c>
      <c r="J33" s="240" t="str">
        <f t="shared" si="1"/>
        <v/>
      </c>
      <c r="K33" s="241" t="str">
        <f t="shared" si="2"/>
        <v/>
      </c>
    </row>
    <row r="34" spans="1:11" ht="18" customHeight="1" x14ac:dyDescent="0.2">
      <c r="A34" s="246"/>
      <c r="B34" s="246"/>
      <c r="C34" s="247"/>
      <c r="D34" s="248"/>
      <c r="E34" s="247"/>
      <c r="F34" s="249"/>
      <c r="G34" s="249"/>
      <c r="H34" s="247"/>
      <c r="I34" s="244" t="str">
        <f t="shared" ca="1" si="0"/>
        <v>—</v>
      </c>
      <c r="J34" s="240" t="str">
        <f t="shared" si="1"/>
        <v/>
      </c>
      <c r="K34" s="245" t="str">
        <f t="shared" si="2"/>
        <v/>
      </c>
    </row>
    <row r="35" spans="1:11" ht="18" customHeight="1" x14ac:dyDescent="0.2">
      <c r="A35" s="250"/>
      <c r="B35" s="250"/>
      <c r="C35" s="251"/>
      <c r="D35" s="252"/>
      <c r="E35" s="251"/>
      <c r="F35" s="253"/>
      <c r="G35" s="253"/>
      <c r="H35" s="251"/>
      <c r="I35" s="239" t="str">
        <f t="shared" ca="1" si="0"/>
        <v>—</v>
      </c>
      <c r="J35" s="240" t="str">
        <f t="shared" si="1"/>
        <v/>
      </c>
      <c r="K35" s="241" t="str">
        <f t="shared" si="2"/>
        <v/>
      </c>
    </row>
    <row r="36" spans="1:11" ht="18" customHeight="1" x14ac:dyDescent="0.2">
      <c r="A36" s="246"/>
      <c r="B36" s="246"/>
      <c r="C36" s="247"/>
      <c r="D36" s="248"/>
      <c r="E36" s="247"/>
      <c r="F36" s="249"/>
      <c r="G36" s="249"/>
      <c r="H36" s="247"/>
      <c r="I36" s="244" t="str">
        <f t="shared" ca="1" si="0"/>
        <v>—</v>
      </c>
      <c r="J36" s="240" t="str">
        <f t="shared" si="1"/>
        <v/>
      </c>
      <c r="K36" s="245" t="str">
        <f t="shared" si="2"/>
        <v/>
      </c>
    </row>
    <row r="37" spans="1:11" ht="18" customHeight="1" x14ac:dyDescent="0.2">
      <c r="A37" s="250"/>
      <c r="B37" s="250"/>
      <c r="C37" s="251"/>
      <c r="D37" s="252"/>
      <c r="E37" s="251"/>
      <c r="F37" s="253"/>
      <c r="G37" s="253"/>
      <c r="H37" s="251"/>
      <c r="I37" s="239" t="str">
        <f t="shared" ca="1" si="0"/>
        <v>—</v>
      </c>
      <c r="J37" s="240" t="str">
        <f t="shared" si="1"/>
        <v/>
      </c>
      <c r="K37" s="241" t="str">
        <f t="shared" si="2"/>
        <v/>
      </c>
    </row>
    <row r="38" spans="1:11" ht="18" customHeight="1" x14ac:dyDescent="0.2">
      <c r="A38" s="246"/>
      <c r="B38" s="246"/>
      <c r="C38" s="247"/>
      <c r="D38" s="248"/>
      <c r="E38" s="247"/>
      <c r="F38" s="249"/>
      <c r="G38" s="249"/>
      <c r="H38" s="247"/>
      <c r="I38" s="244" t="str">
        <f t="shared" ca="1" si="0"/>
        <v>—</v>
      </c>
      <c r="J38" s="240" t="str">
        <f t="shared" si="1"/>
        <v/>
      </c>
      <c r="K38" s="245" t="str">
        <f t="shared" si="2"/>
        <v/>
      </c>
    </row>
    <row r="39" spans="1:11" ht="18" customHeight="1" x14ac:dyDescent="0.2">
      <c r="A39" s="250"/>
      <c r="B39" s="250"/>
      <c r="C39" s="251"/>
      <c r="D39" s="252"/>
      <c r="E39" s="251"/>
      <c r="F39" s="253"/>
      <c r="G39" s="253"/>
      <c r="H39" s="251"/>
      <c r="I39" s="239" t="str">
        <f t="shared" ca="1" si="0"/>
        <v>—</v>
      </c>
      <c r="J39" s="240" t="str">
        <f t="shared" si="1"/>
        <v/>
      </c>
      <c r="K39" s="241" t="str">
        <f t="shared" si="2"/>
        <v/>
      </c>
    </row>
    <row r="40" spans="1:11" ht="18" customHeight="1" x14ac:dyDescent="0.2">
      <c r="A40" s="246"/>
      <c r="B40" s="246"/>
      <c r="C40" s="247"/>
      <c r="D40" s="248"/>
      <c r="E40" s="247"/>
      <c r="F40" s="249"/>
      <c r="G40" s="249"/>
      <c r="H40" s="247"/>
      <c r="I40" s="244" t="str">
        <f t="shared" ca="1" si="0"/>
        <v>—</v>
      </c>
      <c r="J40" s="240" t="str">
        <f t="shared" si="1"/>
        <v/>
      </c>
      <c r="K40" s="245" t="str">
        <f t="shared" si="2"/>
        <v/>
      </c>
    </row>
    <row r="41" spans="1:11" ht="18" customHeight="1" x14ac:dyDescent="0.2">
      <c r="A41" s="250"/>
      <c r="B41" s="250"/>
      <c r="C41" s="251"/>
      <c r="D41" s="252"/>
      <c r="E41" s="251"/>
      <c r="F41" s="253"/>
      <c r="G41" s="253"/>
      <c r="H41" s="251"/>
      <c r="I41" s="239" t="str">
        <f t="shared" ca="1" si="0"/>
        <v>—</v>
      </c>
      <c r="J41" s="240" t="str">
        <f t="shared" si="1"/>
        <v/>
      </c>
      <c r="K41" s="241" t="str">
        <f t="shared" si="2"/>
        <v/>
      </c>
    </row>
    <row r="42" spans="1:11" ht="18" customHeight="1" x14ac:dyDescent="0.2">
      <c r="A42" s="246"/>
      <c r="B42" s="246"/>
      <c r="C42" s="247"/>
      <c r="D42" s="248"/>
      <c r="E42" s="247"/>
      <c r="F42" s="249"/>
      <c r="G42" s="249"/>
      <c r="H42" s="247"/>
      <c r="I42" s="244" t="str">
        <f t="shared" ca="1" si="0"/>
        <v>—</v>
      </c>
      <c r="J42" s="240" t="str">
        <f t="shared" si="1"/>
        <v/>
      </c>
      <c r="K42" s="245" t="str">
        <f t="shared" si="2"/>
        <v/>
      </c>
    </row>
    <row r="43" spans="1:11" ht="18" customHeight="1" x14ac:dyDescent="0.2">
      <c r="A43" s="250"/>
      <c r="B43" s="250"/>
      <c r="C43" s="251"/>
      <c r="D43" s="252"/>
      <c r="E43" s="251"/>
      <c r="F43" s="253"/>
      <c r="G43" s="253"/>
      <c r="H43" s="251"/>
      <c r="I43" s="239" t="str">
        <f t="shared" ca="1" si="0"/>
        <v>—</v>
      </c>
      <c r="J43" s="240" t="str">
        <f t="shared" si="1"/>
        <v/>
      </c>
      <c r="K43" s="241" t="str">
        <f t="shared" si="2"/>
        <v/>
      </c>
    </row>
    <row r="44" spans="1:11" ht="18" customHeight="1" x14ac:dyDescent="0.2">
      <c r="A44" s="246"/>
      <c r="B44" s="246"/>
      <c r="C44" s="247"/>
      <c r="D44" s="248"/>
      <c r="E44" s="247"/>
      <c r="F44" s="249"/>
      <c r="G44" s="249"/>
      <c r="H44" s="247"/>
      <c r="I44" s="244" t="str">
        <f t="shared" ca="1" si="0"/>
        <v>—</v>
      </c>
      <c r="J44" s="240" t="str">
        <f t="shared" si="1"/>
        <v/>
      </c>
      <c r="K44" s="245" t="str">
        <f t="shared" si="2"/>
        <v/>
      </c>
    </row>
    <row r="45" spans="1:11" ht="18" customHeight="1" x14ac:dyDescent="0.2">
      <c r="A45" s="250"/>
      <c r="B45" s="250"/>
      <c r="C45" s="251"/>
      <c r="D45" s="252"/>
      <c r="E45" s="251"/>
      <c r="F45" s="253"/>
      <c r="G45" s="253"/>
      <c r="H45" s="251"/>
      <c r="I45" s="239" t="str">
        <f t="shared" ca="1" si="0"/>
        <v>—</v>
      </c>
      <c r="J45" s="240" t="str">
        <f t="shared" si="1"/>
        <v/>
      </c>
      <c r="K45" s="241" t="str">
        <f t="shared" si="2"/>
        <v/>
      </c>
    </row>
    <row r="46" spans="1:11" ht="18" customHeight="1" x14ac:dyDescent="0.2">
      <c r="A46" s="246"/>
      <c r="B46" s="246"/>
      <c r="C46" s="247"/>
      <c r="D46" s="248"/>
      <c r="E46" s="247"/>
      <c r="F46" s="249"/>
      <c r="G46" s="249"/>
      <c r="H46" s="247"/>
      <c r="I46" s="244" t="str">
        <f t="shared" ca="1" si="0"/>
        <v>—</v>
      </c>
      <c r="J46" s="240" t="str">
        <f t="shared" si="1"/>
        <v/>
      </c>
      <c r="K46" s="245" t="str">
        <f t="shared" si="2"/>
        <v/>
      </c>
    </row>
    <row r="47" spans="1:11" ht="18" customHeight="1" x14ac:dyDescent="0.2">
      <c r="A47" s="250"/>
      <c r="B47" s="250"/>
      <c r="C47" s="251"/>
      <c r="D47" s="252"/>
      <c r="E47" s="251"/>
      <c r="F47" s="253"/>
      <c r="G47" s="253"/>
      <c r="H47" s="251"/>
      <c r="I47" s="239" t="str">
        <f t="shared" ca="1" si="0"/>
        <v>—</v>
      </c>
      <c r="J47" s="240" t="str">
        <f t="shared" si="1"/>
        <v/>
      </c>
      <c r="K47" s="241" t="str">
        <f t="shared" si="2"/>
        <v/>
      </c>
    </row>
    <row r="48" spans="1:11" ht="18" customHeight="1" x14ac:dyDescent="0.2">
      <c r="A48" s="246"/>
      <c r="B48" s="246"/>
      <c r="C48" s="247"/>
      <c r="D48" s="248"/>
      <c r="E48" s="247"/>
      <c r="F48" s="249"/>
      <c r="G48" s="249"/>
      <c r="H48" s="247"/>
      <c r="I48" s="244" t="str">
        <f t="shared" ca="1" si="0"/>
        <v>—</v>
      </c>
      <c r="J48" s="240" t="str">
        <f t="shared" si="1"/>
        <v/>
      </c>
      <c r="K48" s="245" t="str">
        <f t="shared" si="2"/>
        <v/>
      </c>
    </row>
    <row r="49" spans="1:11" ht="18" customHeight="1" x14ac:dyDescent="0.2">
      <c r="A49" s="250"/>
      <c r="B49" s="250"/>
      <c r="C49" s="251"/>
      <c r="D49" s="252"/>
      <c r="E49" s="251"/>
      <c r="F49" s="253"/>
      <c r="G49" s="253"/>
      <c r="H49" s="251"/>
      <c r="I49" s="239" t="str">
        <f t="shared" ca="1" si="0"/>
        <v>—</v>
      </c>
      <c r="J49" s="240" t="str">
        <f t="shared" si="1"/>
        <v/>
      </c>
      <c r="K49" s="241" t="str">
        <f t="shared" si="2"/>
        <v/>
      </c>
    </row>
    <row r="50" spans="1:11" ht="18" customHeight="1" x14ac:dyDescent="0.2">
      <c r="A50" s="246"/>
      <c r="B50" s="246"/>
      <c r="C50" s="247"/>
      <c r="D50" s="248"/>
      <c r="E50" s="247"/>
      <c r="F50" s="249"/>
      <c r="G50" s="249"/>
      <c r="H50" s="247"/>
      <c r="I50" s="244" t="str">
        <f t="shared" ca="1" si="0"/>
        <v>—</v>
      </c>
      <c r="J50" s="240" t="str">
        <f t="shared" si="1"/>
        <v/>
      </c>
      <c r="K50" s="245" t="str">
        <f t="shared" si="2"/>
        <v/>
      </c>
    </row>
    <row r="51" spans="1:11" ht="18" customHeight="1" x14ac:dyDescent="0.2">
      <c r="A51" s="250"/>
      <c r="B51" s="250"/>
      <c r="C51" s="251"/>
      <c r="D51" s="252"/>
      <c r="E51" s="251"/>
      <c r="F51" s="253"/>
      <c r="G51" s="253"/>
      <c r="H51" s="251"/>
      <c r="I51" s="239" t="str">
        <f t="shared" ca="1" si="0"/>
        <v>—</v>
      </c>
      <c r="J51" s="240" t="str">
        <f t="shared" si="1"/>
        <v/>
      </c>
      <c r="K51" s="241" t="str">
        <f t="shared" si="2"/>
        <v/>
      </c>
    </row>
    <row r="52" spans="1:11" ht="18" customHeight="1" x14ac:dyDescent="0.2">
      <c r="A52" s="246"/>
      <c r="B52" s="246"/>
      <c r="C52" s="247"/>
      <c r="D52" s="248"/>
      <c r="E52" s="247"/>
      <c r="F52" s="249"/>
      <c r="G52" s="249"/>
      <c r="H52" s="247"/>
      <c r="I52" s="244" t="str">
        <f t="shared" ca="1" si="0"/>
        <v>—</v>
      </c>
      <c r="J52" s="240" t="str">
        <f t="shared" si="1"/>
        <v/>
      </c>
      <c r="K52" s="245" t="str">
        <f t="shared" si="2"/>
        <v/>
      </c>
    </row>
    <row r="53" spans="1:11" ht="18" customHeight="1" x14ac:dyDescent="0.2">
      <c r="A53" s="250"/>
      <c r="B53" s="250"/>
      <c r="C53" s="251"/>
      <c r="D53" s="252"/>
      <c r="E53" s="251"/>
      <c r="F53" s="253"/>
      <c r="G53" s="253"/>
      <c r="H53" s="251"/>
      <c r="I53" s="239" t="str">
        <f t="shared" ca="1" si="0"/>
        <v>—</v>
      </c>
      <c r="J53" s="240" t="str">
        <f t="shared" si="1"/>
        <v/>
      </c>
      <c r="K53" s="241" t="str">
        <f t="shared" si="2"/>
        <v/>
      </c>
    </row>
    <row r="54" spans="1:11" ht="18" customHeight="1" x14ac:dyDescent="0.2">
      <c r="A54" s="246"/>
      <c r="B54" s="246"/>
      <c r="C54" s="247"/>
      <c r="D54" s="248"/>
      <c r="E54" s="247"/>
      <c r="F54" s="249"/>
      <c r="G54" s="249"/>
      <c r="H54" s="247"/>
      <c r="I54" s="244" t="str">
        <f t="shared" ca="1" si="0"/>
        <v>—</v>
      </c>
      <c r="J54" s="240" t="str">
        <f t="shared" si="1"/>
        <v/>
      </c>
      <c r="K54" s="245" t="str">
        <f t="shared" si="2"/>
        <v/>
      </c>
    </row>
    <row r="55" spans="1:11" ht="18" customHeight="1" x14ac:dyDescent="0.2">
      <c r="A55" s="250"/>
      <c r="B55" s="250"/>
      <c r="C55" s="251"/>
      <c r="D55" s="252"/>
      <c r="E55" s="251"/>
      <c r="F55" s="253"/>
      <c r="G55" s="253"/>
      <c r="H55" s="251"/>
      <c r="I55" s="239" t="str">
        <f t="shared" ca="1" si="0"/>
        <v>—</v>
      </c>
      <c r="J55" s="240" t="str">
        <f t="shared" si="1"/>
        <v/>
      </c>
      <c r="K55" s="241" t="str">
        <f t="shared" si="2"/>
        <v/>
      </c>
    </row>
    <row r="56" spans="1:11" ht="18" customHeight="1" x14ac:dyDescent="0.2">
      <c r="A56" s="246"/>
      <c r="B56" s="246"/>
      <c r="C56" s="247"/>
      <c r="D56" s="248"/>
      <c r="E56" s="247"/>
      <c r="F56" s="249"/>
      <c r="G56" s="249"/>
      <c r="H56" s="247"/>
      <c r="I56" s="244" t="str">
        <f t="shared" ca="1" si="0"/>
        <v>—</v>
      </c>
      <c r="J56" s="240" t="str">
        <f t="shared" si="1"/>
        <v/>
      </c>
      <c r="K56" s="245" t="str">
        <f t="shared" si="2"/>
        <v/>
      </c>
    </row>
    <row r="57" spans="1:11" ht="18" customHeight="1" x14ac:dyDescent="0.2">
      <c r="A57" s="250"/>
      <c r="B57" s="250"/>
      <c r="C57" s="251"/>
      <c r="D57" s="252"/>
      <c r="E57" s="251"/>
      <c r="F57" s="253"/>
      <c r="G57" s="253"/>
      <c r="H57" s="251"/>
      <c r="I57" s="239" t="str">
        <f t="shared" ca="1" si="0"/>
        <v>—</v>
      </c>
      <c r="J57" s="240" t="str">
        <f t="shared" si="1"/>
        <v/>
      </c>
      <c r="K57" s="241" t="str">
        <f t="shared" si="2"/>
        <v/>
      </c>
    </row>
    <row r="58" spans="1:11" ht="18" customHeight="1" x14ac:dyDescent="0.2">
      <c r="A58" s="246"/>
      <c r="B58" s="246"/>
      <c r="C58" s="247"/>
      <c r="D58" s="248"/>
      <c r="E58" s="247"/>
      <c r="F58" s="249"/>
      <c r="G58" s="249"/>
      <c r="H58" s="247"/>
      <c r="I58" s="244" t="str">
        <f t="shared" ca="1" si="0"/>
        <v>—</v>
      </c>
      <c r="J58" s="240" t="str">
        <f t="shared" si="1"/>
        <v/>
      </c>
      <c r="K58" s="245" t="str">
        <f t="shared" si="2"/>
        <v/>
      </c>
    </row>
    <row r="59" spans="1:11" ht="18" customHeight="1" x14ac:dyDescent="0.2">
      <c r="A59" s="250"/>
      <c r="B59" s="250"/>
      <c r="C59" s="251"/>
      <c r="D59" s="252"/>
      <c r="E59" s="251"/>
      <c r="F59" s="253"/>
      <c r="G59" s="253"/>
      <c r="H59" s="251"/>
      <c r="I59" s="239" t="str">
        <f t="shared" ca="1" si="0"/>
        <v>—</v>
      </c>
      <c r="J59" s="240" t="str">
        <f t="shared" si="1"/>
        <v/>
      </c>
      <c r="K59" s="241" t="str">
        <f t="shared" si="2"/>
        <v/>
      </c>
    </row>
    <row r="60" spans="1:11" ht="18" customHeight="1" x14ac:dyDescent="0.2">
      <c r="A60" s="246"/>
      <c r="B60" s="246"/>
      <c r="C60" s="247"/>
      <c r="D60" s="248"/>
      <c r="E60" s="247"/>
      <c r="F60" s="249"/>
      <c r="G60" s="249"/>
      <c r="H60" s="247"/>
      <c r="I60" s="244" t="str">
        <f t="shared" ca="1" si="0"/>
        <v>—</v>
      </c>
      <c r="J60" s="240" t="str">
        <f t="shared" si="1"/>
        <v/>
      </c>
      <c r="K60" s="245" t="str">
        <f t="shared" si="2"/>
        <v/>
      </c>
    </row>
    <row r="61" spans="1:11" ht="18" customHeight="1" x14ac:dyDescent="0.2">
      <c r="A61" s="250"/>
      <c r="B61" s="250"/>
      <c r="C61" s="251"/>
      <c r="D61" s="252"/>
      <c r="E61" s="251"/>
      <c r="F61" s="253"/>
      <c r="G61" s="253"/>
      <c r="H61" s="251"/>
      <c r="I61" s="239" t="str">
        <f t="shared" ca="1" si="0"/>
        <v>—</v>
      </c>
      <c r="J61" s="240" t="str">
        <f t="shared" si="1"/>
        <v/>
      </c>
      <c r="K61" s="241" t="str">
        <f t="shared" si="2"/>
        <v/>
      </c>
    </row>
    <row r="62" spans="1:11" ht="18" customHeight="1" x14ac:dyDescent="0.2">
      <c r="A62" s="246"/>
      <c r="B62" s="246"/>
      <c r="C62" s="247"/>
      <c r="D62" s="248"/>
      <c r="E62" s="247"/>
      <c r="F62" s="249"/>
      <c r="G62" s="249"/>
      <c r="H62" s="247"/>
      <c r="I62" s="244" t="str">
        <f t="shared" ca="1" si="0"/>
        <v>—</v>
      </c>
      <c r="J62" s="240" t="str">
        <f t="shared" si="1"/>
        <v/>
      </c>
      <c r="K62" s="245" t="str">
        <f t="shared" si="2"/>
        <v/>
      </c>
    </row>
    <row r="63" spans="1:11" ht="18" customHeight="1" x14ac:dyDescent="0.2">
      <c r="A63" s="250"/>
      <c r="B63" s="250"/>
      <c r="C63" s="251"/>
      <c r="D63" s="252"/>
      <c r="E63" s="251"/>
      <c r="F63" s="253"/>
      <c r="G63" s="253"/>
      <c r="H63" s="251"/>
      <c r="I63" s="239" t="str">
        <f t="shared" ca="1" si="0"/>
        <v>—</v>
      </c>
      <c r="J63" s="240" t="str">
        <f t="shared" si="1"/>
        <v/>
      </c>
      <c r="K63" s="241" t="str">
        <f t="shared" si="2"/>
        <v/>
      </c>
    </row>
    <row r="64" spans="1:11" ht="18" customHeight="1" x14ac:dyDescent="0.2">
      <c r="A64" s="246"/>
      <c r="B64" s="246"/>
      <c r="C64" s="247"/>
      <c r="D64" s="248"/>
      <c r="E64" s="247"/>
      <c r="F64" s="249"/>
      <c r="G64" s="249"/>
      <c r="H64" s="247"/>
      <c r="I64" s="244" t="str">
        <f t="shared" ca="1" si="0"/>
        <v>—</v>
      </c>
      <c r="J64" s="240" t="str">
        <f t="shared" si="1"/>
        <v/>
      </c>
      <c r="K64" s="245" t="str">
        <f t="shared" si="2"/>
        <v/>
      </c>
    </row>
    <row r="65" spans="1:11" ht="18" customHeight="1" x14ac:dyDescent="0.2">
      <c r="A65" s="250"/>
      <c r="B65" s="250"/>
      <c r="C65" s="251"/>
      <c r="D65" s="252"/>
      <c r="E65" s="251"/>
      <c r="F65" s="253"/>
      <c r="G65" s="253"/>
      <c r="H65" s="251"/>
      <c r="I65" s="239" t="str">
        <f t="shared" ca="1" si="0"/>
        <v>—</v>
      </c>
      <c r="J65" s="240" t="str">
        <f t="shared" si="1"/>
        <v/>
      </c>
      <c r="K65" s="241" t="str">
        <f t="shared" si="2"/>
        <v/>
      </c>
    </row>
    <row r="66" spans="1:11" ht="18" customHeight="1" x14ac:dyDescent="0.2">
      <c r="A66" s="246"/>
      <c r="B66" s="246"/>
      <c r="C66" s="247"/>
      <c r="D66" s="248"/>
      <c r="E66" s="247"/>
      <c r="F66" s="249"/>
      <c r="G66" s="249"/>
      <c r="H66" s="247"/>
      <c r="I66" s="244" t="str">
        <f t="shared" ca="1" si="0"/>
        <v>—</v>
      </c>
      <c r="J66" s="240" t="str">
        <f t="shared" si="1"/>
        <v/>
      </c>
      <c r="K66" s="245" t="str">
        <f t="shared" si="2"/>
        <v/>
      </c>
    </row>
    <row r="67" spans="1:11" ht="18" customHeight="1" x14ac:dyDescent="0.2">
      <c r="A67" s="250"/>
      <c r="B67" s="250"/>
      <c r="C67" s="251"/>
      <c r="D67" s="252"/>
      <c r="E67" s="251"/>
      <c r="F67" s="253"/>
      <c r="G67" s="253"/>
      <c r="H67" s="251"/>
      <c r="I67" s="239" t="str">
        <f t="shared" ca="1" si="0"/>
        <v>—</v>
      </c>
      <c r="J67" s="240" t="str">
        <f t="shared" si="1"/>
        <v/>
      </c>
      <c r="K67" s="241" t="str">
        <f t="shared" si="2"/>
        <v/>
      </c>
    </row>
    <row r="68" spans="1:11" ht="18" customHeight="1" x14ac:dyDescent="0.2">
      <c r="A68" s="246"/>
      <c r="B68" s="246"/>
      <c r="C68" s="247"/>
      <c r="D68" s="248"/>
      <c r="E68" s="247"/>
      <c r="F68" s="249"/>
      <c r="G68" s="249"/>
      <c r="H68" s="247"/>
      <c r="I68" s="244" t="str">
        <f t="shared" ca="1" si="0"/>
        <v>—</v>
      </c>
      <c r="J68" s="240" t="str">
        <f t="shared" si="1"/>
        <v/>
      </c>
      <c r="K68" s="245" t="str">
        <f t="shared" si="2"/>
        <v/>
      </c>
    </row>
    <row r="69" spans="1:11" ht="18" customHeight="1" x14ac:dyDescent="0.2">
      <c r="A69" s="250"/>
      <c r="B69" s="250"/>
      <c r="C69" s="251"/>
      <c r="D69" s="252"/>
      <c r="E69" s="251"/>
      <c r="F69" s="253"/>
      <c r="G69" s="253"/>
      <c r="H69" s="251"/>
      <c r="I69" s="239" t="str">
        <f t="shared" ca="1" si="0"/>
        <v>—</v>
      </c>
      <c r="J69" s="240" t="str">
        <f t="shared" si="1"/>
        <v/>
      </c>
      <c r="K69" s="241" t="str">
        <f t="shared" si="2"/>
        <v/>
      </c>
    </row>
    <row r="70" spans="1:11" ht="18" customHeight="1" x14ac:dyDescent="0.2">
      <c r="A70" s="246"/>
      <c r="B70" s="246"/>
      <c r="C70" s="247"/>
      <c r="D70" s="248"/>
      <c r="E70" s="247"/>
      <c r="F70" s="249"/>
      <c r="G70" s="249"/>
      <c r="H70" s="247"/>
      <c r="I70" s="244" t="str">
        <f t="shared" ca="1" si="0"/>
        <v>—</v>
      </c>
      <c r="J70" s="240" t="str">
        <f t="shared" si="1"/>
        <v/>
      </c>
      <c r="K70" s="245" t="str">
        <f t="shared" si="2"/>
        <v/>
      </c>
    </row>
    <row r="71" spans="1:11" ht="18" customHeight="1" x14ac:dyDescent="0.2">
      <c r="A71" s="250"/>
      <c r="B71" s="250"/>
      <c r="C71" s="251"/>
      <c r="D71" s="252"/>
      <c r="E71" s="251"/>
      <c r="F71" s="253"/>
      <c r="G71" s="253"/>
      <c r="H71" s="251"/>
      <c r="I71" s="239" t="str">
        <f t="shared" ca="1" si="0"/>
        <v>—</v>
      </c>
      <c r="J71" s="240" t="str">
        <f t="shared" si="1"/>
        <v/>
      </c>
      <c r="K71" s="241" t="str">
        <f t="shared" si="2"/>
        <v/>
      </c>
    </row>
    <row r="72" spans="1:11" ht="18" customHeight="1" x14ac:dyDescent="0.2">
      <c r="A72" s="246"/>
      <c r="B72" s="246"/>
      <c r="C72" s="247"/>
      <c r="D72" s="248"/>
      <c r="E72" s="247"/>
      <c r="F72" s="249"/>
      <c r="G72" s="249"/>
      <c r="H72" s="247"/>
      <c r="I72" s="244" t="str">
        <f t="shared" ca="1" si="0"/>
        <v>—</v>
      </c>
      <c r="J72" s="240" t="str">
        <f t="shared" si="1"/>
        <v/>
      </c>
      <c r="K72" s="245" t="str">
        <f t="shared" si="2"/>
        <v/>
      </c>
    </row>
    <row r="73" spans="1:11" ht="18" customHeight="1" x14ac:dyDescent="0.2">
      <c r="A73" s="250"/>
      <c r="B73" s="250"/>
      <c r="C73" s="251"/>
      <c r="D73" s="252"/>
      <c r="E73" s="251"/>
      <c r="F73" s="253"/>
      <c r="G73" s="253"/>
      <c r="H73" s="251"/>
      <c r="I73" s="239" t="str">
        <f t="shared" ca="1" si="0"/>
        <v>—</v>
      </c>
      <c r="J73" s="240" t="str">
        <f t="shared" si="1"/>
        <v/>
      </c>
      <c r="K73" s="241" t="str">
        <f t="shared" si="2"/>
        <v/>
      </c>
    </row>
    <row r="74" spans="1:11" ht="18" customHeight="1" x14ac:dyDescent="0.2">
      <c r="A74" s="246"/>
      <c r="B74" s="246"/>
      <c r="C74" s="247"/>
      <c r="D74" s="248"/>
      <c r="E74" s="247"/>
      <c r="F74" s="249"/>
      <c r="G74" s="249"/>
      <c r="H74" s="247"/>
      <c r="I74" s="244" t="str">
        <f t="shared" ca="1" si="0"/>
        <v>—</v>
      </c>
      <c r="J74" s="240" t="str">
        <f t="shared" si="1"/>
        <v/>
      </c>
      <c r="K74" s="245" t="str">
        <f t="shared" si="2"/>
        <v/>
      </c>
    </row>
    <row r="75" spans="1:11" ht="18" customHeight="1" x14ac:dyDescent="0.2">
      <c r="A75" s="250"/>
      <c r="B75" s="250"/>
      <c r="C75" s="251"/>
      <c r="D75" s="252"/>
      <c r="E75" s="251"/>
      <c r="F75" s="253"/>
      <c r="G75" s="253"/>
      <c r="H75" s="251"/>
      <c r="I75" s="239" t="str">
        <f t="shared" ref="I75:I138" ca="1" si="3">IF(OR(B75="",H75="Sold"),"—",TODAY()-B75)</f>
        <v>—</v>
      </c>
      <c r="J75" s="240" t="str">
        <f t="shared" ref="J75:J138" si="4">IF(OR(B75="",H75="Sold"),"",IF(I75="—","",IF(I75&gt;=60,"STALE — route now",IF(I75&gt;=30,"Aging — watch",IF(I75&gt;=0,"Fresh","")))))</f>
        <v/>
      </c>
      <c r="K75" s="241" t="str">
        <f t="shared" ref="K75:K138" si="5">IF(J75="STALE — route now","→ Send to consignment batch",IF(J75="Aging — watch","→ Consider 10% price drop",IF(J75="Fresh","→ Hold &amp; monitor","")))</f>
        <v/>
      </c>
    </row>
    <row r="76" spans="1:11" ht="18" customHeight="1" x14ac:dyDescent="0.2">
      <c r="A76" s="246"/>
      <c r="B76" s="246"/>
      <c r="C76" s="247"/>
      <c r="D76" s="248"/>
      <c r="E76" s="247"/>
      <c r="F76" s="249"/>
      <c r="G76" s="249"/>
      <c r="H76" s="247"/>
      <c r="I76" s="244" t="str">
        <f t="shared" ca="1" si="3"/>
        <v>—</v>
      </c>
      <c r="J76" s="240" t="str">
        <f t="shared" si="4"/>
        <v/>
      </c>
      <c r="K76" s="245" t="str">
        <f t="shared" si="5"/>
        <v/>
      </c>
    </row>
    <row r="77" spans="1:11" ht="18" customHeight="1" x14ac:dyDescent="0.2">
      <c r="A77" s="250"/>
      <c r="B77" s="250"/>
      <c r="C77" s="251"/>
      <c r="D77" s="252"/>
      <c r="E77" s="251"/>
      <c r="F77" s="253"/>
      <c r="G77" s="253"/>
      <c r="H77" s="251"/>
      <c r="I77" s="239" t="str">
        <f t="shared" ca="1" si="3"/>
        <v>—</v>
      </c>
      <c r="J77" s="240" t="str">
        <f t="shared" si="4"/>
        <v/>
      </c>
      <c r="K77" s="241" t="str">
        <f t="shared" si="5"/>
        <v/>
      </c>
    </row>
    <row r="78" spans="1:11" ht="18" customHeight="1" x14ac:dyDescent="0.2">
      <c r="A78" s="246"/>
      <c r="B78" s="246"/>
      <c r="C78" s="247"/>
      <c r="D78" s="248"/>
      <c r="E78" s="247"/>
      <c r="F78" s="249"/>
      <c r="G78" s="249"/>
      <c r="H78" s="247"/>
      <c r="I78" s="244" t="str">
        <f t="shared" ca="1" si="3"/>
        <v>—</v>
      </c>
      <c r="J78" s="240" t="str">
        <f t="shared" si="4"/>
        <v/>
      </c>
      <c r="K78" s="245" t="str">
        <f t="shared" si="5"/>
        <v/>
      </c>
    </row>
    <row r="79" spans="1:11" ht="18" customHeight="1" x14ac:dyDescent="0.2">
      <c r="A79" s="250"/>
      <c r="B79" s="250"/>
      <c r="C79" s="251"/>
      <c r="D79" s="252"/>
      <c r="E79" s="251"/>
      <c r="F79" s="253"/>
      <c r="G79" s="253"/>
      <c r="H79" s="251"/>
      <c r="I79" s="239" t="str">
        <f t="shared" ca="1" si="3"/>
        <v>—</v>
      </c>
      <c r="J79" s="240" t="str">
        <f t="shared" si="4"/>
        <v/>
      </c>
      <c r="K79" s="241" t="str">
        <f t="shared" si="5"/>
        <v/>
      </c>
    </row>
    <row r="80" spans="1:11" ht="18" customHeight="1" x14ac:dyDescent="0.2">
      <c r="A80" s="246"/>
      <c r="B80" s="246"/>
      <c r="C80" s="247"/>
      <c r="D80" s="248"/>
      <c r="E80" s="247"/>
      <c r="F80" s="249"/>
      <c r="G80" s="249"/>
      <c r="H80" s="247"/>
      <c r="I80" s="244" t="str">
        <f t="shared" ca="1" si="3"/>
        <v>—</v>
      </c>
      <c r="J80" s="240" t="str">
        <f t="shared" si="4"/>
        <v/>
      </c>
      <c r="K80" s="245" t="str">
        <f t="shared" si="5"/>
        <v/>
      </c>
    </row>
    <row r="81" spans="1:11" ht="18" customHeight="1" x14ac:dyDescent="0.2">
      <c r="A81" s="250"/>
      <c r="B81" s="250"/>
      <c r="C81" s="251"/>
      <c r="D81" s="252"/>
      <c r="E81" s="251"/>
      <c r="F81" s="253"/>
      <c r="G81" s="253"/>
      <c r="H81" s="251"/>
      <c r="I81" s="239" t="str">
        <f t="shared" ca="1" si="3"/>
        <v>—</v>
      </c>
      <c r="J81" s="240" t="str">
        <f t="shared" si="4"/>
        <v/>
      </c>
      <c r="K81" s="241" t="str">
        <f t="shared" si="5"/>
        <v/>
      </c>
    </row>
    <row r="82" spans="1:11" ht="18" customHeight="1" x14ac:dyDescent="0.2">
      <c r="A82" s="246"/>
      <c r="B82" s="246"/>
      <c r="C82" s="247"/>
      <c r="D82" s="248"/>
      <c r="E82" s="247"/>
      <c r="F82" s="249"/>
      <c r="G82" s="249"/>
      <c r="H82" s="247"/>
      <c r="I82" s="244" t="str">
        <f t="shared" ca="1" si="3"/>
        <v>—</v>
      </c>
      <c r="J82" s="240" t="str">
        <f t="shared" si="4"/>
        <v/>
      </c>
      <c r="K82" s="245" t="str">
        <f t="shared" si="5"/>
        <v/>
      </c>
    </row>
    <row r="83" spans="1:11" ht="18" customHeight="1" x14ac:dyDescent="0.2">
      <c r="A83" s="250"/>
      <c r="B83" s="250"/>
      <c r="C83" s="251"/>
      <c r="D83" s="252"/>
      <c r="E83" s="251"/>
      <c r="F83" s="253"/>
      <c r="G83" s="253"/>
      <c r="H83" s="251"/>
      <c r="I83" s="239" t="str">
        <f t="shared" ca="1" si="3"/>
        <v>—</v>
      </c>
      <c r="J83" s="240" t="str">
        <f t="shared" si="4"/>
        <v/>
      </c>
      <c r="K83" s="241" t="str">
        <f t="shared" si="5"/>
        <v/>
      </c>
    </row>
    <row r="84" spans="1:11" ht="18" customHeight="1" x14ac:dyDescent="0.2">
      <c r="A84" s="246"/>
      <c r="B84" s="246"/>
      <c r="C84" s="247"/>
      <c r="D84" s="248"/>
      <c r="E84" s="247"/>
      <c r="F84" s="249"/>
      <c r="G84" s="249"/>
      <c r="H84" s="247"/>
      <c r="I84" s="244" t="str">
        <f t="shared" ca="1" si="3"/>
        <v>—</v>
      </c>
      <c r="J84" s="240" t="str">
        <f t="shared" si="4"/>
        <v/>
      </c>
      <c r="K84" s="245" t="str">
        <f t="shared" si="5"/>
        <v/>
      </c>
    </row>
    <row r="85" spans="1:11" ht="18" customHeight="1" x14ac:dyDescent="0.2">
      <c r="A85" s="250"/>
      <c r="B85" s="250"/>
      <c r="C85" s="251"/>
      <c r="D85" s="252"/>
      <c r="E85" s="251"/>
      <c r="F85" s="253"/>
      <c r="G85" s="253"/>
      <c r="H85" s="251"/>
      <c r="I85" s="239" t="str">
        <f t="shared" ca="1" si="3"/>
        <v>—</v>
      </c>
      <c r="J85" s="240" t="str">
        <f t="shared" si="4"/>
        <v/>
      </c>
      <c r="K85" s="241" t="str">
        <f t="shared" si="5"/>
        <v/>
      </c>
    </row>
    <row r="86" spans="1:11" ht="18" customHeight="1" x14ac:dyDescent="0.2">
      <c r="A86" s="246"/>
      <c r="B86" s="246"/>
      <c r="C86" s="247"/>
      <c r="D86" s="248"/>
      <c r="E86" s="247"/>
      <c r="F86" s="249"/>
      <c r="G86" s="249"/>
      <c r="H86" s="247"/>
      <c r="I86" s="244" t="str">
        <f t="shared" ca="1" si="3"/>
        <v>—</v>
      </c>
      <c r="J86" s="240" t="str">
        <f t="shared" si="4"/>
        <v/>
      </c>
      <c r="K86" s="245" t="str">
        <f t="shared" si="5"/>
        <v/>
      </c>
    </row>
    <row r="87" spans="1:11" ht="18" customHeight="1" x14ac:dyDescent="0.2">
      <c r="A87" s="250"/>
      <c r="B87" s="250"/>
      <c r="C87" s="251"/>
      <c r="D87" s="252"/>
      <c r="E87" s="251"/>
      <c r="F87" s="253"/>
      <c r="G87" s="253"/>
      <c r="H87" s="251"/>
      <c r="I87" s="239" t="str">
        <f t="shared" ca="1" si="3"/>
        <v>—</v>
      </c>
      <c r="J87" s="240" t="str">
        <f t="shared" si="4"/>
        <v/>
      </c>
      <c r="K87" s="241" t="str">
        <f t="shared" si="5"/>
        <v/>
      </c>
    </row>
    <row r="88" spans="1:11" ht="18" customHeight="1" x14ac:dyDescent="0.2">
      <c r="A88" s="246"/>
      <c r="B88" s="246"/>
      <c r="C88" s="247"/>
      <c r="D88" s="248"/>
      <c r="E88" s="247"/>
      <c r="F88" s="249"/>
      <c r="G88" s="249"/>
      <c r="H88" s="247"/>
      <c r="I88" s="244" t="str">
        <f t="shared" ca="1" si="3"/>
        <v>—</v>
      </c>
      <c r="J88" s="240" t="str">
        <f t="shared" si="4"/>
        <v/>
      </c>
      <c r="K88" s="245" t="str">
        <f t="shared" si="5"/>
        <v/>
      </c>
    </row>
    <row r="89" spans="1:11" ht="18" customHeight="1" x14ac:dyDescent="0.2">
      <c r="A89" s="250"/>
      <c r="B89" s="250"/>
      <c r="C89" s="251"/>
      <c r="D89" s="252"/>
      <c r="E89" s="251"/>
      <c r="F89" s="253"/>
      <c r="G89" s="253"/>
      <c r="H89" s="251"/>
      <c r="I89" s="239" t="str">
        <f t="shared" ca="1" si="3"/>
        <v>—</v>
      </c>
      <c r="J89" s="240" t="str">
        <f t="shared" si="4"/>
        <v/>
      </c>
      <c r="K89" s="241" t="str">
        <f t="shared" si="5"/>
        <v/>
      </c>
    </row>
    <row r="90" spans="1:11" ht="18" customHeight="1" x14ac:dyDescent="0.2">
      <c r="A90" s="246"/>
      <c r="B90" s="246"/>
      <c r="C90" s="247"/>
      <c r="D90" s="248"/>
      <c r="E90" s="247"/>
      <c r="F90" s="249"/>
      <c r="G90" s="249"/>
      <c r="H90" s="247"/>
      <c r="I90" s="244" t="str">
        <f t="shared" ca="1" si="3"/>
        <v>—</v>
      </c>
      <c r="J90" s="240" t="str">
        <f t="shared" si="4"/>
        <v/>
      </c>
      <c r="K90" s="245" t="str">
        <f t="shared" si="5"/>
        <v/>
      </c>
    </row>
    <row r="91" spans="1:11" ht="18" customHeight="1" x14ac:dyDescent="0.2">
      <c r="A91" s="250"/>
      <c r="B91" s="250"/>
      <c r="C91" s="251"/>
      <c r="D91" s="252"/>
      <c r="E91" s="251"/>
      <c r="F91" s="253"/>
      <c r="G91" s="253"/>
      <c r="H91" s="251"/>
      <c r="I91" s="239" t="str">
        <f t="shared" ca="1" si="3"/>
        <v>—</v>
      </c>
      <c r="J91" s="240" t="str">
        <f t="shared" si="4"/>
        <v/>
      </c>
      <c r="K91" s="241" t="str">
        <f t="shared" si="5"/>
        <v/>
      </c>
    </row>
    <row r="92" spans="1:11" ht="18" customHeight="1" x14ac:dyDescent="0.2">
      <c r="A92" s="246"/>
      <c r="B92" s="246"/>
      <c r="C92" s="247"/>
      <c r="D92" s="248"/>
      <c r="E92" s="247"/>
      <c r="F92" s="249"/>
      <c r="G92" s="249"/>
      <c r="H92" s="247"/>
      <c r="I92" s="244" t="str">
        <f t="shared" ca="1" si="3"/>
        <v>—</v>
      </c>
      <c r="J92" s="240" t="str">
        <f t="shared" si="4"/>
        <v/>
      </c>
      <c r="K92" s="245" t="str">
        <f t="shared" si="5"/>
        <v/>
      </c>
    </row>
    <row r="93" spans="1:11" ht="18" customHeight="1" x14ac:dyDescent="0.2">
      <c r="A93" s="250"/>
      <c r="B93" s="250"/>
      <c r="C93" s="251"/>
      <c r="D93" s="252"/>
      <c r="E93" s="251"/>
      <c r="F93" s="253"/>
      <c r="G93" s="253"/>
      <c r="H93" s="251"/>
      <c r="I93" s="239" t="str">
        <f t="shared" ca="1" si="3"/>
        <v>—</v>
      </c>
      <c r="J93" s="240" t="str">
        <f t="shared" si="4"/>
        <v/>
      </c>
      <c r="K93" s="241" t="str">
        <f t="shared" si="5"/>
        <v/>
      </c>
    </row>
    <row r="94" spans="1:11" ht="18" customHeight="1" x14ac:dyDescent="0.2">
      <c r="A94" s="246"/>
      <c r="B94" s="246"/>
      <c r="C94" s="247"/>
      <c r="D94" s="248"/>
      <c r="E94" s="247"/>
      <c r="F94" s="249"/>
      <c r="G94" s="249"/>
      <c r="H94" s="247"/>
      <c r="I94" s="244" t="str">
        <f t="shared" ca="1" si="3"/>
        <v>—</v>
      </c>
      <c r="J94" s="240" t="str">
        <f t="shared" si="4"/>
        <v/>
      </c>
      <c r="K94" s="245" t="str">
        <f t="shared" si="5"/>
        <v/>
      </c>
    </row>
    <row r="95" spans="1:11" ht="18" customHeight="1" x14ac:dyDescent="0.2">
      <c r="A95" s="250"/>
      <c r="B95" s="250"/>
      <c r="C95" s="251"/>
      <c r="D95" s="252"/>
      <c r="E95" s="251"/>
      <c r="F95" s="253"/>
      <c r="G95" s="253"/>
      <c r="H95" s="251"/>
      <c r="I95" s="239" t="str">
        <f t="shared" ca="1" si="3"/>
        <v>—</v>
      </c>
      <c r="J95" s="240" t="str">
        <f t="shared" si="4"/>
        <v/>
      </c>
      <c r="K95" s="241" t="str">
        <f t="shared" si="5"/>
        <v/>
      </c>
    </row>
    <row r="96" spans="1:11" ht="18" customHeight="1" x14ac:dyDescent="0.2">
      <c r="A96" s="246"/>
      <c r="B96" s="246"/>
      <c r="C96" s="247"/>
      <c r="D96" s="248"/>
      <c r="E96" s="247"/>
      <c r="F96" s="249"/>
      <c r="G96" s="249"/>
      <c r="H96" s="247"/>
      <c r="I96" s="244" t="str">
        <f t="shared" ca="1" si="3"/>
        <v>—</v>
      </c>
      <c r="J96" s="240" t="str">
        <f t="shared" si="4"/>
        <v/>
      </c>
      <c r="K96" s="245" t="str">
        <f t="shared" si="5"/>
        <v/>
      </c>
    </row>
    <row r="97" spans="1:11" ht="18" customHeight="1" x14ac:dyDescent="0.2">
      <c r="A97" s="250"/>
      <c r="B97" s="250"/>
      <c r="C97" s="251"/>
      <c r="D97" s="252"/>
      <c r="E97" s="251"/>
      <c r="F97" s="253"/>
      <c r="G97" s="253"/>
      <c r="H97" s="251"/>
      <c r="I97" s="239" t="str">
        <f t="shared" ca="1" si="3"/>
        <v>—</v>
      </c>
      <c r="J97" s="240" t="str">
        <f t="shared" si="4"/>
        <v/>
      </c>
      <c r="K97" s="241" t="str">
        <f t="shared" si="5"/>
        <v/>
      </c>
    </row>
    <row r="98" spans="1:11" ht="18" customHeight="1" x14ac:dyDescent="0.2">
      <c r="A98" s="246"/>
      <c r="B98" s="246"/>
      <c r="C98" s="247"/>
      <c r="D98" s="248"/>
      <c r="E98" s="247"/>
      <c r="F98" s="249"/>
      <c r="G98" s="249"/>
      <c r="H98" s="247"/>
      <c r="I98" s="244" t="str">
        <f t="shared" ca="1" si="3"/>
        <v>—</v>
      </c>
      <c r="J98" s="240" t="str">
        <f t="shared" si="4"/>
        <v/>
      </c>
      <c r="K98" s="245" t="str">
        <f t="shared" si="5"/>
        <v/>
      </c>
    </row>
    <row r="99" spans="1:11" ht="18" customHeight="1" x14ac:dyDescent="0.2">
      <c r="A99" s="250"/>
      <c r="B99" s="250"/>
      <c r="C99" s="251"/>
      <c r="D99" s="252"/>
      <c r="E99" s="251"/>
      <c r="F99" s="253"/>
      <c r="G99" s="253"/>
      <c r="H99" s="251"/>
      <c r="I99" s="239" t="str">
        <f t="shared" ca="1" si="3"/>
        <v>—</v>
      </c>
      <c r="J99" s="240" t="str">
        <f t="shared" si="4"/>
        <v/>
      </c>
      <c r="K99" s="241" t="str">
        <f t="shared" si="5"/>
        <v/>
      </c>
    </row>
    <row r="100" spans="1:11" ht="18" customHeight="1" x14ac:dyDescent="0.2">
      <c r="A100" s="246"/>
      <c r="B100" s="246"/>
      <c r="C100" s="247"/>
      <c r="D100" s="248"/>
      <c r="E100" s="247"/>
      <c r="F100" s="249"/>
      <c r="G100" s="249"/>
      <c r="H100" s="247"/>
      <c r="I100" s="244" t="str">
        <f t="shared" ca="1" si="3"/>
        <v>—</v>
      </c>
      <c r="J100" s="240" t="str">
        <f t="shared" si="4"/>
        <v/>
      </c>
      <c r="K100" s="245" t="str">
        <f t="shared" si="5"/>
        <v/>
      </c>
    </row>
    <row r="101" spans="1:11" ht="18" customHeight="1" x14ac:dyDescent="0.2">
      <c r="A101" s="250"/>
      <c r="B101" s="250"/>
      <c r="C101" s="251"/>
      <c r="D101" s="252"/>
      <c r="E101" s="251"/>
      <c r="F101" s="253"/>
      <c r="G101" s="253"/>
      <c r="H101" s="251"/>
      <c r="I101" s="239" t="str">
        <f t="shared" ca="1" si="3"/>
        <v>—</v>
      </c>
      <c r="J101" s="240" t="str">
        <f t="shared" si="4"/>
        <v/>
      </c>
      <c r="K101" s="241" t="str">
        <f t="shared" si="5"/>
        <v/>
      </c>
    </row>
    <row r="102" spans="1:11" ht="18" customHeight="1" x14ac:dyDescent="0.2">
      <c r="A102" s="246"/>
      <c r="B102" s="246"/>
      <c r="C102" s="247"/>
      <c r="D102" s="248"/>
      <c r="E102" s="247"/>
      <c r="F102" s="249"/>
      <c r="G102" s="249"/>
      <c r="H102" s="247"/>
      <c r="I102" s="244" t="str">
        <f t="shared" ca="1" si="3"/>
        <v>—</v>
      </c>
      <c r="J102" s="240" t="str">
        <f t="shared" si="4"/>
        <v/>
      </c>
      <c r="K102" s="245" t="str">
        <f t="shared" si="5"/>
        <v/>
      </c>
    </row>
    <row r="103" spans="1:11" ht="18" customHeight="1" x14ac:dyDescent="0.2">
      <c r="A103" s="250"/>
      <c r="B103" s="250"/>
      <c r="C103" s="251"/>
      <c r="D103" s="252"/>
      <c r="E103" s="251"/>
      <c r="F103" s="253"/>
      <c r="G103" s="253"/>
      <c r="H103" s="251"/>
      <c r="I103" s="239" t="str">
        <f t="shared" ca="1" si="3"/>
        <v>—</v>
      </c>
      <c r="J103" s="240" t="str">
        <f t="shared" si="4"/>
        <v/>
      </c>
      <c r="K103" s="241" t="str">
        <f t="shared" si="5"/>
        <v/>
      </c>
    </row>
    <row r="104" spans="1:11" ht="18" customHeight="1" x14ac:dyDescent="0.2">
      <c r="A104" s="246"/>
      <c r="B104" s="246"/>
      <c r="C104" s="247"/>
      <c r="D104" s="248"/>
      <c r="E104" s="247"/>
      <c r="F104" s="249"/>
      <c r="G104" s="249"/>
      <c r="H104" s="247"/>
      <c r="I104" s="244" t="str">
        <f t="shared" ca="1" si="3"/>
        <v>—</v>
      </c>
      <c r="J104" s="240" t="str">
        <f t="shared" si="4"/>
        <v/>
      </c>
      <c r="K104" s="245" t="str">
        <f t="shared" si="5"/>
        <v/>
      </c>
    </row>
    <row r="105" spans="1:11" ht="18" customHeight="1" x14ac:dyDescent="0.2">
      <c r="A105" s="250"/>
      <c r="B105" s="250"/>
      <c r="C105" s="251"/>
      <c r="D105" s="252"/>
      <c r="E105" s="251"/>
      <c r="F105" s="253"/>
      <c r="G105" s="253"/>
      <c r="H105" s="251"/>
      <c r="I105" s="239" t="str">
        <f t="shared" ca="1" si="3"/>
        <v>—</v>
      </c>
      <c r="J105" s="240" t="str">
        <f t="shared" si="4"/>
        <v/>
      </c>
      <c r="K105" s="241" t="str">
        <f t="shared" si="5"/>
        <v/>
      </c>
    </row>
    <row r="106" spans="1:11" ht="18" customHeight="1" x14ac:dyDescent="0.2">
      <c r="A106" s="246"/>
      <c r="B106" s="246"/>
      <c r="C106" s="247"/>
      <c r="D106" s="248"/>
      <c r="E106" s="247"/>
      <c r="F106" s="249"/>
      <c r="G106" s="249"/>
      <c r="H106" s="247"/>
      <c r="I106" s="244" t="str">
        <f t="shared" ca="1" si="3"/>
        <v>—</v>
      </c>
      <c r="J106" s="240" t="str">
        <f t="shared" si="4"/>
        <v/>
      </c>
      <c r="K106" s="245" t="str">
        <f t="shared" si="5"/>
        <v/>
      </c>
    </row>
    <row r="107" spans="1:11" ht="18" customHeight="1" x14ac:dyDescent="0.2">
      <c r="A107" s="250"/>
      <c r="B107" s="250"/>
      <c r="C107" s="251"/>
      <c r="D107" s="252"/>
      <c r="E107" s="251"/>
      <c r="F107" s="253"/>
      <c r="G107" s="253"/>
      <c r="H107" s="251"/>
      <c r="I107" s="239" t="str">
        <f t="shared" ca="1" si="3"/>
        <v>—</v>
      </c>
      <c r="J107" s="240" t="str">
        <f t="shared" si="4"/>
        <v/>
      </c>
      <c r="K107" s="241" t="str">
        <f t="shared" si="5"/>
        <v/>
      </c>
    </row>
    <row r="108" spans="1:11" ht="18" customHeight="1" x14ac:dyDescent="0.2">
      <c r="A108" s="246"/>
      <c r="B108" s="246"/>
      <c r="C108" s="247"/>
      <c r="D108" s="248"/>
      <c r="E108" s="247"/>
      <c r="F108" s="249"/>
      <c r="G108" s="249"/>
      <c r="H108" s="247"/>
      <c r="I108" s="244" t="str">
        <f t="shared" ca="1" si="3"/>
        <v>—</v>
      </c>
      <c r="J108" s="240" t="str">
        <f t="shared" si="4"/>
        <v/>
      </c>
      <c r="K108" s="245" t="str">
        <f t="shared" si="5"/>
        <v/>
      </c>
    </row>
    <row r="109" spans="1:11" ht="18" customHeight="1" x14ac:dyDescent="0.2">
      <c r="A109" s="250"/>
      <c r="B109" s="250"/>
      <c r="C109" s="251"/>
      <c r="D109" s="252"/>
      <c r="E109" s="251"/>
      <c r="F109" s="253"/>
      <c r="G109" s="253"/>
      <c r="H109" s="251"/>
      <c r="I109" s="239" t="str">
        <f t="shared" ca="1" si="3"/>
        <v>—</v>
      </c>
      <c r="J109" s="240" t="str">
        <f t="shared" si="4"/>
        <v/>
      </c>
      <c r="K109" s="241" t="str">
        <f t="shared" si="5"/>
        <v/>
      </c>
    </row>
    <row r="110" spans="1:11" ht="18" customHeight="1" x14ac:dyDescent="0.2">
      <c r="A110" s="246"/>
      <c r="B110" s="246"/>
      <c r="C110" s="247"/>
      <c r="D110" s="248"/>
      <c r="E110" s="247"/>
      <c r="F110" s="249"/>
      <c r="G110" s="249"/>
      <c r="H110" s="247"/>
      <c r="I110" s="244" t="str">
        <f t="shared" ca="1" si="3"/>
        <v>—</v>
      </c>
      <c r="J110" s="240" t="str">
        <f t="shared" si="4"/>
        <v/>
      </c>
      <c r="K110" s="245" t="str">
        <f t="shared" si="5"/>
        <v/>
      </c>
    </row>
    <row r="111" spans="1:11" ht="18" customHeight="1" x14ac:dyDescent="0.2">
      <c r="A111" s="250"/>
      <c r="B111" s="250"/>
      <c r="C111" s="251"/>
      <c r="D111" s="252"/>
      <c r="E111" s="251"/>
      <c r="F111" s="253"/>
      <c r="G111" s="253"/>
      <c r="H111" s="251"/>
      <c r="I111" s="239" t="str">
        <f t="shared" ca="1" si="3"/>
        <v>—</v>
      </c>
      <c r="J111" s="240" t="str">
        <f t="shared" si="4"/>
        <v/>
      </c>
      <c r="K111" s="241" t="str">
        <f t="shared" si="5"/>
        <v/>
      </c>
    </row>
    <row r="112" spans="1:11" ht="18" customHeight="1" x14ac:dyDescent="0.2">
      <c r="A112" s="246"/>
      <c r="B112" s="246"/>
      <c r="C112" s="247"/>
      <c r="D112" s="248"/>
      <c r="E112" s="247"/>
      <c r="F112" s="249"/>
      <c r="G112" s="249"/>
      <c r="H112" s="247"/>
      <c r="I112" s="244" t="str">
        <f t="shared" ca="1" si="3"/>
        <v>—</v>
      </c>
      <c r="J112" s="240" t="str">
        <f t="shared" si="4"/>
        <v/>
      </c>
      <c r="K112" s="245" t="str">
        <f t="shared" si="5"/>
        <v/>
      </c>
    </row>
    <row r="113" spans="1:11" ht="18" customHeight="1" x14ac:dyDescent="0.2">
      <c r="A113" s="250"/>
      <c r="B113" s="250"/>
      <c r="C113" s="251"/>
      <c r="D113" s="252"/>
      <c r="E113" s="251"/>
      <c r="F113" s="253"/>
      <c r="G113" s="253"/>
      <c r="H113" s="251"/>
      <c r="I113" s="239" t="str">
        <f t="shared" ca="1" si="3"/>
        <v>—</v>
      </c>
      <c r="J113" s="240" t="str">
        <f t="shared" si="4"/>
        <v/>
      </c>
      <c r="K113" s="241" t="str">
        <f t="shared" si="5"/>
        <v/>
      </c>
    </row>
    <row r="114" spans="1:11" ht="18" customHeight="1" x14ac:dyDescent="0.2">
      <c r="A114" s="246"/>
      <c r="B114" s="246"/>
      <c r="C114" s="247"/>
      <c r="D114" s="248"/>
      <c r="E114" s="247"/>
      <c r="F114" s="249"/>
      <c r="G114" s="249"/>
      <c r="H114" s="247"/>
      <c r="I114" s="244" t="str">
        <f t="shared" ca="1" si="3"/>
        <v>—</v>
      </c>
      <c r="J114" s="240" t="str">
        <f t="shared" si="4"/>
        <v/>
      </c>
      <c r="K114" s="245" t="str">
        <f t="shared" si="5"/>
        <v/>
      </c>
    </row>
    <row r="115" spans="1:11" ht="18" customHeight="1" x14ac:dyDescent="0.2">
      <c r="A115" s="250"/>
      <c r="B115" s="250"/>
      <c r="C115" s="251"/>
      <c r="D115" s="252"/>
      <c r="E115" s="251"/>
      <c r="F115" s="253"/>
      <c r="G115" s="253"/>
      <c r="H115" s="251"/>
      <c r="I115" s="239" t="str">
        <f t="shared" ca="1" si="3"/>
        <v>—</v>
      </c>
      <c r="J115" s="240" t="str">
        <f t="shared" si="4"/>
        <v/>
      </c>
      <c r="K115" s="241" t="str">
        <f t="shared" si="5"/>
        <v/>
      </c>
    </row>
    <row r="116" spans="1:11" ht="18" customHeight="1" x14ac:dyDescent="0.2">
      <c r="A116" s="246"/>
      <c r="B116" s="246"/>
      <c r="C116" s="247"/>
      <c r="D116" s="248"/>
      <c r="E116" s="247"/>
      <c r="F116" s="249"/>
      <c r="G116" s="249"/>
      <c r="H116" s="247"/>
      <c r="I116" s="244" t="str">
        <f t="shared" ca="1" si="3"/>
        <v>—</v>
      </c>
      <c r="J116" s="240" t="str">
        <f t="shared" si="4"/>
        <v/>
      </c>
      <c r="K116" s="245" t="str">
        <f t="shared" si="5"/>
        <v/>
      </c>
    </row>
    <row r="117" spans="1:11" ht="18" customHeight="1" x14ac:dyDescent="0.2">
      <c r="A117" s="250"/>
      <c r="B117" s="250"/>
      <c r="C117" s="251"/>
      <c r="D117" s="252"/>
      <c r="E117" s="251"/>
      <c r="F117" s="253"/>
      <c r="G117" s="253"/>
      <c r="H117" s="251"/>
      <c r="I117" s="239" t="str">
        <f t="shared" ca="1" si="3"/>
        <v>—</v>
      </c>
      <c r="J117" s="240" t="str">
        <f t="shared" si="4"/>
        <v/>
      </c>
      <c r="K117" s="241" t="str">
        <f t="shared" si="5"/>
        <v/>
      </c>
    </row>
    <row r="118" spans="1:11" ht="18" customHeight="1" x14ac:dyDescent="0.2">
      <c r="A118" s="246"/>
      <c r="B118" s="246"/>
      <c r="C118" s="247"/>
      <c r="D118" s="248"/>
      <c r="E118" s="247"/>
      <c r="F118" s="249"/>
      <c r="G118" s="249"/>
      <c r="H118" s="247"/>
      <c r="I118" s="244" t="str">
        <f t="shared" ca="1" si="3"/>
        <v>—</v>
      </c>
      <c r="J118" s="240" t="str">
        <f t="shared" si="4"/>
        <v/>
      </c>
      <c r="K118" s="245" t="str">
        <f t="shared" si="5"/>
        <v/>
      </c>
    </row>
    <row r="119" spans="1:11" ht="18" customHeight="1" x14ac:dyDescent="0.2">
      <c r="A119" s="250"/>
      <c r="B119" s="250"/>
      <c r="C119" s="251"/>
      <c r="D119" s="252"/>
      <c r="E119" s="251"/>
      <c r="F119" s="253"/>
      <c r="G119" s="253"/>
      <c r="H119" s="251"/>
      <c r="I119" s="239" t="str">
        <f t="shared" ca="1" si="3"/>
        <v>—</v>
      </c>
      <c r="J119" s="240" t="str">
        <f t="shared" si="4"/>
        <v/>
      </c>
      <c r="K119" s="241" t="str">
        <f t="shared" si="5"/>
        <v/>
      </c>
    </row>
    <row r="120" spans="1:11" ht="18" customHeight="1" x14ac:dyDescent="0.2">
      <c r="A120" s="246"/>
      <c r="B120" s="246"/>
      <c r="C120" s="247"/>
      <c r="D120" s="248"/>
      <c r="E120" s="247"/>
      <c r="F120" s="249"/>
      <c r="G120" s="249"/>
      <c r="H120" s="247"/>
      <c r="I120" s="244" t="str">
        <f t="shared" ca="1" si="3"/>
        <v>—</v>
      </c>
      <c r="J120" s="240" t="str">
        <f t="shared" si="4"/>
        <v/>
      </c>
      <c r="K120" s="245" t="str">
        <f t="shared" si="5"/>
        <v/>
      </c>
    </row>
    <row r="121" spans="1:11" ht="18" customHeight="1" x14ac:dyDescent="0.2">
      <c r="A121" s="250"/>
      <c r="B121" s="250"/>
      <c r="C121" s="251"/>
      <c r="D121" s="252"/>
      <c r="E121" s="251"/>
      <c r="F121" s="253"/>
      <c r="G121" s="253"/>
      <c r="H121" s="251"/>
      <c r="I121" s="239" t="str">
        <f t="shared" ca="1" si="3"/>
        <v>—</v>
      </c>
      <c r="J121" s="240" t="str">
        <f t="shared" si="4"/>
        <v/>
      </c>
      <c r="K121" s="241" t="str">
        <f t="shared" si="5"/>
        <v/>
      </c>
    </row>
    <row r="122" spans="1:11" ht="18" customHeight="1" x14ac:dyDescent="0.2">
      <c r="A122" s="246"/>
      <c r="B122" s="246"/>
      <c r="C122" s="247"/>
      <c r="D122" s="248"/>
      <c r="E122" s="247"/>
      <c r="F122" s="249"/>
      <c r="G122" s="249"/>
      <c r="H122" s="247"/>
      <c r="I122" s="244" t="str">
        <f t="shared" ca="1" si="3"/>
        <v>—</v>
      </c>
      <c r="J122" s="240" t="str">
        <f t="shared" si="4"/>
        <v/>
      </c>
      <c r="K122" s="245" t="str">
        <f t="shared" si="5"/>
        <v/>
      </c>
    </row>
    <row r="123" spans="1:11" ht="18" customHeight="1" x14ac:dyDescent="0.2">
      <c r="A123" s="250"/>
      <c r="B123" s="250"/>
      <c r="C123" s="251"/>
      <c r="D123" s="252"/>
      <c r="E123" s="251"/>
      <c r="F123" s="253"/>
      <c r="G123" s="253"/>
      <c r="H123" s="251"/>
      <c r="I123" s="239" t="str">
        <f t="shared" ca="1" si="3"/>
        <v>—</v>
      </c>
      <c r="J123" s="240" t="str">
        <f t="shared" si="4"/>
        <v/>
      </c>
      <c r="K123" s="241" t="str">
        <f t="shared" si="5"/>
        <v/>
      </c>
    </row>
    <row r="124" spans="1:11" ht="18" customHeight="1" x14ac:dyDescent="0.2">
      <c r="A124" s="246"/>
      <c r="B124" s="246"/>
      <c r="C124" s="247"/>
      <c r="D124" s="248"/>
      <c r="E124" s="247"/>
      <c r="F124" s="249"/>
      <c r="G124" s="249"/>
      <c r="H124" s="247"/>
      <c r="I124" s="244" t="str">
        <f t="shared" ca="1" si="3"/>
        <v>—</v>
      </c>
      <c r="J124" s="240" t="str">
        <f t="shared" si="4"/>
        <v/>
      </c>
      <c r="K124" s="245" t="str">
        <f t="shared" si="5"/>
        <v/>
      </c>
    </row>
    <row r="125" spans="1:11" ht="18" customHeight="1" x14ac:dyDescent="0.2">
      <c r="A125" s="250"/>
      <c r="B125" s="250"/>
      <c r="C125" s="251"/>
      <c r="D125" s="252"/>
      <c r="E125" s="251"/>
      <c r="F125" s="253"/>
      <c r="G125" s="253"/>
      <c r="H125" s="251"/>
      <c r="I125" s="239" t="str">
        <f t="shared" ca="1" si="3"/>
        <v>—</v>
      </c>
      <c r="J125" s="240" t="str">
        <f t="shared" si="4"/>
        <v/>
      </c>
      <c r="K125" s="241" t="str">
        <f t="shared" si="5"/>
        <v/>
      </c>
    </row>
    <row r="126" spans="1:11" ht="18" customHeight="1" x14ac:dyDescent="0.2">
      <c r="A126" s="246"/>
      <c r="B126" s="246"/>
      <c r="C126" s="247"/>
      <c r="D126" s="248"/>
      <c r="E126" s="247"/>
      <c r="F126" s="249"/>
      <c r="G126" s="249"/>
      <c r="H126" s="247"/>
      <c r="I126" s="244" t="str">
        <f t="shared" ca="1" si="3"/>
        <v>—</v>
      </c>
      <c r="J126" s="240" t="str">
        <f t="shared" si="4"/>
        <v/>
      </c>
      <c r="K126" s="245" t="str">
        <f t="shared" si="5"/>
        <v/>
      </c>
    </row>
    <row r="127" spans="1:11" ht="18" customHeight="1" x14ac:dyDescent="0.2">
      <c r="A127" s="250"/>
      <c r="B127" s="250"/>
      <c r="C127" s="251"/>
      <c r="D127" s="252"/>
      <c r="E127" s="251"/>
      <c r="F127" s="253"/>
      <c r="G127" s="253"/>
      <c r="H127" s="251"/>
      <c r="I127" s="239" t="str">
        <f t="shared" ca="1" si="3"/>
        <v>—</v>
      </c>
      <c r="J127" s="240" t="str">
        <f t="shared" si="4"/>
        <v/>
      </c>
      <c r="K127" s="241" t="str">
        <f t="shared" si="5"/>
        <v/>
      </c>
    </row>
    <row r="128" spans="1:11" ht="18" customHeight="1" x14ac:dyDescent="0.2">
      <c r="A128" s="246"/>
      <c r="B128" s="246"/>
      <c r="C128" s="247"/>
      <c r="D128" s="248"/>
      <c r="E128" s="247"/>
      <c r="F128" s="249"/>
      <c r="G128" s="249"/>
      <c r="H128" s="247"/>
      <c r="I128" s="244" t="str">
        <f t="shared" ca="1" si="3"/>
        <v>—</v>
      </c>
      <c r="J128" s="240" t="str">
        <f t="shared" si="4"/>
        <v/>
      </c>
      <c r="K128" s="245" t="str">
        <f t="shared" si="5"/>
        <v/>
      </c>
    </row>
    <row r="129" spans="1:11" ht="18" customHeight="1" x14ac:dyDescent="0.2">
      <c r="A129" s="250"/>
      <c r="B129" s="250"/>
      <c r="C129" s="251"/>
      <c r="D129" s="252"/>
      <c r="E129" s="251"/>
      <c r="F129" s="253"/>
      <c r="G129" s="253"/>
      <c r="H129" s="251"/>
      <c r="I129" s="239" t="str">
        <f t="shared" ca="1" si="3"/>
        <v>—</v>
      </c>
      <c r="J129" s="240" t="str">
        <f t="shared" si="4"/>
        <v/>
      </c>
      <c r="K129" s="241" t="str">
        <f t="shared" si="5"/>
        <v/>
      </c>
    </row>
    <row r="130" spans="1:11" ht="18" customHeight="1" x14ac:dyDescent="0.2">
      <c r="A130" s="246"/>
      <c r="B130" s="246"/>
      <c r="C130" s="247"/>
      <c r="D130" s="248"/>
      <c r="E130" s="247"/>
      <c r="F130" s="249"/>
      <c r="G130" s="249"/>
      <c r="H130" s="247"/>
      <c r="I130" s="244" t="str">
        <f t="shared" ca="1" si="3"/>
        <v>—</v>
      </c>
      <c r="J130" s="240" t="str">
        <f t="shared" si="4"/>
        <v/>
      </c>
      <c r="K130" s="245" t="str">
        <f t="shared" si="5"/>
        <v/>
      </c>
    </row>
    <row r="131" spans="1:11" ht="18" customHeight="1" x14ac:dyDescent="0.2">
      <c r="A131" s="250"/>
      <c r="B131" s="250"/>
      <c r="C131" s="251"/>
      <c r="D131" s="252"/>
      <c r="E131" s="251"/>
      <c r="F131" s="253"/>
      <c r="G131" s="253"/>
      <c r="H131" s="251"/>
      <c r="I131" s="239" t="str">
        <f t="shared" ca="1" si="3"/>
        <v>—</v>
      </c>
      <c r="J131" s="240" t="str">
        <f t="shared" si="4"/>
        <v/>
      </c>
      <c r="K131" s="241" t="str">
        <f t="shared" si="5"/>
        <v/>
      </c>
    </row>
    <row r="132" spans="1:11" ht="18" customHeight="1" x14ac:dyDescent="0.2">
      <c r="A132" s="246"/>
      <c r="B132" s="246"/>
      <c r="C132" s="247"/>
      <c r="D132" s="248"/>
      <c r="E132" s="247"/>
      <c r="F132" s="249"/>
      <c r="G132" s="249"/>
      <c r="H132" s="247"/>
      <c r="I132" s="244" t="str">
        <f t="shared" ca="1" si="3"/>
        <v>—</v>
      </c>
      <c r="J132" s="240" t="str">
        <f t="shared" si="4"/>
        <v/>
      </c>
      <c r="K132" s="245" t="str">
        <f t="shared" si="5"/>
        <v/>
      </c>
    </row>
    <row r="133" spans="1:11" ht="18" customHeight="1" x14ac:dyDescent="0.2">
      <c r="A133" s="250"/>
      <c r="B133" s="250"/>
      <c r="C133" s="251"/>
      <c r="D133" s="252"/>
      <c r="E133" s="251"/>
      <c r="F133" s="253"/>
      <c r="G133" s="253"/>
      <c r="H133" s="251"/>
      <c r="I133" s="239" t="str">
        <f t="shared" ca="1" si="3"/>
        <v>—</v>
      </c>
      <c r="J133" s="240" t="str">
        <f t="shared" si="4"/>
        <v/>
      </c>
      <c r="K133" s="241" t="str">
        <f t="shared" si="5"/>
        <v/>
      </c>
    </row>
    <row r="134" spans="1:11" ht="18" customHeight="1" x14ac:dyDescent="0.2">
      <c r="A134" s="246"/>
      <c r="B134" s="246"/>
      <c r="C134" s="247"/>
      <c r="D134" s="248"/>
      <c r="E134" s="247"/>
      <c r="F134" s="249"/>
      <c r="G134" s="249"/>
      <c r="H134" s="247"/>
      <c r="I134" s="244" t="str">
        <f t="shared" ca="1" si="3"/>
        <v>—</v>
      </c>
      <c r="J134" s="240" t="str">
        <f t="shared" si="4"/>
        <v/>
      </c>
      <c r="K134" s="245" t="str">
        <f t="shared" si="5"/>
        <v/>
      </c>
    </row>
    <row r="135" spans="1:11" ht="18" customHeight="1" x14ac:dyDescent="0.2">
      <c r="A135" s="250"/>
      <c r="B135" s="250"/>
      <c r="C135" s="251"/>
      <c r="D135" s="252"/>
      <c r="E135" s="251"/>
      <c r="F135" s="253"/>
      <c r="G135" s="253"/>
      <c r="H135" s="251"/>
      <c r="I135" s="239" t="str">
        <f t="shared" ca="1" si="3"/>
        <v>—</v>
      </c>
      <c r="J135" s="240" t="str">
        <f t="shared" si="4"/>
        <v/>
      </c>
      <c r="K135" s="241" t="str">
        <f t="shared" si="5"/>
        <v/>
      </c>
    </row>
    <row r="136" spans="1:11" ht="18" customHeight="1" x14ac:dyDescent="0.2">
      <c r="A136" s="246"/>
      <c r="B136" s="246"/>
      <c r="C136" s="247"/>
      <c r="D136" s="248"/>
      <c r="E136" s="247"/>
      <c r="F136" s="249"/>
      <c r="G136" s="249"/>
      <c r="H136" s="247"/>
      <c r="I136" s="244" t="str">
        <f t="shared" ca="1" si="3"/>
        <v>—</v>
      </c>
      <c r="J136" s="240" t="str">
        <f t="shared" si="4"/>
        <v/>
      </c>
      <c r="K136" s="245" t="str">
        <f t="shared" si="5"/>
        <v/>
      </c>
    </row>
    <row r="137" spans="1:11" ht="18" customHeight="1" x14ac:dyDescent="0.2">
      <c r="A137" s="250"/>
      <c r="B137" s="250"/>
      <c r="C137" s="251"/>
      <c r="D137" s="252"/>
      <c r="E137" s="251"/>
      <c r="F137" s="253"/>
      <c r="G137" s="253"/>
      <c r="H137" s="251"/>
      <c r="I137" s="239" t="str">
        <f t="shared" ca="1" si="3"/>
        <v>—</v>
      </c>
      <c r="J137" s="240" t="str">
        <f t="shared" si="4"/>
        <v/>
      </c>
      <c r="K137" s="241" t="str">
        <f t="shared" si="5"/>
        <v/>
      </c>
    </row>
    <row r="138" spans="1:11" ht="18" customHeight="1" x14ac:dyDescent="0.2">
      <c r="A138" s="246"/>
      <c r="B138" s="246"/>
      <c r="C138" s="247"/>
      <c r="D138" s="248"/>
      <c r="E138" s="247"/>
      <c r="F138" s="249"/>
      <c r="G138" s="249"/>
      <c r="H138" s="247"/>
      <c r="I138" s="244" t="str">
        <f t="shared" ca="1" si="3"/>
        <v>—</v>
      </c>
      <c r="J138" s="240" t="str">
        <f t="shared" si="4"/>
        <v/>
      </c>
      <c r="K138" s="245" t="str">
        <f t="shared" si="5"/>
        <v/>
      </c>
    </row>
    <row r="139" spans="1:11" ht="18" customHeight="1" x14ac:dyDescent="0.2">
      <c r="A139" s="250"/>
      <c r="B139" s="250"/>
      <c r="C139" s="251"/>
      <c r="D139" s="252"/>
      <c r="E139" s="251"/>
      <c r="F139" s="253"/>
      <c r="G139" s="253"/>
      <c r="H139" s="251"/>
      <c r="I139" s="239" t="str">
        <f t="shared" ref="I139:I202" ca="1" si="6">IF(OR(B139="",H139="Sold"),"—",TODAY()-B139)</f>
        <v>—</v>
      </c>
      <c r="J139" s="240" t="str">
        <f t="shared" ref="J139:J202" si="7">IF(OR(B139="",H139="Sold"),"",IF(I139="—","",IF(I139&gt;=60,"STALE — route now",IF(I139&gt;=30,"Aging — watch",IF(I139&gt;=0,"Fresh","")))))</f>
        <v/>
      </c>
      <c r="K139" s="241" t="str">
        <f t="shared" ref="K139:K202" si="8">IF(J139="STALE — route now","→ Send to consignment batch",IF(J139="Aging — watch","→ Consider 10% price drop",IF(J139="Fresh","→ Hold &amp; monitor","")))</f>
        <v/>
      </c>
    </row>
    <row r="140" spans="1:11" ht="18" customHeight="1" x14ac:dyDescent="0.2">
      <c r="A140" s="246"/>
      <c r="B140" s="246"/>
      <c r="C140" s="247"/>
      <c r="D140" s="248"/>
      <c r="E140" s="247"/>
      <c r="F140" s="249"/>
      <c r="G140" s="249"/>
      <c r="H140" s="247"/>
      <c r="I140" s="244" t="str">
        <f t="shared" ca="1" si="6"/>
        <v>—</v>
      </c>
      <c r="J140" s="240" t="str">
        <f t="shared" si="7"/>
        <v/>
      </c>
      <c r="K140" s="245" t="str">
        <f t="shared" si="8"/>
        <v/>
      </c>
    </row>
    <row r="141" spans="1:11" ht="18" customHeight="1" x14ac:dyDescent="0.2">
      <c r="A141" s="250"/>
      <c r="B141" s="250"/>
      <c r="C141" s="251"/>
      <c r="D141" s="252"/>
      <c r="E141" s="251"/>
      <c r="F141" s="253"/>
      <c r="G141" s="253"/>
      <c r="H141" s="251"/>
      <c r="I141" s="239" t="str">
        <f t="shared" ca="1" si="6"/>
        <v>—</v>
      </c>
      <c r="J141" s="240" t="str">
        <f t="shared" si="7"/>
        <v/>
      </c>
      <c r="K141" s="241" t="str">
        <f t="shared" si="8"/>
        <v/>
      </c>
    </row>
    <row r="142" spans="1:11" ht="18" customHeight="1" x14ac:dyDescent="0.2">
      <c r="A142" s="246"/>
      <c r="B142" s="246"/>
      <c r="C142" s="247"/>
      <c r="D142" s="248"/>
      <c r="E142" s="247"/>
      <c r="F142" s="249"/>
      <c r="G142" s="249"/>
      <c r="H142" s="247"/>
      <c r="I142" s="244" t="str">
        <f t="shared" ca="1" si="6"/>
        <v>—</v>
      </c>
      <c r="J142" s="240" t="str">
        <f t="shared" si="7"/>
        <v/>
      </c>
      <c r="K142" s="245" t="str">
        <f t="shared" si="8"/>
        <v/>
      </c>
    </row>
    <row r="143" spans="1:11" ht="18" customHeight="1" x14ac:dyDescent="0.2">
      <c r="A143" s="250"/>
      <c r="B143" s="250"/>
      <c r="C143" s="251"/>
      <c r="D143" s="252"/>
      <c r="E143" s="251"/>
      <c r="F143" s="253"/>
      <c r="G143" s="253"/>
      <c r="H143" s="251"/>
      <c r="I143" s="239" t="str">
        <f t="shared" ca="1" si="6"/>
        <v>—</v>
      </c>
      <c r="J143" s="240" t="str">
        <f t="shared" si="7"/>
        <v/>
      </c>
      <c r="K143" s="241" t="str">
        <f t="shared" si="8"/>
        <v/>
      </c>
    </row>
    <row r="144" spans="1:11" ht="18" customHeight="1" x14ac:dyDescent="0.2">
      <c r="A144" s="246"/>
      <c r="B144" s="246"/>
      <c r="C144" s="247"/>
      <c r="D144" s="248"/>
      <c r="E144" s="247"/>
      <c r="F144" s="249"/>
      <c r="G144" s="249"/>
      <c r="H144" s="247"/>
      <c r="I144" s="244" t="str">
        <f t="shared" ca="1" si="6"/>
        <v>—</v>
      </c>
      <c r="J144" s="240" t="str">
        <f t="shared" si="7"/>
        <v/>
      </c>
      <c r="K144" s="245" t="str">
        <f t="shared" si="8"/>
        <v/>
      </c>
    </row>
    <row r="145" spans="1:11" ht="18" customHeight="1" x14ac:dyDescent="0.2">
      <c r="A145" s="250"/>
      <c r="B145" s="250"/>
      <c r="C145" s="251"/>
      <c r="D145" s="252"/>
      <c r="E145" s="251"/>
      <c r="F145" s="253"/>
      <c r="G145" s="253"/>
      <c r="H145" s="251"/>
      <c r="I145" s="239" t="str">
        <f t="shared" ca="1" si="6"/>
        <v>—</v>
      </c>
      <c r="J145" s="240" t="str">
        <f t="shared" si="7"/>
        <v/>
      </c>
      <c r="K145" s="241" t="str">
        <f t="shared" si="8"/>
        <v/>
      </c>
    </row>
    <row r="146" spans="1:11" ht="18" customHeight="1" x14ac:dyDescent="0.2">
      <c r="A146" s="246"/>
      <c r="B146" s="246"/>
      <c r="C146" s="247"/>
      <c r="D146" s="248"/>
      <c r="E146" s="247"/>
      <c r="F146" s="249"/>
      <c r="G146" s="249"/>
      <c r="H146" s="247"/>
      <c r="I146" s="244" t="str">
        <f t="shared" ca="1" si="6"/>
        <v>—</v>
      </c>
      <c r="J146" s="240" t="str">
        <f t="shared" si="7"/>
        <v/>
      </c>
      <c r="K146" s="245" t="str">
        <f t="shared" si="8"/>
        <v/>
      </c>
    </row>
    <row r="147" spans="1:11" ht="18" customHeight="1" x14ac:dyDescent="0.2">
      <c r="A147" s="250"/>
      <c r="B147" s="250"/>
      <c r="C147" s="251"/>
      <c r="D147" s="252"/>
      <c r="E147" s="251"/>
      <c r="F147" s="253"/>
      <c r="G147" s="253"/>
      <c r="H147" s="251"/>
      <c r="I147" s="239" t="str">
        <f t="shared" ca="1" si="6"/>
        <v>—</v>
      </c>
      <c r="J147" s="240" t="str">
        <f t="shared" si="7"/>
        <v/>
      </c>
      <c r="K147" s="241" t="str">
        <f t="shared" si="8"/>
        <v/>
      </c>
    </row>
    <row r="148" spans="1:11" ht="18" customHeight="1" x14ac:dyDescent="0.2">
      <c r="A148" s="246"/>
      <c r="B148" s="246"/>
      <c r="C148" s="247"/>
      <c r="D148" s="248"/>
      <c r="E148" s="247"/>
      <c r="F148" s="249"/>
      <c r="G148" s="249"/>
      <c r="H148" s="247"/>
      <c r="I148" s="244" t="str">
        <f t="shared" ca="1" si="6"/>
        <v>—</v>
      </c>
      <c r="J148" s="240" t="str">
        <f t="shared" si="7"/>
        <v/>
      </c>
      <c r="K148" s="245" t="str">
        <f t="shared" si="8"/>
        <v/>
      </c>
    </row>
    <row r="149" spans="1:11" ht="18" customHeight="1" x14ac:dyDescent="0.2">
      <c r="A149" s="250"/>
      <c r="B149" s="250"/>
      <c r="C149" s="251"/>
      <c r="D149" s="252"/>
      <c r="E149" s="251"/>
      <c r="F149" s="253"/>
      <c r="G149" s="253"/>
      <c r="H149" s="251"/>
      <c r="I149" s="239" t="str">
        <f t="shared" ca="1" si="6"/>
        <v>—</v>
      </c>
      <c r="J149" s="240" t="str">
        <f t="shared" si="7"/>
        <v/>
      </c>
      <c r="K149" s="241" t="str">
        <f t="shared" si="8"/>
        <v/>
      </c>
    </row>
    <row r="150" spans="1:11" ht="18" customHeight="1" x14ac:dyDescent="0.2">
      <c r="A150" s="246"/>
      <c r="B150" s="246"/>
      <c r="C150" s="247"/>
      <c r="D150" s="248"/>
      <c r="E150" s="247"/>
      <c r="F150" s="249"/>
      <c r="G150" s="249"/>
      <c r="H150" s="247"/>
      <c r="I150" s="244" t="str">
        <f t="shared" ca="1" si="6"/>
        <v>—</v>
      </c>
      <c r="J150" s="240" t="str">
        <f t="shared" si="7"/>
        <v/>
      </c>
      <c r="K150" s="245" t="str">
        <f t="shared" si="8"/>
        <v/>
      </c>
    </row>
    <row r="151" spans="1:11" ht="18" customHeight="1" x14ac:dyDescent="0.2">
      <c r="A151" s="250"/>
      <c r="B151" s="250"/>
      <c r="C151" s="251"/>
      <c r="D151" s="252"/>
      <c r="E151" s="251"/>
      <c r="F151" s="253"/>
      <c r="G151" s="253"/>
      <c r="H151" s="251"/>
      <c r="I151" s="239" t="str">
        <f t="shared" ca="1" si="6"/>
        <v>—</v>
      </c>
      <c r="J151" s="240" t="str">
        <f t="shared" si="7"/>
        <v/>
      </c>
      <c r="K151" s="241" t="str">
        <f t="shared" si="8"/>
        <v/>
      </c>
    </row>
    <row r="152" spans="1:11" ht="18" customHeight="1" x14ac:dyDescent="0.2">
      <c r="A152" s="246"/>
      <c r="B152" s="246"/>
      <c r="C152" s="247"/>
      <c r="D152" s="248"/>
      <c r="E152" s="247"/>
      <c r="F152" s="249"/>
      <c r="G152" s="249"/>
      <c r="H152" s="247"/>
      <c r="I152" s="244" t="str">
        <f t="shared" ca="1" si="6"/>
        <v>—</v>
      </c>
      <c r="J152" s="240" t="str">
        <f t="shared" si="7"/>
        <v/>
      </c>
      <c r="K152" s="245" t="str">
        <f t="shared" si="8"/>
        <v/>
      </c>
    </row>
    <row r="153" spans="1:11" ht="18" customHeight="1" x14ac:dyDescent="0.2">
      <c r="A153" s="250"/>
      <c r="B153" s="250"/>
      <c r="C153" s="251"/>
      <c r="D153" s="252"/>
      <c r="E153" s="251"/>
      <c r="F153" s="253"/>
      <c r="G153" s="253"/>
      <c r="H153" s="251"/>
      <c r="I153" s="239" t="str">
        <f t="shared" ca="1" si="6"/>
        <v>—</v>
      </c>
      <c r="J153" s="240" t="str">
        <f t="shared" si="7"/>
        <v/>
      </c>
      <c r="K153" s="241" t="str">
        <f t="shared" si="8"/>
        <v/>
      </c>
    </row>
    <row r="154" spans="1:11" ht="18" customHeight="1" x14ac:dyDescent="0.2">
      <c r="A154" s="246"/>
      <c r="B154" s="246"/>
      <c r="C154" s="247"/>
      <c r="D154" s="248"/>
      <c r="E154" s="247"/>
      <c r="F154" s="249"/>
      <c r="G154" s="249"/>
      <c r="H154" s="247"/>
      <c r="I154" s="244" t="str">
        <f t="shared" ca="1" si="6"/>
        <v>—</v>
      </c>
      <c r="J154" s="240" t="str">
        <f t="shared" si="7"/>
        <v/>
      </c>
      <c r="K154" s="245" t="str">
        <f t="shared" si="8"/>
        <v/>
      </c>
    </row>
    <row r="155" spans="1:11" ht="18" customHeight="1" x14ac:dyDescent="0.2">
      <c r="A155" s="250"/>
      <c r="B155" s="250"/>
      <c r="C155" s="251"/>
      <c r="D155" s="252"/>
      <c r="E155" s="251"/>
      <c r="F155" s="253"/>
      <c r="G155" s="253"/>
      <c r="H155" s="251"/>
      <c r="I155" s="239" t="str">
        <f t="shared" ca="1" si="6"/>
        <v>—</v>
      </c>
      <c r="J155" s="240" t="str">
        <f t="shared" si="7"/>
        <v/>
      </c>
      <c r="K155" s="241" t="str">
        <f t="shared" si="8"/>
        <v/>
      </c>
    </row>
    <row r="156" spans="1:11" ht="18" customHeight="1" x14ac:dyDescent="0.2">
      <c r="A156" s="246"/>
      <c r="B156" s="246"/>
      <c r="C156" s="247"/>
      <c r="D156" s="248"/>
      <c r="E156" s="247"/>
      <c r="F156" s="249"/>
      <c r="G156" s="249"/>
      <c r="H156" s="247"/>
      <c r="I156" s="244" t="str">
        <f t="shared" ca="1" si="6"/>
        <v>—</v>
      </c>
      <c r="J156" s="240" t="str">
        <f t="shared" si="7"/>
        <v/>
      </c>
      <c r="K156" s="245" t="str">
        <f t="shared" si="8"/>
        <v/>
      </c>
    </row>
    <row r="157" spans="1:11" ht="18" customHeight="1" x14ac:dyDescent="0.2">
      <c r="A157" s="250"/>
      <c r="B157" s="250"/>
      <c r="C157" s="251"/>
      <c r="D157" s="252"/>
      <c r="E157" s="251"/>
      <c r="F157" s="253"/>
      <c r="G157" s="253"/>
      <c r="H157" s="251"/>
      <c r="I157" s="239" t="str">
        <f t="shared" ca="1" si="6"/>
        <v>—</v>
      </c>
      <c r="J157" s="240" t="str">
        <f t="shared" si="7"/>
        <v/>
      </c>
      <c r="K157" s="241" t="str">
        <f t="shared" si="8"/>
        <v/>
      </c>
    </row>
    <row r="158" spans="1:11" ht="18" customHeight="1" x14ac:dyDescent="0.2">
      <c r="A158" s="246"/>
      <c r="B158" s="246"/>
      <c r="C158" s="247"/>
      <c r="D158" s="248"/>
      <c r="E158" s="247"/>
      <c r="F158" s="249"/>
      <c r="G158" s="249"/>
      <c r="H158" s="247"/>
      <c r="I158" s="244" t="str">
        <f t="shared" ca="1" si="6"/>
        <v>—</v>
      </c>
      <c r="J158" s="240" t="str">
        <f t="shared" si="7"/>
        <v/>
      </c>
      <c r="K158" s="245" t="str">
        <f t="shared" si="8"/>
        <v/>
      </c>
    </row>
    <row r="159" spans="1:11" ht="18" customHeight="1" x14ac:dyDescent="0.2">
      <c r="A159" s="250"/>
      <c r="B159" s="250"/>
      <c r="C159" s="251"/>
      <c r="D159" s="252"/>
      <c r="E159" s="251"/>
      <c r="F159" s="253"/>
      <c r="G159" s="253"/>
      <c r="H159" s="251"/>
      <c r="I159" s="239" t="str">
        <f t="shared" ca="1" si="6"/>
        <v>—</v>
      </c>
      <c r="J159" s="240" t="str">
        <f t="shared" si="7"/>
        <v/>
      </c>
      <c r="K159" s="241" t="str">
        <f t="shared" si="8"/>
        <v/>
      </c>
    </row>
    <row r="160" spans="1:11" ht="18" customHeight="1" x14ac:dyDescent="0.2">
      <c r="A160" s="246"/>
      <c r="B160" s="246"/>
      <c r="C160" s="247"/>
      <c r="D160" s="248"/>
      <c r="E160" s="247"/>
      <c r="F160" s="249"/>
      <c r="G160" s="249"/>
      <c r="H160" s="247"/>
      <c r="I160" s="244" t="str">
        <f t="shared" ca="1" si="6"/>
        <v>—</v>
      </c>
      <c r="J160" s="240" t="str">
        <f t="shared" si="7"/>
        <v/>
      </c>
      <c r="K160" s="245" t="str">
        <f t="shared" si="8"/>
        <v/>
      </c>
    </row>
    <row r="161" spans="1:11" ht="18" customHeight="1" x14ac:dyDescent="0.2">
      <c r="A161" s="250"/>
      <c r="B161" s="250"/>
      <c r="C161" s="251"/>
      <c r="D161" s="252"/>
      <c r="E161" s="251"/>
      <c r="F161" s="253"/>
      <c r="G161" s="253"/>
      <c r="H161" s="251"/>
      <c r="I161" s="239" t="str">
        <f t="shared" ca="1" si="6"/>
        <v>—</v>
      </c>
      <c r="J161" s="240" t="str">
        <f t="shared" si="7"/>
        <v/>
      </c>
      <c r="K161" s="241" t="str">
        <f t="shared" si="8"/>
        <v/>
      </c>
    </row>
    <row r="162" spans="1:11" ht="18" customHeight="1" x14ac:dyDescent="0.2">
      <c r="A162" s="246"/>
      <c r="B162" s="246"/>
      <c r="C162" s="247"/>
      <c r="D162" s="248"/>
      <c r="E162" s="247"/>
      <c r="F162" s="249"/>
      <c r="G162" s="249"/>
      <c r="H162" s="247"/>
      <c r="I162" s="244" t="str">
        <f t="shared" ca="1" si="6"/>
        <v>—</v>
      </c>
      <c r="J162" s="240" t="str">
        <f t="shared" si="7"/>
        <v/>
      </c>
      <c r="K162" s="245" t="str">
        <f t="shared" si="8"/>
        <v/>
      </c>
    </row>
    <row r="163" spans="1:11" ht="18" customHeight="1" x14ac:dyDescent="0.2">
      <c r="A163" s="250"/>
      <c r="B163" s="250"/>
      <c r="C163" s="251"/>
      <c r="D163" s="252"/>
      <c r="E163" s="251"/>
      <c r="F163" s="253"/>
      <c r="G163" s="253"/>
      <c r="H163" s="251"/>
      <c r="I163" s="239" t="str">
        <f t="shared" ca="1" si="6"/>
        <v>—</v>
      </c>
      <c r="J163" s="240" t="str">
        <f t="shared" si="7"/>
        <v/>
      </c>
      <c r="K163" s="241" t="str">
        <f t="shared" si="8"/>
        <v/>
      </c>
    </row>
    <row r="164" spans="1:11" ht="18" customHeight="1" x14ac:dyDescent="0.2">
      <c r="A164" s="246"/>
      <c r="B164" s="246"/>
      <c r="C164" s="247"/>
      <c r="D164" s="248"/>
      <c r="E164" s="247"/>
      <c r="F164" s="249"/>
      <c r="G164" s="249"/>
      <c r="H164" s="247"/>
      <c r="I164" s="244" t="str">
        <f t="shared" ca="1" si="6"/>
        <v>—</v>
      </c>
      <c r="J164" s="240" t="str">
        <f t="shared" si="7"/>
        <v/>
      </c>
      <c r="K164" s="245" t="str">
        <f t="shared" si="8"/>
        <v/>
      </c>
    </row>
    <row r="165" spans="1:11" ht="18" customHeight="1" x14ac:dyDescent="0.2">
      <c r="A165" s="250"/>
      <c r="B165" s="250"/>
      <c r="C165" s="251"/>
      <c r="D165" s="252"/>
      <c r="E165" s="251"/>
      <c r="F165" s="253"/>
      <c r="G165" s="253"/>
      <c r="H165" s="251"/>
      <c r="I165" s="239" t="str">
        <f t="shared" ca="1" si="6"/>
        <v>—</v>
      </c>
      <c r="J165" s="240" t="str">
        <f t="shared" si="7"/>
        <v/>
      </c>
      <c r="K165" s="241" t="str">
        <f t="shared" si="8"/>
        <v/>
      </c>
    </row>
    <row r="166" spans="1:11" ht="18" customHeight="1" x14ac:dyDescent="0.2">
      <c r="A166" s="246"/>
      <c r="B166" s="246"/>
      <c r="C166" s="247"/>
      <c r="D166" s="248"/>
      <c r="E166" s="247"/>
      <c r="F166" s="249"/>
      <c r="G166" s="249"/>
      <c r="H166" s="247"/>
      <c r="I166" s="244" t="str">
        <f t="shared" ca="1" si="6"/>
        <v>—</v>
      </c>
      <c r="J166" s="240" t="str">
        <f t="shared" si="7"/>
        <v/>
      </c>
      <c r="K166" s="245" t="str">
        <f t="shared" si="8"/>
        <v/>
      </c>
    </row>
    <row r="167" spans="1:11" ht="18" customHeight="1" x14ac:dyDescent="0.2">
      <c r="A167" s="250"/>
      <c r="B167" s="250"/>
      <c r="C167" s="251"/>
      <c r="D167" s="252"/>
      <c r="E167" s="251"/>
      <c r="F167" s="253"/>
      <c r="G167" s="253"/>
      <c r="H167" s="251"/>
      <c r="I167" s="239" t="str">
        <f t="shared" ca="1" si="6"/>
        <v>—</v>
      </c>
      <c r="J167" s="240" t="str">
        <f t="shared" si="7"/>
        <v/>
      </c>
      <c r="K167" s="241" t="str">
        <f t="shared" si="8"/>
        <v/>
      </c>
    </row>
    <row r="168" spans="1:11" ht="18" customHeight="1" x14ac:dyDescent="0.2">
      <c r="A168" s="246"/>
      <c r="B168" s="246"/>
      <c r="C168" s="247"/>
      <c r="D168" s="248"/>
      <c r="E168" s="247"/>
      <c r="F168" s="249"/>
      <c r="G168" s="249"/>
      <c r="H168" s="247"/>
      <c r="I168" s="244" t="str">
        <f t="shared" ca="1" si="6"/>
        <v>—</v>
      </c>
      <c r="J168" s="240" t="str">
        <f t="shared" si="7"/>
        <v/>
      </c>
      <c r="K168" s="245" t="str">
        <f t="shared" si="8"/>
        <v/>
      </c>
    </row>
    <row r="169" spans="1:11" ht="18" customHeight="1" x14ac:dyDescent="0.2">
      <c r="A169" s="250"/>
      <c r="B169" s="250"/>
      <c r="C169" s="251"/>
      <c r="D169" s="252"/>
      <c r="E169" s="251"/>
      <c r="F169" s="253"/>
      <c r="G169" s="253"/>
      <c r="H169" s="251"/>
      <c r="I169" s="239" t="str">
        <f t="shared" ca="1" si="6"/>
        <v>—</v>
      </c>
      <c r="J169" s="240" t="str">
        <f t="shared" si="7"/>
        <v/>
      </c>
      <c r="K169" s="241" t="str">
        <f t="shared" si="8"/>
        <v/>
      </c>
    </row>
    <row r="170" spans="1:11" ht="18" customHeight="1" x14ac:dyDescent="0.2">
      <c r="A170" s="246"/>
      <c r="B170" s="246"/>
      <c r="C170" s="247"/>
      <c r="D170" s="248"/>
      <c r="E170" s="247"/>
      <c r="F170" s="249"/>
      <c r="G170" s="249"/>
      <c r="H170" s="247"/>
      <c r="I170" s="244" t="str">
        <f t="shared" ca="1" si="6"/>
        <v>—</v>
      </c>
      <c r="J170" s="240" t="str">
        <f t="shared" si="7"/>
        <v/>
      </c>
      <c r="K170" s="245" t="str">
        <f t="shared" si="8"/>
        <v/>
      </c>
    </row>
    <row r="171" spans="1:11" ht="18" customHeight="1" x14ac:dyDescent="0.2">
      <c r="A171" s="250"/>
      <c r="B171" s="250"/>
      <c r="C171" s="251"/>
      <c r="D171" s="252"/>
      <c r="E171" s="251"/>
      <c r="F171" s="253"/>
      <c r="G171" s="253"/>
      <c r="H171" s="251"/>
      <c r="I171" s="239" t="str">
        <f t="shared" ca="1" si="6"/>
        <v>—</v>
      </c>
      <c r="J171" s="240" t="str">
        <f t="shared" si="7"/>
        <v/>
      </c>
      <c r="K171" s="241" t="str">
        <f t="shared" si="8"/>
        <v/>
      </c>
    </row>
    <row r="172" spans="1:11" ht="18" customHeight="1" x14ac:dyDescent="0.2">
      <c r="A172" s="246"/>
      <c r="B172" s="246"/>
      <c r="C172" s="247"/>
      <c r="D172" s="248"/>
      <c r="E172" s="247"/>
      <c r="F172" s="249"/>
      <c r="G172" s="249"/>
      <c r="H172" s="247"/>
      <c r="I172" s="244" t="str">
        <f t="shared" ca="1" si="6"/>
        <v>—</v>
      </c>
      <c r="J172" s="240" t="str">
        <f t="shared" si="7"/>
        <v/>
      </c>
      <c r="K172" s="245" t="str">
        <f t="shared" si="8"/>
        <v/>
      </c>
    </row>
    <row r="173" spans="1:11" ht="18" customHeight="1" x14ac:dyDescent="0.2">
      <c r="A173" s="250"/>
      <c r="B173" s="250"/>
      <c r="C173" s="251"/>
      <c r="D173" s="252"/>
      <c r="E173" s="251"/>
      <c r="F173" s="253"/>
      <c r="G173" s="253"/>
      <c r="H173" s="251"/>
      <c r="I173" s="239" t="str">
        <f t="shared" ca="1" si="6"/>
        <v>—</v>
      </c>
      <c r="J173" s="240" t="str">
        <f t="shared" si="7"/>
        <v/>
      </c>
      <c r="K173" s="241" t="str">
        <f t="shared" si="8"/>
        <v/>
      </c>
    </row>
    <row r="174" spans="1:11" ht="18" customHeight="1" x14ac:dyDescent="0.2">
      <c r="A174" s="246"/>
      <c r="B174" s="246"/>
      <c r="C174" s="247"/>
      <c r="D174" s="248"/>
      <c r="E174" s="247"/>
      <c r="F174" s="249"/>
      <c r="G174" s="249"/>
      <c r="H174" s="247"/>
      <c r="I174" s="244" t="str">
        <f t="shared" ca="1" si="6"/>
        <v>—</v>
      </c>
      <c r="J174" s="240" t="str">
        <f t="shared" si="7"/>
        <v/>
      </c>
      <c r="K174" s="245" t="str">
        <f t="shared" si="8"/>
        <v/>
      </c>
    </row>
    <row r="175" spans="1:11" ht="18" customHeight="1" x14ac:dyDescent="0.2">
      <c r="A175" s="250"/>
      <c r="B175" s="250"/>
      <c r="C175" s="251"/>
      <c r="D175" s="252"/>
      <c r="E175" s="251"/>
      <c r="F175" s="253"/>
      <c r="G175" s="253"/>
      <c r="H175" s="251"/>
      <c r="I175" s="239" t="str">
        <f t="shared" ca="1" si="6"/>
        <v>—</v>
      </c>
      <c r="J175" s="240" t="str">
        <f t="shared" si="7"/>
        <v/>
      </c>
      <c r="K175" s="241" t="str">
        <f t="shared" si="8"/>
        <v/>
      </c>
    </row>
    <row r="176" spans="1:11" ht="18" customHeight="1" x14ac:dyDescent="0.2">
      <c r="A176" s="246"/>
      <c r="B176" s="246"/>
      <c r="C176" s="247"/>
      <c r="D176" s="248"/>
      <c r="E176" s="247"/>
      <c r="F176" s="249"/>
      <c r="G176" s="249"/>
      <c r="H176" s="247"/>
      <c r="I176" s="244" t="str">
        <f t="shared" ca="1" si="6"/>
        <v>—</v>
      </c>
      <c r="J176" s="240" t="str">
        <f t="shared" si="7"/>
        <v/>
      </c>
      <c r="K176" s="245" t="str">
        <f t="shared" si="8"/>
        <v/>
      </c>
    </row>
    <row r="177" spans="1:11" ht="18" customHeight="1" x14ac:dyDescent="0.2">
      <c r="A177" s="250"/>
      <c r="B177" s="250"/>
      <c r="C177" s="251"/>
      <c r="D177" s="252"/>
      <c r="E177" s="251"/>
      <c r="F177" s="253"/>
      <c r="G177" s="253"/>
      <c r="H177" s="251"/>
      <c r="I177" s="239" t="str">
        <f t="shared" ca="1" si="6"/>
        <v>—</v>
      </c>
      <c r="J177" s="240" t="str">
        <f t="shared" si="7"/>
        <v/>
      </c>
      <c r="K177" s="241" t="str">
        <f t="shared" si="8"/>
        <v/>
      </c>
    </row>
    <row r="178" spans="1:11" ht="18" customHeight="1" x14ac:dyDescent="0.2">
      <c r="A178" s="246"/>
      <c r="B178" s="246"/>
      <c r="C178" s="247"/>
      <c r="D178" s="248"/>
      <c r="E178" s="247"/>
      <c r="F178" s="249"/>
      <c r="G178" s="249"/>
      <c r="H178" s="247"/>
      <c r="I178" s="244" t="str">
        <f t="shared" ca="1" si="6"/>
        <v>—</v>
      </c>
      <c r="J178" s="240" t="str">
        <f t="shared" si="7"/>
        <v/>
      </c>
      <c r="K178" s="245" t="str">
        <f t="shared" si="8"/>
        <v/>
      </c>
    </row>
    <row r="179" spans="1:11" ht="18" customHeight="1" x14ac:dyDescent="0.2">
      <c r="A179" s="250"/>
      <c r="B179" s="250"/>
      <c r="C179" s="251"/>
      <c r="D179" s="252"/>
      <c r="E179" s="251"/>
      <c r="F179" s="253"/>
      <c r="G179" s="253"/>
      <c r="H179" s="251"/>
      <c r="I179" s="239" t="str">
        <f t="shared" ca="1" si="6"/>
        <v>—</v>
      </c>
      <c r="J179" s="240" t="str">
        <f t="shared" si="7"/>
        <v/>
      </c>
      <c r="K179" s="241" t="str">
        <f t="shared" si="8"/>
        <v/>
      </c>
    </row>
    <row r="180" spans="1:11" ht="18" customHeight="1" x14ac:dyDescent="0.2">
      <c r="A180" s="246"/>
      <c r="B180" s="246"/>
      <c r="C180" s="247"/>
      <c r="D180" s="248"/>
      <c r="E180" s="247"/>
      <c r="F180" s="249"/>
      <c r="G180" s="249"/>
      <c r="H180" s="247"/>
      <c r="I180" s="244" t="str">
        <f t="shared" ca="1" si="6"/>
        <v>—</v>
      </c>
      <c r="J180" s="240" t="str">
        <f t="shared" si="7"/>
        <v/>
      </c>
      <c r="K180" s="245" t="str">
        <f t="shared" si="8"/>
        <v/>
      </c>
    </row>
    <row r="181" spans="1:11" ht="18" customHeight="1" x14ac:dyDescent="0.2">
      <c r="A181" s="250"/>
      <c r="B181" s="250"/>
      <c r="C181" s="251"/>
      <c r="D181" s="252"/>
      <c r="E181" s="251"/>
      <c r="F181" s="253"/>
      <c r="G181" s="253"/>
      <c r="H181" s="251"/>
      <c r="I181" s="239" t="str">
        <f t="shared" ca="1" si="6"/>
        <v>—</v>
      </c>
      <c r="J181" s="240" t="str">
        <f t="shared" si="7"/>
        <v/>
      </c>
      <c r="K181" s="241" t="str">
        <f t="shared" si="8"/>
        <v/>
      </c>
    </row>
    <row r="182" spans="1:11" ht="18" customHeight="1" x14ac:dyDescent="0.2">
      <c r="A182" s="246"/>
      <c r="B182" s="246"/>
      <c r="C182" s="247"/>
      <c r="D182" s="248"/>
      <c r="E182" s="247"/>
      <c r="F182" s="249"/>
      <c r="G182" s="249"/>
      <c r="H182" s="247"/>
      <c r="I182" s="244" t="str">
        <f t="shared" ca="1" si="6"/>
        <v>—</v>
      </c>
      <c r="J182" s="240" t="str">
        <f t="shared" si="7"/>
        <v/>
      </c>
      <c r="K182" s="245" t="str">
        <f t="shared" si="8"/>
        <v/>
      </c>
    </row>
    <row r="183" spans="1:11" ht="18" customHeight="1" x14ac:dyDescent="0.2">
      <c r="A183" s="250"/>
      <c r="B183" s="250"/>
      <c r="C183" s="251"/>
      <c r="D183" s="252"/>
      <c r="E183" s="251"/>
      <c r="F183" s="253"/>
      <c r="G183" s="253"/>
      <c r="H183" s="251"/>
      <c r="I183" s="239" t="str">
        <f t="shared" ca="1" si="6"/>
        <v>—</v>
      </c>
      <c r="J183" s="240" t="str">
        <f t="shared" si="7"/>
        <v/>
      </c>
      <c r="K183" s="241" t="str">
        <f t="shared" si="8"/>
        <v/>
      </c>
    </row>
    <row r="184" spans="1:11" ht="18" customHeight="1" x14ac:dyDescent="0.2">
      <c r="A184" s="246"/>
      <c r="B184" s="246"/>
      <c r="C184" s="247"/>
      <c r="D184" s="248"/>
      <c r="E184" s="247"/>
      <c r="F184" s="249"/>
      <c r="G184" s="249"/>
      <c r="H184" s="247"/>
      <c r="I184" s="244" t="str">
        <f t="shared" ca="1" si="6"/>
        <v>—</v>
      </c>
      <c r="J184" s="240" t="str">
        <f t="shared" si="7"/>
        <v/>
      </c>
      <c r="K184" s="245" t="str">
        <f t="shared" si="8"/>
        <v/>
      </c>
    </row>
    <row r="185" spans="1:11" ht="18" customHeight="1" x14ac:dyDescent="0.2">
      <c r="A185" s="250"/>
      <c r="B185" s="250"/>
      <c r="C185" s="251"/>
      <c r="D185" s="252"/>
      <c r="E185" s="251"/>
      <c r="F185" s="253"/>
      <c r="G185" s="253"/>
      <c r="H185" s="251"/>
      <c r="I185" s="239" t="str">
        <f t="shared" ca="1" si="6"/>
        <v>—</v>
      </c>
      <c r="J185" s="240" t="str">
        <f t="shared" si="7"/>
        <v/>
      </c>
      <c r="K185" s="241" t="str">
        <f t="shared" si="8"/>
        <v/>
      </c>
    </row>
    <row r="186" spans="1:11" ht="18" customHeight="1" x14ac:dyDescent="0.2">
      <c r="A186" s="246"/>
      <c r="B186" s="246"/>
      <c r="C186" s="247"/>
      <c r="D186" s="248"/>
      <c r="E186" s="247"/>
      <c r="F186" s="249"/>
      <c r="G186" s="249"/>
      <c r="H186" s="247"/>
      <c r="I186" s="244" t="str">
        <f t="shared" ca="1" si="6"/>
        <v>—</v>
      </c>
      <c r="J186" s="240" t="str">
        <f t="shared" si="7"/>
        <v/>
      </c>
      <c r="K186" s="245" t="str">
        <f t="shared" si="8"/>
        <v/>
      </c>
    </row>
    <row r="187" spans="1:11" ht="18" customHeight="1" x14ac:dyDescent="0.2">
      <c r="A187" s="250"/>
      <c r="B187" s="250"/>
      <c r="C187" s="251"/>
      <c r="D187" s="252"/>
      <c r="E187" s="251"/>
      <c r="F187" s="253"/>
      <c r="G187" s="253"/>
      <c r="H187" s="251"/>
      <c r="I187" s="239" t="str">
        <f t="shared" ca="1" si="6"/>
        <v>—</v>
      </c>
      <c r="J187" s="240" t="str">
        <f t="shared" si="7"/>
        <v/>
      </c>
      <c r="K187" s="241" t="str">
        <f t="shared" si="8"/>
        <v/>
      </c>
    </row>
    <row r="188" spans="1:11" ht="18" customHeight="1" x14ac:dyDescent="0.2">
      <c r="A188" s="246"/>
      <c r="B188" s="246"/>
      <c r="C188" s="247"/>
      <c r="D188" s="248"/>
      <c r="E188" s="247"/>
      <c r="F188" s="249"/>
      <c r="G188" s="249"/>
      <c r="H188" s="247"/>
      <c r="I188" s="244" t="str">
        <f t="shared" ca="1" si="6"/>
        <v>—</v>
      </c>
      <c r="J188" s="240" t="str">
        <f t="shared" si="7"/>
        <v/>
      </c>
      <c r="K188" s="245" t="str">
        <f t="shared" si="8"/>
        <v/>
      </c>
    </row>
    <row r="189" spans="1:11" ht="18" customHeight="1" x14ac:dyDescent="0.2">
      <c r="A189" s="250"/>
      <c r="B189" s="250"/>
      <c r="C189" s="251"/>
      <c r="D189" s="252"/>
      <c r="E189" s="251"/>
      <c r="F189" s="253"/>
      <c r="G189" s="253"/>
      <c r="H189" s="251"/>
      <c r="I189" s="239" t="str">
        <f t="shared" ca="1" si="6"/>
        <v>—</v>
      </c>
      <c r="J189" s="240" t="str">
        <f t="shared" si="7"/>
        <v/>
      </c>
      <c r="K189" s="241" t="str">
        <f t="shared" si="8"/>
        <v/>
      </c>
    </row>
    <row r="190" spans="1:11" ht="18" customHeight="1" x14ac:dyDescent="0.2">
      <c r="A190" s="246"/>
      <c r="B190" s="246"/>
      <c r="C190" s="247"/>
      <c r="D190" s="248"/>
      <c r="E190" s="247"/>
      <c r="F190" s="249"/>
      <c r="G190" s="249"/>
      <c r="H190" s="247"/>
      <c r="I190" s="244" t="str">
        <f t="shared" ca="1" si="6"/>
        <v>—</v>
      </c>
      <c r="J190" s="240" t="str">
        <f t="shared" si="7"/>
        <v/>
      </c>
      <c r="K190" s="245" t="str">
        <f t="shared" si="8"/>
        <v/>
      </c>
    </row>
    <row r="191" spans="1:11" ht="18" customHeight="1" x14ac:dyDescent="0.2">
      <c r="A191" s="250"/>
      <c r="B191" s="250"/>
      <c r="C191" s="251"/>
      <c r="D191" s="252"/>
      <c r="E191" s="251"/>
      <c r="F191" s="253"/>
      <c r="G191" s="253"/>
      <c r="H191" s="251"/>
      <c r="I191" s="239" t="str">
        <f t="shared" ca="1" si="6"/>
        <v>—</v>
      </c>
      <c r="J191" s="240" t="str">
        <f t="shared" si="7"/>
        <v/>
      </c>
      <c r="K191" s="241" t="str">
        <f t="shared" si="8"/>
        <v/>
      </c>
    </row>
    <row r="192" spans="1:11" ht="18" customHeight="1" x14ac:dyDescent="0.2">
      <c r="A192" s="246"/>
      <c r="B192" s="246"/>
      <c r="C192" s="247"/>
      <c r="D192" s="248"/>
      <c r="E192" s="247"/>
      <c r="F192" s="249"/>
      <c r="G192" s="249"/>
      <c r="H192" s="247"/>
      <c r="I192" s="244" t="str">
        <f t="shared" ca="1" si="6"/>
        <v>—</v>
      </c>
      <c r="J192" s="240" t="str">
        <f t="shared" si="7"/>
        <v/>
      </c>
      <c r="K192" s="245" t="str">
        <f t="shared" si="8"/>
        <v/>
      </c>
    </row>
    <row r="193" spans="1:11" ht="18" customHeight="1" x14ac:dyDescent="0.2">
      <c r="A193" s="250"/>
      <c r="B193" s="250"/>
      <c r="C193" s="251"/>
      <c r="D193" s="252"/>
      <c r="E193" s="251"/>
      <c r="F193" s="253"/>
      <c r="G193" s="253"/>
      <c r="H193" s="251"/>
      <c r="I193" s="239" t="str">
        <f t="shared" ca="1" si="6"/>
        <v>—</v>
      </c>
      <c r="J193" s="240" t="str">
        <f t="shared" si="7"/>
        <v/>
      </c>
      <c r="K193" s="241" t="str">
        <f t="shared" si="8"/>
        <v/>
      </c>
    </row>
    <row r="194" spans="1:11" ht="18" customHeight="1" x14ac:dyDescent="0.2">
      <c r="A194" s="246"/>
      <c r="B194" s="246"/>
      <c r="C194" s="247"/>
      <c r="D194" s="248"/>
      <c r="E194" s="247"/>
      <c r="F194" s="249"/>
      <c r="G194" s="249"/>
      <c r="H194" s="247"/>
      <c r="I194" s="244" t="str">
        <f t="shared" ca="1" si="6"/>
        <v>—</v>
      </c>
      <c r="J194" s="240" t="str">
        <f t="shared" si="7"/>
        <v/>
      </c>
      <c r="K194" s="245" t="str">
        <f t="shared" si="8"/>
        <v/>
      </c>
    </row>
    <row r="195" spans="1:11" ht="18" customHeight="1" x14ac:dyDescent="0.2">
      <c r="A195" s="250"/>
      <c r="B195" s="250"/>
      <c r="C195" s="251"/>
      <c r="D195" s="252"/>
      <c r="E195" s="251"/>
      <c r="F195" s="253"/>
      <c r="G195" s="253"/>
      <c r="H195" s="251"/>
      <c r="I195" s="239" t="str">
        <f t="shared" ca="1" si="6"/>
        <v>—</v>
      </c>
      <c r="J195" s="240" t="str">
        <f t="shared" si="7"/>
        <v/>
      </c>
      <c r="K195" s="241" t="str">
        <f t="shared" si="8"/>
        <v/>
      </c>
    </row>
    <row r="196" spans="1:11" ht="18" customHeight="1" x14ac:dyDescent="0.2">
      <c r="A196" s="246"/>
      <c r="B196" s="246"/>
      <c r="C196" s="247"/>
      <c r="D196" s="248"/>
      <c r="E196" s="247"/>
      <c r="F196" s="249"/>
      <c r="G196" s="249"/>
      <c r="H196" s="247"/>
      <c r="I196" s="244" t="str">
        <f t="shared" ca="1" si="6"/>
        <v>—</v>
      </c>
      <c r="J196" s="240" t="str">
        <f t="shared" si="7"/>
        <v/>
      </c>
      <c r="K196" s="245" t="str">
        <f t="shared" si="8"/>
        <v/>
      </c>
    </row>
    <row r="197" spans="1:11" ht="18" customHeight="1" x14ac:dyDescent="0.2">
      <c r="A197" s="250"/>
      <c r="B197" s="250"/>
      <c r="C197" s="251"/>
      <c r="D197" s="252"/>
      <c r="E197" s="251"/>
      <c r="F197" s="253"/>
      <c r="G197" s="253"/>
      <c r="H197" s="251"/>
      <c r="I197" s="239" t="str">
        <f t="shared" ca="1" si="6"/>
        <v>—</v>
      </c>
      <c r="J197" s="240" t="str">
        <f t="shared" si="7"/>
        <v/>
      </c>
      <c r="K197" s="241" t="str">
        <f t="shared" si="8"/>
        <v/>
      </c>
    </row>
    <row r="198" spans="1:11" ht="18" customHeight="1" x14ac:dyDescent="0.2">
      <c r="A198" s="246"/>
      <c r="B198" s="246"/>
      <c r="C198" s="247"/>
      <c r="D198" s="248"/>
      <c r="E198" s="247"/>
      <c r="F198" s="249"/>
      <c r="G198" s="249"/>
      <c r="H198" s="247"/>
      <c r="I198" s="244" t="str">
        <f t="shared" ca="1" si="6"/>
        <v>—</v>
      </c>
      <c r="J198" s="240" t="str">
        <f t="shared" si="7"/>
        <v/>
      </c>
      <c r="K198" s="245" t="str">
        <f t="shared" si="8"/>
        <v/>
      </c>
    </row>
    <row r="199" spans="1:11" ht="18" customHeight="1" x14ac:dyDescent="0.2">
      <c r="A199" s="250"/>
      <c r="B199" s="250"/>
      <c r="C199" s="251"/>
      <c r="D199" s="252"/>
      <c r="E199" s="251"/>
      <c r="F199" s="253"/>
      <c r="G199" s="253"/>
      <c r="H199" s="251"/>
      <c r="I199" s="239" t="str">
        <f t="shared" ca="1" si="6"/>
        <v>—</v>
      </c>
      <c r="J199" s="240" t="str">
        <f t="shared" si="7"/>
        <v/>
      </c>
      <c r="K199" s="241" t="str">
        <f t="shared" si="8"/>
        <v/>
      </c>
    </row>
    <row r="200" spans="1:11" ht="18" customHeight="1" x14ac:dyDescent="0.2">
      <c r="A200" s="246"/>
      <c r="B200" s="246"/>
      <c r="C200" s="247"/>
      <c r="D200" s="248"/>
      <c r="E200" s="247"/>
      <c r="F200" s="249"/>
      <c r="G200" s="249"/>
      <c r="H200" s="247"/>
      <c r="I200" s="244" t="str">
        <f t="shared" ca="1" si="6"/>
        <v>—</v>
      </c>
      <c r="J200" s="240" t="str">
        <f t="shared" si="7"/>
        <v/>
      </c>
      <c r="K200" s="245" t="str">
        <f t="shared" si="8"/>
        <v/>
      </c>
    </row>
    <row r="201" spans="1:11" ht="18" customHeight="1" x14ac:dyDescent="0.2">
      <c r="A201" s="250"/>
      <c r="B201" s="250"/>
      <c r="C201" s="251"/>
      <c r="D201" s="252"/>
      <c r="E201" s="251"/>
      <c r="F201" s="253"/>
      <c r="G201" s="253"/>
      <c r="H201" s="251"/>
      <c r="I201" s="239" t="str">
        <f t="shared" ca="1" si="6"/>
        <v>—</v>
      </c>
      <c r="J201" s="240" t="str">
        <f t="shared" si="7"/>
        <v/>
      </c>
      <c r="K201" s="241" t="str">
        <f t="shared" si="8"/>
        <v/>
      </c>
    </row>
    <row r="202" spans="1:11" ht="18" customHeight="1" x14ac:dyDescent="0.2">
      <c r="A202" s="246"/>
      <c r="B202" s="246"/>
      <c r="C202" s="247"/>
      <c r="D202" s="248"/>
      <c r="E202" s="247"/>
      <c r="F202" s="249"/>
      <c r="G202" s="249"/>
      <c r="H202" s="247"/>
      <c r="I202" s="244" t="str">
        <f t="shared" ca="1" si="6"/>
        <v>—</v>
      </c>
      <c r="J202" s="240" t="str">
        <f t="shared" si="7"/>
        <v/>
      </c>
      <c r="K202" s="245" t="str">
        <f t="shared" si="8"/>
        <v/>
      </c>
    </row>
    <row r="203" spans="1:11" ht="18" customHeight="1" x14ac:dyDescent="0.2">
      <c r="A203" s="250"/>
      <c r="B203" s="250"/>
      <c r="C203" s="251"/>
      <c r="D203" s="252"/>
      <c r="E203" s="251"/>
      <c r="F203" s="253"/>
      <c r="G203" s="253"/>
      <c r="H203" s="251"/>
      <c r="I203" s="239" t="str">
        <f t="shared" ref="I203:I266" ca="1" si="9">IF(OR(B203="",H203="Sold"),"—",TODAY()-B203)</f>
        <v>—</v>
      </c>
      <c r="J203" s="240" t="str">
        <f t="shared" ref="J203:J266" si="10">IF(OR(B203="",H203="Sold"),"",IF(I203="—","",IF(I203&gt;=60,"STALE — route now",IF(I203&gt;=30,"Aging — watch",IF(I203&gt;=0,"Fresh","")))))</f>
        <v/>
      </c>
      <c r="K203" s="241" t="str">
        <f t="shared" ref="K203:K266" si="11">IF(J203="STALE — route now","→ Send to consignment batch",IF(J203="Aging — watch","→ Consider 10% price drop",IF(J203="Fresh","→ Hold &amp; monitor","")))</f>
        <v/>
      </c>
    </row>
    <row r="204" spans="1:11" ht="18" customHeight="1" x14ac:dyDescent="0.2">
      <c r="A204" s="246"/>
      <c r="B204" s="246"/>
      <c r="C204" s="247"/>
      <c r="D204" s="248"/>
      <c r="E204" s="247"/>
      <c r="F204" s="249"/>
      <c r="G204" s="249"/>
      <c r="H204" s="247"/>
      <c r="I204" s="244" t="str">
        <f t="shared" ca="1" si="9"/>
        <v>—</v>
      </c>
      <c r="J204" s="240" t="str">
        <f t="shared" si="10"/>
        <v/>
      </c>
      <c r="K204" s="245" t="str">
        <f t="shared" si="11"/>
        <v/>
      </c>
    </row>
    <row r="205" spans="1:11" ht="18" customHeight="1" x14ac:dyDescent="0.2">
      <c r="A205" s="250"/>
      <c r="B205" s="250"/>
      <c r="C205" s="251"/>
      <c r="D205" s="252"/>
      <c r="E205" s="251"/>
      <c r="F205" s="253"/>
      <c r="G205" s="253"/>
      <c r="H205" s="251"/>
      <c r="I205" s="239" t="str">
        <f t="shared" ca="1" si="9"/>
        <v>—</v>
      </c>
      <c r="J205" s="240" t="str">
        <f t="shared" si="10"/>
        <v/>
      </c>
      <c r="K205" s="241" t="str">
        <f t="shared" si="11"/>
        <v/>
      </c>
    </row>
    <row r="206" spans="1:11" ht="18" customHeight="1" x14ac:dyDescent="0.2">
      <c r="A206" s="246"/>
      <c r="B206" s="246"/>
      <c r="C206" s="247"/>
      <c r="D206" s="248"/>
      <c r="E206" s="247"/>
      <c r="F206" s="249"/>
      <c r="G206" s="249"/>
      <c r="H206" s="247"/>
      <c r="I206" s="244" t="str">
        <f t="shared" ca="1" si="9"/>
        <v>—</v>
      </c>
      <c r="J206" s="240" t="str">
        <f t="shared" si="10"/>
        <v/>
      </c>
      <c r="K206" s="245" t="str">
        <f t="shared" si="11"/>
        <v/>
      </c>
    </row>
    <row r="207" spans="1:11" ht="18" customHeight="1" x14ac:dyDescent="0.2">
      <c r="A207" s="250"/>
      <c r="B207" s="250"/>
      <c r="C207" s="251"/>
      <c r="D207" s="252"/>
      <c r="E207" s="251"/>
      <c r="F207" s="253"/>
      <c r="G207" s="253"/>
      <c r="H207" s="251"/>
      <c r="I207" s="239" t="str">
        <f t="shared" ca="1" si="9"/>
        <v>—</v>
      </c>
      <c r="J207" s="240" t="str">
        <f t="shared" si="10"/>
        <v/>
      </c>
      <c r="K207" s="241" t="str">
        <f t="shared" si="11"/>
        <v/>
      </c>
    </row>
    <row r="208" spans="1:11" ht="18" customHeight="1" x14ac:dyDescent="0.2">
      <c r="A208" s="246"/>
      <c r="B208" s="246"/>
      <c r="C208" s="247"/>
      <c r="D208" s="248"/>
      <c r="E208" s="247"/>
      <c r="F208" s="249"/>
      <c r="G208" s="249"/>
      <c r="H208" s="247"/>
      <c r="I208" s="244" t="str">
        <f t="shared" ca="1" si="9"/>
        <v>—</v>
      </c>
      <c r="J208" s="240" t="str">
        <f t="shared" si="10"/>
        <v/>
      </c>
      <c r="K208" s="245" t="str">
        <f t="shared" si="11"/>
        <v/>
      </c>
    </row>
    <row r="209" spans="1:11" ht="18" customHeight="1" x14ac:dyDescent="0.2">
      <c r="A209" s="250"/>
      <c r="B209" s="250"/>
      <c r="C209" s="251"/>
      <c r="D209" s="252"/>
      <c r="E209" s="251"/>
      <c r="F209" s="253"/>
      <c r="G209" s="253"/>
      <c r="H209" s="251"/>
      <c r="I209" s="239" t="str">
        <f t="shared" ca="1" si="9"/>
        <v>—</v>
      </c>
      <c r="J209" s="240" t="str">
        <f t="shared" si="10"/>
        <v/>
      </c>
      <c r="K209" s="241" t="str">
        <f t="shared" si="11"/>
        <v/>
      </c>
    </row>
    <row r="210" spans="1:11" ht="18" customHeight="1" x14ac:dyDescent="0.2">
      <c r="A210" s="246"/>
      <c r="B210" s="246"/>
      <c r="C210" s="247"/>
      <c r="D210" s="248"/>
      <c r="E210" s="247"/>
      <c r="F210" s="249"/>
      <c r="G210" s="249"/>
      <c r="H210" s="247"/>
      <c r="I210" s="244" t="str">
        <f t="shared" ca="1" si="9"/>
        <v>—</v>
      </c>
      <c r="J210" s="240" t="str">
        <f t="shared" si="10"/>
        <v/>
      </c>
      <c r="K210" s="245" t="str">
        <f t="shared" si="11"/>
        <v/>
      </c>
    </row>
    <row r="211" spans="1:11" ht="18" customHeight="1" x14ac:dyDescent="0.2">
      <c r="A211" s="250"/>
      <c r="B211" s="250"/>
      <c r="C211" s="251"/>
      <c r="D211" s="252"/>
      <c r="E211" s="251"/>
      <c r="F211" s="253"/>
      <c r="G211" s="253"/>
      <c r="H211" s="251"/>
      <c r="I211" s="239" t="str">
        <f t="shared" ca="1" si="9"/>
        <v>—</v>
      </c>
      <c r="J211" s="240" t="str">
        <f t="shared" si="10"/>
        <v/>
      </c>
      <c r="K211" s="241" t="str">
        <f t="shared" si="11"/>
        <v/>
      </c>
    </row>
    <row r="212" spans="1:11" ht="18" customHeight="1" x14ac:dyDescent="0.2">
      <c r="A212" s="246"/>
      <c r="B212" s="246"/>
      <c r="C212" s="247"/>
      <c r="D212" s="248"/>
      <c r="E212" s="247"/>
      <c r="F212" s="249"/>
      <c r="G212" s="249"/>
      <c r="H212" s="247"/>
      <c r="I212" s="244" t="str">
        <f t="shared" ca="1" si="9"/>
        <v>—</v>
      </c>
      <c r="J212" s="240" t="str">
        <f t="shared" si="10"/>
        <v/>
      </c>
      <c r="K212" s="245" t="str">
        <f t="shared" si="11"/>
        <v/>
      </c>
    </row>
    <row r="213" spans="1:11" ht="18" customHeight="1" x14ac:dyDescent="0.2">
      <c r="A213" s="250"/>
      <c r="B213" s="250"/>
      <c r="C213" s="251"/>
      <c r="D213" s="252"/>
      <c r="E213" s="251"/>
      <c r="F213" s="253"/>
      <c r="G213" s="253"/>
      <c r="H213" s="251"/>
      <c r="I213" s="239" t="str">
        <f t="shared" ca="1" si="9"/>
        <v>—</v>
      </c>
      <c r="J213" s="240" t="str">
        <f t="shared" si="10"/>
        <v/>
      </c>
      <c r="K213" s="241" t="str">
        <f t="shared" si="11"/>
        <v/>
      </c>
    </row>
    <row r="214" spans="1:11" ht="18" customHeight="1" x14ac:dyDescent="0.2">
      <c r="A214" s="246"/>
      <c r="B214" s="246"/>
      <c r="C214" s="247"/>
      <c r="D214" s="248"/>
      <c r="E214" s="247"/>
      <c r="F214" s="249"/>
      <c r="G214" s="249"/>
      <c r="H214" s="247"/>
      <c r="I214" s="244" t="str">
        <f t="shared" ca="1" si="9"/>
        <v>—</v>
      </c>
      <c r="J214" s="240" t="str">
        <f t="shared" si="10"/>
        <v/>
      </c>
      <c r="K214" s="245" t="str">
        <f t="shared" si="11"/>
        <v/>
      </c>
    </row>
    <row r="215" spans="1:11" ht="18" customHeight="1" x14ac:dyDescent="0.2">
      <c r="A215" s="250"/>
      <c r="B215" s="250"/>
      <c r="C215" s="251"/>
      <c r="D215" s="252"/>
      <c r="E215" s="251"/>
      <c r="F215" s="253"/>
      <c r="G215" s="253"/>
      <c r="H215" s="251"/>
      <c r="I215" s="239" t="str">
        <f t="shared" ca="1" si="9"/>
        <v>—</v>
      </c>
      <c r="J215" s="240" t="str">
        <f t="shared" si="10"/>
        <v/>
      </c>
      <c r="K215" s="241" t="str">
        <f t="shared" si="11"/>
        <v/>
      </c>
    </row>
    <row r="216" spans="1:11" ht="18" customHeight="1" x14ac:dyDescent="0.2">
      <c r="A216" s="246"/>
      <c r="B216" s="246"/>
      <c r="C216" s="247"/>
      <c r="D216" s="248"/>
      <c r="E216" s="247"/>
      <c r="F216" s="249"/>
      <c r="G216" s="249"/>
      <c r="H216" s="247"/>
      <c r="I216" s="244" t="str">
        <f t="shared" ca="1" si="9"/>
        <v>—</v>
      </c>
      <c r="J216" s="240" t="str">
        <f t="shared" si="10"/>
        <v/>
      </c>
      <c r="K216" s="245" t="str">
        <f t="shared" si="11"/>
        <v/>
      </c>
    </row>
    <row r="217" spans="1:11" ht="18" customHeight="1" x14ac:dyDescent="0.2">
      <c r="A217" s="250"/>
      <c r="B217" s="250"/>
      <c r="C217" s="251"/>
      <c r="D217" s="252"/>
      <c r="E217" s="251"/>
      <c r="F217" s="253"/>
      <c r="G217" s="253"/>
      <c r="H217" s="251"/>
      <c r="I217" s="239" t="str">
        <f t="shared" ca="1" si="9"/>
        <v>—</v>
      </c>
      <c r="J217" s="240" t="str">
        <f t="shared" si="10"/>
        <v/>
      </c>
      <c r="K217" s="241" t="str">
        <f t="shared" si="11"/>
        <v/>
      </c>
    </row>
    <row r="218" spans="1:11" ht="18" customHeight="1" x14ac:dyDescent="0.2">
      <c r="A218" s="246"/>
      <c r="B218" s="246"/>
      <c r="C218" s="247"/>
      <c r="D218" s="248"/>
      <c r="E218" s="247"/>
      <c r="F218" s="249"/>
      <c r="G218" s="249"/>
      <c r="H218" s="247"/>
      <c r="I218" s="244" t="str">
        <f t="shared" ca="1" si="9"/>
        <v>—</v>
      </c>
      <c r="J218" s="240" t="str">
        <f t="shared" si="10"/>
        <v/>
      </c>
      <c r="K218" s="245" t="str">
        <f t="shared" si="11"/>
        <v/>
      </c>
    </row>
    <row r="219" spans="1:11" ht="18" customHeight="1" x14ac:dyDescent="0.2">
      <c r="A219" s="250"/>
      <c r="B219" s="250"/>
      <c r="C219" s="251"/>
      <c r="D219" s="252"/>
      <c r="E219" s="251"/>
      <c r="F219" s="253"/>
      <c r="G219" s="253"/>
      <c r="H219" s="251"/>
      <c r="I219" s="239" t="str">
        <f t="shared" ca="1" si="9"/>
        <v>—</v>
      </c>
      <c r="J219" s="240" t="str">
        <f t="shared" si="10"/>
        <v/>
      </c>
      <c r="K219" s="241" t="str">
        <f t="shared" si="11"/>
        <v/>
      </c>
    </row>
    <row r="220" spans="1:11" ht="18" customHeight="1" x14ac:dyDescent="0.2">
      <c r="A220" s="246"/>
      <c r="B220" s="246"/>
      <c r="C220" s="247"/>
      <c r="D220" s="248"/>
      <c r="E220" s="247"/>
      <c r="F220" s="249"/>
      <c r="G220" s="249"/>
      <c r="H220" s="247"/>
      <c r="I220" s="244" t="str">
        <f t="shared" ca="1" si="9"/>
        <v>—</v>
      </c>
      <c r="J220" s="240" t="str">
        <f t="shared" si="10"/>
        <v/>
      </c>
      <c r="K220" s="245" t="str">
        <f t="shared" si="11"/>
        <v/>
      </c>
    </row>
    <row r="221" spans="1:11" ht="18" customHeight="1" x14ac:dyDescent="0.2">
      <c r="A221" s="250"/>
      <c r="B221" s="250"/>
      <c r="C221" s="251"/>
      <c r="D221" s="252"/>
      <c r="E221" s="251"/>
      <c r="F221" s="253"/>
      <c r="G221" s="253"/>
      <c r="H221" s="251"/>
      <c r="I221" s="239" t="str">
        <f t="shared" ca="1" si="9"/>
        <v>—</v>
      </c>
      <c r="J221" s="240" t="str">
        <f t="shared" si="10"/>
        <v/>
      </c>
      <c r="K221" s="241" t="str">
        <f t="shared" si="11"/>
        <v/>
      </c>
    </row>
    <row r="222" spans="1:11" ht="18" customHeight="1" x14ac:dyDescent="0.2">
      <c r="A222" s="246"/>
      <c r="B222" s="246"/>
      <c r="C222" s="247"/>
      <c r="D222" s="248"/>
      <c r="E222" s="247"/>
      <c r="F222" s="249"/>
      <c r="G222" s="249"/>
      <c r="H222" s="247"/>
      <c r="I222" s="244" t="str">
        <f t="shared" ca="1" si="9"/>
        <v>—</v>
      </c>
      <c r="J222" s="240" t="str">
        <f t="shared" si="10"/>
        <v/>
      </c>
      <c r="K222" s="245" t="str">
        <f t="shared" si="11"/>
        <v/>
      </c>
    </row>
    <row r="223" spans="1:11" ht="18" customHeight="1" x14ac:dyDescent="0.2">
      <c r="A223" s="250"/>
      <c r="B223" s="250"/>
      <c r="C223" s="251"/>
      <c r="D223" s="252"/>
      <c r="E223" s="251"/>
      <c r="F223" s="253"/>
      <c r="G223" s="253"/>
      <c r="H223" s="251"/>
      <c r="I223" s="239" t="str">
        <f t="shared" ca="1" si="9"/>
        <v>—</v>
      </c>
      <c r="J223" s="240" t="str">
        <f t="shared" si="10"/>
        <v/>
      </c>
      <c r="K223" s="241" t="str">
        <f t="shared" si="11"/>
        <v/>
      </c>
    </row>
    <row r="224" spans="1:11" ht="18" customHeight="1" x14ac:dyDescent="0.2">
      <c r="A224" s="246"/>
      <c r="B224" s="246"/>
      <c r="C224" s="247"/>
      <c r="D224" s="248"/>
      <c r="E224" s="247"/>
      <c r="F224" s="249"/>
      <c r="G224" s="249"/>
      <c r="H224" s="247"/>
      <c r="I224" s="244" t="str">
        <f t="shared" ca="1" si="9"/>
        <v>—</v>
      </c>
      <c r="J224" s="240" t="str">
        <f t="shared" si="10"/>
        <v/>
      </c>
      <c r="K224" s="245" t="str">
        <f t="shared" si="11"/>
        <v/>
      </c>
    </row>
    <row r="225" spans="1:11" ht="18" customHeight="1" x14ac:dyDescent="0.2">
      <c r="A225" s="250"/>
      <c r="B225" s="250"/>
      <c r="C225" s="251"/>
      <c r="D225" s="252"/>
      <c r="E225" s="251"/>
      <c r="F225" s="253"/>
      <c r="G225" s="253"/>
      <c r="H225" s="251"/>
      <c r="I225" s="239" t="str">
        <f t="shared" ca="1" si="9"/>
        <v>—</v>
      </c>
      <c r="J225" s="240" t="str">
        <f t="shared" si="10"/>
        <v/>
      </c>
      <c r="K225" s="241" t="str">
        <f t="shared" si="11"/>
        <v/>
      </c>
    </row>
    <row r="226" spans="1:11" ht="18" customHeight="1" x14ac:dyDescent="0.2">
      <c r="A226" s="246"/>
      <c r="B226" s="246"/>
      <c r="C226" s="247"/>
      <c r="D226" s="248"/>
      <c r="E226" s="247"/>
      <c r="F226" s="249"/>
      <c r="G226" s="249"/>
      <c r="H226" s="247"/>
      <c r="I226" s="244" t="str">
        <f t="shared" ca="1" si="9"/>
        <v>—</v>
      </c>
      <c r="J226" s="240" t="str">
        <f t="shared" si="10"/>
        <v/>
      </c>
      <c r="K226" s="245" t="str">
        <f t="shared" si="11"/>
        <v/>
      </c>
    </row>
    <row r="227" spans="1:11" ht="18" customHeight="1" x14ac:dyDescent="0.2">
      <c r="A227" s="250"/>
      <c r="B227" s="250"/>
      <c r="C227" s="251"/>
      <c r="D227" s="252"/>
      <c r="E227" s="251"/>
      <c r="F227" s="253"/>
      <c r="G227" s="253"/>
      <c r="H227" s="251"/>
      <c r="I227" s="239" t="str">
        <f t="shared" ca="1" si="9"/>
        <v>—</v>
      </c>
      <c r="J227" s="240" t="str">
        <f t="shared" si="10"/>
        <v/>
      </c>
      <c r="K227" s="241" t="str">
        <f t="shared" si="11"/>
        <v/>
      </c>
    </row>
    <row r="228" spans="1:11" ht="18" customHeight="1" x14ac:dyDescent="0.2">
      <c r="A228" s="246"/>
      <c r="B228" s="246"/>
      <c r="C228" s="247"/>
      <c r="D228" s="248"/>
      <c r="E228" s="247"/>
      <c r="F228" s="249"/>
      <c r="G228" s="249"/>
      <c r="H228" s="247"/>
      <c r="I228" s="244" t="str">
        <f t="shared" ca="1" si="9"/>
        <v>—</v>
      </c>
      <c r="J228" s="240" t="str">
        <f t="shared" si="10"/>
        <v/>
      </c>
      <c r="K228" s="245" t="str">
        <f t="shared" si="11"/>
        <v/>
      </c>
    </row>
    <row r="229" spans="1:11" ht="18" customHeight="1" x14ac:dyDescent="0.2">
      <c r="A229" s="250"/>
      <c r="B229" s="250"/>
      <c r="C229" s="251"/>
      <c r="D229" s="252"/>
      <c r="E229" s="251"/>
      <c r="F229" s="253"/>
      <c r="G229" s="253"/>
      <c r="H229" s="251"/>
      <c r="I229" s="239" t="str">
        <f t="shared" ca="1" si="9"/>
        <v>—</v>
      </c>
      <c r="J229" s="240" t="str">
        <f t="shared" si="10"/>
        <v/>
      </c>
      <c r="K229" s="241" t="str">
        <f t="shared" si="11"/>
        <v/>
      </c>
    </row>
    <row r="230" spans="1:11" ht="18" customHeight="1" x14ac:dyDescent="0.2">
      <c r="A230" s="246"/>
      <c r="B230" s="246"/>
      <c r="C230" s="247"/>
      <c r="D230" s="248"/>
      <c r="E230" s="247"/>
      <c r="F230" s="249"/>
      <c r="G230" s="249"/>
      <c r="H230" s="247"/>
      <c r="I230" s="244" t="str">
        <f t="shared" ca="1" si="9"/>
        <v>—</v>
      </c>
      <c r="J230" s="240" t="str">
        <f t="shared" si="10"/>
        <v/>
      </c>
      <c r="K230" s="245" t="str">
        <f t="shared" si="11"/>
        <v/>
      </c>
    </row>
    <row r="231" spans="1:11" ht="18" customHeight="1" x14ac:dyDescent="0.2">
      <c r="A231" s="250"/>
      <c r="B231" s="250"/>
      <c r="C231" s="251"/>
      <c r="D231" s="252"/>
      <c r="E231" s="251"/>
      <c r="F231" s="253"/>
      <c r="G231" s="253"/>
      <c r="H231" s="251"/>
      <c r="I231" s="239" t="str">
        <f t="shared" ca="1" si="9"/>
        <v>—</v>
      </c>
      <c r="J231" s="240" t="str">
        <f t="shared" si="10"/>
        <v/>
      </c>
      <c r="K231" s="241" t="str">
        <f t="shared" si="11"/>
        <v/>
      </c>
    </row>
    <row r="232" spans="1:11" ht="18" customHeight="1" x14ac:dyDescent="0.2">
      <c r="A232" s="246"/>
      <c r="B232" s="246"/>
      <c r="C232" s="247"/>
      <c r="D232" s="248"/>
      <c r="E232" s="247"/>
      <c r="F232" s="249"/>
      <c r="G232" s="249"/>
      <c r="H232" s="247"/>
      <c r="I232" s="244" t="str">
        <f t="shared" ca="1" si="9"/>
        <v>—</v>
      </c>
      <c r="J232" s="240" t="str">
        <f t="shared" si="10"/>
        <v/>
      </c>
      <c r="K232" s="245" t="str">
        <f t="shared" si="11"/>
        <v/>
      </c>
    </row>
    <row r="233" spans="1:11" ht="18" customHeight="1" x14ac:dyDescent="0.2">
      <c r="A233" s="250"/>
      <c r="B233" s="250"/>
      <c r="C233" s="251"/>
      <c r="D233" s="252"/>
      <c r="E233" s="251"/>
      <c r="F233" s="253"/>
      <c r="G233" s="253"/>
      <c r="H233" s="251"/>
      <c r="I233" s="239" t="str">
        <f t="shared" ca="1" si="9"/>
        <v>—</v>
      </c>
      <c r="J233" s="240" t="str">
        <f t="shared" si="10"/>
        <v/>
      </c>
      <c r="K233" s="241" t="str">
        <f t="shared" si="11"/>
        <v/>
      </c>
    </row>
    <row r="234" spans="1:11" ht="18" customHeight="1" x14ac:dyDescent="0.2">
      <c r="A234" s="246"/>
      <c r="B234" s="246"/>
      <c r="C234" s="247"/>
      <c r="D234" s="248"/>
      <c r="E234" s="247"/>
      <c r="F234" s="249"/>
      <c r="G234" s="249"/>
      <c r="H234" s="247"/>
      <c r="I234" s="244" t="str">
        <f t="shared" ca="1" si="9"/>
        <v>—</v>
      </c>
      <c r="J234" s="240" t="str">
        <f t="shared" si="10"/>
        <v/>
      </c>
      <c r="K234" s="245" t="str">
        <f t="shared" si="11"/>
        <v/>
      </c>
    </row>
    <row r="235" spans="1:11" ht="18" customHeight="1" x14ac:dyDescent="0.2">
      <c r="A235" s="250"/>
      <c r="B235" s="250"/>
      <c r="C235" s="251"/>
      <c r="D235" s="252"/>
      <c r="E235" s="251"/>
      <c r="F235" s="253"/>
      <c r="G235" s="253"/>
      <c r="H235" s="251"/>
      <c r="I235" s="239" t="str">
        <f t="shared" ca="1" si="9"/>
        <v>—</v>
      </c>
      <c r="J235" s="240" t="str">
        <f t="shared" si="10"/>
        <v/>
      </c>
      <c r="K235" s="241" t="str">
        <f t="shared" si="11"/>
        <v/>
      </c>
    </row>
    <row r="236" spans="1:11" ht="18" customHeight="1" x14ac:dyDescent="0.2">
      <c r="A236" s="246"/>
      <c r="B236" s="246"/>
      <c r="C236" s="247"/>
      <c r="D236" s="248"/>
      <c r="E236" s="247"/>
      <c r="F236" s="249"/>
      <c r="G236" s="249"/>
      <c r="H236" s="247"/>
      <c r="I236" s="244" t="str">
        <f t="shared" ca="1" si="9"/>
        <v>—</v>
      </c>
      <c r="J236" s="240" t="str">
        <f t="shared" si="10"/>
        <v/>
      </c>
      <c r="K236" s="245" t="str">
        <f t="shared" si="11"/>
        <v/>
      </c>
    </row>
    <row r="237" spans="1:11" ht="18" customHeight="1" x14ac:dyDescent="0.2">
      <c r="A237" s="250"/>
      <c r="B237" s="250"/>
      <c r="C237" s="251"/>
      <c r="D237" s="252"/>
      <c r="E237" s="251"/>
      <c r="F237" s="253"/>
      <c r="G237" s="253"/>
      <c r="H237" s="251"/>
      <c r="I237" s="239" t="str">
        <f t="shared" ca="1" si="9"/>
        <v>—</v>
      </c>
      <c r="J237" s="240" t="str">
        <f t="shared" si="10"/>
        <v/>
      </c>
      <c r="K237" s="241" t="str">
        <f t="shared" si="11"/>
        <v/>
      </c>
    </row>
    <row r="238" spans="1:11" ht="18" customHeight="1" x14ac:dyDescent="0.2">
      <c r="A238" s="246"/>
      <c r="B238" s="246"/>
      <c r="C238" s="247"/>
      <c r="D238" s="248"/>
      <c r="E238" s="247"/>
      <c r="F238" s="249"/>
      <c r="G238" s="249"/>
      <c r="H238" s="247"/>
      <c r="I238" s="244" t="str">
        <f t="shared" ca="1" si="9"/>
        <v>—</v>
      </c>
      <c r="J238" s="240" t="str">
        <f t="shared" si="10"/>
        <v/>
      </c>
      <c r="K238" s="245" t="str">
        <f t="shared" si="11"/>
        <v/>
      </c>
    </row>
    <row r="239" spans="1:11" ht="18" customHeight="1" x14ac:dyDescent="0.2">
      <c r="A239" s="250"/>
      <c r="B239" s="250"/>
      <c r="C239" s="251"/>
      <c r="D239" s="252"/>
      <c r="E239" s="251"/>
      <c r="F239" s="253"/>
      <c r="G239" s="253"/>
      <c r="H239" s="251"/>
      <c r="I239" s="239" t="str">
        <f t="shared" ca="1" si="9"/>
        <v>—</v>
      </c>
      <c r="J239" s="240" t="str">
        <f t="shared" si="10"/>
        <v/>
      </c>
      <c r="K239" s="241" t="str">
        <f t="shared" si="11"/>
        <v/>
      </c>
    </row>
    <row r="240" spans="1:11" ht="18" customHeight="1" x14ac:dyDescent="0.2">
      <c r="A240" s="246"/>
      <c r="B240" s="246"/>
      <c r="C240" s="247"/>
      <c r="D240" s="248"/>
      <c r="E240" s="247"/>
      <c r="F240" s="249"/>
      <c r="G240" s="249"/>
      <c r="H240" s="247"/>
      <c r="I240" s="244" t="str">
        <f t="shared" ca="1" si="9"/>
        <v>—</v>
      </c>
      <c r="J240" s="240" t="str">
        <f t="shared" si="10"/>
        <v/>
      </c>
      <c r="K240" s="245" t="str">
        <f t="shared" si="11"/>
        <v/>
      </c>
    </row>
    <row r="241" spans="1:11" ht="18" customHeight="1" x14ac:dyDescent="0.2">
      <c r="A241" s="250"/>
      <c r="B241" s="250"/>
      <c r="C241" s="251"/>
      <c r="D241" s="252"/>
      <c r="E241" s="251"/>
      <c r="F241" s="253"/>
      <c r="G241" s="253"/>
      <c r="H241" s="251"/>
      <c r="I241" s="239" t="str">
        <f t="shared" ca="1" si="9"/>
        <v>—</v>
      </c>
      <c r="J241" s="240" t="str">
        <f t="shared" si="10"/>
        <v/>
      </c>
      <c r="K241" s="241" t="str">
        <f t="shared" si="11"/>
        <v/>
      </c>
    </row>
    <row r="242" spans="1:11" ht="18" customHeight="1" x14ac:dyDescent="0.2">
      <c r="A242" s="246"/>
      <c r="B242" s="246"/>
      <c r="C242" s="247"/>
      <c r="D242" s="248"/>
      <c r="E242" s="247"/>
      <c r="F242" s="249"/>
      <c r="G242" s="249"/>
      <c r="H242" s="247"/>
      <c r="I242" s="244" t="str">
        <f t="shared" ca="1" si="9"/>
        <v>—</v>
      </c>
      <c r="J242" s="240" t="str">
        <f t="shared" si="10"/>
        <v/>
      </c>
      <c r="K242" s="245" t="str">
        <f t="shared" si="11"/>
        <v/>
      </c>
    </row>
    <row r="243" spans="1:11" ht="18" customHeight="1" x14ac:dyDescent="0.2">
      <c r="A243" s="250"/>
      <c r="B243" s="250"/>
      <c r="C243" s="251"/>
      <c r="D243" s="252"/>
      <c r="E243" s="251"/>
      <c r="F243" s="253"/>
      <c r="G243" s="253"/>
      <c r="H243" s="251"/>
      <c r="I243" s="239" t="str">
        <f t="shared" ca="1" si="9"/>
        <v>—</v>
      </c>
      <c r="J243" s="240" t="str">
        <f t="shared" si="10"/>
        <v/>
      </c>
      <c r="K243" s="241" t="str">
        <f t="shared" si="11"/>
        <v/>
      </c>
    </row>
    <row r="244" spans="1:11" ht="18" customHeight="1" x14ac:dyDescent="0.2">
      <c r="A244" s="246"/>
      <c r="B244" s="246"/>
      <c r="C244" s="247"/>
      <c r="D244" s="248"/>
      <c r="E244" s="247"/>
      <c r="F244" s="249"/>
      <c r="G244" s="249"/>
      <c r="H244" s="247"/>
      <c r="I244" s="244" t="str">
        <f t="shared" ca="1" si="9"/>
        <v>—</v>
      </c>
      <c r="J244" s="240" t="str">
        <f t="shared" si="10"/>
        <v/>
      </c>
      <c r="K244" s="245" t="str">
        <f t="shared" si="11"/>
        <v/>
      </c>
    </row>
    <row r="245" spans="1:11" ht="18" customHeight="1" x14ac:dyDescent="0.2">
      <c r="A245" s="250"/>
      <c r="B245" s="250"/>
      <c r="C245" s="251"/>
      <c r="D245" s="252"/>
      <c r="E245" s="251"/>
      <c r="F245" s="253"/>
      <c r="G245" s="253"/>
      <c r="H245" s="251"/>
      <c r="I245" s="239" t="str">
        <f t="shared" ca="1" si="9"/>
        <v>—</v>
      </c>
      <c r="J245" s="240" t="str">
        <f t="shared" si="10"/>
        <v/>
      </c>
      <c r="K245" s="241" t="str">
        <f t="shared" si="11"/>
        <v/>
      </c>
    </row>
    <row r="246" spans="1:11" ht="18" customHeight="1" x14ac:dyDescent="0.2">
      <c r="A246" s="246"/>
      <c r="B246" s="246"/>
      <c r="C246" s="247"/>
      <c r="D246" s="248"/>
      <c r="E246" s="247"/>
      <c r="F246" s="249"/>
      <c r="G246" s="249"/>
      <c r="H246" s="247"/>
      <c r="I246" s="244" t="str">
        <f t="shared" ca="1" si="9"/>
        <v>—</v>
      </c>
      <c r="J246" s="240" t="str">
        <f t="shared" si="10"/>
        <v/>
      </c>
      <c r="K246" s="245" t="str">
        <f t="shared" si="11"/>
        <v/>
      </c>
    </row>
    <row r="247" spans="1:11" ht="18" customHeight="1" x14ac:dyDescent="0.2">
      <c r="A247" s="250"/>
      <c r="B247" s="250"/>
      <c r="C247" s="251"/>
      <c r="D247" s="252"/>
      <c r="E247" s="251"/>
      <c r="F247" s="253"/>
      <c r="G247" s="253"/>
      <c r="H247" s="251"/>
      <c r="I247" s="239" t="str">
        <f t="shared" ca="1" si="9"/>
        <v>—</v>
      </c>
      <c r="J247" s="240" t="str">
        <f t="shared" si="10"/>
        <v/>
      </c>
      <c r="K247" s="241" t="str">
        <f t="shared" si="11"/>
        <v/>
      </c>
    </row>
    <row r="248" spans="1:11" ht="18" customHeight="1" x14ac:dyDescent="0.2">
      <c r="A248" s="246"/>
      <c r="B248" s="246"/>
      <c r="C248" s="247"/>
      <c r="D248" s="248"/>
      <c r="E248" s="247"/>
      <c r="F248" s="249"/>
      <c r="G248" s="249"/>
      <c r="H248" s="247"/>
      <c r="I248" s="244" t="str">
        <f t="shared" ca="1" si="9"/>
        <v>—</v>
      </c>
      <c r="J248" s="240" t="str">
        <f t="shared" si="10"/>
        <v/>
      </c>
      <c r="K248" s="245" t="str">
        <f t="shared" si="11"/>
        <v/>
      </c>
    </row>
    <row r="249" spans="1:11" ht="18" customHeight="1" x14ac:dyDescent="0.2">
      <c r="A249" s="250"/>
      <c r="B249" s="250"/>
      <c r="C249" s="251"/>
      <c r="D249" s="252"/>
      <c r="E249" s="251"/>
      <c r="F249" s="253"/>
      <c r="G249" s="253"/>
      <c r="H249" s="251"/>
      <c r="I249" s="239" t="str">
        <f t="shared" ca="1" si="9"/>
        <v>—</v>
      </c>
      <c r="J249" s="240" t="str">
        <f t="shared" si="10"/>
        <v/>
      </c>
      <c r="K249" s="241" t="str">
        <f t="shared" si="11"/>
        <v/>
      </c>
    </row>
    <row r="250" spans="1:11" ht="18" customHeight="1" x14ac:dyDescent="0.2">
      <c r="A250" s="246"/>
      <c r="B250" s="246"/>
      <c r="C250" s="247"/>
      <c r="D250" s="248"/>
      <c r="E250" s="247"/>
      <c r="F250" s="249"/>
      <c r="G250" s="249"/>
      <c r="H250" s="247"/>
      <c r="I250" s="244" t="str">
        <f t="shared" ca="1" si="9"/>
        <v>—</v>
      </c>
      <c r="J250" s="240" t="str">
        <f t="shared" si="10"/>
        <v/>
      </c>
      <c r="K250" s="245" t="str">
        <f t="shared" si="11"/>
        <v/>
      </c>
    </row>
    <row r="251" spans="1:11" ht="18" customHeight="1" x14ac:dyDescent="0.2">
      <c r="A251" s="250"/>
      <c r="B251" s="250"/>
      <c r="C251" s="251"/>
      <c r="D251" s="252"/>
      <c r="E251" s="251"/>
      <c r="F251" s="253"/>
      <c r="G251" s="253"/>
      <c r="H251" s="251"/>
      <c r="I251" s="239" t="str">
        <f t="shared" ca="1" si="9"/>
        <v>—</v>
      </c>
      <c r="J251" s="240" t="str">
        <f t="shared" si="10"/>
        <v/>
      </c>
      <c r="K251" s="241" t="str">
        <f t="shared" si="11"/>
        <v/>
      </c>
    </row>
    <row r="252" spans="1:11" ht="18" customHeight="1" x14ac:dyDescent="0.2">
      <c r="A252" s="246"/>
      <c r="B252" s="246"/>
      <c r="C252" s="247"/>
      <c r="D252" s="248"/>
      <c r="E252" s="247"/>
      <c r="F252" s="249"/>
      <c r="G252" s="249"/>
      <c r="H252" s="247"/>
      <c r="I252" s="244" t="str">
        <f t="shared" ca="1" si="9"/>
        <v>—</v>
      </c>
      <c r="J252" s="240" t="str">
        <f t="shared" si="10"/>
        <v/>
      </c>
      <c r="K252" s="245" t="str">
        <f t="shared" si="11"/>
        <v/>
      </c>
    </row>
    <row r="253" spans="1:11" ht="18" customHeight="1" x14ac:dyDescent="0.2">
      <c r="A253" s="250"/>
      <c r="B253" s="250"/>
      <c r="C253" s="251"/>
      <c r="D253" s="252"/>
      <c r="E253" s="251"/>
      <c r="F253" s="253"/>
      <c r="G253" s="253"/>
      <c r="H253" s="251"/>
      <c r="I253" s="239" t="str">
        <f t="shared" ca="1" si="9"/>
        <v>—</v>
      </c>
      <c r="J253" s="240" t="str">
        <f t="shared" si="10"/>
        <v/>
      </c>
      <c r="K253" s="241" t="str">
        <f t="shared" si="11"/>
        <v/>
      </c>
    </row>
    <row r="254" spans="1:11" ht="18" customHeight="1" x14ac:dyDescent="0.2">
      <c r="A254" s="246"/>
      <c r="B254" s="246"/>
      <c r="C254" s="247"/>
      <c r="D254" s="248"/>
      <c r="E254" s="247"/>
      <c r="F254" s="249"/>
      <c r="G254" s="249"/>
      <c r="H254" s="247"/>
      <c r="I254" s="244" t="str">
        <f t="shared" ca="1" si="9"/>
        <v>—</v>
      </c>
      <c r="J254" s="240" t="str">
        <f t="shared" si="10"/>
        <v/>
      </c>
      <c r="K254" s="245" t="str">
        <f t="shared" si="11"/>
        <v/>
      </c>
    </row>
    <row r="255" spans="1:11" ht="18" customHeight="1" x14ac:dyDescent="0.2">
      <c r="A255" s="250"/>
      <c r="B255" s="250"/>
      <c r="C255" s="251"/>
      <c r="D255" s="252"/>
      <c r="E255" s="251"/>
      <c r="F255" s="253"/>
      <c r="G255" s="253"/>
      <c r="H255" s="251"/>
      <c r="I255" s="239" t="str">
        <f t="shared" ca="1" si="9"/>
        <v>—</v>
      </c>
      <c r="J255" s="240" t="str">
        <f t="shared" si="10"/>
        <v/>
      </c>
      <c r="K255" s="241" t="str">
        <f t="shared" si="11"/>
        <v/>
      </c>
    </row>
    <row r="256" spans="1:11" ht="18" customHeight="1" x14ac:dyDescent="0.2">
      <c r="A256" s="246"/>
      <c r="B256" s="246"/>
      <c r="C256" s="247"/>
      <c r="D256" s="248"/>
      <c r="E256" s="247"/>
      <c r="F256" s="249"/>
      <c r="G256" s="249"/>
      <c r="H256" s="247"/>
      <c r="I256" s="244" t="str">
        <f t="shared" ca="1" si="9"/>
        <v>—</v>
      </c>
      <c r="J256" s="240" t="str">
        <f t="shared" si="10"/>
        <v/>
      </c>
      <c r="K256" s="245" t="str">
        <f t="shared" si="11"/>
        <v/>
      </c>
    </row>
    <row r="257" spans="1:11" ht="18" customHeight="1" x14ac:dyDescent="0.2">
      <c r="A257" s="250"/>
      <c r="B257" s="250"/>
      <c r="C257" s="251"/>
      <c r="D257" s="252"/>
      <c r="E257" s="251"/>
      <c r="F257" s="253"/>
      <c r="G257" s="253"/>
      <c r="H257" s="251"/>
      <c r="I257" s="239" t="str">
        <f t="shared" ca="1" si="9"/>
        <v>—</v>
      </c>
      <c r="J257" s="240" t="str">
        <f t="shared" si="10"/>
        <v/>
      </c>
      <c r="K257" s="241" t="str">
        <f t="shared" si="11"/>
        <v/>
      </c>
    </row>
    <row r="258" spans="1:11" ht="18" customHeight="1" x14ac:dyDescent="0.2">
      <c r="A258" s="246"/>
      <c r="B258" s="246"/>
      <c r="C258" s="247"/>
      <c r="D258" s="248"/>
      <c r="E258" s="247"/>
      <c r="F258" s="249"/>
      <c r="G258" s="249"/>
      <c r="H258" s="247"/>
      <c r="I258" s="244" t="str">
        <f t="shared" ca="1" si="9"/>
        <v>—</v>
      </c>
      <c r="J258" s="240" t="str">
        <f t="shared" si="10"/>
        <v/>
      </c>
      <c r="K258" s="245" t="str">
        <f t="shared" si="11"/>
        <v/>
      </c>
    </row>
    <row r="259" spans="1:11" ht="18" customHeight="1" x14ac:dyDescent="0.2">
      <c r="A259" s="250"/>
      <c r="B259" s="250"/>
      <c r="C259" s="251"/>
      <c r="D259" s="252"/>
      <c r="E259" s="251"/>
      <c r="F259" s="253"/>
      <c r="G259" s="253"/>
      <c r="H259" s="251"/>
      <c r="I259" s="239" t="str">
        <f t="shared" ca="1" si="9"/>
        <v>—</v>
      </c>
      <c r="J259" s="240" t="str">
        <f t="shared" si="10"/>
        <v/>
      </c>
      <c r="K259" s="241" t="str">
        <f t="shared" si="11"/>
        <v/>
      </c>
    </row>
    <row r="260" spans="1:11" ht="18" customHeight="1" x14ac:dyDescent="0.2">
      <c r="A260" s="246"/>
      <c r="B260" s="246"/>
      <c r="C260" s="247"/>
      <c r="D260" s="248"/>
      <c r="E260" s="247"/>
      <c r="F260" s="249"/>
      <c r="G260" s="249"/>
      <c r="H260" s="247"/>
      <c r="I260" s="244" t="str">
        <f t="shared" ca="1" si="9"/>
        <v>—</v>
      </c>
      <c r="J260" s="240" t="str">
        <f t="shared" si="10"/>
        <v/>
      </c>
      <c r="K260" s="245" t="str">
        <f t="shared" si="11"/>
        <v/>
      </c>
    </row>
    <row r="261" spans="1:11" ht="18" customHeight="1" x14ac:dyDescent="0.2">
      <c r="A261" s="250"/>
      <c r="B261" s="250"/>
      <c r="C261" s="251"/>
      <c r="D261" s="252"/>
      <c r="E261" s="251"/>
      <c r="F261" s="253"/>
      <c r="G261" s="253"/>
      <c r="H261" s="251"/>
      <c r="I261" s="239" t="str">
        <f t="shared" ca="1" si="9"/>
        <v>—</v>
      </c>
      <c r="J261" s="240" t="str">
        <f t="shared" si="10"/>
        <v/>
      </c>
      <c r="K261" s="241" t="str">
        <f t="shared" si="11"/>
        <v/>
      </c>
    </row>
    <row r="262" spans="1:11" ht="18" customHeight="1" x14ac:dyDescent="0.2">
      <c r="A262" s="246"/>
      <c r="B262" s="246"/>
      <c r="C262" s="247"/>
      <c r="D262" s="248"/>
      <c r="E262" s="247"/>
      <c r="F262" s="249"/>
      <c r="G262" s="249"/>
      <c r="H262" s="247"/>
      <c r="I262" s="244" t="str">
        <f t="shared" ca="1" si="9"/>
        <v>—</v>
      </c>
      <c r="J262" s="240" t="str">
        <f t="shared" si="10"/>
        <v/>
      </c>
      <c r="K262" s="245" t="str">
        <f t="shared" si="11"/>
        <v/>
      </c>
    </row>
    <row r="263" spans="1:11" ht="18" customHeight="1" x14ac:dyDescent="0.2">
      <c r="A263" s="250"/>
      <c r="B263" s="250"/>
      <c r="C263" s="251"/>
      <c r="D263" s="252"/>
      <c r="E263" s="251"/>
      <c r="F263" s="253"/>
      <c r="G263" s="253"/>
      <c r="H263" s="251"/>
      <c r="I263" s="239" t="str">
        <f t="shared" ca="1" si="9"/>
        <v>—</v>
      </c>
      <c r="J263" s="240" t="str">
        <f t="shared" si="10"/>
        <v/>
      </c>
      <c r="K263" s="241" t="str">
        <f t="shared" si="11"/>
        <v/>
      </c>
    </row>
    <row r="264" spans="1:11" ht="18" customHeight="1" x14ac:dyDescent="0.2">
      <c r="A264" s="246"/>
      <c r="B264" s="246"/>
      <c r="C264" s="247"/>
      <c r="D264" s="248"/>
      <c r="E264" s="247"/>
      <c r="F264" s="249"/>
      <c r="G264" s="249"/>
      <c r="H264" s="247"/>
      <c r="I264" s="244" t="str">
        <f t="shared" ca="1" si="9"/>
        <v>—</v>
      </c>
      <c r="J264" s="240" t="str">
        <f t="shared" si="10"/>
        <v/>
      </c>
      <c r="K264" s="245" t="str">
        <f t="shared" si="11"/>
        <v/>
      </c>
    </row>
    <row r="265" spans="1:11" ht="18" customHeight="1" x14ac:dyDescent="0.2">
      <c r="A265" s="250"/>
      <c r="B265" s="250"/>
      <c r="C265" s="251"/>
      <c r="D265" s="252"/>
      <c r="E265" s="251"/>
      <c r="F265" s="253"/>
      <c r="G265" s="253"/>
      <c r="H265" s="251"/>
      <c r="I265" s="239" t="str">
        <f t="shared" ca="1" si="9"/>
        <v>—</v>
      </c>
      <c r="J265" s="240" t="str">
        <f t="shared" si="10"/>
        <v/>
      </c>
      <c r="K265" s="241" t="str">
        <f t="shared" si="11"/>
        <v/>
      </c>
    </row>
    <row r="266" spans="1:11" ht="18" customHeight="1" x14ac:dyDescent="0.2">
      <c r="A266" s="246"/>
      <c r="B266" s="246"/>
      <c r="C266" s="247"/>
      <c r="D266" s="248"/>
      <c r="E266" s="247"/>
      <c r="F266" s="249"/>
      <c r="G266" s="249"/>
      <c r="H266" s="247"/>
      <c r="I266" s="244" t="str">
        <f t="shared" ca="1" si="9"/>
        <v>—</v>
      </c>
      <c r="J266" s="240" t="str">
        <f t="shared" si="10"/>
        <v/>
      </c>
      <c r="K266" s="245" t="str">
        <f t="shared" si="11"/>
        <v/>
      </c>
    </row>
    <row r="267" spans="1:11" ht="18" customHeight="1" x14ac:dyDescent="0.2">
      <c r="A267" s="250"/>
      <c r="B267" s="250"/>
      <c r="C267" s="251"/>
      <c r="D267" s="252"/>
      <c r="E267" s="251"/>
      <c r="F267" s="253"/>
      <c r="G267" s="253"/>
      <c r="H267" s="251"/>
      <c r="I267" s="239" t="str">
        <f t="shared" ref="I267:I330" ca="1" si="12">IF(OR(B267="",H267="Sold"),"—",TODAY()-B267)</f>
        <v>—</v>
      </c>
      <c r="J267" s="240" t="str">
        <f t="shared" ref="J267:J330" si="13">IF(OR(B267="",H267="Sold"),"",IF(I267="—","",IF(I267&gt;=60,"STALE — route now",IF(I267&gt;=30,"Aging — watch",IF(I267&gt;=0,"Fresh","")))))</f>
        <v/>
      </c>
      <c r="K267" s="241" t="str">
        <f t="shared" ref="K267:K330" si="14">IF(J267="STALE — route now","→ Send to consignment batch",IF(J267="Aging — watch","→ Consider 10% price drop",IF(J267="Fresh","→ Hold &amp; monitor","")))</f>
        <v/>
      </c>
    </row>
    <row r="268" spans="1:11" ht="18" customHeight="1" x14ac:dyDescent="0.2">
      <c r="A268" s="246"/>
      <c r="B268" s="246"/>
      <c r="C268" s="247"/>
      <c r="D268" s="248"/>
      <c r="E268" s="247"/>
      <c r="F268" s="249"/>
      <c r="G268" s="249"/>
      <c r="H268" s="247"/>
      <c r="I268" s="244" t="str">
        <f t="shared" ca="1" si="12"/>
        <v>—</v>
      </c>
      <c r="J268" s="240" t="str">
        <f t="shared" si="13"/>
        <v/>
      </c>
      <c r="K268" s="245" t="str">
        <f t="shared" si="14"/>
        <v/>
      </c>
    </row>
    <row r="269" spans="1:11" ht="18" customHeight="1" x14ac:dyDescent="0.2">
      <c r="A269" s="250"/>
      <c r="B269" s="250"/>
      <c r="C269" s="251"/>
      <c r="D269" s="252"/>
      <c r="E269" s="251"/>
      <c r="F269" s="253"/>
      <c r="G269" s="253"/>
      <c r="H269" s="251"/>
      <c r="I269" s="239" t="str">
        <f t="shared" ca="1" si="12"/>
        <v>—</v>
      </c>
      <c r="J269" s="240" t="str">
        <f t="shared" si="13"/>
        <v/>
      </c>
      <c r="K269" s="241" t="str">
        <f t="shared" si="14"/>
        <v/>
      </c>
    </row>
    <row r="270" spans="1:11" ht="18" customHeight="1" x14ac:dyDescent="0.2">
      <c r="A270" s="246"/>
      <c r="B270" s="246"/>
      <c r="C270" s="247"/>
      <c r="D270" s="248"/>
      <c r="E270" s="247"/>
      <c r="F270" s="249"/>
      <c r="G270" s="249"/>
      <c r="H270" s="247"/>
      <c r="I270" s="244" t="str">
        <f t="shared" ca="1" si="12"/>
        <v>—</v>
      </c>
      <c r="J270" s="240" t="str">
        <f t="shared" si="13"/>
        <v/>
      </c>
      <c r="K270" s="245" t="str">
        <f t="shared" si="14"/>
        <v/>
      </c>
    </row>
    <row r="271" spans="1:11" ht="18" customHeight="1" x14ac:dyDescent="0.2">
      <c r="A271" s="250"/>
      <c r="B271" s="250"/>
      <c r="C271" s="251"/>
      <c r="D271" s="252"/>
      <c r="E271" s="251"/>
      <c r="F271" s="253"/>
      <c r="G271" s="253"/>
      <c r="H271" s="251"/>
      <c r="I271" s="239" t="str">
        <f t="shared" ca="1" si="12"/>
        <v>—</v>
      </c>
      <c r="J271" s="240" t="str">
        <f t="shared" si="13"/>
        <v/>
      </c>
      <c r="K271" s="241" t="str">
        <f t="shared" si="14"/>
        <v/>
      </c>
    </row>
    <row r="272" spans="1:11" ht="18" customHeight="1" x14ac:dyDescent="0.2">
      <c r="A272" s="246"/>
      <c r="B272" s="246"/>
      <c r="C272" s="247"/>
      <c r="D272" s="248"/>
      <c r="E272" s="247"/>
      <c r="F272" s="249"/>
      <c r="G272" s="249"/>
      <c r="H272" s="247"/>
      <c r="I272" s="244" t="str">
        <f t="shared" ca="1" si="12"/>
        <v>—</v>
      </c>
      <c r="J272" s="240" t="str">
        <f t="shared" si="13"/>
        <v/>
      </c>
      <c r="K272" s="245" t="str">
        <f t="shared" si="14"/>
        <v/>
      </c>
    </row>
    <row r="273" spans="1:11" ht="18" customHeight="1" x14ac:dyDescent="0.2">
      <c r="A273" s="250"/>
      <c r="B273" s="250"/>
      <c r="C273" s="251"/>
      <c r="D273" s="252"/>
      <c r="E273" s="251"/>
      <c r="F273" s="253"/>
      <c r="G273" s="253"/>
      <c r="H273" s="251"/>
      <c r="I273" s="239" t="str">
        <f t="shared" ca="1" si="12"/>
        <v>—</v>
      </c>
      <c r="J273" s="240" t="str">
        <f t="shared" si="13"/>
        <v/>
      </c>
      <c r="K273" s="241" t="str">
        <f t="shared" si="14"/>
        <v/>
      </c>
    </row>
    <row r="274" spans="1:11" ht="18" customHeight="1" x14ac:dyDescent="0.2">
      <c r="A274" s="246"/>
      <c r="B274" s="246"/>
      <c r="C274" s="247"/>
      <c r="D274" s="248"/>
      <c r="E274" s="247"/>
      <c r="F274" s="249"/>
      <c r="G274" s="249"/>
      <c r="H274" s="247"/>
      <c r="I274" s="244" t="str">
        <f t="shared" ca="1" si="12"/>
        <v>—</v>
      </c>
      <c r="J274" s="240" t="str">
        <f t="shared" si="13"/>
        <v/>
      </c>
      <c r="K274" s="245" t="str">
        <f t="shared" si="14"/>
        <v/>
      </c>
    </row>
    <row r="275" spans="1:11" ht="18" customHeight="1" x14ac:dyDescent="0.2">
      <c r="A275" s="250"/>
      <c r="B275" s="250"/>
      <c r="C275" s="251"/>
      <c r="D275" s="252"/>
      <c r="E275" s="251"/>
      <c r="F275" s="253"/>
      <c r="G275" s="253"/>
      <c r="H275" s="251"/>
      <c r="I275" s="239" t="str">
        <f t="shared" ca="1" si="12"/>
        <v>—</v>
      </c>
      <c r="J275" s="240" t="str">
        <f t="shared" si="13"/>
        <v/>
      </c>
      <c r="K275" s="241" t="str">
        <f t="shared" si="14"/>
        <v/>
      </c>
    </row>
    <row r="276" spans="1:11" ht="18" customHeight="1" x14ac:dyDescent="0.2">
      <c r="A276" s="246"/>
      <c r="B276" s="246"/>
      <c r="C276" s="247"/>
      <c r="D276" s="248"/>
      <c r="E276" s="247"/>
      <c r="F276" s="249"/>
      <c r="G276" s="249"/>
      <c r="H276" s="247"/>
      <c r="I276" s="244" t="str">
        <f t="shared" ca="1" si="12"/>
        <v>—</v>
      </c>
      <c r="J276" s="240" t="str">
        <f t="shared" si="13"/>
        <v/>
      </c>
      <c r="K276" s="245" t="str">
        <f t="shared" si="14"/>
        <v/>
      </c>
    </row>
    <row r="277" spans="1:11" ht="18" customHeight="1" x14ac:dyDescent="0.2">
      <c r="A277" s="250"/>
      <c r="B277" s="250"/>
      <c r="C277" s="251"/>
      <c r="D277" s="252"/>
      <c r="E277" s="251"/>
      <c r="F277" s="253"/>
      <c r="G277" s="253"/>
      <c r="H277" s="251"/>
      <c r="I277" s="239" t="str">
        <f t="shared" ca="1" si="12"/>
        <v>—</v>
      </c>
      <c r="J277" s="240" t="str">
        <f t="shared" si="13"/>
        <v/>
      </c>
      <c r="K277" s="241" t="str">
        <f t="shared" si="14"/>
        <v/>
      </c>
    </row>
    <row r="278" spans="1:11" ht="18" customHeight="1" x14ac:dyDescent="0.2">
      <c r="A278" s="246"/>
      <c r="B278" s="246"/>
      <c r="C278" s="247"/>
      <c r="D278" s="248"/>
      <c r="E278" s="247"/>
      <c r="F278" s="249"/>
      <c r="G278" s="249"/>
      <c r="H278" s="247"/>
      <c r="I278" s="244" t="str">
        <f t="shared" ca="1" si="12"/>
        <v>—</v>
      </c>
      <c r="J278" s="240" t="str">
        <f t="shared" si="13"/>
        <v/>
      </c>
      <c r="K278" s="245" t="str">
        <f t="shared" si="14"/>
        <v/>
      </c>
    </row>
    <row r="279" spans="1:11" ht="18" customHeight="1" x14ac:dyDescent="0.2">
      <c r="A279" s="250"/>
      <c r="B279" s="250"/>
      <c r="C279" s="251"/>
      <c r="D279" s="252"/>
      <c r="E279" s="251"/>
      <c r="F279" s="253"/>
      <c r="G279" s="253"/>
      <c r="H279" s="251"/>
      <c r="I279" s="239" t="str">
        <f t="shared" ca="1" si="12"/>
        <v>—</v>
      </c>
      <c r="J279" s="240" t="str">
        <f t="shared" si="13"/>
        <v/>
      </c>
      <c r="K279" s="241" t="str">
        <f t="shared" si="14"/>
        <v/>
      </c>
    </row>
    <row r="280" spans="1:11" ht="18" customHeight="1" x14ac:dyDescent="0.2">
      <c r="A280" s="246"/>
      <c r="B280" s="246"/>
      <c r="C280" s="247"/>
      <c r="D280" s="248"/>
      <c r="E280" s="247"/>
      <c r="F280" s="249"/>
      <c r="G280" s="249"/>
      <c r="H280" s="247"/>
      <c r="I280" s="244" t="str">
        <f t="shared" ca="1" si="12"/>
        <v>—</v>
      </c>
      <c r="J280" s="240" t="str">
        <f t="shared" si="13"/>
        <v/>
      </c>
      <c r="K280" s="245" t="str">
        <f t="shared" si="14"/>
        <v/>
      </c>
    </row>
    <row r="281" spans="1:11" ht="18" customHeight="1" x14ac:dyDescent="0.2">
      <c r="A281" s="250"/>
      <c r="B281" s="250"/>
      <c r="C281" s="251"/>
      <c r="D281" s="252"/>
      <c r="E281" s="251"/>
      <c r="F281" s="253"/>
      <c r="G281" s="253"/>
      <c r="H281" s="251"/>
      <c r="I281" s="239" t="str">
        <f t="shared" ca="1" si="12"/>
        <v>—</v>
      </c>
      <c r="J281" s="240" t="str">
        <f t="shared" si="13"/>
        <v/>
      </c>
      <c r="K281" s="241" t="str">
        <f t="shared" si="14"/>
        <v/>
      </c>
    </row>
    <row r="282" spans="1:11" ht="18" customHeight="1" x14ac:dyDescent="0.2">
      <c r="A282" s="246"/>
      <c r="B282" s="246"/>
      <c r="C282" s="247"/>
      <c r="D282" s="248"/>
      <c r="E282" s="247"/>
      <c r="F282" s="249"/>
      <c r="G282" s="249"/>
      <c r="H282" s="247"/>
      <c r="I282" s="244" t="str">
        <f t="shared" ca="1" si="12"/>
        <v>—</v>
      </c>
      <c r="J282" s="240" t="str">
        <f t="shared" si="13"/>
        <v/>
      </c>
      <c r="K282" s="245" t="str">
        <f t="shared" si="14"/>
        <v/>
      </c>
    </row>
    <row r="283" spans="1:11" ht="18" customHeight="1" x14ac:dyDescent="0.2">
      <c r="A283" s="250"/>
      <c r="B283" s="250"/>
      <c r="C283" s="251"/>
      <c r="D283" s="252"/>
      <c r="E283" s="251"/>
      <c r="F283" s="253"/>
      <c r="G283" s="253"/>
      <c r="H283" s="251"/>
      <c r="I283" s="239" t="str">
        <f t="shared" ca="1" si="12"/>
        <v>—</v>
      </c>
      <c r="J283" s="240" t="str">
        <f t="shared" si="13"/>
        <v/>
      </c>
      <c r="K283" s="241" t="str">
        <f t="shared" si="14"/>
        <v/>
      </c>
    </row>
    <row r="284" spans="1:11" ht="18" customHeight="1" x14ac:dyDescent="0.2">
      <c r="A284" s="246"/>
      <c r="B284" s="246"/>
      <c r="C284" s="247"/>
      <c r="D284" s="248"/>
      <c r="E284" s="247"/>
      <c r="F284" s="249"/>
      <c r="G284" s="249"/>
      <c r="H284" s="247"/>
      <c r="I284" s="244" t="str">
        <f t="shared" ca="1" si="12"/>
        <v>—</v>
      </c>
      <c r="J284" s="240" t="str">
        <f t="shared" si="13"/>
        <v/>
      </c>
      <c r="K284" s="245" t="str">
        <f t="shared" si="14"/>
        <v/>
      </c>
    </row>
    <row r="285" spans="1:11" ht="18" customHeight="1" x14ac:dyDescent="0.2">
      <c r="A285" s="250"/>
      <c r="B285" s="250"/>
      <c r="C285" s="251"/>
      <c r="D285" s="252"/>
      <c r="E285" s="251"/>
      <c r="F285" s="253"/>
      <c r="G285" s="253"/>
      <c r="H285" s="251"/>
      <c r="I285" s="239" t="str">
        <f t="shared" ca="1" si="12"/>
        <v>—</v>
      </c>
      <c r="J285" s="240" t="str">
        <f t="shared" si="13"/>
        <v/>
      </c>
      <c r="K285" s="241" t="str">
        <f t="shared" si="14"/>
        <v/>
      </c>
    </row>
    <row r="286" spans="1:11" ht="18" customHeight="1" x14ac:dyDescent="0.2">
      <c r="A286" s="246"/>
      <c r="B286" s="246"/>
      <c r="C286" s="247"/>
      <c r="D286" s="248"/>
      <c r="E286" s="247"/>
      <c r="F286" s="249"/>
      <c r="G286" s="249"/>
      <c r="H286" s="247"/>
      <c r="I286" s="244" t="str">
        <f t="shared" ca="1" si="12"/>
        <v>—</v>
      </c>
      <c r="J286" s="240" t="str">
        <f t="shared" si="13"/>
        <v/>
      </c>
      <c r="K286" s="245" t="str">
        <f t="shared" si="14"/>
        <v/>
      </c>
    </row>
    <row r="287" spans="1:11" ht="18" customHeight="1" x14ac:dyDescent="0.2">
      <c r="A287" s="250"/>
      <c r="B287" s="250"/>
      <c r="C287" s="251"/>
      <c r="D287" s="252"/>
      <c r="E287" s="251"/>
      <c r="F287" s="253"/>
      <c r="G287" s="253"/>
      <c r="H287" s="251"/>
      <c r="I287" s="239" t="str">
        <f t="shared" ca="1" si="12"/>
        <v>—</v>
      </c>
      <c r="J287" s="240" t="str">
        <f t="shared" si="13"/>
        <v/>
      </c>
      <c r="K287" s="241" t="str">
        <f t="shared" si="14"/>
        <v/>
      </c>
    </row>
    <row r="288" spans="1:11" ht="18" customHeight="1" x14ac:dyDescent="0.2">
      <c r="A288" s="246"/>
      <c r="B288" s="246"/>
      <c r="C288" s="247"/>
      <c r="D288" s="248"/>
      <c r="E288" s="247"/>
      <c r="F288" s="249"/>
      <c r="G288" s="249"/>
      <c r="H288" s="247"/>
      <c r="I288" s="244" t="str">
        <f t="shared" ca="1" si="12"/>
        <v>—</v>
      </c>
      <c r="J288" s="240" t="str">
        <f t="shared" si="13"/>
        <v/>
      </c>
      <c r="K288" s="245" t="str">
        <f t="shared" si="14"/>
        <v/>
      </c>
    </row>
    <row r="289" spans="1:11" ht="18" customHeight="1" x14ac:dyDescent="0.2">
      <c r="A289" s="250"/>
      <c r="B289" s="250"/>
      <c r="C289" s="251"/>
      <c r="D289" s="252"/>
      <c r="E289" s="251"/>
      <c r="F289" s="253"/>
      <c r="G289" s="253"/>
      <c r="H289" s="251"/>
      <c r="I289" s="239" t="str">
        <f t="shared" ca="1" si="12"/>
        <v>—</v>
      </c>
      <c r="J289" s="240" t="str">
        <f t="shared" si="13"/>
        <v/>
      </c>
      <c r="K289" s="241" t="str">
        <f t="shared" si="14"/>
        <v/>
      </c>
    </row>
    <row r="290" spans="1:11" ht="18" customHeight="1" x14ac:dyDescent="0.2">
      <c r="A290" s="246"/>
      <c r="B290" s="246"/>
      <c r="C290" s="247"/>
      <c r="D290" s="248"/>
      <c r="E290" s="247"/>
      <c r="F290" s="249"/>
      <c r="G290" s="249"/>
      <c r="H290" s="247"/>
      <c r="I290" s="244" t="str">
        <f t="shared" ca="1" si="12"/>
        <v>—</v>
      </c>
      <c r="J290" s="240" t="str">
        <f t="shared" si="13"/>
        <v/>
      </c>
      <c r="K290" s="245" t="str">
        <f t="shared" si="14"/>
        <v/>
      </c>
    </row>
    <row r="291" spans="1:11" ht="18" customHeight="1" x14ac:dyDescent="0.2">
      <c r="A291" s="250"/>
      <c r="B291" s="250"/>
      <c r="C291" s="251"/>
      <c r="D291" s="252"/>
      <c r="E291" s="251"/>
      <c r="F291" s="253"/>
      <c r="G291" s="253"/>
      <c r="H291" s="251"/>
      <c r="I291" s="239" t="str">
        <f t="shared" ca="1" si="12"/>
        <v>—</v>
      </c>
      <c r="J291" s="240" t="str">
        <f t="shared" si="13"/>
        <v/>
      </c>
      <c r="K291" s="241" t="str">
        <f t="shared" si="14"/>
        <v/>
      </c>
    </row>
    <row r="292" spans="1:11" ht="18" customHeight="1" x14ac:dyDescent="0.2">
      <c r="A292" s="246"/>
      <c r="B292" s="246"/>
      <c r="C292" s="247"/>
      <c r="D292" s="248"/>
      <c r="E292" s="247"/>
      <c r="F292" s="249"/>
      <c r="G292" s="249"/>
      <c r="H292" s="247"/>
      <c r="I292" s="244" t="str">
        <f t="shared" ca="1" si="12"/>
        <v>—</v>
      </c>
      <c r="J292" s="240" t="str">
        <f t="shared" si="13"/>
        <v/>
      </c>
      <c r="K292" s="245" t="str">
        <f t="shared" si="14"/>
        <v/>
      </c>
    </row>
    <row r="293" spans="1:11" ht="18" customHeight="1" x14ac:dyDescent="0.2">
      <c r="A293" s="250"/>
      <c r="B293" s="250"/>
      <c r="C293" s="251"/>
      <c r="D293" s="252"/>
      <c r="E293" s="251"/>
      <c r="F293" s="253"/>
      <c r="G293" s="253"/>
      <c r="H293" s="251"/>
      <c r="I293" s="239" t="str">
        <f t="shared" ca="1" si="12"/>
        <v>—</v>
      </c>
      <c r="J293" s="240" t="str">
        <f t="shared" si="13"/>
        <v/>
      </c>
      <c r="K293" s="241" t="str">
        <f t="shared" si="14"/>
        <v/>
      </c>
    </row>
    <row r="294" spans="1:11" ht="18" customHeight="1" x14ac:dyDescent="0.2">
      <c r="A294" s="246"/>
      <c r="B294" s="246"/>
      <c r="C294" s="247"/>
      <c r="D294" s="248"/>
      <c r="E294" s="247"/>
      <c r="F294" s="249"/>
      <c r="G294" s="249"/>
      <c r="H294" s="247"/>
      <c r="I294" s="244" t="str">
        <f t="shared" ca="1" si="12"/>
        <v>—</v>
      </c>
      <c r="J294" s="240" t="str">
        <f t="shared" si="13"/>
        <v/>
      </c>
      <c r="K294" s="245" t="str">
        <f t="shared" si="14"/>
        <v/>
      </c>
    </row>
    <row r="295" spans="1:11" ht="18" customHeight="1" x14ac:dyDescent="0.2">
      <c r="A295" s="250"/>
      <c r="B295" s="250"/>
      <c r="C295" s="251"/>
      <c r="D295" s="252"/>
      <c r="E295" s="251"/>
      <c r="F295" s="253"/>
      <c r="G295" s="253"/>
      <c r="H295" s="251"/>
      <c r="I295" s="239" t="str">
        <f t="shared" ca="1" si="12"/>
        <v>—</v>
      </c>
      <c r="J295" s="240" t="str">
        <f t="shared" si="13"/>
        <v/>
      </c>
      <c r="K295" s="241" t="str">
        <f t="shared" si="14"/>
        <v/>
      </c>
    </row>
    <row r="296" spans="1:11" ht="18" customHeight="1" x14ac:dyDescent="0.2">
      <c r="A296" s="246"/>
      <c r="B296" s="246"/>
      <c r="C296" s="247"/>
      <c r="D296" s="248"/>
      <c r="E296" s="247"/>
      <c r="F296" s="249"/>
      <c r="G296" s="249"/>
      <c r="H296" s="247"/>
      <c r="I296" s="244" t="str">
        <f t="shared" ca="1" si="12"/>
        <v>—</v>
      </c>
      <c r="J296" s="240" t="str">
        <f t="shared" si="13"/>
        <v/>
      </c>
      <c r="K296" s="245" t="str">
        <f t="shared" si="14"/>
        <v/>
      </c>
    </row>
    <row r="297" spans="1:11" ht="18" customHeight="1" x14ac:dyDescent="0.2">
      <c r="A297" s="250"/>
      <c r="B297" s="250"/>
      <c r="C297" s="251"/>
      <c r="D297" s="252"/>
      <c r="E297" s="251"/>
      <c r="F297" s="253"/>
      <c r="G297" s="253"/>
      <c r="H297" s="251"/>
      <c r="I297" s="239" t="str">
        <f t="shared" ca="1" si="12"/>
        <v>—</v>
      </c>
      <c r="J297" s="240" t="str">
        <f t="shared" si="13"/>
        <v/>
      </c>
      <c r="K297" s="241" t="str">
        <f t="shared" si="14"/>
        <v/>
      </c>
    </row>
    <row r="298" spans="1:11" ht="18" customHeight="1" x14ac:dyDescent="0.2">
      <c r="A298" s="246"/>
      <c r="B298" s="246"/>
      <c r="C298" s="247"/>
      <c r="D298" s="248"/>
      <c r="E298" s="247"/>
      <c r="F298" s="249"/>
      <c r="G298" s="249"/>
      <c r="H298" s="247"/>
      <c r="I298" s="244" t="str">
        <f t="shared" ca="1" si="12"/>
        <v>—</v>
      </c>
      <c r="J298" s="240" t="str">
        <f t="shared" si="13"/>
        <v/>
      </c>
      <c r="K298" s="245" t="str">
        <f t="shared" si="14"/>
        <v/>
      </c>
    </row>
    <row r="299" spans="1:11" ht="18" customHeight="1" x14ac:dyDescent="0.2">
      <c r="A299" s="250"/>
      <c r="B299" s="250"/>
      <c r="C299" s="251"/>
      <c r="D299" s="252"/>
      <c r="E299" s="251"/>
      <c r="F299" s="253"/>
      <c r="G299" s="253"/>
      <c r="H299" s="251"/>
      <c r="I299" s="239" t="str">
        <f t="shared" ca="1" si="12"/>
        <v>—</v>
      </c>
      <c r="J299" s="240" t="str">
        <f t="shared" si="13"/>
        <v/>
      </c>
      <c r="K299" s="241" t="str">
        <f t="shared" si="14"/>
        <v/>
      </c>
    </row>
    <row r="300" spans="1:11" ht="18" customHeight="1" x14ac:dyDescent="0.2">
      <c r="A300" s="246"/>
      <c r="B300" s="246"/>
      <c r="C300" s="247"/>
      <c r="D300" s="248"/>
      <c r="E300" s="247"/>
      <c r="F300" s="249"/>
      <c r="G300" s="249"/>
      <c r="H300" s="247"/>
      <c r="I300" s="244" t="str">
        <f t="shared" ca="1" si="12"/>
        <v>—</v>
      </c>
      <c r="J300" s="240" t="str">
        <f t="shared" si="13"/>
        <v/>
      </c>
      <c r="K300" s="245" t="str">
        <f t="shared" si="14"/>
        <v/>
      </c>
    </row>
    <row r="301" spans="1:11" ht="18" customHeight="1" x14ac:dyDescent="0.2">
      <c r="A301" s="250"/>
      <c r="B301" s="250"/>
      <c r="C301" s="251"/>
      <c r="D301" s="252"/>
      <c r="E301" s="251"/>
      <c r="F301" s="253"/>
      <c r="G301" s="253"/>
      <c r="H301" s="251"/>
      <c r="I301" s="239" t="str">
        <f t="shared" ca="1" si="12"/>
        <v>—</v>
      </c>
      <c r="J301" s="240" t="str">
        <f t="shared" si="13"/>
        <v/>
      </c>
      <c r="K301" s="241" t="str">
        <f t="shared" si="14"/>
        <v/>
      </c>
    </row>
    <row r="302" spans="1:11" ht="18" customHeight="1" x14ac:dyDescent="0.2">
      <c r="A302" s="246"/>
      <c r="B302" s="246"/>
      <c r="C302" s="247"/>
      <c r="D302" s="248"/>
      <c r="E302" s="247"/>
      <c r="F302" s="249"/>
      <c r="G302" s="249"/>
      <c r="H302" s="247"/>
      <c r="I302" s="244" t="str">
        <f t="shared" ca="1" si="12"/>
        <v>—</v>
      </c>
      <c r="J302" s="240" t="str">
        <f t="shared" si="13"/>
        <v/>
      </c>
      <c r="K302" s="245" t="str">
        <f t="shared" si="14"/>
        <v/>
      </c>
    </row>
    <row r="303" spans="1:11" ht="18" customHeight="1" x14ac:dyDescent="0.2">
      <c r="A303" s="250"/>
      <c r="B303" s="250"/>
      <c r="C303" s="251"/>
      <c r="D303" s="252"/>
      <c r="E303" s="251"/>
      <c r="F303" s="253"/>
      <c r="G303" s="253"/>
      <c r="H303" s="251"/>
      <c r="I303" s="239" t="str">
        <f t="shared" ca="1" si="12"/>
        <v>—</v>
      </c>
      <c r="J303" s="240" t="str">
        <f t="shared" si="13"/>
        <v/>
      </c>
      <c r="K303" s="241" t="str">
        <f t="shared" si="14"/>
        <v/>
      </c>
    </row>
    <row r="304" spans="1:11" ht="18" customHeight="1" x14ac:dyDescent="0.2">
      <c r="A304" s="246"/>
      <c r="B304" s="246"/>
      <c r="C304" s="247"/>
      <c r="D304" s="248"/>
      <c r="E304" s="247"/>
      <c r="F304" s="249"/>
      <c r="G304" s="249"/>
      <c r="H304" s="247"/>
      <c r="I304" s="244" t="str">
        <f t="shared" ca="1" si="12"/>
        <v>—</v>
      </c>
      <c r="J304" s="240" t="str">
        <f t="shared" si="13"/>
        <v/>
      </c>
      <c r="K304" s="245" t="str">
        <f t="shared" si="14"/>
        <v/>
      </c>
    </row>
    <row r="305" spans="1:11" ht="18" customHeight="1" x14ac:dyDescent="0.2">
      <c r="A305" s="250"/>
      <c r="B305" s="250"/>
      <c r="C305" s="251"/>
      <c r="D305" s="252"/>
      <c r="E305" s="251"/>
      <c r="F305" s="253"/>
      <c r="G305" s="253"/>
      <c r="H305" s="251"/>
      <c r="I305" s="239" t="str">
        <f t="shared" ca="1" si="12"/>
        <v>—</v>
      </c>
      <c r="J305" s="240" t="str">
        <f t="shared" si="13"/>
        <v/>
      </c>
      <c r="K305" s="241" t="str">
        <f t="shared" si="14"/>
        <v/>
      </c>
    </row>
    <row r="306" spans="1:11" ht="18" customHeight="1" x14ac:dyDescent="0.2">
      <c r="A306" s="246"/>
      <c r="B306" s="246"/>
      <c r="C306" s="247"/>
      <c r="D306" s="248"/>
      <c r="E306" s="247"/>
      <c r="F306" s="249"/>
      <c r="G306" s="249"/>
      <c r="H306" s="247"/>
      <c r="I306" s="244" t="str">
        <f t="shared" ca="1" si="12"/>
        <v>—</v>
      </c>
      <c r="J306" s="240" t="str">
        <f t="shared" si="13"/>
        <v/>
      </c>
      <c r="K306" s="245" t="str">
        <f t="shared" si="14"/>
        <v/>
      </c>
    </row>
    <row r="307" spans="1:11" ht="18" customHeight="1" x14ac:dyDescent="0.2">
      <c r="A307" s="250"/>
      <c r="B307" s="250"/>
      <c r="C307" s="251"/>
      <c r="D307" s="252"/>
      <c r="E307" s="251"/>
      <c r="F307" s="253"/>
      <c r="G307" s="253"/>
      <c r="H307" s="251"/>
      <c r="I307" s="239" t="str">
        <f t="shared" ca="1" si="12"/>
        <v>—</v>
      </c>
      <c r="J307" s="240" t="str">
        <f t="shared" si="13"/>
        <v/>
      </c>
      <c r="K307" s="241" t="str">
        <f t="shared" si="14"/>
        <v/>
      </c>
    </row>
    <row r="308" spans="1:11" ht="18" customHeight="1" x14ac:dyDescent="0.2">
      <c r="A308" s="246"/>
      <c r="B308" s="246"/>
      <c r="C308" s="247"/>
      <c r="D308" s="248"/>
      <c r="E308" s="247"/>
      <c r="F308" s="249"/>
      <c r="G308" s="249"/>
      <c r="H308" s="247"/>
      <c r="I308" s="244" t="str">
        <f t="shared" ca="1" si="12"/>
        <v>—</v>
      </c>
      <c r="J308" s="240" t="str">
        <f t="shared" si="13"/>
        <v/>
      </c>
      <c r="K308" s="245" t="str">
        <f t="shared" si="14"/>
        <v/>
      </c>
    </row>
    <row r="309" spans="1:11" ht="18" customHeight="1" x14ac:dyDescent="0.2">
      <c r="A309" s="250"/>
      <c r="B309" s="250"/>
      <c r="C309" s="251"/>
      <c r="D309" s="252"/>
      <c r="E309" s="251"/>
      <c r="F309" s="253"/>
      <c r="G309" s="253"/>
      <c r="H309" s="251"/>
      <c r="I309" s="239" t="str">
        <f t="shared" ca="1" si="12"/>
        <v>—</v>
      </c>
      <c r="J309" s="240" t="str">
        <f t="shared" si="13"/>
        <v/>
      </c>
      <c r="K309" s="241" t="str">
        <f t="shared" si="14"/>
        <v/>
      </c>
    </row>
    <row r="310" spans="1:11" ht="18" customHeight="1" x14ac:dyDescent="0.2">
      <c r="A310" s="246"/>
      <c r="B310" s="246"/>
      <c r="C310" s="247"/>
      <c r="D310" s="248"/>
      <c r="E310" s="247"/>
      <c r="F310" s="249"/>
      <c r="G310" s="249"/>
      <c r="H310" s="247"/>
      <c r="I310" s="244" t="str">
        <f t="shared" ca="1" si="12"/>
        <v>—</v>
      </c>
      <c r="J310" s="240" t="str">
        <f t="shared" si="13"/>
        <v/>
      </c>
      <c r="K310" s="245" t="str">
        <f t="shared" si="14"/>
        <v/>
      </c>
    </row>
    <row r="311" spans="1:11" ht="18" customHeight="1" x14ac:dyDescent="0.2">
      <c r="A311" s="250"/>
      <c r="B311" s="250"/>
      <c r="C311" s="251"/>
      <c r="D311" s="252"/>
      <c r="E311" s="251"/>
      <c r="F311" s="253"/>
      <c r="G311" s="253"/>
      <c r="H311" s="251"/>
      <c r="I311" s="239" t="str">
        <f t="shared" ca="1" si="12"/>
        <v>—</v>
      </c>
      <c r="J311" s="240" t="str">
        <f t="shared" si="13"/>
        <v/>
      </c>
      <c r="K311" s="241" t="str">
        <f t="shared" si="14"/>
        <v/>
      </c>
    </row>
    <row r="312" spans="1:11" ht="18" customHeight="1" x14ac:dyDescent="0.2">
      <c r="A312" s="246"/>
      <c r="B312" s="246"/>
      <c r="C312" s="247"/>
      <c r="D312" s="248"/>
      <c r="E312" s="247"/>
      <c r="F312" s="249"/>
      <c r="G312" s="249"/>
      <c r="H312" s="247"/>
      <c r="I312" s="244" t="str">
        <f t="shared" ca="1" si="12"/>
        <v>—</v>
      </c>
      <c r="J312" s="240" t="str">
        <f t="shared" si="13"/>
        <v/>
      </c>
      <c r="K312" s="245" t="str">
        <f t="shared" si="14"/>
        <v/>
      </c>
    </row>
    <row r="313" spans="1:11" ht="18" customHeight="1" x14ac:dyDescent="0.2">
      <c r="A313" s="250"/>
      <c r="B313" s="250"/>
      <c r="C313" s="251"/>
      <c r="D313" s="252"/>
      <c r="E313" s="251"/>
      <c r="F313" s="253"/>
      <c r="G313" s="253"/>
      <c r="H313" s="251"/>
      <c r="I313" s="239" t="str">
        <f t="shared" ca="1" si="12"/>
        <v>—</v>
      </c>
      <c r="J313" s="240" t="str">
        <f t="shared" si="13"/>
        <v/>
      </c>
      <c r="K313" s="241" t="str">
        <f t="shared" si="14"/>
        <v/>
      </c>
    </row>
    <row r="314" spans="1:11" ht="18" customHeight="1" x14ac:dyDescent="0.2">
      <c r="A314" s="246"/>
      <c r="B314" s="246"/>
      <c r="C314" s="247"/>
      <c r="D314" s="248"/>
      <c r="E314" s="247"/>
      <c r="F314" s="249"/>
      <c r="G314" s="249"/>
      <c r="H314" s="247"/>
      <c r="I314" s="244" t="str">
        <f t="shared" ca="1" si="12"/>
        <v>—</v>
      </c>
      <c r="J314" s="240" t="str">
        <f t="shared" si="13"/>
        <v/>
      </c>
      <c r="K314" s="245" t="str">
        <f t="shared" si="14"/>
        <v/>
      </c>
    </row>
    <row r="315" spans="1:11" ht="18" customHeight="1" x14ac:dyDescent="0.2">
      <c r="A315" s="250"/>
      <c r="B315" s="250"/>
      <c r="C315" s="251"/>
      <c r="D315" s="252"/>
      <c r="E315" s="251"/>
      <c r="F315" s="253"/>
      <c r="G315" s="253"/>
      <c r="H315" s="251"/>
      <c r="I315" s="239" t="str">
        <f t="shared" ca="1" si="12"/>
        <v>—</v>
      </c>
      <c r="J315" s="240" t="str">
        <f t="shared" si="13"/>
        <v/>
      </c>
      <c r="K315" s="241" t="str">
        <f t="shared" si="14"/>
        <v/>
      </c>
    </row>
    <row r="316" spans="1:11" ht="18" customHeight="1" x14ac:dyDescent="0.2">
      <c r="A316" s="246"/>
      <c r="B316" s="246"/>
      <c r="C316" s="247"/>
      <c r="D316" s="248"/>
      <c r="E316" s="247"/>
      <c r="F316" s="249"/>
      <c r="G316" s="249"/>
      <c r="H316" s="247"/>
      <c r="I316" s="244" t="str">
        <f t="shared" ca="1" si="12"/>
        <v>—</v>
      </c>
      <c r="J316" s="240" t="str">
        <f t="shared" si="13"/>
        <v/>
      </c>
      <c r="K316" s="245" t="str">
        <f t="shared" si="14"/>
        <v/>
      </c>
    </row>
    <row r="317" spans="1:11" ht="18" customHeight="1" x14ac:dyDescent="0.2">
      <c r="A317" s="250"/>
      <c r="B317" s="250"/>
      <c r="C317" s="251"/>
      <c r="D317" s="252"/>
      <c r="E317" s="251"/>
      <c r="F317" s="253"/>
      <c r="G317" s="253"/>
      <c r="H317" s="251"/>
      <c r="I317" s="239" t="str">
        <f t="shared" ca="1" si="12"/>
        <v>—</v>
      </c>
      <c r="J317" s="240" t="str">
        <f t="shared" si="13"/>
        <v/>
      </c>
      <c r="K317" s="241" t="str">
        <f t="shared" si="14"/>
        <v/>
      </c>
    </row>
    <row r="318" spans="1:11" ht="18" customHeight="1" x14ac:dyDescent="0.2">
      <c r="A318" s="246"/>
      <c r="B318" s="246"/>
      <c r="C318" s="247"/>
      <c r="D318" s="248"/>
      <c r="E318" s="247"/>
      <c r="F318" s="249"/>
      <c r="G318" s="249"/>
      <c r="H318" s="247"/>
      <c r="I318" s="244" t="str">
        <f t="shared" ca="1" si="12"/>
        <v>—</v>
      </c>
      <c r="J318" s="240" t="str">
        <f t="shared" si="13"/>
        <v/>
      </c>
      <c r="K318" s="245" t="str">
        <f t="shared" si="14"/>
        <v/>
      </c>
    </row>
    <row r="319" spans="1:11" ht="18" customHeight="1" x14ac:dyDescent="0.2">
      <c r="A319" s="250"/>
      <c r="B319" s="250"/>
      <c r="C319" s="251"/>
      <c r="D319" s="252"/>
      <c r="E319" s="251"/>
      <c r="F319" s="253"/>
      <c r="G319" s="253"/>
      <c r="H319" s="251"/>
      <c r="I319" s="239" t="str">
        <f t="shared" ca="1" si="12"/>
        <v>—</v>
      </c>
      <c r="J319" s="240" t="str">
        <f t="shared" si="13"/>
        <v/>
      </c>
      <c r="K319" s="241" t="str">
        <f t="shared" si="14"/>
        <v/>
      </c>
    </row>
    <row r="320" spans="1:11" ht="18" customHeight="1" x14ac:dyDescent="0.2">
      <c r="A320" s="246"/>
      <c r="B320" s="246"/>
      <c r="C320" s="247"/>
      <c r="D320" s="248"/>
      <c r="E320" s="247"/>
      <c r="F320" s="249"/>
      <c r="G320" s="249"/>
      <c r="H320" s="247"/>
      <c r="I320" s="244" t="str">
        <f t="shared" ca="1" si="12"/>
        <v>—</v>
      </c>
      <c r="J320" s="240" t="str">
        <f t="shared" si="13"/>
        <v/>
      </c>
      <c r="K320" s="245" t="str">
        <f t="shared" si="14"/>
        <v/>
      </c>
    </row>
    <row r="321" spans="1:11" ht="18" customHeight="1" x14ac:dyDescent="0.2">
      <c r="A321" s="250"/>
      <c r="B321" s="250"/>
      <c r="C321" s="251"/>
      <c r="D321" s="252"/>
      <c r="E321" s="251"/>
      <c r="F321" s="253"/>
      <c r="G321" s="253"/>
      <c r="H321" s="251"/>
      <c r="I321" s="239" t="str">
        <f t="shared" ca="1" si="12"/>
        <v>—</v>
      </c>
      <c r="J321" s="240" t="str">
        <f t="shared" si="13"/>
        <v/>
      </c>
      <c r="K321" s="241" t="str">
        <f t="shared" si="14"/>
        <v/>
      </c>
    </row>
    <row r="322" spans="1:11" ht="18" customHeight="1" x14ac:dyDescent="0.2">
      <c r="A322" s="246"/>
      <c r="B322" s="246"/>
      <c r="C322" s="247"/>
      <c r="D322" s="248"/>
      <c r="E322" s="247"/>
      <c r="F322" s="249"/>
      <c r="G322" s="249"/>
      <c r="H322" s="247"/>
      <c r="I322" s="244" t="str">
        <f t="shared" ca="1" si="12"/>
        <v>—</v>
      </c>
      <c r="J322" s="240" t="str">
        <f t="shared" si="13"/>
        <v/>
      </c>
      <c r="K322" s="245" t="str">
        <f t="shared" si="14"/>
        <v/>
      </c>
    </row>
    <row r="323" spans="1:11" ht="18" customHeight="1" x14ac:dyDescent="0.2">
      <c r="A323" s="250"/>
      <c r="B323" s="250"/>
      <c r="C323" s="251"/>
      <c r="D323" s="252"/>
      <c r="E323" s="251"/>
      <c r="F323" s="253"/>
      <c r="G323" s="253"/>
      <c r="H323" s="251"/>
      <c r="I323" s="239" t="str">
        <f t="shared" ca="1" si="12"/>
        <v>—</v>
      </c>
      <c r="J323" s="240" t="str">
        <f t="shared" si="13"/>
        <v/>
      </c>
      <c r="K323" s="241" t="str">
        <f t="shared" si="14"/>
        <v/>
      </c>
    </row>
    <row r="324" spans="1:11" ht="18" customHeight="1" x14ac:dyDescent="0.2">
      <c r="A324" s="246"/>
      <c r="B324" s="246"/>
      <c r="C324" s="247"/>
      <c r="D324" s="248"/>
      <c r="E324" s="247"/>
      <c r="F324" s="249"/>
      <c r="G324" s="249"/>
      <c r="H324" s="247"/>
      <c r="I324" s="244" t="str">
        <f t="shared" ca="1" si="12"/>
        <v>—</v>
      </c>
      <c r="J324" s="240" t="str">
        <f t="shared" si="13"/>
        <v/>
      </c>
      <c r="K324" s="245" t="str">
        <f t="shared" si="14"/>
        <v/>
      </c>
    </row>
    <row r="325" spans="1:11" ht="18" customHeight="1" x14ac:dyDescent="0.2">
      <c r="A325" s="250"/>
      <c r="B325" s="250"/>
      <c r="C325" s="251"/>
      <c r="D325" s="252"/>
      <c r="E325" s="251"/>
      <c r="F325" s="253"/>
      <c r="G325" s="253"/>
      <c r="H325" s="251"/>
      <c r="I325" s="239" t="str">
        <f t="shared" ca="1" si="12"/>
        <v>—</v>
      </c>
      <c r="J325" s="240" t="str">
        <f t="shared" si="13"/>
        <v/>
      </c>
      <c r="K325" s="241" t="str">
        <f t="shared" si="14"/>
        <v/>
      </c>
    </row>
    <row r="326" spans="1:11" ht="18" customHeight="1" x14ac:dyDescent="0.2">
      <c r="A326" s="246"/>
      <c r="B326" s="246"/>
      <c r="C326" s="247"/>
      <c r="D326" s="248"/>
      <c r="E326" s="247"/>
      <c r="F326" s="249"/>
      <c r="G326" s="249"/>
      <c r="H326" s="247"/>
      <c r="I326" s="244" t="str">
        <f t="shared" ca="1" si="12"/>
        <v>—</v>
      </c>
      <c r="J326" s="240" t="str">
        <f t="shared" si="13"/>
        <v/>
      </c>
      <c r="K326" s="245" t="str">
        <f t="shared" si="14"/>
        <v/>
      </c>
    </row>
    <row r="327" spans="1:11" ht="18" customHeight="1" x14ac:dyDescent="0.2">
      <c r="A327" s="250"/>
      <c r="B327" s="250"/>
      <c r="C327" s="251"/>
      <c r="D327" s="252"/>
      <c r="E327" s="251"/>
      <c r="F327" s="253"/>
      <c r="G327" s="253"/>
      <c r="H327" s="251"/>
      <c r="I327" s="239" t="str">
        <f t="shared" ca="1" si="12"/>
        <v>—</v>
      </c>
      <c r="J327" s="240" t="str">
        <f t="shared" si="13"/>
        <v/>
      </c>
      <c r="K327" s="241" t="str">
        <f t="shared" si="14"/>
        <v/>
      </c>
    </row>
    <row r="328" spans="1:11" ht="18" customHeight="1" x14ac:dyDescent="0.2">
      <c r="A328" s="246"/>
      <c r="B328" s="246"/>
      <c r="C328" s="247"/>
      <c r="D328" s="248"/>
      <c r="E328" s="247"/>
      <c r="F328" s="249"/>
      <c r="G328" s="249"/>
      <c r="H328" s="247"/>
      <c r="I328" s="244" t="str">
        <f t="shared" ca="1" si="12"/>
        <v>—</v>
      </c>
      <c r="J328" s="240" t="str">
        <f t="shared" si="13"/>
        <v/>
      </c>
      <c r="K328" s="245" t="str">
        <f t="shared" si="14"/>
        <v/>
      </c>
    </row>
    <row r="329" spans="1:11" ht="18" customHeight="1" x14ac:dyDescent="0.2">
      <c r="A329" s="250"/>
      <c r="B329" s="250"/>
      <c r="C329" s="251"/>
      <c r="D329" s="252"/>
      <c r="E329" s="251"/>
      <c r="F329" s="253"/>
      <c r="G329" s="253"/>
      <c r="H329" s="251"/>
      <c r="I329" s="239" t="str">
        <f t="shared" ca="1" si="12"/>
        <v>—</v>
      </c>
      <c r="J329" s="240" t="str">
        <f t="shared" si="13"/>
        <v/>
      </c>
      <c r="K329" s="241" t="str">
        <f t="shared" si="14"/>
        <v/>
      </c>
    </row>
    <row r="330" spans="1:11" ht="18" customHeight="1" x14ac:dyDescent="0.2">
      <c r="A330" s="246"/>
      <c r="B330" s="246"/>
      <c r="C330" s="247"/>
      <c r="D330" s="248"/>
      <c r="E330" s="247"/>
      <c r="F330" s="249"/>
      <c r="G330" s="249"/>
      <c r="H330" s="247"/>
      <c r="I330" s="244" t="str">
        <f t="shared" ca="1" si="12"/>
        <v>—</v>
      </c>
      <c r="J330" s="240" t="str">
        <f t="shared" si="13"/>
        <v/>
      </c>
      <c r="K330" s="245" t="str">
        <f t="shared" si="14"/>
        <v/>
      </c>
    </row>
    <row r="331" spans="1:11" ht="18" customHeight="1" x14ac:dyDescent="0.2">
      <c r="A331" s="250"/>
      <c r="B331" s="250"/>
      <c r="C331" s="251"/>
      <c r="D331" s="252"/>
      <c r="E331" s="251"/>
      <c r="F331" s="253"/>
      <c r="G331" s="253"/>
      <c r="H331" s="251"/>
      <c r="I331" s="239" t="str">
        <f t="shared" ref="I331:I394" ca="1" si="15">IF(OR(B331="",H331="Sold"),"—",TODAY()-B331)</f>
        <v>—</v>
      </c>
      <c r="J331" s="240" t="str">
        <f t="shared" ref="J331:J394" si="16">IF(OR(B331="",H331="Sold"),"",IF(I331="—","",IF(I331&gt;=60,"STALE — route now",IF(I331&gt;=30,"Aging — watch",IF(I331&gt;=0,"Fresh","")))))</f>
        <v/>
      </c>
      <c r="K331" s="241" t="str">
        <f t="shared" ref="K331:K394" si="17">IF(J331="STALE — route now","→ Send to consignment batch",IF(J331="Aging — watch","→ Consider 10% price drop",IF(J331="Fresh","→ Hold &amp; monitor","")))</f>
        <v/>
      </c>
    </row>
    <row r="332" spans="1:11" ht="18" customHeight="1" x14ac:dyDescent="0.2">
      <c r="A332" s="246"/>
      <c r="B332" s="246"/>
      <c r="C332" s="247"/>
      <c r="D332" s="248"/>
      <c r="E332" s="247"/>
      <c r="F332" s="249"/>
      <c r="G332" s="249"/>
      <c r="H332" s="247"/>
      <c r="I332" s="244" t="str">
        <f t="shared" ca="1" si="15"/>
        <v>—</v>
      </c>
      <c r="J332" s="240" t="str">
        <f t="shared" si="16"/>
        <v/>
      </c>
      <c r="K332" s="245" t="str">
        <f t="shared" si="17"/>
        <v/>
      </c>
    </row>
    <row r="333" spans="1:11" ht="18" customHeight="1" x14ac:dyDescent="0.2">
      <c r="A333" s="250"/>
      <c r="B333" s="250"/>
      <c r="C333" s="251"/>
      <c r="D333" s="252"/>
      <c r="E333" s="251"/>
      <c r="F333" s="253"/>
      <c r="G333" s="253"/>
      <c r="H333" s="251"/>
      <c r="I333" s="239" t="str">
        <f t="shared" ca="1" si="15"/>
        <v>—</v>
      </c>
      <c r="J333" s="240" t="str">
        <f t="shared" si="16"/>
        <v/>
      </c>
      <c r="K333" s="241" t="str">
        <f t="shared" si="17"/>
        <v/>
      </c>
    </row>
    <row r="334" spans="1:11" ht="18" customHeight="1" x14ac:dyDescent="0.2">
      <c r="A334" s="246"/>
      <c r="B334" s="246"/>
      <c r="C334" s="247"/>
      <c r="D334" s="248"/>
      <c r="E334" s="247"/>
      <c r="F334" s="249"/>
      <c r="G334" s="249"/>
      <c r="H334" s="247"/>
      <c r="I334" s="244" t="str">
        <f t="shared" ca="1" si="15"/>
        <v>—</v>
      </c>
      <c r="J334" s="240" t="str">
        <f t="shared" si="16"/>
        <v/>
      </c>
      <c r="K334" s="245" t="str">
        <f t="shared" si="17"/>
        <v/>
      </c>
    </row>
    <row r="335" spans="1:11" ht="18" customHeight="1" x14ac:dyDescent="0.2">
      <c r="A335" s="250"/>
      <c r="B335" s="250"/>
      <c r="C335" s="251"/>
      <c r="D335" s="252"/>
      <c r="E335" s="251"/>
      <c r="F335" s="253"/>
      <c r="G335" s="253"/>
      <c r="H335" s="251"/>
      <c r="I335" s="239" t="str">
        <f t="shared" ca="1" si="15"/>
        <v>—</v>
      </c>
      <c r="J335" s="240" t="str">
        <f t="shared" si="16"/>
        <v/>
      </c>
      <c r="K335" s="241" t="str">
        <f t="shared" si="17"/>
        <v/>
      </c>
    </row>
    <row r="336" spans="1:11" ht="18" customHeight="1" x14ac:dyDescent="0.2">
      <c r="A336" s="246"/>
      <c r="B336" s="246"/>
      <c r="C336" s="247"/>
      <c r="D336" s="248"/>
      <c r="E336" s="247"/>
      <c r="F336" s="249"/>
      <c r="G336" s="249"/>
      <c r="H336" s="247"/>
      <c r="I336" s="244" t="str">
        <f t="shared" ca="1" si="15"/>
        <v>—</v>
      </c>
      <c r="J336" s="240" t="str">
        <f t="shared" si="16"/>
        <v/>
      </c>
      <c r="K336" s="245" t="str">
        <f t="shared" si="17"/>
        <v/>
      </c>
    </row>
    <row r="337" spans="1:11" ht="18" customHeight="1" x14ac:dyDescent="0.2">
      <c r="A337" s="250"/>
      <c r="B337" s="250"/>
      <c r="C337" s="251"/>
      <c r="D337" s="252"/>
      <c r="E337" s="251"/>
      <c r="F337" s="253"/>
      <c r="G337" s="253"/>
      <c r="H337" s="251"/>
      <c r="I337" s="239" t="str">
        <f t="shared" ca="1" si="15"/>
        <v>—</v>
      </c>
      <c r="J337" s="240" t="str">
        <f t="shared" si="16"/>
        <v/>
      </c>
      <c r="K337" s="241" t="str">
        <f t="shared" si="17"/>
        <v/>
      </c>
    </row>
    <row r="338" spans="1:11" ht="18" customHeight="1" x14ac:dyDescent="0.2">
      <c r="A338" s="246"/>
      <c r="B338" s="246"/>
      <c r="C338" s="247"/>
      <c r="D338" s="248"/>
      <c r="E338" s="247"/>
      <c r="F338" s="249"/>
      <c r="G338" s="249"/>
      <c r="H338" s="247"/>
      <c r="I338" s="244" t="str">
        <f t="shared" ca="1" si="15"/>
        <v>—</v>
      </c>
      <c r="J338" s="240" t="str">
        <f t="shared" si="16"/>
        <v/>
      </c>
      <c r="K338" s="245" t="str">
        <f t="shared" si="17"/>
        <v/>
      </c>
    </row>
    <row r="339" spans="1:11" ht="18" customHeight="1" x14ac:dyDescent="0.2">
      <c r="A339" s="250"/>
      <c r="B339" s="250"/>
      <c r="C339" s="251"/>
      <c r="D339" s="252"/>
      <c r="E339" s="251"/>
      <c r="F339" s="253"/>
      <c r="G339" s="253"/>
      <c r="H339" s="251"/>
      <c r="I339" s="239" t="str">
        <f t="shared" ca="1" si="15"/>
        <v>—</v>
      </c>
      <c r="J339" s="240" t="str">
        <f t="shared" si="16"/>
        <v/>
      </c>
      <c r="K339" s="241" t="str">
        <f t="shared" si="17"/>
        <v/>
      </c>
    </row>
    <row r="340" spans="1:11" ht="18" customHeight="1" x14ac:dyDescent="0.2">
      <c r="A340" s="246"/>
      <c r="B340" s="246"/>
      <c r="C340" s="247"/>
      <c r="D340" s="248"/>
      <c r="E340" s="247"/>
      <c r="F340" s="249"/>
      <c r="G340" s="249"/>
      <c r="H340" s="247"/>
      <c r="I340" s="244" t="str">
        <f t="shared" ca="1" si="15"/>
        <v>—</v>
      </c>
      <c r="J340" s="240" t="str">
        <f t="shared" si="16"/>
        <v/>
      </c>
      <c r="K340" s="245" t="str">
        <f t="shared" si="17"/>
        <v/>
      </c>
    </row>
    <row r="341" spans="1:11" ht="18" customHeight="1" x14ac:dyDescent="0.2">
      <c r="A341" s="250"/>
      <c r="B341" s="250"/>
      <c r="C341" s="251"/>
      <c r="D341" s="252"/>
      <c r="E341" s="251"/>
      <c r="F341" s="253"/>
      <c r="G341" s="253"/>
      <c r="H341" s="251"/>
      <c r="I341" s="239" t="str">
        <f t="shared" ca="1" si="15"/>
        <v>—</v>
      </c>
      <c r="J341" s="240" t="str">
        <f t="shared" si="16"/>
        <v/>
      </c>
      <c r="K341" s="241" t="str">
        <f t="shared" si="17"/>
        <v/>
      </c>
    </row>
    <row r="342" spans="1:11" ht="18" customHeight="1" x14ac:dyDescent="0.2">
      <c r="A342" s="246"/>
      <c r="B342" s="246"/>
      <c r="C342" s="247"/>
      <c r="D342" s="248"/>
      <c r="E342" s="247"/>
      <c r="F342" s="249"/>
      <c r="G342" s="249"/>
      <c r="H342" s="247"/>
      <c r="I342" s="244" t="str">
        <f t="shared" ca="1" si="15"/>
        <v>—</v>
      </c>
      <c r="J342" s="240" t="str">
        <f t="shared" si="16"/>
        <v/>
      </c>
      <c r="K342" s="245" t="str">
        <f t="shared" si="17"/>
        <v/>
      </c>
    </row>
    <row r="343" spans="1:11" ht="18" customHeight="1" x14ac:dyDescent="0.2">
      <c r="A343" s="250"/>
      <c r="B343" s="250"/>
      <c r="C343" s="251"/>
      <c r="D343" s="252"/>
      <c r="E343" s="251"/>
      <c r="F343" s="253"/>
      <c r="G343" s="253"/>
      <c r="H343" s="251"/>
      <c r="I343" s="239" t="str">
        <f t="shared" ca="1" si="15"/>
        <v>—</v>
      </c>
      <c r="J343" s="240" t="str">
        <f t="shared" si="16"/>
        <v/>
      </c>
      <c r="K343" s="241" t="str">
        <f t="shared" si="17"/>
        <v/>
      </c>
    </row>
    <row r="344" spans="1:11" ht="18" customHeight="1" x14ac:dyDescent="0.2">
      <c r="A344" s="246"/>
      <c r="B344" s="246"/>
      <c r="C344" s="247"/>
      <c r="D344" s="248"/>
      <c r="E344" s="247"/>
      <c r="F344" s="249"/>
      <c r="G344" s="249"/>
      <c r="H344" s="247"/>
      <c r="I344" s="244" t="str">
        <f t="shared" ca="1" si="15"/>
        <v>—</v>
      </c>
      <c r="J344" s="240" t="str">
        <f t="shared" si="16"/>
        <v/>
      </c>
      <c r="K344" s="245" t="str">
        <f t="shared" si="17"/>
        <v/>
      </c>
    </row>
    <row r="345" spans="1:11" ht="18" customHeight="1" x14ac:dyDescent="0.2">
      <c r="A345" s="250"/>
      <c r="B345" s="250"/>
      <c r="C345" s="251"/>
      <c r="D345" s="252"/>
      <c r="E345" s="251"/>
      <c r="F345" s="253"/>
      <c r="G345" s="253"/>
      <c r="H345" s="251"/>
      <c r="I345" s="239" t="str">
        <f t="shared" ca="1" si="15"/>
        <v>—</v>
      </c>
      <c r="J345" s="240" t="str">
        <f t="shared" si="16"/>
        <v/>
      </c>
      <c r="K345" s="241" t="str">
        <f t="shared" si="17"/>
        <v/>
      </c>
    </row>
    <row r="346" spans="1:11" ht="18" customHeight="1" x14ac:dyDescent="0.2">
      <c r="A346" s="246"/>
      <c r="B346" s="246"/>
      <c r="C346" s="247"/>
      <c r="D346" s="248"/>
      <c r="E346" s="247"/>
      <c r="F346" s="249"/>
      <c r="G346" s="249"/>
      <c r="H346" s="247"/>
      <c r="I346" s="244" t="str">
        <f t="shared" ca="1" si="15"/>
        <v>—</v>
      </c>
      <c r="J346" s="240" t="str">
        <f t="shared" si="16"/>
        <v/>
      </c>
      <c r="K346" s="245" t="str">
        <f t="shared" si="17"/>
        <v/>
      </c>
    </row>
    <row r="347" spans="1:11" ht="18" customHeight="1" x14ac:dyDescent="0.2">
      <c r="A347" s="250"/>
      <c r="B347" s="250"/>
      <c r="C347" s="251"/>
      <c r="D347" s="252"/>
      <c r="E347" s="251"/>
      <c r="F347" s="253"/>
      <c r="G347" s="253"/>
      <c r="H347" s="251"/>
      <c r="I347" s="239" t="str">
        <f t="shared" ca="1" si="15"/>
        <v>—</v>
      </c>
      <c r="J347" s="240" t="str">
        <f t="shared" si="16"/>
        <v/>
      </c>
      <c r="K347" s="241" t="str">
        <f t="shared" si="17"/>
        <v/>
      </c>
    </row>
    <row r="348" spans="1:11" ht="18" customHeight="1" x14ac:dyDescent="0.2">
      <c r="A348" s="246"/>
      <c r="B348" s="246"/>
      <c r="C348" s="247"/>
      <c r="D348" s="248"/>
      <c r="E348" s="247"/>
      <c r="F348" s="249"/>
      <c r="G348" s="249"/>
      <c r="H348" s="247"/>
      <c r="I348" s="244" t="str">
        <f t="shared" ca="1" si="15"/>
        <v>—</v>
      </c>
      <c r="J348" s="240" t="str">
        <f t="shared" si="16"/>
        <v/>
      </c>
      <c r="K348" s="245" t="str">
        <f t="shared" si="17"/>
        <v/>
      </c>
    </row>
    <row r="349" spans="1:11" ht="18" customHeight="1" x14ac:dyDescent="0.2">
      <c r="A349" s="250"/>
      <c r="B349" s="250"/>
      <c r="C349" s="251"/>
      <c r="D349" s="252"/>
      <c r="E349" s="251"/>
      <c r="F349" s="253"/>
      <c r="G349" s="253"/>
      <c r="H349" s="251"/>
      <c r="I349" s="239" t="str">
        <f t="shared" ca="1" si="15"/>
        <v>—</v>
      </c>
      <c r="J349" s="240" t="str">
        <f t="shared" si="16"/>
        <v/>
      </c>
      <c r="K349" s="241" t="str">
        <f t="shared" si="17"/>
        <v/>
      </c>
    </row>
    <row r="350" spans="1:11" ht="18" customHeight="1" x14ac:dyDescent="0.2">
      <c r="A350" s="246"/>
      <c r="B350" s="246"/>
      <c r="C350" s="247"/>
      <c r="D350" s="248"/>
      <c r="E350" s="247"/>
      <c r="F350" s="249"/>
      <c r="G350" s="249"/>
      <c r="H350" s="247"/>
      <c r="I350" s="244" t="str">
        <f t="shared" ca="1" si="15"/>
        <v>—</v>
      </c>
      <c r="J350" s="240" t="str">
        <f t="shared" si="16"/>
        <v/>
      </c>
      <c r="K350" s="245" t="str">
        <f t="shared" si="17"/>
        <v/>
      </c>
    </row>
    <row r="351" spans="1:11" ht="18" customHeight="1" x14ac:dyDescent="0.2">
      <c r="A351" s="250"/>
      <c r="B351" s="250"/>
      <c r="C351" s="251"/>
      <c r="D351" s="252"/>
      <c r="E351" s="251"/>
      <c r="F351" s="253"/>
      <c r="G351" s="253"/>
      <c r="H351" s="251"/>
      <c r="I351" s="239" t="str">
        <f t="shared" ca="1" si="15"/>
        <v>—</v>
      </c>
      <c r="J351" s="240" t="str">
        <f t="shared" si="16"/>
        <v/>
      </c>
      <c r="K351" s="241" t="str">
        <f t="shared" si="17"/>
        <v/>
      </c>
    </row>
    <row r="352" spans="1:11" ht="18" customHeight="1" x14ac:dyDescent="0.2">
      <c r="A352" s="246"/>
      <c r="B352" s="246"/>
      <c r="C352" s="247"/>
      <c r="D352" s="248"/>
      <c r="E352" s="247"/>
      <c r="F352" s="249"/>
      <c r="G352" s="249"/>
      <c r="H352" s="247"/>
      <c r="I352" s="244" t="str">
        <f t="shared" ca="1" si="15"/>
        <v>—</v>
      </c>
      <c r="J352" s="240" t="str">
        <f t="shared" si="16"/>
        <v/>
      </c>
      <c r="K352" s="245" t="str">
        <f t="shared" si="17"/>
        <v/>
      </c>
    </row>
    <row r="353" spans="1:11" ht="18" customHeight="1" x14ac:dyDescent="0.2">
      <c r="A353" s="250"/>
      <c r="B353" s="250"/>
      <c r="C353" s="251"/>
      <c r="D353" s="252"/>
      <c r="E353" s="251"/>
      <c r="F353" s="253"/>
      <c r="G353" s="253"/>
      <c r="H353" s="251"/>
      <c r="I353" s="239" t="str">
        <f t="shared" ca="1" si="15"/>
        <v>—</v>
      </c>
      <c r="J353" s="240" t="str">
        <f t="shared" si="16"/>
        <v/>
      </c>
      <c r="K353" s="241" t="str">
        <f t="shared" si="17"/>
        <v/>
      </c>
    </row>
    <row r="354" spans="1:11" ht="18" customHeight="1" x14ac:dyDescent="0.2">
      <c r="A354" s="246"/>
      <c r="B354" s="246"/>
      <c r="C354" s="247"/>
      <c r="D354" s="248"/>
      <c r="E354" s="247"/>
      <c r="F354" s="249"/>
      <c r="G354" s="249"/>
      <c r="H354" s="247"/>
      <c r="I354" s="244" t="str">
        <f t="shared" ca="1" si="15"/>
        <v>—</v>
      </c>
      <c r="J354" s="240" t="str">
        <f t="shared" si="16"/>
        <v/>
      </c>
      <c r="K354" s="245" t="str">
        <f t="shared" si="17"/>
        <v/>
      </c>
    </row>
    <row r="355" spans="1:11" ht="18" customHeight="1" x14ac:dyDescent="0.2">
      <c r="A355" s="250"/>
      <c r="B355" s="250"/>
      <c r="C355" s="251"/>
      <c r="D355" s="252"/>
      <c r="E355" s="251"/>
      <c r="F355" s="253"/>
      <c r="G355" s="253"/>
      <c r="H355" s="251"/>
      <c r="I355" s="239" t="str">
        <f t="shared" ca="1" si="15"/>
        <v>—</v>
      </c>
      <c r="J355" s="240" t="str">
        <f t="shared" si="16"/>
        <v/>
      </c>
      <c r="K355" s="241" t="str">
        <f t="shared" si="17"/>
        <v/>
      </c>
    </row>
    <row r="356" spans="1:11" ht="18" customHeight="1" x14ac:dyDescent="0.2">
      <c r="A356" s="246"/>
      <c r="B356" s="246"/>
      <c r="C356" s="247"/>
      <c r="D356" s="248"/>
      <c r="E356" s="247"/>
      <c r="F356" s="249"/>
      <c r="G356" s="249"/>
      <c r="H356" s="247"/>
      <c r="I356" s="244" t="str">
        <f t="shared" ca="1" si="15"/>
        <v>—</v>
      </c>
      <c r="J356" s="240" t="str">
        <f t="shared" si="16"/>
        <v/>
      </c>
      <c r="K356" s="245" t="str">
        <f t="shared" si="17"/>
        <v/>
      </c>
    </row>
    <row r="357" spans="1:11" ht="18" customHeight="1" x14ac:dyDescent="0.2">
      <c r="A357" s="250"/>
      <c r="B357" s="250"/>
      <c r="C357" s="251"/>
      <c r="D357" s="252"/>
      <c r="E357" s="251"/>
      <c r="F357" s="253"/>
      <c r="G357" s="253"/>
      <c r="H357" s="251"/>
      <c r="I357" s="239" t="str">
        <f t="shared" ca="1" si="15"/>
        <v>—</v>
      </c>
      <c r="J357" s="240" t="str">
        <f t="shared" si="16"/>
        <v/>
      </c>
      <c r="K357" s="241" t="str">
        <f t="shared" si="17"/>
        <v/>
      </c>
    </row>
    <row r="358" spans="1:11" ht="18" customHeight="1" x14ac:dyDescent="0.2">
      <c r="A358" s="246"/>
      <c r="B358" s="246"/>
      <c r="C358" s="247"/>
      <c r="D358" s="248"/>
      <c r="E358" s="247"/>
      <c r="F358" s="249"/>
      <c r="G358" s="249"/>
      <c r="H358" s="247"/>
      <c r="I358" s="244" t="str">
        <f t="shared" ca="1" si="15"/>
        <v>—</v>
      </c>
      <c r="J358" s="240" t="str">
        <f t="shared" si="16"/>
        <v/>
      </c>
      <c r="K358" s="245" t="str">
        <f t="shared" si="17"/>
        <v/>
      </c>
    </row>
    <row r="359" spans="1:11" ht="18" customHeight="1" x14ac:dyDescent="0.2">
      <c r="A359" s="250"/>
      <c r="B359" s="250"/>
      <c r="C359" s="251"/>
      <c r="D359" s="252"/>
      <c r="E359" s="251"/>
      <c r="F359" s="253"/>
      <c r="G359" s="253"/>
      <c r="H359" s="251"/>
      <c r="I359" s="239" t="str">
        <f t="shared" ca="1" si="15"/>
        <v>—</v>
      </c>
      <c r="J359" s="240" t="str">
        <f t="shared" si="16"/>
        <v/>
      </c>
      <c r="K359" s="241" t="str">
        <f t="shared" si="17"/>
        <v/>
      </c>
    </row>
    <row r="360" spans="1:11" ht="18" customHeight="1" x14ac:dyDescent="0.2">
      <c r="A360" s="246"/>
      <c r="B360" s="246"/>
      <c r="C360" s="247"/>
      <c r="D360" s="248"/>
      <c r="E360" s="247"/>
      <c r="F360" s="249"/>
      <c r="G360" s="249"/>
      <c r="H360" s="247"/>
      <c r="I360" s="244" t="str">
        <f t="shared" ca="1" si="15"/>
        <v>—</v>
      </c>
      <c r="J360" s="240" t="str">
        <f t="shared" si="16"/>
        <v/>
      </c>
      <c r="K360" s="245" t="str">
        <f t="shared" si="17"/>
        <v/>
      </c>
    </row>
    <row r="361" spans="1:11" ht="18" customHeight="1" x14ac:dyDescent="0.2">
      <c r="A361" s="250"/>
      <c r="B361" s="250"/>
      <c r="C361" s="251"/>
      <c r="D361" s="252"/>
      <c r="E361" s="251"/>
      <c r="F361" s="253"/>
      <c r="G361" s="253"/>
      <c r="H361" s="251"/>
      <c r="I361" s="239" t="str">
        <f t="shared" ca="1" si="15"/>
        <v>—</v>
      </c>
      <c r="J361" s="240" t="str">
        <f t="shared" si="16"/>
        <v/>
      </c>
      <c r="K361" s="241" t="str">
        <f t="shared" si="17"/>
        <v/>
      </c>
    </row>
    <row r="362" spans="1:11" ht="18" customHeight="1" x14ac:dyDescent="0.2">
      <c r="A362" s="246"/>
      <c r="B362" s="246"/>
      <c r="C362" s="247"/>
      <c r="D362" s="248"/>
      <c r="E362" s="247"/>
      <c r="F362" s="249"/>
      <c r="G362" s="249"/>
      <c r="H362" s="247"/>
      <c r="I362" s="244" t="str">
        <f t="shared" ca="1" si="15"/>
        <v>—</v>
      </c>
      <c r="J362" s="240" t="str">
        <f t="shared" si="16"/>
        <v/>
      </c>
      <c r="K362" s="245" t="str">
        <f t="shared" si="17"/>
        <v/>
      </c>
    </row>
    <row r="363" spans="1:11" ht="18" customHeight="1" x14ac:dyDescent="0.2">
      <c r="A363" s="250"/>
      <c r="B363" s="250"/>
      <c r="C363" s="251"/>
      <c r="D363" s="252"/>
      <c r="E363" s="251"/>
      <c r="F363" s="253"/>
      <c r="G363" s="253"/>
      <c r="H363" s="251"/>
      <c r="I363" s="239" t="str">
        <f t="shared" ca="1" si="15"/>
        <v>—</v>
      </c>
      <c r="J363" s="240" t="str">
        <f t="shared" si="16"/>
        <v/>
      </c>
      <c r="K363" s="241" t="str">
        <f t="shared" si="17"/>
        <v/>
      </c>
    </row>
    <row r="364" spans="1:11" ht="18" customHeight="1" x14ac:dyDescent="0.2">
      <c r="A364" s="246"/>
      <c r="B364" s="246"/>
      <c r="C364" s="247"/>
      <c r="D364" s="248"/>
      <c r="E364" s="247"/>
      <c r="F364" s="249"/>
      <c r="G364" s="249"/>
      <c r="H364" s="247"/>
      <c r="I364" s="244" t="str">
        <f t="shared" ca="1" si="15"/>
        <v>—</v>
      </c>
      <c r="J364" s="240" t="str">
        <f t="shared" si="16"/>
        <v/>
      </c>
      <c r="K364" s="245" t="str">
        <f t="shared" si="17"/>
        <v/>
      </c>
    </row>
    <row r="365" spans="1:11" ht="18" customHeight="1" x14ac:dyDescent="0.2">
      <c r="A365" s="250"/>
      <c r="B365" s="250"/>
      <c r="C365" s="251"/>
      <c r="D365" s="252"/>
      <c r="E365" s="251"/>
      <c r="F365" s="253"/>
      <c r="G365" s="253"/>
      <c r="H365" s="251"/>
      <c r="I365" s="239" t="str">
        <f t="shared" ca="1" si="15"/>
        <v>—</v>
      </c>
      <c r="J365" s="240" t="str">
        <f t="shared" si="16"/>
        <v/>
      </c>
      <c r="K365" s="241" t="str">
        <f t="shared" si="17"/>
        <v/>
      </c>
    </row>
    <row r="366" spans="1:11" ht="18" customHeight="1" x14ac:dyDescent="0.2">
      <c r="A366" s="246"/>
      <c r="B366" s="246"/>
      <c r="C366" s="247"/>
      <c r="D366" s="248"/>
      <c r="E366" s="247"/>
      <c r="F366" s="249"/>
      <c r="G366" s="249"/>
      <c r="H366" s="247"/>
      <c r="I366" s="244" t="str">
        <f t="shared" ca="1" si="15"/>
        <v>—</v>
      </c>
      <c r="J366" s="240" t="str">
        <f t="shared" si="16"/>
        <v/>
      </c>
      <c r="K366" s="245" t="str">
        <f t="shared" si="17"/>
        <v/>
      </c>
    </row>
    <row r="367" spans="1:11" ht="18" customHeight="1" x14ac:dyDescent="0.2">
      <c r="A367" s="250"/>
      <c r="B367" s="250"/>
      <c r="C367" s="251"/>
      <c r="D367" s="252"/>
      <c r="E367" s="251"/>
      <c r="F367" s="253"/>
      <c r="G367" s="253"/>
      <c r="H367" s="251"/>
      <c r="I367" s="239" t="str">
        <f t="shared" ca="1" si="15"/>
        <v>—</v>
      </c>
      <c r="J367" s="240" t="str">
        <f t="shared" si="16"/>
        <v/>
      </c>
      <c r="K367" s="241" t="str">
        <f t="shared" si="17"/>
        <v/>
      </c>
    </row>
    <row r="368" spans="1:11" ht="18" customHeight="1" x14ac:dyDescent="0.2">
      <c r="A368" s="246"/>
      <c r="B368" s="246"/>
      <c r="C368" s="247"/>
      <c r="D368" s="248"/>
      <c r="E368" s="247"/>
      <c r="F368" s="249"/>
      <c r="G368" s="249"/>
      <c r="H368" s="247"/>
      <c r="I368" s="244" t="str">
        <f t="shared" ca="1" si="15"/>
        <v>—</v>
      </c>
      <c r="J368" s="240" t="str">
        <f t="shared" si="16"/>
        <v/>
      </c>
      <c r="K368" s="245" t="str">
        <f t="shared" si="17"/>
        <v/>
      </c>
    </row>
    <row r="369" spans="1:11" ht="18" customHeight="1" x14ac:dyDescent="0.2">
      <c r="A369" s="250"/>
      <c r="B369" s="250"/>
      <c r="C369" s="251"/>
      <c r="D369" s="252"/>
      <c r="E369" s="251"/>
      <c r="F369" s="253"/>
      <c r="G369" s="253"/>
      <c r="H369" s="251"/>
      <c r="I369" s="239" t="str">
        <f t="shared" ca="1" si="15"/>
        <v>—</v>
      </c>
      <c r="J369" s="240" t="str">
        <f t="shared" si="16"/>
        <v/>
      </c>
      <c r="K369" s="241" t="str">
        <f t="shared" si="17"/>
        <v/>
      </c>
    </row>
    <row r="370" spans="1:11" ht="18" customHeight="1" x14ac:dyDescent="0.2">
      <c r="A370" s="246"/>
      <c r="B370" s="246"/>
      <c r="C370" s="247"/>
      <c r="D370" s="248"/>
      <c r="E370" s="247"/>
      <c r="F370" s="249"/>
      <c r="G370" s="249"/>
      <c r="H370" s="247"/>
      <c r="I370" s="244" t="str">
        <f t="shared" ca="1" si="15"/>
        <v>—</v>
      </c>
      <c r="J370" s="240" t="str">
        <f t="shared" si="16"/>
        <v/>
      </c>
      <c r="K370" s="245" t="str">
        <f t="shared" si="17"/>
        <v/>
      </c>
    </row>
    <row r="371" spans="1:11" ht="18" customHeight="1" x14ac:dyDescent="0.2">
      <c r="A371" s="250"/>
      <c r="B371" s="250"/>
      <c r="C371" s="251"/>
      <c r="D371" s="252"/>
      <c r="E371" s="251"/>
      <c r="F371" s="253"/>
      <c r="G371" s="253"/>
      <c r="H371" s="251"/>
      <c r="I371" s="239" t="str">
        <f t="shared" ca="1" si="15"/>
        <v>—</v>
      </c>
      <c r="J371" s="240" t="str">
        <f t="shared" si="16"/>
        <v/>
      </c>
      <c r="K371" s="241" t="str">
        <f t="shared" si="17"/>
        <v/>
      </c>
    </row>
    <row r="372" spans="1:11" ht="18" customHeight="1" x14ac:dyDescent="0.2">
      <c r="A372" s="246"/>
      <c r="B372" s="246"/>
      <c r="C372" s="247"/>
      <c r="D372" s="248"/>
      <c r="E372" s="247"/>
      <c r="F372" s="249"/>
      <c r="G372" s="249"/>
      <c r="H372" s="247"/>
      <c r="I372" s="244" t="str">
        <f t="shared" ca="1" si="15"/>
        <v>—</v>
      </c>
      <c r="J372" s="240" t="str">
        <f t="shared" si="16"/>
        <v/>
      </c>
      <c r="K372" s="245" t="str">
        <f t="shared" si="17"/>
        <v/>
      </c>
    </row>
    <row r="373" spans="1:11" ht="18" customHeight="1" x14ac:dyDescent="0.2">
      <c r="A373" s="250"/>
      <c r="B373" s="250"/>
      <c r="C373" s="251"/>
      <c r="D373" s="252"/>
      <c r="E373" s="251"/>
      <c r="F373" s="253"/>
      <c r="G373" s="253"/>
      <c r="H373" s="251"/>
      <c r="I373" s="239" t="str">
        <f t="shared" ca="1" si="15"/>
        <v>—</v>
      </c>
      <c r="J373" s="240" t="str">
        <f t="shared" si="16"/>
        <v/>
      </c>
      <c r="K373" s="241" t="str">
        <f t="shared" si="17"/>
        <v/>
      </c>
    </row>
    <row r="374" spans="1:11" ht="18" customHeight="1" x14ac:dyDescent="0.2">
      <c r="A374" s="246"/>
      <c r="B374" s="246"/>
      <c r="C374" s="247"/>
      <c r="D374" s="248"/>
      <c r="E374" s="247"/>
      <c r="F374" s="249"/>
      <c r="G374" s="249"/>
      <c r="H374" s="247"/>
      <c r="I374" s="244" t="str">
        <f t="shared" ca="1" si="15"/>
        <v>—</v>
      </c>
      <c r="J374" s="240" t="str">
        <f t="shared" si="16"/>
        <v/>
      </c>
      <c r="K374" s="245" t="str">
        <f t="shared" si="17"/>
        <v/>
      </c>
    </row>
    <row r="375" spans="1:11" ht="18" customHeight="1" x14ac:dyDescent="0.2">
      <c r="A375" s="250"/>
      <c r="B375" s="250"/>
      <c r="C375" s="251"/>
      <c r="D375" s="252"/>
      <c r="E375" s="251"/>
      <c r="F375" s="253"/>
      <c r="G375" s="253"/>
      <c r="H375" s="251"/>
      <c r="I375" s="239" t="str">
        <f t="shared" ca="1" si="15"/>
        <v>—</v>
      </c>
      <c r="J375" s="240" t="str">
        <f t="shared" si="16"/>
        <v/>
      </c>
      <c r="K375" s="241" t="str">
        <f t="shared" si="17"/>
        <v/>
      </c>
    </row>
    <row r="376" spans="1:11" ht="18" customHeight="1" x14ac:dyDescent="0.2">
      <c r="A376" s="246"/>
      <c r="B376" s="246"/>
      <c r="C376" s="247"/>
      <c r="D376" s="248"/>
      <c r="E376" s="247"/>
      <c r="F376" s="249"/>
      <c r="G376" s="249"/>
      <c r="H376" s="247"/>
      <c r="I376" s="244" t="str">
        <f t="shared" ca="1" si="15"/>
        <v>—</v>
      </c>
      <c r="J376" s="240" t="str">
        <f t="shared" si="16"/>
        <v/>
      </c>
      <c r="K376" s="245" t="str">
        <f t="shared" si="17"/>
        <v/>
      </c>
    </row>
    <row r="377" spans="1:11" ht="18" customHeight="1" x14ac:dyDescent="0.2">
      <c r="A377" s="250"/>
      <c r="B377" s="250"/>
      <c r="C377" s="251"/>
      <c r="D377" s="252"/>
      <c r="E377" s="251"/>
      <c r="F377" s="253"/>
      <c r="G377" s="253"/>
      <c r="H377" s="251"/>
      <c r="I377" s="239" t="str">
        <f t="shared" ca="1" si="15"/>
        <v>—</v>
      </c>
      <c r="J377" s="240" t="str">
        <f t="shared" si="16"/>
        <v/>
      </c>
      <c r="K377" s="241" t="str">
        <f t="shared" si="17"/>
        <v/>
      </c>
    </row>
    <row r="378" spans="1:11" ht="18" customHeight="1" x14ac:dyDescent="0.2">
      <c r="A378" s="246"/>
      <c r="B378" s="246"/>
      <c r="C378" s="247"/>
      <c r="D378" s="248"/>
      <c r="E378" s="247"/>
      <c r="F378" s="249"/>
      <c r="G378" s="249"/>
      <c r="H378" s="247"/>
      <c r="I378" s="244" t="str">
        <f t="shared" ca="1" si="15"/>
        <v>—</v>
      </c>
      <c r="J378" s="240" t="str">
        <f t="shared" si="16"/>
        <v/>
      </c>
      <c r="K378" s="245" t="str">
        <f t="shared" si="17"/>
        <v/>
      </c>
    </row>
    <row r="379" spans="1:11" ht="18" customHeight="1" x14ac:dyDescent="0.2">
      <c r="A379" s="250"/>
      <c r="B379" s="250"/>
      <c r="C379" s="251"/>
      <c r="D379" s="252"/>
      <c r="E379" s="251"/>
      <c r="F379" s="253"/>
      <c r="G379" s="253"/>
      <c r="H379" s="251"/>
      <c r="I379" s="239" t="str">
        <f t="shared" ca="1" si="15"/>
        <v>—</v>
      </c>
      <c r="J379" s="240" t="str">
        <f t="shared" si="16"/>
        <v/>
      </c>
      <c r="K379" s="241" t="str">
        <f t="shared" si="17"/>
        <v/>
      </c>
    </row>
    <row r="380" spans="1:11" ht="18" customHeight="1" x14ac:dyDescent="0.2">
      <c r="A380" s="246"/>
      <c r="B380" s="246"/>
      <c r="C380" s="247"/>
      <c r="D380" s="248"/>
      <c r="E380" s="247"/>
      <c r="F380" s="249"/>
      <c r="G380" s="249"/>
      <c r="H380" s="247"/>
      <c r="I380" s="244" t="str">
        <f t="shared" ca="1" si="15"/>
        <v>—</v>
      </c>
      <c r="J380" s="240" t="str">
        <f t="shared" si="16"/>
        <v/>
      </c>
      <c r="K380" s="245" t="str">
        <f t="shared" si="17"/>
        <v/>
      </c>
    </row>
    <row r="381" spans="1:11" ht="18" customHeight="1" x14ac:dyDescent="0.2">
      <c r="A381" s="250"/>
      <c r="B381" s="250"/>
      <c r="C381" s="251"/>
      <c r="D381" s="252"/>
      <c r="E381" s="251"/>
      <c r="F381" s="253"/>
      <c r="G381" s="253"/>
      <c r="H381" s="251"/>
      <c r="I381" s="239" t="str">
        <f t="shared" ca="1" si="15"/>
        <v>—</v>
      </c>
      <c r="J381" s="240" t="str">
        <f t="shared" si="16"/>
        <v/>
      </c>
      <c r="K381" s="241" t="str">
        <f t="shared" si="17"/>
        <v/>
      </c>
    </row>
    <row r="382" spans="1:11" ht="18" customHeight="1" x14ac:dyDescent="0.2">
      <c r="A382" s="246"/>
      <c r="B382" s="246"/>
      <c r="C382" s="247"/>
      <c r="D382" s="248"/>
      <c r="E382" s="247"/>
      <c r="F382" s="249"/>
      <c r="G382" s="249"/>
      <c r="H382" s="247"/>
      <c r="I382" s="244" t="str">
        <f t="shared" ca="1" si="15"/>
        <v>—</v>
      </c>
      <c r="J382" s="240" t="str">
        <f t="shared" si="16"/>
        <v/>
      </c>
      <c r="K382" s="245" t="str">
        <f t="shared" si="17"/>
        <v/>
      </c>
    </row>
    <row r="383" spans="1:11" ht="18" customHeight="1" x14ac:dyDescent="0.2">
      <c r="A383" s="250"/>
      <c r="B383" s="250"/>
      <c r="C383" s="251"/>
      <c r="D383" s="252"/>
      <c r="E383" s="251"/>
      <c r="F383" s="253"/>
      <c r="G383" s="253"/>
      <c r="H383" s="251"/>
      <c r="I383" s="239" t="str">
        <f t="shared" ca="1" si="15"/>
        <v>—</v>
      </c>
      <c r="J383" s="240" t="str">
        <f t="shared" si="16"/>
        <v/>
      </c>
      <c r="K383" s="241" t="str">
        <f t="shared" si="17"/>
        <v/>
      </c>
    </row>
    <row r="384" spans="1:11" ht="18" customHeight="1" x14ac:dyDescent="0.2">
      <c r="A384" s="246"/>
      <c r="B384" s="246"/>
      <c r="C384" s="247"/>
      <c r="D384" s="248"/>
      <c r="E384" s="247"/>
      <c r="F384" s="249"/>
      <c r="G384" s="249"/>
      <c r="H384" s="247"/>
      <c r="I384" s="244" t="str">
        <f t="shared" ca="1" si="15"/>
        <v>—</v>
      </c>
      <c r="J384" s="240" t="str">
        <f t="shared" si="16"/>
        <v/>
      </c>
      <c r="K384" s="245" t="str">
        <f t="shared" si="17"/>
        <v/>
      </c>
    </row>
    <row r="385" spans="1:11" ht="18" customHeight="1" x14ac:dyDescent="0.2">
      <c r="A385" s="250"/>
      <c r="B385" s="250"/>
      <c r="C385" s="251"/>
      <c r="D385" s="252"/>
      <c r="E385" s="251"/>
      <c r="F385" s="253"/>
      <c r="G385" s="253"/>
      <c r="H385" s="251"/>
      <c r="I385" s="239" t="str">
        <f t="shared" ca="1" si="15"/>
        <v>—</v>
      </c>
      <c r="J385" s="240" t="str">
        <f t="shared" si="16"/>
        <v/>
      </c>
      <c r="K385" s="241" t="str">
        <f t="shared" si="17"/>
        <v/>
      </c>
    </row>
    <row r="386" spans="1:11" ht="18" customHeight="1" x14ac:dyDescent="0.2">
      <c r="A386" s="246"/>
      <c r="B386" s="246"/>
      <c r="C386" s="247"/>
      <c r="D386" s="248"/>
      <c r="E386" s="247"/>
      <c r="F386" s="249"/>
      <c r="G386" s="249"/>
      <c r="H386" s="247"/>
      <c r="I386" s="244" t="str">
        <f t="shared" ca="1" si="15"/>
        <v>—</v>
      </c>
      <c r="J386" s="240" t="str">
        <f t="shared" si="16"/>
        <v/>
      </c>
      <c r="K386" s="245" t="str">
        <f t="shared" si="17"/>
        <v/>
      </c>
    </row>
    <row r="387" spans="1:11" ht="18" customHeight="1" x14ac:dyDescent="0.2">
      <c r="A387" s="250"/>
      <c r="B387" s="250"/>
      <c r="C387" s="251"/>
      <c r="D387" s="252"/>
      <c r="E387" s="251"/>
      <c r="F387" s="253"/>
      <c r="G387" s="253"/>
      <c r="H387" s="251"/>
      <c r="I387" s="239" t="str">
        <f t="shared" ca="1" si="15"/>
        <v>—</v>
      </c>
      <c r="J387" s="240" t="str">
        <f t="shared" si="16"/>
        <v/>
      </c>
      <c r="K387" s="241" t="str">
        <f t="shared" si="17"/>
        <v/>
      </c>
    </row>
    <row r="388" spans="1:11" ht="18" customHeight="1" x14ac:dyDescent="0.2">
      <c r="A388" s="246"/>
      <c r="B388" s="246"/>
      <c r="C388" s="247"/>
      <c r="D388" s="248"/>
      <c r="E388" s="247"/>
      <c r="F388" s="249"/>
      <c r="G388" s="249"/>
      <c r="H388" s="247"/>
      <c r="I388" s="244" t="str">
        <f t="shared" ca="1" si="15"/>
        <v>—</v>
      </c>
      <c r="J388" s="240" t="str">
        <f t="shared" si="16"/>
        <v/>
      </c>
      <c r="K388" s="245" t="str">
        <f t="shared" si="17"/>
        <v/>
      </c>
    </row>
    <row r="389" spans="1:11" ht="18" customHeight="1" x14ac:dyDescent="0.2">
      <c r="A389" s="250"/>
      <c r="B389" s="250"/>
      <c r="C389" s="251"/>
      <c r="D389" s="252"/>
      <c r="E389" s="251"/>
      <c r="F389" s="253"/>
      <c r="G389" s="253"/>
      <c r="H389" s="251"/>
      <c r="I389" s="239" t="str">
        <f t="shared" ca="1" si="15"/>
        <v>—</v>
      </c>
      <c r="J389" s="240" t="str">
        <f t="shared" si="16"/>
        <v/>
      </c>
      <c r="K389" s="241" t="str">
        <f t="shared" si="17"/>
        <v/>
      </c>
    </row>
    <row r="390" spans="1:11" ht="18" customHeight="1" x14ac:dyDescent="0.2">
      <c r="A390" s="246"/>
      <c r="B390" s="246"/>
      <c r="C390" s="247"/>
      <c r="D390" s="248"/>
      <c r="E390" s="247"/>
      <c r="F390" s="249"/>
      <c r="G390" s="249"/>
      <c r="H390" s="247"/>
      <c r="I390" s="244" t="str">
        <f t="shared" ca="1" si="15"/>
        <v>—</v>
      </c>
      <c r="J390" s="240" t="str">
        <f t="shared" si="16"/>
        <v/>
      </c>
      <c r="K390" s="245" t="str">
        <f t="shared" si="17"/>
        <v/>
      </c>
    </row>
    <row r="391" spans="1:11" ht="18" customHeight="1" x14ac:dyDescent="0.2">
      <c r="A391" s="250"/>
      <c r="B391" s="250"/>
      <c r="C391" s="251"/>
      <c r="D391" s="252"/>
      <c r="E391" s="251"/>
      <c r="F391" s="253"/>
      <c r="G391" s="253"/>
      <c r="H391" s="251"/>
      <c r="I391" s="239" t="str">
        <f t="shared" ca="1" si="15"/>
        <v>—</v>
      </c>
      <c r="J391" s="240" t="str">
        <f t="shared" si="16"/>
        <v/>
      </c>
      <c r="K391" s="241" t="str">
        <f t="shared" si="17"/>
        <v/>
      </c>
    </row>
    <row r="392" spans="1:11" ht="18" customHeight="1" x14ac:dyDescent="0.2">
      <c r="A392" s="246"/>
      <c r="B392" s="246"/>
      <c r="C392" s="247"/>
      <c r="D392" s="248"/>
      <c r="E392" s="247"/>
      <c r="F392" s="249"/>
      <c r="G392" s="249"/>
      <c r="H392" s="247"/>
      <c r="I392" s="244" t="str">
        <f t="shared" ca="1" si="15"/>
        <v>—</v>
      </c>
      <c r="J392" s="240" t="str">
        <f t="shared" si="16"/>
        <v/>
      </c>
      <c r="K392" s="245" t="str">
        <f t="shared" si="17"/>
        <v/>
      </c>
    </row>
    <row r="393" spans="1:11" ht="18" customHeight="1" x14ac:dyDescent="0.2">
      <c r="A393" s="250"/>
      <c r="B393" s="250"/>
      <c r="C393" s="251"/>
      <c r="D393" s="252"/>
      <c r="E393" s="251"/>
      <c r="F393" s="253"/>
      <c r="G393" s="253"/>
      <c r="H393" s="251"/>
      <c r="I393" s="239" t="str">
        <f t="shared" ca="1" si="15"/>
        <v>—</v>
      </c>
      <c r="J393" s="240" t="str">
        <f t="shared" si="16"/>
        <v/>
      </c>
      <c r="K393" s="241" t="str">
        <f t="shared" si="17"/>
        <v/>
      </c>
    </row>
    <row r="394" spans="1:11" ht="18" customHeight="1" x14ac:dyDescent="0.2">
      <c r="A394" s="246"/>
      <c r="B394" s="246"/>
      <c r="C394" s="247"/>
      <c r="D394" s="248"/>
      <c r="E394" s="247"/>
      <c r="F394" s="249"/>
      <c r="G394" s="249"/>
      <c r="H394" s="247"/>
      <c r="I394" s="244" t="str">
        <f t="shared" ca="1" si="15"/>
        <v>—</v>
      </c>
      <c r="J394" s="240" t="str">
        <f t="shared" si="16"/>
        <v/>
      </c>
      <c r="K394" s="245" t="str">
        <f t="shared" si="17"/>
        <v/>
      </c>
    </row>
    <row r="395" spans="1:11" ht="18" customHeight="1" x14ac:dyDescent="0.2">
      <c r="A395" s="250"/>
      <c r="B395" s="250"/>
      <c r="C395" s="251"/>
      <c r="D395" s="252"/>
      <c r="E395" s="251"/>
      <c r="F395" s="253"/>
      <c r="G395" s="253"/>
      <c r="H395" s="251"/>
      <c r="I395" s="239" t="str">
        <f t="shared" ref="I395:I458" ca="1" si="18">IF(OR(B395="",H395="Sold"),"—",TODAY()-B395)</f>
        <v>—</v>
      </c>
      <c r="J395" s="240" t="str">
        <f t="shared" ref="J395:J458" si="19">IF(OR(B395="",H395="Sold"),"",IF(I395="—","",IF(I395&gt;=60,"STALE — route now",IF(I395&gt;=30,"Aging — watch",IF(I395&gt;=0,"Fresh","")))))</f>
        <v/>
      </c>
      <c r="K395" s="241" t="str">
        <f t="shared" ref="K395:K458" si="20">IF(J395="STALE — route now","→ Send to consignment batch",IF(J395="Aging — watch","→ Consider 10% price drop",IF(J395="Fresh","→ Hold &amp; monitor","")))</f>
        <v/>
      </c>
    </row>
    <row r="396" spans="1:11" ht="18" customHeight="1" x14ac:dyDescent="0.2">
      <c r="A396" s="246"/>
      <c r="B396" s="246"/>
      <c r="C396" s="247"/>
      <c r="D396" s="248"/>
      <c r="E396" s="247"/>
      <c r="F396" s="249"/>
      <c r="G396" s="249"/>
      <c r="H396" s="247"/>
      <c r="I396" s="244" t="str">
        <f t="shared" ca="1" si="18"/>
        <v>—</v>
      </c>
      <c r="J396" s="240" t="str">
        <f t="shared" si="19"/>
        <v/>
      </c>
      <c r="K396" s="245" t="str">
        <f t="shared" si="20"/>
        <v/>
      </c>
    </row>
    <row r="397" spans="1:11" ht="18" customHeight="1" x14ac:dyDescent="0.2">
      <c r="A397" s="250"/>
      <c r="B397" s="250"/>
      <c r="C397" s="251"/>
      <c r="D397" s="252"/>
      <c r="E397" s="251"/>
      <c r="F397" s="253"/>
      <c r="G397" s="253"/>
      <c r="H397" s="251"/>
      <c r="I397" s="239" t="str">
        <f t="shared" ca="1" si="18"/>
        <v>—</v>
      </c>
      <c r="J397" s="240" t="str">
        <f t="shared" si="19"/>
        <v/>
      </c>
      <c r="K397" s="241" t="str">
        <f t="shared" si="20"/>
        <v/>
      </c>
    </row>
    <row r="398" spans="1:11" ht="18" customHeight="1" x14ac:dyDescent="0.2">
      <c r="A398" s="246"/>
      <c r="B398" s="246"/>
      <c r="C398" s="247"/>
      <c r="D398" s="248"/>
      <c r="E398" s="247"/>
      <c r="F398" s="249"/>
      <c r="G398" s="249"/>
      <c r="H398" s="247"/>
      <c r="I398" s="244" t="str">
        <f t="shared" ca="1" si="18"/>
        <v>—</v>
      </c>
      <c r="J398" s="240" t="str">
        <f t="shared" si="19"/>
        <v/>
      </c>
      <c r="K398" s="245" t="str">
        <f t="shared" si="20"/>
        <v/>
      </c>
    </row>
    <row r="399" spans="1:11" ht="18" customHeight="1" x14ac:dyDescent="0.2">
      <c r="A399" s="250"/>
      <c r="B399" s="250"/>
      <c r="C399" s="251"/>
      <c r="D399" s="252"/>
      <c r="E399" s="251"/>
      <c r="F399" s="253"/>
      <c r="G399" s="253"/>
      <c r="H399" s="251"/>
      <c r="I399" s="239" t="str">
        <f t="shared" ca="1" si="18"/>
        <v>—</v>
      </c>
      <c r="J399" s="240" t="str">
        <f t="shared" si="19"/>
        <v/>
      </c>
      <c r="K399" s="241" t="str">
        <f t="shared" si="20"/>
        <v/>
      </c>
    </row>
    <row r="400" spans="1:11" ht="18" customHeight="1" x14ac:dyDescent="0.2">
      <c r="A400" s="246"/>
      <c r="B400" s="246"/>
      <c r="C400" s="247"/>
      <c r="D400" s="248"/>
      <c r="E400" s="247"/>
      <c r="F400" s="249"/>
      <c r="G400" s="249"/>
      <c r="H400" s="247"/>
      <c r="I400" s="244" t="str">
        <f t="shared" ca="1" si="18"/>
        <v>—</v>
      </c>
      <c r="J400" s="240" t="str">
        <f t="shared" si="19"/>
        <v/>
      </c>
      <c r="K400" s="245" t="str">
        <f t="shared" si="20"/>
        <v/>
      </c>
    </row>
    <row r="401" spans="1:11" ht="18" customHeight="1" x14ac:dyDescent="0.2">
      <c r="A401" s="250"/>
      <c r="B401" s="250"/>
      <c r="C401" s="251"/>
      <c r="D401" s="252"/>
      <c r="E401" s="251"/>
      <c r="F401" s="253"/>
      <c r="G401" s="253"/>
      <c r="H401" s="251"/>
      <c r="I401" s="239" t="str">
        <f t="shared" ca="1" si="18"/>
        <v>—</v>
      </c>
      <c r="J401" s="240" t="str">
        <f t="shared" si="19"/>
        <v/>
      </c>
      <c r="K401" s="241" t="str">
        <f t="shared" si="20"/>
        <v/>
      </c>
    </row>
    <row r="402" spans="1:11" ht="18" customHeight="1" x14ac:dyDescent="0.2">
      <c r="A402" s="246"/>
      <c r="B402" s="246"/>
      <c r="C402" s="247"/>
      <c r="D402" s="248"/>
      <c r="E402" s="247"/>
      <c r="F402" s="249"/>
      <c r="G402" s="249"/>
      <c r="H402" s="247"/>
      <c r="I402" s="244" t="str">
        <f t="shared" ca="1" si="18"/>
        <v>—</v>
      </c>
      <c r="J402" s="240" t="str">
        <f t="shared" si="19"/>
        <v/>
      </c>
      <c r="K402" s="245" t="str">
        <f t="shared" si="20"/>
        <v/>
      </c>
    </row>
    <row r="403" spans="1:11" ht="18" customHeight="1" x14ac:dyDescent="0.2">
      <c r="A403" s="250"/>
      <c r="B403" s="250"/>
      <c r="C403" s="251"/>
      <c r="D403" s="252"/>
      <c r="E403" s="251"/>
      <c r="F403" s="253"/>
      <c r="G403" s="253"/>
      <c r="H403" s="251"/>
      <c r="I403" s="239" t="str">
        <f t="shared" ca="1" si="18"/>
        <v>—</v>
      </c>
      <c r="J403" s="240" t="str">
        <f t="shared" si="19"/>
        <v/>
      </c>
      <c r="K403" s="241" t="str">
        <f t="shared" si="20"/>
        <v/>
      </c>
    </row>
    <row r="404" spans="1:11" ht="18" customHeight="1" x14ac:dyDescent="0.2">
      <c r="A404" s="246"/>
      <c r="B404" s="246"/>
      <c r="C404" s="247"/>
      <c r="D404" s="248"/>
      <c r="E404" s="247"/>
      <c r="F404" s="249"/>
      <c r="G404" s="249"/>
      <c r="H404" s="247"/>
      <c r="I404" s="244" t="str">
        <f t="shared" ca="1" si="18"/>
        <v>—</v>
      </c>
      <c r="J404" s="240" t="str">
        <f t="shared" si="19"/>
        <v/>
      </c>
      <c r="K404" s="245" t="str">
        <f t="shared" si="20"/>
        <v/>
      </c>
    </row>
    <row r="405" spans="1:11" ht="18" customHeight="1" x14ac:dyDescent="0.2">
      <c r="A405" s="250"/>
      <c r="B405" s="250"/>
      <c r="C405" s="251"/>
      <c r="D405" s="252"/>
      <c r="E405" s="251"/>
      <c r="F405" s="253"/>
      <c r="G405" s="253"/>
      <c r="H405" s="251"/>
      <c r="I405" s="239" t="str">
        <f t="shared" ca="1" si="18"/>
        <v>—</v>
      </c>
      <c r="J405" s="240" t="str">
        <f t="shared" si="19"/>
        <v/>
      </c>
      <c r="K405" s="241" t="str">
        <f t="shared" si="20"/>
        <v/>
      </c>
    </row>
    <row r="406" spans="1:11" ht="18" customHeight="1" x14ac:dyDescent="0.2">
      <c r="A406" s="246"/>
      <c r="B406" s="246"/>
      <c r="C406" s="247"/>
      <c r="D406" s="248"/>
      <c r="E406" s="247"/>
      <c r="F406" s="249"/>
      <c r="G406" s="249"/>
      <c r="H406" s="247"/>
      <c r="I406" s="244" t="str">
        <f t="shared" ca="1" si="18"/>
        <v>—</v>
      </c>
      <c r="J406" s="240" t="str">
        <f t="shared" si="19"/>
        <v/>
      </c>
      <c r="K406" s="245" t="str">
        <f t="shared" si="20"/>
        <v/>
      </c>
    </row>
    <row r="407" spans="1:11" ht="18" customHeight="1" x14ac:dyDescent="0.2">
      <c r="A407" s="250"/>
      <c r="B407" s="250"/>
      <c r="C407" s="251"/>
      <c r="D407" s="252"/>
      <c r="E407" s="251"/>
      <c r="F407" s="253"/>
      <c r="G407" s="253"/>
      <c r="H407" s="251"/>
      <c r="I407" s="239" t="str">
        <f t="shared" ca="1" si="18"/>
        <v>—</v>
      </c>
      <c r="J407" s="240" t="str">
        <f t="shared" si="19"/>
        <v/>
      </c>
      <c r="K407" s="241" t="str">
        <f t="shared" si="20"/>
        <v/>
      </c>
    </row>
    <row r="408" spans="1:11" ht="18" customHeight="1" x14ac:dyDescent="0.2">
      <c r="A408" s="246"/>
      <c r="B408" s="246"/>
      <c r="C408" s="247"/>
      <c r="D408" s="248"/>
      <c r="E408" s="247"/>
      <c r="F408" s="249"/>
      <c r="G408" s="249"/>
      <c r="H408" s="247"/>
      <c r="I408" s="244" t="str">
        <f t="shared" ca="1" si="18"/>
        <v>—</v>
      </c>
      <c r="J408" s="240" t="str">
        <f t="shared" si="19"/>
        <v/>
      </c>
      <c r="K408" s="245" t="str">
        <f t="shared" si="20"/>
        <v/>
      </c>
    </row>
    <row r="409" spans="1:11" ht="18" customHeight="1" x14ac:dyDescent="0.2">
      <c r="A409" s="250"/>
      <c r="B409" s="250"/>
      <c r="C409" s="251"/>
      <c r="D409" s="252"/>
      <c r="E409" s="251"/>
      <c r="F409" s="253"/>
      <c r="G409" s="253"/>
      <c r="H409" s="251"/>
      <c r="I409" s="239" t="str">
        <f t="shared" ca="1" si="18"/>
        <v>—</v>
      </c>
      <c r="J409" s="240" t="str">
        <f t="shared" si="19"/>
        <v/>
      </c>
      <c r="K409" s="241" t="str">
        <f t="shared" si="20"/>
        <v/>
      </c>
    </row>
    <row r="410" spans="1:11" ht="18" customHeight="1" x14ac:dyDescent="0.2">
      <c r="A410" s="246"/>
      <c r="B410" s="246"/>
      <c r="C410" s="247"/>
      <c r="D410" s="248"/>
      <c r="E410" s="247"/>
      <c r="F410" s="249"/>
      <c r="G410" s="249"/>
      <c r="H410" s="247"/>
      <c r="I410" s="244" t="str">
        <f t="shared" ca="1" si="18"/>
        <v>—</v>
      </c>
      <c r="J410" s="240" t="str">
        <f t="shared" si="19"/>
        <v/>
      </c>
      <c r="K410" s="245" t="str">
        <f t="shared" si="20"/>
        <v/>
      </c>
    </row>
    <row r="411" spans="1:11" ht="18" customHeight="1" x14ac:dyDescent="0.2">
      <c r="A411" s="250"/>
      <c r="B411" s="250"/>
      <c r="C411" s="251"/>
      <c r="D411" s="252"/>
      <c r="E411" s="251"/>
      <c r="F411" s="253"/>
      <c r="G411" s="253"/>
      <c r="H411" s="251"/>
      <c r="I411" s="239" t="str">
        <f t="shared" ca="1" si="18"/>
        <v>—</v>
      </c>
      <c r="J411" s="240" t="str">
        <f t="shared" si="19"/>
        <v/>
      </c>
      <c r="K411" s="241" t="str">
        <f t="shared" si="20"/>
        <v/>
      </c>
    </row>
    <row r="412" spans="1:11" ht="18" customHeight="1" x14ac:dyDescent="0.2">
      <c r="A412" s="246"/>
      <c r="B412" s="246"/>
      <c r="C412" s="247"/>
      <c r="D412" s="248"/>
      <c r="E412" s="247"/>
      <c r="F412" s="249"/>
      <c r="G412" s="249"/>
      <c r="H412" s="247"/>
      <c r="I412" s="244" t="str">
        <f t="shared" ca="1" si="18"/>
        <v>—</v>
      </c>
      <c r="J412" s="240" t="str">
        <f t="shared" si="19"/>
        <v/>
      </c>
      <c r="K412" s="245" t="str">
        <f t="shared" si="20"/>
        <v/>
      </c>
    </row>
    <row r="413" spans="1:11" ht="18" customHeight="1" x14ac:dyDescent="0.2">
      <c r="A413" s="250"/>
      <c r="B413" s="250"/>
      <c r="C413" s="251"/>
      <c r="D413" s="252"/>
      <c r="E413" s="251"/>
      <c r="F413" s="253"/>
      <c r="G413" s="253"/>
      <c r="H413" s="251"/>
      <c r="I413" s="239" t="str">
        <f t="shared" ca="1" si="18"/>
        <v>—</v>
      </c>
      <c r="J413" s="240" t="str">
        <f t="shared" si="19"/>
        <v/>
      </c>
      <c r="K413" s="241" t="str">
        <f t="shared" si="20"/>
        <v/>
      </c>
    </row>
    <row r="414" spans="1:11" ht="18" customHeight="1" x14ac:dyDescent="0.2">
      <c r="A414" s="246"/>
      <c r="B414" s="246"/>
      <c r="C414" s="247"/>
      <c r="D414" s="248"/>
      <c r="E414" s="247"/>
      <c r="F414" s="249"/>
      <c r="G414" s="249"/>
      <c r="H414" s="247"/>
      <c r="I414" s="244" t="str">
        <f t="shared" ca="1" si="18"/>
        <v>—</v>
      </c>
      <c r="J414" s="240" t="str">
        <f t="shared" si="19"/>
        <v/>
      </c>
      <c r="K414" s="245" t="str">
        <f t="shared" si="20"/>
        <v/>
      </c>
    </row>
    <row r="415" spans="1:11" ht="18" customHeight="1" x14ac:dyDescent="0.2">
      <c r="A415" s="250"/>
      <c r="B415" s="250"/>
      <c r="C415" s="251"/>
      <c r="D415" s="252"/>
      <c r="E415" s="251"/>
      <c r="F415" s="253"/>
      <c r="G415" s="253"/>
      <c r="H415" s="251"/>
      <c r="I415" s="239" t="str">
        <f t="shared" ca="1" si="18"/>
        <v>—</v>
      </c>
      <c r="J415" s="240" t="str">
        <f t="shared" si="19"/>
        <v/>
      </c>
      <c r="K415" s="241" t="str">
        <f t="shared" si="20"/>
        <v/>
      </c>
    </row>
    <row r="416" spans="1:11" ht="18" customHeight="1" x14ac:dyDescent="0.2">
      <c r="A416" s="246"/>
      <c r="B416" s="246"/>
      <c r="C416" s="247"/>
      <c r="D416" s="248"/>
      <c r="E416" s="247"/>
      <c r="F416" s="249"/>
      <c r="G416" s="249"/>
      <c r="H416" s="247"/>
      <c r="I416" s="244" t="str">
        <f t="shared" ca="1" si="18"/>
        <v>—</v>
      </c>
      <c r="J416" s="240" t="str">
        <f t="shared" si="19"/>
        <v/>
      </c>
      <c r="K416" s="245" t="str">
        <f t="shared" si="20"/>
        <v/>
      </c>
    </row>
    <row r="417" spans="1:11" ht="18" customHeight="1" x14ac:dyDescent="0.2">
      <c r="A417" s="250"/>
      <c r="B417" s="250"/>
      <c r="C417" s="251"/>
      <c r="D417" s="252"/>
      <c r="E417" s="251"/>
      <c r="F417" s="253"/>
      <c r="G417" s="253"/>
      <c r="H417" s="251"/>
      <c r="I417" s="239" t="str">
        <f t="shared" ca="1" si="18"/>
        <v>—</v>
      </c>
      <c r="J417" s="240" t="str">
        <f t="shared" si="19"/>
        <v/>
      </c>
      <c r="K417" s="241" t="str">
        <f t="shared" si="20"/>
        <v/>
      </c>
    </row>
    <row r="418" spans="1:11" ht="18" customHeight="1" x14ac:dyDescent="0.2">
      <c r="A418" s="246"/>
      <c r="B418" s="246"/>
      <c r="C418" s="247"/>
      <c r="D418" s="248"/>
      <c r="E418" s="247"/>
      <c r="F418" s="249"/>
      <c r="G418" s="249"/>
      <c r="H418" s="247"/>
      <c r="I418" s="244" t="str">
        <f t="shared" ca="1" si="18"/>
        <v>—</v>
      </c>
      <c r="J418" s="240" t="str">
        <f t="shared" si="19"/>
        <v/>
      </c>
      <c r="K418" s="245" t="str">
        <f t="shared" si="20"/>
        <v/>
      </c>
    </row>
    <row r="419" spans="1:11" ht="18" customHeight="1" x14ac:dyDescent="0.2">
      <c r="A419" s="250"/>
      <c r="B419" s="250"/>
      <c r="C419" s="251"/>
      <c r="D419" s="252"/>
      <c r="E419" s="251"/>
      <c r="F419" s="253"/>
      <c r="G419" s="253"/>
      <c r="H419" s="251"/>
      <c r="I419" s="239" t="str">
        <f t="shared" ca="1" si="18"/>
        <v>—</v>
      </c>
      <c r="J419" s="240" t="str">
        <f t="shared" si="19"/>
        <v/>
      </c>
      <c r="K419" s="241" t="str">
        <f t="shared" si="20"/>
        <v/>
      </c>
    </row>
    <row r="420" spans="1:11" ht="18" customHeight="1" x14ac:dyDescent="0.2">
      <c r="A420" s="246"/>
      <c r="B420" s="246"/>
      <c r="C420" s="247"/>
      <c r="D420" s="248"/>
      <c r="E420" s="247"/>
      <c r="F420" s="249"/>
      <c r="G420" s="249"/>
      <c r="H420" s="247"/>
      <c r="I420" s="244" t="str">
        <f t="shared" ca="1" si="18"/>
        <v>—</v>
      </c>
      <c r="J420" s="240" t="str">
        <f t="shared" si="19"/>
        <v/>
      </c>
      <c r="K420" s="245" t="str">
        <f t="shared" si="20"/>
        <v/>
      </c>
    </row>
    <row r="421" spans="1:11" ht="18" customHeight="1" x14ac:dyDescent="0.2">
      <c r="A421" s="250"/>
      <c r="B421" s="250"/>
      <c r="C421" s="251"/>
      <c r="D421" s="252"/>
      <c r="E421" s="251"/>
      <c r="F421" s="253"/>
      <c r="G421" s="253"/>
      <c r="H421" s="251"/>
      <c r="I421" s="239" t="str">
        <f t="shared" ca="1" si="18"/>
        <v>—</v>
      </c>
      <c r="J421" s="240" t="str">
        <f t="shared" si="19"/>
        <v/>
      </c>
      <c r="K421" s="241" t="str">
        <f t="shared" si="20"/>
        <v/>
      </c>
    </row>
    <row r="422" spans="1:11" ht="18" customHeight="1" x14ac:dyDescent="0.2">
      <c r="A422" s="246"/>
      <c r="B422" s="246"/>
      <c r="C422" s="247"/>
      <c r="D422" s="248"/>
      <c r="E422" s="247"/>
      <c r="F422" s="249"/>
      <c r="G422" s="249"/>
      <c r="H422" s="247"/>
      <c r="I422" s="244" t="str">
        <f t="shared" ca="1" si="18"/>
        <v>—</v>
      </c>
      <c r="J422" s="240" t="str">
        <f t="shared" si="19"/>
        <v/>
      </c>
      <c r="K422" s="245" t="str">
        <f t="shared" si="20"/>
        <v/>
      </c>
    </row>
    <row r="423" spans="1:11" ht="18" customHeight="1" x14ac:dyDescent="0.2">
      <c r="A423" s="250"/>
      <c r="B423" s="250"/>
      <c r="C423" s="251"/>
      <c r="D423" s="252"/>
      <c r="E423" s="251"/>
      <c r="F423" s="253"/>
      <c r="G423" s="253"/>
      <c r="H423" s="251"/>
      <c r="I423" s="239" t="str">
        <f t="shared" ca="1" si="18"/>
        <v>—</v>
      </c>
      <c r="J423" s="240" t="str">
        <f t="shared" si="19"/>
        <v/>
      </c>
      <c r="K423" s="241" t="str">
        <f t="shared" si="20"/>
        <v/>
      </c>
    </row>
    <row r="424" spans="1:11" ht="18" customHeight="1" x14ac:dyDescent="0.2">
      <c r="A424" s="246"/>
      <c r="B424" s="246"/>
      <c r="C424" s="247"/>
      <c r="D424" s="248"/>
      <c r="E424" s="247"/>
      <c r="F424" s="249"/>
      <c r="G424" s="249"/>
      <c r="H424" s="247"/>
      <c r="I424" s="244" t="str">
        <f t="shared" ca="1" si="18"/>
        <v>—</v>
      </c>
      <c r="J424" s="240" t="str">
        <f t="shared" si="19"/>
        <v/>
      </c>
      <c r="K424" s="245" t="str">
        <f t="shared" si="20"/>
        <v/>
      </c>
    </row>
    <row r="425" spans="1:11" ht="18" customHeight="1" x14ac:dyDescent="0.2">
      <c r="A425" s="250"/>
      <c r="B425" s="250"/>
      <c r="C425" s="251"/>
      <c r="D425" s="252"/>
      <c r="E425" s="251"/>
      <c r="F425" s="253"/>
      <c r="G425" s="253"/>
      <c r="H425" s="251"/>
      <c r="I425" s="239" t="str">
        <f t="shared" ca="1" si="18"/>
        <v>—</v>
      </c>
      <c r="J425" s="240" t="str">
        <f t="shared" si="19"/>
        <v/>
      </c>
      <c r="K425" s="241" t="str">
        <f t="shared" si="20"/>
        <v/>
      </c>
    </row>
    <row r="426" spans="1:11" ht="18" customHeight="1" x14ac:dyDescent="0.2">
      <c r="A426" s="246"/>
      <c r="B426" s="246"/>
      <c r="C426" s="247"/>
      <c r="D426" s="248"/>
      <c r="E426" s="247"/>
      <c r="F426" s="249"/>
      <c r="G426" s="249"/>
      <c r="H426" s="247"/>
      <c r="I426" s="244" t="str">
        <f t="shared" ca="1" si="18"/>
        <v>—</v>
      </c>
      <c r="J426" s="240" t="str">
        <f t="shared" si="19"/>
        <v/>
      </c>
      <c r="K426" s="245" t="str">
        <f t="shared" si="20"/>
        <v/>
      </c>
    </row>
    <row r="427" spans="1:11" ht="18" customHeight="1" x14ac:dyDescent="0.2">
      <c r="A427" s="250"/>
      <c r="B427" s="250"/>
      <c r="C427" s="251"/>
      <c r="D427" s="252"/>
      <c r="E427" s="251"/>
      <c r="F427" s="253"/>
      <c r="G427" s="253"/>
      <c r="H427" s="251"/>
      <c r="I427" s="239" t="str">
        <f t="shared" ca="1" si="18"/>
        <v>—</v>
      </c>
      <c r="J427" s="240" t="str">
        <f t="shared" si="19"/>
        <v/>
      </c>
      <c r="K427" s="241" t="str">
        <f t="shared" si="20"/>
        <v/>
      </c>
    </row>
    <row r="428" spans="1:11" ht="18" customHeight="1" x14ac:dyDescent="0.2">
      <c r="A428" s="246"/>
      <c r="B428" s="246"/>
      <c r="C428" s="247"/>
      <c r="D428" s="248"/>
      <c r="E428" s="247"/>
      <c r="F428" s="249"/>
      <c r="G428" s="249"/>
      <c r="H428" s="247"/>
      <c r="I428" s="244" t="str">
        <f t="shared" ca="1" si="18"/>
        <v>—</v>
      </c>
      <c r="J428" s="240" t="str">
        <f t="shared" si="19"/>
        <v/>
      </c>
      <c r="K428" s="245" t="str">
        <f t="shared" si="20"/>
        <v/>
      </c>
    </row>
    <row r="429" spans="1:11" ht="18" customHeight="1" x14ac:dyDescent="0.2">
      <c r="A429" s="250"/>
      <c r="B429" s="250"/>
      <c r="C429" s="251"/>
      <c r="D429" s="252"/>
      <c r="E429" s="251"/>
      <c r="F429" s="253"/>
      <c r="G429" s="253"/>
      <c r="H429" s="251"/>
      <c r="I429" s="239" t="str">
        <f t="shared" ca="1" si="18"/>
        <v>—</v>
      </c>
      <c r="J429" s="240" t="str">
        <f t="shared" si="19"/>
        <v/>
      </c>
      <c r="K429" s="241" t="str">
        <f t="shared" si="20"/>
        <v/>
      </c>
    </row>
    <row r="430" spans="1:11" ht="18" customHeight="1" x14ac:dyDescent="0.2">
      <c r="A430" s="246"/>
      <c r="B430" s="246"/>
      <c r="C430" s="247"/>
      <c r="D430" s="248"/>
      <c r="E430" s="247"/>
      <c r="F430" s="249"/>
      <c r="G430" s="249"/>
      <c r="H430" s="247"/>
      <c r="I430" s="244" t="str">
        <f t="shared" ca="1" si="18"/>
        <v>—</v>
      </c>
      <c r="J430" s="240" t="str">
        <f t="shared" si="19"/>
        <v/>
      </c>
      <c r="K430" s="245" t="str">
        <f t="shared" si="20"/>
        <v/>
      </c>
    </row>
    <row r="431" spans="1:11" ht="18" customHeight="1" x14ac:dyDescent="0.2">
      <c r="A431" s="250"/>
      <c r="B431" s="250"/>
      <c r="C431" s="251"/>
      <c r="D431" s="252"/>
      <c r="E431" s="251"/>
      <c r="F431" s="253"/>
      <c r="G431" s="253"/>
      <c r="H431" s="251"/>
      <c r="I431" s="239" t="str">
        <f t="shared" ca="1" si="18"/>
        <v>—</v>
      </c>
      <c r="J431" s="240" t="str">
        <f t="shared" si="19"/>
        <v/>
      </c>
      <c r="K431" s="241" t="str">
        <f t="shared" si="20"/>
        <v/>
      </c>
    </row>
    <row r="432" spans="1:11" ht="18" customHeight="1" x14ac:dyDescent="0.2">
      <c r="A432" s="246"/>
      <c r="B432" s="246"/>
      <c r="C432" s="247"/>
      <c r="D432" s="248"/>
      <c r="E432" s="247"/>
      <c r="F432" s="249"/>
      <c r="G432" s="249"/>
      <c r="H432" s="247"/>
      <c r="I432" s="244" t="str">
        <f t="shared" ca="1" si="18"/>
        <v>—</v>
      </c>
      <c r="J432" s="240" t="str">
        <f t="shared" si="19"/>
        <v/>
      </c>
      <c r="K432" s="245" t="str">
        <f t="shared" si="20"/>
        <v/>
      </c>
    </row>
    <row r="433" spans="1:11" ht="18" customHeight="1" x14ac:dyDescent="0.2">
      <c r="A433" s="250"/>
      <c r="B433" s="250"/>
      <c r="C433" s="251"/>
      <c r="D433" s="252"/>
      <c r="E433" s="251"/>
      <c r="F433" s="253"/>
      <c r="G433" s="253"/>
      <c r="H433" s="251"/>
      <c r="I433" s="239" t="str">
        <f t="shared" ca="1" si="18"/>
        <v>—</v>
      </c>
      <c r="J433" s="240" t="str">
        <f t="shared" si="19"/>
        <v/>
      </c>
      <c r="K433" s="241" t="str">
        <f t="shared" si="20"/>
        <v/>
      </c>
    </row>
    <row r="434" spans="1:11" ht="18" customHeight="1" x14ac:dyDescent="0.2">
      <c r="A434" s="246"/>
      <c r="B434" s="246"/>
      <c r="C434" s="247"/>
      <c r="D434" s="248"/>
      <c r="E434" s="247"/>
      <c r="F434" s="249"/>
      <c r="G434" s="249"/>
      <c r="H434" s="247"/>
      <c r="I434" s="244" t="str">
        <f t="shared" ca="1" si="18"/>
        <v>—</v>
      </c>
      <c r="J434" s="240" t="str">
        <f t="shared" si="19"/>
        <v/>
      </c>
      <c r="K434" s="245" t="str">
        <f t="shared" si="20"/>
        <v/>
      </c>
    </row>
    <row r="435" spans="1:11" ht="18" customHeight="1" x14ac:dyDescent="0.2">
      <c r="A435" s="250"/>
      <c r="B435" s="250"/>
      <c r="C435" s="251"/>
      <c r="D435" s="252"/>
      <c r="E435" s="251"/>
      <c r="F435" s="253"/>
      <c r="G435" s="253"/>
      <c r="H435" s="251"/>
      <c r="I435" s="239" t="str">
        <f t="shared" ca="1" si="18"/>
        <v>—</v>
      </c>
      <c r="J435" s="240" t="str">
        <f t="shared" si="19"/>
        <v/>
      </c>
      <c r="K435" s="241" t="str">
        <f t="shared" si="20"/>
        <v/>
      </c>
    </row>
    <row r="436" spans="1:11" ht="18" customHeight="1" x14ac:dyDescent="0.2">
      <c r="A436" s="246"/>
      <c r="B436" s="246"/>
      <c r="C436" s="247"/>
      <c r="D436" s="248"/>
      <c r="E436" s="247"/>
      <c r="F436" s="249"/>
      <c r="G436" s="249"/>
      <c r="H436" s="247"/>
      <c r="I436" s="244" t="str">
        <f t="shared" ca="1" si="18"/>
        <v>—</v>
      </c>
      <c r="J436" s="240" t="str">
        <f t="shared" si="19"/>
        <v/>
      </c>
      <c r="K436" s="245" t="str">
        <f t="shared" si="20"/>
        <v/>
      </c>
    </row>
    <row r="437" spans="1:11" ht="18" customHeight="1" x14ac:dyDescent="0.2">
      <c r="A437" s="250"/>
      <c r="B437" s="250"/>
      <c r="C437" s="251"/>
      <c r="D437" s="252"/>
      <c r="E437" s="251"/>
      <c r="F437" s="253"/>
      <c r="G437" s="253"/>
      <c r="H437" s="251"/>
      <c r="I437" s="239" t="str">
        <f t="shared" ca="1" si="18"/>
        <v>—</v>
      </c>
      <c r="J437" s="240" t="str">
        <f t="shared" si="19"/>
        <v/>
      </c>
      <c r="K437" s="241" t="str">
        <f t="shared" si="20"/>
        <v/>
      </c>
    </row>
    <row r="438" spans="1:11" ht="18" customHeight="1" x14ac:dyDescent="0.2">
      <c r="A438" s="246"/>
      <c r="B438" s="246"/>
      <c r="C438" s="247"/>
      <c r="D438" s="248"/>
      <c r="E438" s="247"/>
      <c r="F438" s="249"/>
      <c r="G438" s="249"/>
      <c r="H438" s="247"/>
      <c r="I438" s="244" t="str">
        <f t="shared" ca="1" si="18"/>
        <v>—</v>
      </c>
      <c r="J438" s="240" t="str">
        <f t="shared" si="19"/>
        <v/>
      </c>
      <c r="K438" s="245" t="str">
        <f t="shared" si="20"/>
        <v/>
      </c>
    </row>
    <row r="439" spans="1:11" ht="18" customHeight="1" x14ac:dyDescent="0.2">
      <c r="A439" s="250"/>
      <c r="B439" s="250"/>
      <c r="C439" s="251"/>
      <c r="D439" s="252"/>
      <c r="E439" s="251"/>
      <c r="F439" s="253"/>
      <c r="G439" s="253"/>
      <c r="H439" s="251"/>
      <c r="I439" s="239" t="str">
        <f t="shared" ca="1" si="18"/>
        <v>—</v>
      </c>
      <c r="J439" s="240" t="str">
        <f t="shared" si="19"/>
        <v/>
      </c>
      <c r="K439" s="241" t="str">
        <f t="shared" si="20"/>
        <v/>
      </c>
    </row>
    <row r="440" spans="1:11" ht="18" customHeight="1" x14ac:dyDescent="0.2">
      <c r="A440" s="246"/>
      <c r="B440" s="246"/>
      <c r="C440" s="247"/>
      <c r="D440" s="248"/>
      <c r="E440" s="247"/>
      <c r="F440" s="249"/>
      <c r="G440" s="249"/>
      <c r="H440" s="247"/>
      <c r="I440" s="244" t="str">
        <f t="shared" ca="1" si="18"/>
        <v>—</v>
      </c>
      <c r="J440" s="240" t="str">
        <f t="shared" si="19"/>
        <v/>
      </c>
      <c r="K440" s="245" t="str">
        <f t="shared" si="20"/>
        <v/>
      </c>
    </row>
    <row r="441" spans="1:11" ht="18" customHeight="1" x14ac:dyDescent="0.2">
      <c r="A441" s="250"/>
      <c r="B441" s="250"/>
      <c r="C441" s="251"/>
      <c r="D441" s="252"/>
      <c r="E441" s="251"/>
      <c r="F441" s="253"/>
      <c r="G441" s="253"/>
      <c r="H441" s="251"/>
      <c r="I441" s="239" t="str">
        <f t="shared" ca="1" si="18"/>
        <v>—</v>
      </c>
      <c r="J441" s="240" t="str">
        <f t="shared" si="19"/>
        <v/>
      </c>
      <c r="K441" s="241" t="str">
        <f t="shared" si="20"/>
        <v/>
      </c>
    </row>
    <row r="442" spans="1:11" ht="18" customHeight="1" x14ac:dyDescent="0.2">
      <c r="A442" s="246"/>
      <c r="B442" s="246"/>
      <c r="C442" s="247"/>
      <c r="D442" s="248"/>
      <c r="E442" s="247"/>
      <c r="F442" s="249"/>
      <c r="G442" s="249"/>
      <c r="H442" s="247"/>
      <c r="I442" s="244" t="str">
        <f t="shared" ca="1" si="18"/>
        <v>—</v>
      </c>
      <c r="J442" s="240" t="str">
        <f t="shared" si="19"/>
        <v/>
      </c>
      <c r="K442" s="245" t="str">
        <f t="shared" si="20"/>
        <v/>
      </c>
    </row>
    <row r="443" spans="1:11" ht="18" customHeight="1" x14ac:dyDescent="0.2">
      <c r="A443" s="250"/>
      <c r="B443" s="250"/>
      <c r="C443" s="251"/>
      <c r="D443" s="252"/>
      <c r="E443" s="251"/>
      <c r="F443" s="253"/>
      <c r="G443" s="253"/>
      <c r="H443" s="251"/>
      <c r="I443" s="239" t="str">
        <f t="shared" ca="1" si="18"/>
        <v>—</v>
      </c>
      <c r="J443" s="240" t="str">
        <f t="shared" si="19"/>
        <v/>
      </c>
      <c r="K443" s="241" t="str">
        <f t="shared" si="20"/>
        <v/>
      </c>
    </row>
    <row r="444" spans="1:11" ht="18" customHeight="1" x14ac:dyDescent="0.2">
      <c r="A444" s="246"/>
      <c r="B444" s="246"/>
      <c r="C444" s="247"/>
      <c r="D444" s="248"/>
      <c r="E444" s="247"/>
      <c r="F444" s="249"/>
      <c r="G444" s="249"/>
      <c r="H444" s="247"/>
      <c r="I444" s="244" t="str">
        <f t="shared" ca="1" si="18"/>
        <v>—</v>
      </c>
      <c r="J444" s="240" t="str">
        <f t="shared" si="19"/>
        <v/>
      </c>
      <c r="K444" s="245" t="str">
        <f t="shared" si="20"/>
        <v/>
      </c>
    </row>
    <row r="445" spans="1:11" ht="18" customHeight="1" x14ac:dyDescent="0.2">
      <c r="A445" s="250"/>
      <c r="B445" s="250"/>
      <c r="C445" s="251"/>
      <c r="D445" s="252"/>
      <c r="E445" s="251"/>
      <c r="F445" s="253"/>
      <c r="G445" s="253"/>
      <c r="H445" s="251"/>
      <c r="I445" s="239" t="str">
        <f t="shared" ca="1" si="18"/>
        <v>—</v>
      </c>
      <c r="J445" s="240" t="str">
        <f t="shared" si="19"/>
        <v/>
      </c>
      <c r="K445" s="241" t="str">
        <f t="shared" si="20"/>
        <v/>
      </c>
    </row>
    <row r="446" spans="1:11" ht="18" customHeight="1" x14ac:dyDescent="0.2">
      <c r="A446" s="246"/>
      <c r="B446" s="246"/>
      <c r="C446" s="247"/>
      <c r="D446" s="248"/>
      <c r="E446" s="247"/>
      <c r="F446" s="249"/>
      <c r="G446" s="249"/>
      <c r="H446" s="247"/>
      <c r="I446" s="244" t="str">
        <f t="shared" ca="1" si="18"/>
        <v>—</v>
      </c>
      <c r="J446" s="240" t="str">
        <f t="shared" si="19"/>
        <v/>
      </c>
      <c r="K446" s="245" t="str">
        <f t="shared" si="20"/>
        <v/>
      </c>
    </row>
    <row r="447" spans="1:11" ht="18" customHeight="1" x14ac:dyDescent="0.2">
      <c r="A447" s="250"/>
      <c r="B447" s="250"/>
      <c r="C447" s="251"/>
      <c r="D447" s="252"/>
      <c r="E447" s="251"/>
      <c r="F447" s="253"/>
      <c r="G447" s="253"/>
      <c r="H447" s="251"/>
      <c r="I447" s="239" t="str">
        <f t="shared" ca="1" si="18"/>
        <v>—</v>
      </c>
      <c r="J447" s="240" t="str">
        <f t="shared" si="19"/>
        <v/>
      </c>
      <c r="K447" s="241" t="str">
        <f t="shared" si="20"/>
        <v/>
      </c>
    </row>
    <row r="448" spans="1:11" ht="18" customHeight="1" x14ac:dyDescent="0.2">
      <c r="A448" s="246"/>
      <c r="B448" s="246"/>
      <c r="C448" s="247"/>
      <c r="D448" s="248"/>
      <c r="E448" s="247"/>
      <c r="F448" s="249"/>
      <c r="G448" s="249"/>
      <c r="H448" s="247"/>
      <c r="I448" s="244" t="str">
        <f t="shared" ca="1" si="18"/>
        <v>—</v>
      </c>
      <c r="J448" s="240" t="str">
        <f t="shared" si="19"/>
        <v/>
      </c>
      <c r="K448" s="245" t="str">
        <f t="shared" si="20"/>
        <v/>
      </c>
    </row>
    <row r="449" spans="1:11" ht="18" customHeight="1" x14ac:dyDescent="0.2">
      <c r="A449" s="250"/>
      <c r="B449" s="250"/>
      <c r="C449" s="251"/>
      <c r="D449" s="252"/>
      <c r="E449" s="251"/>
      <c r="F449" s="253"/>
      <c r="G449" s="253"/>
      <c r="H449" s="251"/>
      <c r="I449" s="239" t="str">
        <f t="shared" ca="1" si="18"/>
        <v>—</v>
      </c>
      <c r="J449" s="240" t="str">
        <f t="shared" si="19"/>
        <v/>
      </c>
      <c r="K449" s="241" t="str">
        <f t="shared" si="20"/>
        <v/>
      </c>
    </row>
    <row r="450" spans="1:11" ht="18" customHeight="1" x14ac:dyDescent="0.2">
      <c r="A450" s="246"/>
      <c r="B450" s="246"/>
      <c r="C450" s="247"/>
      <c r="D450" s="248"/>
      <c r="E450" s="247"/>
      <c r="F450" s="249"/>
      <c r="G450" s="249"/>
      <c r="H450" s="247"/>
      <c r="I450" s="244" t="str">
        <f t="shared" ca="1" si="18"/>
        <v>—</v>
      </c>
      <c r="J450" s="240" t="str">
        <f t="shared" si="19"/>
        <v/>
      </c>
      <c r="K450" s="245" t="str">
        <f t="shared" si="20"/>
        <v/>
      </c>
    </row>
    <row r="451" spans="1:11" ht="18" customHeight="1" x14ac:dyDescent="0.2">
      <c r="A451" s="250"/>
      <c r="B451" s="250"/>
      <c r="C451" s="251"/>
      <c r="D451" s="252"/>
      <c r="E451" s="251"/>
      <c r="F451" s="253"/>
      <c r="G451" s="253"/>
      <c r="H451" s="251"/>
      <c r="I451" s="239" t="str">
        <f t="shared" ca="1" si="18"/>
        <v>—</v>
      </c>
      <c r="J451" s="240" t="str">
        <f t="shared" si="19"/>
        <v/>
      </c>
      <c r="K451" s="241" t="str">
        <f t="shared" si="20"/>
        <v/>
      </c>
    </row>
    <row r="452" spans="1:11" ht="18" customHeight="1" x14ac:dyDescent="0.2">
      <c r="A452" s="246"/>
      <c r="B452" s="246"/>
      <c r="C452" s="247"/>
      <c r="D452" s="248"/>
      <c r="E452" s="247"/>
      <c r="F452" s="249"/>
      <c r="G452" s="249"/>
      <c r="H452" s="247"/>
      <c r="I452" s="244" t="str">
        <f t="shared" ca="1" si="18"/>
        <v>—</v>
      </c>
      <c r="J452" s="240" t="str">
        <f t="shared" si="19"/>
        <v/>
      </c>
      <c r="K452" s="245" t="str">
        <f t="shared" si="20"/>
        <v/>
      </c>
    </row>
    <row r="453" spans="1:11" ht="18" customHeight="1" x14ac:dyDescent="0.2">
      <c r="A453" s="250"/>
      <c r="B453" s="250"/>
      <c r="C453" s="251"/>
      <c r="D453" s="252"/>
      <c r="E453" s="251"/>
      <c r="F453" s="253"/>
      <c r="G453" s="253"/>
      <c r="H453" s="251"/>
      <c r="I453" s="239" t="str">
        <f t="shared" ca="1" si="18"/>
        <v>—</v>
      </c>
      <c r="J453" s="240" t="str">
        <f t="shared" si="19"/>
        <v/>
      </c>
      <c r="K453" s="241" t="str">
        <f t="shared" si="20"/>
        <v/>
      </c>
    </row>
    <row r="454" spans="1:11" ht="18" customHeight="1" x14ac:dyDescent="0.2">
      <c r="A454" s="246"/>
      <c r="B454" s="246"/>
      <c r="C454" s="247"/>
      <c r="D454" s="248"/>
      <c r="E454" s="247"/>
      <c r="F454" s="249"/>
      <c r="G454" s="249"/>
      <c r="H454" s="247"/>
      <c r="I454" s="244" t="str">
        <f t="shared" ca="1" si="18"/>
        <v>—</v>
      </c>
      <c r="J454" s="240" t="str">
        <f t="shared" si="19"/>
        <v/>
      </c>
      <c r="K454" s="245" t="str">
        <f t="shared" si="20"/>
        <v/>
      </c>
    </row>
    <row r="455" spans="1:11" ht="18" customHeight="1" x14ac:dyDescent="0.2">
      <c r="A455" s="250"/>
      <c r="B455" s="250"/>
      <c r="C455" s="251"/>
      <c r="D455" s="252"/>
      <c r="E455" s="251"/>
      <c r="F455" s="253"/>
      <c r="G455" s="253"/>
      <c r="H455" s="251"/>
      <c r="I455" s="239" t="str">
        <f t="shared" ca="1" si="18"/>
        <v>—</v>
      </c>
      <c r="J455" s="240" t="str">
        <f t="shared" si="19"/>
        <v/>
      </c>
      <c r="K455" s="241" t="str">
        <f t="shared" si="20"/>
        <v/>
      </c>
    </row>
    <row r="456" spans="1:11" ht="18" customHeight="1" x14ac:dyDescent="0.2">
      <c r="A456" s="246"/>
      <c r="B456" s="246"/>
      <c r="C456" s="247"/>
      <c r="D456" s="248"/>
      <c r="E456" s="247"/>
      <c r="F456" s="249"/>
      <c r="G456" s="249"/>
      <c r="H456" s="247"/>
      <c r="I456" s="244" t="str">
        <f t="shared" ca="1" si="18"/>
        <v>—</v>
      </c>
      <c r="J456" s="240" t="str">
        <f t="shared" si="19"/>
        <v/>
      </c>
      <c r="K456" s="245" t="str">
        <f t="shared" si="20"/>
        <v/>
      </c>
    </row>
    <row r="457" spans="1:11" ht="18" customHeight="1" x14ac:dyDescent="0.2">
      <c r="A457" s="250"/>
      <c r="B457" s="250"/>
      <c r="C457" s="251"/>
      <c r="D457" s="252"/>
      <c r="E457" s="251"/>
      <c r="F457" s="253"/>
      <c r="G457" s="253"/>
      <c r="H457" s="251"/>
      <c r="I457" s="239" t="str">
        <f t="shared" ca="1" si="18"/>
        <v>—</v>
      </c>
      <c r="J457" s="240" t="str">
        <f t="shared" si="19"/>
        <v/>
      </c>
      <c r="K457" s="241" t="str">
        <f t="shared" si="20"/>
        <v/>
      </c>
    </row>
    <row r="458" spans="1:11" ht="18" customHeight="1" x14ac:dyDescent="0.2">
      <c r="A458" s="246"/>
      <c r="B458" s="246"/>
      <c r="C458" s="247"/>
      <c r="D458" s="248"/>
      <c r="E458" s="247"/>
      <c r="F458" s="249"/>
      <c r="G458" s="249"/>
      <c r="H458" s="247"/>
      <c r="I458" s="244" t="str">
        <f t="shared" ca="1" si="18"/>
        <v>—</v>
      </c>
      <c r="J458" s="240" t="str">
        <f t="shared" si="19"/>
        <v/>
      </c>
      <c r="K458" s="245" t="str">
        <f t="shared" si="20"/>
        <v/>
      </c>
    </row>
    <row r="459" spans="1:11" ht="18" customHeight="1" x14ac:dyDescent="0.2">
      <c r="A459" s="250"/>
      <c r="B459" s="250"/>
      <c r="C459" s="251"/>
      <c r="D459" s="252"/>
      <c r="E459" s="251"/>
      <c r="F459" s="253"/>
      <c r="G459" s="253"/>
      <c r="H459" s="251"/>
      <c r="I459" s="239" t="str">
        <f t="shared" ref="I459:I522" ca="1" si="21">IF(OR(B459="",H459="Sold"),"—",TODAY()-B459)</f>
        <v>—</v>
      </c>
      <c r="J459" s="240" t="str">
        <f t="shared" ref="J459:J522" si="22">IF(OR(B459="",H459="Sold"),"",IF(I459="—","",IF(I459&gt;=60,"STALE — route now",IF(I459&gt;=30,"Aging — watch",IF(I459&gt;=0,"Fresh","")))))</f>
        <v/>
      </c>
      <c r="K459" s="241" t="str">
        <f t="shared" ref="K459:K522" si="23">IF(J459="STALE — route now","→ Send to consignment batch",IF(J459="Aging — watch","→ Consider 10% price drop",IF(J459="Fresh","→ Hold &amp; monitor","")))</f>
        <v/>
      </c>
    </row>
    <row r="460" spans="1:11" ht="18" customHeight="1" x14ac:dyDescent="0.2">
      <c r="A460" s="246"/>
      <c r="B460" s="246"/>
      <c r="C460" s="247"/>
      <c r="D460" s="248"/>
      <c r="E460" s="247"/>
      <c r="F460" s="249"/>
      <c r="G460" s="249"/>
      <c r="H460" s="247"/>
      <c r="I460" s="244" t="str">
        <f t="shared" ca="1" si="21"/>
        <v>—</v>
      </c>
      <c r="J460" s="240" t="str">
        <f t="shared" si="22"/>
        <v/>
      </c>
      <c r="K460" s="245" t="str">
        <f t="shared" si="23"/>
        <v/>
      </c>
    </row>
    <row r="461" spans="1:11" ht="18" customHeight="1" x14ac:dyDescent="0.2">
      <c r="A461" s="250"/>
      <c r="B461" s="250"/>
      <c r="C461" s="251"/>
      <c r="D461" s="252"/>
      <c r="E461" s="251"/>
      <c r="F461" s="253"/>
      <c r="G461" s="253"/>
      <c r="H461" s="251"/>
      <c r="I461" s="239" t="str">
        <f t="shared" ca="1" si="21"/>
        <v>—</v>
      </c>
      <c r="J461" s="240" t="str">
        <f t="shared" si="22"/>
        <v/>
      </c>
      <c r="K461" s="241" t="str">
        <f t="shared" si="23"/>
        <v/>
      </c>
    </row>
    <row r="462" spans="1:11" ht="18" customHeight="1" x14ac:dyDescent="0.2">
      <c r="A462" s="246"/>
      <c r="B462" s="246"/>
      <c r="C462" s="247"/>
      <c r="D462" s="248"/>
      <c r="E462" s="247"/>
      <c r="F462" s="249"/>
      <c r="G462" s="249"/>
      <c r="H462" s="247"/>
      <c r="I462" s="244" t="str">
        <f t="shared" ca="1" si="21"/>
        <v>—</v>
      </c>
      <c r="J462" s="240" t="str">
        <f t="shared" si="22"/>
        <v/>
      </c>
      <c r="K462" s="245" t="str">
        <f t="shared" si="23"/>
        <v/>
      </c>
    </row>
    <row r="463" spans="1:11" ht="18" customHeight="1" x14ac:dyDescent="0.2">
      <c r="A463" s="250"/>
      <c r="B463" s="250"/>
      <c r="C463" s="251"/>
      <c r="D463" s="252"/>
      <c r="E463" s="251"/>
      <c r="F463" s="253"/>
      <c r="G463" s="253"/>
      <c r="H463" s="251"/>
      <c r="I463" s="239" t="str">
        <f t="shared" ca="1" si="21"/>
        <v>—</v>
      </c>
      <c r="J463" s="240" t="str">
        <f t="shared" si="22"/>
        <v/>
      </c>
      <c r="K463" s="241" t="str">
        <f t="shared" si="23"/>
        <v/>
      </c>
    </row>
    <row r="464" spans="1:11" ht="18" customHeight="1" x14ac:dyDescent="0.2">
      <c r="A464" s="246"/>
      <c r="B464" s="246"/>
      <c r="C464" s="247"/>
      <c r="D464" s="248"/>
      <c r="E464" s="247"/>
      <c r="F464" s="249"/>
      <c r="G464" s="249"/>
      <c r="H464" s="247"/>
      <c r="I464" s="244" t="str">
        <f t="shared" ca="1" si="21"/>
        <v>—</v>
      </c>
      <c r="J464" s="240" t="str">
        <f t="shared" si="22"/>
        <v/>
      </c>
      <c r="K464" s="245" t="str">
        <f t="shared" si="23"/>
        <v/>
      </c>
    </row>
    <row r="465" spans="1:11" ht="18" customHeight="1" x14ac:dyDescent="0.2">
      <c r="A465" s="250"/>
      <c r="B465" s="250"/>
      <c r="C465" s="251"/>
      <c r="D465" s="252"/>
      <c r="E465" s="251"/>
      <c r="F465" s="253"/>
      <c r="G465" s="253"/>
      <c r="H465" s="251"/>
      <c r="I465" s="239" t="str">
        <f t="shared" ca="1" si="21"/>
        <v>—</v>
      </c>
      <c r="J465" s="240" t="str">
        <f t="shared" si="22"/>
        <v/>
      </c>
      <c r="K465" s="241" t="str">
        <f t="shared" si="23"/>
        <v/>
      </c>
    </row>
    <row r="466" spans="1:11" ht="18" customHeight="1" x14ac:dyDescent="0.2">
      <c r="A466" s="246"/>
      <c r="B466" s="246"/>
      <c r="C466" s="247"/>
      <c r="D466" s="248"/>
      <c r="E466" s="247"/>
      <c r="F466" s="249"/>
      <c r="G466" s="249"/>
      <c r="H466" s="247"/>
      <c r="I466" s="244" t="str">
        <f t="shared" ca="1" si="21"/>
        <v>—</v>
      </c>
      <c r="J466" s="240" t="str">
        <f t="shared" si="22"/>
        <v/>
      </c>
      <c r="K466" s="245" t="str">
        <f t="shared" si="23"/>
        <v/>
      </c>
    </row>
    <row r="467" spans="1:11" ht="18" customHeight="1" x14ac:dyDescent="0.2">
      <c r="A467" s="250"/>
      <c r="B467" s="250"/>
      <c r="C467" s="251"/>
      <c r="D467" s="252"/>
      <c r="E467" s="251"/>
      <c r="F467" s="253"/>
      <c r="G467" s="253"/>
      <c r="H467" s="251"/>
      <c r="I467" s="239" t="str">
        <f t="shared" ca="1" si="21"/>
        <v>—</v>
      </c>
      <c r="J467" s="240" t="str">
        <f t="shared" si="22"/>
        <v/>
      </c>
      <c r="K467" s="241" t="str">
        <f t="shared" si="23"/>
        <v/>
      </c>
    </row>
    <row r="468" spans="1:11" ht="18" customHeight="1" x14ac:dyDescent="0.2">
      <c r="A468" s="246"/>
      <c r="B468" s="246"/>
      <c r="C468" s="247"/>
      <c r="D468" s="248"/>
      <c r="E468" s="247"/>
      <c r="F468" s="249"/>
      <c r="G468" s="249"/>
      <c r="H468" s="247"/>
      <c r="I468" s="244" t="str">
        <f t="shared" ca="1" si="21"/>
        <v>—</v>
      </c>
      <c r="J468" s="240" t="str">
        <f t="shared" si="22"/>
        <v/>
      </c>
      <c r="K468" s="245" t="str">
        <f t="shared" si="23"/>
        <v/>
      </c>
    </row>
    <row r="469" spans="1:11" ht="18" customHeight="1" x14ac:dyDescent="0.2">
      <c r="A469" s="250"/>
      <c r="B469" s="250"/>
      <c r="C469" s="251"/>
      <c r="D469" s="252"/>
      <c r="E469" s="251"/>
      <c r="F469" s="253"/>
      <c r="G469" s="253"/>
      <c r="H469" s="251"/>
      <c r="I469" s="239" t="str">
        <f t="shared" ca="1" si="21"/>
        <v>—</v>
      </c>
      <c r="J469" s="240" t="str">
        <f t="shared" si="22"/>
        <v/>
      </c>
      <c r="K469" s="241" t="str">
        <f t="shared" si="23"/>
        <v/>
      </c>
    </row>
    <row r="470" spans="1:11" ht="18" customHeight="1" x14ac:dyDescent="0.2">
      <c r="A470" s="246"/>
      <c r="B470" s="246"/>
      <c r="C470" s="247"/>
      <c r="D470" s="248"/>
      <c r="E470" s="247"/>
      <c r="F470" s="249"/>
      <c r="G470" s="249"/>
      <c r="H470" s="247"/>
      <c r="I470" s="244" t="str">
        <f t="shared" ca="1" si="21"/>
        <v>—</v>
      </c>
      <c r="J470" s="240" t="str">
        <f t="shared" si="22"/>
        <v/>
      </c>
      <c r="K470" s="245" t="str">
        <f t="shared" si="23"/>
        <v/>
      </c>
    </row>
    <row r="471" spans="1:11" ht="18" customHeight="1" x14ac:dyDescent="0.2">
      <c r="A471" s="250"/>
      <c r="B471" s="250"/>
      <c r="C471" s="251"/>
      <c r="D471" s="252"/>
      <c r="E471" s="251"/>
      <c r="F471" s="253"/>
      <c r="G471" s="253"/>
      <c r="H471" s="251"/>
      <c r="I471" s="239" t="str">
        <f t="shared" ca="1" si="21"/>
        <v>—</v>
      </c>
      <c r="J471" s="240" t="str">
        <f t="shared" si="22"/>
        <v/>
      </c>
      <c r="K471" s="241" t="str">
        <f t="shared" si="23"/>
        <v/>
      </c>
    </row>
    <row r="472" spans="1:11" ht="18" customHeight="1" x14ac:dyDescent="0.2">
      <c r="A472" s="246"/>
      <c r="B472" s="246"/>
      <c r="C472" s="247"/>
      <c r="D472" s="248"/>
      <c r="E472" s="247"/>
      <c r="F472" s="249"/>
      <c r="G472" s="249"/>
      <c r="H472" s="247"/>
      <c r="I472" s="244" t="str">
        <f t="shared" ca="1" si="21"/>
        <v>—</v>
      </c>
      <c r="J472" s="240" t="str">
        <f t="shared" si="22"/>
        <v/>
      </c>
      <c r="K472" s="245" t="str">
        <f t="shared" si="23"/>
        <v/>
      </c>
    </row>
    <row r="473" spans="1:11" ht="18" customHeight="1" x14ac:dyDescent="0.2">
      <c r="A473" s="250"/>
      <c r="B473" s="250"/>
      <c r="C473" s="251"/>
      <c r="D473" s="252"/>
      <c r="E473" s="251"/>
      <c r="F473" s="253"/>
      <c r="G473" s="253"/>
      <c r="H473" s="251"/>
      <c r="I473" s="239" t="str">
        <f t="shared" ca="1" si="21"/>
        <v>—</v>
      </c>
      <c r="J473" s="240" t="str">
        <f t="shared" si="22"/>
        <v/>
      </c>
      <c r="K473" s="241" t="str">
        <f t="shared" si="23"/>
        <v/>
      </c>
    </row>
    <row r="474" spans="1:11" ht="18" customHeight="1" x14ac:dyDescent="0.2">
      <c r="A474" s="246"/>
      <c r="B474" s="246"/>
      <c r="C474" s="247"/>
      <c r="D474" s="248"/>
      <c r="E474" s="247"/>
      <c r="F474" s="249"/>
      <c r="G474" s="249"/>
      <c r="H474" s="247"/>
      <c r="I474" s="244" t="str">
        <f t="shared" ca="1" si="21"/>
        <v>—</v>
      </c>
      <c r="J474" s="240" t="str">
        <f t="shared" si="22"/>
        <v/>
      </c>
      <c r="K474" s="245" t="str">
        <f t="shared" si="23"/>
        <v/>
      </c>
    </row>
    <row r="475" spans="1:11" ht="18" customHeight="1" x14ac:dyDescent="0.2">
      <c r="A475" s="250"/>
      <c r="B475" s="250"/>
      <c r="C475" s="251"/>
      <c r="D475" s="252"/>
      <c r="E475" s="251"/>
      <c r="F475" s="253"/>
      <c r="G475" s="253"/>
      <c r="H475" s="251"/>
      <c r="I475" s="239" t="str">
        <f t="shared" ca="1" si="21"/>
        <v>—</v>
      </c>
      <c r="J475" s="240" t="str">
        <f t="shared" si="22"/>
        <v/>
      </c>
      <c r="K475" s="241" t="str">
        <f t="shared" si="23"/>
        <v/>
      </c>
    </row>
    <row r="476" spans="1:11" ht="18" customHeight="1" x14ac:dyDescent="0.2">
      <c r="A476" s="246"/>
      <c r="B476" s="246"/>
      <c r="C476" s="247"/>
      <c r="D476" s="248"/>
      <c r="E476" s="247"/>
      <c r="F476" s="249"/>
      <c r="G476" s="249"/>
      <c r="H476" s="247"/>
      <c r="I476" s="244" t="str">
        <f t="shared" ca="1" si="21"/>
        <v>—</v>
      </c>
      <c r="J476" s="240" t="str">
        <f t="shared" si="22"/>
        <v/>
      </c>
      <c r="K476" s="245" t="str">
        <f t="shared" si="23"/>
        <v/>
      </c>
    </row>
    <row r="477" spans="1:11" ht="18" customHeight="1" x14ac:dyDescent="0.2">
      <c r="A477" s="250"/>
      <c r="B477" s="250"/>
      <c r="C477" s="251"/>
      <c r="D477" s="252"/>
      <c r="E477" s="251"/>
      <c r="F477" s="253"/>
      <c r="G477" s="253"/>
      <c r="H477" s="251"/>
      <c r="I477" s="239" t="str">
        <f t="shared" ca="1" si="21"/>
        <v>—</v>
      </c>
      <c r="J477" s="240" t="str">
        <f t="shared" si="22"/>
        <v/>
      </c>
      <c r="K477" s="241" t="str">
        <f t="shared" si="23"/>
        <v/>
      </c>
    </row>
    <row r="478" spans="1:11" ht="18" customHeight="1" x14ac:dyDescent="0.2">
      <c r="A478" s="246"/>
      <c r="B478" s="246"/>
      <c r="C478" s="247"/>
      <c r="D478" s="248"/>
      <c r="E478" s="247"/>
      <c r="F478" s="249"/>
      <c r="G478" s="249"/>
      <c r="H478" s="247"/>
      <c r="I478" s="244" t="str">
        <f t="shared" ca="1" si="21"/>
        <v>—</v>
      </c>
      <c r="J478" s="240" t="str">
        <f t="shared" si="22"/>
        <v/>
      </c>
      <c r="K478" s="245" t="str">
        <f t="shared" si="23"/>
        <v/>
      </c>
    </row>
    <row r="479" spans="1:11" ht="18" customHeight="1" x14ac:dyDescent="0.2">
      <c r="A479" s="250"/>
      <c r="B479" s="250"/>
      <c r="C479" s="251"/>
      <c r="D479" s="252"/>
      <c r="E479" s="251"/>
      <c r="F479" s="253"/>
      <c r="G479" s="253"/>
      <c r="H479" s="251"/>
      <c r="I479" s="239" t="str">
        <f t="shared" ca="1" si="21"/>
        <v>—</v>
      </c>
      <c r="J479" s="240" t="str">
        <f t="shared" si="22"/>
        <v/>
      </c>
      <c r="K479" s="241" t="str">
        <f t="shared" si="23"/>
        <v/>
      </c>
    </row>
    <row r="480" spans="1:11" ht="18" customHeight="1" x14ac:dyDescent="0.2">
      <c r="A480" s="246"/>
      <c r="B480" s="246"/>
      <c r="C480" s="247"/>
      <c r="D480" s="248"/>
      <c r="E480" s="247"/>
      <c r="F480" s="249"/>
      <c r="G480" s="249"/>
      <c r="H480" s="247"/>
      <c r="I480" s="244" t="str">
        <f t="shared" ca="1" si="21"/>
        <v>—</v>
      </c>
      <c r="J480" s="240" t="str">
        <f t="shared" si="22"/>
        <v/>
      </c>
      <c r="K480" s="245" t="str">
        <f t="shared" si="23"/>
        <v/>
      </c>
    </row>
    <row r="481" spans="1:11" ht="18" customHeight="1" x14ac:dyDescent="0.2">
      <c r="A481" s="250"/>
      <c r="B481" s="250"/>
      <c r="C481" s="251"/>
      <c r="D481" s="252"/>
      <c r="E481" s="251"/>
      <c r="F481" s="253"/>
      <c r="G481" s="253"/>
      <c r="H481" s="251"/>
      <c r="I481" s="239" t="str">
        <f t="shared" ca="1" si="21"/>
        <v>—</v>
      </c>
      <c r="J481" s="240" t="str">
        <f t="shared" si="22"/>
        <v/>
      </c>
      <c r="K481" s="241" t="str">
        <f t="shared" si="23"/>
        <v/>
      </c>
    </row>
    <row r="482" spans="1:11" ht="18" customHeight="1" x14ac:dyDescent="0.2">
      <c r="A482" s="246"/>
      <c r="B482" s="246"/>
      <c r="C482" s="247"/>
      <c r="D482" s="248"/>
      <c r="E482" s="247"/>
      <c r="F482" s="249"/>
      <c r="G482" s="249"/>
      <c r="H482" s="247"/>
      <c r="I482" s="244" t="str">
        <f t="shared" ca="1" si="21"/>
        <v>—</v>
      </c>
      <c r="J482" s="240" t="str">
        <f t="shared" si="22"/>
        <v/>
      </c>
      <c r="K482" s="245" t="str">
        <f t="shared" si="23"/>
        <v/>
      </c>
    </row>
    <row r="483" spans="1:11" ht="18" customHeight="1" x14ac:dyDescent="0.2">
      <c r="A483" s="250"/>
      <c r="B483" s="250"/>
      <c r="C483" s="251"/>
      <c r="D483" s="252"/>
      <c r="E483" s="251"/>
      <c r="F483" s="253"/>
      <c r="G483" s="253"/>
      <c r="H483" s="251"/>
      <c r="I483" s="239" t="str">
        <f t="shared" ca="1" si="21"/>
        <v>—</v>
      </c>
      <c r="J483" s="240" t="str">
        <f t="shared" si="22"/>
        <v/>
      </c>
      <c r="K483" s="241" t="str">
        <f t="shared" si="23"/>
        <v/>
      </c>
    </row>
    <row r="484" spans="1:11" ht="18" customHeight="1" x14ac:dyDescent="0.2">
      <c r="A484" s="246"/>
      <c r="B484" s="246"/>
      <c r="C484" s="247"/>
      <c r="D484" s="248"/>
      <c r="E484" s="247"/>
      <c r="F484" s="249"/>
      <c r="G484" s="249"/>
      <c r="H484" s="247"/>
      <c r="I484" s="244" t="str">
        <f t="shared" ca="1" si="21"/>
        <v>—</v>
      </c>
      <c r="J484" s="240" t="str">
        <f t="shared" si="22"/>
        <v/>
      </c>
      <c r="K484" s="245" t="str">
        <f t="shared" si="23"/>
        <v/>
      </c>
    </row>
    <row r="485" spans="1:11" ht="18" customHeight="1" x14ac:dyDescent="0.2">
      <c r="A485" s="250"/>
      <c r="B485" s="250"/>
      <c r="C485" s="251"/>
      <c r="D485" s="252"/>
      <c r="E485" s="251"/>
      <c r="F485" s="253"/>
      <c r="G485" s="253"/>
      <c r="H485" s="251"/>
      <c r="I485" s="239" t="str">
        <f t="shared" ca="1" si="21"/>
        <v>—</v>
      </c>
      <c r="J485" s="240" t="str">
        <f t="shared" si="22"/>
        <v/>
      </c>
      <c r="K485" s="241" t="str">
        <f t="shared" si="23"/>
        <v/>
      </c>
    </row>
    <row r="486" spans="1:11" ht="18" customHeight="1" x14ac:dyDescent="0.2">
      <c r="A486" s="246"/>
      <c r="B486" s="246"/>
      <c r="C486" s="247"/>
      <c r="D486" s="248"/>
      <c r="E486" s="247"/>
      <c r="F486" s="249"/>
      <c r="G486" s="249"/>
      <c r="H486" s="247"/>
      <c r="I486" s="244" t="str">
        <f t="shared" ca="1" si="21"/>
        <v>—</v>
      </c>
      <c r="J486" s="240" t="str">
        <f t="shared" si="22"/>
        <v/>
      </c>
      <c r="K486" s="245" t="str">
        <f t="shared" si="23"/>
        <v/>
      </c>
    </row>
    <row r="487" spans="1:11" ht="18" customHeight="1" x14ac:dyDescent="0.2">
      <c r="A487" s="250"/>
      <c r="B487" s="250"/>
      <c r="C487" s="251"/>
      <c r="D487" s="252"/>
      <c r="E487" s="251"/>
      <c r="F487" s="253"/>
      <c r="G487" s="253"/>
      <c r="H487" s="251"/>
      <c r="I487" s="239" t="str">
        <f t="shared" ca="1" si="21"/>
        <v>—</v>
      </c>
      <c r="J487" s="240" t="str">
        <f t="shared" si="22"/>
        <v/>
      </c>
      <c r="K487" s="241" t="str">
        <f t="shared" si="23"/>
        <v/>
      </c>
    </row>
    <row r="488" spans="1:11" ht="18" customHeight="1" x14ac:dyDescent="0.2">
      <c r="A488" s="246"/>
      <c r="B488" s="246"/>
      <c r="C488" s="247"/>
      <c r="D488" s="248"/>
      <c r="E488" s="247"/>
      <c r="F488" s="249"/>
      <c r="G488" s="249"/>
      <c r="H488" s="247"/>
      <c r="I488" s="244" t="str">
        <f t="shared" ca="1" si="21"/>
        <v>—</v>
      </c>
      <c r="J488" s="240" t="str">
        <f t="shared" si="22"/>
        <v/>
      </c>
      <c r="K488" s="245" t="str">
        <f t="shared" si="23"/>
        <v/>
      </c>
    </row>
    <row r="489" spans="1:11" ht="18" customHeight="1" x14ac:dyDescent="0.2">
      <c r="A489" s="250"/>
      <c r="B489" s="250"/>
      <c r="C489" s="251"/>
      <c r="D489" s="252"/>
      <c r="E489" s="251"/>
      <c r="F489" s="253"/>
      <c r="G489" s="253"/>
      <c r="H489" s="251"/>
      <c r="I489" s="239" t="str">
        <f t="shared" ca="1" si="21"/>
        <v>—</v>
      </c>
      <c r="J489" s="240" t="str">
        <f t="shared" si="22"/>
        <v/>
      </c>
      <c r="K489" s="241" t="str">
        <f t="shared" si="23"/>
        <v/>
      </c>
    </row>
    <row r="490" spans="1:11" ht="18" customHeight="1" x14ac:dyDescent="0.2">
      <c r="A490" s="246"/>
      <c r="B490" s="246"/>
      <c r="C490" s="247"/>
      <c r="D490" s="248"/>
      <c r="E490" s="247"/>
      <c r="F490" s="249"/>
      <c r="G490" s="249"/>
      <c r="H490" s="247"/>
      <c r="I490" s="244" t="str">
        <f t="shared" ca="1" si="21"/>
        <v>—</v>
      </c>
      <c r="J490" s="240" t="str">
        <f t="shared" si="22"/>
        <v/>
      </c>
      <c r="K490" s="245" t="str">
        <f t="shared" si="23"/>
        <v/>
      </c>
    </row>
    <row r="491" spans="1:11" ht="18" customHeight="1" x14ac:dyDescent="0.2">
      <c r="A491" s="250"/>
      <c r="B491" s="250"/>
      <c r="C491" s="251"/>
      <c r="D491" s="252"/>
      <c r="E491" s="251"/>
      <c r="F491" s="253"/>
      <c r="G491" s="253"/>
      <c r="H491" s="251"/>
      <c r="I491" s="239" t="str">
        <f t="shared" ca="1" si="21"/>
        <v>—</v>
      </c>
      <c r="J491" s="240" t="str">
        <f t="shared" si="22"/>
        <v/>
      </c>
      <c r="K491" s="241" t="str">
        <f t="shared" si="23"/>
        <v/>
      </c>
    </row>
    <row r="492" spans="1:11" ht="18" customHeight="1" x14ac:dyDescent="0.2">
      <c r="A492" s="246"/>
      <c r="B492" s="246"/>
      <c r="C492" s="247"/>
      <c r="D492" s="248"/>
      <c r="E492" s="247"/>
      <c r="F492" s="249"/>
      <c r="G492" s="249"/>
      <c r="H492" s="247"/>
      <c r="I492" s="244" t="str">
        <f t="shared" ca="1" si="21"/>
        <v>—</v>
      </c>
      <c r="J492" s="240" t="str">
        <f t="shared" si="22"/>
        <v/>
      </c>
      <c r="K492" s="245" t="str">
        <f t="shared" si="23"/>
        <v/>
      </c>
    </row>
    <row r="493" spans="1:11" ht="18" customHeight="1" x14ac:dyDescent="0.2">
      <c r="A493" s="250"/>
      <c r="B493" s="250"/>
      <c r="C493" s="251"/>
      <c r="D493" s="252"/>
      <c r="E493" s="251"/>
      <c r="F493" s="253"/>
      <c r="G493" s="253"/>
      <c r="H493" s="251"/>
      <c r="I493" s="239" t="str">
        <f t="shared" ca="1" si="21"/>
        <v>—</v>
      </c>
      <c r="J493" s="240" t="str">
        <f t="shared" si="22"/>
        <v/>
      </c>
      <c r="K493" s="241" t="str">
        <f t="shared" si="23"/>
        <v/>
      </c>
    </row>
    <row r="494" spans="1:11" ht="18" customHeight="1" x14ac:dyDescent="0.2">
      <c r="A494" s="246"/>
      <c r="B494" s="246"/>
      <c r="C494" s="247"/>
      <c r="D494" s="248"/>
      <c r="E494" s="247"/>
      <c r="F494" s="249"/>
      <c r="G494" s="249"/>
      <c r="H494" s="247"/>
      <c r="I494" s="244" t="str">
        <f t="shared" ca="1" si="21"/>
        <v>—</v>
      </c>
      <c r="J494" s="240" t="str">
        <f t="shared" si="22"/>
        <v/>
      </c>
      <c r="K494" s="245" t="str">
        <f t="shared" si="23"/>
        <v/>
      </c>
    </row>
    <row r="495" spans="1:11" ht="18" customHeight="1" x14ac:dyDescent="0.2">
      <c r="A495" s="250"/>
      <c r="B495" s="250"/>
      <c r="C495" s="251"/>
      <c r="D495" s="252"/>
      <c r="E495" s="251"/>
      <c r="F495" s="253"/>
      <c r="G495" s="253"/>
      <c r="H495" s="251"/>
      <c r="I495" s="239" t="str">
        <f t="shared" ca="1" si="21"/>
        <v>—</v>
      </c>
      <c r="J495" s="240" t="str">
        <f t="shared" si="22"/>
        <v/>
      </c>
      <c r="K495" s="241" t="str">
        <f t="shared" si="23"/>
        <v/>
      </c>
    </row>
    <row r="496" spans="1:11" ht="18" customHeight="1" x14ac:dyDescent="0.2">
      <c r="A496" s="246"/>
      <c r="B496" s="246"/>
      <c r="C496" s="247"/>
      <c r="D496" s="248"/>
      <c r="E496" s="247"/>
      <c r="F496" s="249"/>
      <c r="G496" s="249"/>
      <c r="H496" s="247"/>
      <c r="I496" s="244" t="str">
        <f t="shared" ca="1" si="21"/>
        <v>—</v>
      </c>
      <c r="J496" s="240" t="str">
        <f t="shared" si="22"/>
        <v/>
      </c>
      <c r="K496" s="245" t="str">
        <f t="shared" si="23"/>
        <v/>
      </c>
    </row>
    <row r="497" spans="1:11" ht="18" customHeight="1" x14ac:dyDescent="0.2">
      <c r="A497" s="250"/>
      <c r="B497" s="250"/>
      <c r="C497" s="251"/>
      <c r="D497" s="252"/>
      <c r="E497" s="251"/>
      <c r="F497" s="253"/>
      <c r="G497" s="253"/>
      <c r="H497" s="251"/>
      <c r="I497" s="239" t="str">
        <f t="shared" ca="1" si="21"/>
        <v>—</v>
      </c>
      <c r="J497" s="240" t="str">
        <f t="shared" si="22"/>
        <v/>
      </c>
      <c r="K497" s="241" t="str">
        <f t="shared" si="23"/>
        <v/>
      </c>
    </row>
    <row r="498" spans="1:11" ht="18" customHeight="1" x14ac:dyDescent="0.2">
      <c r="A498" s="246"/>
      <c r="B498" s="246"/>
      <c r="C498" s="247"/>
      <c r="D498" s="248"/>
      <c r="E498" s="247"/>
      <c r="F498" s="249"/>
      <c r="G498" s="249"/>
      <c r="H498" s="247"/>
      <c r="I498" s="244" t="str">
        <f t="shared" ca="1" si="21"/>
        <v>—</v>
      </c>
      <c r="J498" s="240" t="str">
        <f t="shared" si="22"/>
        <v/>
      </c>
      <c r="K498" s="245" t="str">
        <f t="shared" si="23"/>
        <v/>
      </c>
    </row>
    <row r="499" spans="1:11" ht="18" customHeight="1" x14ac:dyDescent="0.2">
      <c r="A499" s="250"/>
      <c r="B499" s="250"/>
      <c r="C499" s="251"/>
      <c r="D499" s="252"/>
      <c r="E499" s="251"/>
      <c r="F499" s="253"/>
      <c r="G499" s="253"/>
      <c r="H499" s="251"/>
      <c r="I499" s="239" t="str">
        <f t="shared" ca="1" si="21"/>
        <v>—</v>
      </c>
      <c r="J499" s="240" t="str">
        <f t="shared" si="22"/>
        <v/>
      </c>
      <c r="K499" s="241" t="str">
        <f t="shared" si="23"/>
        <v/>
      </c>
    </row>
    <row r="500" spans="1:11" ht="18" customHeight="1" x14ac:dyDescent="0.2">
      <c r="A500" s="246"/>
      <c r="B500" s="246"/>
      <c r="C500" s="247"/>
      <c r="D500" s="248"/>
      <c r="E500" s="247"/>
      <c r="F500" s="249"/>
      <c r="G500" s="249"/>
      <c r="H500" s="247"/>
      <c r="I500" s="244" t="str">
        <f t="shared" ca="1" si="21"/>
        <v>—</v>
      </c>
      <c r="J500" s="240" t="str">
        <f t="shared" si="22"/>
        <v/>
      </c>
      <c r="K500" s="245" t="str">
        <f t="shared" si="23"/>
        <v/>
      </c>
    </row>
    <row r="501" spans="1:11" ht="18" customHeight="1" x14ac:dyDescent="0.2">
      <c r="A501" s="250"/>
      <c r="B501" s="250"/>
      <c r="C501" s="251"/>
      <c r="D501" s="252"/>
      <c r="E501" s="251"/>
      <c r="F501" s="253"/>
      <c r="G501" s="253"/>
      <c r="H501" s="251"/>
      <c r="I501" s="239" t="str">
        <f t="shared" ca="1" si="21"/>
        <v>—</v>
      </c>
      <c r="J501" s="240" t="str">
        <f t="shared" si="22"/>
        <v/>
      </c>
      <c r="K501" s="241" t="str">
        <f t="shared" si="23"/>
        <v/>
      </c>
    </row>
    <row r="502" spans="1:11" ht="18" customHeight="1" x14ac:dyDescent="0.2">
      <c r="A502" s="246"/>
      <c r="B502" s="246"/>
      <c r="C502" s="247"/>
      <c r="D502" s="248"/>
      <c r="E502" s="247"/>
      <c r="F502" s="249"/>
      <c r="G502" s="249"/>
      <c r="H502" s="247"/>
      <c r="I502" s="244" t="str">
        <f t="shared" ca="1" si="21"/>
        <v>—</v>
      </c>
      <c r="J502" s="240" t="str">
        <f t="shared" si="22"/>
        <v/>
      </c>
      <c r="K502" s="245" t="str">
        <f t="shared" si="23"/>
        <v/>
      </c>
    </row>
    <row r="503" spans="1:11" ht="18" customHeight="1" x14ac:dyDescent="0.2">
      <c r="A503" s="250"/>
      <c r="B503" s="250"/>
      <c r="C503" s="251"/>
      <c r="D503" s="252"/>
      <c r="E503" s="251"/>
      <c r="F503" s="253"/>
      <c r="G503" s="253"/>
      <c r="H503" s="251"/>
      <c r="I503" s="239" t="str">
        <f t="shared" ca="1" si="21"/>
        <v>—</v>
      </c>
      <c r="J503" s="240" t="str">
        <f t="shared" si="22"/>
        <v/>
      </c>
      <c r="K503" s="241" t="str">
        <f t="shared" si="23"/>
        <v/>
      </c>
    </row>
    <row r="504" spans="1:11" ht="18" customHeight="1" x14ac:dyDescent="0.2">
      <c r="A504" s="246"/>
      <c r="B504" s="246"/>
      <c r="C504" s="247"/>
      <c r="D504" s="248"/>
      <c r="E504" s="247"/>
      <c r="F504" s="249"/>
      <c r="G504" s="249"/>
      <c r="H504" s="247"/>
      <c r="I504" s="244" t="str">
        <f t="shared" ca="1" si="21"/>
        <v>—</v>
      </c>
      <c r="J504" s="240" t="str">
        <f t="shared" si="22"/>
        <v/>
      </c>
      <c r="K504" s="245" t="str">
        <f t="shared" si="23"/>
        <v/>
      </c>
    </row>
  </sheetData>
  <mergeCells count="2">
    <mergeCell ref="A10:K10"/>
    <mergeCell ref="B2:K2"/>
  </mergeCells>
  <conditionalFormatting sqref="I5:I504">
    <cfRule type="cellIs" dxfId="13" priority="1" operator="greaterThanOrEqual">
      <formula>90</formula>
    </cfRule>
    <cfRule type="cellIs" dxfId="12" priority="2" operator="between">
      <formula>60</formula>
      <formula>89</formula>
    </cfRule>
    <cfRule type="cellIs" dxfId="11" priority="3" operator="between">
      <formula>30</formula>
      <formula>59</formula>
    </cfRule>
    <cfRule type="cellIs" dxfId="10" priority="4" operator="between">
      <formula>0</formula>
      <formula>29</formula>
    </cfRule>
  </conditionalFormatting>
  <hyperlinks>
    <hyperlink ref="A1" location="'Start Here'!A1" display="🏠 Start Here"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5CB8"/>
  </sheetPr>
  <dimension ref="A1:J4600"/>
  <sheetViews>
    <sheetView tabSelected="1" workbookViewId="0">
      <pane ySplit="4" topLeftCell="A66" activePane="bottomLeft" state="frozen"/>
      <selection pane="bottomLeft" activeCell="I97" sqref="I97"/>
    </sheetView>
  </sheetViews>
  <sheetFormatPr baseColWidth="10" defaultColWidth="8.83203125" defaultRowHeight="15" x14ac:dyDescent="0.2"/>
  <cols>
    <col min="1" max="1" width="14" customWidth="1"/>
    <col min="2" max="2" width="48" customWidth="1"/>
    <col min="3" max="3" width="20" customWidth="1"/>
    <col min="4" max="4" width="15" customWidth="1"/>
    <col min="5" max="5" width="18" customWidth="1"/>
    <col min="6" max="6" width="10" customWidth="1"/>
    <col min="7" max="7" width="11" customWidth="1"/>
    <col min="8" max="8" width="16" customWidth="1"/>
    <col min="9" max="9" width="30" customWidth="1"/>
    <col min="10" max="10" width="22" customWidth="1"/>
  </cols>
  <sheetData>
    <row r="1" spans="1:10" x14ac:dyDescent="0.2">
      <c r="A1" s="387" t="s">
        <v>118</v>
      </c>
      <c r="B1" s="388"/>
      <c r="C1" s="388"/>
      <c r="D1" s="388"/>
      <c r="E1" s="388"/>
      <c r="F1" s="388"/>
      <c r="G1" s="388"/>
      <c r="H1" s="388"/>
      <c r="I1" s="388"/>
      <c r="J1" s="388"/>
    </row>
    <row r="2" spans="1:10" ht="30" customHeight="1" x14ac:dyDescent="0.2">
      <c r="A2" s="472" t="s">
        <v>511</v>
      </c>
      <c r="B2" s="395"/>
      <c r="C2" s="395"/>
      <c r="D2" s="395"/>
      <c r="E2" s="395"/>
      <c r="F2" s="395"/>
      <c r="G2" s="395"/>
      <c r="H2" s="395"/>
      <c r="I2" s="395"/>
      <c r="J2" s="395"/>
    </row>
    <row r="3" spans="1:10" x14ac:dyDescent="0.2">
      <c r="A3" s="389" t="s">
        <v>500</v>
      </c>
      <c r="B3" s="389" t="s">
        <v>512</v>
      </c>
      <c r="C3" s="390">
        <f>COUNTA($B$5:$B$4600)</f>
        <v>4480</v>
      </c>
      <c r="D3" s="389" t="s">
        <v>513</v>
      </c>
      <c r="E3" s="390">
        <f>COUNTIF($H$5:$H$4600,"TIER*")</f>
        <v>16</v>
      </c>
      <c r="F3" s="389" t="s">
        <v>514</v>
      </c>
      <c r="G3" s="390">
        <f>COUNTIF($J$5:$J$4600,"YES*")</f>
        <v>64</v>
      </c>
      <c r="H3" s="471" t="str">
        <f>"T1 "&amp;COUNTIF($H$5:$H$4600,"TIER 1")&amp;"  |  T2 "&amp;COUNTIF($H$5:$H$4600,"TIER 2")&amp;"  |  T3 "&amp;COUNTIF($H$5:$H$4600,"TIER 3")</f>
        <v>T1 0  |  T2 14  |  T3 2</v>
      </c>
      <c r="I3" s="395"/>
      <c r="J3" s="395"/>
    </row>
    <row r="4" spans="1:10" ht="28" x14ac:dyDescent="0.2">
      <c r="A4" s="391" t="s">
        <v>515</v>
      </c>
      <c r="B4" s="391" t="s">
        <v>207</v>
      </c>
      <c r="C4" s="391" t="s">
        <v>516</v>
      </c>
      <c r="D4" s="391" t="s">
        <v>517</v>
      </c>
      <c r="E4" s="391" t="s">
        <v>518</v>
      </c>
      <c r="F4" s="391" t="s">
        <v>519</v>
      </c>
      <c r="G4" s="391" t="s">
        <v>520</v>
      </c>
      <c r="H4" s="391" t="s">
        <v>521</v>
      </c>
      <c r="I4" s="391" t="s">
        <v>522</v>
      </c>
      <c r="J4" s="391" t="s">
        <v>523</v>
      </c>
    </row>
    <row r="5" spans="1:10" x14ac:dyDescent="0.2">
      <c r="A5">
        <v>226788716936</v>
      </c>
      <c r="B5" t="s">
        <v>750</v>
      </c>
      <c r="C5" t="s">
        <v>751</v>
      </c>
      <c r="D5">
        <v>1.49</v>
      </c>
      <c r="F5" t="str">
        <f t="shared" ref="F5:F68" si="0">IF($B5="","",IF(ISNUMBER(SEARCH("PSA",$B5)),"Yes","No"))</f>
        <v>No</v>
      </c>
      <c r="G5" t="str">
        <f t="shared" ref="G5:G68" si="1">IF($B5="","",IF(ISNUMBER(SEARCH("PSA 10",$B5)),10,IF(ISNUMBER(SEARCH("PSA 9.5",$B5)),9.5,IF(ISNUMBER(SEARCH("PSA 9",$B5)),9,IF(ISNUMBER(SEARCH("PSA 8",$B5)),8,IF(ISNUMBER(SEARCH("PSA",$B5)),"&lt;9",""))))))</f>
        <v/>
      </c>
      <c r="H5" t="str">
        <f t="shared" ref="H5:H68" si="2">IF($B5="","",IF($D5&gt;=100,"TIER 2",IF(OR(ISNUMBER(SEARCH("PSA 10",$B5)),ISNUMBER(SEARCH("PSA 9.5",$B5)),ISNUMBER(SEARCH("PSA 9",$B5))),"TIER 3",IF(AND($D5&gt;20,N($E5)&gt;=15),"TIER 1","—"))))</f>
        <v>—</v>
      </c>
      <c r="I5" t="str">
        <f t="shared" ref="I5:I68" si="3">IF($B5="","",IF($D5&gt;=100,"Premium $100+ (auto)",IF(OR(ISNUMBER(SEARCH("PSA 10",$B5)),ISNUMBER(SEARCH("PSA 9.5",$B5)),ISNUMBER(SEARCH("PSA 9",$B5))),"Graded PSA 9+ (auto)",IF(AND($D5&gt;20,N($E5)&gt;=15),"Hot: $20+ &amp; "&amp;$E5&amp;"/day",IF($D5&gt;20,"$20+ — needs velocity check","Below thresholds")))))</f>
        <v>Below thresholds</v>
      </c>
      <c r="J5" t="str">
        <f t="shared" ref="J5:J68" si="4">IF($B5="","",IF(AND($D5&gt;20,$D5&lt;100,NOT(OR(ISNUMBER(SEARCH("PSA 10",$B5)),ISNUMBER(SEARCH("PSA 9.5",$B5)),ISNUMBER(SEARCH("PSA 9",$B5)))),$E5=""),"YES — pull CardHedger",""))</f>
        <v/>
      </c>
    </row>
    <row r="6" spans="1:10" x14ac:dyDescent="0.2">
      <c r="A6">
        <v>226788720400</v>
      </c>
      <c r="B6" t="s">
        <v>752</v>
      </c>
      <c r="C6" t="s">
        <v>753</v>
      </c>
      <c r="D6">
        <v>0.99</v>
      </c>
      <c r="F6" t="str">
        <f t="shared" si="0"/>
        <v>No</v>
      </c>
      <c r="G6" t="str">
        <f t="shared" si="1"/>
        <v/>
      </c>
      <c r="H6" t="str">
        <f t="shared" si="2"/>
        <v>—</v>
      </c>
      <c r="I6" t="str">
        <f t="shared" si="3"/>
        <v>Below thresholds</v>
      </c>
      <c r="J6" t="str">
        <f t="shared" si="4"/>
        <v/>
      </c>
    </row>
    <row r="7" spans="1:10" x14ac:dyDescent="0.2">
      <c r="A7">
        <v>226788721897</v>
      </c>
      <c r="B7" t="s">
        <v>754</v>
      </c>
      <c r="C7" t="s">
        <v>755</v>
      </c>
      <c r="D7">
        <v>1.49</v>
      </c>
      <c r="F7" t="str">
        <f t="shared" si="0"/>
        <v>No</v>
      </c>
      <c r="G7" t="str">
        <f t="shared" si="1"/>
        <v/>
      </c>
      <c r="H7" t="str">
        <f t="shared" si="2"/>
        <v>—</v>
      </c>
      <c r="I7" t="str">
        <f t="shared" si="3"/>
        <v>Below thresholds</v>
      </c>
      <c r="J7" t="str">
        <f t="shared" si="4"/>
        <v/>
      </c>
    </row>
    <row r="8" spans="1:10" x14ac:dyDescent="0.2">
      <c r="A8">
        <v>226788723318</v>
      </c>
      <c r="B8" t="s">
        <v>756</v>
      </c>
      <c r="C8" t="s">
        <v>757</v>
      </c>
      <c r="D8">
        <v>1.5</v>
      </c>
      <c r="F8" t="str">
        <f t="shared" si="0"/>
        <v>No</v>
      </c>
      <c r="G8" t="str">
        <f t="shared" si="1"/>
        <v/>
      </c>
      <c r="H8" t="str">
        <f t="shared" si="2"/>
        <v>—</v>
      </c>
      <c r="I8" t="str">
        <f t="shared" si="3"/>
        <v>Below thresholds</v>
      </c>
      <c r="J8" t="str">
        <f t="shared" si="4"/>
        <v/>
      </c>
    </row>
    <row r="9" spans="1:10" x14ac:dyDescent="0.2">
      <c r="A9">
        <v>226788724174</v>
      </c>
      <c r="B9" t="s">
        <v>758</v>
      </c>
      <c r="C9" t="s">
        <v>759</v>
      </c>
      <c r="D9">
        <v>1.99</v>
      </c>
      <c r="F9" t="str">
        <f t="shared" si="0"/>
        <v>No</v>
      </c>
      <c r="G9" t="str">
        <f t="shared" si="1"/>
        <v/>
      </c>
      <c r="H9" t="str">
        <f t="shared" si="2"/>
        <v>—</v>
      </c>
      <c r="I9" t="str">
        <f t="shared" si="3"/>
        <v>Below thresholds</v>
      </c>
      <c r="J9" t="str">
        <f t="shared" si="4"/>
        <v/>
      </c>
    </row>
    <row r="10" spans="1:10" x14ac:dyDescent="0.2">
      <c r="A10">
        <v>226788730875</v>
      </c>
      <c r="B10" t="s">
        <v>760</v>
      </c>
      <c r="C10" t="s">
        <v>761</v>
      </c>
      <c r="D10">
        <v>1.25</v>
      </c>
      <c r="F10" t="str">
        <f t="shared" si="0"/>
        <v>No</v>
      </c>
      <c r="G10" t="str">
        <f t="shared" si="1"/>
        <v/>
      </c>
      <c r="H10" t="str">
        <f t="shared" si="2"/>
        <v>—</v>
      </c>
      <c r="I10" t="str">
        <f t="shared" si="3"/>
        <v>Below thresholds</v>
      </c>
      <c r="J10" t="str">
        <f t="shared" si="4"/>
        <v/>
      </c>
    </row>
    <row r="11" spans="1:10" x14ac:dyDescent="0.2">
      <c r="A11">
        <v>226788735090</v>
      </c>
      <c r="B11" t="s">
        <v>762</v>
      </c>
      <c r="C11" t="s">
        <v>763</v>
      </c>
      <c r="D11">
        <v>1.25</v>
      </c>
      <c r="F11" t="str">
        <f t="shared" si="0"/>
        <v>No</v>
      </c>
      <c r="G11" t="str">
        <f t="shared" si="1"/>
        <v/>
      </c>
      <c r="H11" t="str">
        <f t="shared" si="2"/>
        <v>—</v>
      </c>
      <c r="I11" t="str">
        <f t="shared" si="3"/>
        <v>Below thresholds</v>
      </c>
      <c r="J11" t="str">
        <f t="shared" si="4"/>
        <v/>
      </c>
    </row>
    <row r="12" spans="1:10" x14ac:dyDescent="0.2">
      <c r="A12">
        <v>226790522118</v>
      </c>
      <c r="B12" t="s">
        <v>764</v>
      </c>
      <c r="C12" t="s">
        <v>765</v>
      </c>
      <c r="D12">
        <v>1.99</v>
      </c>
      <c r="F12" t="str">
        <f t="shared" si="0"/>
        <v>No</v>
      </c>
      <c r="G12" t="str">
        <f t="shared" si="1"/>
        <v/>
      </c>
      <c r="H12" t="str">
        <f t="shared" si="2"/>
        <v>—</v>
      </c>
      <c r="I12" t="str">
        <f t="shared" si="3"/>
        <v>Below thresholds</v>
      </c>
      <c r="J12" t="str">
        <f t="shared" si="4"/>
        <v/>
      </c>
    </row>
    <row r="13" spans="1:10" x14ac:dyDescent="0.2">
      <c r="A13">
        <v>226792471627</v>
      </c>
      <c r="B13" t="s">
        <v>766</v>
      </c>
      <c r="C13" t="s">
        <v>767</v>
      </c>
      <c r="D13">
        <v>1.5</v>
      </c>
      <c r="F13" t="str">
        <f t="shared" si="0"/>
        <v>No</v>
      </c>
      <c r="G13" t="str">
        <f t="shared" si="1"/>
        <v/>
      </c>
      <c r="H13" t="str">
        <f t="shared" si="2"/>
        <v>—</v>
      </c>
      <c r="I13" t="str">
        <f t="shared" si="3"/>
        <v>Below thresholds</v>
      </c>
      <c r="J13" t="str">
        <f t="shared" si="4"/>
        <v/>
      </c>
    </row>
    <row r="14" spans="1:10" x14ac:dyDescent="0.2">
      <c r="A14">
        <v>226792475559</v>
      </c>
      <c r="B14" t="s">
        <v>768</v>
      </c>
      <c r="C14" t="s">
        <v>769</v>
      </c>
      <c r="D14">
        <v>1.49</v>
      </c>
      <c r="F14" t="str">
        <f t="shared" si="0"/>
        <v>No</v>
      </c>
      <c r="G14" t="str">
        <f t="shared" si="1"/>
        <v/>
      </c>
      <c r="H14" t="str">
        <f t="shared" si="2"/>
        <v>—</v>
      </c>
      <c r="I14" t="str">
        <f t="shared" si="3"/>
        <v>Below thresholds</v>
      </c>
      <c r="J14" t="str">
        <f t="shared" si="4"/>
        <v/>
      </c>
    </row>
    <row r="15" spans="1:10" x14ac:dyDescent="0.2">
      <c r="A15">
        <v>226792488707</v>
      </c>
      <c r="B15" t="s">
        <v>770</v>
      </c>
      <c r="C15" t="s">
        <v>771</v>
      </c>
      <c r="D15">
        <v>1.99</v>
      </c>
      <c r="F15" t="str">
        <f t="shared" si="0"/>
        <v>No</v>
      </c>
      <c r="G15" t="str">
        <f t="shared" si="1"/>
        <v/>
      </c>
      <c r="H15" t="str">
        <f t="shared" si="2"/>
        <v>—</v>
      </c>
      <c r="I15" t="str">
        <f t="shared" si="3"/>
        <v>Below thresholds</v>
      </c>
      <c r="J15" t="str">
        <f t="shared" si="4"/>
        <v/>
      </c>
    </row>
    <row r="16" spans="1:10" x14ac:dyDescent="0.2">
      <c r="A16">
        <v>226792491039</v>
      </c>
      <c r="B16" t="s">
        <v>772</v>
      </c>
      <c r="C16" t="s">
        <v>773</v>
      </c>
      <c r="D16">
        <v>1.25</v>
      </c>
      <c r="F16" t="str">
        <f t="shared" si="0"/>
        <v>No</v>
      </c>
      <c r="G16" t="str">
        <f t="shared" si="1"/>
        <v/>
      </c>
      <c r="H16" t="str">
        <f t="shared" si="2"/>
        <v>—</v>
      </c>
      <c r="I16" t="str">
        <f t="shared" si="3"/>
        <v>Below thresholds</v>
      </c>
      <c r="J16" t="str">
        <f t="shared" si="4"/>
        <v/>
      </c>
    </row>
    <row r="17" spans="1:10" x14ac:dyDescent="0.2">
      <c r="A17">
        <v>226792496602</v>
      </c>
      <c r="B17" t="s">
        <v>774</v>
      </c>
      <c r="C17" t="s">
        <v>775</v>
      </c>
      <c r="D17">
        <v>1.75</v>
      </c>
      <c r="F17" t="str">
        <f t="shared" si="0"/>
        <v>No</v>
      </c>
      <c r="G17" t="str">
        <f t="shared" si="1"/>
        <v/>
      </c>
      <c r="H17" t="str">
        <f t="shared" si="2"/>
        <v>—</v>
      </c>
      <c r="I17" t="str">
        <f t="shared" si="3"/>
        <v>Below thresholds</v>
      </c>
      <c r="J17" t="str">
        <f t="shared" si="4"/>
        <v/>
      </c>
    </row>
    <row r="18" spans="1:10" x14ac:dyDescent="0.2">
      <c r="A18">
        <v>226792497474</v>
      </c>
      <c r="B18" t="s">
        <v>776</v>
      </c>
      <c r="C18" t="s">
        <v>777</v>
      </c>
      <c r="D18">
        <v>1.99</v>
      </c>
      <c r="F18" t="str">
        <f t="shared" si="0"/>
        <v>No</v>
      </c>
      <c r="G18" t="str">
        <f t="shared" si="1"/>
        <v/>
      </c>
      <c r="H18" t="str">
        <f t="shared" si="2"/>
        <v>—</v>
      </c>
      <c r="I18" t="str">
        <f t="shared" si="3"/>
        <v>Below thresholds</v>
      </c>
      <c r="J18" t="str">
        <f t="shared" si="4"/>
        <v/>
      </c>
    </row>
    <row r="19" spans="1:10" x14ac:dyDescent="0.2">
      <c r="A19">
        <v>226792498775</v>
      </c>
      <c r="B19" t="s">
        <v>778</v>
      </c>
      <c r="C19" t="s">
        <v>779</v>
      </c>
      <c r="D19">
        <v>1.19</v>
      </c>
      <c r="F19" t="str">
        <f t="shared" si="0"/>
        <v>No</v>
      </c>
      <c r="G19" t="str">
        <f t="shared" si="1"/>
        <v/>
      </c>
      <c r="H19" t="str">
        <f t="shared" si="2"/>
        <v>—</v>
      </c>
      <c r="I19" t="str">
        <f t="shared" si="3"/>
        <v>Below thresholds</v>
      </c>
      <c r="J19" t="str">
        <f t="shared" si="4"/>
        <v/>
      </c>
    </row>
    <row r="20" spans="1:10" x14ac:dyDescent="0.2">
      <c r="A20">
        <v>226792499747</v>
      </c>
      <c r="B20" t="s">
        <v>780</v>
      </c>
      <c r="C20" t="s">
        <v>781</v>
      </c>
      <c r="D20">
        <v>1.99</v>
      </c>
      <c r="F20" t="str">
        <f t="shared" si="0"/>
        <v>No</v>
      </c>
      <c r="G20" t="str">
        <f t="shared" si="1"/>
        <v/>
      </c>
      <c r="H20" t="str">
        <f t="shared" si="2"/>
        <v>—</v>
      </c>
      <c r="I20" t="str">
        <f t="shared" si="3"/>
        <v>Below thresholds</v>
      </c>
      <c r="J20" t="str">
        <f t="shared" si="4"/>
        <v/>
      </c>
    </row>
    <row r="21" spans="1:10" x14ac:dyDescent="0.2">
      <c r="A21">
        <v>226792504706</v>
      </c>
      <c r="B21" t="s">
        <v>782</v>
      </c>
      <c r="C21" t="s">
        <v>783</v>
      </c>
      <c r="D21">
        <v>1.75</v>
      </c>
      <c r="F21" t="str">
        <f t="shared" si="0"/>
        <v>No</v>
      </c>
      <c r="G21" t="str">
        <f t="shared" si="1"/>
        <v/>
      </c>
      <c r="H21" t="str">
        <f t="shared" si="2"/>
        <v>—</v>
      </c>
      <c r="I21" t="str">
        <f t="shared" si="3"/>
        <v>Below thresholds</v>
      </c>
      <c r="J21" t="str">
        <f t="shared" si="4"/>
        <v/>
      </c>
    </row>
    <row r="22" spans="1:10" x14ac:dyDescent="0.2">
      <c r="A22">
        <v>226792507685</v>
      </c>
      <c r="B22" t="s">
        <v>784</v>
      </c>
      <c r="C22" t="s">
        <v>785</v>
      </c>
      <c r="D22">
        <v>1.49</v>
      </c>
      <c r="F22" t="str">
        <f t="shared" si="0"/>
        <v>No</v>
      </c>
      <c r="G22" t="str">
        <f t="shared" si="1"/>
        <v/>
      </c>
      <c r="H22" t="str">
        <f t="shared" si="2"/>
        <v>—</v>
      </c>
      <c r="I22" t="str">
        <f t="shared" si="3"/>
        <v>Below thresholds</v>
      </c>
      <c r="J22" t="str">
        <f t="shared" si="4"/>
        <v/>
      </c>
    </row>
    <row r="23" spans="1:10" x14ac:dyDescent="0.2">
      <c r="A23">
        <v>226792514723</v>
      </c>
      <c r="B23" t="s">
        <v>786</v>
      </c>
      <c r="C23" t="s">
        <v>787</v>
      </c>
      <c r="D23">
        <v>1.2</v>
      </c>
      <c r="F23" t="str">
        <f t="shared" si="0"/>
        <v>No</v>
      </c>
      <c r="G23" t="str">
        <f t="shared" si="1"/>
        <v/>
      </c>
      <c r="H23" t="str">
        <f t="shared" si="2"/>
        <v>—</v>
      </c>
      <c r="I23" t="str">
        <f t="shared" si="3"/>
        <v>Below thresholds</v>
      </c>
      <c r="J23" t="str">
        <f t="shared" si="4"/>
        <v/>
      </c>
    </row>
    <row r="24" spans="1:10" x14ac:dyDescent="0.2">
      <c r="A24">
        <v>226792515347</v>
      </c>
      <c r="B24" t="s">
        <v>788</v>
      </c>
      <c r="C24" t="s">
        <v>789</v>
      </c>
      <c r="D24">
        <v>1.5</v>
      </c>
      <c r="F24" t="str">
        <f t="shared" si="0"/>
        <v>No</v>
      </c>
      <c r="G24" t="str">
        <f t="shared" si="1"/>
        <v/>
      </c>
      <c r="H24" t="str">
        <f t="shared" si="2"/>
        <v>—</v>
      </c>
      <c r="I24" t="str">
        <f t="shared" si="3"/>
        <v>Below thresholds</v>
      </c>
      <c r="J24" t="str">
        <f t="shared" si="4"/>
        <v/>
      </c>
    </row>
    <row r="25" spans="1:10" x14ac:dyDescent="0.2">
      <c r="A25">
        <v>226796649449</v>
      </c>
      <c r="B25" t="s">
        <v>790</v>
      </c>
      <c r="C25" t="s">
        <v>791</v>
      </c>
      <c r="D25">
        <v>1.5</v>
      </c>
      <c r="F25" t="str">
        <f t="shared" si="0"/>
        <v>No</v>
      </c>
      <c r="G25" t="str">
        <f t="shared" si="1"/>
        <v/>
      </c>
      <c r="H25" t="str">
        <f t="shared" si="2"/>
        <v>—</v>
      </c>
      <c r="I25" t="str">
        <f t="shared" si="3"/>
        <v>Below thresholds</v>
      </c>
      <c r="J25" t="str">
        <f t="shared" si="4"/>
        <v/>
      </c>
    </row>
    <row r="26" spans="1:10" x14ac:dyDescent="0.2">
      <c r="A26">
        <v>226796649452</v>
      </c>
      <c r="B26" t="s">
        <v>792</v>
      </c>
      <c r="C26" t="s">
        <v>793</v>
      </c>
      <c r="D26">
        <v>1.5</v>
      </c>
      <c r="F26" t="str">
        <f t="shared" si="0"/>
        <v>No</v>
      </c>
      <c r="G26" t="str">
        <f t="shared" si="1"/>
        <v/>
      </c>
      <c r="H26" t="str">
        <f t="shared" si="2"/>
        <v>—</v>
      </c>
      <c r="I26" t="str">
        <f t="shared" si="3"/>
        <v>Below thresholds</v>
      </c>
      <c r="J26" t="str">
        <f t="shared" si="4"/>
        <v/>
      </c>
    </row>
    <row r="27" spans="1:10" x14ac:dyDescent="0.2">
      <c r="A27">
        <v>226796649457</v>
      </c>
      <c r="B27" t="s">
        <v>794</v>
      </c>
      <c r="C27" t="s">
        <v>795</v>
      </c>
      <c r="D27">
        <v>1.49</v>
      </c>
      <c r="F27" t="str">
        <f t="shared" si="0"/>
        <v>No</v>
      </c>
      <c r="G27" t="str">
        <f t="shared" si="1"/>
        <v/>
      </c>
      <c r="H27" t="str">
        <f t="shared" si="2"/>
        <v>—</v>
      </c>
      <c r="I27" t="str">
        <f t="shared" si="3"/>
        <v>Below thresholds</v>
      </c>
      <c r="J27" t="str">
        <f t="shared" si="4"/>
        <v/>
      </c>
    </row>
    <row r="28" spans="1:10" x14ac:dyDescent="0.2">
      <c r="A28">
        <v>226796677855</v>
      </c>
      <c r="B28" t="s">
        <v>796</v>
      </c>
      <c r="C28" t="s">
        <v>797</v>
      </c>
      <c r="D28">
        <v>1.25</v>
      </c>
      <c r="F28" t="str">
        <f t="shared" si="0"/>
        <v>No</v>
      </c>
      <c r="G28" t="str">
        <f t="shared" si="1"/>
        <v/>
      </c>
      <c r="H28" t="str">
        <f t="shared" si="2"/>
        <v>—</v>
      </c>
      <c r="I28" t="str">
        <f t="shared" si="3"/>
        <v>Below thresholds</v>
      </c>
      <c r="J28" t="str">
        <f t="shared" si="4"/>
        <v/>
      </c>
    </row>
    <row r="29" spans="1:10" x14ac:dyDescent="0.2">
      <c r="A29">
        <v>226796686812</v>
      </c>
      <c r="B29" t="s">
        <v>798</v>
      </c>
      <c r="C29" t="s">
        <v>799</v>
      </c>
      <c r="D29">
        <v>1.99</v>
      </c>
      <c r="F29" t="str">
        <f t="shared" si="0"/>
        <v>No</v>
      </c>
      <c r="G29" t="str">
        <f t="shared" si="1"/>
        <v/>
      </c>
      <c r="H29" t="str">
        <f t="shared" si="2"/>
        <v>—</v>
      </c>
      <c r="I29" t="str">
        <f t="shared" si="3"/>
        <v>Below thresholds</v>
      </c>
      <c r="J29" t="str">
        <f t="shared" si="4"/>
        <v/>
      </c>
    </row>
    <row r="30" spans="1:10" x14ac:dyDescent="0.2">
      <c r="A30">
        <v>226796701960</v>
      </c>
      <c r="B30" t="s">
        <v>800</v>
      </c>
      <c r="C30" t="s">
        <v>801</v>
      </c>
      <c r="D30">
        <v>25</v>
      </c>
      <c r="F30" t="str">
        <f t="shared" si="0"/>
        <v>No</v>
      </c>
      <c r="G30" t="str">
        <f t="shared" si="1"/>
        <v/>
      </c>
      <c r="H30" t="str">
        <f t="shared" si="2"/>
        <v>—</v>
      </c>
      <c r="I30" t="str">
        <f t="shared" si="3"/>
        <v>$20+ — needs velocity check</v>
      </c>
      <c r="J30" t="str">
        <f t="shared" si="4"/>
        <v>YES — pull CardHedger</v>
      </c>
    </row>
    <row r="31" spans="1:10" x14ac:dyDescent="0.2">
      <c r="A31">
        <v>226796704537</v>
      </c>
      <c r="B31" t="s">
        <v>802</v>
      </c>
      <c r="C31" t="s">
        <v>803</v>
      </c>
      <c r="D31">
        <v>2.25</v>
      </c>
      <c r="F31" t="str">
        <f t="shared" si="0"/>
        <v>No</v>
      </c>
      <c r="G31" t="str">
        <f t="shared" si="1"/>
        <v/>
      </c>
      <c r="H31" t="str">
        <f t="shared" si="2"/>
        <v>—</v>
      </c>
      <c r="I31" t="str">
        <f t="shared" si="3"/>
        <v>Below thresholds</v>
      </c>
      <c r="J31" t="str">
        <f t="shared" si="4"/>
        <v/>
      </c>
    </row>
    <row r="32" spans="1:10" x14ac:dyDescent="0.2">
      <c r="A32">
        <v>226796928113</v>
      </c>
      <c r="B32" t="s">
        <v>804</v>
      </c>
      <c r="C32" t="s">
        <v>805</v>
      </c>
      <c r="D32">
        <v>1.49</v>
      </c>
      <c r="F32" t="str">
        <f t="shared" si="0"/>
        <v>No</v>
      </c>
      <c r="G32" t="str">
        <f t="shared" si="1"/>
        <v/>
      </c>
      <c r="H32" t="str">
        <f t="shared" si="2"/>
        <v>—</v>
      </c>
      <c r="I32" t="str">
        <f t="shared" si="3"/>
        <v>Below thresholds</v>
      </c>
      <c r="J32" t="str">
        <f t="shared" si="4"/>
        <v/>
      </c>
    </row>
    <row r="33" spans="1:10" x14ac:dyDescent="0.2">
      <c r="A33">
        <v>226802386118</v>
      </c>
      <c r="B33" t="s">
        <v>806</v>
      </c>
      <c r="C33" t="s">
        <v>807</v>
      </c>
      <c r="D33">
        <v>1.5</v>
      </c>
      <c r="F33" t="str">
        <f t="shared" si="0"/>
        <v>No</v>
      </c>
      <c r="G33" t="str">
        <f t="shared" si="1"/>
        <v/>
      </c>
      <c r="H33" t="str">
        <f t="shared" si="2"/>
        <v>—</v>
      </c>
      <c r="I33" t="str">
        <f t="shared" si="3"/>
        <v>Below thresholds</v>
      </c>
      <c r="J33" t="str">
        <f t="shared" si="4"/>
        <v/>
      </c>
    </row>
    <row r="34" spans="1:10" x14ac:dyDescent="0.2">
      <c r="A34">
        <v>226802390043</v>
      </c>
      <c r="B34" t="s">
        <v>808</v>
      </c>
      <c r="C34" t="s">
        <v>809</v>
      </c>
      <c r="D34">
        <v>2.25</v>
      </c>
      <c r="F34" t="str">
        <f t="shared" si="0"/>
        <v>No</v>
      </c>
      <c r="G34" t="str">
        <f t="shared" si="1"/>
        <v/>
      </c>
      <c r="H34" t="str">
        <f t="shared" si="2"/>
        <v>—</v>
      </c>
      <c r="I34" t="str">
        <f t="shared" si="3"/>
        <v>Below thresholds</v>
      </c>
      <c r="J34" t="str">
        <f t="shared" si="4"/>
        <v/>
      </c>
    </row>
    <row r="35" spans="1:10" x14ac:dyDescent="0.2">
      <c r="A35">
        <v>226802426266</v>
      </c>
      <c r="B35" t="s">
        <v>810</v>
      </c>
      <c r="C35" t="s">
        <v>811</v>
      </c>
      <c r="D35">
        <v>1.95</v>
      </c>
      <c r="F35" t="str">
        <f t="shared" si="0"/>
        <v>No</v>
      </c>
      <c r="G35" t="str">
        <f t="shared" si="1"/>
        <v/>
      </c>
      <c r="H35" t="str">
        <f t="shared" si="2"/>
        <v>—</v>
      </c>
      <c r="I35" t="str">
        <f t="shared" si="3"/>
        <v>Below thresholds</v>
      </c>
      <c r="J35" t="str">
        <f t="shared" si="4"/>
        <v/>
      </c>
    </row>
    <row r="36" spans="1:10" x14ac:dyDescent="0.2">
      <c r="A36">
        <v>226802959508</v>
      </c>
      <c r="B36" t="s">
        <v>812</v>
      </c>
      <c r="C36" t="s">
        <v>813</v>
      </c>
      <c r="D36">
        <v>1.5</v>
      </c>
      <c r="F36" t="str">
        <f t="shared" si="0"/>
        <v>No</v>
      </c>
      <c r="G36" t="str">
        <f t="shared" si="1"/>
        <v/>
      </c>
      <c r="H36" t="str">
        <f t="shared" si="2"/>
        <v>—</v>
      </c>
      <c r="I36" t="str">
        <f t="shared" si="3"/>
        <v>Below thresholds</v>
      </c>
      <c r="J36" t="str">
        <f t="shared" si="4"/>
        <v/>
      </c>
    </row>
    <row r="37" spans="1:10" x14ac:dyDescent="0.2">
      <c r="A37">
        <v>226803189635</v>
      </c>
      <c r="B37" t="s">
        <v>814</v>
      </c>
      <c r="C37" t="s">
        <v>815</v>
      </c>
      <c r="D37">
        <v>1.49</v>
      </c>
      <c r="F37" t="str">
        <f t="shared" si="0"/>
        <v>No</v>
      </c>
      <c r="G37" t="str">
        <f t="shared" si="1"/>
        <v/>
      </c>
      <c r="H37" t="str">
        <f t="shared" si="2"/>
        <v>—</v>
      </c>
      <c r="I37" t="str">
        <f t="shared" si="3"/>
        <v>Below thresholds</v>
      </c>
      <c r="J37" t="str">
        <f t="shared" si="4"/>
        <v/>
      </c>
    </row>
    <row r="38" spans="1:10" x14ac:dyDescent="0.2">
      <c r="A38">
        <v>226803190733</v>
      </c>
      <c r="B38" t="s">
        <v>816</v>
      </c>
      <c r="C38" t="s">
        <v>817</v>
      </c>
      <c r="D38">
        <v>1.49</v>
      </c>
      <c r="F38" t="str">
        <f t="shared" si="0"/>
        <v>No</v>
      </c>
      <c r="G38" t="str">
        <f t="shared" si="1"/>
        <v/>
      </c>
      <c r="H38" t="str">
        <f t="shared" si="2"/>
        <v>—</v>
      </c>
      <c r="I38" t="str">
        <f t="shared" si="3"/>
        <v>Below thresholds</v>
      </c>
      <c r="J38" t="str">
        <f t="shared" si="4"/>
        <v/>
      </c>
    </row>
    <row r="39" spans="1:10" x14ac:dyDescent="0.2">
      <c r="A39">
        <v>226804785872</v>
      </c>
      <c r="B39" t="s">
        <v>818</v>
      </c>
      <c r="C39" t="s">
        <v>819</v>
      </c>
      <c r="D39">
        <v>1.49</v>
      </c>
      <c r="F39" t="str">
        <f t="shared" si="0"/>
        <v>No</v>
      </c>
      <c r="G39" t="str">
        <f t="shared" si="1"/>
        <v/>
      </c>
      <c r="H39" t="str">
        <f t="shared" si="2"/>
        <v>—</v>
      </c>
      <c r="I39" t="str">
        <f t="shared" si="3"/>
        <v>Below thresholds</v>
      </c>
      <c r="J39" t="str">
        <f t="shared" si="4"/>
        <v/>
      </c>
    </row>
    <row r="40" spans="1:10" x14ac:dyDescent="0.2">
      <c r="A40">
        <v>226804786838</v>
      </c>
      <c r="B40" t="s">
        <v>820</v>
      </c>
      <c r="C40" t="s">
        <v>821</v>
      </c>
      <c r="D40">
        <v>1.49</v>
      </c>
      <c r="F40" t="str">
        <f t="shared" si="0"/>
        <v>No</v>
      </c>
      <c r="G40" t="str">
        <f t="shared" si="1"/>
        <v/>
      </c>
      <c r="H40" t="str">
        <f t="shared" si="2"/>
        <v>—</v>
      </c>
      <c r="I40" t="str">
        <f t="shared" si="3"/>
        <v>Below thresholds</v>
      </c>
      <c r="J40" t="str">
        <f t="shared" si="4"/>
        <v/>
      </c>
    </row>
    <row r="41" spans="1:10" x14ac:dyDescent="0.2">
      <c r="A41">
        <v>226804887424</v>
      </c>
      <c r="B41" t="s">
        <v>822</v>
      </c>
      <c r="C41" t="s">
        <v>823</v>
      </c>
      <c r="D41">
        <v>1.99</v>
      </c>
      <c r="F41" t="str">
        <f t="shared" si="0"/>
        <v>No</v>
      </c>
      <c r="G41" t="str">
        <f t="shared" si="1"/>
        <v/>
      </c>
      <c r="H41" t="str">
        <f t="shared" si="2"/>
        <v>—</v>
      </c>
      <c r="I41" t="str">
        <f t="shared" si="3"/>
        <v>Below thresholds</v>
      </c>
      <c r="J41" t="str">
        <f t="shared" si="4"/>
        <v/>
      </c>
    </row>
    <row r="42" spans="1:10" x14ac:dyDescent="0.2">
      <c r="A42">
        <v>226817153337</v>
      </c>
      <c r="B42" t="s">
        <v>328</v>
      </c>
      <c r="C42" t="s">
        <v>824</v>
      </c>
      <c r="D42">
        <v>35</v>
      </c>
      <c r="F42" t="str">
        <f t="shared" si="0"/>
        <v>Yes</v>
      </c>
      <c r="G42" t="str">
        <f t="shared" si="1"/>
        <v>&lt;9</v>
      </c>
      <c r="H42" t="str">
        <f t="shared" si="2"/>
        <v>—</v>
      </c>
      <c r="I42" t="str">
        <f t="shared" si="3"/>
        <v>$20+ — needs velocity check</v>
      </c>
      <c r="J42" t="str">
        <f t="shared" si="4"/>
        <v>YES — pull CardHedger</v>
      </c>
    </row>
    <row r="43" spans="1:10" x14ac:dyDescent="0.2">
      <c r="A43">
        <v>226817154458</v>
      </c>
      <c r="B43" t="s">
        <v>825</v>
      </c>
      <c r="C43" t="s">
        <v>826</v>
      </c>
      <c r="D43">
        <v>2.25</v>
      </c>
      <c r="F43" t="str">
        <f t="shared" si="0"/>
        <v>No</v>
      </c>
      <c r="G43" t="str">
        <f t="shared" si="1"/>
        <v/>
      </c>
      <c r="H43" t="str">
        <f t="shared" si="2"/>
        <v>—</v>
      </c>
      <c r="I43" t="str">
        <f t="shared" si="3"/>
        <v>Below thresholds</v>
      </c>
      <c r="J43" t="str">
        <f t="shared" si="4"/>
        <v/>
      </c>
    </row>
    <row r="44" spans="1:10" x14ac:dyDescent="0.2">
      <c r="A44">
        <v>226818962727</v>
      </c>
      <c r="B44" t="s">
        <v>827</v>
      </c>
      <c r="C44" t="s">
        <v>828</v>
      </c>
      <c r="D44">
        <v>1.5</v>
      </c>
      <c r="F44" t="str">
        <f t="shared" si="0"/>
        <v>No</v>
      </c>
      <c r="G44" t="str">
        <f t="shared" si="1"/>
        <v/>
      </c>
      <c r="H44" t="str">
        <f t="shared" si="2"/>
        <v>—</v>
      </c>
      <c r="I44" t="str">
        <f t="shared" si="3"/>
        <v>Below thresholds</v>
      </c>
      <c r="J44" t="str">
        <f t="shared" si="4"/>
        <v/>
      </c>
    </row>
    <row r="45" spans="1:10" x14ac:dyDescent="0.2">
      <c r="A45">
        <v>226818962729</v>
      </c>
      <c r="B45" t="s">
        <v>829</v>
      </c>
      <c r="C45" t="s">
        <v>830</v>
      </c>
      <c r="D45">
        <v>1.25</v>
      </c>
      <c r="F45" t="str">
        <f t="shared" si="0"/>
        <v>No</v>
      </c>
      <c r="G45" t="str">
        <f t="shared" si="1"/>
        <v/>
      </c>
      <c r="H45" t="str">
        <f t="shared" si="2"/>
        <v>—</v>
      </c>
      <c r="I45" t="str">
        <f t="shared" si="3"/>
        <v>Below thresholds</v>
      </c>
      <c r="J45" t="str">
        <f t="shared" si="4"/>
        <v/>
      </c>
    </row>
    <row r="46" spans="1:10" x14ac:dyDescent="0.2">
      <c r="A46">
        <v>226818962733</v>
      </c>
      <c r="B46" t="s">
        <v>831</v>
      </c>
      <c r="C46" t="s">
        <v>832</v>
      </c>
      <c r="D46">
        <v>1.95</v>
      </c>
      <c r="F46" t="str">
        <f t="shared" si="0"/>
        <v>No</v>
      </c>
      <c r="G46" t="str">
        <f t="shared" si="1"/>
        <v/>
      </c>
      <c r="H46" t="str">
        <f t="shared" si="2"/>
        <v>—</v>
      </c>
      <c r="I46" t="str">
        <f t="shared" si="3"/>
        <v>Below thresholds</v>
      </c>
      <c r="J46" t="str">
        <f t="shared" si="4"/>
        <v/>
      </c>
    </row>
    <row r="47" spans="1:10" x14ac:dyDescent="0.2">
      <c r="A47">
        <v>226818962736</v>
      </c>
      <c r="B47" t="s">
        <v>833</v>
      </c>
      <c r="C47" t="s">
        <v>834</v>
      </c>
      <c r="D47">
        <v>1.49</v>
      </c>
      <c r="F47" t="str">
        <f t="shared" si="0"/>
        <v>No</v>
      </c>
      <c r="G47" t="str">
        <f t="shared" si="1"/>
        <v/>
      </c>
      <c r="H47" t="str">
        <f t="shared" si="2"/>
        <v>—</v>
      </c>
      <c r="I47" t="str">
        <f t="shared" si="3"/>
        <v>Below thresholds</v>
      </c>
      <c r="J47" t="str">
        <f t="shared" si="4"/>
        <v/>
      </c>
    </row>
    <row r="48" spans="1:10" x14ac:dyDescent="0.2">
      <c r="A48">
        <v>226818962738</v>
      </c>
      <c r="B48" t="s">
        <v>835</v>
      </c>
      <c r="C48" t="s">
        <v>836</v>
      </c>
      <c r="D48">
        <v>2.69</v>
      </c>
      <c r="F48" t="str">
        <f t="shared" si="0"/>
        <v>No</v>
      </c>
      <c r="G48" t="str">
        <f t="shared" si="1"/>
        <v/>
      </c>
      <c r="H48" t="str">
        <f t="shared" si="2"/>
        <v>—</v>
      </c>
      <c r="I48" t="str">
        <f t="shared" si="3"/>
        <v>Below thresholds</v>
      </c>
      <c r="J48" t="str">
        <f t="shared" si="4"/>
        <v/>
      </c>
    </row>
    <row r="49" spans="1:10" x14ac:dyDescent="0.2">
      <c r="A49">
        <v>226818962744</v>
      </c>
      <c r="B49" t="s">
        <v>837</v>
      </c>
      <c r="C49" t="s">
        <v>838</v>
      </c>
      <c r="D49">
        <v>1.25</v>
      </c>
      <c r="F49" t="str">
        <f t="shared" si="0"/>
        <v>No</v>
      </c>
      <c r="G49" t="str">
        <f t="shared" si="1"/>
        <v/>
      </c>
      <c r="H49" t="str">
        <f t="shared" si="2"/>
        <v>—</v>
      </c>
      <c r="I49" t="str">
        <f t="shared" si="3"/>
        <v>Below thresholds</v>
      </c>
      <c r="J49" t="str">
        <f t="shared" si="4"/>
        <v/>
      </c>
    </row>
    <row r="50" spans="1:10" x14ac:dyDescent="0.2">
      <c r="A50">
        <v>226818962746</v>
      </c>
      <c r="B50" t="s">
        <v>839</v>
      </c>
      <c r="C50" t="s">
        <v>840</v>
      </c>
      <c r="D50">
        <v>1.75</v>
      </c>
      <c r="F50" t="str">
        <f t="shared" si="0"/>
        <v>No</v>
      </c>
      <c r="G50" t="str">
        <f t="shared" si="1"/>
        <v/>
      </c>
      <c r="H50" t="str">
        <f t="shared" si="2"/>
        <v>—</v>
      </c>
      <c r="I50" t="str">
        <f t="shared" si="3"/>
        <v>Below thresholds</v>
      </c>
      <c r="J50" t="str">
        <f t="shared" si="4"/>
        <v/>
      </c>
    </row>
    <row r="51" spans="1:10" x14ac:dyDescent="0.2">
      <c r="A51">
        <v>226818962747</v>
      </c>
      <c r="B51" t="s">
        <v>841</v>
      </c>
      <c r="C51" t="s">
        <v>842</v>
      </c>
      <c r="D51">
        <v>1.99</v>
      </c>
      <c r="F51" t="str">
        <f t="shared" si="0"/>
        <v>No</v>
      </c>
      <c r="G51" t="str">
        <f t="shared" si="1"/>
        <v/>
      </c>
      <c r="H51" t="str">
        <f t="shared" si="2"/>
        <v>—</v>
      </c>
      <c r="I51" t="str">
        <f t="shared" si="3"/>
        <v>Below thresholds</v>
      </c>
      <c r="J51" t="str">
        <f t="shared" si="4"/>
        <v/>
      </c>
    </row>
    <row r="52" spans="1:10" x14ac:dyDescent="0.2">
      <c r="A52">
        <v>226831208878</v>
      </c>
      <c r="B52" t="s">
        <v>843</v>
      </c>
      <c r="C52" t="s">
        <v>844</v>
      </c>
      <c r="D52">
        <v>4.99</v>
      </c>
      <c r="F52" t="str">
        <f t="shared" si="0"/>
        <v>No</v>
      </c>
      <c r="G52" t="str">
        <f t="shared" si="1"/>
        <v/>
      </c>
      <c r="H52" t="str">
        <f t="shared" si="2"/>
        <v>—</v>
      </c>
      <c r="I52" t="str">
        <f t="shared" si="3"/>
        <v>Below thresholds</v>
      </c>
      <c r="J52" t="str">
        <f t="shared" si="4"/>
        <v/>
      </c>
    </row>
    <row r="53" spans="1:10" x14ac:dyDescent="0.2">
      <c r="A53">
        <v>226836055403</v>
      </c>
      <c r="B53" t="s">
        <v>845</v>
      </c>
      <c r="C53" t="s">
        <v>846</v>
      </c>
      <c r="D53">
        <v>1.25</v>
      </c>
      <c r="F53" t="str">
        <f t="shared" si="0"/>
        <v>No</v>
      </c>
      <c r="G53" t="str">
        <f t="shared" si="1"/>
        <v/>
      </c>
      <c r="H53" t="str">
        <f t="shared" si="2"/>
        <v>—</v>
      </c>
      <c r="I53" t="str">
        <f t="shared" si="3"/>
        <v>Below thresholds</v>
      </c>
      <c r="J53" t="str">
        <f t="shared" si="4"/>
        <v/>
      </c>
    </row>
    <row r="54" spans="1:10" x14ac:dyDescent="0.2">
      <c r="A54">
        <v>226843746893</v>
      </c>
      <c r="B54" t="s">
        <v>847</v>
      </c>
      <c r="C54" t="s">
        <v>848</v>
      </c>
      <c r="D54">
        <v>2.4900000000000002</v>
      </c>
      <c r="F54" t="str">
        <f t="shared" si="0"/>
        <v>No</v>
      </c>
      <c r="G54" t="str">
        <f t="shared" si="1"/>
        <v/>
      </c>
      <c r="H54" t="str">
        <f t="shared" si="2"/>
        <v>—</v>
      </c>
      <c r="I54" t="str">
        <f t="shared" si="3"/>
        <v>Below thresholds</v>
      </c>
      <c r="J54" t="str">
        <f t="shared" si="4"/>
        <v/>
      </c>
    </row>
    <row r="55" spans="1:10" x14ac:dyDescent="0.2">
      <c r="A55">
        <v>226843900603</v>
      </c>
      <c r="B55" t="s">
        <v>849</v>
      </c>
      <c r="C55" t="s">
        <v>850</v>
      </c>
      <c r="D55">
        <v>1.75</v>
      </c>
      <c r="F55" t="str">
        <f t="shared" si="0"/>
        <v>No</v>
      </c>
      <c r="G55" t="str">
        <f t="shared" si="1"/>
        <v/>
      </c>
      <c r="H55" t="str">
        <f t="shared" si="2"/>
        <v>—</v>
      </c>
      <c r="I55" t="str">
        <f t="shared" si="3"/>
        <v>Below thresholds</v>
      </c>
      <c r="J55" t="str">
        <f t="shared" si="4"/>
        <v/>
      </c>
    </row>
    <row r="56" spans="1:10" x14ac:dyDescent="0.2">
      <c r="A56">
        <v>226844278815</v>
      </c>
      <c r="B56" t="s">
        <v>851</v>
      </c>
      <c r="C56" t="s">
        <v>852</v>
      </c>
      <c r="D56">
        <v>1.49</v>
      </c>
      <c r="F56" t="str">
        <f t="shared" si="0"/>
        <v>No</v>
      </c>
      <c r="G56" t="str">
        <f t="shared" si="1"/>
        <v/>
      </c>
      <c r="H56" t="str">
        <f t="shared" si="2"/>
        <v>—</v>
      </c>
      <c r="I56" t="str">
        <f t="shared" si="3"/>
        <v>Below thresholds</v>
      </c>
      <c r="J56" t="str">
        <f t="shared" si="4"/>
        <v/>
      </c>
    </row>
    <row r="57" spans="1:10" x14ac:dyDescent="0.2">
      <c r="A57">
        <v>226844282222</v>
      </c>
      <c r="B57" t="s">
        <v>853</v>
      </c>
      <c r="C57" t="s">
        <v>854</v>
      </c>
      <c r="D57">
        <v>1</v>
      </c>
      <c r="F57" t="str">
        <f t="shared" si="0"/>
        <v>No</v>
      </c>
      <c r="G57" t="str">
        <f t="shared" si="1"/>
        <v/>
      </c>
      <c r="H57" t="str">
        <f t="shared" si="2"/>
        <v>—</v>
      </c>
      <c r="I57" t="str">
        <f t="shared" si="3"/>
        <v>Below thresholds</v>
      </c>
      <c r="J57" t="str">
        <f t="shared" si="4"/>
        <v/>
      </c>
    </row>
    <row r="58" spans="1:10" x14ac:dyDescent="0.2">
      <c r="A58">
        <v>226845427576</v>
      </c>
      <c r="B58" t="s">
        <v>855</v>
      </c>
      <c r="C58" t="s">
        <v>856</v>
      </c>
      <c r="D58">
        <v>1.49</v>
      </c>
      <c r="F58" t="str">
        <f t="shared" si="0"/>
        <v>No</v>
      </c>
      <c r="G58" t="str">
        <f t="shared" si="1"/>
        <v/>
      </c>
      <c r="H58" t="str">
        <f t="shared" si="2"/>
        <v>—</v>
      </c>
      <c r="I58" t="str">
        <f t="shared" si="3"/>
        <v>Below thresholds</v>
      </c>
      <c r="J58" t="str">
        <f t="shared" si="4"/>
        <v/>
      </c>
    </row>
    <row r="59" spans="1:10" x14ac:dyDescent="0.2">
      <c r="A59">
        <v>226845464055</v>
      </c>
      <c r="B59" t="s">
        <v>857</v>
      </c>
      <c r="C59" t="s">
        <v>858</v>
      </c>
      <c r="D59">
        <v>1.49</v>
      </c>
      <c r="F59" t="str">
        <f t="shared" si="0"/>
        <v>No</v>
      </c>
      <c r="G59" t="str">
        <f t="shared" si="1"/>
        <v/>
      </c>
      <c r="H59" t="str">
        <f t="shared" si="2"/>
        <v>—</v>
      </c>
      <c r="I59" t="str">
        <f t="shared" si="3"/>
        <v>Below thresholds</v>
      </c>
      <c r="J59" t="str">
        <f t="shared" si="4"/>
        <v/>
      </c>
    </row>
    <row r="60" spans="1:10" x14ac:dyDescent="0.2">
      <c r="A60">
        <v>226845471348</v>
      </c>
      <c r="B60" t="s">
        <v>859</v>
      </c>
      <c r="C60" t="s">
        <v>860</v>
      </c>
      <c r="D60">
        <v>1.49</v>
      </c>
      <c r="F60" t="str">
        <f t="shared" si="0"/>
        <v>No</v>
      </c>
      <c r="G60" t="str">
        <f t="shared" si="1"/>
        <v/>
      </c>
      <c r="H60" t="str">
        <f t="shared" si="2"/>
        <v>—</v>
      </c>
      <c r="I60" t="str">
        <f t="shared" si="3"/>
        <v>Below thresholds</v>
      </c>
      <c r="J60" t="str">
        <f t="shared" si="4"/>
        <v/>
      </c>
    </row>
    <row r="61" spans="1:10" x14ac:dyDescent="0.2">
      <c r="A61">
        <v>226845515370</v>
      </c>
      <c r="B61" t="s">
        <v>861</v>
      </c>
      <c r="C61" t="s">
        <v>862</v>
      </c>
      <c r="D61">
        <v>1.49</v>
      </c>
      <c r="F61" t="str">
        <f t="shared" si="0"/>
        <v>No</v>
      </c>
      <c r="G61" t="str">
        <f t="shared" si="1"/>
        <v/>
      </c>
      <c r="H61" t="str">
        <f t="shared" si="2"/>
        <v>—</v>
      </c>
      <c r="I61" t="str">
        <f t="shared" si="3"/>
        <v>Below thresholds</v>
      </c>
      <c r="J61" t="str">
        <f t="shared" si="4"/>
        <v/>
      </c>
    </row>
    <row r="62" spans="1:10" x14ac:dyDescent="0.2">
      <c r="A62">
        <v>226845544356</v>
      </c>
      <c r="B62" t="s">
        <v>863</v>
      </c>
      <c r="C62" t="s">
        <v>864</v>
      </c>
      <c r="D62">
        <v>1.49</v>
      </c>
      <c r="F62" t="str">
        <f t="shared" si="0"/>
        <v>No</v>
      </c>
      <c r="G62" t="str">
        <f t="shared" si="1"/>
        <v/>
      </c>
      <c r="H62" t="str">
        <f t="shared" si="2"/>
        <v>—</v>
      </c>
      <c r="I62" t="str">
        <f t="shared" si="3"/>
        <v>Below thresholds</v>
      </c>
      <c r="J62" t="str">
        <f t="shared" si="4"/>
        <v/>
      </c>
    </row>
    <row r="63" spans="1:10" x14ac:dyDescent="0.2">
      <c r="A63">
        <v>226846032956</v>
      </c>
      <c r="B63" t="s">
        <v>865</v>
      </c>
      <c r="C63" t="s">
        <v>866</v>
      </c>
      <c r="D63">
        <v>1.45</v>
      </c>
      <c r="F63" t="str">
        <f t="shared" si="0"/>
        <v>No</v>
      </c>
      <c r="G63" t="str">
        <f t="shared" si="1"/>
        <v/>
      </c>
      <c r="H63" t="str">
        <f t="shared" si="2"/>
        <v>—</v>
      </c>
      <c r="I63" t="str">
        <f t="shared" si="3"/>
        <v>Below thresholds</v>
      </c>
      <c r="J63" t="str">
        <f t="shared" si="4"/>
        <v/>
      </c>
    </row>
    <row r="64" spans="1:10" x14ac:dyDescent="0.2">
      <c r="A64">
        <v>226846034392</v>
      </c>
      <c r="B64" t="s">
        <v>867</v>
      </c>
      <c r="C64" t="s">
        <v>868</v>
      </c>
      <c r="D64">
        <v>3.25</v>
      </c>
      <c r="F64" t="str">
        <f t="shared" si="0"/>
        <v>No</v>
      </c>
      <c r="G64" t="str">
        <f t="shared" si="1"/>
        <v/>
      </c>
      <c r="H64" t="str">
        <f t="shared" si="2"/>
        <v>—</v>
      </c>
      <c r="I64" t="str">
        <f t="shared" si="3"/>
        <v>Below thresholds</v>
      </c>
      <c r="J64" t="str">
        <f t="shared" si="4"/>
        <v/>
      </c>
    </row>
    <row r="65" spans="1:10" x14ac:dyDescent="0.2">
      <c r="A65">
        <v>226846048926</v>
      </c>
      <c r="B65" t="s">
        <v>869</v>
      </c>
      <c r="C65" t="s">
        <v>870</v>
      </c>
      <c r="D65">
        <v>3.25</v>
      </c>
      <c r="F65" t="str">
        <f t="shared" si="0"/>
        <v>No</v>
      </c>
      <c r="G65" t="str">
        <f t="shared" si="1"/>
        <v/>
      </c>
      <c r="H65" t="str">
        <f t="shared" si="2"/>
        <v>—</v>
      </c>
      <c r="I65" t="str">
        <f t="shared" si="3"/>
        <v>Below thresholds</v>
      </c>
      <c r="J65" t="str">
        <f t="shared" si="4"/>
        <v/>
      </c>
    </row>
    <row r="66" spans="1:10" x14ac:dyDescent="0.2">
      <c r="A66">
        <v>226847684332</v>
      </c>
      <c r="B66" t="s">
        <v>871</v>
      </c>
      <c r="C66" t="s">
        <v>872</v>
      </c>
      <c r="D66">
        <v>3.49</v>
      </c>
      <c r="F66" t="str">
        <f t="shared" si="0"/>
        <v>No</v>
      </c>
      <c r="G66" t="str">
        <f t="shared" si="1"/>
        <v/>
      </c>
      <c r="H66" t="str">
        <f t="shared" si="2"/>
        <v>—</v>
      </c>
      <c r="I66" t="str">
        <f t="shared" si="3"/>
        <v>Below thresholds</v>
      </c>
      <c r="J66" t="str">
        <f t="shared" si="4"/>
        <v/>
      </c>
    </row>
    <row r="67" spans="1:10" x14ac:dyDescent="0.2">
      <c r="A67">
        <v>226847692762</v>
      </c>
      <c r="B67" t="s">
        <v>873</v>
      </c>
      <c r="C67" t="s">
        <v>874</v>
      </c>
      <c r="D67">
        <v>3.25</v>
      </c>
      <c r="F67" t="str">
        <f t="shared" si="0"/>
        <v>No</v>
      </c>
      <c r="G67" t="str">
        <f t="shared" si="1"/>
        <v/>
      </c>
      <c r="H67" t="str">
        <f t="shared" si="2"/>
        <v>—</v>
      </c>
      <c r="I67" t="str">
        <f t="shared" si="3"/>
        <v>Below thresholds</v>
      </c>
      <c r="J67" t="str">
        <f t="shared" si="4"/>
        <v/>
      </c>
    </row>
    <row r="68" spans="1:10" x14ac:dyDescent="0.2">
      <c r="A68">
        <v>226847777953</v>
      </c>
      <c r="B68" t="s">
        <v>875</v>
      </c>
      <c r="C68" t="s">
        <v>876</v>
      </c>
      <c r="D68">
        <v>1.49</v>
      </c>
      <c r="F68" t="str">
        <f t="shared" si="0"/>
        <v>No</v>
      </c>
      <c r="G68" t="str">
        <f t="shared" si="1"/>
        <v/>
      </c>
      <c r="H68" t="str">
        <f t="shared" si="2"/>
        <v>—</v>
      </c>
      <c r="I68" t="str">
        <f t="shared" si="3"/>
        <v>Below thresholds</v>
      </c>
      <c r="J68" t="str">
        <f t="shared" si="4"/>
        <v/>
      </c>
    </row>
    <row r="69" spans="1:10" x14ac:dyDescent="0.2">
      <c r="A69">
        <v>226849140703</v>
      </c>
      <c r="B69" t="s">
        <v>877</v>
      </c>
      <c r="C69" t="s">
        <v>878</v>
      </c>
      <c r="D69">
        <v>2.25</v>
      </c>
      <c r="F69" t="str">
        <f t="shared" ref="F69:F132" si="5">IF($B69="","",IF(ISNUMBER(SEARCH("PSA",$B69)),"Yes","No"))</f>
        <v>No</v>
      </c>
      <c r="G69" t="str">
        <f t="shared" ref="G69:G132" si="6">IF($B69="","",IF(ISNUMBER(SEARCH("PSA 10",$B69)),10,IF(ISNUMBER(SEARCH("PSA 9.5",$B69)),9.5,IF(ISNUMBER(SEARCH("PSA 9",$B69)),9,IF(ISNUMBER(SEARCH("PSA 8",$B69)),8,IF(ISNUMBER(SEARCH("PSA",$B69)),"&lt;9",""))))))</f>
        <v/>
      </c>
      <c r="H69" t="str">
        <f t="shared" ref="H69:H132" si="7">IF($B69="","",IF($D69&gt;=100,"TIER 2",IF(OR(ISNUMBER(SEARCH("PSA 10",$B69)),ISNUMBER(SEARCH("PSA 9.5",$B69)),ISNUMBER(SEARCH("PSA 9",$B69))),"TIER 3",IF(AND($D69&gt;20,N($E69)&gt;=15),"TIER 1","—"))))</f>
        <v>—</v>
      </c>
      <c r="I69" t="str">
        <f t="shared" ref="I69:I132" si="8">IF($B69="","",IF($D69&gt;=100,"Premium $100+ (auto)",IF(OR(ISNUMBER(SEARCH("PSA 10",$B69)),ISNUMBER(SEARCH("PSA 9.5",$B69)),ISNUMBER(SEARCH("PSA 9",$B69))),"Graded PSA 9+ (auto)",IF(AND($D69&gt;20,N($E69)&gt;=15),"Hot: $20+ &amp; "&amp;$E69&amp;"/day",IF($D69&gt;20,"$20+ — needs velocity check","Below thresholds")))))</f>
        <v>Below thresholds</v>
      </c>
      <c r="J69" t="str">
        <f t="shared" ref="J69:J132" si="9">IF($B69="","",IF(AND($D69&gt;20,$D69&lt;100,NOT(OR(ISNUMBER(SEARCH("PSA 10",$B69)),ISNUMBER(SEARCH("PSA 9.5",$B69)),ISNUMBER(SEARCH("PSA 9",$B69)))),$E69=""),"YES — pull CardHedger",""))</f>
        <v/>
      </c>
    </row>
    <row r="70" spans="1:10" x14ac:dyDescent="0.2">
      <c r="A70">
        <v>226849142060</v>
      </c>
      <c r="B70" t="s">
        <v>879</v>
      </c>
      <c r="C70" t="s">
        <v>880</v>
      </c>
      <c r="D70">
        <v>2.99</v>
      </c>
      <c r="F70" t="str">
        <f t="shared" si="5"/>
        <v>No</v>
      </c>
      <c r="G70" t="str">
        <f t="shared" si="6"/>
        <v/>
      </c>
      <c r="H70" t="str">
        <f t="shared" si="7"/>
        <v>—</v>
      </c>
      <c r="I70" t="str">
        <f t="shared" si="8"/>
        <v>Below thresholds</v>
      </c>
      <c r="J70" t="str">
        <f t="shared" si="9"/>
        <v/>
      </c>
    </row>
    <row r="71" spans="1:10" x14ac:dyDescent="0.2">
      <c r="A71">
        <v>226851222451</v>
      </c>
      <c r="B71" t="s">
        <v>881</v>
      </c>
      <c r="C71" t="s">
        <v>882</v>
      </c>
      <c r="D71">
        <v>3.49</v>
      </c>
      <c r="F71" t="str">
        <f t="shared" si="5"/>
        <v>No</v>
      </c>
      <c r="G71" t="str">
        <f t="shared" si="6"/>
        <v/>
      </c>
      <c r="H71" t="str">
        <f t="shared" si="7"/>
        <v>—</v>
      </c>
      <c r="I71" t="str">
        <f t="shared" si="8"/>
        <v>Below thresholds</v>
      </c>
      <c r="J71" t="str">
        <f t="shared" si="9"/>
        <v/>
      </c>
    </row>
    <row r="72" spans="1:10" x14ac:dyDescent="0.2">
      <c r="A72">
        <v>226851230138</v>
      </c>
      <c r="B72" t="s">
        <v>883</v>
      </c>
      <c r="C72" t="s">
        <v>884</v>
      </c>
      <c r="D72">
        <v>2.15</v>
      </c>
      <c r="F72" t="str">
        <f t="shared" si="5"/>
        <v>No</v>
      </c>
      <c r="G72" t="str">
        <f t="shared" si="6"/>
        <v/>
      </c>
      <c r="H72" t="str">
        <f t="shared" si="7"/>
        <v>—</v>
      </c>
      <c r="I72" t="str">
        <f t="shared" si="8"/>
        <v>Below thresholds</v>
      </c>
      <c r="J72" t="str">
        <f t="shared" si="9"/>
        <v/>
      </c>
    </row>
    <row r="73" spans="1:10" x14ac:dyDescent="0.2">
      <c r="A73">
        <v>226857642448</v>
      </c>
      <c r="B73" t="s">
        <v>885</v>
      </c>
      <c r="C73" t="s">
        <v>886</v>
      </c>
      <c r="D73">
        <v>1.69</v>
      </c>
      <c r="F73" t="str">
        <f t="shared" si="5"/>
        <v>No</v>
      </c>
      <c r="G73" t="str">
        <f t="shared" si="6"/>
        <v/>
      </c>
      <c r="H73" t="str">
        <f t="shared" si="7"/>
        <v>—</v>
      </c>
      <c r="I73" t="str">
        <f t="shared" si="8"/>
        <v>Below thresholds</v>
      </c>
      <c r="J73" t="str">
        <f t="shared" si="9"/>
        <v/>
      </c>
    </row>
    <row r="74" spans="1:10" x14ac:dyDescent="0.2">
      <c r="A74">
        <v>226857646257</v>
      </c>
      <c r="B74" t="s">
        <v>887</v>
      </c>
      <c r="C74" t="s">
        <v>888</v>
      </c>
      <c r="D74">
        <v>1.49</v>
      </c>
      <c r="F74" t="str">
        <f t="shared" si="5"/>
        <v>No</v>
      </c>
      <c r="G74" t="str">
        <f t="shared" si="6"/>
        <v/>
      </c>
      <c r="H74" t="str">
        <f t="shared" si="7"/>
        <v>—</v>
      </c>
      <c r="I74" t="str">
        <f t="shared" si="8"/>
        <v>Below thresholds</v>
      </c>
      <c r="J74" t="str">
        <f t="shared" si="9"/>
        <v/>
      </c>
    </row>
    <row r="75" spans="1:10" x14ac:dyDescent="0.2">
      <c r="A75">
        <v>226864734022</v>
      </c>
      <c r="B75" t="s">
        <v>889</v>
      </c>
      <c r="C75" t="s">
        <v>890</v>
      </c>
      <c r="D75">
        <v>1.49</v>
      </c>
      <c r="F75" t="str">
        <f t="shared" si="5"/>
        <v>No</v>
      </c>
      <c r="G75" t="str">
        <f t="shared" si="6"/>
        <v/>
      </c>
      <c r="H75" t="str">
        <f t="shared" si="7"/>
        <v>—</v>
      </c>
      <c r="I75" t="str">
        <f t="shared" si="8"/>
        <v>Below thresholds</v>
      </c>
      <c r="J75" t="str">
        <f t="shared" si="9"/>
        <v/>
      </c>
    </row>
    <row r="76" spans="1:10" x14ac:dyDescent="0.2">
      <c r="A76">
        <v>226864736154</v>
      </c>
      <c r="B76" t="s">
        <v>891</v>
      </c>
      <c r="C76" t="s">
        <v>892</v>
      </c>
      <c r="D76">
        <v>1.49</v>
      </c>
      <c r="F76" t="str">
        <f t="shared" si="5"/>
        <v>No</v>
      </c>
      <c r="G76" t="str">
        <f t="shared" si="6"/>
        <v/>
      </c>
      <c r="H76" t="str">
        <f t="shared" si="7"/>
        <v>—</v>
      </c>
      <c r="I76" t="str">
        <f t="shared" si="8"/>
        <v>Below thresholds</v>
      </c>
      <c r="J76" t="str">
        <f t="shared" si="9"/>
        <v/>
      </c>
    </row>
    <row r="77" spans="1:10" x14ac:dyDescent="0.2">
      <c r="A77">
        <v>226864741461</v>
      </c>
      <c r="B77" t="s">
        <v>893</v>
      </c>
      <c r="C77" t="s">
        <v>894</v>
      </c>
      <c r="D77">
        <v>1.49</v>
      </c>
      <c r="F77" t="str">
        <f t="shared" si="5"/>
        <v>No</v>
      </c>
      <c r="G77" t="str">
        <f t="shared" si="6"/>
        <v/>
      </c>
      <c r="H77" t="str">
        <f t="shared" si="7"/>
        <v>—</v>
      </c>
      <c r="I77" t="str">
        <f t="shared" si="8"/>
        <v>Below thresholds</v>
      </c>
      <c r="J77" t="str">
        <f t="shared" si="9"/>
        <v/>
      </c>
    </row>
    <row r="78" spans="1:10" x14ac:dyDescent="0.2">
      <c r="A78">
        <v>226864745578</v>
      </c>
      <c r="B78" t="s">
        <v>895</v>
      </c>
      <c r="C78" t="s">
        <v>896</v>
      </c>
      <c r="D78">
        <v>1.75</v>
      </c>
      <c r="F78" t="str">
        <f t="shared" si="5"/>
        <v>No</v>
      </c>
      <c r="G78" t="str">
        <f t="shared" si="6"/>
        <v/>
      </c>
      <c r="H78" t="str">
        <f t="shared" si="7"/>
        <v>—</v>
      </c>
      <c r="I78" t="str">
        <f t="shared" si="8"/>
        <v>Below thresholds</v>
      </c>
      <c r="J78" t="str">
        <f t="shared" si="9"/>
        <v/>
      </c>
    </row>
    <row r="79" spans="1:10" x14ac:dyDescent="0.2">
      <c r="A79">
        <v>226864748507</v>
      </c>
      <c r="B79" t="s">
        <v>897</v>
      </c>
      <c r="C79" t="s">
        <v>898</v>
      </c>
      <c r="D79">
        <v>1.59</v>
      </c>
      <c r="F79" t="str">
        <f t="shared" si="5"/>
        <v>No</v>
      </c>
      <c r="G79" t="str">
        <f t="shared" si="6"/>
        <v/>
      </c>
      <c r="H79" t="str">
        <f t="shared" si="7"/>
        <v>—</v>
      </c>
      <c r="I79" t="str">
        <f t="shared" si="8"/>
        <v>Below thresholds</v>
      </c>
      <c r="J79" t="str">
        <f t="shared" si="9"/>
        <v/>
      </c>
    </row>
    <row r="80" spans="1:10" x14ac:dyDescent="0.2">
      <c r="A80">
        <v>226864927550</v>
      </c>
      <c r="B80" t="s">
        <v>899</v>
      </c>
      <c r="C80" t="s">
        <v>900</v>
      </c>
      <c r="D80">
        <v>10.49</v>
      </c>
      <c r="F80" t="str">
        <f t="shared" si="5"/>
        <v>No</v>
      </c>
      <c r="G80" t="str">
        <f t="shared" si="6"/>
        <v/>
      </c>
      <c r="H80" t="str">
        <f t="shared" si="7"/>
        <v>—</v>
      </c>
      <c r="I80" t="str">
        <f t="shared" si="8"/>
        <v>Below thresholds</v>
      </c>
      <c r="J80" t="str">
        <f t="shared" si="9"/>
        <v/>
      </c>
    </row>
    <row r="81" spans="1:10" x14ac:dyDescent="0.2">
      <c r="A81">
        <v>226866210910</v>
      </c>
      <c r="B81" t="s">
        <v>901</v>
      </c>
      <c r="C81" t="s">
        <v>902</v>
      </c>
      <c r="D81">
        <v>1.5</v>
      </c>
      <c r="F81" t="str">
        <f t="shared" si="5"/>
        <v>No</v>
      </c>
      <c r="G81" t="str">
        <f t="shared" si="6"/>
        <v/>
      </c>
      <c r="H81" t="str">
        <f t="shared" si="7"/>
        <v>—</v>
      </c>
      <c r="I81" t="str">
        <f t="shared" si="8"/>
        <v>Below thresholds</v>
      </c>
      <c r="J81" t="str">
        <f t="shared" si="9"/>
        <v/>
      </c>
    </row>
    <row r="82" spans="1:10" x14ac:dyDescent="0.2">
      <c r="A82">
        <v>226866220270</v>
      </c>
      <c r="B82" t="s">
        <v>903</v>
      </c>
      <c r="C82" t="s">
        <v>904</v>
      </c>
      <c r="D82">
        <v>1.49</v>
      </c>
      <c r="F82" t="str">
        <f t="shared" si="5"/>
        <v>No</v>
      </c>
      <c r="G82" t="str">
        <f t="shared" si="6"/>
        <v/>
      </c>
      <c r="H82" t="str">
        <f t="shared" si="7"/>
        <v>—</v>
      </c>
      <c r="I82" t="str">
        <f t="shared" si="8"/>
        <v>Below thresholds</v>
      </c>
      <c r="J82" t="str">
        <f t="shared" si="9"/>
        <v/>
      </c>
    </row>
    <row r="83" spans="1:10" x14ac:dyDescent="0.2">
      <c r="A83">
        <v>226866222715</v>
      </c>
      <c r="B83" t="s">
        <v>905</v>
      </c>
      <c r="C83" t="s">
        <v>906</v>
      </c>
      <c r="D83">
        <v>1.79</v>
      </c>
      <c r="F83" t="str">
        <f t="shared" si="5"/>
        <v>No</v>
      </c>
      <c r="G83" t="str">
        <f t="shared" si="6"/>
        <v/>
      </c>
      <c r="H83" t="str">
        <f t="shared" si="7"/>
        <v>—</v>
      </c>
      <c r="I83" t="str">
        <f t="shared" si="8"/>
        <v>Below thresholds</v>
      </c>
      <c r="J83" t="str">
        <f t="shared" si="9"/>
        <v/>
      </c>
    </row>
    <row r="84" spans="1:10" x14ac:dyDescent="0.2">
      <c r="A84">
        <v>226866225971</v>
      </c>
      <c r="B84" t="s">
        <v>907</v>
      </c>
      <c r="C84" t="s">
        <v>908</v>
      </c>
      <c r="D84">
        <v>1.79</v>
      </c>
      <c r="F84" t="str">
        <f t="shared" si="5"/>
        <v>No</v>
      </c>
      <c r="G84" t="str">
        <f t="shared" si="6"/>
        <v/>
      </c>
      <c r="H84" t="str">
        <f t="shared" si="7"/>
        <v>—</v>
      </c>
      <c r="I84" t="str">
        <f t="shared" si="8"/>
        <v>Below thresholds</v>
      </c>
      <c r="J84" t="str">
        <f t="shared" si="9"/>
        <v/>
      </c>
    </row>
    <row r="85" spans="1:10" x14ac:dyDescent="0.2">
      <c r="A85">
        <v>226866231604</v>
      </c>
      <c r="B85" t="s">
        <v>909</v>
      </c>
      <c r="C85" t="s">
        <v>910</v>
      </c>
      <c r="D85">
        <v>1.59</v>
      </c>
      <c r="F85" t="str">
        <f t="shared" si="5"/>
        <v>No</v>
      </c>
      <c r="G85" t="str">
        <f t="shared" si="6"/>
        <v/>
      </c>
      <c r="H85" t="str">
        <f t="shared" si="7"/>
        <v>—</v>
      </c>
      <c r="I85" t="str">
        <f t="shared" si="8"/>
        <v>Below thresholds</v>
      </c>
      <c r="J85" t="str">
        <f t="shared" si="9"/>
        <v/>
      </c>
    </row>
    <row r="86" spans="1:10" x14ac:dyDescent="0.2">
      <c r="A86">
        <v>226866233240</v>
      </c>
      <c r="B86" t="s">
        <v>911</v>
      </c>
      <c r="C86" t="s">
        <v>912</v>
      </c>
      <c r="D86">
        <v>1.59</v>
      </c>
      <c r="F86" t="str">
        <f t="shared" si="5"/>
        <v>No</v>
      </c>
      <c r="G86" t="str">
        <f t="shared" si="6"/>
        <v/>
      </c>
      <c r="H86" t="str">
        <f t="shared" si="7"/>
        <v>—</v>
      </c>
      <c r="I86" t="str">
        <f t="shared" si="8"/>
        <v>Below thresholds</v>
      </c>
      <c r="J86" t="str">
        <f t="shared" si="9"/>
        <v/>
      </c>
    </row>
    <row r="87" spans="1:10" x14ac:dyDescent="0.2">
      <c r="A87">
        <v>226869439040</v>
      </c>
      <c r="B87" t="s">
        <v>913</v>
      </c>
      <c r="C87" t="s">
        <v>914</v>
      </c>
      <c r="D87">
        <v>35</v>
      </c>
      <c r="F87" t="str">
        <f t="shared" si="5"/>
        <v>No</v>
      </c>
      <c r="G87" t="str">
        <f t="shared" si="6"/>
        <v/>
      </c>
      <c r="H87" t="str">
        <f t="shared" si="7"/>
        <v>—</v>
      </c>
      <c r="I87" t="str">
        <f t="shared" si="8"/>
        <v>$20+ — needs velocity check</v>
      </c>
      <c r="J87" t="str">
        <f t="shared" si="9"/>
        <v>YES — pull CardHedger</v>
      </c>
    </row>
    <row r="88" spans="1:10" x14ac:dyDescent="0.2">
      <c r="A88">
        <v>226869443069</v>
      </c>
      <c r="B88" t="s">
        <v>324</v>
      </c>
      <c r="C88" t="s">
        <v>915</v>
      </c>
      <c r="D88">
        <v>50</v>
      </c>
      <c r="F88" t="str">
        <f t="shared" si="5"/>
        <v>No</v>
      </c>
      <c r="G88" t="str">
        <f t="shared" si="6"/>
        <v/>
      </c>
      <c r="H88" t="str">
        <f t="shared" si="7"/>
        <v>—</v>
      </c>
      <c r="I88" t="str">
        <f t="shared" si="8"/>
        <v>$20+ — needs velocity check</v>
      </c>
      <c r="J88" t="str">
        <f t="shared" si="9"/>
        <v>YES — pull CardHedger</v>
      </c>
    </row>
    <row r="89" spans="1:10" x14ac:dyDescent="0.2">
      <c r="A89">
        <v>226869466057</v>
      </c>
      <c r="B89" t="s">
        <v>916</v>
      </c>
      <c r="C89" t="s">
        <v>917</v>
      </c>
      <c r="D89">
        <v>3.5</v>
      </c>
      <c r="F89" t="str">
        <f t="shared" si="5"/>
        <v>No</v>
      </c>
      <c r="G89" t="str">
        <f t="shared" si="6"/>
        <v/>
      </c>
      <c r="H89" t="str">
        <f t="shared" si="7"/>
        <v>—</v>
      </c>
      <c r="I89" t="str">
        <f t="shared" si="8"/>
        <v>Below thresholds</v>
      </c>
      <c r="J89" t="str">
        <f t="shared" si="9"/>
        <v/>
      </c>
    </row>
    <row r="90" spans="1:10" x14ac:dyDescent="0.2">
      <c r="A90">
        <v>226869542400</v>
      </c>
      <c r="B90" t="s">
        <v>918</v>
      </c>
      <c r="C90" t="s">
        <v>919</v>
      </c>
      <c r="D90">
        <v>10</v>
      </c>
      <c r="F90" t="str">
        <f t="shared" si="5"/>
        <v>No</v>
      </c>
      <c r="G90" t="str">
        <f t="shared" si="6"/>
        <v/>
      </c>
      <c r="H90" t="str">
        <f t="shared" si="7"/>
        <v>—</v>
      </c>
      <c r="I90" t="str">
        <f t="shared" si="8"/>
        <v>Below thresholds</v>
      </c>
      <c r="J90" t="str">
        <f t="shared" si="9"/>
        <v/>
      </c>
    </row>
    <row r="91" spans="1:10" x14ac:dyDescent="0.2">
      <c r="A91">
        <v>226869562689</v>
      </c>
      <c r="B91" t="s">
        <v>920</v>
      </c>
      <c r="C91" t="s">
        <v>921</v>
      </c>
      <c r="D91">
        <v>13.99</v>
      </c>
      <c r="F91" t="str">
        <f t="shared" si="5"/>
        <v>No</v>
      </c>
      <c r="G91" t="str">
        <f t="shared" si="6"/>
        <v/>
      </c>
      <c r="H91" t="str">
        <f t="shared" si="7"/>
        <v>—</v>
      </c>
      <c r="I91" t="str">
        <f t="shared" si="8"/>
        <v>Below thresholds</v>
      </c>
      <c r="J91" t="str">
        <f t="shared" si="9"/>
        <v/>
      </c>
    </row>
    <row r="92" spans="1:10" x14ac:dyDescent="0.2">
      <c r="A92">
        <v>226869566763</v>
      </c>
      <c r="B92" t="s">
        <v>922</v>
      </c>
      <c r="C92" t="s">
        <v>923</v>
      </c>
      <c r="D92">
        <v>7.5</v>
      </c>
      <c r="F92" t="str">
        <f t="shared" si="5"/>
        <v>No</v>
      </c>
      <c r="G92" t="str">
        <f t="shared" si="6"/>
        <v/>
      </c>
      <c r="H92" t="str">
        <f t="shared" si="7"/>
        <v>—</v>
      </c>
      <c r="I92" t="str">
        <f t="shared" si="8"/>
        <v>Below thresholds</v>
      </c>
      <c r="J92" t="str">
        <f t="shared" si="9"/>
        <v/>
      </c>
    </row>
    <row r="93" spans="1:10" x14ac:dyDescent="0.2">
      <c r="A93">
        <v>226869586395</v>
      </c>
      <c r="B93" t="s">
        <v>924</v>
      </c>
      <c r="C93" t="s">
        <v>925</v>
      </c>
      <c r="D93">
        <v>1.99</v>
      </c>
      <c r="F93" t="str">
        <f t="shared" si="5"/>
        <v>No</v>
      </c>
      <c r="G93" t="str">
        <f t="shared" si="6"/>
        <v/>
      </c>
      <c r="H93" t="str">
        <f t="shared" si="7"/>
        <v>—</v>
      </c>
      <c r="I93" t="str">
        <f t="shared" si="8"/>
        <v>Below thresholds</v>
      </c>
      <c r="J93" t="str">
        <f t="shared" si="9"/>
        <v/>
      </c>
    </row>
    <row r="94" spans="1:10" x14ac:dyDescent="0.2">
      <c r="A94">
        <v>226871121315</v>
      </c>
      <c r="B94" t="s">
        <v>926</v>
      </c>
      <c r="C94" t="s">
        <v>927</v>
      </c>
      <c r="D94">
        <v>6.5</v>
      </c>
      <c r="F94" t="str">
        <f t="shared" si="5"/>
        <v>No</v>
      </c>
      <c r="G94" t="str">
        <f t="shared" si="6"/>
        <v/>
      </c>
      <c r="H94" t="str">
        <f t="shared" si="7"/>
        <v>—</v>
      </c>
      <c r="I94" t="str">
        <f t="shared" si="8"/>
        <v>Below thresholds</v>
      </c>
      <c r="J94" t="str">
        <f t="shared" si="9"/>
        <v/>
      </c>
    </row>
    <row r="95" spans="1:10" x14ac:dyDescent="0.2">
      <c r="A95">
        <v>226873311732</v>
      </c>
      <c r="B95" t="s">
        <v>928</v>
      </c>
      <c r="C95" t="s">
        <v>929</v>
      </c>
      <c r="D95">
        <v>1.5</v>
      </c>
      <c r="F95" t="str">
        <f t="shared" si="5"/>
        <v>No</v>
      </c>
      <c r="G95" t="str">
        <f t="shared" si="6"/>
        <v/>
      </c>
      <c r="H95" t="str">
        <f t="shared" si="7"/>
        <v>—</v>
      </c>
      <c r="I95" t="str">
        <f t="shared" si="8"/>
        <v>Below thresholds</v>
      </c>
      <c r="J95" t="str">
        <f t="shared" si="9"/>
        <v/>
      </c>
    </row>
    <row r="96" spans="1:10" x14ac:dyDescent="0.2">
      <c r="A96">
        <v>226873346451</v>
      </c>
      <c r="B96" t="s">
        <v>930</v>
      </c>
      <c r="C96" t="s">
        <v>931</v>
      </c>
      <c r="D96">
        <v>1.25</v>
      </c>
      <c r="F96" t="str">
        <f t="shared" si="5"/>
        <v>No</v>
      </c>
      <c r="G96" t="str">
        <f t="shared" si="6"/>
        <v/>
      </c>
      <c r="H96" t="str">
        <f t="shared" si="7"/>
        <v>—</v>
      </c>
      <c r="I96" t="str">
        <f t="shared" si="8"/>
        <v>Below thresholds</v>
      </c>
      <c r="J96" t="str">
        <f t="shared" si="9"/>
        <v/>
      </c>
    </row>
    <row r="97" spans="1:10" x14ac:dyDescent="0.2">
      <c r="A97">
        <v>226873348125</v>
      </c>
      <c r="B97" t="s">
        <v>932</v>
      </c>
      <c r="C97" t="s">
        <v>933</v>
      </c>
      <c r="D97">
        <v>1.49</v>
      </c>
      <c r="F97" t="str">
        <f t="shared" si="5"/>
        <v>No</v>
      </c>
      <c r="G97" t="str">
        <f t="shared" si="6"/>
        <v/>
      </c>
      <c r="H97" t="str">
        <f t="shared" si="7"/>
        <v>—</v>
      </c>
      <c r="I97" t="str">
        <f t="shared" si="8"/>
        <v>Below thresholds</v>
      </c>
      <c r="J97" t="str">
        <f t="shared" si="9"/>
        <v/>
      </c>
    </row>
    <row r="98" spans="1:10" x14ac:dyDescent="0.2">
      <c r="A98">
        <v>226873350439</v>
      </c>
      <c r="B98" t="s">
        <v>934</v>
      </c>
      <c r="C98" t="s">
        <v>935</v>
      </c>
      <c r="D98">
        <v>1.49</v>
      </c>
      <c r="F98" t="str">
        <f t="shared" si="5"/>
        <v>No</v>
      </c>
      <c r="G98" t="str">
        <f t="shared" si="6"/>
        <v/>
      </c>
      <c r="H98" t="str">
        <f t="shared" si="7"/>
        <v>—</v>
      </c>
      <c r="I98" t="str">
        <f t="shared" si="8"/>
        <v>Below thresholds</v>
      </c>
      <c r="J98" t="str">
        <f t="shared" si="9"/>
        <v/>
      </c>
    </row>
    <row r="99" spans="1:10" x14ac:dyDescent="0.2">
      <c r="A99">
        <v>226873351596</v>
      </c>
      <c r="B99" t="s">
        <v>936</v>
      </c>
      <c r="C99" t="s">
        <v>937</v>
      </c>
      <c r="D99">
        <v>1.25</v>
      </c>
      <c r="F99" t="str">
        <f t="shared" si="5"/>
        <v>No</v>
      </c>
      <c r="G99" t="str">
        <f t="shared" si="6"/>
        <v/>
      </c>
      <c r="H99" t="str">
        <f t="shared" si="7"/>
        <v>—</v>
      </c>
      <c r="I99" t="str">
        <f t="shared" si="8"/>
        <v>Below thresholds</v>
      </c>
      <c r="J99" t="str">
        <f t="shared" si="9"/>
        <v/>
      </c>
    </row>
    <row r="100" spans="1:10" x14ac:dyDescent="0.2">
      <c r="A100">
        <v>226873354198</v>
      </c>
      <c r="B100" t="s">
        <v>938</v>
      </c>
      <c r="C100" t="s">
        <v>939</v>
      </c>
      <c r="D100">
        <v>1.99</v>
      </c>
      <c r="F100" t="str">
        <f t="shared" si="5"/>
        <v>No</v>
      </c>
      <c r="G100" t="str">
        <f t="shared" si="6"/>
        <v/>
      </c>
      <c r="H100" t="str">
        <f t="shared" si="7"/>
        <v>—</v>
      </c>
      <c r="I100" t="str">
        <f t="shared" si="8"/>
        <v>Below thresholds</v>
      </c>
      <c r="J100" t="str">
        <f t="shared" si="9"/>
        <v/>
      </c>
    </row>
    <row r="101" spans="1:10" x14ac:dyDescent="0.2">
      <c r="A101">
        <v>226873355755</v>
      </c>
      <c r="B101" t="s">
        <v>940</v>
      </c>
      <c r="C101" t="s">
        <v>941</v>
      </c>
      <c r="D101">
        <v>4</v>
      </c>
      <c r="F101" t="str">
        <f t="shared" si="5"/>
        <v>No</v>
      </c>
      <c r="G101" t="str">
        <f t="shared" si="6"/>
        <v/>
      </c>
      <c r="H101" t="str">
        <f t="shared" si="7"/>
        <v>—</v>
      </c>
      <c r="I101" t="str">
        <f t="shared" si="8"/>
        <v>Below thresholds</v>
      </c>
      <c r="J101" t="str">
        <f t="shared" si="9"/>
        <v/>
      </c>
    </row>
    <row r="102" spans="1:10" x14ac:dyDescent="0.2">
      <c r="A102">
        <v>226873361320</v>
      </c>
      <c r="B102" t="s">
        <v>942</v>
      </c>
      <c r="C102" t="s">
        <v>943</v>
      </c>
      <c r="D102">
        <v>2.4900000000000002</v>
      </c>
      <c r="F102" t="str">
        <f t="shared" si="5"/>
        <v>No</v>
      </c>
      <c r="G102" t="str">
        <f t="shared" si="6"/>
        <v/>
      </c>
      <c r="H102" t="str">
        <f t="shared" si="7"/>
        <v>—</v>
      </c>
      <c r="I102" t="str">
        <f t="shared" si="8"/>
        <v>Below thresholds</v>
      </c>
      <c r="J102" t="str">
        <f t="shared" si="9"/>
        <v/>
      </c>
    </row>
    <row r="103" spans="1:10" x14ac:dyDescent="0.2">
      <c r="A103">
        <v>226873363672</v>
      </c>
      <c r="B103" t="s">
        <v>944</v>
      </c>
      <c r="C103" t="s">
        <v>945</v>
      </c>
      <c r="D103">
        <v>2.25</v>
      </c>
      <c r="F103" t="str">
        <f t="shared" si="5"/>
        <v>No</v>
      </c>
      <c r="G103" t="str">
        <f t="shared" si="6"/>
        <v/>
      </c>
      <c r="H103" t="str">
        <f t="shared" si="7"/>
        <v>—</v>
      </c>
      <c r="I103" t="str">
        <f t="shared" si="8"/>
        <v>Below thresholds</v>
      </c>
      <c r="J103" t="str">
        <f t="shared" si="9"/>
        <v/>
      </c>
    </row>
    <row r="104" spans="1:10" x14ac:dyDescent="0.2">
      <c r="A104">
        <v>226873368029</v>
      </c>
      <c r="B104" t="s">
        <v>946</v>
      </c>
      <c r="C104" t="s">
        <v>947</v>
      </c>
      <c r="D104">
        <v>3.49</v>
      </c>
      <c r="F104" t="str">
        <f t="shared" si="5"/>
        <v>No</v>
      </c>
      <c r="G104" t="str">
        <f t="shared" si="6"/>
        <v/>
      </c>
      <c r="H104" t="str">
        <f t="shared" si="7"/>
        <v>—</v>
      </c>
      <c r="I104" t="str">
        <f t="shared" si="8"/>
        <v>Below thresholds</v>
      </c>
      <c r="J104" t="str">
        <f t="shared" si="9"/>
        <v/>
      </c>
    </row>
    <row r="105" spans="1:10" x14ac:dyDescent="0.2">
      <c r="A105">
        <v>226873380283</v>
      </c>
      <c r="B105" t="s">
        <v>948</v>
      </c>
      <c r="C105" t="s">
        <v>949</v>
      </c>
      <c r="D105">
        <v>1.49</v>
      </c>
      <c r="F105" t="str">
        <f t="shared" si="5"/>
        <v>No</v>
      </c>
      <c r="G105" t="str">
        <f t="shared" si="6"/>
        <v/>
      </c>
      <c r="H105" t="str">
        <f t="shared" si="7"/>
        <v>—</v>
      </c>
      <c r="I105" t="str">
        <f t="shared" si="8"/>
        <v>Below thresholds</v>
      </c>
      <c r="J105" t="str">
        <f t="shared" si="9"/>
        <v/>
      </c>
    </row>
    <row r="106" spans="1:10" x14ac:dyDescent="0.2">
      <c r="A106">
        <v>226873382505</v>
      </c>
      <c r="B106" t="s">
        <v>950</v>
      </c>
      <c r="C106" t="s">
        <v>951</v>
      </c>
      <c r="D106">
        <v>1.49</v>
      </c>
      <c r="F106" t="str">
        <f t="shared" si="5"/>
        <v>No</v>
      </c>
      <c r="G106" t="str">
        <f t="shared" si="6"/>
        <v/>
      </c>
      <c r="H106" t="str">
        <f t="shared" si="7"/>
        <v>—</v>
      </c>
      <c r="I106" t="str">
        <f t="shared" si="8"/>
        <v>Below thresholds</v>
      </c>
      <c r="J106" t="str">
        <f t="shared" si="9"/>
        <v/>
      </c>
    </row>
    <row r="107" spans="1:10" x14ac:dyDescent="0.2">
      <c r="A107">
        <v>226875618285</v>
      </c>
      <c r="B107" t="s">
        <v>336</v>
      </c>
      <c r="C107" t="s">
        <v>952</v>
      </c>
      <c r="D107">
        <v>24.95</v>
      </c>
      <c r="F107" t="str">
        <f t="shared" si="5"/>
        <v>No</v>
      </c>
      <c r="G107" t="str">
        <f t="shared" si="6"/>
        <v/>
      </c>
      <c r="H107" t="str">
        <f t="shared" si="7"/>
        <v>—</v>
      </c>
      <c r="I107" t="str">
        <f t="shared" si="8"/>
        <v>$20+ — needs velocity check</v>
      </c>
      <c r="J107" t="str">
        <f t="shared" si="9"/>
        <v>YES — pull CardHedger</v>
      </c>
    </row>
    <row r="108" spans="1:10" x14ac:dyDescent="0.2">
      <c r="A108">
        <v>226875861820</v>
      </c>
      <c r="B108" t="s">
        <v>953</v>
      </c>
      <c r="C108" t="s">
        <v>954</v>
      </c>
      <c r="D108">
        <v>2.5</v>
      </c>
      <c r="F108" t="str">
        <f t="shared" si="5"/>
        <v>No</v>
      </c>
      <c r="G108" t="str">
        <f t="shared" si="6"/>
        <v/>
      </c>
      <c r="H108" t="str">
        <f t="shared" si="7"/>
        <v>—</v>
      </c>
      <c r="I108" t="str">
        <f t="shared" si="8"/>
        <v>Below thresholds</v>
      </c>
      <c r="J108" t="str">
        <f t="shared" si="9"/>
        <v/>
      </c>
    </row>
    <row r="109" spans="1:10" x14ac:dyDescent="0.2">
      <c r="A109">
        <v>226877121389</v>
      </c>
      <c r="B109" t="s">
        <v>955</v>
      </c>
      <c r="C109" t="s">
        <v>956</v>
      </c>
      <c r="D109">
        <v>1.75</v>
      </c>
      <c r="F109" t="str">
        <f t="shared" si="5"/>
        <v>No</v>
      </c>
      <c r="G109" t="str">
        <f t="shared" si="6"/>
        <v/>
      </c>
      <c r="H109" t="str">
        <f t="shared" si="7"/>
        <v>—</v>
      </c>
      <c r="I109" t="str">
        <f t="shared" si="8"/>
        <v>Below thresholds</v>
      </c>
      <c r="J109" t="str">
        <f t="shared" si="9"/>
        <v/>
      </c>
    </row>
    <row r="110" spans="1:10" x14ac:dyDescent="0.2">
      <c r="A110">
        <v>226877124573</v>
      </c>
      <c r="B110" t="s">
        <v>957</v>
      </c>
      <c r="C110" t="s">
        <v>958</v>
      </c>
      <c r="D110">
        <v>1.49</v>
      </c>
      <c r="F110" t="str">
        <f t="shared" si="5"/>
        <v>No</v>
      </c>
      <c r="G110" t="str">
        <f t="shared" si="6"/>
        <v/>
      </c>
      <c r="H110" t="str">
        <f t="shared" si="7"/>
        <v>—</v>
      </c>
      <c r="I110" t="str">
        <f t="shared" si="8"/>
        <v>Below thresholds</v>
      </c>
      <c r="J110" t="str">
        <f t="shared" si="9"/>
        <v/>
      </c>
    </row>
    <row r="111" spans="1:10" x14ac:dyDescent="0.2">
      <c r="A111">
        <v>226877126788</v>
      </c>
      <c r="B111" t="s">
        <v>959</v>
      </c>
      <c r="C111" t="s">
        <v>960</v>
      </c>
      <c r="D111">
        <v>1.49</v>
      </c>
      <c r="F111" t="str">
        <f t="shared" si="5"/>
        <v>No</v>
      </c>
      <c r="G111" t="str">
        <f t="shared" si="6"/>
        <v/>
      </c>
      <c r="H111" t="str">
        <f t="shared" si="7"/>
        <v>—</v>
      </c>
      <c r="I111" t="str">
        <f t="shared" si="8"/>
        <v>Below thresholds</v>
      </c>
      <c r="J111" t="str">
        <f t="shared" si="9"/>
        <v/>
      </c>
    </row>
    <row r="112" spans="1:10" x14ac:dyDescent="0.2">
      <c r="A112">
        <v>226877129454</v>
      </c>
      <c r="B112" t="s">
        <v>961</v>
      </c>
      <c r="C112" t="s">
        <v>962</v>
      </c>
      <c r="D112">
        <v>1.49</v>
      </c>
      <c r="F112" t="str">
        <f t="shared" si="5"/>
        <v>No</v>
      </c>
      <c r="G112" t="str">
        <f t="shared" si="6"/>
        <v/>
      </c>
      <c r="H112" t="str">
        <f t="shared" si="7"/>
        <v>—</v>
      </c>
      <c r="I112" t="str">
        <f t="shared" si="8"/>
        <v>Below thresholds</v>
      </c>
      <c r="J112" t="str">
        <f t="shared" si="9"/>
        <v/>
      </c>
    </row>
    <row r="113" spans="1:10" x14ac:dyDescent="0.2">
      <c r="A113">
        <v>226877147220</v>
      </c>
      <c r="B113" t="s">
        <v>963</v>
      </c>
      <c r="C113" t="s">
        <v>964</v>
      </c>
      <c r="D113">
        <v>1.49</v>
      </c>
      <c r="F113" t="str">
        <f t="shared" si="5"/>
        <v>No</v>
      </c>
      <c r="G113" t="str">
        <f t="shared" si="6"/>
        <v/>
      </c>
      <c r="H113" t="str">
        <f t="shared" si="7"/>
        <v>—</v>
      </c>
      <c r="I113" t="str">
        <f t="shared" si="8"/>
        <v>Below thresholds</v>
      </c>
      <c r="J113" t="str">
        <f t="shared" si="9"/>
        <v/>
      </c>
    </row>
    <row r="114" spans="1:10" x14ac:dyDescent="0.2">
      <c r="A114">
        <v>226877148681</v>
      </c>
      <c r="B114" t="s">
        <v>965</v>
      </c>
      <c r="C114" t="s">
        <v>966</v>
      </c>
      <c r="D114">
        <v>3.5</v>
      </c>
      <c r="F114" t="str">
        <f t="shared" si="5"/>
        <v>No</v>
      </c>
      <c r="G114" t="str">
        <f t="shared" si="6"/>
        <v/>
      </c>
      <c r="H114" t="str">
        <f t="shared" si="7"/>
        <v>—</v>
      </c>
      <c r="I114" t="str">
        <f t="shared" si="8"/>
        <v>Below thresholds</v>
      </c>
      <c r="J114" t="str">
        <f t="shared" si="9"/>
        <v/>
      </c>
    </row>
    <row r="115" spans="1:10" x14ac:dyDescent="0.2">
      <c r="A115">
        <v>226877149955</v>
      </c>
      <c r="B115" t="s">
        <v>967</v>
      </c>
      <c r="C115" t="s">
        <v>968</v>
      </c>
      <c r="D115">
        <v>1.5</v>
      </c>
      <c r="F115" t="str">
        <f t="shared" si="5"/>
        <v>No</v>
      </c>
      <c r="G115" t="str">
        <f t="shared" si="6"/>
        <v/>
      </c>
      <c r="H115" t="str">
        <f t="shared" si="7"/>
        <v>—</v>
      </c>
      <c r="I115" t="str">
        <f t="shared" si="8"/>
        <v>Below thresholds</v>
      </c>
      <c r="J115" t="str">
        <f t="shared" si="9"/>
        <v/>
      </c>
    </row>
    <row r="116" spans="1:10" x14ac:dyDescent="0.2">
      <c r="A116">
        <v>226877151344</v>
      </c>
      <c r="B116" t="s">
        <v>969</v>
      </c>
      <c r="C116" t="s">
        <v>970</v>
      </c>
      <c r="D116">
        <v>1.99</v>
      </c>
      <c r="F116" t="str">
        <f t="shared" si="5"/>
        <v>No</v>
      </c>
      <c r="G116" t="str">
        <f t="shared" si="6"/>
        <v/>
      </c>
      <c r="H116" t="str">
        <f t="shared" si="7"/>
        <v>—</v>
      </c>
      <c r="I116" t="str">
        <f t="shared" si="8"/>
        <v>Below thresholds</v>
      </c>
      <c r="J116" t="str">
        <f t="shared" si="9"/>
        <v/>
      </c>
    </row>
    <row r="117" spans="1:10" x14ac:dyDescent="0.2">
      <c r="A117">
        <v>226877215869</v>
      </c>
      <c r="B117" t="s">
        <v>971</v>
      </c>
      <c r="C117" t="s">
        <v>972</v>
      </c>
      <c r="D117">
        <v>4.5</v>
      </c>
      <c r="F117" t="str">
        <f t="shared" si="5"/>
        <v>No</v>
      </c>
      <c r="G117" t="str">
        <f t="shared" si="6"/>
        <v/>
      </c>
      <c r="H117" t="str">
        <f t="shared" si="7"/>
        <v>—</v>
      </c>
      <c r="I117" t="str">
        <f t="shared" si="8"/>
        <v>Below thresholds</v>
      </c>
      <c r="J117" t="str">
        <f t="shared" si="9"/>
        <v/>
      </c>
    </row>
    <row r="118" spans="1:10" x14ac:dyDescent="0.2">
      <c r="A118">
        <v>226877229091</v>
      </c>
      <c r="B118" t="s">
        <v>973</v>
      </c>
      <c r="C118" t="s">
        <v>974</v>
      </c>
      <c r="D118">
        <v>1.29</v>
      </c>
      <c r="F118" t="str">
        <f t="shared" si="5"/>
        <v>No</v>
      </c>
      <c r="G118" t="str">
        <f t="shared" si="6"/>
        <v/>
      </c>
      <c r="H118" t="str">
        <f t="shared" si="7"/>
        <v>—</v>
      </c>
      <c r="I118" t="str">
        <f t="shared" si="8"/>
        <v>Below thresholds</v>
      </c>
      <c r="J118" t="str">
        <f t="shared" si="9"/>
        <v/>
      </c>
    </row>
    <row r="119" spans="1:10" x14ac:dyDescent="0.2">
      <c r="A119">
        <v>226877234772</v>
      </c>
      <c r="B119" t="s">
        <v>975</v>
      </c>
      <c r="C119" t="s">
        <v>976</v>
      </c>
      <c r="D119">
        <v>1.29</v>
      </c>
      <c r="F119" t="str">
        <f t="shared" si="5"/>
        <v>No</v>
      </c>
      <c r="G119" t="str">
        <f t="shared" si="6"/>
        <v/>
      </c>
      <c r="H119" t="str">
        <f t="shared" si="7"/>
        <v>—</v>
      </c>
      <c r="I119" t="str">
        <f t="shared" si="8"/>
        <v>Below thresholds</v>
      </c>
      <c r="J119" t="str">
        <f t="shared" si="9"/>
        <v/>
      </c>
    </row>
    <row r="120" spans="1:10" x14ac:dyDescent="0.2">
      <c r="A120">
        <v>226877265694</v>
      </c>
      <c r="B120" t="s">
        <v>977</v>
      </c>
      <c r="C120" t="s">
        <v>978</v>
      </c>
      <c r="D120">
        <v>1.99</v>
      </c>
      <c r="F120" t="str">
        <f t="shared" si="5"/>
        <v>No</v>
      </c>
      <c r="G120" t="str">
        <f t="shared" si="6"/>
        <v/>
      </c>
      <c r="H120" t="str">
        <f t="shared" si="7"/>
        <v>—</v>
      </c>
      <c r="I120" t="str">
        <f t="shared" si="8"/>
        <v>Below thresholds</v>
      </c>
      <c r="J120" t="str">
        <f t="shared" si="9"/>
        <v/>
      </c>
    </row>
    <row r="121" spans="1:10" x14ac:dyDescent="0.2">
      <c r="A121">
        <v>226877271229</v>
      </c>
      <c r="B121" t="s">
        <v>979</v>
      </c>
      <c r="C121" t="s">
        <v>980</v>
      </c>
      <c r="D121">
        <v>1.49</v>
      </c>
      <c r="F121" t="str">
        <f t="shared" si="5"/>
        <v>No</v>
      </c>
      <c r="G121" t="str">
        <f t="shared" si="6"/>
        <v/>
      </c>
      <c r="H121" t="str">
        <f t="shared" si="7"/>
        <v>—</v>
      </c>
      <c r="I121" t="str">
        <f t="shared" si="8"/>
        <v>Below thresholds</v>
      </c>
      <c r="J121" t="str">
        <f t="shared" si="9"/>
        <v/>
      </c>
    </row>
    <row r="122" spans="1:10" x14ac:dyDescent="0.2">
      <c r="A122">
        <v>226877275136</v>
      </c>
      <c r="B122" t="s">
        <v>981</v>
      </c>
      <c r="C122" t="s">
        <v>982</v>
      </c>
      <c r="D122">
        <v>1.99</v>
      </c>
      <c r="F122" t="str">
        <f t="shared" si="5"/>
        <v>No</v>
      </c>
      <c r="G122" t="str">
        <f t="shared" si="6"/>
        <v/>
      </c>
      <c r="H122" t="str">
        <f t="shared" si="7"/>
        <v>—</v>
      </c>
      <c r="I122" t="str">
        <f t="shared" si="8"/>
        <v>Below thresholds</v>
      </c>
      <c r="J122" t="str">
        <f t="shared" si="9"/>
        <v/>
      </c>
    </row>
    <row r="123" spans="1:10" x14ac:dyDescent="0.2">
      <c r="A123">
        <v>226877278058</v>
      </c>
      <c r="B123" t="s">
        <v>983</v>
      </c>
      <c r="C123" t="s">
        <v>984</v>
      </c>
      <c r="D123">
        <v>1.29</v>
      </c>
      <c r="F123" t="str">
        <f t="shared" si="5"/>
        <v>No</v>
      </c>
      <c r="G123" t="str">
        <f t="shared" si="6"/>
        <v/>
      </c>
      <c r="H123" t="str">
        <f t="shared" si="7"/>
        <v>—</v>
      </c>
      <c r="I123" t="str">
        <f t="shared" si="8"/>
        <v>Below thresholds</v>
      </c>
      <c r="J123" t="str">
        <f t="shared" si="9"/>
        <v/>
      </c>
    </row>
    <row r="124" spans="1:10" x14ac:dyDescent="0.2">
      <c r="A124">
        <v>226877280878</v>
      </c>
      <c r="B124" t="s">
        <v>985</v>
      </c>
      <c r="C124" t="s">
        <v>986</v>
      </c>
      <c r="D124">
        <v>1.29</v>
      </c>
      <c r="F124" t="str">
        <f t="shared" si="5"/>
        <v>No</v>
      </c>
      <c r="G124" t="str">
        <f t="shared" si="6"/>
        <v/>
      </c>
      <c r="H124" t="str">
        <f t="shared" si="7"/>
        <v>—</v>
      </c>
      <c r="I124" t="str">
        <f t="shared" si="8"/>
        <v>Below thresholds</v>
      </c>
      <c r="J124" t="str">
        <f t="shared" si="9"/>
        <v/>
      </c>
    </row>
    <row r="125" spans="1:10" x14ac:dyDescent="0.2">
      <c r="A125">
        <v>226877284390</v>
      </c>
      <c r="B125" t="s">
        <v>987</v>
      </c>
      <c r="C125" t="s">
        <v>988</v>
      </c>
      <c r="D125">
        <v>1.75</v>
      </c>
      <c r="F125" t="str">
        <f t="shared" si="5"/>
        <v>No</v>
      </c>
      <c r="G125" t="str">
        <f t="shared" si="6"/>
        <v/>
      </c>
      <c r="H125" t="str">
        <f t="shared" si="7"/>
        <v>—</v>
      </c>
      <c r="I125" t="str">
        <f t="shared" si="8"/>
        <v>Below thresholds</v>
      </c>
      <c r="J125" t="str">
        <f t="shared" si="9"/>
        <v/>
      </c>
    </row>
    <row r="126" spans="1:10" x14ac:dyDescent="0.2">
      <c r="A126">
        <v>226877462004</v>
      </c>
      <c r="B126" t="s">
        <v>989</v>
      </c>
      <c r="C126" t="s">
        <v>990</v>
      </c>
      <c r="D126">
        <v>1.99</v>
      </c>
      <c r="F126" t="str">
        <f t="shared" si="5"/>
        <v>No</v>
      </c>
      <c r="G126" t="str">
        <f t="shared" si="6"/>
        <v/>
      </c>
      <c r="H126" t="str">
        <f t="shared" si="7"/>
        <v>—</v>
      </c>
      <c r="I126" t="str">
        <f t="shared" si="8"/>
        <v>Below thresholds</v>
      </c>
      <c r="J126" t="str">
        <f t="shared" si="9"/>
        <v/>
      </c>
    </row>
    <row r="127" spans="1:10" x14ac:dyDescent="0.2">
      <c r="A127">
        <v>226877472423</v>
      </c>
      <c r="B127" t="s">
        <v>991</v>
      </c>
      <c r="C127" t="s">
        <v>992</v>
      </c>
      <c r="D127">
        <v>1.99</v>
      </c>
      <c r="F127" t="str">
        <f t="shared" si="5"/>
        <v>No</v>
      </c>
      <c r="G127" t="str">
        <f t="shared" si="6"/>
        <v/>
      </c>
      <c r="H127" t="str">
        <f t="shared" si="7"/>
        <v>—</v>
      </c>
      <c r="I127" t="str">
        <f t="shared" si="8"/>
        <v>Below thresholds</v>
      </c>
      <c r="J127" t="str">
        <f t="shared" si="9"/>
        <v/>
      </c>
    </row>
    <row r="128" spans="1:10" x14ac:dyDescent="0.2">
      <c r="A128">
        <v>226877482256</v>
      </c>
      <c r="B128" t="s">
        <v>993</v>
      </c>
      <c r="C128" t="s">
        <v>994</v>
      </c>
      <c r="D128">
        <v>4</v>
      </c>
      <c r="F128" t="str">
        <f t="shared" si="5"/>
        <v>No</v>
      </c>
      <c r="G128" t="str">
        <f t="shared" si="6"/>
        <v/>
      </c>
      <c r="H128" t="str">
        <f t="shared" si="7"/>
        <v>—</v>
      </c>
      <c r="I128" t="str">
        <f t="shared" si="8"/>
        <v>Below thresholds</v>
      </c>
      <c r="J128" t="str">
        <f t="shared" si="9"/>
        <v/>
      </c>
    </row>
    <row r="129" spans="1:10" x14ac:dyDescent="0.2">
      <c r="A129">
        <v>226879874658</v>
      </c>
      <c r="B129" t="s">
        <v>995</v>
      </c>
      <c r="C129" t="s">
        <v>996</v>
      </c>
      <c r="D129">
        <v>1.25</v>
      </c>
      <c r="F129" t="str">
        <f t="shared" si="5"/>
        <v>No</v>
      </c>
      <c r="G129" t="str">
        <f t="shared" si="6"/>
        <v/>
      </c>
      <c r="H129" t="str">
        <f t="shared" si="7"/>
        <v>—</v>
      </c>
      <c r="I129" t="str">
        <f t="shared" si="8"/>
        <v>Below thresholds</v>
      </c>
      <c r="J129" t="str">
        <f t="shared" si="9"/>
        <v/>
      </c>
    </row>
    <row r="130" spans="1:10" x14ac:dyDescent="0.2">
      <c r="A130">
        <v>226879880553</v>
      </c>
      <c r="B130" t="s">
        <v>997</v>
      </c>
      <c r="C130" t="s">
        <v>998</v>
      </c>
      <c r="D130">
        <v>1.25</v>
      </c>
      <c r="F130" t="str">
        <f t="shared" si="5"/>
        <v>No</v>
      </c>
      <c r="G130" t="str">
        <f t="shared" si="6"/>
        <v/>
      </c>
      <c r="H130" t="str">
        <f t="shared" si="7"/>
        <v>—</v>
      </c>
      <c r="I130" t="str">
        <f t="shared" si="8"/>
        <v>Below thresholds</v>
      </c>
      <c r="J130" t="str">
        <f t="shared" si="9"/>
        <v/>
      </c>
    </row>
    <row r="131" spans="1:10" x14ac:dyDescent="0.2">
      <c r="A131">
        <v>226879883003</v>
      </c>
      <c r="B131" t="s">
        <v>999</v>
      </c>
      <c r="C131" t="s">
        <v>1000</v>
      </c>
      <c r="D131">
        <v>1.25</v>
      </c>
      <c r="F131" t="str">
        <f t="shared" si="5"/>
        <v>No</v>
      </c>
      <c r="G131" t="str">
        <f t="shared" si="6"/>
        <v/>
      </c>
      <c r="H131" t="str">
        <f t="shared" si="7"/>
        <v>—</v>
      </c>
      <c r="I131" t="str">
        <f t="shared" si="8"/>
        <v>Below thresholds</v>
      </c>
      <c r="J131" t="str">
        <f t="shared" si="9"/>
        <v/>
      </c>
    </row>
    <row r="132" spans="1:10" x14ac:dyDescent="0.2">
      <c r="A132">
        <v>226879884807</v>
      </c>
      <c r="B132" t="s">
        <v>1001</v>
      </c>
      <c r="C132" t="s">
        <v>1002</v>
      </c>
      <c r="D132">
        <v>4</v>
      </c>
      <c r="F132" t="str">
        <f t="shared" si="5"/>
        <v>No</v>
      </c>
      <c r="G132" t="str">
        <f t="shared" si="6"/>
        <v/>
      </c>
      <c r="H132" t="str">
        <f t="shared" si="7"/>
        <v>—</v>
      </c>
      <c r="I132" t="str">
        <f t="shared" si="8"/>
        <v>Below thresholds</v>
      </c>
      <c r="J132" t="str">
        <f t="shared" si="9"/>
        <v/>
      </c>
    </row>
    <row r="133" spans="1:10" x14ac:dyDescent="0.2">
      <c r="A133">
        <v>226879888740</v>
      </c>
      <c r="B133" t="s">
        <v>1003</v>
      </c>
      <c r="C133" t="s">
        <v>1004</v>
      </c>
      <c r="D133">
        <v>2.5</v>
      </c>
      <c r="F133" t="str">
        <f t="shared" ref="F133:F196" si="10">IF($B133="","",IF(ISNUMBER(SEARCH("PSA",$B133)),"Yes","No"))</f>
        <v>No</v>
      </c>
      <c r="G133" t="str">
        <f t="shared" ref="G133:G196" si="11">IF($B133="","",IF(ISNUMBER(SEARCH("PSA 10",$B133)),10,IF(ISNUMBER(SEARCH("PSA 9.5",$B133)),9.5,IF(ISNUMBER(SEARCH("PSA 9",$B133)),9,IF(ISNUMBER(SEARCH("PSA 8",$B133)),8,IF(ISNUMBER(SEARCH("PSA",$B133)),"&lt;9",""))))))</f>
        <v/>
      </c>
      <c r="H133" t="str">
        <f t="shared" ref="H133:H196" si="12">IF($B133="","",IF($D133&gt;=100,"TIER 2",IF(OR(ISNUMBER(SEARCH("PSA 10",$B133)),ISNUMBER(SEARCH("PSA 9.5",$B133)),ISNUMBER(SEARCH("PSA 9",$B133))),"TIER 3",IF(AND($D133&gt;20,N($E133)&gt;=15),"TIER 1","—"))))</f>
        <v>—</v>
      </c>
      <c r="I133" t="str">
        <f t="shared" ref="I133:I196" si="13">IF($B133="","",IF($D133&gt;=100,"Premium $100+ (auto)",IF(OR(ISNUMBER(SEARCH("PSA 10",$B133)),ISNUMBER(SEARCH("PSA 9.5",$B133)),ISNUMBER(SEARCH("PSA 9",$B133))),"Graded PSA 9+ (auto)",IF(AND($D133&gt;20,N($E133)&gt;=15),"Hot: $20+ &amp; "&amp;$E133&amp;"/day",IF($D133&gt;20,"$20+ — needs velocity check","Below thresholds")))))</f>
        <v>Below thresholds</v>
      </c>
      <c r="J133" t="str">
        <f t="shared" ref="J133:J196" si="14">IF($B133="","",IF(AND($D133&gt;20,$D133&lt;100,NOT(OR(ISNUMBER(SEARCH("PSA 10",$B133)),ISNUMBER(SEARCH("PSA 9.5",$B133)),ISNUMBER(SEARCH("PSA 9",$B133)))),$E133=""),"YES — pull CardHedger",""))</f>
        <v/>
      </c>
    </row>
    <row r="134" spans="1:10" x14ac:dyDescent="0.2">
      <c r="A134">
        <v>226879903258</v>
      </c>
      <c r="B134" t="s">
        <v>1005</v>
      </c>
      <c r="C134" t="s">
        <v>1006</v>
      </c>
      <c r="D134">
        <v>1.25</v>
      </c>
      <c r="F134" t="str">
        <f t="shared" si="10"/>
        <v>No</v>
      </c>
      <c r="G134" t="str">
        <f t="shared" si="11"/>
        <v/>
      </c>
      <c r="H134" t="str">
        <f t="shared" si="12"/>
        <v>—</v>
      </c>
      <c r="I134" t="str">
        <f t="shared" si="13"/>
        <v>Below thresholds</v>
      </c>
      <c r="J134" t="str">
        <f t="shared" si="14"/>
        <v/>
      </c>
    </row>
    <row r="135" spans="1:10" x14ac:dyDescent="0.2">
      <c r="A135">
        <v>226879904709</v>
      </c>
      <c r="B135" t="s">
        <v>1007</v>
      </c>
      <c r="C135" t="s">
        <v>1008</v>
      </c>
      <c r="D135">
        <v>1.25</v>
      </c>
      <c r="F135" t="str">
        <f t="shared" si="10"/>
        <v>No</v>
      </c>
      <c r="G135" t="str">
        <f t="shared" si="11"/>
        <v/>
      </c>
      <c r="H135" t="str">
        <f t="shared" si="12"/>
        <v>—</v>
      </c>
      <c r="I135" t="str">
        <f t="shared" si="13"/>
        <v>Below thresholds</v>
      </c>
      <c r="J135" t="str">
        <f t="shared" si="14"/>
        <v/>
      </c>
    </row>
    <row r="136" spans="1:10" x14ac:dyDescent="0.2">
      <c r="A136">
        <v>226879907262</v>
      </c>
      <c r="B136" t="s">
        <v>1009</v>
      </c>
      <c r="C136" t="s">
        <v>1010</v>
      </c>
      <c r="D136">
        <v>1.25</v>
      </c>
      <c r="F136" t="str">
        <f t="shared" si="10"/>
        <v>No</v>
      </c>
      <c r="G136" t="str">
        <f t="shared" si="11"/>
        <v/>
      </c>
      <c r="H136" t="str">
        <f t="shared" si="12"/>
        <v>—</v>
      </c>
      <c r="I136" t="str">
        <f t="shared" si="13"/>
        <v>Below thresholds</v>
      </c>
      <c r="J136" t="str">
        <f t="shared" si="14"/>
        <v/>
      </c>
    </row>
    <row r="137" spans="1:10" x14ac:dyDescent="0.2">
      <c r="A137">
        <v>226879915017</v>
      </c>
      <c r="B137" t="s">
        <v>1011</v>
      </c>
      <c r="C137" t="s">
        <v>1012</v>
      </c>
      <c r="D137">
        <v>1.25</v>
      </c>
      <c r="F137" t="str">
        <f t="shared" si="10"/>
        <v>No</v>
      </c>
      <c r="G137" t="str">
        <f t="shared" si="11"/>
        <v/>
      </c>
      <c r="H137" t="str">
        <f t="shared" si="12"/>
        <v>—</v>
      </c>
      <c r="I137" t="str">
        <f t="shared" si="13"/>
        <v>Below thresholds</v>
      </c>
      <c r="J137" t="str">
        <f t="shared" si="14"/>
        <v/>
      </c>
    </row>
    <row r="138" spans="1:10" x14ac:dyDescent="0.2">
      <c r="A138">
        <v>226879917608</v>
      </c>
      <c r="B138" t="s">
        <v>1013</v>
      </c>
      <c r="C138" t="s">
        <v>1014</v>
      </c>
      <c r="D138">
        <v>1.25</v>
      </c>
      <c r="F138" t="str">
        <f t="shared" si="10"/>
        <v>No</v>
      </c>
      <c r="G138" t="str">
        <f t="shared" si="11"/>
        <v/>
      </c>
      <c r="H138" t="str">
        <f t="shared" si="12"/>
        <v>—</v>
      </c>
      <c r="I138" t="str">
        <f t="shared" si="13"/>
        <v>Below thresholds</v>
      </c>
      <c r="J138" t="str">
        <f t="shared" si="14"/>
        <v/>
      </c>
    </row>
    <row r="139" spans="1:10" x14ac:dyDescent="0.2">
      <c r="A139">
        <v>226879921729</v>
      </c>
      <c r="B139" t="s">
        <v>1015</v>
      </c>
      <c r="C139" t="s">
        <v>1016</v>
      </c>
      <c r="D139">
        <v>1.49</v>
      </c>
      <c r="F139" t="str">
        <f t="shared" si="10"/>
        <v>No</v>
      </c>
      <c r="G139" t="str">
        <f t="shared" si="11"/>
        <v/>
      </c>
      <c r="H139" t="str">
        <f t="shared" si="12"/>
        <v>—</v>
      </c>
      <c r="I139" t="str">
        <f t="shared" si="13"/>
        <v>Below thresholds</v>
      </c>
      <c r="J139" t="str">
        <f t="shared" si="14"/>
        <v/>
      </c>
    </row>
    <row r="140" spans="1:10" x14ac:dyDescent="0.2">
      <c r="A140">
        <v>226879925702</v>
      </c>
      <c r="B140" t="s">
        <v>1017</v>
      </c>
      <c r="C140" t="s">
        <v>1018</v>
      </c>
      <c r="D140">
        <v>1.49</v>
      </c>
      <c r="F140" t="str">
        <f t="shared" si="10"/>
        <v>No</v>
      </c>
      <c r="G140" t="str">
        <f t="shared" si="11"/>
        <v/>
      </c>
      <c r="H140" t="str">
        <f t="shared" si="12"/>
        <v>—</v>
      </c>
      <c r="I140" t="str">
        <f t="shared" si="13"/>
        <v>Below thresholds</v>
      </c>
      <c r="J140" t="str">
        <f t="shared" si="14"/>
        <v/>
      </c>
    </row>
    <row r="141" spans="1:10" x14ac:dyDescent="0.2">
      <c r="A141">
        <v>226879931034</v>
      </c>
      <c r="B141" t="s">
        <v>1019</v>
      </c>
      <c r="C141" t="s">
        <v>1020</v>
      </c>
      <c r="D141">
        <v>1.99</v>
      </c>
      <c r="F141" t="str">
        <f t="shared" si="10"/>
        <v>No</v>
      </c>
      <c r="G141" t="str">
        <f t="shared" si="11"/>
        <v/>
      </c>
      <c r="H141" t="str">
        <f t="shared" si="12"/>
        <v>—</v>
      </c>
      <c r="I141" t="str">
        <f t="shared" si="13"/>
        <v>Below thresholds</v>
      </c>
      <c r="J141" t="str">
        <f t="shared" si="14"/>
        <v/>
      </c>
    </row>
    <row r="142" spans="1:10" x14ac:dyDescent="0.2">
      <c r="A142">
        <v>226881223626</v>
      </c>
      <c r="B142" t="s">
        <v>1021</v>
      </c>
      <c r="C142" t="s">
        <v>1022</v>
      </c>
      <c r="D142">
        <v>1.25</v>
      </c>
      <c r="F142" t="str">
        <f t="shared" si="10"/>
        <v>No</v>
      </c>
      <c r="G142" t="str">
        <f t="shared" si="11"/>
        <v/>
      </c>
      <c r="H142" t="str">
        <f t="shared" si="12"/>
        <v>—</v>
      </c>
      <c r="I142" t="str">
        <f t="shared" si="13"/>
        <v>Below thresholds</v>
      </c>
      <c r="J142" t="str">
        <f t="shared" si="14"/>
        <v/>
      </c>
    </row>
    <row r="143" spans="1:10" x14ac:dyDescent="0.2">
      <c r="A143">
        <v>226881231761</v>
      </c>
      <c r="B143" t="s">
        <v>1023</v>
      </c>
      <c r="C143" t="s">
        <v>1024</v>
      </c>
      <c r="D143">
        <v>3.5</v>
      </c>
      <c r="F143" t="str">
        <f t="shared" si="10"/>
        <v>No</v>
      </c>
      <c r="G143" t="str">
        <f t="shared" si="11"/>
        <v/>
      </c>
      <c r="H143" t="str">
        <f t="shared" si="12"/>
        <v>—</v>
      </c>
      <c r="I143" t="str">
        <f t="shared" si="13"/>
        <v>Below thresholds</v>
      </c>
      <c r="J143" t="str">
        <f t="shared" si="14"/>
        <v/>
      </c>
    </row>
    <row r="144" spans="1:10" x14ac:dyDescent="0.2">
      <c r="A144">
        <v>226881249828</v>
      </c>
      <c r="B144" t="s">
        <v>1025</v>
      </c>
      <c r="C144" t="s">
        <v>1026</v>
      </c>
      <c r="D144">
        <v>2</v>
      </c>
      <c r="F144" t="str">
        <f t="shared" si="10"/>
        <v>No</v>
      </c>
      <c r="G144" t="str">
        <f t="shared" si="11"/>
        <v/>
      </c>
      <c r="H144" t="str">
        <f t="shared" si="12"/>
        <v>—</v>
      </c>
      <c r="I144" t="str">
        <f t="shared" si="13"/>
        <v>Below thresholds</v>
      </c>
      <c r="J144" t="str">
        <f t="shared" si="14"/>
        <v/>
      </c>
    </row>
    <row r="145" spans="1:10" x14ac:dyDescent="0.2">
      <c r="A145">
        <v>226881706395</v>
      </c>
      <c r="B145" t="s">
        <v>1027</v>
      </c>
      <c r="C145" t="s">
        <v>1028</v>
      </c>
      <c r="D145">
        <v>3.25</v>
      </c>
      <c r="F145" t="str">
        <f t="shared" si="10"/>
        <v>No</v>
      </c>
      <c r="G145" t="str">
        <f t="shared" si="11"/>
        <v/>
      </c>
      <c r="H145" t="str">
        <f t="shared" si="12"/>
        <v>—</v>
      </c>
      <c r="I145" t="str">
        <f t="shared" si="13"/>
        <v>Below thresholds</v>
      </c>
      <c r="J145" t="str">
        <f t="shared" si="14"/>
        <v/>
      </c>
    </row>
    <row r="146" spans="1:10" x14ac:dyDescent="0.2">
      <c r="A146">
        <v>226881734574</v>
      </c>
      <c r="B146" t="s">
        <v>1029</v>
      </c>
      <c r="C146" t="s">
        <v>1030</v>
      </c>
      <c r="D146">
        <v>1.25</v>
      </c>
      <c r="F146" t="str">
        <f t="shared" si="10"/>
        <v>No</v>
      </c>
      <c r="G146" t="str">
        <f t="shared" si="11"/>
        <v/>
      </c>
      <c r="H146" t="str">
        <f t="shared" si="12"/>
        <v>—</v>
      </c>
      <c r="I146" t="str">
        <f t="shared" si="13"/>
        <v>Below thresholds</v>
      </c>
      <c r="J146" t="str">
        <f t="shared" si="14"/>
        <v/>
      </c>
    </row>
    <row r="147" spans="1:10" x14ac:dyDescent="0.2">
      <c r="A147">
        <v>226881737098</v>
      </c>
      <c r="B147" t="s">
        <v>1031</v>
      </c>
      <c r="C147" t="s">
        <v>1032</v>
      </c>
      <c r="D147">
        <v>1.75</v>
      </c>
      <c r="F147" t="str">
        <f t="shared" si="10"/>
        <v>No</v>
      </c>
      <c r="G147" t="str">
        <f t="shared" si="11"/>
        <v/>
      </c>
      <c r="H147" t="str">
        <f t="shared" si="12"/>
        <v>—</v>
      </c>
      <c r="I147" t="str">
        <f t="shared" si="13"/>
        <v>Below thresholds</v>
      </c>
      <c r="J147" t="str">
        <f t="shared" si="14"/>
        <v/>
      </c>
    </row>
    <row r="148" spans="1:10" x14ac:dyDescent="0.2">
      <c r="A148">
        <v>226881740307</v>
      </c>
      <c r="B148" t="s">
        <v>1033</v>
      </c>
      <c r="C148" t="s">
        <v>1034</v>
      </c>
      <c r="D148">
        <v>1.35</v>
      </c>
      <c r="F148" t="str">
        <f t="shared" si="10"/>
        <v>No</v>
      </c>
      <c r="G148" t="str">
        <f t="shared" si="11"/>
        <v/>
      </c>
      <c r="H148" t="str">
        <f t="shared" si="12"/>
        <v>—</v>
      </c>
      <c r="I148" t="str">
        <f t="shared" si="13"/>
        <v>Below thresholds</v>
      </c>
      <c r="J148" t="str">
        <f t="shared" si="14"/>
        <v/>
      </c>
    </row>
    <row r="149" spans="1:10" x14ac:dyDescent="0.2">
      <c r="A149">
        <v>226881744644</v>
      </c>
      <c r="B149" t="s">
        <v>1035</v>
      </c>
      <c r="C149" t="s">
        <v>1036</v>
      </c>
      <c r="D149">
        <v>1.75</v>
      </c>
      <c r="F149" t="str">
        <f t="shared" si="10"/>
        <v>No</v>
      </c>
      <c r="G149" t="str">
        <f t="shared" si="11"/>
        <v/>
      </c>
      <c r="H149" t="str">
        <f t="shared" si="12"/>
        <v>—</v>
      </c>
      <c r="I149" t="str">
        <f t="shared" si="13"/>
        <v>Below thresholds</v>
      </c>
      <c r="J149" t="str">
        <f t="shared" si="14"/>
        <v/>
      </c>
    </row>
    <row r="150" spans="1:10" x14ac:dyDescent="0.2">
      <c r="A150">
        <v>226882147514</v>
      </c>
      <c r="B150" t="s">
        <v>1037</v>
      </c>
      <c r="C150" t="s">
        <v>1038</v>
      </c>
      <c r="D150">
        <v>1.3</v>
      </c>
      <c r="F150" t="str">
        <f t="shared" si="10"/>
        <v>No</v>
      </c>
      <c r="G150" t="str">
        <f t="shared" si="11"/>
        <v/>
      </c>
      <c r="H150" t="str">
        <f t="shared" si="12"/>
        <v>—</v>
      </c>
      <c r="I150" t="str">
        <f t="shared" si="13"/>
        <v>Below thresholds</v>
      </c>
      <c r="J150" t="str">
        <f t="shared" si="14"/>
        <v/>
      </c>
    </row>
    <row r="151" spans="1:10" x14ac:dyDescent="0.2">
      <c r="A151">
        <v>226883422635</v>
      </c>
      <c r="B151" t="s">
        <v>1039</v>
      </c>
      <c r="C151" t="s">
        <v>1040</v>
      </c>
      <c r="D151">
        <v>1.25</v>
      </c>
      <c r="F151" t="str">
        <f t="shared" si="10"/>
        <v>No</v>
      </c>
      <c r="G151" t="str">
        <f t="shared" si="11"/>
        <v/>
      </c>
      <c r="H151" t="str">
        <f t="shared" si="12"/>
        <v>—</v>
      </c>
      <c r="I151" t="str">
        <f t="shared" si="13"/>
        <v>Below thresholds</v>
      </c>
      <c r="J151" t="str">
        <f t="shared" si="14"/>
        <v/>
      </c>
    </row>
    <row r="152" spans="1:10" x14ac:dyDescent="0.2">
      <c r="A152">
        <v>226883440858</v>
      </c>
      <c r="B152" t="s">
        <v>1041</v>
      </c>
      <c r="C152" t="s">
        <v>1042</v>
      </c>
      <c r="D152">
        <v>1.5</v>
      </c>
      <c r="F152" t="str">
        <f t="shared" si="10"/>
        <v>No</v>
      </c>
      <c r="G152" t="str">
        <f t="shared" si="11"/>
        <v/>
      </c>
      <c r="H152" t="str">
        <f t="shared" si="12"/>
        <v>—</v>
      </c>
      <c r="I152" t="str">
        <f t="shared" si="13"/>
        <v>Below thresholds</v>
      </c>
      <c r="J152" t="str">
        <f t="shared" si="14"/>
        <v/>
      </c>
    </row>
    <row r="153" spans="1:10" x14ac:dyDescent="0.2">
      <c r="A153">
        <v>226883504451</v>
      </c>
      <c r="B153" t="s">
        <v>1043</v>
      </c>
      <c r="C153" t="s">
        <v>1044</v>
      </c>
      <c r="D153">
        <v>1.99</v>
      </c>
      <c r="F153" t="str">
        <f t="shared" si="10"/>
        <v>No</v>
      </c>
      <c r="G153" t="str">
        <f t="shared" si="11"/>
        <v/>
      </c>
      <c r="H153" t="str">
        <f t="shared" si="12"/>
        <v>—</v>
      </c>
      <c r="I153" t="str">
        <f t="shared" si="13"/>
        <v>Below thresholds</v>
      </c>
      <c r="J153" t="str">
        <f t="shared" si="14"/>
        <v/>
      </c>
    </row>
    <row r="154" spans="1:10" x14ac:dyDescent="0.2">
      <c r="A154">
        <v>226883591802</v>
      </c>
      <c r="B154" t="s">
        <v>1045</v>
      </c>
      <c r="C154" t="s">
        <v>1046</v>
      </c>
      <c r="D154">
        <v>11.95</v>
      </c>
      <c r="F154" t="str">
        <f t="shared" si="10"/>
        <v>No</v>
      </c>
      <c r="G154" t="str">
        <f t="shared" si="11"/>
        <v/>
      </c>
      <c r="H154" t="str">
        <f t="shared" si="12"/>
        <v>—</v>
      </c>
      <c r="I154" t="str">
        <f t="shared" si="13"/>
        <v>Below thresholds</v>
      </c>
      <c r="J154" t="str">
        <f t="shared" si="14"/>
        <v/>
      </c>
    </row>
    <row r="155" spans="1:10" x14ac:dyDescent="0.2">
      <c r="A155">
        <v>226883608218</v>
      </c>
      <c r="B155" t="s">
        <v>1047</v>
      </c>
      <c r="C155" t="s">
        <v>1048</v>
      </c>
      <c r="D155">
        <v>1.95</v>
      </c>
      <c r="F155" t="str">
        <f t="shared" si="10"/>
        <v>No</v>
      </c>
      <c r="G155" t="str">
        <f t="shared" si="11"/>
        <v/>
      </c>
      <c r="H155" t="str">
        <f t="shared" si="12"/>
        <v>—</v>
      </c>
      <c r="I155" t="str">
        <f t="shared" si="13"/>
        <v>Below thresholds</v>
      </c>
      <c r="J155" t="str">
        <f t="shared" si="14"/>
        <v/>
      </c>
    </row>
    <row r="156" spans="1:10" x14ac:dyDescent="0.2">
      <c r="A156">
        <v>226883609751</v>
      </c>
      <c r="B156" t="s">
        <v>1049</v>
      </c>
      <c r="C156" t="s">
        <v>1050</v>
      </c>
      <c r="D156">
        <v>1.25</v>
      </c>
      <c r="F156" t="str">
        <f t="shared" si="10"/>
        <v>No</v>
      </c>
      <c r="G156" t="str">
        <f t="shared" si="11"/>
        <v/>
      </c>
      <c r="H156" t="str">
        <f t="shared" si="12"/>
        <v>—</v>
      </c>
      <c r="I156" t="str">
        <f t="shared" si="13"/>
        <v>Below thresholds</v>
      </c>
      <c r="J156" t="str">
        <f t="shared" si="14"/>
        <v/>
      </c>
    </row>
    <row r="157" spans="1:10" x14ac:dyDescent="0.2">
      <c r="A157">
        <v>226883616749</v>
      </c>
      <c r="B157" t="s">
        <v>1051</v>
      </c>
      <c r="C157" t="s">
        <v>1052</v>
      </c>
      <c r="D157">
        <v>1.59</v>
      </c>
      <c r="F157" t="str">
        <f t="shared" si="10"/>
        <v>No</v>
      </c>
      <c r="G157" t="str">
        <f t="shared" si="11"/>
        <v/>
      </c>
      <c r="H157" t="str">
        <f t="shared" si="12"/>
        <v>—</v>
      </c>
      <c r="I157" t="str">
        <f t="shared" si="13"/>
        <v>Below thresholds</v>
      </c>
      <c r="J157" t="str">
        <f t="shared" si="14"/>
        <v/>
      </c>
    </row>
    <row r="158" spans="1:10" x14ac:dyDescent="0.2">
      <c r="A158">
        <v>226883620592</v>
      </c>
      <c r="B158" t="s">
        <v>1053</v>
      </c>
      <c r="C158" t="s">
        <v>1054</v>
      </c>
      <c r="D158">
        <v>1.49</v>
      </c>
      <c r="F158" t="str">
        <f t="shared" si="10"/>
        <v>No</v>
      </c>
      <c r="G158" t="str">
        <f t="shared" si="11"/>
        <v/>
      </c>
      <c r="H158" t="str">
        <f t="shared" si="12"/>
        <v>—</v>
      </c>
      <c r="I158" t="str">
        <f t="shared" si="13"/>
        <v>Below thresholds</v>
      </c>
      <c r="J158" t="str">
        <f t="shared" si="14"/>
        <v/>
      </c>
    </row>
    <row r="159" spans="1:10" x14ac:dyDescent="0.2">
      <c r="A159">
        <v>226883621171</v>
      </c>
      <c r="B159" t="s">
        <v>1055</v>
      </c>
      <c r="C159" t="s">
        <v>1056</v>
      </c>
      <c r="D159">
        <v>1.49</v>
      </c>
      <c r="F159" t="str">
        <f t="shared" si="10"/>
        <v>No</v>
      </c>
      <c r="G159" t="str">
        <f t="shared" si="11"/>
        <v/>
      </c>
      <c r="H159" t="str">
        <f t="shared" si="12"/>
        <v>—</v>
      </c>
      <c r="I159" t="str">
        <f t="shared" si="13"/>
        <v>Below thresholds</v>
      </c>
      <c r="J159" t="str">
        <f t="shared" si="14"/>
        <v/>
      </c>
    </row>
    <row r="160" spans="1:10" x14ac:dyDescent="0.2">
      <c r="A160">
        <v>226883625765</v>
      </c>
      <c r="B160" t="s">
        <v>1057</v>
      </c>
      <c r="C160" t="s">
        <v>1058</v>
      </c>
      <c r="D160">
        <v>1.95</v>
      </c>
      <c r="F160" t="str">
        <f t="shared" si="10"/>
        <v>No</v>
      </c>
      <c r="G160" t="str">
        <f t="shared" si="11"/>
        <v/>
      </c>
      <c r="H160" t="str">
        <f t="shared" si="12"/>
        <v>—</v>
      </c>
      <c r="I160" t="str">
        <f t="shared" si="13"/>
        <v>Below thresholds</v>
      </c>
      <c r="J160" t="str">
        <f t="shared" si="14"/>
        <v/>
      </c>
    </row>
    <row r="161" spans="1:10" x14ac:dyDescent="0.2">
      <c r="A161">
        <v>226883637889</v>
      </c>
      <c r="B161" t="s">
        <v>1059</v>
      </c>
      <c r="C161" t="s">
        <v>1060</v>
      </c>
      <c r="D161">
        <v>1.99</v>
      </c>
      <c r="F161" t="str">
        <f t="shared" si="10"/>
        <v>No</v>
      </c>
      <c r="G161" t="str">
        <f t="shared" si="11"/>
        <v/>
      </c>
      <c r="H161" t="str">
        <f t="shared" si="12"/>
        <v>—</v>
      </c>
      <c r="I161" t="str">
        <f t="shared" si="13"/>
        <v>Below thresholds</v>
      </c>
      <c r="J161" t="str">
        <f t="shared" si="14"/>
        <v/>
      </c>
    </row>
    <row r="162" spans="1:10" x14ac:dyDescent="0.2">
      <c r="A162">
        <v>226883641975</v>
      </c>
      <c r="B162" t="s">
        <v>1061</v>
      </c>
      <c r="C162" t="s">
        <v>1062</v>
      </c>
      <c r="D162">
        <v>2.4900000000000002</v>
      </c>
      <c r="F162" t="str">
        <f t="shared" si="10"/>
        <v>No</v>
      </c>
      <c r="G162" t="str">
        <f t="shared" si="11"/>
        <v/>
      </c>
      <c r="H162" t="str">
        <f t="shared" si="12"/>
        <v>—</v>
      </c>
      <c r="I162" t="str">
        <f t="shared" si="13"/>
        <v>Below thresholds</v>
      </c>
      <c r="J162" t="str">
        <f t="shared" si="14"/>
        <v/>
      </c>
    </row>
    <row r="163" spans="1:10" x14ac:dyDescent="0.2">
      <c r="A163">
        <v>226883784746</v>
      </c>
      <c r="B163" t="s">
        <v>1063</v>
      </c>
      <c r="C163" t="s">
        <v>1064</v>
      </c>
      <c r="D163">
        <v>1.5</v>
      </c>
      <c r="F163" t="str">
        <f t="shared" si="10"/>
        <v>No</v>
      </c>
      <c r="G163" t="str">
        <f t="shared" si="11"/>
        <v/>
      </c>
      <c r="H163" t="str">
        <f t="shared" si="12"/>
        <v>—</v>
      </c>
      <c r="I163" t="str">
        <f t="shared" si="13"/>
        <v>Below thresholds</v>
      </c>
      <c r="J163" t="str">
        <f t="shared" si="14"/>
        <v/>
      </c>
    </row>
    <row r="164" spans="1:10" x14ac:dyDescent="0.2">
      <c r="A164">
        <v>226883786526</v>
      </c>
      <c r="B164" t="s">
        <v>1065</v>
      </c>
      <c r="C164" t="s">
        <v>1066</v>
      </c>
      <c r="D164">
        <v>2.99</v>
      </c>
      <c r="F164" t="str">
        <f t="shared" si="10"/>
        <v>No</v>
      </c>
      <c r="G164" t="str">
        <f t="shared" si="11"/>
        <v/>
      </c>
      <c r="H164" t="str">
        <f t="shared" si="12"/>
        <v>—</v>
      </c>
      <c r="I164" t="str">
        <f t="shared" si="13"/>
        <v>Below thresholds</v>
      </c>
      <c r="J164" t="str">
        <f t="shared" si="14"/>
        <v/>
      </c>
    </row>
    <row r="165" spans="1:10" x14ac:dyDescent="0.2">
      <c r="A165">
        <v>226883790450</v>
      </c>
      <c r="B165" t="s">
        <v>1067</v>
      </c>
      <c r="C165" t="s">
        <v>1068</v>
      </c>
      <c r="D165">
        <v>1.99</v>
      </c>
      <c r="F165" t="str">
        <f t="shared" si="10"/>
        <v>No</v>
      </c>
      <c r="G165" t="str">
        <f t="shared" si="11"/>
        <v/>
      </c>
      <c r="H165" t="str">
        <f t="shared" si="12"/>
        <v>—</v>
      </c>
      <c r="I165" t="str">
        <f t="shared" si="13"/>
        <v>Below thresholds</v>
      </c>
      <c r="J165" t="str">
        <f t="shared" si="14"/>
        <v/>
      </c>
    </row>
    <row r="166" spans="1:10" x14ac:dyDescent="0.2">
      <c r="A166">
        <v>226883799596</v>
      </c>
      <c r="B166" t="s">
        <v>1069</v>
      </c>
      <c r="C166" t="s">
        <v>1070</v>
      </c>
      <c r="D166">
        <v>1.99</v>
      </c>
      <c r="F166" t="str">
        <f t="shared" si="10"/>
        <v>No</v>
      </c>
      <c r="G166" t="str">
        <f t="shared" si="11"/>
        <v/>
      </c>
      <c r="H166" t="str">
        <f t="shared" si="12"/>
        <v>—</v>
      </c>
      <c r="I166" t="str">
        <f t="shared" si="13"/>
        <v>Below thresholds</v>
      </c>
      <c r="J166" t="str">
        <f t="shared" si="14"/>
        <v/>
      </c>
    </row>
    <row r="167" spans="1:10" x14ac:dyDescent="0.2">
      <c r="A167">
        <v>226883804004</v>
      </c>
      <c r="B167" t="s">
        <v>1071</v>
      </c>
      <c r="C167" t="s">
        <v>1072</v>
      </c>
      <c r="D167">
        <v>1.49</v>
      </c>
      <c r="F167" t="str">
        <f t="shared" si="10"/>
        <v>No</v>
      </c>
      <c r="G167" t="str">
        <f t="shared" si="11"/>
        <v/>
      </c>
      <c r="H167" t="str">
        <f t="shared" si="12"/>
        <v>—</v>
      </c>
      <c r="I167" t="str">
        <f t="shared" si="13"/>
        <v>Below thresholds</v>
      </c>
      <c r="J167" t="str">
        <f t="shared" si="14"/>
        <v/>
      </c>
    </row>
    <row r="168" spans="1:10" x14ac:dyDescent="0.2">
      <c r="A168">
        <v>226883805791</v>
      </c>
      <c r="B168" t="s">
        <v>1073</v>
      </c>
      <c r="C168" t="s">
        <v>1074</v>
      </c>
      <c r="D168">
        <v>2.4900000000000002</v>
      </c>
      <c r="F168" t="str">
        <f t="shared" si="10"/>
        <v>No</v>
      </c>
      <c r="G168" t="str">
        <f t="shared" si="11"/>
        <v/>
      </c>
      <c r="H168" t="str">
        <f t="shared" si="12"/>
        <v>—</v>
      </c>
      <c r="I168" t="str">
        <f t="shared" si="13"/>
        <v>Below thresholds</v>
      </c>
      <c r="J168" t="str">
        <f t="shared" si="14"/>
        <v/>
      </c>
    </row>
    <row r="169" spans="1:10" x14ac:dyDescent="0.2">
      <c r="A169">
        <v>226883808570</v>
      </c>
      <c r="B169" t="s">
        <v>1075</v>
      </c>
      <c r="C169" t="s">
        <v>1076</v>
      </c>
      <c r="D169">
        <v>7.5</v>
      </c>
      <c r="F169" t="str">
        <f t="shared" si="10"/>
        <v>No</v>
      </c>
      <c r="G169" t="str">
        <f t="shared" si="11"/>
        <v/>
      </c>
      <c r="H169" t="str">
        <f t="shared" si="12"/>
        <v>—</v>
      </c>
      <c r="I169" t="str">
        <f t="shared" si="13"/>
        <v>Below thresholds</v>
      </c>
      <c r="J169" t="str">
        <f t="shared" si="14"/>
        <v/>
      </c>
    </row>
    <row r="170" spans="1:10" x14ac:dyDescent="0.2">
      <c r="A170">
        <v>226883811318</v>
      </c>
      <c r="B170" t="s">
        <v>1077</v>
      </c>
      <c r="C170" t="s">
        <v>1078</v>
      </c>
      <c r="D170">
        <v>1.99</v>
      </c>
      <c r="F170" t="str">
        <f t="shared" si="10"/>
        <v>No</v>
      </c>
      <c r="G170" t="str">
        <f t="shared" si="11"/>
        <v/>
      </c>
      <c r="H170" t="str">
        <f t="shared" si="12"/>
        <v>—</v>
      </c>
      <c r="I170" t="str">
        <f t="shared" si="13"/>
        <v>Below thresholds</v>
      </c>
      <c r="J170" t="str">
        <f t="shared" si="14"/>
        <v/>
      </c>
    </row>
    <row r="171" spans="1:10" x14ac:dyDescent="0.2">
      <c r="A171">
        <v>226883815015</v>
      </c>
      <c r="B171" t="s">
        <v>1079</v>
      </c>
      <c r="C171" t="s">
        <v>1080</v>
      </c>
      <c r="D171">
        <v>1.49</v>
      </c>
      <c r="F171" t="str">
        <f t="shared" si="10"/>
        <v>No</v>
      </c>
      <c r="G171" t="str">
        <f t="shared" si="11"/>
        <v/>
      </c>
      <c r="H171" t="str">
        <f t="shared" si="12"/>
        <v>—</v>
      </c>
      <c r="I171" t="str">
        <f t="shared" si="13"/>
        <v>Below thresholds</v>
      </c>
      <c r="J171" t="str">
        <f t="shared" si="14"/>
        <v/>
      </c>
    </row>
    <row r="172" spans="1:10" x14ac:dyDescent="0.2">
      <c r="A172">
        <v>226883816674</v>
      </c>
      <c r="B172" t="s">
        <v>1081</v>
      </c>
      <c r="C172" t="s">
        <v>1082</v>
      </c>
      <c r="D172">
        <v>2.99</v>
      </c>
      <c r="F172" t="str">
        <f t="shared" si="10"/>
        <v>No</v>
      </c>
      <c r="G172" t="str">
        <f t="shared" si="11"/>
        <v/>
      </c>
      <c r="H172" t="str">
        <f t="shared" si="12"/>
        <v>—</v>
      </c>
      <c r="I172" t="str">
        <f t="shared" si="13"/>
        <v>Below thresholds</v>
      </c>
      <c r="J172" t="str">
        <f t="shared" si="14"/>
        <v/>
      </c>
    </row>
    <row r="173" spans="1:10" x14ac:dyDescent="0.2">
      <c r="A173">
        <v>226885246890</v>
      </c>
      <c r="B173" t="s">
        <v>1083</v>
      </c>
      <c r="C173" t="s">
        <v>1084</v>
      </c>
      <c r="D173">
        <v>1.99</v>
      </c>
      <c r="F173" t="str">
        <f t="shared" si="10"/>
        <v>No</v>
      </c>
      <c r="G173" t="str">
        <f t="shared" si="11"/>
        <v/>
      </c>
      <c r="H173" t="str">
        <f t="shared" si="12"/>
        <v>—</v>
      </c>
      <c r="I173" t="str">
        <f t="shared" si="13"/>
        <v>Below thresholds</v>
      </c>
      <c r="J173" t="str">
        <f t="shared" si="14"/>
        <v/>
      </c>
    </row>
    <row r="174" spans="1:10" x14ac:dyDescent="0.2">
      <c r="A174">
        <v>226885246891</v>
      </c>
      <c r="B174" t="s">
        <v>1085</v>
      </c>
      <c r="C174" t="s">
        <v>1086</v>
      </c>
      <c r="D174">
        <v>1.99</v>
      </c>
      <c r="F174" t="str">
        <f t="shared" si="10"/>
        <v>No</v>
      </c>
      <c r="G174" t="str">
        <f t="shared" si="11"/>
        <v/>
      </c>
      <c r="H174" t="str">
        <f t="shared" si="12"/>
        <v>—</v>
      </c>
      <c r="I174" t="str">
        <f t="shared" si="13"/>
        <v>Below thresholds</v>
      </c>
      <c r="J174" t="str">
        <f t="shared" si="14"/>
        <v/>
      </c>
    </row>
    <row r="175" spans="1:10" x14ac:dyDescent="0.2">
      <c r="A175">
        <v>226885246892</v>
      </c>
      <c r="B175" t="s">
        <v>1087</v>
      </c>
      <c r="C175" t="s">
        <v>1088</v>
      </c>
      <c r="D175">
        <v>1.99</v>
      </c>
      <c r="F175" t="str">
        <f t="shared" si="10"/>
        <v>No</v>
      </c>
      <c r="G175" t="str">
        <f t="shared" si="11"/>
        <v/>
      </c>
      <c r="H175" t="str">
        <f t="shared" si="12"/>
        <v>—</v>
      </c>
      <c r="I175" t="str">
        <f t="shared" si="13"/>
        <v>Below thresholds</v>
      </c>
      <c r="J175" t="str">
        <f t="shared" si="14"/>
        <v/>
      </c>
    </row>
    <row r="176" spans="1:10" x14ac:dyDescent="0.2">
      <c r="A176">
        <v>226885246893</v>
      </c>
      <c r="B176" t="s">
        <v>1089</v>
      </c>
      <c r="C176" t="s">
        <v>1090</v>
      </c>
      <c r="D176">
        <v>1.99</v>
      </c>
      <c r="F176" t="str">
        <f t="shared" si="10"/>
        <v>No</v>
      </c>
      <c r="G176" t="str">
        <f t="shared" si="11"/>
        <v/>
      </c>
      <c r="H176" t="str">
        <f t="shared" si="12"/>
        <v>—</v>
      </c>
      <c r="I176" t="str">
        <f t="shared" si="13"/>
        <v>Below thresholds</v>
      </c>
      <c r="J176" t="str">
        <f t="shared" si="14"/>
        <v/>
      </c>
    </row>
    <row r="177" spans="1:10" x14ac:dyDescent="0.2">
      <c r="A177">
        <v>226885246896</v>
      </c>
      <c r="B177" t="s">
        <v>1091</v>
      </c>
      <c r="C177" t="s">
        <v>1092</v>
      </c>
      <c r="D177">
        <v>3.59</v>
      </c>
      <c r="F177" t="str">
        <f t="shared" si="10"/>
        <v>No</v>
      </c>
      <c r="G177" t="str">
        <f t="shared" si="11"/>
        <v/>
      </c>
      <c r="H177" t="str">
        <f t="shared" si="12"/>
        <v>—</v>
      </c>
      <c r="I177" t="str">
        <f t="shared" si="13"/>
        <v>Below thresholds</v>
      </c>
      <c r="J177" t="str">
        <f t="shared" si="14"/>
        <v/>
      </c>
    </row>
    <row r="178" spans="1:10" x14ac:dyDescent="0.2">
      <c r="A178">
        <v>226885246898</v>
      </c>
      <c r="B178" t="s">
        <v>1093</v>
      </c>
      <c r="C178" t="s">
        <v>1094</v>
      </c>
      <c r="D178">
        <v>1.99</v>
      </c>
      <c r="F178" t="str">
        <f t="shared" si="10"/>
        <v>No</v>
      </c>
      <c r="G178" t="str">
        <f t="shared" si="11"/>
        <v/>
      </c>
      <c r="H178" t="str">
        <f t="shared" si="12"/>
        <v>—</v>
      </c>
      <c r="I178" t="str">
        <f t="shared" si="13"/>
        <v>Below thresholds</v>
      </c>
      <c r="J178" t="str">
        <f t="shared" si="14"/>
        <v/>
      </c>
    </row>
    <row r="179" spans="1:10" x14ac:dyDescent="0.2">
      <c r="A179">
        <v>226885284499</v>
      </c>
      <c r="B179" t="s">
        <v>1095</v>
      </c>
      <c r="C179" t="s">
        <v>1096</v>
      </c>
      <c r="D179">
        <v>20</v>
      </c>
      <c r="F179" t="str">
        <f t="shared" si="10"/>
        <v>No</v>
      </c>
      <c r="G179" t="str">
        <f t="shared" si="11"/>
        <v/>
      </c>
      <c r="H179" t="str">
        <f t="shared" si="12"/>
        <v>—</v>
      </c>
      <c r="I179" t="str">
        <f t="shared" si="13"/>
        <v>Below thresholds</v>
      </c>
      <c r="J179" t="str">
        <f t="shared" si="14"/>
        <v/>
      </c>
    </row>
    <row r="180" spans="1:10" x14ac:dyDescent="0.2">
      <c r="A180">
        <v>226885291705</v>
      </c>
      <c r="B180" t="s">
        <v>1097</v>
      </c>
      <c r="C180" t="s">
        <v>1098</v>
      </c>
      <c r="D180">
        <v>85</v>
      </c>
      <c r="F180" t="str">
        <f t="shared" si="10"/>
        <v>No</v>
      </c>
      <c r="G180" t="str">
        <f t="shared" si="11"/>
        <v/>
      </c>
      <c r="H180" t="str">
        <f t="shared" si="12"/>
        <v>—</v>
      </c>
      <c r="I180" t="str">
        <f t="shared" si="13"/>
        <v>$20+ — needs velocity check</v>
      </c>
      <c r="J180" t="str">
        <f t="shared" si="14"/>
        <v>YES — pull CardHedger</v>
      </c>
    </row>
    <row r="181" spans="1:10" x14ac:dyDescent="0.2">
      <c r="A181">
        <v>226885294708</v>
      </c>
      <c r="B181" t="s">
        <v>1099</v>
      </c>
      <c r="C181" t="s">
        <v>1100</v>
      </c>
      <c r="D181">
        <v>2.4900000000000002</v>
      </c>
      <c r="F181" t="str">
        <f t="shared" si="10"/>
        <v>No</v>
      </c>
      <c r="G181" t="str">
        <f t="shared" si="11"/>
        <v/>
      </c>
      <c r="H181" t="str">
        <f t="shared" si="12"/>
        <v>—</v>
      </c>
      <c r="I181" t="str">
        <f t="shared" si="13"/>
        <v>Below thresholds</v>
      </c>
      <c r="J181" t="str">
        <f t="shared" si="14"/>
        <v/>
      </c>
    </row>
    <row r="182" spans="1:10" x14ac:dyDescent="0.2">
      <c r="A182">
        <v>226885303832</v>
      </c>
      <c r="B182" t="s">
        <v>1101</v>
      </c>
      <c r="C182" t="s">
        <v>1102</v>
      </c>
      <c r="D182">
        <v>4.99</v>
      </c>
      <c r="F182" t="str">
        <f t="shared" si="10"/>
        <v>No</v>
      </c>
      <c r="G182" t="str">
        <f t="shared" si="11"/>
        <v/>
      </c>
      <c r="H182" t="str">
        <f t="shared" si="12"/>
        <v>—</v>
      </c>
      <c r="I182" t="str">
        <f t="shared" si="13"/>
        <v>Below thresholds</v>
      </c>
      <c r="J182" t="str">
        <f t="shared" si="14"/>
        <v/>
      </c>
    </row>
    <row r="183" spans="1:10" x14ac:dyDescent="0.2">
      <c r="A183">
        <v>226885336691</v>
      </c>
      <c r="B183" t="s">
        <v>1103</v>
      </c>
      <c r="C183" t="s">
        <v>1104</v>
      </c>
      <c r="D183">
        <v>6.5</v>
      </c>
      <c r="F183" t="str">
        <f t="shared" si="10"/>
        <v>No</v>
      </c>
      <c r="G183" t="str">
        <f t="shared" si="11"/>
        <v/>
      </c>
      <c r="H183" t="str">
        <f t="shared" si="12"/>
        <v>—</v>
      </c>
      <c r="I183" t="str">
        <f t="shared" si="13"/>
        <v>Below thresholds</v>
      </c>
      <c r="J183" t="str">
        <f t="shared" si="14"/>
        <v/>
      </c>
    </row>
    <row r="184" spans="1:10" x14ac:dyDescent="0.2">
      <c r="A184">
        <v>226886652776</v>
      </c>
      <c r="B184" t="s">
        <v>1105</v>
      </c>
      <c r="C184" t="s">
        <v>1106</v>
      </c>
      <c r="D184">
        <v>1.25</v>
      </c>
      <c r="F184" t="str">
        <f t="shared" si="10"/>
        <v>No</v>
      </c>
      <c r="G184" t="str">
        <f t="shared" si="11"/>
        <v/>
      </c>
      <c r="H184" t="str">
        <f t="shared" si="12"/>
        <v>—</v>
      </c>
      <c r="I184" t="str">
        <f t="shared" si="13"/>
        <v>Below thresholds</v>
      </c>
      <c r="J184" t="str">
        <f t="shared" si="14"/>
        <v/>
      </c>
    </row>
    <row r="185" spans="1:10" x14ac:dyDescent="0.2">
      <c r="A185">
        <v>226886658921</v>
      </c>
      <c r="B185" t="s">
        <v>1107</v>
      </c>
      <c r="C185" t="s">
        <v>1108</v>
      </c>
      <c r="D185">
        <v>4.99</v>
      </c>
      <c r="F185" t="str">
        <f t="shared" si="10"/>
        <v>No</v>
      </c>
      <c r="G185" t="str">
        <f t="shared" si="11"/>
        <v/>
      </c>
      <c r="H185" t="str">
        <f t="shared" si="12"/>
        <v>—</v>
      </c>
      <c r="I185" t="str">
        <f t="shared" si="13"/>
        <v>Below thresholds</v>
      </c>
      <c r="J185" t="str">
        <f t="shared" si="14"/>
        <v/>
      </c>
    </row>
    <row r="186" spans="1:10" x14ac:dyDescent="0.2">
      <c r="A186">
        <v>226886662108</v>
      </c>
      <c r="B186" t="s">
        <v>1109</v>
      </c>
      <c r="C186" t="s">
        <v>1110</v>
      </c>
      <c r="D186">
        <v>1.25</v>
      </c>
      <c r="F186" t="str">
        <f t="shared" si="10"/>
        <v>No</v>
      </c>
      <c r="G186" t="str">
        <f t="shared" si="11"/>
        <v/>
      </c>
      <c r="H186" t="str">
        <f t="shared" si="12"/>
        <v>—</v>
      </c>
      <c r="I186" t="str">
        <f t="shared" si="13"/>
        <v>Below thresholds</v>
      </c>
      <c r="J186" t="str">
        <f t="shared" si="14"/>
        <v/>
      </c>
    </row>
    <row r="187" spans="1:10" x14ac:dyDescent="0.2">
      <c r="A187">
        <v>226886667219</v>
      </c>
      <c r="B187" t="s">
        <v>1111</v>
      </c>
      <c r="C187" t="s">
        <v>1112</v>
      </c>
      <c r="D187">
        <v>0.99</v>
      </c>
      <c r="F187" t="str">
        <f t="shared" si="10"/>
        <v>No</v>
      </c>
      <c r="G187" t="str">
        <f t="shared" si="11"/>
        <v/>
      </c>
      <c r="H187" t="str">
        <f t="shared" si="12"/>
        <v>—</v>
      </c>
      <c r="I187" t="str">
        <f t="shared" si="13"/>
        <v>Below thresholds</v>
      </c>
      <c r="J187" t="str">
        <f t="shared" si="14"/>
        <v/>
      </c>
    </row>
    <row r="188" spans="1:10" x14ac:dyDescent="0.2">
      <c r="A188">
        <v>226886673275</v>
      </c>
      <c r="B188" t="s">
        <v>1113</v>
      </c>
      <c r="C188" t="s">
        <v>1114</v>
      </c>
      <c r="D188">
        <v>0.99</v>
      </c>
      <c r="F188" t="str">
        <f t="shared" si="10"/>
        <v>No</v>
      </c>
      <c r="G188" t="str">
        <f t="shared" si="11"/>
        <v/>
      </c>
      <c r="H188" t="str">
        <f t="shared" si="12"/>
        <v>—</v>
      </c>
      <c r="I188" t="str">
        <f t="shared" si="13"/>
        <v>Below thresholds</v>
      </c>
      <c r="J188" t="str">
        <f t="shared" si="14"/>
        <v/>
      </c>
    </row>
    <row r="189" spans="1:10" x14ac:dyDescent="0.2">
      <c r="A189">
        <v>226886883057</v>
      </c>
      <c r="B189" t="s">
        <v>1115</v>
      </c>
      <c r="C189" t="s">
        <v>1116</v>
      </c>
      <c r="D189">
        <v>1.99</v>
      </c>
      <c r="F189" t="str">
        <f t="shared" si="10"/>
        <v>No</v>
      </c>
      <c r="G189" t="str">
        <f t="shared" si="11"/>
        <v/>
      </c>
      <c r="H189" t="str">
        <f t="shared" si="12"/>
        <v>—</v>
      </c>
      <c r="I189" t="str">
        <f t="shared" si="13"/>
        <v>Below thresholds</v>
      </c>
      <c r="J189" t="str">
        <f t="shared" si="14"/>
        <v/>
      </c>
    </row>
    <row r="190" spans="1:10" x14ac:dyDescent="0.2">
      <c r="A190">
        <v>226886883061</v>
      </c>
      <c r="B190" t="s">
        <v>1117</v>
      </c>
      <c r="C190" t="s">
        <v>1118</v>
      </c>
      <c r="D190">
        <v>1.99</v>
      </c>
      <c r="F190" t="str">
        <f t="shared" si="10"/>
        <v>No</v>
      </c>
      <c r="G190" t="str">
        <f t="shared" si="11"/>
        <v/>
      </c>
      <c r="H190" t="str">
        <f t="shared" si="12"/>
        <v>—</v>
      </c>
      <c r="I190" t="str">
        <f t="shared" si="13"/>
        <v>Below thresholds</v>
      </c>
      <c r="J190" t="str">
        <f t="shared" si="14"/>
        <v/>
      </c>
    </row>
    <row r="191" spans="1:10" x14ac:dyDescent="0.2">
      <c r="A191">
        <v>226886883062</v>
      </c>
      <c r="B191" t="s">
        <v>1119</v>
      </c>
      <c r="C191" t="s">
        <v>1120</v>
      </c>
      <c r="D191">
        <v>1.99</v>
      </c>
      <c r="F191" t="str">
        <f t="shared" si="10"/>
        <v>No</v>
      </c>
      <c r="G191" t="str">
        <f t="shared" si="11"/>
        <v/>
      </c>
      <c r="H191" t="str">
        <f t="shared" si="12"/>
        <v>—</v>
      </c>
      <c r="I191" t="str">
        <f t="shared" si="13"/>
        <v>Below thresholds</v>
      </c>
      <c r="J191" t="str">
        <f t="shared" si="14"/>
        <v/>
      </c>
    </row>
    <row r="192" spans="1:10" x14ac:dyDescent="0.2">
      <c r="A192">
        <v>226886883063</v>
      </c>
      <c r="B192" t="s">
        <v>1121</v>
      </c>
      <c r="C192" t="s">
        <v>1122</v>
      </c>
      <c r="D192">
        <v>1.99</v>
      </c>
      <c r="F192" t="str">
        <f t="shared" si="10"/>
        <v>No</v>
      </c>
      <c r="G192" t="str">
        <f t="shared" si="11"/>
        <v/>
      </c>
      <c r="H192" t="str">
        <f t="shared" si="12"/>
        <v>—</v>
      </c>
      <c r="I192" t="str">
        <f t="shared" si="13"/>
        <v>Below thresholds</v>
      </c>
      <c r="J192" t="str">
        <f t="shared" si="14"/>
        <v/>
      </c>
    </row>
    <row r="193" spans="1:10" x14ac:dyDescent="0.2">
      <c r="A193">
        <v>226886883064</v>
      </c>
      <c r="B193" t="s">
        <v>1123</v>
      </c>
      <c r="C193" t="s">
        <v>1124</v>
      </c>
      <c r="D193">
        <v>1.99</v>
      </c>
      <c r="F193" t="str">
        <f t="shared" si="10"/>
        <v>No</v>
      </c>
      <c r="G193" t="str">
        <f t="shared" si="11"/>
        <v/>
      </c>
      <c r="H193" t="str">
        <f t="shared" si="12"/>
        <v>—</v>
      </c>
      <c r="I193" t="str">
        <f t="shared" si="13"/>
        <v>Below thresholds</v>
      </c>
      <c r="J193" t="str">
        <f t="shared" si="14"/>
        <v/>
      </c>
    </row>
    <row r="194" spans="1:10" x14ac:dyDescent="0.2">
      <c r="A194">
        <v>226886883065</v>
      </c>
      <c r="B194" t="s">
        <v>1125</v>
      </c>
      <c r="C194" t="s">
        <v>1126</v>
      </c>
      <c r="D194">
        <v>1.99</v>
      </c>
      <c r="F194" t="str">
        <f t="shared" si="10"/>
        <v>No</v>
      </c>
      <c r="G194" t="str">
        <f t="shared" si="11"/>
        <v/>
      </c>
      <c r="H194" t="str">
        <f t="shared" si="12"/>
        <v>—</v>
      </c>
      <c r="I194" t="str">
        <f t="shared" si="13"/>
        <v>Below thresholds</v>
      </c>
      <c r="J194" t="str">
        <f t="shared" si="14"/>
        <v/>
      </c>
    </row>
    <row r="195" spans="1:10" x14ac:dyDescent="0.2">
      <c r="A195">
        <v>226886883067</v>
      </c>
      <c r="B195" t="s">
        <v>1127</v>
      </c>
      <c r="C195" t="s">
        <v>1128</v>
      </c>
      <c r="D195">
        <v>3.89</v>
      </c>
      <c r="F195" t="str">
        <f t="shared" si="10"/>
        <v>No</v>
      </c>
      <c r="G195" t="str">
        <f t="shared" si="11"/>
        <v/>
      </c>
      <c r="H195" t="str">
        <f t="shared" si="12"/>
        <v>—</v>
      </c>
      <c r="I195" t="str">
        <f t="shared" si="13"/>
        <v>Below thresholds</v>
      </c>
      <c r="J195" t="str">
        <f t="shared" si="14"/>
        <v/>
      </c>
    </row>
    <row r="196" spans="1:10" x14ac:dyDescent="0.2">
      <c r="A196">
        <v>226886883068</v>
      </c>
      <c r="B196" t="s">
        <v>1129</v>
      </c>
      <c r="C196" t="s">
        <v>1130</v>
      </c>
      <c r="D196">
        <v>1.99</v>
      </c>
      <c r="F196" t="str">
        <f t="shared" si="10"/>
        <v>No</v>
      </c>
      <c r="G196" t="str">
        <f t="shared" si="11"/>
        <v/>
      </c>
      <c r="H196" t="str">
        <f t="shared" si="12"/>
        <v>—</v>
      </c>
      <c r="I196" t="str">
        <f t="shared" si="13"/>
        <v>Below thresholds</v>
      </c>
      <c r="J196" t="str">
        <f t="shared" si="14"/>
        <v/>
      </c>
    </row>
    <row r="197" spans="1:10" x14ac:dyDescent="0.2">
      <c r="A197">
        <v>226886883070</v>
      </c>
      <c r="B197" t="s">
        <v>1131</v>
      </c>
      <c r="C197" t="s">
        <v>1132</v>
      </c>
      <c r="D197">
        <v>1.99</v>
      </c>
      <c r="F197" t="str">
        <f t="shared" ref="F197:F260" si="15">IF($B197="","",IF(ISNUMBER(SEARCH("PSA",$B197)),"Yes","No"))</f>
        <v>No</v>
      </c>
      <c r="G197" t="str">
        <f t="shared" ref="G197:G260" si="16">IF($B197="","",IF(ISNUMBER(SEARCH("PSA 10",$B197)),10,IF(ISNUMBER(SEARCH("PSA 9.5",$B197)),9.5,IF(ISNUMBER(SEARCH("PSA 9",$B197)),9,IF(ISNUMBER(SEARCH("PSA 8",$B197)),8,IF(ISNUMBER(SEARCH("PSA",$B197)),"&lt;9",""))))))</f>
        <v/>
      </c>
      <c r="H197" t="str">
        <f t="shared" ref="H197:H260" si="17">IF($B197="","",IF($D197&gt;=100,"TIER 2",IF(OR(ISNUMBER(SEARCH("PSA 10",$B197)),ISNUMBER(SEARCH("PSA 9.5",$B197)),ISNUMBER(SEARCH("PSA 9",$B197))),"TIER 3",IF(AND($D197&gt;20,N($E197)&gt;=15),"TIER 1","—"))))</f>
        <v>—</v>
      </c>
      <c r="I197" t="str">
        <f t="shared" ref="I197:I260" si="18">IF($B197="","",IF($D197&gt;=100,"Premium $100+ (auto)",IF(OR(ISNUMBER(SEARCH("PSA 10",$B197)),ISNUMBER(SEARCH("PSA 9.5",$B197)),ISNUMBER(SEARCH("PSA 9",$B197))),"Graded PSA 9+ (auto)",IF(AND($D197&gt;20,N($E197)&gt;=15),"Hot: $20+ &amp; "&amp;$E197&amp;"/day",IF($D197&gt;20,"$20+ — needs velocity check","Below thresholds")))))</f>
        <v>Below thresholds</v>
      </c>
      <c r="J197" t="str">
        <f t="shared" ref="J197:J260" si="19">IF($B197="","",IF(AND($D197&gt;20,$D197&lt;100,NOT(OR(ISNUMBER(SEARCH("PSA 10",$B197)),ISNUMBER(SEARCH("PSA 9.5",$B197)),ISNUMBER(SEARCH("PSA 9",$B197)))),$E197=""),"YES — pull CardHedger",""))</f>
        <v/>
      </c>
    </row>
    <row r="198" spans="1:10" x14ac:dyDescent="0.2">
      <c r="A198">
        <v>226886883071</v>
      </c>
      <c r="B198" t="s">
        <v>1133</v>
      </c>
      <c r="C198" t="s">
        <v>1134</v>
      </c>
      <c r="D198">
        <v>1.99</v>
      </c>
      <c r="F198" t="str">
        <f t="shared" si="15"/>
        <v>No</v>
      </c>
      <c r="G198" t="str">
        <f t="shared" si="16"/>
        <v/>
      </c>
      <c r="H198" t="str">
        <f t="shared" si="17"/>
        <v>—</v>
      </c>
      <c r="I198" t="str">
        <f t="shared" si="18"/>
        <v>Below thresholds</v>
      </c>
      <c r="J198" t="str">
        <f t="shared" si="19"/>
        <v/>
      </c>
    </row>
    <row r="199" spans="1:10" x14ac:dyDescent="0.2">
      <c r="A199">
        <v>226886883072</v>
      </c>
      <c r="B199" t="s">
        <v>1135</v>
      </c>
      <c r="C199" t="s">
        <v>1136</v>
      </c>
      <c r="D199">
        <v>1.99</v>
      </c>
      <c r="F199" t="str">
        <f t="shared" si="15"/>
        <v>No</v>
      </c>
      <c r="G199" t="str">
        <f t="shared" si="16"/>
        <v/>
      </c>
      <c r="H199" t="str">
        <f t="shared" si="17"/>
        <v>—</v>
      </c>
      <c r="I199" t="str">
        <f t="shared" si="18"/>
        <v>Below thresholds</v>
      </c>
      <c r="J199" t="str">
        <f t="shared" si="19"/>
        <v/>
      </c>
    </row>
    <row r="200" spans="1:10" x14ac:dyDescent="0.2">
      <c r="A200">
        <v>226886883073</v>
      </c>
      <c r="B200" t="s">
        <v>1137</v>
      </c>
      <c r="C200" t="s">
        <v>1138</v>
      </c>
      <c r="D200">
        <v>1.99</v>
      </c>
      <c r="F200" t="str">
        <f t="shared" si="15"/>
        <v>No</v>
      </c>
      <c r="G200" t="str">
        <f t="shared" si="16"/>
        <v/>
      </c>
      <c r="H200" t="str">
        <f t="shared" si="17"/>
        <v>—</v>
      </c>
      <c r="I200" t="str">
        <f t="shared" si="18"/>
        <v>Below thresholds</v>
      </c>
      <c r="J200" t="str">
        <f t="shared" si="19"/>
        <v/>
      </c>
    </row>
    <row r="201" spans="1:10" x14ac:dyDescent="0.2">
      <c r="A201">
        <v>226886949477</v>
      </c>
      <c r="B201" t="s">
        <v>1139</v>
      </c>
      <c r="C201" t="s">
        <v>1140</v>
      </c>
      <c r="D201">
        <v>1.5</v>
      </c>
      <c r="F201" t="str">
        <f t="shared" si="15"/>
        <v>No</v>
      </c>
      <c r="G201" t="str">
        <f t="shared" si="16"/>
        <v/>
      </c>
      <c r="H201" t="str">
        <f t="shared" si="17"/>
        <v>—</v>
      </c>
      <c r="I201" t="str">
        <f t="shared" si="18"/>
        <v>Below thresholds</v>
      </c>
      <c r="J201" t="str">
        <f t="shared" si="19"/>
        <v/>
      </c>
    </row>
    <row r="202" spans="1:10" x14ac:dyDescent="0.2">
      <c r="A202">
        <v>226886951575</v>
      </c>
      <c r="B202" t="s">
        <v>1141</v>
      </c>
      <c r="C202" t="s">
        <v>1142</v>
      </c>
      <c r="D202">
        <v>6</v>
      </c>
      <c r="F202" t="str">
        <f t="shared" si="15"/>
        <v>No</v>
      </c>
      <c r="G202" t="str">
        <f t="shared" si="16"/>
        <v/>
      </c>
      <c r="H202" t="str">
        <f t="shared" si="17"/>
        <v>—</v>
      </c>
      <c r="I202" t="str">
        <f t="shared" si="18"/>
        <v>Below thresholds</v>
      </c>
      <c r="J202" t="str">
        <f t="shared" si="19"/>
        <v/>
      </c>
    </row>
    <row r="203" spans="1:10" x14ac:dyDescent="0.2">
      <c r="A203">
        <v>226886961377</v>
      </c>
      <c r="B203" t="s">
        <v>1143</v>
      </c>
      <c r="C203" t="s">
        <v>1144</v>
      </c>
      <c r="D203">
        <v>2.15</v>
      </c>
      <c r="F203" t="str">
        <f t="shared" si="15"/>
        <v>No</v>
      </c>
      <c r="G203" t="str">
        <f t="shared" si="16"/>
        <v/>
      </c>
      <c r="H203" t="str">
        <f t="shared" si="17"/>
        <v>—</v>
      </c>
      <c r="I203" t="str">
        <f t="shared" si="18"/>
        <v>Below thresholds</v>
      </c>
      <c r="J203" t="str">
        <f t="shared" si="19"/>
        <v/>
      </c>
    </row>
    <row r="204" spans="1:10" x14ac:dyDescent="0.2">
      <c r="A204">
        <v>226886979565</v>
      </c>
      <c r="B204" t="s">
        <v>1145</v>
      </c>
      <c r="C204" t="s">
        <v>1146</v>
      </c>
      <c r="D204">
        <v>1.1499999999999999</v>
      </c>
      <c r="F204" t="str">
        <f t="shared" si="15"/>
        <v>No</v>
      </c>
      <c r="G204" t="str">
        <f t="shared" si="16"/>
        <v/>
      </c>
      <c r="H204" t="str">
        <f t="shared" si="17"/>
        <v>—</v>
      </c>
      <c r="I204" t="str">
        <f t="shared" si="18"/>
        <v>Below thresholds</v>
      </c>
      <c r="J204" t="str">
        <f t="shared" si="19"/>
        <v/>
      </c>
    </row>
    <row r="205" spans="1:10" x14ac:dyDescent="0.2">
      <c r="A205">
        <v>226887000674</v>
      </c>
      <c r="B205" t="s">
        <v>1147</v>
      </c>
      <c r="C205" t="s">
        <v>1148</v>
      </c>
      <c r="D205">
        <v>0.99</v>
      </c>
      <c r="F205" t="str">
        <f t="shared" si="15"/>
        <v>No</v>
      </c>
      <c r="G205" t="str">
        <f t="shared" si="16"/>
        <v/>
      </c>
      <c r="H205" t="str">
        <f t="shared" si="17"/>
        <v>—</v>
      </c>
      <c r="I205" t="str">
        <f t="shared" si="18"/>
        <v>Below thresholds</v>
      </c>
      <c r="J205" t="str">
        <f t="shared" si="19"/>
        <v/>
      </c>
    </row>
    <row r="206" spans="1:10" x14ac:dyDescent="0.2">
      <c r="A206">
        <v>226887002054</v>
      </c>
      <c r="B206" t="s">
        <v>1149</v>
      </c>
      <c r="C206" t="s">
        <v>1150</v>
      </c>
      <c r="D206">
        <v>1.5</v>
      </c>
      <c r="F206" t="str">
        <f t="shared" si="15"/>
        <v>No</v>
      </c>
      <c r="G206" t="str">
        <f t="shared" si="16"/>
        <v/>
      </c>
      <c r="H206" t="str">
        <f t="shared" si="17"/>
        <v>—</v>
      </c>
      <c r="I206" t="str">
        <f t="shared" si="18"/>
        <v>Below thresholds</v>
      </c>
      <c r="J206" t="str">
        <f t="shared" si="19"/>
        <v/>
      </c>
    </row>
    <row r="207" spans="1:10" x14ac:dyDescent="0.2">
      <c r="A207">
        <v>226887002751</v>
      </c>
      <c r="B207" t="s">
        <v>1151</v>
      </c>
      <c r="C207" t="s">
        <v>1152</v>
      </c>
      <c r="D207">
        <v>0.99</v>
      </c>
      <c r="F207" t="str">
        <f t="shared" si="15"/>
        <v>No</v>
      </c>
      <c r="G207" t="str">
        <f t="shared" si="16"/>
        <v/>
      </c>
      <c r="H207" t="str">
        <f t="shared" si="17"/>
        <v>—</v>
      </c>
      <c r="I207" t="str">
        <f t="shared" si="18"/>
        <v>Below thresholds</v>
      </c>
      <c r="J207" t="str">
        <f t="shared" si="19"/>
        <v/>
      </c>
    </row>
    <row r="208" spans="1:10" x14ac:dyDescent="0.2">
      <c r="A208">
        <v>226887003374</v>
      </c>
      <c r="B208" t="s">
        <v>1153</v>
      </c>
      <c r="C208" t="s">
        <v>1154</v>
      </c>
      <c r="D208">
        <v>0.99</v>
      </c>
      <c r="F208" t="str">
        <f t="shared" si="15"/>
        <v>No</v>
      </c>
      <c r="G208" t="str">
        <f t="shared" si="16"/>
        <v/>
      </c>
      <c r="H208" t="str">
        <f t="shared" si="17"/>
        <v>—</v>
      </c>
      <c r="I208" t="str">
        <f t="shared" si="18"/>
        <v>Below thresholds</v>
      </c>
      <c r="J208" t="str">
        <f t="shared" si="19"/>
        <v/>
      </c>
    </row>
    <row r="209" spans="1:10" x14ac:dyDescent="0.2">
      <c r="A209">
        <v>226887013664</v>
      </c>
      <c r="B209" t="s">
        <v>1155</v>
      </c>
      <c r="C209" t="s">
        <v>1156</v>
      </c>
      <c r="D209">
        <v>1.49</v>
      </c>
      <c r="F209" t="str">
        <f t="shared" si="15"/>
        <v>No</v>
      </c>
      <c r="G209" t="str">
        <f t="shared" si="16"/>
        <v/>
      </c>
      <c r="H209" t="str">
        <f t="shared" si="17"/>
        <v>—</v>
      </c>
      <c r="I209" t="str">
        <f t="shared" si="18"/>
        <v>Below thresholds</v>
      </c>
      <c r="J209" t="str">
        <f t="shared" si="19"/>
        <v/>
      </c>
    </row>
    <row r="210" spans="1:10" x14ac:dyDescent="0.2">
      <c r="A210">
        <v>226887013665</v>
      </c>
      <c r="B210" t="s">
        <v>1157</v>
      </c>
      <c r="C210" t="s">
        <v>1158</v>
      </c>
      <c r="D210">
        <v>1.49</v>
      </c>
      <c r="F210" t="str">
        <f t="shared" si="15"/>
        <v>No</v>
      </c>
      <c r="G210" t="str">
        <f t="shared" si="16"/>
        <v/>
      </c>
      <c r="H210" t="str">
        <f t="shared" si="17"/>
        <v>—</v>
      </c>
      <c r="I210" t="str">
        <f t="shared" si="18"/>
        <v>Below thresholds</v>
      </c>
      <c r="J210" t="str">
        <f t="shared" si="19"/>
        <v/>
      </c>
    </row>
    <row r="211" spans="1:10" x14ac:dyDescent="0.2">
      <c r="A211">
        <v>226887013666</v>
      </c>
      <c r="B211" t="s">
        <v>1159</v>
      </c>
      <c r="C211" t="s">
        <v>1160</v>
      </c>
      <c r="D211">
        <v>1.69</v>
      </c>
      <c r="F211" t="str">
        <f t="shared" si="15"/>
        <v>No</v>
      </c>
      <c r="G211" t="str">
        <f t="shared" si="16"/>
        <v/>
      </c>
      <c r="H211" t="str">
        <f t="shared" si="17"/>
        <v>—</v>
      </c>
      <c r="I211" t="str">
        <f t="shared" si="18"/>
        <v>Below thresholds</v>
      </c>
      <c r="J211" t="str">
        <f t="shared" si="19"/>
        <v/>
      </c>
    </row>
    <row r="212" spans="1:10" x14ac:dyDescent="0.2">
      <c r="A212">
        <v>226887013667</v>
      </c>
      <c r="B212" t="s">
        <v>1161</v>
      </c>
      <c r="C212" t="s">
        <v>1162</v>
      </c>
      <c r="D212">
        <v>1.49</v>
      </c>
      <c r="F212" t="str">
        <f t="shared" si="15"/>
        <v>No</v>
      </c>
      <c r="G212" t="str">
        <f t="shared" si="16"/>
        <v/>
      </c>
      <c r="H212" t="str">
        <f t="shared" si="17"/>
        <v>—</v>
      </c>
      <c r="I212" t="str">
        <f t="shared" si="18"/>
        <v>Below thresholds</v>
      </c>
      <c r="J212" t="str">
        <f t="shared" si="19"/>
        <v/>
      </c>
    </row>
    <row r="213" spans="1:10" x14ac:dyDescent="0.2">
      <c r="A213">
        <v>226887013668</v>
      </c>
      <c r="B213" t="s">
        <v>1163</v>
      </c>
      <c r="C213" t="s">
        <v>1164</v>
      </c>
      <c r="D213">
        <v>1.49</v>
      </c>
      <c r="F213" t="str">
        <f t="shared" si="15"/>
        <v>No</v>
      </c>
      <c r="G213" t="str">
        <f t="shared" si="16"/>
        <v/>
      </c>
      <c r="H213" t="str">
        <f t="shared" si="17"/>
        <v>—</v>
      </c>
      <c r="I213" t="str">
        <f t="shared" si="18"/>
        <v>Below thresholds</v>
      </c>
      <c r="J213" t="str">
        <f t="shared" si="19"/>
        <v/>
      </c>
    </row>
    <row r="214" spans="1:10" x14ac:dyDescent="0.2">
      <c r="A214">
        <v>226887013669</v>
      </c>
      <c r="B214" t="s">
        <v>1165</v>
      </c>
      <c r="C214" t="s">
        <v>1166</v>
      </c>
      <c r="D214">
        <v>1.49</v>
      </c>
      <c r="F214" t="str">
        <f t="shared" si="15"/>
        <v>No</v>
      </c>
      <c r="G214" t="str">
        <f t="shared" si="16"/>
        <v/>
      </c>
      <c r="H214" t="str">
        <f t="shared" si="17"/>
        <v>—</v>
      </c>
      <c r="I214" t="str">
        <f t="shared" si="18"/>
        <v>Below thresholds</v>
      </c>
      <c r="J214" t="str">
        <f t="shared" si="19"/>
        <v/>
      </c>
    </row>
    <row r="215" spans="1:10" x14ac:dyDescent="0.2">
      <c r="A215">
        <v>226887013671</v>
      </c>
      <c r="B215" t="s">
        <v>1167</v>
      </c>
      <c r="C215" t="s">
        <v>1168</v>
      </c>
      <c r="D215">
        <v>1.49</v>
      </c>
      <c r="F215" t="str">
        <f t="shared" si="15"/>
        <v>No</v>
      </c>
      <c r="G215" t="str">
        <f t="shared" si="16"/>
        <v/>
      </c>
      <c r="H215" t="str">
        <f t="shared" si="17"/>
        <v>—</v>
      </c>
      <c r="I215" t="str">
        <f t="shared" si="18"/>
        <v>Below thresholds</v>
      </c>
      <c r="J215" t="str">
        <f t="shared" si="19"/>
        <v/>
      </c>
    </row>
    <row r="216" spans="1:10" x14ac:dyDescent="0.2">
      <c r="A216">
        <v>226887013672</v>
      </c>
      <c r="B216" t="s">
        <v>1169</v>
      </c>
      <c r="C216" t="s">
        <v>1170</v>
      </c>
      <c r="D216">
        <v>2.4900000000000002</v>
      </c>
      <c r="F216" t="str">
        <f t="shared" si="15"/>
        <v>No</v>
      </c>
      <c r="G216" t="str">
        <f t="shared" si="16"/>
        <v/>
      </c>
      <c r="H216" t="str">
        <f t="shared" si="17"/>
        <v>—</v>
      </c>
      <c r="I216" t="str">
        <f t="shared" si="18"/>
        <v>Below thresholds</v>
      </c>
      <c r="J216" t="str">
        <f t="shared" si="19"/>
        <v/>
      </c>
    </row>
    <row r="217" spans="1:10" x14ac:dyDescent="0.2">
      <c r="A217">
        <v>226887013674</v>
      </c>
      <c r="B217" t="s">
        <v>1171</v>
      </c>
      <c r="C217" t="s">
        <v>1172</v>
      </c>
      <c r="D217">
        <v>1.99</v>
      </c>
      <c r="F217" t="str">
        <f t="shared" si="15"/>
        <v>No</v>
      </c>
      <c r="G217" t="str">
        <f t="shared" si="16"/>
        <v/>
      </c>
      <c r="H217" t="str">
        <f t="shared" si="17"/>
        <v>—</v>
      </c>
      <c r="I217" t="str">
        <f t="shared" si="18"/>
        <v>Below thresholds</v>
      </c>
      <c r="J217" t="str">
        <f t="shared" si="19"/>
        <v/>
      </c>
    </row>
    <row r="218" spans="1:10" x14ac:dyDescent="0.2">
      <c r="A218">
        <v>226887013675</v>
      </c>
      <c r="B218" t="s">
        <v>1173</v>
      </c>
      <c r="C218" t="s">
        <v>1174</v>
      </c>
      <c r="D218">
        <v>1.69</v>
      </c>
      <c r="F218" t="str">
        <f t="shared" si="15"/>
        <v>No</v>
      </c>
      <c r="G218" t="str">
        <f t="shared" si="16"/>
        <v/>
      </c>
      <c r="H218" t="str">
        <f t="shared" si="17"/>
        <v>—</v>
      </c>
      <c r="I218" t="str">
        <f t="shared" si="18"/>
        <v>Below thresholds</v>
      </c>
      <c r="J218" t="str">
        <f t="shared" si="19"/>
        <v/>
      </c>
    </row>
    <row r="219" spans="1:10" x14ac:dyDescent="0.2">
      <c r="A219">
        <v>226887013676</v>
      </c>
      <c r="B219" t="s">
        <v>1175</v>
      </c>
      <c r="C219" t="s">
        <v>1176</v>
      </c>
      <c r="D219">
        <v>1.49</v>
      </c>
      <c r="F219" t="str">
        <f t="shared" si="15"/>
        <v>No</v>
      </c>
      <c r="G219" t="str">
        <f t="shared" si="16"/>
        <v/>
      </c>
      <c r="H219" t="str">
        <f t="shared" si="17"/>
        <v>—</v>
      </c>
      <c r="I219" t="str">
        <f t="shared" si="18"/>
        <v>Below thresholds</v>
      </c>
      <c r="J219" t="str">
        <f t="shared" si="19"/>
        <v/>
      </c>
    </row>
    <row r="220" spans="1:10" x14ac:dyDescent="0.2">
      <c r="A220">
        <v>226887013677</v>
      </c>
      <c r="B220" t="s">
        <v>1177</v>
      </c>
      <c r="C220" t="s">
        <v>1178</v>
      </c>
      <c r="D220">
        <v>3.75</v>
      </c>
      <c r="F220" t="str">
        <f t="shared" si="15"/>
        <v>No</v>
      </c>
      <c r="G220" t="str">
        <f t="shared" si="16"/>
        <v/>
      </c>
      <c r="H220" t="str">
        <f t="shared" si="17"/>
        <v>—</v>
      </c>
      <c r="I220" t="str">
        <f t="shared" si="18"/>
        <v>Below thresholds</v>
      </c>
      <c r="J220" t="str">
        <f t="shared" si="19"/>
        <v/>
      </c>
    </row>
    <row r="221" spans="1:10" x14ac:dyDescent="0.2">
      <c r="A221">
        <v>226887013681</v>
      </c>
      <c r="B221" t="s">
        <v>1179</v>
      </c>
      <c r="C221" t="s">
        <v>1180</v>
      </c>
      <c r="D221">
        <v>1.49</v>
      </c>
      <c r="F221" t="str">
        <f t="shared" si="15"/>
        <v>No</v>
      </c>
      <c r="G221" t="str">
        <f t="shared" si="16"/>
        <v/>
      </c>
      <c r="H221" t="str">
        <f t="shared" si="17"/>
        <v>—</v>
      </c>
      <c r="I221" t="str">
        <f t="shared" si="18"/>
        <v>Below thresholds</v>
      </c>
      <c r="J221" t="str">
        <f t="shared" si="19"/>
        <v/>
      </c>
    </row>
    <row r="222" spans="1:10" x14ac:dyDescent="0.2">
      <c r="A222">
        <v>226888636932</v>
      </c>
      <c r="B222" t="s">
        <v>1181</v>
      </c>
      <c r="C222" t="s">
        <v>1182</v>
      </c>
      <c r="D222">
        <v>3.25</v>
      </c>
      <c r="F222" t="str">
        <f t="shared" si="15"/>
        <v>No</v>
      </c>
      <c r="G222" t="str">
        <f t="shared" si="16"/>
        <v/>
      </c>
      <c r="H222" t="str">
        <f t="shared" si="17"/>
        <v>—</v>
      </c>
      <c r="I222" t="str">
        <f t="shared" si="18"/>
        <v>Below thresholds</v>
      </c>
      <c r="J222" t="str">
        <f t="shared" si="19"/>
        <v/>
      </c>
    </row>
    <row r="223" spans="1:10" x14ac:dyDescent="0.2">
      <c r="A223">
        <v>226888652761</v>
      </c>
      <c r="B223" t="s">
        <v>1183</v>
      </c>
      <c r="C223" t="s">
        <v>1184</v>
      </c>
      <c r="D223">
        <v>1.25</v>
      </c>
      <c r="F223" t="str">
        <f t="shared" si="15"/>
        <v>No</v>
      </c>
      <c r="G223" t="str">
        <f t="shared" si="16"/>
        <v/>
      </c>
      <c r="H223" t="str">
        <f t="shared" si="17"/>
        <v>—</v>
      </c>
      <c r="I223" t="str">
        <f t="shared" si="18"/>
        <v>Below thresholds</v>
      </c>
      <c r="J223" t="str">
        <f t="shared" si="19"/>
        <v/>
      </c>
    </row>
    <row r="224" spans="1:10" x14ac:dyDescent="0.2">
      <c r="A224">
        <v>226888656220</v>
      </c>
      <c r="B224" t="s">
        <v>1185</v>
      </c>
      <c r="C224" t="s">
        <v>1186</v>
      </c>
      <c r="D224">
        <v>8.25</v>
      </c>
      <c r="F224" t="str">
        <f t="shared" si="15"/>
        <v>No</v>
      </c>
      <c r="G224" t="str">
        <f t="shared" si="16"/>
        <v/>
      </c>
      <c r="H224" t="str">
        <f t="shared" si="17"/>
        <v>—</v>
      </c>
      <c r="I224" t="str">
        <f t="shared" si="18"/>
        <v>Below thresholds</v>
      </c>
      <c r="J224" t="str">
        <f t="shared" si="19"/>
        <v/>
      </c>
    </row>
    <row r="225" spans="1:10" x14ac:dyDescent="0.2">
      <c r="A225">
        <v>226888660849</v>
      </c>
      <c r="B225" t="s">
        <v>1187</v>
      </c>
      <c r="C225" t="s">
        <v>1188</v>
      </c>
      <c r="D225">
        <v>1.99</v>
      </c>
      <c r="F225" t="str">
        <f t="shared" si="15"/>
        <v>No</v>
      </c>
      <c r="G225" t="str">
        <f t="shared" si="16"/>
        <v/>
      </c>
      <c r="H225" t="str">
        <f t="shared" si="17"/>
        <v>—</v>
      </c>
      <c r="I225" t="str">
        <f t="shared" si="18"/>
        <v>Below thresholds</v>
      </c>
      <c r="J225" t="str">
        <f t="shared" si="19"/>
        <v/>
      </c>
    </row>
    <row r="226" spans="1:10" x14ac:dyDescent="0.2">
      <c r="A226">
        <v>226888742684</v>
      </c>
      <c r="B226" t="s">
        <v>1189</v>
      </c>
      <c r="C226" t="s">
        <v>1190</v>
      </c>
      <c r="D226">
        <v>2</v>
      </c>
      <c r="F226" t="str">
        <f t="shared" si="15"/>
        <v>No</v>
      </c>
      <c r="G226" t="str">
        <f t="shared" si="16"/>
        <v/>
      </c>
      <c r="H226" t="str">
        <f t="shared" si="17"/>
        <v>—</v>
      </c>
      <c r="I226" t="str">
        <f t="shared" si="18"/>
        <v>Below thresholds</v>
      </c>
      <c r="J226" t="str">
        <f t="shared" si="19"/>
        <v/>
      </c>
    </row>
    <row r="227" spans="1:10" x14ac:dyDescent="0.2">
      <c r="A227">
        <v>226888783861</v>
      </c>
      <c r="B227" t="s">
        <v>1191</v>
      </c>
      <c r="C227" t="s">
        <v>1192</v>
      </c>
      <c r="D227">
        <v>3.99</v>
      </c>
      <c r="F227" t="str">
        <f t="shared" si="15"/>
        <v>No</v>
      </c>
      <c r="G227" t="str">
        <f t="shared" si="16"/>
        <v/>
      </c>
      <c r="H227" t="str">
        <f t="shared" si="17"/>
        <v>—</v>
      </c>
      <c r="I227" t="str">
        <f t="shared" si="18"/>
        <v>Below thresholds</v>
      </c>
      <c r="J227" t="str">
        <f t="shared" si="19"/>
        <v/>
      </c>
    </row>
    <row r="228" spans="1:10" x14ac:dyDescent="0.2">
      <c r="A228">
        <v>226888787624</v>
      </c>
      <c r="B228" t="s">
        <v>1193</v>
      </c>
      <c r="C228" t="s">
        <v>1194</v>
      </c>
      <c r="D228">
        <v>1.99</v>
      </c>
      <c r="F228" t="str">
        <f t="shared" si="15"/>
        <v>No</v>
      </c>
      <c r="G228" t="str">
        <f t="shared" si="16"/>
        <v/>
      </c>
      <c r="H228" t="str">
        <f t="shared" si="17"/>
        <v>—</v>
      </c>
      <c r="I228" t="str">
        <f t="shared" si="18"/>
        <v>Below thresholds</v>
      </c>
      <c r="J228" t="str">
        <f t="shared" si="19"/>
        <v/>
      </c>
    </row>
    <row r="229" spans="1:10" x14ac:dyDescent="0.2">
      <c r="A229">
        <v>226888838129</v>
      </c>
      <c r="B229" t="s">
        <v>1195</v>
      </c>
      <c r="C229" t="s">
        <v>1196</v>
      </c>
      <c r="D229">
        <v>1.99</v>
      </c>
      <c r="F229" t="str">
        <f t="shared" si="15"/>
        <v>No</v>
      </c>
      <c r="G229" t="str">
        <f t="shared" si="16"/>
        <v/>
      </c>
      <c r="H229" t="str">
        <f t="shared" si="17"/>
        <v>—</v>
      </c>
      <c r="I229" t="str">
        <f t="shared" si="18"/>
        <v>Below thresholds</v>
      </c>
      <c r="J229" t="str">
        <f t="shared" si="19"/>
        <v/>
      </c>
    </row>
    <row r="230" spans="1:10" x14ac:dyDescent="0.2">
      <c r="A230">
        <v>226888845985</v>
      </c>
      <c r="B230" t="s">
        <v>1197</v>
      </c>
      <c r="C230" t="s">
        <v>1198</v>
      </c>
      <c r="D230">
        <v>2.25</v>
      </c>
      <c r="F230" t="str">
        <f t="shared" si="15"/>
        <v>No</v>
      </c>
      <c r="G230" t="str">
        <f t="shared" si="16"/>
        <v/>
      </c>
      <c r="H230" t="str">
        <f t="shared" si="17"/>
        <v>—</v>
      </c>
      <c r="I230" t="str">
        <f t="shared" si="18"/>
        <v>Below thresholds</v>
      </c>
      <c r="J230" t="str">
        <f t="shared" si="19"/>
        <v/>
      </c>
    </row>
    <row r="231" spans="1:10" x14ac:dyDescent="0.2">
      <c r="A231">
        <v>226888873822</v>
      </c>
      <c r="B231" t="s">
        <v>1199</v>
      </c>
      <c r="C231" t="s">
        <v>1200</v>
      </c>
      <c r="D231">
        <v>1.49</v>
      </c>
      <c r="F231" t="str">
        <f t="shared" si="15"/>
        <v>No</v>
      </c>
      <c r="G231" t="str">
        <f t="shared" si="16"/>
        <v/>
      </c>
      <c r="H231" t="str">
        <f t="shared" si="17"/>
        <v>—</v>
      </c>
      <c r="I231" t="str">
        <f t="shared" si="18"/>
        <v>Below thresholds</v>
      </c>
      <c r="J231" t="str">
        <f t="shared" si="19"/>
        <v/>
      </c>
    </row>
    <row r="232" spans="1:10" x14ac:dyDescent="0.2">
      <c r="A232">
        <v>226889690931</v>
      </c>
      <c r="B232" t="s">
        <v>1201</v>
      </c>
      <c r="C232" t="s">
        <v>1202</v>
      </c>
      <c r="D232">
        <v>8.75</v>
      </c>
      <c r="F232" t="str">
        <f t="shared" si="15"/>
        <v>No</v>
      </c>
      <c r="G232" t="str">
        <f t="shared" si="16"/>
        <v/>
      </c>
      <c r="H232" t="str">
        <f t="shared" si="17"/>
        <v>—</v>
      </c>
      <c r="I232" t="str">
        <f t="shared" si="18"/>
        <v>Below thresholds</v>
      </c>
      <c r="J232" t="str">
        <f t="shared" si="19"/>
        <v/>
      </c>
    </row>
    <row r="233" spans="1:10" x14ac:dyDescent="0.2">
      <c r="A233">
        <v>226889793568</v>
      </c>
      <c r="B233" t="s">
        <v>1203</v>
      </c>
      <c r="C233" t="s">
        <v>1204</v>
      </c>
      <c r="D233">
        <v>4.6900000000000004</v>
      </c>
      <c r="F233" t="str">
        <f t="shared" si="15"/>
        <v>No</v>
      </c>
      <c r="G233" t="str">
        <f t="shared" si="16"/>
        <v/>
      </c>
      <c r="H233" t="str">
        <f t="shared" si="17"/>
        <v>—</v>
      </c>
      <c r="I233" t="str">
        <f t="shared" si="18"/>
        <v>Below thresholds</v>
      </c>
      <c r="J233" t="str">
        <f t="shared" si="19"/>
        <v/>
      </c>
    </row>
    <row r="234" spans="1:10" x14ac:dyDescent="0.2">
      <c r="A234">
        <v>226889793573</v>
      </c>
      <c r="B234" t="s">
        <v>1205</v>
      </c>
      <c r="C234" t="s">
        <v>1206</v>
      </c>
      <c r="D234">
        <v>4.8899999999999997</v>
      </c>
      <c r="F234" t="str">
        <f t="shared" si="15"/>
        <v>No</v>
      </c>
      <c r="G234" t="str">
        <f t="shared" si="16"/>
        <v/>
      </c>
      <c r="H234" t="str">
        <f t="shared" si="17"/>
        <v>—</v>
      </c>
      <c r="I234" t="str">
        <f t="shared" si="18"/>
        <v>Below thresholds</v>
      </c>
      <c r="J234" t="str">
        <f t="shared" si="19"/>
        <v/>
      </c>
    </row>
    <row r="235" spans="1:10" x14ac:dyDescent="0.2">
      <c r="A235">
        <v>226889793577</v>
      </c>
      <c r="B235" t="s">
        <v>1207</v>
      </c>
      <c r="C235" t="s">
        <v>1208</v>
      </c>
      <c r="D235">
        <v>1.49</v>
      </c>
      <c r="F235" t="str">
        <f t="shared" si="15"/>
        <v>No</v>
      </c>
      <c r="G235" t="str">
        <f t="shared" si="16"/>
        <v/>
      </c>
      <c r="H235" t="str">
        <f t="shared" si="17"/>
        <v>—</v>
      </c>
      <c r="I235" t="str">
        <f t="shared" si="18"/>
        <v>Below thresholds</v>
      </c>
      <c r="J235" t="str">
        <f t="shared" si="19"/>
        <v/>
      </c>
    </row>
    <row r="236" spans="1:10" x14ac:dyDescent="0.2">
      <c r="A236">
        <v>226889793579</v>
      </c>
      <c r="B236" t="s">
        <v>1209</v>
      </c>
      <c r="C236" t="s">
        <v>1210</v>
      </c>
      <c r="D236">
        <v>2.4900000000000002</v>
      </c>
      <c r="F236" t="str">
        <f t="shared" si="15"/>
        <v>No</v>
      </c>
      <c r="G236" t="str">
        <f t="shared" si="16"/>
        <v/>
      </c>
      <c r="H236" t="str">
        <f t="shared" si="17"/>
        <v>—</v>
      </c>
      <c r="I236" t="str">
        <f t="shared" si="18"/>
        <v>Below thresholds</v>
      </c>
      <c r="J236" t="str">
        <f t="shared" si="19"/>
        <v/>
      </c>
    </row>
    <row r="237" spans="1:10" x14ac:dyDescent="0.2">
      <c r="A237">
        <v>226889793580</v>
      </c>
      <c r="B237" t="s">
        <v>1211</v>
      </c>
      <c r="C237" t="s">
        <v>1212</v>
      </c>
      <c r="D237">
        <v>1.49</v>
      </c>
      <c r="F237" t="str">
        <f t="shared" si="15"/>
        <v>No</v>
      </c>
      <c r="G237" t="str">
        <f t="shared" si="16"/>
        <v/>
      </c>
      <c r="H237" t="str">
        <f t="shared" si="17"/>
        <v>—</v>
      </c>
      <c r="I237" t="str">
        <f t="shared" si="18"/>
        <v>Below thresholds</v>
      </c>
      <c r="J237" t="str">
        <f t="shared" si="19"/>
        <v/>
      </c>
    </row>
    <row r="238" spans="1:10" x14ac:dyDescent="0.2">
      <c r="A238">
        <v>226890215787</v>
      </c>
      <c r="B238" t="s">
        <v>1213</v>
      </c>
      <c r="C238" t="s">
        <v>1214</v>
      </c>
      <c r="D238">
        <v>1.49</v>
      </c>
      <c r="F238" t="str">
        <f t="shared" si="15"/>
        <v>No</v>
      </c>
      <c r="G238" t="str">
        <f t="shared" si="16"/>
        <v/>
      </c>
      <c r="H238" t="str">
        <f t="shared" si="17"/>
        <v>—</v>
      </c>
      <c r="I238" t="str">
        <f t="shared" si="18"/>
        <v>Below thresholds</v>
      </c>
      <c r="J238" t="str">
        <f t="shared" si="19"/>
        <v/>
      </c>
    </row>
    <row r="239" spans="1:10" x14ac:dyDescent="0.2">
      <c r="A239">
        <v>226890215789</v>
      </c>
      <c r="B239" t="s">
        <v>1215</v>
      </c>
      <c r="C239" t="s">
        <v>1216</v>
      </c>
      <c r="D239">
        <v>1.79</v>
      </c>
      <c r="F239" t="str">
        <f t="shared" si="15"/>
        <v>No</v>
      </c>
      <c r="G239" t="str">
        <f t="shared" si="16"/>
        <v/>
      </c>
      <c r="H239" t="str">
        <f t="shared" si="17"/>
        <v>—</v>
      </c>
      <c r="I239" t="str">
        <f t="shared" si="18"/>
        <v>Below thresholds</v>
      </c>
      <c r="J239" t="str">
        <f t="shared" si="19"/>
        <v/>
      </c>
    </row>
    <row r="240" spans="1:10" x14ac:dyDescent="0.2">
      <c r="A240">
        <v>226890215795</v>
      </c>
      <c r="B240" t="s">
        <v>1217</v>
      </c>
      <c r="C240" t="s">
        <v>1218</v>
      </c>
      <c r="D240">
        <v>1.99</v>
      </c>
      <c r="F240" t="str">
        <f t="shared" si="15"/>
        <v>No</v>
      </c>
      <c r="G240" t="str">
        <f t="shared" si="16"/>
        <v/>
      </c>
      <c r="H240" t="str">
        <f t="shared" si="17"/>
        <v>—</v>
      </c>
      <c r="I240" t="str">
        <f t="shared" si="18"/>
        <v>Below thresholds</v>
      </c>
      <c r="J240" t="str">
        <f t="shared" si="19"/>
        <v/>
      </c>
    </row>
    <row r="241" spans="1:10" x14ac:dyDescent="0.2">
      <c r="A241">
        <v>226890215797</v>
      </c>
      <c r="B241" t="s">
        <v>1219</v>
      </c>
      <c r="C241" t="s">
        <v>1220</v>
      </c>
      <c r="D241">
        <v>1.49</v>
      </c>
      <c r="F241" t="str">
        <f t="shared" si="15"/>
        <v>No</v>
      </c>
      <c r="G241" t="str">
        <f t="shared" si="16"/>
        <v/>
      </c>
      <c r="H241" t="str">
        <f t="shared" si="17"/>
        <v>—</v>
      </c>
      <c r="I241" t="str">
        <f t="shared" si="18"/>
        <v>Below thresholds</v>
      </c>
      <c r="J241" t="str">
        <f t="shared" si="19"/>
        <v/>
      </c>
    </row>
    <row r="242" spans="1:10" x14ac:dyDescent="0.2">
      <c r="A242">
        <v>226890215800</v>
      </c>
      <c r="B242" t="s">
        <v>1221</v>
      </c>
      <c r="C242" t="s">
        <v>1222</v>
      </c>
      <c r="D242">
        <v>1.99</v>
      </c>
      <c r="F242" t="str">
        <f t="shared" si="15"/>
        <v>No</v>
      </c>
      <c r="G242" t="str">
        <f t="shared" si="16"/>
        <v/>
      </c>
      <c r="H242" t="str">
        <f t="shared" si="17"/>
        <v>—</v>
      </c>
      <c r="I242" t="str">
        <f t="shared" si="18"/>
        <v>Below thresholds</v>
      </c>
      <c r="J242" t="str">
        <f t="shared" si="19"/>
        <v/>
      </c>
    </row>
    <row r="243" spans="1:10" x14ac:dyDescent="0.2">
      <c r="A243">
        <v>226890215811</v>
      </c>
      <c r="B243" t="s">
        <v>1223</v>
      </c>
      <c r="C243" t="s">
        <v>1224</v>
      </c>
      <c r="D243">
        <v>1.49</v>
      </c>
      <c r="F243" t="str">
        <f t="shared" si="15"/>
        <v>No</v>
      </c>
      <c r="G243" t="str">
        <f t="shared" si="16"/>
        <v/>
      </c>
      <c r="H243" t="str">
        <f t="shared" si="17"/>
        <v>—</v>
      </c>
      <c r="I243" t="str">
        <f t="shared" si="18"/>
        <v>Below thresholds</v>
      </c>
      <c r="J243" t="str">
        <f t="shared" si="19"/>
        <v/>
      </c>
    </row>
    <row r="244" spans="1:10" x14ac:dyDescent="0.2">
      <c r="A244">
        <v>226891312238</v>
      </c>
      <c r="B244" t="s">
        <v>1225</v>
      </c>
      <c r="C244" t="s">
        <v>1226</v>
      </c>
      <c r="D244">
        <v>3.5</v>
      </c>
      <c r="F244" t="str">
        <f t="shared" si="15"/>
        <v>No</v>
      </c>
      <c r="G244" t="str">
        <f t="shared" si="16"/>
        <v/>
      </c>
      <c r="H244" t="str">
        <f t="shared" si="17"/>
        <v>—</v>
      </c>
      <c r="I244" t="str">
        <f t="shared" si="18"/>
        <v>Below thresholds</v>
      </c>
      <c r="J244" t="str">
        <f t="shared" si="19"/>
        <v/>
      </c>
    </row>
    <row r="245" spans="1:10" x14ac:dyDescent="0.2">
      <c r="A245">
        <v>226891315226</v>
      </c>
      <c r="B245" t="s">
        <v>1227</v>
      </c>
      <c r="C245" t="s">
        <v>1228</v>
      </c>
      <c r="D245">
        <v>3.5</v>
      </c>
      <c r="F245" t="str">
        <f t="shared" si="15"/>
        <v>No</v>
      </c>
      <c r="G245" t="str">
        <f t="shared" si="16"/>
        <v/>
      </c>
      <c r="H245" t="str">
        <f t="shared" si="17"/>
        <v>—</v>
      </c>
      <c r="I245" t="str">
        <f t="shared" si="18"/>
        <v>Below thresholds</v>
      </c>
      <c r="J245" t="str">
        <f t="shared" si="19"/>
        <v/>
      </c>
    </row>
    <row r="246" spans="1:10" x14ac:dyDescent="0.2">
      <c r="A246">
        <v>226891331747</v>
      </c>
      <c r="B246" t="s">
        <v>1229</v>
      </c>
      <c r="C246" t="s">
        <v>1230</v>
      </c>
      <c r="D246">
        <v>3.45</v>
      </c>
      <c r="F246" t="str">
        <f t="shared" si="15"/>
        <v>No</v>
      </c>
      <c r="G246" t="str">
        <f t="shared" si="16"/>
        <v/>
      </c>
      <c r="H246" t="str">
        <f t="shared" si="17"/>
        <v>—</v>
      </c>
      <c r="I246" t="str">
        <f t="shared" si="18"/>
        <v>Below thresholds</v>
      </c>
      <c r="J246" t="str">
        <f t="shared" si="19"/>
        <v/>
      </c>
    </row>
    <row r="247" spans="1:10" x14ac:dyDescent="0.2">
      <c r="A247">
        <v>226891622900</v>
      </c>
      <c r="B247" t="s">
        <v>1231</v>
      </c>
      <c r="C247" t="s">
        <v>1232</v>
      </c>
      <c r="D247">
        <v>7.5</v>
      </c>
      <c r="F247" t="str">
        <f t="shared" si="15"/>
        <v>No</v>
      </c>
      <c r="G247" t="str">
        <f t="shared" si="16"/>
        <v/>
      </c>
      <c r="H247" t="str">
        <f t="shared" si="17"/>
        <v>—</v>
      </c>
      <c r="I247" t="str">
        <f t="shared" si="18"/>
        <v>Below thresholds</v>
      </c>
      <c r="J247" t="str">
        <f t="shared" si="19"/>
        <v/>
      </c>
    </row>
    <row r="248" spans="1:10" x14ac:dyDescent="0.2">
      <c r="A248">
        <v>226893702746</v>
      </c>
      <c r="B248" t="s">
        <v>1233</v>
      </c>
      <c r="C248" t="s">
        <v>1234</v>
      </c>
      <c r="D248">
        <v>1.49</v>
      </c>
      <c r="F248" t="str">
        <f t="shared" si="15"/>
        <v>No</v>
      </c>
      <c r="G248" t="str">
        <f t="shared" si="16"/>
        <v/>
      </c>
      <c r="H248" t="str">
        <f t="shared" si="17"/>
        <v>—</v>
      </c>
      <c r="I248" t="str">
        <f t="shared" si="18"/>
        <v>Below thresholds</v>
      </c>
      <c r="J248" t="str">
        <f t="shared" si="19"/>
        <v/>
      </c>
    </row>
    <row r="249" spans="1:10" x14ac:dyDescent="0.2">
      <c r="A249">
        <v>226893702748</v>
      </c>
      <c r="B249" t="s">
        <v>1235</v>
      </c>
      <c r="C249" t="s">
        <v>1236</v>
      </c>
      <c r="D249">
        <v>1.59</v>
      </c>
      <c r="F249" t="str">
        <f t="shared" si="15"/>
        <v>No</v>
      </c>
      <c r="G249" t="str">
        <f t="shared" si="16"/>
        <v/>
      </c>
      <c r="H249" t="str">
        <f t="shared" si="17"/>
        <v>—</v>
      </c>
      <c r="I249" t="str">
        <f t="shared" si="18"/>
        <v>Below thresholds</v>
      </c>
      <c r="J249" t="str">
        <f t="shared" si="19"/>
        <v/>
      </c>
    </row>
    <row r="250" spans="1:10" x14ac:dyDescent="0.2">
      <c r="A250">
        <v>226893702749</v>
      </c>
      <c r="B250" t="s">
        <v>1237</v>
      </c>
      <c r="C250" t="s">
        <v>1238</v>
      </c>
      <c r="D250">
        <v>1.49</v>
      </c>
      <c r="F250" t="str">
        <f t="shared" si="15"/>
        <v>No</v>
      </c>
      <c r="G250" t="str">
        <f t="shared" si="16"/>
        <v/>
      </c>
      <c r="H250" t="str">
        <f t="shared" si="17"/>
        <v>—</v>
      </c>
      <c r="I250" t="str">
        <f t="shared" si="18"/>
        <v>Below thresholds</v>
      </c>
      <c r="J250" t="str">
        <f t="shared" si="19"/>
        <v/>
      </c>
    </row>
    <row r="251" spans="1:10" x14ac:dyDescent="0.2">
      <c r="A251">
        <v>226893702750</v>
      </c>
      <c r="B251" t="s">
        <v>1239</v>
      </c>
      <c r="C251" t="s">
        <v>1240</v>
      </c>
      <c r="D251">
        <v>1.49</v>
      </c>
      <c r="F251" t="str">
        <f t="shared" si="15"/>
        <v>No</v>
      </c>
      <c r="G251" t="str">
        <f t="shared" si="16"/>
        <v/>
      </c>
      <c r="H251" t="str">
        <f t="shared" si="17"/>
        <v>—</v>
      </c>
      <c r="I251" t="str">
        <f t="shared" si="18"/>
        <v>Below thresholds</v>
      </c>
      <c r="J251" t="str">
        <f t="shared" si="19"/>
        <v/>
      </c>
    </row>
    <row r="252" spans="1:10" x14ac:dyDescent="0.2">
      <c r="A252">
        <v>226893702751</v>
      </c>
      <c r="B252" t="s">
        <v>1241</v>
      </c>
      <c r="C252" t="s">
        <v>1242</v>
      </c>
      <c r="D252">
        <v>1.59</v>
      </c>
      <c r="F252" t="str">
        <f t="shared" si="15"/>
        <v>No</v>
      </c>
      <c r="G252" t="str">
        <f t="shared" si="16"/>
        <v/>
      </c>
      <c r="H252" t="str">
        <f t="shared" si="17"/>
        <v>—</v>
      </c>
      <c r="I252" t="str">
        <f t="shared" si="18"/>
        <v>Below thresholds</v>
      </c>
      <c r="J252" t="str">
        <f t="shared" si="19"/>
        <v/>
      </c>
    </row>
    <row r="253" spans="1:10" x14ac:dyDescent="0.2">
      <c r="A253">
        <v>226893702754</v>
      </c>
      <c r="B253" t="s">
        <v>1243</v>
      </c>
      <c r="C253" t="s">
        <v>1244</v>
      </c>
      <c r="D253">
        <v>1.69</v>
      </c>
      <c r="F253" t="str">
        <f t="shared" si="15"/>
        <v>No</v>
      </c>
      <c r="G253" t="str">
        <f t="shared" si="16"/>
        <v/>
      </c>
      <c r="H253" t="str">
        <f t="shared" si="17"/>
        <v>—</v>
      </c>
      <c r="I253" t="str">
        <f t="shared" si="18"/>
        <v>Below thresholds</v>
      </c>
      <c r="J253" t="str">
        <f t="shared" si="19"/>
        <v/>
      </c>
    </row>
    <row r="254" spans="1:10" x14ac:dyDescent="0.2">
      <c r="A254">
        <v>226893702756</v>
      </c>
      <c r="B254" t="s">
        <v>1245</v>
      </c>
      <c r="C254" t="s">
        <v>1246</v>
      </c>
      <c r="D254">
        <v>1.49</v>
      </c>
      <c r="F254" t="str">
        <f t="shared" si="15"/>
        <v>No</v>
      </c>
      <c r="G254" t="str">
        <f t="shared" si="16"/>
        <v/>
      </c>
      <c r="H254" t="str">
        <f t="shared" si="17"/>
        <v>—</v>
      </c>
      <c r="I254" t="str">
        <f t="shared" si="18"/>
        <v>Below thresholds</v>
      </c>
      <c r="J254" t="str">
        <f t="shared" si="19"/>
        <v/>
      </c>
    </row>
    <row r="255" spans="1:10" x14ac:dyDescent="0.2">
      <c r="A255">
        <v>226893702757</v>
      </c>
      <c r="B255" t="s">
        <v>1247</v>
      </c>
      <c r="C255" t="s">
        <v>1248</v>
      </c>
      <c r="D255">
        <v>1.49</v>
      </c>
      <c r="F255" t="str">
        <f t="shared" si="15"/>
        <v>No</v>
      </c>
      <c r="G255" t="str">
        <f t="shared" si="16"/>
        <v/>
      </c>
      <c r="H255" t="str">
        <f t="shared" si="17"/>
        <v>—</v>
      </c>
      <c r="I255" t="str">
        <f t="shared" si="18"/>
        <v>Below thresholds</v>
      </c>
      <c r="J255" t="str">
        <f t="shared" si="19"/>
        <v/>
      </c>
    </row>
    <row r="256" spans="1:10" x14ac:dyDescent="0.2">
      <c r="A256">
        <v>226893702758</v>
      </c>
      <c r="B256" t="s">
        <v>1249</v>
      </c>
      <c r="C256" t="s">
        <v>1250</v>
      </c>
      <c r="D256">
        <v>1.49</v>
      </c>
      <c r="F256" t="str">
        <f t="shared" si="15"/>
        <v>No</v>
      </c>
      <c r="G256" t="str">
        <f t="shared" si="16"/>
        <v/>
      </c>
      <c r="H256" t="str">
        <f t="shared" si="17"/>
        <v>—</v>
      </c>
      <c r="I256" t="str">
        <f t="shared" si="18"/>
        <v>Below thresholds</v>
      </c>
      <c r="J256" t="str">
        <f t="shared" si="19"/>
        <v/>
      </c>
    </row>
    <row r="257" spans="1:10" x14ac:dyDescent="0.2">
      <c r="A257">
        <v>226895223369</v>
      </c>
      <c r="B257" t="s">
        <v>301</v>
      </c>
      <c r="C257" t="s">
        <v>1251</v>
      </c>
      <c r="D257">
        <v>1.49</v>
      </c>
      <c r="F257" t="str">
        <f t="shared" si="15"/>
        <v>No</v>
      </c>
      <c r="G257" t="str">
        <f t="shared" si="16"/>
        <v/>
      </c>
      <c r="H257" t="str">
        <f t="shared" si="17"/>
        <v>—</v>
      </c>
      <c r="I257" t="str">
        <f t="shared" si="18"/>
        <v>Below thresholds</v>
      </c>
      <c r="J257" t="str">
        <f t="shared" si="19"/>
        <v/>
      </c>
    </row>
    <row r="258" spans="1:10" x14ac:dyDescent="0.2">
      <c r="A258">
        <v>226895228235</v>
      </c>
      <c r="B258" t="s">
        <v>1252</v>
      </c>
      <c r="C258" t="s">
        <v>1253</v>
      </c>
      <c r="D258">
        <v>2.5</v>
      </c>
      <c r="F258" t="str">
        <f t="shared" si="15"/>
        <v>No</v>
      </c>
      <c r="G258" t="str">
        <f t="shared" si="16"/>
        <v/>
      </c>
      <c r="H258" t="str">
        <f t="shared" si="17"/>
        <v>—</v>
      </c>
      <c r="I258" t="str">
        <f t="shared" si="18"/>
        <v>Below thresholds</v>
      </c>
      <c r="J258" t="str">
        <f t="shared" si="19"/>
        <v/>
      </c>
    </row>
    <row r="259" spans="1:10" x14ac:dyDescent="0.2">
      <c r="A259">
        <v>226895233401</v>
      </c>
      <c r="B259" t="s">
        <v>1254</v>
      </c>
      <c r="C259" t="s">
        <v>1255</v>
      </c>
      <c r="D259">
        <v>2.4900000000000002</v>
      </c>
      <c r="F259" t="str">
        <f t="shared" si="15"/>
        <v>No</v>
      </c>
      <c r="G259" t="str">
        <f t="shared" si="16"/>
        <v/>
      </c>
      <c r="H259" t="str">
        <f t="shared" si="17"/>
        <v>—</v>
      </c>
      <c r="I259" t="str">
        <f t="shared" si="18"/>
        <v>Below thresholds</v>
      </c>
      <c r="J259" t="str">
        <f t="shared" si="19"/>
        <v/>
      </c>
    </row>
    <row r="260" spans="1:10" x14ac:dyDescent="0.2">
      <c r="A260">
        <v>226895236031</v>
      </c>
      <c r="B260" t="s">
        <v>1256</v>
      </c>
      <c r="C260" t="s">
        <v>1257</v>
      </c>
      <c r="D260">
        <v>2.4900000000000002</v>
      </c>
      <c r="F260" t="str">
        <f t="shared" si="15"/>
        <v>No</v>
      </c>
      <c r="G260" t="str">
        <f t="shared" si="16"/>
        <v/>
      </c>
      <c r="H260" t="str">
        <f t="shared" si="17"/>
        <v>—</v>
      </c>
      <c r="I260" t="str">
        <f t="shared" si="18"/>
        <v>Below thresholds</v>
      </c>
      <c r="J260" t="str">
        <f t="shared" si="19"/>
        <v/>
      </c>
    </row>
    <row r="261" spans="1:10" x14ac:dyDescent="0.2">
      <c r="A261">
        <v>226895237365</v>
      </c>
      <c r="B261" t="s">
        <v>1258</v>
      </c>
      <c r="C261" t="s">
        <v>1259</v>
      </c>
      <c r="D261">
        <v>2.4900000000000002</v>
      </c>
      <c r="F261" t="str">
        <f t="shared" ref="F261:F324" si="20">IF($B261="","",IF(ISNUMBER(SEARCH("PSA",$B261)),"Yes","No"))</f>
        <v>No</v>
      </c>
      <c r="G261" t="str">
        <f t="shared" ref="G261:G324" si="21">IF($B261="","",IF(ISNUMBER(SEARCH("PSA 10",$B261)),10,IF(ISNUMBER(SEARCH("PSA 9.5",$B261)),9.5,IF(ISNUMBER(SEARCH("PSA 9",$B261)),9,IF(ISNUMBER(SEARCH("PSA 8",$B261)),8,IF(ISNUMBER(SEARCH("PSA",$B261)),"&lt;9",""))))))</f>
        <v/>
      </c>
      <c r="H261" t="str">
        <f t="shared" ref="H261:H324" si="22">IF($B261="","",IF($D261&gt;=100,"TIER 2",IF(OR(ISNUMBER(SEARCH("PSA 10",$B261)),ISNUMBER(SEARCH("PSA 9.5",$B261)),ISNUMBER(SEARCH("PSA 9",$B261))),"TIER 3",IF(AND($D261&gt;20,N($E261)&gt;=15),"TIER 1","—"))))</f>
        <v>—</v>
      </c>
      <c r="I261" t="str">
        <f t="shared" ref="I261:I324" si="23">IF($B261="","",IF($D261&gt;=100,"Premium $100+ (auto)",IF(OR(ISNUMBER(SEARCH("PSA 10",$B261)),ISNUMBER(SEARCH("PSA 9.5",$B261)),ISNUMBER(SEARCH("PSA 9",$B261))),"Graded PSA 9+ (auto)",IF(AND($D261&gt;20,N($E261)&gt;=15),"Hot: $20+ &amp; "&amp;$E261&amp;"/day",IF($D261&gt;20,"$20+ — needs velocity check","Below thresholds")))))</f>
        <v>Below thresholds</v>
      </c>
      <c r="J261" t="str">
        <f t="shared" ref="J261:J324" si="24">IF($B261="","",IF(AND($D261&gt;20,$D261&lt;100,NOT(OR(ISNUMBER(SEARCH("PSA 10",$B261)),ISNUMBER(SEARCH("PSA 9.5",$B261)),ISNUMBER(SEARCH("PSA 9",$B261)))),$E261=""),"YES — pull CardHedger",""))</f>
        <v/>
      </c>
    </row>
    <row r="262" spans="1:10" x14ac:dyDescent="0.2">
      <c r="A262">
        <v>226895238714</v>
      </c>
      <c r="B262" t="s">
        <v>1260</v>
      </c>
      <c r="C262" t="s">
        <v>1261</v>
      </c>
      <c r="D262">
        <v>1.79</v>
      </c>
      <c r="F262" t="str">
        <f t="shared" si="20"/>
        <v>No</v>
      </c>
      <c r="G262" t="str">
        <f t="shared" si="21"/>
        <v/>
      </c>
      <c r="H262" t="str">
        <f t="shared" si="22"/>
        <v>—</v>
      </c>
      <c r="I262" t="str">
        <f t="shared" si="23"/>
        <v>Below thresholds</v>
      </c>
      <c r="J262" t="str">
        <f t="shared" si="24"/>
        <v/>
      </c>
    </row>
    <row r="263" spans="1:10" x14ac:dyDescent="0.2">
      <c r="A263">
        <v>226895249590</v>
      </c>
      <c r="B263" t="s">
        <v>1262</v>
      </c>
      <c r="C263" t="s">
        <v>1263</v>
      </c>
      <c r="D263">
        <v>3.49</v>
      </c>
      <c r="F263" t="str">
        <f t="shared" si="20"/>
        <v>No</v>
      </c>
      <c r="G263" t="str">
        <f t="shared" si="21"/>
        <v/>
      </c>
      <c r="H263" t="str">
        <f t="shared" si="22"/>
        <v>—</v>
      </c>
      <c r="I263" t="str">
        <f t="shared" si="23"/>
        <v>Below thresholds</v>
      </c>
      <c r="J263" t="str">
        <f t="shared" si="24"/>
        <v/>
      </c>
    </row>
    <row r="264" spans="1:10" x14ac:dyDescent="0.2">
      <c r="A264">
        <v>226895391642</v>
      </c>
      <c r="B264" t="s">
        <v>1264</v>
      </c>
      <c r="C264" t="s">
        <v>1265</v>
      </c>
      <c r="D264">
        <v>3.99</v>
      </c>
      <c r="F264" t="str">
        <f t="shared" si="20"/>
        <v>No</v>
      </c>
      <c r="G264" t="str">
        <f t="shared" si="21"/>
        <v/>
      </c>
      <c r="H264" t="str">
        <f t="shared" si="22"/>
        <v>—</v>
      </c>
      <c r="I264" t="str">
        <f t="shared" si="23"/>
        <v>Below thresholds</v>
      </c>
      <c r="J264" t="str">
        <f t="shared" si="24"/>
        <v/>
      </c>
    </row>
    <row r="265" spans="1:10" x14ac:dyDescent="0.2">
      <c r="A265">
        <v>226895398151</v>
      </c>
      <c r="B265" t="s">
        <v>1266</v>
      </c>
      <c r="C265" t="s">
        <v>1267</v>
      </c>
      <c r="D265">
        <v>2.99</v>
      </c>
      <c r="F265" t="str">
        <f t="shared" si="20"/>
        <v>No</v>
      </c>
      <c r="G265" t="str">
        <f t="shared" si="21"/>
        <v/>
      </c>
      <c r="H265" t="str">
        <f t="shared" si="22"/>
        <v>—</v>
      </c>
      <c r="I265" t="str">
        <f t="shared" si="23"/>
        <v>Below thresholds</v>
      </c>
      <c r="J265" t="str">
        <f t="shared" si="24"/>
        <v/>
      </c>
    </row>
    <row r="266" spans="1:10" x14ac:dyDescent="0.2">
      <c r="A266">
        <v>226895403729</v>
      </c>
      <c r="B266" t="s">
        <v>1268</v>
      </c>
      <c r="C266" t="s">
        <v>1269</v>
      </c>
      <c r="D266">
        <v>2.95</v>
      </c>
      <c r="F266" t="str">
        <f t="shared" si="20"/>
        <v>No</v>
      </c>
      <c r="G266" t="str">
        <f t="shared" si="21"/>
        <v/>
      </c>
      <c r="H266" t="str">
        <f t="shared" si="22"/>
        <v>—</v>
      </c>
      <c r="I266" t="str">
        <f t="shared" si="23"/>
        <v>Below thresholds</v>
      </c>
      <c r="J266" t="str">
        <f t="shared" si="24"/>
        <v/>
      </c>
    </row>
    <row r="267" spans="1:10" x14ac:dyDescent="0.2">
      <c r="A267">
        <v>226895413554</v>
      </c>
      <c r="B267" t="s">
        <v>1270</v>
      </c>
      <c r="C267" t="s">
        <v>1271</v>
      </c>
      <c r="D267">
        <v>1.99</v>
      </c>
      <c r="F267" t="str">
        <f t="shared" si="20"/>
        <v>No</v>
      </c>
      <c r="G267" t="str">
        <f t="shared" si="21"/>
        <v/>
      </c>
      <c r="H267" t="str">
        <f t="shared" si="22"/>
        <v>—</v>
      </c>
      <c r="I267" t="str">
        <f t="shared" si="23"/>
        <v>Below thresholds</v>
      </c>
      <c r="J267" t="str">
        <f t="shared" si="24"/>
        <v/>
      </c>
    </row>
    <row r="268" spans="1:10" x14ac:dyDescent="0.2">
      <c r="A268">
        <v>226896499816</v>
      </c>
      <c r="B268" t="s">
        <v>311</v>
      </c>
      <c r="C268" t="s">
        <v>1272</v>
      </c>
      <c r="D268">
        <v>2.99</v>
      </c>
      <c r="F268" t="str">
        <f t="shared" si="20"/>
        <v>No</v>
      </c>
      <c r="G268" t="str">
        <f t="shared" si="21"/>
        <v/>
      </c>
      <c r="H268" t="str">
        <f t="shared" si="22"/>
        <v>—</v>
      </c>
      <c r="I268" t="str">
        <f t="shared" si="23"/>
        <v>Below thresholds</v>
      </c>
      <c r="J268" t="str">
        <f t="shared" si="24"/>
        <v/>
      </c>
    </row>
    <row r="269" spans="1:10" x14ac:dyDescent="0.2">
      <c r="A269">
        <v>226896513851</v>
      </c>
      <c r="B269" t="s">
        <v>1273</v>
      </c>
      <c r="C269" t="s">
        <v>1274</v>
      </c>
      <c r="D269">
        <v>6.99</v>
      </c>
      <c r="F269" t="str">
        <f t="shared" si="20"/>
        <v>No</v>
      </c>
      <c r="G269" t="str">
        <f t="shared" si="21"/>
        <v/>
      </c>
      <c r="H269" t="str">
        <f t="shared" si="22"/>
        <v>—</v>
      </c>
      <c r="I269" t="str">
        <f t="shared" si="23"/>
        <v>Below thresholds</v>
      </c>
      <c r="J269" t="str">
        <f t="shared" si="24"/>
        <v/>
      </c>
    </row>
    <row r="270" spans="1:10" x14ac:dyDescent="0.2">
      <c r="A270">
        <v>226896705392</v>
      </c>
      <c r="B270" t="s">
        <v>1275</v>
      </c>
      <c r="C270" t="s">
        <v>1276</v>
      </c>
      <c r="D270">
        <v>2.99</v>
      </c>
      <c r="F270" t="str">
        <f t="shared" si="20"/>
        <v>No</v>
      </c>
      <c r="G270" t="str">
        <f t="shared" si="21"/>
        <v/>
      </c>
      <c r="H270" t="str">
        <f t="shared" si="22"/>
        <v>—</v>
      </c>
      <c r="I270" t="str">
        <f t="shared" si="23"/>
        <v>Below thresholds</v>
      </c>
      <c r="J270" t="str">
        <f t="shared" si="24"/>
        <v/>
      </c>
    </row>
    <row r="271" spans="1:10" x14ac:dyDescent="0.2">
      <c r="A271">
        <v>226896705571</v>
      </c>
      <c r="B271" t="s">
        <v>1277</v>
      </c>
      <c r="C271" t="s">
        <v>1278</v>
      </c>
      <c r="D271">
        <v>3.99</v>
      </c>
      <c r="F271" t="str">
        <f t="shared" si="20"/>
        <v>No</v>
      </c>
      <c r="G271" t="str">
        <f t="shared" si="21"/>
        <v/>
      </c>
      <c r="H271" t="str">
        <f t="shared" si="22"/>
        <v>—</v>
      </c>
      <c r="I271" t="str">
        <f t="shared" si="23"/>
        <v>Below thresholds</v>
      </c>
      <c r="J271" t="str">
        <f t="shared" si="24"/>
        <v/>
      </c>
    </row>
    <row r="272" spans="1:10" x14ac:dyDescent="0.2">
      <c r="A272">
        <v>226896707772</v>
      </c>
      <c r="B272" t="s">
        <v>1279</v>
      </c>
      <c r="C272" t="s">
        <v>1280</v>
      </c>
      <c r="D272">
        <v>2.5</v>
      </c>
      <c r="F272" t="str">
        <f t="shared" si="20"/>
        <v>No</v>
      </c>
      <c r="G272" t="str">
        <f t="shared" si="21"/>
        <v/>
      </c>
      <c r="H272" t="str">
        <f t="shared" si="22"/>
        <v>—</v>
      </c>
      <c r="I272" t="str">
        <f t="shared" si="23"/>
        <v>Below thresholds</v>
      </c>
      <c r="J272" t="str">
        <f t="shared" si="24"/>
        <v/>
      </c>
    </row>
    <row r="273" spans="1:10" x14ac:dyDescent="0.2">
      <c r="A273">
        <v>226896707801</v>
      </c>
      <c r="B273" t="s">
        <v>1281</v>
      </c>
      <c r="C273" t="s">
        <v>1282</v>
      </c>
      <c r="D273">
        <v>2.99</v>
      </c>
      <c r="F273" t="str">
        <f t="shared" si="20"/>
        <v>No</v>
      </c>
      <c r="G273" t="str">
        <f t="shared" si="21"/>
        <v/>
      </c>
      <c r="H273" t="str">
        <f t="shared" si="22"/>
        <v>—</v>
      </c>
      <c r="I273" t="str">
        <f t="shared" si="23"/>
        <v>Below thresholds</v>
      </c>
      <c r="J273" t="str">
        <f t="shared" si="24"/>
        <v/>
      </c>
    </row>
    <row r="274" spans="1:10" x14ac:dyDescent="0.2">
      <c r="A274">
        <v>226896711449</v>
      </c>
      <c r="B274" t="s">
        <v>1283</v>
      </c>
      <c r="C274" t="s">
        <v>1284</v>
      </c>
      <c r="D274">
        <v>1.99</v>
      </c>
      <c r="F274" t="str">
        <f t="shared" si="20"/>
        <v>No</v>
      </c>
      <c r="G274" t="str">
        <f t="shared" si="21"/>
        <v/>
      </c>
      <c r="H274" t="str">
        <f t="shared" si="22"/>
        <v>—</v>
      </c>
      <c r="I274" t="str">
        <f t="shared" si="23"/>
        <v>Below thresholds</v>
      </c>
      <c r="J274" t="str">
        <f t="shared" si="24"/>
        <v/>
      </c>
    </row>
    <row r="275" spans="1:10" x14ac:dyDescent="0.2">
      <c r="A275">
        <v>226896713625</v>
      </c>
      <c r="B275" t="s">
        <v>1285</v>
      </c>
      <c r="C275" t="s">
        <v>1286</v>
      </c>
      <c r="D275">
        <v>1.99</v>
      </c>
      <c r="F275" t="str">
        <f t="shared" si="20"/>
        <v>No</v>
      </c>
      <c r="G275" t="str">
        <f t="shared" si="21"/>
        <v/>
      </c>
      <c r="H275" t="str">
        <f t="shared" si="22"/>
        <v>—</v>
      </c>
      <c r="I275" t="str">
        <f t="shared" si="23"/>
        <v>Below thresholds</v>
      </c>
      <c r="J275" t="str">
        <f t="shared" si="24"/>
        <v/>
      </c>
    </row>
    <row r="276" spans="1:10" x14ac:dyDescent="0.2">
      <c r="A276">
        <v>226896718497</v>
      </c>
      <c r="B276" t="s">
        <v>1287</v>
      </c>
      <c r="C276" t="s">
        <v>1288</v>
      </c>
      <c r="D276">
        <v>1.95</v>
      </c>
      <c r="F276" t="str">
        <f t="shared" si="20"/>
        <v>No</v>
      </c>
      <c r="G276" t="str">
        <f t="shared" si="21"/>
        <v/>
      </c>
      <c r="H276" t="str">
        <f t="shared" si="22"/>
        <v>—</v>
      </c>
      <c r="I276" t="str">
        <f t="shared" si="23"/>
        <v>Below thresholds</v>
      </c>
      <c r="J276" t="str">
        <f t="shared" si="24"/>
        <v/>
      </c>
    </row>
    <row r="277" spans="1:10" x14ac:dyDescent="0.2">
      <c r="A277">
        <v>226896721024</v>
      </c>
      <c r="B277" t="s">
        <v>1289</v>
      </c>
      <c r="C277" t="s">
        <v>1290</v>
      </c>
      <c r="D277">
        <v>3.95</v>
      </c>
      <c r="F277" t="str">
        <f t="shared" si="20"/>
        <v>No</v>
      </c>
      <c r="G277" t="str">
        <f t="shared" si="21"/>
        <v/>
      </c>
      <c r="H277" t="str">
        <f t="shared" si="22"/>
        <v>—</v>
      </c>
      <c r="I277" t="str">
        <f t="shared" si="23"/>
        <v>Below thresholds</v>
      </c>
      <c r="J277" t="str">
        <f t="shared" si="24"/>
        <v/>
      </c>
    </row>
    <row r="278" spans="1:10" x14ac:dyDescent="0.2">
      <c r="A278">
        <v>226896721830</v>
      </c>
      <c r="B278" t="s">
        <v>1291</v>
      </c>
      <c r="C278" t="s">
        <v>1292</v>
      </c>
      <c r="D278">
        <v>1.49</v>
      </c>
      <c r="F278" t="str">
        <f t="shared" si="20"/>
        <v>No</v>
      </c>
      <c r="G278" t="str">
        <f t="shared" si="21"/>
        <v/>
      </c>
      <c r="H278" t="str">
        <f t="shared" si="22"/>
        <v>—</v>
      </c>
      <c r="I278" t="str">
        <f t="shared" si="23"/>
        <v>Below thresholds</v>
      </c>
      <c r="J278" t="str">
        <f t="shared" si="24"/>
        <v/>
      </c>
    </row>
    <row r="279" spans="1:10" x14ac:dyDescent="0.2">
      <c r="A279">
        <v>226896723600</v>
      </c>
      <c r="B279" t="s">
        <v>1293</v>
      </c>
      <c r="C279" t="s">
        <v>1294</v>
      </c>
      <c r="D279">
        <v>1.49</v>
      </c>
      <c r="F279" t="str">
        <f t="shared" si="20"/>
        <v>No</v>
      </c>
      <c r="G279" t="str">
        <f t="shared" si="21"/>
        <v/>
      </c>
      <c r="H279" t="str">
        <f t="shared" si="22"/>
        <v>—</v>
      </c>
      <c r="I279" t="str">
        <f t="shared" si="23"/>
        <v>Below thresholds</v>
      </c>
      <c r="J279" t="str">
        <f t="shared" si="24"/>
        <v/>
      </c>
    </row>
    <row r="280" spans="1:10" x14ac:dyDescent="0.2">
      <c r="A280">
        <v>226896725365</v>
      </c>
      <c r="B280" t="s">
        <v>1295</v>
      </c>
      <c r="C280" t="s">
        <v>1296</v>
      </c>
      <c r="D280">
        <v>1.95</v>
      </c>
      <c r="F280" t="str">
        <f t="shared" si="20"/>
        <v>No</v>
      </c>
      <c r="G280" t="str">
        <f t="shared" si="21"/>
        <v/>
      </c>
      <c r="H280" t="str">
        <f t="shared" si="22"/>
        <v>—</v>
      </c>
      <c r="I280" t="str">
        <f t="shared" si="23"/>
        <v>Below thresholds</v>
      </c>
      <c r="J280" t="str">
        <f t="shared" si="24"/>
        <v/>
      </c>
    </row>
    <row r="281" spans="1:10" x14ac:dyDescent="0.2">
      <c r="A281">
        <v>226896726325</v>
      </c>
      <c r="B281" t="s">
        <v>1297</v>
      </c>
      <c r="C281" t="s">
        <v>1298</v>
      </c>
      <c r="D281">
        <v>2.4900000000000002</v>
      </c>
      <c r="F281" t="str">
        <f t="shared" si="20"/>
        <v>No</v>
      </c>
      <c r="G281" t="str">
        <f t="shared" si="21"/>
        <v/>
      </c>
      <c r="H281" t="str">
        <f t="shared" si="22"/>
        <v>—</v>
      </c>
      <c r="I281" t="str">
        <f t="shared" si="23"/>
        <v>Below thresholds</v>
      </c>
      <c r="J281" t="str">
        <f t="shared" si="24"/>
        <v/>
      </c>
    </row>
    <row r="282" spans="1:10" x14ac:dyDescent="0.2">
      <c r="A282">
        <v>226896732607</v>
      </c>
      <c r="B282" t="s">
        <v>1299</v>
      </c>
      <c r="C282" t="s">
        <v>1300</v>
      </c>
      <c r="D282">
        <v>1.49</v>
      </c>
      <c r="F282" t="str">
        <f t="shared" si="20"/>
        <v>No</v>
      </c>
      <c r="G282" t="str">
        <f t="shared" si="21"/>
        <v/>
      </c>
      <c r="H282" t="str">
        <f t="shared" si="22"/>
        <v>—</v>
      </c>
      <c r="I282" t="str">
        <f t="shared" si="23"/>
        <v>Below thresholds</v>
      </c>
      <c r="J282" t="str">
        <f t="shared" si="24"/>
        <v/>
      </c>
    </row>
    <row r="283" spans="1:10" x14ac:dyDescent="0.2">
      <c r="A283">
        <v>226896735234</v>
      </c>
      <c r="B283" t="s">
        <v>1301</v>
      </c>
      <c r="C283" t="s">
        <v>1302</v>
      </c>
      <c r="D283">
        <v>1.99</v>
      </c>
      <c r="F283" t="str">
        <f t="shared" si="20"/>
        <v>No</v>
      </c>
      <c r="G283" t="str">
        <f t="shared" si="21"/>
        <v/>
      </c>
      <c r="H283" t="str">
        <f t="shared" si="22"/>
        <v>—</v>
      </c>
      <c r="I283" t="str">
        <f t="shared" si="23"/>
        <v>Below thresholds</v>
      </c>
      <c r="J283" t="str">
        <f t="shared" si="24"/>
        <v/>
      </c>
    </row>
    <row r="284" spans="1:10" x14ac:dyDescent="0.2">
      <c r="A284">
        <v>226896738222</v>
      </c>
      <c r="B284" t="s">
        <v>1303</v>
      </c>
      <c r="C284" t="s">
        <v>1304</v>
      </c>
      <c r="D284">
        <v>1.99</v>
      </c>
      <c r="F284" t="str">
        <f t="shared" si="20"/>
        <v>No</v>
      </c>
      <c r="G284" t="str">
        <f t="shared" si="21"/>
        <v/>
      </c>
      <c r="H284" t="str">
        <f t="shared" si="22"/>
        <v>—</v>
      </c>
      <c r="I284" t="str">
        <f t="shared" si="23"/>
        <v>Below thresholds</v>
      </c>
      <c r="J284" t="str">
        <f t="shared" si="24"/>
        <v/>
      </c>
    </row>
    <row r="285" spans="1:10" x14ac:dyDescent="0.2">
      <c r="A285">
        <v>226896739436</v>
      </c>
      <c r="B285" t="s">
        <v>1305</v>
      </c>
      <c r="C285" t="s">
        <v>1306</v>
      </c>
      <c r="D285">
        <v>1.99</v>
      </c>
      <c r="F285" t="str">
        <f t="shared" si="20"/>
        <v>No</v>
      </c>
      <c r="G285" t="str">
        <f t="shared" si="21"/>
        <v/>
      </c>
      <c r="H285" t="str">
        <f t="shared" si="22"/>
        <v>—</v>
      </c>
      <c r="I285" t="str">
        <f t="shared" si="23"/>
        <v>Below thresholds</v>
      </c>
      <c r="J285" t="str">
        <f t="shared" si="24"/>
        <v/>
      </c>
    </row>
    <row r="286" spans="1:10" x14ac:dyDescent="0.2">
      <c r="A286">
        <v>226896739692</v>
      </c>
      <c r="B286" t="s">
        <v>1307</v>
      </c>
      <c r="C286" t="s">
        <v>1308</v>
      </c>
      <c r="D286">
        <v>8.9499999999999993</v>
      </c>
      <c r="F286" t="str">
        <f t="shared" si="20"/>
        <v>No</v>
      </c>
      <c r="G286" t="str">
        <f t="shared" si="21"/>
        <v/>
      </c>
      <c r="H286" t="str">
        <f t="shared" si="22"/>
        <v>—</v>
      </c>
      <c r="I286" t="str">
        <f t="shared" si="23"/>
        <v>Below thresholds</v>
      </c>
      <c r="J286" t="str">
        <f t="shared" si="24"/>
        <v/>
      </c>
    </row>
    <row r="287" spans="1:10" x14ac:dyDescent="0.2">
      <c r="A287">
        <v>226899875507</v>
      </c>
      <c r="B287" t="s">
        <v>1309</v>
      </c>
      <c r="C287" t="s">
        <v>1310</v>
      </c>
      <c r="D287">
        <v>6.99</v>
      </c>
      <c r="F287" t="str">
        <f t="shared" si="20"/>
        <v>No</v>
      </c>
      <c r="G287" t="str">
        <f t="shared" si="21"/>
        <v/>
      </c>
      <c r="H287" t="str">
        <f t="shared" si="22"/>
        <v>—</v>
      </c>
      <c r="I287" t="str">
        <f t="shared" si="23"/>
        <v>Below thresholds</v>
      </c>
      <c r="J287" t="str">
        <f t="shared" si="24"/>
        <v/>
      </c>
    </row>
    <row r="288" spans="1:10" x14ac:dyDescent="0.2">
      <c r="A288">
        <v>226900424552</v>
      </c>
      <c r="B288" t="s">
        <v>1311</v>
      </c>
      <c r="C288" t="s">
        <v>1312</v>
      </c>
      <c r="D288">
        <v>1.99</v>
      </c>
      <c r="F288" t="str">
        <f t="shared" si="20"/>
        <v>No</v>
      </c>
      <c r="G288" t="str">
        <f t="shared" si="21"/>
        <v/>
      </c>
      <c r="H288" t="str">
        <f t="shared" si="22"/>
        <v>—</v>
      </c>
      <c r="I288" t="str">
        <f t="shared" si="23"/>
        <v>Below thresholds</v>
      </c>
      <c r="J288" t="str">
        <f t="shared" si="24"/>
        <v/>
      </c>
    </row>
    <row r="289" spans="1:10" x14ac:dyDescent="0.2">
      <c r="A289">
        <v>226900424553</v>
      </c>
      <c r="B289" t="s">
        <v>1313</v>
      </c>
      <c r="C289" t="s">
        <v>1314</v>
      </c>
      <c r="D289">
        <v>1.99</v>
      </c>
      <c r="F289" t="str">
        <f t="shared" si="20"/>
        <v>No</v>
      </c>
      <c r="G289" t="str">
        <f t="shared" si="21"/>
        <v/>
      </c>
      <c r="H289" t="str">
        <f t="shared" si="22"/>
        <v>—</v>
      </c>
      <c r="I289" t="str">
        <f t="shared" si="23"/>
        <v>Below thresholds</v>
      </c>
      <c r="J289" t="str">
        <f t="shared" si="24"/>
        <v/>
      </c>
    </row>
    <row r="290" spans="1:10" x14ac:dyDescent="0.2">
      <c r="A290">
        <v>226900424555</v>
      </c>
      <c r="B290" t="s">
        <v>1315</v>
      </c>
      <c r="C290" t="s">
        <v>1316</v>
      </c>
      <c r="D290">
        <v>2.4900000000000002</v>
      </c>
      <c r="F290" t="str">
        <f t="shared" si="20"/>
        <v>No</v>
      </c>
      <c r="G290" t="str">
        <f t="shared" si="21"/>
        <v/>
      </c>
      <c r="H290" t="str">
        <f t="shared" si="22"/>
        <v>—</v>
      </c>
      <c r="I290" t="str">
        <f t="shared" si="23"/>
        <v>Below thresholds</v>
      </c>
      <c r="J290" t="str">
        <f t="shared" si="24"/>
        <v/>
      </c>
    </row>
    <row r="291" spans="1:10" x14ac:dyDescent="0.2">
      <c r="A291">
        <v>226900424557</v>
      </c>
      <c r="B291" t="s">
        <v>1317</v>
      </c>
      <c r="C291" t="s">
        <v>1318</v>
      </c>
      <c r="D291">
        <v>1.99</v>
      </c>
      <c r="F291" t="str">
        <f t="shared" si="20"/>
        <v>No</v>
      </c>
      <c r="G291" t="str">
        <f t="shared" si="21"/>
        <v/>
      </c>
      <c r="H291" t="str">
        <f t="shared" si="22"/>
        <v>—</v>
      </c>
      <c r="I291" t="str">
        <f t="shared" si="23"/>
        <v>Below thresholds</v>
      </c>
      <c r="J291" t="str">
        <f t="shared" si="24"/>
        <v/>
      </c>
    </row>
    <row r="292" spans="1:10" x14ac:dyDescent="0.2">
      <c r="A292">
        <v>226900424558</v>
      </c>
      <c r="B292" t="s">
        <v>1319</v>
      </c>
      <c r="C292" t="s">
        <v>1320</v>
      </c>
      <c r="D292">
        <v>1.99</v>
      </c>
      <c r="F292" t="str">
        <f t="shared" si="20"/>
        <v>No</v>
      </c>
      <c r="G292" t="str">
        <f t="shared" si="21"/>
        <v/>
      </c>
      <c r="H292" t="str">
        <f t="shared" si="22"/>
        <v>—</v>
      </c>
      <c r="I292" t="str">
        <f t="shared" si="23"/>
        <v>Below thresholds</v>
      </c>
      <c r="J292" t="str">
        <f t="shared" si="24"/>
        <v/>
      </c>
    </row>
    <row r="293" spans="1:10" x14ac:dyDescent="0.2">
      <c r="A293">
        <v>226900424559</v>
      </c>
      <c r="B293" t="s">
        <v>1321</v>
      </c>
      <c r="C293" t="s">
        <v>1322</v>
      </c>
      <c r="D293">
        <v>1.99</v>
      </c>
      <c r="F293" t="str">
        <f t="shared" si="20"/>
        <v>No</v>
      </c>
      <c r="G293" t="str">
        <f t="shared" si="21"/>
        <v/>
      </c>
      <c r="H293" t="str">
        <f t="shared" si="22"/>
        <v>—</v>
      </c>
      <c r="I293" t="str">
        <f t="shared" si="23"/>
        <v>Below thresholds</v>
      </c>
      <c r="J293" t="str">
        <f t="shared" si="24"/>
        <v/>
      </c>
    </row>
    <row r="294" spans="1:10" x14ac:dyDescent="0.2">
      <c r="A294">
        <v>226900424560</v>
      </c>
      <c r="B294" t="s">
        <v>1323</v>
      </c>
      <c r="C294" t="s">
        <v>1324</v>
      </c>
      <c r="D294">
        <v>1.99</v>
      </c>
      <c r="F294" t="str">
        <f t="shared" si="20"/>
        <v>No</v>
      </c>
      <c r="G294" t="str">
        <f t="shared" si="21"/>
        <v/>
      </c>
      <c r="H294" t="str">
        <f t="shared" si="22"/>
        <v>—</v>
      </c>
      <c r="I294" t="str">
        <f t="shared" si="23"/>
        <v>Below thresholds</v>
      </c>
      <c r="J294" t="str">
        <f t="shared" si="24"/>
        <v/>
      </c>
    </row>
    <row r="295" spans="1:10" x14ac:dyDescent="0.2">
      <c r="A295">
        <v>226900424562</v>
      </c>
      <c r="B295" t="s">
        <v>1325</v>
      </c>
      <c r="C295" t="s">
        <v>1326</v>
      </c>
      <c r="D295">
        <v>1.99</v>
      </c>
      <c r="F295" t="str">
        <f t="shared" si="20"/>
        <v>No</v>
      </c>
      <c r="G295" t="str">
        <f t="shared" si="21"/>
        <v/>
      </c>
      <c r="H295" t="str">
        <f t="shared" si="22"/>
        <v>—</v>
      </c>
      <c r="I295" t="str">
        <f t="shared" si="23"/>
        <v>Below thresholds</v>
      </c>
      <c r="J295" t="str">
        <f t="shared" si="24"/>
        <v/>
      </c>
    </row>
    <row r="296" spans="1:10" x14ac:dyDescent="0.2">
      <c r="A296">
        <v>226900424563</v>
      </c>
      <c r="B296" t="s">
        <v>1327</v>
      </c>
      <c r="C296" t="s">
        <v>1328</v>
      </c>
      <c r="D296">
        <v>2.79</v>
      </c>
      <c r="F296" t="str">
        <f t="shared" si="20"/>
        <v>No</v>
      </c>
      <c r="G296" t="str">
        <f t="shared" si="21"/>
        <v/>
      </c>
      <c r="H296" t="str">
        <f t="shared" si="22"/>
        <v>—</v>
      </c>
      <c r="I296" t="str">
        <f t="shared" si="23"/>
        <v>Below thresholds</v>
      </c>
      <c r="J296" t="str">
        <f t="shared" si="24"/>
        <v/>
      </c>
    </row>
    <row r="297" spans="1:10" x14ac:dyDescent="0.2">
      <c r="A297">
        <v>226900424566</v>
      </c>
      <c r="B297" t="s">
        <v>1329</v>
      </c>
      <c r="C297" t="s">
        <v>1330</v>
      </c>
      <c r="D297">
        <v>1.99</v>
      </c>
      <c r="F297" t="str">
        <f t="shared" si="20"/>
        <v>No</v>
      </c>
      <c r="G297" t="str">
        <f t="shared" si="21"/>
        <v/>
      </c>
      <c r="H297" t="str">
        <f t="shared" si="22"/>
        <v>—</v>
      </c>
      <c r="I297" t="str">
        <f t="shared" si="23"/>
        <v>Below thresholds</v>
      </c>
      <c r="J297" t="str">
        <f t="shared" si="24"/>
        <v/>
      </c>
    </row>
    <row r="298" spans="1:10" x14ac:dyDescent="0.2">
      <c r="A298">
        <v>226900424567</v>
      </c>
      <c r="B298" t="s">
        <v>1331</v>
      </c>
      <c r="C298" t="s">
        <v>1332</v>
      </c>
      <c r="D298">
        <v>1.99</v>
      </c>
      <c r="F298" t="str">
        <f t="shared" si="20"/>
        <v>No</v>
      </c>
      <c r="G298" t="str">
        <f t="shared" si="21"/>
        <v/>
      </c>
      <c r="H298" t="str">
        <f t="shared" si="22"/>
        <v>—</v>
      </c>
      <c r="I298" t="str">
        <f t="shared" si="23"/>
        <v>Below thresholds</v>
      </c>
      <c r="J298" t="str">
        <f t="shared" si="24"/>
        <v/>
      </c>
    </row>
    <row r="299" spans="1:10" x14ac:dyDescent="0.2">
      <c r="A299">
        <v>226900424569</v>
      </c>
      <c r="B299" t="s">
        <v>1333</v>
      </c>
      <c r="C299" t="s">
        <v>1334</v>
      </c>
      <c r="D299">
        <v>1.99</v>
      </c>
      <c r="F299" t="str">
        <f t="shared" si="20"/>
        <v>No</v>
      </c>
      <c r="G299" t="str">
        <f t="shared" si="21"/>
        <v/>
      </c>
      <c r="H299" t="str">
        <f t="shared" si="22"/>
        <v>—</v>
      </c>
      <c r="I299" t="str">
        <f t="shared" si="23"/>
        <v>Below thresholds</v>
      </c>
      <c r="J299" t="str">
        <f t="shared" si="24"/>
        <v/>
      </c>
    </row>
    <row r="300" spans="1:10" x14ac:dyDescent="0.2">
      <c r="A300">
        <v>226900424571</v>
      </c>
      <c r="B300" t="s">
        <v>1335</v>
      </c>
      <c r="C300" t="s">
        <v>1336</v>
      </c>
      <c r="D300">
        <v>2.99</v>
      </c>
      <c r="F300" t="str">
        <f t="shared" si="20"/>
        <v>No</v>
      </c>
      <c r="G300" t="str">
        <f t="shared" si="21"/>
        <v/>
      </c>
      <c r="H300" t="str">
        <f t="shared" si="22"/>
        <v>—</v>
      </c>
      <c r="I300" t="str">
        <f t="shared" si="23"/>
        <v>Below thresholds</v>
      </c>
      <c r="J300" t="str">
        <f t="shared" si="24"/>
        <v/>
      </c>
    </row>
    <row r="301" spans="1:10" x14ac:dyDescent="0.2">
      <c r="A301">
        <v>226900424575</v>
      </c>
      <c r="B301" t="s">
        <v>1337</v>
      </c>
      <c r="C301" t="s">
        <v>1338</v>
      </c>
      <c r="D301">
        <v>1.99</v>
      </c>
      <c r="F301" t="str">
        <f t="shared" si="20"/>
        <v>No</v>
      </c>
      <c r="G301" t="str">
        <f t="shared" si="21"/>
        <v/>
      </c>
      <c r="H301" t="str">
        <f t="shared" si="22"/>
        <v>—</v>
      </c>
      <c r="I301" t="str">
        <f t="shared" si="23"/>
        <v>Below thresholds</v>
      </c>
      <c r="J301" t="str">
        <f t="shared" si="24"/>
        <v/>
      </c>
    </row>
    <row r="302" spans="1:10" x14ac:dyDescent="0.2">
      <c r="A302">
        <v>226900424576</v>
      </c>
      <c r="B302" t="s">
        <v>1339</v>
      </c>
      <c r="C302" t="s">
        <v>1340</v>
      </c>
      <c r="D302">
        <v>1.99</v>
      </c>
      <c r="F302" t="str">
        <f t="shared" si="20"/>
        <v>No</v>
      </c>
      <c r="G302" t="str">
        <f t="shared" si="21"/>
        <v/>
      </c>
      <c r="H302" t="str">
        <f t="shared" si="22"/>
        <v>—</v>
      </c>
      <c r="I302" t="str">
        <f t="shared" si="23"/>
        <v>Below thresholds</v>
      </c>
      <c r="J302" t="str">
        <f t="shared" si="24"/>
        <v/>
      </c>
    </row>
    <row r="303" spans="1:10" x14ac:dyDescent="0.2">
      <c r="A303">
        <v>226900424577</v>
      </c>
      <c r="B303" t="s">
        <v>1341</v>
      </c>
      <c r="C303" t="s">
        <v>1342</v>
      </c>
      <c r="D303">
        <v>1.99</v>
      </c>
      <c r="F303" t="str">
        <f t="shared" si="20"/>
        <v>No</v>
      </c>
      <c r="G303" t="str">
        <f t="shared" si="21"/>
        <v/>
      </c>
      <c r="H303" t="str">
        <f t="shared" si="22"/>
        <v>—</v>
      </c>
      <c r="I303" t="str">
        <f t="shared" si="23"/>
        <v>Below thresholds</v>
      </c>
      <c r="J303" t="str">
        <f t="shared" si="24"/>
        <v/>
      </c>
    </row>
    <row r="304" spans="1:10" x14ac:dyDescent="0.2">
      <c r="A304">
        <v>226900424578</v>
      </c>
      <c r="B304" t="s">
        <v>1343</v>
      </c>
      <c r="C304" t="s">
        <v>1344</v>
      </c>
      <c r="D304">
        <v>1.99</v>
      </c>
      <c r="F304" t="str">
        <f t="shared" si="20"/>
        <v>No</v>
      </c>
      <c r="G304" t="str">
        <f t="shared" si="21"/>
        <v/>
      </c>
      <c r="H304" t="str">
        <f t="shared" si="22"/>
        <v>—</v>
      </c>
      <c r="I304" t="str">
        <f t="shared" si="23"/>
        <v>Below thresholds</v>
      </c>
      <c r="J304" t="str">
        <f t="shared" si="24"/>
        <v/>
      </c>
    </row>
    <row r="305" spans="1:10" x14ac:dyDescent="0.2">
      <c r="A305">
        <v>226900559886</v>
      </c>
      <c r="B305" t="s">
        <v>1345</v>
      </c>
      <c r="C305" t="s">
        <v>1346</v>
      </c>
      <c r="D305">
        <v>1.99</v>
      </c>
      <c r="F305" t="str">
        <f t="shared" si="20"/>
        <v>No</v>
      </c>
      <c r="G305" t="str">
        <f t="shared" si="21"/>
        <v/>
      </c>
      <c r="H305" t="str">
        <f t="shared" si="22"/>
        <v>—</v>
      </c>
      <c r="I305" t="str">
        <f t="shared" si="23"/>
        <v>Below thresholds</v>
      </c>
      <c r="J305" t="str">
        <f t="shared" si="24"/>
        <v/>
      </c>
    </row>
    <row r="306" spans="1:10" x14ac:dyDescent="0.2">
      <c r="A306">
        <v>226900563723</v>
      </c>
      <c r="B306" t="s">
        <v>1347</v>
      </c>
      <c r="C306" t="s">
        <v>1348</v>
      </c>
      <c r="D306">
        <v>2.29</v>
      </c>
      <c r="F306" t="str">
        <f t="shared" si="20"/>
        <v>No</v>
      </c>
      <c r="G306" t="str">
        <f t="shared" si="21"/>
        <v/>
      </c>
      <c r="H306" t="str">
        <f t="shared" si="22"/>
        <v>—</v>
      </c>
      <c r="I306" t="str">
        <f t="shared" si="23"/>
        <v>Below thresholds</v>
      </c>
      <c r="J306" t="str">
        <f t="shared" si="24"/>
        <v/>
      </c>
    </row>
    <row r="307" spans="1:10" x14ac:dyDescent="0.2">
      <c r="A307">
        <v>226901358747</v>
      </c>
      <c r="B307" t="s">
        <v>1349</v>
      </c>
      <c r="C307" t="s">
        <v>1350</v>
      </c>
      <c r="D307">
        <v>1.99</v>
      </c>
      <c r="F307" t="str">
        <f t="shared" si="20"/>
        <v>No</v>
      </c>
      <c r="G307" t="str">
        <f t="shared" si="21"/>
        <v/>
      </c>
      <c r="H307" t="str">
        <f t="shared" si="22"/>
        <v>—</v>
      </c>
      <c r="I307" t="str">
        <f t="shared" si="23"/>
        <v>Below thresholds</v>
      </c>
      <c r="J307" t="str">
        <f t="shared" si="24"/>
        <v/>
      </c>
    </row>
    <row r="308" spans="1:10" x14ac:dyDescent="0.2">
      <c r="A308">
        <v>226901362101</v>
      </c>
      <c r="B308" t="s">
        <v>1351</v>
      </c>
      <c r="C308" t="s">
        <v>1352</v>
      </c>
      <c r="D308">
        <v>1.99</v>
      </c>
      <c r="F308" t="str">
        <f t="shared" si="20"/>
        <v>No</v>
      </c>
      <c r="G308" t="str">
        <f t="shared" si="21"/>
        <v/>
      </c>
      <c r="H308" t="str">
        <f t="shared" si="22"/>
        <v>—</v>
      </c>
      <c r="I308" t="str">
        <f t="shared" si="23"/>
        <v>Below thresholds</v>
      </c>
      <c r="J308" t="str">
        <f t="shared" si="24"/>
        <v/>
      </c>
    </row>
    <row r="309" spans="1:10" x14ac:dyDescent="0.2">
      <c r="A309">
        <v>226901364003</v>
      </c>
      <c r="B309" t="s">
        <v>1353</v>
      </c>
      <c r="C309" t="s">
        <v>1354</v>
      </c>
      <c r="D309">
        <v>2.4900000000000002</v>
      </c>
      <c r="F309" t="str">
        <f t="shared" si="20"/>
        <v>No</v>
      </c>
      <c r="G309" t="str">
        <f t="shared" si="21"/>
        <v/>
      </c>
      <c r="H309" t="str">
        <f t="shared" si="22"/>
        <v>—</v>
      </c>
      <c r="I309" t="str">
        <f t="shared" si="23"/>
        <v>Below thresholds</v>
      </c>
      <c r="J309" t="str">
        <f t="shared" si="24"/>
        <v/>
      </c>
    </row>
    <row r="310" spans="1:10" x14ac:dyDescent="0.2">
      <c r="A310">
        <v>226901367689</v>
      </c>
      <c r="B310" t="s">
        <v>1355</v>
      </c>
      <c r="C310" t="s">
        <v>1356</v>
      </c>
      <c r="D310">
        <v>3.79</v>
      </c>
      <c r="F310" t="str">
        <f t="shared" si="20"/>
        <v>No</v>
      </c>
      <c r="G310" t="str">
        <f t="shared" si="21"/>
        <v/>
      </c>
      <c r="H310" t="str">
        <f t="shared" si="22"/>
        <v>—</v>
      </c>
      <c r="I310" t="str">
        <f t="shared" si="23"/>
        <v>Below thresholds</v>
      </c>
      <c r="J310" t="str">
        <f t="shared" si="24"/>
        <v/>
      </c>
    </row>
    <row r="311" spans="1:10" x14ac:dyDescent="0.2">
      <c r="A311">
        <v>226901370314</v>
      </c>
      <c r="B311" t="s">
        <v>1357</v>
      </c>
      <c r="C311" t="s">
        <v>1358</v>
      </c>
      <c r="D311">
        <v>2.09</v>
      </c>
      <c r="F311" t="str">
        <f t="shared" si="20"/>
        <v>No</v>
      </c>
      <c r="G311" t="str">
        <f t="shared" si="21"/>
        <v/>
      </c>
      <c r="H311" t="str">
        <f t="shared" si="22"/>
        <v>—</v>
      </c>
      <c r="I311" t="str">
        <f t="shared" si="23"/>
        <v>Below thresholds</v>
      </c>
      <c r="J311" t="str">
        <f t="shared" si="24"/>
        <v/>
      </c>
    </row>
    <row r="312" spans="1:10" x14ac:dyDescent="0.2">
      <c r="A312">
        <v>226901374462</v>
      </c>
      <c r="B312" t="s">
        <v>1359</v>
      </c>
      <c r="C312" t="s">
        <v>1360</v>
      </c>
      <c r="D312">
        <v>1.99</v>
      </c>
      <c r="F312" t="str">
        <f t="shared" si="20"/>
        <v>No</v>
      </c>
      <c r="G312" t="str">
        <f t="shared" si="21"/>
        <v/>
      </c>
      <c r="H312" t="str">
        <f t="shared" si="22"/>
        <v>—</v>
      </c>
      <c r="I312" t="str">
        <f t="shared" si="23"/>
        <v>Below thresholds</v>
      </c>
      <c r="J312" t="str">
        <f t="shared" si="24"/>
        <v/>
      </c>
    </row>
    <row r="313" spans="1:10" x14ac:dyDescent="0.2">
      <c r="A313">
        <v>226901381042</v>
      </c>
      <c r="B313" t="s">
        <v>1361</v>
      </c>
      <c r="C313" t="s">
        <v>1362</v>
      </c>
      <c r="D313">
        <v>1.99</v>
      </c>
      <c r="F313" t="str">
        <f t="shared" si="20"/>
        <v>No</v>
      </c>
      <c r="G313" t="str">
        <f t="shared" si="21"/>
        <v/>
      </c>
      <c r="H313" t="str">
        <f t="shared" si="22"/>
        <v>—</v>
      </c>
      <c r="I313" t="str">
        <f t="shared" si="23"/>
        <v>Below thresholds</v>
      </c>
      <c r="J313" t="str">
        <f t="shared" si="24"/>
        <v/>
      </c>
    </row>
    <row r="314" spans="1:10" x14ac:dyDescent="0.2">
      <c r="A314">
        <v>226901425920</v>
      </c>
      <c r="B314" t="s">
        <v>1363</v>
      </c>
      <c r="C314" t="s">
        <v>1364</v>
      </c>
      <c r="D314">
        <v>2.25</v>
      </c>
      <c r="F314" t="str">
        <f t="shared" si="20"/>
        <v>No</v>
      </c>
      <c r="G314" t="str">
        <f t="shared" si="21"/>
        <v/>
      </c>
      <c r="H314" t="str">
        <f t="shared" si="22"/>
        <v>—</v>
      </c>
      <c r="I314" t="str">
        <f t="shared" si="23"/>
        <v>Below thresholds</v>
      </c>
      <c r="J314" t="str">
        <f t="shared" si="24"/>
        <v/>
      </c>
    </row>
    <row r="315" spans="1:10" x14ac:dyDescent="0.2">
      <c r="A315">
        <v>226901434710</v>
      </c>
      <c r="B315" t="s">
        <v>1365</v>
      </c>
      <c r="C315" t="s">
        <v>1366</v>
      </c>
      <c r="D315">
        <v>2.4900000000000002</v>
      </c>
      <c r="F315" t="str">
        <f t="shared" si="20"/>
        <v>No</v>
      </c>
      <c r="G315" t="str">
        <f t="shared" si="21"/>
        <v/>
      </c>
      <c r="H315" t="str">
        <f t="shared" si="22"/>
        <v>—</v>
      </c>
      <c r="I315" t="str">
        <f t="shared" si="23"/>
        <v>Below thresholds</v>
      </c>
      <c r="J315" t="str">
        <f t="shared" si="24"/>
        <v/>
      </c>
    </row>
    <row r="316" spans="1:10" x14ac:dyDescent="0.2">
      <c r="A316">
        <v>226901438262</v>
      </c>
      <c r="B316" t="s">
        <v>1367</v>
      </c>
      <c r="C316" t="s">
        <v>1368</v>
      </c>
      <c r="D316">
        <v>2.4900000000000002</v>
      </c>
      <c r="F316" t="str">
        <f t="shared" si="20"/>
        <v>No</v>
      </c>
      <c r="G316" t="str">
        <f t="shared" si="21"/>
        <v/>
      </c>
      <c r="H316" t="str">
        <f t="shared" si="22"/>
        <v>—</v>
      </c>
      <c r="I316" t="str">
        <f t="shared" si="23"/>
        <v>Below thresholds</v>
      </c>
      <c r="J316" t="str">
        <f t="shared" si="24"/>
        <v/>
      </c>
    </row>
    <row r="317" spans="1:10" x14ac:dyDescent="0.2">
      <c r="A317">
        <v>226901439426</v>
      </c>
      <c r="B317" t="s">
        <v>1369</v>
      </c>
      <c r="C317" t="s">
        <v>1370</v>
      </c>
      <c r="D317">
        <v>1.99</v>
      </c>
      <c r="F317" t="str">
        <f t="shared" si="20"/>
        <v>No</v>
      </c>
      <c r="G317" t="str">
        <f t="shared" si="21"/>
        <v/>
      </c>
      <c r="H317" t="str">
        <f t="shared" si="22"/>
        <v>—</v>
      </c>
      <c r="I317" t="str">
        <f t="shared" si="23"/>
        <v>Below thresholds</v>
      </c>
      <c r="J317" t="str">
        <f t="shared" si="24"/>
        <v/>
      </c>
    </row>
    <row r="318" spans="1:10" x14ac:dyDescent="0.2">
      <c r="A318">
        <v>226901445751</v>
      </c>
      <c r="B318" t="s">
        <v>1371</v>
      </c>
      <c r="C318" t="s">
        <v>1372</v>
      </c>
      <c r="D318">
        <v>1.99</v>
      </c>
      <c r="F318" t="str">
        <f t="shared" si="20"/>
        <v>No</v>
      </c>
      <c r="G318" t="str">
        <f t="shared" si="21"/>
        <v/>
      </c>
      <c r="H318" t="str">
        <f t="shared" si="22"/>
        <v>—</v>
      </c>
      <c r="I318" t="str">
        <f t="shared" si="23"/>
        <v>Below thresholds</v>
      </c>
      <c r="J318" t="str">
        <f t="shared" si="24"/>
        <v/>
      </c>
    </row>
    <row r="319" spans="1:10" x14ac:dyDescent="0.2">
      <c r="A319">
        <v>226901452453</v>
      </c>
      <c r="B319" t="s">
        <v>1373</v>
      </c>
      <c r="C319" t="s">
        <v>1374</v>
      </c>
      <c r="D319">
        <v>2.59</v>
      </c>
      <c r="F319" t="str">
        <f t="shared" si="20"/>
        <v>No</v>
      </c>
      <c r="G319" t="str">
        <f t="shared" si="21"/>
        <v/>
      </c>
      <c r="H319" t="str">
        <f t="shared" si="22"/>
        <v>—</v>
      </c>
      <c r="I319" t="str">
        <f t="shared" si="23"/>
        <v>Below thresholds</v>
      </c>
      <c r="J319" t="str">
        <f t="shared" si="24"/>
        <v/>
      </c>
    </row>
    <row r="320" spans="1:10" x14ac:dyDescent="0.2">
      <c r="A320">
        <v>226901464285</v>
      </c>
      <c r="B320" t="s">
        <v>1375</v>
      </c>
      <c r="C320" t="s">
        <v>1376</v>
      </c>
      <c r="D320">
        <v>5.35</v>
      </c>
      <c r="F320" t="str">
        <f t="shared" si="20"/>
        <v>No</v>
      </c>
      <c r="G320" t="str">
        <f t="shared" si="21"/>
        <v/>
      </c>
      <c r="H320" t="str">
        <f t="shared" si="22"/>
        <v>—</v>
      </c>
      <c r="I320" t="str">
        <f t="shared" si="23"/>
        <v>Below thresholds</v>
      </c>
      <c r="J320" t="str">
        <f t="shared" si="24"/>
        <v/>
      </c>
    </row>
    <row r="321" spans="1:10" x14ac:dyDescent="0.2">
      <c r="A321">
        <v>226901467784</v>
      </c>
      <c r="B321" t="s">
        <v>1377</v>
      </c>
      <c r="C321" t="s">
        <v>1378</v>
      </c>
      <c r="D321">
        <v>2.5</v>
      </c>
      <c r="F321" t="str">
        <f t="shared" si="20"/>
        <v>No</v>
      </c>
      <c r="G321" t="str">
        <f t="shared" si="21"/>
        <v/>
      </c>
      <c r="H321" t="str">
        <f t="shared" si="22"/>
        <v>—</v>
      </c>
      <c r="I321" t="str">
        <f t="shared" si="23"/>
        <v>Below thresholds</v>
      </c>
      <c r="J321" t="str">
        <f t="shared" si="24"/>
        <v/>
      </c>
    </row>
    <row r="322" spans="1:10" x14ac:dyDescent="0.2">
      <c r="A322">
        <v>226901470362</v>
      </c>
      <c r="B322" t="s">
        <v>1379</v>
      </c>
      <c r="C322" t="s">
        <v>1380</v>
      </c>
      <c r="D322">
        <v>2.4900000000000002</v>
      </c>
      <c r="F322" t="str">
        <f t="shared" si="20"/>
        <v>No</v>
      </c>
      <c r="G322" t="str">
        <f t="shared" si="21"/>
        <v/>
      </c>
      <c r="H322" t="str">
        <f t="shared" si="22"/>
        <v>—</v>
      </c>
      <c r="I322" t="str">
        <f t="shared" si="23"/>
        <v>Below thresholds</v>
      </c>
      <c r="J322" t="str">
        <f t="shared" si="24"/>
        <v/>
      </c>
    </row>
    <row r="323" spans="1:10" x14ac:dyDescent="0.2">
      <c r="A323">
        <v>226901477179</v>
      </c>
      <c r="B323" t="s">
        <v>1381</v>
      </c>
      <c r="C323" t="s">
        <v>1382</v>
      </c>
      <c r="D323">
        <v>3.99</v>
      </c>
      <c r="F323" t="str">
        <f t="shared" si="20"/>
        <v>No</v>
      </c>
      <c r="G323" t="str">
        <f t="shared" si="21"/>
        <v/>
      </c>
      <c r="H323" t="str">
        <f t="shared" si="22"/>
        <v>—</v>
      </c>
      <c r="I323" t="str">
        <f t="shared" si="23"/>
        <v>Below thresholds</v>
      </c>
      <c r="J323" t="str">
        <f t="shared" si="24"/>
        <v/>
      </c>
    </row>
    <row r="324" spans="1:10" x14ac:dyDescent="0.2">
      <c r="A324">
        <v>226901488918</v>
      </c>
      <c r="B324" t="s">
        <v>1383</v>
      </c>
      <c r="C324" t="s">
        <v>1384</v>
      </c>
      <c r="D324">
        <v>1.99</v>
      </c>
      <c r="F324" t="str">
        <f t="shared" si="20"/>
        <v>No</v>
      </c>
      <c r="G324" t="str">
        <f t="shared" si="21"/>
        <v/>
      </c>
      <c r="H324" t="str">
        <f t="shared" si="22"/>
        <v>—</v>
      </c>
      <c r="I324" t="str">
        <f t="shared" si="23"/>
        <v>Below thresholds</v>
      </c>
      <c r="J324" t="str">
        <f t="shared" si="24"/>
        <v/>
      </c>
    </row>
    <row r="325" spans="1:10" x14ac:dyDescent="0.2">
      <c r="A325">
        <v>226901490763</v>
      </c>
      <c r="B325" t="s">
        <v>1385</v>
      </c>
      <c r="C325" t="s">
        <v>1386</v>
      </c>
      <c r="D325">
        <v>1.99</v>
      </c>
      <c r="F325" t="str">
        <f t="shared" ref="F325:F388" si="25">IF($B325="","",IF(ISNUMBER(SEARCH("PSA",$B325)),"Yes","No"))</f>
        <v>No</v>
      </c>
      <c r="G325" t="str">
        <f t="shared" ref="G325:G388" si="26">IF($B325="","",IF(ISNUMBER(SEARCH("PSA 10",$B325)),10,IF(ISNUMBER(SEARCH("PSA 9.5",$B325)),9.5,IF(ISNUMBER(SEARCH("PSA 9",$B325)),9,IF(ISNUMBER(SEARCH("PSA 8",$B325)),8,IF(ISNUMBER(SEARCH("PSA",$B325)),"&lt;9",""))))))</f>
        <v/>
      </c>
      <c r="H325" t="str">
        <f t="shared" ref="H325:H388" si="27">IF($B325="","",IF($D325&gt;=100,"TIER 2",IF(OR(ISNUMBER(SEARCH("PSA 10",$B325)),ISNUMBER(SEARCH("PSA 9.5",$B325)),ISNUMBER(SEARCH("PSA 9",$B325))),"TIER 3",IF(AND($D325&gt;20,N($E325)&gt;=15),"TIER 1","—"))))</f>
        <v>—</v>
      </c>
      <c r="I325" t="str">
        <f t="shared" ref="I325:I388" si="28">IF($B325="","",IF($D325&gt;=100,"Premium $100+ (auto)",IF(OR(ISNUMBER(SEARCH("PSA 10",$B325)),ISNUMBER(SEARCH("PSA 9.5",$B325)),ISNUMBER(SEARCH("PSA 9",$B325))),"Graded PSA 9+ (auto)",IF(AND($D325&gt;20,N($E325)&gt;=15),"Hot: $20+ &amp; "&amp;$E325&amp;"/day",IF($D325&gt;20,"$20+ — needs velocity check","Below thresholds")))))</f>
        <v>Below thresholds</v>
      </c>
      <c r="J325" t="str">
        <f t="shared" ref="J325:J388" si="29">IF($B325="","",IF(AND($D325&gt;20,$D325&lt;100,NOT(OR(ISNUMBER(SEARCH("PSA 10",$B325)),ISNUMBER(SEARCH("PSA 9.5",$B325)),ISNUMBER(SEARCH("PSA 9",$B325)))),$E325=""),"YES — pull CardHedger",""))</f>
        <v/>
      </c>
    </row>
    <row r="326" spans="1:10" x14ac:dyDescent="0.2">
      <c r="A326">
        <v>226901491956</v>
      </c>
      <c r="B326" t="s">
        <v>1387</v>
      </c>
      <c r="C326" t="s">
        <v>1388</v>
      </c>
      <c r="D326">
        <v>3.99</v>
      </c>
      <c r="F326" t="str">
        <f t="shared" si="25"/>
        <v>No</v>
      </c>
      <c r="G326" t="str">
        <f t="shared" si="26"/>
        <v/>
      </c>
      <c r="H326" t="str">
        <f t="shared" si="27"/>
        <v>—</v>
      </c>
      <c r="I326" t="str">
        <f t="shared" si="28"/>
        <v>Below thresholds</v>
      </c>
      <c r="J326" t="str">
        <f t="shared" si="29"/>
        <v/>
      </c>
    </row>
    <row r="327" spans="1:10" x14ac:dyDescent="0.2">
      <c r="A327">
        <v>226901493511</v>
      </c>
      <c r="B327" t="s">
        <v>1389</v>
      </c>
      <c r="C327" t="s">
        <v>1390</v>
      </c>
      <c r="D327">
        <v>2.75</v>
      </c>
      <c r="F327" t="str">
        <f t="shared" si="25"/>
        <v>No</v>
      </c>
      <c r="G327" t="str">
        <f t="shared" si="26"/>
        <v/>
      </c>
      <c r="H327" t="str">
        <f t="shared" si="27"/>
        <v>—</v>
      </c>
      <c r="I327" t="str">
        <f t="shared" si="28"/>
        <v>Below thresholds</v>
      </c>
      <c r="J327" t="str">
        <f t="shared" si="29"/>
        <v/>
      </c>
    </row>
    <row r="328" spans="1:10" x14ac:dyDescent="0.2">
      <c r="A328">
        <v>226901503359</v>
      </c>
      <c r="B328" t="s">
        <v>1391</v>
      </c>
      <c r="C328" t="s">
        <v>1392</v>
      </c>
      <c r="D328">
        <v>1.99</v>
      </c>
      <c r="F328" t="str">
        <f t="shared" si="25"/>
        <v>No</v>
      </c>
      <c r="G328" t="str">
        <f t="shared" si="26"/>
        <v/>
      </c>
      <c r="H328" t="str">
        <f t="shared" si="27"/>
        <v>—</v>
      </c>
      <c r="I328" t="str">
        <f t="shared" si="28"/>
        <v>Below thresholds</v>
      </c>
      <c r="J328" t="str">
        <f t="shared" si="29"/>
        <v/>
      </c>
    </row>
    <row r="329" spans="1:10" x14ac:dyDescent="0.2">
      <c r="A329">
        <v>226901506009</v>
      </c>
      <c r="B329" t="s">
        <v>1393</v>
      </c>
      <c r="C329" t="s">
        <v>1394</v>
      </c>
      <c r="D329">
        <v>2.4900000000000002</v>
      </c>
      <c r="F329" t="str">
        <f t="shared" si="25"/>
        <v>No</v>
      </c>
      <c r="G329" t="str">
        <f t="shared" si="26"/>
        <v/>
      </c>
      <c r="H329" t="str">
        <f t="shared" si="27"/>
        <v>—</v>
      </c>
      <c r="I329" t="str">
        <f t="shared" si="28"/>
        <v>Below thresholds</v>
      </c>
      <c r="J329" t="str">
        <f t="shared" si="29"/>
        <v/>
      </c>
    </row>
    <row r="330" spans="1:10" x14ac:dyDescent="0.2">
      <c r="A330">
        <v>226901510526</v>
      </c>
      <c r="B330" t="s">
        <v>1395</v>
      </c>
      <c r="C330" t="s">
        <v>1396</v>
      </c>
      <c r="D330">
        <v>9.99</v>
      </c>
      <c r="F330" t="str">
        <f t="shared" si="25"/>
        <v>No</v>
      </c>
      <c r="G330" t="str">
        <f t="shared" si="26"/>
        <v/>
      </c>
      <c r="H330" t="str">
        <f t="shared" si="27"/>
        <v>—</v>
      </c>
      <c r="I330" t="str">
        <f t="shared" si="28"/>
        <v>Below thresholds</v>
      </c>
      <c r="J330" t="str">
        <f t="shared" si="29"/>
        <v/>
      </c>
    </row>
    <row r="331" spans="1:10" x14ac:dyDescent="0.2">
      <c r="A331">
        <v>226901517818</v>
      </c>
      <c r="B331" t="s">
        <v>1397</v>
      </c>
      <c r="C331" t="s">
        <v>1398</v>
      </c>
      <c r="D331">
        <v>2.99</v>
      </c>
      <c r="F331" t="str">
        <f t="shared" si="25"/>
        <v>No</v>
      </c>
      <c r="G331" t="str">
        <f t="shared" si="26"/>
        <v/>
      </c>
      <c r="H331" t="str">
        <f t="shared" si="27"/>
        <v>—</v>
      </c>
      <c r="I331" t="str">
        <f t="shared" si="28"/>
        <v>Below thresholds</v>
      </c>
      <c r="J331" t="str">
        <f t="shared" si="29"/>
        <v/>
      </c>
    </row>
    <row r="332" spans="1:10" x14ac:dyDescent="0.2">
      <c r="A332">
        <v>226901521653</v>
      </c>
      <c r="B332" t="s">
        <v>1399</v>
      </c>
      <c r="C332" t="s">
        <v>1400</v>
      </c>
      <c r="D332">
        <v>2.99</v>
      </c>
      <c r="F332" t="str">
        <f t="shared" si="25"/>
        <v>No</v>
      </c>
      <c r="G332" t="str">
        <f t="shared" si="26"/>
        <v/>
      </c>
      <c r="H332" t="str">
        <f t="shared" si="27"/>
        <v>—</v>
      </c>
      <c r="I332" t="str">
        <f t="shared" si="28"/>
        <v>Below thresholds</v>
      </c>
      <c r="J332" t="str">
        <f t="shared" si="29"/>
        <v/>
      </c>
    </row>
    <row r="333" spans="1:10" x14ac:dyDescent="0.2">
      <c r="A333">
        <v>226901525683</v>
      </c>
      <c r="B333" t="s">
        <v>1401</v>
      </c>
      <c r="C333" t="s">
        <v>1402</v>
      </c>
      <c r="D333">
        <v>2.99</v>
      </c>
      <c r="F333" t="str">
        <f t="shared" si="25"/>
        <v>No</v>
      </c>
      <c r="G333" t="str">
        <f t="shared" si="26"/>
        <v/>
      </c>
      <c r="H333" t="str">
        <f t="shared" si="27"/>
        <v>—</v>
      </c>
      <c r="I333" t="str">
        <f t="shared" si="28"/>
        <v>Below thresholds</v>
      </c>
      <c r="J333" t="str">
        <f t="shared" si="29"/>
        <v/>
      </c>
    </row>
    <row r="334" spans="1:10" x14ac:dyDescent="0.2">
      <c r="A334">
        <v>226901534211</v>
      </c>
      <c r="B334" t="s">
        <v>1403</v>
      </c>
      <c r="C334" t="s">
        <v>1404</v>
      </c>
      <c r="D334">
        <v>1.99</v>
      </c>
      <c r="F334" t="str">
        <f t="shared" si="25"/>
        <v>No</v>
      </c>
      <c r="G334" t="str">
        <f t="shared" si="26"/>
        <v/>
      </c>
      <c r="H334" t="str">
        <f t="shared" si="27"/>
        <v>—</v>
      </c>
      <c r="I334" t="str">
        <f t="shared" si="28"/>
        <v>Below thresholds</v>
      </c>
      <c r="J334" t="str">
        <f t="shared" si="29"/>
        <v/>
      </c>
    </row>
    <row r="335" spans="1:10" x14ac:dyDescent="0.2">
      <c r="A335">
        <v>226901538635</v>
      </c>
      <c r="B335" t="s">
        <v>1405</v>
      </c>
      <c r="C335" t="s">
        <v>1406</v>
      </c>
      <c r="D335">
        <v>2.99</v>
      </c>
      <c r="F335" t="str">
        <f t="shared" si="25"/>
        <v>No</v>
      </c>
      <c r="G335" t="str">
        <f t="shared" si="26"/>
        <v/>
      </c>
      <c r="H335" t="str">
        <f t="shared" si="27"/>
        <v>—</v>
      </c>
      <c r="I335" t="str">
        <f t="shared" si="28"/>
        <v>Below thresholds</v>
      </c>
      <c r="J335" t="str">
        <f t="shared" si="29"/>
        <v/>
      </c>
    </row>
    <row r="336" spans="1:10" x14ac:dyDescent="0.2">
      <c r="A336">
        <v>226901547674</v>
      </c>
      <c r="B336" t="s">
        <v>1407</v>
      </c>
      <c r="C336" t="s">
        <v>1408</v>
      </c>
      <c r="D336">
        <v>2.4900000000000002</v>
      </c>
      <c r="F336" t="str">
        <f t="shared" si="25"/>
        <v>No</v>
      </c>
      <c r="G336" t="str">
        <f t="shared" si="26"/>
        <v/>
      </c>
      <c r="H336" t="str">
        <f t="shared" si="27"/>
        <v>—</v>
      </c>
      <c r="I336" t="str">
        <f t="shared" si="28"/>
        <v>Below thresholds</v>
      </c>
      <c r="J336" t="str">
        <f t="shared" si="29"/>
        <v/>
      </c>
    </row>
    <row r="337" spans="1:10" x14ac:dyDescent="0.2">
      <c r="A337">
        <v>226901550208</v>
      </c>
      <c r="B337" t="s">
        <v>1409</v>
      </c>
      <c r="C337" t="s">
        <v>1410</v>
      </c>
      <c r="D337">
        <v>2.09</v>
      </c>
      <c r="F337" t="str">
        <f t="shared" si="25"/>
        <v>No</v>
      </c>
      <c r="G337" t="str">
        <f t="shared" si="26"/>
        <v/>
      </c>
      <c r="H337" t="str">
        <f t="shared" si="27"/>
        <v>—</v>
      </c>
      <c r="I337" t="str">
        <f t="shared" si="28"/>
        <v>Below thresholds</v>
      </c>
      <c r="J337" t="str">
        <f t="shared" si="29"/>
        <v/>
      </c>
    </row>
    <row r="338" spans="1:10" x14ac:dyDescent="0.2">
      <c r="A338">
        <v>226901552767</v>
      </c>
      <c r="B338" t="s">
        <v>1411</v>
      </c>
      <c r="C338" t="s">
        <v>1412</v>
      </c>
      <c r="D338">
        <v>2.25</v>
      </c>
      <c r="F338" t="str">
        <f t="shared" si="25"/>
        <v>No</v>
      </c>
      <c r="G338" t="str">
        <f t="shared" si="26"/>
        <v/>
      </c>
      <c r="H338" t="str">
        <f t="shared" si="27"/>
        <v>—</v>
      </c>
      <c r="I338" t="str">
        <f t="shared" si="28"/>
        <v>Below thresholds</v>
      </c>
      <c r="J338" t="str">
        <f t="shared" si="29"/>
        <v/>
      </c>
    </row>
    <row r="339" spans="1:10" x14ac:dyDescent="0.2">
      <c r="A339">
        <v>226901554803</v>
      </c>
      <c r="B339" t="s">
        <v>1413</v>
      </c>
      <c r="C339" t="s">
        <v>1414</v>
      </c>
      <c r="D339">
        <v>2.25</v>
      </c>
      <c r="F339" t="str">
        <f t="shared" si="25"/>
        <v>No</v>
      </c>
      <c r="G339" t="str">
        <f t="shared" si="26"/>
        <v/>
      </c>
      <c r="H339" t="str">
        <f t="shared" si="27"/>
        <v>—</v>
      </c>
      <c r="I339" t="str">
        <f t="shared" si="28"/>
        <v>Below thresholds</v>
      </c>
      <c r="J339" t="str">
        <f t="shared" si="29"/>
        <v/>
      </c>
    </row>
    <row r="340" spans="1:10" x14ac:dyDescent="0.2">
      <c r="A340">
        <v>226901559635</v>
      </c>
      <c r="B340" t="s">
        <v>1415</v>
      </c>
      <c r="C340" t="s">
        <v>1416</v>
      </c>
      <c r="D340">
        <v>2.25</v>
      </c>
      <c r="F340" t="str">
        <f t="shared" si="25"/>
        <v>No</v>
      </c>
      <c r="G340" t="str">
        <f t="shared" si="26"/>
        <v/>
      </c>
      <c r="H340" t="str">
        <f t="shared" si="27"/>
        <v>—</v>
      </c>
      <c r="I340" t="str">
        <f t="shared" si="28"/>
        <v>Below thresholds</v>
      </c>
      <c r="J340" t="str">
        <f t="shared" si="29"/>
        <v/>
      </c>
    </row>
    <row r="341" spans="1:10" x14ac:dyDescent="0.2">
      <c r="A341">
        <v>226901561171</v>
      </c>
      <c r="B341" t="s">
        <v>1417</v>
      </c>
      <c r="C341" t="s">
        <v>1418</v>
      </c>
      <c r="D341">
        <v>2.25</v>
      </c>
      <c r="F341" t="str">
        <f t="shared" si="25"/>
        <v>No</v>
      </c>
      <c r="G341" t="str">
        <f t="shared" si="26"/>
        <v/>
      </c>
      <c r="H341" t="str">
        <f t="shared" si="27"/>
        <v>—</v>
      </c>
      <c r="I341" t="str">
        <f t="shared" si="28"/>
        <v>Below thresholds</v>
      </c>
      <c r="J341" t="str">
        <f t="shared" si="29"/>
        <v/>
      </c>
    </row>
    <row r="342" spans="1:10" x14ac:dyDescent="0.2">
      <c r="A342">
        <v>226901569358</v>
      </c>
      <c r="B342" t="s">
        <v>1419</v>
      </c>
      <c r="C342" t="s">
        <v>1420</v>
      </c>
      <c r="D342">
        <v>2.25</v>
      </c>
      <c r="F342" t="str">
        <f t="shared" si="25"/>
        <v>No</v>
      </c>
      <c r="G342" t="str">
        <f t="shared" si="26"/>
        <v/>
      </c>
      <c r="H342" t="str">
        <f t="shared" si="27"/>
        <v>—</v>
      </c>
      <c r="I342" t="str">
        <f t="shared" si="28"/>
        <v>Below thresholds</v>
      </c>
      <c r="J342" t="str">
        <f t="shared" si="29"/>
        <v/>
      </c>
    </row>
    <row r="343" spans="1:10" x14ac:dyDescent="0.2">
      <c r="A343">
        <v>226901663222</v>
      </c>
      <c r="B343" t="s">
        <v>1421</v>
      </c>
      <c r="C343" t="s">
        <v>1422</v>
      </c>
      <c r="D343">
        <v>3.49</v>
      </c>
      <c r="F343" t="str">
        <f t="shared" si="25"/>
        <v>No</v>
      </c>
      <c r="G343" t="str">
        <f t="shared" si="26"/>
        <v/>
      </c>
      <c r="H343" t="str">
        <f t="shared" si="27"/>
        <v>—</v>
      </c>
      <c r="I343" t="str">
        <f t="shared" si="28"/>
        <v>Below thresholds</v>
      </c>
      <c r="J343" t="str">
        <f t="shared" si="29"/>
        <v/>
      </c>
    </row>
    <row r="344" spans="1:10" x14ac:dyDescent="0.2">
      <c r="A344">
        <v>226901663223</v>
      </c>
      <c r="B344" t="s">
        <v>1423</v>
      </c>
      <c r="C344" t="s">
        <v>1424</v>
      </c>
      <c r="D344">
        <v>1.99</v>
      </c>
      <c r="F344" t="str">
        <f t="shared" si="25"/>
        <v>No</v>
      </c>
      <c r="G344" t="str">
        <f t="shared" si="26"/>
        <v/>
      </c>
      <c r="H344" t="str">
        <f t="shared" si="27"/>
        <v>—</v>
      </c>
      <c r="I344" t="str">
        <f t="shared" si="28"/>
        <v>Below thresholds</v>
      </c>
      <c r="J344" t="str">
        <f t="shared" si="29"/>
        <v/>
      </c>
    </row>
    <row r="345" spans="1:10" x14ac:dyDescent="0.2">
      <c r="A345">
        <v>226901663224</v>
      </c>
      <c r="B345" t="s">
        <v>1425</v>
      </c>
      <c r="C345" t="s">
        <v>1426</v>
      </c>
      <c r="D345">
        <v>1.99</v>
      </c>
      <c r="F345" t="str">
        <f t="shared" si="25"/>
        <v>No</v>
      </c>
      <c r="G345" t="str">
        <f t="shared" si="26"/>
        <v/>
      </c>
      <c r="H345" t="str">
        <f t="shared" si="27"/>
        <v>—</v>
      </c>
      <c r="I345" t="str">
        <f t="shared" si="28"/>
        <v>Below thresholds</v>
      </c>
      <c r="J345" t="str">
        <f t="shared" si="29"/>
        <v/>
      </c>
    </row>
    <row r="346" spans="1:10" x14ac:dyDescent="0.2">
      <c r="A346">
        <v>226901663226</v>
      </c>
      <c r="B346" t="s">
        <v>1427</v>
      </c>
      <c r="C346" t="s">
        <v>1428</v>
      </c>
      <c r="D346">
        <v>1.99</v>
      </c>
      <c r="F346" t="str">
        <f t="shared" si="25"/>
        <v>No</v>
      </c>
      <c r="G346" t="str">
        <f t="shared" si="26"/>
        <v/>
      </c>
      <c r="H346" t="str">
        <f t="shared" si="27"/>
        <v>—</v>
      </c>
      <c r="I346" t="str">
        <f t="shared" si="28"/>
        <v>Below thresholds</v>
      </c>
      <c r="J346" t="str">
        <f t="shared" si="29"/>
        <v/>
      </c>
    </row>
    <row r="347" spans="1:10" x14ac:dyDescent="0.2">
      <c r="A347">
        <v>226901663228</v>
      </c>
      <c r="B347" t="s">
        <v>1429</v>
      </c>
      <c r="C347" t="s">
        <v>1430</v>
      </c>
      <c r="D347">
        <v>1.99</v>
      </c>
      <c r="F347" t="str">
        <f t="shared" si="25"/>
        <v>No</v>
      </c>
      <c r="G347" t="str">
        <f t="shared" si="26"/>
        <v/>
      </c>
      <c r="H347" t="str">
        <f t="shared" si="27"/>
        <v>—</v>
      </c>
      <c r="I347" t="str">
        <f t="shared" si="28"/>
        <v>Below thresholds</v>
      </c>
      <c r="J347" t="str">
        <f t="shared" si="29"/>
        <v/>
      </c>
    </row>
    <row r="348" spans="1:10" x14ac:dyDescent="0.2">
      <c r="A348">
        <v>226901663230</v>
      </c>
      <c r="B348" t="s">
        <v>1431</v>
      </c>
      <c r="C348" t="s">
        <v>1432</v>
      </c>
      <c r="D348">
        <v>1.99</v>
      </c>
      <c r="F348" t="str">
        <f t="shared" si="25"/>
        <v>No</v>
      </c>
      <c r="G348" t="str">
        <f t="shared" si="26"/>
        <v/>
      </c>
      <c r="H348" t="str">
        <f t="shared" si="27"/>
        <v>—</v>
      </c>
      <c r="I348" t="str">
        <f t="shared" si="28"/>
        <v>Below thresholds</v>
      </c>
      <c r="J348" t="str">
        <f t="shared" si="29"/>
        <v/>
      </c>
    </row>
    <row r="349" spans="1:10" x14ac:dyDescent="0.2">
      <c r="A349">
        <v>226901663232</v>
      </c>
      <c r="B349" t="s">
        <v>1433</v>
      </c>
      <c r="C349" t="s">
        <v>1434</v>
      </c>
      <c r="D349">
        <v>1.99</v>
      </c>
      <c r="F349" t="str">
        <f t="shared" si="25"/>
        <v>No</v>
      </c>
      <c r="G349" t="str">
        <f t="shared" si="26"/>
        <v/>
      </c>
      <c r="H349" t="str">
        <f t="shared" si="27"/>
        <v>—</v>
      </c>
      <c r="I349" t="str">
        <f t="shared" si="28"/>
        <v>Below thresholds</v>
      </c>
      <c r="J349" t="str">
        <f t="shared" si="29"/>
        <v/>
      </c>
    </row>
    <row r="350" spans="1:10" x14ac:dyDescent="0.2">
      <c r="A350">
        <v>226901663233</v>
      </c>
      <c r="B350" t="s">
        <v>1435</v>
      </c>
      <c r="C350" t="s">
        <v>1436</v>
      </c>
      <c r="D350">
        <v>1.99</v>
      </c>
      <c r="F350" t="str">
        <f t="shared" si="25"/>
        <v>No</v>
      </c>
      <c r="G350" t="str">
        <f t="shared" si="26"/>
        <v/>
      </c>
      <c r="H350" t="str">
        <f t="shared" si="27"/>
        <v>—</v>
      </c>
      <c r="I350" t="str">
        <f t="shared" si="28"/>
        <v>Below thresholds</v>
      </c>
      <c r="J350" t="str">
        <f t="shared" si="29"/>
        <v/>
      </c>
    </row>
    <row r="351" spans="1:10" x14ac:dyDescent="0.2">
      <c r="A351">
        <v>226901663234</v>
      </c>
      <c r="B351" t="s">
        <v>1437</v>
      </c>
      <c r="C351" t="s">
        <v>1438</v>
      </c>
      <c r="D351">
        <v>1.99</v>
      </c>
      <c r="F351" t="str">
        <f t="shared" si="25"/>
        <v>No</v>
      </c>
      <c r="G351" t="str">
        <f t="shared" si="26"/>
        <v/>
      </c>
      <c r="H351" t="str">
        <f t="shared" si="27"/>
        <v>—</v>
      </c>
      <c r="I351" t="str">
        <f t="shared" si="28"/>
        <v>Below thresholds</v>
      </c>
      <c r="J351" t="str">
        <f t="shared" si="29"/>
        <v/>
      </c>
    </row>
    <row r="352" spans="1:10" x14ac:dyDescent="0.2">
      <c r="A352">
        <v>226901663235</v>
      </c>
      <c r="B352" t="s">
        <v>1439</v>
      </c>
      <c r="C352" t="s">
        <v>1440</v>
      </c>
      <c r="D352">
        <v>1.99</v>
      </c>
      <c r="F352" t="str">
        <f t="shared" si="25"/>
        <v>No</v>
      </c>
      <c r="G352" t="str">
        <f t="shared" si="26"/>
        <v/>
      </c>
      <c r="H352" t="str">
        <f t="shared" si="27"/>
        <v>—</v>
      </c>
      <c r="I352" t="str">
        <f t="shared" si="28"/>
        <v>Below thresholds</v>
      </c>
      <c r="J352" t="str">
        <f t="shared" si="29"/>
        <v/>
      </c>
    </row>
    <row r="353" spans="1:10" x14ac:dyDescent="0.2">
      <c r="A353">
        <v>226901663236</v>
      </c>
      <c r="B353" t="s">
        <v>1441</v>
      </c>
      <c r="C353" t="s">
        <v>1442</v>
      </c>
      <c r="D353">
        <v>2.99</v>
      </c>
      <c r="F353" t="str">
        <f t="shared" si="25"/>
        <v>No</v>
      </c>
      <c r="G353" t="str">
        <f t="shared" si="26"/>
        <v/>
      </c>
      <c r="H353" t="str">
        <f t="shared" si="27"/>
        <v>—</v>
      </c>
      <c r="I353" t="str">
        <f t="shared" si="28"/>
        <v>Below thresholds</v>
      </c>
      <c r="J353" t="str">
        <f t="shared" si="29"/>
        <v/>
      </c>
    </row>
    <row r="354" spans="1:10" x14ac:dyDescent="0.2">
      <c r="A354">
        <v>226901663237</v>
      </c>
      <c r="B354" t="s">
        <v>1443</v>
      </c>
      <c r="C354" t="s">
        <v>1444</v>
      </c>
      <c r="D354">
        <v>1.99</v>
      </c>
      <c r="F354" t="str">
        <f t="shared" si="25"/>
        <v>No</v>
      </c>
      <c r="G354" t="str">
        <f t="shared" si="26"/>
        <v/>
      </c>
      <c r="H354" t="str">
        <f t="shared" si="27"/>
        <v>—</v>
      </c>
      <c r="I354" t="str">
        <f t="shared" si="28"/>
        <v>Below thresholds</v>
      </c>
      <c r="J354" t="str">
        <f t="shared" si="29"/>
        <v/>
      </c>
    </row>
    <row r="355" spans="1:10" x14ac:dyDescent="0.2">
      <c r="A355">
        <v>226901663238</v>
      </c>
      <c r="B355" t="s">
        <v>1445</v>
      </c>
      <c r="C355" t="s">
        <v>1446</v>
      </c>
      <c r="D355">
        <v>1.99</v>
      </c>
      <c r="F355" t="str">
        <f t="shared" si="25"/>
        <v>No</v>
      </c>
      <c r="G355" t="str">
        <f t="shared" si="26"/>
        <v/>
      </c>
      <c r="H355" t="str">
        <f t="shared" si="27"/>
        <v>—</v>
      </c>
      <c r="I355" t="str">
        <f t="shared" si="28"/>
        <v>Below thresholds</v>
      </c>
      <c r="J355" t="str">
        <f t="shared" si="29"/>
        <v/>
      </c>
    </row>
    <row r="356" spans="1:10" x14ac:dyDescent="0.2">
      <c r="A356">
        <v>226901663239</v>
      </c>
      <c r="B356" t="s">
        <v>1237</v>
      </c>
      <c r="C356" t="s">
        <v>1447</v>
      </c>
      <c r="D356">
        <v>1.99</v>
      </c>
      <c r="F356" t="str">
        <f t="shared" si="25"/>
        <v>No</v>
      </c>
      <c r="G356" t="str">
        <f t="shared" si="26"/>
        <v/>
      </c>
      <c r="H356" t="str">
        <f t="shared" si="27"/>
        <v>—</v>
      </c>
      <c r="I356" t="str">
        <f t="shared" si="28"/>
        <v>Below thresholds</v>
      </c>
      <c r="J356" t="str">
        <f t="shared" si="29"/>
        <v/>
      </c>
    </row>
    <row r="357" spans="1:10" x14ac:dyDescent="0.2">
      <c r="A357">
        <v>226901663241</v>
      </c>
      <c r="B357" t="s">
        <v>1448</v>
      </c>
      <c r="C357" t="s">
        <v>1449</v>
      </c>
      <c r="D357">
        <v>1.99</v>
      </c>
      <c r="F357" t="str">
        <f t="shared" si="25"/>
        <v>No</v>
      </c>
      <c r="G357" t="str">
        <f t="shared" si="26"/>
        <v/>
      </c>
      <c r="H357" t="str">
        <f t="shared" si="27"/>
        <v>—</v>
      </c>
      <c r="I357" t="str">
        <f t="shared" si="28"/>
        <v>Below thresholds</v>
      </c>
      <c r="J357" t="str">
        <f t="shared" si="29"/>
        <v/>
      </c>
    </row>
    <row r="358" spans="1:10" x14ac:dyDescent="0.2">
      <c r="A358">
        <v>226903259312</v>
      </c>
      <c r="B358" t="s">
        <v>1450</v>
      </c>
      <c r="C358" t="s">
        <v>1451</v>
      </c>
      <c r="D358">
        <v>1.99</v>
      </c>
      <c r="F358" t="str">
        <f t="shared" si="25"/>
        <v>No</v>
      </c>
      <c r="G358" t="str">
        <f t="shared" si="26"/>
        <v/>
      </c>
      <c r="H358" t="str">
        <f t="shared" si="27"/>
        <v>—</v>
      </c>
      <c r="I358" t="str">
        <f t="shared" si="28"/>
        <v>Below thresholds</v>
      </c>
      <c r="J358" t="str">
        <f t="shared" si="29"/>
        <v/>
      </c>
    </row>
    <row r="359" spans="1:10" x14ac:dyDescent="0.2">
      <c r="A359">
        <v>226903259313</v>
      </c>
      <c r="B359" t="s">
        <v>1452</v>
      </c>
      <c r="C359" t="s">
        <v>1453</v>
      </c>
      <c r="D359">
        <v>1.99</v>
      </c>
      <c r="F359" t="str">
        <f t="shared" si="25"/>
        <v>No</v>
      </c>
      <c r="G359" t="str">
        <f t="shared" si="26"/>
        <v/>
      </c>
      <c r="H359" t="str">
        <f t="shared" si="27"/>
        <v>—</v>
      </c>
      <c r="I359" t="str">
        <f t="shared" si="28"/>
        <v>Below thresholds</v>
      </c>
      <c r="J359" t="str">
        <f t="shared" si="29"/>
        <v/>
      </c>
    </row>
    <row r="360" spans="1:10" x14ac:dyDescent="0.2">
      <c r="A360">
        <v>226903259317</v>
      </c>
      <c r="B360" t="s">
        <v>1454</v>
      </c>
      <c r="C360" t="s">
        <v>1455</v>
      </c>
      <c r="D360">
        <v>1.99</v>
      </c>
      <c r="F360" t="str">
        <f t="shared" si="25"/>
        <v>No</v>
      </c>
      <c r="G360" t="str">
        <f t="shared" si="26"/>
        <v/>
      </c>
      <c r="H360" t="str">
        <f t="shared" si="27"/>
        <v>—</v>
      </c>
      <c r="I360" t="str">
        <f t="shared" si="28"/>
        <v>Below thresholds</v>
      </c>
      <c r="J360" t="str">
        <f t="shared" si="29"/>
        <v/>
      </c>
    </row>
    <row r="361" spans="1:10" x14ac:dyDescent="0.2">
      <c r="A361">
        <v>226903259319</v>
      </c>
      <c r="B361" t="s">
        <v>1456</v>
      </c>
      <c r="C361" t="s">
        <v>1457</v>
      </c>
      <c r="D361">
        <v>1.99</v>
      </c>
      <c r="F361" t="str">
        <f t="shared" si="25"/>
        <v>No</v>
      </c>
      <c r="G361" t="str">
        <f t="shared" si="26"/>
        <v/>
      </c>
      <c r="H361" t="str">
        <f t="shared" si="27"/>
        <v>—</v>
      </c>
      <c r="I361" t="str">
        <f t="shared" si="28"/>
        <v>Below thresholds</v>
      </c>
      <c r="J361" t="str">
        <f t="shared" si="29"/>
        <v/>
      </c>
    </row>
    <row r="362" spans="1:10" x14ac:dyDescent="0.2">
      <c r="A362">
        <v>226903259322</v>
      </c>
      <c r="B362" t="s">
        <v>1458</v>
      </c>
      <c r="C362" t="s">
        <v>1459</v>
      </c>
      <c r="D362">
        <v>1.99</v>
      </c>
      <c r="F362" t="str">
        <f t="shared" si="25"/>
        <v>No</v>
      </c>
      <c r="G362" t="str">
        <f t="shared" si="26"/>
        <v/>
      </c>
      <c r="H362" t="str">
        <f t="shared" si="27"/>
        <v>—</v>
      </c>
      <c r="I362" t="str">
        <f t="shared" si="28"/>
        <v>Below thresholds</v>
      </c>
      <c r="J362" t="str">
        <f t="shared" si="29"/>
        <v/>
      </c>
    </row>
    <row r="363" spans="1:10" x14ac:dyDescent="0.2">
      <c r="A363">
        <v>226903259325</v>
      </c>
      <c r="B363" t="s">
        <v>1460</v>
      </c>
      <c r="C363" t="s">
        <v>1461</v>
      </c>
      <c r="D363">
        <v>1.99</v>
      </c>
      <c r="F363" t="str">
        <f t="shared" si="25"/>
        <v>No</v>
      </c>
      <c r="G363" t="str">
        <f t="shared" si="26"/>
        <v/>
      </c>
      <c r="H363" t="str">
        <f t="shared" si="27"/>
        <v>—</v>
      </c>
      <c r="I363" t="str">
        <f t="shared" si="28"/>
        <v>Below thresholds</v>
      </c>
      <c r="J363" t="str">
        <f t="shared" si="29"/>
        <v/>
      </c>
    </row>
    <row r="364" spans="1:10" x14ac:dyDescent="0.2">
      <c r="A364">
        <v>226903259327</v>
      </c>
      <c r="B364" t="s">
        <v>1462</v>
      </c>
      <c r="C364" t="s">
        <v>1463</v>
      </c>
      <c r="D364">
        <v>1.99</v>
      </c>
      <c r="F364" t="str">
        <f t="shared" si="25"/>
        <v>No</v>
      </c>
      <c r="G364" t="str">
        <f t="shared" si="26"/>
        <v/>
      </c>
      <c r="H364" t="str">
        <f t="shared" si="27"/>
        <v>—</v>
      </c>
      <c r="I364" t="str">
        <f t="shared" si="28"/>
        <v>Below thresholds</v>
      </c>
      <c r="J364" t="str">
        <f t="shared" si="29"/>
        <v/>
      </c>
    </row>
    <row r="365" spans="1:10" x14ac:dyDescent="0.2">
      <c r="A365">
        <v>226903259328</v>
      </c>
      <c r="B365" t="s">
        <v>1464</v>
      </c>
      <c r="C365" t="s">
        <v>1465</v>
      </c>
      <c r="D365">
        <v>1.99</v>
      </c>
      <c r="F365" t="str">
        <f t="shared" si="25"/>
        <v>No</v>
      </c>
      <c r="G365" t="str">
        <f t="shared" si="26"/>
        <v/>
      </c>
      <c r="H365" t="str">
        <f t="shared" si="27"/>
        <v>—</v>
      </c>
      <c r="I365" t="str">
        <f t="shared" si="28"/>
        <v>Below thresholds</v>
      </c>
      <c r="J365" t="str">
        <f t="shared" si="29"/>
        <v/>
      </c>
    </row>
    <row r="366" spans="1:10" x14ac:dyDescent="0.2">
      <c r="A366">
        <v>226903259330</v>
      </c>
      <c r="B366" t="s">
        <v>1466</v>
      </c>
      <c r="C366" t="s">
        <v>1467</v>
      </c>
      <c r="D366">
        <v>1.99</v>
      </c>
      <c r="F366" t="str">
        <f t="shared" si="25"/>
        <v>No</v>
      </c>
      <c r="G366" t="str">
        <f t="shared" si="26"/>
        <v/>
      </c>
      <c r="H366" t="str">
        <f t="shared" si="27"/>
        <v>—</v>
      </c>
      <c r="I366" t="str">
        <f t="shared" si="28"/>
        <v>Below thresholds</v>
      </c>
      <c r="J366" t="str">
        <f t="shared" si="29"/>
        <v/>
      </c>
    </row>
    <row r="367" spans="1:10" x14ac:dyDescent="0.2">
      <c r="A367">
        <v>226903259331</v>
      </c>
      <c r="B367" t="s">
        <v>1468</v>
      </c>
      <c r="C367" t="s">
        <v>1469</v>
      </c>
      <c r="D367">
        <v>1.99</v>
      </c>
      <c r="F367" t="str">
        <f t="shared" si="25"/>
        <v>No</v>
      </c>
      <c r="G367" t="str">
        <f t="shared" si="26"/>
        <v/>
      </c>
      <c r="H367" t="str">
        <f t="shared" si="27"/>
        <v>—</v>
      </c>
      <c r="I367" t="str">
        <f t="shared" si="28"/>
        <v>Below thresholds</v>
      </c>
      <c r="J367" t="str">
        <f t="shared" si="29"/>
        <v/>
      </c>
    </row>
    <row r="368" spans="1:10" x14ac:dyDescent="0.2">
      <c r="A368">
        <v>226903259332</v>
      </c>
      <c r="B368" t="s">
        <v>1470</v>
      </c>
      <c r="C368" t="s">
        <v>1471</v>
      </c>
      <c r="D368">
        <v>1.99</v>
      </c>
      <c r="F368" t="str">
        <f t="shared" si="25"/>
        <v>No</v>
      </c>
      <c r="G368" t="str">
        <f t="shared" si="26"/>
        <v/>
      </c>
      <c r="H368" t="str">
        <f t="shared" si="27"/>
        <v>—</v>
      </c>
      <c r="I368" t="str">
        <f t="shared" si="28"/>
        <v>Below thresholds</v>
      </c>
      <c r="J368" t="str">
        <f t="shared" si="29"/>
        <v/>
      </c>
    </row>
    <row r="369" spans="1:10" x14ac:dyDescent="0.2">
      <c r="A369">
        <v>226903259336</v>
      </c>
      <c r="B369" t="s">
        <v>1472</v>
      </c>
      <c r="C369" t="s">
        <v>1473</v>
      </c>
      <c r="D369">
        <v>1.99</v>
      </c>
      <c r="F369" t="str">
        <f t="shared" si="25"/>
        <v>No</v>
      </c>
      <c r="G369" t="str">
        <f t="shared" si="26"/>
        <v/>
      </c>
      <c r="H369" t="str">
        <f t="shared" si="27"/>
        <v>—</v>
      </c>
      <c r="I369" t="str">
        <f t="shared" si="28"/>
        <v>Below thresholds</v>
      </c>
      <c r="J369" t="str">
        <f t="shared" si="29"/>
        <v/>
      </c>
    </row>
    <row r="370" spans="1:10" x14ac:dyDescent="0.2">
      <c r="A370">
        <v>226903259337</v>
      </c>
      <c r="B370" t="s">
        <v>1474</v>
      </c>
      <c r="C370" t="s">
        <v>1475</v>
      </c>
      <c r="D370">
        <v>2.79</v>
      </c>
      <c r="F370" t="str">
        <f t="shared" si="25"/>
        <v>No</v>
      </c>
      <c r="G370" t="str">
        <f t="shared" si="26"/>
        <v/>
      </c>
      <c r="H370" t="str">
        <f t="shared" si="27"/>
        <v>—</v>
      </c>
      <c r="I370" t="str">
        <f t="shared" si="28"/>
        <v>Below thresholds</v>
      </c>
      <c r="J370" t="str">
        <f t="shared" si="29"/>
        <v/>
      </c>
    </row>
    <row r="371" spans="1:10" x14ac:dyDescent="0.2">
      <c r="A371">
        <v>226903259341</v>
      </c>
      <c r="B371" t="s">
        <v>1476</v>
      </c>
      <c r="C371" t="s">
        <v>1477</v>
      </c>
      <c r="D371">
        <v>1.99</v>
      </c>
      <c r="F371" t="str">
        <f t="shared" si="25"/>
        <v>No</v>
      </c>
      <c r="G371" t="str">
        <f t="shared" si="26"/>
        <v/>
      </c>
      <c r="H371" t="str">
        <f t="shared" si="27"/>
        <v>—</v>
      </c>
      <c r="I371" t="str">
        <f t="shared" si="28"/>
        <v>Below thresholds</v>
      </c>
      <c r="J371" t="str">
        <f t="shared" si="29"/>
        <v/>
      </c>
    </row>
    <row r="372" spans="1:10" x14ac:dyDescent="0.2">
      <c r="A372">
        <v>226903259343</v>
      </c>
      <c r="B372" t="s">
        <v>1478</v>
      </c>
      <c r="C372" t="s">
        <v>1479</v>
      </c>
      <c r="D372">
        <v>1.99</v>
      </c>
      <c r="F372" t="str">
        <f t="shared" si="25"/>
        <v>No</v>
      </c>
      <c r="G372" t="str">
        <f t="shared" si="26"/>
        <v/>
      </c>
      <c r="H372" t="str">
        <f t="shared" si="27"/>
        <v>—</v>
      </c>
      <c r="I372" t="str">
        <f t="shared" si="28"/>
        <v>Below thresholds</v>
      </c>
      <c r="J372" t="str">
        <f t="shared" si="29"/>
        <v/>
      </c>
    </row>
    <row r="373" spans="1:10" x14ac:dyDescent="0.2">
      <c r="A373">
        <v>226903259350</v>
      </c>
      <c r="B373" t="s">
        <v>1480</v>
      </c>
      <c r="C373" t="s">
        <v>1481</v>
      </c>
      <c r="D373">
        <v>1.99</v>
      </c>
      <c r="F373" t="str">
        <f t="shared" si="25"/>
        <v>No</v>
      </c>
      <c r="G373" t="str">
        <f t="shared" si="26"/>
        <v/>
      </c>
      <c r="H373" t="str">
        <f t="shared" si="27"/>
        <v>—</v>
      </c>
      <c r="I373" t="str">
        <f t="shared" si="28"/>
        <v>Below thresholds</v>
      </c>
      <c r="J373" t="str">
        <f t="shared" si="29"/>
        <v/>
      </c>
    </row>
    <row r="374" spans="1:10" x14ac:dyDescent="0.2">
      <c r="A374">
        <v>226903413762</v>
      </c>
      <c r="B374" t="s">
        <v>1482</v>
      </c>
      <c r="C374" t="s">
        <v>1483</v>
      </c>
      <c r="D374">
        <v>1.99</v>
      </c>
      <c r="F374" t="str">
        <f t="shared" si="25"/>
        <v>No</v>
      </c>
      <c r="G374" t="str">
        <f t="shared" si="26"/>
        <v/>
      </c>
      <c r="H374" t="str">
        <f t="shared" si="27"/>
        <v>—</v>
      </c>
      <c r="I374" t="str">
        <f t="shared" si="28"/>
        <v>Below thresholds</v>
      </c>
      <c r="J374" t="str">
        <f t="shared" si="29"/>
        <v/>
      </c>
    </row>
    <row r="375" spans="1:10" x14ac:dyDescent="0.2">
      <c r="A375">
        <v>226903413763</v>
      </c>
      <c r="B375" t="s">
        <v>1484</v>
      </c>
      <c r="C375" t="s">
        <v>1485</v>
      </c>
      <c r="D375">
        <v>1.99</v>
      </c>
      <c r="F375" t="str">
        <f t="shared" si="25"/>
        <v>No</v>
      </c>
      <c r="G375" t="str">
        <f t="shared" si="26"/>
        <v/>
      </c>
      <c r="H375" t="str">
        <f t="shared" si="27"/>
        <v>—</v>
      </c>
      <c r="I375" t="str">
        <f t="shared" si="28"/>
        <v>Below thresholds</v>
      </c>
      <c r="J375" t="str">
        <f t="shared" si="29"/>
        <v/>
      </c>
    </row>
    <row r="376" spans="1:10" x14ac:dyDescent="0.2">
      <c r="A376">
        <v>226903413766</v>
      </c>
      <c r="B376" t="s">
        <v>1486</v>
      </c>
      <c r="C376" t="s">
        <v>1487</v>
      </c>
      <c r="D376">
        <v>3.99</v>
      </c>
      <c r="F376" t="str">
        <f t="shared" si="25"/>
        <v>No</v>
      </c>
      <c r="G376" t="str">
        <f t="shared" si="26"/>
        <v/>
      </c>
      <c r="H376" t="str">
        <f t="shared" si="27"/>
        <v>—</v>
      </c>
      <c r="I376" t="str">
        <f t="shared" si="28"/>
        <v>Below thresholds</v>
      </c>
      <c r="J376" t="str">
        <f t="shared" si="29"/>
        <v/>
      </c>
    </row>
    <row r="377" spans="1:10" x14ac:dyDescent="0.2">
      <c r="A377">
        <v>226903413773</v>
      </c>
      <c r="B377" t="s">
        <v>1488</v>
      </c>
      <c r="C377" t="s">
        <v>1489</v>
      </c>
      <c r="D377">
        <v>5.99</v>
      </c>
      <c r="F377" t="str">
        <f t="shared" si="25"/>
        <v>No</v>
      </c>
      <c r="G377" t="str">
        <f t="shared" si="26"/>
        <v/>
      </c>
      <c r="H377" t="str">
        <f t="shared" si="27"/>
        <v>—</v>
      </c>
      <c r="I377" t="str">
        <f t="shared" si="28"/>
        <v>Below thresholds</v>
      </c>
      <c r="J377" t="str">
        <f t="shared" si="29"/>
        <v/>
      </c>
    </row>
    <row r="378" spans="1:10" x14ac:dyDescent="0.2">
      <c r="A378">
        <v>226903413777</v>
      </c>
      <c r="B378" t="s">
        <v>1490</v>
      </c>
      <c r="C378" t="s">
        <v>1491</v>
      </c>
      <c r="D378">
        <v>1.99</v>
      </c>
      <c r="F378" t="str">
        <f t="shared" si="25"/>
        <v>No</v>
      </c>
      <c r="G378" t="str">
        <f t="shared" si="26"/>
        <v/>
      </c>
      <c r="H378" t="str">
        <f t="shared" si="27"/>
        <v>—</v>
      </c>
      <c r="I378" t="str">
        <f t="shared" si="28"/>
        <v>Below thresholds</v>
      </c>
      <c r="J378" t="str">
        <f t="shared" si="29"/>
        <v/>
      </c>
    </row>
    <row r="379" spans="1:10" x14ac:dyDescent="0.2">
      <c r="A379">
        <v>226903447620</v>
      </c>
      <c r="B379" t="s">
        <v>1492</v>
      </c>
      <c r="C379" t="s">
        <v>1493</v>
      </c>
      <c r="D379">
        <v>1.99</v>
      </c>
      <c r="F379" t="str">
        <f t="shared" si="25"/>
        <v>No</v>
      </c>
      <c r="G379" t="str">
        <f t="shared" si="26"/>
        <v/>
      </c>
      <c r="H379" t="str">
        <f t="shared" si="27"/>
        <v>—</v>
      </c>
      <c r="I379" t="str">
        <f t="shared" si="28"/>
        <v>Below thresholds</v>
      </c>
      <c r="J379" t="str">
        <f t="shared" si="29"/>
        <v/>
      </c>
    </row>
    <row r="380" spans="1:10" x14ac:dyDescent="0.2">
      <c r="A380">
        <v>226903447621</v>
      </c>
      <c r="B380" t="s">
        <v>1494</v>
      </c>
      <c r="C380" t="s">
        <v>1495</v>
      </c>
      <c r="D380">
        <v>1.99</v>
      </c>
      <c r="F380" t="str">
        <f t="shared" si="25"/>
        <v>No</v>
      </c>
      <c r="G380" t="str">
        <f t="shared" si="26"/>
        <v/>
      </c>
      <c r="H380" t="str">
        <f t="shared" si="27"/>
        <v>—</v>
      </c>
      <c r="I380" t="str">
        <f t="shared" si="28"/>
        <v>Below thresholds</v>
      </c>
      <c r="J380" t="str">
        <f t="shared" si="29"/>
        <v/>
      </c>
    </row>
    <row r="381" spans="1:10" x14ac:dyDescent="0.2">
      <c r="A381">
        <v>226903447622</v>
      </c>
      <c r="B381" t="s">
        <v>1496</v>
      </c>
      <c r="C381" t="s">
        <v>1497</v>
      </c>
      <c r="D381">
        <v>1.99</v>
      </c>
      <c r="F381" t="str">
        <f t="shared" si="25"/>
        <v>No</v>
      </c>
      <c r="G381" t="str">
        <f t="shared" si="26"/>
        <v/>
      </c>
      <c r="H381" t="str">
        <f t="shared" si="27"/>
        <v>—</v>
      </c>
      <c r="I381" t="str">
        <f t="shared" si="28"/>
        <v>Below thresholds</v>
      </c>
      <c r="J381" t="str">
        <f t="shared" si="29"/>
        <v/>
      </c>
    </row>
    <row r="382" spans="1:10" x14ac:dyDescent="0.2">
      <c r="A382">
        <v>226903447623</v>
      </c>
      <c r="B382" t="s">
        <v>1498</v>
      </c>
      <c r="C382" t="s">
        <v>1499</v>
      </c>
      <c r="D382">
        <v>1.99</v>
      </c>
      <c r="F382" t="str">
        <f t="shared" si="25"/>
        <v>No</v>
      </c>
      <c r="G382" t="str">
        <f t="shared" si="26"/>
        <v/>
      </c>
      <c r="H382" t="str">
        <f t="shared" si="27"/>
        <v>—</v>
      </c>
      <c r="I382" t="str">
        <f t="shared" si="28"/>
        <v>Below thresholds</v>
      </c>
      <c r="J382" t="str">
        <f t="shared" si="29"/>
        <v/>
      </c>
    </row>
    <row r="383" spans="1:10" x14ac:dyDescent="0.2">
      <c r="A383">
        <v>226903447625</v>
      </c>
      <c r="B383" t="s">
        <v>1500</v>
      </c>
      <c r="C383" t="s">
        <v>1501</v>
      </c>
      <c r="D383">
        <v>1.99</v>
      </c>
      <c r="F383" t="str">
        <f t="shared" si="25"/>
        <v>No</v>
      </c>
      <c r="G383" t="str">
        <f t="shared" si="26"/>
        <v/>
      </c>
      <c r="H383" t="str">
        <f t="shared" si="27"/>
        <v>—</v>
      </c>
      <c r="I383" t="str">
        <f t="shared" si="28"/>
        <v>Below thresholds</v>
      </c>
      <c r="J383" t="str">
        <f t="shared" si="29"/>
        <v/>
      </c>
    </row>
    <row r="384" spans="1:10" x14ac:dyDescent="0.2">
      <c r="A384">
        <v>226903447626</v>
      </c>
      <c r="B384" t="s">
        <v>1502</v>
      </c>
      <c r="C384" t="s">
        <v>1503</v>
      </c>
      <c r="D384">
        <v>1.99</v>
      </c>
      <c r="F384" t="str">
        <f t="shared" si="25"/>
        <v>No</v>
      </c>
      <c r="G384" t="str">
        <f t="shared" si="26"/>
        <v/>
      </c>
      <c r="H384" t="str">
        <f t="shared" si="27"/>
        <v>—</v>
      </c>
      <c r="I384" t="str">
        <f t="shared" si="28"/>
        <v>Below thresholds</v>
      </c>
      <c r="J384" t="str">
        <f t="shared" si="29"/>
        <v/>
      </c>
    </row>
    <row r="385" spans="1:10" x14ac:dyDescent="0.2">
      <c r="A385">
        <v>226903447627</v>
      </c>
      <c r="B385" t="s">
        <v>1504</v>
      </c>
      <c r="C385" t="s">
        <v>1505</v>
      </c>
      <c r="D385">
        <v>1.99</v>
      </c>
      <c r="F385" t="str">
        <f t="shared" si="25"/>
        <v>No</v>
      </c>
      <c r="G385" t="str">
        <f t="shared" si="26"/>
        <v/>
      </c>
      <c r="H385" t="str">
        <f t="shared" si="27"/>
        <v>—</v>
      </c>
      <c r="I385" t="str">
        <f t="shared" si="28"/>
        <v>Below thresholds</v>
      </c>
      <c r="J385" t="str">
        <f t="shared" si="29"/>
        <v/>
      </c>
    </row>
    <row r="386" spans="1:10" x14ac:dyDescent="0.2">
      <c r="A386">
        <v>226903447630</v>
      </c>
      <c r="B386" t="s">
        <v>1506</v>
      </c>
      <c r="C386" t="s">
        <v>1507</v>
      </c>
      <c r="D386">
        <v>1.99</v>
      </c>
      <c r="F386" t="str">
        <f t="shared" si="25"/>
        <v>No</v>
      </c>
      <c r="G386" t="str">
        <f t="shared" si="26"/>
        <v/>
      </c>
      <c r="H386" t="str">
        <f t="shared" si="27"/>
        <v>—</v>
      </c>
      <c r="I386" t="str">
        <f t="shared" si="28"/>
        <v>Below thresholds</v>
      </c>
      <c r="J386" t="str">
        <f t="shared" si="29"/>
        <v/>
      </c>
    </row>
    <row r="387" spans="1:10" x14ac:dyDescent="0.2">
      <c r="A387">
        <v>226903447633</v>
      </c>
      <c r="B387" t="s">
        <v>1508</v>
      </c>
      <c r="C387" t="s">
        <v>1509</v>
      </c>
      <c r="D387">
        <v>1.99</v>
      </c>
      <c r="F387" t="str">
        <f t="shared" si="25"/>
        <v>No</v>
      </c>
      <c r="G387" t="str">
        <f t="shared" si="26"/>
        <v/>
      </c>
      <c r="H387" t="str">
        <f t="shared" si="27"/>
        <v>—</v>
      </c>
      <c r="I387" t="str">
        <f t="shared" si="28"/>
        <v>Below thresholds</v>
      </c>
      <c r="J387" t="str">
        <f t="shared" si="29"/>
        <v/>
      </c>
    </row>
    <row r="388" spans="1:10" x14ac:dyDescent="0.2">
      <c r="A388">
        <v>226903447636</v>
      </c>
      <c r="B388" t="s">
        <v>1510</v>
      </c>
      <c r="C388" t="s">
        <v>1511</v>
      </c>
      <c r="D388">
        <v>1.99</v>
      </c>
      <c r="F388" t="str">
        <f t="shared" si="25"/>
        <v>No</v>
      </c>
      <c r="G388" t="str">
        <f t="shared" si="26"/>
        <v/>
      </c>
      <c r="H388" t="str">
        <f t="shared" si="27"/>
        <v>—</v>
      </c>
      <c r="I388" t="str">
        <f t="shared" si="28"/>
        <v>Below thresholds</v>
      </c>
      <c r="J388" t="str">
        <f t="shared" si="29"/>
        <v/>
      </c>
    </row>
    <row r="389" spans="1:10" x14ac:dyDescent="0.2">
      <c r="A389">
        <v>226903447639</v>
      </c>
      <c r="B389" t="s">
        <v>1454</v>
      </c>
      <c r="C389" t="s">
        <v>1512</v>
      </c>
      <c r="D389">
        <v>1.99</v>
      </c>
      <c r="F389" t="str">
        <f t="shared" ref="F389:F452" si="30">IF($B389="","",IF(ISNUMBER(SEARCH("PSA",$B389)),"Yes","No"))</f>
        <v>No</v>
      </c>
      <c r="G389" t="str">
        <f t="shared" ref="G389:G452" si="31">IF($B389="","",IF(ISNUMBER(SEARCH("PSA 10",$B389)),10,IF(ISNUMBER(SEARCH("PSA 9.5",$B389)),9.5,IF(ISNUMBER(SEARCH("PSA 9",$B389)),9,IF(ISNUMBER(SEARCH("PSA 8",$B389)),8,IF(ISNUMBER(SEARCH("PSA",$B389)),"&lt;9",""))))))</f>
        <v/>
      </c>
      <c r="H389" t="str">
        <f t="shared" ref="H389:H452" si="32">IF($B389="","",IF($D389&gt;=100,"TIER 2",IF(OR(ISNUMBER(SEARCH("PSA 10",$B389)),ISNUMBER(SEARCH("PSA 9.5",$B389)),ISNUMBER(SEARCH("PSA 9",$B389))),"TIER 3",IF(AND($D389&gt;20,N($E389)&gt;=15),"TIER 1","—"))))</f>
        <v>—</v>
      </c>
      <c r="I389" t="str">
        <f t="shared" ref="I389:I452" si="33">IF($B389="","",IF($D389&gt;=100,"Premium $100+ (auto)",IF(OR(ISNUMBER(SEARCH("PSA 10",$B389)),ISNUMBER(SEARCH("PSA 9.5",$B389)),ISNUMBER(SEARCH("PSA 9",$B389))),"Graded PSA 9+ (auto)",IF(AND($D389&gt;20,N($E389)&gt;=15),"Hot: $20+ &amp; "&amp;$E389&amp;"/day",IF($D389&gt;20,"$20+ — needs velocity check","Below thresholds")))))</f>
        <v>Below thresholds</v>
      </c>
      <c r="J389" t="str">
        <f t="shared" ref="J389:J452" si="34">IF($B389="","",IF(AND($D389&gt;20,$D389&lt;100,NOT(OR(ISNUMBER(SEARCH("PSA 10",$B389)),ISNUMBER(SEARCH("PSA 9.5",$B389)),ISNUMBER(SEARCH("PSA 9",$B389)))),$E389=""),"YES — pull CardHedger",""))</f>
        <v/>
      </c>
    </row>
    <row r="390" spans="1:10" x14ac:dyDescent="0.2">
      <c r="A390">
        <v>226903447641</v>
      </c>
      <c r="B390" t="s">
        <v>1513</v>
      </c>
      <c r="C390" t="s">
        <v>1514</v>
      </c>
      <c r="D390">
        <v>1.99</v>
      </c>
      <c r="F390" t="str">
        <f t="shared" si="30"/>
        <v>No</v>
      </c>
      <c r="G390" t="str">
        <f t="shared" si="31"/>
        <v/>
      </c>
      <c r="H390" t="str">
        <f t="shared" si="32"/>
        <v>—</v>
      </c>
      <c r="I390" t="str">
        <f t="shared" si="33"/>
        <v>Below thresholds</v>
      </c>
      <c r="J390" t="str">
        <f t="shared" si="34"/>
        <v/>
      </c>
    </row>
    <row r="391" spans="1:10" x14ac:dyDescent="0.2">
      <c r="A391">
        <v>226903447642</v>
      </c>
      <c r="B391" t="s">
        <v>1515</v>
      </c>
      <c r="C391" t="s">
        <v>1516</v>
      </c>
      <c r="D391">
        <v>1.99</v>
      </c>
      <c r="F391" t="str">
        <f t="shared" si="30"/>
        <v>No</v>
      </c>
      <c r="G391" t="str">
        <f t="shared" si="31"/>
        <v/>
      </c>
      <c r="H391" t="str">
        <f t="shared" si="32"/>
        <v>—</v>
      </c>
      <c r="I391" t="str">
        <f t="shared" si="33"/>
        <v>Below thresholds</v>
      </c>
      <c r="J391" t="str">
        <f t="shared" si="34"/>
        <v/>
      </c>
    </row>
    <row r="392" spans="1:10" x14ac:dyDescent="0.2">
      <c r="A392">
        <v>226903447644</v>
      </c>
      <c r="B392" t="s">
        <v>1517</v>
      </c>
      <c r="C392" t="s">
        <v>1518</v>
      </c>
      <c r="D392">
        <v>1.99</v>
      </c>
      <c r="F392" t="str">
        <f t="shared" si="30"/>
        <v>No</v>
      </c>
      <c r="G392" t="str">
        <f t="shared" si="31"/>
        <v/>
      </c>
      <c r="H392" t="str">
        <f t="shared" si="32"/>
        <v>—</v>
      </c>
      <c r="I392" t="str">
        <f t="shared" si="33"/>
        <v>Below thresholds</v>
      </c>
      <c r="J392" t="str">
        <f t="shared" si="34"/>
        <v/>
      </c>
    </row>
    <row r="393" spans="1:10" x14ac:dyDescent="0.2">
      <c r="A393">
        <v>226903447645</v>
      </c>
      <c r="B393" t="s">
        <v>1519</v>
      </c>
      <c r="C393" t="s">
        <v>1520</v>
      </c>
      <c r="D393">
        <v>1.99</v>
      </c>
      <c r="F393" t="str">
        <f t="shared" si="30"/>
        <v>No</v>
      </c>
      <c r="G393" t="str">
        <f t="shared" si="31"/>
        <v/>
      </c>
      <c r="H393" t="str">
        <f t="shared" si="32"/>
        <v>—</v>
      </c>
      <c r="I393" t="str">
        <f t="shared" si="33"/>
        <v>Below thresholds</v>
      </c>
      <c r="J393" t="str">
        <f t="shared" si="34"/>
        <v/>
      </c>
    </row>
    <row r="394" spans="1:10" x14ac:dyDescent="0.2">
      <c r="A394">
        <v>226903447646</v>
      </c>
      <c r="B394" t="s">
        <v>1521</v>
      </c>
      <c r="C394" t="s">
        <v>1522</v>
      </c>
      <c r="D394">
        <v>1.99</v>
      </c>
      <c r="F394" t="str">
        <f t="shared" si="30"/>
        <v>No</v>
      </c>
      <c r="G394" t="str">
        <f t="shared" si="31"/>
        <v/>
      </c>
      <c r="H394" t="str">
        <f t="shared" si="32"/>
        <v>—</v>
      </c>
      <c r="I394" t="str">
        <f t="shared" si="33"/>
        <v>Below thresholds</v>
      </c>
      <c r="J394" t="str">
        <f t="shared" si="34"/>
        <v/>
      </c>
    </row>
    <row r="395" spans="1:10" x14ac:dyDescent="0.2">
      <c r="A395">
        <v>226903447647</v>
      </c>
      <c r="B395" t="s">
        <v>1523</v>
      </c>
      <c r="C395" t="s">
        <v>1524</v>
      </c>
      <c r="D395">
        <v>1.99</v>
      </c>
      <c r="F395" t="str">
        <f t="shared" si="30"/>
        <v>No</v>
      </c>
      <c r="G395" t="str">
        <f t="shared" si="31"/>
        <v/>
      </c>
      <c r="H395" t="str">
        <f t="shared" si="32"/>
        <v>—</v>
      </c>
      <c r="I395" t="str">
        <f t="shared" si="33"/>
        <v>Below thresholds</v>
      </c>
      <c r="J395" t="str">
        <f t="shared" si="34"/>
        <v/>
      </c>
    </row>
    <row r="396" spans="1:10" x14ac:dyDescent="0.2">
      <c r="A396">
        <v>226903447648</v>
      </c>
      <c r="B396" t="s">
        <v>1525</v>
      </c>
      <c r="C396" t="s">
        <v>1526</v>
      </c>
      <c r="D396">
        <v>2.99</v>
      </c>
      <c r="F396" t="str">
        <f t="shared" si="30"/>
        <v>No</v>
      </c>
      <c r="G396" t="str">
        <f t="shared" si="31"/>
        <v/>
      </c>
      <c r="H396" t="str">
        <f t="shared" si="32"/>
        <v>—</v>
      </c>
      <c r="I396" t="str">
        <f t="shared" si="33"/>
        <v>Below thresholds</v>
      </c>
      <c r="J396" t="str">
        <f t="shared" si="34"/>
        <v/>
      </c>
    </row>
    <row r="397" spans="1:10" x14ac:dyDescent="0.2">
      <c r="A397">
        <v>226903447649</v>
      </c>
      <c r="B397" t="s">
        <v>1527</v>
      </c>
      <c r="C397" t="s">
        <v>1528</v>
      </c>
      <c r="D397">
        <v>1.99</v>
      </c>
      <c r="F397" t="str">
        <f t="shared" si="30"/>
        <v>No</v>
      </c>
      <c r="G397" t="str">
        <f t="shared" si="31"/>
        <v/>
      </c>
      <c r="H397" t="str">
        <f t="shared" si="32"/>
        <v>—</v>
      </c>
      <c r="I397" t="str">
        <f t="shared" si="33"/>
        <v>Below thresholds</v>
      </c>
      <c r="J397" t="str">
        <f t="shared" si="34"/>
        <v/>
      </c>
    </row>
    <row r="398" spans="1:10" x14ac:dyDescent="0.2">
      <c r="A398">
        <v>226903447650</v>
      </c>
      <c r="B398" t="s">
        <v>1529</v>
      </c>
      <c r="C398" t="s">
        <v>1530</v>
      </c>
      <c r="D398">
        <v>1.99</v>
      </c>
      <c r="F398" t="str">
        <f t="shared" si="30"/>
        <v>No</v>
      </c>
      <c r="G398" t="str">
        <f t="shared" si="31"/>
        <v/>
      </c>
      <c r="H398" t="str">
        <f t="shared" si="32"/>
        <v>—</v>
      </c>
      <c r="I398" t="str">
        <f t="shared" si="33"/>
        <v>Below thresholds</v>
      </c>
      <c r="J398" t="str">
        <f t="shared" si="34"/>
        <v/>
      </c>
    </row>
    <row r="399" spans="1:10" x14ac:dyDescent="0.2">
      <c r="A399">
        <v>226903447654</v>
      </c>
      <c r="B399" t="s">
        <v>1531</v>
      </c>
      <c r="C399" t="s">
        <v>1532</v>
      </c>
      <c r="D399">
        <v>1.99</v>
      </c>
      <c r="F399" t="str">
        <f t="shared" si="30"/>
        <v>No</v>
      </c>
      <c r="G399" t="str">
        <f t="shared" si="31"/>
        <v/>
      </c>
      <c r="H399" t="str">
        <f t="shared" si="32"/>
        <v>—</v>
      </c>
      <c r="I399" t="str">
        <f t="shared" si="33"/>
        <v>Below thresholds</v>
      </c>
      <c r="J399" t="str">
        <f t="shared" si="34"/>
        <v/>
      </c>
    </row>
    <row r="400" spans="1:10" x14ac:dyDescent="0.2">
      <c r="A400">
        <v>226903447655</v>
      </c>
      <c r="B400" t="s">
        <v>1533</v>
      </c>
      <c r="C400" t="s">
        <v>1534</v>
      </c>
      <c r="D400">
        <v>1.99</v>
      </c>
      <c r="F400" t="str">
        <f t="shared" si="30"/>
        <v>No</v>
      </c>
      <c r="G400" t="str">
        <f t="shared" si="31"/>
        <v/>
      </c>
      <c r="H400" t="str">
        <f t="shared" si="32"/>
        <v>—</v>
      </c>
      <c r="I400" t="str">
        <f t="shared" si="33"/>
        <v>Below thresholds</v>
      </c>
      <c r="J400" t="str">
        <f t="shared" si="34"/>
        <v/>
      </c>
    </row>
    <row r="401" spans="1:10" x14ac:dyDescent="0.2">
      <c r="A401">
        <v>226903447656</v>
      </c>
      <c r="B401" t="s">
        <v>1535</v>
      </c>
      <c r="C401" t="s">
        <v>1536</v>
      </c>
      <c r="D401">
        <v>1.99</v>
      </c>
      <c r="F401" t="str">
        <f t="shared" si="30"/>
        <v>No</v>
      </c>
      <c r="G401" t="str">
        <f t="shared" si="31"/>
        <v/>
      </c>
      <c r="H401" t="str">
        <f t="shared" si="32"/>
        <v>—</v>
      </c>
      <c r="I401" t="str">
        <f t="shared" si="33"/>
        <v>Below thresholds</v>
      </c>
      <c r="J401" t="str">
        <f t="shared" si="34"/>
        <v/>
      </c>
    </row>
    <row r="402" spans="1:10" x14ac:dyDescent="0.2">
      <c r="A402">
        <v>226903447657</v>
      </c>
      <c r="B402" t="s">
        <v>1537</v>
      </c>
      <c r="C402" t="s">
        <v>1538</v>
      </c>
      <c r="D402">
        <v>3.49</v>
      </c>
      <c r="F402" t="str">
        <f t="shared" si="30"/>
        <v>No</v>
      </c>
      <c r="G402" t="str">
        <f t="shared" si="31"/>
        <v/>
      </c>
      <c r="H402" t="str">
        <f t="shared" si="32"/>
        <v>—</v>
      </c>
      <c r="I402" t="str">
        <f t="shared" si="33"/>
        <v>Below thresholds</v>
      </c>
      <c r="J402" t="str">
        <f t="shared" si="34"/>
        <v/>
      </c>
    </row>
    <row r="403" spans="1:10" x14ac:dyDescent="0.2">
      <c r="A403">
        <v>226903447658</v>
      </c>
      <c r="B403" t="s">
        <v>1539</v>
      </c>
      <c r="C403" t="s">
        <v>1540</v>
      </c>
      <c r="D403">
        <v>1.99</v>
      </c>
      <c r="F403" t="str">
        <f t="shared" si="30"/>
        <v>No</v>
      </c>
      <c r="G403" t="str">
        <f t="shared" si="31"/>
        <v/>
      </c>
      <c r="H403" t="str">
        <f t="shared" si="32"/>
        <v>—</v>
      </c>
      <c r="I403" t="str">
        <f t="shared" si="33"/>
        <v>Below thresholds</v>
      </c>
      <c r="J403" t="str">
        <f t="shared" si="34"/>
        <v/>
      </c>
    </row>
    <row r="404" spans="1:10" x14ac:dyDescent="0.2">
      <c r="A404">
        <v>226903447660</v>
      </c>
      <c r="B404" t="s">
        <v>1541</v>
      </c>
      <c r="C404" t="s">
        <v>1542</v>
      </c>
      <c r="D404">
        <v>1.99</v>
      </c>
      <c r="F404" t="str">
        <f t="shared" si="30"/>
        <v>No</v>
      </c>
      <c r="G404" t="str">
        <f t="shared" si="31"/>
        <v/>
      </c>
      <c r="H404" t="str">
        <f t="shared" si="32"/>
        <v>—</v>
      </c>
      <c r="I404" t="str">
        <f t="shared" si="33"/>
        <v>Below thresholds</v>
      </c>
      <c r="J404" t="str">
        <f t="shared" si="34"/>
        <v/>
      </c>
    </row>
    <row r="405" spans="1:10" x14ac:dyDescent="0.2">
      <c r="A405">
        <v>226903447662</v>
      </c>
      <c r="B405" t="s">
        <v>1543</v>
      </c>
      <c r="C405" t="s">
        <v>1544</v>
      </c>
      <c r="D405">
        <v>1.99</v>
      </c>
      <c r="F405" t="str">
        <f t="shared" si="30"/>
        <v>No</v>
      </c>
      <c r="G405" t="str">
        <f t="shared" si="31"/>
        <v/>
      </c>
      <c r="H405" t="str">
        <f t="shared" si="32"/>
        <v>—</v>
      </c>
      <c r="I405" t="str">
        <f t="shared" si="33"/>
        <v>Below thresholds</v>
      </c>
      <c r="J405" t="str">
        <f t="shared" si="34"/>
        <v/>
      </c>
    </row>
    <row r="406" spans="1:10" x14ac:dyDescent="0.2">
      <c r="A406">
        <v>226903798097</v>
      </c>
      <c r="B406" t="s">
        <v>1545</v>
      </c>
      <c r="C406" t="s">
        <v>1546</v>
      </c>
      <c r="D406">
        <v>1.99</v>
      </c>
      <c r="F406" t="str">
        <f t="shared" si="30"/>
        <v>No</v>
      </c>
      <c r="G406" t="str">
        <f t="shared" si="31"/>
        <v/>
      </c>
      <c r="H406" t="str">
        <f t="shared" si="32"/>
        <v>—</v>
      </c>
      <c r="I406" t="str">
        <f t="shared" si="33"/>
        <v>Below thresholds</v>
      </c>
      <c r="J406" t="str">
        <f t="shared" si="34"/>
        <v/>
      </c>
    </row>
    <row r="407" spans="1:10" x14ac:dyDescent="0.2">
      <c r="A407">
        <v>226903798099</v>
      </c>
      <c r="B407" t="s">
        <v>1547</v>
      </c>
      <c r="C407" t="s">
        <v>1548</v>
      </c>
      <c r="D407">
        <v>1.99</v>
      </c>
      <c r="F407" t="str">
        <f t="shared" si="30"/>
        <v>No</v>
      </c>
      <c r="G407" t="str">
        <f t="shared" si="31"/>
        <v/>
      </c>
      <c r="H407" t="str">
        <f t="shared" si="32"/>
        <v>—</v>
      </c>
      <c r="I407" t="str">
        <f t="shared" si="33"/>
        <v>Below thresholds</v>
      </c>
      <c r="J407" t="str">
        <f t="shared" si="34"/>
        <v/>
      </c>
    </row>
    <row r="408" spans="1:10" x14ac:dyDescent="0.2">
      <c r="A408">
        <v>226903798100</v>
      </c>
      <c r="B408" t="s">
        <v>1549</v>
      </c>
      <c r="C408" t="s">
        <v>1550</v>
      </c>
      <c r="D408">
        <v>2.4900000000000002</v>
      </c>
      <c r="F408" t="str">
        <f t="shared" si="30"/>
        <v>No</v>
      </c>
      <c r="G408" t="str">
        <f t="shared" si="31"/>
        <v/>
      </c>
      <c r="H408" t="str">
        <f t="shared" si="32"/>
        <v>—</v>
      </c>
      <c r="I408" t="str">
        <f t="shared" si="33"/>
        <v>Below thresholds</v>
      </c>
      <c r="J408" t="str">
        <f t="shared" si="34"/>
        <v/>
      </c>
    </row>
    <row r="409" spans="1:10" x14ac:dyDescent="0.2">
      <c r="A409">
        <v>226903798101</v>
      </c>
      <c r="B409" t="s">
        <v>1551</v>
      </c>
      <c r="C409" t="s">
        <v>1552</v>
      </c>
      <c r="D409">
        <v>2.25</v>
      </c>
      <c r="F409" t="str">
        <f t="shared" si="30"/>
        <v>No</v>
      </c>
      <c r="G409" t="str">
        <f t="shared" si="31"/>
        <v/>
      </c>
      <c r="H409" t="str">
        <f t="shared" si="32"/>
        <v>—</v>
      </c>
      <c r="I409" t="str">
        <f t="shared" si="33"/>
        <v>Below thresholds</v>
      </c>
      <c r="J409" t="str">
        <f t="shared" si="34"/>
        <v/>
      </c>
    </row>
    <row r="410" spans="1:10" x14ac:dyDescent="0.2">
      <c r="A410">
        <v>226903798102</v>
      </c>
      <c r="B410" t="s">
        <v>1553</v>
      </c>
      <c r="C410" t="s">
        <v>1554</v>
      </c>
      <c r="D410">
        <v>1.99</v>
      </c>
      <c r="F410" t="str">
        <f t="shared" si="30"/>
        <v>No</v>
      </c>
      <c r="G410" t="str">
        <f t="shared" si="31"/>
        <v/>
      </c>
      <c r="H410" t="str">
        <f t="shared" si="32"/>
        <v>—</v>
      </c>
      <c r="I410" t="str">
        <f t="shared" si="33"/>
        <v>Below thresholds</v>
      </c>
      <c r="J410" t="str">
        <f t="shared" si="34"/>
        <v/>
      </c>
    </row>
    <row r="411" spans="1:10" x14ac:dyDescent="0.2">
      <c r="A411">
        <v>226903798105</v>
      </c>
      <c r="B411" t="s">
        <v>1555</v>
      </c>
      <c r="C411" t="s">
        <v>1556</v>
      </c>
      <c r="D411">
        <v>1.99</v>
      </c>
      <c r="F411" t="str">
        <f t="shared" si="30"/>
        <v>No</v>
      </c>
      <c r="G411" t="str">
        <f t="shared" si="31"/>
        <v/>
      </c>
      <c r="H411" t="str">
        <f t="shared" si="32"/>
        <v>—</v>
      </c>
      <c r="I411" t="str">
        <f t="shared" si="33"/>
        <v>Below thresholds</v>
      </c>
      <c r="J411" t="str">
        <f t="shared" si="34"/>
        <v/>
      </c>
    </row>
    <row r="412" spans="1:10" x14ac:dyDescent="0.2">
      <c r="A412">
        <v>226903798107</v>
      </c>
      <c r="B412" t="s">
        <v>1557</v>
      </c>
      <c r="C412" t="s">
        <v>1558</v>
      </c>
      <c r="D412">
        <v>2.99</v>
      </c>
      <c r="F412" t="str">
        <f t="shared" si="30"/>
        <v>No</v>
      </c>
      <c r="G412" t="str">
        <f t="shared" si="31"/>
        <v/>
      </c>
      <c r="H412" t="str">
        <f t="shared" si="32"/>
        <v>—</v>
      </c>
      <c r="I412" t="str">
        <f t="shared" si="33"/>
        <v>Below thresholds</v>
      </c>
      <c r="J412" t="str">
        <f t="shared" si="34"/>
        <v/>
      </c>
    </row>
    <row r="413" spans="1:10" x14ac:dyDescent="0.2">
      <c r="A413">
        <v>226903798108</v>
      </c>
      <c r="B413" t="s">
        <v>1545</v>
      </c>
      <c r="C413" t="s">
        <v>1559</v>
      </c>
      <c r="D413">
        <v>1.99</v>
      </c>
      <c r="F413" t="str">
        <f t="shared" si="30"/>
        <v>No</v>
      </c>
      <c r="G413" t="str">
        <f t="shared" si="31"/>
        <v/>
      </c>
      <c r="H413" t="str">
        <f t="shared" si="32"/>
        <v>—</v>
      </c>
      <c r="I413" t="str">
        <f t="shared" si="33"/>
        <v>Below thresholds</v>
      </c>
      <c r="J413" t="str">
        <f t="shared" si="34"/>
        <v/>
      </c>
    </row>
    <row r="414" spans="1:10" x14ac:dyDescent="0.2">
      <c r="A414">
        <v>226903798110</v>
      </c>
      <c r="B414" t="s">
        <v>1560</v>
      </c>
      <c r="C414" t="s">
        <v>1561</v>
      </c>
      <c r="D414">
        <v>1.99</v>
      </c>
      <c r="F414" t="str">
        <f t="shared" si="30"/>
        <v>No</v>
      </c>
      <c r="G414" t="str">
        <f t="shared" si="31"/>
        <v/>
      </c>
      <c r="H414" t="str">
        <f t="shared" si="32"/>
        <v>—</v>
      </c>
      <c r="I414" t="str">
        <f t="shared" si="33"/>
        <v>Below thresholds</v>
      </c>
      <c r="J414" t="str">
        <f t="shared" si="34"/>
        <v/>
      </c>
    </row>
    <row r="415" spans="1:10" x14ac:dyDescent="0.2">
      <c r="A415">
        <v>226903798113</v>
      </c>
      <c r="B415" t="s">
        <v>1549</v>
      </c>
      <c r="C415" t="s">
        <v>1562</v>
      </c>
      <c r="D415">
        <v>1.99</v>
      </c>
      <c r="F415" t="str">
        <f t="shared" si="30"/>
        <v>No</v>
      </c>
      <c r="G415" t="str">
        <f t="shared" si="31"/>
        <v/>
      </c>
      <c r="H415" t="str">
        <f t="shared" si="32"/>
        <v>—</v>
      </c>
      <c r="I415" t="str">
        <f t="shared" si="33"/>
        <v>Below thresholds</v>
      </c>
      <c r="J415" t="str">
        <f t="shared" si="34"/>
        <v/>
      </c>
    </row>
    <row r="416" spans="1:10" x14ac:dyDescent="0.2">
      <c r="A416">
        <v>226903798114</v>
      </c>
      <c r="B416" t="s">
        <v>1563</v>
      </c>
      <c r="C416" t="s">
        <v>1564</v>
      </c>
      <c r="D416">
        <v>1.99</v>
      </c>
      <c r="F416" t="str">
        <f t="shared" si="30"/>
        <v>No</v>
      </c>
      <c r="G416" t="str">
        <f t="shared" si="31"/>
        <v/>
      </c>
      <c r="H416" t="str">
        <f t="shared" si="32"/>
        <v>—</v>
      </c>
      <c r="I416" t="str">
        <f t="shared" si="33"/>
        <v>Below thresholds</v>
      </c>
      <c r="J416" t="str">
        <f t="shared" si="34"/>
        <v/>
      </c>
    </row>
    <row r="417" spans="1:10" x14ac:dyDescent="0.2">
      <c r="A417">
        <v>226903798115</v>
      </c>
      <c r="B417" t="s">
        <v>1565</v>
      </c>
      <c r="C417" t="s">
        <v>1566</v>
      </c>
      <c r="D417">
        <v>1.99</v>
      </c>
      <c r="F417" t="str">
        <f t="shared" si="30"/>
        <v>No</v>
      </c>
      <c r="G417" t="str">
        <f t="shared" si="31"/>
        <v/>
      </c>
      <c r="H417" t="str">
        <f t="shared" si="32"/>
        <v>—</v>
      </c>
      <c r="I417" t="str">
        <f t="shared" si="33"/>
        <v>Below thresholds</v>
      </c>
      <c r="J417" t="str">
        <f t="shared" si="34"/>
        <v/>
      </c>
    </row>
    <row r="418" spans="1:10" x14ac:dyDescent="0.2">
      <c r="A418">
        <v>226903798116</v>
      </c>
      <c r="B418" t="s">
        <v>1567</v>
      </c>
      <c r="C418" t="s">
        <v>1568</v>
      </c>
      <c r="D418">
        <v>1.99</v>
      </c>
      <c r="F418" t="str">
        <f t="shared" si="30"/>
        <v>No</v>
      </c>
      <c r="G418" t="str">
        <f t="shared" si="31"/>
        <v/>
      </c>
      <c r="H418" t="str">
        <f t="shared" si="32"/>
        <v>—</v>
      </c>
      <c r="I418" t="str">
        <f t="shared" si="33"/>
        <v>Below thresholds</v>
      </c>
      <c r="J418" t="str">
        <f t="shared" si="34"/>
        <v/>
      </c>
    </row>
    <row r="419" spans="1:10" x14ac:dyDescent="0.2">
      <c r="A419">
        <v>226903798117</v>
      </c>
      <c r="B419" t="s">
        <v>1569</v>
      </c>
      <c r="C419" t="s">
        <v>1570</v>
      </c>
      <c r="D419">
        <v>2.4900000000000002</v>
      </c>
      <c r="F419" t="str">
        <f t="shared" si="30"/>
        <v>No</v>
      </c>
      <c r="G419" t="str">
        <f t="shared" si="31"/>
        <v/>
      </c>
      <c r="H419" t="str">
        <f t="shared" si="32"/>
        <v>—</v>
      </c>
      <c r="I419" t="str">
        <f t="shared" si="33"/>
        <v>Below thresholds</v>
      </c>
      <c r="J419" t="str">
        <f t="shared" si="34"/>
        <v/>
      </c>
    </row>
    <row r="420" spans="1:10" x14ac:dyDescent="0.2">
      <c r="A420">
        <v>226903798118</v>
      </c>
      <c r="B420" t="s">
        <v>1571</v>
      </c>
      <c r="C420" t="s">
        <v>1572</v>
      </c>
      <c r="D420">
        <v>1.99</v>
      </c>
      <c r="F420" t="str">
        <f t="shared" si="30"/>
        <v>No</v>
      </c>
      <c r="G420" t="str">
        <f t="shared" si="31"/>
        <v/>
      </c>
      <c r="H420" t="str">
        <f t="shared" si="32"/>
        <v>—</v>
      </c>
      <c r="I420" t="str">
        <f t="shared" si="33"/>
        <v>Below thresholds</v>
      </c>
      <c r="J420" t="str">
        <f t="shared" si="34"/>
        <v/>
      </c>
    </row>
    <row r="421" spans="1:10" x14ac:dyDescent="0.2">
      <c r="A421">
        <v>226903798119</v>
      </c>
      <c r="B421" t="s">
        <v>1573</v>
      </c>
      <c r="C421" t="s">
        <v>1574</v>
      </c>
      <c r="D421">
        <v>1.99</v>
      </c>
      <c r="F421" t="str">
        <f t="shared" si="30"/>
        <v>No</v>
      </c>
      <c r="G421" t="str">
        <f t="shared" si="31"/>
        <v/>
      </c>
      <c r="H421" t="str">
        <f t="shared" si="32"/>
        <v>—</v>
      </c>
      <c r="I421" t="str">
        <f t="shared" si="33"/>
        <v>Below thresholds</v>
      </c>
      <c r="J421" t="str">
        <f t="shared" si="34"/>
        <v/>
      </c>
    </row>
    <row r="422" spans="1:10" x14ac:dyDescent="0.2">
      <c r="A422">
        <v>226903798120</v>
      </c>
      <c r="B422" t="s">
        <v>1575</v>
      </c>
      <c r="C422" t="s">
        <v>1576</v>
      </c>
      <c r="D422">
        <v>1.99</v>
      </c>
      <c r="F422" t="str">
        <f t="shared" si="30"/>
        <v>No</v>
      </c>
      <c r="G422" t="str">
        <f t="shared" si="31"/>
        <v/>
      </c>
      <c r="H422" t="str">
        <f t="shared" si="32"/>
        <v>—</v>
      </c>
      <c r="I422" t="str">
        <f t="shared" si="33"/>
        <v>Below thresholds</v>
      </c>
      <c r="J422" t="str">
        <f t="shared" si="34"/>
        <v/>
      </c>
    </row>
    <row r="423" spans="1:10" x14ac:dyDescent="0.2">
      <c r="A423">
        <v>226903798121</v>
      </c>
      <c r="B423" t="s">
        <v>1577</v>
      </c>
      <c r="C423" t="s">
        <v>1578</v>
      </c>
      <c r="D423">
        <v>1.99</v>
      </c>
      <c r="F423" t="str">
        <f t="shared" si="30"/>
        <v>No</v>
      </c>
      <c r="G423" t="str">
        <f t="shared" si="31"/>
        <v/>
      </c>
      <c r="H423" t="str">
        <f t="shared" si="32"/>
        <v>—</v>
      </c>
      <c r="I423" t="str">
        <f t="shared" si="33"/>
        <v>Below thresholds</v>
      </c>
      <c r="J423" t="str">
        <f t="shared" si="34"/>
        <v/>
      </c>
    </row>
    <row r="424" spans="1:10" x14ac:dyDescent="0.2">
      <c r="A424">
        <v>226903798122</v>
      </c>
      <c r="B424" t="s">
        <v>1579</v>
      </c>
      <c r="C424" t="s">
        <v>1580</v>
      </c>
      <c r="D424">
        <v>3.99</v>
      </c>
      <c r="F424" t="str">
        <f t="shared" si="30"/>
        <v>No</v>
      </c>
      <c r="G424" t="str">
        <f t="shared" si="31"/>
        <v/>
      </c>
      <c r="H424" t="str">
        <f t="shared" si="32"/>
        <v>—</v>
      </c>
      <c r="I424" t="str">
        <f t="shared" si="33"/>
        <v>Below thresholds</v>
      </c>
      <c r="J424" t="str">
        <f t="shared" si="34"/>
        <v/>
      </c>
    </row>
    <row r="425" spans="1:10" x14ac:dyDescent="0.2">
      <c r="A425">
        <v>226905484808</v>
      </c>
      <c r="B425" t="s">
        <v>1581</v>
      </c>
      <c r="C425" t="s">
        <v>1582</v>
      </c>
      <c r="D425">
        <v>1.99</v>
      </c>
      <c r="F425" t="str">
        <f t="shared" si="30"/>
        <v>No</v>
      </c>
      <c r="G425" t="str">
        <f t="shared" si="31"/>
        <v/>
      </c>
      <c r="H425" t="str">
        <f t="shared" si="32"/>
        <v>—</v>
      </c>
      <c r="I425" t="str">
        <f t="shared" si="33"/>
        <v>Below thresholds</v>
      </c>
      <c r="J425" t="str">
        <f t="shared" si="34"/>
        <v/>
      </c>
    </row>
    <row r="426" spans="1:10" x14ac:dyDescent="0.2">
      <c r="A426">
        <v>226905484810</v>
      </c>
      <c r="B426" t="s">
        <v>1583</v>
      </c>
      <c r="C426" t="s">
        <v>1584</v>
      </c>
      <c r="D426">
        <v>1.99</v>
      </c>
      <c r="F426" t="str">
        <f t="shared" si="30"/>
        <v>No</v>
      </c>
      <c r="G426" t="str">
        <f t="shared" si="31"/>
        <v/>
      </c>
      <c r="H426" t="str">
        <f t="shared" si="32"/>
        <v>—</v>
      </c>
      <c r="I426" t="str">
        <f t="shared" si="33"/>
        <v>Below thresholds</v>
      </c>
      <c r="J426" t="str">
        <f t="shared" si="34"/>
        <v/>
      </c>
    </row>
    <row r="427" spans="1:10" x14ac:dyDescent="0.2">
      <c r="A427">
        <v>226905484811</v>
      </c>
      <c r="B427" t="s">
        <v>1585</v>
      </c>
      <c r="C427" t="s">
        <v>1586</v>
      </c>
      <c r="D427">
        <v>2.4900000000000002</v>
      </c>
      <c r="F427" t="str">
        <f t="shared" si="30"/>
        <v>No</v>
      </c>
      <c r="G427" t="str">
        <f t="shared" si="31"/>
        <v/>
      </c>
      <c r="H427" t="str">
        <f t="shared" si="32"/>
        <v>—</v>
      </c>
      <c r="I427" t="str">
        <f t="shared" si="33"/>
        <v>Below thresholds</v>
      </c>
      <c r="J427" t="str">
        <f t="shared" si="34"/>
        <v/>
      </c>
    </row>
    <row r="428" spans="1:10" x14ac:dyDescent="0.2">
      <c r="A428">
        <v>226905484812</v>
      </c>
      <c r="B428" t="s">
        <v>1587</v>
      </c>
      <c r="C428" t="s">
        <v>1588</v>
      </c>
      <c r="D428">
        <v>1.99</v>
      </c>
      <c r="F428" t="str">
        <f t="shared" si="30"/>
        <v>No</v>
      </c>
      <c r="G428" t="str">
        <f t="shared" si="31"/>
        <v/>
      </c>
      <c r="H428" t="str">
        <f t="shared" si="32"/>
        <v>—</v>
      </c>
      <c r="I428" t="str">
        <f t="shared" si="33"/>
        <v>Below thresholds</v>
      </c>
      <c r="J428" t="str">
        <f t="shared" si="34"/>
        <v/>
      </c>
    </row>
    <row r="429" spans="1:10" x14ac:dyDescent="0.2">
      <c r="A429">
        <v>226905484813</v>
      </c>
      <c r="B429" t="s">
        <v>1589</v>
      </c>
      <c r="C429" t="s">
        <v>1590</v>
      </c>
      <c r="D429">
        <v>1.99</v>
      </c>
      <c r="F429" t="str">
        <f t="shared" si="30"/>
        <v>No</v>
      </c>
      <c r="G429" t="str">
        <f t="shared" si="31"/>
        <v/>
      </c>
      <c r="H429" t="str">
        <f t="shared" si="32"/>
        <v>—</v>
      </c>
      <c r="I429" t="str">
        <f t="shared" si="33"/>
        <v>Below thresholds</v>
      </c>
      <c r="J429" t="str">
        <f t="shared" si="34"/>
        <v/>
      </c>
    </row>
    <row r="430" spans="1:10" x14ac:dyDescent="0.2">
      <c r="A430">
        <v>226905484814</v>
      </c>
      <c r="B430" t="s">
        <v>1591</v>
      </c>
      <c r="C430" t="s">
        <v>1592</v>
      </c>
      <c r="D430">
        <v>1.99</v>
      </c>
      <c r="F430" t="str">
        <f t="shared" si="30"/>
        <v>No</v>
      </c>
      <c r="G430" t="str">
        <f t="shared" si="31"/>
        <v/>
      </c>
      <c r="H430" t="str">
        <f t="shared" si="32"/>
        <v>—</v>
      </c>
      <c r="I430" t="str">
        <f t="shared" si="33"/>
        <v>Below thresholds</v>
      </c>
      <c r="J430" t="str">
        <f t="shared" si="34"/>
        <v/>
      </c>
    </row>
    <row r="431" spans="1:10" x14ac:dyDescent="0.2">
      <c r="A431">
        <v>226905484815</v>
      </c>
      <c r="B431" t="s">
        <v>1593</v>
      </c>
      <c r="C431" t="s">
        <v>1594</v>
      </c>
      <c r="D431">
        <v>1.99</v>
      </c>
      <c r="F431" t="str">
        <f t="shared" si="30"/>
        <v>No</v>
      </c>
      <c r="G431" t="str">
        <f t="shared" si="31"/>
        <v/>
      </c>
      <c r="H431" t="str">
        <f t="shared" si="32"/>
        <v>—</v>
      </c>
      <c r="I431" t="str">
        <f t="shared" si="33"/>
        <v>Below thresholds</v>
      </c>
      <c r="J431" t="str">
        <f t="shared" si="34"/>
        <v/>
      </c>
    </row>
    <row r="432" spans="1:10" x14ac:dyDescent="0.2">
      <c r="A432">
        <v>226905484817</v>
      </c>
      <c r="B432" t="s">
        <v>1595</v>
      </c>
      <c r="C432" t="s">
        <v>1596</v>
      </c>
      <c r="D432">
        <v>1.99</v>
      </c>
      <c r="F432" t="str">
        <f t="shared" si="30"/>
        <v>No</v>
      </c>
      <c r="G432" t="str">
        <f t="shared" si="31"/>
        <v/>
      </c>
      <c r="H432" t="str">
        <f t="shared" si="32"/>
        <v>—</v>
      </c>
      <c r="I432" t="str">
        <f t="shared" si="33"/>
        <v>Below thresholds</v>
      </c>
      <c r="J432" t="str">
        <f t="shared" si="34"/>
        <v/>
      </c>
    </row>
    <row r="433" spans="1:10" x14ac:dyDescent="0.2">
      <c r="A433">
        <v>226905484818</v>
      </c>
      <c r="B433" t="s">
        <v>1597</v>
      </c>
      <c r="C433" t="s">
        <v>1598</v>
      </c>
      <c r="D433">
        <v>1.99</v>
      </c>
      <c r="F433" t="str">
        <f t="shared" si="30"/>
        <v>No</v>
      </c>
      <c r="G433" t="str">
        <f t="shared" si="31"/>
        <v/>
      </c>
      <c r="H433" t="str">
        <f t="shared" si="32"/>
        <v>—</v>
      </c>
      <c r="I433" t="str">
        <f t="shared" si="33"/>
        <v>Below thresholds</v>
      </c>
      <c r="J433" t="str">
        <f t="shared" si="34"/>
        <v/>
      </c>
    </row>
    <row r="434" spans="1:10" x14ac:dyDescent="0.2">
      <c r="A434">
        <v>226905484819</v>
      </c>
      <c r="B434" t="s">
        <v>1599</v>
      </c>
      <c r="C434" t="s">
        <v>1600</v>
      </c>
      <c r="D434">
        <v>1.99</v>
      </c>
      <c r="F434" t="str">
        <f t="shared" si="30"/>
        <v>No</v>
      </c>
      <c r="G434" t="str">
        <f t="shared" si="31"/>
        <v/>
      </c>
      <c r="H434" t="str">
        <f t="shared" si="32"/>
        <v>—</v>
      </c>
      <c r="I434" t="str">
        <f t="shared" si="33"/>
        <v>Below thresholds</v>
      </c>
      <c r="J434" t="str">
        <f t="shared" si="34"/>
        <v/>
      </c>
    </row>
    <row r="435" spans="1:10" x14ac:dyDescent="0.2">
      <c r="A435">
        <v>226905484820</v>
      </c>
      <c r="B435" t="s">
        <v>1601</v>
      </c>
      <c r="C435" t="s">
        <v>1602</v>
      </c>
      <c r="D435">
        <v>1.99</v>
      </c>
      <c r="F435" t="str">
        <f t="shared" si="30"/>
        <v>No</v>
      </c>
      <c r="G435" t="str">
        <f t="shared" si="31"/>
        <v/>
      </c>
      <c r="H435" t="str">
        <f t="shared" si="32"/>
        <v>—</v>
      </c>
      <c r="I435" t="str">
        <f t="shared" si="33"/>
        <v>Below thresholds</v>
      </c>
      <c r="J435" t="str">
        <f t="shared" si="34"/>
        <v/>
      </c>
    </row>
    <row r="436" spans="1:10" x14ac:dyDescent="0.2">
      <c r="A436">
        <v>226905484822</v>
      </c>
      <c r="B436" t="s">
        <v>1603</v>
      </c>
      <c r="C436" t="s">
        <v>1604</v>
      </c>
      <c r="D436">
        <v>1.99</v>
      </c>
      <c r="F436" t="str">
        <f t="shared" si="30"/>
        <v>No</v>
      </c>
      <c r="G436" t="str">
        <f t="shared" si="31"/>
        <v/>
      </c>
      <c r="H436" t="str">
        <f t="shared" si="32"/>
        <v>—</v>
      </c>
      <c r="I436" t="str">
        <f t="shared" si="33"/>
        <v>Below thresholds</v>
      </c>
      <c r="J436" t="str">
        <f t="shared" si="34"/>
        <v/>
      </c>
    </row>
    <row r="437" spans="1:10" x14ac:dyDescent="0.2">
      <c r="A437">
        <v>226905484823</v>
      </c>
      <c r="B437" t="s">
        <v>1605</v>
      </c>
      <c r="C437" t="s">
        <v>1606</v>
      </c>
      <c r="D437">
        <v>1.99</v>
      </c>
      <c r="F437" t="str">
        <f t="shared" si="30"/>
        <v>No</v>
      </c>
      <c r="G437" t="str">
        <f t="shared" si="31"/>
        <v/>
      </c>
      <c r="H437" t="str">
        <f t="shared" si="32"/>
        <v>—</v>
      </c>
      <c r="I437" t="str">
        <f t="shared" si="33"/>
        <v>Below thresholds</v>
      </c>
      <c r="J437" t="str">
        <f t="shared" si="34"/>
        <v/>
      </c>
    </row>
    <row r="438" spans="1:10" x14ac:dyDescent="0.2">
      <c r="A438">
        <v>226905484824</v>
      </c>
      <c r="B438" t="s">
        <v>1607</v>
      </c>
      <c r="C438" t="s">
        <v>1608</v>
      </c>
      <c r="D438">
        <v>2.69</v>
      </c>
      <c r="F438" t="str">
        <f t="shared" si="30"/>
        <v>No</v>
      </c>
      <c r="G438" t="str">
        <f t="shared" si="31"/>
        <v/>
      </c>
      <c r="H438" t="str">
        <f t="shared" si="32"/>
        <v>—</v>
      </c>
      <c r="I438" t="str">
        <f t="shared" si="33"/>
        <v>Below thresholds</v>
      </c>
      <c r="J438" t="str">
        <f t="shared" si="34"/>
        <v/>
      </c>
    </row>
    <row r="439" spans="1:10" x14ac:dyDescent="0.2">
      <c r="A439">
        <v>226905484825</v>
      </c>
      <c r="B439" t="s">
        <v>1609</v>
      </c>
      <c r="C439" t="s">
        <v>1610</v>
      </c>
      <c r="D439">
        <v>1.99</v>
      </c>
      <c r="F439" t="str">
        <f t="shared" si="30"/>
        <v>No</v>
      </c>
      <c r="G439" t="str">
        <f t="shared" si="31"/>
        <v/>
      </c>
      <c r="H439" t="str">
        <f t="shared" si="32"/>
        <v>—</v>
      </c>
      <c r="I439" t="str">
        <f t="shared" si="33"/>
        <v>Below thresholds</v>
      </c>
      <c r="J439" t="str">
        <f t="shared" si="34"/>
        <v/>
      </c>
    </row>
    <row r="440" spans="1:10" x14ac:dyDescent="0.2">
      <c r="A440">
        <v>226905484827</v>
      </c>
      <c r="B440" t="s">
        <v>1611</v>
      </c>
      <c r="C440" t="s">
        <v>1612</v>
      </c>
      <c r="D440">
        <v>1.99</v>
      </c>
      <c r="F440" t="str">
        <f t="shared" si="30"/>
        <v>No</v>
      </c>
      <c r="G440" t="str">
        <f t="shared" si="31"/>
        <v/>
      </c>
      <c r="H440" t="str">
        <f t="shared" si="32"/>
        <v>—</v>
      </c>
      <c r="I440" t="str">
        <f t="shared" si="33"/>
        <v>Below thresholds</v>
      </c>
      <c r="J440" t="str">
        <f t="shared" si="34"/>
        <v/>
      </c>
    </row>
    <row r="441" spans="1:10" x14ac:dyDescent="0.2">
      <c r="A441">
        <v>226905484828</v>
      </c>
      <c r="B441" t="s">
        <v>1613</v>
      </c>
      <c r="C441" t="s">
        <v>1614</v>
      </c>
      <c r="D441">
        <v>1.99</v>
      </c>
      <c r="F441" t="str">
        <f t="shared" si="30"/>
        <v>No</v>
      </c>
      <c r="G441" t="str">
        <f t="shared" si="31"/>
        <v/>
      </c>
      <c r="H441" t="str">
        <f t="shared" si="32"/>
        <v>—</v>
      </c>
      <c r="I441" t="str">
        <f t="shared" si="33"/>
        <v>Below thresholds</v>
      </c>
      <c r="J441" t="str">
        <f t="shared" si="34"/>
        <v/>
      </c>
    </row>
    <row r="442" spans="1:10" x14ac:dyDescent="0.2">
      <c r="A442">
        <v>226905484829</v>
      </c>
      <c r="B442" t="s">
        <v>1615</v>
      </c>
      <c r="C442" t="s">
        <v>1616</v>
      </c>
      <c r="D442">
        <v>1.99</v>
      </c>
      <c r="F442" t="str">
        <f t="shared" si="30"/>
        <v>No</v>
      </c>
      <c r="G442" t="str">
        <f t="shared" si="31"/>
        <v/>
      </c>
      <c r="H442" t="str">
        <f t="shared" si="32"/>
        <v>—</v>
      </c>
      <c r="I442" t="str">
        <f t="shared" si="33"/>
        <v>Below thresholds</v>
      </c>
      <c r="J442" t="str">
        <f t="shared" si="34"/>
        <v/>
      </c>
    </row>
    <row r="443" spans="1:10" x14ac:dyDescent="0.2">
      <c r="A443">
        <v>226905484830</v>
      </c>
      <c r="B443" t="s">
        <v>1617</v>
      </c>
      <c r="C443" t="s">
        <v>1618</v>
      </c>
      <c r="D443">
        <v>1.99</v>
      </c>
      <c r="F443" t="str">
        <f t="shared" si="30"/>
        <v>No</v>
      </c>
      <c r="G443" t="str">
        <f t="shared" si="31"/>
        <v/>
      </c>
      <c r="H443" t="str">
        <f t="shared" si="32"/>
        <v>—</v>
      </c>
      <c r="I443" t="str">
        <f t="shared" si="33"/>
        <v>Below thresholds</v>
      </c>
      <c r="J443" t="str">
        <f t="shared" si="34"/>
        <v/>
      </c>
    </row>
    <row r="444" spans="1:10" x14ac:dyDescent="0.2">
      <c r="A444">
        <v>226905484831</v>
      </c>
      <c r="B444" t="s">
        <v>1619</v>
      </c>
      <c r="C444" t="s">
        <v>1620</v>
      </c>
      <c r="D444">
        <v>1.99</v>
      </c>
      <c r="F444" t="str">
        <f t="shared" si="30"/>
        <v>No</v>
      </c>
      <c r="G444" t="str">
        <f t="shared" si="31"/>
        <v/>
      </c>
      <c r="H444" t="str">
        <f t="shared" si="32"/>
        <v>—</v>
      </c>
      <c r="I444" t="str">
        <f t="shared" si="33"/>
        <v>Below thresholds</v>
      </c>
      <c r="J444" t="str">
        <f t="shared" si="34"/>
        <v/>
      </c>
    </row>
    <row r="445" spans="1:10" x14ac:dyDescent="0.2">
      <c r="A445">
        <v>226909265482</v>
      </c>
      <c r="B445" t="s">
        <v>1621</v>
      </c>
      <c r="C445" t="s">
        <v>1622</v>
      </c>
      <c r="D445">
        <v>2.4900000000000002</v>
      </c>
      <c r="F445" t="str">
        <f t="shared" si="30"/>
        <v>No</v>
      </c>
      <c r="G445" t="str">
        <f t="shared" si="31"/>
        <v/>
      </c>
      <c r="H445" t="str">
        <f t="shared" si="32"/>
        <v>—</v>
      </c>
      <c r="I445" t="str">
        <f t="shared" si="33"/>
        <v>Below thresholds</v>
      </c>
      <c r="J445" t="str">
        <f t="shared" si="34"/>
        <v/>
      </c>
    </row>
    <row r="446" spans="1:10" x14ac:dyDescent="0.2">
      <c r="A446">
        <v>226909269925</v>
      </c>
      <c r="B446" t="s">
        <v>1623</v>
      </c>
      <c r="C446" t="s">
        <v>1624</v>
      </c>
      <c r="D446">
        <v>2.4900000000000002</v>
      </c>
      <c r="F446" t="str">
        <f t="shared" si="30"/>
        <v>No</v>
      </c>
      <c r="G446" t="str">
        <f t="shared" si="31"/>
        <v/>
      </c>
      <c r="H446" t="str">
        <f t="shared" si="32"/>
        <v>—</v>
      </c>
      <c r="I446" t="str">
        <f t="shared" si="33"/>
        <v>Below thresholds</v>
      </c>
      <c r="J446" t="str">
        <f t="shared" si="34"/>
        <v/>
      </c>
    </row>
    <row r="447" spans="1:10" x14ac:dyDescent="0.2">
      <c r="A447">
        <v>226909272087</v>
      </c>
      <c r="B447" t="s">
        <v>1625</v>
      </c>
      <c r="C447" t="s">
        <v>1626</v>
      </c>
      <c r="D447">
        <v>2.25</v>
      </c>
      <c r="F447" t="str">
        <f t="shared" si="30"/>
        <v>No</v>
      </c>
      <c r="G447" t="str">
        <f t="shared" si="31"/>
        <v/>
      </c>
      <c r="H447" t="str">
        <f t="shared" si="32"/>
        <v>—</v>
      </c>
      <c r="I447" t="str">
        <f t="shared" si="33"/>
        <v>Below thresholds</v>
      </c>
      <c r="J447" t="str">
        <f t="shared" si="34"/>
        <v/>
      </c>
    </row>
    <row r="448" spans="1:10" x14ac:dyDescent="0.2">
      <c r="A448">
        <v>226909276652</v>
      </c>
      <c r="B448" t="s">
        <v>1627</v>
      </c>
      <c r="C448" t="s">
        <v>1628</v>
      </c>
      <c r="D448">
        <v>2.79</v>
      </c>
      <c r="F448" t="str">
        <f t="shared" si="30"/>
        <v>No</v>
      </c>
      <c r="G448" t="str">
        <f t="shared" si="31"/>
        <v/>
      </c>
      <c r="H448" t="str">
        <f t="shared" si="32"/>
        <v>—</v>
      </c>
      <c r="I448" t="str">
        <f t="shared" si="33"/>
        <v>Below thresholds</v>
      </c>
      <c r="J448" t="str">
        <f t="shared" si="34"/>
        <v/>
      </c>
    </row>
    <row r="449" spans="1:10" x14ac:dyDescent="0.2">
      <c r="A449">
        <v>226909283325</v>
      </c>
      <c r="B449" t="s">
        <v>1629</v>
      </c>
      <c r="C449" t="s">
        <v>1630</v>
      </c>
      <c r="D449">
        <v>1.99</v>
      </c>
      <c r="F449" t="str">
        <f t="shared" si="30"/>
        <v>No</v>
      </c>
      <c r="G449" t="str">
        <f t="shared" si="31"/>
        <v/>
      </c>
      <c r="H449" t="str">
        <f t="shared" si="32"/>
        <v>—</v>
      </c>
      <c r="I449" t="str">
        <f t="shared" si="33"/>
        <v>Below thresholds</v>
      </c>
      <c r="J449" t="str">
        <f t="shared" si="34"/>
        <v/>
      </c>
    </row>
    <row r="450" spans="1:10" x14ac:dyDescent="0.2">
      <c r="A450">
        <v>226909287423</v>
      </c>
      <c r="B450" t="s">
        <v>1631</v>
      </c>
      <c r="C450" t="s">
        <v>1632</v>
      </c>
      <c r="D450">
        <v>3.25</v>
      </c>
      <c r="F450" t="str">
        <f t="shared" si="30"/>
        <v>No</v>
      </c>
      <c r="G450" t="str">
        <f t="shared" si="31"/>
        <v/>
      </c>
      <c r="H450" t="str">
        <f t="shared" si="32"/>
        <v>—</v>
      </c>
      <c r="I450" t="str">
        <f t="shared" si="33"/>
        <v>Below thresholds</v>
      </c>
      <c r="J450" t="str">
        <f t="shared" si="34"/>
        <v/>
      </c>
    </row>
    <row r="451" spans="1:10" x14ac:dyDescent="0.2">
      <c r="A451">
        <v>226909289326</v>
      </c>
      <c r="B451" t="s">
        <v>1633</v>
      </c>
      <c r="C451" t="s">
        <v>1634</v>
      </c>
      <c r="D451">
        <v>2.25</v>
      </c>
      <c r="F451" t="str">
        <f t="shared" si="30"/>
        <v>No</v>
      </c>
      <c r="G451" t="str">
        <f t="shared" si="31"/>
        <v/>
      </c>
      <c r="H451" t="str">
        <f t="shared" si="32"/>
        <v>—</v>
      </c>
      <c r="I451" t="str">
        <f t="shared" si="33"/>
        <v>Below thresholds</v>
      </c>
      <c r="J451" t="str">
        <f t="shared" si="34"/>
        <v/>
      </c>
    </row>
    <row r="452" spans="1:10" x14ac:dyDescent="0.2">
      <c r="A452">
        <v>226909292670</v>
      </c>
      <c r="B452" t="s">
        <v>1635</v>
      </c>
      <c r="C452" t="s">
        <v>1636</v>
      </c>
      <c r="D452">
        <v>1.99</v>
      </c>
      <c r="F452" t="str">
        <f t="shared" si="30"/>
        <v>No</v>
      </c>
      <c r="G452" t="str">
        <f t="shared" si="31"/>
        <v/>
      </c>
      <c r="H452" t="str">
        <f t="shared" si="32"/>
        <v>—</v>
      </c>
      <c r="I452" t="str">
        <f t="shared" si="33"/>
        <v>Below thresholds</v>
      </c>
      <c r="J452" t="str">
        <f t="shared" si="34"/>
        <v/>
      </c>
    </row>
    <row r="453" spans="1:10" x14ac:dyDescent="0.2">
      <c r="A453">
        <v>226909294378</v>
      </c>
      <c r="B453" t="s">
        <v>1637</v>
      </c>
      <c r="C453" t="s">
        <v>1638</v>
      </c>
      <c r="D453">
        <v>1.99</v>
      </c>
      <c r="F453" t="str">
        <f t="shared" ref="F453:F516" si="35">IF($B453="","",IF(ISNUMBER(SEARCH("PSA",$B453)),"Yes","No"))</f>
        <v>No</v>
      </c>
      <c r="G453" t="str">
        <f t="shared" ref="G453:G516" si="36">IF($B453="","",IF(ISNUMBER(SEARCH("PSA 10",$B453)),10,IF(ISNUMBER(SEARCH("PSA 9.5",$B453)),9.5,IF(ISNUMBER(SEARCH("PSA 9",$B453)),9,IF(ISNUMBER(SEARCH("PSA 8",$B453)),8,IF(ISNUMBER(SEARCH("PSA",$B453)),"&lt;9",""))))))</f>
        <v/>
      </c>
      <c r="H453" t="str">
        <f t="shared" ref="H453:H516" si="37">IF($B453="","",IF($D453&gt;=100,"TIER 2",IF(OR(ISNUMBER(SEARCH("PSA 10",$B453)),ISNUMBER(SEARCH("PSA 9.5",$B453)),ISNUMBER(SEARCH("PSA 9",$B453))),"TIER 3",IF(AND($D453&gt;20,N($E453)&gt;=15),"TIER 1","—"))))</f>
        <v>—</v>
      </c>
      <c r="I453" t="str">
        <f t="shared" ref="I453:I516" si="38">IF($B453="","",IF($D453&gt;=100,"Premium $100+ (auto)",IF(OR(ISNUMBER(SEARCH("PSA 10",$B453)),ISNUMBER(SEARCH("PSA 9.5",$B453)),ISNUMBER(SEARCH("PSA 9",$B453))),"Graded PSA 9+ (auto)",IF(AND($D453&gt;20,N($E453)&gt;=15),"Hot: $20+ &amp; "&amp;$E453&amp;"/day",IF($D453&gt;20,"$20+ — needs velocity check","Below thresholds")))))</f>
        <v>Below thresholds</v>
      </c>
      <c r="J453" t="str">
        <f t="shared" ref="J453:J516" si="39">IF($B453="","",IF(AND($D453&gt;20,$D453&lt;100,NOT(OR(ISNUMBER(SEARCH("PSA 10",$B453)),ISNUMBER(SEARCH("PSA 9.5",$B453)),ISNUMBER(SEARCH("PSA 9",$B453)))),$E453=""),"YES — pull CardHedger",""))</f>
        <v/>
      </c>
    </row>
    <row r="454" spans="1:10" x14ac:dyDescent="0.2">
      <c r="A454">
        <v>226909305097</v>
      </c>
      <c r="B454" t="s">
        <v>1639</v>
      </c>
      <c r="C454" t="s">
        <v>1640</v>
      </c>
      <c r="D454">
        <v>2.4900000000000002</v>
      </c>
      <c r="F454" t="str">
        <f t="shared" si="35"/>
        <v>No</v>
      </c>
      <c r="G454" t="str">
        <f t="shared" si="36"/>
        <v/>
      </c>
      <c r="H454" t="str">
        <f t="shared" si="37"/>
        <v>—</v>
      </c>
      <c r="I454" t="str">
        <f t="shared" si="38"/>
        <v>Below thresholds</v>
      </c>
      <c r="J454" t="str">
        <f t="shared" si="39"/>
        <v/>
      </c>
    </row>
    <row r="455" spans="1:10" x14ac:dyDescent="0.2">
      <c r="A455">
        <v>226909311638</v>
      </c>
      <c r="B455" t="s">
        <v>1641</v>
      </c>
      <c r="C455" t="s">
        <v>1642</v>
      </c>
      <c r="D455">
        <v>1.49</v>
      </c>
      <c r="F455" t="str">
        <f t="shared" si="35"/>
        <v>No</v>
      </c>
      <c r="G455" t="str">
        <f t="shared" si="36"/>
        <v/>
      </c>
      <c r="H455" t="str">
        <f t="shared" si="37"/>
        <v>—</v>
      </c>
      <c r="I455" t="str">
        <f t="shared" si="38"/>
        <v>Below thresholds</v>
      </c>
      <c r="J455" t="str">
        <f t="shared" si="39"/>
        <v/>
      </c>
    </row>
    <row r="456" spans="1:10" x14ac:dyDescent="0.2">
      <c r="A456">
        <v>226911112888</v>
      </c>
      <c r="B456" t="s">
        <v>1643</v>
      </c>
      <c r="C456" t="s">
        <v>1644</v>
      </c>
      <c r="D456">
        <v>2.4900000000000002</v>
      </c>
      <c r="F456" t="str">
        <f t="shared" si="35"/>
        <v>No</v>
      </c>
      <c r="G456" t="str">
        <f t="shared" si="36"/>
        <v/>
      </c>
      <c r="H456" t="str">
        <f t="shared" si="37"/>
        <v>—</v>
      </c>
      <c r="I456" t="str">
        <f t="shared" si="38"/>
        <v>Below thresholds</v>
      </c>
      <c r="J456" t="str">
        <f t="shared" si="39"/>
        <v/>
      </c>
    </row>
    <row r="457" spans="1:10" x14ac:dyDescent="0.2">
      <c r="A457">
        <v>226911122224</v>
      </c>
      <c r="B457" t="s">
        <v>1645</v>
      </c>
      <c r="C457" t="s">
        <v>1646</v>
      </c>
      <c r="D457">
        <v>2.4900000000000002</v>
      </c>
      <c r="F457" t="str">
        <f t="shared" si="35"/>
        <v>No</v>
      </c>
      <c r="G457" t="str">
        <f t="shared" si="36"/>
        <v/>
      </c>
      <c r="H457" t="str">
        <f t="shared" si="37"/>
        <v>—</v>
      </c>
      <c r="I457" t="str">
        <f t="shared" si="38"/>
        <v>Below thresholds</v>
      </c>
      <c r="J457" t="str">
        <f t="shared" si="39"/>
        <v/>
      </c>
    </row>
    <row r="458" spans="1:10" x14ac:dyDescent="0.2">
      <c r="A458">
        <v>226912505686</v>
      </c>
      <c r="B458" t="s">
        <v>1647</v>
      </c>
      <c r="C458" t="s">
        <v>1648</v>
      </c>
      <c r="D458">
        <v>2.59</v>
      </c>
      <c r="F458" t="str">
        <f t="shared" si="35"/>
        <v>No</v>
      </c>
      <c r="G458" t="str">
        <f t="shared" si="36"/>
        <v/>
      </c>
      <c r="H458" t="str">
        <f t="shared" si="37"/>
        <v>—</v>
      </c>
      <c r="I458" t="str">
        <f t="shared" si="38"/>
        <v>Below thresholds</v>
      </c>
      <c r="J458" t="str">
        <f t="shared" si="39"/>
        <v/>
      </c>
    </row>
    <row r="459" spans="1:10" x14ac:dyDescent="0.2">
      <c r="A459">
        <v>226912505687</v>
      </c>
      <c r="B459" t="s">
        <v>1649</v>
      </c>
      <c r="C459" t="s">
        <v>1650</v>
      </c>
      <c r="D459">
        <v>12.19</v>
      </c>
      <c r="F459" t="str">
        <f t="shared" si="35"/>
        <v>No</v>
      </c>
      <c r="G459" t="str">
        <f t="shared" si="36"/>
        <v/>
      </c>
      <c r="H459" t="str">
        <f t="shared" si="37"/>
        <v>—</v>
      </c>
      <c r="I459" t="str">
        <f t="shared" si="38"/>
        <v>Below thresholds</v>
      </c>
      <c r="J459" t="str">
        <f t="shared" si="39"/>
        <v/>
      </c>
    </row>
    <row r="460" spans="1:10" x14ac:dyDescent="0.2">
      <c r="A460">
        <v>226912505688</v>
      </c>
      <c r="B460" t="s">
        <v>1651</v>
      </c>
      <c r="C460" t="s">
        <v>1652</v>
      </c>
      <c r="D460">
        <v>2.99</v>
      </c>
      <c r="F460" t="str">
        <f t="shared" si="35"/>
        <v>No</v>
      </c>
      <c r="G460" t="str">
        <f t="shared" si="36"/>
        <v/>
      </c>
      <c r="H460" t="str">
        <f t="shared" si="37"/>
        <v>—</v>
      </c>
      <c r="I460" t="str">
        <f t="shared" si="38"/>
        <v>Below thresholds</v>
      </c>
      <c r="J460" t="str">
        <f t="shared" si="39"/>
        <v/>
      </c>
    </row>
    <row r="461" spans="1:10" x14ac:dyDescent="0.2">
      <c r="A461">
        <v>226912505690</v>
      </c>
      <c r="B461" t="s">
        <v>1653</v>
      </c>
      <c r="C461" t="s">
        <v>1654</v>
      </c>
      <c r="D461">
        <v>2.25</v>
      </c>
      <c r="F461" t="str">
        <f t="shared" si="35"/>
        <v>No</v>
      </c>
      <c r="G461" t="str">
        <f t="shared" si="36"/>
        <v/>
      </c>
      <c r="H461" t="str">
        <f t="shared" si="37"/>
        <v>—</v>
      </c>
      <c r="I461" t="str">
        <f t="shared" si="38"/>
        <v>Below thresholds</v>
      </c>
      <c r="J461" t="str">
        <f t="shared" si="39"/>
        <v/>
      </c>
    </row>
    <row r="462" spans="1:10" x14ac:dyDescent="0.2">
      <c r="A462">
        <v>226912505693</v>
      </c>
      <c r="B462" t="s">
        <v>1655</v>
      </c>
      <c r="C462" t="s">
        <v>1656</v>
      </c>
      <c r="D462">
        <v>9.99</v>
      </c>
      <c r="F462" t="str">
        <f t="shared" si="35"/>
        <v>No</v>
      </c>
      <c r="G462" t="str">
        <f t="shared" si="36"/>
        <v/>
      </c>
      <c r="H462" t="str">
        <f t="shared" si="37"/>
        <v>—</v>
      </c>
      <c r="I462" t="str">
        <f t="shared" si="38"/>
        <v>Below thresholds</v>
      </c>
      <c r="J462" t="str">
        <f t="shared" si="39"/>
        <v/>
      </c>
    </row>
    <row r="463" spans="1:10" x14ac:dyDescent="0.2">
      <c r="A463">
        <v>226912505695</v>
      </c>
      <c r="B463" t="s">
        <v>1657</v>
      </c>
      <c r="C463" t="s">
        <v>1658</v>
      </c>
      <c r="D463">
        <v>2.99</v>
      </c>
      <c r="F463" t="str">
        <f t="shared" si="35"/>
        <v>No</v>
      </c>
      <c r="G463" t="str">
        <f t="shared" si="36"/>
        <v/>
      </c>
      <c r="H463" t="str">
        <f t="shared" si="37"/>
        <v>—</v>
      </c>
      <c r="I463" t="str">
        <f t="shared" si="38"/>
        <v>Below thresholds</v>
      </c>
      <c r="J463" t="str">
        <f t="shared" si="39"/>
        <v/>
      </c>
    </row>
    <row r="464" spans="1:10" x14ac:dyDescent="0.2">
      <c r="A464">
        <v>226912505700</v>
      </c>
      <c r="B464" t="s">
        <v>1659</v>
      </c>
      <c r="C464" t="s">
        <v>1660</v>
      </c>
      <c r="D464">
        <v>4.49</v>
      </c>
      <c r="F464" t="str">
        <f t="shared" si="35"/>
        <v>No</v>
      </c>
      <c r="G464" t="str">
        <f t="shared" si="36"/>
        <v/>
      </c>
      <c r="H464" t="str">
        <f t="shared" si="37"/>
        <v>—</v>
      </c>
      <c r="I464" t="str">
        <f t="shared" si="38"/>
        <v>Below thresholds</v>
      </c>
      <c r="J464" t="str">
        <f t="shared" si="39"/>
        <v/>
      </c>
    </row>
    <row r="465" spans="1:10" x14ac:dyDescent="0.2">
      <c r="A465">
        <v>226912505701</v>
      </c>
      <c r="B465" t="s">
        <v>1661</v>
      </c>
      <c r="C465" t="s">
        <v>1662</v>
      </c>
      <c r="D465">
        <v>5.69</v>
      </c>
      <c r="F465" t="str">
        <f t="shared" si="35"/>
        <v>No</v>
      </c>
      <c r="G465" t="str">
        <f t="shared" si="36"/>
        <v/>
      </c>
      <c r="H465" t="str">
        <f t="shared" si="37"/>
        <v>—</v>
      </c>
      <c r="I465" t="str">
        <f t="shared" si="38"/>
        <v>Below thresholds</v>
      </c>
      <c r="J465" t="str">
        <f t="shared" si="39"/>
        <v/>
      </c>
    </row>
    <row r="466" spans="1:10" x14ac:dyDescent="0.2">
      <c r="A466">
        <v>226912515611</v>
      </c>
      <c r="B466" t="s">
        <v>1663</v>
      </c>
      <c r="C466" t="s">
        <v>1664</v>
      </c>
      <c r="D466">
        <v>2.39</v>
      </c>
      <c r="F466" t="str">
        <f t="shared" si="35"/>
        <v>No</v>
      </c>
      <c r="G466" t="str">
        <f t="shared" si="36"/>
        <v/>
      </c>
      <c r="H466" t="str">
        <f t="shared" si="37"/>
        <v>—</v>
      </c>
      <c r="I466" t="str">
        <f t="shared" si="38"/>
        <v>Below thresholds</v>
      </c>
      <c r="J466" t="str">
        <f t="shared" si="39"/>
        <v/>
      </c>
    </row>
    <row r="467" spans="1:10" x14ac:dyDescent="0.2">
      <c r="A467">
        <v>226912515614</v>
      </c>
      <c r="B467" t="s">
        <v>1665</v>
      </c>
      <c r="C467" t="s">
        <v>1666</v>
      </c>
      <c r="D467">
        <v>5.99</v>
      </c>
      <c r="F467" t="str">
        <f t="shared" si="35"/>
        <v>No</v>
      </c>
      <c r="G467" t="str">
        <f t="shared" si="36"/>
        <v/>
      </c>
      <c r="H467" t="str">
        <f t="shared" si="37"/>
        <v>—</v>
      </c>
      <c r="I467" t="str">
        <f t="shared" si="38"/>
        <v>Below thresholds</v>
      </c>
      <c r="J467" t="str">
        <f t="shared" si="39"/>
        <v/>
      </c>
    </row>
    <row r="468" spans="1:10" x14ac:dyDescent="0.2">
      <c r="A468">
        <v>226912542554</v>
      </c>
      <c r="B468" t="s">
        <v>1667</v>
      </c>
      <c r="C468" t="s">
        <v>1668</v>
      </c>
      <c r="D468">
        <v>3</v>
      </c>
      <c r="F468" t="str">
        <f t="shared" si="35"/>
        <v>No</v>
      </c>
      <c r="G468" t="str">
        <f t="shared" si="36"/>
        <v/>
      </c>
      <c r="H468" t="str">
        <f t="shared" si="37"/>
        <v>—</v>
      </c>
      <c r="I468" t="str">
        <f t="shared" si="38"/>
        <v>Below thresholds</v>
      </c>
      <c r="J468" t="str">
        <f t="shared" si="39"/>
        <v/>
      </c>
    </row>
    <row r="469" spans="1:10" x14ac:dyDescent="0.2">
      <c r="A469">
        <v>226912542559</v>
      </c>
      <c r="B469" t="s">
        <v>1669</v>
      </c>
      <c r="C469" t="s">
        <v>1670</v>
      </c>
      <c r="D469">
        <v>2.99</v>
      </c>
      <c r="F469" t="str">
        <f t="shared" si="35"/>
        <v>No</v>
      </c>
      <c r="G469" t="str">
        <f t="shared" si="36"/>
        <v/>
      </c>
      <c r="H469" t="str">
        <f t="shared" si="37"/>
        <v>—</v>
      </c>
      <c r="I469" t="str">
        <f t="shared" si="38"/>
        <v>Below thresholds</v>
      </c>
      <c r="J469" t="str">
        <f t="shared" si="39"/>
        <v/>
      </c>
    </row>
    <row r="470" spans="1:10" x14ac:dyDescent="0.2">
      <c r="A470">
        <v>226912542563</v>
      </c>
      <c r="B470" t="s">
        <v>1671</v>
      </c>
      <c r="C470" t="s">
        <v>1672</v>
      </c>
      <c r="D470">
        <v>2.99</v>
      </c>
      <c r="F470" t="str">
        <f t="shared" si="35"/>
        <v>No</v>
      </c>
      <c r="G470" t="str">
        <f t="shared" si="36"/>
        <v/>
      </c>
      <c r="H470" t="str">
        <f t="shared" si="37"/>
        <v>—</v>
      </c>
      <c r="I470" t="str">
        <f t="shared" si="38"/>
        <v>Below thresholds</v>
      </c>
      <c r="J470" t="str">
        <f t="shared" si="39"/>
        <v/>
      </c>
    </row>
    <row r="471" spans="1:10" x14ac:dyDescent="0.2">
      <c r="A471">
        <v>226912542564</v>
      </c>
      <c r="B471" t="s">
        <v>1673</v>
      </c>
      <c r="C471" t="s">
        <v>1674</v>
      </c>
      <c r="D471">
        <v>2.4900000000000002</v>
      </c>
      <c r="F471" t="str">
        <f t="shared" si="35"/>
        <v>No</v>
      </c>
      <c r="G471" t="str">
        <f t="shared" si="36"/>
        <v/>
      </c>
      <c r="H471" t="str">
        <f t="shared" si="37"/>
        <v>—</v>
      </c>
      <c r="I471" t="str">
        <f t="shared" si="38"/>
        <v>Below thresholds</v>
      </c>
      <c r="J471" t="str">
        <f t="shared" si="39"/>
        <v/>
      </c>
    </row>
    <row r="472" spans="1:10" x14ac:dyDescent="0.2">
      <c r="A472">
        <v>226912542565</v>
      </c>
      <c r="B472" t="s">
        <v>1675</v>
      </c>
      <c r="C472" t="s">
        <v>1676</v>
      </c>
      <c r="D472">
        <v>2.99</v>
      </c>
      <c r="F472" t="str">
        <f t="shared" si="35"/>
        <v>No</v>
      </c>
      <c r="G472" t="str">
        <f t="shared" si="36"/>
        <v/>
      </c>
      <c r="H472" t="str">
        <f t="shared" si="37"/>
        <v>—</v>
      </c>
      <c r="I472" t="str">
        <f t="shared" si="38"/>
        <v>Below thresholds</v>
      </c>
      <c r="J472" t="str">
        <f t="shared" si="39"/>
        <v/>
      </c>
    </row>
    <row r="473" spans="1:10" x14ac:dyDescent="0.2">
      <c r="A473">
        <v>226913623652</v>
      </c>
      <c r="B473" t="s">
        <v>1677</v>
      </c>
      <c r="C473" t="s">
        <v>1678</v>
      </c>
      <c r="D473">
        <v>3</v>
      </c>
      <c r="F473" t="str">
        <f t="shared" si="35"/>
        <v>No</v>
      </c>
      <c r="G473" t="str">
        <f t="shared" si="36"/>
        <v/>
      </c>
      <c r="H473" t="str">
        <f t="shared" si="37"/>
        <v>—</v>
      </c>
      <c r="I473" t="str">
        <f t="shared" si="38"/>
        <v>Below thresholds</v>
      </c>
      <c r="J473" t="str">
        <f t="shared" si="39"/>
        <v/>
      </c>
    </row>
    <row r="474" spans="1:10" x14ac:dyDescent="0.2">
      <c r="A474">
        <v>226913623674</v>
      </c>
      <c r="B474" t="s">
        <v>1679</v>
      </c>
      <c r="C474" t="s">
        <v>1680</v>
      </c>
      <c r="D474">
        <v>3.49</v>
      </c>
      <c r="F474" t="str">
        <f t="shared" si="35"/>
        <v>No</v>
      </c>
      <c r="G474" t="str">
        <f t="shared" si="36"/>
        <v/>
      </c>
      <c r="H474" t="str">
        <f t="shared" si="37"/>
        <v>—</v>
      </c>
      <c r="I474" t="str">
        <f t="shared" si="38"/>
        <v>Below thresholds</v>
      </c>
      <c r="J474" t="str">
        <f t="shared" si="39"/>
        <v/>
      </c>
    </row>
    <row r="475" spans="1:10" x14ac:dyDescent="0.2">
      <c r="A475">
        <v>226913623725</v>
      </c>
      <c r="B475" t="s">
        <v>1681</v>
      </c>
      <c r="C475" t="s">
        <v>1682</v>
      </c>
      <c r="D475">
        <v>2.99</v>
      </c>
      <c r="F475" t="str">
        <f t="shared" si="35"/>
        <v>No</v>
      </c>
      <c r="G475" t="str">
        <f t="shared" si="36"/>
        <v/>
      </c>
      <c r="H475" t="str">
        <f t="shared" si="37"/>
        <v>—</v>
      </c>
      <c r="I475" t="str">
        <f t="shared" si="38"/>
        <v>Below thresholds</v>
      </c>
      <c r="J475" t="str">
        <f t="shared" si="39"/>
        <v/>
      </c>
    </row>
    <row r="476" spans="1:10" x14ac:dyDescent="0.2">
      <c r="A476">
        <v>226913623755</v>
      </c>
      <c r="B476" t="s">
        <v>1683</v>
      </c>
      <c r="C476" t="s">
        <v>1684</v>
      </c>
      <c r="D476">
        <v>1.49</v>
      </c>
      <c r="F476" t="str">
        <f t="shared" si="35"/>
        <v>No</v>
      </c>
      <c r="G476" t="str">
        <f t="shared" si="36"/>
        <v/>
      </c>
      <c r="H476" t="str">
        <f t="shared" si="37"/>
        <v>—</v>
      </c>
      <c r="I476" t="str">
        <f t="shared" si="38"/>
        <v>Below thresholds</v>
      </c>
      <c r="J476" t="str">
        <f t="shared" si="39"/>
        <v/>
      </c>
    </row>
    <row r="477" spans="1:10" x14ac:dyDescent="0.2">
      <c r="A477">
        <v>226913623818</v>
      </c>
      <c r="B477" t="s">
        <v>1685</v>
      </c>
      <c r="C477" t="s">
        <v>1686</v>
      </c>
      <c r="D477">
        <v>3.49</v>
      </c>
      <c r="F477" t="str">
        <f t="shared" si="35"/>
        <v>No</v>
      </c>
      <c r="G477" t="str">
        <f t="shared" si="36"/>
        <v/>
      </c>
      <c r="H477" t="str">
        <f t="shared" si="37"/>
        <v>—</v>
      </c>
      <c r="I477" t="str">
        <f t="shared" si="38"/>
        <v>Below thresholds</v>
      </c>
      <c r="J477" t="str">
        <f t="shared" si="39"/>
        <v/>
      </c>
    </row>
    <row r="478" spans="1:10" x14ac:dyDescent="0.2">
      <c r="A478">
        <v>226913623904</v>
      </c>
      <c r="B478" t="s">
        <v>1687</v>
      </c>
      <c r="C478" t="s">
        <v>1688</v>
      </c>
      <c r="D478">
        <v>5.45</v>
      </c>
      <c r="F478" t="str">
        <f t="shared" si="35"/>
        <v>No</v>
      </c>
      <c r="G478" t="str">
        <f t="shared" si="36"/>
        <v/>
      </c>
      <c r="H478" t="str">
        <f t="shared" si="37"/>
        <v>—</v>
      </c>
      <c r="I478" t="str">
        <f t="shared" si="38"/>
        <v>Below thresholds</v>
      </c>
      <c r="J478" t="str">
        <f t="shared" si="39"/>
        <v/>
      </c>
    </row>
    <row r="479" spans="1:10" x14ac:dyDescent="0.2">
      <c r="A479">
        <v>226913623924</v>
      </c>
      <c r="B479" t="s">
        <v>1689</v>
      </c>
      <c r="C479" t="s">
        <v>1690</v>
      </c>
      <c r="D479">
        <v>2.4900000000000002</v>
      </c>
      <c r="F479" t="str">
        <f t="shared" si="35"/>
        <v>No</v>
      </c>
      <c r="G479" t="str">
        <f t="shared" si="36"/>
        <v/>
      </c>
      <c r="H479" t="str">
        <f t="shared" si="37"/>
        <v>—</v>
      </c>
      <c r="I479" t="str">
        <f t="shared" si="38"/>
        <v>Below thresholds</v>
      </c>
      <c r="J479" t="str">
        <f t="shared" si="39"/>
        <v/>
      </c>
    </row>
    <row r="480" spans="1:10" x14ac:dyDescent="0.2">
      <c r="A480">
        <v>226913623993</v>
      </c>
      <c r="B480" t="s">
        <v>1691</v>
      </c>
      <c r="C480" t="s">
        <v>1692</v>
      </c>
      <c r="D480">
        <v>3.99</v>
      </c>
      <c r="F480" t="str">
        <f t="shared" si="35"/>
        <v>No</v>
      </c>
      <c r="G480" t="str">
        <f t="shared" si="36"/>
        <v/>
      </c>
      <c r="H480" t="str">
        <f t="shared" si="37"/>
        <v>—</v>
      </c>
      <c r="I480" t="str">
        <f t="shared" si="38"/>
        <v>Below thresholds</v>
      </c>
      <c r="J480" t="str">
        <f t="shared" si="39"/>
        <v/>
      </c>
    </row>
    <row r="481" spans="1:10" x14ac:dyDescent="0.2">
      <c r="A481">
        <v>226913624019</v>
      </c>
      <c r="B481" t="s">
        <v>1693</v>
      </c>
      <c r="C481" t="s">
        <v>1694</v>
      </c>
      <c r="D481">
        <v>2.4900000000000002</v>
      </c>
      <c r="F481" t="str">
        <f t="shared" si="35"/>
        <v>No</v>
      </c>
      <c r="G481" t="str">
        <f t="shared" si="36"/>
        <v/>
      </c>
      <c r="H481" t="str">
        <f t="shared" si="37"/>
        <v>—</v>
      </c>
      <c r="I481" t="str">
        <f t="shared" si="38"/>
        <v>Below thresholds</v>
      </c>
      <c r="J481" t="str">
        <f t="shared" si="39"/>
        <v/>
      </c>
    </row>
    <row r="482" spans="1:10" x14ac:dyDescent="0.2">
      <c r="A482">
        <v>226913624090</v>
      </c>
      <c r="B482" t="s">
        <v>1695</v>
      </c>
      <c r="C482" t="s">
        <v>1696</v>
      </c>
      <c r="D482">
        <v>4.45</v>
      </c>
      <c r="F482" t="str">
        <f t="shared" si="35"/>
        <v>No</v>
      </c>
      <c r="G482" t="str">
        <f t="shared" si="36"/>
        <v/>
      </c>
      <c r="H482" t="str">
        <f t="shared" si="37"/>
        <v>—</v>
      </c>
      <c r="I482" t="str">
        <f t="shared" si="38"/>
        <v>Below thresholds</v>
      </c>
      <c r="J482" t="str">
        <f t="shared" si="39"/>
        <v/>
      </c>
    </row>
    <row r="483" spans="1:10" x14ac:dyDescent="0.2">
      <c r="A483">
        <v>226913624099</v>
      </c>
      <c r="B483" t="s">
        <v>1697</v>
      </c>
      <c r="C483" t="s">
        <v>1698</v>
      </c>
      <c r="D483">
        <v>1.99</v>
      </c>
      <c r="F483" t="str">
        <f t="shared" si="35"/>
        <v>No</v>
      </c>
      <c r="G483" t="str">
        <f t="shared" si="36"/>
        <v/>
      </c>
      <c r="H483" t="str">
        <f t="shared" si="37"/>
        <v>—</v>
      </c>
      <c r="I483" t="str">
        <f t="shared" si="38"/>
        <v>Below thresholds</v>
      </c>
      <c r="J483" t="str">
        <f t="shared" si="39"/>
        <v/>
      </c>
    </row>
    <row r="484" spans="1:10" x14ac:dyDescent="0.2">
      <c r="A484">
        <v>226913624184</v>
      </c>
      <c r="B484" t="s">
        <v>1699</v>
      </c>
      <c r="C484" t="s">
        <v>1700</v>
      </c>
      <c r="D484">
        <v>15.99</v>
      </c>
      <c r="F484" t="str">
        <f t="shared" si="35"/>
        <v>No</v>
      </c>
      <c r="G484" t="str">
        <f t="shared" si="36"/>
        <v/>
      </c>
      <c r="H484" t="str">
        <f t="shared" si="37"/>
        <v>—</v>
      </c>
      <c r="I484" t="str">
        <f t="shared" si="38"/>
        <v>Below thresholds</v>
      </c>
      <c r="J484" t="str">
        <f t="shared" si="39"/>
        <v/>
      </c>
    </row>
    <row r="485" spans="1:10" x14ac:dyDescent="0.2">
      <c r="A485">
        <v>226913624192</v>
      </c>
      <c r="B485" t="s">
        <v>1701</v>
      </c>
      <c r="C485" t="s">
        <v>1702</v>
      </c>
      <c r="D485">
        <v>2.99</v>
      </c>
      <c r="F485" t="str">
        <f t="shared" si="35"/>
        <v>No</v>
      </c>
      <c r="G485" t="str">
        <f t="shared" si="36"/>
        <v/>
      </c>
      <c r="H485" t="str">
        <f t="shared" si="37"/>
        <v>—</v>
      </c>
      <c r="I485" t="str">
        <f t="shared" si="38"/>
        <v>Below thresholds</v>
      </c>
      <c r="J485" t="str">
        <f t="shared" si="39"/>
        <v/>
      </c>
    </row>
    <row r="486" spans="1:10" x14ac:dyDescent="0.2">
      <c r="A486">
        <v>226913624261</v>
      </c>
      <c r="B486" t="s">
        <v>1703</v>
      </c>
      <c r="C486" t="s">
        <v>1704</v>
      </c>
      <c r="D486">
        <v>2.99</v>
      </c>
      <c r="F486" t="str">
        <f t="shared" si="35"/>
        <v>No</v>
      </c>
      <c r="G486" t="str">
        <f t="shared" si="36"/>
        <v/>
      </c>
      <c r="H486" t="str">
        <f t="shared" si="37"/>
        <v>—</v>
      </c>
      <c r="I486" t="str">
        <f t="shared" si="38"/>
        <v>Below thresholds</v>
      </c>
      <c r="J486" t="str">
        <f t="shared" si="39"/>
        <v/>
      </c>
    </row>
    <row r="487" spans="1:10" x14ac:dyDescent="0.2">
      <c r="A487">
        <v>226913624339</v>
      </c>
      <c r="B487" t="s">
        <v>1705</v>
      </c>
      <c r="C487" t="s">
        <v>1706</v>
      </c>
      <c r="D487">
        <v>4.99</v>
      </c>
      <c r="F487" t="str">
        <f t="shared" si="35"/>
        <v>No</v>
      </c>
      <c r="G487" t="str">
        <f t="shared" si="36"/>
        <v/>
      </c>
      <c r="H487" t="str">
        <f t="shared" si="37"/>
        <v>—</v>
      </c>
      <c r="I487" t="str">
        <f t="shared" si="38"/>
        <v>Below thresholds</v>
      </c>
      <c r="J487" t="str">
        <f t="shared" si="39"/>
        <v/>
      </c>
    </row>
    <row r="488" spans="1:10" x14ac:dyDescent="0.2">
      <c r="A488">
        <v>226913624408</v>
      </c>
      <c r="B488" t="s">
        <v>1707</v>
      </c>
      <c r="C488" t="s">
        <v>1708</v>
      </c>
      <c r="D488">
        <v>2</v>
      </c>
      <c r="F488" t="str">
        <f t="shared" si="35"/>
        <v>No</v>
      </c>
      <c r="G488" t="str">
        <f t="shared" si="36"/>
        <v/>
      </c>
      <c r="H488" t="str">
        <f t="shared" si="37"/>
        <v>—</v>
      </c>
      <c r="I488" t="str">
        <f t="shared" si="38"/>
        <v>Below thresholds</v>
      </c>
      <c r="J488" t="str">
        <f t="shared" si="39"/>
        <v/>
      </c>
    </row>
    <row r="489" spans="1:10" x14ac:dyDescent="0.2">
      <c r="A489">
        <v>226913624443</v>
      </c>
      <c r="B489" t="s">
        <v>1709</v>
      </c>
      <c r="C489" t="s">
        <v>1710</v>
      </c>
      <c r="D489">
        <v>2.25</v>
      </c>
      <c r="F489" t="str">
        <f t="shared" si="35"/>
        <v>No</v>
      </c>
      <c r="G489" t="str">
        <f t="shared" si="36"/>
        <v/>
      </c>
      <c r="H489" t="str">
        <f t="shared" si="37"/>
        <v>—</v>
      </c>
      <c r="I489" t="str">
        <f t="shared" si="38"/>
        <v>Below thresholds</v>
      </c>
      <c r="J489" t="str">
        <f t="shared" si="39"/>
        <v/>
      </c>
    </row>
    <row r="490" spans="1:10" x14ac:dyDescent="0.2">
      <c r="A490">
        <v>226913624518</v>
      </c>
      <c r="B490" t="s">
        <v>1711</v>
      </c>
      <c r="C490" t="s">
        <v>1712</v>
      </c>
      <c r="D490">
        <v>11.95</v>
      </c>
      <c r="F490" t="str">
        <f t="shared" si="35"/>
        <v>No</v>
      </c>
      <c r="G490" t="str">
        <f t="shared" si="36"/>
        <v/>
      </c>
      <c r="H490" t="str">
        <f t="shared" si="37"/>
        <v>—</v>
      </c>
      <c r="I490" t="str">
        <f t="shared" si="38"/>
        <v>Below thresholds</v>
      </c>
      <c r="J490" t="str">
        <f t="shared" si="39"/>
        <v/>
      </c>
    </row>
    <row r="491" spans="1:10" x14ac:dyDescent="0.2">
      <c r="A491">
        <v>226913624593</v>
      </c>
      <c r="B491" t="s">
        <v>1713</v>
      </c>
      <c r="C491" t="s">
        <v>1714</v>
      </c>
      <c r="D491">
        <v>2.5</v>
      </c>
      <c r="F491" t="str">
        <f t="shared" si="35"/>
        <v>No</v>
      </c>
      <c r="G491" t="str">
        <f t="shared" si="36"/>
        <v/>
      </c>
      <c r="H491" t="str">
        <f t="shared" si="37"/>
        <v>—</v>
      </c>
      <c r="I491" t="str">
        <f t="shared" si="38"/>
        <v>Below thresholds</v>
      </c>
      <c r="J491" t="str">
        <f t="shared" si="39"/>
        <v/>
      </c>
    </row>
    <row r="492" spans="1:10" x14ac:dyDescent="0.2">
      <c r="A492">
        <v>226913624612</v>
      </c>
      <c r="B492" t="s">
        <v>1715</v>
      </c>
      <c r="C492" t="s">
        <v>1716</v>
      </c>
      <c r="D492">
        <v>2.4500000000000002</v>
      </c>
      <c r="F492" t="str">
        <f t="shared" si="35"/>
        <v>No</v>
      </c>
      <c r="G492" t="str">
        <f t="shared" si="36"/>
        <v/>
      </c>
      <c r="H492" t="str">
        <f t="shared" si="37"/>
        <v>—</v>
      </c>
      <c r="I492" t="str">
        <f t="shared" si="38"/>
        <v>Below thresholds</v>
      </c>
      <c r="J492" t="str">
        <f t="shared" si="39"/>
        <v/>
      </c>
    </row>
    <row r="493" spans="1:10" x14ac:dyDescent="0.2">
      <c r="A493">
        <v>226913624638</v>
      </c>
      <c r="B493" t="s">
        <v>1717</v>
      </c>
      <c r="C493" t="s">
        <v>1718</v>
      </c>
      <c r="D493">
        <v>2.95</v>
      </c>
      <c r="F493" t="str">
        <f t="shared" si="35"/>
        <v>No</v>
      </c>
      <c r="G493" t="str">
        <f t="shared" si="36"/>
        <v/>
      </c>
      <c r="H493" t="str">
        <f t="shared" si="37"/>
        <v>—</v>
      </c>
      <c r="I493" t="str">
        <f t="shared" si="38"/>
        <v>Below thresholds</v>
      </c>
      <c r="J493" t="str">
        <f t="shared" si="39"/>
        <v/>
      </c>
    </row>
    <row r="494" spans="1:10" x14ac:dyDescent="0.2">
      <c r="A494">
        <v>226913624672</v>
      </c>
      <c r="B494" t="s">
        <v>1719</v>
      </c>
      <c r="C494" t="s">
        <v>1720</v>
      </c>
      <c r="D494">
        <v>2.4500000000000002</v>
      </c>
      <c r="F494" t="str">
        <f t="shared" si="35"/>
        <v>No</v>
      </c>
      <c r="G494" t="str">
        <f t="shared" si="36"/>
        <v/>
      </c>
      <c r="H494" t="str">
        <f t="shared" si="37"/>
        <v>—</v>
      </c>
      <c r="I494" t="str">
        <f t="shared" si="38"/>
        <v>Below thresholds</v>
      </c>
      <c r="J494" t="str">
        <f t="shared" si="39"/>
        <v/>
      </c>
    </row>
    <row r="495" spans="1:10" x14ac:dyDescent="0.2">
      <c r="A495">
        <v>226913624743</v>
      </c>
      <c r="B495" t="s">
        <v>1721</v>
      </c>
      <c r="C495" t="s">
        <v>1722</v>
      </c>
      <c r="D495">
        <v>3.25</v>
      </c>
      <c r="F495" t="str">
        <f t="shared" si="35"/>
        <v>No</v>
      </c>
      <c r="G495" t="str">
        <f t="shared" si="36"/>
        <v/>
      </c>
      <c r="H495" t="str">
        <f t="shared" si="37"/>
        <v>—</v>
      </c>
      <c r="I495" t="str">
        <f t="shared" si="38"/>
        <v>Below thresholds</v>
      </c>
      <c r="J495" t="str">
        <f t="shared" si="39"/>
        <v/>
      </c>
    </row>
    <row r="496" spans="1:10" x14ac:dyDescent="0.2">
      <c r="A496">
        <v>226913624799</v>
      </c>
      <c r="B496" t="s">
        <v>1723</v>
      </c>
      <c r="C496" t="s">
        <v>1724</v>
      </c>
      <c r="D496">
        <v>2.25</v>
      </c>
      <c r="F496" t="str">
        <f t="shared" si="35"/>
        <v>No</v>
      </c>
      <c r="G496" t="str">
        <f t="shared" si="36"/>
        <v/>
      </c>
      <c r="H496" t="str">
        <f t="shared" si="37"/>
        <v>—</v>
      </c>
      <c r="I496" t="str">
        <f t="shared" si="38"/>
        <v>Below thresholds</v>
      </c>
      <c r="J496" t="str">
        <f t="shared" si="39"/>
        <v/>
      </c>
    </row>
    <row r="497" spans="1:10" x14ac:dyDescent="0.2">
      <c r="A497">
        <v>226913624824</v>
      </c>
      <c r="B497" t="s">
        <v>1725</v>
      </c>
      <c r="C497" t="s">
        <v>1726</v>
      </c>
      <c r="D497">
        <v>2.5</v>
      </c>
      <c r="F497" t="str">
        <f t="shared" si="35"/>
        <v>No</v>
      </c>
      <c r="G497" t="str">
        <f t="shared" si="36"/>
        <v/>
      </c>
      <c r="H497" t="str">
        <f t="shared" si="37"/>
        <v>—</v>
      </c>
      <c r="I497" t="str">
        <f t="shared" si="38"/>
        <v>Below thresholds</v>
      </c>
      <c r="J497" t="str">
        <f t="shared" si="39"/>
        <v/>
      </c>
    </row>
    <row r="498" spans="1:10" x14ac:dyDescent="0.2">
      <c r="A498">
        <v>226913624851</v>
      </c>
      <c r="B498" t="s">
        <v>1727</v>
      </c>
      <c r="C498" t="s">
        <v>1728</v>
      </c>
      <c r="D498">
        <v>2.99</v>
      </c>
      <c r="F498" t="str">
        <f t="shared" si="35"/>
        <v>No</v>
      </c>
      <c r="G498" t="str">
        <f t="shared" si="36"/>
        <v/>
      </c>
      <c r="H498" t="str">
        <f t="shared" si="37"/>
        <v>—</v>
      </c>
      <c r="I498" t="str">
        <f t="shared" si="38"/>
        <v>Below thresholds</v>
      </c>
      <c r="J498" t="str">
        <f t="shared" si="39"/>
        <v/>
      </c>
    </row>
    <row r="499" spans="1:10" x14ac:dyDescent="0.2">
      <c r="A499">
        <v>226913624868</v>
      </c>
      <c r="B499" t="s">
        <v>1729</v>
      </c>
      <c r="C499" t="s">
        <v>1730</v>
      </c>
      <c r="D499">
        <v>2.99</v>
      </c>
      <c r="F499" t="str">
        <f t="shared" si="35"/>
        <v>No</v>
      </c>
      <c r="G499" t="str">
        <f t="shared" si="36"/>
        <v/>
      </c>
      <c r="H499" t="str">
        <f t="shared" si="37"/>
        <v>—</v>
      </c>
      <c r="I499" t="str">
        <f t="shared" si="38"/>
        <v>Below thresholds</v>
      </c>
      <c r="J499" t="str">
        <f t="shared" si="39"/>
        <v/>
      </c>
    </row>
    <row r="500" spans="1:10" x14ac:dyDescent="0.2">
      <c r="A500">
        <v>226913624906</v>
      </c>
      <c r="B500" t="s">
        <v>1731</v>
      </c>
      <c r="C500" t="s">
        <v>1732</v>
      </c>
      <c r="D500">
        <v>39</v>
      </c>
      <c r="F500" t="str">
        <f t="shared" si="35"/>
        <v>No</v>
      </c>
      <c r="G500" t="str">
        <f t="shared" si="36"/>
        <v/>
      </c>
      <c r="H500" t="str">
        <f t="shared" si="37"/>
        <v>—</v>
      </c>
      <c r="I500" t="str">
        <f t="shared" si="38"/>
        <v>$20+ — needs velocity check</v>
      </c>
      <c r="J500" t="str">
        <f t="shared" si="39"/>
        <v>YES — pull CardHedger</v>
      </c>
    </row>
    <row r="501" spans="1:10" x14ac:dyDescent="0.2">
      <c r="A501">
        <v>226913624969</v>
      </c>
      <c r="B501" t="s">
        <v>1733</v>
      </c>
      <c r="C501" t="s">
        <v>1734</v>
      </c>
      <c r="D501">
        <v>2.95</v>
      </c>
      <c r="F501" t="str">
        <f t="shared" si="35"/>
        <v>No</v>
      </c>
      <c r="G501" t="str">
        <f t="shared" si="36"/>
        <v/>
      </c>
      <c r="H501" t="str">
        <f t="shared" si="37"/>
        <v>—</v>
      </c>
      <c r="I501" t="str">
        <f t="shared" si="38"/>
        <v>Below thresholds</v>
      </c>
      <c r="J501" t="str">
        <f t="shared" si="39"/>
        <v/>
      </c>
    </row>
    <row r="502" spans="1:10" x14ac:dyDescent="0.2">
      <c r="A502">
        <v>226913624998</v>
      </c>
      <c r="B502" t="s">
        <v>1735</v>
      </c>
      <c r="C502" t="s">
        <v>1736</v>
      </c>
      <c r="D502">
        <v>2.99</v>
      </c>
      <c r="F502" t="str">
        <f t="shared" si="35"/>
        <v>No</v>
      </c>
      <c r="G502" t="str">
        <f t="shared" si="36"/>
        <v/>
      </c>
      <c r="H502" t="str">
        <f t="shared" si="37"/>
        <v>—</v>
      </c>
      <c r="I502" t="str">
        <f t="shared" si="38"/>
        <v>Below thresholds</v>
      </c>
      <c r="J502" t="str">
        <f t="shared" si="39"/>
        <v/>
      </c>
    </row>
    <row r="503" spans="1:10" x14ac:dyDescent="0.2">
      <c r="A503">
        <v>226913625064</v>
      </c>
      <c r="B503" t="s">
        <v>1737</v>
      </c>
      <c r="C503" t="s">
        <v>1738</v>
      </c>
      <c r="D503">
        <v>2.4900000000000002</v>
      </c>
      <c r="F503" t="str">
        <f t="shared" si="35"/>
        <v>No</v>
      </c>
      <c r="G503" t="str">
        <f t="shared" si="36"/>
        <v/>
      </c>
      <c r="H503" t="str">
        <f t="shared" si="37"/>
        <v>—</v>
      </c>
      <c r="I503" t="str">
        <f t="shared" si="38"/>
        <v>Below thresholds</v>
      </c>
      <c r="J503" t="str">
        <f t="shared" si="39"/>
        <v/>
      </c>
    </row>
    <row r="504" spans="1:10" x14ac:dyDescent="0.2">
      <c r="A504">
        <v>226913716633</v>
      </c>
      <c r="B504" t="s">
        <v>1739</v>
      </c>
      <c r="C504" t="s">
        <v>1740</v>
      </c>
      <c r="D504">
        <v>12.99</v>
      </c>
      <c r="F504" t="str">
        <f t="shared" si="35"/>
        <v>No</v>
      </c>
      <c r="G504" t="str">
        <f t="shared" si="36"/>
        <v/>
      </c>
      <c r="H504" t="str">
        <f t="shared" si="37"/>
        <v>—</v>
      </c>
      <c r="I504" t="str">
        <f t="shared" si="38"/>
        <v>Below thresholds</v>
      </c>
      <c r="J504" t="str">
        <f t="shared" si="39"/>
        <v/>
      </c>
    </row>
    <row r="505" spans="1:10" x14ac:dyDescent="0.2">
      <c r="A505">
        <v>226913777651</v>
      </c>
      <c r="B505" t="s">
        <v>1741</v>
      </c>
      <c r="C505" t="s">
        <v>1742</v>
      </c>
      <c r="D505">
        <v>7.25</v>
      </c>
      <c r="F505" t="str">
        <f t="shared" si="35"/>
        <v>No</v>
      </c>
      <c r="G505" t="str">
        <f t="shared" si="36"/>
        <v/>
      </c>
      <c r="H505" t="str">
        <f t="shared" si="37"/>
        <v>—</v>
      </c>
      <c r="I505" t="str">
        <f t="shared" si="38"/>
        <v>Below thresholds</v>
      </c>
      <c r="J505" t="str">
        <f t="shared" si="39"/>
        <v/>
      </c>
    </row>
    <row r="506" spans="1:10" x14ac:dyDescent="0.2">
      <c r="A506">
        <v>226913777733</v>
      </c>
      <c r="B506" t="s">
        <v>1743</v>
      </c>
      <c r="C506" t="s">
        <v>1744</v>
      </c>
      <c r="D506">
        <v>6.99</v>
      </c>
      <c r="F506" t="str">
        <f t="shared" si="35"/>
        <v>No</v>
      </c>
      <c r="G506" t="str">
        <f t="shared" si="36"/>
        <v/>
      </c>
      <c r="H506" t="str">
        <f t="shared" si="37"/>
        <v>—</v>
      </c>
      <c r="I506" t="str">
        <f t="shared" si="38"/>
        <v>Below thresholds</v>
      </c>
      <c r="J506" t="str">
        <f t="shared" si="39"/>
        <v/>
      </c>
    </row>
    <row r="507" spans="1:10" x14ac:dyDescent="0.2">
      <c r="A507">
        <v>226913777739</v>
      </c>
      <c r="B507" t="s">
        <v>1745</v>
      </c>
      <c r="C507" t="s">
        <v>1746</v>
      </c>
      <c r="D507">
        <v>3.29</v>
      </c>
      <c r="F507" t="str">
        <f t="shared" si="35"/>
        <v>No</v>
      </c>
      <c r="G507" t="str">
        <f t="shared" si="36"/>
        <v/>
      </c>
      <c r="H507" t="str">
        <f t="shared" si="37"/>
        <v>—</v>
      </c>
      <c r="I507" t="str">
        <f t="shared" si="38"/>
        <v>Below thresholds</v>
      </c>
      <c r="J507" t="str">
        <f t="shared" si="39"/>
        <v/>
      </c>
    </row>
    <row r="508" spans="1:10" x14ac:dyDescent="0.2">
      <c r="A508">
        <v>226913777771</v>
      </c>
      <c r="B508" t="s">
        <v>1747</v>
      </c>
      <c r="C508" t="s">
        <v>1748</v>
      </c>
      <c r="D508">
        <v>10</v>
      </c>
      <c r="F508" t="str">
        <f t="shared" si="35"/>
        <v>No</v>
      </c>
      <c r="G508" t="str">
        <f t="shared" si="36"/>
        <v/>
      </c>
      <c r="H508" t="str">
        <f t="shared" si="37"/>
        <v>—</v>
      </c>
      <c r="I508" t="str">
        <f t="shared" si="38"/>
        <v>Below thresholds</v>
      </c>
      <c r="J508" t="str">
        <f t="shared" si="39"/>
        <v/>
      </c>
    </row>
    <row r="509" spans="1:10" x14ac:dyDescent="0.2">
      <c r="A509">
        <v>226913777773</v>
      </c>
      <c r="B509" t="s">
        <v>1749</v>
      </c>
      <c r="C509" t="s">
        <v>1750</v>
      </c>
      <c r="D509">
        <v>26</v>
      </c>
      <c r="F509" t="str">
        <f t="shared" si="35"/>
        <v>No</v>
      </c>
      <c r="G509" t="str">
        <f t="shared" si="36"/>
        <v/>
      </c>
      <c r="H509" t="str">
        <f t="shared" si="37"/>
        <v>—</v>
      </c>
      <c r="I509" t="str">
        <f t="shared" si="38"/>
        <v>$20+ — needs velocity check</v>
      </c>
      <c r="J509" t="str">
        <f t="shared" si="39"/>
        <v>YES — pull CardHedger</v>
      </c>
    </row>
    <row r="510" spans="1:10" x14ac:dyDescent="0.2">
      <c r="A510">
        <v>226913777837</v>
      </c>
      <c r="B510" t="s">
        <v>1751</v>
      </c>
      <c r="C510" t="s">
        <v>1752</v>
      </c>
      <c r="D510">
        <v>30</v>
      </c>
      <c r="F510" t="str">
        <f t="shared" si="35"/>
        <v>No</v>
      </c>
      <c r="G510" t="str">
        <f t="shared" si="36"/>
        <v/>
      </c>
      <c r="H510" t="str">
        <f t="shared" si="37"/>
        <v>—</v>
      </c>
      <c r="I510" t="str">
        <f t="shared" si="38"/>
        <v>$20+ — needs velocity check</v>
      </c>
      <c r="J510" t="str">
        <f t="shared" si="39"/>
        <v>YES — pull CardHedger</v>
      </c>
    </row>
    <row r="511" spans="1:10" x14ac:dyDescent="0.2">
      <c r="A511">
        <v>226913801474</v>
      </c>
      <c r="B511" t="s">
        <v>1753</v>
      </c>
      <c r="C511" t="s">
        <v>1754</v>
      </c>
      <c r="D511">
        <v>6.99</v>
      </c>
      <c r="F511" t="str">
        <f t="shared" si="35"/>
        <v>No</v>
      </c>
      <c r="G511" t="str">
        <f t="shared" si="36"/>
        <v/>
      </c>
      <c r="H511" t="str">
        <f t="shared" si="37"/>
        <v>—</v>
      </c>
      <c r="I511" t="str">
        <f t="shared" si="38"/>
        <v>Below thresholds</v>
      </c>
      <c r="J511" t="str">
        <f t="shared" si="39"/>
        <v/>
      </c>
    </row>
    <row r="512" spans="1:10" x14ac:dyDescent="0.2">
      <c r="A512">
        <v>226914140552</v>
      </c>
      <c r="B512" t="s">
        <v>1755</v>
      </c>
      <c r="C512" t="s">
        <v>1756</v>
      </c>
      <c r="D512">
        <v>3.99</v>
      </c>
      <c r="F512" t="str">
        <f t="shared" si="35"/>
        <v>No</v>
      </c>
      <c r="G512" t="str">
        <f t="shared" si="36"/>
        <v/>
      </c>
      <c r="H512" t="str">
        <f t="shared" si="37"/>
        <v>—</v>
      </c>
      <c r="I512" t="str">
        <f t="shared" si="38"/>
        <v>Below thresholds</v>
      </c>
      <c r="J512" t="str">
        <f t="shared" si="39"/>
        <v/>
      </c>
    </row>
    <row r="513" spans="1:10" x14ac:dyDescent="0.2">
      <c r="A513">
        <v>226914140598</v>
      </c>
      <c r="B513" t="s">
        <v>1757</v>
      </c>
      <c r="C513" t="s">
        <v>1758</v>
      </c>
      <c r="D513">
        <v>3</v>
      </c>
      <c r="F513" t="str">
        <f t="shared" si="35"/>
        <v>No</v>
      </c>
      <c r="G513" t="str">
        <f t="shared" si="36"/>
        <v/>
      </c>
      <c r="H513" t="str">
        <f t="shared" si="37"/>
        <v>—</v>
      </c>
      <c r="I513" t="str">
        <f t="shared" si="38"/>
        <v>Below thresholds</v>
      </c>
      <c r="J513" t="str">
        <f t="shared" si="39"/>
        <v/>
      </c>
    </row>
    <row r="514" spans="1:10" x14ac:dyDescent="0.2">
      <c r="A514">
        <v>226914140623</v>
      </c>
      <c r="B514" t="s">
        <v>1759</v>
      </c>
      <c r="C514" t="s">
        <v>1760</v>
      </c>
      <c r="D514">
        <v>2.79</v>
      </c>
      <c r="F514" t="str">
        <f t="shared" si="35"/>
        <v>No</v>
      </c>
      <c r="G514" t="str">
        <f t="shared" si="36"/>
        <v/>
      </c>
      <c r="H514" t="str">
        <f t="shared" si="37"/>
        <v>—</v>
      </c>
      <c r="I514" t="str">
        <f t="shared" si="38"/>
        <v>Below thresholds</v>
      </c>
      <c r="J514" t="str">
        <f t="shared" si="39"/>
        <v/>
      </c>
    </row>
    <row r="515" spans="1:10" x14ac:dyDescent="0.2">
      <c r="A515">
        <v>226914140629</v>
      </c>
      <c r="B515" t="s">
        <v>1761</v>
      </c>
      <c r="C515" t="s">
        <v>1762</v>
      </c>
      <c r="D515">
        <v>9.99</v>
      </c>
      <c r="F515" t="str">
        <f t="shared" si="35"/>
        <v>No</v>
      </c>
      <c r="G515" t="str">
        <f t="shared" si="36"/>
        <v/>
      </c>
      <c r="H515" t="str">
        <f t="shared" si="37"/>
        <v>—</v>
      </c>
      <c r="I515" t="str">
        <f t="shared" si="38"/>
        <v>Below thresholds</v>
      </c>
      <c r="J515" t="str">
        <f t="shared" si="39"/>
        <v/>
      </c>
    </row>
    <row r="516" spans="1:10" x14ac:dyDescent="0.2">
      <c r="A516">
        <v>226914140662</v>
      </c>
      <c r="B516" t="s">
        <v>1763</v>
      </c>
      <c r="C516" t="s">
        <v>1764</v>
      </c>
      <c r="D516">
        <v>2.4500000000000002</v>
      </c>
      <c r="F516" t="str">
        <f t="shared" si="35"/>
        <v>No</v>
      </c>
      <c r="G516" t="str">
        <f t="shared" si="36"/>
        <v/>
      </c>
      <c r="H516" t="str">
        <f t="shared" si="37"/>
        <v>—</v>
      </c>
      <c r="I516" t="str">
        <f t="shared" si="38"/>
        <v>Below thresholds</v>
      </c>
      <c r="J516" t="str">
        <f t="shared" si="39"/>
        <v/>
      </c>
    </row>
    <row r="517" spans="1:10" x14ac:dyDescent="0.2">
      <c r="A517">
        <v>226914140775</v>
      </c>
      <c r="B517" t="s">
        <v>1765</v>
      </c>
      <c r="C517" t="s">
        <v>1766</v>
      </c>
      <c r="D517">
        <v>2.4900000000000002</v>
      </c>
      <c r="F517" t="str">
        <f t="shared" ref="F517:F580" si="40">IF($B517="","",IF(ISNUMBER(SEARCH("PSA",$B517)),"Yes","No"))</f>
        <v>No</v>
      </c>
      <c r="G517" t="str">
        <f t="shared" ref="G517:G580" si="41">IF($B517="","",IF(ISNUMBER(SEARCH("PSA 10",$B517)),10,IF(ISNUMBER(SEARCH("PSA 9.5",$B517)),9.5,IF(ISNUMBER(SEARCH("PSA 9",$B517)),9,IF(ISNUMBER(SEARCH("PSA 8",$B517)),8,IF(ISNUMBER(SEARCH("PSA",$B517)),"&lt;9",""))))))</f>
        <v/>
      </c>
      <c r="H517" t="str">
        <f t="shared" ref="H517:H580" si="42">IF($B517="","",IF($D517&gt;=100,"TIER 2",IF(OR(ISNUMBER(SEARCH("PSA 10",$B517)),ISNUMBER(SEARCH("PSA 9.5",$B517)),ISNUMBER(SEARCH("PSA 9",$B517))),"TIER 3",IF(AND($D517&gt;20,N($E517)&gt;=15),"TIER 1","—"))))</f>
        <v>—</v>
      </c>
      <c r="I517" t="str">
        <f t="shared" ref="I517:I580" si="43">IF($B517="","",IF($D517&gt;=100,"Premium $100+ (auto)",IF(OR(ISNUMBER(SEARCH("PSA 10",$B517)),ISNUMBER(SEARCH("PSA 9.5",$B517)),ISNUMBER(SEARCH("PSA 9",$B517))),"Graded PSA 9+ (auto)",IF(AND($D517&gt;20,N($E517)&gt;=15),"Hot: $20+ &amp; "&amp;$E517&amp;"/day",IF($D517&gt;20,"$20+ — needs velocity check","Below thresholds")))))</f>
        <v>Below thresholds</v>
      </c>
      <c r="J517" t="str">
        <f t="shared" ref="J517:J580" si="44">IF($B517="","",IF(AND($D517&gt;20,$D517&lt;100,NOT(OR(ISNUMBER(SEARCH("PSA 10",$B517)),ISNUMBER(SEARCH("PSA 9.5",$B517)),ISNUMBER(SEARCH("PSA 9",$B517)))),$E517=""),"YES — pull CardHedger",""))</f>
        <v/>
      </c>
    </row>
    <row r="518" spans="1:10" x14ac:dyDescent="0.2">
      <c r="A518">
        <v>226914140782</v>
      </c>
      <c r="B518" t="s">
        <v>1767</v>
      </c>
      <c r="C518" t="s">
        <v>1768</v>
      </c>
      <c r="D518">
        <v>10.99</v>
      </c>
      <c r="F518" t="str">
        <f t="shared" si="40"/>
        <v>No</v>
      </c>
      <c r="G518" t="str">
        <f t="shared" si="41"/>
        <v/>
      </c>
      <c r="H518" t="str">
        <f t="shared" si="42"/>
        <v>—</v>
      </c>
      <c r="I518" t="str">
        <f t="shared" si="43"/>
        <v>Below thresholds</v>
      </c>
      <c r="J518" t="str">
        <f t="shared" si="44"/>
        <v/>
      </c>
    </row>
    <row r="519" spans="1:10" x14ac:dyDescent="0.2">
      <c r="A519">
        <v>226914140840</v>
      </c>
      <c r="B519" t="s">
        <v>1769</v>
      </c>
      <c r="C519" t="s">
        <v>1770</v>
      </c>
      <c r="D519">
        <v>3</v>
      </c>
      <c r="F519" t="str">
        <f t="shared" si="40"/>
        <v>No</v>
      </c>
      <c r="G519" t="str">
        <f t="shared" si="41"/>
        <v/>
      </c>
      <c r="H519" t="str">
        <f t="shared" si="42"/>
        <v>—</v>
      </c>
      <c r="I519" t="str">
        <f t="shared" si="43"/>
        <v>Below thresholds</v>
      </c>
      <c r="J519" t="str">
        <f t="shared" si="44"/>
        <v/>
      </c>
    </row>
    <row r="520" spans="1:10" x14ac:dyDescent="0.2">
      <c r="A520">
        <v>226914140844</v>
      </c>
      <c r="B520" t="s">
        <v>1771</v>
      </c>
      <c r="C520" t="s">
        <v>1772</v>
      </c>
      <c r="D520">
        <v>4.95</v>
      </c>
      <c r="F520" t="str">
        <f t="shared" si="40"/>
        <v>No</v>
      </c>
      <c r="G520" t="str">
        <f t="shared" si="41"/>
        <v/>
      </c>
      <c r="H520" t="str">
        <f t="shared" si="42"/>
        <v>—</v>
      </c>
      <c r="I520" t="str">
        <f t="shared" si="43"/>
        <v>Below thresholds</v>
      </c>
      <c r="J520" t="str">
        <f t="shared" si="44"/>
        <v/>
      </c>
    </row>
    <row r="521" spans="1:10" x14ac:dyDescent="0.2">
      <c r="A521">
        <v>226914345066</v>
      </c>
      <c r="B521" t="s">
        <v>1773</v>
      </c>
      <c r="C521" t="s">
        <v>1774</v>
      </c>
      <c r="D521">
        <v>15</v>
      </c>
      <c r="F521" t="str">
        <f t="shared" si="40"/>
        <v>No</v>
      </c>
      <c r="G521" t="str">
        <f t="shared" si="41"/>
        <v/>
      </c>
      <c r="H521" t="str">
        <f t="shared" si="42"/>
        <v>—</v>
      </c>
      <c r="I521" t="str">
        <f t="shared" si="43"/>
        <v>Below thresholds</v>
      </c>
      <c r="J521" t="str">
        <f t="shared" si="44"/>
        <v/>
      </c>
    </row>
    <row r="522" spans="1:10" x14ac:dyDescent="0.2">
      <c r="A522">
        <v>226914345111</v>
      </c>
      <c r="B522" t="s">
        <v>1775</v>
      </c>
      <c r="C522" t="s">
        <v>1776</v>
      </c>
      <c r="D522">
        <v>2.4900000000000002</v>
      </c>
      <c r="F522" t="str">
        <f t="shared" si="40"/>
        <v>No</v>
      </c>
      <c r="G522" t="str">
        <f t="shared" si="41"/>
        <v/>
      </c>
      <c r="H522" t="str">
        <f t="shared" si="42"/>
        <v>—</v>
      </c>
      <c r="I522" t="str">
        <f t="shared" si="43"/>
        <v>Below thresholds</v>
      </c>
      <c r="J522" t="str">
        <f t="shared" si="44"/>
        <v/>
      </c>
    </row>
    <row r="523" spans="1:10" x14ac:dyDescent="0.2">
      <c r="A523">
        <v>226914345117</v>
      </c>
      <c r="B523" t="s">
        <v>1777</v>
      </c>
      <c r="C523" t="s">
        <v>1778</v>
      </c>
      <c r="D523">
        <v>1.99</v>
      </c>
      <c r="F523" t="str">
        <f t="shared" si="40"/>
        <v>No</v>
      </c>
      <c r="G523" t="str">
        <f t="shared" si="41"/>
        <v/>
      </c>
      <c r="H523" t="str">
        <f t="shared" si="42"/>
        <v>—</v>
      </c>
      <c r="I523" t="str">
        <f t="shared" si="43"/>
        <v>Below thresholds</v>
      </c>
      <c r="J523" t="str">
        <f t="shared" si="44"/>
        <v/>
      </c>
    </row>
    <row r="524" spans="1:10" x14ac:dyDescent="0.2">
      <c r="A524">
        <v>226914345165</v>
      </c>
      <c r="B524" t="s">
        <v>1779</v>
      </c>
      <c r="C524" t="s">
        <v>1780</v>
      </c>
      <c r="D524">
        <v>3.25</v>
      </c>
      <c r="F524" t="str">
        <f t="shared" si="40"/>
        <v>No</v>
      </c>
      <c r="G524" t="str">
        <f t="shared" si="41"/>
        <v/>
      </c>
      <c r="H524" t="str">
        <f t="shared" si="42"/>
        <v>—</v>
      </c>
      <c r="I524" t="str">
        <f t="shared" si="43"/>
        <v>Below thresholds</v>
      </c>
      <c r="J524" t="str">
        <f t="shared" si="44"/>
        <v/>
      </c>
    </row>
    <row r="525" spans="1:10" x14ac:dyDescent="0.2">
      <c r="A525">
        <v>226914345231</v>
      </c>
      <c r="B525" t="s">
        <v>1781</v>
      </c>
      <c r="C525" t="s">
        <v>1782</v>
      </c>
      <c r="D525">
        <v>1.99</v>
      </c>
      <c r="F525" t="str">
        <f t="shared" si="40"/>
        <v>No</v>
      </c>
      <c r="G525" t="str">
        <f t="shared" si="41"/>
        <v/>
      </c>
      <c r="H525" t="str">
        <f t="shared" si="42"/>
        <v>—</v>
      </c>
      <c r="I525" t="str">
        <f t="shared" si="43"/>
        <v>Below thresholds</v>
      </c>
      <c r="J525" t="str">
        <f t="shared" si="44"/>
        <v/>
      </c>
    </row>
    <row r="526" spans="1:10" x14ac:dyDescent="0.2">
      <c r="A526">
        <v>226914345243</v>
      </c>
      <c r="B526" t="s">
        <v>1783</v>
      </c>
      <c r="C526" t="s">
        <v>1784</v>
      </c>
      <c r="D526">
        <v>2.25</v>
      </c>
      <c r="F526" t="str">
        <f t="shared" si="40"/>
        <v>No</v>
      </c>
      <c r="G526" t="str">
        <f t="shared" si="41"/>
        <v/>
      </c>
      <c r="H526" t="str">
        <f t="shared" si="42"/>
        <v>—</v>
      </c>
      <c r="I526" t="str">
        <f t="shared" si="43"/>
        <v>Below thresholds</v>
      </c>
      <c r="J526" t="str">
        <f t="shared" si="44"/>
        <v/>
      </c>
    </row>
    <row r="527" spans="1:10" x14ac:dyDescent="0.2">
      <c r="A527">
        <v>226914345285</v>
      </c>
      <c r="B527" t="s">
        <v>1785</v>
      </c>
      <c r="C527" t="s">
        <v>1786</v>
      </c>
      <c r="D527">
        <v>1.99</v>
      </c>
      <c r="F527" t="str">
        <f t="shared" si="40"/>
        <v>No</v>
      </c>
      <c r="G527" t="str">
        <f t="shared" si="41"/>
        <v/>
      </c>
      <c r="H527" t="str">
        <f t="shared" si="42"/>
        <v>—</v>
      </c>
      <c r="I527" t="str">
        <f t="shared" si="43"/>
        <v>Below thresholds</v>
      </c>
      <c r="J527" t="str">
        <f t="shared" si="44"/>
        <v/>
      </c>
    </row>
    <row r="528" spans="1:10" x14ac:dyDescent="0.2">
      <c r="A528">
        <v>226914345370</v>
      </c>
      <c r="B528" t="s">
        <v>1787</v>
      </c>
      <c r="C528" t="s">
        <v>1788</v>
      </c>
      <c r="D528">
        <v>2.4900000000000002</v>
      </c>
      <c r="F528" t="str">
        <f t="shared" si="40"/>
        <v>No</v>
      </c>
      <c r="G528" t="str">
        <f t="shared" si="41"/>
        <v/>
      </c>
      <c r="H528" t="str">
        <f t="shared" si="42"/>
        <v>—</v>
      </c>
      <c r="I528" t="str">
        <f t="shared" si="43"/>
        <v>Below thresholds</v>
      </c>
      <c r="J528" t="str">
        <f t="shared" si="44"/>
        <v/>
      </c>
    </row>
    <row r="529" spans="1:10" x14ac:dyDescent="0.2">
      <c r="A529">
        <v>226914345373</v>
      </c>
      <c r="B529" t="s">
        <v>1789</v>
      </c>
      <c r="C529" t="s">
        <v>1790</v>
      </c>
      <c r="D529">
        <v>7.45</v>
      </c>
      <c r="F529" t="str">
        <f t="shared" si="40"/>
        <v>No</v>
      </c>
      <c r="G529" t="str">
        <f t="shared" si="41"/>
        <v/>
      </c>
      <c r="H529" t="str">
        <f t="shared" si="42"/>
        <v>—</v>
      </c>
      <c r="I529" t="str">
        <f t="shared" si="43"/>
        <v>Below thresholds</v>
      </c>
      <c r="J529" t="str">
        <f t="shared" si="44"/>
        <v/>
      </c>
    </row>
    <row r="530" spans="1:10" x14ac:dyDescent="0.2">
      <c r="A530">
        <v>226914345405</v>
      </c>
      <c r="B530" t="s">
        <v>1791</v>
      </c>
      <c r="C530" t="s">
        <v>1792</v>
      </c>
      <c r="D530">
        <v>2.89</v>
      </c>
      <c r="F530" t="str">
        <f t="shared" si="40"/>
        <v>No</v>
      </c>
      <c r="G530" t="str">
        <f t="shared" si="41"/>
        <v/>
      </c>
      <c r="H530" t="str">
        <f t="shared" si="42"/>
        <v>—</v>
      </c>
      <c r="I530" t="str">
        <f t="shared" si="43"/>
        <v>Below thresholds</v>
      </c>
      <c r="J530" t="str">
        <f t="shared" si="44"/>
        <v/>
      </c>
    </row>
    <row r="531" spans="1:10" x14ac:dyDescent="0.2">
      <c r="A531">
        <v>226914345585</v>
      </c>
      <c r="B531" t="s">
        <v>1793</v>
      </c>
      <c r="C531" t="s">
        <v>1794</v>
      </c>
      <c r="D531">
        <v>1.99</v>
      </c>
      <c r="F531" t="str">
        <f t="shared" si="40"/>
        <v>No</v>
      </c>
      <c r="G531" t="str">
        <f t="shared" si="41"/>
        <v/>
      </c>
      <c r="H531" t="str">
        <f t="shared" si="42"/>
        <v>—</v>
      </c>
      <c r="I531" t="str">
        <f t="shared" si="43"/>
        <v>Below thresholds</v>
      </c>
      <c r="J531" t="str">
        <f t="shared" si="44"/>
        <v/>
      </c>
    </row>
    <row r="532" spans="1:10" x14ac:dyDescent="0.2">
      <c r="A532">
        <v>226914345601</v>
      </c>
      <c r="B532" t="s">
        <v>1795</v>
      </c>
      <c r="C532" t="s">
        <v>1796</v>
      </c>
      <c r="D532">
        <v>1.99</v>
      </c>
      <c r="F532" t="str">
        <f t="shared" si="40"/>
        <v>No</v>
      </c>
      <c r="G532" t="str">
        <f t="shared" si="41"/>
        <v/>
      </c>
      <c r="H532" t="str">
        <f t="shared" si="42"/>
        <v>—</v>
      </c>
      <c r="I532" t="str">
        <f t="shared" si="43"/>
        <v>Below thresholds</v>
      </c>
      <c r="J532" t="str">
        <f t="shared" si="44"/>
        <v/>
      </c>
    </row>
    <row r="533" spans="1:10" x14ac:dyDescent="0.2">
      <c r="A533">
        <v>226914345673</v>
      </c>
      <c r="B533" t="s">
        <v>1797</v>
      </c>
      <c r="C533" t="s">
        <v>1798</v>
      </c>
      <c r="D533">
        <v>1.99</v>
      </c>
      <c r="F533" t="str">
        <f t="shared" si="40"/>
        <v>No</v>
      </c>
      <c r="G533" t="str">
        <f t="shared" si="41"/>
        <v/>
      </c>
      <c r="H533" t="str">
        <f t="shared" si="42"/>
        <v>—</v>
      </c>
      <c r="I533" t="str">
        <f t="shared" si="43"/>
        <v>Below thresholds</v>
      </c>
      <c r="J533" t="str">
        <f t="shared" si="44"/>
        <v/>
      </c>
    </row>
    <row r="534" spans="1:10" x14ac:dyDescent="0.2">
      <c r="A534">
        <v>226915961953</v>
      </c>
      <c r="B534" t="s">
        <v>1799</v>
      </c>
      <c r="C534" t="s">
        <v>1800</v>
      </c>
      <c r="D534">
        <v>1.99</v>
      </c>
      <c r="F534" t="str">
        <f t="shared" si="40"/>
        <v>No</v>
      </c>
      <c r="G534" t="str">
        <f t="shared" si="41"/>
        <v/>
      </c>
      <c r="H534" t="str">
        <f t="shared" si="42"/>
        <v>—</v>
      </c>
      <c r="I534" t="str">
        <f t="shared" si="43"/>
        <v>Below thresholds</v>
      </c>
      <c r="J534" t="str">
        <f t="shared" si="44"/>
        <v/>
      </c>
    </row>
    <row r="535" spans="1:10" x14ac:dyDescent="0.2">
      <c r="A535">
        <v>226915961955</v>
      </c>
      <c r="B535" t="s">
        <v>1801</v>
      </c>
      <c r="C535" t="s">
        <v>1802</v>
      </c>
      <c r="D535">
        <v>1.99</v>
      </c>
      <c r="F535" t="str">
        <f t="shared" si="40"/>
        <v>No</v>
      </c>
      <c r="G535" t="str">
        <f t="shared" si="41"/>
        <v/>
      </c>
      <c r="H535" t="str">
        <f t="shared" si="42"/>
        <v>—</v>
      </c>
      <c r="I535" t="str">
        <f t="shared" si="43"/>
        <v>Below thresholds</v>
      </c>
      <c r="J535" t="str">
        <f t="shared" si="44"/>
        <v/>
      </c>
    </row>
    <row r="536" spans="1:10" x14ac:dyDescent="0.2">
      <c r="A536">
        <v>226915962002</v>
      </c>
      <c r="B536" t="s">
        <v>1803</v>
      </c>
      <c r="C536" t="s">
        <v>1804</v>
      </c>
      <c r="D536">
        <v>1.99</v>
      </c>
      <c r="F536" t="str">
        <f t="shared" si="40"/>
        <v>No</v>
      </c>
      <c r="G536" t="str">
        <f t="shared" si="41"/>
        <v/>
      </c>
      <c r="H536" t="str">
        <f t="shared" si="42"/>
        <v>—</v>
      </c>
      <c r="I536" t="str">
        <f t="shared" si="43"/>
        <v>Below thresholds</v>
      </c>
      <c r="J536" t="str">
        <f t="shared" si="44"/>
        <v/>
      </c>
    </row>
    <row r="537" spans="1:10" x14ac:dyDescent="0.2">
      <c r="A537">
        <v>226915962004</v>
      </c>
      <c r="B537" t="s">
        <v>1805</v>
      </c>
      <c r="C537" t="s">
        <v>1806</v>
      </c>
      <c r="D537">
        <v>1.99</v>
      </c>
      <c r="F537" t="str">
        <f t="shared" si="40"/>
        <v>No</v>
      </c>
      <c r="G537" t="str">
        <f t="shared" si="41"/>
        <v/>
      </c>
      <c r="H537" t="str">
        <f t="shared" si="42"/>
        <v>—</v>
      </c>
      <c r="I537" t="str">
        <f t="shared" si="43"/>
        <v>Below thresholds</v>
      </c>
      <c r="J537" t="str">
        <f t="shared" si="44"/>
        <v/>
      </c>
    </row>
    <row r="538" spans="1:10" x14ac:dyDescent="0.2">
      <c r="A538">
        <v>226915962046</v>
      </c>
      <c r="B538" t="s">
        <v>1807</v>
      </c>
      <c r="C538" t="s">
        <v>1808</v>
      </c>
      <c r="D538">
        <v>1.99</v>
      </c>
      <c r="F538" t="str">
        <f t="shared" si="40"/>
        <v>No</v>
      </c>
      <c r="G538" t="str">
        <f t="shared" si="41"/>
        <v/>
      </c>
      <c r="H538" t="str">
        <f t="shared" si="42"/>
        <v>—</v>
      </c>
      <c r="I538" t="str">
        <f t="shared" si="43"/>
        <v>Below thresholds</v>
      </c>
      <c r="J538" t="str">
        <f t="shared" si="44"/>
        <v/>
      </c>
    </row>
    <row r="539" spans="1:10" x14ac:dyDescent="0.2">
      <c r="A539">
        <v>226915962070</v>
      </c>
      <c r="B539" t="s">
        <v>1809</v>
      </c>
      <c r="C539" t="s">
        <v>1810</v>
      </c>
      <c r="D539">
        <v>2.25</v>
      </c>
      <c r="F539" t="str">
        <f t="shared" si="40"/>
        <v>No</v>
      </c>
      <c r="G539" t="str">
        <f t="shared" si="41"/>
        <v/>
      </c>
      <c r="H539" t="str">
        <f t="shared" si="42"/>
        <v>—</v>
      </c>
      <c r="I539" t="str">
        <f t="shared" si="43"/>
        <v>Below thresholds</v>
      </c>
      <c r="J539" t="str">
        <f t="shared" si="44"/>
        <v/>
      </c>
    </row>
    <row r="540" spans="1:10" x14ac:dyDescent="0.2">
      <c r="A540">
        <v>226915962117</v>
      </c>
      <c r="B540" t="s">
        <v>1811</v>
      </c>
      <c r="C540" t="s">
        <v>1812</v>
      </c>
      <c r="D540">
        <v>2.25</v>
      </c>
      <c r="F540" t="str">
        <f t="shared" si="40"/>
        <v>No</v>
      </c>
      <c r="G540" t="str">
        <f t="shared" si="41"/>
        <v/>
      </c>
      <c r="H540" t="str">
        <f t="shared" si="42"/>
        <v>—</v>
      </c>
      <c r="I540" t="str">
        <f t="shared" si="43"/>
        <v>Below thresholds</v>
      </c>
      <c r="J540" t="str">
        <f t="shared" si="44"/>
        <v/>
      </c>
    </row>
    <row r="541" spans="1:10" x14ac:dyDescent="0.2">
      <c r="A541">
        <v>226915962144</v>
      </c>
      <c r="B541" t="s">
        <v>1813</v>
      </c>
      <c r="C541" t="s">
        <v>1814</v>
      </c>
      <c r="D541">
        <v>1.99</v>
      </c>
      <c r="F541" t="str">
        <f t="shared" si="40"/>
        <v>No</v>
      </c>
      <c r="G541" t="str">
        <f t="shared" si="41"/>
        <v/>
      </c>
      <c r="H541" t="str">
        <f t="shared" si="42"/>
        <v>—</v>
      </c>
      <c r="I541" t="str">
        <f t="shared" si="43"/>
        <v>Below thresholds</v>
      </c>
      <c r="J541" t="str">
        <f t="shared" si="44"/>
        <v/>
      </c>
    </row>
    <row r="542" spans="1:10" x14ac:dyDescent="0.2">
      <c r="A542">
        <v>226915962195</v>
      </c>
      <c r="B542" t="s">
        <v>1815</v>
      </c>
      <c r="C542" t="s">
        <v>1816</v>
      </c>
      <c r="D542">
        <v>2.25</v>
      </c>
      <c r="F542" t="str">
        <f t="shared" si="40"/>
        <v>No</v>
      </c>
      <c r="G542" t="str">
        <f t="shared" si="41"/>
        <v/>
      </c>
      <c r="H542" t="str">
        <f t="shared" si="42"/>
        <v>—</v>
      </c>
      <c r="I542" t="str">
        <f t="shared" si="43"/>
        <v>Below thresholds</v>
      </c>
      <c r="J542" t="str">
        <f t="shared" si="44"/>
        <v/>
      </c>
    </row>
    <row r="543" spans="1:10" x14ac:dyDescent="0.2">
      <c r="A543">
        <v>226915962248</v>
      </c>
      <c r="B543" t="s">
        <v>1817</v>
      </c>
      <c r="C543" t="s">
        <v>1818</v>
      </c>
      <c r="D543">
        <v>2.4900000000000002</v>
      </c>
      <c r="F543" t="str">
        <f t="shared" si="40"/>
        <v>No</v>
      </c>
      <c r="G543" t="str">
        <f t="shared" si="41"/>
        <v/>
      </c>
      <c r="H543" t="str">
        <f t="shared" si="42"/>
        <v>—</v>
      </c>
      <c r="I543" t="str">
        <f t="shared" si="43"/>
        <v>Below thresholds</v>
      </c>
      <c r="J543" t="str">
        <f t="shared" si="44"/>
        <v/>
      </c>
    </row>
    <row r="544" spans="1:10" x14ac:dyDescent="0.2">
      <c r="A544">
        <v>226915962266</v>
      </c>
      <c r="B544" t="s">
        <v>1819</v>
      </c>
      <c r="C544" t="s">
        <v>1820</v>
      </c>
      <c r="D544">
        <v>1.99</v>
      </c>
      <c r="F544" t="str">
        <f t="shared" si="40"/>
        <v>No</v>
      </c>
      <c r="G544" t="str">
        <f t="shared" si="41"/>
        <v/>
      </c>
      <c r="H544" t="str">
        <f t="shared" si="42"/>
        <v>—</v>
      </c>
      <c r="I544" t="str">
        <f t="shared" si="43"/>
        <v>Below thresholds</v>
      </c>
      <c r="J544" t="str">
        <f t="shared" si="44"/>
        <v/>
      </c>
    </row>
    <row r="545" spans="1:10" x14ac:dyDescent="0.2">
      <c r="A545">
        <v>226915962294</v>
      </c>
      <c r="B545" t="s">
        <v>1821</v>
      </c>
      <c r="C545" t="s">
        <v>1822</v>
      </c>
      <c r="D545">
        <v>3.25</v>
      </c>
      <c r="F545" t="str">
        <f t="shared" si="40"/>
        <v>No</v>
      </c>
      <c r="G545" t="str">
        <f t="shared" si="41"/>
        <v/>
      </c>
      <c r="H545" t="str">
        <f t="shared" si="42"/>
        <v>—</v>
      </c>
      <c r="I545" t="str">
        <f t="shared" si="43"/>
        <v>Below thresholds</v>
      </c>
      <c r="J545" t="str">
        <f t="shared" si="44"/>
        <v/>
      </c>
    </row>
    <row r="546" spans="1:10" x14ac:dyDescent="0.2">
      <c r="A546">
        <v>226915962305</v>
      </c>
      <c r="B546" t="s">
        <v>1823</v>
      </c>
      <c r="C546" t="s">
        <v>1824</v>
      </c>
      <c r="D546">
        <v>1.99</v>
      </c>
      <c r="F546" t="str">
        <f t="shared" si="40"/>
        <v>No</v>
      </c>
      <c r="G546" t="str">
        <f t="shared" si="41"/>
        <v/>
      </c>
      <c r="H546" t="str">
        <f t="shared" si="42"/>
        <v>—</v>
      </c>
      <c r="I546" t="str">
        <f t="shared" si="43"/>
        <v>Below thresholds</v>
      </c>
      <c r="J546" t="str">
        <f t="shared" si="44"/>
        <v/>
      </c>
    </row>
    <row r="547" spans="1:10" x14ac:dyDescent="0.2">
      <c r="A547">
        <v>226915962360</v>
      </c>
      <c r="B547" t="s">
        <v>1825</v>
      </c>
      <c r="C547" t="s">
        <v>1826</v>
      </c>
      <c r="D547">
        <v>1.99</v>
      </c>
      <c r="F547" t="str">
        <f t="shared" si="40"/>
        <v>No</v>
      </c>
      <c r="G547" t="str">
        <f t="shared" si="41"/>
        <v/>
      </c>
      <c r="H547" t="str">
        <f t="shared" si="42"/>
        <v>—</v>
      </c>
      <c r="I547" t="str">
        <f t="shared" si="43"/>
        <v>Below thresholds</v>
      </c>
      <c r="J547" t="str">
        <f t="shared" si="44"/>
        <v/>
      </c>
    </row>
    <row r="548" spans="1:10" x14ac:dyDescent="0.2">
      <c r="A548">
        <v>226915962472</v>
      </c>
      <c r="B548" t="s">
        <v>1827</v>
      </c>
      <c r="C548" t="s">
        <v>1828</v>
      </c>
      <c r="D548">
        <v>2.4900000000000002</v>
      </c>
      <c r="F548" t="str">
        <f t="shared" si="40"/>
        <v>No</v>
      </c>
      <c r="G548" t="str">
        <f t="shared" si="41"/>
        <v/>
      </c>
      <c r="H548" t="str">
        <f t="shared" si="42"/>
        <v>—</v>
      </c>
      <c r="I548" t="str">
        <f t="shared" si="43"/>
        <v>Below thresholds</v>
      </c>
      <c r="J548" t="str">
        <f t="shared" si="44"/>
        <v/>
      </c>
    </row>
    <row r="549" spans="1:10" x14ac:dyDescent="0.2">
      <c r="A549">
        <v>226915962477</v>
      </c>
      <c r="B549" t="s">
        <v>1829</v>
      </c>
      <c r="C549" t="s">
        <v>1830</v>
      </c>
      <c r="D549">
        <v>1.99</v>
      </c>
      <c r="F549" t="str">
        <f t="shared" si="40"/>
        <v>No</v>
      </c>
      <c r="G549" t="str">
        <f t="shared" si="41"/>
        <v/>
      </c>
      <c r="H549" t="str">
        <f t="shared" si="42"/>
        <v>—</v>
      </c>
      <c r="I549" t="str">
        <f t="shared" si="43"/>
        <v>Below thresholds</v>
      </c>
      <c r="J549" t="str">
        <f t="shared" si="44"/>
        <v/>
      </c>
    </row>
    <row r="550" spans="1:10" x14ac:dyDescent="0.2">
      <c r="A550">
        <v>226915962637</v>
      </c>
      <c r="B550" t="s">
        <v>1831</v>
      </c>
      <c r="C550" t="s">
        <v>1832</v>
      </c>
      <c r="D550">
        <v>2.25</v>
      </c>
      <c r="F550" t="str">
        <f t="shared" si="40"/>
        <v>No</v>
      </c>
      <c r="G550" t="str">
        <f t="shared" si="41"/>
        <v/>
      </c>
      <c r="H550" t="str">
        <f t="shared" si="42"/>
        <v>—</v>
      </c>
      <c r="I550" t="str">
        <f t="shared" si="43"/>
        <v>Below thresholds</v>
      </c>
      <c r="J550" t="str">
        <f t="shared" si="44"/>
        <v/>
      </c>
    </row>
    <row r="551" spans="1:10" x14ac:dyDescent="0.2">
      <c r="A551">
        <v>226915962741</v>
      </c>
      <c r="B551" t="s">
        <v>1833</v>
      </c>
      <c r="C551" t="s">
        <v>1834</v>
      </c>
      <c r="D551">
        <v>2.25</v>
      </c>
      <c r="F551" t="str">
        <f t="shared" si="40"/>
        <v>No</v>
      </c>
      <c r="G551" t="str">
        <f t="shared" si="41"/>
        <v/>
      </c>
      <c r="H551" t="str">
        <f t="shared" si="42"/>
        <v>—</v>
      </c>
      <c r="I551" t="str">
        <f t="shared" si="43"/>
        <v>Below thresholds</v>
      </c>
      <c r="J551" t="str">
        <f t="shared" si="44"/>
        <v/>
      </c>
    </row>
    <row r="552" spans="1:10" x14ac:dyDescent="0.2">
      <c r="A552">
        <v>226915962874</v>
      </c>
      <c r="B552" t="s">
        <v>1835</v>
      </c>
      <c r="C552" t="s">
        <v>1836</v>
      </c>
      <c r="D552">
        <v>1.99</v>
      </c>
      <c r="F552" t="str">
        <f t="shared" si="40"/>
        <v>No</v>
      </c>
      <c r="G552" t="str">
        <f t="shared" si="41"/>
        <v/>
      </c>
      <c r="H552" t="str">
        <f t="shared" si="42"/>
        <v>—</v>
      </c>
      <c r="I552" t="str">
        <f t="shared" si="43"/>
        <v>Below thresholds</v>
      </c>
      <c r="J552" t="str">
        <f t="shared" si="44"/>
        <v/>
      </c>
    </row>
    <row r="553" spans="1:10" x14ac:dyDescent="0.2">
      <c r="A553">
        <v>226915962878</v>
      </c>
      <c r="B553" t="s">
        <v>1837</v>
      </c>
      <c r="C553" t="s">
        <v>1838</v>
      </c>
      <c r="D553">
        <v>1.99</v>
      </c>
      <c r="F553" t="str">
        <f t="shared" si="40"/>
        <v>No</v>
      </c>
      <c r="G553" t="str">
        <f t="shared" si="41"/>
        <v/>
      </c>
      <c r="H553" t="str">
        <f t="shared" si="42"/>
        <v>—</v>
      </c>
      <c r="I553" t="str">
        <f t="shared" si="43"/>
        <v>Below thresholds</v>
      </c>
      <c r="J553" t="str">
        <f t="shared" si="44"/>
        <v/>
      </c>
    </row>
    <row r="554" spans="1:10" x14ac:dyDescent="0.2">
      <c r="A554">
        <v>226915963026</v>
      </c>
      <c r="B554" t="s">
        <v>1839</v>
      </c>
      <c r="C554" t="s">
        <v>1840</v>
      </c>
      <c r="D554">
        <v>1.99</v>
      </c>
      <c r="F554" t="str">
        <f t="shared" si="40"/>
        <v>No</v>
      </c>
      <c r="G554" t="str">
        <f t="shared" si="41"/>
        <v/>
      </c>
      <c r="H554" t="str">
        <f t="shared" si="42"/>
        <v>—</v>
      </c>
      <c r="I554" t="str">
        <f t="shared" si="43"/>
        <v>Below thresholds</v>
      </c>
      <c r="J554" t="str">
        <f t="shared" si="44"/>
        <v/>
      </c>
    </row>
    <row r="555" spans="1:10" x14ac:dyDescent="0.2">
      <c r="A555">
        <v>226915963204</v>
      </c>
      <c r="B555" t="s">
        <v>1841</v>
      </c>
      <c r="C555" t="s">
        <v>1842</v>
      </c>
      <c r="D555">
        <v>1.99</v>
      </c>
      <c r="F555" t="str">
        <f t="shared" si="40"/>
        <v>No</v>
      </c>
      <c r="G555" t="str">
        <f t="shared" si="41"/>
        <v/>
      </c>
      <c r="H555" t="str">
        <f t="shared" si="42"/>
        <v>—</v>
      </c>
      <c r="I555" t="str">
        <f t="shared" si="43"/>
        <v>Below thresholds</v>
      </c>
      <c r="J555" t="str">
        <f t="shared" si="44"/>
        <v/>
      </c>
    </row>
    <row r="556" spans="1:10" x14ac:dyDescent="0.2">
      <c r="A556">
        <v>226915963241</v>
      </c>
      <c r="B556" t="s">
        <v>1843</v>
      </c>
      <c r="C556" t="s">
        <v>1844</v>
      </c>
      <c r="D556">
        <v>1.99</v>
      </c>
      <c r="F556" t="str">
        <f t="shared" si="40"/>
        <v>No</v>
      </c>
      <c r="G556" t="str">
        <f t="shared" si="41"/>
        <v/>
      </c>
      <c r="H556" t="str">
        <f t="shared" si="42"/>
        <v>—</v>
      </c>
      <c r="I556" t="str">
        <f t="shared" si="43"/>
        <v>Below thresholds</v>
      </c>
      <c r="J556" t="str">
        <f t="shared" si="44"/>
        <v/>
      </c>
    </row>
    <row r="557" spans="1:10" x14ac:dyDescent="0.2">
      <c r="A557">
        <v>226915963327</v>
      </c>
      <c r="B557" t="s">
        <v>1845</v>
      </c>
      <c r="C557" t="s">
        <v>1846</v>
      </c>
      <c r="D557">
        <v>1.99</v>
      </c>
      <c r="F557" t="str">
        <f t="shared" si="40"/>
        <v>No</v>
      </c>
      <c r="G557" t="str">
        <f t="shared" si="41"/>
        <v/>
      </c>
      <c r="H557" t="str">
        <f t="shared" si="42"/>
        <v>—</v>
      </c>
      <c r="I557" t="str">
        <f t="shared" si="43"/>
        <v>Below thresholds</v>
      </c>
      <c r="J557" t="str">
        <f t="shared" si="44"/>
        <v/>
      </c>
    </row>
    <row r="558" spans="1:10" x14ac:dyDescent="0.2">
      <c r="A558">
        <v>226915963379</v>
      </c>
      <c r="B558" t="s">
        <v>1847</v>
      </c>
      <c r="C558" t="s">
        <v>1848</v>
      </c>
      <c r="D558">
        <v>1.99</v>
      </c>
      <c r="F558" t="str">
        <f t="shared" si="40"/>
        <v>No</v>
      </c>
      <c r="G558" t="str">
        <f t="shared" si="41"/>
        <v/>
      </c>
      <c r="H558" t="str">
        <f t="shared" si="42"/>
        <v>—</v>
      </c>
      <c r="I558" t="str">
        <f t="shared" si="43"/>
        <v>Below thresholds</v>
      </c>
      <c r="J558" t="str">
        <f t="shared" si="44"/>
        <v/>
      </c>
    </row>
    <row r="559" spans="1:10" x14ac:dyDescent="0.2">
      <c r="A559">
        <v>226917653897</v>
      </c>
      <c r="B559" t="s">
        <v>1849</v>
      </c>
      <c r="C559" t="s">
        <v>1850</v>
      </c>
      <c r="D559">
        <v>5.5</v>
      </c>
      <c r="F559" t="str">
        <f t="shared" si="40"/>
        <v>No</v>
      </c>
      <c r="G559" t="str">
        <f t="shared" si="41"/>
        <v/>
      </c>
      <c r="H559" t="str">
        <f t="shared" si="42"/>
        <v>—</v>
      </c>
      <c r="I559" t="str">
        <f t="shared" si="43"/>
        <v>Below thresholds</v>
      </c>
      <c r="J559" t="str">
        <f t="shared" si="44"/>
        <v/>
      </c>
    </row>
    <row r="560" spans="1:10" x14ac:dyDescent="0.2">
      <c r="A560">
        <v>226917653912</v>
      </c>
      <c r="B560" t="s">
        <v>1851</v>
      </c>
      <c r="C560" t="s">
        <v>1852</v>
      </c>
      <c r="D560">
        <v>1.49</v>
      </c>
      <c r="F560" t="str">
        <f t="shared" si="40"/>
        <v>No</v>
      </c>
      <c r="G560" t="str">
        <f t="shared" si="41"/>
        <v/>
      </c>
      <c r="H560" t="str">
        <f t="shared" si="42"/>
        <v>—</v>
      </c>
      <c r="I560" t="str">
        <f t="shared" si="43"/>
        <v>Below thresholds</v>
      </c>
      <c r="J560" t="str">
        <f t="shared" si="44"/>
        <v/>
      </c>
    </row>
    <row r="561" spans="1:10" x14ac:dyDescent="0.2">
      <c r="A561">
        <v>226917654002</v>
      </c>
      <c r="B561" t="s">
        <v>1615</v>
      </c>
      <c r="C561" t="s">
        <v>1853</v>
      </c>
      <c r="D561">
        <v>1.99</v>
      </c>
      <c r="F561" t="str">
        <f t="shared" si="40"/>
        <v>No</v>
      </c>
      <c r="G561" t="str">
        <f t="shared" si="41"/>
        <v/>
      </c>
      <c r="H561" t="str">
        <f t="shared" si="42"/>
        <v>—</v>
      </c>
      <c r="I561" t="str">
        <f t="shared" si="43"/>
        <v>Below thresholds</v>
      </c>
      <c r="J561" t="str">
        <f t="shared" si="44"/>
        <v/>
      </c>
    </row>
    <row r="562" spans="1:10" x14ac:dyDescent="0.2">
      <c r="A562">
        <v>226917654010</v>
      </c>
      <c r="B562" t="s">
        <v>1854</v>
      </c>
      <c r="C562" t="s">
        <v>1855</v>
      </c>
      <c r="D562">
        <v>1.49</v>
      </c>
      <c r="F562" t="str">
        <f t="shared" si="40"/>
        <v>No</v>
      </c>
      <c r="G562" t="str">
        <f t="shared" si="41"/>
        <v/>
      </c>
      <c r="H562" t="str">
        <f t="shared" si="42"/>
        <v>—</v>
      </c>
      <c r="I562" t="str">
        <f t="shared" si="43"/>
        <v>Below thresholds</v>
      </c>
      <c r="J562" t="str">
        <f t="shared" si="44"/>
        <v/>
      </c>
    </row>
    <row r="563" spans="1:10" x14ac:dyDescent="0.2">
      <c r="A563">
        <v>226917654054</v>
      </c>
      <c r="B563" t="s">
        <v>1645</v>
      </c>
      <c r="C563" t="s">
        <v>1856</v>
      </c>
      <c r="D563">
        <v>2.4900000000000002</v>
      </c>
      <c r="F563" t="str">
        <f t="shared" si="40"/>
        <v>No</v>
      </c>
      <c r="G563" t="str">
        <f t="shared" si="41"/>
        <v/>
      </c>
      <c r="H563" t="str">
        <f t="shared" si="42"/>
        <v>—</v>
      </c>
      <c r="I563" t="str">
        <f t="shared" si="43"/>
        <v>Below thresholds</v>
      </c>
      <c r="J563" t="str">
        <f t="shared" si="44"/>
        <v/>
      </c>
    </row>
    <row r="564" spans="1:10" x14ac:dyDescent="0.2">
      <c r="A564">
        <v>226917654059</v>
      </c>
      <c r="B564" t="s">
        <v>1857</v>
      </c>
      <c r="C564" t="s">
        <v>1858</v>
      </c>
      <c r="D564">
        <v>1.99</v>
      </c>
      <c r="F564" t="str">
        <f t="shared" si="40"/>
        <v>No</v>
      </c>
      <c r="G564" t="str">
        <f t="shared" si="41"/>
        <v/>
      </c>
      <c r="H564" t="str">
        <f t="shared" si="42"/>
        <v>—</v>
      </c>
      <c r="I564" t="str">
        <f t="shared" si="43"/>
        <v>Below thresholds</v>
      </c>
      <c r="J564" t="str">
        <f t="shared" si="44"/>
        <v/>
      </c>
    </row>
    <row r="565" spans="1:10" x14ac:dyDescent="0.2">
      <c r="A565">
        <v>226917654103</v>
      </c>
      <c r="B565" t="s">
        <v>1859</v>
      </c>
      <c r="C565" t="s">
        <v>1860</v>
      </c>
      <c r="D565">
        <v>1.59</v>
      </c>
      <c r="F565" t="str">
        <f t="shared" si="40"/>
        <v>No</v>
      </c>
      <c r="G565" t="str">
        <f t="shared" si="41"/>
        <v/>
      </c>
      <c r="H565" t="str">
        <f t="shared" si="42"/>
        <v>—</v>
      </c>
      <c r="I565" t="str">
        <f t="shared" si="43"/>
        <v>Below thresholds</v>
      </c>
      <c r="J565" t="str">
        <f t="shared" si="44"/>
        <v/>
      </c>
    </row>
    <row r="566" spans="1:10" x14ac:dyDescent="0.2">
      <c r="A566">
        <v>226917654180</v>
      </c>
      <c r="B566" t="s">
        <v>814</v>
      </c>
      <c r="C566" t="s">
        <v>1861</v>
      </c>
      <c r="D566">
        <v>1.49</v>
      </c>
      <c r="F566" t="str">
        <f t="shared" si="40"/>
        <v>No</v>
      </c>
      <c r="G566" t="str">
        <f t="shared" si="41"/>
        <v/>
      </c>
      <c r="H566" t="str">
        <f t="shared" si="42"/>
        <v>—</v>
      </c>
      <c r="I566" t="str">
        <f t="shared" si="43"/>
        <v>Below thresholds</v>
      </c>
      <c r="J566" t="str">
        <f t="shared" si="44"/>
        <v/>
      </c>
    </row>
    <row r="567" spans="1:10" x14ac:dyDescent="0.2">
      <c r="A567">
        <v>226918755195</v>
      </c>
      <c r="B567" t="s">
        <v>1862</v>
      </c>
      <c r="C567" t="s">
        <v>1863</v>
      </c>
      <c r="D567">
        <v>2.29</v>
      </c>
      <c r="F567" t="str">
        <f t="shared" si="40"/>
        <v>No</v>
      </c>
      <c r="G567" t="str">
        <f t="shared" si="41"/>
        <v/>
      </c>
      <c r="H567" t="str">
        <f t="shared" si="42"/>
        <v>—</v>
      </c>
      <c r="I567" t="str">
        <f t="shared" si="43"/>
        <v>Below thresholds</v>
      </c>
      <c r="J567" t="str">
        <f t="shared" si="44"/>
        <v/>
      </c>
    </row>
    <row r="568" spans="1:10" x14ac:dyDescent="0.2">
      <c r="A568">
        <v>226918755199</v>
      </c>
      <c r="B568" t="s">
        <v>1864</v>
      </c>
      <c r="C568" t="s">
        <v>1865</v>
      </c>
      <c r="D568">
        <v>2.29</v>
      </c>
      <c r="F568" t="str">
        <f t="shared" si="40"/>
        <v>No</v>
      </c>
      <c r="G568" t="str">
        <f t="shared" si="41"/>
        <v/>
      </c>
      <c r="H568" t="str">
        <f t="shared" si="42"/>
        <v>—</v>
      </c>
      <c r="I568" t="str">
        <f t="shared" si="43"/>
        <v>Below thresholds</v>
      </c>
      <c r="J568" t="str">
        <f t="shared" si="44"/>
        <v/>
      </c>
    </row>
    <row r="569" spans="1:10" x14ac:dyDescent="0.2">
      <c r="A569">
        <v>226918755414</v>
      </c>
      <c r="B569" t="s">
        <v>1866</v>
      </c>
      <c r="C569" t="s">
        <v>1867</v>
      </c>
      <c r="D569">
        <v>3.09</v>
      </c>
      <c r="F569" t="str">
        <f t="shared" si="40"/>
        <v>No</v>
      </c>
      <c r="G569" t="str">
        <f t="shared" si="41"/>
        <v/>
      </c>
      <c r="H569" t="str">
        <f t="shared" si="42"/>
        <v>—</v>
      </c>
      <c r="I569" t="str">
        <f t="shared" si="43"/>
        <v>Below thresholds</v>
      </c>
      <c r="J569" t="str">
        <f t="shared" si="44"/>
        <v/>
      </c>
    </row>
    <row r="570" spans="1:10" x14ac:dyDescent="0.2">
      <c r="A570">
        <v>226918755490</v>
      </c>
      <c r="B570" t="s">
        <v>1868</v>
      </c>
      <c r="C570" t="s">
        <v>1869</v>
      </c>
      <c r="D570">
        <v>14.49</v>
      </c>
      <c r="F570" t="str">
        <f t="shared" si="40"/>
        <v>No</v>
      </c>
      <c r="G570" t="str">
        <f t="shared" si="41"/>
        <v/>
      </c>
      <c r="H570" t="str">
        <f t="shared" si="42"/>
        <v>—</v>
      </c>
      <c r="I570" t="str">
        <f t="shared" si="43"/>
        <v>Below thresholds</v>
      </c>
      <c r="J570" t="str">
        <f t="shared" si="44"/>
        <v/>
      </c>
    </row>
    <row r="571" spans="1:10" x14ac:dyDescent="0.2">
      <c r="A571">
        <v>226918755658</v>
      </c>
      <c r="B571" t="s">
        <v>1870</v>
      </c>
      <c r="C571" t="s">
        <v>1871</v>
      </c>
      <c r="D571">
        <v>2.29</v>
      </c>
      <c r="F571" t="str">
        <f t="shared" si="40"/>
        <v>No</v>
      </c>
      <c r="G571" t="str">
        <f t="shared" si="41"/>
        <v/>
      </c>
      <c r="H571" t="str">
        <f t="shared" si="42"/>
        <v>—</v>
      </c>
      <c r="I571" t="str">
        <f t="shared" si="43"/>
        <v>Below thresholds</v>
      </c>
      <c r="J571" t="str">
        <f t="shared" si="44"/>
        <v/>
      </c>
    </row>
    <row r="572" spans="1:10" x14ac:dyDescent="0.2">
      <c r="A572">
        <v>226918755739</v>
      </c>
      <c r="B572" t="s">
        <v>1872</v>
      </c>
      <c r="C572" t="s">
        <v>1873</v>
      </c>
      <c r="D572">
        <v>5.69</v>
      </c>
      <c r="F572" t="str">
        <f t="shared" si="40"/>
        <v>No</v>
      </c>
      <c r="G572" t="str">
        <f t="shared" si="41"/>
        <v/>
      </c>
      <c r="H572" t="str">
        <f t="shared" si="42"/>
        <v>—</v>
      </c>
      <c r="I572" t="str">
        <f t="shared" si="43"/>
        <v>Below thresholds</v>
      </c>
      <c r="J572" t="str">
        <f t="shared" si="44"/>
        <v/>
      </c>
    </row>
    <row r="573" spans="1:10" x14ac:dyDescent="0.2">
      <c r="A573">
        <v>226918755903</v>
      </c>
      <c r="B573" t="s">
        <v>1874</v>
      </c>
      <c r="C573" t="s">
        <v>1875</v>
      </c>
      <c r="D573">
        <v>2.29</v>
      </c>
      <c r="F573" t="str">
        <f t="shared" si="40"/>
        <v>No</v>
      </c>
      <c r="G573" t="str">
        <f t="shared" si="41"/>
        <v/>
      </c>
      <c r="H573" t="str">
        <f t="shared" si="42"/>
        <v>—</v>
      </c>
      <c r="I573" t="str">
        <f t="shared" si="43"/>
        <v>Below thresholds</v>
      </c>
      <c r="J573" t="str">
        <f t="shared" si="44"/>
        <v/>
      </c>
    </row>
    <row r="574" spans="1:10" x14ac:dyDescent="0.2">
      <c r="A574">
        <v>226918756209</v>
      </c>
      <c r="B574" t="s">
        <v>1876</v>
      </c>
      <c r="C574" t="s">
        <v>1877</v>
      </c>
      <c r="D574">
        <v>3.09</v>
      </c>
      <c r="F574" t="str">
        <f t="shared" si="40"/>
        <v>No</v>
      </c>
      <c r="G574" t="str">
        <f t="shared" si="41"/>
        <v/>
      </c>
      <c r="H574" t="str">
        <f t="shared" si="42"/>
        <v>—</v>
      </c>
      <c r="I574" t="str">
        <f t="shared" si="43"/>
        <v>Below thresholds</v>
      </c>
      <c r="J574" t="str">
        <f t="shared" si="44"/>
        <v/>
      </c>
    </row>
    <row r="575" spans="1:10" x14ac:dyDescent="0.2">
      <c r="A575">
        <v>226918756304</v>
      </c>
      <c r="B575" t="s">
        <v>1878</v>
      </c>
      <c r="C575" t="s">
        <v>1879</v>
      </c>
      <c r="D575">
        <v>2.29</v>
      </c>
      <c r="F575" t="str">
        <f t="shared" si="40"/>
        <v>No</v>
      </c>
      <c r="G575" t="str">
        <f t="shared" si="41"/>
        <v/>
      </c>
      <c r="H575" t="str">
        <f t="shared" si="42"/>
        <v>—</v>
      </c>
      <c r="I575" t="str">
        <f t="shared" si="43"/>
        <v>Below thresholds</v>
      </c>
      <c r="J575" t="str">
        <f t="shared" si="44"/>
        <v/>
      </c>
    </row>
    <row r="576" spans="1:10" x14ac:dyDescent="0.2">
      <c r="A576">
        <v>226918756447</v>
      </c>
      <c r="B576" t="s">
        <v>1880</v>
      </c>
      <c r="C576" t="s">
        <v>1881</v>
      </c>
      <c r="D576">
        <v>3.49</v>
      </c>
      <c r="F576" t="str">
        <f t="shared" si="40"/>
        <v>No</v>
      </c>
      <c r="G576" t="str">
        <f t="shared" si="41"/>
        <v/>
      </c>
      <c r="H576" t="str">
        <f t="shared" si="42"/>
        <v>—</v>
      </c>
      <c r="I576" t="str">
        <f t="shared" si="43"/>
        <v>Below thresholds</v>
      </c>
      <c r="J576" t="str">
        <f t="shared" si="44"/>
        <v/>
      </c>
    </row>
    <row r="577" spans="1:10" x14ac:dyDescent="0.2">
      <c r="A577">
        <v>226918756495</v>
      </c>
      <c r="B577" t="s">
        <v>1882</v>
      </c>
      <c r="C577" t="s">
        <v>1883</v>
      </c>
      <c r="D577">
        <v>5.99</v>
      </c>
      <c r="F577" t="str">
        <f t="shared" si="40"/>
        <v>No</v>
      </c>
      <c r="G577" t="str">
        <f t="shared" si="41"/>
        <v/>
      </c>
      <c r="H577" t="str">
        <f t="shared" si="42"/>
        <v>—</v>
      </c>
      <c r="I577" t="str">
        <f t="shared" si="43"/>
        <v>Below thresholds</v>
      </c>
      <c r="J577" t="str">
        <f t="shared" si="44"/>
        <v/>
      </c>
    </row>
    <row r="578" spans="1:10" x14ac:dyDescent="0.2">
      <c r="A578">
        <v>226918756708</v>
      </c>
      <c r="B578" t="s">
        <v>1884</v>
      </c>
      <c r="C578" t="s">
        <v>1885</v>
      </c>
      <c r="D578">
        <v>2.29</v>
      </c>
      <c r="F578" t="str">
        <f t="shared" si="40"/>
        <v>No</v>
      </c>
      <c r="G578" t="str">
        <f t="shared" si="41"/>
        <v/>
      </c>
      <c r="H578" t="str">
        <f t="shared" si="42"/>
        <v>—</v>
      </c>
      <c r="I578" t="str">
        <f t="shared" si="43"/>
        <v>Below thresholds</v>
      </c>
      <c r="J578" t="str">
        <f t="shared" si="44"/>
        <v/>
      </c>
    </row>
    <row r="579" spans="1:10" x14ac:dyDescent="0.2">
      <c r="A579">
        <v>226918756713</v>
      </c>
      <c r="B579" t="s">
        <v>1886</v>
      </c>
      <c r="C579" t="s">
        <v>1887</v>
      </c>
      <c r="D579">
        <v>3.39</v>
      </c>
      <c r="F579" t="str">
        <f t="shared" si="40"/>
        <v>No</v>
      </c>
      <c r="G579" t="str">
        <f t="shared" si="41"/>
        <v/>
      </c>
      <c r="H579" t="str">
        <f t="shared" si="42"/>
        <v>—</v>
      </c>
      <c r="I579" t="str">
        <f t="shared" si="43"/>
        <v>Below thresholds</v>
      </c>
      <c r="J579" t="str">
        <f t="shared" si="44"/>
        <v/>
      </c>
    </row>
    <row r="580" spans="1:10" x14ac:dyDescent="0.2">
      <c r="A580">
        <v>226918756933</v>
      </c>
      <c r="B580" t="s">
        <v>1888</v>
      </c>
      <c r="C580" t="s">
        <v>1889</v>
      </c>
      <c r="D580">
        <v>2.29</v>
      </c>
      <c r="F580" t="str">
        <f t="shared" si="40"/>
        <v>No</v>
      </c>
      <c r="G580" t="str">
        <f t="shared" si="41"/>
        <v/>
      </c>
      <c r="H580" t="str">
        <f t="shared" si="42"/>
        <v>—</v>
      </c>
      <c r="I580" t="str">
        <f t="shared" si="43"/>
        <v>Below thresholds</v>
      </c>
      <c r="J580" t="str">
        <f t="shared" si="44"/>
        <v/>
      </c>
    </row>
    <row r="581" spans="1:10" x14ac:dyDescent="0.2">
      <c r="A581">
        <v>226918757003</v>
      </c>
      <c r="B581" t="s">
        <v>1890</v>
      </c>
      <c r="C581" t="s">
        <v>1891</v>
      </c>
      <c r="D581">
        <v>2.29</v>
      </c>
      <c r="F581" t="str">
        <f t="shared" ref="F581:F644" si="45">IF($B581="","",IF(ISNUMBER(SEARCH("PSA",$B581)),"Yes","No"))</f>
        <v>No</v>
      </c>
      <c r="G581" t="str">
        <f t="shared" ref="G581:G644" si="46">IF($B581="","",IF(ISNUMBER(SEARCH("PSA 10",$B581)),10,IF(ISNUMBER(SEARCH("PSA 9.5",$B581)),9.5,IF(ISNUMBER(SEARCH("PSA 9",$B581)),9,IF(ISNUMBER(SEARCH("PSA 8",$B581)),8,IF(ISNUMBER(SEARCH("PSA",$B581)),"&lt;9",""))))))</f>
        <v/>
      </c>
      <c r="H581" t="str">
        <f t="shared" ref="H581:H644" si="47">IF($B581="","",IF($D581&gt;=100,"TIER 2",IF(OR(ISNUMBER(SEARCH("PSA 10",$B581)),ISNUMBER(SEARCH("PSA 9.5",$B581)),ISNUMBER(SEARCH("PSA 9",$B581))),"TIER 3",IF(AND($D581&gt;20,N($E581)&gt;=15),"TIER 1","—"))))</f>
        <v>—</v>
      </c>
      <c r="I581" t="str">
        <f t="shared" ref="I581:I644" si="48">IF($B581="","",IF($D581&gt;=100,"Premium $100+ (auto)",IF(OR(ISNUMBER(SEARCH("PSA 10",$B581)),ISNUMBER(SEARCH("PSA 9.5",$B581)),ISNUMBER(SEARCH("PSA 9",$B581))),"Graded PSA 9+ (auto)",IF(AND($D581&gt;20,N($E581)&gt;=15),"Hot: $20+ &amp; "&amp;$E581&amp;"/day",IF($D581&gt;20,"$20+ — needs velocity check","Below thresholds")))))</f>
        <v>Below thresholds</v>
      </c>
      <c r="J581" t="str">
        <f t="shared" ref="J581:J644" si="49">IF($B581="","",IF(AND($D581&gt;20,$D581&lt;100,NOT(OR(ISNUMBER(SEARCH("PSA 10",$B581)),ISNUMBER(SEARCH("PSA 9.5",$B581)),ISNUMBER(SEARCH("PSA 9",$B581)))),$E581=""),"YES — pull CardHedger",""))</f>
        <v/>
      </c>
    </row>
    <row r="582" spans="1:10" x14ac:dyDescent="0.2">
      <c r="A582">
        <v>226918757072</v>
      </c>
      <c r="B582" t="s">
        <v>1892</v>
      </c>
      <c r="C582" t="s">
        <v>1893</v>
      </c>
      <c r="D582">
        <v>2.69</v>
      </c>
      <c r="F582" t="str">
        <f t="shared" si="45"/>
        <v>No</v>
      </c>
      <c r="G582" t="str">
        <f t="shared" si="46"/>
        <v/>
      </c>
      <c r="H582" t="str">
        <f t="shared" si="47"/>
        <v>—</v>
      </c>
      <c r="I582" t="str">
        <f t="shared" si="48"/>
        <v>Below thresholds</v>
      </c>
      <c r="J582" t="str">
        <f t="shared" si="49"/>
        <v/>
      </c>
    </row>
    <row r="583" spans="1:10" x14ac:dyDescent="0.2">
      <c r="A583">
        <v>226918757097</v>
      </c>
      <c r="B583" t="s">
        <v>1894</v>
      </c>
      <c r="C583" t="s">
        <v>1895</v>
      </c>
      <c r="D583">
        <v>2.29</v>
      </c>
      <c r="F583" t="str">
        <f t="shared" si="45"/>
        <v>No</v>
      </c>
      <c r="G583" t="str">
        <f t="shared" si="46"/>
        <v/>
      </c>
      <c r="H583" t="str">
        <f t="shared" si="47"/>
        <v>—</v>
      </c>
      <c r="I583" t="str">
        <f t="shared" si="48"/>
        <v>Below thresholds</v>
      </c>
      <c r="J583" t="str">
        <f t="shared" si="49"/>
        <v/>
      </c>
    </row>
    <row r="584" spans="1:10" x14ac:dyDescent="0.2">
      <c r="A584">
        <v>226918757147</v>
      </c>
      <c r="B584" t="s">
        <v>1896</v>
      </c>
      <c r="C584" t="s">
        <v>1897</v>
      </c>
      <c r="D584">
        <v>2.59</v>
      </c>
      <c r="F584" t="str">
        <f t="shared" si="45"/>
        <v>No</v>
      </c>
      <c r="G584" t="str">
        <f t="shared" si="46"/>
        <v/>
      </c>
      <c r="H584" t="str">
        <f t="shared" si="47"/>
        <v>—</v>
      </c>
      <c r="I584" t="str">
        <f t="shared" si="48"/>
        <v>Below thresholds</v>
      </c>
      <c r="J584" t="str">
        <f t="shared" si="49"/>
        <v/>
      </c>
    </row>
    <row r="585" spans="1:10" x14ac:dyDescent="0.2">
      <c r="A585">
        <v>226918757200</v>
      </c>
      <c r="B585" t="s">
        <v>1898</v>
      </c>
      <c r="C585" t="s">
        <v>1899</v>
      </c>
      <c r="D585">
        <v>2.59</v>
      </c>
      <c r="F585" t="str">
        <f t="shared" si="45"/>
        <v>No</v>
      </c>
      <c r="G585" t="str">
        <f t="shared" si="46"/>
        <v/>
      </c>
      <c r="H585" t="str">
        <f t="shared" si="47"/>
        <v>—</v>
      </c>
      <c r="I585" t="str">
        <f t="shared" si="48"/>
        <v>Below thresholds</v>
      </c>
      <c r="J585" t="str">
        <f t="shared" si="49"/>
        <v/>
      </c>
    </row>
    <row r="586" spans="1:10" x14ac:dyDescent="0.2">
      <c r="A586">
        <v>226918757289</v>
      </c>
      <c r="B586" t="s">
        <v>1900</v>
      </c>
      <c r="C586" t="s">
        <v>1901</v>
      </c>
      <c r="D586">
        <v>8.49</v>
      </c>
      <c r="F586" t="str">
        <f t="shared" si="45"/>
        <v>No</v>
      </c>
      <c r="G586" t="str">
        <f t="shared" si="46"/>
        <v/>
      </c>
      <c r="H586" t="str">
        <f t="shared" si="47"/>
        <v>—</v>
      </c>
      <c r="I586" t="str">
        <f t="shared" si="48"/>
        <v>Below thresholds</v>
      </c>
      <c r="J586" t="str">
        <f t="shared" si="49"/>
        <v/>
      </c>
    </row>
    <row r="587" spans="1:10" x14ac:dyDescent="0.2">
      <c r="A587">
        <v>226918757329</v>
      </c>
      <c r="B587" t="s">
        <v>1902</v>
      </c>
      <c r="C587" t="s">
        <v>1903</v>
      </c>
      <c r="D587">
        <v>2.79</v>
      </c>
      <c r="F587" t="str">
        <f t="shared" si="45"/>
        <v>No</v>
      </c>
      <c r="G587" t="str">
        <f t="shared" si="46"/>
        <v/>
      </c>
      <c r="H587" t="str">
        <f t="shared" si="47"/>
        <v>—</v>
      </c>
      <c r="I587" t="str">
        <f t="shared" si="48"/>
        <v>Below thresholds</v>
      </c>
      <c r="J587" t="str">
        <f t="shared" si="49"/>
        <v/>
      </c>
    </row>
    <row r="588" spans="1:10" x14ac:dyDescent="0.2">
      <c r="A588">
        <v>226918757366</v>
      </c>
      <c r="B588" t="s">
        <v>1904</v>
      </c>
      <c r="C588" t="s">
        <v>1905</v>
      </c>
      <c r="D588">
        <v>2.29</v>
      </c>
      <c r="F588" t="str">
        <f t="shared" si="45"/>
        <v>No</v>
      </c>
      <c r="G588" t="str">
        <f t="shared" si="46"/>
        <v/>
      </c>
      <c r="H588" t="str">
        <f t="shared" si="47"/>
        <v>—</v>
      </c>
      <c r="I588" t="str">
        <f t="shared" si="48"/>
        <v>Below thresholds</v>
      </c>
      <c r="J588" t="str">
        <f t="shared" si="49"/>
        <v/>
      </c>
    </row>
    <row r="589" spans="1:10" x14ac:dyDescent="0.2">
      <c r="A589">
        <v>226918757394</v>
      </c>
      <c r="B589" t="s">
        <v>1906</v>
      </c>
      <c r="C589" t="s">
        <v>1907</v>
      </c>
      <c r="D589">
        <v>2.29</v>
      </c>
      <c r="F589" t="str">
        <f t="shared" si="45"/>
        <v>No</v>
      </c>
      <c r="G589" t="str">
        <f t="shared" si="46"/>
        <v/>
      </c>
      <c r="H589" t="str">
        <f t="shared" si="47"/>
        <v>—</v>
      </c>
      <c r="I589" t="str">
        <f t="shared" si="48"/>
        <v>Below thresholds</v>
      </c>
      <c r="J589" t="str">
        <f t="shared" si="49"/>
        <v/>
      </c>
    </row>
    <row r="590" spans="1:10" x14ac:dyDescent="0.2">
      <c r="A590">
        <v>226918757422</v>
      </c>
      <c r="B590" t="s">
        <v>1908</v>
      </c>
      <c r="C590" t="s">
        <v>1909</v>
      </c>
      <c r="D590">
        <v>2.29</v>
      </c>
      <c r="F590" t="str">
        <f t="shared" si="45"/>
        <v>No</v>
      </c>
      <c r="G590" t="str">
        <f t="shared" si="46"/>
        <v/>
      </c>
      <c r="H590" t="str">
        <f t="shared" si="47"/>
        <v>—</v>
      </c>
      <c r="I590" t="str">
        <f t="shared" si="48"/>
        <v>Below thresholds</v>
      </c>
      <c r="J590" t="str">
        <f t="shared" si="49"/>
        <v/>
      </c>
    </row>
    <row r="591" spans="1:10" x14ac:dyDescent="0.2">
      <c r="A591">
        <v>226918757437</v>
      </c>
      <c r="B591" t="s">
        <v>1910</v>
      </c>
      <c r="C591" t="s">
        <v>1911</v>
      </c>
      <c r="D591">
        <v>2.29</v>
      </c>
      <c r="F591" t="str">
        <f t="shared" si="45"/>
        <v>No</v>
      </c>
      <c r="G591" t="str">
        <f t="shared" si="46"/>
        <v/>
      </c>
      <c r="H591" t="str">
        <f t="shared" si="47"/>
        <v>—</v>
      </c>
      <c r="I591" t="str">
        <f t="shared" si="48"/>
        <v>Below thresholds</v>
      </c>
      <c r="J591" t="str">
        <f t="shared" si="49"/>
        <v/>
      </c>
    </row>
    <row r="592" spans="1:10" x14ac:dyDescent="0.2">
      <c r="A592">
        <v>226918757462</v>
      </c>
      <c r="B592" t="s">
        <v>1912</v>
      </c>
      <c r="C592" t="s">
        <v>1913</v>
      </c>
      <c r="D592">
        <v>2.29</v>
      </c>
      <c r="F592" t="str">
        <f t="shared" si="45"/>
        <v>No</v>
      </c>
      <c r="G592" t="str">
        <f t="shared" si="46"/>
        <v/>
      </c>
      <c r="H592" t="str">
        <f t="shared" si="47"/>
        <v>—</v>
      </c>
      <c r="I592" t="str">
        <f t="shared" si="48"/>
        <v>Below thresholds</v>
      </c>
      <c r="J592" t="str">
        <f t="shared" si="49"/>
        <v/>
      </c>
    </row>
    <row r="593" spans="1:10" x14ac:dyDescent="0.2">
      <c r="A593">
        <v>226918757472</v>
      </c>
      <c r="B593" t="s">
        <v>1914</v>
      </c>
      <c r="C593" t="s">
        <v>1915</v>
      </c>
      <c r="D593">
        <v>2.29</v>
      </c>
      <c r="F593" t="str">
        <f t="shared" si="45"/>
        <v>No</v>
      </c>
      <c r="G593" t="str">
        <f t="shared" si="46"/>
        <v/>
      </c>
      <c r="H593" t="str">
        <f t="shared" si="47"/>
        <v>—</v>
      </c>
      <c r="I593" t="str">
        <f t="shared" si="48"/>
        <v>Below thresholds</v>
      </c>
      <c r="J593" t="str">
        <f t="shared" si="49"/>
        <v/>
      </c>
    </row>
    <row r="594" spans="1:10" x14ac:dyDescent="0.2">
      <c r="A594">
        <v>226918757514</v>
      </c>
      <c r="B594" t="s">
        <v>1916</v>
      </c>
      <c r="C594" t="s">
        <v>1917</v>
      </c>
      <c r="D594">
        <v>2.29</v>
      </c>
      <c r="F594" t="str">
        <f t="shared" si="45"/>
        <v>No</v>
      </c>
      <c r="G594" t="str">
        <f t="shared" si="46"/>
        <v/>
      </c>
      <c r="H594" t="str">
        <f t="shared" si="47"/>
        <v>—</v>
      </c>
      <c r="I594" t="str">
        <f t="shared" si="48"/>
        <v>Below thresholds</v>
      </c>
      <c r="J594" t="str">
        <f t="shared" si="49"/>
        <v/>
      </c>
    </row>
    <row r="595" spans="1:10" x14ac:dyDescent="0.2">
      <c r="A595">
        <v>226918757515</v>
      </c>
      <c r="B595" t="s">
        <v>1918</v>
      </c>
      <c r="C595" t="s">
        <v>1919</v>
      </c>
      <c r="D595">
        <v>2.29</v>
      </c>
      <c r="F595" t="str">
        <f t="shared" si="45"/>
        <v>No</v>
      </c>
      <c r="G595" t="str">
        <f t="shared" si="46"/>
        <v/>
      </c>
      <c r="H595" t="str">
        <f t="shared" si="47"/>
        <v>—</v>
      </c>
      <c r="I595" t="str">
        <f t="shared" si="48"/>
        <v>Below thresholds</v>
      </c>
      <c r="J595" t="str">
        <f t="shared" si="49"/>
        <v/>
      </c>
    </row>
    <row r="596" spans="1:10" x14ac:dyDescent="0.2">
      <c r="A596">
        <v>226918757555</v>
      </c>
      <c r="B596" t="s">
        <v>1920</v>
      </c>
      <c r="C596" t="s">
        <v>1921</v>
      </c>
      <c r="D596">
        <v>2.29</v>
      </c>
      <c r="F596" t="str">
        <f t="shared" si="45"/>
        <v>No</v>
      </c>
      <c r="G596" t="str">
        <f t="shared" si="46"/>
        <v/>
      </c>
      <c r="H596" t="str">
        <f t="shared" si="47"/>
        <v>—</v>
      </c>
      <c r="I596" t="str">
        <f t="shared" si="48"/>
        <v>Below thresholds</v>
      </c>
      <c r="J596" t="str">
        <f t="shared" si="49"/>
        <v/>
      </c>
    </row>
    <row r="597" spans="1:10" x14ac:dyDescent="0.2">
      <c r="A597">
        <v>226918757614</v>
      </c>
      <c r="B597" t="s">
        <v>1922</v>
      </c>
      <c r="C597" t="s">
        <v>1923</v>
      </c>
      <c r="D597">
        <v>2.29</v>
      </c>
      <c r="F597" t="str">
        <f t="shared" si="45"/>
        <v>No</v>
      </c>
      <c r="G597" t="str">
        <f t="shared" si="46"/>
        <v/>
      </c>
      <c r="H597" t="str">
        <f t="shared" si="47"/>
        <v>—</v>
      </c>
      <c r="I597" t="str">
        <f t="shared" si="48"/>
        <v>Below thresholds</v>
      </c>
      <c r="J597" t="str">
        <f t="shared" si="49"/>
        <v/>
      </c>
    </row>
    <row r="598" spans="1:10" x14ac:dyDescent="0.2">
      <c r="A598">
        <v>226918757621</v>
      </c>
      <c r="B598" t="s">
        <v>1924</v>
      </c>
      <c r="C598" t="s">
        <v>1925</v>
      </c>
      <c r="D598">
        <v>2.29</v>
      </c>
      <c r="F598" t="str">
        <f t="shared" si="45"/>
        <v>No</v>
      </c>
      <c r="G598" t="str">
        <f t="shared" si="46"/>
        <v/>
      </c>
      <c r="H598" t="str">
        <f t="shared" si="47"/>
        <v>—</v>
      </c>
      <c r="I598" t="str">
        <f t="shared" si="48"/>
        <v>Below thresholds</v>
      </c>
      <c r="J598" t="str">
        <f t="shared" si="49"/>
        <v/>
      </c>
    </row>
    <row r="599" spans="1:10" x14ac:dyDescent="0.2">
      <c r="A599">
        <v>226918757659</v>
      </c>
      <c r="B599" t="s">
        <v>1926</v>
      </c>
      <c r="C599" t="s">
        <v>1927</v>
      </c>
      <c r="D599">
        <v>2.29</v>
      </c>
      <c r="F599" t="str">
        <f t="shared" si="45"/>
        <v>No</v>
      </c>
      <c r="G599" t="str">
        <f t="shared" si="46"/>
        <v/>
      </c>
      <c r="H599" t="str">
        <f t="shared" si="47"/>
        <v>—</v>
      </c>
      <c r="I599" t="str">
        <f t="shared" si="48"/>
        <v>Below thresholds</v>
      </c>
      <c r="J599" t="str">
        <f t="shared" si="49"/>
        <v/>
      </c>
    </row>
    <row r="600" spans="1:10" x14ac:dyDescent="0.2">
      <c r="A600">
        <v>226918757697</v>
      </c>
      <c r="B600" t="s">
        <v>1928</v>
      </c>
      <c r="C600" t="s">
        <v>1929</v>
      </c>
      <c r="D600">
        <v>3.99</v>
      </c>
      <c r="F600" t="str">
        <f t="shared" si="45"/>
        <v>No</v>
      </c>
      <c r="G600" t="str">
        <f t="shared" si="46"/>
        <v/>
      </c>
      <c r="H600" t="str">
        <f t="shared" si="47"/>
        <v>—</v>
      </c>
      <c r="I600" t="str">
        <f t="shared" si="48"/>
        <v>Below thresholds</v>
      </c>
      <c r="J600" t="str">
        <f t="shared" si="49"/>
        <v/>
      </c>
    </row>
    <row r="601" spans="1:10" x14ac:dyDescent="0.2">
      <c r="A601">
        <v>226918757730</v>
      </c>
      <c r="B601" t="s">
        <v>1930</v>
      </c>
      <c r="C601" t="s">
        <v>1931</v>
      </c>
      <c r="D601">
        <v>2.29</v>
      </c>
      <c r="F601" t="str">
        <f t="shared" si="45"/>
        <v>No</v>
      </c>
      <c r="G601" t="str">
        <f t="shared" si="46"/>
        <v/>
      </c>
      <c r="H601" t="str">
        <f t="shared" si="47"/>
        <v>—</v>
      </c>
      <c r="I601" t="str">
        <f t="shared" si="48"/>
        <v>Below thresholds</v>
      </c>
      <c r="J601" t="str">
        <f t="shared" si="49"/>
        <v/>
      </c>
    </row>
    <row r="602" spans="1:10" x14ac:dyDescent="0.2">
      <c r="A602">
        <v>226918757751</v>
      </c>
      <c r="B602" t="s">
        <v>1932</v>
      </c>
      <c r="C602" t="s">
        <v>1933</v>
      </c>
      <c r="D602">
        <v>4.09</v>
      </c>
      <c r="F602" t="str">
        <f t="shared" si="45"/>
        <v>No</v>
      </c>
      <c r="G602" t="str">
        <f t="shared" si="46"/>
        <v/>
      </c>
      <c r="H602" t="str">
        <f t="shared" si="47"/>
        <v>—</v>
      </c>
      <c r="I602" t="str">
        <f t="shared" si="48"/>
        <v>Below thresholds</v>
      </c>
      <c r="J602" t="str">
        <f t="shared" si="49"/>
        <v/>
      </c>
    </row>
    <row r="603" spans="1:10" x14ac:dyDescent="0.2">
      <c r="A603">
        <v>226918757765</v>
      </c>
      <c r="B603" t="s">
        <v>1934</v>
      </c>
      <c r="C603" t="s">
        <v>1935</v>
      </c>
      <c r="D603">
        <v>2.29</v>
      </c>
      <c r="F603" t="str">
        <f t="shared" si="45"/>
        <v>No</v>
      </c>
      <c r="G603" t="str">
        <f t="shared" si="46"/>
        <v/>
      </c>
      <c r="H603" t="str">
        <f t="shared" si="47"/>
        <v>—</v>
      </c>
      <c r="I603" t="str">
        <f t="shared" si="48"/>
        <v>Below thresholds</v>
      </c>
      <c r="J603" t="str">
        <f t="shared" si="49"/>
        <v/>
      </c>
    </row>
    <row r="604" spans="1:10" x14ac:dyDescent="0.2">
      <c r="A604">
        <v>226918757805</v>
      </c>
      <c r="B604" t="s">
        <v>1936</v>
      </c>
      <c r="C604" t="s">
        <v>1937</v>
      </c>
      <c r="D604">
        <v>2.29</v>
      </c>
      <c r="F604" t="str">
        <f t="shared" si="45"/>
        <v>No</v>
      </c>
      <c r="G604" t="str">
        <f t="shared" si="46"/>
        <v/>
      </c>
      <c r="H604" t="str">
        <f t="shared" si="47"/>
        <v>—</v>
      </c>
      <c r="I604" t="str">
        <f t="shared" si="48"/>
        <v>Below thresholds</v>
      </c>
      <c r="J604" t="str">
        <f t="shared" si="49"/>
        <v/>
      </c>
    </row>
    <row r="605" spans="1:10" x14ac:dyDescent="0.2">
      <c r="A605">
        <v>226918757841</v>
      </c>
      <c r="B605" t="s">
        <v>1938</v>
      </c>
      <c r="C605" t="s">
        <v>1939</v>
      </c>
      <c r="D605">
        <v>3.99</v>
      </c>
      <c r="F605" t="str">
        <f t="shared" si="45"/>
        <v>No</v>
      </c>
      <c r="G605" t="str">
        <f t="shared" si="46"/>
        <v/>
      </c>
      <c r="H605" t="str">
        <f t="shared" si="47"/>
        <v>—</v>
      </c>
      <c r="I605" t="str">
        <f t="shared" si="48"/>
        <v>Below thresholds</v>
      </c>
      <c r="J605" t="str">
        <f t="shared" si="49"/>
        <v/>
      </c>
    </row>
    <row r="606" spans="1:10" x14ac:dyDescent="0.2">
      <c r="A606">
        <v>226918757896</v>
      </c>
      <c r="B606" t="s">
        <v>1940</v>
      </c>
      <c r="C606" t="s">
        <v>1941</v>
      </c>
      <c r="D606">
        <v>2.29</v>
      </c>
      <c r="F606" t="str">
        <f t="shared" si="45"/>
        <v>No</v>
      </c>
      <c r="G606" t="str">
        <f t="shared" si="46"/>
        <v/>
      </c>
      <c r="H606" t="str">
        <f t="shared" si="47"/>
        <v>—</v>
      </c>
      <c r="I606" t="str">
        <f t="shared" si="48"/>
        <v>Below thresholds</v>
      </c>
      <c r="J606" t="str">
        <f t="shared" si="49"/>
        <v/>
      </c>
    </row>
    <row r="607" spans="1:10" x14ac:dyDescent="0.2">
      <c r="A607">
        <v>226918757935</v>
      </c>
      <c r="B607" t="s">
        <v>1942</v>
      </c>
      <c r="C607" t="s">
        <v>1943</v>
      </c>
      <c r="D607">
        <v>2.29</v>
      </c>
      <c r="F607" t="str">
        <f t="shared" si="45"/>
        <v>No</v>
      </c>
      <c r="G607" t="str">
        <f t="shared" si="46"/>
        <v/>
      </c>
      <c r="H607" t="str">
        <f t="shared" si="47"/>
        <v>—</v>
      </c>
      <c r="I607" t="str">
        <f t="shared" si="48"/>
        <v>Below thresholds</v>
      </c>
      <c r="J607" t="str">
        <f t="shared" si="49"/>
        <v/>
      </c>
    </row>
    <row r="608" spans="1:10" x14ac:dyDescent="0.2">
      <c r="A608">
        <v>226918757944</v>
      </c>
      <c r="B608" t="s">
        <v>1944</v>
      </c>
      <c r="C608" t="s">
        <v>1945</v>
      </c>
      <c r="D608">
        <v>2.29</v>
      </c>
      <c r="F608" t="str">
        <f t="shared" si="45"/>
        <v>No</v>
      </c>
      <c r="G608" t="str">
        <f t="shared" si="46"/>
        <v/>
      </c>
      <c r="H608" t="str">
        <f t="shared" si="47"/>
        <v>—</v>
      </c>
      <c r="I608" t="str">
        <f t="shared" si="48"/>
        <v>Below thresholds</v>
      </c>
      <c r="J608" t="str">
        <f t="shared" si="49"/>
        <v/>
      </c>
    </row>
    <row r="609" spans="1:10" x14ac:dyDescent="0.2">
      <c r="A609">
        <v>226918757961</v>
      </c>
      <c r="B609" t="s">
        <v>1946</v>
      </c>
      <c r="C609" t="s">
        <v>1947</v>
      </c>
      <c r="D609">
        <v>2.29</v>
      </c>
      <c r="F609" t="str">
        <f t="shared" si="45"/>
        <v>No</v>
      </c>
      <c r="G609" t="str">
        <f t="shared" si="46"/>
        <v/>
      </c>
      <c r="H609" t="str">
        <f t="shared" si="47"/>
        <v>—</v>
      </c>
      <c r="I609" t="str">
        <f t="shared" si="48"/>
        <v>Below thresholds</v>
      </c>
      <c r="J609" t="str">
        <f t="shared" si="49"/>
        <v/>
      </c>
    </row>
    <row r="610" spans="1:10" x14ac:dyDescent="0.2">
      <c r="A610">
        <v>226918757973</v>
      </c>
      <c r="B610" t="s">
        <v>1948</v>
      </c>
      <c r="C610" t="s">
        <v>1949</v>
      </c>
      <c r="D610">
        <v>2.29</v>
      </c>
      <c r="F610" t="str">
        <f t="shared" si="45"/>
        <v>No</v>
      </c>
      <c r="G610" t="str">
        <f t="shared" si="46"/>
        <v/>
      </c>
      <c r="H610" t="str">
        <f t="shared" si="47"/>
        <v>—</v>
      </c>
      <c r="I610" t="str">
        <f t="shared" si="48"/>
        <v>Below thresholds</v>
      </c>
      <c r="J610" t="str">
        <f t="shared" si="49"/>
        <v/>
      </c>
    </row>
    <row r="611" spans="1:10" x14ac:dyDescent="0.2">
      <c r="A611">
        <v>226918758000</v>
      </c>
      <c r="B611" t="s">
        <v>1950</v>
      </c>
      <c r="C611" t="s">
        <v>1951</v>
      </c>
      <c r="D611">
        <v>2.29</v>
      </c>
      <c r="F611" t="str">
        <f t="shared" si="45"/>
        <v>No</v>
      </c>
      <c r="G611" t="str">
        <f t="shared" si="46"/>
        <v/>
      </c>
      <c r="H611" t="str">
        <f t="shared" si="47"/>
        <v>—</v>
      </c>
      <c r="I611" t="str">
        <f t="shared" si="48"/>
        <v>Below thresholds</v>
      </c>
      <c r="J611" t="str">
        <f t="shared" si="49"/>
        <v/>
      </c>
    </row>
    <row r="612" spans="1:10" x14ac:dyDescent="0.2">
      <c r="A612">
        <v>226918758016</v>
      </c>
      <c r="B612" t="s">
        <v>1952</v>
      </c>
      <c r="C612" t="s">
        <v>1953</v>
      </c>
      <c r="D612">
        <v>2.29</v>
      </c>
      <c r="F612" t="str">
        <f t="shared" si="45"/>
        <v>No</v>
      </c>
      <c r="G612" t="str">
        <f t="shared" si="46"/>
        <v/>
      </c>
      <c r="H612" t="str">
        <f t="shared" si="47"/>
        <v>—</v>
      </c>
      <c r="I612" t="str">
        <f t="shared" si="48"/>
        <v>Below thresholds</v>
      </c>
      <c r="J612" t="str">
        <f t="shared" si="49"/>
        <v/>
      </c>
    </row>
    <row r="613" spans="1:10" x14ac:dyDescent="0.2">
      <c r="A613">
        <v>226918758054</v>
      </c>
      <c r="B613" t="s">
        <v>1954</v>
      </c>
      <c r="C613" t="s">
        <v>1955</v>
      </c>
      <c r="D613">
        <v>2.29</v>
      </c>
      <c r="F613" t="str">
        <f t="shared" si="45"/>
        <v>No</v>
      </c>
      <c r="G613" t="str">
        <f t="shared" si="46"/>
        <v/>
      </c>
      <c r="H613" t="str">
        <f t="shared" si="47"/>
        <v>—</v>
      </c>
      <c r="I613" t="str">
        <f t="shared" si="48"/>
        <v>Below thresholds</v>
      </c>
      <c r="J613" t="str">
        <f t="shared" si="49"/>
        <v/>
      </c>
    </row>
    <row r="614" spans="1:10" x14ac:dyDescent="0.2">
      <c r="A614">
        <v>226918758116</v>
      </c>
      <c r="B614" t="s">
        <v>1956</v>
      </c>
      <c r="C614" t="s">
        <v>1957</v>
      </c>
      <c r="D614">
        <v>2.29</v>
      </c>
      <c r="F614" t="str">
        <f t="shared" si="45"/>
        <v>No</v>
      </c>
      <c r="G614" t="str">
        <f t="shared" si="46"/>
        <v/>
      </c>
      <c r="H614" t="str">
        <f t="shared" si="47"/>
        <v>—</v>
      </c>
      <c r="I614" t="str">
        <f t="shared" si="48"/>
        <v>Below thresholds</v>
      </c>
      <c r="J614" t="str">
        <f t="shared" si="49"/>
        <v/>
      </c>
    </row>
    <row r="615" spans="1:10" x14ac:dyDescent="0.2">
      <c r="A615">
        <v>226918758237</v>
      </c>
      <c r="B615" t="s">
        <v>1958</v>
      </c>
      <c r="C615" t="s">
        <v>1959</v>
      </c>
      <c r="D615">
        <v>2.29</v>
      </c>
      <c r="F615" t="str">
        <f t="shared" si="45"/>
        <v>No</v>
      </c>
      <c r="G615" t="str">
        <f t="shared" si="46"/>
        <v/>
      </c>
      <c r="H615" t="str">
        <f t="shared" si="47"/>
        <v>—</v>
      </c>
      <c r="I615" t="str">
        <f t="shared" si="48"/>
        <v>Below thresholds</v>
      </c>
      <c r="J615" t="str">
        <f t="shared" si="49"/>
        <v/>
      </c>
    </row>
    <row r="616" spans="1:10" x14ac:dyDescent="0.2">
      <c r="A616">
        <v>226918758281</v>
      </c>
      <c r="B616" t="s">
        <v>1960</v>
      </c>
      <c r="C616" t="s">
        <v>1961</v>
      </c>
      <c r="D616">
        <v>2.29</v>
      </c>
      <c r="F616" t="str">
        <f t="shared" si="45"/>
        <v>No</v>
      </c>
      <c r="G616" t="str">
        <f t="shared" si="46"/>
        <v/>
      </c>
      <c r="H616" t="str">
        <f t="shared" si="47"/>
        <v>—</v>
      </c>
      <c r="I616" t="str">
        <f t="shared" si="48"/>
        <v>Below thresholds</v>
      </c>
      <c r="J616" t="str">
        <f t="shared" si="49"/>
        <v/>
      </c>
    </row>
    <row r="617" spans="1:10" x14ac:dyDescent="0.2">
      <c r="A617">
        <v>226918758419</v>
      </c>
      <c r="B617" t="s">
        <v>1962</v>
      </c>
      <c r="C617" t="s">
        <v>1963</v>
      </c>
      <c r="D617">
        <v>2.29</v>
      </c>
      <c r="F617" t="str">
        <f t="shared" si="45"/>
        <v>No</v>
      </c>
      <c r="G617" t="str">
        <f t="shared" si="46"/>
        <v/>
      </c>
      <c r="H617" t="str">
        <f t="shared" si="47"/>
        <v>—</v>
      </c>
      <c r="I617" t="str">
        <f t="shared" si="48"/>
        <v>Below thresholds</v>
      </c>
      <c r="J617" t="str">
        <f t="shared" si="49"/>
        <v/>
      </c>
    </row>
    <row r="618" spans="1:10" x14ac:dyDescent="0.2">
      <c r="A618">
        <v>226918758465</v>
      </c>
      <c r="B618" t="s">
        <v>1964</v>
      </c>
      <c r="C618" t="s">
        <v>1965</v>
      </c>
      <c r="D618">
        <v>2.79</v>
      </c>
      <c r="F618" t="str">
        <f t="shared" si="45"/>
        <v>No</v>
      </c>
      <c r="G618" t="str">
        <f t="shared" si="46"/>
        <v/>
      </c>
      <c r="H618" t="str">
        <f t="shared" si="47"/>
        <v>—</v>
      </c>
      <c r="I618" t="str">
        <f t="shared" si="48"/>
        <v>Below thresholds</v>
      </c>
      <c r="J618" t="str">
        <f t="shared" si="49"/>
        <v/>
      </c>
    </row>
    <row r="619" spans="1:10" x14ac:dyDescent="0.2">
      <c r="A619">
        <v>226918758696</v>
      </c>
      <c r="B619" t="s">
        <v>1966</v>
      </c>
      <c r="C619" t="s">
        <v>1967</v>
      </c>
      <c r="D619">
        <v>2.29</v>
      </c>
      <c r="F619" t="str">
        <f t="shared" si="45"/>
        <v>No</v>
      </c>
      <c r="G619" t="str">
        <f t="shared" si="46"/>
        <v/>
      </c>
      <c r="H619" t="str">
        <f t="shared" si="47"/>
        <v>—</v>
      </c>
      <c r="I619" t="str">
        <f t="shared" si="48"/>
        <v>Below thresholds</v>
      </c>
      <c r="J619" t="str">
        <f t="shared" si="49"/>
        <v/>
      </c>
    </row>
    <row r="620" spans="1:10" x14ac:dyDescent="0.2">
      <c r="A620">
        <v>226918758704</v>
      </c>
      <c r="B620" t="s">
        <v>1968</v>
      </c>
      <c r="C620" t="s">
        <v>1969</v>
      </c>
      <c r="D620">
        <v>3</v>
      </c>
      <c r="F620" t="str">
        <f t="shared" si="45"/>
        <v>No</v>
      </c>
      <c r="G620" t="str">
        <f t="shared" si="46"/>
        <v/>
      </c>
      <c r="H620" t="str">
        <f t="shared" si="47"/>
        <v>—</v>
      </c>
      <c r="I620" t="str">
        <f t="shared" si="48"/>
        <v>Below thresholds</v>
      </c>
      <c r="J620" t="str">
        <f t="shared" si="49"/>
        <v/>
      </c>
    </row>
    <row r="621" spans="1:10" x14ac:dyDescent="0.2">
      <c r="A621">
        <v>226918758884</v>
      </c>
      <c r="B621" t="s">
        <v>1970</v>
      </c>
      <c r="C621" t="s">
        <v>1971</v>
      </c>
      <c r="D621">
        <v>2.29</v>
      </c>
      <c r="F621" t="str">
        <f t="shared" si="45"/>
        <v>No</v>
      </c>
      <c r="G621" t="str">
        <f t="shared" si="46"/>
        <v/>
      </c>
      <c r="H621" t="str">
        <f t="shared" si="47"/>
        <v>—</v>
      </c>
      <c r="I621" t="str">
        <f t="shared" si="48"/>
        <v>Below thresholds</v>
      </c>
      <c r="J621" t="str">
        <f t="shared" si="49"/>
        <v/>
      </c>
    </row>
    <row r="622" spans="1:10" x14ac:dyDescent="0.2">
      <c r="A622">
        <v>226918759069</v>
      </c>
      <c r="B622" t="s">
        <v>303</v>
      </c>
      <c r="C622" t="s">
        <v>1972</v>
      </c>
      <c r="D622">
        <v>6.69</v>
      </c>
      <c r="F622" t="str">
        <f t="shared" si="45"/>
        <v>No</v>
      </c>
      <c r="G622" t="str">
        <f t="shared" si="46"/>
        <v/>
      </c>
      <c r="H622" t="str">
        <f t="shared" si="47"/>
        <v>—</v>
      </c>
      <c r="I622" t="str">
        <f t="shared" si="48"/>
        <v>Below thresholds</v>
      </c>
      <c r="J622" t="str">
        <f t="shared" si="49"/>
        <v/>
      </c>
    </row>
    <row r="623" spans="1:10" x14ac:dyDescent="0.2">
      <c r="A623">
        <v>226918759090</v>
      </c>
      <c r="B623" t="s">
        <v>1973</v>
      </c>
      <c r="C623" t="s">
        <v>1974</v>
      </c>
      <c r="D623">
        <v>2.4900000000000002</v>
      </c>
      <c r="F623" t="str">
        <f t="shared" si="45"/>
        <v>No</v>
      </c>
      <c r="G623" t="str">
        <f t="shared" si="46"/>
        <v/>
      </c>
      <c r="H623" t="str">
        <f t="shared" si="47"/>
        <v>—</v>
      </c>
      <c r="I623" t="str">
        <f t="shared" si="48"/>
        <v>Below thresholds</v>
      </c>
      <c r="J623" t="str">
        <f t="shared" si="49"/>
        <v/>
      </c>
    </row>
    <row r="624" spans="1:10" x14ac:dyDescent="0.2">
      <c r="A624">
        <v>226918759258</v>
      </c>
      <c r="B624" t="s">
        <v>1975</v>
      </c>
      <c r="C624" t="s">
        <v>1976</v>
      </c>
      <c r="D624">
        <v>2.29</v>
      </c>
      <c r="F624" t="str">
        <f t="shared" si="45"/>
        <v>No</v>
      </c>
      <c r="G624" t="str">
        <f t="shared" si="46"/>
        <v/>
      </c>
      <c r="H624" t="str">
        <f t="shared" si="47"/>
        <v>—</v>
      </c>
      <c r="I624" t="str">
        <f t="shared" si="48"/>
        <v>Below thresholds</v>
      </c>
      <c r="J624" t="str">
        <f t="shared" si="49"/>
        <v/>
      </c>
    </row>
    <row r="625" spans="1:10" x14ac:dyDescent="0.2">
      <c r="A625">
        <v>226918759305</v>
      </c>
      <c r="B625" t="s">
        <v>1977</v>
      </c>
      <c r="C625" t="s">
        <v>1978</v>
      </c>
      <c r="D625">
        <v>2.29</v>
      </c>
      <c r="F625" t="str">
        <f t="shared" si="45"/>
        <v>No</v>
      </c>
      <c r="G625" t="str">
        <f t="shared" si="46"/>
        <v/>
      </c>
      <c r="H625" t="str">
        <f t="shared" si="47"/>
        <v>—</v>
      </c>
      <c r="I625" t="str">
        <f t="shared" si="48"/>
        <v>Below thresholds</v>
      </c>
      <c r="J625" t="str">
        <f t="shared" si="49"/>
        <v/>
      </c>
    </row>
    <row r="626" spans="1:10" x14ac:dyDescent="0.2">
      <c r="A626">
        <v>226918818168</v>
      </c>
      <c r="B626" t="s">
        <v>1979</v>
      </c>
      <c r="C626" t="s">
        <v>1980</v>
      </c>
      <c r="D626">
        <v>2.29</v>
      </c>
      <c r="F626" t="str">
        <f t="shared" si="45"/>
        <v>No</v>
      </c>
      <c r="G626" t="str">
        <f t="shared" si="46"/>
        <v/>
      </c>
      <c r="H626" t="str">
        <f t="shared" si="47"/>
        <v>—</v>
      </c>
      <c r="I626" t="str">
        <f t="shared" si="48"/>
        <v>Below thresholds</v>
      </c>
      <c r="J626" t="str">
        <f t="shared" si="49"/>
        <v/>
      </c>
    </row>
    <row r="627" spans="1:10" x14ac:dyDescent="0.2">
      <c r="A627">
        <v>226918818182</v>
      </c>
      <c r="B627" t="s">
        <v>1981</v>
      </c>
      <c r="C627" t="s">
        <v>1982</v>
      </c>
      <c r="D627">
        <v>2.29</v>
      </c>
      <c r="F627" t="str">
        <f t="shared" si="45"/>
        <v>No</v>
      </c>
      <c r="G627" t="str">
        <f t="shared" si="46"/>
        <v/>
      </c>
      <c r="H627" t="str">
        <f t="shared" si="47"/>
        <v>—</v>
      </c>
      <c r="I627" t="str">
        <f t="shared" si="48"/>
        <v>Below thresholds</v>
      </c>
      <c r="J627" t="str">
        <f t="shared" si="49"/>
        <v/>
      </c>
    </row>
    <row r="628" spans="1:10" x14ac:dyDescent="0.2">
      <c r="A628">
        <v>226918818241</v>
      </c>
      <c r="B628" t="s">
        <v>1983</v>
      </c>
      <c r="C628" t="s">
        <v>1984</v>
      </c>
      <c r="D628">
        <v>2.29</v>
      </c>
      <c r="F628" t="str">
        <f t="shared" si="45"/>
        <v>No</v>
      </c>
      <c r="G628" t="str">
        <f t="shared" si="46"/>
        <v/>
      </c>
      <c r="H628" t="str">
        <f t="shared" si="47"/>
        <v>—</v>
      </c>
      <c r="I628" t="str">
        <f t="shared" si="48"/>
        <v>Below thresholds</v>
      </c>
      <c r="J628" t="str">
        <f t="shared" si="49"/>
        <v/>
      </c>
    </row>
    <row r="629" spans="1:10" x14ac:dyDescent="0.2">
      <c r="A629">
        <v>226918818260</v>
      </c>
      <c r="B629" t="s">
        <v>1985</v>
      </c>
      <c r="C629" t="s">
        <v>1986</v>
      </c>
      <c r="D629">
        <v>2.29</v>
      </c>
      <c r="F629" t="str">
        <f t="shared" si="45"/>
        <v>No</v>
      </c>
      <c r="G629" t="str">
        <f t="shared" si="46"/>
        <v/>
      </c>
      <c r="H629" t="str">
        <f t="shared" si="47"/>
        <v>—</v>
      </c>
      <c r="I629" t="str">
        <f t="shared" si="48"/>
        <v>Below thresholds</v>
      </c>
      <c r="J629" t="str">
        <f t="shared" si="49"/>
        <v/>
      </c>
    </row>
    <row r="630" spans="1:10" x14ac:dyDescent="0.2">
      <c r="A630">
        <v>226918818319</v>
      </c>
      <c r="B630" t="s">
        <v>1987</v>
      </c>
      <c r="C630" t="s">
        <v>1988</v>
      </c>
      <c r="D630">
        <v>2.29</v>
      </c>
      <c r="F630" t="str">
        <f t="shared" si="45"/>
        <v>No</v>
      </c>
      <c r="G630" t="str">
        <f t="shared" si="46"/>
        <v/>
      </c>
      <c r="H630" t="str">
        <f t="shared" si="47"/>
        <v>—</v>
      </c>
      <c r="I630" t="str">
        <f t="shared" si="48"/>
        <v>Below thresholds</v>
      </c>
      <c r="J630" t="str">
        <f t="shared" si="49"/>
        <v/>
      </c>
    </row>
    <row r="631" spans="1:10" x14ac:dyDescent="0.2">
      <c r="A631">
        <v>226918818357</v>
      </c>
      <c r="B631" t="s">
        <v>1989</v>
      </c>
      <c r="C631" t="s">
        <v>1990</v>
      </c>
      <c r="D631">
        <v>2.29</v>
      </c>
      <c r="F631" t="str">
        <f t="shared" si="45"/>
        <v>No</v>
      </c>
      <c r="G631" t="str">
        <f t="shared" si="46"/>
        <v/>
      </c>
      <c r="H631" t="str">
        <f t="shared" si="47"/>
        <v>—</v>
      </c>
      <c r="I631" t="str">
        <f t="shared" si="48"/>
        <v>Below thresholds</v>
      </c>
      <c r="J631" t="str">
        <f t="shared" si="49"/>
        <v/>
      </c>
    </row>
    <row r="632" spans="1:10" x14ac:dyDescent="0.2">
      <c r="A632">
        <v>226918818415</v>
      </c>
      <c r="B632" t="s">
        <v>1991</v>
      </c>
      <c r="C632" t="s">
        <v>1992</v>
      </c>
      <c r="D632">
        <v>2.29</v>
      </c>
      <c r="F632" t="str">
        <f t="shared" si="45"/>
        <v>No</v>
      </c>
      <c r="G632" t="str">
        <f t="shared" si="46"/>
        <v/>
      </c>
      <c r="H632" t="str">
        <f t="shared" si="47"/>
        <v>—</v>
      </c>
      <c r="I632" t="str">
        <f t="shared" si="48"/>
        <v>Below thresholds</v>
      </c>
      <c r="J632" t="str">
        <f t="shared" si="49"/>
        <v/>
      </c>
    </row>
    <row r="633" spans="1:10" x14ac:dyDescent="0.2">
      <c r="A633">
        <v>226918818438</v>
      </c>
      <c r="B633" t="s">
        <v>1993</v>
      </c>
      <c r="C633" t="s">
        <v>1994</v>
      </c>
      <c r="D633">
        <v>2.29</v>
      </c>
      <c r="F633" t="str">
        <f t="shared" si="45"/>
        <v>No</v>
      </c>
      <c r="G633" t="str">
        <f t="shared" si="46"/>
        <v/>
      </c>
      <c r="H633" t="str">
        <f t="shared" si="47"/>
        <v>—</v>
      </c>
      <c r="I633" t="str">
        <f t="shared" si="48"/>
        <v>Below thresholds</v>
      </c>
      <c r="J633" t="str">
        <f t="shared" si="49"/>
        <v/>
      </c>
    </row>
    <row r="634" spans="1:10" x14ac:dyDescent="0.2">
      <c r="A634">
        <v>226918818476</v>
      </c>
      <c r="B634" t="s">
        <v>1995</v>
      </c>
      <c r="C634" t="s">
        <v>1996</v>
      </c>
      <c r="D634">
        <v>2.29</v>
      </c>
      <c r="F634" t="str">
        <f t="shared" si="45"/>
        <v>No</v>
      </c>
      <c r="G634" t="str">
        <f t="shared" si="46"/>
        <v/>
      </c>
      <c r="H634" t="str">
        <f t="shared" si="47"/>
        <v>—</v>
      </c>
      <c r="I634" t="str">
        <f t="shared" si="48"/>
        <v>Below thresholds</v>
      </c>
      <c r="J634" t="str">
        <f t="shared" si="49"/>
        <v/>
      </c>
    </row>
    <row r="635" spans="1:10" x14ac:dyDescent="0.2">
      <c r="A635">
        <v>226918818529</v>
      </c>
      <c r="B635" t="s">
        <v>1997</v>
      </c>
      <c r="C635" t="s">
        <v>1998</v>
      </c>
      <c r="D635">
        <v>2.29</v>
      </c>
      <c r="F635" t="str">
        <f t="shared" si="45"/>
        <v>No</v>
      </c>
      <c r="G635" t="str">
        <f t="shared" si="46"/>
        <v/>
      </c>
      <c r="H635" t="str">
        <f t="shared" si="47"/>
        <v>—</v>
      </c>
      <c r="I635" t="str">
        <f t="shared" si="48"/>
        <v>Below thresholds</v>
      </c>
      <c r="J635" t="str">
        <f t="shared" si="49"/>
        <v/>
      </c>
    </row>
    <row r="636" spans="1:10" x14ac:dyDescent="0.2">
      <c r="A636">
        <v>226918818576</v>
      </c>
      <c r="B636" t="s">
        <v>1999</v>
      </c>
      <c r="C636" t="s">
        <v>2000</v>
      </c>
      <c r="D636">
        <v>2.29</v>
      </c>
      <c r="F636" t="str">
        <f t="shared" si="45"/>
        <v>No</v>
      </c>
      <c r="G636" t="str">
        <f t="shared" si="46"/>
        <v/>
      </c>
      <c r="H636" t="str">
        <f t="shared" si="47"/>
        <v>—</v>
      </c>
      <c r="I636" t="str">
        <f t="shared" si="48"/>
        <v>Below thresholds</v>
      </c>
      <c r="J636" t="str">
        <f t="shared" si="49"/>
        <v/>
      </c>
    </row>
    <row r="637" spans="1:10" x14ac:dyDescent="0.2">
      <c r="A637">
        <v>226918818613</v>
      </c>
      <c r="B637" t="s">
        <v>2001</v>
      </c>
      <c r="C637" t="s">
        <v>2002</v>
      </c>
      <c r="D637">
        <v>2.29</v>
      </c>
      <c r="F637" t="str">
        <f t="shared" si="45"/>
        <v>No</v>
      </c>
      <c r="G637" t="str">
        <f t="shared" si="46"/>
        <v/>
      </c>
      <c r="H637" t="str">
        <f t="shared" si="47"/>
        <v>—</v>
      </c>
      <c r="I637" t="str">
        <f t="shared" si="48"/>
        <v>Below thresholds</v>
      </c>
      <c r="J637" t="str">
        <f t="shared" si="49"/>
        <v/>
      </c>
    </row>
    <row r="638" spans="1:10" x14ac:dyDescent="0.2">
      <c r="A638">
        <v>226918818632</v>
      </c>
      <c r="B638" t="s">
        <v>2003</v>
      </c>
      <c r="C638" t="s">
        <v>2004</v>
      </c>
      <c r="D638">
        <v>2.29</v>
      </c>
      <c r="F638" t="str">
        <f t="shared" si="45"/>
        <v>No</v>
      </c>
      <c r="G638" t="str">
        <f t="shared" si="46"/>
        <v/>
      </c>
      <c r="H638" t="str">
        <f t="shared" si="47"/>
        <v>—</v>
      </c>
      <c r="I638" t="str">
        <f t="shared" si="48"/>
        <v>Below thresholds</v>
      </c>
      <c r="J638" t="str">
        <f t="shared" si="49"/>
        <v/>
      </c>
    </row>
    <row r="639" spans="1:10" x14ac:dyDescent="0.2">
      <c r="A639">
        <v>226918818681</v>
      </c>
      <c r="B639" t="s">
        <v>2005</v>
      </c>
      <c r="C639" t="s">
        <v>2006</v>
      </c>
      <c r="D639">
        <v>2.29</v>
      </c>
      <c r="F639" t="str">
        <f t="shared" si="45"/>
        <v>No</v>
      </c>
      <c r="G639" t="str">
        <f t="shared" si="46"/>
        <v/>
      </c>
      <c r="H639" t="str">
        <f t="shared" si="47"/>
        <v>—</v>
      </c>
      <c r="I639" t="str">
        <f t="shared" si="48"/>
        <v>Below thresholds</v>
      </c>
      <c r="J639" t="str">
        <f t="shared" si="49"/>
        <v/>
      </c>
    </row>
    <row r="640" spans="1:10" x14ac:dyDescent="0.2">
      <c r="A640">
        <v>226918818855</v>
      </c>
      <c r="B640" t="s">
        <v>2007</v>
      </c>
      <c r="C640" t="s">
        <v>2008</v>
      </c>
      <c r="D640">
        <v>2.29</v>
      </c>
      <c r="F640" t="str">
        <f t="shared" si="45"/>
        <v>No</v>
      </c>
      <c r="G640" t="str">
        <f t="shared" si="46"/>
        <v/>
      </c>
      <c r="H640" t="str">
        <f t="shared" si="47"/>
        <v>—</v>
      </c>
      <c r="I640" t="str">
        <f t="shared" si="48"/>
        <v>Below thresholds</v>
      </c>
      <c r="J640" t="str">
        <f t="shared" si="49"/>
        <v/>
      </c>
    </row>
    <row r="641" spans="1:10" x14ac:dyDescent="0.2">
      <c r="A641">
        <v>226918818887</v>
      </c>
      <c r="B641" t="s">
        <v>2009</v>
      </c>
      <c r="C641" t="s">
        <v>2010</v>
      </c>
      <c r="D641">
        <v>2.29</v>
      </c>
      <c r="F641" t="str">
        <f t="shared" si="45"/>
        <v>No</v>
      </c>
      <c r="G641" t="str">
        <f t="shared" si="46"/>
        <v/>
      </c>
      <c r="H641" t="str">
        <f t="shared" si="47"/>
        <v>—</v>
      </c>
      <c r="I641" t="str">
        <f t="shared" si="48"/>
        <v>Below thresholds</v>
      </c>
      <c r="J641" t="str">
        <f t="shared" si="49"/>
        <v/>
      </c>
    </row>
    <row r="642" spans="1:10" x14ac:dyDescent="0.2">
      <c r="A642">
        <v>226918818913</v>
      </c>
      <c r="B642" t="s">
        <v>2011</v>
      </c>
      <c r="C642" t="s">
        <v>2012</v>
      </c>
      <c r="D642">
        <v>2.29</v>
      </c>
      <c r="F642" t="str">
        <f t="shared" si="45"/>
        <v>No</v>
      </c>
      <c r="G642" t="str">
        <f t="shared" si="46"/>
        <v/>
      </c>
      <c r="H642" t="str">
        <f t="shared" si="47"/>
        <v>—</v>
      </c>
      <c r="I642" t="str">
        <f t="shared" si="48"/>
        <v>Below thresholds</v>
      </c>
      <c r="J642" t="str">
        <f t="shared" si="49"/>
        <v/>
      </c>
    </row>
    <row r="643" spans="1:10" x14ac:dyDescent="0.2">
      <c r="A643">
        <v>226918818946</v>
      </c>
      <c r="B643" t="s">
        <v>2013</v>
      </c>
      <c r="C643" t="s">
        <v>2014</v>
      </c>
      <c r="D643">
        <v>2.29</v>
      </c>
      <c r="F643" t="str">
        <f t="shared" si="45"/>
        <v>No</v>
      </c>
      <c r="G643" t="str">
        <f t="shared" si="46"/>
        <v/>
      </c>
      <c r="H643" t="str">
        <f t="shared" si="47"/>
        <v>—</v>
      </c>
      <c r="I643" t="str">
        <f t="shared" si="48"/>
        <v>Below thresholds</v>
      </c>
      <c r="J643" t="str">
        <f t="shared" si="49"/>
        <v/>
      </c>
    </row>
    <row r="644" spans="1:10" x14ac:dyDescent="0.2">
      <c r="A644">
        <v>226918818982</v>
      </c>
      <c r="B644" t="s">
        <v>2015</v>
      </c>
      <c r="C644" t="s">
        <v>2016</v>
      </c>
      <c r="D644">
        <v>2.29</v>
      </c>
      <c r="F644" t="str">
        <f t="shared" si="45"/>
        <v>No</v>
      </c>
      <c r="G644" t="str">
        <f t="shared" si="46"/>
        <v/>
      </c>
      <c r="H644" t="str">
        <f t="shared" si="47"/>
        <v>—</v>
      </c>
      <c r="I644" t="str">
        <f t="shared" si="48"/>
        <v>Below thresholds</v>
      </c>
      <c r="J644" t="str">
        <f t="shared" si="49"/>
        <v/>
      </c>
    </row>
    <row r="645" spans="1:10" x14ac:dyDescent="0.2">
      <c r="A645">
        <v>226918818990</v>
      </c>
      <c r="B645" t="s">
        <v>2017</v>
      </c>
      <c r="C645" t="s">
        <v>2018</v>
      </c>
      <c r="D645">
        <v>2.29</v>
      </c>
      <c r="F645" t="str">
        <f t="shared" ref="F645:F708" si="50">IF($B645="","",IF(ISNUMBER(SEARCH("PSA",$B645)),"Yes","No"))</f>
        <v>No</v>
      </c>
      <c r="G645" t="str">
        <f t="shared" ref="G645:G708" si="51">IF($B645="","",IF(ISNUMBER(SEARCH("PSA 10",$B645)),10,IF(ISNUMBER(SEARCH("PSA 9.5",$B645)),9.5,IF(ISNUMBER(SEARCH("PSA 9",$B645)),9,IF(ISNUMBER(SEARCH("PSA 8",$B645)),8,IF(ISNUMBER(SEARCH("PSA",$B645)),"&lt;9",""))))))</f>
        <v/>
      </c>
      <c r="H645" t="str">
        <f t="shared" ref="H645:H708" si="52">IF($B645="","",IF($D645&gt;=100,"TIER 2",IF(OR(ISNUMBER(SEARCH("PSA 10",$B645)),ISNUMBER(SEARCH("PSA 9.5",$B645)),ISNUMBER(SEARCH("PSA 9",$B645))),"TIER 3",IF(AND($D645&gt;20,N($E645)&gt;=15),"TIER 1","—"))))</f>
        <v>—</v>
      </c>
      <c r="I645" t="str">
        <f t="shared" ref="I645:I708" si="53">IF($B645="","",IF($D645&gt;=100,"Premium $100+ (auto)",IF(OR(ISNUMBER(SEARCH("PSA 10",$B645)),ISNUMBER(SEARCH("PSA 9.5",$B645)),ISNUMBER(SEARCH("PSA 9",$B645))),"Graded PSA 9+ (auto)",IF(AND($D645&gt;20,N($E645)&gt;=15),"Hot: $20+ &amp; "&amp;$E645&amp;"/day",IF($D645&gt;20,"$20+ — needs velocity check","Below thresholds")))))</f>
        <v>Below thresholds</v>
      </c>
      <c r="J645" t="str">
        <f t="shared" ref="J645:J708" si="54">IF($B645="","",IF(AND($D645&gt;20,$D645&lt;100,NOT(OR(ISNUMBER(SEARCH("PSA 10",$B645)),ISNUMBER(SEARCH("PSA 9.5",$B645)),ISNUMBER(SEARCH("PSA 9",$B645)))),$E645=""),"YES — pull CardHedger",""))</f>
        <v/>
      </c>
    </row>
    <row r="646" spans="1:10" x14ac:dyDescent="0.2">
      <c r="A646">
        <v>226918819081</v>
      </c>
      <c r="B646" t="s">
        <v>2019</v>
      </c>
      <c r="C646" t="s">
        <v>2020</v>
      </c>
      <c r="D646">
        <v>2.29</v>
      </c>
      <c r="F646" t="str">
        <f t="shared" si="50"/>
        <v>No</v>
      </c>
      <c r="G646" t="str">
        <f t="shared" si="51"/>
        <v/>
      </c>
      <c r="H646" t="str">
        <f t="shared" si="52"/>
        <v>—</v>
      </c>
      <c r="I646" t="str">
        <f t="shared" si="53"/>
        <v>Below thresholds</v>
      </c>
      <c r="J646" t="str">
        <f t="shared" si="54"/>
        <v/>
      </c>
    </row>
    <row r="647" spans="1:10" x14ac:dyDescent="0.2">
      <c r="A647">
        <v>226918819092</v>
      </c>
      <c r="B647" t="s">
        <v>2021</v>
      </c>
      <c r="C647" t="s">
        <v>2022</v>
      </c>
      <c r="D647">
        <v>2.29</v>
      </c>
      <c r="F647" t="str">
        <f t="shared" si="50"/>
        <v>No</v>
      </c>
      <c r="G647" t="str">
        <f t="shared" si="51"/>
        <v/>
      </c>
      <c r="H647" t="str">
        <f t="shared" si="52"/>
        <v>—</v>
      </c>
      <c r="I647" t="str">
        <f t="shared" si="53"/>
        <v>Below thresholds</v>
      </c>
      <c r="J647" t="str">
        <f t="shared" si="54"/>
        <v/>
      </c>
    </row>
    <row r="648" spans="1:10" x14ac:dyDescent="0.2">
      <c r="A648">
        <v>226918819194</v>
      </c>
      <c r="B648" t="s">
        <v>2023</v>
      </c>
      <c r="C648" t="s">
        <v>2024</v>
      </c>
      <c r="D648">
        <v>2.29</v>
      </c>
      <c r="F648" t="str">
        <f t="shared" si="50"/>
        <v>No</v>
      </c>
      <c r="G648" t="str">
        <f t="shared" si="51"/>
        <v/>
      </c>
      <c r="H648" t="str">
        <f t="shared" si="52"/>
        <v>—</v>
      </c>
      <c r="I648" t="str">
        <f t="shared" si="53"/>
        <v>Below thresholds</v>
      </c>
      <c r="J648" t="str">
        <f t="shared" si="54"/>
        <v/>
      </c>
    </row>
    <row r="649" spans="1:10" x14ac:dyDescent="0.2">
      <c r="A649">
        <v>226918819234</v>
      </c>
      <c r="B649" t="s">
        <v>2025</v>
      </c>
      <c r="C649" t="s">
        <v>2026</v>
      </c>
      <c r="D649">
        <v>2.29</v>
      </c>
      <c r="F649" t="str">
        <f t="shared" si="50"/>
        <v>No</v>
      </c>
      <c r="G649" t="str">
        <f t="shared" si="51"/>
        <v/>
      </c>
      <c r="H649" t="str">
        <f t="shared" si="52"/>
        <v>—</v>
      </c>
      <c r="I649" t="str">
        <f t="shared" si="53"/>
        <v>Below thresholds</v>
      </c>
      <c r="J649" t="str">
        <f t="shared" si="54"/>
        <v/>
      </c>
    </row>
    <row r="650" spans="1:10" x14ac:dyDescent="0.2">
      <c r="A650">
        <v>226918819363</v>
      </c>
      <c r="B650" t="s">
        <v>2027</v>
      </c>
      <c r="C650" t="s">
        <v>2028</v>
      </c>
      <c r="D650">
        <v>2.29</v>
      </c>
      <c r="F650" t="str">
        <f t="shared" si="50"/>
        <v>No</v>
      </c>
      <c r="G650" t="str">
        <f t="shared" si="51"/>
        <v/>
      </c>
      <c r="H650" t="str">
        <f t="shared" si="52"/>
        <v>—</v>
      </c>
      <c r="I650" t="str">
        <f t="shared" si="53"/>
        <v>Below thresholds</v>
      </c>
      <c r="J650" t="str">
        <f t="shared" si="54"/>
        <v/>
      </c>
    </row>
    <row r="651" spans="1:10" x14ac:dyDescent="0.2">
      <c r="A651">
        <v>226918819396</v>
      </c>
      <c r="B651" t="s">
        <v>2029</v>
      </c>
      <c r="C651" t="s">
        <v>2030</v>
      </c>
      <c r="D651">
        <v>2.29</v>
      </c>
      <c r="F651" t="str">
        <f t="shared" si="50"/>
        <v>No</v>
      </c>
      <c r="G651" t="str">
        <f t="shared" si="51"/>
        <v/>
      </c>
      <c r="H651" t="str">
        <f t="shared" si="52"/>
        <v>—</v>
      </c>
      <c r="I651" t="str">
        <f t="shared" si="53"/>
        <v>Below thresholds</v>
      </c>
      <c r="J651" t="str">
        <f t="shared" si="54"/>
        <v/>
      </c>
    </row>
    <row r="652" spans="1:10" x14ac:dyDescent="0.2">
      <c r="A652">
        <v>226918819499</v>
      </c>
      <c r="B652" t="s">
        <v>2031</v>
      </c>
      <c r="C652" t="s">
        <v>2032</v>
      </c>
      <c r="D652">
        <v>2.29</v>
      </c>
      <c r="F652" t="str">
        <f t="shared" si="50"/>
        <v>No</v>
      </c>
      <c r="G652" t="str">
        <f t="shared" si="51"/>
        <v/>
      </c>
      <c r="H652" t="str">
        <f t="shared" si="52"/>
        <v>—</v>
      </c>
      <c r="I652" t="str">
        <f t="shared" si="53"/>
        <v>Below thresholds</v>
      </c>
      <c r="J652" t="str">
        <f t="shared" si="54"/>
        <v/>
      </c>
    </row>
    <row r="653" spans="1:10" x14ac:dyDescent="0.2">
      <c r="A653">
        <v>226918819506</v>
      </c>
      <c r="B653" t="s">
        <v>2033</v>
      </c>
      <c r="C653" t="s">
        <v>2034</v>
      </c>
      <c r="D653">
        <v>2.29</v>
      </c>
      <c r="F653" t="str">
        <f t="shared" si="50"/>
        <v>No</v>
      </c>
      <c r="G653" t="str">
        <f t="shared" si="51"/>
        <v/>
      </c>
      <c r="H653" t="str">
        <f t="shared" si="52"/>
        <v>—</v>
      </c>
      <c r="I653" t="str">
        <f t="shared" si="53"/>
        <v>Below thresholds</v>
      </c>
      <c r="J653" t="str">
        <f t="shared" si="54"/>
        <v/>
      </c>
    </row>
    <row r="654" spans="1:10" x14ac:dyDescent="0.2">
      <c r="A654">
        <v>226919237985</v>
      </c>
      <c r="B654" t="s">
        <v>2035</v>
      </c>
      <c r="C654" t="s">
        <v>2036</v>
      </c>
      <c r="D654">
        <v>2.25</v>
      </c>
      <c r="F654" t="str">
        <f t="shared" si="50"/>
        <v>No</v>
      </c>
      <c r="G654" t="str">
        <f t="shared" si="51"/>
        <v/>
      </c>
      <c r="H654" t="str">
        <f t="shared" si="52"/>
        <v>—</v>
      </c>
      <c r="I654" t="str">
        <f t="shared" si="53"/>
        <v>Below thresholds</v>
      </c>
      <c r="J654" t="str">
        <f t="shared" si="54"/>
        <v/>
      </c>
    </row>
    <row r="655" spans="1:10" x14ac:dyDescent="0.2">
      <c r="A655">
        <v>226919237987</v>
      </c>
      <c r="B655" t="s">
        <v>2037</v>
      </c>
      <c r="C655" t="s">
        <v>2038</v>
      </c>
      <c r="D655">
        <v>1.79</v>
      </c>
      <c r="F655" t="str">
        <f t="shared" si="50"/>
        <v>No</v>
      </c>
      <c r="G655" t="str">
        <f t="shared" si="51"/>
        <v/>
      </c>
      <c r="H655" t="str">
        <f t="shared" si="52"/>
        <v>—</v>
      </c>
      <c r="I655" t="str">
        <f t="shared" si="53"/>
        <v>Below thresholds</v>
      </c>
      <c r="J655" t="str">
        <f t="shared" si="54"/>
        <v/>
      </c>
    </row>
    <row r="656" spans="1:10" x14ac:dyDescent="0.2">
      <c r="A656">
        <v>226919238017</v>
      </c>
      <c r="B656" t="s">
        <v>2039</v>
      </c>
      <c r="C656" t="s">
        <v>2040</v>
      </c>
      <c r="D656">
        <v>1.59</v>
      </c>
      <c r="F656" t="str">
        <f t="shared" si="50"/>
        <v>No</v>
      </c>
      <c r="G656" t="str">
        <f t="shared" si="51"/>
        <v/>
      </c>
      <c r="H656" t="str">
        <f t="shared" si="52"/>
        <v>—</v>
      </c>
      <c r="I656" t="str">
        <f t="shared" si="53"/>
        <v>Below thresholds</v>
      </c>
      <c r="J656" t="str">
        <f t="shared" si="54"/>
        <v/>
      </c>
    </row>
    <row r="657" spans="1:10" x14ac:dyDescent="0.2">
      <c r="A657">
        <v>226919238020</v>
      </c>
      <c r="B657" t="s">
        <v>2041</v>
      </c>
      <c r="C657" t="s">
        <v>2042</v>
      </c>
      <c r="D657">
        <v>2.4900000000000002</v>
      </c>
      <c r="F657" t="str">
        <f t="shared" si="50"/>
        <v>No</v>
      </c>
      <c r="G657" t="str">
        <f t="shared" si="51"/>
        <v/>
      </c>
      <c r="H657" t="str">
        <f t="shared" si="52"/>
        <v>—</v>
      </c>
      <c r="I657" t="str">
        <f t="shared" si="53"/>
        <v>Below thresholds</v>
      </c>
      <c r="J657" t="str">
        <f t="shared" si="54"/>
        <v/>
      </c>
    </row>
    <row r="658" spans="1:10" x14ac:dyDescent="0.2">
      <c r="A658">
        <v>226919238067</v>
      </c>
      <c r="B658" t="s">
        <v>2043</v>
      </c>
      <c r="C658" t="s">
        <v>2044</v>
      </c>
      <c r="D658">
        <v>1.59</v>
      </c>
      <c r="F658" t="str">
        <f t="shared" si="50"/>
        <v>No</v>
      </c>
      <c r="G658" t="str">
        <f t="shared" si="51"/>
        <v/>
      </c>
      <c r="H658" t="str">
        <f t="shared" si="52"/>
        <v>—</v>
      </c>
      <c r="I658" t="str">
        <f t="shared" si="53"/>
        <v>Below thresholds</v>
      </c>
      <c r="J658" t="str">
        <f t="shared" si="54"/>
        <v/>
      </c>
    </row>
    <row r="659" spans="1:10" x14ac:dyDescent="0.2">
      <c r="A659">
        <v>226919238076</v>
      </c>
      <c r="B659" t="s">
        <v>2045</v>
      </c>
      <c r="C659" t="s">
        <v>2046</v>
      </c>
      <c r="D659">
        <v>2.25</v>
      </c>
      <c r="F659" t="str">
        <f t="shared" si="50"/>
        <v>No</v>
      </c>
      <c r="G659" t="str">
        <f t="shared" si="51"/>
        <v/>
      </c>
      <c r="H659" t="str">
        <f t="shared" si="52"/>
        <v>—</v>
      </c>
      <c r="I659" t="str">
        <f t="shared" si="53"/>
        <v>Below thresholds</v>
      </c>
      <c r="J659" t="str">
        <f t="shared" si="54"/>
        <v/>
      </c>
    </row>
    <row r="660" spans="1:10" x14ac:dyDescent="0.2">
      <c r="A660">
        <v>226919238116</v>
      </c>
      <c r="B660" t="s">
        <v>2047</v>
      </c>
      <c r="C660" t="s">
        <v>2048</v>
      </c>
      <c r="D660">
        <v>2.4900000000000002</v>
      </c>
      <c r="F660" t="str">
        <f t="shared" si="50"/>
        <v>No</v>
      </c>
      <c r="G660" t="str">
        <f t="shared" si="51"/>
        <v/>
      </c>
      <c r="H660" t="str">
        <f t="shared" si="52"/>
        <v>—</v>
      </c>
      <c r="I660" t="str">
        <f t="shared" si="53"/>
        <v>Below thresholds</v>
      </c>
      <c r="J660" t="str">
        <f t="shared" si="54"/>
        <v/>
      </c>
    </row>
    <row r="661" spans="1:10" x14ac:dyDescent="0.2">
      <c r="A661">
        <v>226919238138</v>
      </c>
      <c r="B661" t="s">
        <v>2049</v>
      </c>
      <c r="C661" t="s">
        <v>2050</v>
      </c>
      <c r="D661">
        <v>2.59</v>
      </c>
      <c r="F661" t="str">
        <f t="shared" si="50"/>
        <v>No</v>
      </c>
      <c r="G661" t="str">
        <f t="shared" si="51"/>
        <v/>
      </c>
      <c r="H661" t="str">
        <f t="shared" si="52"/>
        <v>—</v>
      </c>
      <c r="I661" t="str">
        <f t="shared" si="53"/>
        <v>Below thresholds</v>
      </c>
      <c r="J661" t="str">
        <f t="shared" si="54"/>
        <v/>
      </c>
    </row>
    <row r="662" spans="1:10" x14ac:dyDescent="0.2">
      <c r="A662">
        <v>226919238177</v>
      </c>
      <c r="B662" t="s">
        <v>2051</v>
      </c>
      <c r="C662" t="s">
        <v>2052</v>
      </c>
      <c r="D662">
        <v>1.99</v>
      </c>
      <c r="F662" t="str">
        <f t="shared" si="50"/>
        <v>No</v>
      </c>
      <c r="G662" t="str">
        <f t="shared" si="51"/>
        <v/>
      </c>
      <c r="H662" t="str">
        <f t="shared" si="52"/>
        <v>—</v>
      </c>
      <c r="I662" t="str">
        <f t="shared" si="53"/>
        <v>Below thresholds</v>
      </c>
      <c r="J662" t="str">
        <f t="shared" si="54"/>
        <v/>
      </c>
    </row>
    <row r="663" spans="1:10" x14ac:dyDescent="0.2">
      <c r="A663">
        <v>226919238189</v>
      </c>
      <c r="B663" t="s">
        <v>2053</v>
      </c>
      <c r="C663" t="s">
        <v>2054</v>
      </c>
      <c r="D663">
        <v>1.99</v>
      </c>
      <c r="F663" t="str">
        <f t="shared" si="50"/>
        <v>No</v>
      </c>
      <c r="G663" t="str">
        <f t="shared" si="51"/>
        <v/>
      </c>
      <c r="H663" t="str">
        <f t="shared" si="52"/>
        <v>—</v>
      </c>
      <c r="I663" t="str">
        <f t="shared" si="53"/>
        <v>Below thresholds</v>
      </c>
      <c r="J663" t="str">
        <f t="shared" si="54"/>
        <v/>
      </c>
    </row>
    <row r="664" spans="1:10" x14ac:dyDescent="0.2">
      <c r="A664">
        <v>226919238240</v>
      </c>
      <c r="B664" t="s">
        <v>2055</v>
      </c>
      <c r="C664" t="s">
        <v>2056</v>
      </c>
      <c r="D664">
        <v>1.49</v>
      </c>
      <c r="F664" t="str">
        <f t="shared" si="50"/>
        <v>No</v>
      </c>
      <c r="G664" t="str">
        <f t="shared" si="51"/>
        <v/>
      </c>
      <c r="H664" t="str">
        <f t="shared" si="52"/>
        <v>—</v>
      </c>
      <c r="I664" t="str">
        <f t="shared" si="53"/>
        <v>Below thresholds</v>
      </c>
      <c r="J664" t="str">
        <f t="shared" si="54"/>
        <v/>
      </c>
    </row>
    <row r="665" spans="1:10" x14ac:dyDescent="0.2">
      <c r="A665">
        <v>226919238271</v>
      </c>
      <c r="B665" t="s">
        <v>2057</v>
      </c>
      <c r="C665" t="s">
        <v>2058</v>
      </c>
      <c r="D665">
        <v>1.75</v>
      </c>
      <c r="F665" t="str">
        <f t="shared" si="50"/>
        <v>No</v>
      </c>
      <c r="G665" t="str">
        <f t="shared" si="51"/>
        <v/>
      </c>
      <c r="H665" t="str">
        <f t="shared" si="52"/>
        <v>—</v>
      </c>
      <c r="I665" t="str">
        <f t="shared" si="53"/>
        <v>Below thresholds</v>
      </c>
      <c r="J665" t="str">
        <f t="shared" si="54"/>
        <v/>
      </c>
    </row>
    <row r="666" spans="1:10" x14ac:dyDescent="0.2">
      <c r="A666">
        <v>226919238314</v>
      </c>
      <c r="B666" t="s">
        <v>2059</v>
      </c>
      <c r="C666" t="s">
        <v>2060</v>
      </c>
      <c r="D666">
        <v>1.75</v>
      </c>
      <c r="F666" t="str">
        <f t="shared" si="50"/>
        <v>No</v>
      </c>
      <c r="G666" t="str">
        <f t="shared" si="51"/>
        <v/>
      </c>
      <c r="H666" t="str">
        <f t="shared" si="52"/>
        <v>—</v>
      </c>
      <c r="I666" t="str">
        <f t="shared" si="53"/>
        <v>Below thresholds</v>
      </c>
      <c r="J666" t="str">
        <f t="shared" si="54"/>
        <v/>
      </c>
    </row>
    <row r="667" spans="1:10" x14ac:dyDescent="0.2">
      <c r="A667">
        <v>226919238329</v>
      </c>
      <c r="B667" t="s">
        <v>2061</v>
      </c>
      <c r="C667" t="s">
        <v>2062</v>
      </c>
      <c r="D667">
        <v>1.79</v>
      </c>
      <c r="F667" t="str">
        <f t="shared" si="50"/>
        <v>No</v>
      </c>
      <c r="G667" t="str">
        <f t="shared" si="51"/>
        <v/>
      </c>
      <c r="H667" t="str">
        <f t="shared" si="52"/>
        <v>—</v>
      </c>
      <c r="I667" t="str">
        <f t="shared" si="53"/>
        <v>Below thresholds</v>
      </c>
      <c r="J667" t="str">
        <f t="shared" si="54"/>
        <v/>
      </c>
    </row>
    <row r="668" spans="1:10" x14ac:dyDescent="0.2">
      <c r="A668">
        <v>226919238387</v>
      </c>
      <c r="B668" t="s">
        <v>2063</v>
      </c>
      <c r="C668" t="s">
        <v>2064</v>
      </c>
      <c r="D668">
        <v>1.99</v>
      </c>
      <c r="F668" t="str">
        <f t="shared" si="50"/>
        <v>No</v>
      </c>
      <c r="G668" t="str">
        <f t="shared" si="51"/>
        <v/>
      </c>
      <c r="H668" t="str">
        <f t="shared" si="52"/>
        <v>—</v>
      </c>
      <c r="I668" t="str">
        <f t="shared" si="53"/>
        <v>Below thresholds</v>
      </c>
      <c r="J668" t="str">
        <f t="shared" si="54"/>
        <v/>
      </c>
    </row>
    <row r="669" spans="1:10" x14ac:dyDescent="0.2">
      <c r="A669">
        <v>226919238407</v>
      </c>
      <c r="B669" t="s">
        <v>2065</v>
      </c>
      <c r="C669" t="s">
        <v>2066</v>
      </c>
      <c r="D669">
        <v>1.49</v>
      </c>
      <c r="F669" t="str">
        <f t="shared" si="50"/>
        <v>No</v>
      </c>
      <c r="G669" t="str">
        <f t="shared" si="51"/>
        <v/>
      </c>
      <c r="H669" t="str">
        <f t="shared" si="52"/>
        <v>—</v>
      </c>
      <c r="I669" t="str">
        <f t="shared" si="53"/>
        <v>Below thresholds</v>
      </c>
      <c r="J669" t="str">
        <f t="shared" si="54"/>
        <v/>
      </c>
    </row>
    <row r="670" spans="1:10" x14ac:dyDescent="0.2">
      <c r="A670">
        <v>226919238426</v>
      </c>
      <c r="B670" t="s">
        <v>2067</v>
      </c>
      <c r="C670" t="s">
        <v>2068</v>
      </c>
      <c r="D670">
        <v>1.5</v>
      </c>
      <c r="F670" t="str">
        <f t="shared" si="50"/>
        <v>No</v>
      </c>
      <c r="G670" t="str">
        <f t="shared" si="51"/>
        <v/>
      </c>
      <c r="H670" t="str">
        <f t="shared" si="52"/>
        <v>—</v>
      </c>
      <c r="I670" t="str">
        <f t="shared" si="53"/>
        <v>Below thresholds</v>
      </c>
      <c r="J670" t="str">
        <f t="shared" si="54"/>
        <v/>
      </c>
    </row>
    <row r="671" spans="1:10" x14ac:dyDescent="0.2">
      <c r="A671">
        <v>226919238444</v>
      </c>
      <c r="B671" t="s">
        <v>2069</v>
      </c>
      <c r="C671" t="s">
        <v>2070</v>
      </c>
      <c r="D671">
        <v>1.5</v>
      </c>
      <c r="F671" t="str">
        <f t="shared" si="50"/>
        <v>No</v>
      </c>
      <c r="G671" t="str">
        <f t="shared" si="51"/>
        <v/>
      </c>
      <c r="H671" t="str">
        <f t="shared" si="52"/>
        <v>—</v>
      </c>
      <c r="I671" t="str">
        <f t="shared" si="53"/>
        <v>Below thresholds</v>
      </c>
      <c r="J671" t="str">
        <f t="shared" si="54"/>
        <v/>
      </c>
    </row>
    <row r="672" spans="1:10" x14ac:dyDescent="0.2">
      <c r="A672">
        <v>226919238496</v>
      </c>
      <c r="B672" t="s">
        <v>2071</v>
      </c>
      <c r="C672" t="s">
        <v>2072</v>
      </c>
      <c r="D672">
        <v>1.99</v>
      </c>
      <c r="F672" t="str">
        <f t="shared" si="50"/>
        <v>No</v>
      </c>
      <c r="G672" t="str">
        <f t="shared" si="51"/>
        <v/>
      </c>
      <c r="H672" t="str">
        <f t="shared" si="52"/>
        <v>—</v>
      </c>
      <c r="I672" t="str">
        <f t="shared" si="53"/>
        <v>Below thresholds</v>
      </c>
      <c r="J672" t="str">
        <f t="shared" si="54"/>
        <v/>
      </c>
    </row>
    <row r="673" spans="1:10" x14ac:dyDescent="0.2">
      <c r="A673">
        <v>226919238626</v>
      </c>
      <c r="B673" t="s">
        <v>2073</v>
      </c>
      <c r="C673" t="s">
        <v>2074</v>
      </c>
      <c r="D673">
        <v>1.5</v>
      </c>
      <c r="F673" t="str">
        <f t="shared" si="50"/>
        <v>No</v>
      </c>
      <c r="G673" t="str">
        <f t="shared" si="51"/>
        <v/>
      </c>
      <c r="H673" t="str">
        <f t="shared" si="52"/>
        <v>—</v>
      </c>
      <c r="I673" t="str">
        <f t="shared" si="53"/>
        <v>Below thresholds</v>
      </c>
      <c r="J673" t="str">
        <f t="shared" si="54"/>
        <v/>
      </c>
    </row>
    <row r="674" spans="1:10" x14ac:dyDescent="0.2">
      <c r="A674">
        <v>226919238661</v>
      </c>
      <c r="B674" t="s">
        <v>2075</v>
      </c>
      <c r="C674" t="s">
        <v>2076</v>
      </c>
      <c r="D674">
        <v>1.49</v>
      </c>
      <c r="F674" t="str">
        <f t="shared" si="50"/>
        <v>No</v>
      </c>
      <c r="G674" t="str">
        <f t="shared" si="51"/>
        <v/>
      </c>
      <c r="H674" t="str">
        <f t="shared" si="52"/>
        <v>—</v>
      </c>
      <c r="I674" t="str">
        <f t="shared" si="53"/>
        <v>Below thresholds</v>
      </c>
      <c r="J674" t="str">
        <f t="shared" si="54"/>
        <v/>
      </c>
    </row>
    <row r="675" spans="1:10" x14ac:dyDescent="0.2">
      <c r="A675">
        <v>226919238689</v>
      </c>
      <c r="B675" t="s">
        <v>2077</v>
      </c>
      <c r="C675" t="s">
        <v>2078</v>
      </c>
      <c r="D675">
        <v>1.5</v>
      </c>
      <c r="F675" t="str">
        <f t="shared" si="50"/>
        <v>No</v>
      </c>
      <c r="G675" t="str">
        <f t="shared" si="51"/>
        <v/>
      </c>
      <c r="H675" t="str">
        <f t="shared" si="52"/>
        <v>—</v>
      </c>
      <c r="I675" t="str">
        <f t="shared" si="53"/>
        <v>Below thresholds</v>
      </c>
      <c r="J675" t="str">
        <f t="shared" si="54"/>
        <v/>
      </c>
    </row>
    <row r="676" spans="1:10" x14ac:dyDescent="0.2">
      <c r="A676">
        <v>226919238755</v>
      </c>
      <c r="B676" t="s">
        <v>2079</v>
      </c>
      <c r="C676" t="s">
        <v>2080</v>
      </c>
      <c r="D676">
        <v>2.5</v>
      </c>
      <c r="F676" t="str">
        <f t="shared" si="50"/>
        <v>No</v>
      </c>
      <c r="G676" t="str">
        <f t="shared" si="51"/>
        <v/>
      </c>
      <c r="H676" t="str">
        <f t="shared" si="52"/>
        <v>—</v>
      </c>
      <c r="I676" t="str">
        <f t="shared" si="53"/>
        <v>Below thresholds</v>
      </c>
      <c r="J676" t="str">
        <f t="shared" si="54"/>
        <v/>
      </c>
    </row>
    <row r="677" spans="1:10" x14ac:dyDescent="0.2">
      <c r="A677">
        <v>226919551579</v>
      </c>
      <c r="B677" t="s">
        <v>2081</v>
      </c>
      <c r="C677" t="s">
        <v>2082</v>
      </c>
      <c r="D677">
        <v>14.95</v>
      </c>
      <c r="F677" t="str">
        <f t="shared" si="50"/>
        <v>No</v>
      </c>
      <c r="G677" t="str">
        <f t="shared" si="51"/>
        <v/>
      </c>
      <c r="H677" t="str">
        <f t="shared" si="52"/>
        <v>—</v>
      </c>
      <c r="I677" t="str">
        <f t="shared" si="53"/>
        <v>Below thresholds</v>
      </c>
      <c r="J677" t="str">
        <f t="shared" si="54"/>
        <v/>
      </c>
    </row>
    <row r="678" spans="1:10" x14ac:dyDescent="0.2">
      <c r="A678">
        <v>226921254988</v>
      </c>
      <c r="B678" t="s">
        <v>2083</v>
      </c>
      <c r="C678" t="s">
        <v>2084</v>
      </c>
      <c r="D678">
        <v>3.95</v>
      </c>
      <c r="F678" t="str">
        <f t="shared" si="50"/>
        <v>No</v>
      </c>
      <c r="G678" t="str">
        <f t="shared" si="51"/>
        <v/>
      </c>
      <c r="H678" t="str">
        <f t="shared" si="52"/>
        <v>—</v>
      </c>
      <c r="I678" t="str">
        <f t="shared" si="53"/>
        <v>Below thresholds</v>
      </c>
      <c r="J678" t="str">
        <f t="shared" si="54"/>
        <v/>
      </c>
    </row>
    <row r="679" spans="1:10" x14ac:dyDescent="0.2">
      <c r="A679">
        <v>226921255024</v>
      </c>
      <c r="B679" t="s">
        <v>2085</v>
      </c>
      <c r="C679" t="s">
        <v>2086</v>
      </c>
      <c r="D679">
        <v>2</v>
      </c>
      <c r="F679" t="str">
        <f t="shared" si="50"/>
        <v>No</v>
      </c>
      <c r="G679" t="str">
        <f t="shared" si="51"/>
        <v/>
      </c>
      <c r="H679" t="str">
        <f t="shared" si="52"/>
        <v>—</v>
      </c>
      <c r="I679" t="str">
        <f t="shared" si="53"/>
        <v>Below thresholds</v>
      </c>
      <c r="J679" t="str">
        <f t="shared" si="54"/>
        <v/>
      </c>
    </row>
    <row r="680" spans="1:10" x14ac:dyDescent="0.2">
      <c r="A680">
        <v>226921255036</v>
      </c>
      <c r="B680" t="s">
        <v>2087</v>
      </c>
      <c r="C680" t="s">
        <v>2088</v>
      </c>
      <c r="D680">
        <v>2</v>
      </c>
      <c r="F680" t="str">
        <f t="shared" si="50"/>
        <v>No</v>
      </c>
      <c r="G680" t="str">
        <f t="shared" si="51"/>
        <v/>
      </c>
      <c r="H680" t="str">
        <f t="shared" si="52"/>
        <v>—</v>
      </c>
      <c r="I680" t="str">
        <f t="shared" si="53"/>
        <v>Below thresholds</v>
      </c>
      <c r="J680" t="str">
        <f t="shared" si="54"/>
        <v/>
      </c>
    </row>
    <row r="681" spans="1:10" x14ac:dyDescent="0.2">
      <c r="A681">
        <v>226921255091</v>
      </c>
      <c r="B681" t="s">
        <v>2089</v>
      </c>
      <c r="C681" t="s">
        <v>2090</v>
      </c>
      <c r="D681">
        <v>2.25</v>
      </c>
      <c r="F681" t="str">
        <f t="shared" si="50"/>
        <v>No</v>
      </c>
      <c r="G681" t="str">
        <f t="shared" si="51"/>
        <v/>
      </c>
      <c r="H681" t="str">
        <f t="shared" si="52"/>
        <v>—</v>
      </c>
      <c r="I681" t="str">
        <f t="shared" si="53"/>
        <v>Below thresholds</v>
      </c>
      <c r="J681" t="str">
        <f t="shared" si="54"/>
        <v/>
      </c>
    </row>
    <row r="682" spans="1:10" x14ac:dyDescent="0.2">
      <c r="A682">
        <v>226921255097</v>
      </c>
      <c r="B682" t="s">
        <v>2091</v>
      </c>
      <c r="C682" t="s">
        <v>2092</v>
      </c>
      <c r="D682">
        <v>2</v>
      </c>
      <c r="F682" t="str">
        <f t="shared" si="50"/>
        <v>No</v>
      </c>
      <c r="G682" t="str">
        <f t="shared" si="51"/>
        <v/>
      </c>
      <c r="H682" t="str">
        <f t="shared" si="52"/>
        <v>—</v>
      </c>
      <c r="I682" t="str">
        <f t="shared" si="53"/>
        <v>Below thresholds</v>
      </c>
      <c r="J682" t="str">
        <f t="shared" si="54"/>
        <v/>
      </c>
    </row>
    <row r="683" spans="1:10" x14ac:dyDescent="0.2">
      <c r="A683">
        <v>226921255124</v>
      </c>
      <c r="B683" t="s">
        <v>2093</v>
      </c>
      <c r="C683" t="s">
        <v>2094</v>
      </c>
      <c r="D683">
        <v>2</v>
      </c>
      <c r="F683" t="str">
        <f t="shared" si="50"/>
        <v>No</v>
      </c>
      <c r="G683" t="str">
        <f t="shared" si="51"/>
        <v/>
      </c>
      <c r="H683" t="str">
        <f t="shared" si="52"/>
        <v>—</v>
      </c>
      <c r="I683" t="str">
        <f t="shared" si="53"/>
        <v>Below thresholds</v>
      </c>
      <c r="J683" t="str">
        <f t="shared" si="54"/>
        <v/>
      </c>
    </row>
    <row r="684" spans="1:10" x14ac:dyDescent="0.2">
      <c r="A684">
        <v>226921255148</v>
      </c>
      <c r="B684" t="s">
        <v>2095</v>
      </c>
      <c r="C684" t="s">
        <v>2096</v>
      </c>
      <c r="D684">
        <v>2</v>
      </c>
      <c r="F684" t="str">
        <f t="shared" si="50"/>
        <v>No</v>
      </c>
      <c r="G684" t="str">
        <f t="shared" si="51"/>
        <v/>
      </c>
      <c r="H684" t="str">
        <f t="shared" si="52"/>
        <v>—</v>
      </c>
      <c r="I684" t="str">
        <f t="shared" si="53"/>
        <v>Below thresholds</v>
      </c>
      <c r="J684" t="str">
        <f t="shared" si="54"/>
        <v/>
      </c>
    </row>
    <row r="685" spans="1:10" x14ac:dyDescent="0.2">
      <c r="A685">
        <v>226921255182</v>
      </c>
      <c r="B685" t="s">
        <v>2097</v>
      </c>
      <c r="C685" t="s">
        <v>2098</v>
      </c>
      <c r="D685">
        <v>1.89</v>
      </c>
      <c r="F685" t="str">
        <f t="shared" si="50"/>
        <v>No</v>
      </c>
      <c r="G685" t="str">
        <f t="shared" si="51"/>
        <v/>
      </c>
      <c r="H685" t="str">
        <f t="shared" si="52"/>
        <v>—</v>
      </c>
      <c r="I685" t="str">
        <f t="shared" si="53"/>
        <v>Below thresholds</v>
      </c>
      <c r="J685" t="str">
        <f t="shared" si="54"/>
        <v/>
      </c>
    </row>
    <row r="686" spans="1:10" x14ac:dyDescent="0.2">
      <c r="A686">
        <v>226921255187</v>
      </c>
      <c r="B686" t="s">
        <v>2099</v>
      </c>
      <c r="C686" t="s">
        <v>2100</v>
      </c>
      <c r="D686">
        <v>1.49</v>
      </c>
      <c r="F686" t="str">
        <f t="shared" si="50"/>
        <v>No</v>
      </c>
      <c r="G686" t="str">
        <f t="shared" si="51"/>
        <v/>
      </c>
      <c r="H686" t="str">
        <f t="shared" si="52"/>
        <v>—</v>
      </c>
      <c r="I686" t="str">
        <f t="shared" si="53"/>
        <v>Below thresholds</v>
      </c>
      <c r="J686" t="str">
        <f t="shared" si="54"/>
        <v/>
      </c>
    </row>
    <row r="687" spans="1:10" x14ac:dyDescent="0.2">
      <c r="A687">
        <v>226921255213</v>
      </c>
      <c r="B687" t="s">
        <v>2101</v>
      </c>
      <c r="C687" t="s">
        <v>2102</v>
      </c>
      <c r="D687">
        <v>2</v>
      </c>
      <c r="F687" t="str">
        <f t="shared" si="50"/>
        <v>No</v>
      </c>
      <c r="G687" t="str">
        <f t="shared" si="51"/>
        <v/>
      </c>
      <c r="H687" t="str">
        <f t="shared" si="52"/>
        <v>—</v>
      </c>
      <c r="I687" t="str">
        <f t="shared" si="53"/>
        <v>Below thresholds</v>
      </c>
      <c r="J687" t="str">
        <f t="shared" si="54"/>
        <v/>
      </c>
    </row>
    <row r="688" spans="1:10" x14ac:dyDescent="0.2">
      <c r="A688">
        <v>226921255217</v>
      </c>
      <c r="B688" t="s">
        <v>2103</v>
      </c>
      <c r="C688" t="s">
        <v>2104</v>
      </c>
      <c r="D688">
        <v>3</v>
      </c>
      <c r="F688" t="str">
        <f t="shared" si="50"/>
        <v>No</v>
      </c>
      <c r="G688" t="str">
        <f t="shared" si="51"/>
        <v/>
      </c>
      <c r="H688" t="str">
        <f t="shared" si="52"/>
        <v>—</v>
      </c>
      <c r="I688" t="str">
        <f t="shared" si="53"/>
        <v>Below thresholds</v>
      </c>
      <c r="J688" t="str">
        <f t="shared" si="54"/>
        <v/>
      </c>
    </row>
    <row r="689" spans="1:10" x14ac:dyDescent="0.2">
      <c r="A689">
        <v>226921255233</v>
      </c>
      <c r="B689" t="s">
        <v>2105</v>
      </c>
      <c r="C689" t="s">
        <v>2106</v>
      </c>
      <c r="D689">
        <v>4.95</v>
      </c>
      <c r="F689" t="str">
        <f t="shared" si="50"/>
        <v>No</v>
      </c>
      <c r="G689" t="str">
        <f t="shared" si="51"/>
        <v/>
      </c>
      <c r="H689" t="str">
        <f t="shared" si="52"/>
        <v>—</v>
      </c>
      <c r="I689" t="str">
        <f t="shared" si="53"/>
        <v>Below thresholds</v>
      </c>
      <c r="J689" t="str">
        <f t="shared" si="54"/>
        <v/>
      </c>
    </row>
    <row r="690" spans="1:10" x14ac:dyDescent="0.2">
      <c r="A690">
        <v>226921255281</v>
      </c>
      <c r="B690" t="s">
        <v>2107</v>
      </c>
      <c r="C690" t="s">
        <v>2108</v>
      </c>
      <c r="D690">
        <v>2</v>
      </c>
      <c r="F690" t="str">
        <f t="shared" si="50"/>
        <v>No</v>
      </c>
      <c r="G690" t="str">
        <f t="shared" si="51"/>
        <v/>
      </c>
      <c r="H690" t="str">
        <f t="shared" si="52"/>
        <v>—</v>
      </c>
      <c r="I690" t="str">
        <f t="shared" si="53"/>
        <v>Below thresholds</v>
      </c>
      <c r="J690" t="str">
        <f t="shared" si="54"/>
        <v/>
      </c>
    </row>
    <row r="691" spans="1:10" x14ac:dyDescent="0.2">
      <c r="A691">
        <v>226921255297</v>
      </c>
      <c r="B691" t="s">
        <v>2109</v>
      </c>
      <c r="C691" t="s">
        <v>2110</v>
      </c>
      <c r="D691">
        <v>2</v>
      </c>
      <c r="F691" t="str">
        <f t="shared" si="50"/>
        <v>No</v>
      </c>
      <c r="G691" t="str">
        <f t="shared" si="51"/>
        <v/>
      </c>
      <c r="H691" t="str">
        <f t="shared" si="52"/>
        <v>—</v>
      </c>
      <c r="I691" t="str">
        <f t="shared" si="53"/>
        <v>Below thresholds</v>
      </c>
      <c r="J691" t="str">
        <f t="shared" si="54"/>
        <v/>
      </c>
    </row>
    <row r="692" spans="1:10" x14ac:dyDescent="0.2">
      <c r="A692">
        <v>226921255312</v>
      </c>
      <c r="B692" t="s">
        <v>2111</v>
      </c>
      <c r="C692" t="s">
        <v>2112</v>
      </c>
      <c r="D692">
        <v>2.4900000000000002</v>
      </c>
      <c r="F692" t="str">
        <f t="shared" si="50"/>
        <v>No</v>
      </c>
      <c r="G692" t="str">
        <f t="shared" si="51"/>
        <v/>
      </c>
      <c r="H692" t="str">
        <f t="shared" si="52"/>
        <v>—</v>
      </c>
      <c r="I692" t="str">
        <f t="shared" si="53"/>
        <v>Below thresholds</v>
      </c>
      <c r="J692" t="str">
        <f t="shared" si="54"/>
        <v/>
      </c>
    </row>
    <row r="693" spans="1:10" x14ac:dyDescent="0.2">
      <c r="A693">
        <v>226922633001</v>
      </c>
      <c r="B693" t="s">
        <v>2113</v>
      </c>
      <c r="C693" t="s">
        <v>2114</v>
      </c>
      <c r="D693">
        <v>2</v>
      </c>
      <c r="F693" t="str">
        <f t="shared" si="50"/>
        <v>No</v>
      </c>
      <c r="G693" t="str">
        <f t="shared" si="51"/>
        <v/>
      </c>
      <c r="H693" t="str">
        <f t="shared" si="52"/>
        <v>—</v>
      </c>
      <c r="I693" t="str">
        <f t="shared" si="53"/>
        <v>Below thresholds</v>
      </c>
      <c r="J693" t="str">
        <f t="shared" si="54"/>
        <v/>
      </c>
    </row>
    <row r="694" spans="1:10" x14ac:dyDescent="0.2">
      <c r="A694">
        <v>226922633055</v>
      </c>
      <c r="B694" t="s">
        <v>2115</v>
      </c>
      <c r="C694" t="s">
        <v>2116</v>
      </c>
      <c r="D694">
        <v>1.59</v>
      </c>
      <c r="F694" t="str">
        <f t="shared" si="50"/>
        <v>No</v>
      </c>
      <c r="G694" t="str">
        <f t="shared" si="51"/>
        <v/>
      </c>
      <c r="H694" t="str">
        <f t="shared" si="52"/>
        <v>—</v>
      </c>
      <c r="I694" t="str">
        <f t="shared" si="53"/>
        <v>Below thresholds</v>
      </c>
      <c r="J694" t="str">
        <f t="shared" si="54"/>
        <v/>
      </c>
    </row>
    <row r="695" spans="1:10" x14ac:dyDescent="0.2">
      <c r="A695">
        <v>226922633133</v>
      </c>
      <c r="B695" t="s">
        <v>2117</v>
      </c>
      <c r="C695" t="s">
        <v>2118</v>
      </c>
      <c r="D695">
        <v>2.5</v>
      </c>
      <c r="F695" t="str">
        <f t="shared" si="50"/>
        <v>No</v>
      </c>
      <c r="G695" t="str">
        <f t="shared" si="51"/>
        <v/>
      </c>
      <c r="H695" t="str">
        <f t="shared" si="52"/>
        <v>—</v>
      </c>
      <c r="I695" t="str">
        <f t="shared" si="53"/>
        <v>Below thresholds</v>
      </c>
      <c r="J695" t="str">
        <f t="shared" si="54"/>
        <v/>
      </c>
    </row>
    <row r="696" spans="1:10" x14ac:dyDescent="0.2">
      <c r="A696">
        <v>226922633190</v>
      </c>
      <c r="B696" t="s">
        <v>2119</v>
      </c>
      <c r="C696" t="s">
        <v>2120</v>
      </c>
      <c r="D696">
        <v>1.49</v>
      </c>
      <c r="F696" t="str">
        <f t="shared" si="50"/>
        <v>No</v>
      </c>
      <c r="G696" t="str">
        <f t="shared" si="51"/>
        <v/>
      </c>
      <c r="H696" t="str">
        <f t="shared" si="52"/>
        <v>—</v>
      </c>
      <c r="I696" t="str">
        <f t="shared" si="53"/>
        <v>Below thresholds</v>
      </c>
      <c r="J696" t="str">
        <f t="shared" si="54"/>
        <v/>
      </c>
    </row>
    <row r="697" spans="1:10" x14ac:dyDescent="0.2">
      <c r="A697">
        <v>226922633201</v>
      </c>
      <c r="B697" t="s">
        <v>2121</v>
      </c>
      <c r="C697" t="s">
        <v>2122</v>
      </c>
      <c r="D697">
        <v>1.69</v>
      </c>
      <c r="F697" t="str">
        <f t="shared" si="50"/>
        <v>No</v>
      </c>
      <c r="G697" t="str">
        <f t="shared" si="51"/>
        <v/>
      </c>
      <c r="H697" t="str">
        <f t="shared" si="52"/>
        <v>—</v>
      </c>
      <c r="I697" t="str">
        <f t="shared" si="53"/>
        <v>Below thresholds</v>
      </c>
      <c r="J697" t="str">
        <f t="shared" si="54"/>
        <v/>
      </c>
    </row>
    <row r="698" spans="1:10" x14ac:dyDescent="0.2">
      <c r="A698">
        <v>226922633218</v>
      </c>
      <c r="B698" t="s">
        <v>2123</v>
      </c>
      <c r="C698" t="s">
        <v>2124</v>
      </c>
      <c r="D698">
        <v>1.49</v>
      </c>
      <c r="F698" t="str">
        <f t="shared" si="50"/>
        <v>No</v>
      </c>
      <c r="G698" t="str">
        <f t="shared" si="51"/>
        <v/>
      </c>
      <c r="H698" t="str">
        <f t="shared" si="52"/>
        <v>—</v>
      </c>
      <c r="I698" t="str">
        <f t="shared" si="53"/>
        <v>Below thresholds</v>
      </c>
      <c r="J698" t="str">
        <f t="shared" si="54"/>
        <v/>
      </c>
    </row>
    <row r="699" spans="1:10" x14ac:dyDescent="0.2">
      <c r="A699">
        <v>226922633226</v>
      </c>
      <c r="B699" t="s">
        <v>2125</v>
      </c>
      <c r="C699" t="s">
        <v>2126</v>
      </c>
      <c r="D699">
        <v>1.89</v>
      </c>
      <c r="F699" t="str">
        <f t="shared" si="50"/>
        <v>No</v>
      </c>
      <c r="G699" t="str">
        <f t="shared" si="51"/>
        <v/>
      </c>
      <c r="H699" t="str">
        <f t="shared" si="52"/>
        <v>—</v>
      </c>
      <c r="I699" t="str">
        <f t="shared" si="53"/>
        <v>Below thresholds</v>
      </c>
      <c r="J699" t="str">
        <f t="shared" si="54"/>
        <v/>
      </c>
    </row>
    <row r="700" spans="1:10" x14ac:dyDescent="0.2">
      <c r="A700">
        <v>226922633252</v>
      </c>
      <c r="B700" t="s">
        <v>2127</v>
      </c>
      <c r="C700" t="s">
        <v>2128</v>
      </c>
      <c r="D700">
        <v>1.49</v>
      </c>
      <c r="F700" t="str">
        <f t="shared" si="50"/>
        <v>No</v>
      </c>
      <c r="G700" t="str">
        <f t="shared" si="51"/>
        <v/>
      </c>
      <c r="H700" t="str">
        <f t="shared" si="52"/>
        <v>—</v>
      </c>
      <c r="I700" t="str">
        <f t="shared" si="53"/>
        <v>Below thresholds</v>
      </c>
      <c r="J700" t="str">
        <f t="shared" si="54"/>
        <v/>
      </c>
    </row>
    <row r="701" spans="1:10" x14ac:dyDescent="0.2">
      <c r="A701">
        <v>226922633263</v>
      </c>
      <c r="B701" t="s">
        <v>2129</v>
      </c>
      <c r="C701" t="s">
        <v>2130</v>
      </c>
      <c r="D701">
        <v>1.79</v>
      </c>
      <c r="F701" t="str">
        <f t="shared" si="50"/>
        <v>No</v>
      </c>
      <c r="G701" t="str">
        <f t="shared" si="51"/>
        <v/>
      </c>
      <c r="H701" t="str">
        <f t="shared" si="52"/>
        <v>—</v>
      </c>
      <c r="I701" t="str">
        <f t="shared" si="53"/>
        <v>Below thresholds</v>
      </c>
      <c r="J701" t="str">
        <f t="shared" si="54"/>
        <v/>
      </c>
    </row>
    <row r="702" spans="1:10" x14ac:dyDescent="0.2">
      <c r="A702">
        <v>226922633278</v>
      </c>
      <c r="B702" t="s">
        <v>2131</v>
      </c>
      <c r="C702" t="s">
        <v>2132</v>
      </c>
      <c r="D702">
        <v>1.59</v>
      </c>
      <c r="F702" t="str">
        <f t="shared" si="50"/>
        <v>No</v>
      </c>
      <c r="G702" t="str">
        <f t="shared" si="51"/>
        <v/>
      </c>
      <c r="H702" t="str">
        <f t="shared" si="52"/>
        <v>—</v>
      </c>
      <c r="I702" t="str">
        <f t="shared" si="53"/>
        <v>Below thresholds</v>
      </c>
      <c r="J702" t="str">
        <f t="shared" si="54"/>
        <v/>
      </c>
    </row>
    <row r="703" spans="1:10" x14ac:dyDescent="0.2">
      <c r="A703">
        <v>226922633289</v>
      </c>
      <c r="B703" t="s">
        <v>2133</v>
      </c>
      <c r="C703" t="s">
        <v>2134</v>
      </c>
      <c r="D703">
        <v>2.09</v>
      </c>
      <c r="F703" t="str">
        <f t="shared" si="50"/>
        <v>No</v>
      </c>
      <c r="G703" t="str">
        <f t="shared" si="51"/>
        <v/>
      </c>
      <c r="H703" t="str">
        <f t="shared" si="52"/>
        <v>—</v>
      </c>
      <c r="I703" t="str">
        <f t="shared" si="53"/>
        <v>Below thresholds</v>
      </c>
      <c r="J703" t="str">
        <f t="shared" si="54"/>
        <v/>
      </c>
    </row>
    <row r="704" spans="1:10" x14ac:dyDescent="0.2">
      <c r="A704">
        <v>226922633314</v>
      </c>
      <c r="B704" t="s">
        <v>2135</v>
      </c>
      <c r="C704" t="s">
        <v>2136</v>
      </c>
      <c r="D704">
        <v>2</v>
      </c>
      <c r="F704" t="str">
        <f t="shared" si="50"/>
        <v>No</v>
      </c>
      <c r="G704" t="str">
        <f t="shared" si="51"/>
        <v/>
      </c>
      <c r="H704" t="str">
        <f t="shared" si="52"/>
        <v>—</v>
      </c>
      <c r="I704" t="str">
        <f t="shared" si="53"/>
        <v>Below thresholds</v>
      </c>
      <c r="J704" t="str">
        <f t="shared" si="54"/>
        <v/>
      </c>
    </row>
    <row r="705" spans="1:10" x14ac:dyDescent="0.2">
      <c r="A705">
        <v>226922633322</v>
      </c>
      <c r="B705" t="s">
        <v>2137</v>
      </c>
      <c r="C705" t="s">
        <v>2138</v>
      </c>
      <c r="D705">
        <v>1.69</v>
      </c>
      <c r="F705" t="str">
        <f t="shared" si="50"/>
        <v>No</v>
      </c>
      <c r="G705" t="str">
        <f t="shared" si="51"/>
        <v/>
      </c>
      <c r="H705" t="str">
        <f t="shared" si="52"/>
        <v>—</v>
      </c>
      <c r="I705" t="str">
        <f t="shared" si="53"/>
        <v>Below thresholds</v>
      </c>
      <c r="J705" t="str">
        <f t="shared" si="54"/>
        <v/>
      </c>
    </row>
    <row r="706" spans="1:10" x14ac:dyDescent="0.2">
      <c r="A706">
        <v>226922633349</v>
      </c>
      <c r="B706" t="s">
        <v>2139</v>
      </c>
      <c r="C706" t="s">
        <v>2140</v>
      </c>
      <c r="D706">
        <v>2.09</v>
      </c>
      <c r="F706" t="str">
        <f t="shared" si="50"/>
        <v>No</v>
      </c>
      <c r="G706" t="str">
        <f t="shared" si="51"/>
        <v/>
      </c>
      <c r="H706" t="str">
        <f t="shared" si="52"/>
        <v>—</v>
      </c>
      <c r="I706" t="str">
        <f t="shared" si="53"/>
        <v>Below thresholds</v>
      </c>
      <c r="J706" t="str">
        <f t="shared" si="54"/>
        <v/>
      </c>
    </row>
    <row r="707" spans="1:10" x14ac:dyDescent="0.2">
      <c r="A707">
        <v>226922633360</v>
      </c>
      <c r="B707" t="s">
        <v>2141</v>
      </c>
      <c r="C707" t="s">
        <v>2142</v>
      </c>
      <c r="D707">
        <v>2.09</v>
      </c>
      <c r="F707" t="str">
        <f t="shared" si="50"/>
        <v>No</v>
      </c>
      <c r="G707" t="str">
        <f t="shared" si="51"/>
        <v/>
      </c>
      <c r="H707" t="str">
        <f t="shared" si="52"/>
        <v>—</v>
      </c>
      <c r="I707" t="str">
        <f t="shared" si="53"/>
        <v>Below thresholds</v>
      </c>
      <c r="J707" t="str">
        <f t="shared" si="54"/>
        <v/>
      </c>
    </row>
    <row r="708" spans="1:10" x14ac:dyDescent="0.2">
      <c r="A708">
        <v>226922633394</v>
      </c>
      <c r="B708" t="s">
        <v>2143</v>
      </c>
      <c r="C708" t="s">
        <v>2144</v>
      </c>
      <c r="D708">
        <v>2</v>
      </c>
      <c r="F708" t="str">
        <f t="shared" si="50"/>
        <v>No</v>
      </c>
      <c r="G708" t="str">
        <f t="shared" si="51"/>
        <v/>
      </c>
      <c r="H708" t="str">
        <f t="shared" si="52"/>
        <v>—</v>
      </c>
      <c r="I708" t="str">
        <f t="shared" si="53"/>
        <v>Below thresholds</v>
      </c>
      <c r="J708" t="str">
        <f t="shared" si="54"/>
        <v/>
      </c>
    </row>
    <row r="709" spans="1:10" x14ac:dyDescent="0.2">
      <c r="A709">
        <v>226922633413</v>
      </c>
      <c r="B709" t="s">
        <v>2145</v>
      </c>
      <c r="C709" t="s">
        <v>2146</v>
      </c>
      <c r="D709">
        <v>2</v>
      </c>
      <c r="F709" t="str">
        <f t="shared" ref="F709:F772" si="55">IF($B709="","",IF(ISNUMBER(SEARCH("PSA",$B709)),"Yes","No"))</f>
        <v>No</v>
      </c>
      <c r="G709" t="str">
        <f t="shared" ref="G709:G772" si="56">IF($B709="","",IF(ISNUMBER(SEARCH("PSA 10",$B709)),10,IF(ISNUMBER(SEARCH("PSA 9.5",$B709)),9.5,IF(ISNUMBER(SEARCH("PSA 9",$B709)),9,IF(ISNUMBER(SEARCH("PSA 8",$B709)),8,IF(ISNUMBER(SEARCH("PSA",$B709)),"&lt;9",""))))))</f>
        <v/>
      </c>
      <c r="H709" t="str">
        <f t="shared" ref="H709:H772" si="57">IF($B709="","",IF($D709&gt;=100,"TIER 2",IF(OR(ISNUMBER(SEARCH("PSA 10",$B709)),ISNUMBER(SEARCH("PSA 9.5",$B709)),ISNUMBER(SEARCH("PSA 9",$B709))),"TIER 3",IF(AND($D709&gt;20,N($E709)&gt;=15),"TIER 1","—"))))</f>
        <v>—</v>
      </c>
      <c r="I709" t="str">
        <f t="shared" ref="I709:I772" si="58">IF($B709="","",IF($D709&gt;=100,"Premium $100+ (auto)",IF(OR(ISNUMBER(SEARCH("PSA 10",$B709)),ISNUMBER(SEARCH("PSA 9.5",$B709)),ISNUMBER(SEARCH("PSA 9",$B709))),"Graded PSA 9+ (auto)",IF(AND($D709&gt;20,N($E709)&gt;=15),"Hot: $20+ &amp; "&amp;$E709&amp;"/day",IF($D709&gt;20,"$20+ — needs velocity check","Below thresholds")))))</f>
        <v>Below thresholds</v>
      </c>
      <c r="J709" t="str">
        <f t="shared" ref="J709:J772" si="59">IF($B709="","",IF(AND($D709&gt;20,$D709&lt;100,NOT(OR(ISNUMBER(SEARCH("PSA 10",$B709)),ISNUMBER(SEARCH("PSA 9.5",$B709)),ISNUMBER(SEARCH("PSA 9",$B709)))),$E709=""),"YES — pull CardHedger",""))</f>
        <v/>
      </c>
    </row>
    <row r="710" spans="1:10" x14ac:dyDescent="0.2">
      <c r="A710">
        <v>226922633418</v>
      </c>
      <c r="B710" t="s">
        <v>2147</v>
      </c>
      <c r="C710" t="s">
        <v>2148</v>
      </c>
      <c r="D710">
        <v>2</v>
      </c>
      <c r="F710" t="str">
        <f t="shared" si="55"/>
        <v>No</v>
      </c>
      <c r="G710" t="str">
        <f t="shared" si="56"/>
        <v/>
      </c>
      <c r="H710" t="str">
        <f t="shared" si="57"/>
        <v>—</v>
      </c>
      <c r="I710" t="str">
        <f t="shared" si="58"/>
        <v>Below thresholds</v>
      </c>
      <c r="J710" t="str">
        <f t="shared" si="59"/>
        <v/>
      </c>
    </row>
    <row r="711" spans="1:10" x14ac:dyDescent="0.2">
      <c r="A711">
        <v>226922633469</v>
      </c>
      <c r="B711" t="s">
        <v>2149</v>
      </c>
      <c r="C711" t="s">
        <v>2150</v>
      </c>
      <c r="D711">
        <v>2.09</v>
      </c>
      <c r="F711" t="str">
        <f t="shared" si="55"/>
        <v>No</v>
      </c>
      <c r="G711" t="str">
        <f t="shared" si="56"/>
        <v/>
      </c>
      <c r="H711" t="str">
        <f t="shared" si="57"/>
        <v>—</v>
      </c>
      <c r="I711" t="str">
        <f t="shared" si="58"/>
        <v>Below thresholds</v>
      </c>
      <c r="J711" t="str">
        <f t="shared" si="59"/>
        <v/>
      </c>
    </row>
    <row r="712" spans="1:10" x14ac:dyDescent="0.2">
      <c r="A712">
        <v>226922633470</v>
      </c>
      <c r="B712" t="s">
        <v>2151</v>
      </c>
      <c r="C712" t="s">
        <v>2152</v>
      </c>
      <c r="D712">
        <v>1.99</v>
      </c>
      <c r="F712" t="str">
        <f t="shared" si="55"/>
        <v>No</v>
      </c>
      <c r="G712" t="str">
        <f t="shared" si="56"/>
        <v/>
      </c>
      <c r="H712" t="str">
        <f t="shared" si="57"/>
        <v>—</v>
      </c>
      <c r="I712" t="str">
        <f t="shared" si="58"/>
        <v>Below thresholds</v>
      </c>
      <c r="J712" t="str">
        <f t="shared" si="59"/>
        <v/>
      </c>
    </row>
    <row r="713" spans="1:10" x14ac:dyDescent="0.2">
      <c r="A713">
        <v>226922633506</v>
      </c>
      <c r="B713" t="s">
        <v>2153</v>
      </c>
      <c r="C713" t="s">
        <v>2154</v>
      </c>
      <c r="D713">
        <v>4</v>
      </c>
      <c r="F713" t="str">
        <f t="shared" si="55"/>
        <v>No</v>
      </c>
      <c r="G713" t="str">
        <f t="shared" si="56"/>
        <v/>
      </c>
      <c r="H713" t="str">
        <f t="shared" si="57"/>
        <v>—</v>
      </c>
      <c r="I713" t="str">
        <f t="shared" si="58"/>
        <v>Below thresholds</v>
      </c>
      <c r="J713" t="str">
        <f t="shared" si="59"/>
        <v/>
      </c>
    </row>
    <row r="714" spans="1:10" x14ac:dyDescent="0.2">
      <c r="A714">
        <v>226924408130</v>
      </c>
      <c r="B714" t="s">
        <v>2155</v>
      </c>
      <c r="C714" t="s">
        <v>2156</v>
      </c>
      <c r="D714">
        <v>15.99</v>
      </c>
      <c r="F714" t="str">
        <f t="shared" si="55"/>
        <v>No</v>
      </c>
      <c r="G714" t="str">
        <f t="shared" si="56"/>
        <v/>
      </c>
      <c r="H714" t="str">
        <f t="shared" si="57"/>
        <v>—</v>
      </c>
      <c r="I714" t="str">
        <f t="shared" si="58"/>
        <v>Below thresholds</v>
      </c>
      <c r="J714" t="str">
        <f t="shared" si="59"/>
        <v/>
      </c>
    </row>
    <row r="715" spans="1:10" x14ac:dyDescent="0.2">
      <c r="A715">
        <v>226924408161</v>
      </c>
      <c r="B715" t="s">
        <v>2157</v>
      </c>
      <c r="C715" t="s">
        <v>2158</v>
      </c>
      <c r="D715">
        <v>2.09</v>
      </c>
      <c r="F715" t="str">
        <f t="shared" si="55"/>
        <v>No</v>
      </c>
      <c r="G715" t="str">
        <f t="shared" si="56"/>
        <v/>
      </c>
      <c r="H715" t="str">
        <f t="shared" si="57"/>
        <v>—</v>
      </c>
      <c r="I715" t="str">
        <f t="shared" si="58"/>
        <v>Below thresholds</v>
      </c>
      <c r="J715" t="str">
        <f t="shared" si="59"/>
        <v/>
      </c>
    </row>
    <row r="716" spans="1:10" x14ac:dyDescent="0.2">
      <c r="A716">
        <v>226924585685</v>
      </c>
      <c r="B716" t="s">
        <v>2159</v>
      </c>
      <c r="C716" t="s">
        <v>2160</v>
      </c>
      <c r="D716">
        <v>2.09</v>
      </c>
      <c r="F716" t="str">
        <f t="shared" si="55"/>
        <v>No</v>
      </c>
      <c r="G716" t="str">
        <f t="shared" si="56"/>
        <v/>
      </c>
      <c r="H716" t="str">
        <f t="shared" si="57"/>
        <v>—</v>
      </c>
      <c r="I716" t="str">
        <f t="shared" si="58"/>
        <v>Below thresholds</v>
      </c>
      <c r="J716" t="str">
        <f t="shared" si="59"/>
        <v/>
      </c>
    </row>
    <row r="717" spans="1:10" x14ac:dyDescent="0.2">
      <c r="A717">
        <v>226924585699</v>
      </c>
      <c r="B717" t="s">
        <v>2161</v>
      </c>
      <c r="C717" t="s">
        <v>2162</v>
      </c>
      <c r="D717">
        <v>2</v>
      </c>
      <c r="F717" t="str">
        <f t="shared" si="55"/>
        <v>No</v>
      </c>
      <c r="G717" t="str">
        <f t="shared" si="56"/>
        <v/>
      </c>
      <c r="H717" t="str">
        <f t="shared" si="57"/>
        <v>—</v>
      </c>
      <c r="I717" t="str">
        <f t="shared" si="58"/>
        <v>Below thresholds</v>
      </c>
      <c r="J717" t="str">
        <f t="shared" si="59"/>
        <v/>
      </c>
    </row>
    <row r="718" spans="1:10" x14ac:dyDescent="0.2">
      <c r="A718">
        <v>226924585758</v>
      </c>
      <c r="B718" t="s">
        <v>2163</v>
      </c>
      <c r="C718" t="s">
        <v>2164</v>
      </c>
      <c r="D718">
        <v>2.19</v>
      </c>
      <c r="F718" t="str">
        <f t="shared" si="55"/>
        <v>No</v>
      </c>
      <c r="G718" t="str">
        <f t="shared" si="56"/>
        <v/>
      </c>
      <c r="H718" t="str">
        <f t="shared" si="57"/>
        <v>—</v>
      </c>
      <c r="I718" t="str">
        <f t="shared" si="58"/>
        <v>Below thresholds</v>
      </c>
      <c r="J718" t="str">
        <f t="shared" si="59"/>
        <v/>
      </c>
    </row>
    <row r="719" spans="1:10" x14ac:dyDescent="0.2">
      <c r="A719">
        <v>226924585792</v>
      </c>
      <c r="B719" t="s">
        <v>1496</v>
      </c>
      <c r="C719" t="s">
        <v>2165</v>
      </c>
      <c r="D719">
        <v>1.59</v>
      </c>
      <c r="F719" t="str">
        <f t="shared" si="55"/>
        <v>No</v>
      </c>
      <c r="G719" t="str">
        <f t="shared" si="56"/>
        <v/>
      </c>
      <c r="H719" t="str">
        <f t="shared" si="57"/>
        <v>—</v>
      </c>
      <c r="I719" t="str">
        <f t="shared" si="58"/>
        <v>Below thresholds</v>
      </c>
      <c r="J719" t="str">
        <f t="shared" si="59"/>
        <v/>
      </c>
    </row>
    <row r="720" spans="1:10" x14ac:dyDescent="0.2">
      <c r="A720">
        <v>226924585798</v>
      </c>
      <c r="B720" t="s">
        <v>2166</v>
      </c>
      <c r="C720" t="s">
        <v>2167</v>
      </c>
      <c r="D720">
        <v>2.09</v>
      </c>
      <c r="F720" t="str">
        <f t="shared" si="55"/>
        <v>No</v>
      </c>
      <c r="G720" t="str">
        <f t="shared" si="56"/>
        <v/>
      </c>
      <c r="H720" t="str">
        <f t="shared" si="57"/>
        <v>—</v>
      </c>
      <c r="I720" t="str">
        <f t="shared" si="58"/>
        <v>Below thresholds</v>
      </c>
      <c r="J720" t="str">
        <f t="shared" si="59"/>
        <v/>
      </c>
    </row>
    <row r="721" spans="1:10" x14ac:dyDescent="0.2">
      <c r="A721">
        <v>226924585833</v>
      </c>
      <c r="B721" t="s">
        <v>2168</v>
      </c>
      <c r="C721" t="s">
        <v>2169</v>
      </c>
      <c r="D721">
        <v>2.09</v>
      </c>
      <c r="F721" t="str">
        <f t="shared" si="55"/>
        <v>No</v>
      </c>
      <c r="G721" t="str">
        <f t="shared" si="56"/>
        <v/>
      </c>
      <c r="H721" t="str">
        <f t="shared" si="57"/>
        <v>—</v>
      </c>
      <c r="I721" t="str">
        <f t="shared" si="58"/>
        <v>Below thresholds</v>
      </c>
      <c r="J721" t="str">
        <f t="shared" si="59"/>
        <v/>
      </c>
    </row>
    <row r="722" spans="1:10" x14ac:dyDescent="0.2">
      <c r="A722">
        <v>226924585870</v>
      </c>
      <c r="B722" t="s">
        <v>2170</v>
      </c>
      <c r="C722" t="s">
        <v>2171</v>
      </c>
      <c r="D722">
        <v>1.59</v>
      </c>
      <c r="F722" t="str">
        <f t="shared" si="55"/>
        <v>No</v>
      </c>
      <c r="G722" t="str">
        <f t="shared" si="56"/>
        <v/>
      </c>
      <c r="H722" t="str">
        <f t="shared" si="57"/>
        <v>—</v>
      </c>
      <c r="I722" t="str">
        <f t="shared" si="58"/>
        <v>Below thresholds</v>
      </c>
      <c r="J722" t="str">
        <f t="shared" si="59"/>
        <v/>
      </c>
    </row>
    <row r="723" spans="1:10" x14ac:dyDescent="0.2">
      <c r="A723">
        <v>226924585884</v>
      </c>
      <c r="B723" t="s">
        <v>2172</v>
      </c>
      <c r="C723" t="s">
        <v>2173</v>
      </c>
      <c r="D723">
        <v>2.09</v>
      </c>
      <c r="F723" t="str">
        <f t="shared" si="55"/>
        <v>No</v>
      </c>
      <c r="G723" t="str">
        <f t="shared" si="56"/>
        <v/>
      </c>
      <c r="H723" t="str">
        <f t="shared" si="57"/>
        <v>—</v>
      </c>
      <c r="I723" t="str">
        <f t="shared" si="58"/>
        <v>Below thresholds</v>
      </c>
      <c r="J723" t="str">
        <f t="shared" si="59"/>
        <v/>
      </c>
    </row>
    <row r="724" spans="1:10" x14ac:dyDescent="0.2">
      <c r="A724">
        <v>226924585942</v>
      </c>
      <c r="B724" t="s">
        <v>2174</v>
      </c>
      <c r="C724" t="s">
        <v>2175</v>
      </c>
      <c r="D724">
        <v>4.45</v>
      </c>
      <c r="F724" t="str">
        <f t="shared" si="55"/>
        <v>No</v>
      </c>
      <c r="G724" t="str">
        <f t="shared" si="56"/>
        <v/>
      </c>
      <c r="H724" t="str">
        <f t="shared" si="57"/>
        <v>—</v>
      </c>
      <c r="I724" t="str">
        <f t="shared" si="58"/>
        <v>Below thresholds</v>
      </c>
      <c r="J724" t="str">
        <f t="shared" si="59"/>
        <v/>
      </c>
    </row>
    <row r="725" spans="1:10" x14ac:dyDescent="0.2">
      <c r="A725">
        <v>226924586061</v>
      </c>
      <c r="B725" t="s">
        <v>2176</v>
      </c>
      <c r="C725" t="s">
        <v>2177</v>
      </c>
      <c r="D725">
        <v>3.59</v>
      </c>
      <c r="F725" t="str">
        <f t="shared" si="55"/>
        <v>No</v>
      </c>
      <c r="G725" t="str">
        <f t="shared" si="56"/>
        <v/>
      </c>
      <c r="H725" t="str">
        <f t="shared" si="57"/>
        <v>—</v>
      </c>
      <c r="I725" t="str">
        <f t="shared" si="58"/>
        <v>Below thresholds</v>
      </c>
      <c r="J725" t="str">
        <f t="shared" si="59"/>
        <v/>
      </c>
    </row>
    <row r="726" spans="1:10" x14ac:dyDescent="0.2">
      <c r="A726">
        <v>226924586076</v>
      </c>
      <c r="B726" t="s">
        <v>2178</v>
      </c>
      <c r="C726" t="s">
        <v>2179</v>
      </c>
      <c r="D726">
        <v>2.09</v>
      </c>
      <c r="F726" t="str">
        <f t="shared" si="55"/>
        <v>No</v>
      </c>
      <c r="G726" t="str">
        <f t="shared" si="56"/>
        <v/>
      </c>
      <c r="H726" t="str">
        <f t="shared" si="57"/>
        <v>—</v>
      </c>
      <c r="I726" t="str">
        <f t="shared" si="58"/>
        <v>Below thresholds</v>
      </c>
      <c r="J726" t="str">
        <f t="shared" si="59"/>
        <v/>
      </c>
    </row>
    <row r="727" spans="1:10" x14ac:dyDescent="0.2">
      <c r="A727">
        <v>226924586102</v>
      </c>
      <c r="B727" t="s">
        <v>2180</v>
      </c>
      <c r="C727" t="s">
        <v>2181</v>
      </c>
      <c r="D727">
        <v>3.85</v>
      </c>
      <c r="F727" t="str">
        <f t="shared" si="55"/>
        <v>No</v>
      </c>
      <c r="G727" t="str">
        <f t="shared" si="56"/>
        <v/>
      </c>
      <c r="H727" t="str">
        <f t="shared" si="57"/>
        <v>—</v>
      </c>
      <c r="I727" t="str">
        <f t="shared" si="58"/>
        <v>Below thresholds</v>
      </c>
      <c r="J727" t="str">
        <f t="shared" si="59"/>
        <v/>
      </c>
    </row>
    <row r="728" spans="1:10" x14ac:dyDescent="0.2">
      <c r="A728">
        <v>226927783708</v>
      </c>
      <c r="B728" t="s">
        <v>2182</v>
      </c>
      <c r="C728" t="s">
        <v>2183</v>
      </c>
      <c r="D728">
        <v>2.09</v>
      </c>
      <c r="F728" t="str">
        <f t="shared" si="55"/>
        <v>No</v>
      </c>
      <c r="G728" t="str">
        <f t="shared" si="56"/>
        <v/>
      </c>
      <c r="H728" t="str">
        <f t="shared" si="57"/>
        <v>—</v>
      </c>
      <c r="I728" t="str">
        <f t="shared" si="58"/>
        <v>Below thresholds</v>
      </c>
      <c r="J728" t="str">
        <f t="shared" si="59"/>
        <v/>
      </c>
    </row>
    <row r="729" spans="1:10" x14ac:dyDescent="0.2">
      <c r="A729">
        <v>226927783761</v>
      </c>
      <c r="B729" t="s">
        <v>2184</v>
      </c>
      <c r="C729" t="s">
        <v>2185</v>
      </c>
      <c r="D729">
        <v>1.99</v>
      </c>
      <c r="F729" t="str">
        <f t="shared" si="55"/>
        <v>No</v>
      </c>
      <c r="G729" t="str">
        <f t="shared" si="56"/>
        <v/>
      </c>
      <c r="H729" t="str">
        <f t="shared" si="57"/>
        <v>—</v>
      </c>
      <c r="I729" t="str">
        <f t="shared" si="58"/>
        <v>Below thresholds</v>
      </c>
      <c r="J729" t="str">
        <f t="shared" si="59"/>
        <v/>
      </c>
    </row>
    <row r="730" spans="1:10" x14ac:dyDescent="0.2">
      <c r="A730">
        <v>226927783763</v>
      </c>
      <c r="B730" t="s">
        <v>2186</v>
      </c>
      <c r="C730" t="s">
        <v>2187</v>
      </c>
      <c r="D730">
        <v>1.99</v>
      </c>
      <c r="F730" t="str">
        <f t="shared" si="55"/>
        <v>No</v>
      </c>
      <c r="G730" t="str">
        <f t="shared" si="56"/>
        <v/>
      </c>
      <c r="H730" t="str">
        <f t="shared" si="57"/>
        <v>—</v>
      </c>
      <c r="I730" t="str">
        <f t="shared" si="58"/>
        <v>Below thresholds</v>
      </c>
      <c r="J730" t="str">
        <f t="shared" si="59"/>
        <v/>
      </c>
    </row>
    <row r="731" spans="1:10" x14ac:dyDescent="0.2">
      <c r="A731">
        <v>226927783802</v>
      </c>
      <c r="B731" t="s">
        <v>2188</v>
      </c>
      <c r="C731" t="s">
        <v>2189</v>
      </c>
      <c r="D731">
        <v>1.99</v>
      </c>
      <c r="F731" t="str">
        <f t="shared" si="55"/>
        <v>No</v>
      </c>
      <c r="G731" t="str">
        <f t="shared" si="56"/>
        <v/>
      </c>
      <c r="H731" t="str">
        <f t="shared" si="57"/>
        <v>—</v>
      </c>
      <c r="I731" t="str">
        <f t="shared" si="58"/>
        <v>Below thresholds</v>
      </c>
      <c r="J731" t="str">
        <f t="shared" si="59"/>
        <v/>
      </c>
    </row>
    <row r="732" spans="1:10" x14ac:dyDescent="0.2">
      <c r="A732">
        <v>226927783803</v>
      </c>
      <c r="B732" t="s">
        <v>2190</v>
      </c>
      <c r="C732" t="s">
        <v>2191</v>
      </c>
      <c r="D732">
        <v>1.99</v>
      </c>
      <c r="F732" t="str">
        <f t="shared" si="55"/>
        <v>No</v>
      </c>
      <c r="G732" t="str">
        <f t="shared" si="56"/>
        <v/>
      </c>
      <c r="H732" t="str">
        <f t="shared" si="57"/>
        <v>—</v>
      </c>
      <c r="I732" t="str">
        <f t="shared" si="58"/>
        <v>Below thresholds</v>
      </c>
      <c r="J732" t="str">
        <f t="shared" si="59"/>
        <v/>
      </c>
    </row>
    <row r="733" spans="1:10" x14ac:dyDescent="0.2">
      <c r="A733">
        <v>226927783855</v>
      </c>
      <c r="B733" t="s">
        <v>2192</v>
      </c>
      <c r="C733" t="s">
        <v>2193</v>
      </c>
      <c r="D733">
        <v>1.59</v>
      </c>
      <c r="F733" t="str">
        <f t="shared" si="55"/>
        <v>No</v>
      </c>
      <c r="G733" t="str">
        <f t="shared" si="56"/>
        <v/>
      </c>
      <c r="H733" t="str">
        <f t="shared" si="57"/>
        <v>—</v>
      </c>
      <c r="I733" t="str">
        <f t="shared" si="58"/>
        <v>Below thresholds</v>
      </c>
      <c r="J733" t="str">
        <f t="shared" si="59"/>
        <v/>
      </c>
    </row>
    <row r="734" spans="1:10" x14ac:dyDescent="0.2">
      <c r="A734">
        <v>226927783864</v>
      </c>
      <c r="B734" t="s">
        <v>2194</v>
      </c>
      <c r="C734" t="s">
        <v>2195</v>
      </c>
      <c r="D734">
        <v>1.99</v>
      </c>
      <c r="F734" t="str">
        <f t="shared" si="55"/>
        <v>No</v>
      </c>
      <c r="G734" t="str">
        <f t="shared" si="56"/>
        <v/>
      </c>
      <c r="H734" t="str">
        <f t="shared" si="57"/>
        <v>—</v>
      </c>
      <c r="I734" t="str">
        <f t="shared" si="58"/>
        <v>Below thresholds</v>
      </c>
      <c r="J734" t="str">
        <f t="shared" si="59"/>
        <v/>
      </c>
    </row>
    <row r="735" spans="1:10" x14ac:dyDescent="0.2">
      <c r="A735">
        <v>226927783909</v>
      </c>
      <c r="B735" t="s">
        <v>2196</v>
      </c>
      <c r="C735" t="s">
        <v>2197</v>
      </c>
      <c r="D735">
        <v>2.59</v>
      </c>
      <c r="F735" t="str">
        <f t="shared" si="55"/>
        <v>No</v>
      </c>
      <c r="G735" t="str">
        <f t="shared" si="56"/>
        <v/>
      </c>
      <c r="H735" t="str">
        <f t="shared" si="57"/>
        <v>—</v>
      </c>
      <c r="I735" t="str">
        <f t="shared" si="58"/>
        <v>Below thresholds</v>
      </c>
      <c r="J735" t="str">
        <f t="shared" si="59"/>
        <v/>
      </c>
    </row>
    <row r="736" spans="1:10" x14ac:dyDescent="0.2">
      <c r="A736">
        <v>226927783913</v>
      </c>
      <c r="B736" t="s">
        <v>2198</v>
      </c>
      <c r="C736" t="s">
        <v>2199</v>
      </c>
      <c r="D736">
        <v>1.79</v>
      </c>
      <c r="F736" t="str">
        <f t="shared" si="55"/>
        <v>No</v>
      </c>
      <c r="G736" t="str">
        <f t="shared" si="56"/>
        <v/>
      </c>
      <c r="H736" t="str">
        <f t="shared" si="57"/>
        <v>—</v>
      </c>
      <c r="I736" t="str">
        <f t="shared" si="58"/>
        <v>Below thresholds</v>
      </c>
      <c r="J736" t="str">
        <f t="shared" si="59"/>
        <v/>
      </c>
    </row>
    <row r="737" spans="1:10" x14ac:dyDescent="0.2">
      <c r="A737">
        <v>226927783956</v>
      </c>
      <c r="B737" t="s">
        <v>2200</v>
      </c>
      <c r="C737" t="s">
        <v>2201</v>
      </c>
      <c r="D737">
        <v>1.79</v>
      </c>
      <c r="F737" t="str">
        <f t="shared" si="55"/>
        <v>No</v>
      </c>
      <c r="G737" t="str">
        <f t="shared" si="56"/>
        <v/>
      </c>
      <c r="H737" t="str">
        <f t="shared" si="57"/>
        <v>—</v>
      </c>
      <c r="I737" t="str">
        <f t="shared" si="58"/>
        <v>Below thresholds</v>
      </c>
      <c r="J737" t="str">
        <f t="shared" si="59"/>
        <v/>
      </c>
    </row>
    <row r="738" spans="1:10" x14ac:dyDescent="0.2">
      <c r="A738">
        <v>226927783963</v>
      </c>
      <c r="B738" t="s">
        <v>2202</v>
      </c>
      <c r="C738" t="s">
        <v>2203</v>
      </c>
      <c r="D738">
        <v>1.65</v>
      </c>
      <c r="F738" t="str">
        <f t="shared" si="55"/>
        <v>No</v>
      </c>
      <c r="G738" t="str">
        <f t="shared" si="56"/>
        <v/>
      </c>
      <c r="H738" t="str">
        <f t="shared" si="57"/>
        <v>—</v>
      </c>
      <c r="I738" t="str">
        <f t="shared" si="58"/>
        <v>Below thresholds</v>
      </c>
      <c r="J738" t="str">
        <f t="shared" si="59"/>
        <v/>
      </c>
    </row>
    <row r="739" spans="1:10" x14ac:dyDescent="0.2">
      <c r="A739">
        <v>226927784163</v>
      </c>
      <c r="B739" t="s">
        <v>2204</v>
      </c>
      <c r="C739" t="s">
        <v>2205</v>
      </c>
      <c r="D739">
        <v>2.09</v>
      </c>
      <c r="F739" t="str">
        <f t="shared" si="55"/>
        <v>No</v>
      </c>
      <c r="G739" t="str">
        <f t="shared" si="56"/>
        <v/>
      </c>
      <c r="H739" t="str">
        <f t="shared" si="57"/>
        <v>—</v>
      </c>
      <c r="I739" t="str">
        <f t="shared" si="58"/>
        <v>Below thresholds</v>
      </c>
      <c r="J739" t="str">
        <f t="shared" si="59"/>
        <v/>
      </c>
    </row>
    <row r="740" spans="1:10" x14ac:dyDescent="0.2">
      <c r="A740">
        <v>226927784186</v>
      </c>
      <c r="B740" t="s">
        <v>2206</v>
      </c>
      <c r="C740" t="s">
        <v>2207</v>
      </c>
      <c r="D740">
        <v>1.49</v>
      </c>
      <c r="F740" t="str">
        <f t="shared" si="55"/>
        <v>No</v>
      </c>
      <c r="G740" t="str">
        <f t="shared" si="56"/>
        <v/>
      </c>
      <c r="H740" t="str">
        <f t="shared" si="57"/>
        <v>—</v>
      </c>
      <c r="I740" t="str">
        <f t="shared" si="58"/>
        <v>Below thresholds</v>
      </c>
      <c r="J740" t="str">
        <f t="shared" si="59"/>
        <v/>
      </c>
    </row>
    <row r="741" spans="1:10" x14ac:dyDescent="0.2">
      <c r="A741">
        <v>226927784361</v>
      </c>
      <c r="B741" t="s">
        <v>2208</v>
      </c>
      <c r="C741" t="s">
        <v>2209</v>
      </c>
      <c r="D741">
        <v>1.99</v>
      </c>
      <c r="F741" t="str">
        <f t="shared" si="55"/>
        <v>No</v>
      </c>
      <c r="G741" t="str">
        <f t="shared" si="56"/>
        <v/>
      </c>
      <c r="H741" t="str">
        <f t="shared" si="57"/>
        <v>—</v>
      </c>
      <c r="I741" t="str">
        <f t="shared" si="58"/>
        <v>Below thresholds</v>
      </c>
      <c r="J741" t="str">
        <f t="shared" si="59"/>
        <v/>
      </c>
    </row>
    <row r="742" spans="1:10" x14ac:dyDescent="0.2">
      <c r="A742">
        <v>226927784391</v>
      </c>
      <c r="B742" t="s">
        <v>2210</v>
      </c>
      <c r="C742" t="s">
        <v>2211</v>
      </c>
      <c r="D742">
        <v>1.99</v>
      </c>
      <c r="F742" t="str">
        <f t="shared" si="55"/>
        <v>No</v>
      </c>
      <c r="G742" t="str">
        <f t="shared" si="56"/>
        <v/>
      </c>
      <c r="H742" t="str">
        <f t="shared" si="57"/>
        <v>—</v>
      </c>
      <c r="I742" t="str">
        <f t="shared" si="58"/>
        <v>Below thresholds</v>
      </c>
      <c r="J742" t="str">
        <f t="shared" si="59"/>
        <v/>
      </c>
    </row>
    <row r="743" spans="1:10" x14ac:dyDescent="0.2">
      <c r="A743">
        <v>226927784512</v>
      </c>
      <c r="B743" t="s">
        <v>2212</v>
      </c>
      <c r="C743" t="s">
        <v>2213</v>
      </c>
      <c r="D743">
        <v>1.59</v>
      </c>
      <c r="F743" t="str">
        <f t="shared" si="55"/>
        <v>No</v>
      </c>
      <c r="G743" t="str">
        <f t="shared" si="56"/>
        <v/>
      </c>
      <c r="H743" t="str">
        <f t="shared" si="57"/>
        <v>—</v>
      </c>
      <c r="I743" t="str">
        <f t="shared" si="58"/>
        <v>Below thresholds</v>
      </c>
      <c r="J743" t="str">
        <f t="shared" si="59"/>
        <v/>
      </c>
    </row>
    <row r="744" spans="1:10" x14ac:dyDescent="0.2">
      <c r="A744">
        <v>226927784555</v>
      </c>
      <c r="B744" t="s">
        <v>2214</v>
      </c>
      <c r="C744" t="s">
        <v>2215</v>
      </c>
      <c r="D744">
        <v>1.49</v>
      </c>
      <c r="F744" t="str">
        <f t="shared" si="55"/>
        <v>No</v>
      </c>
      <c r="G744" t="str">
        <f t="shared" si="56"/>
        <v/>
      </c>
      <c r="H744" t="str">
        <f t="shared" si="57"/>
        <v>—</v>
      </c>
      <c r="I744" t="str">
        <f t="shared" si="58"/>
        <v>Below thresholds</v>
      </c>
      <c r="J744" t="str">
        <f t="shared" si="59"/>
        <v/>
      </c>
    </row>
    <row r="745" spans="1:10" x14ac:dyDescent="0.2">
      <c r="A745">
        <v>226927784645</v>
      </c>
      <c r="B745" t="s">
        <v>2216</v>
      </c>
      <c r="C745" t="s">
        <v>2217</v>
      </c>
      <c r="D745">
        <v>1.59</v>
      </c>
      <c r="F745" t="str">
        <f t="shared" si="55"/>
        <v>No</v>
      </c>
      <c r="G745" t="str">
        <f t="shared" si="56"/>
        <v/>
      </c>
      <c r="H745" t="str">
        <f t="shared" si="57"/>
        <v>—</v>
      </c>
      <c r="I745" t="str">
        <f t="shared" si="58"/>
        <v>Below thresholds</v>
      </c>
      <c r="J745" t="str">
        <f t="shared" si="59"/>
        <v/>
      </c>
    </row>
    <row r="746" spans="1:10" x14ac:dyDescent="0.2">
      <c r="A746">
        <v>226927784702</v>
      </c>
      <c r="B746" t="s">
        <v>2218</v>
      </c>
      <c r="C746" t="s">
        <v>2219</v>
      </c>
      <c r="D746">
        <v>1.49</v>
      </c>
      <c r="F746" t="str">
        <f t="shared" si="55"/>
        <v>No</v>
      </c>
      <c r="G746" t="str">
        <f t="shared" si="56"/>
        <v/>
      </c>
      <c r="H746" t="str">
        <f t="shared" si="57"/>
        <v>—</v>
      </c>
      <c r="I746" t="str">
        <f t="shared" si="58"/>
        <v>Below thresholds</v>
      </c>
      <c r="J746" t="str">
        <f t="shared" si="59"/>
        <v/>
      </c>
    </row>
    <row r="747" spans="1:10" x14ac:dyDescent="0.2">
      <c r="A747">
        <v>226927784711</v>
      </c>
      <c r="B747" t="s">
        <v>2220</v>
      </c>
      <c r="C747" t="s">
        <v>2221</v>
      </c>
      <c r="D747">
        <v>1.59</v>
      </c>
      <c r="F747" t="str">
        <f t="shared" si="55"/>
        <v>No</v>
      </c>
      <c r="G747" t="str">
        <f t="shared" si="56"/>
        <v/>
      </c>
      <c r="H747" t="str">
        <f t="shared" si="57"/>
        <v>—</v>
      </c>
      <c r="I747" t="str">
        <f t="shared" si="58"/>
        <v>Below thresholds</v>
      </c>
      <c r="J747" t="str">
        <f t="shared" si="59"/>
        <v/>
      </c>
    </row>
    <row r="748" spans="1:10" x14ac:dyDescent="0.2">
      <c r="A748">
        <v>226927784751</v>
      </c>
      <c r="B748" t="s">
        <v>2222</v>
      </c>
      <c r="C748" t="s">
        <v>2223</v>
      </c>
      <c r="D748">
        <v>1.59</v>
      </c>
      <c r="F748" t="str">
        <f t="shared" si="55"/>
        <v>No</v>
      </c>
      <c r="G748" t="str">
        <f t="shared" si="56"/>
        <v/>
      </c>
      <c r="H748" t="str">
        <f t="shared" si="57"/>
        <v>—</v>
      </c>
      <c r="I748" t="str">
        <f t="shared" si="58"/>
        <v>Below thresholds</v>
      </c>
      <c r="J748" t="str">
        <f t="shared" si="59"/>
        <v/>
      </c>
    </row>
    <row r="749" spans="1:10" x14ac:dyDescent="0.2">
      <c r="A749">
        <v>226927784773</v>
      </c>
      <c r="B749" t="s">
        <v>2224</v>
      </c>
      <c r="C749" t="s">
        <v>2225</v>
      </c>
      <c r="D749">
        <v>1.99</v>
      </c>
      <c r="F749" t="str">
        <f t="shared" si="55"/>
        <v>No</v>
      </c>
      <c r="G749" t="str">
        <f t="shared" si="56"/>
        <v/>
      </c>
      <c r="H749" t="str">
        <f t="shared" si="57"/>
        <v>—</v>
      </c>
      <c r="I749" t="str">
        <f t="shared" si="58"/>
        <v>Below thresholds</v>
      </c>
      <c r="J749" t="str">
        <f t="shared" si="59"/>
        <v/>
      </c>
    </row>
    <row r="750" spans="1:10" x14ac:dyDescent="0.2">
      <c r="A750">
        <v>226927784805</v>
      </c>
      <c r="B750" t="s">
        <v>2226</v>
      </c>
      <c r="C750" t="s">
        <v>2227</v>
      </c>
      <c r="D750">
        <v>2.25</v>
      </c>
      <c r="F750" t="str">
        <f t="shared" si="55"/>
        <v>No</v>
      </c>
      <c r="G750" t="str">
        <f t="shared" si="56"/>
        <v/>
      </c>
      <c r="H750" t="str">
        <f t="shared" si="57"/>
        <v>—</v>
      </c>
      <c r="I750" t="str">
        <f t="shared" si="58"/>
        <v>Below thresholds</v>
      </c>
      <c r="J750" t="str">
        <f t="shared" si="59"/>
        <v/>
      </c>
    </row>
    <row r="751" spans="1:10" x14ac:dyDescent="0.2">
      <c r="A751">
        <v>226927784845</v>
      </c>
      <c r="B751" t="s">
        <v>2228</v>
      </c>
      <c r="C751" t="s">
        <v>2229</v>
      </c>
      <c r="D751">
        <v>1.79</v>
      </c>
      <c r="F751" t="str">
        <f t="shared" si="55"/>
        <v>No</v>
      </c>
      <c r="G751" t="str">
        <f t="shared" si="56"/>
        <v/>
      </c>
      <c r="H751" t="str">
        <f t="shared" si="57"/>
        <v>—</v>
      </c>
      <c r="I751" t="str">
        <f t="shared" si="58"/>
        <v>Below thresholds</v>
      </c>
      <c r="J751" t="str">
        <f t="shared" si="59"/>
        <v/>
      </c>
    </row>
    <row r="752" spans="1:10" x14ac:dyDescent="0.2">
      <c r="A752">
        <v>226927784887</v>
      </c>
      <c r="B752" t="s">
        <v>2230</v>
      </c>
      <c r="C752" t="s">
        <v>2231</v>
      </c>
      <c r="D752">
        <v>1.59</v>
      </c>
      <c r="F752" t="str">
        <f t="shared" si="55"/>
        <v>No</v>
      </c>
      <c r="G752" t="str">
        <f t="shared" si="56"/>
        <v/>
      </c>
      <c r="H752" t="str">
        <f t="shared" si="57"/>
        <v>—</v>
      </c>
      <c r="I752" t="str">
        <f t="shared" si="58"/>
        <v>Below thresholds</v>
      </c>
      <c r="J752" t="str">
        <f t="shared" si="59"/>
        <v/>
      </c>
    </row>
    <row r="753" spans="1:10" x14ac:dyDescent="0.2">
      <c r="A753">
        <v>226927784937</v>
      </c>
      <c r="B753" t="s">
        <v>2232</v>
      </c>
      <c r="C753" t="s">
        <v>2233</v>
      </c>
      <c r="D753">
        <v>2.25</v>
      </c>
      <c r="F753" t="str">
        <f t="shared" si="55"/>
        <v>No</v>
      </c>
      <c r="G753" t="str">
        <f t="shared" si="56"/>
        <v/>
      </c>
      <c r="H753" t="str">
        <f t="shared" si="57"/>
        <v>—</v>
      </c>
      <c r="I753" t="str">
        <f t="shared" si="58"/>
        <v>Below thresholds</v>
      </c>
      <c r="J753" t="str">
        <f t="shared" si="59"/>
        <v/>
      </c>
    </row>
    <row r="754" spans="1:10" x14ac:dyDescent="0.2">
      <c r="A754">
        <v>226927784957</v>
      </c>
      <c r="B754" t="s">
        <v>2234</v>
      </c>
      <c r="C754" t="s">
        <v>2235</v>
      </c>
      <c r="D754">
        <v>2.25</v>
      </c>
      <c r="F754" t="str">
        <f t="shared" si="55"/>
        <v>No</v>
      </c>
      <c r="G754" t="str">
        <f t="shared" si="56"/>
        <v/>
      </c>
      <c r="H754" t="str">
        <f t="shared" si="57"/>
        <v>—</v>
      </c>
      <c r="I754" t="str">
        <f t="shared" si="58"/>
        <v>Below thresholds</v>
      </c>
      <c r="J754" t="str">
        <f t="shared" si="59"/>
        <v/>
      </c>
    </row>
    <row r="755" spans="1:10" x14ac:dyDescent="0.2">
      <c r="A755">
        <v>226927784995</v>
      </c>
      <c r="B755" t="s">
        <v>2236</v>
      </c>
      <c r="C755" t="s">
        <v>2237</v>
      </c>
      <c r="D755">
        <v>1.79</v>
      </c>
      <c r="F755" t="str">
        <f t="shared" si="55"/>
        <v>No</v>
      </c>
      <c r="G755" t="str">
        <f t="shared" si="56"/>
        <v/>
      </c>
      <c r="H755" t="str">
        <f t="shared" si="57"/>
        <v>—</v>
      </c>
      <c r="I755" t="str">
        <f t="shared" si="58"/>
        <v>Below thresholds</v>
      </c>
      <c r="J755" t="str">
        <f t="shared" si="59"/>
        <v/>
      </c>
    </row>
    <row r="756" spans="1:10" x14ac:dyDescent="0.2">
      <c r="A756">
        <v>226927870730</v>
      </c>
      <c r="B756" t="s">
        <v>2238</v>
      </c>
      <c r="C756" t="s">
        <v>2239</v>
      </c>
      <c r="D756">
        <v>2.09</v>
      </c>
      <c r="F756" t="str">
        <f t="shared" si="55"/>
        <v>No</v>
      </c>
      <c r="G756" t="str">
        <f t="shared" si="56"/>
        <v/>
      </c>
      <c r="H756" t="str">
        <f t="shared" si="57"/>
        <v>—</v>
      </c>
      <c r="I756" t="str">
        <f t="shared" si="58"/>
        <v>Below thresholds</v>
      </c>
      <c r="J756" t="str">
        <f t="shared" si="59"/>
        <v/>
      </c>
    </row>
    <row r="757" spans="1:10" x14ac:dyDescent="0.2">
      <c r="A757">
        <v>226927870857</v>
      </c>
      <c r="B757" t="s">
        <v>2240</v>
      </c>
      <c r="C757" t="s">
        <v>2241</v>
      </c>
      <c r="D757">
        <v>2.09</v>
      </c>
      <c r="F757" t="str">
        <f t="shared" si="55"/>
        <v>No</v>
      </c>
      <c r="G757" t="str">
        <f t="shared" si="56"/>
        <v/>
      </c>
      <c r="H757" t="str">
        <f t="shared" si="57"/>
        <v>—</v>
      </c>
      <c r="I757" t="str">
        <f t="shared" si="58"/>
        <v>Below thresholds</v>
      </c>
      <c r="J757" t="str">
        <f t="shared" si="59"/>
        <v/>
      </c>
    </row>
    <row r="758" spans="1:10" x14ac:dyDescent="0.2">
      <c r="A758">
        <v>226927870862</v>
      </c>
      <c r="B758" t="s">
        <v>2242</v>
      </c>
      <c r="C758" t="s">
        <v>2243</v>
      </c>
      <c r="D758">
        <v>2.09</v>
      </c>
      <c r="F758" t="str">
        <f t="shared" si="55"/>
        <v>No</v>
      </c>
      <c r="G758" t="str">
        <f t="shared" si="56"/>
        <v/>
      </c>
      <c r="H758" t="str">
        <f t="shared" si="57"/>
        <v>—</v>
      </c>
      <c r="I758" t="str">
        <f t="shared" si="58"/>
        <v>Below thresholds</v>
      </c>
      <c r="J758" t="str">
        <f t="shared" si="59"/>
        <v/>
      </c>
    </row>
    <row r="759" spans="1:10" x14ac:dyDescent="0.2">
      <c r="A759">
        <v>226927870915</v>
      </c>
      <c r="B759" t="s">
        <v>2244</v>
      </c>
      <c r="C759" t="s">
        <v>2245</v>
      </c>
      <c r="D759">
        <v>2.09</v>
      </c>
      <c r="F759" t="str">
        <f t="shared" si="55"/>
        <v>No</v>
      </c>
      <c r="G759" t="str">
        <f t="shared" si="56"/>
        <v/>
      </c>
      <c r="H759" t="str">
        <f t="shared" si="57"/>
        <v>—</v>
      </c>
      <c r="I759" t="str">
        <f t="shared" si="58"/>
        <v>Below thresholds</v>
      </c>
      <c r="J759" t="str">
        <f t="shared" si="59"/>
        <v/>
      </c>
    </row>
    <row r="760" spans="1:10" x14ac:dyDescent="0.2">
      <c r="A760">
        <v>226927871008</v>
      </c>
      <c r="B760" t="s">
        <v>2246</v>
      </c>
      <c r="C760" t="s">
        <v>2247</v>
      </c>
      <c r="D760">
        <v>2.09</v>
      </c>
      <c r="F760" t="str">
        <f t="shared" si="55"/>
        <v>No</v>
      </c>
      <c r="G760" t="str">
        <f t="shared" si="56"/>
        <v/>
      </c>
      <c r="H760" t="str">
        <f t="shared" si="57"/>
        <v>—</v>
      </c>
      <c r="I760" t="str">
        <f t="shared" si="58"/>
        <v>Below thresholds</v>
      </c>
      <c r="J760" t="str">
        <f t="shared" si="59"/>
        <v/>
      </c>
    </row>
    <row r="761" spans="1:10" x14ac:dyDescent="0.2">
      <c r="A761">
        <v>226927871028</v>
      </c>
      <c r="B761" t="s">
        <v>1571</v>
      </c>
      <c r="C761" t="s">
        <v>2248</v>
      </c>
      <c r="D761">
        <v>2.09</v>
      </c>
      <c r="F761" t="str">
        <f t="shared" si="55"/>
        <v>No</v>
      </c>
      <c r="G761" t="str">
        <f t="shared" si="56"/>
        <v/>
      </c>
      <c r="H761" t="str">
        <f t="shared" si="57"/>
        <v>—</v>
      </c>
      <c r="I761" t="str">
        <f t="shared" si="58"/>
        <v>Below thresholds</v>
      </c>
      <c r="J761" t="str">
        <f t="shared" si="59"/>
        <v/>
      </c>
    </row>
    <row r="762" spans="1:10" x14ac:dyDescent="0.2">
      <c r="A762">
        <v>226927871066</v>
      </c>
      <c r="B762" t="s">
        <v>2249</v>
      </c>
      <c r="C762" t="s">
        <v>2250</v>
      </c>
      <c r="D762">
        <v>2.09</v>
      </c>
      <c r="F762" t="str">
        <f t="shared" si="55"/>
        <v>No</v>
      </c>
      <c r="G762" t="str">
        <f t="shared" si="56"/>
        <v/>
      </c>
      <c r="H762" t="str">
        <f t="shared" si="57"/>
        <v>—</v>
      </c>
      <c r="I762" t="str">
        <f t="shared" si="58"/>
        <v>Below thresholds</v>
      </c>
      <c r="J762" t="str">
        <f t="shared" si="59"/>
        <v/>
      </c>
    </row>
    <row r="763" spans="1:10" x14ac:dyDescent="0.2">
      <c r="A763">
        <v>226927871128</v>
      </c>
      <c r="B763" t="s">
        <v>1553</v>
      </c>
      <c r="C763" t="s">
        <v>2251</v>
      </c>
      <c r="D763">
        <v>2.09</v>
      </c>
      <c r="F763" t="str">
        <f t="shared" si="55"/>
        <v>No</v>
      </c>
      <c r="G763" t="str">
        <f t="shared" si="56"/>
        <v/>
      </c>
      <c r="H763" t="str">
        <f t="shared" si="57"/>
        <v>—</v>
      </c>
      <c r="I763" t="str">
        <f t="shared" si="58"/>
        <v>Below thresholds</v>
      </c>
      <c r="J763" t="str">
        <f t="shared" si="59"/>
        <v/>
      </c>
    </row>
    <row r="764" spans="1:10" x14ac:dyDescent="0.2">
      <c r="A764">
        <v>226927871157</v>
      </c>
      <c r="B764" t="s">
        <v>2252</v>
      </c>
      <c r="C764" t="s">
        <v>2253</v>
      </c>
      <c r="D764">
        <v>2.09</v>
      </c>
      <c r="F764" t="str">
        <f t="shared" si="55"/>
        <v>No</v>
      </c>
      <c r="G764" t="str">
        <f t="shared" si="56"/>
        <v/>
      </c>
      <c r="H764" t="str">
        <f t="shared" si="57"/>
        <v>—</v>
      </c>
      <c r="I764" t="str">
        <f t="shared" si="58"/>
        <v>Below thresholds</v>
      </c>
      <c r="J764" t="str">
        <f t="shared" si="59"/>
        <v/>
      </c>
    </row>
    <row r="765" spans="1:10" x14ac:dyDescent="0.2">
      <c r="A765">
        <v>226927871235</v>
      </c>
      <c r="B765" t="s">
        <v>2254</v>
      </c>
      <c r="C765" t="s">
        <v>2255</v>
      </c>
      <c r="D765">
        <v>2.09</v>
      </c>
      <c r="F765" t="str">
        <f t="shared" si="55"/>
        <v>No</v>
      </c>
      <c r="G765" t="str">
        <f t="shared" si="56"/>
        <v/>
      </c>
      <c r="H765" t="str">
        <f t="shared" si="57"/>
        <v>—</v>
      </c>
      <c r="I765" t="str">
        <f t="shared" si="58"/>
        <v>Below thresholds</v>
      </c>
      <c r="J765" t="str">
        <f t="shared" si="59"/>
        <v/>
      </c>
    </row>
    <row r="766" spans="1:10" x14ac:dyDescent="0.2">
      <c r="A766">
        <v>226927871251</v>
      </c>
      <c r="B766" t="s">
        <v>2256</v>
      </c>
      <c r="C766" t="s">
        <v>2257</v>
      </c>
      <c r="D766">
        <v>2.09</v>
      </c>
      <c r="F766" t="str">
        <f t="shared" si="55"/>
        <v>No</v>
      </c>
      <c r="G766" t="str">
        <f t="shared" si="56"/>
        <v/>
      </c>
      <c r="H766" t="str">
        <f t="shared" si="57"/>
        <v>—</v>
      </c>
      <c r="I766" t="str">
        <f t="shared" si="58"/>
        <v>Below thresholds</v>
      </c>
      <c r="J766" t="str">
        <f t="shared" si="59"/>
        <v/>
      </c>
    </row>
    <row r="767" spans="1:10" x14ac:dyDescent="0.2">
      <c r="A767">
        <v>226927871344</v>
      </c>
      <c r="B767" t="s">
        <v>2258</v>
      </c>
      <c r="C767" t="s">
        <v>2259</v>
      </c>
      <c r="D767">
        <v>2.09</v>
      </c>
      <c r="F767" t="str">
        <f t="shared" si="55"/>
        <v>No</v>
      </c>
      <c r="G767" t="str">
        <f t="shared" si="56"/>
        <v/>
      </c>
      <c r="H767" t="str">
        <f t="shared" si="57"/>
        <v>—</v>
      </c>
      <c r="I767" t="str">
        <f t="shared" si="58"/>
        <v>Below thresholds</v>
      </c>
      <c r="J767" t="str">
        <f t="shared" si="59"/>
        <v/>
      </c>
    </row>
    <row r="768" spans="1:10" x14ac:dyDescent="0.2">
      <c r="A768">
        <v>226928037291</v>
      </c>
      <c r="B768" t="s">
        <v>2260</v>
      </c>
      <c r="C768" t="s">
        <v>2261</v>
      </c>
      <c r="D768">
        <v>3.25</v>
      </c>
      <c r="F768" t="str">
        <f t="shared" si="55"/>
        <v>No</v>
      </c>
      <c r="G768" t="str">
        <f t="shared" si="56"/>
        <v/>
      </c>
      <c r="H768" t="str">
        <f t="shared" si="57"/>
        <v>—</v>
      </c>
      <c r="I768" t="str">
        <f t="shared" si="58"/>
        <v>Below thresholds</v>
      </c>
      <c r="J768" t="str">
        <f t="shared" si="59"/>
        <v/>
      </c>
    </row>
    <row r="769" spans="1:10" x14ac:dyDescent="0.2">
      <c r="A769">
        <v>226928037328</v>
      </c>
      <c r="B769" t="s">
        <v>2262</v>
      </c>
      <c r="C769" t="s">
        <v>2263</v>
      </c>
      <c r="D769">
        <v>3.5</v>
      </c>
      <c r="F769" t="str">
        <f t="shared" si="55"/>
        <v>No</v>
      </c>
      <c r="G769" t="str">
        <f t="shared" si="56"/>
        <v/>
      </c>
      <c r="H769" t="str">
        <f t="shared" si="57"/>
        <v>—</v>
      </c>
      <c r="I769" t="str">
        <f t="shared" si="58"/>
        <v>Below thresholds</v>
      </c>
      <c r="J769" t="str">
        <f t="shared" si="59"/>
        <v/>
      </c>
    </row>
    <row r="770" spans="1:10" x14ac:dyDescent="0.2">
      <c r="A770">
        <v>226928037344</v>
      </c>
      <c r="B770" t="s">
        <v>2264</v>
      </c>
      <c r="C770" t="s">
        <v>2265</v>
      </c>
      <c r="D770">
        <v>5</v>
      </c>
      <c r="F770" t="str">
        <f t="shared" si="55"/>
        <v>No</v>
      </c>
      <c r="G770" t="str">
        <f t="shared" si="56"/>
        <v/>
      </c>
      <c r="H770" t="str">
        <f t="shared" si="57"/>
        <v>—</v>
      </c>
      <c r="I770" t="str">
        <f t="shared" si="58"/>
        <v>Below thresholds</v>
      </c>
      <c r="J770" t="str">
        <f t="shared" si="59"/>
        <v/>
      </c>
    </row>
    <row r="771" spans="1:10" x14ac:dyDescent="0.2">
      <c r="A771">
        <v>226928037379</v>
      </c>
      <c r="B771" t="s">
        <v>2266</v>
      </c>
      <c r="C771" t="s">
        <v>2267</v>
      </c>
      <c r="D771">
        <v>4</v>
      </c>
      <c r="F771" t="str">
        <f t="shared" si="55"/>
        <v>No</v>
      </c>
      <c r="G771" t="str">
        <f t="shared" si="56"/>
        <v/>
      </c>
      <c r="H771" t="str">
        <f t="shared" si="57"/>
        <v>—</v>
      </c>
      <c r="I771" t="str">
        <f t="shared" si="58"/>
        <v>Below thresholds</v>
      </c>
      <c r="J771" t="str">
        <f t="shared" si="59"/>
        <v/>
      </c>
    </row>
    <row r="772" spans="1:10" x14ac:dyDescent="0.2">
      <c r="A772">
        <v>226928037383</v>
      </c>
      <c r="B772" t="s">
        <v>2268</v>
      </c>
      <c r="C772" t="s">
        <v>2269</v>
      </c>
      <c r="D772">
        <v>5</v>
      </c>
      <c r="F772" t="str">
        <f t="shared" si="55"/>
        <v>No</v>
      </c>
      <c r="G772" t="str">
        <f t="shared" si="56"/>
        <v/>
      </c>
      <c r="H772" t="str">
        <f t="shared" si="57"/>
        <v>—</v>
      </c>
      <c r="I772" t="str">
        <f t="shared" si="58"/>
        <v>Below thresholds</v>
      </c>
      <c r="J772" t="str">
        <f t="shared" si="59"/>
        <v/>
      </c>
    </row>
    <row r="773" spans="1:10" x14ac:dyDescent="0.2">
      <c r="A773">
        <v>226930875004</v>
      </c>
      <c r="B773" t="s">
        <v>2270</v>
      </c>
      <c r="C773" t="s">
        <v>2271</v>
      </c>
      <c r="D773">
        <v>1.59</v>
      </c>
      <c r="F773" t="str">
        <f t="shared" ref="F773:F836" si="60">IF($B773="","",IF(ISNUMBER(SEARCH("PSA",$B773)),"Yes","No"))</f>
        <v>No</v>
      </c>
      <c r="G773" t="str">
        <f t="shared" ref="G773:G836" si="61">IF($B773="","",IF(ISNUMBER(SEARCH("PSA 10",$B773)),10,IF(ISNUMBER(SEARCH("PSA 9.5",$B773)),9.5,IF(ISNUMBER(SEARCH("PSA 9",$B773)),9,IF(ISNUMBER(SEARCH("PSA 8",$B773)),8,IF(ISNUMBER(SEARCH("PSA",$B773)),"&lt;9",""))))))</f>
        <v/>
      </c>
      <c r="H773" t="str">
        <f t="shared" ref="H773:H836" si="62">IF($B773="","",IF($D773&gt;=100,"TIER 2",IF(OR(ISNUMBER(SEARCH("PSA 10",$B773)),ISNUMBER(SEARCH("PSA 9.5",$B773)),ISNUMBER(SEARCH("PSA 9",$B773))),"TIER 3",IF(AND($D773&gt;20,N($E773)&gt;=15),"TIER 1","—"))))</f>
        <v>—</v>
      </c>
      <c r="I773" t="str">
        <f t="shared" ref="I773:I836" si="63">IF($B773="","",IF($D773&gt;=100,"Premium $100+ (auto)",IF(OR(ISNUMBER(SEARCH("PSA 10",$B773)),ISNUMBER(SEARCH("PSA 9.5",$B773)),ISNUMBER(SEARCH("PSA 9",$B773))),"Graded PSA 9+ (auto)",IF(AND($D773&gt;20,N($E773)&gt;=15),"Hot: $20+ &amp; "&amp;$E773&amp;"/day",IF($D773&gt;20,"$20+ — needs velocity check","Below thresholds")))))</f>
        <v>Below thresholds</v>
      </c>
      <c r="J773" t="str">
        <f t="shared" ref="J773:J836" si="64">IF($B773="","",IF(AND($D773&gt;20,$D773&lt;100,NOT(OR(ISNUMBER(SEARCH("PSA 10",$B773)),ISNUMBER(SEARCH("PSA 9.5",$B773)),ISNUMBER(SEARCH("PSA 9",$B773)))),$E773=""),"YES — pull CardHedger",""))</f>
        <v/>
      </c>
    </row>
    <row r="774" spans="1:10" x14ac:dyDescent="0.2">
      <c r="A774">
        <v>226930875024</v>
      </c>
      <c r="B774" t="s">
        <v>2272</v>
      </c>
      <c r="C774" t="s">
        <v>2273</v>
      </c>
      <c r="D774">
        <v>1.59</v>
      </c>
      <c r="F774" t="str">
        <f t="shared" si="60"/>
        <v>No</v>
      </c>
      <c r="G774" t="str">
        <f t="shared" si="61"/>
        <v/>
      </c>
      <c r="H774" t="str">
        <f t="shared" si="62"/>
        <v>—</v>
      </c>
      <c r="I774" t="str">
        <f t="shared" si="63"/>
        <v>Below thresholds</v>
      </c>
      <c r="J774" t="str">
        <f t="shared" si="64"/>
        <v/>
      </c>
    </row>
    <row r="775" spans="1:10" x14ac:dyDescent="0.2">
      <c r="A775">
        <v>226930875051</v>
      </c>
      <c r="B775" t="s">
        <v>2274</v>
      </c>
      <c r="C775" t="s">
        <v>2275</v>
      </c>
      <c r="D775">
        <v>1.99</v>
      </c>
      <c r="F775" t="str">
        <f t="shared" si="60"/>
        <v>No</v>
      </c>
      <c r="G775" t="str">
        <f t="shared" si="61"/>
        <v/>
      </c>
      <c r="H775" t="str">
        <f t="shared" si="62"/>
        <v>—</v>
      </c>
      <c r="I775" t="str">
        <f t="shared" si="63"/>
        <v>Below thresholds</v>
      </c>
      <c r="J775" t="str">
        <f t="shared" si="64"/>
        <v/>
      </c>
    </row>
    <row r="776" spans="1:10" x14ac:dyDescent="0.2">
      <c r="A776">
        <v>226930875059</v>
      </c>
      <c r="B776" t="s">
        <v>2276</v>
      </c>
      <c r="C776" t="s">
        <v>2277</v>
      </c>
      <c r="D776">
        <v>1.59</v>
      </c>
      <c r="F776" t="str">
        <f t="shared" si="60"/>
        <v>No</v>
      </c>
      <c r="G776" t="str">
        <f t="shared" si="61"/>
        <v/>
      </c>
      <c r="H776" t="str">
        <f t="shared" si="62"/>
        <v>—</v>
      </c>
      <c r="I776" t="str">
        <f t="shared" si="63"/>
        <v>Below thresholds</v>
      </c>
      <c r="J776" t="str">
        <f t="shared" si="64"/>
        <v/>
      </c>
    </row>
    <row r="777" spans="1:10" x14ac:dyDescent="0.2">
      <c r="A777">
        <v>226930875092</v>
      </c>
      <c r="B777" t="s">
        <v>2278</v>
      </c>
      <c r="C777" t="s">
        <v>2279</v>
      </c>
      <c r="D777">
        <v>1.59</v>
      </c>
      <c r="F777" t="str">
        <f t="shared" si="60"/>
        <v>No</v>
      </c>
      <c r="G777" t="str">
        <f t="shared" si="61"/>
        <v/>
      </c>
      <c r="H777" t="str">
        <f t="shared" si="62"/>
        <v>—</v>
      </c>
      <c r="I777" t="str">
        <f t="shared" si="63"/>
        <v>Below thresholds</v>
      </c>
      <c r="J777" t="str">
        <f t="shared" si="64"/>
        <v/>
      </c>
    </row>
    <row r="778" spans="1:10" x14ac:dyDescent="0.2">
      <c r="A778">
        <v>226930875095</v>
      </c>
      <c r="B778" t="s">
        <v>2280</v>
      </c>
      <c r="C778" t="s">
        <v>2281</v>
      </c>
      <c r="D778">
        <v>1.59</v>
      </c>
      <c r="F778" t="str">
        <f t="shared" si="60"/>
        <v>No</v>
      </c>
      <c r="G778" t="str">
        <f t="shared" si="61"/>
        <v/>
      </c>
      <c r="H778" t="str">
        <f t="shared" si="62"/>
        <v>—</v>
      </c>
      <c r="I778" t="str">
        <f t="shared" si="63"/>
        <v>Below thresholds</v>
      </c>
      <c r="J778" t="str">
        <f t="shared" si="64"/>
        <v/>
      </c>
    </row>
    <row r="779" spans="1:10" x14ac:dyDescent="0.2">
      <c r="A779">
        <v>226930875126</v>
      </c>
      <c r="B779" t="s">
        <v>2282</v>
      </c>
      <c r="C779" t="s">
        <v>2283</v>
      </c>
      <c r="D779">
        <v>1.99</v>
      </c>
      <c r="F779" t="str">
        <f t="shared" si="60"/>
        <v>No</v>
      </c>
      <c r="G779" t="str">
        <f t="shared" si="61"/>
        <v/>
      </c>
      <c r="H779" t="str">
        <f t="shared" si="62"/>
        <v>—</v>
      </c>
      <c r="I779" t="str">
        <f t="shared" si="63"/>
        <v>Below thresholds</v>
      </c>
      <c r="J779" t="str">
        <f t="shared" si="64"/>
        <v/>
      </c>
    </row>
    <row r="780" spans="1:10" x14ac:dyDescent="0.2">
      <c r="A780">
        <v>226930875133</v>
      </c>
      <c r="B780" t="s">
        <v>2284</v>
      </c>
      <c r="C780" t="s">
        <v>2285</v>
      </c>
      <c r="D780">
        <v>3.5</v>
      </c>
      <c r="F780" t="str">
        <f t="shared" si="60"/>
        <v>No</v>
      </c>
      <c r="G780" t="str">
        <f t="shared" si="61"/>
        <v/>
      </c>
      <c r="H780" t="str">
        <f t="shared" si="62"/>
        <v>—</v>
      </c>
      <c r="I780" t="str">
        <f t="shared" si="63"/>
        <v>Below thresholds</v>
      </c>
      <c r="J780" t="str">
        <f t="shared" si="64"/>
        <v/>
      </c>
    </row>
    <row r="781" spans="1:10" x14ac:dyDescent="0.2">
      <c r="A781">
        <v>226930875167</v>
      </c>
      <c r="B781" t="s">
        <v>2286</v>
      </c>
      <c r="C781" t="s">
        <v>2287</v>
      </c>
      <c r="D781">
        <v>1.99</v>
      </c>
      <c r="F781" t="str">
        <f t="shared" si="60"/>
        <v>No</v>
      </c>
      <c r="G781" t="str">
        <f t="shared" si="61"/>
        <v/>
      </c>
      <c r="H781" t="str">
        <f t="shared" si="62"/>
        <v>—</v>
      </c>
      <c r="I781" t="str">
        <f t="shared" si="63"/>
        <v>Below thresholds</v>
      </c>
      <c r="J781" t="str">
        <f t="shared" si="64"/>
        <v/>
      </c>
    </row>
    <row r="782" spans="1:10" x14ac:dyDescent="0.2">
      <c r="A782">
        <v>226930875180</v>
      </c>
      <c r="B782" t="s">
        <v>2288</v>
      </c>
      <c r="C782" t="s">
        <v>2289</v>
      </c>
      <c r="D782">
        <v>1.59</v>
      </c>
      <c r="F782" t="str">
        <f t="shared" si="60"/>
        <v>No</v>
      </c>
      <c r="G782" t="str">
        <f t="shared" si="61"/>
        <v/>
      </c>
      <c r="H782" t="str">
        <f t="shared" si="62"/>
        <v>—</v>
      </c>
      <c r="I782" t="str">
        <f t="shared" si="63"/>
        <v>Below thresholds</v>
      </c>
      <c r="J782" t="str">
        <f t="shared" si="64"/>
        <v/>
      </c>
    </row>
    <row r="783" spans="1:10" x14ac:dyDescent="0.2">
      <c r="A783">
        <v>226930875238</v>
      </c>
      <c r="B783" t="s">
        <v>2290</v>
      </c>
      <c r="C783" t="s">
        <v>2291</v>
      </c>
      <c r="D783">
        <v>2.25</v>
      </c>
      <c r="F783" t="str">
        <f t="shared" si="60"/>
        <v>No</v>
      </c>
      <c r="G783" t="str">
        <f t="shared" si="61"/>
        <v/>
      </c>
      <c r="H783" t="str">
        <f t="shared" si="62"/>
        <v>—</v>
      </c>
      <c r="I783" t="str">
        <f t="shared" si="63"/>
        <v>Below thresholds</v>
      </c>
      <c r="J783" t="str">
        <f t="shared" si="64"/>
        <v/>
      </c>
    </row>
    <row r="784" spans="1:10" x14ac:dyDescent="0.2">
      <c r="A784">
        <v>226930875289</v>
      </c>
      <c r="B784" t="s">
        <v>2292</v>
      </c>
      <c r="C784" t="s">
        <v>2293</v>
      </c>
      <c r="D784">
        <v>2.25</v>
      </c>
      <c r="F784" t="str">
        <f t="shared" si="60"/>
        <v>No</v>
      </c>
      <c r="G784" t="str">
        <f t="shared" si="61"/>
        <v/>
      </c>
      <c r="H784" t="str">
        <f t="shared" si="62"/>
        <v>—</v>
      </c>
      <c r="I784" t="str">
        <f t="shared" si="63"/>
        <v>Below thresholds</v>
      </c>
      <c r="J784" t="str">
        <f t="shared" si="64"/>
        <v/>
      </c>
    </row>
    <row r="785" spans="1:10" x14ac:dyDescent="0.2">
      <c r="A785">
        <v>226930875327</v>
      </c>
      <c r="B785" t="s">
        <v>2294</v>
      </c>
      <c r="C785" t="s">
        <v>2295</v>
      </c>
      <c r="D785">
        <v>1.59</v>
      </c>
      <c r="F785" t="str">
        <f t="shared" si="60"/>
        <v>No</v>
      </c>
      <c r="G785" t="str">
        <f t="shared" si="61"/>
        <v/>
      </c>
      <c r="H785" t="str">
        <f t="shared" si="62"/>
        <v>—</v>
      </c>
      <c r="I785" t="str">
        <f t="shared" si="63"/>
        <v>Below thresholds</v>
      </c>
      <c r="J785" t="str">
        <f t="shared" si="64"/>
        <v/>
      </c>
    </row>
    <row r="786" spans="1:10" x14ac:dyDescent="0.2">
      <c r="A786">
        <v>226930875334</v>
      </c>
      <c r="B786" t="s">
        <v>2296</v>
      </c>
      <c r="C786" t="s">
        <v>2297</v>
      </c>
      <c r="D786">
        <v>1.69</v>
      </c>
      <c r="F786" t="str">
        <f t="shared" si="60"/>
        <v>No</v>
      </c>
      <c r="G786" t="str">
        <f t="shared" si="61"/>
        <v/>
      </c>
      <c r="H786" t="str">
        <f t="shared" si="62"/>
        <v>—</v>
      </c>
      <c r="I786" t="str">
        <f t="shared" si="63"/>
        <v>Below thresholds</v>
      </c>
      <c r="J786" t="str">
        <f t="shared" si="64"/>
        <v/>
      </c>
    </row>
    <row r="787" spans="1:10" x14ac:dyDescent="0.2">
      <c r="A787">
        <v>226930875378</v>
      </c>
      <c r="B787" t="s">
        <v>2298</v>
      </c>
      <c r="C787" t="s">
        <v>2299</v>
      </c>
      <c r="D787">
        <v>1.69</v>
      </c>
      <c r="F787" t="str">
        <f t="shared" si="60"/>
        <v>No</v>
      </c>
      <c r="G787" t="str">
        <f t="shared" si="61"/>
        <v/>
      </c>
      <c r="H787" t="str">
        <f t="shared" si="62"/>
        <v>—</v>
      </c>
      <c r="I787" t="str">
        <f t="shared" si="63"/>
        <v>Below thresholds</v>
      </c>
      <c r="J787" t="str">
        <f t="shared" si="64"/>
        <v/>
      </c>
    </row>
    <row r="788" spans="1:10" x14ac:dyDescent="0.2">
      <c r="A788">
        <v>226930875387</v>
      </c>
      <c r="B788" t="s">
        <v>2300</v>
      </c>
      <c r="C788" t="s">
        <v>2301</v>
      </c>
      <c r="D788">
        <v>1.59</v>
      </c>
      <c r="F788" t="str">
        <f t="shared" si="60"/>
        <v>No</v>
      </c>
      <c r="G788" t="str">
        <f t="shared" si="61"/>
        <v/>
      </c>
      <c r="H788" t="str">
        <f t="shared" si="62"/>
        <v>—</v>
      </c>
      <c r="I788" t="str">
        <f t="shared" si="63"/>
        <v>Below thresholds</v>
      </c>
      <c r="J788" t="str">
        <f t="shared" si="64"/>
        <v/>
      </c>
    </row>
    <row r="789" spans="1:10" x14ac:dyDescent="0.2">
      <c r="A789">
        <v>226933344094</v>
      </c>
      <c r="B789" t="s">
        <v>2302</v>
      </c>
      <c r="C789" t="s">
        <v>2303</v>
      </c>
      <c r="D789">
        <v>2.99</v>
      </c>
      <c r="F789" t="str">
        <f t="shared" si="60"/>
        <v>No</v>
      </c>
      <c r="G789" t="str">
        <f t="shared" si="61"/>
        <v/>
      </c>
      <c r="H789" t="str">
        <f t="shared" si="62"/>
        <v>—</v>
      </c>
      <c r="I789" t="str">
        <f t="shared" si="63"/>
        <v>Below thresholds</v>
      </c>
      <c r="J789" t="str">
        <f t="shared" si="64"/>
        <v/>
      </c>
    </row>
    <row r="790" spans="1:10" x14ac:dyDescent="0.2">
      <c r="A790">
        <v>226933344096</v>
      </c>
      <c r="B790" t="s">
        <v>2304</v>
      </c>
      <c r="C790" t="s">
        <v>2305</v>
      </c>
      <c r="D790">
        <v>1.99</v>
      </c>
      <c r="F790" t="str">
        <f t="shared" si="60"/>
        <v>No</v>
      </c>
      <c r="G790" t="str">
        <f t="shared" si="61"/>
        <v/>
      </c>
      <c r="H790" t="str">
        <f t="shared" si="62"/>
        <v>—</v>
      </c>
      <c r="I790" t="str">
        <f t="shared" si="63"/>
        <v>Below thresholds</v>
      </c>
      <c r="J790" t="str">
        <f t="shared" si="64"/>
        <v/>
      </c>
    </row>
    <row r="791" spans="1:10" x14ac:dyDescent="0.2">
      <c r="A791">
        <v>226933344143</v>
      </c>
      <c r="B791" t="s">
        <v>2306</v>
      </c>
      <c r="C791" t="s">
        <v>2307</v>
      </c>
      <c r="D791">
        <v>1.85</v>
      </c>
      <c r="F791" t="str">
        <f t="shared" si="60"/>
        <v>No</v>
      </c>
      <c r="G791" t="str">
        <f t="shared" si="61"/>
        <v/>
      </c>
      <c r="H791" t="str">
        <f t="shared" si="62"/>
        <v>—</v>
      </c>
      <c r="I791" t="str">
        <f t="shared" si="63"/>
        <v>Below thresholds</v>
      </c>
      <c r="J791" t="str">
        <f t="shared" si="64"/>
        <v/>
      </c>
    </row>
    <row r="792" spans="1:10" x14ac:dyDescent="0.2">
      <c r="A792">
        <v>226933344154</v>
      </c>
      <c r="B792" t="s">
        <v>2308</v>
      </c>
      <c r="C792" t="s">
        <v>2309</v>
      </c>
      <c r="D792">
        <v>2.09</v>
      </c>
      <c r="F792" t="str">
        <f t="shared" si="60"/>
        <v>No</v>
      </c>
      <c r="G792" t="str">
        <f t="shared" si="61"/>
        <v/>
      </c>
      <c r="H792" t="str">
        <f t="shared" si="62"/>
        <v>—</v>
      </c>
      <c r="I792" t="str">
        <f t="shared" si="63"/>
        <v>Below thresholds</v>
      </c>
      <c r="J792" t="str">
        <f t="shared" si="64"/>
        <v/>
      </c>
    </row>
    <row r="793" spans="1:10" x14ac:dyDescent="0.2">
      <c r="A793">
        <v>226933344232</v>
      </c>
      <c r="B793" t="s">
        <v>2310</v>
      </c>
      <c r="C793" t="s">
        <v>2311</v>
      </c>
      <c r="D793">
        <v>2.09</v>
      </c>
      <c r="F793" t="str">
        <f t="shared" si="60"/>
        <v>No</v>
      </c>
      <c r="G793" t="str">
        <f t="shared" si="61"/>
        <v/>
      </c>
      <c r="H793" t="str">
        <f t="shared" si="62"/>
        <v>—</v>
      </c>
      <c r="I793" t="str">
        <f t="shared" si="63"/>
        <v>Below thresholds</v>
      </c>
      <c r="J793" t="str">
        <f t="shared" si="64"/>
        <v/>
      </c>
    </row>
    <row r="794" spans="1:10" x14ac:dyDescent="0.2">
      <c r="A794">
        <v>226933344254</v>
      </c>
      <c r="B794" t="s">
        <v>2312</v>
      </c>
      <c r="C794" t="s">
        <v>2313</v>
      </c>
      <c r="D794">
        <v>2</v>
      </c>
      <c r="F794" t="str">
        <f t="shared" si="60"/>
        <v>No</v>
      </c>
      <c r="G794" t="str">
        <f t="shared" si="61"/>
        <v/>
      </c>
      <c r="H794" t="str">
        <f t="shared" si="62"/>
        <v>—</v>
      </c>
      <c r="I794" t="str">
        <f t="shared" si="63"/>
        <v>Below thresholds</v>
      </c>
      <c r="J794" t="str">
        <f t="shared" si="64"/>
        <v/>
      </c>
    </row>
    <row r="795" spans="1:10" x14ac:dyDescent="0.2">
      <c r="A795">
        <v>226933344321</v>
      </c>
      <c r="B795" t="s">
        <v>2314</v>
      </c>
      <c r="C795" t="s">
        <v>2315</v>
      </c>
      <c r="D795">
        <v>2</v>
      </c>
      <c r="F795" t="str">
        <f t="shared" si="60"/>
        <v>No</v>
      </c>
      <c r="G795" t="str">
        <f t="shared" si="61"/>
        <v/>
      </c>
      <c r="H795" t="str">
        <f t="shared" si="62"/>
        <v>—</v>
      </c>
      <c r="I795" t="str">
        <f t="shared" si="63"/>
        <v>Below thresholds</v>
      </c>
      <c r="J795" t="str">
        <f t="shared" si="64"/>
        <v/>
      </c>
    </row>
    <row r="796" spans="1:10" x14ac:dyDescent="0.2">
      <c r="A796">
        <v>226933344355</v>
      </c>
      <c r="B796" t="s">
        <v>2316</v>
      </c>
      <c r="C796" t="s">
        <v>2317</v>
      </c>
      <c r="D796">
        <v>1.79</v>
      </c>
      <c r="F796" t="str">
        <f t="shared" si="60"/>
        <v>No</v>
      </c>
      <c r="G796" t="str">
        <f t="shared" si="61"/>
        <v/>
      </c>
      <c r="H796" t="str">
        <f t="shared" si="62"/>
        <v>—</v>
      </c>
      <c r="I796" t="str">
        <f t="shared" si="63"/>
        <v>Below thresholds</v>
      </c>
      <c r="J796" t="str">
        <f t="shared" si="64"/>
        <v/>
      </c>
    </row>
    <row r="797" spans="1:10" x14ac:dyDescent="0.2">
      <c r="A797">
        <v>226933344375</v>
      </c>
      <c r="B797" t="s">
        <v>2318</v>
      </c>
      <c r="C797" t="s">
        <v>2319</v>
      </c>
      <c r="D797">
        <v>2</v>
      </c>
      <c r="F797" t="str">
        <f t="shared" si="60"/>
        <v>No</v>
      </c>
      <c r="G797" t="str">
        <f t="shared" si="61"/>
        <v/>
      </c>
      <c r="H797" t="str">
        <f t="shared" si="62"/>
        <v>—</v>
      </c>
      <c r="I797" t="str">
        <f t="shared" si="63"/>
        <v>Below thresholds</v>
      </c>
      <c r="J797" t="str">
        <f t="shared" si="64"/>
        <v/>
      </c>
    </row>
    <row r="798" spans="1:10" x14ac:dyDescent="0.2">
      <c r="A798">
        <v>226933344411</v>
      </c>
      <c r="B798" t="s">
        <v>2320</v>
      </c>
      <c r="C798" t="s">
        <v>2321</v>
      </c>
      <c r="D798">
        <v>1.69</v>
      </c>
      <c r="F798" t="str">
        <f t="shared" si="60"/>
        <v>No</v>
      </c>
      <c r="G798" t="str">
        <f t="shared" si="61"/>
        <v/>
      </c>
      <c r="H798" t="str">
        <f t="shared" si="62"/>
        <v>—</v>
      </c>
      <c r="I798" t="str">
        <f t="shared" si="63"/>
        <v>Below thresholds</v>
      </c>
      <c r="J798" t="str">
        <f t="shared" si="64"/>
        <v/>
      </c>
    </row>
    <row r="799" spans="1:10" x14ac:dyDescent="0.2">
      <c r="A799">
        <v>226933344432</v>
      </c>
      <c r="B799" t="s">
        <v>2322</v>
      </c>
      <c r="C799" t="s">
        <v>2323</v>
      </c>
      <c r="D799">
        <v>3.95</v>
      </c>
      <c r="F799" t="str">
        <f t="shared" si="60"/>
        <v>No</v>
      </c>
      <c r="G799" t="str">
        <f t="shared" si="61"/>
        <v/>
      </c>
      <c r="H799" t="str">
        <f t="shared" si="62"/>
        <v>—</v>
      </c>
      <c r="I799" t="str">
        <f t="shared" si="63"/>
        <v>Below thresholds</v>
      </c>
      <c r="J799" t="str">
        <f t="shared" si="64"/>
        <v/>
      </c>
    </row>
    <row r="800" spans="1:10" x14ac:dyDescent="0.2">
      <c r="A800">
        <v>226933344486</v>
      </c>
      <c r="B800" t="s">
        <v>2324</v>
      </c>
      <c r="C800" t="s">
        <v>2325</v>
      </c>
      <c r="D800">
        <v>2.4900000000000002</v>
      </c>
      <c r="F800" t="str">
        <f t="shared" si="60"/>
        <v>No</v>
      </c>
      <c r="G800" t="str">
        <f t="shared" si="61"/>
        <v/>
      </c>
      <c r="H800" t="str">
        <f t="shared" si="62"/>
        <v>—</v>
      </c>
      <c r="I800" t="str">
        <f t="shared" si="63"/>
        <v>Below thresholds</v>
      </c>
      <c r="J800" t="str">
        <f t="shared" si="64"/>
        <v/>
      </c>
    </row>
    <row r="801" spans="1:10" x14ac:dyDescent="0.2">
      <c r="A801">
        <v>226933344558</v>
      </c>
      <c r="B801" t="s">
        <v>2326</v>
      </c>
      <c r="C801" t="s">
        <v>2327</v>
      </c>
      <c r="D801">
        <v>2</v>
      </c>
      <c r="F801" t="str">
        <f t="shared" si="60"/>
        <v>No</v>
      </c>
      <c r="G801" t="str">
        <f t="shared" si="61"/>
        <v/>
      </c>
      <c r="H801" t="str">
        <f t="shared" si="62"/>
        <v>—</v>
      </c>
      <c r="I801" t="str">
        <f t="shared" si="63"/>
        <v>Below thresholds</v>
      </c>
      <c r="J801" t="str">
        <f t="shared" si="64"/>
        <v/>
      </c>
    </row>
    <row r="802" spans="1:10" x14ac:dyDescent="0.2">
      <c r="A802">
        <v>226933344583</v>
      </c>
      <c r="B802" t="s">
        <v>2328</v>
      </c>
      <c r="C802" t="s">
        <v>2329</v>
      </c>
      <c r="D802">
        <v>2.99</v>
      </c>
      <c r="F802" t="str">
        <f t="shared" si="60"/>
        <v>No</v>
      </c>
      <c r="G802" t="str">
        <f t="shared" si="61"/>
        <v/>
      </c>
      <c r="H802" t="str">
        <f t="shared" si="62"/>
        <v>—</v>
      </c>
      <c r="I802" t="str">
        <f t="shared" si="63"/>
        <v>Below thresholds</v>
      </c>
      <c r="J802" t="str">
        <f t="shared" si="64"/>
        <v/>
      </c>
    </row>
    <row r="803" spans="1:10" x14ac:dyDescent="0.2">
      <c r="A803">
        <v>226933344629</v>
      </c>
      <c r="B803" t="s">
        <v>2330</v>
      </c>
      <c r="C803" t="s">
        <v>2331</v>
      </c>
      <c r="D803">
        <v>2.09</v>
      </c>
      <c r="F803" t="str">
        <f t="shared" si="60"/>
        <v>No</v>
      </c>
      <c r="G803" t="str">
        <f t="shared" si="61"/>
        <v/>
      </c>
      <c r="H803" t="str">
        <f t="shared" si="62"/>
        <v>—</v>
      </c>
      <c r="I803" t="str">
        <f t="shared" si="63"/>
        <v>Below thresholds</v>
      </c>
      <c r="J803" t="str">
        <f t="shared" si="64"/>
        <v/>
      </c>
    </row>
    <row r="804" spans="1:10" x14ac:dyDescent="0.2">
      <c r="A804">
        <v>226933344682</v>
      </c>
      <c r="B804" t="s">
        <v>2332</v>
      </c>
      <c r="C804" t="s">
        <v>2333</v>
      </c>
      <c r="D804">
        <v>2</v>
      </c>
      <c r="F804" t="str">
        <f t="shared" si="60"/>
        <v>No</v>
      </c>
      <c r="G804" t="str">
        <f t="shared" si="61"/>
        <v/>
      </c>
      <c r="H804" t="str">
        <f t="shared" si="62"/>
        <v>—</v>
      </c>
      <c r="I804" t="str">
        <f t="shared" si="63"/>
        <v>Below thresholds</v>
      </c>
      <c r="J804" t="str">
        <f t="shared" si="64"/>
        <v/>
      </c>
    </row>
    <row r="805" spans="1:10" x14ac:dyDescent="0.2">
      <c r="A805">
        <v>226933344753</v>
      </c>
      <c r="B805" t="s">
        <v>2334</v>
      </c>
      <c r="C805" t="s">
        <v>2335</v>
      </c>
      <c r="D805">
        <v>1.79</v>
      </c>
      <c r="F805" t="str">
        <f t="shared" si="60"/>
        <v>No</v>
      </c>
      <c r="G805" t="str">
        <f t="shared" si="61"/>
        <v/>
      </c>
      <c r="H805" t="str">
        <f t="shared" si="62"/>
        <v>—</v>
      </c>
      <c r="I805" t="str">
        <f t="shared" si="63"/>
        <v>Below thresholds</v>
      </c>
      <c r="J805" t="str">
        <f t="shared" si="64"/>
        <v/>
      </c>
    </row>
    <row r="806" spans="1:10" x14ac:dyDescent="0.2">
      <c r="A806">
        <v>226938241326</v>
      </c>
      <c r="B806" t="s">
        <v>2336</v>
      </c>
      <c r="C806" t="s">
        <v>2337</v>
      </c>
      <c r="D806">
        <v>2.09</v>
      </c>
      <c r="F806" t="str">
        <f t="shared" si="60"/>
        <v>No</v>
      </c>
      <c r="G806" t="str">
        <f t="shared" si="61"/>
        <v/>
      </c>
      <c r="H806" t="str">
        <f t="shared" si="62"/>
        <v>—</v>
      </c>
      <c r="I806" t="str">
        <f t="shared" si="63"/>
        <v>Below thresholds</v>
      </c>
      <c r="J806" t="str">
        <f t="shared" si="64"/>
        <v/>
      </c>
    </row>
    <row r="807" spans="1:10" x14ac:dyDescent="0.2">
      <c r="A807">
        <v>226938241371</v>
      </c>
      <c r="B807" t="s">
        <v>2338</v>
      </c>
      <c r="C807" t="s">
        <v>2339</v>
      </c>
      <c r="D807">
        <v>2.09</v>
      </c>
      <c r="F807" t="str">
        <f t="shared" si="60"/>
        <v>No</v>
      </c>
      <c r="G807" t="str">
        <f t="shared" si="61"/>
        <v/>
      </c>
      <c r="H807" t="str">
        <f t="shared" si="62"/>
        <v>—</v>
      </c>
      <c r="I807" t="str">
        <f t="shared" si="63"/>
        <v>Below thresholds</v>
      </c>
      <c r="J807" t="str">
        <f t="shared" si="64"/>
        <v/>
      </c>
    </row>
    <row r="808" spans="1:10" x14ac:dyDescent="0.2">
      <c r="A808">
        <v>226938241393</v>
      </c>
      <c r="B808" t="s">
        <v>2340</v>
      </c>
      <c r="C808" t="s">
        <v>2341</v>
      </c>
      <c r="D808">
        <v>2.09</v>
      </c>
      <c r="F808" t="str">
        <f t="shared" si="60"/>
        <v>No</v>
      </c>
      <c r="G808" t="str">
        <f t="shared" si="61"/>
        <v/>
      </c>
      <c r="H808" t="str">
        <f t="shared" si="62"/>
        <v>—</v>
      </c>
      <c r="I808" t="str">
        <f t="shared" si="63"/>
        <v>Below thresholds</v>
      </c>
      <c r="J808" t="str">
        <f t="shared" si="64"/>
        <v/>
      </c>
    </row>
    <row r="809" spans="1:10" x14ac:dyDescent="0.2">
      <c r="A809">
        <v>226938241513</v>
      </c>
      <c r="B809" t="s">
        <v>2342</v>
      </c>
      <c r="C809" t="s">
        <v>2343</v>
      </c>
      <c r="D809">
        <v>2.29</v>
      </c>
      <c r="F809" t="str">
        <f t="shared" si="60"/>
        <v>No</v>
      </c>
      <c r="G809" t="str">
        <f t="shared" si="61"/>
        <v/>
      </c>
      <c r="H809" t="str">
        <f t="shared" si="62"/>
        <v>—</v>
      </c>
      <c r="I809" t="str">
        <f t="shared" si="63"/>
        <v>Below thresholds</v>
      </c>
      <c r="J809" t="str">
        <f t="shared" si="64"/>
        <v/>
      </c>
    </row>
    <row r="810" spans="1:10" x14ac:dyDescent="0.2">
      <c r="A810">
        <v>226938244290</v>
      </c>
      <c r="B810" t="s">
        <v>2344</v>
      </c>
      <c r="C810" t="s">
        <v>2345</v>
      </c>
      <c r="D810">
        <v>5.99</v>
      </c>
      <c r="F810" t="str">
        <f t="shared" si="60"/>
        <v>No</v>
      </c>
      <c r="G810" t="str">
        <f t="shared" si="61"/>
        <v/>
      </c>
      <c r="H810" t="str">
        <f t="shared" si="62"/>
        <v>—</v>
      </c>
      <c r="I810" t="str">
        <f t="shared" si="63"/>
        <v>Below thresholds</v>
      </c>
      <c r="J810" t="str">
        <f t="shared" si="64"/>
        <v/>
      </c>
    </row>
    <row r="811" spans="1:10" x14ac:dyDescent="0.2">
      <c r="A811">
        <v>226938364430</v>
      </c>
      <c r="B811" t="s">
        <v>2346</v>
      </c>
      <c r="C811" t="s">
        <v>2347</v>
      </c>
      <c r="D811">
        <v>1.0900000000000001</v>
      </c>
      <c r="F811" t="str">
        <f t="shared" si="60"/>
        <v>No</v>
      </c>
      <c r="G811" t="str">
        <f t="shared" si="61"/>
        <v/>
      </c>
      <c r="H811" t="str">
        <f t="shared" si="62"/>
        <v>—</v>
      </c>
      <c r="I811" t="str">
        <f t="shared" si="63"/>
        <v>Below thresholds</v>
      </c>
      <c r="J811" t="str">
        <f t="shared" si="64"/>
        <v/>
      </c>
    </row>
    <row r="812" spans="1:10" x14ac:dyDescent="0.2">
      <c r="A812">
        <v>226938364432</v>
      </c>
      <c r="B812" t="s">
        <v>2348</v>
      </c>
      <c r="C812" t="s">
        <v>2349</v>
      </c>
      <c r="D812">
        <v>1.49</v>
      </c>
      <c r="F812" t="str">
        <f t="shared" si="60"/>
        <v>No</v>
      </c>
      <c r="G812" t="str">
        <f t="shared" si="61"/>
        <v/>
      </c>
      <c r="H812" t="str">
        <f t="shared" si="62"/>
        <v>—</v>
      </c>
      <c r="I812" t="str">
        <f t="shared" si="63"/>
        <v>Below thresholds</v>
      </c>
      <c r="J812" t="str">
        <f t="shared" si="64"/>
        <v/>
      </c>
    </row>
    <row r="813" spans="1:10" x14ac:dyDescent="0.2">
      <c r="A813">
        <v>226938367664</v>
      </c>
      <c r="B813" t="s">
        <v>2350</v>
      </c>
      <c r="C813" t="s">
        <v>2351</v>
      </c>
      <c r="D813">
        <v>0.99</v>
      </c>
      <c r="F813" t="str">
        <f t="shared" si="60"/>
        <v>No</v>
      </c>
      <c r="G813" t="str">
        <f t="shared" si="61"/>
        <v/>
      </c>
      <c r="H813" t="str">
        <f t="shared" si="62"/>
        <v>—</v>
      </c>
      <c r="I813" t="str">
        <f t="shared" si="63"/>
        <v>Below thresholds</v>
      </c>
      <c r="J813" t="str">
        <f t="shared" si="64"/>
        <v/>
      </c>
    </row>
    <row r="814" spans="1:10" x14ac:dyDescent="0.2">
      <c r="A814">
        <v>226938367668</v>
      </c>
      <c r="B814" t="s">
        <v>2352</v>
      </c>
      <c r="C814" t="s">
        <v>2353</v>
      </c>
      <c r="D814">
        <v>0.99</v>
      </c>
      <c r="F814" t="str">
        <f t="shared" si="60"/>
        <v>No</v>
      </c>
      <c r="G814" t="str">
        <f t="shared" si="61"/>
        <v/>
      </c>
      <c r="H814" t="str">
        <f t="shared" si="62"/>
        <v>—</v>
      </c>
      <c r="I814" t="str">
        <f t="shared" si="63"/>
        <v>Below thresholds</v>
      </c>
      <c r="J814" t="str">
        <f t="shared" si="64"/>
        <v/>
      </c>
    </row>
    <row r="815" spans="1:10" x14ac:dyDescent="0.2">
      <c r="A815">
        <v>226938367672</v>
      </c>
      <c r="B815" t="s">
        <v>2354</v>
      </c>
      <c r="C815" t="s">
        <v>2355</v>
      </c>
      <c r="D815">
        <v>0.99</v>
      </c>
      <c r="F815" t="str">
        <f t="shared" si="60"/>
        <v>No</v>
      </c>
      <c r="G815" t="str">
        <f t="shared" si="61"/>
        <v/>
      </c>
      <c r="H815" t="str">
        <f t="shared" si="62"/>
        <v>—</v>
      </c>
      <c r="I815" t="str">
        <f t="shared" si="63"/>
        <v>Below thresholds</v>
      </c>
      <c r="J815" t="str">
        <f t="shared" si="64"/>
        <v/>
      </c>
    </row>
    <row r="816" spans="1:10" x14ac:dyDescent="0.2">
      <c r="A816">
        <v>226938367673</v>
      </c>
      <c r="B816" t="s">
        <v>2356</v>
      </c>
      <c r="C816" t="s">
        <v>2357</v>
      </c>
      <c r="D816">
        <v>0.99</v>
      </c>
      <c r="F816" t="str">
        <f t="shared" si="60"/>
        <v>No</v>
      </c>
      <c r="G816" t="str">
        <f t="shared" si="61"/>
        <v/>
      </c>
      <c r="H816" t="str">
        <f t="shared" si="62"/>
        <v>—</v>
      </c>
      <c r="I816" t="str">
        <f t="shared" si="63"/>
        <v>Below thresholds</v>
      </c>
      <c r="J816" t="str">
        <f t="shared" si="64"/>
        <v/>
      </c>
    </row>
    <row r="817" spans="1:10" x14ac:dyDescent="0.2">
      <c r="A817">
        <v>226938367674</v>
      </c>
      <c r="B817" t="s">
        <v>2358</v>
      </c>
      <c r="C817" t="s">
        <v>2359</v>
      </c>
      <c r="D817">
        <v>0.99</v>
      </c>
      <c r="F817" t="str">
        <f t="shared" si="60"/>
        <v>No</v>
      </c>
      <c r="G817" t="str">
        <f t="shared" si="61"/>
        <v/>
      </c>
      <c r="H817" t="str">
        <f t="shared" si="62"/>
        <v>—</v>
      </c>
      <c r="I817" t="str">
        <f t="shared" si="63"/>
        <v>Below thresholds</v>
      </c>
      <c r="J817" t="str">
        <f t="shared" si="64"/>
        <v/>
      </c>
    </row>
    <row r="818" spans="1:10" x14ac:dyDescent="0.2">
      <c r="A818">
        <v>226938367680</v>
      </c>
      <c r="B818" t="s">
        <v>2360</v>
      </c>
      <c r="C818" t="s">
        <v>2361</v>
      </c>
      <c r="D818">
        <v>0.99</v>
      </c>
      <c r="F818" t="str">
        <f t="shared" si="60"/>
        <v>No</v>
      </c>
      <c r="G818" t="str">
        <f t="shared" si="61"/>
        <v/>
      </c>
      <c r="H818" t="str">
        <f t="shared" si="62"/>
        <v>—</v>
      </c>
      <c r="I818" t="str">
        <f t="shared" si="63"/>
        <v>Below thresholds</v>
      </c>
      <c r="J818" t="str">
        <f t="shared" si="64"/>
        <v/>
      </c>
    </row>
    <row r="819" spans="1:10" x14ac:dyDescent="0.2">
      <c r="A819">
        <v>226938367681</v>
      </c>
      <c r="B819" t="s">
        <v>2362</v>
      </c>
      <c r="C819" t="s">
        <v>2363</v>
      </c>
      <c r="D819">
        <v>0.99</v>
      </c>
      <c r="F819" t="str">
        <f t="shared" si="60"/>
        <v>No</v>
      </c>
      <c r="G819" t="str">
        <f t="shared" si="61"/>
        <v/>
      </c>
      <c r="H819" t="str">
        <f t="shared" si="62"/>
        <v>—</v>
      </c>
      <c r="I819" t="str">
        <f t="shared" si="63"/>
        <v>Below thresholds</v>
      </c>
      <c r="J819" t="str">
        <f t="shared" si="64"/>
        <v/>
      </c>
    </row>
    <row r="820" spans="1:10" x14ac:dyDescent="0.2">
      <c r="A820">
        <v>226938367682</v>
      </c>
      <c r="B820" t="s">
        <v>2364</v>
      </c>
      <c r="C820" t="s">
        <v>2365</v>
      </c>
      <c r="D820">
        <v>0.99</v>
      </c>
      <c r="F820" t="str">
        <f t="shared" si="60"/>
        <v>No</v>
      </c>
      <c r="G820" t="str">
        <f t="shared" si="61"/>
        <v/>
      </c>
      <c r="H820" t="str">
        <f t="shared" si="62"/>
        <v>—</v>
      </c>
      <c r="I820" t="str">
        <f t="shared" si="63"/>
        <v>Below thresholds</v>
      </c>
      <c r="J820" t="str">
        <f t="shared" si="64"/>
        <v/>
      </c>
    </row>
    <row r="821" spans="1:10" x14ac:dyDescent="0.2">
      <c r="A821">
        <v>226938367685</v>
      </c>
      <c r="B821" t="s">
        <v>2366</v>
      </c>
      <c r="C821" t="s">
        <v>2367</v>
      </c>
      <c r="D821">
        <v>0.99</v>
      </c>
      <c r="F821" t="str">
        <f t="shared" si="60"/>
        <v>No</v>
      </c>
      <c r="G821" t="str">
        <f t="shared" si="61"/>
        <v/>
      </c>
      <c r="H821" t="str">
        <f t="shared" si="62"/>
        <v>—</v>
      </c>
      <c r="I821" t="str">
        <f t="shared" si="63"/>
        <v>Below thresholds</v>
      </c>
      <c r="J821" t="str">
        <f t="shared" si="64"/>
        <v/>
      </c>
    </row>
    <row r="822" spans="1:10" x14ac:dyDescent="0.2">
      <c r="A822">
        <v>226938746858</v>
      </c>
      <c r="B822" t="s">
        <v>2368</v>
      </c>
      <c r="C822" t="s">
        <v>2369</v>
      </c>
      <c r="D822">
        <v>2.4900000000000002</v>
      </c>
      <c r="F822" t="str">
        <f t="shared" si="60"/>
        <v>No</v>
      </c>
      <c r="G822" t="str">
        <f t="shared" si="61"/>
        <v/>
      </c>
      <c r="H822" t="str">
        <f t="shared" si="62"/>
        <v>—</v>
      </c>
      <c r="I822" t="str">
        <f t="shared" si="63"/>
        <v>Below thresholds</v>
      </c>
      <c r="J822" t="str">
        <f t="shared" si="64"/>
        <v/>
      </c>
    </row>
    <row r="823" spans="1:10" x14ac:dyDescent="0.2">
      <c r="A823">
        <v>226938746878</v>
      </c>
      <c r="B823" t="s">
        <v>2370</v>
      </c>
      <c r="C823" t="s">
        <v>2371</v>
      </c>
      <c r="D823">
        <v>1.99</v>
      </c>
      <c r="F823" t="str">
        <f t="shared" si="60"/>
        <v>No</v>
      </c>
      <c r="G823" t="str">
        <f t="shared" si="61"/>
        <v/>
      </c>
      <c r="H823" t="str">
        <f t="shared" si="62"/>
        <v>—</v>
      </c>
      <c r="I823" t="str">
        <f t="shared" si="63"/>
        <v>Below thresholds</v>
      </c>
      <c r="J823" t="str">
        <f t="shared" si="64"/>
        <v/>
      </c>
    </row>
    <row r="824" spans="1:10" x14ac:dyDescent="0.2">
      <c r="A824">
        <v>226938747069</v>
      </c>
      <c r="B824" t="s">
        <v>2372</v>
      </c>
      <c r="C824" t="s">
        <v>2373</v>
      </c>
      <c r="D824">
        <v>2</v>
      </c>
      <c r="F824" t="str">
        <f t="shared" si="60"/>
        <v>No</v>
      </c>
      <c r="G824" t="str">
        <f t="shared" si="61"/>
        <v/>
      </c>
      <c r="H824" t="str">
        <f t="shared" si="62"/>
        <v>—</v>
      </c>
      <c r="I824" t="str">
        <f t="shared" si="63"/>
        <v>Below thresholds</v>
      </c>
      <c r="J824" t="str">
        <f t="shared" si="64"/>
        <v/>
      </c>
    </row>
    <row r="825" spans="1:10" x14ac:dyDescent="0.2">
      <c r="A825">
        <v>226938747087</v>
      </c>
      <c r="B825" t="s">
        <v>2374</v>
      </c>
      <c r="C825" t="s">
        <v>2375</v>
      </c>
      <c r="D825">
        <v>1.99</v>
      </c>
      <c r="F825" t="str">
        <f t="shared" si="60"/>
        <v>No</v>
      </c>
      <c r="G825" t="str">
        <f t="shared" si="61"/>
        <v/>
      </c>
      <c r="H825" t="str">
        <f t="shared" si="62"/>
        <v>—</v>
      </c>
      <c r="I825" t="str">
        <f t="shared" si="63"/>
        <v>Below thresholds</v>
      </c>
      <c r="J825" t="str">
        <f t="shared" si="64"/>
        <v/>
      </c>
    </row>
    <row r="826" spans="1:10" x14ac:dyDescent="0.2">
      <c r="A826">
        <v>226938747106</v>
      </c>
      <c r="B826" t="s">
        <v>2376</v>
      </c>
      <c r="C826" t="s">
        <v>2377</v>
      </c>
      <c r="D826">
        <v>1.99</v>
      </c>
      <c r="F826" t="str">
        <f t="shared" si="60"/>
        <v>No</v>
      </c>
      <c r="G826" t="str">
        <f t="shared" si="61"/>
        <v/>
      </c>
      <c r="H826" t="str">
        <f t="shared" si="62"/>
        <v>—</v>
      </c>
      <c r="I826" t="str">
        <f t="shared" si="63"/>
        <v>Below thresholds</v>
      </c>
      <c r="J826" t="str">
        <f t="shared" si="64"/>
        <v/>
      </c>
    </row>
    <row r="827" spans="1:10" x14ac:dyDescent="0.2">
      <c r="A827">
        <v>226940665761</v>
      </c>
      <c r="B827" t="s">
        <v>2378</v>
      </c>
      <c r="C827" t="s">
        <v>2379</v>
      </c>
      <c r="D827">
        <v>1.99</v>
      </c>
      <c r="F827" t="str">
        <f t="shared" si="60"/>
        <v>No</v>
      </c>
      <c r="G827" t="str">
        <f t="shared" si="61"/>
        <v/>
      </c>
      <c r="H827" t="str">
        <f t="shared" si="62"/>
        <v>—</v>
      </c>
      <c r="I827" t="str">
        <f t="shared" si="63"/>
        <v>Below thresholds</v>
      </c>
      <c r="J827" t="str">
        <f t="shared" si="64"/>
        <v/>
      </c>
    </row>
    <row r="828" spans="1:10" x14ac:dyDescent="0.2">
      <c r="A828">
        <v>226940665763</v>
      </c>
      <c r="B828" t="s">
        <v>2380</v>
      </c>
      <c r="C828" t="s">
        <v>2381</v>
      </c>
      <c r="D828">
        <v>1.99</v>
      </c>
      <c r="F828" t="str">
        <f t="shared" si="60"/>
        <v>No</v>
      </c>
      <c r="G828" t="str">
        <f t="shared" si="61"/>
        <v/>
      </c>
      <c r="H828" t="str">
        <f t="shared" si="62"/>
        <v>—</v>
      </c>
      <c r="I828" t="str">
        <f t="shared" si="63"/>
        <v>Below thresholds</v>
      </c>
      <c r="J828" t="str">
        <f t="shared" si="64"/>
        <v/>
      </c>
    </row>
    <row r="829" spans="1:10" x14ac:dyDescent="0.2">
      <c r="A829">
        <v>226940665764</v>
      </c>
      <c r="B829" t="s">
        <v>2382</v>
      </c>
      <c r="C829" t="s">
        <v>2383</v>
      </c>
      <c r="D829">
        <v>1.99</v>
      </c>
      <c r="F829" t="str">
        <f t="shared" si="60"/>
        <v>No</v>
      </c>
      <c r="G829" t="str">
        <f t="shared" si="61"/>
        <v/>
      </c>
      <c r="H829" t="str">
        <f t="shared" si="62"/>
        <v>—</v>
      </c>
      <c r="I829" t="str">
        <f t="shared" si="63"/>
        <v>Below thresholds</v>
      </c>
      <c r="J829" t="str">
        <f t="shared" si="64"/>
        <v/>
      </c>
    </row>
    <row r="830" spans="1:10" x14ac:dyDescent="0.2">
      <c r="A830">
        <v>226940665768</v>
      </c>
      <c r="B830" t="s">
        <v>2384</v>
      </c>
      <c r="C830" t="s">
        <v>2385</v>
      </c>
      <c r="D830">
        <v>1.99</v>
      </c>
      <c r="F830" t="str">
        <f t="shared" si="60"/>
        <v>No</v>
      </c>
      <c r="G830" t="str">
        <f t="shared" si="61"/>
        <v/>
      </c>
      <c r="H830" t="str">
        <f t="shared" si="62"/>
        <v>—</v>
      </c>
      <c r="I830" t="str">
        <f t="shared" si="63"/>
        <v>Below thresholds</v>
      </c>
      <c r="J830" t="str">
        <f t="shared" si="64"/>
        <v/>
      </c>
    </row>
    <row r="831" spans="1:10" x14ac:dyDescent="0.2">
      <c r="A831">
        <v>226940665769</v>
      </c>
      <c r="B831" t="s">
        <v>2386</v>
      </c>
      <c r="C831" t="s">
        <v>2387</v>
      </c>
      <c r="D831">
        <v>2.09</v>
      </c>
      <c r="F831" t="str">
        <f t="shared" si="60"/>
        <v>No</v>
      </c>
      <c r="G831" t="str">
        <f t="shared" si="61"/>
        <v/>
      </c>
      <c r="H831" t="str">
        <f t="shared" si="62"/>
        <v>—</v>
      </c>
      <c r="I831" t="str">
        <f t="shared" si="63"/>
        <v>Below thresholds</v>
      </c>
      <c r="J831" t="str">
        <f t="shared" si="64"/>
        <v/>
      </c>
    </row>
    <row r="832" spans="1:10" x14ac:dyDescent="0.2">
      <c r="A832">
        <v>226940665770</v>
      </c>
      <c r="B832" t="s">
        <v>2388</v>
      </c>
      <c r="C832" t="s">
        <v>2389</v>
      </c>
      <c r="D832">
        <v>1.99</v>
      </c>
      <c r="F832" t="str">
        <f t="shared" si="60"/>
        <v>No</v>
      </c>
      <c r="G832" t="str">
        <f t="shared" si="61"/>
        <v/>
      </c>
      <c r="H832" t="str">
        <f t="shared" si="62"/>
        <v>—</v>
      </c>
      <c r="I832" t="str">
        <f t="shared" si="63"/>
        <v>Below thresholds</v>
      </c>
      <c r="J832" t="str">
        <f t="shared" si="64"/>
        <v/>
      </c>
    </row>
    <row r="833" spans="1:10" x14ac:dyDescent="0.2">
      <c r="A833">
        <v>226940665772</v>
      </c>
      <c r="B833" t="s">
        <v>2390</v>
      </c>
      <c r="C833" t="s">
        <v>2391</v>
      </c>
      <c r="D833">
        <v>2.09</v>
      </c>
      <c r="F833" t="str">
        <f t="shared" si="60"/>
        <v>No</v>
      </c>
      <c r="G833" t="str">
        <f t="shared" si="61"/>
        <v/>
      </c>
      <c r="H833" t="str">
        <f t="shared" si="62"/>
        <v>—</v>
      </c>
      <c r="I833" t="str">
        <f t="shared" si="63"/>
        <v>Below thresholds</v>
      </c>
      <c r="J833" t="str">
        <f t="shared" si="64"/>
        <v/>
      </c>
    </row>
    <row r="834" spans="1:10" x14ac:dyDescent="0.2">
      <c r="A834">
        <v>226940665773</v>
      </c>
      <c r="B834" t="s">
        <v>2392</v>
      </c>
      <c r="C834" t="s">
        <v>2393</v>
      </c>
      <c r="D834">
        <v>1.99</v>
      </c>
      <c r="F834" t="str">
        <f t="shared" si="60"/>
        <v>No</v>
      </c>
      <c r="G834" t="str">
        <f t="shared" si="61"/>
        <v/>
      </c>
      <c r="H834" t="str">
        <f t="shared" si="62"/>
        <v>—</v>
      </c>
      <c r="I834" t="str">
        <f t="shared" si="63"/>
        <v>Below thresholds</v>
      </c>
      <c r="J834" t="str">
        <f t="shared" si="64"/>
        <v/>
      </c>
    </row>
    <row r="835" spans="1:10" x14ac:dyDescent="0.2">
      <c r="A835">
        <v>226940665774</v>
      </c>
      <c r="B835" t="s">
        <v>2394</v>
      </c>
      <c r="C835" t="s">
        <v>2395</v>
      </c>
      <c r="D835">
        <v>1.99</v>
      </c>
      <c r="F835" t="str">
        <f t="shared" si="60"/>
        <v>No</v>
      </c>
      <c r="G835" t="str">
        <f t="shared" si="61"/>
        <v/>
      </c>
      <c r="H835" t="str">
        <f t="shared" si="62"/>
        <v>—</v>
      </c>
      <c r="I835" t="str">
        <f t="shared" si="63"/>
        <v>Below thresholds</v>
      </c>
      <c r="J835" t="str">
        <f t="shared" si="64"/>
        <v/>
      </c>
    </row>
    <row r="836" spans="1:10" x14ac:dyDescent="0.2">
      <c r="A836">
        <v>226940672588</v>
      </c>
      <c r="B836" t="s">
        <v>2388</v>
      </c>
      <c r="C836" t="s">
        <v>2396</v>
      </c>
      <c r="D836">
        <v>1.99</v>
      </c>
      <c r="F836" t="str">
        <f t="shared" si="60"/>
        <v>No</v>
      </c>
      <c r="G836" t="str">
        <f t="shared" si="61"/>
        <v/>
      </c>
      <c r="H836" t="str">
        <f t="shared" si="62"/>
        <v>—</v>
      </c>
      <c r="I836" t="str">
        <f t="shared" si="63"/>
        <v>Below thresholds</v>
      </c>
      <c r="J836" t="str">
        <f t="shared" si="64"/>
        <v/>
      </c>
    </row>
    <row r="837" spans="1:10" x14ac:dyDescent="0.2">
      <c r="A837">
        <v>226944351057</v>
      </c>
      <c r="B837" t="s">
        <v>2397</v>
      </c>
      <c r="C837" t="s">
        <v>2398</v>
      </c>
      <c r="D837">
        <v>1.79</v>
      </c>
      <c r="F837" t="str">
        <f t="shared" ref="F837:F900" si="65">IF($B837="","",IF(ISNUMBER(SEARCH("PSA",$B837)),"Yes","No"))</f>
        <v>No</v>
      </c>
      <c r="G837" t="str">
        <f t="shared" ref="G837:G900" si="66">IF($B837="","",IF(ISNUMBER(SEARCH("PSA 10",$B837)),10,IF(ISNUMBER(SEARCH("PSA 9.5",$B837)),9.5,IF(ISNUMBER(SEARCH("PSA 9",$B837)),9,IF(ISNUMBER(SEARCH("PSA 8",$B837)),8,IF(ISNUMBER(SEARCH("PSA",$B837)),"&lt;9",""))))))</f>
        <v/>
      </c>
      <c r="H837" t="str">
        <f t="shared" ref="H837:H900" si="67">IF($B837="","",IF($D837&gt;=100,"TIER 2",IF(OR(ISNUMBER(SEARCH("PSA 10",$B837)),ISNUMBER(SEARCH("PSA 9.5",$B837)),ISNUMBER(SEARCH("PSA 9",$B837))),"TIER 3",IF(AND($D837&gt;20,N($E837)&gt;=15),"TIER 1","—"))))</f>
        <v>—</v>
      </c>
      <c r="I837" t="str">
        <f t="shared" ref="I837:I900" si="68">IF($B837="","",IF($D837&gt;=100,"Premium $100+ (auto)",IF(OR(ISNUMBER(SEARCH("PSA 10",$B837)),ISNUMBER(SEARCH("PSA 9.5",$B837)),ISNUMBER(SEARCH("PSA 9",$B837))),"Graded PSA 9+ (auto)",IF(AND($D837&gt;20,N($E837)&gt;=15),"Hot: $20+ &amp; "&amp;$E837&amp;"/day",IF($D837&gt;20,"$20+ — needs velocity check","Below thresholds")))))</f>
        <v>Below thresholds</v>
      </c>
      <c r="J837" t="str">
        <f t="shared" ref="J837:J900" si="69">IF($B837="","",IF(AND($D837&gt;20,$D837&lt;100,NOT(OR(ISNUMBER(SEARCH("PSA 10",$B837)),ISNUMBER(SEARCH("PSA 9.5",$B837)),ISNUMBER(SEARCH("PSA 9",$B837)))),$E837=""),"YES — pull CardHedger",""))</f>
        <v/>
      </c>
    </row>
    <row r="838" spans="1:10" x14ac:dyDescent="0.2">
      <c r="A838">
        <v>226946199420</v>
      </c>
      <c r="B838" t="s">
        <v>2399</v>
      </c>
      <c r="C838" t="s">
        <v>2400</v>
      </c>
      <c r="D838">
        <v>1.29</v>
      </c>
      <c r="F838" t="str">
        <f t="shared" si="65"/>
        <v>No</v>
      </c>
      <c r="G838" t="str">
        <f t="shared" si="66"/>
        <v/>
      </c>
      <c r="H838" t="str">
        <f t="shared" si="67"/>
        <v>—</v>
      </c>
      <c r="I838" t="str">
        <f t="shared" si="68"/>
        <v>Below thresholds</v>
      </c>
      <c r="J838" t="str">
        <f t="shared" si="69"/>
        <v/>
      </c>
    </row>
    <row r="839" spans="1:10" x14ac:dyDescent="0.2">
      <c r="A839">
        <v>226946199422</v>
      </c>
      <c r="B839" t="s">
        <v>2401</v>
      </c>
      <c r="C839" t="s">
        <v>2402</v>
      </c>
      <c r="D839">
        <v>0.99</v>
      </c>
      <c r="F839" t="str">
        <f t="shared" si="65"/>
        <v>No</v>
      </c>
      <c r="G839" t="str">
        <f t="shared" si="66"/>
        <v/>
      </c>
      <c r="H839" t="str">
        <f t="shared" si="67"/>
        <v>—</v>
      </c>
      <c r="I839" t="str">
        <f t="shared" si="68"/>
        <v>Below thresholds</v>
      </c>
      <c r="J839" t="str">
        <f t="shared" si="69"/>
        <v/>
      </c>
    </row>
    <row r="840" spans="1:10" x14ac:dyDescent="0.2">
      <c r="A840">
        <v>226946199423</v>
      </c>
      <c r="B840" t="s">
        <v>2403</v>
      </c>
      <c r="C840" t="s">
        <v>2404</v>
      </c>
      <c r="D840">
        <v>0.99</v>
      </c>
      <c r="F840" t="str">
        <f t="shared" si="65"/>
        <v>No</v>
      </c>
      <c r="G840" t="str">
        <f t="shared" si="66"/>
        <v/>
      </c>
      <c r="H840" t="str">
        <f t="shared" si="67"/>
        <v>—</v>
      </c>
      <c r="I840" t="str">
        <f t="shared" si="68"/>
        <v>Below thresholds</v>
      </c>
      <c r="J840" t="str">
        <f t="shared" si="69"/>
        <v/>
      </c>
    </row>
    <row r="841" spans="1:10" x14ac:dyDescent="0.2">
      <c r="A841">
        <v>226946199424</v>
      </c>
      <c r="B841" t="s">
        <v>2405</v>
      </c>
      <c r="C841" t="s">
        <v>2406</v>
      </c>
      <c r="D841">
        <v>0.99</v>
      </c>
      <c r="F841" t="str">
        <f t="shared" si="65"/>
        <v>No</v>
      </c>
      <c r="G841" t="str">
        <f t="shared" si="66"/>
        <v/>
      </c>
      <c r="H841" t="str">
        <f t="shared" si="67"/>
        <v>—</v>
      </c>
      <c r="I841" t="str">
        <f t="shared" si="68"/>
        <v>Below thresholds</v>
      </c>
      <c r="J841" t="str">
        <f t="shared" si="69"/>
        <v/>
      </c>
    </row>
    <row r="842" spans="1:10" x14ac:dyDescent="0.2">
      <c r="A842">
        <v>226946199425</v>
      </c>
      <c r="B842" t="s">
        <v>2407</v>
      </c>
      <c r="C842" t="s">
        <v>2408</v>
      </c>
      <c r="D842">
        <v>0.99</v>
      </c>
      <c r="F842" t="str">
        <f t="shared" si="65"/>
        <v>No</v>
      </c>
      <c r="G842" t="str">
        <f t="shared" si="66"/>
        <v/>
      </c>
      <c r="H842" t="str">
        <f t="shared" si="67"/>
        <v>—</v>
      </c>
      <c r="I842" t="str">
        <f t="shared" si="68"/>
        <v>Below thresholds</v>
      </c>
      <c r="J842" t="str">
        <f t="shared" si="69"/>
        <v/>
      </c>
    </row>
    <row r="843" spans="1:10" x14ac:dyDescent="0.2">
      <c r="A843">
        <v>226946199427</v>
      </c>
      <c r="B843" t="s">
        <v>2409</v>
      </c>
      <c r="C843" t="s">
        <v>2410</v>
      </c>
      <c r="D843">
        <v>0.99</v>
      </c>
      <c r="F843" t="str">
        <f t="shared" si="65"/>
        <v>No</v>
      </c>
      <c r="G843" t="str">
        <f t="shared" si="66"/>
        <v/>
      </c>
      <c r="H843" t="str">
        <f t="shared" si="67"/>
        <v>—</v>
      </c>
      <c r="I843" t="str">
        <f t="shared" si="68"/>
        <v>Below thresholds</v>
      </c>
      <c r="J843" t="str">
        <f t="shared" si="69"/>
        <v/>
      </c>
    </row>
    <row r="844" spans="1:10" x14ac:dyDescent="0.2">
      <c r="A844">
        <v>226946199428</v>
      </c>
      <c r="B844" t="s">
        <v>2411</v>
      </c>
      <c r="C844" t="s">
        <v>2412</v>
      </c>
      <c r="D844">
        <v>0.99</v>
      </c>
      <c r="F844" t="str">
        <f t="shared" si="65"/>
        <v>No</v>
      </c>
      <c r="G844" t="str">
        <f t="shared" si="66"/>
        <v/>
      </c>
      <c r="H844" t="str">
        <f t="shared" si="67"/>
        <v>—</v>
      </c>
      <c r="I844" t="str">
        <f t="shared" si="68"/>
        <v>Below thresholds</v>
      </c>
      <c r="J844" t="str">
        <f t="shared" si="69"/>
        <v/>
      </c>
    </row>
    <row r="845" spans="1:10" x14ac:dyDescent="0.2">
      <c r="A845">
        <v>226946199429</v>
      </c>
      <c r="B845" t="s">
        <v>2413</v>
      </c>
      <c r="C845" t="s">
        <v>2414</v>
      </c>
      <c r="D845">
        <v>0.99</v>
      </c>
      <c r="F845" t="str">
        <f t="shared" si="65"/>
        <v>No</v>
      </c>
      <c r="G845" t="str">
        <f t="shared" si="66"/>
        <v/>
      </c>
      <c r="H845" t="str">
        <f t="shared" si="67"/>
        <v>—</v>
      </c>
      <c r="I845" t="str">
        <f t="shared" si="68"/>
        <v>Below thresholds</v>
      </c>
      <c r="J845" t="str">
        <f t="shared" si="69"/>
        <v/>
      </c>
    </row>
    <row r="846" spans="1:10" x14ac:dyDescent="0.2">
      <c r="A846">
        <v>226946199430</v>
      </c>
      <c r="B846" t="s">
        <v>2415</v>
      </c>
      <c r="C846" t="s">
        <v>2416</v>
      </c>
      <c r="D846">
        <v>0.99</v>
      </c>
      <c r="F846" t="str">
        <f t="shared" si="65"/>
        <v>No</v>
      </c>
      <c r="G846" t="str">
        <f t="shared" si="66"/>
        <v/>
      </c>
      <c r="H846" t="str">
        <f t="shared" si="67"/>
        <v>—</v>
      </c>
      <c r="I846" t="str">
        <f t="shared" si="68"/>
        <v>Below thresholds</v>
      </c>
      <c r="J846" t="str">
        <f t="shared" si="69"/>
        <v/>
      </c>
    </row>
    <row r="847" spans="1:10" x14ac:dyDescent="0.2">
      <c r="A847">
        <v>226946199431</v>
      </c>
      <c r="B847" t="s">
        <v>2417</v>
      </c>
      <c r="C847" t="s">
        <v>2418</v>
      </c>
      <c r="D847">
        <v>0.99</v>
      </c>
      <c r="F847" t="str">
        <f t="shared" si="65"/>
        <v>No</v>
      </c>
      <c r="G847" t="str">
        <f t="shared" si="66"/>
        <v/>
      </c>
      <c r="H847" t="str">
        <f t="shared" si="67"/>
        <v>—</v>
      </c>
      <c r="I847" t="str">
        <f t="shared" si="68"/>
        <v>Below thresholds</v>
      </c>
      <c r="J847" t="str">
        <f t="shared" si="69"/>
        <v/>
      </c>
    </row>
    <row r="848" spans="1:10" x14ac:dyDescent="0.2">
      <c r="A848">
        <v>226946199432</v>
      </c>
      <c r="B848" t="s">
        <v>2419</v>
      </c>
      <c r="C848" t="s">
        <v>2420</v>
      </c>
      <c r="D848">
        <v>0.99</v>
      </c>
      <c r="F848" t="str">
        <f t="shared" si="65"/>
        <v>No</v>
      </c>
      <c r="G848" t="str">
        <f t="shared" si="66"/>
        <v/>
      </c>
      <c r="H848" t="str">
        <f t="shared" si="67"/>
        <v>—</v>
      </c>
      <c r="I848" t="str">
        <f t="shared" si="68"/>
        <v>Below thresholds</v>
      </c>
      <c r="J848" t="str">
        <f t="shared" si="69"/>
        <v/>
      </c>
    </row>
    <row r="849" spans="1:10" x14ac:dyDescent="0.2">
      <c r="A849">
        <v>226946199433</v>
      </c>
      <c r="B849" t="s">
        <v>2421</v>
      </c>
      <c r="C849" t="s">
        <v>2422</v>
      </c>
      <c r="D849">
        <v>0.99</v>
      </c>
      <c r="F849" t="str">
        <f t="shared" si="65"/>
        <v>No</v>
      </c>
      <c r="G849" t="str">
        <f t="shared" si="66"/>
        <v/>
      </c>
      <c r="H849" t="str">
        <f t="shared" si="67"/>
        <v>—</v>
      </c>
      <c r="I849" t="str">
        <f t="shared" si="68"/>
        <v>Below thresholds</v>
      </c>
      <c r="J849" t="str">
        <f t="shared" si="69"/>
        <v/>
      </c>
    </row>
    <row r="850" spans="1:10" x14ac:dyDescent="0.2">
      <c r="A850">
        <v>226946199435</v>
      </c>
      <c r="B850" t="s">
        <v>2423</v>
      </c>
      <c r="C850" t="s">
        <v>2424</v>
      </c>
      <c r="D850">
        <v>0.99</v>
      </c>
      <c r="F850" t="str">
        <f t="shared" si="65"/>
        <v>No</v>
      </c>
      <c r="G850" t="str">
        <f t="shared" si="66"/>
        <v/>
      </c>
      <c r="H850" t="str">
        <f t="shared" si="67"/>
        <v>—</v>
      </c>
      <c r="I850" t="str">
        <f t="shared" si="68"/>
        <v>Below thresholds</v>
      </c>
      <c r="J850" t="str">
        <f t="shared" si="69"/>
        <v/>
      </c>
    </row>
    <row r="851" spans="1:10" x14ac:dyDescent="0.2">
      <c r="A851">
        <v>226946199436</v>
      </c>
      <c r="B851" t="s">
        <v>2425</v>
      </c>
      <c r="C851" t="s">
        <v>2426</v>
      </c>
      <c r="D851">
        <v>1.29</v>
      </c>
      <c r="F851" t="str">
        <f t="shared" si="65"/>
        <v>No</v>
      </c>
      <c r="G851" t="str">
        <f t="shared" si="66"/>
        <v/>
      </c>
      <c r="H851" t="str">
        <f t="shared" si="67"/>
        <v>—</v>
      </c>
      <c r="I851" t="str">
        <f t="shared" si="68"/>
        <v>Below thresholds</v>
      </c>
      <c r="J851" t="str">
        <f t="shared" si="69"/>
        <v/>
      </c>
    </row>
    <row r="852" spans="1:10" x14ac:dyDescent="0.2">
      <c r="A852">
        <v>226946199438</v>
      </c>
      <c r="B852" t="s">
        <v>2427</v>
      </c>
      <c r="C852" t="s">
        <v>2428</v>
      </c>
      <c r="D852">
        <v>0.99</v>
      </c>
      <c r="F852" t="str">
        <f t="shared" si="65"/>
        <v>No</v>
      </c>
      <c r="G852" t="str">
        <f t="shared" si="66"/>
        <v/>
      </c>
      <c r="H852" t="str">
        <f t="shared" si="67"/>
        <v>—</v>
      </c>
      <c r="I852" t="str">
        <f t="shared" si="68"/>
        <v>Below thresholds</v>
      </c>
      <c r="J852" t="str">
        <f t="shared" si="69"/>
        <v/>
      </c>
    </row>
    <row r="853" spans="1:10" x14ac:dyDescent="0.2">
      <c r="A853">
        <v>226946199439</v>
      </c>
      <c r="B853" t="s">
        <v>2429</v>
      </c>
      <c r="C853" t="s">
        <v>2430</v>
      </c>
      <c r="D853">
        <v>1.39</v>
      </c>
      <c r="F853" t="str">
        <f t="shared" si="65"/>
        <v>No</v>
      </c>
      <c r="G853" t="str">
        <f t="shared" si="66"/>
        <v/>
      </c>
      <c r="H853" t="str">
        <f t="shared" si="67"/>
        <v>—</v>
      </c>
      <c r="I853" t="str">
        <f t="shared" si="68"/>
        <v>Below thresholds</v>
      </c>
      <c r="J853" t="str">
        <f t="shared" si="69"/>
        <v/>
      </c>
    </row>
    <row r="854" spans="1:10" x14ac:dyDescent="0.2">
      <c r="A854">
        <v>226946199440</v>
      </c>
      <c r="B854" t="s">
        <v>2431</v>
      </c>
      <c r="C854" t="s">
        <v>2432</v>
      </c>
      <c r="D854">
        <v>0.99</v>
      </c>
      <c r="F854" t="str">
        <f t="shared" si="65"/>
        <v>No</v>
      </c>
      <c r="G854" t="str">
        <f t="shared" si="66"/>
        <v/>
      </c>
      <c r="H854" t="str">
        <f t="shared" si="67"/>
        <v>—</v>
      </c>
      <c r="I854" t="str">
        <f t="shared" si="68"/>
        <v>Below thresholds</v>
      </c>
      <c r="J854" t="str">
        <f t="shared" si="69"/>
        <v/>
      </c>
    </row>
    <row r="855" spans="1:10" x14ac:dyDescent="0.2">
      <c r="A855">
        <v>226946199441</v>
      </c>
      <c r="B855" t="s">
        <v>2433</v>
      </c>
      <c r="C855" t="s">
        <v>2434</v>
      </c>
      <c r="D855">
        <v>0.99</v>
      </c>
      <c r="F855" t="str">
        <f t="shared" si="65"/>
        <v>No</v>
      </c>
      <c r="G855" t="str">
        <f t="shared" si="66"/>
        <v/>
      </c>
      <c r="H855" t="str">
        <f t="shared" si="67"/>
        <v>—</v>
      </c>
      <c r="I855" t="str">
        <f t="shared" si="68"/>
        <v>Below thresholds</v>
      </c>
      <c r="J855" t="str">
        <f t="shared" si="69"/>
        <v/>
      </c>
    </row>
    <row r="856" spans="1:10" x14ac:dyDescent="0.2">
      <c r="A856">
        <v>226946199442</v>
      </c>
      <c r="B856" t="s">
        <v>2435</v>
      </c>
      <c r="C856" t="s">
        <v>2436</v>
      </c>
      <c r="D856">
        <v>3.49</v>
      </c>
      <c r="F856" t="str">
        <f t="shared" si="65"/>
        <v>No</v>
      </c>
      <c r="G856" t="str">
        <f t="shared" si="66"/>
        <v/>
      </c>
      <c r="H856" t="str">
        <f t="shared" si="67"/>
        <v>—</v>
      </c>
      <c r="I856" t="str">
        <f t="shared" si="68"/>
        <v>Below thresholds</v>
      </c>
      <c r="J856" t="str">
        <f t="shared" si="69"/>
        <v/>
      </c>
    </row>
    <row r="857" spans="1:10" x14ac:dyDescent="0.2">
      <c r="A857">
        <v>226946199443</v>
      </c>
      <c r="B857" t="s">
        <v>2437</v>
      </c>
      <c r="C857" t="s">
        <v>2438</v>
      </c>
      <c r="D857">
        <v>0.99</v>
      </c>
      <c r="F857" t="str">
        <f t="shared" si="65"/>
        <v>No</v>
      </c>
      <c r="G857" t="str">
        <f t="shared" si="66"/>
        <v/>
      </c>
      <c r="H857" t="str">
        <f t="shared" si="67"/>
        <v>—</v>
      </c>
      <c r="I857" t="str">
        <f t="shared" si="68"/>
        <v>Below thresholds</v>
      </c>
      <c r="J857" t="str">
        <f t="shared" si="69"/>
        <v/>
      </c>
    </row>
    <row r="858" spans="1:10" x14ac:dyDescent="0.2">
      <c r="A858">
        <v>226946199444</v>
      </c>
      <c r="B858" t="s">
        <v>2439</v>
      </c>
      <c r="C858" t="s">
        <v>2440</v>
      </c>
      <c r="D858">
        <v>0.99</v>
      </c>
      <c r="F858" t="str">
        <f t="shared" si="65"/>
        <v>No</v>
      </c>
      <c r="G858" t="str">
        <f t="shared" si="66"/>
        <v/>
      </c>
      <c r="H858" t="str">
        <f t="shared" si="67"/>
        <v>—</v>
      </c>
      <c r="I858" t="str">
        <f t="shared" si="68"/>
        <v>Below thresholds</v>
      </c>
      <c r="J858" t="str">
        <f t="shared" si="69"/>
        <v/>
      </c>
    </row>
    <row r="859" spans="1:10" x14ac:dyDescent="0.2">
      <c r="A859">
        <v>226946199446</v>
      </c>
      <c r="B859" t="s">
        <v>2441</v>
      </c>
      <c r="C859" t="s">
        <v>2442</v>
      </c>
      <c r="D859">
        <v>1.99</v>
      </c>
      <c r="F859" t="str">
        <f t="shared" si="65"/>
        <v>No</v>
      </c>
      <c r="G859" t="str">
        <f t="shared" si="66"/>
        <v/>
      </c>
      <c r="H859" t="str">
        <f t="shared" si="67"/>
        <v>—</v>
      </c>
      <c r="I859" t="str">
        <f t="shared" si="68"/>
        <v>Below thresholds</v>
      </c>
      <c r="J859" t="str">
        <f t="shared" si="69"/>
        <v/>
      </c>
    </row>
    <row r="860" spans="1:10" x14ac:dyDescent="0.2">
      <c r="A860">
        <v>226946199447</v>
      </c>
      <c r="B860" t="s">
        <v>2443</v>
      </c>
      <c r="C860" t="s">
        <v>2444</v>
      </c>
      <c r="D860">
        <v>1.29</v>
      </c>
      <c r="F860" t="str">
        <f t="shared" si="65"/>
        <v>No</v>
      </c>
      <c r="G860" t="str">
        <f t="shared" si="66"/>
        <v/>
      </c>
      <c r="H860" t="str">
        <f t="shared" si="67"/>
        <v>—</v>
      </c>
      <c r="I860" t="str">
        <f t="shared" si="68"/>
        <v>Below thresholds</v>
      </c>
      <c r="J860" t="str">
        <f t="shared" si="69"/>
        <v/>
      </c>
    </row>
    <row r="861" spans="1:10" x14ac:dyDescent="0.2">
      <c r="A861">
        <v>226946199449</v>
      </c>
      <c r="B861" t="s">
        <v>2445</v>
      </c>
      <c r="C861" t="s">
        <v>2446</v>
      </c>
      <c r="D861">
        <v>0.99</v>
      </c>
      <c r="F861" t="str">
        <f t="shared" si="65"/>
        <v>No</v>
      </c>
      <c r="G861" t="str">
        <f t="shared" si="66"/>
        <v/>
      </c>
      <c r="H861" t="str">
        <f t="shared" si="67"/>
        <v>—</v>
      </c>
      <c r="I861" t="str">
        <f t="shared" si="68"/>
        <v>Below thresholds</v>
      </c>
      <c r="J861" t="str">
        <f t="shared" si="69"/>
        <v/>
      </c>
    </row>
    <row r="862" spans="1:10" x14ac:dyDescent="0.2">
      <c r="A862">
        <v>226946199450</v>
      </c>
      <c r="B862" t="s">
        <v>2447</v>
      </c>
      <c r="C862" t="s">
        <v>2448</v>
      </c>
      <c r="D862">
        <v>1.39</v>
      </c>
      <c r="F862" t="str">
        <f t="shared" si="65"/>
        <v>No</v>
      </c>
      <c r="G862" t="str">
        <f t="shared" si="66"/>
        <v/>
      </c>
      <c r="H862" t="str">
        <f t="shared" si="67"/>
        <v>—</v>
      </c>
      <c r="I862" t="str">
        <f t="shared" si="68"/>
        <v>Below thresholds</v>
      </c>
      <c r="J862" t="str">
        <f t="shared" si="69"/>
        <v/>
      </c>
    </row>
    <row r="863" spans="1:10" x14ac:dyDescent="0.2">
      <c r="A863">
        <v>226946199452</v>
      </c>
      <c r="B863" t="s">
        <v>2449</v>
      </c>
      <c r="C863" t="s">
        <v>2450</v>
      </c>
      <c r="D863">
        <v>0.99</v>
      </c>
      <c r="F863" t="str">
        <f t="shared" si="65"/>
        <v>No</v>
      </c>
      <c r="G863" t="str">
        <f t="shared" si="66"/>
        <v/>
      </c>
      <c r="H863" t="str">
        <f t="shared" si="67"/>
        <v>—</v>
      </c>
      <c r="I863" t="str">
        <f t="shared" si="68"/>
        <v>Below thresholds</v>
      </c>
      <c r="J863" t="str">
        <f t="shared" si="69"/>
        <v/>
      </c>
    </row>
    <row r="864" spans="1:10" x14ac:dyDescent="0.2">
      <c r="A864">
        <v>226946199453</v>
      </c>
      <c r="B864" t="s">
        <v>2451</v>
      </c>
      <c r="C864" t="s">
        <v>2452</v>
      </c>
      <c r="D864">
        <v>0.99</v>
      </c>
      <c r="F864" t="str">
        <f t="shared" si="65"/>
        <v>No</v>
      </c>
      <c r="G864" t="str">
        <f t="shared" si="66"/>
        <v/>
      </c>
      <c r="H864" t="str">
        <f t="shared" si="67"/>
        <v>—</v>
      </c>
      <c r="I864" t="str">
        <f t="shared" si="68"/>
        <v>Below thresholds</v>
      </c>
      <c r="J864" t="str">
        <f t="shared" si="69"/>
        <v/>
      </c>
    </row>
    <row r="865" spans="1:10" x14ac:dyDescent="0.2">
      <c r="A865">
        <v>226946199454</v>
      </c>
      <c r="B865" t="s">
        <v>2453</v>
      </c>
      <c r="C865" t="s">
        <v>2454</v>
      </c>
      <c r="D865">
        <v>0.99</v>
      </c>
      <c r="F865" t="str">
        <f t="shared" si="65"/>
        <v>No</v>
      </c>
      <c r="G865" t="str">
        <f t="shared" si="66"/>
        <v/>
      </c>
      <c r="H865" t="str">
        <f t="shared" si="67"/>
        <v>—</v>
      </c>
      <c r="I865" t="str">
        <f t="shared" si="68"/>
        <v>Below thresholds</v>
      </c>
      <c r="J865" t="str">
        <f t="shared" si="69"/>
        <v/>
      </c>
    </row>
    <row r="866" spans="1:10" x14ac:dyDescent="0.2">
      <c r="A866">
        <v>226946199455</v>
      </c>
      <c r="B866" t="s">
        <v>2455</v>
      </c>
      <c r="C866" t="s">
        <v>2456</v>
      </c>
      <c r="D866">
        <v>0.99</v>
      </c>
      <c r="F866" t="str">
        <f t="shared" si="65"/>
        <v>No</v>
      </c>
      <c r="G866" t="str">
        <f t="shared" si="66"/>
        <v/>
      </c>
      <c r="H866" t="str">
        <f t="shared" si="67"/>
        <v>—</v>
      </c>
      <c r="I866" t="str">
        <f t="shared" si="68"/>
        <v>Below thresholds</v>
      </c>
      <c r="J866" t="str">
        <f t="shared" si="69"/>
        <v/>
      </c>
    </row>
    <row r="867" spans="1:10" x14ac:dyDescent="0.2">
      <c r="A867">
        <v>226946199456</v>
      </c>
      <c r="B867" t="s">
        <v>2457</v>
      </c>
      <c r="C867" t="s">
        <v>2458</v>
      </c>
      <c r="D867">
        <v>1.35</v>
      </c>
      <c r="F867" t="str">
        <f t="shared" si="65"/>
        <v>No</v>
      </c>
      <c r="G867" t="str">
        <f t="shared" si="66"/>
        <v/>
      </c>
      <c r="H867" t="str">
        <f t="shared" si="67"/>
        <v>—</v>
      </c>
      <c r="I867" t="str">
        <f t="shared" si="68"/>
        <v>Below thresholds</v>
      </c>
      <c r="J867" t="str">
        <f t="shared" si="69"/>
        <v/>
      </c>
    </row>
    <row r="868" spans="1:10" x14ac:dyDescent="0.2">
      <c r="A868">
        <v>226948041839</v>
      </c>
      <c r="B868" t="s">
        <v>327</v>
      </c>
      <c r="C868" t="s">
        <v>2459</v>
      </c>
      <c r="D868">
        <v>38</v>
      </c>
      <c r="F868" t="str">
        <f t="shared" si="65"/>
        <v>No</v>
      </c>
      <c r="G868" t="str">
        <f t="shared" si="66"/>
        <v/>
      </c>
      <c r="H868" t="str">
        <f t="shared" si="67"/>
        <v>—</v>
      </c>
      <c r="I868" t="str">
        <f t="shared" si="68"/>
        <v>$20+ — needs velocity check</v>
      </c>
      <c r="J868" t="str">
        <f t="shared" si="69"/>
        <v>YES — pull CardHedger</v>
      </c>
    </row>
    <row r="869" spans="1:10" x14ac:dyDescent="0.2">
      <c r="A869">
        <v>226948322497</v>
      </c>
      <c r="B869" t="s">
        <v>2460</v>
      </c>
      <c r="C869" t="s">
        <v>2461</v>
      </c>
      <c r="D869">
        <v>1.99</v>
      </c>
      <c r="F869" t="str">
        <f t="shared" si="65"/>
        <v>No</v>
      </c>
      <c r="G869" t="str">
        <f t="shared" si="66"/>
        <v/>
      </c>
      <c r="H869" t="str">
        <f t="shared" si="67"/>
        <v>—</v>
      </c>
      <c r="I869" t="str">
        <f t="shared" si="68"/>
        <v>Below thresholds</v>
      </c>
      <c r="J869" t="str">
        <f t="shared" si="69"/>
        <v/>
      </c>
    </row>
    <row r="870" spans="1:10" x14ac:dyDescent="0.2">
      <c r="A870">
        <v>226948322514</v>
      </c>
      <c r="B870" t="s">
        <v>2462</v>
      </c>
      <c r="C870" t="s">
        <v>2463</v>
      </c>
      <c r="D870">
        <v>1.99</v>
      </c>
      <c r="F870" t="str">
        <f t="shared" si="65"/>
        <v>No</v>
      </c>
      <c r="G870" t="str">
        <f t="shared" si="66"/>
        <v/>
      </c>
      <c r="H870" t="str">
        <f t="shared" si="67"/>
        <v>—</v>
      </c>
      <c r="I870" t="str">
        <f t="shared" si="68"/>
        <v>Below thresholds</v>
      </c>
      <c r="J870" t="str">
        <f t="shared" si="69"/>
        <v/>
      </c>
    </row>
    <row r="871" spans="1:10" x14ac:dyDescent="0.2">
      <c r="A871">
        <v>226948322584</v>
      </c>
      <c r="B871" t="s">
        <v>2464</v>
      </c>
      <c r="C871" t="s">
        <v>2465</v>
      </c>
      <c r="D871">
        <v>1.99</v>
      </c>
      <c r="F871" t="str">
        <f t="shared" si="65"/>
        <v>No</v>
      </c>
      <c r="G871" t="str">
        <f t="shared" si="66"/>
        <v/>
      </c>
      <c r="H871" t="str">
        <f t="shared" si="67"/>
        <v>—</v>
      </c>
      <c r="I871" t="str">
        <f t="shared" si="68"/>
        <v>Below thresholds</v>
      </c>
      <c r="J871" t="str">
        <f t="shared" si="69"/>
        <v/>
      </c>
    </row>
    <row r="872" spans="1:10" x14ac:dyDescent="0.2">
      <c r="A872">
        <v>226948322597</v>
      </c>
      <c r="B872" t="s">
        <v>2466</v>
      </c>
      <c r="C872" t="s">
        <v>2467</v>
      </c>
      <c r="D872">
        <v>1.99</v>
      </c>
      <c r="F872" t="str">
        <f t="shared" si="65"/>
        <v>No</v>
      </c>
      <c r="G872" t="str">
        <f t="shared" si="66"/>
        <v/>
      </c>
      <c r="H872" t="str">
        <f t="shared" si="67"/>
        <v>—</v>
      </c>
      <c r="I872" t="str">
        <f t="shared" si="68"/>
        <v>Below thresholds</v>
      </c>
      <c r="J872" t="str">
        <f t="shared" si="69"/>
        <v/>
      </c>
    </row>
    <row r="873" spans="1:10" x14ac:dyDescent="0.2">
      <c r="A873">
        <v>226948322646</v>
      </c>
      <c r="B873" t="s">
        <v>2468</v>
      </c>
      <c r="C873" t="s">
        <v>2469</v>
      </c>
      <c r="D873">
        <v>1.99</v>
      </c>
      <c r="F873" t="str">
        <f t="shared" si="65"/>
        <v>No</v>
      </c>
      <c r="G873" t="str">
        <f t="shared" si="66"/>
        <v/>
      </c>
      <c r="H873" t="str">
        <f t="shared" si="67"/>
        <v>—</v>
      </c>
      <c r="I873" t="str">
        <f t="shared" si="68"/>
        <v>Below thresholds</v>
      </c>
      <c r="J873" t="str">
        <f t="shared" si="69"/>
        <v/>
      </c>
    </row>
    <row r="874" spans="1:10" x14ac:dyDescent="0.2">
      <c r="A874">
        <v>226948322667</v>
      </c>
      <c r="B874" t="s">
        <v>2470</v>
      </c>
      <c r="C874" t="s">
        <v>2471</v>
      </c>
      <c r="D874">
        <v>1.99</v>
      </c>
      <c r="F874" t="str">
        <f t="shared" si="65"/>
        <v>No</v>
      </c>
      <c r="G874" t="str">
        <f t="shared" si="66"/>
        <v/>
      </c>
      <c r="H874" t="str">
        <f t="shared" si="67"/>
        <v>—</v>
      </c>
      <c r="I874" t="str">
        <f t="shared" si="68"/>
        <v>Below thresholds</v>
      </c>
      <c r="J874" t="str">
        <f t="shared" si="69"/>
        <v/>
      </c>
    </row>
    <row r="875" spans="1:10" x14ac:dyDescent="0.2">
      <c r="A875">
        <v>226948322726</v>
      </c>
      <c r="B875" t="s">
        <v>2472</v>
      </c>
      <c r="C875" t="s">
        <v>2473</v>
      </c>
      <c r="D875">
        <v>1.99</v>
      </c>
      <c r="F875" t="str">
        <f t="shared" si="65"/>
        <v>No</v>
      </c>
      <c r="G875" t="str">
        <f t="shared" si="66"/>
        <v/>
      </c>
      <c r="H875" t="str">
        <f t="shared" si="67"/>
        <v>—</v>
      </c>
      <c r="I875" t="str">
        <f t="shared" si="68"/>
        <v>Below thresholds</v>
      </c>
      <c r="J875" t="str">
        <f t="shared" si="69"/>
        <v/>
      </c>
    </row>
    <row r="876" spans="1:10" x14ac:dyDescent="0.2">
      <c r="A876">
        <v>226948322801</v>
      </c>
      <c r="B876" t="s">
        <v>2474</v>
      </c>
      <c r="C876" t="s">
        <v>2475</v>
      </c>
      <c r="D876">
        <v>1.99</v>
      </c>
      <c r="F876" t="str">
        <f t="shared" si="65"/>
        <v>No</v>
      </c>
      <c r="G876" t="str">
        <f t="shared" si="66"/>
        <v/>
      </c>
      <c r="H876" t="str">
        <f t="shared" si="67"/>
        <v>—</v>
      </c>
      <c r="I876" t="str">
        <f t="shared" si="68"/>
        <v>Below thresholds</v>
      </c>
      <c r="J876" t="str">
        <f t="shared" si="69"/>
        <v/>
      </c>
    </row>
    <row r="877" spans="1:10" x14ac:dyDescent="0.2">
      <c r="A877">
        <v>226948322838</v>
      </c>
      <c r="B877" t="s">
        <v>2476</v>
      </c>
      <c r="C877" t="s">
        <v>2477</v>
      </c>
      <c r="D877">
        <v>1.99</v>
      </c>
      <c r="F877" t="str">
        <f t="shared" si="65"/>
        <v>No</v>
      </c>
      <c r="G877" t="str">
        <f t="shared" si="66"/>
        <v/>
      </c>
      <c r="H877" t="str">
        <f t="shared" si="67"/>
        <v>—</v>
      </c>
      <c r="I877" t="str">
        <f t="shared" si="68"/>
        <v>Below thresholds</v>
      </c>
      <c r="J877" t="str">
        <f t="shared" si="69"/>
        <v/>
      </c>
    </row>
    <row r="878" spans="1:10" x14ac:dyDescent="0.2">
      <c r="A878">
        <v>226948322881</v>
      </c>
      <c r="B878" t="s">
        <v>2478</v>
      </c>
      <c r="C878" t="s">
        <v>2479</v>
      </c>
      <c r="D878">
        <v>1.99</v>
      </c>
      <c r="F878" t="str">
        <f t="shared" si="65"/>
        <v>No</v>
      </c>
      <c r="G878" t="str">
        <f t="shared" si="66"/>
        <v/>
      </c>
      <c r="H878" t="str">
        <f t="shared" si="67"/>
        <v>—</v>
      </c>
      <c r="I878" t="str">
        <f t="shared" si="68"/>
        <v>Below thresholds</v>
      </c>
      <c r="J878" t="str">
        <f t="shared" si="69"/>
        <v/>
      </c>
    </row>
    <row r="879" spans="1:10" x14ac:dyDescent="0.2">
      <c r="A879">
        <v>226948322907</v>
      </c>
      <c r="B879" t="s">
        <v>2480</v>
      </c>
      <c r="C879" t="s">
        <v>2481</v>
      </c>
      <c r="D879">
        <v>1.99</v>
      </c>
      <c r="F879" t="str">
        <f t="shared" si="65"/>
        <v>No</v>
      </c>
      <c r="G879" t="str">
        <f t="shared" si="66"/>
        <v/>
      </c>
      <c r="H879" t="str">
        <f t="shared" si="67"/>
        <v>—</v>
      </c>
      <c r="I879" t="str">
        <f t="shared" si="68"/>
        <v>Below thresholds</v>
      </c>
      <c r="J879" t="str">
        <f t="shared" si="69"/>
        <v/>
      </c>
    </row>
    <row r="880" spans="1:10" x14ac:dyDescent="0.2">
      <c r="A880">
        <v>226948322959</v>
      </c>
      <c r="B880" t="s">
        <v>2482</v>
      </c>
      <c r="C880" t="s">
        <v>2483</v>
      </c>
      <c r="D880">
        <v>1.99</v>
      </c>
      <c r="F880" t="str">
        <f t="shared" si="65"/>
        <v>No</v>
      </c>
      <c r="G880" t="str">
        <f t="shared" si="66"/>
        <v/>
      </c>
      <c r="H880" t="str">
        <f t="shared" si="67"/>
        <v>—</v>
      </c>
      <c r="I880" t="str">
        <f t="shared" si="68"/>
        <v>Below thresholds</v>
      </c>
      <c r="J880" t="str">
        <f t="shared" si="69"/>
        <v/>
      </c>
    </row>
    <row r="881" spans="1:10" x14ac:dyDescent="0.2">
      <c r="A881">
        <v>226948322971</v>
      </c>
      <c r="B881" t="s">
        <v>2484</v>
      </c>
      <c r="C881" t="s">
        <v>2485</v>
      </c>
      <c r="D881">
        <v>1.99</v>
      </c>
      <c r="F881" t="str">
        <f t="shared" si="65"/>
        <v>No</v>
      </c>
      <c r="G881" t="str">
        <f t="shared" si="66"/>
        <v/>
      </c>
      <c r="H881" t="str">
        <f t="shared" si="67"/>
        <v>—</v>
      </c>
      <c r="I881" t="str">
        <f t="shared" si="68"/>
        <v>Below thresholds</v>
      </c>
      <c r="J881" t="str">
        <f t="shared" si="69"/>
        <v/>
      </c>
    </row>
    <row r="882" spans="1:10" x14ac:dyDescent="0.2">
      <c r="A882">
        <v>226948323028</v>
      </c>
      <c r="B882" t="s">
        <v>2486</v>
      </c>
      <c r="C882" t="s">
        <v>2487</v>
      </c>
      <c r="D882">
        <v>1.99</v>
      </c>
      <c r="F882" t="str">
        <f t="shared" si="65"/>
        <v>No</v>
      </c>
      <c r="G882" t="str">
        <f t="shared" si="66"/>
        <v/>
      </c>
      <c r="H882" t="str">
        <f t="shared" si="67"/>
        <v>—</v>
      </c>
      <c r="I882" t="str">
        <f t="shared" si="68"/>
        <v>Below thresholds</v>
      </c>
      <c r="J882" t="str">
        <f t="shared" si="69"/>
        <v/>
      </c>
    </row>
    <row r="883" spans="1:10" x14ac:dyDescent="0.2">
      <c r="A883">
        <v>226948323034</v>
      </c>
      <c r="B883" t="s">
        <v>2488</v>
      </c>
      <c r="C883" t="s">
        <v>2489</v>
      </c>
      <c r="D883">
        <v>1.99</v>
      </c>
      <c r="F883" t="str">
        <f t="shared" si="65"/>
        <v>No</v>
      </c>
      <c r="G883" t="str">
        <f t="shared" si="66"/>
        <v/>
      </c>
      <c r="H883" t="str">
        <f t="shared" si="67"/>
        <v>—</v>
      </c>
      <c r="I883" t="str">
        <f t="shared" si="68"/>
        <v>Below thresholds</v>
      </c>
      <c r="J883" t="str">
        <f t="shared" si="69"/>
        <v/>
      </c>
    </row>
    <row r="884" spans="1:10" x14ac:dyDescent="0.2">
      <c r="A884">
        <v>226948323075</v>
      </c>
      <c r="B884" t="s">
        <v>2490</v>
      </c>
      <c r="C884" t="s">
        <v>2491</v>
      </c>
      <c r="D884">
        <v>1.99</v>
      </c>
      <c r="F884" t="str">
        <f t="shared" si="65"/>
        <v>No</v>
      </c>
      <c r="G884" t="str">
        <f t="shared" si="66"/>
        <v/>
      </c>
      <c r="H884" t="str">
        <f t="shared" si="67"/>
        <v>—</v>
      </c>
      <c r="I884" t="str">
        <f t="shared" si="68"/>
        <v>Below thresholds</v>
      </c>
      <c r="J884" t="str">
        <f t="shared" si="69"/>
        <v/>
      </c>
    </row>
    <row r="885" spans="1:10" x14ac:dyDescent="0.2">
      <c r="A885">
        <v>226948323095</v>
      </c>
      <c r="B885" t="s">
        <v>2492</v>
      </c>
      <c r="C885" t="s">
        <v>2493</v>
      </c>
      <c r="D885">
        <v>1.99</v>
      </c>
      <c r="F885" t="str">
        <f t="shared" si="65"/>
        <v>No</v>
      </c>
      <c r="G885" t="str">
        <f t="shared" si="66"/>
        <v/>
      </c>
      <c r="H885" t="str">
        <f t="shared" si="67"/>
        <v>—</v>
      </c>
      <c r="I885" t="str">
        <f t="shared" si="68"/>
        <v>Below thresholds</v>
      </c>
      <c r="J885" t="str">
        <f t="shared" si="69"/>
        <v/>
      </c>
    </row>
    <row r="886" spans="1:10" x14ac:dyDescent="0.2">
      <c r="A886">
        <v>226948323119</v>
      </c>
      <c r="B886" t="s">
        <v>2494</v>
      </c>
      <c r="C886" t="s">
        <v>2495</v>
      </c>
      <c r="D886">
        <v>1.99</v>
      </c>
      <c r="F886" t="str">
        <f t="shared" si="65"/>
        <v>No</v>
      </c>
      <c r="G886" t="str">
        <f t="shared" si="66"/>
        <v/>
      </c>
      <c r="H886" t="str">
        <f t="shared" si="67"/>
        <v>—</v>
      </c>
      <c r="I886" t="str">
        <f t="shared" si="68"/>
        <v>Below thresholds</v>
      </c>
      <c r="J886" t="str">
        <f t="shared" si="69"/>
        <v/>
      </c>
    </row>
    <row r="887" spans="1:10" x14ac:dyDescent="0.2">
      <c r="A887">
        <v>226948323131</v>
      </c>
      <c r="B887" t="s">
        <v>2496</v>
      </c>
      <c r="C887" t="s">
        <v>2497</v>
      </c>
      <c r="D887">
        <v>1.99</v>
      </c>
      <c r="F887" t="str">
        <f t="shared" si="65"/>
        <v>No</v>
      </c>
      <c r="G887" t="str">
        <f t="shared" si="66"/>
        <v/>
      </c>
      <c r="H887" t="str">
        <f t="shared" si="67"/>
        <v>—</v>
      </c>
      <c r="I887" t="str">
        <f t="shared" si="68"/>
        <v>Below thresholds</v>
      </c>
      <c r="J887" t="str">
        <f t="shared" si="69"/>
        <v/>
      </c>
    </row>
    <row r="888" spans="1:10" x14ac:dyDescent="0.2">
      <c r="A888">
        <v>226948323136</v>
      </c>
      <c r="B888" t="s">
        <v>2498</v>
      </c>
      <c r="C888" t="s">
        <v>2499</v>
      </c>
      <c r="D888">
        <v>1.99</v>
      </c>
      <c r="F888" t="str">
        <f t="shared" si="65"/>
        <v>No</v>
      </c>
      <c r="G888" t="str">
        <f t="shared" si="66"/>
        <v/>
      </c>
      <c r="H888" t="str">
        <f t="shared" si="67"/>
        <v>—</v>
      </c>
      <c r="I888" t="str">
        <f t="shared" si="68"/>
        <v>Below thresholds</v>
      </c>
      <c r="J888" t="str">
        <f t="shared" si="69"/>
        <v/>
      </c>
    </row>
    <row r="889" spans="1:10" x14ac:dyDescent="0.2">
      <c r="A889">
        <v>226948323156</v>
      </c>
      <c r="B889" t="s">
        <v>2500</v>
      </c>
      <c r="C889" t="s">
        <v>2501</v>
      </c>
      <c r="D889">
        <v>1.99</v>
      </c>
      <c r="F889" t="str">
        <f t="shared" si="65"/>
        <v>No</v>
      </c>
      <c r="G889" t="str">
        <f t="shared" si="66"/>
        <v/>
      </c>
      <c r="H889" t="str">
        <f t="shared" si="67"/>
        <v>—</v>
      </c>
      <c r="I889" t="str">
        <f t="shared" si="68"/>
        <v>Below thresholds</v>
      </c>
      <c r="J889" t="str">
        <f t="shared" si="69"/>
        <v/>
      </c>
    </row>
    <row r="890" spans="1:10" x14ac:dyDescent="0.2">
      <c r="A890">
        <v>226948323158</v>
      </c>
      <c r="B890" t="s">
        <v>2502</v>
      </c>
      <c r="C890" t="s">
        <v>2503</v>
      </c>
      <c r="D890">
        <v>1.99</v>
      </c>
      <c r="F890" t="str">
        <f t="shared" si="65"/>
        <v>No</v>
      </c>
      <c r="G890" t="str">
        <f t="shared" si="66"/>
        <v/>
      </c>
      <c r="H890" t="str">
        <f t="shared" si="67"/>
        <v>—</v>
      </c>
      <c r="I890" t="str">
        <f t="shared" si="68"/>
        <v>Below thresholds</v>
      </c>
      <c r="J890" t="str">
        <f t="shared" si="69"/>
        <v/>
      </c>
    </row>
    <row r="891" spans="1:10" x14ac:dyDescent="0.2">
      <c r="A891">
        <v>226948323190</v>
      </c>
      <c r="B891" t="s">
        <v>2504</v>
      </c>
      <c r="C891" t="s">
        <v>2505</v>
      </c>
      <c r="D891">
        <v>1.99</v>
      </c>
      <c r="F891" t="str">
        <f t="shared" si="65"/>
        <v>No</v>
      </c>
      <c r="G891" t="str">
        <f t="shared" si="66"/>
        <v/>
      </c>
      <c r="H891" t="str">
        <f t="shared" si="67"/>
        <v>—</v>
      </c>
      <c r="I891" t="str">
        <f t="shared" si="68"/>
        <v>Below thresholds</v>
      </c>
      <c r="J891" t="str">
        <f t="shared" si="69"/>
        <v/>
      </c>
    </row>
    <row r="892" spans="1:10" x14ac:dyDescent="0.2">
      <c r="A892">
        <v>226948323196</v>
      </c>
      <c r="B892" t="s">
        <v>2506</v>
      </c>
      <c r="C892" t="s">
        <v>2507</v>
      </c>
      <c r="D892">
        <v>1.99</v>
      </c>
      <c r="F892" t="str">
        <f t="shared" si="65"/>
        <v>No</v>
      </c>
      <c r="G892" t="str">
        <f t="shared" si="66"/>
        <v/>
      </c>
      <c r="H892" t="str">
        <f t="shared" si="67"/>
        <v>—</v>
      </c>
      <c r="I892" t="str">
        <f t="shared" si="68"/>
        <v>Below thresholds</v>
      </c>
      <c r="J892" t="str">
        <f t="shared" si="69"/>
        <v/>
      </c>
    </row>
    <row r="893" spans="1:10" x14ac:dyDescent="0.2">
      <c r="A893">
        <v>226948323221</v>
      </c>
      <c r="B893" t="s">
        <v>2508</v>
      </c>
      <c r="C893" t="s">
        <v>2509</v>
      </c>
      <c r="D893">
        <v>1.99</v>
      </c>
      <c r="F893" t="str">
        <f t="shared" si="65"/>
        <v>No</v>
      </c>
      <c r="G893" t="str">
        <f t="shared" si="66"/>
        <v/>
      </c>
      <c r="H893" t="str">
        <f t="shared" si="67"/>
        <v>—</v>
      </c>
      <c r="I893" t="str">
        <f t="shared" si="68"/>
        <v>Below thresholds</v>
      </c>
      <c r="J893" t="str">
        <f t="shared" si="69"/>
        <v/>
      </c>
    </row>
    <row r="894" spans="1:10" x14ac:dyDescent="0.2">
      <c r="A894">
        <v>226948323222</v>
      </c>
      <c r="B894" t="s">
        <v>2510</v>
      </c>
      <c r="C894" t="s">
        <v>2511</v>
      </c>
      <c r="D894">
        <v>1.99</v>
      </c>
      <c r="F894" t="str">
        <f t="shared" si="65"/>
        <v>No</v>
      </c>
      <c r="G894" t="str">
        <f t="shared" si="66"/>
        <v/>
      </c>
      <c r="H894" t="str">
        <f t="shared" si="67"/>
        <v>—</v>
      </c>
      <c r="I894" t="str">
        <f t="shared" si="68"/>
        <v>Below thresholds</v>
      </c>
      <c r="J894" t="str">
        <f t="shared" si="69"/>
        <v/>
      </c>
    </row>
    <row r="895" spans="1:10" x14ac:dyDescent="0.2">
      <c r="A895">
        <v>226948323240</v>
      </c>
      <c r="B895" t="s">
        <v>2512</v>
      </c>
      <c r="C895" t="s">
        <v>2513</v>
      </c>
      <c r="D895">
        <v>1.99</v>
      </c>
      <c r="F895" t="str">
        <f t="shared" si="65"/>
        <v>No</v>
      </c>
      <c r="G895" t="str">
        <f t="shared" si="66"/>
        <v/>
      </c>
      <c r="H895" t="str">
        <f t="shared" si="67"/>
        <v>—</v>
      </c>
      <c r="I895" t="str">
        <f t="shared" si="68"/>
        <v>Below thresholds</v>
      </c>
      <c r="J895" t="str">
        <f t="shared" si="69"/>
        <v/>
      </c>
    </row>
    <row r="896" spans="1:10" x14ac:dyDescent="0.2">
      <c r="A896">
        <v>226948323245</v>
      </c>
      <c r="B896" t="s">
        <v>2514</v>
      </c>
      <c r="C896" t="s">
        <v>2515</v>
      </c>
      <c r="D896">
        <v>1.99</v>
      </c>
      <c r="F896" t="str">
        <f t="shared" si="65"/>
        <v>No</v>
      </c>
      <c r="G896" t="str">
        <f t="shared" si="66"/>
        <v/>
      </c>
      <c r="H896" t="str">
        <f t="shared" si="67"/>
        <v>—</v>
      </c>
      <c r="I896" t="str">
        <f t="shared" si="68"/>
        <v>Below thresholds</v>
      </c>
      <c r="J896" t="str">
        <f t="shared" si="69"/>
        <v/>
      </c>
    </row>
    <row r="897" spans="1:10" x14ac:dyDescent="0.2">
      <c r="A897">
        <v>226948323280</v>
      </c>
      <c r="B897" t="s">
        <v>2516</v>
      </c>
      <c r="C897" t="s">
        <v>2517</v>
      </c>
      <c r="D897">
        <v>1.99</v>
      </c>
      <c r="F897" t="str">
        <f t="shared" si="65"/>
        <v>No</v>
      </c>
      <c r="G897" t="str">
        <f t="shared" si="66"/>
        <v/>
      </c>
      <c r="H897" t="str">
        <f t="shared" si="67"/>
        <v>—</v>
      </c>
      <c r="I897" t="str">
        <f t="shared" si="68"/>
        <v>Below thresholds</v>
      </c>
      <c r="J897" t="str">
        <f t="shared" si="69"/>
        <v/>
      </c>
    </row>
    <row r="898" spans="1:10" x14ac:dyDescent="0.2">
      <c r="A898">
        <v>226948323288</v>
      </c>
      <c r="B898" t="s">
        <v>2488</v>
      </c>
      <c r="C898" t="s">
        <v>2518</v>
      </c>
      <c r="D898">
        <v>1.99</v>
      </c>
      <c r="F898" t="str">
        <f t="shared" si="65"/>
        <v>No</v>
      </c>
      <c r="G898" t="str">
        <f t="shared" si="66"/>
        <v/>
      </c>
      <c r="H898" t="str">
        <f t="shared" si="67"/>
        <v>—</v>
      </c>
      <c r="I898" t="str">
        <f t="shared" si="68"/>
        <v>Below thresholds</v>
      </c>
      <c r="J898" t="str">
        <f t="shared" si="69"/>
        <v/>
      </c>
    </row>
    <row r="899" spans="1:10" x14ac:dyDescent="0.2">
      <c r="A899">
        <v>226948323363</v>
      </c>
      <c r="B899" t="s">
        <v>2519</v>
      </c>
      <c r="C899" t="s">
        <v>2520</v>
      </c>
      <c r="D899">
        <v>1.99</v>
      </c>
      <c r="F899" t="str">
        <f t="shared" si="65"/>
        <v>No</v>
      </c>
      <c r="G899" t="str">
        <f t="shared" si="66"/>
        <v/>
      </c>
      <c r="H899" t="str">
        <f t="shared" si="67"/>
        <v>—</v>
      </c>
      <c r="I899" t="str">
        <f t="shared" si="68"/>
        <v>Below thresholds</v>
      </c>
      <c r="J899" t="str">
        <f t="shared" si="69"/>
        <v/>
      </c>
    </row>
    <row r="900" spans="1:10" x14ac:dyDescent="0.2">
      <c r="A900">
        <v>226948323441</v>
      </c>
      <c r="B900" t="s">
        <v>2521</v>
      </c>
      <c r="C900" t="s">
        <v>2522</v>
      </c>
      <c r="D900">
        <v>1.99</v>
      </c>
      <c r="F900" t="str">
        <f t="shared" si="65"/>
        <v>No</v>
      </c>
      <c r="G900" t="str">
        <f t="shared" si="66"/>
        <v/>
      </c>
      <c r="H900" t="str">
        <f t="shared" si="67"/>
        <v>—</v>
      </c>
      <c r="I900" t="str">
        <f t="shared" si="68"/>
        <v>Below thresholds</v>
      </c>
      <c r="J900" t="str">
        <f t="shared" si="69"/>
        <v/>
      </c>
    </row>
    <row r="901" spans="1:10" x14ac:dyDescent="0.2">
      <c r="A901">
        <v>226948323477</v>
      </c>
      <c r="B901" t="s">
        <v>2523</v>
      </c>
      <c r="C901" t="s">
        <v>2524</v>
      </c>
      <c r="D901">
        <v>1.99</v>
      </c>
      <c r="F901" t="str">
        <f t="shared" ref="F901:F964" si="70">IF($B901="","",IF(ISNUMBER(SEARCH("PSA",$B901)),"Yes","No"))</f>
        <v>No</v>
      </c>
      <c r="G901" t="str">
        <f t="shared" ref="G901:G964" si="71">IF($B901="","",IF(ISNUMBER(SEARCH("PSA 10",$B901)),10,IF(ISNUMBER(SEARCH("PSA 9.5",$B901)),9.5,IF(ISNUMBER(SEARCH("PSA 9",$B901)),9,IF(ISNUMBER(SEARCH("PSA 8",$B901)),8,IF(ISNUMBER(SEARCH("PSA",$B901)),"&lt;9",""))))))</f>
        <v/>
      </c>
      <c r="H901" t="str">
        <f t="shared" ref="H901:H964" si="72">IF($B901="","",IF($D901&gt;=100,"TIER 2",IF(OR(ISNUMBER(SEARCH("PSA 10",$B901)),ISNUMBER(SEARCH("PSA 9.5",$B901)),ISNUMBER(SEARCH("PSA 9",$B901))),"TIER 3",IF(AND($D901&gt;20,N($E901)&gt;=15),"TIER 1","—"))))</f>
        <v>—</v>
      </c>
      <c r="I901" t="str">
        <f t="shared" ref="I901:I964" si="73">IF($B901="","",IF($D901&gt;=100,"Premium $100+ (auto)",IF(OR(ISNUMBER(SEARCH("PSA 10",$B901)),ISNUMBER(SEARCH("PSA 9.5",$B901)),ISNUMBER(SEARCH("PSA 9",$B901))),"Graded PSA 9+ (auto)",IF(AND($D901&gt;20,N($E901)&gt;=15),"Hot: $20+ &amp; "&amp;$E901&amp;"/day",IF($D901&gt;20,"$20+ — needs velocity check","Below thresholds")))))</f>
        <v>Below thresholds</v>
      </c>
      <c r="J901" t="str">
        <f t="shared" ref="J901:J964" si="74">IF($B901="","",IF(AND($D901&gt;20,$D901&lt;100,NOT(OR(ISNUMBER(SEARCH("PSA 10",$B901)),ISNUMBER(SEARCH("PSA 9.5",$B901)),ISNUMBER(SEARCH("PSA 9",$B901)))),$E901=""),"YES — pull CardHedger",""))</f>
        <v/>
      </c>
    </row>
    <row r="902" spans="1:10" x14ac:dyDescent="0.2">
      <c r="A902">
        <v>226948323520</v>
      </c>
      <c r="B902" t="s">
        <v>2525</v>
      </c>
      <c r="C902" t="s">
        <v>2526</v>
      </c>
      <c r="D902">
        <v>1.99</v>
      </c>
      <c r="F902" t="str">
        <f t="shared" si="70"/>
        <v>No</v>
      </c>
      <c r="G902" t="str">
        <f t="shared" si="71"/>
        <v/>
      </c>
      <c r="H902" t="str">
        <f t="shared" si="72"/>
        <v>—</v>
      </c>
      <c r="I902" t="str">
        <f t="shared" si="73"/>
        <v>Below thresholds</v>
      </c>
      <c r="J902" t="str">
        <f t="shared" si="74"/>
        <v/>
      </c>
    </row>
    <row r="903" spans="1:10" x14ac:dyDescent="0.2">
      <c r="A903">
        <v>226948323540</v>
      </c>
      <c r="B903" t="s">
        <v>2527</v>
      </c>
      <c r="C903" t="s">
        <v>2528</v>
      </c>
      <c r="D903">
        <v>1.99</v>
      </c>
      <c r="F903" t="str">
        <f t="shared" si="70"/>
        <v>No</v>
      </c>
      <c r="G903" t="str">
        <f t="shared" si="71"/>
        <v/>
      </c>
      <c r="H903" t="str">
        <f t="shared" si="72"/>
        <v>—</v>
      </c>
      <c r="I903" t="str">
        <f t="shared" si="73"/>
        <v>Below thresholds</v>
      </c>
      <c r="J903" t="str">
        <f t="shared" si="74"/>
        <v/>
      </c>
    </row>
    <row r="904" spans="1:10" x14ac:dyDescent="0.2">
      <c r="A904">
        <v>226948323604</v>
      </c>
      <c r="B904" t="s">
        <v>2529</v>
      </c>
      <c r="C904" t="s">
        <v>2530</v>
      </c>
      <c r="D904">
        <v>1.99</v>
      </c>
      <c r="F904" t="str">
        <f t="shared" si="70"/>
        <v>No</v>
      </c>
      <c r="G904" t="str">
        <f t="shared" si="71"/>
        <v/>
      </c>
      <c r="H904" t="str">
        <f t="shared" si="72"/>
        <v>—</v>
      </c>
      <c r="I904" t="str">
        <f t="shared" si="73"/>
        <v>Below thresholds</v>
      </c>
      <c r="J904" t="str">
        <f t="shared" si="74"/>
        <v/>
      </c>
    </row>
    <row r="905" spans="1:10" x14ac:dyDescent="0.2">
      <c r="A905">
        <v>226948323615</v>
      </c>
      <c r="B905" t="s">
        <v>2531</v>
      </c>
      <c r="C905" t="s">
        <v>2532</v>
      </c>
      <c r="D905">
        <v>1.99</v>
      </c>
      <c r="F905" t="str">
        <f t="shared" si="70"/>
        <v>No</v>
      </c>
      <c r="G905" t="str">
        <f t="shared" si="71"/>
        <v/>
      </c>
      <c r="H905" t="str">
        <f t="shared" si="72"/>
        <v>—</v>
      </c>
      <c r="I905" t="str">
        <f t="shared" si="73"/>
        <v>Below thresholds</v>
      </c>
      <c r="J905" t="str">
        <f t="shared" si="74"/>
        <v/>
      </c>
    </row>
    <row r="906" spans="1:10" x14ac:dyDescent="0.2">
      <c r="A906">
        <v>226948323665</v>
      </c>
      <c r="B906" t="s">
        <v>2533</v>
      </c>
      <c r="C906" t="s">
        <v>2534</v>
      </c>
      <c r="D906">
        <v>1.99</v>
      </c>
      <c r="F906" t="str">
        <f t="shared" si="70"/>
        <v>No</v>
      </c>
      <c r="G906" t="str">
        <f t="shared" si="71"/>
        <v/>
      </c>
      <c r="H906" t="str">
        <f t="shared" si="72"/>
        <v>—</v>
      </c>
      <c r="I906" t="str">
        <f t="shared" si="73"/>
        <v>Below thresholds</v>
      </c>
      <c r="J906" t="str">
        <f t="shared" si="74"/>
        <v/>
      </c>
    </row>
    <row r="907" spans="1:10" x14ac:dyDescent="0.2">
      <c r="A907">
        <v>226948323687</v>
      </c>
      <c r="B907" t="s">
        <v>2535</v>
      </c>
      <c r="C907" t="s">
        <v>2536</v>
      </c>
      <c r="D907">
        <v>1.99</v>
      </c>
      <c r="F907" t="str">
        <f t="shared" si="70"/>
        <v>No</v>
      </c>
      <c r="G907" t="str">
        <f t="shared" si="71"/>
        <v/>
      </c>
      <c r="H907" t="str">
        <f t="shared" si="72"/>
        <v>—</v>
      </c>
      <c r="I907" t="str">
        <f t="shared" si="73"/>
        <v>Below thresholds</v>
      </c>
      <c r="J907" t="str">
        <f t="shared" si="74"/>
        <v/>
      </c>
    </row>
    <row r="908" spans="1:10" x14ac:dyDescent="0.2">
      <c r="A908">
        <v>226948323693</v>
      </c>
      <c r="B908" t="s">
        <v>2537</v>
      </c>
      <c r="C908" t="s">
        <v>2538</v>
      </c>
      <c r="D908">
        <v>1.99</v>
      </c>
      <c r="F908" t="str">
        <f t="shared" si="70"/>
        <v>No</v>
      </c>
      <c r="G908" t="str">
        <f t="shared" si="71"/>
        <v/>
      </c>
      <c r="H908" t="str">
        <f t="shared" si="72"/>
        <v>—</v>
      </c>
      <c r="I908" t="str">
        <f t="shared" si="73"/>
        <v>Below thresholds</v>
      </c>
      <c r="J908" t="str">
        <f t="shared" si="74"/>
        <v/>
      </c>
    </row>
    <row r="909" spans="1:10" x14ac:dyDescent="0.2">
      <c r="A909">
        <v>226948323704</v>
      </c>
      <c r="B909" t="s">
        <v>2539</v>
      </c>
      <c r="C909" t="s">
        <v>2540</v>
      </c>
      <c r="D909">
        <v>1.99</v>
      </c>
      <c r="F909" t="str">
        <f t="shared" si="70"/>
        <v>No</v>
      </c>
      <c r="G909" t="str">
        <f t="shared" si="71"/>
        <v/>
      </c>
      <c r="H909" t="str">
        <f t="shared" si="72"/>
        <v>—</v>
      </c>
      <c r="I909" t="str">
        <f t="shared" si="73"/>
        <v>Below thresholds</v>
      </c>
      <c r="J909" t="str">
        <f t="shared" si="74"/>
        <v/>
      </c>
    </row>
    <row r="910" spans="1:10" x14ac:dyDescent="0.2">
      <c r="A910">
        <v>226948323712</v>
      </c>
      <c r="B910" t="s">
        <v>2541</v>
      </c>
      <c r="C910" t="s">
        <v>2542</v>
      </c>
      <c r="D910">
        <v>1.99</v>
      </c>
      <c r="F910" t="str">
        <f t="shared" si="70"/>
        <v>No</v>
      </c>
      <c r="G910" t="str">
        <f t="shared" si="71"/>
        <v/>
      </c>
      <c r="H910" t="str">
        <f t="shared" si="72"/>
        <v>—</v>
      </c>
      <c r="I910" t="str">
        <f t="shared" si="73"/>
        <v>Below thresholds</v>
      </c>
      <c r="J910" t="str">
        <f t="shared" si="74"/>
        <v/>
      </c>
    </row>
    <row r="911" spans="1:10" x14ac:dyDescent="0.2">
      <c r="A911">
        <v>226948323725</v>
      </c>
      <c r="B911" t="s">
        <v>2543</v>
      </c>
      <c r="C911" t="s">
        <v>2544</v>
      </c>
      <c r="D911">
        <v>1.99</v>
      </c>
      <c r="F911" t="str">
        <f t="shared" si="70"/>
        <v>No</v>
      </c>
      <c r="G911" t="str">
        <f t="shared" si="71"/>
        <v/>
      </c>
      <c r="H911" t="str">
        <f t="shared" si="72"/>
        <v>—</v>
      </c>
      <c r="I911" t="str">
        <f t="shared" si="73"/>
        <v>Below thresholds</v>
      </c>
      <c r="J911" t="str">
        <f t="shared" si="74"/>
        <v/>
      </c>
    </row>
    <row r="912" spans="1:10" x14ac:dyDescent="0.2">
      <c r="A912">
        <v>226948323768</v>
      </c>
      <c r="B912" t="s">
        <v>2545</v>
      </c>
      <c r="C912" t="s">
        <v>2546</v>
      </c>
      <c r="D912">
        <v>1.99</v>
      </c>
      <c r="F912" t="str">
        <f t="shared" si="70"/>
        <v>No</v>
      </c>
      <c r="G912" t="str">
        <f t="shared" si="71"/>
        <v/>
      </c>
      <c r="H912" t="str">
        <f t="shared" si="72"/>
        <v>—</v>
      </c>
      <c r="I912" t="str">
        <f t="shared" si="73"/>
        <v>Below thresholds</v>
      </c>
      <c r="J912" t="str">
        <f t="shared" si="74"/>
        <v/>
      </c>
    </row>
    <row r="913" spans="1:10" x14ac:dyDescent="0.2">
      <c r="A913">
        <v>226948323784</v>
      </c>
      <c r="B913" t="s">
        <v>2547</v>
      </c>
      <c r="C913" t="s">
        <v>2548</v>
      </c>
      <c r="D913">
        <v>1.99</v>
      </c>
      <c r="F913" t="str">
        <f t="shared" si="70"/>
        <v>No</v>
      </c>
      <c r="G913" t="str">
        <f t="shared" si="71"/>
        <v/>
      </c>
      <c r="H913" t="str">
        <f t="shared" si="72"/>
        <v>—</v>
      </c>
      <c r="I913" t="str">
        <f t="shared" si="73"/>
        <v>Below thresholds</v>
      </c>
      <c r="J913" t="str">
        <f t="shared" si="74"/>
        <v/>
      </c>
    </row>
    <row r="914" spans="1:10" x14ac:dyDescent="0.2">
      <c r="A914">
        <v>226949909685</v>
      </c>
      <c r="B914" t="s">
        <v>2549</v>
      </c>
      <c r="C914" t="s">
        <v>2550</v>
      </c>
      <c r="D914">
        <v>55</v>
      </c>
      <c r="F914" t="str">
        <f t="shared" si="70"/>
        <v>No</v>
      </c>
      <c r="G914" t="str">
        <f t="shared" si="71"/>
        <v/>
      </c>
      <c r="H914" t="str">
        <f t="shared" si="72"/>
        <v>—</v>
      </c>
      <c r="I914" t="str">
        <f t="shared" si="73"/>
        <v>$20+ — needs velocity check</v>
      </c>
      <c r="J914" t="str">
        <f t="shared" si="74"/>
        <v>YES — pull CardHedger</v>
      </c>
    </row>
    <row r="915" spans="1:10" x14ac:dyDescent="0.2">
      <c r="A915">
        <v>226950020194</v>
      </c>
      <c r="B915" t="s">
        <v>2551</v>
      </c>
      <c r="C915" t="s">
        <v>2552</v>
      </c>
      <c r="D915">
        <v>2.09</v>
      </c>
      <c r="F915" t="str">
        <f t="shared" si="70"/>
        <v>No</v>
      </c>
      <c r="G915" t="str">
        <f t="shared" si="71"/>
        <v/>
      </c>
      <c r="H915" t="str">
        <f t="shared" si="72"/>
        <v>—</v>
      </c>
      <c r="I915" t="str">
        <f t="shared" si="73"/>
        <v>Below thresholds</v>
      </c>
      <c r="J915" t="str">
        <f t="shared" si="74"/>
        <v/>
      </c>
    </row>
    <row r="916" spans="1:10" x14ac:dyDescent="0.2">
      <c r="A916">
        <v>226950020335</v>
      </c>
      <c r="B916" t="s">
        <v>2553</v>
      </c>
      <c r="C916" t="s">
        <v>2554</v>
      </c>
      <c r="D916">
        <v>2.09</v>
      </c>
      <c r="F916" t="str">
        <f t="shared" si="70"/>
        <v>No</v>
      </c>
      <c r="G916" t="str">
        <f t="shared" si="71"/>
        <v/>
      </c>
      <c r="H916" t="str">
        <f t="shared" si="72"/>
        <v>—</v>
      </c>
      <c r="I916" t="str">
        <f t="shared" si="73"/>
        <v>Below thresholds</v>
      </c>
      <c r="J916" t="str">
        <f t="shared" si="74"/>
        <v/>
      </c>
    </row>
    <row r="917" spans="1:10" x14ac:dyDescent="0.2">
      <c r="A917">
        <v>226950084125</v>
      </c>
      <c r="B917" t="s">
        <v>2555</v>
      </c>
      <c r="C917" t="s">
        <v>2556</v>
      </c>
      <c r="D917">
        <v>2.09</v>
      </c>
      <c r="F917" t="str">
        <f t="shared" si="70"/>
        <v>No</v>
      </c>
      <c r="G917" t="str">
        <f t="shared" si="71"/>
        <v/>
      </c>
      <c r="H917" t="str">
        <f t="shared" si="72"/>
        <v>—</v>
      </c>
      <c r="I917" t="str">
        <f t="shared" si="73"/>
        <v>Below thresholds</v>
      </c>
      <c r="J917" t="str">
        <f t="shared" si="74"/>
        <v/>
      </c>
    </row>
    <row r="918" spans="1:10" x14ac:dyDescent="0.2">
      <c r="A918">
        <v>226950084140</v>
      </c>
      <c r="B918" t="s">
        <v>2557</v>
      </c>
      <c r="C918" t="s">
        <v>2558</v>
      </c>
      <c r="D918">
        <v>2.09</v>
      </c>
      <c r="F918" t="str">
        <f t="shared" si="70"/>
        <v>No</v>
      </c>
      <c r="G918" t="str">
        <f t="shared" si="71"/>
        <v/>
      </c>
      <c r="H918" t="str">
        <f t="shared" si="72"/>
        <v>—</v>
      </c>
      <c r="I918" t="str">
        <f t="shared" si="73"/>
        <v>Below thresholds</v>
      </c>
      <c r="J918" t="str">
        <f t="shared" si="74"/>
        <v/>
      </c>
    </row>
    <row r="919" spans="1:10" x14ac:dyDescent="0.2">
      <c r="A919">
        <v>226950084167</v>
      </c>
      <c r="B919" t="s">
        <v>2559</v>
      </c>
      <c r="C919" t="s">
        <v>2560</v>
      </c>
      <c r="D919">
        <v>2.25</v>
      </c>
      <c r="F919" t="str">
        <f t="shared" si="70"/>
        <v>No</v>
      </c>
      <c r="G919" t="str">
        <f t="shared" si="71"/>
        <v/>
      </c>
      <c r="H919" t="str">
        <f t="shared" si="72"/>
        <v>—</v>
      </c>
      <c r="I919" t="str">
        <f t="shared" si="73"/>
        <v>Below thresholds</v>
      </c>
      <c r="J919" t="str">
        <f t="shared" si="74"/>
        <v/>
      </c>
    </row>
    <row r="920" spans="1:10" x14ac:dyDescent="0.2">
      <c r="A920">
        <v>226950084189</v>
      </c>
      <c r="B920" t="s">
        <v>2561</v>
      </c>
      <c r="C920" t="s">
        <v>2562</v>
      </c>
      <c r="D920">
        <v>4.1900000000000004</v>
      </c>
      <c r="F920" t="str">
        <f t="shared" si="70"/>
        <v>No</v>
      </c>
      <c r="G920" t="str">
        <f t="shared" si="71"/>
        <v/>
      </c>
      <c r="H920" t="str">
        <f t="shared" si="72"/>
        <v>—</v>
      </c>
      <c r="I920" t="str">
        <f t="shared" si="73"/>
        <v>Below thresholds</v>
      </c>
      <c r="J920" t="str">
        <f t="shared" si="74"/>
        <v/>
      </c>
    </row>
    <row r="921" spans="1:10" x14ac:dyDescent="0.2">
      <c r="A921">
        <v>226950084203</v>
      </c>
      <c r="B921" t="s">
        <v>2563</v>
      </c>
      <c r="C921" t="s">
        <v>2564</v>
      </c>
      <c r="D921">
        <v>2.09</v>
      </c>
      <c r="F921" t="str">
        <f t="shared" si="70"/>
        <v>No</v>
      </c>
      <c r="G921" t="str">
        <f t="shared" si="71"/>
        <v/>
      </c>
      <c r="H921" t="str">
        <f t="shared" si="72"/>
        <v>—</v>
      </c>
      <c r="I921" t="str">
        <f t="shared" si="73"/>
        <v>Below thresholds</v>
      </c>
      <c r="J921" t="str">
        <f t="shared" si="74"/>
        <v/>
      </c>
    </row>
    <row r="922" spans="1:10" x14ac:dyDescent="0.2">
      <c r="A922">
        <v>226950084230</v>
      </c>
      <c r="B922" t="s">
        <v>2565</v>
      </c>
      <c r="C922" t="s">
        <v>2566</v>
      </c>
      <c r="D922">
        <v>2.09</v>
      </c>
      <c r="F922" t="str">
        <f t="shared" si="70"/>
        <v>No</v>
      </c>
      <c r="G922" t="str">
        <f t="shared" si="71"/>
        <v/>
      </c>
      <c r="H922" t="str">
        <f t="shared" si="72"/>
        <v>—</v>
      </c>
      <c r="I922" t="str">
        <f t="shared" si="73"/>
        <v>Below thresholds</v>
      </c>
      <c r="J922" t="str">
        <f t="shared" si="74"/>
        <v/>
      </c>
    </row>
    <row r="923" spans="1:10" x14ac:dyDescent="0.2">
      <c r="A923">
        <v>226950084257</v>
      </c>
      <c r="B923" t="s">
        <v>2567</v>
      </c>
      <c r="C923" t="s">
        <v>2568</v>
      </c>
      <c r="D923">
        <v>2.09</v>
      </c>
      <c r="F923" t="str">
        <f t="shared" si="70"/>
        <v>No</v>
      </c>
      <c r="G923" t="str">
        <f t="shared" si="71"/>
        <v/>
      </c>
      <c r="H923" t="str">
        <f t="shared" si="72"/>
        <v>—</v>
      </c>
      <c r="I923" t="str">
        <f t="shared" si="73"/>
        <v>Below thresholds</v>
      </c>
      <c r="J923" t="str">
        <f t="shared" si="74"/>
        <v/>
      </c>
    </row>
    <row r="924" spans="1:10" x14ac:dyDescent="0.2">
      <c r="A924">
        <v>226950084325</v>
      </c>
      <c r="B924" t="s">
        <v>2569</v>
      </c>
      <c r="C924" t="s">
        <v>2570</v>
      </c>
      <c r="D924">
        <v>2.09</v>
      </c>
      <c r="F924" t="str">
        <f t="shared" si="70"/>
        <v>No</v>
      </c>
      <c r="G924" t="str">
        <f t="shared" si="71"/>
        <v/>
      </c>
      <c r="H924" t="str">
        <f t="shared" si="72"/>
        <v>—</v>
      </c>
      <c r="I924" t="str">
        <f t="shared" si="73"/>
        <v>Below thresholds</v>
      </c>
      <c r="J924" t="str">
        <f t="shared" si="74"/>
        <v/>
      </c>
    </row>
    <row r="925" spans="1:10" x14ac:dyDescent="0.2">
      <c r="A925">
        <v>226950084331</v>
      </c>
      <c r="B925" t="s">
        <v>2571</v>
      </c>
      <c r="C925" t="s">
        <v>2572</v>
      </c>
      <c r="D925">
        <v>2.09</v>
      </c>
      <c r="F925" t="str">
        <f t="shared" si="70"/>
        <v>No</v>
      </c>
      <c r="G925" t="str">
        <f t="shared" si="71"/>
        <v/>
      </c>
      <c r="H925" t="str">
        <f t="shared" si="72"/>
        <v>—</v>
      </c>
      <c r="I925" t="str">
        <f t="shared" si="73"/>
        <v>Below thresholds</v>
      </c>
      <c r="J925" t="str">
        <f t="shared" si="74"/>
        <v/>
      </c>
    </row>
    <row r="926" spans="1:10" x14ac:dyDescent="0.2">
      <c r="A926">
        <v>226950084381</v>
      </c>
      <c r="B926" t="s">
        <v>2573</v>
      </c>
      <c r="C926" t="s">
        <v>2574</v>
      </c>
      <c r="D926">
        <v>2.09</v>
      </c>
      <c r="F926" t="str">
        <f t="shared" si="70"/>
        <v>No</v>
      </c>
      <c r="G926" t="str">
        <f t="shared" si="71"/>
        <v/>
      </c>
      <c r="H926" t="str">
        <f t="shared" si="72"/>
        <v>—</v>
      </c>
      <c r="I926" t="str">
        <f t="shared" si="73"/>
        <v>Below thresholds</v>
      </c>
      <c r="J926" t="str">
        <f t="shared" si="74"/>
        <v/>
      </c>
    </row>
    <row r="927" spans="1:10" x14ac:dyDescent="0.2">
      <c r="A927">
        <v>226950861214</v>
      </c>
      <c r="B927" t="s">
        <v>2575</v>
      </c>
      <c r="C927" t="s">
        <v>2576</v>
      </c>
      <c r="D927">
        <v>2</v>
      </c>
      <c r="F927" t="str">
        <f t="shared" si="70"/>
        <v>No</v>
      </c>
      <c r="G927" t="str">
        <f t="shared" si="71"/>
        <v/>
      </c>
      <c r="H927" t="str">
        <f t="shared" si="72"/>
        <v>—</v>
      </c>
      <c r="I927" t="str">
        <f t="shared" si="73"/>
        <v>Below thresholds</v>
      </c>
      <c r="J927" t="str">
        <f t="shared" si="74"/>
        <v/>
      </c>
    </row>
    <row r="928" spans="1:10" x14ac:dyDescent="0.2">
      <c r="A928">
        <v>226950861239</v>
      </c>
      <c r="B928" t="s">
        <v>2577</v>
      </c>
      <c r="C928" t="s">
        <v>2578</v>
      </c>
      <c r="D928">
        <v>2</v>
      </c>
      <c r="F928" t="str">
        <f t="shared" si="70"/>
        <v>No</v>
      </c>
      <c r="G928" t="str">
        <f t="shared" si="71"/>
        <v/>
      </c>
      <c r="H928" t="str">
        <f t="shared" si="72"/>
        <v>—</v>
      </c>
      <c r="I928" t="str">
        <f t="shared" si="73"/>
        <v>Below thresholds</v>
      </c>
      <c r="J928" t="str">
        <f t="shared" si="74"/>
        <v/>
      </c>
    </row>
    <row r="929" spans="1:10" x14ac:dyDescent="0.2">
      <c r="A929">
        <v>226950861274</v>
      </c>
      <c r="B929" t="s">
        <v>2579</v>
      </c>
      <c r="C929" t="s">
        <v>2580</v>
      </c>
      <c r="D929">
        <v>2</v>
      </c>
      <c r="F929" t="str">
        <f t="shared" si="70"/>
        <v>No</v>
      </c>
      <c r="G929" t="str">
        <f t="shared" si="71"/>
        <v/>
      </c>
      <c r="H929" t="str">
        <f t="shared" si="72"/>
        <v>—</v>
      </c>
      <c r="I929" t="str">
        <f t="shared" si="73"/>
        <v>Below thresholds</v>
      </c>
      <c r="J929" t="str">
        <f t="shared" si="74"/>
        <v/>
      </c>
    </row>
    <row r="930" spans="1:10" x14ac:dyDescent="0.2">
      <c r="A930">
        <v>226950861343</v>
      </c>
      <c r="B930" t="s">
        <v>2581</v>
      </c>
      <c r="C930" t="s">
        <v>2582</v>
      </c>
      <c r="D930">
        <v>2</v>
      </c>
      <c r="F930" t="str">
        <f t="shared" si="70"/>
        <v>No</v>
      </c>
      <c r="G930" t="str">
        <f t="shared" si="71"/>
        <v/>
      </c>
      <c r="H930" t="str">
        <f t="shared" si="72"/>
        <v>—</v>
      </c>
      <c r="I930" t="str">
        <f t="shared" si="73"/>
        <v>Below thresholds</v>
      </c>
      <c r="J930" t="str">
        <f t="shared" si="74"/>
        <v/>
      </c>
    </row>
    <row r="931" spans="1:10" x14ac:dyDescent="0.2">
      <c r="A931">
        <v>226950861386</v>
      </c>
      <c r="B931" t="s">
        <v>2583</v>
      </c>
      <c r="C931" t="s">
        <v>2584</v>
      </c>
      <c r="D931">
        <v>2</v>
      </c>
      <c r="F931" t="str">
        <f t="shared" si="70"/>
        <v>No</v>
      </c>
      <c r="G931" t="str">
        <f t="shared" si="71"/>
        <v/>
      </c>
      <c r="H931" t="str">
        <f t="shared" si="72"/>
        <v>—</v>
      </c>
      <c r="I931" t="str">
        <f t="shared" si="73"/>
        <v>Below thresholds</v>
      </c>
      <c r="J931" t="str">
        <f t="shared" si="74"/>
        <v/>
      </c>
    </row>
    <row r="932" spans="1:10" x14ac:dyDescent="0.2">
      <c r="A932">
        <v>226950861390</v>
      </c>
      <c r="B932" t="s">
        <v>2585</v>
      </c>
      <c r="C932" t="s">
        <v>2586</v>
      </c>
      <c r="D932">
        <v>2</v>
      </c>
      <c r="F932" t="str">
        <f t="shared" si="70"/>
        <v>No</v>
      </c>
      <c r="G932" t="str">
        <f t="shared" si="71"/>
        <v/>
      </c>
      <c r="H932" t="str">
        <f t="shared" si="72"/>
        <v>—</v>
      </c>
      <c r="I932" t="str">
        <f t="shared" si="73"/>
        <v>Below thresholds</v>
      </c>
      <c r="J932" t="str">
        <f t="shared" si="74"/>
        <v/>
      </c>
    </row>
    <row r="933" spans="1:10" x14ac:dyDescent="0.2">
      <c r="A933">
        <v>226950861435</v>
      </c>
      <c r="B933" t="s">
        <v>2587</v>
      </c>
      <c r="C933" t="s">
        <v>2588</v>
      </c>
      <c r="D933">
        <v>2</v>
      </c>
      <c r="F933" t="str">
        <f t="shared" si="70"/>
        <v>No</v>
      </c>
      <c r="G933" t="str">
        <f t="shared" si="71"/>
        <v/>
      </c>
      <c r="H933" t="str">
        <f t="shared" si="72"/>
        <v>—</v>
      </c>
      <c r="I933" t="str">
        <f t="shared" si="73"/>
        <v>Below thresholds</v>
      </c>
      <c r="J933" t="str">
        <f t="shared" si="74"/>
        <v/>
      </c>
    </row>
    <row r="934" spans="1:10" x14ac:dyDescent="0.2">
      <c r="A934">
        <v>226950861439</v>
      </c>
      <c r="B934" t="s">
        <v>2589</v>
      </c>
      <c r="C934" t="s">
        <v>2590</v>
      </c>
      <c r="D934">
        <v>2</v>
      </c>
      <c r="F934" t="str">
        <f t="shared" si="70"/>
        <v>No</v>
      </c>
      <c r="G934" t="str">
        <f t="shared" si="71"/>
        <v/>
      </c>
      <c r="H934" t="str">
        <f t="shared" si="72"/>
        <v>—</v>
      </c>
      <c r="I934" t="str">
        <f t="shared" si="73"/>
        <v>Below thresholds</v>
      </c>
      <c r="J934" t="str">
        <f t="shared" si="74"/>
        <v/>
      </c>
    </row>
    <row r="935" spans="1:10" x14ac:dyDescent="0.2">
      <c r="A935">
        <v>226950861500</v>
      </c>
      <c r="B935" t="s">
        <v>2591</v>
      </c>
      <c r="C935" t="s">
        <v>2592</v>
      </c>
      <c r="D935">
        <v>2</v>
      </c>
      <c r="F935" t="str">
        <f t="shared" si="70"/>
        <v>No</v>
      </c>
      <c r="G935" t="str">
        <f t="shared" si="71"/>
        <v/>
      </c>
      <c r="H935" t="str">
        <f t="shared" si="72"/>
        <v>—</v>
      </c>
      <c r="I935" t="str">
        <f t="shared" si="73"/>
        <v>Below thresholds</v>
      </c>
      <c r="J935" t="str">
        <f t="shared" si="74"/>
        <v/>
      </c>
    </row>
    <row r="936" spans="1:10" x14ac:dyDescent="0.2">
      <c r="A936">
        <v>226950861502</v>
      </c>
      <c r="B936" t="s">
        <v>2593</v>
      </c>
      <c r="C936" t="s">
        <v>2594</v>
      </c>
      <c r="D936">
        <v>2</v>
      </c>
      <c r="F936" t="str">
        <f t="shared" si="70"/>
        <v>No</v>
      </c>
      <c r="G936" t="str">
        <f t="shared" si="71"/>
        <v/>
      </c>
      <c r="H936" t="str">
        <f t="shared" si="72"/>
        <v>—</v>
      </c>
      <c r="I936" t="str">
        <f t="shared" si="73"/>
        <v>Below thresholds</v>
      </c>
      <c r="J936" t="str">
        <f t="shared" si="74"/>
        <v/>
      </c>
    </row>
    <row r="937" spans="1:10" x14ac:dyDescent="0.2">
      <c r="A937">
        <v>226950861557</v>
      </c>
      <c r="B937" t="s">
        <v>2595</v>
      </c>
      <c r="C937" t="s">
        <v>2596</v>
      </c>
      <c r="D937">
        <v>2</v>
      </c>
      <c r="F937" t="str">
        <f t="shared" si="70"/>
        <v>No</v>
      </c>
      <c r="G937" t="str">
        <f t="shared" si="71"/>
        <v/>
      </c>
      <c r="H937" t="str">
        <f t="shared" si="72"/>
        <v>—</v>
      </c>
      <c r="I937" t="str">
        <f t="shared" si="73"/>
        <v>Below thresholds</v>
      </c>
      <c r="J937" t="str">
        <f t="shared" si="74"/>
        <v/>
      </c>
    </row>
    <row r="938" spans="1:10" x14ac:dyDescent="0.2">
      <c r="A938">
        <v>226950861558</v>
      </c>
      <c r="B938" t="s">
        <v>2597</v>
      </c>
      <c r="C938" t="s">
        <v>2598</v>
      </c>
      <c r="D938">
        <v>2</v>
      </c>
      <c r="F938" t="str">
        <f t="shared" si="70"/>
        <v>No</v>
      </c>
      <c r="G938" t="str">
        <f t="shared" si="71"/>
        <v/>
      </c>
      <c r="H938" t="str">
        <f t="shared" si="72"/>
        <v>—</v>
      </c>
      <c r="I938" t="str">
        <f t="shared" si="73"/>
        <v>Below thresholds</v>
      </c>
      <c r="J938" t="str">
        <f t="shared" si="74"/>
        <v/>
      </c>
    </row>
    <row r="939" spans="1:10" x14ac:dyDescent="0.2">
      <c r="A939">
        <v>226950861637</v>
      </c>
      <c r="B939" t="s">
        <v>2599</v>
      </c>
      <c r="C939" t="s">
        <v>2600</v>
      </c>
      <c r="D939">
        <v>2</v>
      </c>
      <c r="F939" t="str">
        <f t="shared" si="70"/>
        <v>No</v>
      </c>
      <c r="G939" t="str">
        <f t="shared" si="71"/>
        <v/>
      </c>
      <c r="H939" t="str">
        <f t="shared" si="72"/>
        <v>—</v>
      </c>
      <c r="I939" t="str">
        <f t="shared" si="73"/>
        <v>Below thresholds</v>
      </c>
      <c r="J939" t="str">
        <f t="shared" si="74"/>
        <v/>
      </c>
    </row>
    <row r="940" spans="1:10" x14ac:dyDescent="0.2">
      <c r="A940">
        <v>226950861639</v>
      </c>
      <c r="B940" t="s">
        <v>2601</v>
      </c>
      <c r="C940" t="s">
        <v>2602</v>
      </c>
      <c r="D940">
        <v>2</v>
      </c>
      <c r="F940" t="str">
        <f t="shared" si="70"/>
        <v>No</v>
      </c>
      <c r="G940" t="str">
        <f t="shared" si="71"/>
        <v/>
      </c>
      <c r="H940" t="str">
        <f t="shared" si="72"/>
        <v>—</v>
      </c>
      <c r="I940" t="str">
        <f t="shared" si="73"/>
        <v>Below thresholds</v>
      </c>
      <c r="J940" t="str">
        <f t="shared" si="74"/>
        <v/>
      </c>
    </row>
    <row r="941" spans="1:10" x14ac:dyDescent="0.2">
      <c r="A941">
        <v>226950861698</v>
      </c>
      <c r="B941" t="s">
        <v>2603</v>
      </c>
      <c r="C941" t="s">
        <v>2604</v>
      </c>
      <c r="D941">
        <v>2.4900000000000002</v>
      </c>
      <c r="F941" t="str">
        <f t="shared" si="70"/>
        <v>No</v>
      </c>
      <c r="G941" t="str">
        <f t="shared" si="71"/>
        <v/>
      </c>
      <c r="H941" t="str">
        <f t="shared" si="72"/>
        <v>—</v>
      </c>
      <c r="I941" t="str">
        <f t="shared" si="73"/>
        <v>Below thresholds</v>
      </c>
      <c r="J941" t="str">
        <f t="shared" si="74"/>
        <v/>
      </c>
    </row>
    <row r="942" spans="1:10" x14ac:dyDescent="0.2">
      <c r="A942">
        <v>226950861700</v>
      </c>
      <c r="B942" t="s">
        <v>2605</v>
      </c>
      <c r="C942" t="s">
        <v>2606</v>
      </c>
      <c r="D942">
        <v>2.4900000000000002</v>
      </c>
      <c r="F942" t="str">
        <f t="shared" si="70"/>
        <v>No</v>
      </c>
      <c r="G942" t="str">
        <f t="shared" si="71"/>
        <v/>
      </c>
      <c r="H942" t="str">
        <f t="shared" si="72"/>
        <v>—</v>
      </c>
      <c r="I942" t="str">
        <f t="shared" si="73"/>
        <v>Below thresholds</v>
      </c>
      <c r="J942" t="str">
        <f t="shared" si="74"/>
        <v/>
      </c>
    </row>
    <row r="943" spans="1:10" x14ac:dyDescent="0.2">
      <c r="A943">
        <v>226950861782</v>
      </c>
      <c r="B943" t="s">
        <v>2607</v>
      </c>
      <c r="C943" t="s">
        <v>2608</v>
      </c>
      <c r="D943">
        <v>2</v>
      </c>
      <c r="F943" t="str">
        <f t="shared" si="70"/>
        <v>No</v>
      </c>
      <c r="G943" t="str">
        <f t="shared" si="71"/>
        <v/>
      </c>
      <c r="H943" t="str">
        <f t="shared" si="72"/>
        <v>—</v>
      </c>
      <c r="I943" t="str">
        <f t="shared" si="73"/>
        <v>Below thresholds</v>
      </c>
      <c r="J943" t="str">
        <f t="shared" si="74"/>
        <v/>
      </c>
    </row>
    <row r="944" spans="1:10" x14ac:dyDescent="0.2">
      <c r="A944">
        <v>226950861783</v>
      </c>
      <c r="B944" t="s">
        <v>2609</v>
      </c>
      <c r="C944" t="s">
        <v>2610</v>
      </c>
      <c r="D944">
        <v>2.4900000000000002</v>
      </c>
      <c r="F944" t="str">
        <f t="shared" si="70"/>
        <v>No</v>
      </c>
      <c r="G944" t="str">
        <f t="shared" si="71"/>
        <v/>
      </c>
      <c r="H944" t="str">
        <f t="shared" si="72"/>
        <v>—</v>
      </c>
      <c r="I944" t="str">
        <f t="shared" si="73"/>
        <v>Below thresholds</v>
      </c>
      <c r="J944" t="str">
        <f t="shared" si="74"/>
        <v/>
      </c>
    </row>
    <row r="945" spans="1:10" x14ac:dyDescent="0.2">
      <c r="A945">
        <v>226950861847</v>
      </c>
      <c r="B945" t="s">
        <v>2611</v>
      </c>
      <c r="C945" t="s">
        <v>2612</v>
      </c>
      <c r="D945">
        <v>2</v>
      </c>
      <c r="F945" t="str">
        <f t="shared" si="70"/>
        <v>No</v>
      </c>
      <c r="G945" t="str">
        <f t="shared" si="71"/>
        <v/>
      </c>
      <c r="H945" t="str">
        <f t="shared" si="72"/>
        <v>—</v>
      </c>
      <c r="I945" t="str">
        <f t="shared" si="73"/>
        <v>Below thresholds</v>
      </c>
      <c r="J945" t="str">
        <f t="shared" si="74"/>
        <v/>
      </c>
    </row>
    <row r="946" spans="1:10" x14ac:dyDescent="0.2">
      <c r="A946">
        <v>226950861848</v>
      </c>
      <c r="B946" t="s">
        <v>2613</v>
      </c>
      <c r="C946" t="s">
        <v>2614</v>
      </c>
      <c r="D946">
        <v>2</v>
      </c>
      <c r="F946" t="str">
        <f t="shared" si="70"/>
        <v>No</v>
      </c>
      <c r="G946" t="str">
        <f t="shared" si="71"/>
        <v/>
      </c>
      <c r="H946" t="str">
        <f t="shared" si="72"/>
        <v>—</v>
      </c>
      <c r="I946" t="str">
        <f t="shared" si="73"/>
        <v>Below thresholds</v>
      </c>
      <c r="J946" t="str">
        <f t="shared" si="74"/>
        <v/>
      </c>
    </row>
    <row r="947" spans="1:10" x14ac:dyDescent="0.2">
      <c r="A947">
        <v>226950861917</v>
      </c>
      <c r="B947" t="s">
        <v>2615</v>
      </c>
      <c r="C947" t="s">
        <v>2616</v>
      </c>
      <c r="D947">
        <v>2.4900000000000002</v>
      </c>
      <c r="F947" t="str">
        <f t="shared" si="70"/>
        <v>No</v>
      </c>
      <c r="G947" t="str">
        <f t="shared" si="71"/>
        <v/>
      </c>
      <c r="H947" t="str">
        <f t="shared" si="72"/>
        <v>—</v>
      </c>
      <c r="I947" t="str">
        <f t="shared" si="73"/>
        <v>Below thresholds</v>
      </c>
      <c r="J947" t="str">
        <f t="shared" si="74"/>
        <v/>
      </c>
    </row>
    <row r="948" spans="1:10" x14ac:dyDescent="0.2">
      <c r="A948">
        <v>226950861989</v>
      </c>
      <c r="B948" t="s">
        <v>2617</v>
      </c>
      <c r="C948" t="s">
        <v>2618</v>
      </c>
      <c r="D948">
        <v>2.4900000000000002</v>
      </c>
      <c r="F948" t="str">
        <f t="shared" si="70"/>
        <v>No</v>
      </c>
      <c r="G948" t="str">
        <f t="shared" si="71"/>
        <v/>
      </c>
      <c r="H948" t="str">
        <f t="shared" si="72"/>
        <v>—</v>
      </c>
      <c r="I948" t="str">
        <f t="shared" si="73"/>
        <v>Below thresholds</v>
      </c>
      <c r="J948" t="str">
        <f t="shared" si="74"/>
        <v/>
      </c>
    </row>
    <row r="949" spans="1:10" x14ac:dyDescent="0.2">
      <c r="A949">
        <v>226950862022</v>
      </c>
      <c r="B949" t="s">
        <v>2619</v>
      </c>
      <c r="C949" t="s">
        <v>2620</v>
      </c>
      <c r="D949">
        <v>3.89</v>
      </c>
      <c r="F949" t="str">
        <f t="shared" si="70"/>
        <v>No</v>
      </c>
      <c r="G949" t="str">
        <f t="shared" si="71"/>
        <v/>
      </c>
      <c r="H949" t="str">
        <f t="shared" si="72"/>
        <v>—</v>
      </c>
      <c r="I949" t="str">
        <f t="shared" si="73"/>
        <v>Below thresholds</v>
      </c>
      <c r="J949" t="str">
        <f t="shared" si="74"/>
        <v/>
      </c>
    </row>
    <row r="950" spans="1:10" x14ac:dyDescent="0.2">
      <c r="A950">
        <v>226950862053</v>
      </c>
      <c r="B950" t="s">
        <v>2621</v>
      </c>
      <c r="C950" t="s">
        <v>2622</v>
      </c>
      <c r="D950">
        <v>2</v>
      </c>
      <c r="F950" t="str">
        <f t="shared" si="70"/>
        <v>No</v>
      </c>
      <c r="G950" t="str">
        <f t="shared" si="71"/>
        <v/>
      </c>
      <c r="H950" t="str">
        <f t="shared" si="72"/>
        <v>—</v>
      </c>
      <c r="I950" t="str">
        <f t="shared" si="73"/>
        <v>Below thresholds</v>
      </c>
      <c r="J950" t="str">
        <f t="shared" si="74"/>
        <v/>
      </c>
    </row>
    <row r="951" spans="1:10" x14ac:dyDescent="0.2">
      <c r="A951">
        <v>226950862073</v>
      </c>
      <c r="B951" t="s">
        <v>2623</v>
      </c>
      <c r="C951" t="s">
        <v>2624</v>
      </c>
      <c r="D951">
        <v>2</v>
      </c>
      <c r="F951" t="str">
        <f t="shared" si="70"/>
        <v>No</v>
      </c>
      <c r="G951" t="str">
        <f t="shared" si="71"/>
        <v/>
      </c>
      <c r="H951" t="str">
        <f t="shared" si="72"/>
        <v>—</v>
      </c>
      <c r="I951" t="str">
        <f t="shared" si="73"/>
        <v>Below thresholds</v>
      </c>
      <c r="J951" t="str">
        <f t="shared" si="74"/>
        <v/>
      </c>
    </row>
    <row r="952" spans="1:10" x14ac:dyDescent="0.2">
      <c r="A952">
        <v>226950862099</v>
      </c>
      <c r="B952" t="s">
        <v>2625</v>
      </c>
      <c r="C952" t="s">
        <v>2626</v>
      </c>
      <c r="D952">
        <v>2.99</v>
      </c>
      <c r="F952" t="str">
        <f t="shared" si="70"/>
        <v>No</v>
      </c>
      <c r="G952" t="str">
        <f t="shared" si="71"/>
        <v/>
      </c>
      <c r="H952" t="str">
        <f t="shared" si="72"/>
        <v>—</v>
      </c>
      <c r="I952" t="str">
        <f t="shared" si="73"/>
        <v>Below thresholds</v>
      </c>
      <c r="J952" t="str">
        <f t="shared" si="74"/>
        <v/>
      </c>
    </row>
    <row r="953" spans="1:10" x14ac:dyDescent="0.2">
      <c r="A953">
        <v>226950862125</v>
      </c>
      <c r="B953" t="s">
        <v>2627</v>
      </c>
      <c r="C953" t="s">
        <v>2628</v>
      </c>
      <c r="D953">
        <v>2</v>
      </c>
      <c r="F953" t="str">
        <f t="shared" si="70"/>
        <v>No</v>
      </c>
      <c r="G953" t="str">
        <f t="shared" si="71"/>
        <v/>
      </c>
      <c r="H953" t="str">
        <f t="shared" si="72"/>
        <v>—</v>
      </c>
      <c r="I953" t="str">
        <f t="shared" si="73"/>
        <v>Below thresholds</v>
      </c>
      <c r="J953" t="str">
        <f t="shared" si="74"/>
        <v/>
      </c>
    </row>
    <row r="954" spans="1:10" x14ac:dyDescent="0.2">
      <c r="A954">
        <v>226950862156</v>
      </c>
      <c r="B954" t="s">
        <v>2629</v>
      </c>
      <c r="C954" t="s">
        <v>2630</v>
      </c>
      <c r="D954">
        <v>2</v>
      </c>
      <c r="F954" t="str">
        <f t="shared" si="70"/>
        <v>No</v>
      </c>
      <c r="G954" t="str">
        <f t="shared" si="71"/>
        <v/>
      </c>
      <c r="H954" t="str">
        <f t="shared" si="72"/>
        <v>—</v>
      </c>
      <c r="I954" t="str">
        <f t="shared" si="73"/>
        <v>Below thresholds</v>
      </c>
      <c r="J954" t="str">
        <f t="shared" si="74"/>
        <v/>
      </c>
    </row>
    <row r="955" spans="1:10" x14ac:dyDescent="0.2">
      <c r="A955">
        <v>226950862178</v>
      </c>
      <c r="B955" t="s">
        <v>2631</v>
      </c>
      <c r="C955" t="s">
        <v>2632</v>
      </c>
      <c r="D955">
        <v>2</v>
      </c>
      <c r="F955" t="str">
        <f t="shared" si="70"/>
        <v>No</v>
      </c>
      <c r="G955" t="str">
        <f t="shared" si="71"/>
        <v/>
      </c>
      <c r="H955" t="str">
        <f t="shared" si="72"/>
        <v>—</v>
      </c>
      <c r="I955" t="str">
        <f t="shared" si="73"/>
        <v>Below thresholds</v>
      </c>
      <c r="J955" t="str">
        <f t="shared" si="74"/>
        <v/>
      </c>
    </row>
    <row r="956" spans="1:10" x14ac:dyDescent="0.2">
      <c r="A956">
        <v>226950862194</v>
      </c>
      <c r="B956" t="s">
        <v>2633</v>
      </c>
      <c r="C956" t="s">
        <v>2634</v>
      </c>
      <c r="D956">
        <v>2.4900000000000002</v>
      </c>
      <c r="F956" t="str">
        <f t="shared" si="70"/>
        <v>No</v>
      </c>
      <c r="G956" t="str">
        <f t="shared" si="71"/>
        <v/>
      </c>
      <c r="H956" t="str">
        <f t="shared" si="72"/>
        <v>—</v>
      </c>
      <c r="I956" t="str">
        <f t="shared" si="73"/>
        <v>Below thresholds</v>
      </c>
      <c r="J956" t="str">
        <f t="shared" si="74"/>
        <v/>
      </c>
    </row>
    <row r="957" spans="1:10" x14ac:dyDescent="0.2">
      <c r="A957">
        <v>226950862224</v>
      </c>
      <c r="B957" t="s">
        <v>2635</v>
      </c>
      <c r="C957" t="s">
        <v>2636</v>
      </c>
      <c r="D957">
        <v>2</v>
      </c>
      <c r="F957" t="str">
        <f t="shared" si="70"/>
        <v>No</v>
      </c>
      <c r="G957" t="str">
        <f t="shared" si="71"/>
        <v/>
      </c>
      <c r="H957" t="str">
        <f t="shared" si="72"/>
        <v>—</v>
      </c>
      <c r="I957" t="str">
        <f t="shared" si="73"/>
        <v>Below thresholds</v>
      </c>
      <c r="J957" t="str">
        <f t="shared" si="74"/>
        <v/>
      </c>
    </row>
    <row r="958" spans="1:10" x14ac:dyDescent="0.2">
      <c r="A958">
        <v>226950862292</v>
      </c>
      <c r="B958" t="s">
        <v>2571</v>
      </c>
      <c r="C958" t="s">
        <v>2637</v>
      </c>
      <c r="D958">
        <v>2</v>
      </c>
      <c r="F958" t="str">
        <f t="shared" si="70"/>
        <v>No</v>
      </c>
      <c r="G958" t="str">
        <f t="shared" si="71"/>
        <v/>
      </c>
      <c r="H958" t="str">
        <f t="shared" si="72"/>
        <v>—</v>
      </c>
      <c r="I958" t="str">
        <f t="shared" si="73"/>
        <v>Below thresholds</v>
      </c>
      <c r="J958" t="str">
        <f t="shared" si="74"/>
        <v/>
      </c>
    </row>
    <row r="959" spans="1:10" x14ac:dyDescent="0.2">
      <c r="A959">
        <v>226950862304</v>
      </c>
      <c r="B959" t="s">
        <v>2638</v>
      </c>
      <c r="C959" t="s">
        <v>2639</v>
      </c>
      <c r="D959">
        <v>2.4900000000000002</v>
      </c>
      <c r="F959" t="str">
        <f t="shared" si="70"/>
        <v>No</v>
      </c>
      <c r="G959" t="str">
        <f t="shared" si="71"/>
        <v/>
      </c>
      <c r="H959" t="str">
        <f t="shared" si="72"/>
        <v>—</v>
      </c>
      <c r="I959" t="str">
        <f t="shared" si="73"/>
        <v>Below thresholds</v>
      </c>
      <c r="J959" t="str">
        <f t="shared" si="74"/>
        <v/>
      </c>
    </row>
    <row r="960" spans="1:10" x14ac:dyDescent="0.2">
      <c r="A960">
        <v>226950862341</v>
      </c>
      <c r="B960" t="s">
        <v>2640</v>
      </c>
      <c r="C960" t="s">
        <v>2641</v>
      </c>
      <c r="D960">
        <v>2.89</v>
      </c>
      <c r="F960" t="str">
        <f t="shared" si="70"/>
        <v>No</v>
      </c>
      <c r="G960" t="str">
        <f t="shared" si="71"/>
        <v/>
      </c>
      <c r="H960" t="str">
        <f t="shared" si="72"/>
        <v>—</v>
      </c>
      <c r="I960" t="str">
        <f t="shared" si="73"/>
        <v>Below thresholds</v>
      </c>
      <c r="J960" t="str">
        <f t="shared" si="74"/>
        <v/>
      </c>
    </row>
    <row r="961" spans="1:10" x14ac:dyDescent="0.2">
      <c r="A961">
        <v>226950862359</v>
      </c>
      <c r="B961" t="s">
        <v>2642</v>
      </c>
      <c r="C961" t="s">
        <v>2643</v>
      </c>
      <c r="D961">
        <v>2</v>
      </c>
      <c r="F961" t="str">
        <f t="shared" si="70"/>
        <v>No</v>
      </c>
      <c r="G961" t="str">
        <f t="shared" si="71"/>
        <v/>
      </c>
      <c r="H961" t="str">
        <f t="shared" si="72"/>
        <v>—</v>
      </c>
      <c r="I961" t="str">
        <f t="shared" si="73"/>
        <v>Below thresholds</v>
      </c>
      <c r="J961" t="str">
        <f t="shared" si="74"/>
        <v/>
      </c>
    </row>
    <row r="962" spans="1:10" x14ac:dyDescent="0.2">
      <c r="A962">
        <v>226950862430</v>
      </c>
      <c r="B962" t="s">
        <v>2644</v>
      </c>
      <c r="C962" t="s">
        <v>2645</v>
      </c>
      <c r="D962">
        <v>2</v>
      </c>
      <c r="F962" t="str">
        <f t="shared" si="70"/>
        <v>No</v>
      </c>
      <c r="G962" t="str">
        <f t="shared" si="71"/>
        <v/>
      </c>
      <c r="H962" t="str">
        <f t="shared" si="72"/>
        <v>—</v>
      </c>
      <c r="I962" t="str">
        <f t="shared" si="73"/>
        <v>Below thresholds</v>
      </c>
      <c r="J962" t="str">
        <f t="shared" si="74"/>
        <v/>
      </c>
    </row>
    <row r="963" spans="1:10" x14ac:dyDescent="0.2">
      <c r="A963">
        <v>226950862449</v>
      </c>
      <c r="B963" t="s">
        <v>2646</v>
      </c>
      <c r="C963" t="s">
        <v>2647</v>
      </c>
      <c r="D963">
        <v>2.29</v>
      </c>
      <c r="F963" t="str">
        <f t="shared" si="70"/>
        <v>No</v>
      </c>
      <c r="G963" t="str">
        <f t="shared" si="71"/>
        <v/>
      </c>
      <c r="H963" t="str">
        <f t="shared" si="72"/>
        <v>—</v>
      </c>
      <c r="I963" t="str">
        <f t="shared" si="73"/>
        <v>Below thresholds</v>
      </c>
      <c r="J963" t="str">
        <f t="shared" si="74"/>
        <v/>
      </c>
    </row>
    <row r="964" spans="1:10" x14ac:dyDescent="0.2">
      <c r="A964">
        <v>226950862535</v>
      </c>
      <c r="B964" t="s">
        <v>2648</v>
      </c>
      <c r="C964" t="s">
        <v>2649</v>
      </c>
      <c r="D964">
        <v>2</v>
      </c>
      <c r="F964" t="str">
        <f t="shared" si="70"/>
        <v>No</v>
      </c>
      <c r="G964" t="str">
        <f t="shared" si="71"/>
        <v/>
      </c>
      <c r="H964" t="str">
        <f t="shared" si="72"/>
        <v>—</v>
      </c>
      <c r="I964" t="str">
        <f t="shared" si="73"/>
        <v>Below thresholds</v>
      </c>
      <c r="J964" t="str">
        <f t="shared" si="74"/>
        <v/>
      </c>
    </row>
    <row r="965" spans="1:10" x14ac:dyDescent="0.2">
      <c r="A965">
        <v>226950862631</v>
      </c>
      <c r="B965" t="s">
        <v>2650</v>
      </c>
      <c r="C965" t="s">
        <v>2651</v>
      </c>
      <c r="D965">
        <v>2</v>
      </c>
      <c r="F965" t="str">
        <f t="shared" ref="F965:F1028" si="75">IF($B965="","",IF(ISNUMBER(SEARCH("PSA",$B965)),"Yes","No"))</f>
        <v>No</v>
      </c>
      <c r="G965" t="str">
        <f t="shared" ref="G965:G1028" si="76">IF($B965="","",IF(ISNUMBER(SEARCH("PSA 10",$B965)),10,IF(ISNUMBER(SEARCH("PSA 9.5",$B965)),9.5,IF(ISNUMBER(SEARCH("PSA 9",$B965)),9,IF(ISNUMBER(SEARCH("PSA 8",$B965)),8,IF(ISNUMBER(SEARCH("PSA",$B965)),"&lt;9",""))))))</f>
        <v/>
      </c>
      <c r="H965" t="str">
        <f t="shared" ref="H965:H1028" si="77">IF($B965="","",IF($D965&gt;=100,"TIER 2",IF(OR(ISNUMBER(SEARCH("PSA 10",$B965)),ISNUMBER(SEARCH("PSA 9.5",$B965)),ISNUMBER(SEARCH("PSA 9",$B965))),"TIER 3",IF(AND($D965&gt;20,N($E965)&gt;=15),"TIER 1","—"))))</f>
        <v>—</v>
      </c>
      <c r="I965" t="str">
        <f t="shared" ref="I965:I1028" si="78">IF($B965="","",IF($D965&gt;=100,"Premium $100+ (auto)",IF(OR(ISNUMBER(SEARCH("PSA 10",$B965)),ISNUMBER(SEARCH("PSA 9.5",$B965)),ISNUMBER(SEARCH("PSA 9",$B965))),"Graded PSA 9+ (auto)",IF(AND($D965&gt;20,N($E965)&gt;=15),"Hot: $20+ &amp; "&amp;$E965&amp;"/day",IF($D965&gt;20,"$20+ — needs velocity check","Below thresholds")))))</f>
        <v>Below thresholds</v>
      </c>
      <c r="J965" t="str">
        <f t="shared" ref="J965:J1028" si="79">IF($B965="","",IF(AND($D965&gt;20,$D965&lt;100,NOT(OR(ISNUMBER(SEARCH("PSA 10",$B965)),ISNUMBER(SEARCH("PSA 9.5",$B965)),ISNUMBER(SEARCH("PSA 9",$B965)))),$E965=""),"YES — pull CardHedger",""))</f>
        <v/>
      </c>
    </row>
    <row r="966" spans="1:10" x14ac:dyDescent="0.2">
      <c r="A966">
        <v>226950862639</v>
      </c>
      <c r="B966" t="s">
        <v>2652</v>
      </c>
      <c r="C966" t="s">
        <v>2653</v>
      </c>
      <c r="D966">
        <v>2</v>
      </c>
      <c r="F966" t="str">
        <f t="shared" si="75"/>
        <v>No</v>
      </c>
      <c r="G966" t="str">
        <f t="shared" si="76"/>
        <v/>
      </c>
      <c r="H966" t="str">
        <f t="shared" si="77"/>
        <v>—</v>
      </c>
      <c r="I966" t="str">
        <f t="shared" si="78"/>
        <v>Below thresholds</v>
      </c>
      <c r="J966" t="str">
        <f t="shared" si="79"/>
        <v/>
      </c>
    </row>
    <row r="967" spans="1:10" x14ac:dyDescent="0.2">
      <c r="A967">
        <v>226950862698</v>
      </c>
      <c r="B967" t="s">
        <v>2654</v>
      </c>
      <c r="C967" t="s">
        <v>2655</v>
      </c>
      <c r="D967">
        <v>2</v>
      </c>
      <c r="F967" t="str">
        <f t="shared" si="75"/>
        <v>No</v>
      </c>
      <c r="G967" t="str">
        <f t="shared" si="76"/>
        <v/>
      </c>
      <c r="H967" t="str">
        <f t="shared" si="77"/>
        <v>—</v>
      </c>
      <c r="I967" t="str">
        <f t="shared" si="78"/>
        <v>Below thresholds</v>
      </c>
      <c r="J967" t="str">
        <f t="shared" si="79"/>
        <v/>
      </c>
    </row>
    <row r="968" spans="1:10" x14ac:dyDescent="0.2">
      <c r="A968">
        <v>226950862708</v>
      </c>
      <c r="B968" t="s">
        <v>2656</v>
      </c>
      <c r="C968" t="s">
        <v>2657</v>
      </c>
      <c r="D968">
        <v>2</v>
      </c>
      <c r="F968" t="str">
        <f t="shared" si="75"/>
        <v>No</v>
      </c>
      <c r="G968" t="str">
        <f t="shared" si="76"/>
        <v/>
      </c>
      <c r="H968" t="str">
        <f t="shared" si="77"/>
        <v>—</v>
      </c>
      <c r="I968" t="str">
        <f t="shared" si="78"/>
        <v>Below thresholds</v>
      </c>
      <c r="J968" t="str">
        <f t="shared" si="79"/>
        <v/>
      </c>
    </row>
    <row r="969" spans="1:10" x14ac:dyDescent="0.2">
      <c r="A969">
        <v>226950862769</v>
      </c>
      <c r="B969" t="s">
        <v>2658</v>
      </c>
      <c r="C969" t="s">
        <v>2659</v>
      </c>
      <c r="D969">
        <v>2</v>
      </c>
      <c r="F969" t="str">
        <f t="shared" si="75"/>
        <v>No</v>
      </c>
      <c r="G969" t="str">
        <f t="shared" si="76"/>
        <v/>
      </c>
      <c r="H969" t="str">
        <f t="shared" si="77"/>
        <v>—</v>
      </c>
      <c r="I969" t="str">
        <f t="shared" si="78"/>
        <v>Below thresholds</v>
      </c>
      <c r="J969" t="str">
        <f t="shared" si="79"/>
        <v/>
      </c>
    </row>
    <row r="970" spans="1:10" x14ac:dyDescent="0.2">
      <c r="A970">
        <v>226950862785</v>
      </c>
      <c r="B970" t="s">
        <v>2660</v>
      </c>
      <c r="C970" t="s">
        <v>2661</v>
      </c>
      <c r="D970">
        <v>2</v>
      </c>
      <c r="F970" t="str">
        <f t="shared" si="75"/>
        <v>No</v>
      </c>
      <c r="G970" t="str">
        <f t="shared" si="76"/>
        <v/>
      </c>
      <c r="H970" t="str">
        <f t="shared" si="77"/>
        <v>—</v>
      </c>
      <c r="I970" t="str">
        <f t="shared" si="78"/>
        <v>Below thresholds</v>
      </c>
      <c r="J970" t="str">
        <f t="shared" si="79"/>
        <v/>
      </c>
    </row>
    <row r="971" spans="1:10" x14ac:dyDescent="0.2">
      <c r="A971">
        <v>226950862836</v>
      </c>
      <c r="B971" t="s">
        <v>2662</v>
      </c>
      <c r="C971" t="s">
        <v>2663</v>
      </c>
      <c r="D971">
        <v>2.39</v>
      </c>
      <c r="F971" t="str">
        <f t="shared" si="75"/>
        <v>No</v>
      </c>
      <c r="G971" t="str">
        <f t="shared" si="76"/>
        <v/>
      </c>
      <c r="H971" t="str">
        <f t="shared" si="77"/>
        <v>—</v>
      </c>
      <c r="I971" t="str">
        <f t="shared" si="78"/>
        <v>Below thresholds</v>
      </c>
      <c r="J971" t="str">
        <f t="shared" si="79"/>
        <v/>
      </c>
    </row>
    <row r="972" spans="1:10" x14ac:dyDescent="0.2">
      <c r="A972">
        <v>226950862859</v>
      </c>
      <c r="B972" t="s">
        <v>2664</v>
      </c>
      <c r="C972" t="s">
        <v>2665</v>
      </c>
      <c r="D972">
        <v>2</v>
      </c>
      <c r="F972" t="str">
        <f t="shared" si="75"/>
        <v>No</v>
      </c>
      <c r="G972" t="str">
        <f t="shared" si="76"/>
        <v/>
      </c>
      <c r="H972" t="str">
        <f t="shared" si="77"/>
        <v>—</v>
      </c>
      <c r="I972" t="str">
        <f t="shared" si="78"/>
        <v>Below thresholds</v>
      </c>
      <c r="J972" t="str">
        <f t="shared" si="79"/>
        <v/>
      </c>
    </row>
    <row r="973" spans="1:10" x14ac:dyDescent="0.2">
      <c r="A973">
        <v>226950862894</v>
      </c>
      <c r="B973" t="s">
        <v>2666</v>
      </c>
      <c r="C973" t="s">
        <v>2667</v>
      </c>
      <c r="D973">
        <v>2.29</v>
      </c>
      <c r="F973" t="str">
        <f t="shared" si="75"/>
        <v>No</v>
      </c>
      <c r="G973" t="str">
        <f t="shared" si="76"/>
        <v/>
      </c>
      <c r="H973" t="str">
        <f t="shared" si="77"/>
        <v>—</v>
      </c>
      <c r="I973" t="str">
        <f t="shared" si="78"/>
        <v>Below thresholds</v>
      </c>
      <c r="J973" t="str">
        <f t="shared" si="79"/>
        <v/>
      </c>
    </row>
    <row r="974" spans="1:10" x14ac:dyDescent="0.2">
      <c r="A974">
        <v>226950862909</v>
      </c>
      <c r="B974" t="s">
        <v>2668</v>
      </c>
      <c r="C974" t="s">
        <v>2669</v>
      </c>
      <c r="D974">
        <v>2.89</v>
      </c>
      <c r="F974" t="str">
        <f t="shared" si="75"/>
        <v>No</v>
      </c>
      <c r="G974" t="str">
        <f t="shared" si="76"/>
        <v/>
      </c>
      <c r="H974" t="str">
        <f t="shared" si="77"/>
        <v>—</v>
      </c>
      <c r="I974" t="str">
        <f t="shared" si="78"/>
        <v>Below thresholds</v>
      </c>
      <c r="J974" t="str">
        <f t="shared" si="79"/>
        <v/>
      </c>
    </row>
    <row r="975" spans="1:10" x14ac:dyDescent="0.2">
      <c r="A975">
        <v>226951048631</v>
      </c>
      <c r="B975" t="s">
        <v>2670</v>
      </c>
      <c r="C975" t="s">
        <v>2671</v>
      </c>
      <c r="D975">
        <v>2.99</v>
      </c>
      <c r="F975" t="str">
        <f t="shared" si="75"/>
        <v>No</v>
      </c>
      <c r="G975" t="str">
        <f t="shared" si="76"/>
        <v/>
      </c>
      <c r="H975" t="str">
        <f t="shared" si="77"/>
        <v>—</v>
      </c>
      <c r="I975" t="str">
        <f t="shared" si="78"/>
        <v>Below thresholds</v>
      </c>
      <c r="J975" t="str">
        <f t="shared" si="79"/>
        <v/>
      </c>
    </row>
    <row r="976" spans="1:10" x14ac:dyDescent="0.2">
      <c r="A976">
        <v>226951048849</v>
      </c>
      <c r="B976" t="s">
        <v>2672</v>
      </c>
      <c r="C976" t="s">
        <v>2673</v>
      </c>
      <c r="D976">
        <v>10.99</v>
      </c>
      <c r="F976" t="str">
        <f t="shared" si="75"/>
        <v>No</v>
      </c>
      <c r="G976" t="str">
        <f t="shared" si="76"/>
        <v/>
      </c>
      <c r="H976" t="str">
        <f t="shared" si="77"/>
        <v>—</v>
      </c>
      <c r="I976" t="str">
        <f t="shared" si="78"/>
        <v>Below thresholds</v>
      </c>
      <c r="J976" t="str">
        <f t="shared" si="79"/>
        <v/>
      </c>
    </row>
    <row r="977" spans="1:10" x14ac:dyDescent="0.2">
      <c r="A977">
        <v>226951102447</v>
      </c>
      <c r="B977" t="s">
        <v>2674</v>
      </c>
      <c r="C977" t="s">
        <v>2675</v>
      </c>
      <c r="D977">
        <v>4.5</v>
      </c>
      <c r="F977" t="str">
        <f t="shared" si="75"/>
        <v>No</v>
      </c>
      <c r="G977" t="str">
        <f t="shared" si="76"/>
        <v/>
      </c>
      <c r="H977" t="str">
        <f t="shared" si="77"/>
        <v>—</v>
      </c>
      <c r="I977" t="str">
        <f t="shared" si="78"/>
        <v>Below thresholds</v>
      </c>
      <c r="J977" t="str">
        <f t="shared" si="79"/>
        <v/>
      </c>
    </row>
    <row r="978" spans="1:10" x14ac:dyDescent="0.2">
      <c r="A978">
        <v>226951102537</v>
      </c>
      <c r="B978" t="s">
        <v>2676</v>
      </c>
      <c r="C978" t="s">
        <v>2677</v>
      </c>
      <c r="D978">
        <v>5.5</v>
      </c>
      <c r="F978" t="str">
        <f t="shared" si="75"/>
        <v>No</v>
      </c>
      <c r="G978" t="str">
        <f t="shared" si="76"/>
        <v/>
      </c>
      <c r="H978" t="str">
        <f t="shared" si="77"/>
        <v>—</v>
      </c>
      <c r="I978" t="str">
        <f t="shared" si="78"/>
        <v>Below thresholds</v>
      </c>
      <c r="J978" t="str">
        <f t="shared" si="79"/>
        <v/>
      </c>
    </row>
    <row r="979" spans="1:10" x14ac:dyDescent="0.2">
      <c r="A979">
        <v>226951102543</v>
      </c>
      <c r="B979" t="s">
        <v>2678</v>
      </c>
      <c r="C979" t="s">
        <v>2679</v>
      </c>
      <c r="D979">
        <v>2.4900000000000002</v>
      </c>
      <c r="F979" t="str">
        <f t="shared" si="75"/>
        <v>No</v>
      </c>
      <c r="G979" t="str">
        <f t="shared" si="76"/>
        <v/>
      </c>
      <c r="H979" t="str">
        <f t="shared" si="77"/>
        <v>—</v>
      </c>
      <c r="I979" t="str">
        <f t="shared" si="78"/>
        <v>Below thresholds</v>
      </c>
      <c r="J979" t="str">
        <f t="shared" si="79"/>
        <v/>
      </c>
    </row>
    <row r="980" spans="1:10" x14ac:dyDescent="0.2">
      <c r="A980">
        <v>226951102596</v>
      </c>
      <c r="B980" t="s">
        <v>2680</v>
      </c>
      <c r="C980" t="s">
        <v>2681</v>
      </c>
      <c r="D980">
        <v>4.99</v>
      </c>
      <c r="F980" t="str">
        <f t="shared" si="75"/>
        <v>No</v>
      </c>
      <c r="G980" t="str">
        <f t="shared" si="76"/>
        <v/>
      </c>
      <c r="H980" t="str">
        <f t="shared" si="77"/>
        <v>—</v>
      </c>
      <c r="I980" t="str">
        <f t="shared" si="78"/>
        <v>Below thresholds</v>
      </c>
      <c r="J980" t="str">
        <f t="shared" si="79"/>
        <v/>
      </c>
    </row>
    <row r="981" spans="1:10" x14ac:dyDescent="0.2">
      <c r="A981">
        <v>226951102616</v>
      </c>
      <c r="B981" t="s">
        <v>2682</v>
      </c>
      <c r="C981" t="s">
        <v>2683</v>
      </c>
      <c r="D981">
        <v>4.5</v>
      </c>
      <c r="F981" t="str">
        <f t="shared" si="75"/>
        <v>No</v>
      </c>
      <c r="G981" t="str">
        <f t="shared" si="76"/>
        <v/>
      </c>
      <c r="H981" t="str">
        <f t="shared" si="77"/>
        <v>—</v>
      </c>
      <c r="I981" t="str">
        <f t="shared" si="78"/>
        <v>Below thresholds</v>
      </c>
      <c r="J981" t="str">
        <f t="shared" si="79"/>
        <v/>
      </c>
    </row>
    <row r="982" spans="1:10" x14ac:dyDescent="0.2">
      <c r="A982">
        <v>226951102668</v>
      </c>
      <c r="B982" t="s">
        <v>2684</v>
      </c>
      <c r="C982" t="s">
        <v>2685</v>
      </c>
      <c r="D982">
        <v>3.55</v>
      </c>
      <c r="F982" t="str">
        <f t="shared" si="75"/>
        <v>No</v>
      </c>
      <c r="G982" t="str">
        <f t="shared" si="76"/>
        <v/>
      </c>
      <c r="H982" t="str">
        <f t="shared" si="77"/>
        <v>—</v>
      </c>
      <c r="I982" t="str">
        <f t="shared" si="78"/>
        <v>Below thresholds</v>
      </c>
      <c r="J982" t="str">
        <f t="shared" si="79"/>
        <v/>
      </c>
    </row>
    <row r="983" spans="1:10" x14ac:dyDescent="0.2">
      <c r="A983">
        <v>226951102691</v>
      </c>
      <c r="B983" t="s">
        <v>2686</v>
      </c>
      <c r="C983" t="s">
        <v>2687</v>
      </c>
      <c r="D983">
        <v>5.45</v>
      </c>
      <c r="F983" t="str">
        <f t="shared" si="75"/>
        <v>No</v>
      </c>
      <c r="G983" t="str">
        <f t="shared" si="76"/>
        <v/>
      </c>
      <c r="H983" t="str">
        <f t="shared" si="77"/>
        <v>—</v>
      </c>
      <c r="I983" t="str">
        <f t="shared" si="78"/>
        <v>Below thresholds</v>
      </c>
      <c r="J983" t="str">
        <f t="shared" si="79"/>
        <v/>
      </c>
    </row>
    <row r="984" spans="1:10" x14ac:dyDescent="0.2">
      <c r="A984">
        <v>226951102726</v>
      </c>
      <c r="B984" t="s">
        <v>2688</v>
      </c>
      <c r="C984" t="s">
        <v>2689</v>
      </c>
      <c r="D984">
        <v>2.25</v>
      </c>
      <c r="F984" t="str">
        <f t="shared" si="75"/>
        <v>No</v>
      </c>
      <c r="G984" t="str">
        <f t="shared" si="76"/>
        <v/>
      </c>
      <c r="H984" t="str">
        <f t="shared" si="77"/>
        <v>—</v>
      </c>
      <c r="I984" t="str">
        <f t="shared" si="78"/>
        <v>Below thresholds</v>
      </c>
      <c r="J984" t="str">
        <f t="shared" si="79"/>
        <v/>
      </c>
    </row>
    <row r="985" spans="1:10" x14ac:dyDescent="0.2">
      <c r="A985">
        <v>226951102739</v>
      </c>
      <c r="B985" t="s">
        <v>2690</v>
      </c>
      <c r="C985" t="s">
        <v>2691</v>
      </c>
      <c r="D985">
        <v>2.09</v>
      </c>
      <c r="F985" t="str">
        <f t="shared" si="75"/>
        <v>No</v>
      </c>
      <c r="G985" t="str">
        <f t="shared" si="76"/>
        <v/>
      </c>
      <c r="H985" t="str">
        <f t="shared" si="77"/>
        <v>—</v>
      </c>
      <c r="I985" t="str">
        <f t="shared" si="78"/>
        <v>Below thresholds</v>
      </c>
      <c r="J985" t="str">
        <f t="shared" si="79"/>
        <v/>
      </c>
    </row>
    <row r="986" spans="1:10" x14ac:dyDescent="0.2">
      <c r="A986">
        <v>226951102773</v>
      </c>
      <c r="B986" t="s">
        <v>2692</v>
      </c>
      <c r="C986" t="s">
        <v>2693</v>
      </c>
      <c r="D986">
        <v>2.09</v>
      </c>
      <c r="F986" t="str">
        <f t="shared" si="75"/>
        <v>No</v>
      </c>
      <c r="G986" t="str">
        <f t="shared" si="76"/>
        <v/>
      </c>
      <c r="H986" t="str">
        <f t="shared" si="77"/>
        <v>—</v>
      </c>
      <c r="I986" t="str">
        <f t="shared" si="78"/>
        <v>Below thresholds</v>
      </c>
      <c r="J986" t="str">
        <f t="shared" si="79"/>
        <v/>
      </c>
    </row>
    <row r="987" spans="1:10" x14ac:dyDescent="0.2">
      <c r="A987">
        <v>226951102792</v>
      </c>
      <c r="B987" t="s">
        <v>2694</v>
      </c>
      <c r="C987" t="s">
        <v>2695</v>
      </c>
      <c r="D987">
        <v>1.99</v>
      </c>
      <c r="F987" t="str">
        <f t="shared" si="75"/>
        <v>No</v>
      </c>
      <c r="G987" t="str">
        <f t="shared" si="76"/>
        <v/>
      </c>
      <c r="H987" t="str">
        <f t="shared" si="77"/>
        <v>—</v>
      </c>
      <c r="I987" t="str">
        <f t="shared" si="78"/>
        <v>Below thresholds</v>
      </c>
      <c r="J987" t="str">
        <f t="shared" si="79"/>
        <v/>
      </c>
    </row>
    <row r="988" spans="1:10" x14ac:dyDescent="0.2">
      <c r="A988">
        <v>226952851187</v>
      </c>
      <c r="B988" t="s">
        <v>2696</v>
      </c>
      <c r="C988" t="s">
        <v>2697</v>
      </c>
      <c r="D988">
        <v>1.49</v>
      </c>
      <c r="F988" t="str">
        <f t="shared" si="75"/>
        <v>No</v>
      </c>
      <c r="G988" t="str">
        <f t="shared" si="76"/>
        <v/>
      </c>
      <c r="H988" t="str">
        <f t="shared" si="77"/>
        <v>—</v>
      </c>
      <c r="I988" t="str">
        <f t="shared" si="78"/>
        <v>Below thresholds</v>
      </c>
      <c r="J988" t="str">
        <f t="shared" si="79"/>
        <v/>
      </c>
    </row>
    <row r="989" spans="1:10" x14ac:dyDescent="0.2">
      <c r="A989">
        <v>226952851270</v>
      </c>
      <c r="B989" t="s">
        <v>2698</v>
      </c>
      <c r="C989" t="s">
        <v>2699</v>
      </c>
      <c r="D989">
        <v>1.79</v>
      </c>
      <c r="F989" t="str">
        <f t="shared" si="75"/>
        <v>No</v>
      </c>
      <c r="G989" t="str">
        <f t="shared" si="76"/>
        <v/>
      </c>
      <c r="H989" t="str">
        <f t="shared" si="77"/>
        <v>—</v>
      </c>
      <c r="I989" t="str">
        <f t="shared" si="78"/>
        <v>Below thresholds</v>
      </c>
      <c r="J989" t="str">
        <f t="shared" si="79"/>
        <v/>
      </c>
    </row>
    <row r="990" spans="1:10" x14ac:dyDescent="0.2">
      <c r="A990">
        <v>226952851414</v>
      </c>
      <c r="B990" t="s">
        <v>2700</v>
      </c>
      <c r="C990" t="s">
        <v>2701</v>
      </c>
      <c r="D990">
        <v>1.5</v>
      </c>
      <c r="F990" t="str">
        <f t="shared" si="75"/>
        <v>No</v>
      </c>
      <c r="G990" t="str">
        <f t="shared" si="76"/>
        <v/>
      </c>
      <c r="H990" t="str">
        <f t="shared" si="77"/>
        <v>—</v>
      </c>
      <c r="I990" t="str">
        <f t="shared" si="78"/>
        <v>Below thresholds</v>
      </c>
      <c r="J990" t="str">
        <f t="shared" si="79"/>
        <v/>
      </c>
    </row>
    <row r="991" spans="1:10" x14ac:dyDescent="0.2">
      <c r="A991">
        <v>226952851587</v>
      </c>
      <c r="B991" t="s">
        <v>2702</v>
      </c>
      <c r="C991" t="s">
        <v>2703</v>
      </c>
      <c r="D991">
        <v>1.99</v>
      </c>
      <c r="F991" t="str">
        <f t="shared" si="75"/>
        <v>No</v>
      </c>
      <c r="G991" t="str">
        <f t="shared" si="76"/>
        <v/>
      </c>
      <c r="H991" t="str">
        <f t="shared" si="77"/>
        <v>—</v>
      </c>
      <c r="I991" t="str">
        <f t="shared" si="78"/>
        <v>Below thresholds</v>
      </c>
      <c r="J991" t="str">
        <f t="shared" si="79"/>
        <v/>
      </c>
    </row>
    <row r="992" spans="1:10" x14ac:dyDescent="0.2">
      <c r="A992">
        <v>226952851818</v>
      </c>
      <c r="B992" t="s">
        <v>2704</v>
      </c>
      <c r="C992" t="s">
        <v>2705</v>
      </c>
      <c r="D992">
        <v>2.75</v>
      </c>
      <c r="F992" t="str">
        <f t="shared" si="75"/>
        <v>No</v>
      </c>
      <c r="G992" t="str">
        <f t="shared" si="76"/>
        <v/>
      </c>
      <c r="H992" t="str">
        <f t="shared" si="77"/>
        <v>—</v>
      </c>
      <c r="I992" t="str">
        <f t="shared" si="78"/>
        <v>Below thresholds</v>
      </c>
      <c r="J992" t="str">
        <f t="shared" si="79"/>
        <v/>
      </c>
    </row>
    <row r="993" spans="1:10" x14ac:dyDescent="0.2">
      <c r="A993">
        <v>226952852010</v>
      </c>
      <c r="B993" t="s">
        <v>2706</v>
      </c>
      <c r="C993" t="s">
        <v>2707</v>
      </c>
      <c r="D993">
        <v>1.5</v>
      </c>
      <c r="F993" t="str">
        <f t="shared" si="75"/>
        <v>No</v>
      </c>
      <c r="G993" t="str">
        <f t="shared" si="76"/>
        <v/>
      </c>
      <c r="H993" t="str">
        <f t="shared" si="77"/>
        <v>—</v>
      </c>
      <c r="I993" t="str">
        <f t="shared" si="78"/>
        <v>Below thresholds</v>
      </c>
      <c r="J993" t="str">
        <f t="shared" si="79"/>
        <v/>
      </c>
    </row>
    <row r="994" spans="1:10" x14ac:dyDescent="0.2">
      <c r="A994">
        <v>226952852192</v>
      </c>
      <c r="B994" t="s">
        <v>2708</v>
      </c>
      <c r="C994" t="s">
        <v>2709</v>
      </c>
      <c r="D994">
        <v>2.99</v>
      </c>
      <c r="F994" t="str">
        <f t="shared" si="75"/>
        <v>No</v>
      </c>
      <c r="G994" t="str">
        <f t="shared" si="76"/>
        <v/>
      </c>
      <c r="H994" t="str">
        <f t="shared" si="77"/>
        <v>—</v>
      </c>
      <c r="I994" t="str">
        <f t="shared" si="78"/>
        <v>Below thresholds</v>
      </c>
      <c r="J994" t="str">
        <f t="shared" si="79"/>
        <v/>
      </c>
    </row>
    <row r="995" spans="1:10" x14ac:dyDescent="0.2">
      <c r="A995">
        <v>226952874568</v>
      </c>
      <c r="B995" t="s">
        <v>2710</v>
      </c>
      <c r="C995" t="s">
        <v>2711</v>
      </c>
      <c r="D995">
        <v>2</v>
      </c>
      <c r="F995" t="str">
        <f t="shared" si="75"/>
        <v>No</v>
      </c>
      <c r="G995" t="str">
        <f t="shared" si="76"/>
        <v/>
      </c>
      <c r="H995" t="str">
        <f t="shared" si="77"/>
        <v>—</v>
      </c>
      <c r="I995" t="str">
        <f t="shared" si="78"/>
        <v>Below thresholds</v>
      </c>
      <c r="J995" t="str">
        <f t="shared" si="79"/>
        <v/>
      </c>
    </row>
    <row r="996" spans="1:10" x14ac:dyDescent="0.2">
      <c r="A996">
        <v>226952874683</v>
      </c>
      <c r="B996" t="s">
        <v>2712</v>
      </c>
      <c r="C996" t="s">
        <v>2713</v>
      </c>
      <c r="D996">
        <v>2</v>
      </c>
      <c r="F996" t="str">
        <f t="shared" si="75"/>
        <v>No</v>
      </c>
      <c r="G996" t="str">
        <f t="shared" si="76"/>
        <v/>
      </c>
      <c r="H996" t="str">
        <f t="shared" si="77"/>
        <v>—</v>
      </c>
      <c r="I996" t="str">
        <f t="shared" si="78"/>
        <v>Below thresholds</v>
      </c>
      <c r="J996" t="str">
        <f t="shared" si="79"/>
        <v/>
      </c>
    </row>
    <row r="997" spans="1:10" x14ac:dyDescent="0.2">
      <c r="A997">
        <v>226952874705</v>
      </c>
      <c r="B997" t="s">
        <v>2714</v>
      </c>
      <c r="C997" t="s">
        <v>2715</v>
      </c>
      <c r="D997">
        <v>2</v>
      </c>
      <c r="F997" t="str">
        <f t="shared" si="75"/>
        <v>No</v>
      </c>
      <c r="G997" t="str">
        <f t="shared" si="76"/>
        <v/>
      </c>
      <c r="H997" t="str">
        <f t="shared" si="77"/>
        <v>—</v>
      </c>
      <c r="I997" t="str">
        <f t="shared" si="78"/>
        <v>Below thresholds</v>
      </c>
      <c r="J997" t="str">
        <f t="shared" si="79"/>
        <v/>
      </c>
    </row>
    <row r="998" spans="1:10" x14ac:dyDescent="0.2">
      <c r="A998">
        <v>226952874750</v>
      </c>
      <c r="B998" t="s">
        <v>2716</v>
      </c>
      <c r="C998" t="s">
        <v>2717</v>
      </c>
      <c r="D998">
        <v>2</v>
      </c>
      <c r="F998" t="str">
        <f t="shared" si="75"/>
        <v>No</v>
      </c>
      <c r="G998" t="str">
        <f t="shared" si="76"/>
        <v/>
      </c>
      <c r="H998" t="str">
        <f t="shared" si="77"/>
        <v>—</v>
      </c>
      <c r="I998" t="str">
        <f t="shared" si="78"/>
        <v>Below thresholds</v>
      </c>
      <c r="J998" t="str">
        <f t="shared" si="79"/>
        <v/>
      </c>
    </row>
    <row r="999" spans="1:10" x14ac:dyDescent="0.2">
      <c r="A999">
        <v>226952874906</v>
      </c>
      <c r="B999" t="s">
        <v>2718</v>
      </c>
      <c r="C999" t="s">
        <v>2719</v>
      </c>
      <c r="D999">
        <v>2</v>
      </c>
      <c r="F999" t="str">
        <f t="shared" si="75"/>
        <v>No</v>
      </c>
      <c r="G999" t="str">
        <f t="shared" si="76"/>
        <v/>
      </c>
      <c r="H999" t="str">
        <f t="shared" si="77"/>
        <v>—</v>
      </c>
      <c r="I999" t="str">
        <f t="shared" si="78"/>
        <v>Below thresholds</v>
      </c>
      <c r="J999" t="str">
        <f t="shared" si="79"/>
        <v/>
      </c>
    </row>
    <row r="1000" spans="1:10" x14ac:dyDescent="0.2">
      <c r="A1000">
        <v>226952874926</v>
      </c>
      <c r="B1000" t="s">
        <v>2720</v>
      </c>
      <c r="C1000" t="s">
        <v>2721</v>
      </c>
      <c r="D1000">
        <v>2</v>
      </c>
      <c r="F1000" t="str">
        <f t="shared" si="75"/>
        <v>No</v>
      </c>
      <c r="G1000" t="str">
        <f t="shared" si="76"/>
        <v/>
      </c>
      <c r="H1000" t="str">
        <f t="shared" si="77"/>
        <v>—</v>
      </c>
      <c r="I1000" t="str">
        <f t="shared" si="78"/>
        <v>Below thresholds</v>
      </c>
      <c r="J1000" t="str">
        <f t="shared" si="79"/>
        <v/>
      </c>
    </row>
    <row r="1001" spans="1:10" x14ac:dyDescent="0.2">
      <c r="A1001">
        <v>226952875023</v>
      </c>
      <c r="B1001" t="s">
        <v>2722</v>
      </c>
      <c r="C1001" t="s">
        <v>2723</v>
      </c>
      <c r="D1001">
        <v>2</v>
      </c>
      <c r="F1001" t="str">
        <f t="shared" si="75"/>
        <v>No</v>
      </c>
      <c r="G1001" t="str">
        <f t="shared" si="76"/>
        <v/>
      </c>
      <c r="H1001" t="str">
        <f t="shared" si="77"/>
        <v>—</v>
      </c>
      <c r="I1001" t="str">
        <f t="shared" si="78"/>
        <v>Below thresholds</v>
      </c>
      <c r="J1001" t="str">
        <f t="shared" si="79"/>
        <v/>
      </c>
    </row>
    <row r="1002" spans="1:10" x14ac:dyDescent="0.2">
      <c r="A1002">
        <v>226952875032</v>
      </c>
      <c r="B1002" t="s">
        <v>2724</v>
      </c>
      <c r="C1002" t="s">
        <v>2725</v>
      </c>
      <c r="D1002">
        <v>2</v>
      </c>
      <c r="F1002" t="str">
        <f t="shared" si="75"/>
        <v>No</v>
      </c>
      <c r="G1002" t="str">
        <f t="shared" si="76"/>
        <v/>
      </c>
      <c r="H1002" t="str">
        <f t="shared" si="77"/>
        <v>—</v>
      </c>
      <c r="I1002" t="str">
        <f t="shared" si="78"/>
        <v>Below thresholds</v>
      </c>
      <c r="J1002" t="str">
        <f t="shared" si="79"/>
        <v/>
      </c>
    </row>
    <row r="1003" spans="1:10" x14ac:dyDescent="0.2">
      <c r="A1003">
        <v>226952875120</v>
      </c>
      <c r="B1003" t="s">
        <v>2726</v>
      </c>
      <c r="C1003" t="s">
        <v>2727</v>
      </c>
      <c r="D1003">
        <v>2.4900000000000002</v>
      </c>
      <c r="F1003" t="str">
        <f t="shared" si="75"/>
        <v>No</v>
      </c>
      <c r="G1003" t="str">
        <f t="shared" si="76"/>
        <v/>
      </c>
      <c r="H1003" t="str">
        <f t="shared" si="77"/>
        <v>—</v>
      </c>
      <c r="I1003" t="str">
        <f t="shared" si="78"/>
        <v>Below thresholds</v>
      </c>
      <c r="J1003" t="str">
        <f t="shared" si="79"/>
        <v/>
      </c>
    </row>
    <row r="1004" spans="1:10" x14ac:dyDescent="0.2">
      <c r="A1004">
        <v>226952875143</v>
      </c>
      <c r="B1004" t="s">
        <v>2728</v>
      </c>
      <c r="C1004" t="s">
        <v>2729</v>
      </c>
      <c r="D1004">
        <v>2</v>
      </c>
      <c r="F1004" t="str">
        <f t="shared" si="75"/>
        <v>No</v>
      </c>
      <c r="G1004" t="str">
        <f t="shared" si="76"/>
        <v/>
      </c>
      <c r="H1004" t="str">
        <f t="shared" si="77"/>
        <v>—</v>
      </c>
      <c r="I1004" t="str">
        <f t="shared" si="78"/>
        <v>Below thresholds</v>
      </c>
      <c r="J1004" t="str">
        <f t="shared" si="79"/>
        <v/>
      </c>
    </row>
    <row r="1005" spans="1:10" x14ac:dyDescent="0.2">
      <c r="A1005">
        <v>226952875225</v>
      </c>
      <c r="B1005" t="s">
        <v>2730</v>
      </c>
      <c r="C1005" t="s">
        <v>2731</v>
      </c>
      <c r="D1005">
        <v>2</v>
      </c>
      <c r="F1005" t="str">
        <f t="shared" si="75"/>
        <v>No</v>
      </c>
      <c r="G1005" t="str">
        <f t="shared" si="76"/>
        <v/>
      </c>
      <c r="H1005" t="str">
        <f t="shared" si="77"/>
        <v>—</v>
      </c>
      <c r="I1005" t="str">
        <f t="shared" si="78"/>
        <v>Below thresholds</v>
      </c>
      <c r="J1005" t="str">
        <f t="shared" si="79"/>
        <v/>
      </c>
    </row>
    <row r="1006" spans="1:10" x14ac:dyDescent="0.2">
      <c r="A1006">
        <v>226952875287</v>
      </c>
      <c r="B1006" t="s">
        <v>2732</v>
      </c>
      <c r="C1006" t="s">
        <v>2733</v>
      </c>
      <c r="D1006">
        <v>2</v>
      </c>
      <c r="F1006" t="str">
        <f t="shared" si="75"/>
        <v>No</v>
      </c>
      <c r="G1006" t="str">
        <f t="shared" si="76"/>
        <v/>
      </c>
      <c r="H1006" t="str">
        <f t="shared" si="77"/>
        <v>—</v>
      </c>
      <c r="I1006" t="str">
        <f t="shared" si="78"/>
        <v>Below thresholds</v>
      </c>
      <c r="J1006" t="str">
        <f t="shared" si="79"/>
        <v/>
      </c>
    </row>
    <row r="1007" spans="1:10" x14ac:dyDescent="0.2">
      <c r="A1007">
        <v>226952875395</v>
      </c>
      <c r="B1007" t="s">
        <v>2734</v>
      </c>
      <c r="C1007" t="s">
        <v>2735</v>
      </c>
      <c r="D1007">
        <v>2</v>
      </c>
      <c r="F1007" t="str">
        <f t="shared" si="75"/>
        <v>No</v>
      </c>
      <c r="G1007" t="str">
        <f t="shared" si="76"/>
        <v/>
      </c>
      <c r="H1007" t="str">
        <f t="shared" si="77"/>
        <v>—</v>
      </c>
      <c r="I1007" t="str">
        <f t="shared" si="78"/>
        <v>Below thresholds</v>
      </c>
      <c r="J1007" t="str">
        <f t="shared" si="79"/>
        <v/>
      </c>
    </row>
    <row r="1008" spans="1:10" x14ac:dyDescent="0.2">
      <c r="A1008">
        <v>226952875498</v>
      </c>
      <c r="B1008" t="s">
        <v>2736</v>
      </c>
      <c r="C1008" t="s">
        <v>2737</v>
      </c>
      <c r="D1008">
        <v>2.29</v>
      </c>
      <c r="F1008" t="str">
        <f t="shared" si="75"/>
        <v>No</v>
      </c>
      <c r="G1008" t="str">
        <f t="shared" si="76"/>
        <v/>
      </c>
      <c r="H1008" t="str">
        <f t="shared" si="77"/>
        <v>—</v>
      </c>
      <c r="I1008" t="str">
        <f t="shared" si="78"/>
        <v>Below thresholds</v>
      </c>
      <c r="J1008" t="str">
        <f t="shared" si="79"/>
        <v/>
      </c>
    </row>
    <row r="1009" spans="1:10" x14ac:dyDescent="0.2">
      <c r="A1009">
        <v>226953319492</v>
      </c>
      <c r="B1009" t="s">
        <v>2738</v>
      </c>
      <c r="C1009" t="s">
        <v>2739</v>
      </c>
      <c r="D1009">
        <v>2.5</v>
      </c>
      <c r="F1009" t="str">
        <f t="shared" si="75"/>
        <v>No</v>
      </c>
      <c r="G1009" t="str">
        <f t="shared" si="76"/>
        <v/>
      </c>
      <c r="H1009" t="str">
        <f t="shared" si="77"/>
        <v>—</v>
      </c>
      <c r="I1009" t="str">
        <f t="shared" si="78"/>
        <v>Below thresholds</v>
      </c>
      <c r="J1009" t="str">
        <f t="shared" si="79"/>
        <v/>
      </c>
    </row>
    <row r="1010" spans="1:10" x14ac:dyDescent="0.2">
      <c r="A1010">
        <v>226953319563</v>
      </c>
      <c r="B1010" t="s">
        <v>2740</v>
      </c>
      <c r="C1010" t="s">
        <v>2741</v>
      </c>
      <c r="D1010">
        <v>6.5</v>
      </c>
      <c r="F1010" t="str">
        <f t="shared" si="75"/>
        <v>No</v>
      </c>
      <c r="G1010" t="str">
        <f t="shared" si="76"/>
        <v/>
      </c>
      <c r="H1010" t="str">
        <f t="shared" si="77"/>
        <v>—</v>
      </c>
      <c r="I1010" t="str">
        <f t="shared" si="78"/>
        <v>Below thresholds</v>
      </c>
      <c r="J1010" t="str">
        <f t="shared" si="79"/>
        <v/>
      </c>
    </row>
    <row r="1011" spans="1:10" x14ac:dyDescent="0.2">
      <c r="A1011">
        <v>226955091586</v>
      </c>
      <c r="B1011" t="s">
        <v>2742</v>
      </c>
      <c r="C1011" t="s">
        <v>2743</v>
      </c>
      <c r="D1011">
        <v>8.9499999999999993</v>
      </c>
      <c r="F1011" t="str">
        <f t="shared" si="75"/>
        <v>No</v>
      </c>
      <c r="G1011" t="str">
        <f t="shared" si="76"/>
        <v/>
      </c>
      <c r="H1011" t="str">
        <f t="shared" si="77"/>
        <v>—</v>
      </c>
      <c r="I1011" t="str">
        <f t="shared" si="78"/>
        <v>Below thresholds</v>
      </c>
      <c r="J1011" t="str">
        <f t="shared" si="79"/>
        <v/>
      </c>
    </row>
    <row r="1012" spans="1:10" x14ac:dyDescent="0.2">
      <c r="A1012">
        <v>226955266092</v>
      </c>
      <c r="B1012" t="s">
        <v>2744</v>
      </c>
      <c r="C1012" t="s">
        <v>2745</v>
      </c>
      <c r="D1012">
        <v>3.25</v>
      </c>
      <c r="F1012" t="str">
        <f t="shared" si="75"/>
        <v>No</v>
      </c>
      <c r="G1012" t="str">
        <f t="shared" si="76"/>
        <v/>
      </c>
      <c r="H1012" t="str">
        <f t="shared" si="77"/>
        <v>—</v>
      </c>
      <c r="I1012" t="str">
        <f t="shared" si="78"/>
        <v>Below thresholds</v>
      </c>
      <c r="J1012" t="str">
        <f t="shared" si="79"/>
        <v/>
      </c>
    </row>
    <row r="1013" spans="1:10" x14ac:dyDescent="0.2">
      <c r="A1013">
        <v>226956851267</v>
      </c>
      <c r="B1013" t="s">
        <v>2746</v>
      </c>
      <c r="C1013" t="s">
        <v>2747</v>
      </c>
      <c r="D1013">
        <v>1.99</v>
      </c>
      <c r="F1013" t="str">
        <f t="shared" si="75"/>
        <v>No</v>
      </c>
      <c r="G1013" t="str">
        <f t="shared" si="76"/>
        <v/>
      </c>
      <c r="H1013" t="str">
        <f t="shared" si="77"/>
        <v>—</v>
      </c>
      <c r="I1013" t="str">
        <f t="shared" si="78"/>
        <v>Below thresholds</v>
      </c>
      <c r="J1013" t="str">
        <f t="shared" si="79"/>
        <v/>
      </c>
    </row>
    <row r="1014" spans="1:10" x14ac:dyDescent="0.2">
      <c r="A1014">
        <v>226956853382</v>
      </c>
      <c r="B1014" t="s">
        <v>2748</v>
      </c>
      <c r="C1014" t="s">
        <v>2749</v>
      </c>
      <c r="D1014">
        <v>1.99</v>
      </c>
      <c r="F1014" t="str">
        <f t="shared" si="75"/>
        <v>No</v>
      </c>
      <c r="G1014" t="str">
        <f t="shared" si="76"/>
        <v/>
      </c>
      <c r="H1014" t="str">
        <f t="shared" si="77"/>
        <v>—</v>
      </c>
      <c r="I1014" t="str">
        <f t="shared" si="78"/>
        <v>Below thresholds</v>
      </c>
      <c r="J1014" t="str">
        <f t="shared" si="79"/>
        <v/>
      </c>
    </row>
    <row r="1015" spans="1:10" x14ac:dyDescent="0.2">
      <c r="A1015">
        <v>226956855160</v>
      </c>
      <c r="B1015" t="s">
        <v>2750</v>
      </c>
      <c r="C1015" t="s">
        <v>2751</v>
      </c>
      <c r="D1015">
        <v>1.99</v>
      </c>
      <c r="F1015" t="str">
        <f t="shared" si="75"/>
        <v>No</v>
      </c>
      <c r="G1015" t="str">
        <f t="shared" si="76"/>
        <v/>
      </c>
      <c r="H1015" t="str">
        <f t="shared" si="77"/>
        <v>—</v>
      </c>
      <c r="I1015" t="str">
        <f t="shared" si="78"/>
        <v>Below thresholds</v>
      </c>
      <c r="J1015" t="str">
        <f t="shared" si="79"/>
        <v/>
      </c>
    </row>
    <row r="1016" spans="1:10" x14ac:dyDescent="0.2">
      <c r="A1016">
        <v>226956860350</v>
      </c>
      <c r="B1016" t="s">
        <v>2752</v>
      </c>
      <c r="C1016" t="s">
        <v>2753</v>
      </c>
      <c r="D1016">
        <v>1.99</v>
      </c>
      <c r="F1016" t="str">
        <f t="shared" si="75"/>
        <v>No</v>
      </c>
      <c r="G1016" t="str">
        <f t="shared" si="76"/>
        <v/>
      </c>
      <c r="H1016" t="str">
        <f t="shared" si="77"/>
        <v>—</v>
      </c>
      <c r="I1016" t="str">
        <f t="shared" si="78"/>
        <v>Below thresholds</v>
      </c>
      <c r="J1016" t="str">
        <f t="shared" si="79"/>
        <v/>
      </c>
    </row>
    <row r="1017" spans="1:10" x14ac:dyDescent="0.2">
      <c r="A1017">
        <v>226956871743</v>
      </c>
      <c r="B1017" t="s">
        <v>2754</v>
      </c>
      <c r="C1017" t="s">
        <v>2755</v>
      </c>
      <c r="D1017">
        <v>1.99</v>
      </c>
      <c r="F1017" t="str">
        <f t="shared" si="75"/>
        <v>No</v>
      </c>
      <c r="G1017" t="str">
        <f t="shared" si="76"/>
        <v/>
      </c>
      <c r="H1017" t="str">
        <f t="shared" si="77"/>
        <v>—</v>
      </c>
      <c r="I1017" t="str">
        <f t="shared" si="78"/>
        <v>Below thresholds</v>
      </c>
      <c r="J1017" t="str">
        <f t="shared" si="79"/>
        <v/>
      </c>
    </row>
    <row r="1018" spans="1:10" x14ac:dyDescent="0.2">
      <c r="A1018">
        <v>226956894079</v>
      </c>
      <c r="B1018" t="s">
        <v>2756</v>
      </c>
      <c r="C1018" t="s">
        <v>2757</v>
      </c>
      <c r="D1018">
        <v>2.4900000000000002</v>
      </c>
      <c r="F1018" t="str">
        <f t="shared" si="75"/>
        <v>No</v>
      </c>
      <c r="G1018" t="str">
        <f t="shared" si="76"/>
        <v/>
      </c>
      <c r="H1018" t="str">
        <f t="shared" si="77"/>
        <v>—</v>
      </c>
      <c r="I1018" t="str">
        <f t="shared" si="78"/>
        <v>Below thresholds</v>
      </c>
      <c r="J1018" t="str">
        <f t="shared" si="79"/>
        <v/>
      </c>
    </row>
    <row r="1019" spans="1:10" x14ac:dyDescent="0.2">
      <c r="A1019">
        <v>226957076476</v>
      </c>
      <c r="B1019" t="s">
        <v>2758</v>
      </c>
      <c r="C1019" t="s">
        <v>2759</v>
      </c>
      <c r="D1019">
        <v>4.5</v>
      </c>
      <c r="F1019" t="str">
        <f t="shared" si="75"/>
        <v>No</v>
      </c>
      <c r="G1019" t="str">
        <f t="shared" si="76"/>
        <v/>
      </c>
      <c r="H1019" t="str">
        <f t="shared" si="77"/>
        <v>—</v>
      </c>
      <c r="I1019" t="str">
        <f t="shared" si="78"/>
        <v>Below thresholds</v>
      </c>
      <c r="J1019" t="str">
        <f t="shared" si="79"/>
        <v/>
      </c>
    </row>
    <row r="1020" spans="1:10" x14ac:dyDescent="0.2">
      <c r="A1020">
        <v>226961744378</v>
      </c>
      <c r="B1020" t="s">
        <v>2760</v>
      </c>
      <c r="C1020" t="s">
        <v>2761</v>
      </c>
      <c r="D1020">
        <v>1.59</v>
      </c>
      <c r="F1020" t="str">
        <f t="shared" si="75"/>
        <v>No</v>
      </c>
      <c r="G1020" t="str">
        <f t="shared" si="76"/>
        <v/>
      </c>
      <c r="H1020" t="str">
        <f t="shared" si="77"/>
        <v>—</v>
      </c>
      <c r="I1020" t="str">
        <f t="shared" si="78"/>
        <v>Below thresholds</v>
      </c>
      <c r="J1020" t="str">
        <f t="shared" si="79"/>
        <v/>
      </c>
    </row>
    <row r="1021" spans="1:10" x14ac:dyDescent="0.2">
      <c r="A1021">
        <v>226961746734</v>
      </c>
      <c r="B1021" t="s">
        <v>2762</v>
      </c>
      <c r="C1021" t="s">
        <v>2763</v>
      </c>
      <c r="D1021">
        <v>1.59</v>
      </c>
      <c r="F1021" t="str">
        <f t="shared" si="75"/>
        <v>No</v>
      </c>
      <c r="G1021" t="str">
        <f t="shared" si="76"/>
        <v/>
      </c>
      <c r="H1021" t="str">
        <f t="shared" si="77"/>
        <v>—</v>
      </c>
      <c r="I1021" t="str">
        <f t="shared" si="78"/>
        <v>Below thresholds</v>
      </c>
      <c r="J1021" t="str">
        <f t="shared" si="79"/>
        <v/>
      </c>
    </row>
    <row r="1022" spans="1:10" x14ac:dyDescent="0.2">
      <c r="A1022">
        <v>226961750182</v>
      </c>
      <c r="B1022" t="s">
        <v>2764</v>
      </c>
      <c r="C1022" t="s">
        <v>2765</v>
      </c>
      <c r="D1022">
        <v>1.79</v>
      </c>
      <c r="F1022" t="str">
        <f t="shared" si="75"/>
        <v>No</v>
      </c>
      <c r="G1022" t="str">
        <f t="shared" si="76"/>
        <v/>
      </c>
      <c r="H1022" t="str">
        <f t="shared" si="77"/>
        <v>—</v>
      </c>
      <c r="I1022" t="str">
        <f t="shared" si="78"/>
        <v>Below thresholds</v>
      </c>
      <c r="J1022" t="str">
        <f t="shared" si="79"/>
        <v/>
      </c>
    </row>
    <row r="1023" spans="1:10" x14ac:dyDescent="0.2">
      <c r="A1023">
        <v>226961752677</v>
      </c>
      <c r="B1023" t="s">
        <v>2766</v>
      </c>
      <c r="C1023" t="s">
        <v>2767</v>
      </c>
      <c r="D1023">
        <v>1.99</v>
      </c>
      <c r="F1023" t="str">
        <f t="shared" si="75"/>
        <v>No</v>
      </c>
      <c r="G1023" t="str">
        <f t="shared" si="76"/>
        <v/>
      </c>
      <c r="H1023" t="str">
        <f t="shared" si="77"/>
        <v>—</v>
      </c>
      <c r="I1023" t="str">
        <f t="shared" si="78"/>
        <v>Below thresholds</v>
      </c>
      <c r="J1023" t="str">
        <f t="shared" si="79"/>
        <v/>
      </c>
    </row>
    <row r="1024" spans="1:10" x14ac:dyDescent="0.2">
      <c r="A1024">
        <v>226961754895</v>
      </c>
      <c r="B1024" t="s">
        <v>2768</v>
      </c>
      <c r="C1024" t="s">
        <v>2769</v>
      </c>
      <c r="D1024">
        <v>1.99</v>
      </c>
      <c r="F1024" t="str">
        <f t="shared" si="75"/>
        <v>No</v>
      </c>
      <c r="G1024" t="str">
        <f t="shared" si="76"/>
        <v/>
      </c>
      <c r="H1024" t="str">
        <f t="shared" si="77"/>
        <v>—</v>
      </c>
      <c r="I1024" t="str">
        <f t="shared" si="78"/>
        <v>Below thresholds</v>
      </c>
      <c r="J1024" t="str">
        <f t="shared" si="79"/>
        <v/>
      </c>
    </row>
    <row r="1025" spans="1:10" x14ac:dyDescent="0.2">
      <c r="A1025">
        <v>226961844353</v>
      </c>
      <c r="B1025" t="s">
        <v>2770</v>
      </c>
      <c r="C1025" t="s">
        <v>2771</v>
      </c>
      <c r="D1025">
        <v>1.99</v>
      </c>
      <c r="F1025" t="str">
        <f t="shared" si="75"/>
        <v>No</v>
      </c>
      <c r="G1025" t="str">
        <f t="shared" si="76"/>
        <v/>
      </c>
      <c r="H1025" t="str">
        <f t="shared" si="77"/>
        <v>—</v>
      </c>
      <c r="I1025" t="str">
        <f t="shared" si="78"/>
        <v>Below thresholds</v>
      </c>
      <c r="J1025" t="str">
        <f t="shared" si="79"/>
        <v/>
      </c>
    </row>
    <row r="1026" spans="1:10" x14ac:dyDescent="0.2">
      <c r="A1026">
        <v>226961844430</v>
      </c>
      <c r="B1026" t="s">
        <v>2772</v>
      </c>
      <c r="C1026" t="s">
        <v>2773</v>
      </c>
      <c r="D1026">
        <v>1.99</v>
      </c>
      <c r="F1026" t="str">
        <f t="shared" si="75"/>
        <v>No</v>
      </c>
      <c r="G1026" t="str">
        <f t="shared" si="76"/>
        <v/>
      </c>
      <c r="H1026" t="str">
        <f t="shared" si="77"/>
        <v>—</v>
      </c>
      <c r="I1026" t="str">
        <f t="shared" si="78"/>
        <v>Below thresholds</v>
      </c>
      <c r="J1026" t="str">
        <f t="shared" si="79"/>
        <v/>
      </c>
    </row>
    <row r="1027" spans="1:10" x14ac:dyDescent="0.2">
      <c r="A1027">
        <v>226961844432</v>
      </c>
      <c r="B1027" t="s">
        <v>2774</v>
      </c>
      <c r="C1027" t="s">
        <v>2775</v>
      </c>
      <c r="D1027">
        <v>1.99</v>
      </c>
      <c r="F1027" t="str">
        <f t="shared" si="75"/>
        <v>No</v>
      </c>
      <c r="G1027" t="str">
        <f t="shared" si="76"/>
        <v/>
      </c>
      <c r="H1027" t="str">
        <f t="shared" si="77"/>
        <v>—</v>
      </c>
      <c r="I1027" t="str">
        <f t="shared" si="78"/>
        <v>Below thresholds</v>
      </c>
      <c r="J1027" t="str">
        <f t="shared" si="79"/>
        <v/>
      </c>
    </row>
    <row r="1028" spans="1:10" x14ac:dyDescent="0.2">
      <c r="A1028">
        <v>226961844768</v>
      </c>
      <c r="B1028" t="s">
        <v>2776</v>
      </c>
      <c r="C1028" t="s">
        <v>2777</v>
      </c>
      <c r="D1028">
        <v>1.99</v>
      </c>
      <c r="F1028" t="str">
        <f t="shared" si="75"/>
        <v>No</v>
      </c>
      <c r="G1028" t="str">
        <f t="shared" si="76"/>
        <v/>
      </c>
      <c r="H1028" t="str">
        <f t="shared" si="77"/>
        <v>—</v>
      </c>
      <c r="I1028" t="str">
        <f t="shared" si="78"/>
        <v>Below thresholds</v>
      </c>
      <c r="J1028" t="str">
        <f t="shared" si="79"/>
        <v/>
      </c>
    </row>
    <row r="1029" spans="1:10" x14ac:dyDescent="0.2">
      <c r="A1029">
        <v>226961844810</v>
      </c>
      <c r="B1029" t="s">
        <v>2778</v>
      </c>
      <c r="C1029" t="s">
        <v>2779</v>
      </c>
      <c r="D1029">
        <v>1.99</v>
      </c>
      <c r="F1029" t="str">
        <f t="shared" ref="F1029:F1092" si="80">IF($B1029="","",IF(ISNUMBER(SEARCH("PSA",$B1029)),"Yes","No"))</f>
        <v>No</v>
      </c>
      <c r="G1029" t="str">
        <f t="shared" ref="G1029:G1092" si="81">IF($B1029="","",IF(ISNUMBER(SEARCH("PSA 10",$B1029)),10,IF(ISNUMBER(SEARCH("PSA 9.5",$B1029)),9.5,IF(ISNUMBER(SEARCH("PSA 9",$B1029)),9,IF(ISNUMBER(SEARCH("PSA 8",$B1029)),8,IF(ISNUMBER(SEARCH("PSA",$B1029)),"&lt;9",""))))))</f>
        <v/>
      </c>
      <c r="H1029" t="str">
        <f t="shared" ref="H1029:H1092" si="82">IF($B1029="","",IF($D1029&gt;=100,"TIER 2",IF(OR(ISNUMBER(SEARCH("PSA 10",$B1029)),ISNUMBER(SEARCH("PSA 9.5",$B1029)),ISNUMBER(SEARCH("PSA 9",$B1029))),"TIER 3",IF(AND($D1029&gt;20,N($E1029)&gt;=15),"TIER 1","—"))))</f>
        <v>—</v>
      </c>
      <c r="I1029" t="str">
        <f t="shared" ref="I1029:I1092" si="83">IF($B1029="","",IF($D1029&gt;=100,"Premium $100+ (auto)",IF(OR(ISNUMBER(SEARCH("PSA 10",$B1029)),ISNUMBER(SEARCH("PSA 9.5",$B1029)),ISNUMBER(SEARCH("PSA 9",$B1029))),"Graded PSA 9+ (auto)",IF(AND($D1029&gt;20,N($E1029)&gt;=15),"Hot: $20+ &amp; "&amp;$E1029&amp;"/day",IF($D1029&gt;20,"$20+ — needs velocity check","Below thresholds")))))</f>
        <v>Below thresholds</v>
      </c>
      <c r="J1029" t="str">
        <f t="shared" ref="J1029:J1092" si="84">IF($B1029="","",IF(AND($D1029&gt;20,$D1029&lt;100,NOT(OR(ISNUMBER(SEARCH("PSA 10",$B1029)),ISNUMBER(SEARCH("PSA 9.5",$B1029)),ISNUMBER(SEARCH("PSA 9",$B1029)))),$E1029=""),"YES — pull CardHedger",""))</f>
        <v/>
      </c>
    </row>
    <row r="1030" spans="1:10" x14ac:dyDescent="0.2">
      <c r="A1030">
        <v>226961844841</v>
      </c>
      <c r="B1030" t="s">
        <v>2780</v>
      </c>
      <c r="C1030" t="s">
        <v>2781</v>
      </c>
      <c r="D1030">
        <v>1.99</v>
      </c>
      <c r="F1030" t="str">
        <f t="shared" si="80"/>
        <v>No</v>
      </c>
      <c r="G1030" t="str">
        <f t="shared" si="81"/>
        <v/>
      </c>
      <c r="H1030" t="str">
        <f t="shared" si="82"/>
        <v>—</v>
      </c>
      <c r="I1030" t="str">
        <f t="shared" si="83"/>
        <v>Below thresholds</v>
      </c>
      <c r="J1030" t="str">
        <f t="shared" si="84"/>
        <v/>
      </c>
    </row>
    <row r="1031" spans="1:10" x14ac:dyDescent="0.2">
      <c r="A1031">
        <v>226961844971</v>
      </c>
      <c r="B1031" t="s">
        <v>2782</v>
      </c>
      <c r="C1031" t="s">
        <v>2783</v>
      </c>
      <c r="D1031">
        <v>1.99</v>
      </c>
      <c r="F1031" t="str">
        <f t="shared" si="80"/>
        <v>No</v>
      </c>
      <c r="G1031" t="str">
        <f t="shared" si="81"/>
        <v/>
      </c>
      <c r="H1031" t="str">
        <f t="shared" si="82"/>
        <v>—</v>
      </c>
      <c r="I1031" t="str">
        <f t="shared" si="83"/>
        <v>Below thresholds</v>
      </c>
      <c r="J1031" t="str">
        <f t="shared" si="84"/>
        <v/>
      </c>
    </row>
    <row r="1032" spans="1:10" x14ac:dyDescent="0.2">
      <c r="A1032">
        <v>226961845032</v>
      </c>
      <c r="B1032" t="s">
        <v>2784</v>
      </c>
      <c r="C1032" t="s">
        <v>2785</v>
      </c>
      <c r="D1032">
        <v>1.99</v>
      </c>
      <c r="F1032" t="str">
        <f t="shared" si="80"/>
        <v>No</v>
      </c>
      <c r="G1032" t="str">
        <f t="shared" si="81"/>
        <v/>
      </c>
      <c r="H1032" t="str">
        <f t="shared" si="82"/>
        <v>—</v>
      </c>
      <c r="I1032" t="str">
        <f t="shared" si="83"/>
        <v>Below thresholds</v>
      </c>
      <c r="J1032" t="str">
        <f t="shared" si="84"/>
        <v/>
      </c>
    </row>
    <row r="1033" spans="1:10" x14ac:dyDescent="0.2">
      <c r="A1033">
        <v>226961850134</v>
      </c>
      <c r="B1033" t="s">
        <v>2786</v>
      </c>
      <c r="C1033" t="s">
        <v>2787</v>
      </c>
      <c r="D1033">
        <v>1.99</v>
      </c>
      <c r="F1033" t="str">
        <f t="shared" si="80"/>
        <v>No</v>
      </c>
      <c r="G1033" t="str">
        <f t="shared" si="81"/>
        <v/>
      </c>
      <c r="H1033" t="str">
        <f t="shared" si="82"/>
        <v>—</v>
      </c>
      <c r="I1033" t="str">
        <f t="shared" si="83"/>
        <v>Below thresholds</v>
      </c>
      <c r="J1033" t="str">
        <f t="shared" si="84"/>
        <v/>
      </c>
    </row>
    <row r="1034" spans="1:10" x14ac:dyDescent="0.2">
      <c r="A1034">
        <v>226961850236</v>
      </c>
      <c r="B1034" t="s">
        <v>2788</v>
      </c>
      <c r="C1034" t="s">
        <v>2789</v>
      </c>
      <c r="D1034">
        <v>1.99</v>
      </c>
      <c r="F1034" t="str">
        <f t="shared" si="80"/>
        <v>No</v>
      </c>
      <c r="G1034" t="str">
        <f t="shared" si="81"/>
        <v/>
      </c>
      <c r="H1034" t="str">
        <f t="shared" si="82"/>
        <v>—</v>
      </c>
      <c r="I1034" t="str">
        <f t="shared" si="83"/>
        <v>Below thresholds</v>
      </c>
      <c r="J1034" t="str">
        <f t="shared" si="84"/>
        <v/>
      </c>
    </row>
    <row r="1035" spans="1:10" x14ac:dyDescent="0.2">
      <c r="A1035">
        <v>226961850254</v>
      </c>
      <c r="B1035" t="s">
        <v>2790</v>
      </c>
      <c r="C1035" t="s">
        <v>2791</v>
      </c>
      <c r="D1035">
        <v>1.99</v>
      </c>
      <c r="F1035" t="str">
        <f t="shared" si="80"/>
        <v>No</v>
      </c>
      <c r="G1035" t="str">
        <f t="shared" si="81"/>
        <v/>
      </c>
      <c r="H1035" t="str">
        <f t="shared" si="82"/>
        <v>—</v>
      </c>
      <c r="I1035" t="str">
        <f t="shared" si="83"/>
        <v>Below thresholds</v>
      </c>
      <c r="J1035" t="str">
        <f t="shared" si="84"/>
        <v/>
      </c>
    </row>
    <row r="1036" spans="1:10" x14ac:dyDescent="0.2">
      <c r="A1036">
        <v>226961850289</v>
      </c>
      <c r="B1036" t="s">
        <v>2792</v>
      </c>
      <c r="C1036" t="s">
        <v>2793</v>
      </c>
      <c r="D1036">
        <v>1.99</v>
      </c>
      <c r="F1036" t="str">
        <f t="shared" si="80"/>
        <v>No</v>
      </c>
      <c r="G1036" t="str">
        <f t="shared" si="81"/>
        <v/>
      </c>
      <c r="H1036" t="str">
        <f t="shared" si="82"/>
        <v>—</v>
      </c>
      <c r="I1036" t="str">
        <f t="shared" si="83"/>
        <v>Below thresholds</v>
      </c>
      <c r="J1036" t="str">
        <f t="shared" si="84"/>
        <v/>
      </c>
    </row>
    <row r="1037" spans="1:10" x14ac:dyDescent="0.2">
      <c r="A1037">
        <v>226961852277</v>
      </c>
      <c r="B1037" t="s">
        <v>2794</v>
      </c>
      <c r="C1037" t="s">
        <v>2795</v>
      </c>
      <c r="D1037">
        <v>2.59</v>
      </c>
      <c r="F1037" t="str">
        <f t="shared" si="80"/>
        <v>No</v>
      </c>
      <c r="G1037" t="str">
        <f t="shared" si="81"/>
        <v/>
      </c>
      <c r="H1037" t="str">
        <f t="shared" si="82"/>
        <v>—</v>
      </c>
      <c r="I1037" t="str">
        <f t="shared" si="83"/>
        <v>Below thresholds</v>
      </c>
      <c r="J1037" t="str">
        <f t="shared" si="84"/>
        <v/>
      </c>
    </row>
    <row r="1038" spans="1:10" x14ac:dyDescent="0.2">
      <c r="A1038">
        <v>226961852323</v>
      </c>
      <c r="B1038" t="s">
        <v>2796</v>
      </c>
      <c r="C1038" t="s">
        <v>2797</v>
      </c>
      <c r="D1038">
        <v>1.99</v>
      </c>
      <c r="F1038" t="str">
        <f t="shared" si="80"/>
        <v>No</v>
      </c>
      <c r="G1038" t="str">
        <f t="shared" si="81"/>
        <v/>
      </c>
      <c r="H1038" t="str">
        <f t="shared" si="82"/>
        <v>—</v>
      </c>
      <c r="I1038" t="str">
        <f t="shared" si="83"/>
        <v>Below thresholds</v>
      </c>
      <c r="J1038" t="str">
        <f t="shared" si="84"/>
        <v/>
      </c>
    </row>
    <row r="1039" spans="1:10" x14ac:dyDescent="0.2">
      <c r="A1039">
        <v>226961852403</v>
      </c>
      <c r="B1039" t="s">
        <v>2798</v>
      </c>
      <c r="C1039" t="s">
        <v>2799</v>
      </c>
      <c r="D1039">
        <v>2.25</v>
      </c>
      <c r="F1039" t="str">
        <f t="shared" si="80"/>
        <v>No</v>
      </c>
      <c r="G1039" t="str">
        <f t="shared" si="81"/>
        <v/>
      </c>
      <c r="H1039" t="str">
        <f t="shared" si="82"/>
        <v>—</v>
      </c>
      <c r="I1039" t="str">
        <f t="shared" si="83"/>
        <v>Below thresholds</v>
      </c>
      <c r="J1039" t="str">
        <f t="shared" si="84"/>
        <v/>
      </c>
    </row>
    <row r="1040" spans="1:10" x14ac:dyDescent="0.2">
      <c r="A1040">
        <v>226961852482</v>
      </c>
      <c r="B1040" t="s">
        <v>2800</v>
      </c>
      <c r="C1040" t="s">
        <v>2801</v>
      </c>
      <c r="D1040">
        <v>1.99</v>
      </c>
      <c r="F1040" t="str">
        <f t="shared" si="80"/>
        <v>No</v>
      </c>
      <c r="G1040" t="str">
        <f t="shared" si="81"/>
        <v/>
      </c>
      <c r="H1040" t="str">
        <f t="shared" si="82"/>
        <v>—</v>
      </c>
      <c r="I1040" t="str">
        <f t="shared" si="83"/>
        <v>Below thresholds</v>
      </c>
      <c r="J1040" t="str">
        <f t="shared" si="84"/>
        <v/>
      </c>
    </row>
    <row r="1041" spans="1:10" x14ac:dyDescent="0.2">
      <c r="A1041">
        <v>226961852529</v>
      </c>
      <c r="B1041" t="s">
        <v>2802</v>
      </c>
      <c r="C1041" t="s">
        <v>2803</v>
      </c>
      <c r="D1041">
        <v>2.09</v>
      </c>
      <c r="F1041" t="str">
        <f t="shared" si="80"/>
        <v>No</v>
      </c>
      <c r="G1041" t="str">
        <f t="shared" si="81"/>
        <v/>
      </c>
      <c r="H1041" t="str">
        <f t="shared" si="82"/>
        <v>—</v>
      </c>
      <c r="I1041" t="str">
        <f t="shared" si="83"/>
        <v>Below thresholds</v>
      </c>
      <c r="J1041" t="str">
        <f t="shared" si="84"/>
        <v/>
      </c>
    </row>
    <row r="1042" spans="1:10" x14ac:dyDescent="0.2">
      <c r="A1042">
        <v>226961852748</v>
      </c>
      <c r="B1042" t="s">
        <v>2804</v>
      </c>
      <c r="C1042" t="s">
        <v>2805</v>
      </c>
      <c r="D1042">
        <v>2.09</v>
      </c>
      <c r="F1042" t="str">
        <f t="shared" si="80"/>
        <v>No</v>
      </c>
      <c r="G1042" t="str">
        <f t="shared" si="81"/>
        <v/>
      </c>
      <c r="H1042" t="str">
        <f t="shared" si="82"/>
        <v>—</v>
      </c>
      <c r="I1042" t="str">
        <f t="shared" si="83"/>
        <v>Below thresholds</v>
      </c>
      <c r="J1042" t="str">
        <f t="shared" si="84"/>
        <v/>
      </c>
    </row>
    <row r="1043" spans="1:10" x14ac:dyDescent="0.2">
      <c r="A1043">
        <v>226961852806</v>
      </c>
      <c r="B1043" t="s">
        <v>2806</v>
      </c>
      <c r="C1043" t="s">
        <v>2807</v>
      </c>
      <c r="D1043">
        <v>1.99</v>
      </c>
      <c r="F1043" t="str">
        <f t="shared" si="80"/>
        <v>No</v>
      </c>
      <c r="G1043" t="str">
        <f t="shared" si="81"/>
        <v/>
      </c>
      <c r="H1043" t="str">
        <f t="shared" si="82"/>
        <v>—</v>
      </c>
      <c r="I1043" t="str">
        <f t="shared" si="83"/>
        <v>Below thresholds</v>
      </c>
      <c r="J1043" t="str">
        <f t="shared" si="84"/>
        <v/>
      </c>
    </row>
    <row r="1044" spans="1:10" x14ac:dyDescent="0.2">
      <c r="A1044">
        <v>226961852849</v>
      </c>
      <c r="B1044" t="s">
        <v>2808</v>
      </c>
      <c r="C1044" t="s">
        <v>2809</v>
      </c>
      <c r="D1044">
        <v>1.99</v>
      </c>
      <c r="F1044" t="str">
        <f t="shared" si="80"/>
        <v>No</v>
      </c>
      <c r="G1044" t="str">
        <f t="shared" si="81"/>
        <v/>
      </c>
      <c r="H1044" t="str">
        <f t="shared" si="82"/>
        <v>—</v>
      </c>
      <c r="I1044" t="str">
        <f t="shared" si="83"/>
        <v>Below thresholds</v>
      </c>
      <c r="J1044" t="str">
        <f t="shared" si="84"/>
        <v/>
      </c>
    </row>
    <row r="1045" spans="1:10" x14ac:dyDescent="0.2">
      <c r="A1045">
        <v>226961853231</v>
      </c>
      <c r="B1045" t="s">
        <v>2810</v>
      </c>
      <c r="C1045" t="s">
        <v>2811</v>
      </c>
      <c r="D1045">
        <v>1.99</v>
      </c>
      <c r="F1045" t="str">
        <f t="shared" si="80"/>
        <v>No</v>
      </c>
      <c r="G1045" t="str">
        <f t="shared" si="81"/>
        <v/>
      </c>
      <c r="H1045" t="str">
        <f t="shared" si="82"/>
        <v>—</v>
      </c>
      <c r="I1045" t="str">
        <f t="shared" si="83"/>
        <v>Below thresholds</v>
      </c>
      <c r="J1045" t="str">
        <f t="shared" si="84"/>
        <v/>
      </c>
    </row>
    <row r="1046" spans="1:10" x14ac:dyDescent="0.2">
      <c r="A1046">
        <v>226961853275</v>
      </c>
      <c r="B1046" t="s">
        <v>2812</v>
      </c>
      <c r="C1046" t="s">
        <v>2813</v>
      </c>
      <c r="D1046">
        <v>1.99</v>
      </c>
      <c r="F1046" t="str">
        <f t="shared" si="80"/>
        <v>No</v>
      </c>
      <c r="G1046" t="str">
        <f t="shared" si="81"/>
        <v/>
      </c>
      <c r="H1046" t="str">
        <f t="shared" si="82"/>
        <v>—</v>
      </c>
      <c r="I1046" t="str">
        <f t="shared" si="83"/>
        <v>Below thresholds</v>
      </c>
      <c r="J1046" t="str">
        <f t="shared" si="84"/>
        <v/>
      </c>
    </row>
    <row r="1047" spans="1:10" x14ac:dyDescent="0.2">
      <c r="A1047">
        <v>226961853331</v>
      </c>
      <c r="B1047" t="s">
        <v>2814</v>
      </c>
      <c r="C1047" t="s">
        <v>2815</v>
      </c>
      <c r="D1047">
        <v>1.99</v>
      </c>
      <c r="F1047" t="str">
        <f t="shared" si="80"/>
        <v>No</v>
      </c>
      <c r="G1047" t="str">
        <f t="shared" si="81"/>
        <v/>
      </c>
      <c r="H1047" t="str">
        <f t="shared" si="82"/>
        <v>—</v>
      </c>
      <c r="I1047" t="str">
        <f t="shared" si="83"/>
        <v>Below thresholds</v>
      </c>
      <c r="J1047" t="str">
        <f t="shared" si="84"/>
        <v/>
      </c>
    </row>
    <row r="1048" spans="1:10" x14ac:dyDescent="0.2">
      <c r="A1048">
        <v>226961902794</v>
      </c>
      <c r="B1048" t="s">
        <v>2816</v>
      </c>
      <c r="C1048" t="s">
        <v>2817</v>
      </c>
      <c r="D1048">
        <v>2.79</v>
      </c>
      <c r="F1048" t="str">
        <f t="shared" si="80"/>
        <v>No</v>
      </c>
      <c r="G1048" t="str">
        <f t="shared" si="81"/>
        <v/>
      </c>
      <c r="H1048" t="str">
        <f t="shared" si="82"/>
        <v>—</v>
      </c>
      <c r="I1048" t="str">
        <f t="shared" si="83"/>
        <v>Below thresholds</v>
      </c>
      <c r="J1048" t="str">
        <f t="shared" si="84"/>
        <v/>
      </c>
    </row>
    <row r="1049" spans="1:10" x14ac:dyDescent="0.2">
      <c r="A1049">
        <v>226961902850</v>
      </c>
      <c r="B1049" t="s">
        <v>2818</v>
      </c>
      <c r="C1049" t="s">
        <v>2819</v>
      </c>
      <c r="D1049">
        <v>2.09</v>
      </c>
      <c r="F1049" t="str">
        <f t="shared" si="80"/>
        <v>No</v>
      </c>
      <c r="G1049" t="str">
        <f t="shared" si="81"/>
        <v/>
      </c>
      <c r="H1049" t="str">
        <f t="shared" si="82"/>
        <v>—</v>
      </c>
      <c r="I1049" t="str">
        <f t="shared" si="83"/>
        <v>Below thresholds</v>
      </c>
      <c r="J1049" t="str">
        <f t="shared" si="84"/>
        <v/>
      </c>
    </row>
    <row r="1050" spans="1:10" x14ac:dyDescent="0.2">
      <c r="A1050">
        <v>226961902868</v>
      </c>
      <c r="B1050" t="s">
        <v>2820</v>
      </c>
      <c r="C1050" t="s">
        <v>2821</v>
      </c>
      <c r="D1050">
        <v>5.89</v>
      </c>
      <c r="F1050" t="str">
        <f t="shared" si="80"/>
        <v>No</v>
      </c>
      <c r="G1050" t="str">
        <f t="shared" si="81"/>
        <v/>
      </c>
      <c r="H1050" t="str">
        <f t="shared" si="82"/>
        <v>—</v>
      </c>
      <c r="I1050" t="str">
        <f t="shared" si="83"/>
        <v>Below thresholds</v>
      </c>
      <c r="J1050" t="str">
        <f t="shared" si="84"/>
        <v/>
      </c>
    </row>
    <row r="1051" spans="1:10" x14ac:dyDescent="0.2">
      <c r="A1051">
        <v>226961902907</v>
      </c>
      <c r="B1051" t="s">
        <v>2822</v>
      </c>
      <c r="C1051" t="s">
        <v>2823</v>
      </c>
      <c r="D1051">
        <v>10.99</v>
      </c>
      <c r="F1051" t="str">
        <f t="shared" si="80"/>
        <v>No</v>
      </c>
      <c r="G1051" t="str">
        <f t="shared" si="81"/>
        <v/>
      </c>
      <c r="H1051" t="str">
        <f t="shared" si="82"/>
        <v>—</v>
      </c>
      <c r="I1051" t="str">
        <f t="shared" si="83"/>
        <v>Below thresholds</v>
      </c>
      <c r="J1051" t="str">
        <f t="shared" si="84"/>
        <v/>
      </c>
    </row>
    <row r="1052" spans="1:10" x14ac:dyDescent="0.2">
      <c r="A1052">
        <v>226962828497</v>
      </c>
      <c r="B1052" t="s">
        <v>2824</v>
      </c>
      <c r="C1052" t="s">
        <v>2825</v>
      </c>
      <c r="D1052">
        <v>2.79</v>
      </c>
      <c r="F1052" t="str">
        <f t="shared" si="80"/>
        <v>No</v>
      </c>
      <c r="G1052" t="str">
        <f t="shared" si="81"/>
        <v/>
      </c>
      <c r="H1052" t="str">
        <f t="shared" si="82"/>
        <v>—</v>
      </c>
      <c r="I1052" t="str">
        <f t="shared" si="83"/>
        <v>Below thresholds</v>
      </c>
      <c r="J1052" t="str">
        <f t="shared" si="84"/>
        <v/>
      </c>
    </row>
    <row r="1053" spans="1:10" x14ac:dyDescent="0.2">
      <c r="A1053">
        <v>226962828543</v>
      </c>
      <c r="B1053" t="s">
        <v>2826</v>
      </c>
      <c r="C1053" t="s">
        <v>2827</v>
      </c>
      <c r="D1053">
        <v>2.69</v>
      </c>
      <c r="F1053" t="str">
        <f t="shared" si="80"/>
        <v>No</v>
      </c>
      <c r="G1053" t="str">
        <f t="shared" si="81"/>
        <v/>
      </c>
      <c r="H1053" t="str">
        <f t="shared" si="82"/>
        <v>—</v>
      </c>
      <c r="I1053" t="str">
        <f t="shared" si="83"/>
        <v>Below thresholds</v>
      </c>
      <c r="J1053" t="str">
        <f t="shared" si="84"/>
        <v/>
      </c>
    </row>
    <row r="1054" spans="1:10" x14ac:dyDescent="0.2">
      <c r="A1054">
        <v>226962828599</v>
      </c>
      <c r="B1054" t="s">
        <v>2828</v>
      </c>
      <c r="C1054" t="s">
        <v>2829</v>
      </c>
      <c r="D1054">
        <v>2.09</v>
      </c>
      <c r="F1054" t="str">
        <f t="shared" si="80"/>
        <v>No</v>
      </c>
      <c r="G1054" t="str">
        <f t="shared" si="81"/>
        <v/>
      </c>
      <c r="H1054" t="str">
        <f t="shared" si="82"/>
        <v>—</v>
      </c>
      <c r="I1054" t="str">
        <f t="shared" si="83"/>
        <v>Below thresholds</v>
      </c>
      <c r="J1054" t="str">
        <f t="shared" si="84"/>
        <v/>
      </c>
    </row>
    <row r="1055" spans="1:10" x14ac:dyDescent="0.2">
      <c r="A1055">
        <v>226962828668</v>
      </c>
      <c r="B1055" t="s">
        <v>2830</v>
      </c>
      <c r="C1055" t="s">
        <v>2831</v>
      </c>
      <c r="D1055">
        <v>2.09</v>
      </c>
      <c r="F1055" t="str">
        <f t="shared" si="80"/>
        <v>No</v>
      </c>
      <c r="G1055" t="str">
        <f t="shared" si="81"/>
        <v/>
      </c>
      <c r="H1055" t="str">
        <f t="shared" si="82"/>
        <v>—</v>
      </c>
      <c r="I1055" t="str">
        <f t="shared" si="83"/>
        <v>Below thresholds</v>
      </c>
      <c r="J1055" t="str">
        <f t="shared" si="84"/>
        <v/>
      </c>
    </row>
    <row r="1056" spans="1:10" x14ac:dyDescent="0.2">
      <c r="A1056">
        <v>226962828734</v>
      </c>
      <c r="B1056" t="s">
        <v>2832</v>
      </c>
      <c r="C1056" t="s">
        <v>2833</v>
      </c>
      <c r="D1056">
        <v>2.19</v>
      </c>
      <c r="F1056" t="str">
        <f t="shared" si="80"/>
        <v>No</v>
      </c>
      <c r="G1056" t="str">
        <f t="shared" si="81"/>
        <v/>
      </c>
      <c r="H1056" t="str">
        <f t="shared" si="82"/>
        <v>—</v>
      </c>
      <c r="I1056" t="str">
        <f t="shared" si="83"/>
        <v>Below thresholds</v>
      </c>
      <c r="J1056" t="str">
        <f t="shared" si="84"/>
        <v/>
      </c>
    </row>
    <row r="1057" spans="1:10" x14ac:dyDescent="0.2">
      <c r="A1057">
        <v>226962828788</v>
      </c>
      <c r="B1057" t="s">
        <v>2834</v>
      </c>
      <c r="C1057" t="s">
        <v>2835</v>
      </c>
      <c r="D1057">
        <v>2.09</v>
      </c>
      <c r="F1057" t="str">
        <f t="shared" si="80"/>
        <v>No</v>
      </c>
      <c r="G1057" t="str">
        <f t="shared" si="81"/>
        <v/>
      </c>
      <c r="H1057" t="str">
        <f t="shared" si="82"/>
        <v>—</v>
      </c>
      <c r="I1057" t="str">
        <f t="shared" si="83"/>
        <v>Below thresholds</v>
      </c>
      <c r="J1057" t="str">
        <f t="shared" si="84"/>
        <v/>
      </c>
    </row>
    <row r="1058" spans="1:10" x14ac:dyDescent="0.2">
      <c r="A1058">
        <v>226962828813</v>
      </c>
      <c r="B1058" t="s">
        <v>2836</v>
      </c>
      <c r="C1058" t="s">
        <v>2837</v>
      </c>
      <c r="D1058">
        <v>2.09</v>
      </c>
      <c r="F1058" t="str">
        <f t="shared" si="80"/>
        <v>No</v>
      </c>
      <c r="G1058" t="str">
        <f t="shared" si="81"/>
        <v/>
      </c>
      <c r="H1058" t="str">
        <f t="shared" si="82"/>
        <v>—</v>
      </c>
      <c r="I1058" t="str">
        <f t="shared" si="83"/>
        <v>Below thresholds</v>
      </c>
      <c r="J1058" t="str">
        <f t="shared" si="84"/>
        <v/>
      </c>
    </row>
    <row r="1059" spans="1:10" x14ac:dyDescent="0.2">
      <c r="A1059">
        <v>226962828834</v>
      </c>
      <c r="B1059" t="s">
        <v>2838</v>
      </c>
      <c r="C1059" t="s">
        <v>2839</v>
      </c>
      <c r="D1059">
        <v>4.99</v>
      </c>
      <c r="F1059" t="str">
        <f t="shared" si="80"/>
        <v>No</v>
      </c>
      <c r="G1059" t="str">
        <f t="shared" si="81"/>
        <v/>
      </c>
      <c r="H1059" t="str">
        <f t="shared" si="82"/>
        <v>—</v>
      </c>
      <c r="I1059" t="str">
        <f t="shared" si="83"/>
        <v>Below thresholds</v>
      </c>
      <c r="J1059" t="str">
        <f t="shared" si="84"/>
        <v/>
      </c>
    </row>
    <row r="1060" spans="1:10" x14ac:dyDescent="0.2">
      <c r="A1060">
        <v>226962828870</v>
      </c>
      <c r="B1060" t="s">
        <v>2840</v>
      </c>
      <c r="C1060" t="s">
        <v>2841</v>
      </c>
      <c r="D1060">
        <v>2.09</v>
      </c>
      <c r="F1060" t="str">
        <f t="shared" si="80"/>
        <v>No</v>
      </c>
      <c r="G1060" t="str">
        <f t="shared" si="81"/>
        <v/>
      </c>
      <c r="H1060" t="str">
        <f t="shared" si="82"/>
        <v>—</v>
      </c>
      <c r="I1060" t="str">
        <f t="shared" si="83"/>
        <v>Below thresholds</v>
      </c>
      <c r="J1060" t="str">
        <f t="shared" si="84"/>
        <v/>
      </c>
    </row>
    <row r="1061" spans="1:10" x14ac:dyDescent="0.2">
      <c r="A1061">
        <v>226962828899</v>
      </c>
      <c r="B1061" t="s">
        <v>2842</v>
      </c>
      <c r="C1061" t="s">
        <v>2843</v>
      </c>
      <c r="D1061">
        <v>2.09</v>
      </c>
      <c r="F1061" t="str">
        <f t="shared" si="80"/>
        <v>No</v>
      </c>
      <c r="G1061" t="str">
        <f t="shared" si="81"/>
        <v/>
      </c>
      <c r="H1061" t="str">
        <f t="shared" si="82"/>
        <v>—</v>
      </c>
      <c r="I1061" t="str">
        <f t="shared" si="83"/>
        <v>Below thresholds</v>
      </c>
      <c r="J1061" t="str">
        <f t="shared" si="84"/>
        <v/>
      </c>
    </row>
    <row r="1062" spans="1:10" x14ac:dyDescent="0.2">
      <c r="A1062">
        <v>226962828938</v>
      </c>
      <c r="B1062" t="s">
        <v>2844</v>
      </c>
      <c r="C1062" t="s">
        <v>2845</v>
      </c>
      <c r="D1062">
        <v>2.39</v>
      </c>
      <c r="F1062" t="str">
        <f t="shared" si="80"/>
        <v>No</v>
      </c>
      <c r="G1062" t="str">
        <f t="shared" si="81"/>
        <v/>
      </c>
      <c r="H1062" t="str">
        <f t="shared" si="82"/>
        <v>—</v>
      </c>
      <c r="I1062" t="str">
        <f t="shared" si="83"/>
        <v>Below thresholds</v>
      </c>
      <c r="J1062" t="str">
        <f t="shared" si="84"/>
        <v/>
      </c>
    </row>
    <row r="1063" spans="1:10" x14ac:dyDescent="0.2">
      <c r="A1063">
        <v>226962828961</v>
      </c>
      <c r="B1063" t="s">
        <v>2846</v>
      </c>
      <c r="C1063" t="s">
        <v>2847</v>
      </c>
      <c r="D1063">
        <v>2.09</v>
      </c>
      <c r="F1063" t="str">
        <f t="shared" si="80"/>
        <v>No</v>
      </c>
      <c r="G1063" t="str">
        <f t="shared" si="81"/>
        <v/>
      </c>
      <c r="H1063" t="str">
        <f t="shared" si="82"/>
        <v>—</v>
      </c>
      <c r="I1063" t="str">
        <f t="shared" si="83"/>
        <v>Below thresholds</v>
      </c>
      <c r="J1063" t="str">
        <f t="shared" si="84"/>
        <v/>
      </c>
    </row>
    <row r="1064" spans="1:10" x14ac:dyDescent="0.2">
      <c r="A1064">
        <v>226962828995</v>
      </c>
      <c r="B1064" t="s">
        <v>2848</v>
      </c>
      <c r="C1064" t="s">
        <v>2849</v>
      </c>
      <c r="D1064">
        <v>2.29</v>
      </c>
      <c r="F1064" t="str">
        <f t="shared" si="80"/>
        <v>No</v>
      </c>
      <c r="G1064" t="str">
        <f t="shared" si="81"/>
        <v/>
      </c>
      <c r="H1064" t="str">
        <f t="shared" si="82"/>
        <v>—</v>
      </c>
      <c r="I1064" t="str">
        <f t="shared" si="83"/>
        <v>Below thresholds</v>
      </c>
      <c r="J1064" t="str">
        <f t="shared" si="84"/>
        <v/>
      </c>
    </row>
    <row r="1065" spans="1:10" x14ac:dyDescent="0.2">
      <c r="A1065">
        <v>226962829042</v>
      </c>
      <c r="B1065" t="s">
        <v>2850</v>
      </c>
      <c r="C1065" t="s">
        <v>2851</v>
      </c>
      <c r="D1065">
        <v>2.09</v>
      </c>
      <c r="F1065" t="str">
        <f t="shared" si="80"/>
        <v>No</v>
      </c>
      <c r="G1065" t="str">
        <f t="shared" si="81"/>
        <v/>
      </c>
      <c r="H1065" t="str">
        <f t="shared" si="82"/>
        <v>—</v>
      </c>
      <c r="I1065" t="str">
        <f t="shared" si="83"/>
        <v>Below thresholds</v>
      </c>
      <c r="J1065" t="str">
        <f t="shared" si="84"/>
        <v/>
      </c>
    </row>
    <row r="1066" spans="1:10" x14ac:dyDescent="0.2">
      <c r="A1066">
        <v>226962829063</v>
      </c>
      <c r="B1066" t="s">
        <v>2852</v>
      </c>
      <c r="C1066" t="s">
        <v>2853</v>
      </c>
      <c r="D1066">
        <v>2.09</v>
      </c>
      <c r="F1066" t="str">
        <f t="shared" si="80"/>
        <v>No</v>
      </c>
      <c r="G1066" t="str">
        <f t="shared" si="81"/>
        <v/>
      </c>
      <c r="H1066" t="str">
        <f t="shared" si="82"/>
        <v>—</v>
      </c>
      <c r="I1066" t="str">
        <f t="shared" si="83"/>
        <v>Below thresholds</v>
      </c>
      <c r="J1066" t="str">
        <f t="shared" si="84"/>
        <v/>
      </c>
    </row>
    <row r="1067" spans="1:10" x14ac:dyDescent="0.2">
      <c r="A1067">
        <v>226962829086</v>
      </c>
      <c r="B1067" t="s">
        <v>2854</v>
      </c>
      <c r="C1067" t="s">
        <v>2855</v>
      </c>
      <c r="D1067">
        <v>2.19</v>
      </c>
      <c r="F1067" t="str">
        <f t="shared" si="80"/>
        <v>No</v>
      </c>
      <c r="G1067" t="str">
        <f t="shared" si="81"/>
        <v/>
      </c>
      <c r="H1067" t="str">
        <f t="shared" si="82"/>
        <v>—</v>
      </c>
      <c r="I1067" t="str">
        <f t="shared" si="83"/>
        <v>Below thresholds</v>
      </c>
      <c r="J1067" t="str">
        <f t="shared" si="84"/>
        <v/>
      </c>
    </row>
    <row r="1068" spans="1:10" x14ac:dyDescent="0.2">
      <c r="A1068">
        <v>226962829123</v>
      </c>
      <c r="B1068" t="s">
        <v>2856</v>
      </c>
      <c r="C1068" t="s">
        <v>2857</v>
      </c>
      <c r="D1068">
        <v>2.09</v>
      </c>
      <c r="F1068" t="str">
        <f t="shared" si="80"/>
        <v>No</v>
      </c>
      <c r="G1068" t="str">
        <f t="shared" si="81"/>
        <v/>
      </c>
      <c r="H1068" t="str">
        <f t="shared" si="82"/>
        <v>—</v>
      </c>
      <c r="I1068" t="str">
        <f t="shared" si="83"/>
        <v>Below thresholds</v>
      </c>
      <c r="J1068" t="str">
        <f t="shared" si="84"/>
        <v/>
      </c>
    </row>
    <row r="1069" spans="1:10" x14ac:dyDescent="0.2">
      <c r="A1069">
        <v>226962829153</v>
      </c>
      <c r="B1069" t="s">
        <v>2858</v>
      </c>
      <c r="C1069" t="s">
        <v>2859</v>
      </c>
      <c r="D1069">
        <v>2.09</v>
      </c>
      <c r="F1069" t="str">
        <f t="shared" si="80"/>
        <v>No</v>
      </c>
      <c r="G1069" t="str">
        <f t="shared" si="81"/>
        <v/>
      </c>
      <c r="H1069" t="str">
        <f t="shared" si="82"/>
        <v>—</v>
      </c>
      <c r="I1069" t="str">
        <f t="shared" si="83"/>
        <v>Below thresholds</v>
      </c>
      <c r="J1069" t="str">
        <f t="shared" si="84"/>
        <v/>
      </c>
    </row>
    <row r="1070" spans="1:10" x14ac:dyDescent="0.2">
      <c r="A1070">
        <v>226962829179</v>
      </c>
      <c r="B1070" t="s">
        <v>2860</v>
      </c>
      <c r="C1070" t="s">
        <v>2861</v>
      </c>
      <c r="D1070">
        <v>2.99</v>
      </c>
      <c r="F1070" t="str">
        <f t="shared" si="80"/>
        <v>No</v>
      </c>
      <c r="G1070" t="str">
        <f t="shared" si="81"/>
        <v/>
      </c>
      <c r="H1070" t="str">
        <f t="shared" si="82"/>
        <v>—</v>
      </c>
      <c r="I1070" t="str">
        <f t="shared" si="83"/>
        <v>Below thresholds</v>
      </c>
      <c r="J1070" t="str">
        <f t="shared" si="84"/>
        <v/>
      </c>
    </row>
    <row r="1071" spans="1:10" x14ac:dyDescent="0.2">
      <c r="A1071">
        <v>226962829229</v>
      </c>
      <c r="B1071" t="s">
        <v>2862</v>
      </c>
      <c r="C1071" t="s">
        <v>2863</v>
      </c>
      <c r="D1071">
        <v>2.09</v>
      </c>
      <c r="F1071" t="str">
        <f t="shared" si="80"/>
        <v>No</v>
      </c>
      <c r="G1071" t="str">
        <f t="shared" si="81"/>
        <v/>
      </c>
      <c r="H1071" t="str">
        <f t="shared" si="82"/>
        <v>—</v>
      </c>
      <c r="I1071" t="str">
        <f t="shared" si="83"/>
        <v>Below thresholds</v>
      </c>
      <c r="J1071" t="str">
        <f t="shared" si="84"/>
        <v/>
      </c>
    </row>
    <row r="1072" spans="1:10" x14ac:dyDescent="0.2">
      <c r="A1072">
        <v>226962829243</v>
      </c>
      <c r="B1072" t="s">
        <v>2864</v>
      </c>
      <c r="C1072" t="s">
        <v>2865</v>
      </c>
      <c r="D1072">
        <v>2.4900000000000002</v>
      </c>
      <c r="F1072" t="str">
        <f t="shared" si="80"/>
        <v>No</v>
      </c>
      <c r="G1072" t="str">
        <f t="shared" si="81"/>
        <v/>
      </c>
      <c r="H1072" t="str">
        <f t="shared" si="82"/>
        <v>—</v>
      </c>
      <c r="I1072" t="str">
        <f t="shared" si="83"/>
        <v>Below thresholds</v>
      </c>
      <c r="J1072" t="str">
        <f t="shared" si="84"/>
        <v/>
      </c>
    </row>
    <row r="1073" spans="1:10" x14ac:dyDescent="0.2">
      <c r="A1073">
        <v>226965092952</v>
      </c>
      <c r="B1073" t="s">
        <v>2866</v>
      </c>
      <c r="C1073" t="s">
        <v>2867</v>
      </c>
      <c r="D1073">
        <v>1.79</v>
      </c>
      <c r="F1073" t="str">
        <f t="shared" si="80"/>
        <v>No</v>
      </c>
      <c r="G1073" t="str">
        <f t="shared" si="81"/>
        <v/>
      </c>
      <c r="H1073" t="str">
        <f t="shared" si="82"/>
        <v>—</v>
      </c>
      <c r="I1073" t="str">
        <f t="shared" si="83"/>
        <v>Below thresholds</v>
      </c>
      <c r="J1073" t="str">
        <f t="shared" si="84"/>
        <v/>
      </c>
    </row>
    <row r="1074" spans="1:10" x14ac:dyDescent="0.2">
      <c r="A1074">
        <v>226965094140</v>
      </c>
      <c r="B1074" t="s">
        <v>2868</v>
      </c>
      <c r="C1074" t="s">
        <v>2869</v>
      </c>
      <c r="D1074">
        <v>1.99</v>
      </c>
      <c r="F1074" t="str">
        <f t="shared" si="80"/>
        <v>No</v>
      </c>
      <c r="G1074" t="str">
        <f t="shared" si="81"/>
        <v/>
      </c>
      <c r="H1074" t="str">
        <f t="shared" si="82"/>
        <v>—</v>
      </c>
      <c r="I1074" t="str">
        <f t="shared" si="83"/>
        <v>Below thresholds</v>
      </c>
      <c r="J1074" t="str">
        <f t="shared" si="84"/>
        <v/>
      </c>
    </row>
    <row r="1075" spans="1:10" x14ac:dyDescent="0.2">
      <c r="A1075">
        <v>226965094900</v>
      </c>
      <c r="B1075" t="s">
        <v>2870</v>
      </c>
      <c r="C1075" t="s">
        <v>2871</v>
      </c>
      <c r="D1075">
        <v>1.79</v>
      </c>
      <c r="F1075" t="str">
        <f t="shared" si="80"/>
        <v>No</v>
      </c>
      <c r="G1075" t="str">
        <f t="shared" si="81"/>
        <v/>
      </c>
      <c r="H1075" t="str">
        <f t="shared" si="82"/>
        <v>—</v>
      </c>
      <c r="I1075" t="str">
        <f t="shared" si="83"/>
        <v>Below thresholds</v>
      </c>
      <c r="J1075" t="str">
        <f t="shared" si="84"/>
        <v/>
      </c>
    </row>
    <row r="1076" spans="1:10" x14ac:dyDescent="0.2">
      <c r="A1076">
        <v>226965104710</v>
      </c>
      <c r="B1076" t="s">
        <v>2872</v>
      </c>
      <c r="C1076" t="s">
        <v>2873</v>
      </c>
      <c r="D1076">
        <v>1.79</v>
      </c>
      <c r="F1076" t="str">
        <f t="shared" si="80"/>
        <v>No</v>
      </c>
      <c r="G1076" t="str">
        <f t="shared" si="81"/>
        <v/>
      </c>
      <c r="H1076" t="str">
        <f t="shared" si="82"/>
        <v>—</v>
      </c>
      <c r="I1076" t="str">
        <f t="shared" si="83"/>
        <v>Below thresholds</v>
      </c>
      <c r="J1076" t="str">
        <f t="shared" si="84"/>
        <v/>
      </c>
    </row>
    <row r="1077" spans="1:10" x14ac:dyDescent="0.2">
      <c r="A1077">
        <v>226965105406</v>
      </c>
      <c r="B1077" t="s">
        <v>2874</v>
      </c>
      <c r="C1077" t="s">
        <v>2875</v>
      </c>
      <c r="D1077">
        <v>1.59</v>
      </c>
      <c r="F1077" t="str">
        <f t="shared" si="80"/>
        <v>No</v>
      </c>
      <c r="G1077" t="str">
        <f t="shared" si="81"/>
        <v/>
      </c>
      <c r="H1077" t="str">
        <f t="shared" si="82"/>
        <v>—</v>
      </c>
      <c r="I1077" t="str">
        <f t="shared" si="83"/>
        <v>Below thresholds</v>
      </c>
      <c r="J1077" t="str">
        <f t="shared" si="84"/>
        <v/>
      </c>
    </row>
    <row r="1078" spans="1:10" x14ac:dyDescent="0.2">
      <c r="A1078">
        <v>226966408960</v>
      </c>
      <c r="B1078" t="s">
        <v>2876</v>
      </c>
      <c r="C1078" t="s">
        <v>2877</v>
      </c>
      <c r="D1078">
        <v>6</v>
      </c>
      <c r="F1078" t="str">
        <f t="shared" si="80"/>
        <v>No</v>
      </c>
      <c r="G1078" t="str">
        <f t="shared" si="81"/>
        <v/>
      </c>
      <c r="H1078" t="str">
        <f t="shared" si="82"/>
        <v>—</v>
      </c>
      <c r="I1078" t="str">
        <f t="shared" si="83"/>
        <v>Below thresholds</v>
      </c>
      <c r="J1078" t="str">
        <f t="shared" si="84"/>
        <v/>
      </c>
    </row>
    <row r="1079" spans="1:10" x14ac:dyDescent="0.2">
      <c r="A1079">
        <v>226966408985</v>
      </c>
      <c r="B1079" t="s">
        <v>2878</v>
      </c>
      <c r="C1079" t="s">
        <v>2879</v>
      </c>
      <c r="D1079">
        <v>2.09</v>
      </c>
      <c r="F1079" t="str">
        <f t="shared" si="80"/>
        <v>No</v>
      </c>
      <c r="G1079" t="str">
        <f t="shared" si="81"/>
        <v/>
      </c>
      <c r="H1079" t="str">
        <f t="shared" si="82"/>
        <v>—</v>
      </c>
      <c r="I1079" t="str">
        <f t="shared" si="83"/>
        <v>Below thresholds</v>
      </c>
      <c r="J1079" t="str">
        <f t="shared" si="84"/>
        <v/>
      </c>
    </row>
    <row r="1080" spans="1:10" x14ac:dyDescent="0.2">
      <c r="A1080">
        <v>226966409012</v>
      </c>
      <c r="B1080" t="s">
        <v>2880</v>
      </c>
      <c r="C1080" t="s">
        <v>2881</v>
      </c>
      <c r="D1080">
        <v>6.19</v>
      </c>
      <c r="F1080" t="str">
        <f t="shared" si="80"/>
        <v>No</v>
      </c>
      <c r="G1080" t="str">
        <f t="shared" si="81"/>
        <v/>
      </c>
      <c r="H1080" t="str">
        <f t="shared" si="82"/>
        <v>—</v>
      </c>
      <c r="I1080" t="str">
        <f t="shared" si="83"/>
        <v>Below thresholds</v>
      </c>
      <c r="J1080" t="str">
        <f t="shared" si="84"/>
        <v/>
      </c>
    </row>
    <row r="1081" spans="1:10" x14ac:dyDescent="0.2">
      <c r="A1081">
        <v>226966409023</v>
      </c>
      <c r="B1081" t="s">
        <v>2882</v>
      </c>
      <c r="C1081" t="s">
        <v>2883</v>
      </c>
      <c r="D1081">
        <v>2.09</v>
      </c>
      <c r="F1081" t="str">
        <f t="shared" si="80"/>
        <v>No</v>
      </c>
      <c r="G1081" t="str">
        <f t="shared" si="81"/>
        <v/>
      </c>
      <c r="H1081" t="str">
        <f t="shared" si="82"/>
        <v>—</v>
      </c>
      <c r="I1081" t="str">
        <f t="shared" si="83"/>
        <v>Below thresholds</v>
      </c>
      <c r="J1081" t="str">
        <f t="shared" si="84"/>
        <v/>
      </c>
    </row>
    <row r="1082" spans="1:10" x14ac:dyDescent="0.2">
      <c r="A1082">
        <v>226966409108</v>
      </c>
      <c r="B1082" t="s">
        <v>2884</v>
      </c>
      <c r="C1082" t="s">
        <v>2885</v>
      </c>
      <c r="D1082">
        <v>9.9600000000000009</v>
      </c>
      <c r="F1082" t="str">
        <f t="shared" si="80"/>
        <v>No</v>
      </c>
      <c r="G1082" t="str">
        <f t="shared" si="81"/>
        <v/>
      </c>
      <c r="H1082" t="str">
        <f t="shared" si="82"/>
        <v>—</v>
      </c>
      <c r="I1082" t="str">
        <f t="shared" si="83"/>
        <v>Below thresholds</v>
      </c>
      <c r="J1082" t="str">
        <f t="shared" si="84"/>
        <v/>
      </c>
    </row>
    <row r="1083" spans="1:10" x14ac:dyDescent="0.2">
      <c r="A1083">
        <v>226966409150</v>
      </c>
      <c r="B1083" t="s">
        <v>2886</v>
      </c>
      <c r="C1083" t="s">
        <v>2887</v>
      </c>
      <c r="D1083">
        <v>2.09</v>
      </c>
      <c r="F1083" t="str">
        <f t="shared" si="80"/>
        <v>No</v>
      </c>
      <c r="G1083" t="str">
        <f t="shared" si="81"/>
        <v/>
      </c>
      <c r="H1083" t="str">
        <f t="shared" si="82"/>
        <v>—</v>
      </c>
      <c r="I1083" t="str">
        <f t="shared" si="83"/>
        <v>Below thresholds</v>
      </c>
      <c r="J1083" t="str">
        <f t="shared" si="84"/>
        <v/>
      </c>
    </row>
    <row r="1084" spans="1:10" x14ac:dyDescent="0.2">
      <c r="A1084">
        <v>226966409164</v>
      </c>
      <c r="B1084" t="s">
        <v>2888</v>
      </c>
      <c r="C1084" t="s">
        <v>2889</v>
      </c>
      <c r="D1084">
        <v>2.09</v>
      </c>
      <c r="F1084" t="str">
        <f t="shared" si="80"/>
        <v>No</v>
      </c>
      <c r="G1084" t="str">
        <f t="shared" si="81"/>
        <v/>
      </c>
      <c r="H1084" t="str">
        <f t="shared" si="82"/>
        <v>—</v>
      </c>
      <c r="I1084" t="str">
        <f t="shared" si="83"/>
        <v>Below thresholds</v>
      </c>
      <c r="J1084" t="str">
        <f t="shared" si="84"/>
        <v/>
      </c>
    </row>
    <row r="1085" spans="1:10" x14ac:dyDescent="0.2">
      <c r="A1085">
        <v>226966409176</v>
      </c>
      <c r="B1085" t="s">
        <v>2890</v>
      </c>
      <c r="C1085" t="s">
        <v>2891</v>
      </c>
      <c r="D1085">
        <v>2.09</v>
      </c>
      <c r="F1085" t="str">
        <f t="shared" si="80"/>
        <v>No</v>
      </c>
      <c r="G1085" t="str">
        <f t="shared" si="81"/>
        <v/>
      </c>
      <c r="H1085" t="str">
        <f t="shared" si="82"/>
        <v>—</v>
      </c>
      <c r="I1085" t="str">
        <f t="shared" si="83"/>
        <v>Below thresholds</v>
      </c>
      <c r="J1085" t="str">
        <f t="shared" si="84"/>
        <v/>
      </c>
    </row>
    <row r="1086" spans="1:10" x14ac:dyDescent="0.2">
      <c r="A1086">
        <v>226966409192</v>
      </c>
      <c r="B1086" t="s">
        <v>2892</v>
      </c>
      <c r="C1086" t="s">
        <v>2893</v>
      </c>
      <c r="D1086">
        <v>2.09</v>
      </c>
      <c r="F1086" t="str">
        <f t="shared" si="80"/>
        <v>No</v>
      </c>
      <c r="G1086" t="str">
        <f t="shared" si="81"/>
        <v/>
      </c>
      <c r="H1086" t="str">
        <f t="shared" si="82"/>
        <v>—</v>
      </c>
      <c r="I1086" t="str">
        <f t="shared" si="83"/>
        <v>Below thresholds</v>
      </c>
      <c r="J1086" t="str">
        <f t="shared" si="84"/>
        <v/>
      </c>
    </row>
    <row r="1087" spans="1:10" x14ac:dyDescent="0.2">
      <c r="A1087">
        <v>226966409198</v>
      </c>
      <c r="B1087" t="s">
        <v>2894</v>
      </c>
      <c r="C1087" t="s">
        <v>2895</v>
      </c>
      <c r="D1087">
        <v>2.09</v>
      </c>
      <c r="F1087" t="str">
        <f t="shared" si="80"/>
        <v>No</v>
      </c>
      <c r="G1087" t="str">
        <f t="shared" si="81"/>
        <v/>
      </c>
      <c r="H1087" t="str">
        <f t="shared" si="82"/>
        <v>—</v>
      </c>
      <c r="I1087" t="str">
        <f t="shared" si="83"/>
        <v>Below thresholds</v>
      </c>
      <c r="J1087" t="str">
        <f t="shared" si="84"/>
        <v/>
      </c>
    </row>
    <row r="1088" spans="1:10" x14ac:dyDescent="0.2">
      <c r="A1088">
        <v>226966409208</v>
      </c>
      <c r="B1088" t="s">
        <v>2896</v>
      </c>
      <c r="C1088" t="s">
        <v>2897</v>
      </c>
      <c r="D1088">
        <v>2.09</v>
      </c>
      <c r="F1088" t="str">
        <f t="shared" si="80"/>
        <v>No</v>
      </c>
      <c r="G1088" t="str">
        <f t="shared" si="81"/>
        <v/>
      </c>
      <c r="H1088" t="str">
        <f t="shared" si="82"/>
        <v>—</v>
      </c>
      <c r="I1088" t="str">
        <f t="shared" si="83"/>
        <v>Below thresholds</v>
      </c>
      <c r="J1088" t="str">
        <f t="shared" si="84"/>
        <v/>
      </c>
    </row>
    <row r="1089" spans="1:10" x14ac:dyDescent="0.2">
      <c r="A1089">
        <v>226966409216</v>
      </c>
      <c r="B1089" t="s">
        <v>2898</v>
      </c>
      <c r="C1089" t="s">
        <v>2899</v>
      </c>
      <c r="D1089">
        <v>2.09</v>
      </c>
      <c r="F1089" t="str">
        <f t="shared" si="80"/>
        <v>No</v>
      </c>
      <c r="G1089" t="str">
        <f t="shared" si="81"/>
        <v/>
      </c>
      <c r="H1089" t="str">
        <f t="shared" si="82"/>
        <v>—</v>
      </c>
      <c r="I1089" t="str">
        <f t="shared" si="83"/>
        <v>Below thresholds</v>
      </c>
      <c r="J1089" t="str">
        <f t="shared" si="84"/>
        <v/>
      </c>
    </row>
    <row r="1090" spans="1:10" x14ac:dyDescent="0.2">
      <c r="A1090">
        <v>226966409229</v>
      </c>
      <c r="B1090" t="s">
        <v>2900</v>
      </c>
      <c r="C1090" t="s">
        <v>2901</v>
      </c>
      <c r="D1090">
        <v>2.09</v>
      </c>
      <c r="F1090" t="str">
        <f t="shared" si="80"/>
        <v>No</v>
      </c>
      <c r="G1090" t="str">
        <f t="shared" si="81"/>
        <v/>
      </c>
      <c r="H1090" t="str">
        <f t="shared" si="82"/>
        <v>—</v>
      </c>
      <c r="I1090" t="str">
        <f t="shared" si="83"/>
        <v>Below thresholds</v>
      </c>
      <c r="J1090" t="str">
        <f t="shared" si="84"/>
        <v/>
      </c>
    </row>
    <row r="1091" spans="1:10" x14ac:dyDescent="0.2">
      <c r="A1091">
        <v>226966409242</v>
      </c>
      <c r="B1091" t="s">
        <v>2902</v>
      </c>
      <c r="C1091" t="s">
        <v>2903</v>
      </c>
      <c r="D1091">
        <v>2.09</v>
      </c>
      <c r="F1091" t="str">
        <f t="shared" si="80"/>
        <v>No</v>
      </c>
      <c r="G1091" t="str">
        <f t="shared" si="81"/>
        <v/>
      </c>
      <c r="H1091" t="str">
        <f t="shared" si="82"/>
        <v>—</v>
      </c>
      <c r="I1091" t="str">
        <f t="shared" si="83"/>
        <v>Below thresholds</v>
      </c>
      <c r="J1091" t="str">
        <f t="shared" si="84"/>
        <v/>
      </c>
    </row>
    <row r="1092" spans="1:10" x14ac:dyDescent="0.2">
      <c r="A1092">
        <v>226966409272</v>
      </c>
      <c r="B1092" t="s">
        <v>2904</v>
      </c>
      <c r="C1092" t="s">
        <v>2905</v>
      </c>
      <c r="D1092">
        <v>2.09</v>
      </c>
      <c r="F1092" t="str">
        <f t="shared" si="80"/>
        <v>No</v>
      </c>
      <c r="G1092" t="str">
        <f t="shared" si="81"/>
        <v/>
      </c>
      <c r="H1092" t="str">
        <f t="shared" si="82"/>
        <v>—</v>
      </c>
      <c r="I1092" t="str">
        <f t="shared" si="83"/>
        <v>Below thresholds</v>
      </c>
      <c r="J1092" t="str">
        <f t="shared" si="84"/>
        <v/>
      </c>
    </row>
    <row r="1093" spans="1:10" x14ac:dyDescent="0.2">
      <c r="A1093">
        <v>226966409286</v>
      </c>
      <c r="B1093" t="s">
        <v>2906</v>
      </c>
      <c r="C1093" t="s">
        <v>2907</v>
      </c>
      <c r="D1093">
        <v>2.99</v>
      </c>
      <c r="F1093" t="str">
        <f t="shared" ref="F1093:F1156" si="85">IF($B1093="","",IF(ISNUMBER(SEARCH("PSA",$B1093)),"Yes","No"))</f>
        <v>No</v>
      </c>
      <c r="G1093" t="str">
        <f t="shared" ref="G1093:G1156" si="86">IF($B1093="","",IF(ISNUMBER(SEARCH("PSA 10",$B1093)),10,IF(ISNUMBER(SEARCH("PSA 9.5",$B1093)),9.5,IF(ISNUMBER(SEARCH("PSA 9",$B1093)),9,IF(ISNUMBER(SEARCH("PSA 8",$B1093)),8,IF(ISNUMBER(SEARCH("PSA",$B1093)),"&lt;9",""))))))</f>
        <v/>
      </c>
      <c r="H1093" t="str">
        <f t="shared" ref="H1093:H1156" si="87">IF($B1093="","",IF($D1093&gt;=100,"TIER 2",IF(OR(ISNUMBER(SEARCH("PSA 10",$B1093)),ISNUMBER(SEARCH("PSA 9.5",$B1093)),ISNUMBER(SEARCH("PSA 9",$B1093))),"TIER 3",IF(AND($D1093&gt;20,N($E1093)&gt;=15),"TIER 1","—"))))</f>
        <v>—</v>
      </c>
      <c r="I1093" t="str">
        <f t="shared" ref="I1093:I1156" si="88">IF($B1093="","",IF($D1093&gt;=100,"Premium $100+ (auto)",IF(OR(ISNUMBER(SEARCH("PSA 10",$B1093)),ISNUMBER(SEARCH("PSA 9.5",$B1093)),ISNUMBER(SEARCH("PSA 9",$B1093))),"Graded PSA 9+ (auto)",IF(AND($D1093&gt;20,N($E1093)&gt;=15),"Hot: $20+ &amp; "&amp;$E1093&amp;"/day",IF($D1093&gt;20,"$20+ — needs velocity check","Below thresholds")))))</f>
        <v>Below thresholds</v>
      </c>
      <c r="J1093" t="str">
        <f t="shared" ref="J1093:J1156" si="89">IF($B1093="","",IF(AND($D1093&gt;20,$D1093&lt;100,NOT(OR(ISNUMBER(SEARCH("PSA 10",$B1093)),ISNUMBER(SEARCH("PSA 9.5",$B1093)),ISNUMBER(SEARCH("PSA 9",$B1093)))),$E1093=""),"YES — pull CardHedger",""))</f>
        <v/>
      </c>
    </row>
    <row r="1094" spans="1:10" x14ac:dyDescent="0.2">
      <c r="A1094">
        <v>226966409314</v>
      </c>
      <c r="B1094" t="s">
        <v>2908</v>
      </c>
      <c r="C1094" t="s">
        <v>2909</v>
      </c>
      <c r="D1094">
        <v>2.09</v>
      </c>
      <c r="F1094" t="str">
        <f t="shared" si="85"/>
        <v>No</v>
      </c>
      <c r="G1094" t="str">
        <f t="shared" si="86"/>
        <v/>
      </c>
      <c r="H1094" t="str">
        <f t="shared" si="87"/>
        <v>—</v>
      </c>
      <c r="I1094" t="str">
        <f t="shared" si="88"/>
        <v>Below thresholds</v>
      </c>
      <c r="J1094" t="str">
        <f t="shared" si="89"/>
        <v/>
      </c>
    </row>
    <row r="1095" spans="1:10" x14ac:dyDescent="0.2">
      <c r="A1095">
        <v>226966409332</v>
      </c>
      <c r="B1095" t="s">
        <v>2910</v>
      </c>
      <c r="C1095" t="s">
        <v>2911</v>
      </c>
      <c r="D1095">
        <v>2.09</v>
      </c>
      <c r="F1095" t="str">
        <f t="shared" si="85"/>
        <v>No</v>
      </c>
      <c r="G1095" t="str">
        <f t="shared" si="86"/>
        <v/>
      </c>
      <c r="H1095" t="str">
        <f t="shared" si="87"/>
        <v>—</v>
      </c>
      <c r="I1095" t="str">
        <f t="shared" si="88"/>
        <v>Below thresholds</v>
      </c>
      <c r="J1095" t="str">
        <f t="shared" si="89"/>
        <v/>
      </c>
    </row>
    <row r="1096" spans="1:10" x14ac:dyDescent="0.2">
      <c r="A1096">
        <v>226966409357</v>
      </c>
      <c r="B1096" t="s">
        <v>2912</v>
      </c>
      <c r="C1096" t="s">
        <v>2913</v>
      </c>
      <c r="D1096">
        <v>2.09</v>
      </c>
      <c r="F1096" t="str">
        <f t="shared" si="85"/>
        <v>No</v>
      </c>
      <c r="G1096" t="str">
        <f t="shared" si="86"/>
        <v/>
      </c>
      <c r="H1096" t="str">
        <f t="shared" si="87"/>
        <v>—</v>
      </c>
      <c r="I1096" t="str">
        <f t="shared" si="88"/>
        <v>Below thresholds</v>
      </c>
      <c r="J1096" t="str">
        <f t="shared" si="89"/>
        <v/>
      </c>
    </row>
    <row r="1097" spans="1:10" x14ac:dyDescent="0.2">
      <c r="A1097">
        <v>226969799878</v>
      </c>
      <c r="B1097" t="s">
        <v>2914</v>
      </c>
      <c r="C1097" t="s">
        <v>2915</v>
      </c>
      <c r="D1097">
        <v>2.99</v>
      </c>
      <c r="F1097" t="str">
        <f t="shared" si="85"/>
        <v>No</v>
      </c>
      <c r="G1097" t="str">
        <f t="shared" si="86"/>
        <v/>
      </c>
      <c r="H1097" t="str">
        <f t="shared" si="87"/>
        <v>—</v>
      </c>
      <c r="I1097" t="str">
        <f t="shared" si="88"/>
        <v>Below thresholds</v>
      </c>
      <c r="J1097" t="str">
        <f t="shared" si="89"/>
        <v/>
      </c>
    </row>
    <row r="1098" spans="1:10" x14ac:dyDescent="0.2">
      <c r="A1098">
        <v>226969799938</v>
      </c>
      <c r="B1098" t="s">
        <v>2916</v>
      </c>
      <c r="C1098" t="s">
        <v>2917</v>
      </c>
      <c r="D1098">
        <v>2.09</v>
      </c>
      <c r="F1098" t="str">
        <f t="shared" si="85"/>
        <v>No</v>
      </c>
      <c r="G1098" t="str">
        <f t="shared" si="86"/>
        <v/>
      </c>
      <c r="H1098" t="str">
        <f t="shared" si="87"/>
        <v>—</v>
      </c>
      <c r="I1098" t="str">
        <f t="shared" si="88"/>
        <v>Below thresholds</v>
      </c>
      <c r="J1098" t="str">
        <f t="shared" si="89"/>
        <v/>
      </c>
    </row>
    <row r="1099" spans="1:10" x14ac:dyDescent="0.2">
      <c r="A1099">
        <v>226969799943</v>
      </c>
      <c r="B1099" t="s">
        <v>2918</v>
      </c>
      <c r="C1099" t="s">
        <v>2919</v>
      </c>
      <c r="D1099">
        <v>2.09</v>
      </c>
      <c r="F1099" t="str">
        <f t="shared" si="85"/>
        <v>No</v>
      </c>
      <c r="G1099" t="str">
        <f t="shared" si="86"/>
        <v/>
      </c>
      <c r="H1099" t="str">
        <f t="shared" si="87"/>
        <v>—</v>
      </c>
      <c r="I1099" t="str">
        <f t="shared" si="88"/>
        <v>Below thresholds</v>
      </c>
      <c r="J1099" t="str">
        <f t="shared" si="89"/>
        <v/>
      </c>
    </row>
    <row r="1100" spans="1:10" x14ac:dyDescent="0.2">
      <c r="A1100">
        <v>226969800029</v>
      </c>
      <c r="B1100" t="s">
        <v>2920</v>
      </c>
      <c r="C1100" t="s">
        <v>2921</v>
      </c>
      <c r="D1100">
        <v>2.09</v>
      </c>
      <c r="F1100" t="str">
        <f t="shared" si="85"/>
        <v>No</v>
      </c>
      <c r="G1100" t="str">
        <f t="shared" si="86"/>
        <v/>
      </c>
      <c r="H1100" t="str">
        <f t="shared" si="87"/>
        <v>—</v>
      </c>
      <c r="I1100" t="str">
        <f t="shared" si="88"/>
        <v>Below thresholds</v>
      </c>
      <c r="J1100" t="str">
        <f t="shared" si="89"/>
        <v/>
      </c>
    </row>
    <row r="1101" spans="1:10" x14ac:dyDescent="0.2">
      <c r="A1101">
        <v>226969800062</v>
      </c>
      <c r="B1101" t="s">
        <v>2922</v>
      </c>
      <c r="C1101" t="s">
        <v>2923</v>
      </c>
      <c r="D1101">
        <v>2.09</v>
      </c>
      <c r="F1101" t="str">
        <f t="shared" si="85"/>
        <v>No</v>
      </c>
      <c r="G1101" t="str">
        <f t="shared" si="86"/>
        <v/>
      </c>
      <c r="H1101" t="str">
        <f t="shared" si="87"/>
        <v>—</v>
      </c>
      <c r="I1101" t="str">
        <f t="shared" si="88"/>
        <v>Below thresholds</v>
      </c>
      <c r="J1101" t="str">
        <f t="shared" si="89"/>
        <v/>
      </c>
    </row>
    <row r="1102" spans="1:10" x14ac:dyDescent="0.2">
      <c r="A1102">
        <v>226969800101</v>
      </c>
      <c r="B1102" t="s">
        <v>2924</v>
      </c>
      <c r="C1102" t="s">
        <v>2925</v>
      </c>
      <c r="D1102">
        <v>2.09</v>
      </c>
      <c r="F1102" t="str">
        <f t="shared" si="85"/>
        <v>No</v>
      </c>
      <c r="G1102" t="str">
        <f t="shared" si="86"/>
        <v/>
      </c>
      <c r="H1102" t="str">
        <f t="shared" si="87"/>
        <v>—</v>
      </c>
      <c r="I1102" t="str">
        <f t="shared" si="88"/>
        <v>Below thresholds</v>
      </c>
      <c r="J1102" t="str">
        <f t="shared" si="89"/>
        <v/>
      </c>
    </row>
    <row r="1103" spans="1:10" x14ac:dyDescent="0.2">
      <c r="A1103">
        <v>226969800156</v>
      </c>
      <c r="B1103" t="s">
        <v>2926</v>
      </c>
      <c r="C1103" t="s">
        <v>2927</v>
      </c>
      <c r="D1103">
        <v>2.09</v>
      </c>
      <c r="F1103" t="str">
        <f t="shared" si="85"/>
        <v>No</v>
      </c>
      <c r="G1103" t="str">
        <f t="shared" si="86"/>
        <v/>
      </c>
      <c r="H1103" t="str">
        <f t="shared" si="87"/>
        <v>—</v>
      </c>
      <c r="I1103" t="str">
        <f t="shared" si="88"/>
        <v>Below thresholds</v>
      </c>
      <c r="J1103" t="str">
        <f t="shared" si="89"/>
        <v/>
      </c>
    </row>
    <row r="1104" spans="1:10" x14ac:dyDescent="0.2">
      <c r="A1104">
        <v>226969800177</v>
      </c>
      <c r="B1104" t="s">
        <v>2928</v>
      </c>
      <c r="C1104" t="s">
        <v>2929</v>
      </c>
      <c r="D1104">
        <v>2.09</v>
      </c>
      <c r="F1104" t="str">
        <f t="shared" si="85"/>
        <v>No</v>
      </c>
      <c r="G1104" t="str">
        <f t="shared" si="86"/>
        <v/>
      </c>
      <c r="H1104" t="str">
        <f t="shared" si="87"/>
        <v>—</v>
      </c>
      <c r="I1104" t="str">
        <f t="shared" si="88"/>
        <v>Below thresholds</v>
      </c>
      <c r="J1104" t="str">
        <f t="shared" si="89"/>
        <v/>
      </c>
    </row>
    <row r="1105" spans="1:10" x14ac:dyDescent="0.2">
      <c r="A1105">
        <v>226969800250</v>
      </c>
      <c r="B1105" t="s">
        <v>2930</v>
      </c>
      <c r="C1105" t="s">
        <v>2931</v>
      </c>
      <c r="D1105">
        <v>2.19</v>
      </c>
      <c r="F1105" t="str">
        <f t="shared" si="85"/>
        <v>No</v>
      </c>
      <c r="G1105" t="str">
        <f t="shared" si="86"/>
        <v/>
      </c>
      <c r="H1105" t="str">
        <f t="shared" si="87"/>
        <v>—</v>
      </c>
      <c r="I1105" t="str">
        <f t="shared" si="88"/>
        <v>Below thresholds</v>
      </c>
      <c r="J1105" t="str">
        <f t="shared" si="89"/>
        <v/>
      </c>
    </row>
    <row r="1106" spans="1:10" x14ac:dyDescent="0.2">
      <c r="A1106">
        <v>226969800270</v>
      </c>
      <c r="B1106" t="s">
        <v>2932</v>
      </c>
      <c r="C1106" t="s">
        <v>2933</v>
      </c>
      <c r="D1106">
        <v>2.09</v>
      </c>
      <c r="F1106" t="str">
        <f t="shared" si="85"/>
        <v>No</v>
      </c>
      <c r="G1106" t="str">
        <f t="shared" si="86"/>
        <v/>
      </c>
      <c r="H1106" t="str">
        <f t="shared" si="87"/>
        <v>—</v>
      </c>
      <c r="I1106" t="str">
        <f t="shared" si="88"/>
        <v>Below thresholds</v>
      </c>
      <c r="J1106" t="str">
        <f t="shared" si="89"/>
        <v/>
      </c>
    </row>
    <row r="1107" spans="1:10" x14ac:dyDescent="0.2">
      <c r="A1107">
        <v>226969800276</v>
      </c>
      <c r="B1107" t="s">
        <v>2934</v>
      </c>
      <c r="C1107" t="s">
        <v>2935</v>
      </c>
      <c r="D1107">
        <v>2.09</v>
      </c>
      <c r="F1107" t="str">
        <f t="shared" si="85"/>
        <v>No</v>
      </c>
      <c r="G1107" t="str">
        <f t="shared" si="86"/>
        <v/>
      </c>
      <c r="H1107" t="str">
        <f t="shared" si="87"/>
        <v>—</v>
      </c>
      <c r="I1107" t="str">
        <f t="shared" si="88"/>
        <v>Below thresholds</v>
      </c>
      <c r="J1107" t="str">
        <f t="shared" si="89"/>
        <v/>
      </c>
    </row>
    <row r="1108" spans="1:10" x14ac:dyDescent="0.2">
      <c r="A1108">
        <v>226969800324</v>
      </c>
      <c r="B1108" t="s">
        <v>2936</v>
      </c>
      <c r="C1108" t="s">
        <v>2937</v>
      </c>
      <c r="D1108">
        <v>2.09</v>
      </c>
      <c r="F1108" t="str">
        <f t="shared" si="85"/>
        <v>No</v>
      </c>
      <c r="G1108" t="str">
        <f t="shared" si="86"/>
        <v/>
      </c>
      <c r="H1108" t="str">
        <f t="shared" si="87"/>
        <v>—</v>
      </c>
      <c r="I1108" t="str">
        <f t="shared" si="88"/>
        <v>Below thresholds</v>
      </c>
      <c r="J1108" t="str">
        <f t="shared" si="89"/>
        <v/>
      </c>
    </row>
    <row r="1109" spans="1:10" x14ac:dyDescent="0.2">
      <c r="A1109">
        <v>226969800334</v>
      </c>
      <c r="B1109" t="s">
        <v>2938</v>
      </c>
      <c r="C1109" t="s">
        <v>2939</v>
      </c>
      <c r="D1109">
        <v>2.09</v>
      </c>
      <c r="F1109" t="str">
        <f t="shared" si="85"/>
        <v>No</v>
      </c>
      <c r="G1109" t="str">
        <f t="shared" si="86"/>
        <v/>
      </c>
      <c r="H1109" t="str">
        <f t="shared" si="87"/>
        <v>—</v>
      </c>
      <c r="I1109" t="str">
        <f t="shared" si="88"/>
        <v>Below thresholds</v>
      </c>
      <c r="J1109" t="str">
        <f t="shared" si="89"/>
        <v/>
      </c>
    </row>
    <row r="1110" spans="1:10" x14ac:dyDescent="0.2">
      <c r="A1110">
        <v>226969800359</v>
      </c>
      <c r="B1110" t="s">
        <v>2940</v>
      </c>
      <c r="C1110" t="s">
        <v>2941</v>
      </c>
      <c r="D1110">
        <v>2.09</v>
      </c>
      <c r="F1110" t="str">
        <f t="shared" si="85"/>
        <v>No</v>
      </c>
      <c r="G1110" t="str">
        <f t="shared" si="86"/>
        <v/>
      </c>
      <c r="H1110" t="str">
        <f t="shared" si="87"/>
        <v>—</v>
      </c>
      <c r="I1110" t="str">
        <f t="shared" si="88"/>
        <v>Below thresholds</v>
      </c>
      <c r="J1110" t="str">
        <f t="shared" si="89"/>
        <v/>
      </c>
    </row>
    <row r="1111" spans="1:10" x14ac:dyDescent="0.2">
      <c r="A1111">
        <v>226969800388</v>
      </c>
      <c r="B1111" t="s">
        <v>2942</v>
      </c>
      <c r="C1111" t="s">
        <v>2943</v>
      </c>
      <c r="D1111">
        <v>2.09</v>
      </c>
      <c r="F1111" t="str">
        <f t="shared" si="85"/>
        <v>No</v>
      </c>
      <c r="G1111" t="str">
        <f t="shared" si="86"/>
        <v/>
      </c>
      <c r="H1111" t="str">
        <f t="shared" si="87"/>
        <v>—</v>
      </c>
      <c r="I1111" t="str">
        <f t="shared" si="88"/>
        <v>Below thresholds</v>
      </c>
      <c r="J1111" t="str">
        <f t="shared" si="89"/>
        <v/>
      </c>
    </row>
    <row r="1112" spans="1:10" x14ac:dyDescent="0.2">
      <c r="A1112">
        <v>226969800401</v>
      </c>
      <c r="B1112" t="s">
        <v>2944</v>
      </c>
      <c r="C1112" t="s">
        <v>2945</v>
      </c>
      <c r="D1112">
        <v>2.09</v>
      </c>
      <c r="F1112" t="str">
        <f t="shared" si="85"/>
        <v>No</v>
      </c>
      <c r="G1112" t="str">
        <f t="shared" si="86"/>
        <v/>
      </c>
      <c r="H1112" t="str">
        <f t="shared" si="87"/>
        <v>—</v>
      </c>
      <c r="I1112" t="str">
        <f t="shared" si="88"/>
        <v>Below thresholds</v>
      </c>
      <c r="J1112" t="str">
        <f t="shared" si="89"/>
        <v/>
      </c>
    </row>
    <row r="1113" spans="1:10" x14ac:dyDescent="0.2">
      <c r="A1113">
        <v>226969800417</v>
      </c>
      <c r="B1113" t="s">
        <v>2946</v>
      </c>
      <c r="C1113" t="s">
        <v>2947</v>
      </c>
      <c r="D1113">
        <v>2.89</v>
      </c>
      <c r="F1113" t="str">
        <f t="shared" si="85"/>
        <v>No</v>
      </c>
      <c r="G1113" t="str">
        <f t="shared" si="86"/>
        <v/>
      </c>
      <c r="H1113" t="str">
        <f t="shared" si="87"/>
        <v>—</v>
      </c>
      <c r="I1113" t="str">
        <f t="shared" si="88"/>
        <v>Below thresholds</v>
      </c>
      <c r="J1113" t="str">
        <f t="shared" si="89"/>
        <v/>
      </c>
    </row>
    <row r="1114" spans="1:10" x14ac:dyDescent="0.2">
      <c r="A1114">
        <v>226969800463</v>
      </c>
      <c r="B1114" t="s">
        <v>2948</v>
      </c>
      <c r="C1114" t="s">
        <v>2949</v>
      </c>
      <c r="D1114">
        <v>2.09</v>
      </c>
      <c r="F1114" t="str">
        <f t="shared" si="85"/>
        <v>No</v>
      </c>
      <c r="G1114" t="str">
        <f t="shared" si="86"/>
        <v/>
      </c>
      <c r="H1114" t="str">
        <f t="shared" si="87"/>
        <v>—</v>
      </c>
      <c r="I1114" t="str">
        <f t="shared" si="88"/>
        <v>Below thresholds</v>
      </c>
      <c r="J1114" t="str">
        <f t="shared" si="89"/>
        <v/>
      </c>
    </row>
    <row r="1115" spans="1:10" x14ac:dyDescent="0.2">
      <c r="A1115">
        <v>226969800621</v>
      </c>
      <c r="B1115" t="s">
        <v>2950</v>
      </c>
      <c r="C1115" t="s">
        <v>2951</v>
      </c>
      <c r="D1115">
        <v>2.09</v>
      </c>
      <c r="F1115" t="str">
        <f t="shared" si="85"/>
        <v>No</v>
      </c>
      <c r="G1115" t="str">
        <f t="shared" si="86"/>
        <v/>
      </c>
      <c r="H1115" t="str">
        <f t="shared" si="87"/>
        <v>—</v>
      </c>
      <c r="I1115" t="str">
        <f t="shared" si="88"/>
        <v>Below thresholds</v>
      </c>
      <c r="J1115" t="str">
        <f t="shared" si="89"/>
        <v/>
      </c>
    </row>
    <row r="1116" spans="1:10" x14ac:dyDescent="0.2">
      <c r="A1116">
        <v>226969800808</v>
      </c>
      <c r="B1116" t="s">
        <v>2952</v>
      </c>
      <c r="C1116" t="s">
        <v>2953</v>
      </c>
      <c r="D1116">
        <v>7.99</v>
      </c>
      <c r="F1116" t="str">
        <f t="shared" si="85"/>
        <v>No</v>
      </c>
      <c r="G1116" t="str">
        <f t="shared" si="86"/>
        <v/>
      </c>
      <c r="H1116" t="str">
        <f t="shared" si="87"/>
        <v>—</v>
      </c>
      <c r="I1116" t="str">
        <f t="shared" si="88"/>
        <v>Below thresholds</v>
      </c>
      <c r="J1116" t="str">
        <f t="shared" si="89"/>
        <v/>
      </c>
    </row>
    <row r="1117" spans="1:10" x14ac:dyDescent="0.2">
      <c r="A1117">
        <v>226969800832</v>
      </c>
      <c r="B1117" t="s">
        <v>2954</v>
      </c>
      <c r="C1117" t="s">
        <v>2955</v>
      </c>
      <c r="D1117">
        <v>2.09</v>
      </c>
      <c r="F1117" t="str">
        <f t="shared" si="85"/>
        <v>No</v>
      </c>
      <c r="G1117" t="str">
        <f t="shared" si="86"/>
        <v/>
      </c>
      <c r="H1117" t="str">
        <f t="shared" si="87"/>
        <v>—</v>
      </c>
      <c r="I1117" t="str">
        <f t="shared" si="88"/>
        <v>Below thresholds</v>
      </c>
      <c r="J1117" t="str">
        <f t="shared" si="89"/>
        <v/>
      </c>
    </row>
    <row r="1118" spans="1:10" x14ac:dyDescent="0.2">
      <c r="A1118">
        <v>226969800845</v>
      </c>
      <c r="B1118" t="s">
        <v>2956</v>
      </c>
      <c r="C1118" t="s">
        <v>2957</v>
      </c>
      <c r="D1118">
        <v>2.09</v>
      </c>
      <c r="F1118" t="str">
        <f t="shared" si="85"/>
        <v>No</v>
      </c>
      <c r="G1118" t="str">
        <f t="shared" si="86"/>
        <v/>
      </c>
      <c r="H1118" t="str">
        <f t="shared" si="87"/>
        <v>—</v>
      </c>
      <c r="I1118" t="str">
        <f t="shared" si="88"/>
        <v>Below thresholds</v>
      </c>
      <c r="J1118" t="str">
        <f t="shared" si="89"/>
        <v/>
      </c>
    </row>
    <row r="1119" spans="1:10" x14ac:dyDescent="0.2">
      <c r="A1119">
        <v>226969800892</v>
      </c>
      <c r="B1119" t="s">
        <v>2958</v>
      </c>
      <c r="C1119" t="s">
        <v>2959</v>
      </c>
      <c r="D1119">
        <v>3.99</v>
      </c>
      <c r="F1119" t="str">
        <f t="shared" si="85"/>
        <v>No</v>
      </c>
      <c r="G1119" t="str">
        <f t="shared" si="86"/>
        <v/>
      </c>
      <c r="H1119" t="str">
        <f t="shared" si="87"/>
        <v>—</v>
      </c>
      <c r="I1119" t="str">
        <f t="shared" si="88"/>
        <v>Below thresholds</v>
      </c>
      <c r="J1119" t="str">
        <f t="shared" si="89"/>
        <v/>
      </c>
    </row>
    <row r="1120" spans="1:10" x14ac:dyDescent="0.2">
      <c r="A1120">
        <v>226969800901</v>
      </c>
      <c r="B1120" t="s">
        <v>2960</v>
      </c>
      <c r="C1120" t="s">
        <v>2961</v>
      </c>
      <c r="D1120">
        <v>4.99</v>
      </c>
      <c r="F1120" t="str">
        <f t="shared" si="85"/>
        <v>No</v>
      </c>
      <c r="G1120" t="str">
        <f t="shared" si="86"/>
        <v/>
      </c>
      <c r="H1120" t="str">
        <f t="shared" si="87"/>
        <v>—</v>
      </c>
      <c r="I1120" t="str">
        <f t="shared" si="88"/>
        <v>Below thresholds</v>
      </c>
      <c r="J1120" t="str">
        <f t="shared" si="89"/>
        <v/>
      </c>
    </row>
    <row r="1121" spans="1:10" x14ac:dyDescent="0.2">
      <c r="A1121">
        <v>226969899818</v>
      </c>
      <c r="B1121" t="s">
        <v>2962</v>
      </c>
      <c r="C1121" t="s">
        <v>2963</v>
      </c>
      <c r="D1121">
        <v>9.99</v>
      </c>
      <c r="F1121" t="str">
        <f t="shared" si="85"/>
        <v>No</v>
      </c>
      <c r="G1121" t="str">
        <f t="shared" si="86"/>
        <v/>
      </c>
      <c r="H1121" t="str">
        <f t="shared" si="87"/>
        <v>—</v>
      </c>
      <c r="I1121" t="str">
        <f t="shared" si="88"/>
        <v>Below thresholds</v>
      </c>
      <c r="J1121" t="str">
        <f t="shared" si="89"/>
        <v/>
      </c>
    </row>
    <row r="1122" spans="1:10" x14ac:dyDescent="0.2">
      <c r="A1122">
        <v>226969899826</v>
      </c>
      <c r="B1122" t="s">
        <v>2964</v>
      </c>
      <c r="C1122" t="s">
        <v>2965</v>
      </c>
      <c r="D1122">
        <v>3.39</v>
      </c>
      <c r="F1122" t="str">
        <f t="shared" si="85"/>
        <v>No</v>
      </c>
      <c r="G1122" t="str">
        <f t="shared" si="86"/>
        <v/>
      </c>
      <c r="H1122" t="str">
        <f t="shared" si="87"/>
        <v>—</v>
      </c>
      <c r="I1122" t="str">
        <f t="shared" si="88"/>
        <v>Below thresholds</v>
      </c>
      <c r="J1122" t="str">
        <f t="shared" si="89"/>
        <v/>
      </c>
    </row>
    <row r="1123" spans="1:10" x14ac:dyDescent="0.2">
      <c r="A1123">
        <v>226969899849</v>
      </c>
      <c r="B1123" t="s">
        <v>2966</v>
      </c>
      <c r="C1123" t="s">
        <v>2967</v>
      </c>
      <c r="D1123">
        <v>7.09</v>
      </c>
      <c r="F1123" t="str">
        <f t="shared" si="85"/>
        <v>No</v>
      </c>
      <c r="G1123" t="str">
        <f t="shared" si="86"/>
        <v/>
      </c>
      <c r="H1123" t="str">
        <f t="shared" si="87"/>
        <v>—</v>
      </c>
      <c r="I1123" t="str">
        <f t="shared" si="88"/>
        <v>Below thresholds</v>
      </c>
      <c r="J1123" t="str">
        <f t="shared" si="89"/>
        <v/>
      </c>
    </row>
    <row r="1124" spans="1:10" x14ac:dyDescent="0.2">
      <c r="A1124">
        <v>226969899898</v>
      </c>
      <c r="B1124" t="s">
        <v>2968</v>
      </c>
      <c r="C1124" t="s">
        <v>2969</v>
      </c>
      <c r="D1124">
        <v>9.2899999999999991</v>
      </c>
      <c r="F1124" t="str">
        <f t="shared" si="85"/>
        <v>No</v>
      </c>
      <c r="G1124" t="str">
        <f t="shared" si="86"/>
        <v/>
      </c>
      <c r="H1124" t="str">
        <f t="shared" si="87"/>
        <v>—</v>
      </c>
      <c r="I1124" t="str">
        <f t="shared" si="88"/>
        <v>Below thresholds</v>
      </c>
      <c r="J1124" t="str">
        <f t="shared" si="89"/>
        <v/>
      </c>
    </row>
    <row r="1125" spans="1:10" x14ac:dyDescent="0.2">
      <c r="A1125">
        <v>226969899916</v>
      </c>
      <c r="B1125" t="s">
        <v>2970</v>
      </c>
      <c r="C1125" t="s">
        <v>2971</v>
      </c>
      <c r="D1125">
        <v>8.99</v>
      </c>
      <c r="F1125" t="str">
        <f t="shared" si="85"/>
        <v>No</v>
      </c>
      <c r="G1125" t="str">
        <f t="shared" si="86"/>
        <v/>
      </c>
      <c r="H1125" t="str">
        <f t="shared" si="87"/>
        <v>—</v>
      </c>
      <c r="I1125" t="str">
        <f t="shared" si="88"/>
        <v>Below thresholds</v>
      </c>
      <c r="J1125" t="str">
        <f t="shared" si="89"/>
        <v/>
      </c>
    </row>
    <row r="1126" spans="1:10" x14ac:dyDescent="0.2">
      <c r="A1126">
        <v>226969899956</v>
      </c>
      <c r="B1126" t="s">
        <v>2972</v>
      </c>
      <c r="C1126" t="s">
        <v>2973</v>
      </c>
      <c r="D1126">
        <v>2.99</v>
      </c>
      <c r="F1126" t="str">
        <f t="shared" si="85"/>
        <v>No</v>
      </c>
      <c r="G1126" t="str">
        <f t="shared" si="86"/>
        <v/>
      </c>
      <c r="H1126" t="str">
        <f t="shared" si="87"/>
        <v>—</v>
      </c>
      <c r="I1126" t="str">
        <f t="shared" si="88"/>
        <v>Below thresholds</v>
      </c>
      <c r="J1126" t="str">
        <f t="shared" si="89"/>
        <v/>
      </c>
    </row>
    <row r="1127" spans="1:10" x14ac:dyDescent="0.2">
      <c r="A1127">
        <v>226969899977</v>
      </c>
      <c r="B1127" t="s">
        <v>2974</v>
      </c>
      <c r="C1127" t="s">
        <v>2975</v>
      </c>
      <c r="D1127">
        <v>3.29</v>
      </c>
      <c r="F1127" t="str">
        <f t="shared" si="85"/>
        <v>No</v>
      </c>
      <c r="G1127" t="str">
        <f t="shared" si="86"/>
        <v/>
      </c>
      <c r="H1127" t="str">
        <f t="shared" si="87"/>
        <v>—</v>
      </c>
      <c r="I1127" t="str">
        <f t="shared" si="88"/>
        <v>Below thresholds</v>
      </c>
      <c r="J1127" t="str">
        <f t="shared" si="89"/>
        <v/>
      </c>
    </row>
    <row r="1128" spans="1:10" x14ac:dyDescent="0.2">
      <c r="A1128">
        <v>226969899993</v>
      </c>
      <c r="B1128" t="s">
        <v>2976</v>
      </c>
      <c r="C1128" t="s">
        <v>2977</v>
      </c>
      <c r="D1128">
        <v>5.99</v>
      </c>
      <c r="F1128" t="str">
        <f t="shared" si="85"/>
        <v>No</v>
      </c>
      <c r="G1128" t="str">
        <f t="shared" si="86"/>
        <v/>
      </c>
      <c r="H1128" t="str">
        <f t="shared" si="87"/>
        <v>—</v>
      </c>
      <c r="I1128" t="str">
        <f t="shared" si="88"/>
        <v>Below thresholds</v>
      </c>
      <c r="J1128" t="str">
        <f t="shared" si="89"/>
        <v/>
      </c>
    </row>
    <row r="1129" spans="1:10" x14ac:dyDescent="0.2">
      <c r="A1129">
        <v>226969900011</v>
      </c>
      <c r="B1129" t="s">
        <v>2978</v>
      </c>
      <c r="C1129" t="s">
        <v>2979</v>
      </c>
      <c r="D1129">
        <v>5.49</v>
      </c>
      <c r="F1129" t="str">
        <f t="shared" si="85"/>
        <v>No</v>
      </c>
      <c r="G1129" t="str">
        <f t="shared" si="86"/>
        <v/>
      </c>
      <c r="H1129" t="str">
        <f t="shared" si="87"/>
        <v>—</v>
      </c>
      <c r="I1129" t="str">
        <f t="shared" si="88"/>
        <v>Below thresholds</v>
      </c>
      <c r="J1129" t="str">
        <f t="shared" si="89"/>
        <v/>
      </c>
    </row>
    <row r="1130" spans="1:10" x14ac:dyDescent="0.2">
      <c r="A1130">
        <v>226969900037</v>
      </c>
      <c r="B1130" t="s">
        <v>2980</v>
      </c>
      <c r="C1130" t="s">
        <v>2981</v>
      </c>
      <c r="D1130">
        <v>2.09</v>
      </c>
      <c r="F1130" t="str">
        <f t="shared" si="85"/>
        <v>No</v>
      </c>
      <c r="G1130" t="str">
        <f t="shared" si="86"/>
        <v/>
      </c>
      <c r="H1130" t="str">
        <f t="shared" si="87"/>
        <v>—</v>
      </c>
      <c r="I1130" t="str">
        <f t="shared" si="88"/>
        <v>Below thresholds</v>
      </c>
      <c r="J1130" t="str">
        <f t="shared" si="89"/>
        <v/>
      </c>
    </row>
    <row r="1131" spans="1:10" x14ac:dyDescent="0.2">
      <c r="A1131">
        <v>226969900060</v>
      </c>
      <c r="B1131" t="s">
        <v>2982</v>
      </c>
      <c r="C1131" t="s">
        <v>2983</v>
      </c>
      <c r="D1131">
        <v>4.99</v>
      </c>
      <c r="F1131" t="str">
        <f t="shared" si="85"/>
        <v>No</v>
      </c>
      <c r="G1131" t="str">
        <f t="shared" si="86"/>
        <v/>
      </c>
      <c r="H1131" t="str">
        <f t="shared" si="87"/>
        <v>—</v>
      </c>
      <c r="I1131" t="str">
        <f t="shared" si="88"/>
        <v>Below thresholds</v>
      </c>
      <c r="J1131" t="str">
        <f t="shared" si="89"/>
        <v/>
      </c>
    </row>
    <row r="1132" spans="1:10" x14ac:dyDescent="0.2">
      <c r="A1132">
        <v>226969900078</v>
      </c>
      <c r="B1132" t="s">
        <v>2984</v>
      </c>
      <c r="C1132" t="s">
        <v>2985</v>
      </c>
      <c r="D1132">
        <v>4.99</v>
      </c>
      <c r="F1132" t="str">
        <f t="shared" si="85"/>
        <v>No</v>
      </c>
      <c r="G1132" t="str">
        <f t="shared" si="86"/>
        <v/>
      </c>
      <c r="H1132" t="str">
        <f t="shared" si="87"/>
        <v>—</v>
      </c>
      <c r="I1132" t="str">
        <f t="shared" si="88"/>
        <v>Below thresholds</v>
      </c>
      <c r="J1132" t="str">
        <f t="shared" si="89"/>
        <v/>
      </c>
    </row>
    <row r="1133" spans="1:10" x14ac:dyDescent="0.2">
      <c r="A1133">
        <v>226969900095</v>
      </c>
      <c r="B1133" t="s">
        <v>2986</v>
      </c>
      <c r="C1133" t="s">
        <v>2987</v>
      </c>
      <c r="D1133">
        <v>3.99</v>
      </c>
      <c r="F1133" t="str">
        <f t="shared" si="85"/>
        <v>No</v>
      </c>
      <c r="G1133" t="str">
        <f t="shared" si="86"/>
        <v/>
      </c>
      <c r="H1133" t="str">
        <f t="shared" si="87"/>
        <v>—</v>
      </c>
      <c r="I1133" t="str">
        <f t="shared" si="88"/>
        <v>Below thresholds</v>
      </c>
      <c r="J1133" t="str">
        <f t="shared" si="89"/>
        <v/>
      </c>
    </row>
    <row r="1134" spans="1:10" x14ac:dyDescent="0.2">
      <c r="A1134">
        <v>226970002587</v>
      </c>
      <c r="B1134" t="s">
        <v>2988</v>
      </c>
      <c r="C1134" t="s">
        <v>2989</v>
      </c>
      <c r="D1134">
        <v>2.09</v>
      </c>
      <c r="F1134" t="str">
        <f t="shared" si="85"/>
        <v>No</v>
      </c>
      <c r="G1134" t="str">
        <f t="shared" si="86"/>
        <v/>
      </c>
      <c r="H1134" t="str">
        <f t="shared" si="87"/>
        <v>—</v>
      </c>
      <c r="I1134" t="str">
        <f t="shared" si="88"/>
        <v>Below thresholds</v>
      </c>
      <c r="J1134" t="str">
        <f t="shared" si="89"/>
        <v/>
      </c>
    </row>
    <row r="1135" spans="1:10" x14ac:dyDescent="0.2">
      <c r="A1135">
        <v>226970002674</v>
      </c>
      <c r="B1135" t="s">
        <v>2990</v>
      </c>
      <c r="C1135" t="s">
        <v>2991</v>
      </c>
      <c r="D1135">
        <v>2.09</v>
      </c>
      <c r="F1135" t="str">
        <f t="shared" si="85"/>
        <v>No</v>
      </c>
      <c r="G1135" t="str">
        <f t="shared" si="86"/>
        <v/>
      </c>
      <c r="H1135" t="str">
        <f t="shared" si="87"/>
        <v>—</v>
      </c>
      <c r="I1135" t="str">
        <f t="shared" si="88"/>
        <v>Below thresholds</v>
      </c>
      <c r="J1135" t="str">
        <f t="shared" si="89"/>
        <v/>
      </c>
    </row>
    <row r="1136" spans="1:10" x14ac:dyDescent="0.2">
      <c r="A1136">
        <v>226970002697</v>
      </c>
      <c r="B1136" t="s">
        <v>2992</v>
      </c>
      <c r="C1136" t="s">
        <v>2993</v>
      </c>
      <c r="D1136">
        <v>2.09</v>
      </c>
      <c r="F1136" t="str">
        <f t="shared" si="85"/>
        <v>No</v>
      </c>
      <c r="G1136" t="str">
        <f t="shared" si="86"/>
        <v/>
      </c>
      <c r="H1136" t="str">
        <f t="shared" si="87"/>
        <v>—</v>
      </c>
      <c r="I1136" t="str">
        <f t="shared" si="88"/>
        <v>Below thresholds</v>
      </c>
      <c r="J1136" t="str">
        <f t="shared" si="89"/>
        <v/>
      </c>
    </row>
    <row r="1137" spans="1:10" x14ac:dyDescent="0.2">
      <c r="A1137">
        <v>226970002701</v>
      </c>
      <c r="B1137" t="s">
        <v>2994</v>
      </c>
      <c r="C1137" t="s">
        <v>2995</v>
      </c>
      <c r="D1137">
        <v>2.09</v>
      </c>
      <c r="F1137" t="str">
        <f t="shared" si="85"/>
        <v>No</v>
      </c>
      <c r="G1137" t="str">
        <f t="shared" si="86"/>
        <v/>
      </c>
      <c r="H1137" t="str">
        <f t="shared" si="87"/>
        <v>—</v>
      </c>
      <c r="I1137" t="str">
        <f t="shared" si="88"/>
        <v>Below thresholds</v>
      </c>
      <c r="J1137" t="str">
        <f t="shared" si="89"/>
        <v/>
      </c>
    </row>
    <row r="1138" spans="1:10" x14ac:dyDescent="0.2">
      <c r="A1138">
        <v>226970002721</v>
      </c>
      <c r="B1138" t="s">
        <v>2996</v>
      </c>
      <c r="C1138" t="s">
        <v>2997</v>
      </c>
      <c r="D1138">
        <v>2.09</v>
      </c>
      <c r="F1138" t="str">
        <f t="shared" si="85"/>
        <v>No</v>
      </c>
      <c r="G1138" t="str">
        <f t="shared" si="86"/>
        <v/>
      </c>
      <c r="H1138" t="str">
        <f t="shared" si="87"/>
        <v>—</v>
      </c>
      <c r="I1138" t="str">
        <f t="shared" si="88"/>
        <v>Below thresholds</v>
      </c>
      <c r="J1138" t="str">
        <f t="shared" si="89"/>
        <v/>
      </c>
    </row>
    <row r="1139" spans="1:10" x14ac:dyDescent="0.2">
      <c r="A1139">
        <v>226970002727</v>
      </c>
      <c r="B1139" t="s">
        <v>2998</v>
      </c>
      <c r="C1139" t="s">
        <v>2999</v>
      </c>
      <c r="D1139">
        <v>2.09</v>
      </c>
      <c r="F1139" t="str">
        <f t="shared" si="85"/>
        <v>No</v>
      </c>
      <c r="G1139" t="str">
        <f t="shared" si="86"/>
        <v/>
      </c>
      <c r="H1139" t="str">
        <f t="shared" si="87"/>
        <v>—</v>
      </c>
      <c r="I1139" t="str">
        <f t="shared" si="88"/>
        <v>Below thresholds</v>
      </c>
      <c r="J1139" t="str">
        <f t="shared" si="89"/>
        <v/>
      </c>
    </row>
    <row r="1140" spans="1:10" x14ac:dyDescent="0.2">
      <c r="A1140">
        <v>226970002768</v>
      </c>
      <c r="B1140" t="s">
        <v>3000</v>
      </c>
      <c r="C1140" t="s">
        <v>3001</v>
      </c>
      <c r="D1140">
        <v>2.09</v>
      </c>
      <c r="F1140" t="str">
        <f t="shared" si="85"/>
        <v>No</v>
      </c>
      <c r="G1140" t="str">
        <f t="shared" si="86"/>
        <v/>
      </c>
      <c r="H1140" t="str">
        <f t="shared" si="87"/>
        <v>—</v>
      </c>
      <c r="I1140" t="str">
        <f t="shared" si="88"/>
        <v>Below thresholds</v>
      </c>
      <c r="J1140" t="str">
        <f t="shared" si="89"/>
        <v/>
      </c>
    </row>
    <row r="1141" spans="1:10" x14ac:dyDescent="0.2">
      <c r="A1141">
        <v>226970002773</v>
      </c>
      <c r="B1141" t="s">
        <v>3002</v>
      </c>
      <c r="C1141" t="s">
        <v>3003</v>
      </c>
      <c r="D1141">
        <v>2.09</v>
      </c>
      <c r="F1141" t="str">
        <f t="shared" si="85"/>
        <v>No</v>
      </c>
      <c r="G1141" t="str">
        <f t="shared" si="86"/>
        <v/>
      </c>
      <c r="H1141" t="str">
        <f t="shared" si="87"/>
        <v>—</v>
      </c>
      <c r="I1141" t="str">
        <f t="shared" si="88"/>
        <v>Below thresholds</v>
      </c>
      <c r="J1141" t="str">
        <f t="shared" si="89"/>
        <v/>
      </c>
    </row>
    <row r="1142" spans="1:10" x14ac:dyDescent="0.2">
      <c r="A1142">
        <v>226970002796</v>
      </c>
      <c r="B1142" t="s">
        <v>3004</v>
      </c>
      <c r="C1142" t="s">
        <v>3005</v>
      </c>
      <c r="D1142">
        <v>2.09</v>
      </c>
      <c r="F1142" t="str">
        <f t="shared" si="85"/>
        <v>No</v>
      </c>
      <c r="G1142" t="str">
        <f t="shared" si="86"/>
        <v/>
      </c>
      <c r="H1142" t="str">
        <f t="shared" si="87"/>
        <v>—</v>
      </c>
      <c r="I1142" t="str">
        <f t="shared" si="88"/>
        <v>Below thresholds</v>
      </c>
      <c r="J1142" t="str">
        <f t="shared" si="89"/>
        <v/>
      </c>
    </row>
    <row r="1143" spans="1:10" x14ac:dyDescent="0.2">
      <c r="A1143">
        <v>226970002806</v>
      </c>
      <c r="B1143" t="s">
        <v>3006</v>
      </c>
      <c r="C1143" t="s">
        <v>3007</v>
      </c>
      <c r="D1143">
        <v>2.09</v>
      </c>
      <c r="F1143" t="str">
        <f t="shared" si="85"/>
        <v>No</v>
      </c>
      <c r="G1143" t="str">
        <f t="shared" si="86"/>
        <v/>
      </c>
      <c r="H1143" t="str">
        <f t="shared" si="87"/>
        <v>—</v>
      </c>
      <c r="I1143" t="str">
        <f t="shared" si="88"/>
        <v>Below thresholds</v>
      </c>
      <c r="J1143" t="str">
        <f t="shared" si="89"/>
        <v/>
      </c>
    </row>
    <row r="1144" spans="1:10" x14ac:dyDescent="0.2">
      <c r="A1144">
        <v>226970002818</v>
      </c>
      <c r="B1144" t="s">
        <v>3008</v>
      </c>
      <c r="C1144" t="s">
        <v>3009</v>
      </c>
      <c r="D1144">
        <v>2.09</v>
      </c>
      <c r="F1144" t="str">
        <f t="shared" si="85"/>
        <v>No</v>
      </c>
      <c r="G1144" t="str">
        <f t="shared" si="86"/>
        <v/>
      </c>
      <c r="H1144" t="str">
        <f t="shared" si="87"/>
        <v>—</v>
      </c>
      <c r="I1144" t="str">
        <f t="shared" si="88"/>
        <v>Below thresholds</v>
      </c>
      <c r="J1144" t="str">
        <f t="shared" si="89"/>
        <v/>
      </c>
    </row>
    <row r="1145" spans="1:10" x14ac:dyDescent="0.2">
      <c r="A1145">
        <v>226970002831</v>
      </c>
      <c r="B1145" t="s">
        <v>3010</v>
      </c>
      <c r="C1145" t="s">
        <v>3011</v>
      </c>
      <c r="D1145">
        <v>2.09</v>
      </c>
      <c r="F1145" t="str">
        <f t="shared" si="85"/>
        <v>No</v>
      </c>
      <c r="G1145" t="str">
        <f t="shared" si="86"/>
        <v/>
      </c>
      <c r="H1145" t="str">
        <f t="shared" si="87"/>
        <v>—</v>
      </c>
      <c r="I1145" t="str">
        <f t="shared" si="88"/>
        <v>Below thresholds</v>
      </c>
      <c r="J1145" t="str">
        <f t="shared" si="89"/>
        <v/>
      </c>
    </row>
    <row r="1146" spans="1:10" x14ac:dyDescent="0.2">
      <c r="A1146">
        <v>226970002841</v>
      </c>
      <c r="B1146" t="s">
        <v>3012</v>
      </c>
      <c r="C1146" t="s">
        <v>3013</v>
      </c>
      <c r="D1146">
        <v>2.09</v>
      </c>
      <c r="F1146" t="str">
        <f t="shared" si="85"/>
        <v>No</v>
      </c>
      <c r="G1146" t="str">
        <f t="shared" si="86"/>
        <v/>
      </c>
      <c r="H1146" t="str">
        <f t="shared" si="87"/>
        <v>—</v>
      </c>
      <c r="I1146" t="str">
        <f t="shared" si="88"/>
        <v>Below thresholds</v>
      </c>
      <c r="J1146" t="str">
        <f t="shared" si="89"/>
        <v/>
      </c>
    </row>
    <row r="1147" spans="1:10" x14ac:dyDescent="0.2">
      <c r="A1147">
        <v>226970002868</v>
      </c>
      <c r="B1147" t="s">
        <v>3014</v>
      </c>
      <c r="C1147" t="s">
        <v>3015</v>
      </c>
      <c r="D1147">
        <v>2.09</v>
      </c>
      <c r="F1147" t="str">
        <f t="shared" si="85"/>
        <v>No</v>
      </c>
      <c r="G1147" t="str">
        <f t="shared" si="86"/>
        <v/>
      </c>
      <c r="H1147" t="str">
        <f t="shared" si="87"/>
        <v>—</v>
      </c>
      <c r="I1147" t="str">
        <f t="shared" si="88"/>
        <v>Below thresholds</v>
      </c>
      <c r="J1147" t="str">
        <f t="shared" si="89"/>
        <v/>
      </c>
    </row>
    <row r="1148" spans="1:10" x14ac:dyDescent="0.2">
      <c r="A1148">
        <v>226970002886</v>
      </c>
      <c r="B1148" t="s">
        <v>3016</v>
      </c>
      <c r="C1148" t="s">
        <v>3017</v>
      </c>
      <c r="D1148">
        <v>2.09</v>
      </c>
      <c r="F1148" t="str">
        <f t="shared" si="85"/>
        <v>No</v>
      </c>
      <c r="G1148" t="str">
        <f t="shared" si="86"/>
        <v/>
      </c>
      <c r="H1148" t="str">
        <f t="shared" si="87"/>
        <v>—</v>
      </c>
      <c r="I1148" t="str">
        <f t="shared" si="88"/>
        <v>Below thresholds</v>
      </c>
      <c r="J1148" t="str">
        <f t="shared" si="89"/>
        <v/>
      </c>
    </row>
    <row r="1149" spans="1:10" x14ac:dyDescent="0.2">
      <c r="A1149">
        <v>226970003007</v>
      </c>
      <c r="B1149" t="s">
        <v>3018</v>
      </c>
      <c r="C1149" t="s">
        <v>3019</v>
      </c>
      <c r="D1149">
        <v>2.09</v>
      </c>
      <c r="F1149" t="str">
        <f t="shared" si="85"/>
        <v>No</v>
      </c>
      <c r="G1149" t="str">
        <f t="shared" si="86"/>
        <v/>
      </c>
      <c r="H1149" t="str">
        <f t="shared" si="87"/>
        <v>—</v>
      </c>
      <c r="I1149" t="str">
        <f t="shared" si="88"/>
        <v>Below thresholds</v>
      </c>
      <c r="J1149" t="str">
        <f t="shared" si="89"/>
        <v/>
      </c>
    </row>
    <row r="1150" spans="1:10" x14ac:dyDescent="0.2">
      <c r="A1150">
        <v>226970003024</v>
      </c>
      <c r="B1150" t="s">
        <v>3020</v>
      </c>
      <c r="C1150" t="s">
        <v>3021</v>
      </c>
      <c r="D1150">
        <v>2.09</v>
      </c>
      <c r="F1150" t="str">
        <f t="shared" si="85"/>
        <v>No</v>
      </c>
      <c r="G1150" t="str">
        <f t="shared" si="86"/>
        <v/>
      </c>
      <c r="H1150" t="str">
        <f t="shared" si="87"/>
        <v>—</v>
      </c>
      <c r="I1150" t="str">
        <f t="shared" si="88"/>
        <v>Below thresholds</v>
      </c>
      <c r="J1150" t="str">
        <f t="shared" si="89"/>
        <v/>
      </c>
    </row>
    <row r="1151" spans="1:10" x14ac:dyDescent="0.2">
      <c r="A1151">
        <v>226970003040</v>
      </c>
      <c r="B1151" t="s">
        <v>3022</v>
      </c>
      <c r="C1151" t="s">
        <v>3023</v>
      </c>
      <c r="D1151">
        <v>2.09</v>
      </c>
      <c r="F1151" t="str">
        <f t="shared" si="85"/>
        <v>No</v>
      </c>
      <c r="G1151" t="str">
        <f t="shared" si="86"/>
        <v/>
      </c>
      <c r="H1151" t="str">
        <f t="shared" si="87"/>
        <v>—</v>
      </c>
      <c r="I1151" t="str">
        <f t="shared" si="88"/>
        <v>Below thresholds</v>
      </c>
      <c r="J1151" t="str">
        <f t="shared" si="89"/>
        <v/>
      </c>
    </row>
    <row r="1152" spans="1:10" x14ac:dyDescent="0.2">
      <c r="A1152">
        <v>226970003051</v>
      </c>
      <c r="B1152" t="s">
        <v>3024</v>
      </c>
      <c r="C1152" t="s">
        <v>3025</v>
      </c>
      <c r="D1152">
        <v>2.09</v>
      </c>
      <c r="F1152" t="str">
        <f t="shared" si="85"/>
        <v>No</v>
      </c>
      <c r="G1152" t="str">
        <f t="shared" si="86"/>
        <v/>
      </c>
      <c r="H1152" t="str">
        <f t="shared" si="87"/>
        <v>—</v>
      </c>
      <c r="I1152" t="str">
        <f t="shared" si="88"/>
        <v>Below thresholds</v>
      </c>
      <c r="J1152" t="str">
        <f t="shared" si="89"/>
        <v/>
      </c>
    </row>
    <row r="1153" spans="1:10" x14ac:dyDescent="0.2">
      <c r="A1153">
        <v>226970003065</v>
      </c>
      <c r="B1153" t="s">
        <v>3026</v>
      </c>
      <c r="C1153" t="s">
        <v>3027</v>
      </c>
      <c r="D1153">
        <v>2.09</v>
      </c>
      <c r="F1153" t="str">
        <f t="shared" si="85"/>
        <v>No</v>
      </c>
      <c r="G1153" t="str">
        <f t="shared" si="86"/>
        <v/>
      </c>
      <c r="H1153" t="str">
        <f t="shared" si="87"/>
        <v>—</v>
      </c>
      <c r="I1153" t="str">
        <f t="shared" si="88"/>
        <v>Below thresholds</v>
      </c>
      <c r="J1153" t="str">
        <f t="shared" si="89"/>
        <v/>
      </c>
    </row>
    <row r="1154" spans="1:10" x14ac:dyDescent="0.2">
      <c r="A1154">
        <v>226970003079</v>
      </c>
      <c r="B1154" t="s">
        <v>3028</v>
      </c>
      <c r="C1154" t="s">
        <v>3029</v>
      </c>
      <c r="D1154">
        <v>2.09</v>
      </c>
      <c r="F1154" t="str">
        <f t="shared" si="85"/>
        <v>No</v>
      </c>
      <c r="G1154" t="str">
        <f t="shared" si="86"/>
        <v/>
      </c>
      <c r="H1154" t="str">
        <f t="shared" si="87"/>
        <v>—</v>
      </c>
      <c r="I1154" t="str">
        <f t="shared" si="88"/>
        <v>Below thresholds</v>
      </c>
      <c r="J1154" t="str">
        <f t="shared" si="89"/>
        <v/>
      </c>
    </row>
    <row r="1155" spans="1:10" x14ac:dyDescent="0.2">
      <c r="A1155">
        <v>226970003101</v>
      </c>
      <c r="B1155" t="s">
        <v>3030</v>
      </c>
      <c r="C1155" t="s">
        <v>3031</v>
      </c>
      <c r="D1155">
        <v>2.09</v>
      </c>
      <c r="F1155" t="str">
        <f t="shared" si="85"/>
        <v>No</v>
      </c>
      <c r="G1155" t="str">
        <f t="shared" si="86"/>
        <v/>
      </c>
      <c r="H1155" t="str">
        <f t="shared" si="87"/>
        <v>—</v>
      </c>
      <c r="I1155" t="str">
        <f t="shared" si="88"/>
        <v>Below thresholds</v>
      </c>
      <c r="J1155" t="str">
        <f t="shared" si="89"/>
        <v/>
      </c>
    </row>
    <row r="1156" spans="1:10" x14ac:dyDescent="0.2">
      <c r="A1156">
        <v>226970003124</v>
      </c>
      <c r="B1156" t="s">
        <v>3032</v>
      </c>
      <c r="C1156" t="s">
        <v>3033</v>
      </c>
      <c r="D1156">
        <v>2.09</v>
      </c>
      <c r="F1156" t="str">
        <f t="shared" si="85"/>
        <v>No</v>
      </c>
      <c r="G1156" t="str">
        <f t="shared" si="86"/>
        <v/>
      </c>
      <c r="H1156" t="str">
        <f t="shared" si="87"/>
        <v>—</v>
      </c>
      <c r="I1156" t="str">
        <f t="shared" si="88"/>
        <v>Below thresholds</v>
      </c>
      <c r="J1156" t="str">
        <f t="shared" si="89"/>
        <v/>
      </c>
    </row>
    <row r="1157" spans="1:10" x14ac:dyDescent="0.2">
      <c r="A1157">
        <v>226970003133</v>
      </c>
      <c r="B1157" t="s">
        <v>3034</v>
      </c>
      <c r="C1157" t="s">
        <v>3035</v>
      </c>
      <c r="D1157">
        <v>2.09</v>
      </c>
      <c r="F1157" t="str">
        <f t="shared" ref="F1157:F1220" si="90">IF($B1157="","",IF(ISNUMBER(SEARCH("PSA",$B1157)),"Yes","No"))</f>
        <v>No</v>
      </c>
      <c r="G1157" t="str">
        <f t="shared" ref="G1157:G1220" si="91">IF($B1157="","",IF(ISNUMBER(SEARCH("PSA 10",$B1157)),10,IF(ISNUMBER(SEARCH("PSA 9.5",$B1157)),9.5,IF(ISNUMBER(SEARCH("PSA 9",$B1157)),9,IF(ISNUMBER(SEARCH("PSA 8",$B1157)),8,IF(ISNUMBER(SEARCH("PSA",$B1157)),"&lt;9",""))))))</f>
        <v/>
      </c>
      <c r="H1157" t="str">
        <f t="shared" ref="H1157:H1220" si="92">IF($B1157="","",IF($D1157&gt;=100,"TIER 2",IF(OR(ISNUMBER(SEARCH("PSA 10",$B1157)),ISNUMBER(SEARCH("PSA 9.5",$B1157)),ISNUMBER(SEARCH("PSA 9",$B1157))),"TIER 3",IF(AND($D1157&gt;20,N($E1157)&gt;=15),"TIER 1","—"))))</f>
        <v>—</v>
      </c>
      <c r="I1157" t="str">
        <f t="shared" ref="I1157:I1220" si="93">IF($B1157="","",IF($D1157&gt;=100,"Premium $100+ (auto)",IF(OR(ISNUMBER(SEARCH("PSA 10",$B1157)),ISNUMBER(SEARCH("PSA 9.5",$B1157)),ISNUMBER(SEARCH("PSA 9",$B1157))),"Graded PSA 9+ (auto)",IF(AND($D1157&gt;20,N($E1157)&gt;=15),"Hot: $20+ &amp; "&amp;$E1157&amp;"/day",IF($D1157&gt;20,"$20+ — needs velocity check","Below thresholds")))))</f>
        <v>Below thresholds</v>
      </c>
      <c r="J1157" t="str">
        <f t="shared" ref="J1157:J1220" si="94">IF($B1157="","",IF(AND($D1157&gt;20,$D1157&lt;100,NOT(OR(ISNUMBER(SEARCH("PSA 10",$B1157)),ISNUMBER(SEARCH("PSA 9.5",$B1157)),ISNUMBER(SEARCH("PSA 9",$B1157)))),$E1157=""),"YES — pull CardHedger",""))</f>
        <v/>
      </c>
    </row>
    <row r="1158" spans="1:10" x14ac:dyDescent="0.2">
      <c r="A1158">
        <v>226970003166</v>
      </c>
      <c r="B1158" t="s">
        <v>3036</v>
      </c>
      <c r="C1158" t="s">
        <v>3037</v>
      </c>
      <c r="D1158">
        <v>4.59</v>
      </c>
      <c r="F1158" t="str">
        <f t="shared" si="90"/>
        <v>No</v>
      </c>
      <c r="G1158" t="str">
        <f t="shared" si="91"/>
        <v/>
      </c>
      <c r="H1158" t="str">
        <f t="shared" si="92"/>
        <v>—</v>
      </c>
      <c r="I1158" t="str">
        <f t="shared" si="93"/>
        <v>Below thresholds</v>
      </c>
      <c r="J1158" t="str">
        <f t="shared" si="94"/>
        <v/>
      </c>
    </row>
    <row r="1159" spans="1:10" x14ac:dyDescent="0.2">
      <c r="A1159">
        <v>226970003284</v>
      </c>
      <c r="B1159" t="s">
        <v>3038</v>
      </c>
      <c r="C1159" t="s">
        <v>3039</v>
      </c>
      <c r="D1159">
        <v>2.09</v>
      </c>
      <c r="F1159" t="str">
        <f t="shared" si="90"/>
        <v>No</v>
      </c>
      <c r="G1159" t="str">
        <f t="shared" si="91"/>
        <v/>
      </c>
      <c r="H1159" t="str">
        <f t="shared" si="92"/>
        <v>—</v>
      </c>
      <c r="I1159" t="str">
        <f t="shared" si="93"/>
        <v>Below thresholds</v>
      </c>
      <c r="J1159" t="str">
        <f t="shared" si="94"/>
        <v/>
      </c>
    </row>
    <row r="1160" spans="1:10" x14ac:dyDescent="0.2">
      <c r="A1160">
        <v>226970003295</v>
      </c>
      <c r="B1160" t="s">
        <v>3040</v>
      </c>
      <c r="C1160" t="s">
        <v>3041</v>
      </c>
      <c r="D1160">
        <v>2.09</v>
      </c>
      <c r="F1160" t="str">
        <f t="shared" si="90"/>
        <v>No</v>
      </c>
      <c r="G1160" t="str">
        <f t="shared" si="91"/>
        <v/>
      </c>
      <c r="H1160" t="str">
        <f t="shared" si="92"/>
        <v>—</v>
      </c>
      <c r="I1160" t="str">
        <f t="shared" si="93"/>
        <v>Below thresholds</v>
      </c>
      <c r="J1160" t="str">
        <f t="shared" si="94"/>
        <v/>
      </c>
    </row>
    <row r="1161" spans="1:10" x14ac:dyDescent="0.2">
      <c r="A1161">
        <v>226970003309</v>
      </c>
      <c r="B1161" t="s">
        <v>3042</v>
      </c>
      <c r="C1161" t="s">
        <v>3043</v>
      </c>
      <c r="D1161">
        <v>2.09</v>
      </c>
      <c r="F1161" t="str">
        <f t="shared" si="90"/>
        <v>No</v>
      </c>
      <c r="G1161" t="str">
        <f t="shared" si="91"/>
        <v/>
      </c>
      <c r="H1161" t="str">
        <f t="shared" si="92"/>
        <v>—</v>
      </c>
      <c r="I1161" t="str">
        <f t="shared" si="93"/>
        <v>Below thresholds</v>
      </c>
      <c r="J1161" t="str">
        <f t="shared" si="94"/>
        <v/>
      </c>
    </row>
    <row r="1162" spans="1:10" x14ac:dyDescent="0.2">
      <c r="A1162">
        <v>226970003319</v>
      </c>
      <c r="B1162" t="s">
        <v>3044</v>
      </c>
      <c r="C1162" t="s">
        <v>3045</v>
      </c>
      <c r="D1162">
        <v>2.09</v>
      </c>
      <c r="F1162" t="str">
        <f t="shared" si="90"/>
        <v>No</v>
      </c>
      <c r="G1162" t="str">
        <f t="shared" si="91"/>
        <v/>
      </c>
      <c r="H1162" t="str">
        <f t="shared" si="92"/>
        <v>—</v>
      </c>
      <c r="I1162" t="str">
        <f t="shared" si="93"/>
        <v>Below thresholds</v>
      </c>
      <c r="J1162" t="str">
        <f t="shared" si="94"/>
        <v/>
      </c>
    </row>
    <row r="1163" spans="1:10" x14ac:dyDescent="0.2">
      <c r="A1163">
        <v>226970003332</v>
      </c>
      <c r="B1163" t="s">
        <v>3046</v>
      </c>
      <c r="C1163" t="s">
        <v>3047</v>
      </c>
      <c r="D1163">
        <v>2.09</v>
      </c>
      <c r="F1163" t="str">
        <f t="shared" si="90"/>
        <v>No</v>
      </c>
      <c r="G1163" t="str">
        <f t="shared" si="91"/>
        <v/>
      </c>
      <c r="H1163" t="str">
        <f t="shared" si="92"/>
        <v>—</v>
      </c>
      <c r="I1163" t="str">
        <f t="shared" si="93"/>
        <v>Below thresholds</v>
      </c>
      <c r="J1163" t="str">
        <f t="shared" si="94"/>
        <v/>
      </c>
    </row>
    <row r="1164" spans="1:10" x14ac:dyDescent="0.2">
      <c r="A1164">
        <v>226970003360</v>
      </c>
      <c r="B1164" t="s">
        <v>3048</v>
      </c>
      <c r="C1164" t="s">
        <v>3049</v>
      </c>
      <c r="D1164">
        <v>2.09</v>
      </c>
      <c r="F1164" t="str">
        <f t="shared" si="90"/>
        <v>No</v>
      </c>
      <c r="G1164" t="str">
        <f t="shared" si="91"/>
        <v/>
      </c>
      <c r="H1164" t="str">
        <f t="shared" si="92"/>
        <v>—</v>
      </c>
      <c r="I1164" t="str">
        <f t="shared" si="93"/>
        <v>Below thresholds</v>
      </c>
      <c r="J1164" t="str">
        <f t="shared" si="94"/>
        <v/>
      </c>
    </row>
    <row r="1165" spans="1:10" x14ac:dyDescent="0.2">
      <c r="A1165">
        <v>226970003365</v>
      </c>
      <c r="B1165" t="s">
        <v>3050</v>
      </c>
      <c r="C1165" t="s">
        <v>3051</v>
      </c>
      <c r="D1165">
        <v>2.09</v>
      </c>
      <c r="F1165" t="str">
        <f t="shared" si="90"/>
        <v>No</v>
      </c>
      <c r="G1165" t="str">
        <f t="shared" si="91"/>
        <v/>
      </c>
      <c r="H1165" t="str">
        <f t="shared" si="92"/>
        <v>—</v>
      </c>
      <c r="I1165" t="str">
        <f t="shared" si="93"/>
        <v>Below thresholds</v>
      </c>
      <c r="J1165" t="str">
        <f t="shared" si="94"/>
        <v/>
      </c>
    </row>
    <row r="1166" spans="1:10" x14ac:dyDescent="0.2">
      <c r="A1166">
        <v>226970003387</v>
      </c>
      <c r="B1166" t="s">
        <v>3052</v>
      </c>
      <c r="C1166" t="s">
        <v>3053</v>
      </c>
      <c r="D1166">
        <v>2.09</v>
      </c>
      <c r="F1166" t="str">
        <f t="shared" si="90"/>
        <v>No</v>
      </c>
      <c r="G1166" t="str">
        <f t="shared" si="91"/>
        <v/>
      </c>
      <c r="H1166" t="str">
        <f t="shared" si="92"/>
        <v>—</v>
      </c>
      <c r="I1166" t="str">
        <f t="shared" si="93"/>
        <v>Below thresholds</v>
      </c>
      <c r="J1166" t="str">
        <f t="shared" si="94"/>
        <v/>
      </c>
    </row>
    <row r="1167" spans="1:10" x14ac:dyDescent="0.2">
      <c r="A1167">
        <v>226970003393</v>
      </c>
      <c r="B1167" t="s">
        <v>3054</v>
      </c>
      <c r="C1167" t="s">
        <v>3055</v>
      </c>
      <c r="D1167">
        <v>2.09</v>
      </c>
      <c r="F1167" t="str">
        <f t="shared" si="90"/>
        <v>No</v>
      </c>
      <c r="G1167" t="str">
        <f t="shared" si="91"/>
        <v/>
      </c>
      <c r="H1167" t="str">
        <f t="shared" si="92"/>
        <v>—</v>
      </c>
      <c r="I1167" t="str">
        <f t="shared" si="93"/>
        <v>Below thresholds</v>
      </c>
      <c r="J1167" t="str">
        <f t="shared" si="94"/>
        <v/>
      </c>
    </row>
    <row r="1168" spans="1:10" x14ac:dyDescent="0.2">
      <c r="A1168">
        <v>226970003420</v>
      </c>
      <c r="B1168" t="s">
        <v>3056</v>
      </c>
      <c r="C1168" t="s">
        <v>3057</v>
      </c>
      <c r="D1168">
        <v>2.09</v>
      </c>
      <c r="F1168" t="str">
        <f t="shared" si="90"/>
        <v>No</v>
      </c>
      <c r="G1168" t="str">
        <f t="shared" si="91"/>
        <v/>
      </c>
      <c r="H1168" t="str">
        <f t="shared" si="92"/>
        <v>—</v>
      </c>
      <c r="I1168" t="str">
        <f t="shared" si="93"/>
        <v>Below thresholds</v>
      </c>
      <c r="J1168" t="str">
        <f t="shared" si="94"/>
        <v/>
      </c>
    </row>
    <row r="1169" spans="1:10" x14ac:dyDescent="0.2">
      <c r="A1169">
        <v>226970003430</v>
      </c>
      <c r="B1169" t="s">
        <v>3058</v>
      </c>
      <c r="C1169" t="s">
        <v>3059</v>
      </c>
      <c r="D1169">
        <v>2.09</v>
      </c>
      <c r="F1169" t="str">
        <f t="shared" si="90"/>
        <v>No</v>
      </c>
      <c r="G1169" t="str">
        <f t="shared" si="91"/>
        <v/>
      </c>
      <c r="H1169" t="str">
        <f t="shared" si="92"/>
        <v>—</v>
      </c>
      <c r="I1169" t="str">
        <f t="shared" si="93"/>
        <v>Below thresholds</v>
      </c>
      <c r="J1169" t="str">
        <f t="shared" si="94"/>
        <v/>
      </c>
    </row>
    <row r="1170" spans="1:10" x14ac:dyDescent="0.2">
      <c r="A1170">
        <v>226970003460</v>
      </c>
      <c r="B1170" t="s">
        <v>3060</v>
      </c>
      <c r="C1170" t="s">
        <v>3061</v>
      </c>
      <c r="D1170">
        <v>2.09</v>
      </c>
      <c r="F1170" t="str">
        <f t="shared" si="90"/>
        <v>No</v>
      </c>
      <c r="G1170" t="str">
        <f t="shared" si="91"/>
        <v/>
      </c>
      <c r="H1170" t="str">
        <f t="shared" si="92"/>
        <v>—</v>
      </c>
      <c r="I1170" t="str">
        <f t="shared" si="93"/>
        <v>Below thresholds</v>
      </c>
      <c r="J1170" t="str">
        <f t="shared" si="94"/>
        <v/>
      </c>
    </row>
    <row r="1171" spans="1:10" x14ac:dyDescent="0.2">
      <c r="A1171">
        <v>226970003461</v>
      </c>
      <c r="B1171" t="s">
        <v>3062</v>
      </c>
      <c r="C1171" t="s">
        <v>3063</v>
      </c>
      <c r="D1171">
        <v>2.09</v>
      </c>
      <c r="F1171" t="str">
        <f t="shared" si="90"/>
        <v>No</v>
      </c>
      <c r="G1171" t="str">
        <f t="shared" si="91"/>
        <v/>
      </c>
      <c r="H1171" t="str">
        <f t="shared" si="92"/>
        <v>—</v>
      </c>
      <c r="I1171" t="str">
        <f t="shared" si="93"/>
        <v>Below thresholds</v>
      </c>
      <c r="J1171" t="str">
        <f t="shared" si="94"/>
        <v/>
      </c>
    </row>
    <row r="1172" spans="1:10" x14ac:dyDescent="0.2">
      <c r="A1172">
        <v>226970003490</v>
      </c>
      <c r="B1172" t="s">
        <v>3064</v>
      </c>
      <c r="C1172" t="s">
        <v>3065</v>
      </c>
      <c r="D1172">
        <v>2.09</v>
      </c>
      <c r="F1172" t="str">
        <f t="shared" si="90"/>
        <v>No</v>
      </c>
      <c r="G1172" t="str">
        <f t="shared" si="91"/>
        <v/>
      </c>
      <c r="H1172" t="str">
        <f t="shared" si="92"/>
        <v>—</v>
      </c>
      <c r="I1172" t="str">
        <f t="shared" si="93"/>
        <v>Below thresholds</v>
      </c>
      <c r="J1172" t="str">
        <f t="shared" si="94"/>
        <v/>
      </c>
    </row>
    <row r="1173" spans="1:10" x14ac:dyDescent="0.2">
      <c r="A1173">
        <v>226970003494</v>
      </c>
      <c r="B1173" t="s">
        <v>3066</v>
      </c>
      <c r="C1173" t="s">
        <v>3067</v>
      </c>
      <c r="D1173">
        <v>2.09</v>
      </c>
      <c r="F1173" t="str">
        <f t="shared" si="90"/>
        <v>No</v>
      </c>
      <c r="G1173" t="str">
        <f t="shared" si="91"/>
        <v/>
      </c>
      <c r="H1173" t="str">
        <f t="shared" si="92"/>
        <v>—</v>
      </c>
      <c r="I1173" t="str">
        <f t="shared" si="93"/>
        <v>Below thresholds</v>
      </c>
      <c r="J1173" t="str">
        <f t="shared" si="94"/>
        <v/>
      </c>
    </row>
    <row r="1174" spans="1:10" x14ac:dyDescent="0.2">
      <c r="A1174">
        <v>226970003519</v>
      </c>
      <c r="B1174" t="s">
        <v>3068</v>
      </c>
      <c r="C1174" t="s">
        <v>3069</v>
      </c>
      <c r="D1174">
        <v>4.4000000000000004</v>
      </c>
      <c r="F1174" t="str">
        <f t="shared" si="90"/>
        <v>No</v>
      </c>
      <c r="G1174" t="str">
        <f t="shared" si="91"/>
        <v/>
      </c>
      <c r="H1174" t="str">
        <f t="shared" si="92"/>
        <v>—</v>
      </c>
      <c r="I1174" t="str">
        <f t="shared" si="93"/>
        <v>Below thresholds</v>
      </c>
      <c r="J1174" t="str">
        <f t="shared" si="94"/>
        <v/>
      </c>
    </row>
    <row r="1175" spans="1:10" x14ac:dyDescent="0.2">
      <c r="A1175">
        <v>226970003525</v>
      </c>
      <c r="B1175" t="s">
        <v>3070</v>
      </c>
      <c r="C1175" t="s">
        <v>3071</v>
      </c>
      <c r="D1175">
        <v>2.09</v>
      </c>
      <c r="F1175" t="str">
        <f t="shared" si="90"/>
        <v>No</v>
      </c>
      <c r="G1175" t="str">
        <f t="shared" si="91"/>
        <v/>
      </c>
      <c r="H1175" t="str">
        <f t="shared" si="92"/>
        <v>—</v>
      </c>
      <c r="I1175" t="str">
        <f t="shared" si="93"/>
        <v>Below thresholds</v>
      </c>
      <c r="J1175" t="str">
        <f t="shared" si="94"/>
        <v/>
      </c>
    </row>
    <row r="1176" spans="1:10" x14ac:dyDescent="0.2">
      <c r="A1176">
        <v>226970154858</v>
      </c>
      <c r="B1176" t="s">
        <v>339</v>
      </c>
      <c r="C1176" t="s">
        <v>3072</v>
      </c>
      <c r="D1176">
        <v>21</v>
      </c>
      <c r="F1176" t="str">
        <f t="shared" si="90"/>
        <v>No</v>
      </c>
      <c r="G1176" t="str">
        <f t="shared" si="91"/>
        <v/>
      </c>
      <c r="H1176" t="str">
        <f t="shared" si="92"/>
        <v>—</v>
      </c>
      <c r="I1176" t="str">
        <f t="shared" si="93"/>
        <v>$20+ — needs velocity check</v>
      </c>
      <c r="J1176" t="str">
        <f t="shared" si="94"/>
        <v>YES — pull CardHedger</v>
      </c>
    </row>
    <row r="1177" spans="1:10" x14ac:dyDescent="0.2">
      <c r="A1177">
        <v>226970155173</v>
      </c>
      <c r="B1177" t="s">
        <v>3073</v>
      </c>
      <c r="C1177" t="s">
        <v>3074</v>
      </c>
      <c r="D1177">
        <v>5.49</v>
      </c>
      <c r="F1177" t="str">
        <f t="shared" si="90"/>
        <v>No</v>
      </c>
      <c r="G1177" t="str">
        <f t="shared" si="91"/>
        <v/>
      </c>
      <c r="H1177" t="str">
        <f t="shared" si="92"/>
        <v>—</v>
      </c>
      <c r="I1177" t="str">
        <f t="shared" si="93"/>
        <v>Below thresholds</v>
      </c>
      <c r="J1177" t="str">
        <f t="shared" si="94"/>
        <v/>
      </c>
    </row>
    <row r="1178" spans="1:10" x14ac:dyDescent="0.2">
      <c r="A1178">
        <v>226970155258</v>
      </c>
      <c r="B1178" t="s">
        <v>3075</v>
      </c>
      <c r="C1178" t="s">
        <v>3076</v>
      </c>
      <c r="D1178">
        <v>2.99</v>
      </c>
      <c r="F1178" t="str">
        <f t="shared" si="90"/>
        <v>No</v>
      </c>
      <c r="G1178" t="str">
        <f t="shared" si="91"/>
        <v/>
      </c>
      <c r="H1178" t="str">
        <f t="shared" si="92"/>
        <v>—</v>
      </c>
      <c r="I1178" t="str">
        <f t="shared" si="93"/>
        <v>Below thresholds</v>
      </c>
      <c r="J1178" t="str">
        <f t="shared" si="94"/>
        <v/>
      </c>
    </row>
    <row r="1179" spans="1:10" x14ac:dyDescent="0.2">
      <c r="A1179">
        <v>226970155269</v>
      </c>
      <c r="B1179" t="s">
        <v>3077</v>
      </c>
      <c r="C1179" t="s">
        <v>3078</v>
      </c>
      <c r="D1179">
        <v>2.09</v>
      </c>
      <c r="F1179" t="str">
        <f t="shared" si="90"/>
        <v>No</v>
      </c>
      <c r="G1179" t="str">
        <f t="shared" si="91"/>
        <v/>
      </c>
      <c r="H1179" t="str">
        <f t="shared" si="92"/>
        <v>—</v>
      </c>
      <c r="I1179" t="str">
        <f t="shared" si="93"/>
        <v>Below thresholds</v>
      </c>
      <c r="J1179" t="str">
        <f t="shared" si="94"/>
        <v/>
      </c>
    </row>
    <row r="1180" spans="1:10" x14ac:dyDescent="0.2">
      <c r="A1180">
        <v>226970155295</v>
      </c>
      <c r="B1180" t="s">
        <v>3079</v>
      </c>
      <c r="C1180" t="s">
        <v>3080</v>
      </c>
      <c r="D1180">
        <v>2.09</v>
      </c>
      <c r="F1180" t="str">
        <f t="shared" si="90"/>
        <v>No</v>
      </c>
      <c r="G1180" t="str">
        <f t="shared" si="91"/>
        <v/>
      </c>
      <c r="H1180" t="str">
        <f t="shared" si="92"/>
        <v>—</v>
      </c>
      <c r="I1180" t="str">
        <f t="shared" si="93"/>
        <v>Below thresholds</v>
      </c>
      <c r="J1180" t="str">
        <f t="shared" si="94"/>
        <v/>
      </c>
    </row>
    <row r="1181" spans="1:10" x14ac:dyDescent="0.2">
      <c r="A1181">
        <v>226970155320</v>
      </c>
      <c r="B1181" t="s">
        <v>3081</v>
      </c>
      <c r="C1181" t="s">
        <v>3082</v>
      </c>
      <c r="D1181">
        <v>2.09</v>
      </c>
      <c r="F1181" t="str">
        <f t="shared" si="90"/>
        <v>No</v>
      </c>
      <c r="G1181" t="str">
        <f t="shared" si="91"/>
        <v/>
      </c>
      <c r="H1181" t="str">
        <f t="shared" si="92"/>
        <v>—</v>
      </c>
      <c r="I1181" t="str">
        <f t="shared" si="93"/>
        <v>Below thresholds</v>
      </c>
      <c r="J1181" t="str">
        <f t="shared" si="94"/>
        <v/>
      </c>
    </row>
    <row r="1182" spans="1:10" x14ac:dyDescent="0.2">
      <c r="A1182">
        <v>226970155368</v>
      </c>
      <c r="B1182" t="s">
        <v>3083</v>
      </c>
      <c r="C1182" t="s">
        <v>3084</v>
      </c>
      <c r="D1182">
        <v>2.4900000000000002</v>
      </c>
      <c r="F1182" t="str">
        <f t="shared" si="90"/>
        <v>No</v>
      </c>
      <c r="G1182" t="str">
        <f t="shared" si="91"/>
        <v/>
      </c>
      <c r="H1182" t="str">
        <f t="shared" si="92"/>
        <v>—</v>
      </c>
      <c r="I1182" t="str">
        <f t="shared" si="93"/>
        <v>Below thresholds</v>
      </c>
      <c r="J1182" t="str">
        <f t="shared" si="94"/>
        <v/>
      </c>
    </row>
    <row r="1183" spans="1:10" x14ac:dyDescent="0.2">
      <c r="A1183">
        <v>226970155379</v>
      </c>
      <c r="B1183" t="s">
        <v>3085</v>
      </c>
      <c r="C1183" t="s">
        <v>3086</v>
      </c>
      <c r="D1183">
        <v>2.59</v>
      </c>
      <c r="F1183" t="str">
        <f t="shared" si="90"/>
        <v>No</v>
      </c>
      <c r="G1183" t="str">
        <f t="shared" si="91"/>
        <v/>
      </c>
      <c r="H1183" t="str">
        <f t="shared" si="92"/>
        <v>—</v>
      </c>
      <c r="I1183" t="str">
        <f t="shared" si="93"/>
        <v>Below thresholds</v>
      </c>
      <c r="J1183" t="str">
        <f t="shared" si="94"/>
        <v/>
      </c>
    </row>
    <row r="1184" spans="1:10" x14ac:dyDescent="0.2">
      <c r="A1184">
        <v>226970155436</v>
      </c>
      <c r="B1184" t="s">
        <v>3087</v>
      </c>
      <c r="C1184" t="s">
        <v>3088</v>
      </c>
      <c r="D1184">
        <v>2.09</v>
      </c>
      <c r="F1184" t="str">
        <f t="shared" si="90"/>
        <v>No</v>
      </c>
      <c r="G1184" t="str">
        <f t="shared" si="91"/>
        <v/>
      </c>
      <c r="H1184" t="str">
        <f t="shared" si="92"/>
        <v>—</v>
      </c>
      <c r="I1184" t="str">
        <f t="shared" si="93"/>
        <v>Below thresholds</v>
      </c>
      <c r="J1184" t="str">
        <f t="shared" si="94"/>
        <v/>
      </c>
    </row>
    <row r="1185" spans="1:10" x14ac:dyDescent="0.2">
      <c r="A1185">
        <v>226970155487</v>
      </c>
      <c r="B1185" t="s">
        <v>3089</v>
      </c>
      <c r="C1185" t="s">
        <v>3090</v>
      </c>
      <c r="D1185">
        <v>2.09</v>
      </c>
      <c r="F1185" t="str">
        <f t="shared" si="90"/>
        <v>No</v>
      </c>
      <c r="G1185" t="str">
        <f t="shared" si="91"/>
        <v/>
      </c>
      <c r="H1185" t="str">
        <f t="shared" si="92"/>
        <v>—</v>
      </c>
      <c r="I1185" t="str">
        <f t="shared" si="93"/>
        <v>Below thresholds</v>
      </c>
      <c r="J1185" t="str">
        <f t="shared" si="94"/>
        <v/>
      </c>
    </row>
    <row r="1186" spans="1:10" x14ac:dyDescent="0.2">
      <c r="A1186">
        <v>226970155594</v>
      </c>
      <c r="B1186" t="s">
        <v>3091</v>
      </c>
      <c r="C1186" t="s">
        <v>3092</v>
      </c>
      <c r="D1186">
        <v>2.09</v>
      </c>
      <c r="F1186" t="str">
        <f t="shared" si="90"/>
        <v>No</v>
      </c>
      <c r="G1186" t="str">
        <f t="shared" si="91"/>
        <v/>
      </c>
      <c r="H1186" t="str">
        <f t="shared" si="92"/>
        <v>—</v>
      </c>
      <c r="I1186" t="str">
        <f t="shared" si="93"/>
        <v>Below thresholds</v>
      </c>
      <c r="J1186" t="str">
        <f t="shared" si="94"/>
        <v/>
      </c>
    </row>
    <row r="1187" spans="1:10" x14ac:dyDescent="0.2">
      <c r="A1187">
        <v>226970155612</v>
      </c>
      <c r="B1187" t="s">
        <v>3093</v>
      </c>
      <c r="C1187" t="s">
        <v>3094</v>
      </c>
      <c r="D1187">
        <v>2.09</v>
      </c>
      <c r="F1187" t="str">
        <f t="shared" si="90"/>
        <v>No</v>
      </c>
      <c r="G1187" t="str">
        <f t="shared" si="91"/>
        <v/>
      </c>
      <c r="H1187" t="str">
        <f t="shared" si="92"/>
        <v>—</v>
      </c>
      <c r="I1187" t="str">
        <f t="shared" si="93"/>
        <v>Below thresholds</v>
      </c>
      <c r="J1187" t="str">
        <f t="shared" si="94"/>
        <v/>
      </c>
    </row>
    <row r="1188" spans="1:10" x14ac:dyDescent="0.2">
      <c r="A1188">
        <v>226970155670</v>
      </c>
      <c r="B1188" t="s">
        <v>3095</v>
      </c>
      <c r="C1188" t="s">
        <v>3096</v>
      </c>
      <c r="D1188">
        <v>2.09</v>
      </c>
      <c r="F1188" t="str">
        <f t="shared" si="90"/>
        <v>No</v>
      </c>
      <c r="G1188" t="str">
        <f t="shared" si="91"/>
        <v/>
      </c>
      <c r="H1188" t="str">
        <f t="shared" si="92"/>
        <v>—</v>
      </c>
      <c r="I1188" t="str">
        <f t="shared" si="93"/>
        <v>Below thresholds</v>
      </c>
      <c r="J1188" t="str">
        <f t="shared" si="94"/>
        <v/>
      </c>
    </row>
    <row r="1189" spans="1:10" x14ac:dyDescent="0.2">
      <c r="A1189">
        <v>226970155677</v>
      </c>
      <c r="B1189" t="s">
        <v>3097</v>
      </c>
      <c r="C1189" t="s">
        <v>3098</v>
      </c>
      <c r="D1189">
        <v>2.09</v>
      </c>
      <c r="F1189" t="str">
        <f t="shared" si="90"/>
        <v>No</v>
      </c>
      <c r="G1189" t="str">
        <f t="shared" si="91"/>
        <v/>
      </c>
      <c r="H1189" t="str">
        <f t="shared" si="92"/>
        <v>—</v>
      </c>
      <c r="I1189" t="str">
        <f t="shared" si="93"/>
        <v>Below thresholds</v>
      </c>
      <c r="J1189" t="str">
        <f t="shared" si="94"/>
        <v/>
      </c>
    </row>
    <row r="1190" spans="1:10" x14ac:dyDescent="0.2">
      <c r="A1190">
        <v>226970155747</v>
      </c>
      <c r="B1190" t="s">
        <v>3099</v>
      </c>
      <c r="C1190" t="s">
        <v>3100</v>
      </c>
      <c r="D1190">
        <v>2.29</v>
      </c>
      <c r="F1190" t="str">
        <f t="shared" si="90"/>
        <v>No</v>
      </c>
      <c r="G1190" t="str">
        <f t="shared" si="91"/>
        <v/>
      </c>
      <c r="H1190" t="str">
        <f t="shared" si="92"/>
        <v>—</v>
      </c>
      <c r="I1190" t="str">
        <f t="shared" si="93"/>
        <v>Below thresholds</v>
      </c>
      <c r="J1190" t="str">
        <f t="shared" si="94"/>
        <v/>
      </c>
    </row>
    <row r="1191" spans="1:10" x14ac:dyDescent="0.2">
      <c r="A1191">
        <v>226970155753</v>
      </c>
      <c r="B1191" t="s">
        <v>3101</v>
      </c>
      <c r="C1191" t="s">
        <v>3102</v>
      </c>
      <c r="D1191">
        <v>2.29</v>
      </c>
      <c r="F1191" t="str">
        <f t="shared" si="90"/>
        <v>No</v>
      </c>
      <c r="G1191" t="str">
        <f t="shared" si="91"/>
        <v/>
      </c>
      <c r="H1191" t="str">
        <f t="shared" si="92"/>
        <v>—</v>
      </c>
      <c r="I1191" t="str">
        <f t="shared" si="93"/>
        <v>Below thresholds</v>
      </c>
      <c r="J1191" t="str">
        <f t="shared" si="94"/>
        <v/>
      </c>
    </row>
    <row r="1192" spans="1:10" x14ac:dyDescent="0.2">
      <c r="A1192">
        <v>226970155785</v>
      </c>
      <c r="B1192" t="s">
        <v>3103</v>
      </c>
      <c r="C1192" t="s">
        <v>3104</v>
      </c>
      <c r="D1192">
        <v>2.4900000000000002</v>
      </c>
      <c r="F1192" t="str">
        <f t="shared" si="90"/>
        <v>No</v>
      </c>
      <c r="G1192" t="str">
        <f t="shared" si="91"/>
        <v/>
      </c>
      <c r="H1192" t="str">
        <f t="shared" si="92"/>
        <v>—</v>
      </c>
      <c r="I1192" t="str">
        <f t="shared" si="93"/>
        <v>Below thresholds</v>
      </c>
      <c r="J1192" t="str">
        <f t="shared" si="94"/>
        <v/>
      </c>
    </row>
    <row r="1193" spans="1:10" x14ac:dyDescent="0.2">
      <c r="A1193">
        <v>226970155818</v>
      </c>
      <c r="B1193" t="s">
        <v>3105</v>
      </c>
      <c r="C1193" t="s">
        <v>3106</v>
      </c>
      <c r="D1193">
        <v>2.09</v>
      </c>
      <c r="F1193" t="str">
        <f t="shared" si="90"/>
        <v>No</v>
      </c>
      <c r="G1193" t="str">
        <f t="shared" si="91"/>
        <v/>
      </c>
      <c r="H1193" t="str">
        <f t="shared" si="92"/>
        <v>—</v>
      </c>
      <c r="I1193" t="str">
        <f t="shared" si="93"/>
        <v>Below thresholds</v>
      </c>
      <c r="J1193" t="str">
        <f t="shared" si="94"/>
        <v/>
      </c>
    </row>
    <row r="1194" spans="1:10" x14ac:dyDescent="0.2">
      <c r="A1194">
        <v>226970155831</v>
      </c>
      <c r="B1194" t="s">
        <v>3107</v>
      </c>
      <c r="C1194" t="s">
        <v>3108</v>
      </c>
      <c r="D1194">
        <v>3.99</v>
      </c>
      <c r="F1194" t="str">
        <f t="shared" si="90"/>
        <v>No</v>
      </c>
      <c r="G1194" t="str">
        <f t="shared" si="91"/>
        <v/>
      </c>
      <c r="H1194" t="str">
        <f t="shared" si="92"/>
        <v>—</v>
      </c>
      <c r="I1194" t="str">
        <f t="shared" si="93"/>
        <v>Below thresholds</v>
      </c>
      <c r="J1194" t="str">
        <f t="shared" si="94"/>
        <v/>
      </c>
    </row>
    <row r="1195" spans="1:10" x14ac:dyDescent="0.2">
      <c r="A1195">
        <v>226970155882</v>
      </c>
      <c r="B1195" t="s">
        <v>3109</v>
      </c>
      <c r="C1195" t="s">
        <v>3110</v>
      </c>
      <c r="D1195">
        <v>2.09</v>
      </c>
      <c r="F1195" t="str">
        <f t="shared" si="90"/>
        <v>No</v>
      </c>
      <c r="G1195" t="str">
        <f t="shared" si="91"/>
        <v/>
      </c>
      <c r="H1195" t="str">
        <f t="shared" si="92"/>
        <v>—</v>
      </c>
      <c r="I1195" t="str">
        <f t="shared" si="93"/>
        <v>Below thresholds</v>
      </c>
      <c r="J1195" t="str">
        <f t="shared" si="94"/>
        <v/>
      </c>
    </row>
    <row r="1196" spans="1:10" x14ac:dyDescent="0.2">
      <c r="A1196">
        <v>226970155883</v>
      </c>
      <c r="B1196" t="s">
        <v>3111</v>
      </c>
      <c r="C1196" t="s">
        <v>3112</v>
      </c>
      <c r="D1196">
        <v>2.09</v>
      </c>
      <c r="F1196" t="str">
        <f t="shared" si="90"/>
        <v>No</v>
      </c>
      <c r="G1196" t="str">
        <f t="shared" si="91"/>
        <v/>
      </c>
      <c r="H1196" t="str">
        <f t="shared" si="92"/>
        <v>—</v>
      </c>
      <c r="I1196" t="str">
        <f t="shared" si="93"/>
        <v>Below thresholds</v>
      </c>
      <c r="J1196" t="str">
        <f t="shared" si="94"/>
        <v/>
      </c>
    </row>
    <row r="1197" spans="1:10" x14ac:dyDescent="0.2">
      <c r="A1197">
        <v>226970155934</v>
      </c>
      <c r="B1197" t="s">
        <v>3113</v>
      </c>
      <c r="C1197" t="s">
        <v>3114</v>
      </c>
      <c r="D1197">
        <v>2.4900000000000002</v>
      </c>
      <c r="F1197" t="str">
        <f t="shared" si="90"/>
        <v>No</v>
      </c>
      <c r="G1197" t="str">
        <f t="shared" si="91"/>
        <v/>
      </c>
      <c r="H1197" t="str">
        <f t="shared" si="92"/>
        <v>—</v>
      </c>
      <c r="I1197" t="str">
        <f t="shared" si="93"/>
        <v>Below thresholds</v>
      </c>
      <c r="J1197" t="str">
        <f t="shared" si="94"/>
        <v/>
      </c>
    </row>
    <row r="1198" spans="1:10" x14ac:dyDescent="0.2">
      <c r="A1198">
        <v>226970155978</v>
      </c>
      <c r="B1198" t="s">
        <v>3115</v>
      </c>
      <c r="C1198" t="s">
        <v>3116</v>
      </c>
      <c r="D1198">
        <v>2.4900000000000002</v>
      </c>
      <c r="F1198" t="str">
        <f t="shared" si="90"/>
        <v>No</v>
      </c>
      <c r="G1198" t="str">
        <f t="shared" si="91"/>
        <v/>
      </c>
      <c r="H1198" t="str">
        <f t="shared" si="92"/>
        <v>—</v>
      </c>
      <c r="I1198" t="str">
        <f t="shared" si="93"/>
        <v>Below thresholds</v>
      </c>
      <c r="J1198" t="str">
        <f t="shared" si="94"/>
        <v/>
      </c>
    </row>
    <row r="1199" spans="1:10" x14ac:dyDescent="0.2">
      <c r="A1199">
        <v>226970155991</v>
      </c>
      <c r="B1199" t="s">
        <v>3117</v>
      </c>
      <c r="C1199" t="s">
        <v>3118</v>
      </c>
      <c r="D1199">
        <v>2.09</v>
      </c>
      <c r="F1199" t="str">
        <f t="shared" si="90"/>
        <v>No</v>
      </c>
      <c r="G1199" t="str">
        <f t="shared" si="91"/>
        <v/>
      </c>
      <c r="H1199" t="str">
        <f t="shared" si="92"/>
        <v>—</v>
      </c>
      <c r="I1199" t="str">
        <f t="shared" si="93"/>
        <v>Below thresholds</v>
      </c>
      <c r="J1199" t="str">
        <f t="shared" si="94"/>
        <v/>
      </c>
    </row>
    <row r="1200" spans="1:10" x14ac:dyDescent="0.2">
      <c r="A1200">
        <v>226970156044</v>
      </c>
      <c r="B1200" t="s">
        <v>3119</v>
      </c>
      <c r="C1200" t="s">
        <v>3120</v>
      </c>
      <c r="D1200">
        <v>2.09</v>
      </c>
      <c r="F1200" t="str">
        <f t="shared" si="90"/>
        <v>No</v>
      </c>
      <c r="G1200" t="str">
        <f t="shared" si="91"/>
        <v/>
      </c>
      <c r="H1200" t="str">
        <f t="shared" si="92"/>
        <v>—</v>
      </c>
      <c r="I1200" t="str">
        <f t="shared" si="93"/>
        <v>Below thresholds</v>
      </c>
      <c r="J1200" t="str">
        <f t="shared" si="94"/>
        <v/>
      </c>
    </row>
    <row r="1201" spans="1:10" x14ac:dyDescent="0.2">
      <c r="A1201">
        <v>226970156063</v>
      </c>
      <c r="B1201" t="s">
        <v>3121</v>
      </c>
      <c r="C1201" t="s">
        <v>3122</v>
      </c>
      <c r="D1201">
        <v>2.09</v>
      </c>
      <c r="F1201" t="str">
        <f t="shared" si="90"/>
        <v>No</v>
      </c>
      <c r="G1201" t="str">
        <f t="shared" si="91"/>
        <v/>
      </c>
      <c r="H1201" t="str">
        <f t="shared" si="92"/>
        <v>—</v>
      </c>
      <c r="I1201" t="str">
        <f t="shared" si="93"/>
        <v>Below thresholds</v>
      </c>
      <c r="J1201" t="str">
        <f t="shared" si="94"/>
        <v/>
      </c>
    </row>
    <row r="1202" spans="1:10" x14ac:dyDescent="0.2">
      <c r="A1202">
        <v>226971278328</v>
      </c>
      <c r="B1202" t="s">
        <v>3123</v>
      </c>
      <c r="C1202" t="s">
        <v>3124</v>
      </c>
      <c r="D1202">
        <v>6.79</v>
      </c>
      <c r="F1202" t="str">
        <f t="shared" si="90"/>
        <v>No</v>
      </c>
      <c r="G1202" t="str">
        <f t="shared" si="91"/>
        <v/>
      </c>
      <c r="H1202" t="str">
        <f t="shared" si="92"/>
        <v>—</v>
      </c>
      <c r="I1202" t="str">
        <f t="shared" si="93"/>
        <v>Below thresholds</v>
      </c>
      <c r="J1202" t="str">
        <f t="shared" si="94"/>
        <v/>
      </c>
    </row>
    <row r="1203" spans="1:10" x14ac:dyDescent="0.2">
      <c r="A1203">
        <v>226971278370</v>
      </c>
      <c r="B1203" t="s">
        <v>2944</v>
      </c>
      <c r="C1203" t="s">
        <v>3125</v>
      </c>
      <c r="D1203">
        <v>2.09</v>
      </c>
      <c r="F1203" t="str">
        <f t="shared" si="90"/>
        <v>No</v>
      </c>
      <c r="G1203" t="str">
        <f t="shared" si="91"/>
        <v/>
      </c>
      <c r="H1203" t="str">
        <f t="shared" si="92"/>
        <v>—</v>
      </c>
      <c r="I1203" t="str">
        <f t="shared" si="93"/>
        <v>Below thresholds</v>
      </c>
      <c r="J1203" t="str">
        <f t="shared" si="94"/>
        <v/>
      </c>
    </row>
    <row r="1204" spans="1:10" x14ac:dyDescent="0.2">
      <c r="A1204">
        <v>226971278393</v>
      </c>
      <c r="B1204" t="s">
        <v>3126</v>
      </c>
      <c r="C1204" t="s">
        <v>3127</v>
      </c>
      <c r="D1204">
        <v>2.09</v>
      </c>
      <c r="F1204" t="str">
        <f t="shared" si="90"/>
        <v>No</v>
      </c>
      <c r="G1204" t="str">
        <f t="shared" si="91"/>
        <v/>
      </c>
      <c r="H1204" t="str">
        <f t="shared" si="92"/>
        <v>—</v>
      </c>
      <c r="I1204" t="str">
        <f t="shared" si="93"/>
        <v>Below thresholds</v>
      </c>
      <c r="J1204" t="str">
        <f t="shared" si="94"/>
        <v/>
      </c>
    </row>
    <row r="1205" spans="1:10" x14ac:dyDescent="0.2">
      <c r="A1205">
        <v>226971278413</v>
      </c>
      <c r="B1205" t="s">
        <v>3128</v>
      </c>
      <c r="C1205" t="s">
        <v>3129</v>
      </c>
      <c r="D1205">
        <v>2.09</v>
      </c>
      <c r="F1205" t="str">
        <f t="shared" si="90"/>
        <v>No</v>
      </c>
      <c r="G1205" t="str">
        <f t="shared" si="91"/>
        <v/>
      </c>
      <c r="H1205" t="str">
        <f t="shared" si="92"/>
        <v>—</v>
      </c>
      <c r="I1205" t="str">
        <f t="shared" si="93"/>
        <v>Below thresholds</v>
      </c>
      <c r="J1205" t="str">
        <f t="shared" si="94"/>
        <v/>
      </c>
    </row>
    <row r="1206" spans="1:10" x14ac:dyDescent="0.2">
      <c r="A1206">
        <v>226971278425</v>
      </c>
      <c r="B1206" t="s">
        <v>3130</v>
      </c>
      <c r="C1206" t="s">
        <v>3131</v>
      </c>
      <c r="D1206">
        <v>2.09</v>
      </c>
      <c r="F1206" t="str">
        <f t="shared" si="90"/>
        <v>No</v>
      </c>
      <c r="G1206" t="str">
        <f t="shared" si="91"/>
        <v/>
      </c>
      <c r="H1206" t="str">
        <f t="shared" si="92"/>
        <v>—</v>
      </c>
      <c r="I1206" t="str">
        <f t="shared" si="93"/>
        <v>Below thresholds</v>
      </c>
      <c r="J1206" t="str">
        <f t="shared" si="94"/>
        <v/>
      </c>
    </row>
    <row r="1207" spans="1:10" x14ac:dyDescent="0.2">
      <c r="A1207">
        <v>226971278479</v>
      </c>
      <c r="B1207" t="s">
        <v>3132</v>
      </c>
      <c r="C1207" t="s">
        <v>3133</v>
      </c>
      <c r="D1207">
        <v>2.09</v>
      </c>
      <c r="F1207" t="str">
        <f t="shared" si="90"/>
        <v>No</v>
      </c>
      <c r="G1207" t="str">
        <f t="shared" si="91"/>
        <v/>
      </c>
      <c r="H1207" t="str">
        <f t="shared" si="92"/>
        <v>—</v>
      </c>
      <c r="I1207" t="str">
        <f t="shared" si="93"/>
        <v>Below thresholds</v>
      </c>
      <c r="J1207" t="str">
        <f t="shared" si="94"/>
        <v/>
      </c>
    </row>
    <row r="1208" spans="1:10" x14ac:dyDescent="0.2">
      <c r="A1208">
        <v>226971278484</v>
      </c>
      <c r="B1208" t="s">
        <v>3134</v>
      </c>
      <c r="C1208" t="s">
        <v>3135</v>
      </c>
      <c r="D1208">
        <v>2.09</v>
      </c>
      <c r="F1208" t="str">
        <f t="shared" si="90"/>
        <v>No</v>
      </c>
      <c r="G1208" t="str">
        <f t="shared" si="91"/>
        <v/>
      </c>
      <c r="H1208" t="str">
        <f t="shared" si="92"/>
        <v>—</v>
      </c>
      <c r="I1208" t="str">
        <f t="shared" si="93"/>
        <v>Below thresholds</v>
      </c>
      <c r="J1208" t="str">
        <f t="shared" si="94"/>
        <v/>
      </c>
    </row>
    <row r="1209" spans="1:10" x14ac:dyDescent="0.2">
      <c r="A1209">
        <v>226971278517</v>
      </c>
      <c r="B1209" t="s">
        <v>3136</v>
      </c>
      <c r="C1209" t="s">
        <v>3137</v>
      </c>
      <c r="D1209">
        <v>2.09</v>
      </c>
      <c r="F1209" t="str">
        <f t="shared" si="90"/>
        <v>No</v>
      </c>
      <c r="G1209" t="str">
        <f t="shared" si="91"/>
        <v/>
      </c>
      <c r="H1209" t="str">
        <f t="shared" si="92"/>
        <v>—</v>
      </c>
      <c r="I1209" t="str">
        <f t="shared" si="93"/>
        <v>Below thresholds</v>
      </c>
      <c r="J1209" t="str">
        <f t="shared" si="94"/>
        <v/>
      </c>
    </row>
    <row r="1210" spans="1:10" x14ac:dyDescent="0.2">
      <c r="A1210">
        <v>226971278525</v>
      </c>
      <c r="B1210" t="s">
        <v>3138</v>
      </c>
      <c r="C1210" t="s">
        <v>3139</v>
      </c>
      <c r="D1210">
        <v>2.09</v>
      </c>
      <c r="F1210" t="str">
        <f t="shared" si="90"/>
        <v>No</v>
      </c>
      <c r="G1210" t="str">
        <f t="shared" si="91"/>
        <v/>
      </c>
      <c r="H1210" t="str">
        <f t="shared" si="92"/>
        <v>—</v>
      </c>
      <c r="I1210" t="str">
        <f t="shared" si="93"/>
        <v>Below thresholds</v>
      </c>
      <c r="J1210" t="str">
        <f t="shared" si="94"/>
        <v/>
      </c>
    </row>
    <row r="1211" spans="1:10" x14ac:dyDescent="0.2">
      <c r="A1211">
        <v>226971278570</v>
      </c>
      <c r="B1211" t="s">
        <v>3140</v>
      </c>
      <c r="C1211" t="s">
        <v>3141</v>
      </c>
      <c r="D1211">
        <v>2.09</v>
      </c>
      <c r="F1211" t="str">
        <f t="shared" si="90"/>
        <v>No</v>
      </c>
      <c r="G1211" t="str">
        <f t="shared" si="91"/>
        <v/>
      </c>
      <c r="H1211" t="str">
        <f t="shared" si="92"/>
        <v>—</v>
      </c>
      <c r="I1211" t="str">
        <f t="shared" si="93"/>
        <v>Below thresholds</v>
      </c>
      <c r="J1211" t="str">
        <f t="shared" si="94"/>
        <v/>
      </c>
    </row>
    <row r="1212" spans="1:10" x14ac:dyDescent="0.2">
      <c r="A1212">
        <v>226971278581</v>
      </c>
      <c r="B1212" t="s">
        <v>3142</v>
      </c>
      <c r="C1212" t="s">
        <v>3143</v>
      </c>
      <c r="D1212">
        <v>2.09</v>
      </c>
      <c r="F1212" t="str">
        <f t="shared" si="90"/>
        <v>No</v>
      </c>
      <c r="G1212" t="str">
        <f t="shared" si="91"/>
        <v/>
      </c>
      <c r="H1212" t="str">
        <f t="shared" si="92"/>
        <v>—</v>
      </c>
      <c r="I1212" t="str">
        <f t="shared" si="93"/>
        <v>Below thresholds</v>
      </c>
      <c r="J1212" t="str">
        <f t="shared" si="94"/>
        <v/>
      </c>
    </row>
    <row r="1213" spans="1:10" x14ac:dyDescent="0.2">
      <c r="A1213">
        <v>226971278605</v>
      </c>
      <c r="B1213" t="s">
        <v>3144</v>
      </c>
      <c r="C1213" t="s">
        <v>3145</v>
      </c>
      <c r="D1213">
        <v>2.09</v>
      </c>
      <c r="F1213" t="str">
        <f t="shared" si="90"/>
        <v>No</v>
      </c>
      <c r="G1213" t="str">
        <f t="shared" si="91"/>
        <v/>
      </c>
      <c r="H1213" t="str">
        <f t="shared" si="92"/>
        <v>—</v>
      </c>
      <c r="I1213" t="str">
        <f t="shared" si="93"/>
        <v>Below thresholds</v>
      </c>
      <c r="J1213" t="str">
        <f t="shared" si="94"/>
        <v/>
      </c>
    </row>
    <row r="1214" spans="1:10" x14ac:dyDescent="0.2">
      <c r="A1214">
        <v>226971278616</v>
      </c>
      <c r="B1214" t="s">
        <v>3146</v>
      </c>
      <c r="C1214" t="s">
        <v>3147</v>
      </c>
      <c r="D1214">
        <v>2.09</v>
      </c>
      <c r="F1214" t="str">
        <f t="shared" si="90"/>
        <v>No</v>
      </c>
      <c r="G1214" t="str">
        <f t="shared" si="91"/>
        <v/>
      </c>
      <c r="H1214" t="str">
        <f t="shared" si="92"/>
        <v>—</v>
      </c>
      <c r="I1214" t="str">
        <f t="shared" si="93"/>
        <v>Below thresholds</v>
      </c>
      <c r="J1214" t="str">
        <f t="shared" si="94"/>
        <v/>
      </c>
    </row>
    <row r="1215" spans="1:10" x14ac:dyDescent="0.2">
      <c r="A1215">
        <v>226971522844</v>
      </c>
      <c r="B1215" t="s">
        <v>340</v>
      </c>
      <c r="C1215" t="s">
        <v>3148</v>
      </c>
      <c r="D1215">
        <v>20.49</v>
      </c>
      <c r="F1215" t="str">
        <f t="shared" si="90"/>
        <v>No</v>
      </c>
      <c r="G1215" t="str">
        <f t="shared" si="91"/>
        <v/>
      </c>
      <c r="H1215" t="str">
        <f t="shared" si="92"/>
        <v>—</v>
      </c>
      <c r="I1215" t="str">
        <f t="shared" si="93"/>
        <v>$20+ — needs velocity check</v>
      </c>
      <c r="J1215" t="str">
        <f t="shared" si="94"/>
        <v>YES — pull CardHedger</v>
      </c>
    </row>
    <row r="1216" spans="1:10" x14ac:dyDescent="0.2">
      <c r="A1216">
        <v>226971522892</v>
      </c>
      <c r="B1216" t="s">
        <v>3149</v>
      </c>
      <c r="C1216" t="s">
        <v>3150</v>
      </c>
      <c r="D1216">
        <v>2.09</v>
      </c>
      <c r="F1216" t="str">
        <f t="shared" si="90"/>
        <v>No</v>
      </c>
      <c r="G1216" t="str">
        <f t="shared" si="91"/>
        <v/>
      </c>
      <c r="H1216" t="str">
        <f t="shared" si="92"/>
        <v>—</v>
      </c>
      <c r="I1216" t="str">
        <f t="shared" si="93"/>
        <v>Below thresholds</v>
      </c>
      <c r="J1216" t="str">
        <f t="shared" si="94"/>
        <v/>
      </c>
    </row>
    <row r="1217" spans="1:10" x14ac:dyDescent="0.2">
      <c r="A1217">
        <v>226971522941</v>
      </c>
      <c r="B1217" t="s">
        <v>3151</v>
      </c>
      <c r="C1217" t="s">
        <v>3152</v>
      </c>
      <c r="D1217">
        <v>2.09</v>
      </c>
      <c r="F1217" t="str">
        <f t="shared" si="90"/>
        <v>No</v>
      </c>
      <c r="G1217" t="str">
        <f t="shared" si="91"/>
        <v/>
      </c>
      <c r="H1217" t="str">
        <f t="shared" si="92"/>
        <v>—</v>
      </c>
      <c r="I1217" t="str">
        <f t="shared" si="93"/>
        <v>Below thresholds</v>
      </c>
      <c r="J1217" t="str">
        <f t="shared" si="94"/>
        <v/>
      </c>
    </row>
    <row r="1218" spans="1:10" x14ac:dyDescent="0.2">
      <c r="A1218">
        <v>226971522947</v>
      </c>
      <c r="B1218" t="s">
        <v>3153</v>
      </c>
      <c r="C1218" t="s">
        <v>3154</v>
      </c>
      <c r="D1218">
        <v>2.29</v>
      </c>
      <c r="F1218" t="str">
        <f t="shared" si="90"/>
        <v>No</v>
      </c>
      <c r="G1218" t="str">
        <f t="shared" si="91"/>
        <v/>
      </c>
      <c r="H1218" t="str">
        <f t="shared" si="92"/>
        <v>—</v>
      </c>
      <c r="I1218" t="str">
        <f t="shared" si="93"/>
        <v>Below thresholds</v>
      </c>
      <c r="J1218" t="str">
        <f t="shared" si="94"/>
        <v/>
      </c>
    </row>
    <row r="1219" spans="1:10" x14ac:dyDescent="0.2">
      <c r="A1219">
        <v>226971522975</v>
      </c>
      <c r="B1219" t="s">
        <v>3155</v>
      </c>
      <c r="C1219" t="s">
        <v>3156</v>
      </c>
      <c r="D1219">
        <v>2.09</v>
      </c>
      <c r="F1219" t="str">
        <f t="shared" si="90"/>
        <v>No</v>
      </c>
      <c r="G1219" t="str">
        <f t="shared" si="91"/>
        <v/>
      </c>
      <c r="H1219" t="str">
        <f t="shared" si="92"/>
        <v>—</v>
      </c>
      <c r="I1219" t="str">
        <f t="shared" si="93"/>
        <v>Below thresholds</v>
      </c>
      <c r="J1219" t="str">
        <f t="shared" si="94"/>
        <v/>
      </c>
    </row>
    <row r="1220" spans="1:10" x14ac:dyDescent="0.2">
      <c r="A1220">
        <v>226971522978</v>
      </c>
      <c r="B1220" t="s">
        <v>3157</v>
      </c>
      <c r="C1220" t="s">
        <v>3158</v>
      </c>
      <c r="D1220">
        <v>2.09</v>
      </c>
      <c r="F1220" t="str">
        <f t="shared" si="90"/>
        <v>No</v>
      </c>
      <c r="G1220" t="str">
        <f t="shared" si="91"/>
        <v/>
      </c>
      <c r="H1220" t="str">
        <f t="shared" si="92"/>
        <v>—</v>
      </c>
      <c r="I1220" t="str">
        <f t="shared" si="93"/>
        <v>Below thresholds</v>
      </c>
      <c r="J1220" t="str">
        <f t="shared" si="94"/>
        <v/>
      </c>
    </row>
    <row r="1221" spans="1:10" x14ac:dyDescent="0.2">
      <c r="A1221">
        <v>226971522998</v>
      </c>
      <c r="B1221" t="s">
        <v>3159</v>
      </c>
      <c r="C1221" t="s">
        <v>3160</v>
      </c>
      <c r="D1221">
        <v>2.09</v>
      </c>
      <c r="F1221" t="str">
        <f t="shared" ref="F1221:F1284" si="95">IF($B1221="","",IF(ISNUMBER(SEARCH("PSA",$B1221)),"Yes","No"))</f>
        <v>No</v>
      </c>
      <c r="G1221" t="str">
        <f t="shared" ref="G1221:G1284" si="96">IF($B1221="","",IF(ISNUMBER(SEARCH("PSA 10",$B1221)),10,IF(ISNUMBER(SEARCH("PSA 9.5",$B1221)),9.5,IF(ISNUMBER(SEARCH("PSA 9",$B1221)),9,IF(ISNUMBER(SEARCH("PSA 8",$B1221)),8,IF(ISNUMBER(SEARCH("PSA",$B1221)),"&lt;9",""))))))</f>
        <v/>
      </c>
      <c r="H1221" t="str">
        <f t="shared" ref="H1221:H1284" si="97">IF($B1221="","",IF($D1221&gt;=100,"TIER 2",IF(OR(ISNUMBER(SEARCH("PSA 10",$B1221)),ISNUMBER(SEARCH("PSA 9.5",$B1221)),ISNUMBER(SEARCH("PSA 9",$B1221))),"TIER 3",IF(AND($D1221&gt;20,N($E1221)&gt;=15),"TIER 1","—"))))</f>
        <v>—</v>
      </c>
      <c r="I1221" t="str">
        <f t="shared" ref="I1221:I1284" si="98">IF($B1221="","",IF($D1221&gt;=100,"Premium $100+ (auto)",IF(OR(ISNUMBER(SEARCH("PSA 10",$B1221)),ISNUMBER(SEARCH("PSA 9.5",$B1221)),ISNUMBER(SEARCH("PSA 9",$B1221))),"Graded PSA 9+ (auto)",IF(AND($D1221&gt;20,N($E1221)&gt;=15),"Hot: $20+ &amp; "&amp;$E1221&amp;"/day",IF($D1221&gt;20,"$20+ — needs velocity check","Below thresholds")))))</f>
        <v>Below thresholds</v>
      </c>
      <c r="J1221" t="str">
        <f t="shared" ref="J1221:J1284" si="99">IF($B1221="","",IF(AND($D1221&gt;20,$D1221&lt;100,NOT(OR(ISNUMBER(SEARCH("PSA 10",$B1221)),ISNUMBER(SEARCH("PSA 9.5",$B1221)),ISNUMBER(SEARCH("PSA 9",$B1221)))),$E1221=""),"YES — pull CardHedger",""))</f>
        <v/>
      </c>
    </row>
    <row r="1222" spans="1:10" x14ac:dyDescent="0.2">
      <c r="A1222">
        <v>226971523023</v>
      </c>
      <c r="B1222" t="s">
        <v>3161</v>
      </c>
      <c r="C1222" t="s">
        <v>3162</v>
      </c>
      <c r="D1222">
        <v>2.0099999999999998</v>
      </c>
      <c r="F1222" t="str">
        <f t="shared" si="95"/>
        <v>No</v>
      </c>
      <c r="G1222" t="str">
        <f t="shared" si="96"/>
        <v/>
      </c>
      <c r="H1222" t="str">
        <f t="shared" si="97"/>
        <v>—</v>
      </c>
      <c r="I1222" t="str">
        <f t="shared" si="98"/>
        <v>Below thresholds</v>
      </c>
      <c r="J1222" t="str">
        <f t="shared" si="99"/>
        <v/>
      </c>
    </row>
    <row r="1223" spans="1:10" x14ac:dyDescent="0.2">
      <c r="A1223">
        <v>226971523052</v>
      </c>
      <c r="B1223" t="s">
        <v>3163</v>
      </c>
      <c r="C1223" t="s">
        <v>3164</v>
      </c>
      <c r="D1223">
        <v>6.99</v>
      </c>
      <c r="F1223" t="str">
        <f t="shared" si="95"/>
        <v>No</v>
      </c>
      <c r="G1223" t="str">
        <f t="shared" si="96"/>
        <v/>
      </c>
      <c r="H1223" t="str">
        <f t="shared" si="97"/>
        <v>—</v>
      </c>
      <c r="I1223" t="str">
        <f t="shared" si="98"/>
        <v>Below thresholds</v>
      </c>
      <c r="J1223" t="str">
        <f t="shared" si="99"/>
        <v/>
      </c>
    </row>
    <row r="1224" spans="1:10" x14ac:dyDescent="0.2">
      <c r="A1224">
        <v>226971523076</v>
      </c>
      <c r="B1224" t="s">
        <v>3165</v>
      </c>
      <c r="C1224" t="s">
        <v>3166</v>
      </c>
      <c r="D1224">
        <v>4.1900000000000004</v>
      </c>
      <c r="F1224" t="str">
        <f t="shared" si="95"/>
        <v>No</v>
      </c>
      <c r="G1224" t="str">
        <f t="shared" si="96"/>
        <v/>
      </c>
      <c r="H1224" t="str">
        <f t="shared" si="97"/>
        <v>—</v>
      </c>
      <c r="I1224" t="str">
        <f t="shared" si="98"/>
        <v>Below thresholds</v>
      </c>
      <c r="J1224" t="str">
        <f t="shared" si="99"/>
        <v/>
      </c>
    </row>
    <row r="1225" spans="1:10" x14ac:dyDescent="0.2">
      <c r="A1225">
        <v>226971523077</v>
      </c>
      <c r="B1225" t="s">
        <v>3167</v>
      </c>
      <c r="C1225" t="s">
        <v>3168</v>
      </c>
      <c r="D1225">
        <v>2.09</v>
      </c>
      <c r="F1225" t="str">
        <f t="shared" si="95"/>
        <v>No</v>
      </c>
      <c r="G1225" t="str">
        <f t="shared" si="96"/>
        <v/>
      </c>
      <c r="H1225" t="str">
        <f t="shared" si="97"/>
        <v>—</v>
      </c>
      <c r="I1225" t="str">
        <f t="shared" si="98"/>
        <v>Below thresholds</v>
      </c>
      <c r="J1225" t="str">
        <f t="shared" si="99"/>
        <v/>
      </c>
    </row>
    <row r="1226" spans="1:10" x14ac:dyDescent="0.2">
      <c r="A1226">
        <v>226971523115</v>
      </c>
      <c r="B1226" t="s">
        <v>3169</v>
      </c>
      <c r="C1226" t="s">
        <v>3170</v>
      </c>
      <c r="D1226">
        <v>2.39</v>
      </c>
      <c r="F1226" t="str">
        <f t="shared" si="95"/>
        <v>No</v>
      </c>
      <c r="G1226" t="str">
        <f t="shared" si="96"/>
        <v/>
      </c>
      <c r="H1226" t="str">
        <f t="shared" si="97"/>
        <v>—</v>
      </c>
      <c r="I1226" t="str">
        <f t="shared" si="98"/>
        <v>Below thresholds</v>
      </c>
      <c r="J1226" t="str">
        <f t="shared" si="99"/>
        <v/>
      </c>
    </row>
    <row r="1227" spans="1:10" x14ac:dyDescent="0.2">
      <c r="A1227">
        <v>226971523135</v>
      </c>
      <c r="B1227" t="s">
        <v>3171</v>
      </c>
      <c r="C1227" t="s">
        <v>3172</v>
      </c>
      <c r="D1227">
        <v>2.29</v>
      </c>
      <c r="F1227" t="str">
        <f t="shared" si="95"/>
        <v>No</v>
      </c>
      <c r="G1227" t="str">
        <f t="shared" si="96"/>
        <v/>
      </c>
      <c r="H1227" t="str">
        <f t="shared" si="97"/>
        <v>—</v>
      </c>
      <c r="I1227" t="str">
        <f t="shared" si="98"/>
        <v>Below thresholds</v>
      </c>
      <c r="J1227" t="str">
        <f t="shared" si="99"/>
        <v/>
      </c>
    </row>
    <row r="1228" spans="1:10" x14ac:dyDescent="0.2">
      <c r="A1228">
        <v>226971523171</v>
      </c>
      <c r="B1228" t="s">
        <v>3173</v>
      </c>
      <c r="C1228" t="s">
        <v>3174</v>
      </c>
      <c r="D1228">
        <v>5.99</v>
      </c>
      <c r="F1228" t="str">
        <f t="shared" si="95"/>
        <v>No</v>
      </c>
      <c r="G1228" t="str">
        <f t="shared" si="96"/>
        <v/>
      </c>
      <c r="H1228" t="str">
        <f t="shared" si="97"/>
        <v>—</v>
      </c>
      <c r="I1228" t="str">
        <f t="shared" si="98"/>
        <v>Below thresholds</v>
      </c>
      <c r="J1228" t="str">
        <f t="shared" si="99"/>
        <v/>
      </c>
    </row>
    <row r="1229" spans="1:10" x14ac:dyDescent="0.2">
      <c r="A1229">
        <v>226971523172</v>
      </c>
      <c r="B1229" t="s">
        <v>3175</v>
      </c>
      <c r="C1229" t="s">
        <v>3176</v>
      </c>
      <c r="D1229">
        <v>2.69</v>
      </c>
      <c r="F1229" t="str">
        <f t="shared" si="95"/>
        <v>No</v>
      </c>
      <c r="G1229" t="str">
        <f t="shared" si="96"/>
        <v/>
      </c>
      <c r="H1229" t="str">
        <f t="shared" si="97"/>
        <v>—</v>
      </c>
      <c r="I1229" t="str">
        <f t="shared" si="98"/>
        <v>Below thresholds</v>
      </c>
      <c r="J1229" t="str">
        <f t="shared" si="99"/>
        <v/>
      </c>
    </row>
    <row r="1230" spans="1:10" x14ac:dyDescent="0.2">
      <c r="A1230">
        <v>226971523213</v>
      </c>
      <c r="B1230" t="s">
        <v>3177</v>
      </c>
      <c r="C1230" t="s">
        <v>3178</v>
      </c>
      <c r="D1230">
        <v>2.09</v>
      </c>
      <c r="F1230" t="str">
        <f t="shared" si="95"/>
        <v>No</v>
      </c>
      <c r="G1230" t="str">
        <f t="shared" si="96"/>
        <v/>
      </c>
      <c r="H1230" t="str">
        <f t="shared" si="97"/>
        <v>—</v>
      </c>
      <c r="I1230" t="str">
        <f t="shared" si="98"/>
        <v>Below thresholds</v>
      </c>
      <c r="J1230" t="str">
        <f t="shared" si="99"/>
        <v/>
      </c>
    </row>
    <row r="1231" spans="1:10" x14ac:dyDescent="0.2">
      <c r="A1231">
        <v>226971523242</v>
      </c>
      <c r="B1231" t="s">
        <v>285</v>
      </c>
      <c r="C1231" t="s">
        <v>3179</v>
      </c>
      <c r="D1231">
        <v>2.09</v>
      </c>
      <c r="F1231" t="str">
        <f t="shared" si="95"/>
        <v>No</v>
      </c>
      <c r="G1231" t="str">
        <f t="shared" si="96"/>
        <v/>
      </c>
      <c r="H1231" t="str">
        <f t="shared" si="97"/>
        <v>—</v>
      </c>
      <c r="I1231" t="str">
        <f t="shared" si="98"/>
        <v>Below thresholds</v>
      </c>
      <c r="J1231" t="str">
        <f t="shared" si="99"/>
        <v/>
      </c>
    </row>
    <row r="1232" spans="1:10" x14ac:dyDescent="0.2">
      <c r="A1232">
        <v>226971523339</v>
      </c>
      <c r="B1232" t="s">
        <v>3180</v>
      </c>
      <c r="C1232" t="s">
        <v>3181</v>
      </c>
      <c r="D1232">
        <v>2.09</v>
      </c>
      <c r="F1232" t="str">
        <f t="shared" si="95"/>
        <v>No</v>
      </c>
      <c r="G1232" t="str">
        <f t="shared" si="96"/>
        <v/>
      </c>
      <c r="H1232" t="str">
        <f t="shared" si="97"/>
        <v>—</v>
      </c>
      <c r="I1232" t="str">
        <f t="shared" si="98"/>
        <v>Below thresholds</v>
      </c>
      <c r="J1232" t="str">
        <f t="shared" si="99"/>
        <v/>
      </c>
    </row>
    <row r="1233" spans="1:10" x14ac:dyDescent="0.2">
      <c r="A1233">
        <v>226971523357</v>
      </c>
      <c r="B1233" t="s">
        <v>3182</v>
      </c>
      <c r="C1233" t="s">
        <v>3183</v>
      </c>
      <c r="D1233">
        <v>4.49</v>
      </c>
      <c r="F1233" t="str">
        <f t="shared" si="95"/>
        <v>No</v>
      </c>
      <c r="G1233" t="str">
        <f t="shared" si="96"/>
        <v/>
      </c>
      <c r="H1233" t="str">
        <f t="shared" si="97"/>
        <v>—</v>
      </c>
      <c r="I1233" t="str">
        <f t="shared" si="98"/>
        <v>Below thresholds</v>
      </c>
      <c r="J1233" t="str">
        <f t="shared" si="99"/>
        <v/>
      </c>
    </row>
    <row r="1234" spans="1:10" x14ac:dyDescent="0.2">
      <c r="A1234">
        <v>226971523375</v>
      </c>
      <c r="B1234" t="s">
        <v>3184</v>
      </c>
      <c r="C1234" t="s">
        <v>3185</v>
      </c>
      <c r="D1234">
        <v>2.09</v>
      </c>
      <c r="F1234" t="str">
        <f t="shared" si="95"/>
        <v>No</v>
      </c>
      <c r="G1234" t="str">
        <f t="shared" si="96"/>
        <v/>
      </c>
      <c r="H1234" t="str">
        <f t="shared" si="97"/>
        <v>—</v>
      </c>
      <c r="I1234" t="str">
        <f t="shared" si="98"/>
        <v>Below thresholds</v>
      </c>
      <c r="J1234" t="str">
        <f t="shared" si="99"/>
        <v/>
      </c>
    </row>
    <row r="1235" spans="1:10" x14ac:dyDescent="0.2">
      <c r="A1235">
        <v>226971523400</v>
      </c>
      <c r="B1235" t="s">
        <v>3186</v>
      </c>
      <c r="C1235" t="s">
        <v>3187</v>
      </c>
      <c r="D1235">
        <v>3.29</v>
      </c>
      <c r="F1235" t="str">
        <f t="shared" si="95"/>
        <v>No</v>
      </c>
      <c r="G1235" t="str">
        <f t="shared" si="96"/>
        <v/>
      </c>
      <c r="H1235" t="str">
        <f t="shared" si="97"/>
        <v>—</v>
      </c>
      <c r="I1235" t="str">
        <f t="shared" si="98"/>
        <v>Below thresholds</v>
      </c>
      <c r="J1235" t="str">
        <f t="shared" si="99"/>
        <v/>
      </c>
    </row>
    <row r="1236" spans="1:10" x14ac:dyDescent="0.2">
      <c r="A1236">
        <v>226971523410</v>
      </c>
      <c r="B1236" t="s">
        <v>3188</v>
      </c>
      <c r="C1236" t="s">
        <v>3189</v>
      </c>
      <c r="D1236">
        <v>2.09</v>
      </c>
      <c r="F1236" t="str">
        <f t="shared" si="95"/>
        <v>No</v>
      </c>
      <c r="G1236" t="str">
        <f t="shared" si="96"/>
        <v/>
      </c>
      <c r="H1236" t="str">
        <f t="shared" si="97"/>
        <v>—</v>
      </c>
      <c r="I1236" t="str">
        <f t="shared" si="98"/>
        <v>Below thresholds</v>
      </c>
      <c r="J1236" t="str">
        <f t="shared" si="99"/>
        <v/>
      </c>
    </row>
    <row r="1237" spans="1:10" x14ac:dyDescent="0.2">
      <c r="A1237">
        <v>226971523453</v>
      </c>
      <c r="B1237" t="s">
        <v>3190</v>
      </c>
      <c r="C1237" t="s">
        <v>3191</v>
      </c>
      <c r="D1237">
        <v>2.29</v>
      </c>
      <c r="F1237" t="str">
        <f t="shared" si="95"/>
        <v>No</v>
      </c>
      <c r="G1237" t="str">
        <f t="shared" si="96"/>
        <v/>
      </c>
      <c r="H1237" t="str">
        <f t="shared" si="97"/>
        <v>—</v>
      </c>
      <c r="I1237" t="str">
        <f t="shared" si="98"/>
        <v>Below thresholds</v>
      </c>
      <c r="J1237" t="str">
        <f t="shared" si="99"/>
        <v/>
      </c>
    </row>
    <row r="1238" spans="1:10" x14ac:dyDescent="0.2">
      <c r="A1238">
        <v>226971523456</v>
      </c>
      <c r="B1238" t="s">
        <v>3192</v>
      </c>
      <c r="C1238" t="s">
        <v>3193</v>
      </c>
      <c r="D1238">
        <v>2.09</v>
      </c>
      <c r="F1238" t="str">
        <f t="shared" si="95"/>
        <v>No</v>
      </c>
      <c r="G1238" t="str">
        <f t="shared" si="96"/>
        <v/>
      </c>
      <c r="H1238" t="str">
        <f t="shared" si="97"/>
        <v>—</v>
      </c>
      <c r="I1238" t="str">
        <f t="shared" si="98"/>
        <v>Below thresholds</v>
      </c>
      <c r="J1238" t="str">
        <f t="shared" si="99"/>
        <v/>
      </c>
    </row>
    <row r="1239" spans="1:10" x14ac:dyDescent="0.2">
      <c r="A1239">
        <v>226971523473</v>
      </c>
      <c r="B1239" t="s">
        <v>3194</v>
      </c>
      <c r="C1239" t="s">
        <v>3195</v>
      </c>
      <c r="D1239">
        <v>8.2899999999999991</v>
      </c>
      <c r="F1239" t="str">
        <f t="shared" si="95"/>
        <v>No</v>
      </c>
      <c r="G1239" t="str">
        <f t="shared" si="96"/>
        <v/>
      </c>
      <c r="H1239" t="str">
        <f t="shared" si="97"/>
        <v>—</v>
      </c>
      <c r="I1239" t="str">
        <f t="shared" si="98"/>
        <v>Below thresholds</v>
      </c>
      <c r="J1239" t="str">
        <f t="shared" si="99"/>
        <v/>
      </c>
    </row>
    <row r="1240" spans="1:10" x14ac:dyDescent="0.2">
      <c r="A1240">
        <v>226971523674</v>
      </c>
      <c r="B1240" t="s">
        <v>3196</v>
      </c>
      <c r="C1240" t="s">
        <v>3197</v>
      </c>
      <c r="D1240">
        <v>4.99</v>
      </c>
      <c r="F1240" t="str">
        <f t="shared" si="95"/>
        <v>No</v>
      </c>
      <c r="G1240" t="str">
        <f t="shared" si="96"/>
        <v/>
      </c>
      <c r="H1240" t="str">
        <f t="shared" si="97"/>
        <v>—</v>
      </c>
      <c r="I1240" t="str">
        <f t="shared" si="98"/>
        <v>Below thresholds</v>
      </c>
      <c r="J1240" t="str">
        <f t="shared" si="99"/>
        <v/>
      </c>
    </row>
    <row r="1241" spans="1:10" x14ac:dyDescent="0.2">
      <c r="A1241">
        <v>226971523698</v>
      </c>
      <c r="B1241" t="s">
        <v>3198</v>
      </c>
      <c r="C1241" t="s">
        <v>3199</v>
      </c>
      <c r="D1241">
        <v>3.49</v>
      </c>
      <c r="F1241" t="str">
        <f t="shared" si="95"/>
        <v>No</v>
      </c>
      <c r="G1241" t="str">
        <f t="shared" si="96"/>
        <v/>
      </c>
      <c r="H1241" t="str">
        <f t="shared" si="97"/>
        <v>—</v>
      </c>
      <c r="I1241" t="str">
        <f t="shared" si="98"/>
        <v>Below thresholds</v>
      </c>
      <c r="J1241" t="str">
        <f t="shared" si="99"/>
        <v/>
      </c>
    </row>
    <row r="1242" spans="1:10" x14ac:dyDescent="0.2">
      <c r="A1242">
        <v>226971523722</v>
      </c>
      <c r="B1242" t="s">
        <v>3200</v>
      </c>
      <c r="C1242" t="s">
        <v>3201</v>
      </c>
      <c r="D1242">
        <v>3.29</v>
      </c>
      <c r="F1242" t="str">
        <f t="shared" si="95"/>
        <v>No</v>
      </c>
      <c r="G1242" t="str">
        <f t="shared" si="96"/>
        <v/>
      </c>
      <c r="H1242" t="str">
        <f t="shared" si="97"/>
        <v>—</v>
      </c>
      <c r="I1242" t="str">
        <f t="shared" si="98"/>
        <v>Below thresholds</v>
      </c>
      <c r="J1242" t="str">
        <f t="shared" si="99"/>
        <v/>
      </c>
    </row>
    <row r="1243" spans="1:10" x14ac:dyDescent="0.2">
      <c r="A1243">
        <v>226971523736</v>
      </c>
      <c r="B1243" t="s">
        <v>3202</v>
      </c>
      <c r="C1243" t="s">
        <v>3203</v>
      </c>
      <c r="D1243">
        <v>2.29</v>
      </c>
      <c r="F1243" t="str">
        <f t="shared" si="95"/>
        <v>No</v>
      </c>
      <c r="G1243" t="str">
        <f t="shared" si="96"/>
        <v/>
      </c>
      <c r="H1243" t="str">
        <f t="shared" si="97"/>
        <v>—</v>
      </c>
      <c r="I1243" t="str">
        <f t="shared" si="98"/>
        <v>Below thresholds</v>
      </c>
      <c r="J1243" t="str">
        <f t="shared" si="99"/>
        <v/>
      </c>
    </row>
    <row r="1244" spans="1:10" x14ac:dyDescent="0.2">
      <c r="A1244">
        <v>226971523740</v>
      </c>
      <c r="B1244" t="s">
        <v>3204</v>
      </c>
      <c r="C1244" t="s">
        <v>3205</v>
      </c>
      <c r="D1244">
        <v>2.09</v>
      </c>
      <c r="F1244" t="str">
        <f t="shared" si="95"/>
        <v>No</v>
      </c>
      <c r="G1244" t="str">
        <f t="shared" si="96"/>
        <v/>
      </c>
      <c r="H1244" t="str">
        <f t="shared" si="97"/>
        <v>—</v>
      </c>
      <c r="I1244" t="str">
        <f t="shared" si="98"/>
        <v>Below thresholds</v>
      </c>
      <c r="J1244" t="str">
        <f t="shared" si="99"/>
        <v/>
      </c>
    </row>
    <row r="1245" spans="1:10" x14ac:dyDescent="0.2">
      <c r="A1245">
        <v>226971523780</v>
      </c>
      <c r="B1245" t="s">
        <v>3206</v>
      </c>
      <c r="C1245" t="s">
        <v>3207</v>
      </c>
      <c r="D1245">
        <v>2.09</v>
      </c>
      <c r="F1245" t="str">
        <f t="shared" si="95"/>
        <v>No</v>
      </c>
      <c r="G1245" t="str">
        <f t="shared" si="96"/>
        <v/>
      </c>
      <c r="H1245" t="str">
        <f t="shared" si="97"/>
        <v>—</v>
      </c>
      <c r="I1245" t="str">
        <f t="shared" si="98"/>
        <v>Below thresholds</v>
      </c>
      <c r="J1245" t="str">
        <f t="shared" si="99"/>
        <v/>
      </c>
    </row>
    <row r="1246" spans="1:10" x14ac:dyDescent="0.2">
      <c r="A1246">
        <v>226971639060</v>
      </c>
      <c r="B1246" t="s">
        <v>3208</v>
      </c>
      <c r="C1246" t="s">
        <v>3209</v>
      </c>
      <c r="D1246">
        <v>4.8899999999999997</v>
      </c>
      <c r="F1246" t="str">
        <f t="shared" si="95"/>
        <v>No</v>
      </c>
      <c r="G1246" t="str">
        <f t="shared" si="96"/>
        <v/>
      </c>
      <c r="H1246" t="str">
        <f t="shared" si="97"/>
        <v>—</v>
      </c>
      <c r="I1246" t="str">
        <f t="shared" si="98"/>
        <v>Below thresholds</v>
      </c>
      <c r="J1246" t="str">
        <f t="shared" si="99"/>
        <v/>
      </c>
    </row>
    <row r="1247" spans="1:10" x14ac:dyDescent="0.2">
      <c r="A1247">
        <v>226971639122</v>
      </c>
      <c r="B1247" t="s">
        <v>3210</v>
      </c>
      <c r="C1247" t="s">
        <v>3211</v>
      </c>
      <c r="D1247">
        <v>2.09</v>
      </c>
      <c r="F1247" t="str">
        <f t="shared" si="95"/>
        <v>No</v>
      </c>
      <c r="G1247" t="str">
        <f t="shared" si="96"/>
        <v/>
      </c>
      <c r="H1247" t="str">
        <f t="shared" si="97"/>
        <v>—</v>
      </c>
      <c r="I1247" t="str">
        <f t="shared" si="98"/>
        <v>Below thresholds</v>
      </c>
      <c r="J1247" t="str">
        <f t="shared" si="99"/>
        <v/>
      </c>
    </row>
    <row r="1248" spans="1:10" x14ac:dyDescent="0.2">
      <c r="A1248">
        <v>226971639151</v>
      </c>
      <c r="B1248" t="s">
        <v>3212</v>
      </c>
      <c r="C1248" t="s">
        <v>3213</v>
      </c>
      <c r="D1248">
        <v>2.4900000000000002</v>
      </c>
      <c r="F1248" t="str">
        <f t="shared" si="95"/>
        <v>No</v>
      </c>
      <c r="G1248" t="str">
        <f t="shared" si="96"/>
        <v/>
      </c>
      <c r="H1248" t="str">
        <f t="shared" si="97"/>
        <v>—</v>
      </c>
      <c r="I1248" t="str">
        <f t="shared" si="98"/>
        <v>Below thresholds</v>
      </c>
      <c r="J1248" t="str">
        <f t="shared" si="99"/>
        <v/>
      </c>
    </row>
    <row r="1249" spans="1:10" x14ac:dyDescent="0.2">
      <c r="A1249">
        <v>226971639185</v>
      </c>
      <c r="B1249" t="s">
        <v>3214</v>
      </c>
      <c r="C1249" t="s">
        <v>3215</v>
      </c>
      <c r="D1249">
        <v>2.09</v>
      </c>
      <c r="F1249" t="str">
        <f t="shared" si="95"/>
        <v>No</v>
      </c>
      <c r="G1249" t="str">
        <f t="shared" si="96"/>
        <v/>
      </c>
      <c r="H1249" t="str">
        <f t="shared" si="97"/>
        <v>—</v>
      </c>
      <c r="I1249" t="str">
        <f t="shared" si="98"/>
        <v>Below thresholds</v>
      </c>
      <c r="J1249" t="str">
        <f t="shared" si="99"/>
        <v/>
      </c>
    </row>
    <row r="1250" spans="1:10" x14ac:dyDescent="0.2">
      <c r="A1250">
        <v>226971639199</v>
      </c>
      <c r="B1250" t="s">
        <v>3216</v>
      </c>
      <c r="C1250" t="s">
        <v>3217</v>
      </c>
      <c r="D1250">
        <v>2.69</v>
      </c>
      <c r="F1250" t="str">
        <f t="shared" si="95"/>
        <v>No</v>
      </c>
      <c r="G1250" t="str">
        <f t="shared" si="96"/>
        <v/>
      </c>
      <c r="H1250" t="str">
        <f t="shared" si="97"/>
        <v>—</v>
      </c>
      <c r="I1250" t="str">
        <f t="shared" si="98"/>
        <v>Below thresholds</v>
      </c>
      <c r="J1250" t="str">
        <f t="shared" si="99"/>
        <v/>
      </c>
    </row>
    <row r="1251" spans="1:10" x14ac:dyDescent="0.2">
      <c r="A1251">
        <v>226971639222</v>
      </c>
      <c r="B1251" t="s">
        <v>3218</v>
      </c>
      <c r="C1251" t="s">
        <v>3219</v>
      </c>
      <c r="D1251">
        <v>2.09</v>
      </c>
      <c r="F1251" t="str">
        <f t="shared" si="95"/>
        <v>No</v>
      </c>
      <c r="G1251" t="str">
        <f t="shared" si="96"/>
        <v/>
      </c>
      <c r="H1251" t="str">
        <f t="shared" si="97"/>
        <v>—</v>
      </c>
      <c r="I1251" t="str">
        <f t="shared" si="98"/>
        <v>Below thresholds</v>
      </c>
      <c r="J1251" t="str">
        <f t="shared" si="99"/>
        <v/>
      </c>
    </row>
    <row r="1252" spans="1:10" x14ac:dyDescent="0.2">
      <c r="A1252">
        <v>226971639255</v>
      </c>
      <c r="B1252" t="s">
        <v>3220</v>
      </c>
      <c r="C1252" t="s">
        <v>3221</v>
      </c>
      <c r="D1252">
        <v>2.09</v>
      </c>
      <c r="F1252" t="str">
        <f t="shared" si="95"/>
        <v>No</v>
      </c>
      <c r="G1252" t="str">
        <f t="shared" si="96"/>
        <v/>
      </c>
      <c r="H1252" t="str">
        <f t="shared" si="97"/>
        <v>—</v>
      </c>
      <c r="I1252" t="str">
        <f t="shared" si="98"/>
        <v>Below thresholds</v>
      </c>
      <c r="J1252" t="str">
        <f t="shared" si="99"/>
        <v/>
      </c>
    </row>
    <row r="1253" spans="1:10" x14ac:dyDescent="0.2">
      <c r="A1253">
        <v>226971639259</v>
      </c>
      <c r="B1253" t="s">
        <v>3222</v>
      </c>
      <c r="C1253" t="s">
        <v>3223</v>
      </c>
      <c r="D1253">
        <v>3.95</v>
      </c>
      <c r="F1253" t="str">
        <f t="shared" si="95"/>
        <v>No</v>
      </c>
      <c r="G1253" t="str">
        <f t="shared" si="96"/>
        <v/>
      </c>
      <c r="H1253" t="str">
        <f t="shared" si="97"/>
        <v>—</v>
      </c>
      <c r="I1253" t="str">
        <f t="shared" si="98"/>
        <v>Below thresholds</v>
      </c>
      <c r="J1253" t="str">
        <f t="shared" si="99"/>
        <v/>
      </c>
    </row>
    <row r="1254" spans="1:10" x14ac:dyDescent="0.2">
      <c r="A1254">
        <v>226971639290</v>
      </c>
      <c r="B1254" t="s">
        <v>312</v>
      </c>
      <c r="C1254" t="s">
        <v>3224</v>
      </c>
      <c r="D1254">
        <v>4.49</v>
      </c>
      <c r="F1254" t="str">
        <f t="shared" si="95"/>
        <v>No</v>
      </c>
      <c r="G1254" t="str">
        <f t="shared" si="96"/>
        <v/>
      </c>
      <c r="H1254" t="str">
        <f t="shared" si="97"/>
        <v>—</v>
      </c>
      <c r="I1254" t="str">
        <f t="shared" si="98"/>
        <v>Below thresholds</v>
      </c>
      <c r="J1254" t="str">
        <f t="shared" si="99"/>
        <v/>
      </c>
    </row>
    <row r="1255" spans="1:10" x14ac:dyDescent="0.2">
      <c r="A1255">
        <v>226971639332</v>
      </c>
      <c r="B1255" t="s">
        <v>3225</v>
      </c>
      <c r="C1255" t="s">
        <v>3226</v>
      </c>
      <c r="D1255">
        <v>2.09</v>
      </c>
      <c r="F1255" t="str">
        <f t="shared" si="95"/>
        <v>No</v>
      </c>
      <c r="G1255" t="str">
        <f t="shared" si="96"/>
        <v/>
      </c>
      <c r="H1255" t="str">
        <f t="shared" si="97"/>
        <v>—</v>
      </c>
      <c r="I1255" t="str">
        <f t="shared" si="98"/>
        <v>Below thresholds</v>
      </c>
      <c r="J1255" t="str">
        <f t="shared" si="99"/>
        <v/>
      </c>
    </row>
    <row r="1256" spans="1:10" x14ac:dyDescent="0.2">
      <c r="A1256">
        <v>226971639368</v>
      </c>
      <c r="B1256" t="s">
        <v>3227</v>
      </c>
      <c r="C1256" t="s">
        <v>3228</v>
      </c>
      <c r="D1256">
        <v>2.09</v>
      </c>
      <c r="F1256" t="str">
        <f t="shared" si="95"/>
        <v>No</v>
      </c>
      <c r="G1256" t="str">
        <f t="shared" si="96"/>
        <v/>
      </c>
      <c r="H1256" t="str">
        <f t="shared" si="97"/>
        <v>—</v>
      </c>
      <c r="I1256" t="str">
        <f t="shared" si="98"/>
        <v>Below thresholds</v>
      </c>
      <c r="J1256" t="str">
        <f t="shared" si="99"/>
        <v/>
      </c>
    </row>
    <row r="1257" spans="1:10" x14ac:dyDescent="0.2">
      <c r="A1257">
        <v>226971639388</v>
      </c>
      <c r="B1257" t="s">
        <v>3229</v>
      </c>
      <c r="C1257" t="s">
        <v>3230</v>
      </c>
      <c r="D1257">
        <v>2.09</v>
      </c>
      <c r="F1257" t="str">
        <f t="shared" si="95"/>
        <v>No</v>
      </c>
      <c r="G1257" t="str">
        <f t="shared" si="96"/>
        <v/>
      </c>
      <c r="H1257" t="str">
        <f t="shared" si="97"/>
        <v>—</v>
      </c>
      <c r="I1257" t="str">
        <f t="shared" si="98"/>
        <v>Below thresholds</v>
      </c>
      <c r="J1257" t="str">
        <f t="shared" si="99"/>
        <v/>
      </c>
    </row>
    <row r="1258" spans="1:10" x14ac:dyDescent="0.2">
      <c r="A1258">
        <v>226971639412</v>
      </c>
      <c r="B1258" t="s">
        <v>3231</v>
      </c>
      <c r="C1258" t="s">
        <v>3232</v>
      </c>
      <c r="D1258">
        <v>7.98</v>
      </c>
      <c r="F1258" t="str">
        <f t="shared" si="95"/>
        <v>No</v>
      </c>
      <c r="G1258" t="str">
        <f t="shared" si="96"/>
        <v/>
      </c>
      <c r="H1258" t="str">
        <f t="shared" si="97"/>
        <v>—</v>
      </c>
      <c r="I1258" t="str">
        <f t="shared" si="98"/>
        <v>Below thresholds</v>
      </c>
      <c r="J1258" t="str">
        <f t="shared" si="99"/>
        <v/>
      </c>
    </row>
    <row r="1259" spans="1:10" x14ac:dyDescent="0.2">
      <c r="A1259">
        <v>226971639417</v>
      </c>
      <c r="B1259" t="s">
        <v>3233</v>
      </c>
      <c r="C1259" t="s">
        <v>3234</v>
      </c>
      <c r="D1259">
        <v>2.09</v>
      </c>
      <c r="F1259" t="str">
        <f t="shared" si="95"/>
        <v>No</v>
      </c>
      <c r="G1259" t="str">
        <f t="shared" si="96"/>
        <v/>
      </c>
      <c r="H1259" t="str">
        <f t="shared" si="97"/>
        <v>—</v>
      </c>
      <c r="I1259" t="str">
        <f t="shared" si="98"/>
        <v>Below thresholds</v>
      </c>
      <c r="J1259" t="str">
        <f t="shared" si="99"/>
        <v/>
      </c>
    </row>
    <row r="1260" spans="1:10" x14ac:dyDescent="0.2">
      <c r="A1260">
        <v>226971639438</v>
      </c>
      <c r="B1260" t="s">
        <v>3235</v>
      </c>
      <c r="C1260" t="s">
        <v>3236</v>
      </c>
      <c r="D1260">
        <v>2.09</v>
      </c>
      <c r="F1260" t="str">
        <f t="shared" si="95"/>
        <v>No</v>
      </c>
      <c r="G1260" t="str">
        <f t="shared" si="96"/>
        <v/>
      </c>
      <c r="H1260" t="str">
        <f t="shared" si="97"/>
        <v>—</v>
      </c>
      <c r="I1260" t="str">
        <f t="shared" si="98"/>
        <v>Below thresholds</v>
      </c>
      <c r="J1260" t="str">
        <f t="shared" si="99"/>
        <v/>
      </c>
    </row>
    <row r="1261" spans="1:10" x14ac:dyDescent="0.2">
      <c r="A1261">
        <v>226972836596</v>
      </c>
      <c r="B1261" t="s">
        <v>3237</v>
      </c>
      <c r="C1261" t="s">
        <v>3238</v>
      </c>
      <c r="D1261">
        <v>10.29</v>
      </c>
      <c r="F1261" t="str">
        <f t="shared" si="95"/>
        <v>No</v>
      </c>
      <c r="G1261" t="str">
        <f t="shared" si="96"/>
        <v/>
      </c>
      <c r="H1261" t="str">
        <f t="shared" si="97"/>
        <v>—</v>
      </c>
      <c r="I1261" t="str">
        <f t="shared" si="98"/>
        <v>Below thresholds</v>
      </c>
      <c r="J1261" t="str">
        <f t="shared" si="99"/>
        <v/>
      </c>
    </row>
    <row r="1262" spans="1:10" x14ac:dyDescent="0.2">
      <c r="A1262">
        <v>226972836624</v>
      </c>
      <c r="B1262" t="s">
        <v>3239</v>
      </c>
      <c r="C1262" t="s">
        <v>3240</v>
      </c>
      <c r="D1262">
        <v>7.09</v>
      </c>
      <c r="F1262" t="str">
        <f t="shared" si="95"/>
        <v>No</v>
      </c>
      <c r="G1262" t="str">
        <f t="shared" si="96"/>
        <v/>
      </c>
      <c r="H1262" t="str">
        <f t="shared" si="97"/>
        <v>—</v>
      </c>
      <c r="I1262" t="str">
        <f t="shared" si="98"/>
        <v>Below thresholds</v>
      </c>
      <c r="J1262" t="str">
        <f t="shared" si="99"/>
        <v/>
      </c>
    </row>
    <row r="1263" spans="1:10" x14ac:dyDescent="0.2">
      <c r="A1263">
        <v>226972836669</v>
      </c>
      <c r="B1263" t="s">
        <v>3241</v>
      </c>
      <c r="C1263" t="s">
        <v>3242</v>
      </c>
      <c r="D1263">
        <v>15.99</v>
      </c>
      <c r="F1263" t="str">
        <f t="shared" si="95"/>
        <v>No</v>
      </c>
      <c r="G1263" t="str">
        <f t="shared" si="96"/>
        <v/>
      </c>
      <c r="H1263" t="str">
        <f t="shared" si="97"/>
        <v>—</v>
      </c>
      <c r="I1263" t="str">
        <f t="shared" si="98"/>
        <v>Below thresholds</v>
      </c>
      <c r="J1263" t="str">
        <f t="shared" si="99"/>
        <v/>
      </c>
    </row>
    <row r="1264" spans="1:10" x14ac:dyDescent="0.2">
      <c r="A1264">
        <v>226972836699</v>
      </c>
      <c r="B1264" t="s">
        <v>3243</v>
      </c>
      <c r="C1264" t="s">
        <v>3244</v>
      </c>
      <c r="D1264">
        <v>2.29</v>
      </c>
      <c r="F1264" t="str">
        <f t="shared" si="95"/>
        <v>No</v>
      </c>
      <c r="G1264" t="str">
        <f t="shared" si="96"/>
        <v/>
      </c>
      <c r="H1264" t="str">
        <f t="shared" si="97"/>
        <v>—</v>
      </c>
      <c r="I1264" t="str">
        <f t="shared" si="98"/>
        <v>Below thresholds</v>
      </c>
      <c r="J1264" t="str">
        <f t="shared" si="99"/>
        <v/>
      </c>
    </row>
    <row r="1265" spans="1:10" x14ac:dyDescent="0.2">
      <c r="A1265">
        <v>226972836700</v>
      </c>
      <c r="B1265" t="s">
        <v>3245</v>
      </c>
      <c r="C1265" t="s">
        <v>3246</v>
      </c>
      <c r="D1265">
        <v>3.99</v>
      </c>
      <c r="F1265" t="str">
        <f t="shared" si="95"/>
        <v>No</v>
      </c>
      <c r="G1265" t="str">
        <f t="shared" si="96"/>
        <v/>
      </c>
      <c r="H1265" t="str">
        <f t="shared" si="97"/>
        <v>—</v>
      </c>
      <c r="I1265" t="str">
        <f t="shared" si="98"/>
        <v>Below thresholds</v>
      </c>
      <c r="J1265" t="str">
        <f t="shared" si="99"/>
        <v/>
      </c>
    </row>
    <row r="1266" spans="1:10" x14ac:dyDescent="0.2">
      <c r="A1266">
        <v>226972836746</v>
      </c>
      <c r="B1266" t="s">
        <v>3247</v>
      </c>
      <c r="C1266" t="s">
        <v>3248</v>
      </c>
      <c r="D1266">
        <v>4.49</v>
      </c>
      <c r="F1266" t="str">
        <f t="shared" si="95"/>
        <v>No</v>
      </c>
      <c r="G1266" t="str">
        <f t="shared" si="96"/>
        <v/>
      </c>
      <c r="H1266" t="str">
        <f t="shared" si="97"/>
        <v>—</v>
      </c>
      <c r="I1266" t="str">
        <f t="shared" si="98"/>
        <v>Below thresholds</v>
      </c>
      <c r="J1266" t="str">
        <f t="shared" si="99"/>
        <v/>
      </c>
    </row>
    <row r="1267" spans="1:10" x14ac:dyDescent="0.2">
      <c r="A1267">
        <v>226972836754</v>
      </c>
      <c r="B1267" t="s">
        <v>3249</v>
      </c>
      <c r="C1267" t="s">
        <v>3250</v>
      </c>
      <c r="D1267">
        <v>5.69</v>
      </c>
      <c r="F1267" t="str">
        <f t="shared" si="95"/>
        <v>No</v>
      </c>
      <c r="G1267" t="str">
        <f t="shared" si="96"/>
        <v/>
      </c>
      <c r="H1267" t="str">
        <f t="shared" si="97"/>
        <v>—</v>
      </c>
      <c r="I1267" t="str">
        <f t="shared" si="98"/>
        <v>Below thresholds</v>
      </c>
      <c r="J1267" t="str">
        <f t="shared" si="99"/>
        <v/>
      </c>
    </row>
    <row r="1268" spans="1:10" x14ac:dyDescent="0.2">
      <c r="A1268">
        <v>226972836785</v>
      </c>
      <c r="B1268" t="s">
        <v>3251</v>
      </c>
      <c r="C1268" t="s">
        <v>3252</v>
      </c>
      <c r="D1268">
        <v>2.99</v>
      </c>
      <c r="F1268" t="str">
        <f t="shared" si="95"/>
        <v>No</v>
      </c>
      <c r="G1268" t="str">
        <f t="shared" si="96"/>
        <v/>
      </c>
      <c r="H1268" t="str">
        <f t="shared" si="97"/>
        <v>—</v>
      </c>
      <c r="I1268" t="str">
        <f t="shared" si="98"/>
        <v>Below thresholds</v>
      </c>
      <c r="J1268" t="str">
        <f t="shared" si="99"/>
        <v/>
      </c>
    </row>
    <row r="1269" spans="1:10" x14ac:dyDescent="0.2">
      <c r="A1269">
        <v>226972836811</v>
      </c>
      <c r="B1269" t="s">
        <v>3253</v>
      </c>
      <c r="C1269" t="s">
        <v>3254</v>
      </c>
      <c r="D1269">
        <v>6.99</v>
      </c>
      <c r="F1269" t="str">
        <f t="shared" si="95"/>
        <v>No</v>
      </c>
      <c r="G1269" t="str">
        <f t="shared" si="96"/>
        <v/>
      </c>
      <c r="H1269" t="str">
        <f t="shared" si="97"/>
        <v>—</v>
      </c>
      <c r="I1269" t="str">
        <f t="shared" si="98"/>
        <v>Below thresholds</v>
      </c>
      <c r="J1269" t="str">
        <f t="shared" si="99"/>
        <v/>
      </c>
    </row>
    <row r="1270" spans="1:10" x14ac:dyDescent="0.2">
      <c r="A1270">
        <v>226972836820</v>
      </c>
      <c r="B1270" t="s">
        <v>3255</v>
      </c>
      <c r="C1270" t="s">
        <v>3256</v>
      </c>
      <c r="D1270">
        <v>8.99</v>
      </c>
      <c r="F1270" t="str">
        <f t="shared" si="95"/>
        <v>No</v>
      </c>
      <c r="G1270" t="str">
        <f t="shared" si="96"/>
        <v/>
      </c>
      <c r="H1270" t="str">
        <f t="shared" si="97"/>
        <v>—</v>
      </c>
      <c r="I1270" t="str">
        <f t="shared" si="98"/>
        <v>Below thresholds</v>
      </c>
      <c r="J1270" t="str">
        <f t="shared" si="99"/>
        <v/>
      </c>
    </row>
    <row r="1271" spans="1:10" x14ac:dyDescent="0.2">
      <c r="A1271">
        <v>226972836856</v>
      </c>
      <c r="B1271" t="s">
        <v>341</v>
      </c>
      <c r="C1271" t="s">
        <v>3257</v>
      </c>
      <c r="D1271">
        <v>20.29</v>
      </c>
      <c r="F1271" t="str">
        <f t="shared" si="95"/>
        <v>No</v>
      </c>
      <c r="G1271" t="str">
        <f t="shared" si="96"/>
        <v/>
      </c>
      <c r="H1271" t="str">
        <f t="shared" si="97"/>
        <v>—</v>
      </c>
      <c r="I1271" t="str">
        <f t="shared" si="98"/>
        <v>$20+ — needs velocity check</v>
      </c>
      <c r="J1271" t="str">
        <f t="shared" si="99"/>
        <v>YES — pull CardHedger</v>
      </c>
    </row>
    <row r="1272" spans="1:10" x14ac:dyDescent="0.2">
      <c r="A1272">
        <v>226972836878</v>
      </c>
      <c r="B1272" t="s">
        <v>3258</v>
      </c>
      <c r="C1272" t="s">
        <v>3259</v>
      </c>
      <c r="D1272">
        <v>3.49</v>
      </c>
      <c r="F1272" t="str">
        <f t="shared" si="95"/>
        <v>No</v>
      </c>
      <c r="G1272" t="str">
        <f t="shared" si="96"/>
        <v/>
      </c>
      <c r="H1272" t="str">
        <f t="shared" si="97"/>
        <v>—</v>
      </c>
      <c r="I1272" t="str">
        <f t="shared" si="98"/>
        <v>Below thresholds</v>
      </c>
      <c r="J1272" t="str">
        <f t="shared" si="99"/>
        <v/>
      </c>
    </row>
    <row r="1273" spans="1:10" x14ac:dyDescent="0.2">
      <c r="A1273">
        <v>226972836888</v>
      </c>
      <c r="B1273" t="s">
        <v>3260</v>
      </c>
      <c r="C1273" t="s">
        <v>3261</v>
      </c>
      <c r="D1273">
        <v>2.99</v>
      </c>
      <c r="F1273" t="str">
        <f t="shared" si="95"/>
        <v>No</v>
      </c>
      <c r="G1273" t="str">
        <f t="shared" si="96"/>
        <v/>
      </c>
      <c r="H1273" t="str">
        <f t="shared" si="97"/>
        <v>—</v>
      </c>
      <c r="I1273" t="str">
        <f t="shared" si="98"/>
        <v>Below thresholds</v>
      </c>
      <c r="J1273" t="str">
        <f t="shared" si="99"/>
        <v/>
      </c>
    </row>
    <row r="1274" spans="1:10" x14ac:dyDescent="0.2">
      <c r="A1274">
        <v>226972836928</v>
      </c>
      <c r="B1274" t="s">
        <v>3262</v>
      </c>
      <c r="C1274" t="s">
        <v>3263</v>
      </c>
      <c r="D1274">
        <v>4.1900000000000004</v>
      </c>
      <c r="F1274" t="str">
        <f t="shared" si="95"/>
        <v>No</v>
      </c>
      <c r="G1274" t="str">
        <f t="shared" si="96"/>
        <v/>
      </c>
      <c r="H1274" t="str">
        <f t="shared" si="97"/>
        <v>—</v>
      </c>
      <c r="I1274" t="str">
        <f t="shared" si="98"/>
        <v>Below thresholds</v>
      </c>
      <c r="J1274" t="str">
        <f t="shared" si="99"/>
        <v/>
      </c>
    </row>
    <row r="1275" spans="1:10" x14ac:dyDescent="0.2">
      <c r="A1275">
        <v>226972836939</v>
      </c>
      <c r="B1275" t="s">
        <v>3264</v>
      </c>
      <c r="C1275" t="s">
        <v>3265</v>
      </c>
      <c r="D1275">
        <v>5.99</v>
      </c>
      <c r="F1275" t="str">
        <f t="shared" si="95"/>
        <v>No</v>
      </c>
      <c r="G1275" t="str">
        <f t="shared" si="96"/>
        <v/>
      </c>
      <c r="H1275" t="str">
        <f t="shared" si="97"/>
        <v>—</v>
      </c>
      <c r="I1275" t="str">
        <f t="shared" si="98"/>
        <v>Below thresholds</v>
      </c>
      <c r="J1275" t="str">
        <f t="shared" si="99"/>
        <v/>
      </c>
    </row>
    <row r="1276" spans="1:10" x14ac:dyDescent="0.2">
      <c r="A1276">
        <v>226972836969</v>
      </c>
      <c r="B1276" t="s">
        <v>3266</v>
      </c>
      <c r="C1276" t="s">
        <v>3267</v>
      </c>
      <c r="D1276">
        <v>5.49</v>
      </c>
      <c r="F1276" t="str">
        <f t="shared" si="95"/>
        <v>No</v>
      </c>
      <c r="G1276" t="str">
        <f t="shared" si="96"/>
        <v/>
      </c>
      <c r="H1276" t="str">
        <f t="shared" si="97"/>
        <v>—</v>
      </c>
      <c r="I1276" t="str">
        <f t="shared" si="98"/>
        <v>Below thresholds</v>
      </c>
      <c r="J1276" t="str">
        <f t="shared" si="99"/>
        <v/>
      </c>
    </row>
    <row r="1277" spans="1:10" x14ac:dyDescent="0.2">
      <c r="A1277">
        <v>226972836974</v>
      </c>
      <c r="B1277" t="s">
        <v>3268</v>
      </c>
      <c r="C1277" t="s">
        <v>3269</v>
      </c>
      <c r="D1277">
        <v>4.29</v>
      </c>
      <c r="F1277" t="str">
        <f t="shared" si="95"/>
        <v>No</v>
      </c>
      <c r="G1277" t="str">
        <f t="shared" si="96"/>
        <v/>
      </c>
      <c r="H1277" t="str">
        <f t="shared" si="97"/>
        <v>—</v>
      </c>
      <c r="I1277" t="str">
        <f t="shared" si="98"/>
        <v>Below thresholds</v>
      </c>
      <c r="J1277" t="str">
        <f t="shared" si="99"/>
        <v/>
      </c>
    </row>
    <row r="1278" spans="1:10" x14ac:dyDescent="0.2">
      <c r="A1278">
        <v>226972836997</v>
      </c>
      <c r="B1278" t="s">
        <v>3270</v>
      </c>
      <c r="C1278" t="s">
        <v>3271</v>
      </c>
      <c r="D1278">
        <v>2.4900000000000002</v>
      </c>
      <c r="F1278" t="str">
        <f t="shared" si="95"/>
        <v>No</v>
      </c>
      <c r="G1278" t="str">
        <f t="shared" si="96"/>
        <v/>
      </c>
      <c r="H1278" t="str">
        <f t="shared" si="97"/>
        <v>—</v>
      </c>
      <c r="I1278" t="str">
        <f t="shared" si="98"/>
        <v>Below thresholds</v>
      </c>
      <c r="J1278" t="str">
        <f t="shared" si="99"/>
        <v/>
      </c>
    </row>
    <row r="1279" spans="1:10" x14ac:dyDescent="0.2">
      <c r="A1279">
        <v>226972837018</v>
      </c>
      <c r="B1279" t="s">
        <v>3272</v>
      </c>
      <c r="C1279" t="s">
        <v>3273</v>
      </c>
      <c r="D1279">
        <v>11.29</v>
      </c>
      <c r="F1279" t="str">
        <f t="shared" si="95"/>
        <v>No</v>
      </c>
      <c r="G1279" t="str">
        <f t="shared" si="96"/>
        <v/>
      </c>
      <c r="H1279" t="str">
        <f t="shared" si="97"/>
        <v>—</v>
      </c>
      <c r="I1279" t="str">
        <f t="shared" si="98"/>
        <v>Below thresholds</v>
      </c>
      <c r="J1279" t="str">
        <f t="shared" si="99"/>
        <v/>
      </c>
    </row>
    <row r="1280" spans="1:10" x14ac:dyDescent="0.2">
      <c r="A1280">
        <v>226972837053</v>
      </c>
      <c r="B1280" t="s">
        <v>3274</v>
      </c>
      <c r="C1280" t="s">
        <v>3275</v>
      </c>
      <c r="D1280">
        <v>2.4900000000000002</v>
      </c>
      <c r="F1280" t="str">
        <f t="shared" si="95"/>
        <v>No</v>
      </c>
      <c r="G1280" t="str">
        <f t="shared" si="96"/>
        <v/>
      </c>
      <c r="H1280" t="str">
        <f t="shared" si="97"/>
        <v>—</v>
      </c>
      <c r="I1280" t="str">
        <f t="shared" si="98"/>
        <v>Below thresholds</v>
      </c>
      <c r="J1280" t="str">
        <f t="shared" si="99"/>
        <v/>
      </c>
    </row>
    <row r="1281" spans="1:10" x14ac:dyDescent="0.2">
      <c r="A1281">
        <v>226972837246</v>
      </c>
      <c r="B1281" t="s">
        <v>3276</v>
      </c>
      <c r="C1281" t="s">
        <v>3277</v>
      </c>
      <c r="D1281">
        <v>3.99</v>
      </c>
      <c r="F1281" t="str">
        <f t="shared" si="95"/>
        <v>No</v>
      </c>
      <c r="G1281" t="str">
        <f t="shared" si="96"/>
        <v/>
      </c>
      <c r="H1281" t="str">
        <f t="shared" si="97"/>
        <v>—</v>
      </c>
      <c r="I1281" t="str">
        <f t="shared" si="98"/>
        <v>Below thresholds</v>
      </c>
      <c r="J1281" t="str">
        <f t="shared" si="99"/>
        <v/>
      </c>
    </row>
    <row r="1282" spans="1:10" x14ac:dyDescent="0.2">
      <c r="A1282">
        <v>226972837271</v>
      </c>
      <c r="B1282" t="s">
        <v>3278</v>
      </c>
      <c r="C1282" t="s">
        <v>3279</v>
      </c>
      <c r="D1282">
        <v>14.39</v>
      </c>
      <c r="F1282" t="str">
        <f t="shared" si="95"/>
        <v>No</v>
      </c>
      <c r="G1282" t="str">
        <f t="shared" si="96"/>
        <v/>
      </c>
      <c r="H1282" t="str">
        <f t="shared" si="97"/>
        <v>—</v>
      </c>
      <c r="I1282" t="str">
        <f t="shared" si="98"/>
        <v>Below thresholds</v>
      </c>
      <c r="J1282" t="str">
        <f t="shared" si="99"/>
        <v/>
      </c>
    </row>
    <row r="1283" spans="1:10" x14ac:dyDescent="0.2">
      <c r="A1283">
        <v>226973091589</v>
      </c>
      <c r="B1283" t="s">
        <v>3280</v>
      </c>
      <c r="C1283" t="s">
        <v>3281</v>
      </c>
      <c r="D1283">
        <v>3.39</v>
      </c>
      <c r="F1283" t="str">
        <f t="shared" si="95"/>
        <v>No</v>
      </c>
      <c r="G1283" t="str">
        <f t="shared" si="96"/>
        <v/>
      </c>
      <c r="H1283" t="str">
        <f t="shared" si="97"/>
        <v>—</v>
      </c>
      <c r="I1283" t="str">
        <f t="shared" si="98"/>
        <v>Below thresholds</v>
      </c>
      <c r="J1283" t="str">
        <f t="shared" si="99"/>
        <v/>
      </c>
    </row>
    <row r="1284" spans="1:10" x14ac:dyDescent="0.2">
      <c r="A1284">
        <v>226973091611</v>
      </c>
      <c r="B1284" t="s">
        <v>3282</v>
      </c>
      <c r="C1284" t="s">
        <v>3283</v>
      </c>
      <c r="D1284">
        <v>4.1900000000000004</v>
      </c>
      <c r="F1284" t="str">
        <f t="shared" si="95"/>
        <v>No</v>
      </c>
      <c r="G1284" t="str">
        <f t="shared" si="96"/>
        <v/>
      </c>
      <c r="H1284" t="str">
        <f t="shared" si="97"/>
        <v>—</v>
      </c>
      <c r="I1284" t="str">
        <f t="shared" si="98"/>
        <v>Below thresholds</v>
      </c>
      <c r="J1284" t="str">
        <f t="shared" si="99"/>
        <v/>
      </c>
    </row>
    <row r="1285" spans="1:10" x14ac:dyDescent="0.2">
      <c r="A1285">
        <v>226973091667</v>
      </c>
      <c r="B1285" t="s">
        <v>3284</v>
      </c>
      <c r="C1285" t="s">
        <v>3285</v>
      </c>
      <c r="D1285">
        <v>1.99</v>
      </c>
      <c r="F1285" t="str">
        <f t="shared" ref="F1285:F1348" si="100">IF($B1285="","",IF(ISNUMBER(SEARCH("PSA",$B1285)),"Yes","No"))</f>
        <v>No</v>
      </c>
      <c r="G1285" t="str">
        <f t="shared" ref="G1285:G1348" si="101">IF($B1285="","",IF(ISNUMBER(SEARCH("PSA 10",$B1285)),10,IF(ISNUMBER(SEARCH("PSA 9.5",$B1285)),9.5,IF(ISNUMBER(SEARCH("PSA 9",$B1285)),9,IF(ISNUMBER(SEARCH("PSA 8",$B1285)),8,IF(ISNUMBER(SEARCH("PSA",$B1285)),"&lt;9",""))))))</f>
        <v/>
      </c>
      <c r="H1285" t="str">
        <f t="shared" ref="H1285:H1348" si="102">IF($B1285="","",IF($D1285&gt;=100,"TIER 2",IF(OR(ISNUMBER(SEARCH("PSA 10",$B1285)),ISNUMBER(SEARCH("PSA 9.5",$B1285)),ISNUMBER(SEARCH("PSA 9",$B1285))),"TIER 3",IF(AND($D1285&gt;20,N($E1285)&gt;=15),"TIER 1","—"))))</f>
        <v>—</v>
      </c>
      <c r="I1285" t="str">
        <f t="shared" ref="I1285:I1348" si="103">IF($B1285="","",IF($D1285&gt;=100,"Premium $100+ (auto)",IF(OR(ISNUMBER(SEARCH("PSA 10",$B1285)),ISNUMBER(SEARCH("PSA 9.5",$B1285)),ISNUMBER(SEARCH("PSA 9",$B1285))),"Graded PSA 9+ (auto)",IF(AND($D1285&gt;20,N($E1285)&gt;=15),"Hot: $20+ &amp; "&amp;$E1285&amp;"/day",IF($D1285&gt;20,"$20+ — needs velocity check","Below thresholds")))))</f>
        <v>Below thresholds</v>
      </c>
      <c r="J1285" t="str">
        <f t="shared" ref="J1285:J1348" si="104">IF($B1285="","",IF(AND($D1285&gt;20,$D1285&lt;100,NOT(OR(ISNUMBER(SEARCH("PSA 10",$B1285)),ISNUMBER(SEARCH("PSA 9.5",$B1285)),ISNUMBER(SEARCH("PSA 9",$B1285)))),$E1285=""),"YES — pull CardHedger",""))</f>
        <v/>
      </c>
    </row>
    <row r="1286" spans="1:10" x14ac:dyDescent="0.2">
      <c r="A1286">
        <v>226973091684</v>
      </c>
      <c r="B1286" t="s">
        <v>3286</v>
      </c>
      <c r="C1286" t="s">
        <v>3287</v>
      </c>
      <c r="D1286">
        <v>1.99</v>
      </c>
      <c r="F1286" t="str">
        <f t="shared" si="100"/>
        <v>No</v>
      </c>
      <c r="G1286" t="str">
        <f t="shared" si="101"/>
        <v/>
      </c>
      <c r="H1286" t="str">
        <f t="shared" si="102"/>
        <v>—</v>
      </c>
      <c r="I1286" t="str">
        <f t="shared" si="103"/>
        <v>Below thresholds</v>
      </c>
      <c r="J1286" t="str">
        <f t="shared" si="104"/>
        <v/>
      </c>
    </row>
    <row r="1287" spans="1:10" x14ac:dyDescent="0.2">
      <c r="A1287">
        <v>226973091711</v>
      </c>
      <c r="B1287" t="s">
        <v>3288</v>
      </c>
      <c r="C1287" t="s">
        <v>3289</v>
      </c>
      <c r="D1287">
        <v>1.99</v>
      </c>
      <c r="F1287" t="str">
        <f t="shared" si="100"/>
        <v>No</v>
      </c>
      <c r="G1287" t="str">
        <f t="shared" si="101"/>
        <v/>
      </c>
      <c r="H1287" t="str">
        <f t="shared" si="102"/>
        <v>—</v>
      </c>
      <c r="I1287" t="str">
        <f t="shared" si="103"/>
        <v>Below thresholds</v>
      </c>
      <c r="J1287" t="str">
        <f t="shared" si="104"/>
        <v/>
      </c>
    </row>
    <row r="1288" spans="1:10" x14ac:dyDescent="0.2">
      <c r="A1288">
        <v>226973091730</v>
      </c>
      <c r="B1288" t="s">
        <v>3290</v>
      </c>
      <c r="C1288" t="s">
        <v>3291</v>
      </c>
      <c r="D1288">
        <v>2.09</v>
      </c>
      <c r="F1288" t="str">
        <f t="shared" si="100"/>
        <v>No</v>
      </c>
      <c r="G1288" t="str">
        <f t="shared" si="101"/>
        <v/>
      </c>
      <c r="H1288" t="str">
        <f t="shared" si="102"/>
        <v>—</v>
      </c>
      <c r="I1288" t="str">
        <f t="shared" si="103"/>
        <v>Below thresholds</v>
      </c>
      <c r="J1288" t="str">
        <f t="shared" si="104"/>
        <v/>
      </c>
    </row>
    <row r="1289" spans="1:10" x14ac:dyDescent="0.2">
      <c r="A1289">
        <v>226973091759</v>
      </c>
      <c r="B1289" t="s">
        <v>3292</v>
      </c>
      <c r="C1289" t="s">
        <v>3293</v>
      </c>
      <c r="D1289">
        <v>2.09</v>
      </c>
      <c r="F1289" t="str">
        <f t="shared" si="100"/>
        <v>No</v>
      </c>
      <c r="G1289" t="str">
        <f t="shared" si="101"/>
        <v/>
      </c>
      <c r="H1289" t="str">
        <f t="shared" si="102"/>
        <v>—</v>
      </c>
      <c r="I1289" t="str">
        <f t="shared" si="103"/>
        <v>Below thresholds</v>
      </c>
      <c r="J1289" t="str">
        <f t="shared" si="104"/>
        <v/>
      </c>
    </row>
    <row r="1290" spans="1:10" x14ac:dyDescent="0.2">
      <c r="A1290">
        <v>226973091767</v>
      </c>
      <c r="B1290" t="s">
        <v>3294</v>
      </c>
      <c r="C1290" t="s">
        <v>3295</v>
      </c>
      <c r="D1290">
        <v>2.69</v>
      </c>
      <c r="F1290" t="str">
        <f t="shared" si="100"/>
        <v>No</v>
      </c>
      <c r="G1290" t="str">
        <f t="shared" si="101"/>
        <v/>
      </c>
      <c r="H1290" t="str">
        <f t="shared" si="102"/>
        <v>—</v>
      </c>
      <c r="I1290" t="str">
        <f t="shared" si="103"/>
        <v>Below thresholds</v>
      </c>
      <c r="J1290" t="str">
        <f t="shared" si="104"/>
        <v/>
      </c>
    </row>
    <row r="1291" spans="1:10" x14ac:dyDescent="0.2">
      <c r="A1291">
        <v>226973091801</v>
      </c>
      <c r="B1291" t="s">
        <v>3296</v>
      </c>
      <c r="C1291" t="s">
        <v>3297</v>
      </c>
      <c r="D1291">
        <v>2.19</v>
      </c>
      <c r="F1291" t="str">
        <f t="shared" si="100"/>
        <v>No</v>
      </c>
      <c r="G1291" t="str">
        <f t="shared" si="101"/>
        <v/>
      </c>
      <c r="H1291" t="str">
        <f t="shared" si="102"/>
        <v>—</v>
      </c>
      <c r="I1291" t="str">
        <f t="shared" si="103"/>
        <v>Below thresholds</v>
      </c>
      <c r="J1291" t="str">
        <f t="shared" si="104"/>
        <v/>
      </c>
    </row>
    <row r="1292" spans="1:10" x14ac:dyDescent="0.2">
      <c r="A1292">
        <v>226973091818</v>
      </c>
      <c r="B1292" t="s">
        <v>3298</v>
      </c>
      <c r="C1292" t="s">
        <v>3299</v>
      </c>
      <c r="D1292">
        <v>2.29</v>
      </c>
      <c r="F1292" t="str">
        <f t="shared" si="100"/>
        <v>No</v>
      </c>
      <c r="G1292" t="str">
        <f t="shared" si="101"/>
        <v/>
      </c>
      <c r="H1292" t="str">
        <f t="shared" si="102"/>
        <v>—</v>
      </c>
      <c r="I1292" t="str">
        <f t="shared" si="103"/>
        <v>Below thresholds</v>
      </c>
      <c r="J1292" t="str">
        <f t="shared" si="104"/>
        <v/>
      </c>
    </row>
    <row r="1293" spans="1:10" x14ac:dyDescent="0.2">
      <c r="A1293">
        <v>226973194616</v>
      </c>
      <c r="B1293" t="s">
        <v>3300</v>
      </c>
      <c r="C1293" t="s">
        <v>3301</v>
      </c>
      <c r="D1293">
        <v>20</v>
      </c>
      <c r="F1293" t="str">
        <f t="shared" si="100"/>
        <v>No</v>
      </c>
      <c r="G1293" t="str">
        <f t="shared" si="101"/>
        <v/>
      </c>
      <c r="H1293" t="str">
        <f t="shared" si="102"/>
        <v>—</v>
      </c>
      <c r="I1293" t="str">
        <f t="shared" si="103"/>
        <v>Below thresholds</v>
      </c>
      <c r="J1293" t="str">
        <f t="shared" si="104"/>
        <v/>
      </c>
    </row>
    <row r="1294" spans="1:10" x14ac:dyDescent="0.2">
      <c r="A1294">
        <v>226973195009</v>
      </c>
      <c r="B1294" t="s">
        <v>3302</v>
      </c>
      <c r="C1294" t="s">
        <v>3303</v>
      </c>
      <c r="D1294">
        <v>3.59</v>
      </c>
      <c r="F1294" t="str">
        <f t="shared" si="100"/>
        <v>No</v>
      </c>
      <c r="G1294" t="str">
        <f t="shared" si="101"/>
        <v/>
      </c>
      <c r="H1294" t="str">
        <f t="shared" si="102"/>
        <v>—</v>
      </c>
      <c r="I1294" t="str">
        <f t="shared" si="103"/>
        <v>Below thresholds</v>
      </c>
      <c r="J1294" t="str">
        <f t="shared" si="104"/>
        <v/>
      </c>
    </row>
    <row r="1295" spans="1:10" x14ac:dyDescent="0.2">
      <c r="A1295">
        <v>226973195852</v>
      </c>
      <c r="B1295" t="s">
        <v>3304</v>
      </c>
      <c r="C1295" t="s">
        <v>3305</v>
      </c>
      <c r="D1295">
        <v>6.79</v>
      </c>
      <c r="F1295" t="str">
        <f t="shared" si="100"/>
        <v>No</v>
      </c>
      <c r="G1295" t="str">
        <f t="shared" si="101"/>
        <v/>
      </c>
      <c r="H1295" t="str">
        <f t="shared" si="102"/>
        <v>—</v>
      </c>
      <c r="I1295" t="str">
        <f t="shared" si="103"/>
        <v>Below thresholds</v>
      </c>
      <c r="J1295" t="str">
        <f t="shared" si="104"/>
        <v/>
      </c>
    </row>
    <row r="1296" spans="1:10" x14ac:dyDescent="0.2">
      <c r="A1296">
        <v>226973195867</v>
      </c>
      <c r="B1296" t="s">
        <v>3306</v>
      </c>
      <c r="C1296" t="s">
        <v>3307</v>
      </c>
      <c r="D1296">
        <v>4.29</v>
      </c>
      <c r="F1296" t="str">
        <f t="shared" si="100"/>
        <v>No</v>
      </c>
      <c r="G1296" t="str">
        <f t="shared" si="101"/>
        <v/>
      </c>
      <c r="H1296" t="str">
        <f t="shared" si="102"/>
        <v>—</v>
      </c>
      <c r="I1296" t="str">
        <f t="shared" si="103"/>
        <v>Below thresholds</v>
      </c>
      <c r="J1296" t="str">
        <f t="shared" si="104"/>
        <v/>
      </c>
    </row>
    <row r="1297" spans="1:10" x14ac:dyDescent="0.2">
      <c r="A1297">
        <v>226973196204</v>
      </c>
      <c r="B1297" t="s">
        <v>3308</v>
      </c>
      <c r="C1297" t="s">
        <v>3309</v>
      </c>
      <c r="D1297">
        <v>4.99</v>
      </c>
      <c r="F1297" t="str">
        <f t="shared" si="100"/>
        <v>No</v>
      </c>
      <c r="G1297" t="str">
        <f t="shared" si="101"/>
        <v/>
      </c>
      <c r="H1297" t="str">
        <f t="shared" si="102"/>
        <v>—</v>
      </c>
      <c r="I1297" t="str">
        <f t="shared" si="103"/>
        <v>Below thresholds</v>
      </c>
      <c r="J1297" t="str">
        <f t="shared" si="104"/>
        <v/>
      </c>
    </row>
    <row r="1298" spans="1:10" x14ac:dyDescent="0.2">
      <c r="A1298">
        <v>226973196217</v>
      </c>
      <c r="B1298" t="s">
        <v>3310</v>
      </c>
      <c r="C1298" t="s">
        <v>3311</v>
      </c>
      <c r="D1298">
        <v>2.09</v>
      </c>
      <c r="F1298" t="str">
        <f t="shared" si="100"/>
        <v>No</v>
      </c>
      <c r="G1298" t="str">
        <f t="shared" si="101"/>
        <v/>
      </c>
      <c r="H1298" t="str">
        <f t="shared" si="102"/>
        <v>—</v>
      </c>
      <c r="I1298" t="str">
        <f t="shared" si="103"/>
        <v>Below thresholds</v>
      </c>
      <c r="J1298" t="str">
        <f t="shared" si="104"/>
        <v/>
      </c>
    </row>
    <row r="1299" spans="1:10" x14ac:dyDescent="0.2">
      <c r="A1299">
        <v>226973196285</v>
      </c>
      <c r="B1299" t="s">
        <v>3312</v>
      </c>
      <c r="C1299" t="s">
        <v>3313</v>
      </c>
      <c r="D1299">
        <v>7.99</v>
      </c>
      <c r="F1299" t="str">
        <f t="shared" si="100"/>
        <v>No</v>
      </c>
      <c r="G1299" t="str">
        <f t="shared" si="101"/>
        <v/>
      </c>
      <c r="H1299" t="str">
        <f t="shared" si="102"/>
        <v>—</v>
      </c>
      <c r="I1299" t="str">
        <f t="shared" si="103"/>
        <v>Below thresholds</v>
      </c>
      <c r="J1299" t="str">
        <f t="shared" si="104"/>
        <v/>
      </c>
    </row>
    <row r="1300" spans="1:10" x14ac:dyDescent="0.2">
      <c r="A1300">
        <v>226973196334</v>
      </c>
      <c r="B1300" t="s">
        <v>3314</v>
      </c>
      <c r="C1300" t="s">
        <v>3315</v>
      </c>
      <c r="D1300">
        <v>7.79</v>
      </c>
      <c r="F1300" t="str">
        <f t="shared" si="100"/>
        <v>No</v>
      </c>
      <c r="G1300" t="str">
        <f t="shared" si="101"/>
        <v/>
      </c>
      <c r="H1300" t="str">
        <f t="shared" si="102"/>
        <v>—</v>
      </c>
      <c r="I1300" t="str">
        <f t="shared" si="103"/>
        <v>Below thresholds</v>
      </c>
      <c r="J1300" t="str">
        <f t="shared" si="104"/>
        <v/>
      </c>
    </row>
    <row r="1301" spans="1:10" x14ac:dyDescent="0.2">
      <c r="A1301">
        <v>226974364579</v>
      </c>
      <c r="B1301" t="s">
        <v>3316</v>
      </c>
      <c r="C1301" t="s">
        <v>3317</v>
      </c>
      <c r="D1301">
        <v>2.4500000000000002</v>
      </c>
      <c r="F1301" t="str">
        <f t="shared" si="100"/>
        <v>No</v>
      </c>
      <c r="G1301" t="str">
        <f t="shared" si="101"/>
        <v/>
      </c>
      <c r="H1301" t="str">
        <f t="shared" si="102"/>
        <v>—</v>
      </c>
      <c r="I1301" t="str">
        <f t="shared" si="103"/>
        <v>Below thresholds</v>
      </c>
      <c r="J1301" t="str">
        <f t="shared" si="104"/>
        <v/>
      </c>
    </row>
    <row r="1302" spans="1:10" x14ac:dyDescent="0.2">
      <c r="A1302">
        <v>226974427643</v>
      </c>
      <c r="B1302" t="s">
        <v>3318</v>
      </c>
      <c r="C1302" t="s">
        <v>3319</v>
      </c>
      <c r="D1302">
        <v>5.39</v>
      </c>
      <c r="F1302" t="str">
        <f t="shared" si="100"/>
        <v>No</v>
      </c>
      <c r="G1302" t="str">
        <f t="shared" si="101"/>
        <v/>
      </c>
      <c r="H1302" t="str">
        <f t="shared" si="102"/>
        <v>—</v>
      </c>
      <c r="I1302" t="str">
        <f t="shared" si="103"/>
        <v>Below thresholds</v>
      </c>
      <c r="J1302" t="str">
        <f t="shared" si="104"/>
        <v/>
      </c>
    </row>
    <row r="1303" spans="1:10" x14ac:dyDescent="0.2">
      <c r="A1303">
        <v>226974970259</v>
      </c>
      <c r="B1303" t="s">
        <v>3320</v>
      </c>
      <c r="C1303" t="s">
        <v>3321</v>
      </c>
      <c r="D1303">
        <v>1.5</v>
      </c>
      <c r="F1303" t="str">
        <f t="shared" si="100"/>
        <v>No</v>
      </c>
      <c r="G1303" t="str">
        <f t="shared" si="101"/>
        <v/>
      </c>
      <c r="H1303" t="str">
        <f t="shared" si="102"/>
        <v>—</v>
      </c>
      <c r="I1303" t="str">
        <f t="shared" si="103"/>
        <v>Below thresholds</v>
      </c>
      <c r="J1303" t="str">
        <f t="shared" si="104"/>
        <v/>
      </c>
    </row>
    <row r="1304" spans="1:10" x14ac:dyDescent="0.2">
      <c r="A1304">
        <v>226974970260</v>
      </c>
      <c r="B1304" t="s">
        <v>3322</v>
      </c>
      <c r="C1304" t="s">
        <v>3323</v>
      </c>
      <c r="D1304">
        <v>1.5</v>
      </c>
      <c r="F1304" t="str">
        <f t="shared" si="100"/>
        <v>No</v>
      </c>
      <c r="G1304" t="str">
        <f t="shared" si="101"/>
        <v/>
      </c>
      <c r="H1304" t="str">
        <f t="shared" si="102"/>
        <v>—</v>
      </c>
      <c r="I1304" t="str">
        <f t="shared" si="103"/>
        <v>Below thresholds</v>
      </c>
      <c r="J1304" t="str">
        <f t="shared" si="104"/>
        <v/>
      </c>
    </row>
    <row r="1305" spans="1:10" x14ac:dyDescent="0.2">
      <c r="A1305">
        <v>226974970262</v>
      </c>
      <c r="B1305" t="s">
        <v>3324</v>
      </c>
      <c r="C1305" t="s">
        <v>3325</v>
      </c>
      <c r="D1305">
        <v>1.5</v>
      </c>
      <c r="F1305" t="str">
        <f t="shared" si="100"/>
        <v>No</v>
      </c>
      <c r="G1305" t="str">
        <f t="shared" si="101"/>
        <v/>
      </c>
      <c r="H1305" t="str">
        <f t="shared" si="102"/>
        <v>—</v>
      </c>
      <c r="I1305" t="str">
        <f t="shared" si="103"/>
        <v>Below thresholds</v>
      </c>
      <c r="J1305" t="str">
        <f t="shared" si="104"/>
        <v/>
      </c>
    </row>
    <row r="1306" spans="1:10" x14ac:dyDescent="0.2">
      <c r="A1306">
        <v>226974970264</v>
      </c>
      <c r="B1306" t="s">
        <v>3326</v>
      </c>
      <c r="C1306" t="s">
        <v>3327</v>
      </c>
      <c r="D1306">
        <v>1.5</v>
      </c>
      <c r="F1306" t="str">
        <f t="shared" si="100"/>
        <v>No</v>
      </c>
      <c r="G1306" t="str">
        <f t="shared" si="101"/>
        <v/>
      </c>
      <c r="H1306" t="str">
        <f t="shared" si="102"/>
        <v>—</v>
      </c>
      <c r="I1306" t="str">
        <f t="shared" si="103"/>
        <v>Below thresholds</v>
      </c>
      <c r="J1306" t="str">
        <f t="shared" si="104"/>
        <v/>
      </c>
    </row>
    <row r="1307" spans="1:10" x14ac:dyDescent="0.2">
      <c r="A1307">
        <v>226974970265</v>
      </c>
      <c r="B1307" t="s">
        <v>3328</v>
      </c>
      <c r="C1307" t="s">
        <v>3329</v>
      </c>
      <c r="D1307">
        <v>1.5</v>
      </c>
      <c r="F1307" t="str">
        <f t="shared" si="100"/>
        <v>No</v>
      </c>
      <c r="G1307" t="str">
        <f t="shared" si="101"/>
        <v/>
      </c>
      <c r="H1307" t="str">
        <f t="shared" si="102"/>
        <v>—</v>
      </c>
      <c r="I1307" t="str">
        <f t="shared" si="103"/>
        <v>Below thresholds</v>
      </c>
      <c r="J1307" t="str">
        <f t="shared" si="104"/>
        <v/>
      </c>
    </row>
    <row r="1308" spans="1:10" x14ac:dyDescent="0.2">
      <c r="A1308">
        <v>226974970266</v>
      </c>
      <c r="B1308" t="s">
        <v>3330</v>
      </c>
      <c r="C1308" t="s">
        <v>3331</v>
      </c>
      <c r="D1308">
        <v>1.5</v>
      </c>
      <c r="F1308" t="str">
        <f t="shared" si="100"/>
        <v>No</v>
      </c>
      <c r="G1308" t="str">
        <f t="shared" si="101"/>
        <v/>
      </c>
      <c r="H1308" t="str">
        <f t="shared" si="102"/>
        <v>—</v>
      </c>
      <c r="I1308" t="str">
        <f t="shared" si="103"/>
        <v>Below thresholds</v>
      </c>
      <c r="J1308" t="str">
        <f t="shared" si="104"/>
        <v/>
      </c>
    </row>
    <row r="1309" spans="1:10" x14ac:dyDescent="0.2">
      <c r="A1309">
        <v>226974970267</v>
      </c>
      <c r="B1309" t="s">
        <v>3332</v>
      </c>
      <c r="C1309" t="s">
        <v>3333</v>
      </c>
      <c r="D1309">
        <v>1.5</v>
      </c>
      <c r="F1309" t="str">
        <f t="shared" si="100"/>
        <v>No</v>
      </c>
      <c r="G1309" t="str">
        <f t="shared" si="101"/>
        <v/>
      </c>
      <c r="H1309" t="str">
        <f t="shared" si="102"/>
        <v>—</v>
      </c>
      <c r="I1309" t="str">
        <f t="shared" si="103"/>
        <v>Below thresholds</v>
      </c>
      <c r="J1309" t="str">
        <f t="shared" si="104"/>
        <v/>
      </c>
    </row>
    <row r="1310" spans="1:10" x14ac:dyDescent="0.2">
      <c r="A1310">
        <v>226974970268</v>
      </c>
      <c r="B1310" t="s">
        <v>3334</v>
      </c>
      <c r="C1310" t="s">
        <v>3335</v>
      </c>
      <c r="D1310">
        <v>1.5</v>
      </c>
      <c r="F1310" t="str">
        <f t="shared" si="100"/>
        <v>No</v>
      </c>
      <c r="G1310" t="str">
        <f t="shared" si="101"/>
        <v/>
      </c>
      <c r="H1310" t="str">
        <f t="shared" si="102"/>
        <v>—</v>
      </c>
      <c r="I1310" t="str">
        <f t="shared" si="103"/>
        <v>Below thresholds</v>
      </c>
      <c r="J1310" t="str">
        <f t="shared" si="104"/>
        <v/>
      </c>
    </row>
    <row r="1311" spans="1:10" x14ac:dyDescent="0.2">
      <c r="A1311">
        <v>226974970270</v>
      </c>
      <c r="B1311" t="s">
        <v>3336</v>
      </c>
      <c r="C1311" t="s">
        <v>3337</v>
      </c>
      <c r="D1311">
        <v>1.5</v>
      </c>
      <c r="F1311" t="str">
        <f t="shared" si="100"/>
        <v>No</v>
      </c>
      <c r="G1311" t="str">
        <f t="shared" si="101"/>
        <v/>
      </c>
      <c r="H1311" t="str">
        <f t="shared" si="102"/>
        <v>—</v>
      </c>
      <c r="I1311" t="str">
        <f t="shared" si="103"/>
        <v>Below thresholds</v>
      </c>
      <c r="J1311" t="str">
        <f t="shared" si="104"/>
        <v/>
      </c>
    </row>
    <row r="1312" spans="1:10" x14ac:dyDescent="0.2">
      <c r="A1312">
        <v>226974970271</v>
      </c>
      <c r="B1312" t="s">
        <v>3338</v>
      </c>
      <c r="C1312" t="s">
        <v>3339</v>
      </c>
      <c r="D1312">
        <v>1.5</v>
      </c>
      <c r="F1312" t="str">
        <f t="shared" si="100"/>
        <v>No</v>
      </c>
      <c r="G1312" t="str">
        <f t="shared" si="101"/>
        <v/>
      </c>
      <c r="H1312" t="str">
        <f t="shared" si="102"/>
        <v>—</v>
      </c>
      <c r="I1312" t="str">
        <f t="shared" si="103"/>
        <v>Below thresholds</v>
      </c>
      <c r="J1312" t="str">
        <f t="shared" si="104"/>
        <v/>
      </c>
    </row>
    <row r="1313" spans="1:10" x14ac:dyDescent="0.2">
      <c r="A1313">
        <v>226974970272</v>
      </c>
      <c r="B1313" t="s">
        <v>3340</v>
      </c>
      <c r="C1313" t="s">
        <v>3341</v>
      </c>
      <c r="D1313">
        <v>1.5</v>
      </c>
      <c r="F1313" t="str">
        <f t="shared" si="100"/>
        <v>No</v>
      </c>
      <c r="G1313" t="str">
        <f t="shared" si="101"/>
        <v/>
      </c>
      <c r="H1313" t="str">
        <f t="shared" si="102"/>
        <v>—</v>
      </c>
      <c r="I1313" t="str">
        <f t="shared" si="103"/>
        <v>Below thresholds</v>
      </c>
      <c r="J1313" t="str">
        <f t="shared" si="104"/>
        <v/>
      </c>
    </row>
    <row r="1314" spans="1:10" x14ac:dyDescent="0.2">
      <c r="A1314">
        <v>226974970273</v>
      </c>
      <c r="B1314" t="s">
        <v>3342</v>
      </c>
      <c r="C1314" t="s">
        <v>3343</v>
      </c>
      <c r="D1314">
        <v>1.5</v>
      </c>
      <c r="F1314" t="str">
        <f t="shared" si="100"/>
        <v>No</v>
      </c>
      <c r="G1314" t="str">
        <f t="shared" si="101"/>
        <v/>
      </c>
      <c r="H1314" t="str">
        <f t="shared" si="102"/>
        <v>—</v>
      </c>
      <c r="I1314" t="str">
        <f t="shared" si="103"/>
        <v>Below thresholds</v>
      </c>
      <c r="J1314" t="str">
        <f t="shared" si="104"/>
        <v/>
      </c>
    </row>
    <row r="1315" spans="1:10" x14ac:dyDescent="0.2">
      <c r="A1315">
        <v>226974970276</v>
      </c>
      <c r="B1315" t="s">
        <v>3344</v>
      </c>
      <c r="C1315" t="s">
        <v>3345</v>
      </c>
      <c r="D1315">
        <v>1.5</v>
      </c>
      <c r="F1315" t="str">
        <f t="shared" si="100"/>
        <v>No</v>
      </c>
      <c r="G1315" t="str">
        <f t="shared" si="101"/>
        <v/>
      </c>
      <c r="H1315" t="str">
        <f t="shared" si="102"/>
        <v>—</v>
      </c>
      <c r="I1315" t="str">
        <f t="shared" si="103"/>
        <v>Below thresholds</v>
      </c>
      <c r="J1315" t="str">
        <f t="shared" si="104"/>
        <v/>
      </c>
    </row>
    <row r="1316" spans="1:10" x14ac:dyDescent="0.2">
      <c r="A1316">
        <v>226978020915</v>
      </c>
      <c r="B1316" t="s">
        <v>3346</v>
      </c>
      <c r="C1316" t="s">
        <v>3347</v>
      </c>
      <c r="D1316">
        <v>3</v>
      </c>
      <c r="F1316" t="str">
        <f t="shared" si="100"/>
        <v>No</v>
      </c>
      <c r="G1316" t="str">
        <f t="shared" si="101"/>
        <v/>
      </c>
      <c r="H1316" t="str">
        <f t="shared" si="102"/>
        <v>—</v>
      </c>
      <c r="I1316" t="str">
        <f t="shared" si="103"/>
        <v>Below thresholds</v>
      </c>
      <c r="J1316" t="str">
        <f t="shared" si="104"/>
        <v/>
      </c>
    </row>
    <row r="1317" spans="1:10" x14ac:dyDescent="0.2">
      <c r="A1317">
        <v>226978021179</v>
      </c>
      <c r="B1317" t="s">
        <v>3348</v>
      </c>
      <c r="C1317" t="s">
        <v>3349</v>
      </c>
      <c r="D1317">
        <v>3.59</v>
      </c>
      <c r="F1317" t="str">
        <f t="shared" si="100"/>
        <v>No</v>
      </c>
      <c r="G1317" t="str">
        <f t="shared" si="101"/>
        <v/>
      </c>
      <c r="H1317" t="str">
        <f t="shared" si="102"/>
        <v>—</v>
      </c>
      <c r="I1317" t="str">
        <f t="shared" si="103"/>
        <v>Below thresholds</v>
      </c>
      <c r="J1317" t="str">
        <f t="shared" si="104"/>
        <v/>
      </c>
    </row>
    <row r="1318" spans="1:10" x14ac:dyDescent="0.2">
      <c r="A1318">
        <v>226978021197</v>
      </c>
      <c r="B1318" t="s">
        <v>3350</v>
      </c>
      <c r="C1318" t="s">
        <v>3351</v>
      </c>
      <c r="D1318">
        <v>9.99</v>
      </c>
      <c r="F1318" t="str">
        <f t="shared" si="100"/>
        <v>No</v>
      </c>
      <c r="G1318" t="str">
        <f t="shared" si="101"/>
        <v/>
      </c>
      <c r="H1318" t="str">
        <f t="shared" si="102"/>
        <v>—</v>
      </c>
      <c r="I1318" t="str">
        <f t="shared" si="103"/>
        <v>Below thresholds</v>
      </c>
      <c r="J1318" t="str">
        <f t="shared" si="104"/>
        <v/>
      </c>
    </row>
    <row r="1319" spans="1:10" x14ac:dyDescent="0.2">
      <c r="A1319">
        <v>226978021245</v>
      </c>
      <c r="B1319" t="s">
        <v>3352</v>
      </c>
      <c r="C1319" t="s">
        <v>3353</v>
      </c>
      <c r="D1319">
        <v>3.19</v>
      </c>
      <c r="F1319" t="str">
        <f t="shared" si="100"/>
        <v>No</v>
      </c>
      <c r="G1319" t="str">
        <f t="shared" si="101"/>
        <v/>
      </c>
      <c r="H1319" t="str">
        <f t="shared" si="102"/>
        <v>—</v>
      </c>
      <c r="I1319" t="str">
        <f t="shared" si="103"/>
        <v>Below thresholds</v>
      </c>
      <c r="J1319" t="str">
        <f t="shared" si="104"/>
        <v/>
      </c>
    </row>
    <row r="1320" spans="1:10" x14ac:dyDescent="0.2">
      <c r="A1320">
        <v>226978021290</v>
      </c>
      <c r="B1320" t="s">
        <v>3354</v>
      </c>
      <c r="C1320" t="s">
        <v>3355</v>
      </c>
      <c r="D1320">
        <v>6.59</v>
      </c>
      <c r="F1320" t="str">
        <f t="shared" si="100"/>
        <v>No</v>
      </c>
      <c r="G1320" t="str">
        <f t="shared" si="101"/>
        <v/>
      </c>
      <c r="H1320" t="str">
        <f t="shared" si="102"/>
        <v>—</v>
      </c>
      <c r="I1320" t="str">
        <f t="shared" si="103"/>
        <v>Below thresholds</v>
      </c>
      <c r="J1320" t="str">
        <f t="shared" si="104"/>
        <v/>
      </c>
    </row>
    <row r="1321" spans="1:10" x14ac:dyDescent="0.2">
      <c r="A1321">
        <v>226978021352</v>
      </c>
      <c r="B1321" t="s">
        <v>3356</v>
      </c>
      <c r="C1321" t="s">
        <v>3357</v>
      </c>
      <c r="D1321">
        <v>2.29</v>
      </c>
      <c r="F1321" t="str">
        <f t="shared" si="100"/>
        <v>No</v>
      </c>
      <c r="G1321" t="str">
        <f t="shared" si="101"/>
        <v/>
      </c>
      <c r="H1321" t="str">
        <f t="shared" si="102"/>
        <v>—</v>
      </c>
      <c r="I1321" t="str">
        <f t="shared" si="103"/>
        <v>Below thresholds</v>
      </c>
      <c r="J1321" t="str">
        <f t="shared" si="104"/>
        <v/>
      </c>
    </row>
    <row r="1322" spans="1:10" x14ac:dyDescent="0.2">
      <c r="A1322">
        <v>226978021411</v>
      </c>
      <c r="B1322" t="s">
        <v>3358</v>
      </c>
      <c r="C1322" t="s">
        <v>3359</v>
      </c>
      <c r="D1322">
        <v>6.19</v>
      </c>
      <c r="F1322" t="str">
        <f t="shared" si="100"/>
        <v>No</v>
      </c>
      <c r="G1322" t="str">
        <f t="shared" si="101"/>
        <v/>
      </c>
      <c r="H1322" t="str">
        <f t="shared" si="102"/>
        <v>—</v>
      </c>
      <c r="I1322" t="str">
        <f t="shared" si="103"/>
        <v>Below thresholds</v>
      </c>
      <c r="J1322" t="str">
        <f t="shared" si="104"/>
        <v/>
      </c>
    </row>
    <row r="1323" spans="1:10" x14ac:dyDescent="0.2">
      <c r="A1323">
        <v>226978021467</v>
      </c>
      <c r="B1323" t="s">
        <v>3360</v>
      </c>
      <c r="C1323" t="s">
        <v>3361</v>
      </c>
      <c r="D1323">
        <v>5.19</v>
      </c>
      <c r="F1323" t="str">
        <f t="shared" si="100"/>
        <v>No</v>
      </c>
      <c r="G1323" t="str">
        <f t="shared" si="101"/>
        <v/>
      </c>
      <c r="H1323" t="str">
        <f t="shared" si="102"/>
        <v>—</v>
      </c>
      <c r="I1323" t="str">
        <f t="shared" si="103"/>
        <v>Below thresholds</v>
      </c>
      <c r="J1323" t="str">
        <f t="shared" si="104"/>
        <v/>
      </c>
    </row>
    <row r="1324" spans="1:10" x14ac:dyDescent="0.2">
      <c r="A1324">
        <v>226978021481</v>
      </c>
      <c r="B1324" t="s">
        <v>3362</v>
      </c>
      <c r="C1324" t="s">
        <v>3363</v>
      </c>
      <c r="D1324">
        <v>4.09</v>
      </c>
      <c r="F1324" t="str">
        <f t="shared" si="100"/>
        <v>No</v>
      </c>
      <c r="G1324" t="str">
        <f t="shared" si="101"/>
        <v/>
      </c>
      <c r="H1324" t="str">
        <f t="shared" si="102"/>
        <v>—</v>
      </c>
      <c r="I1324" t="str">
        <f t="shared" si="103"/>
        <v>Below thresholds</v>
      </c>
      <c r="J1324" t="str">
        <f t="shared" si="104"/>
        <v/>
      </c>
    </row>
    <row r="1325" spans="1:10" x14ac:dyDescent="0.2">
      <c r="A1325">
        <v>226978021497</v>
      </c>
      <c r="B1325" t="s">
        <v>3364</v>
      </c>
      <c r="C1325" t="s">
        <v>3365</v>
      </c>
      <c r="D1325">
        <v>8.09</v>
      </c>
      <c r="F1325" t="str">
        <f t="shared" si="100"/>
        <v>No</v>
      </c>
      <c r="G1325" t="str">
        <f t="shared" si="101"/>
        <v/>
      </c>
      <c r="H1325" t="str">
        <f t="shared" si="102"/>
        <v>—</v>
      </c>
      <c r="I1325" t="str">
        <f t="shared" si="103"/>
        <v>Below thresholds</v>
      </c>
      <c r="J1325" t="str">
        <f t="shared" si="104"/>
        <v/>
      </c>
    </row>
    <row r="1326" spans="1:10" x14ac:dyDescent="0.2">
      <c r="A1326">
        <v>226978021527</v>
      </c>
      <c r="B1326" t="s">
        <v>3366</v>
      </c>
      <c r="C1326" t="s">
        <v>3367</v>
      </c>
      <c r="D1326">
        <v>14.99</v>
      </c>
      <c r="F1326" t="str">
        <f t="shared" si="100"/>
        <v>No</v>
      </c>
      <c r="G1326" t="str">
        <f t="shared" si="101"/>
        <v/>
      </c>
      <c r="H1326" t="str">
        <f t="shared" si="102"/>
        <v>—</v>
      </c>
      <c r="I1326" t="str">
        <f t="shared" si="103"/>
        <v>Below thresholds</v>
      </c>
      <c r="J1326" t="str">
        <f t="shared" si="104"/>
        <v/>
      </c>
    </row>
    <row r="1327" spans="1:10" x14ac:dyDescent="0.2">
      <c r="A1327">
        <v>226978021533</v>
      </c>
      <c r="B1327" t="s">
        <v>3368</v>
      </c>
      <c r="C1327" t="s">
        <v>3369</v>
      </c>
      <c r="D1327">
        <v>2.99</v>
      </c>
      <c r="F1327" t="str">
        <f t="shared" si="100"/>
        <v>No</v>
      </c>
      <c r="G1327" t="str">
        <f t="shared" si="101"/>
        <v/>
      </c>
      <c r="H1327" t="str">
        <f t="shared" si="102"/>
        <v>—</v>
      </c>
      <c r="I1327" t="str">
        <f t="shared" si="103"/>
        <v>Below thresholds</v>
      </c>
      <c r="J1327" t="str">
        <f t="shared" si="104"/>
        <v/>
      </c>
    </row>
    <row r="1328" spans="1:10" x14ac:dyDescent="0.2">
      <c r="A1328">
        <v>226978021556</v>
      </c>
      <c r="B1328" t="s">
        <v>3370</v>
      </c>
      <c r="C1328" t="s">
        <v>3371</v>
      </c>
      <c r="D1328">
        <v>7.99</v>
      </c>
      <c r="F1328" t="str">
        <f t="shared" si="100"/>
        <v>No</v>
      </c>
      <c r="G1328" t="str">
        <f t="shared" si="101"/>
        <v/>
      </c>
      <c r="H1328" t="str">
        <f t="shared" si="102"/>
        <v>—</v>
      </c>
      <c r="I1328" t="str">
        <f t="shared" si="103"/>
        <v>Below thresholds</v>
      </c>
      <c r="J1328" t="str">
        <f t="shared" si="104"/>
        <v/>
      </c>
    </row>
    <row r="1329" spans="1:10" x14ac:dyDescent="0.2">
      <c r="A1329">
        <v>226978021560</v>
      </c>
      <c r="B1329" t="s">
        <v>3372</v>
      </c>
      <c r="C1329" t="s">
        <v>3373</v>
      </c>
      <c r="D1329">
        <v>5.39</v>
      </c>
      <c r="F1329" t="str">
        <f t="shared" si="100"/>
        <v>No</v>
      </c>
      <c r="G1329" t="str">
        <f t="shared" si="101"/>
        <v/>
      </c>
      <c r="H1329" t="str">
        <f t="shared" si="102"/>
        <v>—</v>
      </c>
      <c r="I1329" t="str">
        <f t="shared" si="103"/>
        <v>Below thresholds</v>
      </c>
      <c r="J1329" t="str">
        <f t="shared" si="104"/>
        <v/>
      </c>
    </row>
    <row r="1330" spans="1:10" x14ac:dyDescent="0.2">
      <c r="A1330">
        <v>226978021590</v>
      </c>
      <c r="B1330" t="s">
        <v>3374</v>
      </c>
      <c r="C1330" t="s">
        <v>3375</v>
      </c>
      <c r="D1330">
        <v>8.39</v>
      </c>
      <c r="F1330" t="str">
        <f t="shared" si="100"/>
        <v>No</v>
      </c>
      <c r="G1330" t="str">
        <f t="shared" si="101"/>
        <v/>
      </c>
      <c r="H1330" t="str">
        <f t="shared" si="102"/>
        <v>—</v>
      </c>
      <c r="I1330" t="str">
        <f t="shared" si="103"/>
        <v>Below thresholds</v>
      </c>
      <c r="J1330" t="str">
        <f t="shared" si="104"/>
        <v/>
      </c>
    </row>
    <row r="1331" spans="1:10" x14ac:dyDescent="0.2">
      <c r="A1331">
        <v>226978021615</v>
      </c>
      <c r="B1331" t="s">
        <v>3376</v>
      </c>
      <c r="C1331" t="s">
        <v>3377</v>
      </c>
      <c r="D1331">
        <v>2.89</v>
      </c>
      <c r="F1331" t="str">
        <f t="shared" si="100"/>
        <v>No</v>
      </c>
      <c r="G1331" t="str">
        <f t="shared" si="101"/>
        <v/>
      </c>
      <c r="H1331" t="str">
        <f t="shared" si="102"/>
        <v>—</v>
      </c>
      <c r="I1331" t="str">
        <f t="shared" si="103"/>
        <v>Below thresholds</v>
      </c>
      <c r="J1331" t="str">
        <f t="shared" si="104"/>
        <v/>
      </c>
    </row>
    <row r="1332" spans="1:10" x14ac:dyDescent="0.2">
      <c r="A1332">
        <v>226978021765</v>
      </c>
      <c r="B1332" t="s">
        <v>3378</v>
      </c>
      <c r="C1332" t="s">
        <v>3379</v>
      </c>
      <c r="D1332">
        <v>4</v>
      </c>
      <c r="F1332" t="str">
        <f t="shared" si="100"/>
        <v>No</v>
      </c>
      <c r="G1332" t="str">
        <f t="shared" si="101"/>
        <v/>
      </c>
      <c r="H1332" t="str">
        <f t="shared" si="102"/>
        <v>—</v>
      </c>
      <c r="I1332" t="str">
        <f t="shared" si="103"/>
        <v>Below thresholds</v>
      </c>
      <c r="J1332" t="str">
        <f t="shared" si="104"/>
        <v/>
      </c>
    </row>
    <row r="1333" spans="1:10" x14ac:dyDescent="0.2">
      <c r="A1333">
        <v>226978021802</v>
      </c>
      <c r="B1333" t="s">
        <v>3380</v>
      </c>
      <c r="C1333" t="s">
        <v>3381</v>
      </c>
      <c r="D1333">
        <v>3.79</v>
      </c>
      <c r="F1333" t="str">
        <f t="shared" si="100"/>
        <v>No</v>
      </c>
      <c r="G1333" t="str">
        <f t="shared" si="101"/>
        <v/>
      </c>
      <c r="H1333" t="str">
        <f t="shared" si="102"/>
        <v>—</v>
      </c>
      <c r="I1333" t="str">
        <f t="shared" si="103"/>
        <v>Below thresholds</v>
      </c>
      <c r="J1333" t="str">
        <f t="shared" si="104"/>
        <v/>
      </c>
    </row>
    <row r="1334" spans="1:10" x14ac:dyDescent="0.2">
      <c r="A1334">
        <v>226978021810</v>
      </c>
      <c r="B1334" t="s">
        <v>3382</v>
      </c>
      <c r="C1334" t="s">
        <v>3383</v>
      </c>
      <c r="D1334">
        <v>5.19</v>
      </c>
      <c r="F1334" t="str">
        <f t="shared" si="100"/>
        <v>No</v>
      </c>
      <c r="G1334" t="str">
        <f t="shared" si="101"/>
        <v/>
      </c>
      <c r="H1334" t="str">
        <f t="shared" si="102"/>
        <v>—</v>
      </c>
      <c r="I1334" t="str">
        <f t="shared" si="103"/>
        <v>Below thresholds</v>
      </c>
      <c r="J1334" t="str">
        <f t="shared" si="104"/>
        <v/>
      </c>
    </row>
    <row r="1335" spans="1:10" x14ac:dyDescent="0.2">
      <c r="A1335">
        <v>226978021867</v>
      </c>
      <c r="B1335" t="s">
        <v>3384</v>
      </c>
      <c r="C1335" t="s">
        <v>3385</v>
      </c>
      <c r="D1335">
        <v>4.99</v>
      </c>
      <c r="F1335" t="str">
        <f t="shared" si="100"/>
        <v>No</v>
      </c>
      <c r="G1335" t="str">
        <f t="shared" si="101"/>
        <v/>
      </c>
      <c r="H1335" t="str">
        <f t="shared" si="102"/>
        <v>—</v>
      </c>
      <c r="I1335" t="str">
        <f t="shared" si="103"/>
        <v>Below thresholds</v>
      </c>
      <c r="J1335" t="str">
        <f t="shared" si="104"/>
        <v/>
      </c>
    </row>
    <row r="1336" spans="1:10" x14ac:dyDescent="0.2">
      <c r="A1336">
        <v>226978021870</v>
      </c>
      <c r="B1336" t="s">
        <v>3386</v>
      </c>
      <c r="C1336" t="s">
        <v>3387</v>
      </c>
      <c r="D1336">
        <v>3.89</v>
      </c>
      <c r="F1336" t="str">
        <f t="shared" si="100"/>
        <v>No</v>
      </c>
      <c r="G1336" t="str">
        <f t="shared" si="101"/>
        <v/>
      </c>
      <c r="H1336" t="str">
        <f t="shared" si="102"/>
        <v>—</v>
      </c>
      <c r="I1336" t="str">
        <f t="shared" si="103"/>
        <v>Below thresholds</v>
      </c>
      <c r="J1336" t="str">
        <f t="shared" si="104"/>
        <v/>
      </c>
    </row>
    <row r="1337" spans="1:10" x14ac:dyDescent="0.2">
      <c r="A1337">
        <v>226978021900</v>
      </c>
      <c r="B1337" t="s">
        <v>3388</v>
      </c>
      <c r="C1337" t="s">
        <v>3389</v>
      </c>
      <c r="D1337">
        <v>7.09</v>
      </c>
      <c r="F1337" t="str">
        <f t="shared" si="100"/>
        <v>No</v>
      </c>
      <c r="G1337" t="str">
        <f t="shared" si="101"/>
        <v/>
      </c>
      <c r="H1337" t="str">
        <f t="shared" si="102"/>
        <v>—</v>
      </c>
      <c r="I1337" t="str">
        <f t="shared" si="103"/>
        <v>Below thresholds</v>
      </c>
      <c r="J1337" t="str">
        <f t="shared" si="104"/>
        <v/>
      </c>
    </row>
    <row r="1338" spans="1:10" x14ac:dyDescent="0.2">
      <c r="A1338">
        <v>226978021901</v>
      </c>
      <c r="B1338" t="s">
        <v>3390</v>
      </c>
      <c r="C1338" t="s">
        <v>3391</v>
      </c>
      <c r="D1338">
        <v>2.09</v>
      </c>
      <c r="F1338" t="str">
        <f t="shared" si="100"/>
        <v>No</v>
      </c>
      <c r="G1338" t="str">
        <f t="shared" si="101"/>
        <v/>
      </c>
      <c r="H1338" t="str">
        <f t="shared" si="102"/>
        <v>—</v>
      </c>
      <c r="I1338" t="str">
        <f t="shared" si="103"/>
        <v>Below thresholds</v>
      </c>
      <c r="J1338" t="str">
        <f t="shared" si="104"/>
        <v/>
      </c>
    </row>
    <row r="1339" spans="1:10" x14ac:dyDescent="0.2">
      <c r="A1339">
        <v>226978021929</v>
      </c>
      <c r="B1339" t="s">
        <v>3392</v>
      </c>
      <c r="C1339" t="s">
        <v>3393</v>
      </c>
      <c r="D1339">
        <v>3.99</v>
      </c>
      <c r="F1339" t="str">
        <f t="shared" si="100"/>
        <v>No</v>
      </c>
      <c r="G1339" t="str">
        <f t="shared" si="101"/>
        <v/>
      </c>
      <c r="H1339" t="str">
        <f t="shared" si="102"/>
        <v>—</v>
      </c>
      <c r="I1339" t="str">
        <f t="shared" si="103"/>
        <v>Below thresholds</v>
      </c>
      <c r="J1339" t="str">
        <f t="shared" si="104"/>
        <v/>
      </c>
    </row>
    <row r="1340" spans="1:10" x14ac:dyDescent="0.2">
      <c r="A1340">
        <v>226978021932</v>
      </c>
      <c r="B1340" t="s">
        <v>3394</v>
      </c>
      <c r="C1340" t="s">
        <v>3395</v>
      </c>
      <c r="D1340">
        <v>3.59</v>
      </c>
      <c r="F1340" t="str">
        <f t="shared" si="100"/>
        <v>No</v>
      </c>
      <c r="G1340" t="str">
        <f t="shared" si="101"/>
        <v/>
      </c>
      <c r="H1340" t="str">
        <f t="shared" si="102"/>
        <v>—</v>
      </c>
      <c r="I1340" t="str">
        <f t="shared" si="103"/>
        <v>Below thresholds</v>
      </c>
      <c r="J1340" t="str">
        <f t="shared" si="104"/>
        <v/>
      </c>
    </row>
    <row r="1341" spans="1:10" x14ac:dyDescent="0.2">
      <c r="A1341">
        <v>226978062181</v>
      </c>
      <c r="B1341" t="s">
        <v>3396</v>
      </c>
      <c r="C1341" t="s">
        <v>3397</v>
      </c>
      <c r="D1341">
        <v>1.99</v>
      </c>
      <c r="F1341" t="str">
        <f t="shared" si="100"/>
        <v>No</v>
      </c>
      <c r="G1341" t="str">
        <f t="shared" si="101"/>
        <v/>
      </c>
      <c r="H1341" t="str">
        <f t="shared" si="102"/>
        <v>—</v>
      </c>
      <c r="I1341" t="str">
        <f t="shared" si="103"/>
        <v>Below thresholds</v>
      </c>
      <c r="J1341" t="str">
        <f t="shared" si="104"/>
        <v/>
      </c>
    </row>
    <row r="1342" spans="1:10" x14ac:dyDescent="0.2">
      <c r="A1342">
        <v>226978062182</v>
      </c>
      <c r="B1342" t="s">
        <v>3398</v>
      </c>
      <c r="C1342" t="s">
        <v>3399</v>
      </c>
      <c r="D1342">
        <v>2.29</v>
      </c>
      <c r="F1342" t="str">
        <f t="shared" si="100"/>
        <v>No</v>
      </c>
      <c r="G1342" t="str">
        <f t="shared" si="101"/>
        <v/>
      </c>
      <c r="H1342" t="str">
        <f t="shared" si="102"/>
        <v>—</v>
      </c>
      <c r="I1342" t="str">
        <f t="shared" si="103"/>
        <v>Below thresholds</v>
      </c>
      <c r="J1342" t="str">
        <f t="shared" si="104"/>
        <v/>
      </c>
    </row>
    <row r="1343" spans="1:10" x14ac:dyDescent="0.2">
      <c r="A1343">
        <v>226978062187</v>
      </c>
      <c r="B1343" t="s">
        <v>3400</v>
      </c>
      <c r="C1343" t="s">
        <v>3401</v>
      </c>
      <c r="D1343">
        <v>6.59</v>
      </c>
      <c r="F1343" t="str">
        <f t="shared" si="100"/>
        <v>No</v>
      </c>
      <c r="G1343" t="str">
        <f t="shared" si="101"/>
        <v/>
      </c>
      <c r="H1343" t="str">
        <f t="shared" si="102"/>
        <v>—</v>
      </c>
      <c r="I1343" t="str">
        <f t="shared" si="103"/>
        <v>Below thresholds</v>
      </c>
      <c r="J1343" t="str">
        <f t="shared" si="104"/>
        <v/>
      </c>
    </row>
    <row r="1344" spans="1:10" x14ac:dyDescent="0.2">
      <c r="A1344">
        <v>226978062189</v>
      </c>
      <c r="B1344" t="s">
        <v>3402</v>
      </c>
      <c r="C1344" t="s">
        <v>3403</v>
      </c>
      <c r="D1344">
        <v>4.49</v>
      </c>
      <c r="F1344" t="str">
        <f t="shared" si="100"/>
        <v>No</v>
      </c>
      <c r="G1344" t="str">
        <f t="shared" si="101"/>
        <v/>
      </c>
      <c r="H1344" t="str">
        <f t="shared" si="102"/>
        <v>—</v>
      </c>
      <c r="I1344" t="str">
        <f t="shared" si="103"/>
        <v>Below thresholds</v>
      </c>
      <c r="J1344" t="str">
        <f t="shared" si="104"/>
        <v/>
      </c>
    </row>
    <row r="1345" spans="1:10" x14ac:dyDescent="0.2">
      <c r="A1345">
        <v>226978062190</v>
      </c>
      <c r="B1345" t="s">
        <v>3404</v>
      </c>
      <c r="C1345" t="s">
        <v>3405</v>
      </c>
      <c r="D1345">
        <v>3.79</v>
      </c>
      <c r="F1345" t="str">
        <f t="shared" si="100"/>
        <v>No</v>
      </c>
      <c r="G1345" t="str">
        <f t="shared" si="101"/>
        <v/>
      </c>
      <c r="H1345" t="str">
        <f t="shared" si="102"/>
        <v>—</v>
      </c>
      <c r="I1345" t="str">
        <f t="shared" si="103"/>
        <v>Below thresholds</v>
      </c>
      <c r="J1345" t="str">
        <f t="shared" si="104"/>
        <v/>
      </c>
    </row>
    <row r="1346" spans="1:10" x14ac:dyDescent="0.2">
      <c r="A1346">
        <v>226978062192</v>
      </c>
      <c r="B1346" t="s">
        <v>3406</v>
      </c>
      <c r="C1346" t="s">
        <v>3407</v>
      </c>
      <c r="D1346">
        <v>5.69</v>
      </c>
      <c r="F1346" t="str">
        <f t="shared" si="100"/>
        <v>No</v>
      </c>
      <c r="G1346" t="str">
        <f t="shared" si="101"/>
        <v/>
      </c>
      <c r="H1346" t="str">
        <f t="shared" si="102"/>
        <v>—</v>
      </c>
      <c r="I1346" t="str">
        <f t="shared" si="103"/>
        <v>Below thresholds</v>
      </c>
      <c r="J1346" t="str">
        <f t="shared" si="104"/>
        <v/>
      </c>
    </row>
    <row r="1347" spans="1:10" x14ac:dyDescent="0.2">
      <c r="A1347">
        <v>226978062193</v>
      </c>
      <c r="B1347" t="s">
        <v>3408</v>
      </c>
      <c r="C1347" t="s">
        <v>3409</v>
      </c>
      <c r="D1347">
        <v>1.99</v>
      </c>
      <c r="F1347" t="str">
        <f t="shared" si="100"/>
        <v>No</v>
      </c>
      <c r="G1347" t="str">
        <f t="shared" si="101"/>
        <v/>
      </c>
      <c r="H1347" t="str">
        <f t="shared" si="102"/>
        <v>—</v>
      </c>
      <c r="I1347" t="str">
        <f t="shared" si="103"/>
        <v>Below thresholds</v>
      </c>
      <c r="J1347" t="str">
        <f t="shared" si="104"/>
        <v/>
      </c>
    </row>
    <row r="1348" spans="1:10" x14ac:dyDescent="0.2">
      <c r="A1348">
        <v>226978062194</v>
      </c>
      <c r="B1348" t="s">
        <v>3410</v>
      </c>
      <c r="C1348" t="s">
        <v>3411</v>
      </c>
      <c r="D1348">
        <v>2.59</v>
      </c>
      <c r="F1348" t="str">
        <f t="shared" si="100"/>
        <v>No</v>
      </c>
      <c r="G1348" t="str">
        <f t="shared" si="101"/>
        <v/>
      </c>
      <c r="H1348" t="str">
        <f t="shared" si="102"/>
        <v>—</v>
      </c>
      <c r="I1348" t="str">
        <f t="shared" si="103"/>
        <v>Below thresholds</v>
      </c>
      <c r="J1348" t="str">
        <f t="shared" si="104"/>
        <v/>
      </c>
    </row>
    <row r="1349" spans="1:10" x14ac:dyDescent="0.2">
      <c r="A1349">
        <v>226978062198</v>
      </c>
      <c r="B1349" t="s">
        <v>3412</v>
      </c>
      <c r="C1349" t="s">
        <v>3413</v>
      </c>
      <c r="D1349">
        <v>2.99</v>
      </c>
      <c r="F1349" t="str">
        <f t="shared" ref="F1349:F1412" si="105">IF($B1349="","",IF(ISNUMBER(SEARCH("PSA",$B1349)),"Yes","No"))</f>
        <v>No</v>
      </c>
      <c r="G1349" t="str">
        <f t="shared" ref="G1349:G1412" si="106">IF($B1349="","",IF(ISNUMBER(SEARCH("PSA 10",$B1349)),10,IF(ISNUMBER(SEARCH("PSA 9.5",$B1349)),9.5,IF(ISNUMBER(SEARCH("PSA 9",$B1349)),9,IF(ISNUMBER(SEARCH("PSA 8",$B1349)),8,IF(ISNUMBER(SEARCH("PSA",$B1349)),"&lt;9",""))))))</f>
        <v/>
      </c>
      <c r="H1349" t="str">
        <f t="shared" ref="H1349:H1412" si="107">IF($B1349="","",IF($D1349&gt;=100,"TIER 2",IF(OR(ISNUMBER(SEARCH("PSA 10",$B1349)),ISNUMBER(SEARCH("PSA 9.5",$B1349)),ISNUMBER(SEARCH("PSA 9",$B1349))),"TIER 3",IF(AND($D1349&gt;20,N($E1349)&gt;=15),"TIER 1","—"))))</f>
        <v>—</v>
      </c>
      <c r="I1349" t="str">
        <f t="shared" ref="I1349:I1412" si="108">IF($B1349="","",IF($D1349&gt;=100,"Premium $100+ (auto)",IF(OR(ISNUMBER(SEARCH("PSA 10",$B1349)),ISNUMBER(SEARCH("PSA 9.5",$B1349)),ISNUMBER(SEARCH("PSA 9",$B1349))),"Graded PSA 9+ (auto)",IF(AND($D1349&gt;20,N($E1349)&gt;=15),"Hot: $20+ &amp; "&amp;$E1349&amp;"/day",IF($D1349&gt;20,"$20+ — needs velocity check","Below thresholds")))))</f>
        <v>Below thresholds</v>
      </c>
      <c r="J1349" t="str">
        <f t="shared" ref="J1349:J1412" si="109">IF($B1349="","",IF(AND($D1349&gt;20,$D1349&lt;100,NOT(OR(ISNUMBER(SEARCH("PSA 10",$B1349)),ISNUMBER(SEARCH("PSA 9.5",$B1349)),ISNUMBER(SEARCH("PSA 9",$B1349)))),$E1349=""),"YES — pull CardHedger",""))</f>
        <v/>
      </c>
    </row>
    <row r="1350" spans="1:10" x14ac:dyDescent="0.2">
      <c r="A1350">
        <v>226978062199</v>
      </c>
      <c r="B1350" t="s">
        <v>3414</v>
      </c>
      <c r="C1350" t="s">
        <v>3415</v>
      </c>
      <c r="D1350">
        <v>3.99</v>
      </c>
      <c r="F1350" t="str">
        <f t="shared" si="105"/>
        <v>No</v>
      </c>
      <c r="G1350" t="str">
        <f t="shared" si="106"/>
        <v/>
      </c>
      <c r="H1350" t="str">
        <f t="shared" si="107"/>
        <v>—</v>
      </c>
      <c r="I1350" t="str">
        <f t="shared" si="108"/>
        <v>Below thresholds</v>
      </c>
      <c r="J1350" t="str">
        <f t="shared" si="109"/>
        <v/>
      </c>
    </row>
    <row r="1351" spans="1:10" x14ac:dyDescent="0.2">
      <c r="A1351">
        <v>226978062200</v>
      </c>
      <c r="B1351" t="s">
        <v>3416</v>
      </c>
      <c r="C1351" t="s">
        <v>3417</v>
      </c>
      <c r="D1351">
        <v>3.7</v>
      </c>
      <c r="F1351" t="str">
        <f t="shared" si="105"/>
        <v>No</v>
      </c>
      <c r="G1351" t="str">
        <f t="shared" si="106"/>
        <v/>
      </c>
      <c r="H1351" t="str">
        <f t="shared" si="107"/>
        <v>—</v>
      </c>
      <c r="I1351" t="str">
        <f t="shared" si="108"/>
        <v>Below thresholds</v>
      </c>
      <c r="J1351" t="str">
        <f t="shared" si="109"/>
        <v/>
      </c>
    </row>
    <row r="1352" spans="1:10" x14ac:dyDescent="0.2">
      <c r="A1352">
        <v>226978062201</v>
      </c>
      <c r="B1352" t="s">
        <v>3418</v>
      </c>
      <c r="C1352" t="s">
        <v>3419</v>
      </c>
      <c r="D1352">
        <v>1.99</v>
      </c>
      <c r="F1352" t="str">
        <f t="shared" si="105"/>
        <v>No</v>
      </c>
      <c r="G1352" t="str">
        <f t="shared" si="106"/>
        <v/>
      </c>
      <c r="H1352" t="str">
        <f t="shared" si="107"/>
        <v>—</v>
      </c>
      <c r="I1352" t="str">
        <f t="shared" si="108"/>
        <v>Below thresholds</v>
      </c>
      <c r="J1352" t="str">
        <f t="shared" si="109"/>
        <v/>
      </c>
    </row>
    <row r="1353" spans="1:10" x14ac:dyDescent="0.2">
      <c r="A1353">
        <v>226978062206</v>
      </c>
      <c r="B1353" t="s">
        <v>3420</v>
      </c>
      <c r="C1353" t="s">
        <v>3421</v>
      </c>
      <c r="D1353">
        <v>1.99</v>
      </c>
      <c r="F1353" t="str">
        <f t="shared" si="105"/>
        <v>No</v>
      </c>
      <c r="G1353" t="str">
        <f t="shared" si="106"/>
        <v/>
      </c>
      <c r="H1353" t="str">
        <f t="shared" si="107"/>
        <v>—</v>
      </c>
      <c r="I1353" t="str">
        <f t="shared" si="108"/>
        <v>Below thresholds</v>
      </c>
      <c r="J1353" t="str">
        <f t="shared" si="109"/>
        <v/>
      </c>
    </row>
    <row r="1354" spans="1:10" x14ac:dyDescent="0.2">
      <c r="A1354">
        <v>226978062207</v>
      </c>
      <c r="B1354" t="s">
        <v>3422</v>
      </c>
      <c r="C1354" t="s">
        <v>3423</v>
      </c>
      <c r="D1354">
        <v>3.59</v>
      </c>
      <c r="F1354" t="str">
        <f t="shared" si="105"/>
        <v>No</v>
      </c>
      <c r="G1354" t="str">
        <f t="shared" si="106"/>
        <v/>
      </c>
      <c r="H1354" t="str">
        <f t="shared" si="107"/>
        <v>—</v>
      </c>
      <c r="I1354" t="str">
        <f t="shared" si="108"/>
        <v>Below thresholds</v>
      </c>
      <c r="J1354" t="str">
        <f t="shared" si="109"/>
        <v/>
      </c>
    </row>
    <row r="1355" spans="1:10" x14ac:dyDescent="0.2">
      <c r="A1355">
        <v>226978062210</v>
      </c>
      <c r="B1355" t="s">
        <v>3424</v>
      </c>
      <c r="C1355" t="s">
        <v>3425</v>
      </c>
      <c r="D1355">
        <v>15.99</v>
      </c>
      <c r="F1355" t="str">
        <f t="shared" si="105"/>
        <v>No</v>
      </c>
      <c r="G1355" t="str">
        <f t="shared" si="106"/>
        <v/>
      </c>
      <c r="H1355" t="str">
        <f t="shared" si="107"/>
        <v>—</v>
      </c>
      <c r="I1355" t="str">
        <f t="shared" si="108"/>
        <v>Below thresholds</v>
      </c>
      <c r="J1355" t="str">
        <f t="shared" si="109"/>
        <v/>
      </c>
    </row>
    <row r="1356" spans="1:10" x14ac:dyDescent="0.2">
      <c r="A1356">
        <v>226979454771</v>
      </c>
      <c r="B1356" t="s">
        <v>3426</v>
      </c>
      <c r="C1356" t="s">
        <v>3427</v>
      </c>
      <c r="D1356">
        <v>12</v>
      </c>
      <c r="F1356" t="str">
        <f t="shared" si="105"/>
        <v>No</v>
      </c>
      <c r="G1356" t="str">
        <f t="shared" si="106"/>
        <v/>
      </c>
      <c r="H1356" t="str">
        <f t="shared" si="107"/>
        <v>—</v>
      </c>
      <c r="I1356" t="str">
        <f t="shared" si="108"/>
        <v>Below thresholds</v>
      </c>
      <c r="J1356" t="str">
        <f t="shared" si="109"/>
        <v/>
      </c>
    </row>
    <row r="1357" spans="1:10" x14ac:dyDescent="0.2">
      <c r="A1357">
        <v>226979454838</v>
      </c>
      <c r="B1357" t="s">
        <v>3428</v>
      </c>
      <c r="C1357" t="s">
        <v>3429</v>
      </c>
      <c r="D1357">
        <v>2.99</v>
      </c>
      <c r="F1357" t="str">
        <f t="shared" si="105"/>
        <v>No</v>
      </c>
      <c r="G1357" t="str">
        <f t="shared" si="106"/>
        <v/>
      </c>
      <c r="H1357" t="str">
        <f t="shared" si="107"/>
        <v>—</v>
      </c>
      <c r="I1357" t="str">
        <f t="shared" si="108"/>
        <v>Below thresholds</v>
      </c>
      <c r="J1357" t="str">
        <f t="shared" si="109"/>
        <v/>
      </c>
    </row>
    <row r="1358" spans="1:10" x14ac:dyDescent="0.2">
      <c r="A1358">
        <v>226979454841</v>
      </c>
      <c r="B1358" t="s">
        <v>3430</v>
      </c>
      <c r="C1358" t="s">
        <v>3431</v>
      </c>
      <c r="D1358">
        <v>6.95</v>
      </c>
      <c r="F1358" t="str">
        <f t="shared" si="105"/>
        <v>No</v>
      </c>
      <c r="G1358" t="str">
        <f t="shared" si="106"/>
        <v/>
      </c>
      <c r="H1358" t="str">
        <f t="shared" si="107"/>
        <v>—</v>
      </c>
      <c r="I1358" t="str">
        <f t="shared" si="108"/>
        <v>Below thresholds</v>
      </c>
      <c r="J1358" t="str">
        <f t="shared" si="109"/>
        <v/>
      </c>
    </row>
    <row r="1359" spans="1:10" x14ac:dyDescent="0.2">
      <c r="A1359">
        <v>226979687202</v>
      </c>
      <c r="B1359" t="s">
        <v>3432</v>
      </c>
      <c r="C1359" t="s">
        <v>3433</v>
      </c>
      <c r="D1359">
        <v>1.99</v>
      </c>
      <c r="F1359" t="str">
        <f t="shared" si="105"/>
        <v>No</v>
      </c>
      <c r="G1359" t="str">
        <f t="shared" si="106"/>
        <v/>
      </c>
      <c r="H1359" t="str">
        <f t="shared" si="107"/>
        <v>—</v>
      </c>
      <c r="I1359" t="str">
        <f t="shared" si="108"/>
        <v>Below thresholds</v>
      </c>
      <c r="J1359" t="str">
        <f t="shared" si="109"/>
        <v/>
      </c>
    </row>
    <row r="1360" spans="1:10" x14ac:dyDescent="0.2">
      <c r="A1360">
        <v>226979687212</v>
      </c>
      <c r="B1360" t="s">
        <v>3434</v>
      </c>
      <c r="C1360" t="s">
        <v>3435</v>
      </c>
      <c r="D1360">
        <v>1.99</v>
      </c>
      <c r="F1360" t="str">
        <f t="shared" si="105"/>
        <v>No</v>
      </c>
      <c r="G1360" t="str">
        <f t="shared" si="106"/>
        <v/>
      </c>
      <c r="H1360" t="str">
        <f t="shared" si="107"/>
        <v>—</v>
      </c>
      <c r="I1360" t="str">
        <f t="shared" si="108"/>
        <v>Below thresholds</v>
      </c>
      <c r="J1360" t="str">
        <f t="shared" si="109"/>
        <v/>
      </c>
    </row>
    <row r="1361" spans="1:10" x14ac:dyDescent="0.2">
      <c r="A1361">
        <v>226979687230</v>
      </c>
      <c r="B1361" t="s">
        <v>3436</v>
      </c>
      <c r="C1361" t="s">
        <v>3437</v>
      </c>
      <c r="D1361">
        <v>1.99</v>
      </c>
      <c r="F1361" t="str">
        <f t="shared" si="105"/>
        <v>No</v>
      </c>
      <c r="G1361" t="str">
        <f t="shared" si="106"/>
        <v/>
      </c>
      <c r="H1361" t="str">
        <f t="shared" si="107"/>
        <v>—</v>
      </c>
      <c r="I1361" t="str">
        <f t="shared" si="108"/>
        <v>Below thresholds</v>
      </c>
      <c r="J1361" t="str">
        <f t="shared" si="109"/>
        <v/>
      </c>
    </row>
    <row r="1362" spans="1:10" x14ac:dyDescent="0.2">
      <c r="A1362">
        <v>226979687237</v>
      </c>
      <c r="B1362" t="s">
        <v>3438</v>
      </c>
      <c r="C1362" t="s">
        <v>3439</v>
      </c>
      <c r="D1362">
        <v>1.99</v>
      </c>
      <c r="F1362" t="str">
        <f t="shared" si="105"/>
        <v>No</v>
      </c>
      <c r="G1362" t="str">
        <f t="shared" si="106"/>
        <v/>
      </c>
      <c r="H1362" t="str">
        <f t="shared" si="107"/>
        <v>—</v>
      </c>
      <c r="I1362" t="str">
        <f t="shared" si="108"/>
        <v>Below thresholds</v>
      </c>
      <c r="J1362" t="str">
        <f t="shared" si="109"/>
        <v/>
      </c>
    </row>
    <row r="1363" spans="1:10" x14ac:dyDescent="0.2">
      <c r="A1363">
        <v>226979687285</v>
      </c>
      <c r="B1363" t="s">
        <v>3440</v>
      </c>
      <c r="C1363" t="s">
        <v>3441</v>
      </c>
      <c r="D1363">
        <v>1.99</v>
      </c>
      <c r="F1363" t="str">
        <f t="shared" si="105"/>
        <v>No</v>
      </c>
      <c r="G1363" t="str">
        <f t="shared" si="106"/>
        <v/>
      </c>
      <c r="H1363" t="str">
        <f t="shared" si="107"/>
        <v>—</v>
      </c>
      <c r="I1363" t="str">
        <f t="shared" si="108"/>
        <v>Below thresholds</v>
      </c>
      <c r="J1363" t="str">
        <f t="shared" si="109"/>
        <v/>
      </c>
    </row>
    <row r="1364" spans="1:10" x14ac:dyDescent="0.2">
      <c r="A1364">
        <v>226979687293</v>
      </c>
      <c r="B1364" t="s">
        <v>3442</v>
      </c>
      <c r="C1364" t="s">
        <v>3443</v>
      </c>
      <c r="D1364">
        <v>1.99</v>
      </c>
      <c r="F1364" t="str">
        <f t="shared" si="105"/>
        <v>No</v>
      </c>
      <c r="G1364" t="str">
        <f t="shared" si="106"/>
        <v/>
      </c>
      <c r="H1364" t="str">
        <f t="shared" si="107"/>
        <v>—</v>
      </c>
      <c r="I1364" t="str">
        <f t="shared" si="108"/>
        <v>Below thresholds</v>
      </c>
      <c r="J1364" t="str">
        <f t="shared" si="109"/>
        <v/>
      </c>
    </row>
    <row r="1365" spans="1:10" x14ac:dyDescent="0.2">
      <c r="A1365">
        <v>226979687326</v>
      </c>
      <c r="B1365" t="s">
        <v>3444</v>
      </c>
      <c r="C1365" t="s">
        <v>3445</v>
      </c>
      <c r="D1365">
        <v>1.99</v>
      </c>
      <c r="F1365" t="str">
        <f t="shared" si="105"/>
        <v>No</v>
      </c>
      <c r="G1365" t="str">
        <f t="shared" si="106"/>
        <v/>
      </c>
      <c r="H1365" t="str">
        <f t="shared" si="107"/>
        <v>—</v>
      </c>
      <c r="I1365" t="str">
        <f t="shared" si="108"/>
        <v>Below thresholds</v>
      </c>
      <c r="J1365" t="str">
        <f t="shared" si="109"/>
        <v/>
      </c>
    </row>
    <row r="1366" spans="1:10" x14ac:dyDescent="0.2">
      <c r="A1366">
        <v>226979687336</v>
      </c>
      <c r="B1366" t="s">
        <v>3446</v>
      </c>
      <c r="C1366" t="s">
        <v>3447</v>
      </c>
      <c r="D1366">
        <v>2.69</v>
      </c>
      <c r="F1366" t="str">
        <f t="shared" si="105"/>
        <v>No</v>
      </c>
      <c r="G1366" t="str">
        <f t="shared" si="106"/>
        <v/>
      </c>
      <c r="H1366" t="str">
        <f t="shared" si="107"/>
        <v>—</v>
      </c>
      <c r="I1366" t="str">
        <f t="shared" si="108"/>
        <v>Below thresholds</v>
      </c>
      <c r="J1366" t="str">
        <f t="shared" si="109"/>
        <v/>
      </c>
    </row>
    <row r="1367" spans="1:10" x14ac:dyDescent="0.2">
      <c r="A1367">
        <v>226979687369</v>
      </c>
      <c r="B1367" t="s">
        <v>3448</v>
      </c>
      <c r="C1367" t="s">
        <v>3449</v>
      </c>
      <c r="D1367">
        <v>1.99</v>
      </c>
      <c r="F1367" t="str">
        <f t="shared" si="105"/>
        <v>No</v>
      </c>
      <c r="G1367" t="str">
        <f t="shared" si="106"/>
        <v/>
      </c>
      <c r="H1367" t="str">
        <f t="shared" si="107"/>
        <v>—</v>
      </c>
      <c r="I1367" t="str">
        <f t="shared" si="108"/>
        <v>Below thresholds</v>
      </c>
      <c r="J1367" t="str">
        <f t="shared" si="109"/>
        <v/>
      </c>
    </row>
    <row r="1368" spans="1:10" x14ac:dyDescent="0.2">
      <c r="A1368">
        <v>226979687370</v>
      </c>
      <c r="B1368" t="s">
        <v>3450</v>
      </c>
      <c r="C1368" t="s">
        <v>3451</v>
      </c>
      <c r="D1368">
        <v>1.99</v>
      </c>
      <c r="F1368" t="str">
        <f t="shared" si="105"/>
        <v>No</v>
      </c>
      <c r="G1368" t="str">
        <f t="shared" si="106"/>
        <v/>
      </c>
      <c r="H1368" t="str">
        <f t="shared" si="107"/>
        <v>—</v>
      </c>
      <c r="I1368" t="str">
        <f t="shared" si="108"/>
        <v>Below thresholds</v>
      </c>
      <c r="J1368" t="str">
        <f t="shared" si="109"/>
        <v/>
      </c>
    </row>
    <row r="1369" spans="1:10" x14ac:dyDescent="0.2">
      <c r="A1369">
        <v>226979687397</v>
      </c>
      <c r="B1369" t="s">
        <v>3452</v>
      </c>
      <c r="C1369" t="s">
        <v>3453</v>
      </c>
      <c r="D1369">
        <v>1.99</v>
      </c>
      <c r="F1369" t="str">
        <f t="shared" si="105"/>
        <v>No</v>
      </c>
      <c r="G1369" t="str">
        <f t="shared" si="106"/>
        <v/>
      </c>
      <c r="H1369" t="str">
        <f t="shared" si="107"/>
        <v>—</v>
      </c>
      <c r="I1369" t="str">
        <f t="shared" si="108"/>
        <v>Below thresholds</v>
      </c>
      <c r="J1369" t="str">
        <f t="shared" si="109"/>
        <v/>
      </c>
    </row>
    <row r="1370" spans="1:10" x14ac:dyDescent="0.2">
      <c r="A1370">
        <v>226979687417</v>
      </c>
      <c r="B1370" t="s">
        <v>3454</v>
      </c>
      <c r="C1370" t="s">
        <v>3455</v>
      </c>
      <c r="D1370">
        <v>1.99</v>
      </c>
      <c r="F1370" t="str">
        <f t="shared" si="105"/>
        <v>No</v>
      </c>
      <c r="G1370" t="str">
        <f t="shared" si="106"/>
        <v/>
      </c>
      <c r="H1370" t="str">
        <f t="shared" si="107"/>
        <v>—</v>
      </c>
      <c r="I1370" t="str">
        <f t="shared" si="108"/>
        <v>Below thresholds</v>
      </c>
      <c r="J1370" t="str">
        <f t="shared" si="109"/>
        <v/>
      </c>
    </row>
    <row r="1371" spans="1:10" x14ac:dyDescent="0.2">
      <c r="A1371">
        <v>226979687453</v>
      </c>
      <c r="B1371" t="s">
        <v>3456</v>
      </c>
      <c r="C1371" t="s">
        <v>3457</v>
      </c>
      <c r="D1371">
        <v>1.99</v>
      </c>
      <c r="F1371" t="str">
        <f t="shared" si="105"/>
        <v>No</v>
      </c>
      <c r="G1371" t="str">
        <f t="shared" si="106"/>
        <v/>
      </c>
      <c r="H1371" t="str">
        <f t="shared" si="107"/>
        <v>—</v>
      </c>
      <c r="I1371" t="str">
        <f t="shared" si="108"/>
        <v>Below thresholds</v>
      </c>
      <c r="J1371" t="str">
        <f t="shared" si="109"/>
        <v/>
      </c>
    </row>
    <row r="1372" spans="1:10" x14ac:dyDescent="0.2">
      <c r="A1372">
        <v>226979687460</v>
      </c>
      <c r="B1372" t="s">
        <v>3458</v>
      </c>
      <c r="C1372" t="s">
        <v>3459</v>
      </c>
      <c r="D1372">
        <v>1.99</v>
      </c>
      <c r="F1372" t="str">
        <f t="shared" si="105"/>
        <v>No</v>
      </c>
      <c r="G1372" t="str">
        <f t="shared" si="106"/>
        <v/>
      </c>
      <c r="H1372" t="str">
        <f t="shared" si="107"/>
        <v>—</v>
      </c>
      <c r="I1372" t="str">
        <f t="shared" si="108"/>
        <v>Below thresholds</v>
      </c>
      <c r="J1372" t="str">
        <f t="shared" si="109"/>
        <v/>
      </c>
    </row>
    <row r="1373" spans="1:10" x14ac:dyDescent="0.2">
      <c r="A1373">
        <v>226979687491</v>
      </c>
      <c r="B1373" t="s">
        <v>3460</v>
      </c>
      <c r="C1373" t="s">
        <v>3461</v>
      </c>
      <c r="D1373">
        <v>1.99</v>
      </c>
      <c r="F1373" t="str">
        <f t="shared" si="105"/>
        <v>No</v>
      </c>
      <c r="G1373" t="str">
        <f t="shared" si="106"/>
        <v/>
      </c>
      <c r="H1373" t="str">
        <f t="shared" si="107"/>
        <v>—</v>
      </c>
      <c r="I1373" t="str">
        <f t="shared" si="108"/>
        <v>Below thresholds</v>
      </c>
      <c r="J1373" t="str">
        <f t="shared" si="109"/>
        <v/>
      </c>
    </row>
    <row r="1374" spans="1:10" x14ac:dyDescent="0.2">
      <c r="A1374">
        <v>226979687498</v>
      </c>
      <c r="B1374" t="s">
        <v>3462</v>
      </c>
      <c r="C1374" t="s">
        <v>3463</v>
      </c>
      <c r="D1374">
        <v>7.69</v>
      </c>
      <c r="F1374" t="str">
        <f t="shared" si="105"/>
        <v>No</v>
      </c>
      <c r="G1374" t="str">
        <f t="shared" si="106"/>
        <v/>
      </c>
      <c r="H1374" t="str">
        <f t="shared" si="107"/>
        <v>—</v>
      </c>
      <c r="I1374" t="str">
        <f t="shared" si="108"/>
        <v>Below thresholds</v>
      </c>
      <c r="J1374" t="str">
        <f t="shared" si="109"/>
        <v/>
      </c>
    </row>
    <row r="1375" spans="1:10" x14ac:dyDescent="0.2">
      <c r="A1375">
        <v>226979687537</v>
      </c>
      <c r="B1375" t="s">
        <v>3464</v>
      </c>
      <c r="C1375" t="s">
        <v>3465</v>
      </c>
      <c r="D1375">
        <v>1.99</v>
      </c>
      <c r="F1375" t="str">
        <f t="shared" si="105"/>
        <v>No</v>
      </c>
      <c r="G1375" t="str">
        <f t="shared" si="106"/>
        <v/>
      </c>
      <c r="H1375" t="str">
        <f t="shared" si="107"/>
        <v>—</v>
      </c>
      <c r="I1375" t="str">
        <f t="shared" si="108"/>
        <v>Below thresholds</v>
      </c>
      <c r="J1375" t="str">
        <f t="shared" si="109"/>
        <v/>
      </c>
    </row>
    <row r="1376" spans="1:10" x14ac:dyDescent="0.2">
      <c r="A1376">
        <v>226979687539</v>
      </c>
      <c r="B1376" t="s">
        <v>3466</v>
      </c>
      <c r="C1376" t="s">
        <v>3467</v>
      </c>
      <c r="D1376">
        <v>1.99</v>
      </c>
      <c r="F1376" t="str">
        <f t="shared" si="105"/>
        <v>No</v>
      </c>
      <c r="G1376" t="str">
        <f t="shared" si="106"/>
        <v/>
      </c>
      <c r="H1376" t="str">
        <f t="shared" si="107"/>
        <v>—</v>
      </c>
      <c r="I1376" t="str">
        <f t="shared" si="108"/>
        <v>Below thresholds</v>
      </c>
      <c r="J1376" t="str">
        <f t="shared" si="109"/>
        <v/>
      </c>
    </row>
    <row r="1377" spans="1:10" x14ac:dyDescent="0.2">
      <c r="A1377">
        <v>226979687590</v>
      </c>
      <c r="B1377" t="s">
        <v>3468</v>
      </c>
      <c r="C1377" t="s">
        <v>3469</v>
      </c>
      <c r="D1377">
        <v>1.99</v>
      </c>
      <c r="F1377" t="str">
        <f t="shared" si="105"/>
        <v>No</v>
      </c>
      <c r="G1377" t="str">
        <f t="shared" si="106"/>
        <v/>
      </c>
      <c r="H1377" t="str">
        <f t="shared" si="107"/>
        <v>—</v>
      </c>
      <c r="I1377" t="str">
        <f t="shared" si="108"/>
        <v>Below thresholds</v>
      </c>
      <c r="J1377" t="str">
        <f t="shared" si="109"/>
        <v/>
      </c>
    </row>
    <row r="1378" spans="1:10" x14ac:dyDescent="0.2">
      <c r="A1378">
        <v>226979687631</v>
      </c>
      <c r="B1378" t="s">
        <v>3470</v>
      </c>
      <c r="C1378" t="s">
        <v>3471</v>
      </c>
      <c r="D1378">
        <v>1.99</v>
      </c>
      <c r="F1378" t="str">
        <f t="shared" si="105"/>
        <v>No</v>
      </c>
      <c r="G1378" t="str">
        <f t="shared" si="106"/>
        <v/>
      </c>
      <c r="H1378" t="str">
        <f t="shared" si="107"/>
        <v>—</v>
      </c>
      <c r="I1378" t="str">
        <f t="shared" si="108"/>
        <v>Below thresholds</v>
      </c>
      <c r="J1378" t="str">
        <f t="shared" si="109"/>
        <v/>
      </c>
    </row>
    <row r="1379" spans="1:10" x14ac:dyDescent="0.2">
      <c r="A1379">
        <v>226979687647</v>
      </c>
      <c r="B1379" t="s">
        <v>3472</v>
      </c>
      <c r="C1379" t="s">
        <v>3473</v>
      </c>
      <c r="D1379">
        <v>1.99</v>
      </c>
      <c r="F1379" t="str">
        <f t="shared" si="105"/>
        <v>No</v>
      </c>
      <c r="G1379" t="str">
        <f t="shared" si="106"/>
        <v/>
      </c>
      <c r="H1379" t="str">
        <f t="shared" si="107"/>
        <v>—</v>
      </c>
      <c r="I1379" t="str">
        <f t="shared" si="108"/>
        <v>Below thresholds</v>
      </c>
      <c r="J1379" t="str">
        <f t="shared" si="109"/>
        <v/>
      </c>
    </row>
    <row r="1380" spans="1:10" x14ac:dyDescent="0.2">
      <c r="A1380">
        <v>226979687671</v>
      </c>
      <c r="B1380" t="s">
        <v>3474</v>
      </c>
      <c r="C1380" t="s">
        <v>3475</v>
      </c>
      <c r="D1380">
        <v>1.99</v>
      </c>
      <c r="F1380" t="str">
        <f t="shared" si="105"/>
        <v>No</v>
      </c>
      <c r="G1380" t="str">
        <f t="shared" si="106"/>
        <v/>
      </c>
      <c r="H1380" t="str">
        <f t="shared" si="107"/>
        <v>—</v>
      </c>
      <c r="I1380" t="str">
        <f t="shared" si="108"/>
        <v>Below thresholds</v>
      </c>
      <c r="J1380" t="str">
        <f t="shared" si="109"/>
        <v/>
      </c>
    </row>
    <row r="1381" spans="1:10" x14ac:dyDescent="0.2">
      <c r="A1381">
        <v>226979687723</v>
      </c>
      <c r="B1381" t="s">
        <v>3476</v>
      </c>
      <c r="C1381" t="s">
        <v>3477</v>
      </c>
      <c r="D1381">
        <v>1.99</v>
      </c>
      <c r="F1381" t="str">
        <f t="shared" si="105"/>
        <v>No</v>
      </c>
      <c r="G1381" t="str">
        <f t="shared" si="106"/>
        <v/>
      </c>
      <c r="H1381" t="str">
        <f t="shared" si="107"/>
        <v>—</v>
      </c>
      <c r="I1381" t="str">
        <f t="shared" si="108"/>
        <v>Below thresholds</v>
      </c>
      <c r="J1381" t="str">
        <f t="shared" si="109"/>
        <v/>
      </c>
    </row>
    <row r="1382" spans="1:10" x14ac:dyDescent="0.2">
      <c r="A1382">
        <v>226979687724</v>
      </c>
      <c r="B1382" t="s">
        <v>3478</v>
      </c>
      <c r="C1382" t="s">
        <v>3479</v>
      </c>
      <c r="D1382">
        <v>1.99</v>
      </c>
      <c r="F1382" t="str">
        <f t="shared" si="105"/>
        <v>No</v>
      </c>
      <c r="G1382" t="str">
        <f t="shared" si="106"/>
        <v/>
      </c>
      <c r="H1382" t="str">
        <f t="shared" si="107"/>
        <v>—</v>
      </c>
      <c r="I1382" t="str">
        <f t="shared" si="108"/>
        <v>Below thresholds</v>
      </c>
      <c r="J1382" t="str">
        <f t="shared" si="109"/>
        <v/>
      </c>
    </row>
    <row r="1383" spans="1:10" x14ac:dyDescent="0.2">
      <c r="A1383">
        <v>226979687767</v>
      </c>
      <c r="B1383" t="s">
        <v>3480</v>
      </c>
      <c r="C1383" t="s">
        <v>3481</v>
      </c>
      <c r="D1383">
        <v>1.99</v>
      </c>
      <c r="F1383" t="str">
        <f t="shared" si="105"/>
        <v>No</v>
      </c>
      <c r="G1383" t="str">
        <f t="shared" si="106"/>
        <v/>
      </c>
      <c r="H1383" t="str">
        <f t="shared" si="107"/>
        <v>—</v>
      </c>
      <c r="I1383" t="str">
        <f t="shared" si="108"/>
        <v>Below thresholds</v>
      </c>
      <c r="J1383" t="str">
        <f t="shared" si="109"/>
        <v/>
      </c>
    </row>
    <row r="1384" spans="1:10" x14ac:dyDescent="0.2">
      <c r="A1384">
        <v>226979687813</v>
      </c>
      <c r="B1384" t="s">
        <v>3482</v>
      </c>
      <c r="C1384" t="s">
        <v>3483</v>
      </c>
      <c r="D1384">
        <v>1.99</v>
      </c>
      <c r="F1384" t="str">
        <f t="shared" si="105"/>
        <v>No</v>
      </c>
      <c r="G1384" t="str">
        <f t="shared" si="106"/>
        <v/>
      </c>
      <c r="H1384" t="str">
        <f t="shared" si="107"/>
        <v>—</v>
      </c>
      <c r="I1384" t="str">
        <f t="shared" si="108"/>
        <v>Below thresholds</v>
      </c>
      <c r="J1384" t="str">
        <f t="shared" si="109"/>
        <v/>
      </c>
    </row>
    <row r="1385" spans="1:10" x14ac:dyDescent="0.2">
      <c r="A1385">
        <v>226979687815</v>
      </c>
      <c r="B1385" t="s">
        <v>3484</v>
      </c>
      <c r="C1385" t="s">
        <v>3485</v>
      </c>
      <c r="D1385">
        <v>1.99</v>
      </c>
      <c r="F1385" t="str">
        <f t="shared" si="105"/>
        <v>No</v>
      </c>
      <c r="G1385" t="str">
        <f t="shared" si="106"/>
        <v/>
      </c>
      <c r="H1385" t="str">
        <f t="shared" si="107"/>
        <v>—</v>
      </c>
      <c r="I1385" t="str">
        <f t="shared" si="108"/>
        <v>Below thresholds</v>
      </c>
      <c r="J1385" t="str">
        <f t="shared" si="109"/>
        <v/>
      </c>
    </row>
    <row r="1386" spans="1:10" x14ac:dyDescent="0.2">
      <c r="A1386">
        <v>226979687853</v>
      </c>
      <c r="B1386" t="s">
        <v>3486</v>
      </c>
      <c r="C1386" t="s">
        <v>3487</v>
      </c>
      <c r="D1386">
        <v>1.99</v>
      </c>
      <c r="F1386" t="str">
        <f t="shared" si="105"/>
        <v>No</v>
      </c>
      <c r="G1386" t="str">
        <f t="shared" si="106"/>
        <v/>
      </c>
      <c r="H1386" t="str">
        <f t="shared" si="107"/>
        <v>—</v>
      </c>
      <c r="I1386" t="str">
        <f t="shared" si="108"/>
        <v>Below thresholds</v>
      </c>
      <c r="J1386" t="str">
        <f t="shared" si="109"/>
        <v/>
      </c>
    </row>
    <row r="1387" spans="1:10" x14ac:dyDescent="0.2">
      <c r="A1387">
        <v>226979687857</v>
      </c>
      <c r="B1387" t="s">
        <v>3488</v>
      </c>
      <c r="C1387" t="s">
        <v>3489</v>
      </c>
      <c r="D1387">
        <v>1.99</v>
      </c>
      <c r="F1387" t="str">
        <f t="shared" si="105"/>
        <v>No</v>
      </c>
      <c r="G1387" t="str">
        <f t="shared" si="106"/>
        <v/>
      </c>
      <c r="H1387" t="str">
        <f t="shared" si="107"/>
        <v>—</v>
      </c>
      <c r="I1387" t="str">
        <f t="shared" si="108"/>
        <v>Below thresholds</v>
      </c>
      <c r="J1387" t="str">
        <f t="shared" si="109"/>
        <v/>
      </c>
    </row>
    <row r="1388" spans="1:10" x14ac:dyDescent="0.2">
      <c r="A1388">
        <v>226979687937</v>
      </c>
      <c r="B1388" t="s">
        <v>3490</v>
      </c>
      <c r="C1388" t="s">
        <v>3491</v>
      </c>
      <c r="D1388">
        <v>3.09</v>
      </c>
      <c r="F1388" t="str">
        <f t="shared" si="105"/>
        <v>No</v>
      </c>
      <c r="G1388" t="str">
        <f t="shared" si="106"/>
        <v/>
      </c>
      <c r="H1388" t="str">
        <f t="shared" si="107"/>
        <v>—</v>
      </c>
      <c r="I1388" t="str">
        <f t="shared" si="108"/>
        <v>Below thresholds</v>
      </c>
      <c r="J1388" t="str">
        <f t="shared" si="109"/>
        <v/>
      </c>
    </row>
    <row r="1389" spans="1:10" x14ac:dyDescent="0.2">
      <c r="A1389">
        <v>226979687999</v>
      </c>
      <c r="B1389" t="s">
        <v>3492</v>
      </c>
      <c r="C1389" t="s">
        <v>3493</v>
      </c>
      <c r="D1389">
        <v>1.99</v>
      </c>
      <c r="F1389" t="str">
        <f t="shared" si="105"/>
        <v>No</v>
      </c>
      <c r="G1389" t="str">
        <f t="shared" si="106"/>
        <v/>
      </c>
      <c r="H1389" t="str">
        <f t="shared" si="107"/>
        <v>—</v>
      </c>
      <c r="I1389" t="str">
        <f t="shared" si="108"/>
        <v>Below thresholds</v>
      </c>
      <c r="J1389" t="str">
        <f t="shared" si="109"/>
        <v/>
      </c>
    </row>
    <row r="1390" spans="1:10" x14ac:dyDescent="0.2">
      <c r="A1390">
        <v>226979688284</v>
      </c>
      <c r="B1390" t="s">
        <v>3494</v>
      </c>
      <c r="C1390" t="s">
        <v>3495</v>
      </c>
      <c r="D1390">
        <v>1.99</v>
      </c>
      <c r="F1390" t="str">
        <f t="shared" si="105"/>
        <v>No</v>
      </c>
      <c r="G1390" t="str">
        <f t="shared" si="106"/>
        <v/>
      </c>
      <c r="H1390" t="str">
        <f t="shared" si="107"/>
        <v>—</v>
      </c>
      <c r="I1390" t="str">
        <f t="shared" si="108"/>
        <v>Below thresholds</v>
      </c>
      <c r="J1390" t="str">
        <f t="shared" si="109"/>
        <v/>
      </c>
    </row>
    <row r="1391" spans="1:10" x14ac:dyDescent="0.2">
      <c r="A1391">
        <v>226979688285</v>
      </c>
      <c r="B1391" t="s">
        <v>3496</v>
      </c>
      <c r="C1391" t="s">
        <v>3497</v>
      </c>
      <c r="D1391">
        <v>1.99</v>
      </c>
      <c r="F1391" t="str">
        <f t="shared" si="105"/>
        <v>No</v>
      </c>
      <c r="G1391" t="str">
        <f t="shared" si="106"/>
        <v/>
      </c>
      <c r="H1391" t="str">
        <f t="shared" si="107"/>
        <v>—</v>
      </c>
      <c r="I1391" t="str">
        <f t="shared" si="108"/>
        <v>Below thresholds</v>
      </c>
      <c r="J1391" t="str">
        <f t="shared" si="109"/>
        <v/>
      </c>
    </row>
    <row r="1392" spans="1:10" x14ac:dyDescent="0.2">
      <c r="A1392">
        <v>226979688321</v>
      </c>
      <c r="B1392" t="s">
        <v>3450</v>
      </c>
      <c r="C1392" t="s">
        <v>3498</v>
      </c>
      <c r="D1392">
        <v>1.99</v>
      </c>
      <c r="F1392" t="str">
        <f t="shared" si="105"/>
        <v>No</v>
      </c>
      <c r="G1392" t="str">
        <f t="shared" si="106"/>
        <v/>
      </c>
      <c r="H1392" t="str">
        <f t="shared" si="107"/>
        <v>—</v>
      </c>
      <c r="I1392" t="str">
        <f t="shared" si="108"/>
        <v>Below thresholds</v>
      </c>
      <c r="J1392" t="str">
        <f t="shared" si="109"/>
        <v/>
      </c>
    </row>
    <row r="1393" spans="1:10" x14ac:dyDescent="0.2">
      <c r="A1393">
        <v>226979688322</v>
      </c>
      <c r="B1393" t="s">
        <v>3448</v>
      </c>
      <c r="C1393" t="s">
        <v>3499</v>
      </c>
      <c r="D1393">
        <v>1.99</v>
      </c>
      <c r="F1393" t="str">
        <f t="shared" si="105"/>
        <v>No</v>
      </c>
      <c r="G1393" t="str">
        <f t="shared" si="106"/>
        <v/>
      </c>
      <c r="H1393" t="str">
        <f t="shared" si="107"/>
        <v>—</v>
      </c>
      <c r="I1393" t="str">
        <f t="shared" si="108"/>
        <v>Below thresholds</v>
      </c>
      <c r="J1393" t="str">
        <f t="shared" si="109"/>
        <v/>
      </c>
    </row>
    <row r="1394" spans="1:10" x14ac:dyDescent="0.2">
      <c r="A1394">
        <v>226979688367</v>
      </c>
      <c r="B1394" t="s">
        <v>3500</v>
      </c>
      <c r="C1394" t="s">
        <v>3501</v>
      </c>
      <c r="D1394">
        <v>3.69</v>
      </c>
      <c r="F1394" t="str">
        <f t="shared" si="105"/>
        <v>No</v>
      </c>
      <c r="G1394" t="str">
        <f t="shared" si="106"/>
        <v/>
      </c>
      <c r="H1394" t="str">
        <f t="shared" si="107"/>
        <v>—</v>
      </c>
      <c r="I1394" t="str">
        <f t="shared" si="108"/>
        <v>Below thresholds</v>
      </c>
      <c r="J1394" t="str">
        <f t="shared" si="109"/>
        <v/>
      </c>
    </row>
    <row r="1395" spans="1:10" x14ac:dyDescent="0.2">
      <c r="A1395">
        <v>226979688381</v>
      </c>
      <c r="B1395" t="s">
        <v>3502</v>
      </c>
      <c r="C1395" t="s">
        <v>3503</v>
      </c>
      <c r="D1395">
        <v>1.99</v>
      </c>
      <c r="F1395" t="str">
        <f t="shared" si="105"/>
        <v>No</v>
      </c>
      <c r="G1395" t="str">
        <f t="shared" si="106"/>
        <v/>
      </c>
      <c r="H1395" t="str">
        <f t="shared" si="107"/>
        <v>—</v>
      </c>
      <c r="I1395" t="str">
        <f t="shared" si="108"/>
        <v>Below thresholds</v>
      </c>
      <c r="J1395" t="str">
        <f t="shared" si="109"/>
        <v/>
      </c>
    </row>
    <row r="1396" spans="1:10" x14ac:dyDescent="0.2">
      <c r="A1396">
        <v>226979688410</v>
      </c>
      <c r="B1396" t="s">
        <v>3504</v>
      </c>
      <c r="C1396" t="s">
        <v>3505</v>
      </c>
      <c r="D1396">
        <v>1.99</v>
      </c>
      <c r="F1396" t="str">
        <f t="shared" si="105"/>
        <v>No</v>
      </c>
      <c r="G1396" t="str">
        <f t="shared" si="106"/>
        <v/>
      </c>
      <c r="H1396" t="str">
        <f t="shared" si="107"/>
        <v>—</v>
      </c>
      <c r="I1396" t="str">
        <f t="shared" si="108"/>
        <v>Below thresholds</v>
      </c>
      <c r="J1396" t="str">
        <f t="shared" si="109"/>
        <v/>
      </c>
    </row>
    <row r="1397" spans="1:10" x14ac:dyDescent="0.2">
      <c r="A1397">
        <v>226979688431</v>
      </c>
      <c r="B1397" t="s">
        <v>3506</v>
      </c>
      <c r="C1397" t="s">
        <v>3507</v>
      </c>
      <c r="D1397">
        <v>1.99</v>
      </c>
      <c r="F1397" t="str">
        <f t="shared" si="105"/>
        <v>No</v>
      </c>
      <c r="G1397" t="str">
        <f t="shared" si="106"/>
        <v/>
      </c>
      <c r="H1397" t="str">
        <f t="shared" si="107"/>
        <v>—</v>
      </c>
      <c r="I1397" t="str">
        <f t="shared" si="108"/>
        <v>Below thresholds</v>
      </c>
      <c r="J1397" t="str">
        <f t="shared" si="109"/>
        <v/>
      </c>
    </row>
    <row r="1398" spans="1:10" x14ac:dyDescent="0.2">
      <c r="A1398">
        <v>226979688469</v>
      </c>
      <c r="B1398" t="s">
        <v>3508</v>
      </c>
      <c r="C1398" t="s">
        <v>3509</v>
      </c>
      <c r="D1398">
        <v>1.99</v>
      </c>
      <c r="F1398" t="str">
        <f t="shared" si="105"/>
        <v>No</v>
      </c>
      <c r="G1398" t="str">
        <f t="shared" si="106"/>
        <v/>
      </c>
      <c r="H1398" t="str">
        <f t="shared" si="107"/>
        <v>—</v>
      </c>
      <c r="I1398" t="str">
        <f t="shared" si="108"/>
        <v>Below thresholds</v>
      </c>
      <c r="J1398" t="str">
        <f t="shared" si="109"/>
        <v/>
      </c>
    </row>
    <row r="1399" spans="1:10" x14ac:dyDescent="0.2">
      <c r="A1399">
        <v>226979688474</v>
      </c>
      <c r="B1399" t="s">
        <v>3510</v>
      </c>
      <c r="C1399" t="s">
        <v>3511</v>
      </c>
      <c r="D1399">
        <v>1.99</v>
      </c>
      <c r="F1399" t="str">
        <f t="shared" si="105"/>
        <v>No</v>
      </c>
      <c r="G1399" t="str">
        <f t="shared" si="106"/>
        <v/>
      </c>
      <c r="H1399" t="str">
        <f t="shared" si="107"/>
        <v>—</v>
      </c>
      <c r="I1399" t="str">
        <f t="shared" si="108"/>
        <v>Below thresholds</v>
      </c>
      <c r="J1399" t="str">
        <f t="shared" si="109"/>
        <v/>
      </c>
    </row>
    <row r="1400" spans="1:10" x14ac:dyDescent="0.2">
      <c r="A1400">
        <v>226979688522</v>
      </c>
      <c r="B1400" t="s">
        <v>3512</v>
      </c>
      <c r="C1400" t="s">
        <v>3513</v>
      </c>
      <c r="D1400">
        <v>1.99</v>
      </c>
      <c r="F1400" t="str">
        <f t="shared" si="105"/>
        <v>No</v>
      </c>
      <c r="G1400" t="str">
        <f t="shared" si="106"/>
        <v/>
      </c>
      <c r="H1400" t="str">
        <f t="shared" si="107"/>
        <v>—</v>
      </c>
      <c r="I1400" t="str">
        <f t="shared" si="108"/>
        <v>Below thresholds</v>
      </c>
      <c r="J1400" t="str">
        <f t="shared" si="109"/>
        <v/>
      </c>
    </row>
    <row r="1401" spans="1:10" x14ac:dyDescent="0.2">
      <c r="A1401">
        <v>226979688542</v>
      </c>
      <c r="B1401" t="s">
        <v>3514</v>
      </c>
      <c r="C1401" t="s">
        <v>3515</v>
      </c>
      <c r="D1401">
        <v>1.99</v>
      </c>
      <c r="F1401" t="str">
        <f t="shared" si="105"/>
        <v>No</v>
      </c>
      <c r="G1401" t="str">
        <f t="shared" si="106"/>
        <v/>
      </c>
      <c r="H1401" t="str">
        <f t="shared" si="107"/>
        <v>—</v>
      </c>
      <c r="I1401" t="str">
        <f t="shared" si="108"/>
        <v>Below thresholds</v>
      </c>
      <c r="J1401" t="str">
        <f t="shared" si="109"/>
        <v/>
      </c>
    </row>
    <row r="1402" spans="1:10" x14ac:dyDescent="0.2">
      <c r="A1402">
        <v>226979688568</v>
      </c>
      <c r="B1402" t="s">
        <v>3516</v>
      </c>
      <c r="C1402" t="s">
        <v>3517</v>
      </c>
      <c r="D1402">
        <v>1.99</v>
      </c>
      <c r="F1402" t="str">
        <f t="shared" si="105"/>
        <v>No</v>
      </c>
      <c r="G1402" t="str">
        <f t="shared" si="106"/>
        <v/>
      </c>
      <c r="H1402" t="str">
        <f t="shared" si="107"/>
        <v>—</v>
      </c>
      <c r="I1402" t="str">
        <f t="shared" si="108"/>
        <v>Below thresholds</v>
      </c>
      <c r="J1402" t="str">
        <f t="shared" si="109"/>
        <v/>
      </c>
    </row>
    <row r="1403" spans="1:10" x14ac:dyDescent="0.2">
      <c r="A1403">
        <v>226979688595</v>
      </c>
      <c r="B1403" t="s">
        <v>3518</v>
      </c>
      <c r="C1403" t="s">
        <v>3519</v>
      </c>
      <c r="D1403">
        <v>1.99</v>
      </c>
      <c r="F1403" t="str">
        <f t="shared" si="105"/>
        <v>No</v>
      </c>
      <c r="G1403" t="str">
        <f t="shared" si="106"/>
        <v/>
      </c>
      <c r="H1403" t="str">
        <f t="shared" si="107"/>
        <v>—</v>
      </c>
      <c r="I1403" t="str">
        <f t="shared" si="108"/>
        <v>Below thresholds</v>
      </c>
      <c r="J1403" t="str">
        <f t="shared" si="109"/>
        <v/>
      </c>
    </row>
    <row r="1404" spans="1:10" x14ac:dyDescent="0.2">
      <c r="A1404">
        <v>226979688620</v>
      </c>
      <c r="B1404" t="s">
        <v>3520</v>
      </c>
      <c r="C1404" t="s">
        <v>3521</v>
      </c>
      <c r="D1404">
        <v>1.99</v>
      </c>
      <c r="F1404" t="str">
        <f t="shared" si="105"/>
        <v>No</v>
      </c>
      <c r="G1404" t="str">
        <f t="shared" si="106"/>
        <v/>
      </c>
      <c r="H1404" t="str">
        <f t="shared" si="107"/>
        <v>—</v>
      </c>
      <c r="I1404" t="str">
        <f t="shared" si="108"/>
        <v>Below thresholds</v>
      </c>
      <c r="J1404" t="str">
        <f t="shared" si="109"/>
        <v/>
      </c>
    </row>
    <row r="1405" spans="1:10" x14ac:dyDescent="0.2">
      <c r="A1405">
        <v>226979688659</v>
      </c>
      <c r="B1405" t="s">
        <v>3522</v>
      </c>
      <c r="C1405" t="s">
        <v>3523</v>
      </c>
      <c r="D1405">
        <v>1.99</v>
      </c>
      <c r="F1405" t="str">
        <f t="shared" si="105"/>
        <v>No</v>
      </c>
      <c r="G1405" t="str">
        <f t="shared" si="106"/>
        <v/>
      </c>
      <c r="H1405" t="str">
        <f t="shared" si="107"/>
        <v>—</v>
      </c>
      <c r="I1405" t="str">
        <f t="shared" si="108"/>
        <v>Below thresholds</v>
      </c>
      <c r="J1405" t="str">
        <f t="shared" si="109"/>
        <v/>
      </c>
    </row>
    <row r="1406" spans="1:10" x14ac:dyDescent="0.2">
      <c r="A1406">
        <v>226979688693</v>
      </c>
      <c r="B1406" t="s">
        <v>3524</v>
      </c>
      <c r="C1406" t="s">
        <v>3525</v>
      </c>
      <c r="D1406">
        <v>2.69</v>
      </c>
      <c r="F1406" t="str">
        <f t="shared" si="105"/>
        <v>No</v>
      </c>
      <c r="G1406" t="str">
        <f t="shared" si="106"/>
        <v/>
      </c>
      <c r="H1406" t="str">
        <f t="shared" si="107"/>
        <v>—</v>
      </c>
      <c r="I1406" t="str">
        <f t="shared" si="108"/>
        <v>Below thresholds</v>
      </c>
      <c r="J1406" t="str">
        <f t="shared" si="109"/>
        <v/>
      </c>
    </row>
    <row r="1407" spans="1:10" x14ac:dyDescent="0.2">
      <c r="A1407">
        <v>226979688712</v>
      </c>
      <c r="B1407" t="s">
        <v>3456</v>
      </c>
      <c r="C1407" t="s">
        <v>3526</v>
      </c>
      <c r="D1407">
        <v>1.99</v>
      </c>
      <c r="F1407" t="str">
        <f t="shared" si="105"/>
        <v>No</v>
      </c>
      <c r="G1407" t="str">
        <f t="shared" si="106"/>
        <v/>
      </c>
      <c r="H1407" t="str">
        <f t="shared" si="107"/>
        <v>—</v>
      </c>
      <c r="I1407" t="str">
        <f t="shared" si="108"/>
        <v>Below thresholds</v>
      </c>
      <c r="J1407" t="str">
        <f t="shared" si="109"/>
        <v/>
      </c>
    </row>
    <row r="1408" spans="1:10" x14ac:dyDescent="0.2">
      <c r="A1408">
        <v>226979688722</v>
      </c>
      <c r="B1408" t="s">
        <v>3527</v>
      </c>
      <c r="C1408" t="s">
        <v>3528</v>
      </c>
      <c r="D1408">
        <v>1.99</v>
      </c>
      <c r="F1408" t="str">
        <f t="shared" si="105"/>
        <v>No</v>
      </c>
      <c r="G1408" t="str">
        <f t="shared" si="106"/>
        <v/>
      </c>
      <c r="H1408" t="str">
        <f t="shared" si="107"/>
        <v>—</v>
      </c>
      <c r="I1408" t="str">
        <f t="shared" si="108"/>
        <v>Below thresholds</v>
      </c>
      <c r="J1408" t="str">
        <f t="shared" si="109"/>
        <v/>
      </c>
    </row>
    <row r="1409" spans="1:10" x14ac:dyDescent="0.2">
      <c r="A1409">
        <v>226979688757</v>
      </c>
      <c r="B1409" t="s">
        <v>3529</v>
      </c>
      <c r="C1409" t="s">
        <v>3530</v>
      </c>
      <c r="D1409">
        <v>1.99</v>
      </c>
      <c r="F1409" t="str">
        <f t="shared" si="105"/>
        <v>No</v>
      </c>
      <c r="G1409" t="str">
        <f t="shared" si="106"/>
        <v/>
      </c>
      <c r="H1409" t="str">
        <f t="shared" si="107"/>
        <v>—</v>
      </c>
      <c r="I1409" t="str">
        <f t="shared" si="108"/>
        <v>Below thresholds</v>
      </c>
      <c r="J1409" t="str">
        <f t="shared" si="109"/>
        <v/>
      </c>
    </row>
    <row r="1410" spans="1:10" x14ac:dyDescent="0.2">
      <c r="A1410">
        <v>226979688782</v>
      </c>
      <c r="B1410" t="s">
        <v>3531</v>
      </c>
      <c r="C1410" t="s">
        <v>3532</v>
      </c>
      <c r="D1410">
        <v>1.99</v>
      </c>
      <c r="F1410" t="str">
        <f t="shared" si="105"/>
        <v>No</v>
      </c>
      <c r="G1410" t="str">
        <f t="shared" si="106"/>
        <v/>
      </c>
      <c r="H1410" t="str">
        <f t="shared" si="107"/>
        <v>—</v>
      </c>
      <c r="I1410" t="str">
        <f t="shared" si="108"/>
        <v>Below thresholds</v>
      </c>
      <c r="J1410" t="str">
        <f t="shared" si="109"/>
        <v/>
      </c>
    </row>
    <row r="1411" spans="1:10" x14ac:dyDescent="0.2">
      <c r="A1411">
        <v>226979688804</v>
      </c>
      <c r="B1411" t="s">
        <v>3533</v>
      </c>
      <c r="C1411" t="s">
        <v>3534</v>
      </c>
      <c r="D1411">
        <v>1.99</v>
      </c>
      <c r="F1411" t="str">
        <f t="shared" si="105"/>
        <v>No</v>
      </c>
      <c r="G1411" t="str">
        <f t="shared" si="106"/>
        <v/>
      </c>
      <c r="H1411" t="str">
        <f t="shared" si="107"/>
        <v>—</v>
      </c>
      <c r="I1411" t="str">
        <f t="shared" si="108"/>
        <v>Below thresholds</v>
      </c>
      <c r="J1411" t="str">
        <f t="shared" si="109"/>
        <v/>
      </c>
    </row>
    <row r="1412" spans="1:10" x14ac:dyDescent="0.2">
      <c r="A1412">
        <v>226979688832</v>
      </c>
      <c r="B1412" t="s">
        <v>3535</v>
      </c>
      <c r="C1412" t="s">
        <v>3536</v>
      </c>
      <c r="D1412">
        <v>1.99</v>
      </c>
      <c r="F1412" t="str">
        <f t="shared" si="105"/>
        <v>No</v>
      </c>
      <c r="G1412" t="str">
        <f t="shared" si="106"/>
        <v/>
      </c>
      <c r="H1412" t="str">
        <f t="shared" si="107"/>
        <v>—</v>
      </c>
      <c r="I1412" t="str">
        <f t="shared" si="108"/>
        <v>Below thresholds</v>
      </c>
      <c r="J1412" t="str">
        <f t="shared" si="109"/>
        <v/>
      </c>
    </row>
    <row r="1413" spans="1:10" x14ac:dyDescent="0.2">
      <c r="A1413">
        <v>226979688873</v>
      </c>
      <c r="B1413" t="s">
        <v>3537</v>
      </c>
      <c r="C1413" t="s">
        <v>3538</v>
      </c>
      <c r="D1413">
        <v>1.99</v>
      </c>
      <c r="F1413" t="str">
        <f t="shared" ref="F1413:F1476" si="110">IF($B1413="","",IF(ISNUMBER(SEARCH("PSA",$B1413)),"Yes","No"))</f>
        <v>No</v>
      </c>
      <c r="G1413" t="str">
        <f t="shared" ref="G1413:G1476" si="111">IF($B1413="","",IF(ISNUMBER(SEARCH("PSA 10",$B1413)),10,IF(ISNUMBER(SEARCH("PSA 9.5",$B1413)),9.5,IF(ISNUMBER(SEARCH("PSA 9",$B1413)),9,IF(ISNUMBER(SEARCH("PSA 8",$B1413)),8,IF(ISNUMBER(SEARCH("PSA",$B1413)),"&lt;9",""))))))</f>
        <v/>
      </c>
      <c r="H1413" t="str">
        <f t="shared" ref="H1413:H1476" si="112">IF($B1413="","",IF($D1413&gt;=100,"TIER 2",IF(OR(ISNUMBER(SEARCH("PSA 10",$B1413)),ISNUMBER(SEARCH("PSA 9.5",$B1413)),ISNUMBER(SEARCH("PSA 9",$B1413))),"TIER 3",IF(AND($D1413&gt;20,N($E1413)&gt;=15),"TIER 1","—"))))</f>
        <v>—</v>
      </c>
      <c r="I1413" t="str">
        <f t="shared" ref="I1413:I1476" si="113">IF($B1413="","",IF($D1413&gt;=100,"Premium $100+ (auto)",IF(OR(ISNUMBER(SEARCH("PSA 10",$B1413)),ISNUMBER(SEARCH("PSA 9.5",$B1413)),ISNUMBER(SEARCH("PSA 9",$B1413))),"Graded PSA 9+ (auto)",IF(AND($D1413&gt;20,N($E1413)&gt;=15),"Hot: $20+ &amp; "&amp;$E1413&amp;"/day",IF($D1413&gt;20,"$20+ — needs velocity check","Below thresholds")))))</f>
        <v>Below thresholds</v>
      </c>
      <c r="J1413" t="str">
        <f t="shared" ref="J1413:J1476" si="114">IF($B1413="","",IF(AND($D1413&gt;20,$D1413&lt;100,NOT(OR(ISNUMBER(SEARCH("PSA 10",$B1413)),ISNUMBER(SEARCH("PSA 9.5",$B1413)),ISNUMBER(SEARCH("PSA 9",$B1413)))),$E1413=""),"YES — pull CardHedger",""))</f>
        <v/>
      </c>
    </row>
    <row r="1414" spans="1:10" x14ac:dyDescent="0.2">
      <c r="A1414">
        <v>226979688885</v>
      </c>
      <c r="B1414" t="s">
        <v>3539</v>
      </c>
      <c r="C1414" t="s">
        <v>3540</v>
      </c>
      <c r="D1414">
        <v>1.99</v>
      </c>
      <c r="F1414" t="str">
        <f t="shared" si="110"/>
        <v>No</v>
      </c>
      <c r="G1414" t="str">
        <f t="shared" si="111"/>
        <v/>
      </c>
      <c r="H1414" t="str">
        <f t="shared" si="112"/>
        <v>—</v>
      </c>
      <c r="I1414" t="str">
        <f t="shared" si="113"/>
        <v>Below thresholds</v>
      </c>
      <c r="J1414" t="str">
        <f t="shared" si="114"/>
        <v/>
      </c>
    </row>
    <row r="1415" spans="1:10" x14ac:dyDescent="0.2">
      <c r="A1415">
        <v>226979688926</v>
      </c>
      <c r="B1415" t="s">
        <v>3541</v>
      </c>
      <c r="C1415" t="s">
        <v>3542</v>
      </c>
      <c r="D1415">
        <v>1.99</v>
      </c>
      <c r="F1415" t="str">
        <f t="shared" si="110"/>
        <v>No</v>
      </c>
      <c r="G1415" t="str">
        <f t="shared" si="111"/>
        <v/>
      </c>
      <c r="H1415" t="str">
        <f t="shared" si="112"/>
        <v>—</v>
      </c>
      <c r="I1415" t="str">
        <f t="shared" si="113"/>
        <v>Below thresholds</v>
      </c>
      <c r="J1415" t="str">
        <f t="shared" si="114"/>
        <v/>
      </c>
    </row>
    <row r="1416" spans="1:10" x14ac:dyDescent="0.2">
      <c r="A1416">
        <v>226979688940</v>
      </c>
      <c r="B1416" t="s">
        <v>3543</v>
      </c>
      <c r="C1416" t="s">
        <v>3544</v>
      </c>
      <c r="D1416">
        <v>1.99</v>
      </c>
      <c r="F1416" t="str">
        <f t="shared" si="110"/>
        <v>No</v>
      </c>
      <c r="G1416" t="str">
        <f t="shared" si="111"/>
        <v/>
      </c>
      <c r="H1416" t="str">
        <f t="shared" si="112"/>
        <v>—</v>
      </c>
      <c r="I1416" t="str">
        <f t="shared" si="113"/>
        <v>Below thresholds</v>
      </c>
      <c r="J1416" t="str">
        <f t="shared" si="114"/>
        <v/>
      </c>
    </row>
    <row r="1417" spans="1:10" x14ac:dyDescent="0.2">
      <c r="A1417">
        <v>226979688983</v>
      </c>
      <c r="B1417" t="s">
        <v>3516</v>
      </c>
      <c r="C1417" t="s">
        <v>3545</v>
      </c>
      <c r="D1417">
        <v>2.09</v>
      </c>
      <c r="F1417" t="str">
        <f t="shared" si="110"/>
        <v>No</v>
      </c>
      <c r="G1417" t="str">
        <f t="shared" si="111"/>
        <v/>
      </c>
      <c r="H1417" t="str">
        <f t="shared" si="112"/>
        <v>—</v>
      </c>
      <c r="I1417" t="str">
        <f t="shared" si="113"/>
        <v>Below thresholds</v>
      </c>
      <c r="J1417" t="str">
        <f t="shared" si="114"/>
        <v/>
      </c>
    </row>
    <row r="1418" spans="1:10" x14ac:dyDescent="0.2">
      <c r="A1418">
        <v>226979688988</v>
      </c>
      <c r="B1418" t="s">
        <v>3452</v>
      </c>
      <c r="C1418" t="s">
        <v>3546</v>
      </c>
      <c r="D1418">
        <v>1.99</v>
      </c>
      <c r="F1418" t="str">
        <f t="shared" si="110"/>
        <v>No</v>
      </c>
      <c r="G1418" t="str">
        <f t="shared" si="111"/>
        <v/>
      </c>
      <c r="H1418" t="str">
        <f t="shared" si="112"/>
        <v>—</v>
      </c>
      <c r="I1418" t="str">
        <f t="shared" si="113"/>
        <v>Below thresholds</v>
      </c>
      <c r="J1418" t="str">
        <f t="shared" si="114"/>
        <v/>
      </c>
    </row>
    <row r="1419" spans="1:10" x14ac:dyDescent="0.2">
      <c r="A1419">
        <v>226979689032</v>
      </c>
      <c r="B1419" t="s">
        <v>3522</v>
      </c>
      <c r="C1419" t="s">
        <v>3547</v>
      </c>
      <c r="D1419">
        <v>1.99</v>
      </c>
      <c r="F1419" t="str">
        <f t="shared" si="110"/>
        <v>No</v>
      </c>
      <c r="G1419" t="str">
        <f t="shared" si="111"/>
        <v/>
      </c>
      <c r="H1419" t="str">
        <f t="shared" si="112"/>
        <v>—</v>
      </c>
      <c r="I1419" t="str">
        <f t="shared" si="113"/>
        <v>Below thresholds</v>
      </c>
      <c r="J1419" t="str">
        <f t="shared" si="114"/>
        <v/>
      </c>
    </row>
    <row r="1420" spans="1:10" x14ac:dyDescent="0.2">
      <c r="A1420">
        <v>226979689038</v>
      </c>
      <c r="B1420" t="s">
        <v>3432</v>
      </c>
      <c r="C1420" t="s">
        <v>3548</v>
      </c>
      <c r="D1420">
        <v>1.99</v>
      </c>
      <c r="F1420" t="str">
        <f t="shared" si="110"/>
        <v>No</v>
      </c>
      <c r="G1420" t="str">
        <f t="shared" si="111"/>
        <v/>
      </c>
      <c r="H1420" t="str">
        <f t="shared" si="112"/>
        <v>—</v>
      </c>
      <c r="I1420" t="str">
        <f t="shared" si="113"/>
        <v>Below thresholds</v>
      </c>
      <c r="J1420" t="str">
        <f t="shared" si="114"/>
        <v/>
      </c>
    </row>
    <row r="1421" spans="1:10" x14ac:dyDescent="0.2">
      <c r="A1421">
        <v>226979689094</v>
      </c>
      <c r="B1421" t="s">
        <v>3434</v>
      </c>
      <c r="C1421" t="s">
        <v>3549</v>
      </c>
      <c r="D1421">
        <v>1.99</v>
      </c>
      <c r="F1421" t="str">
        <f t="shared" si="110"/>
        <v>No</v>
      </c>
      <c r="G1421" t="str">
        <f t="shared" si="111"/>
        <v/>
      </c>
      <c r="H1421" t="str">
        <f t="shared" si="112"/>
        <v>—</v>
      </c>
      <c r="I1421" t="str">
        <f t="shared" si="113"/>
        <v>Below thresholds</v>
      </c>
      <c r="J1421" t="str">
        <f t="shared" si="114"/>
        <v/>
      </c>
    </row>
    <row r="1422" spans="1:10" x14ac:dyDescent="0.2">
      <c r="A1422">
        <v>226979689120</v>
      </c>
      <c r="B1422" t="s">
        <v>3460</v>
      </c>
      <c r="C1422" t="s">
        <v>3550</v>
      </c>
      <c r="D1422">
        <v>1.99</v>
      </c>
      <c r="F1422" t="str">
        <f t="shared" si="110"/>
        <v>No</v>
      </c>
      <c r="G1422" t="str">
        <f t="shared" si="111"/>
        <v/>
      </c>
      <c r="H1422" t="str">
        <f t="shared" si="112"/>
        <v>—</v>
      </c>
      <c r="I1422" t="str">
        <f t="shared" si="113"/>
        <v>Below thresholds</v>
      </c>
      <c r="J1422" t="str">
        <f t="shared" si="114"/>
        <v/>
      </c>
    </row>
    <row r="1423" spans="1:10" x14ac:dyDescent="0.2">
      <c r="A1423">
        <v>226979689145</v>
      </c>
      <c r="B1423" t="s">
        <v>3458</v>
      </c>
      <c r="C1423" t="s">
        <v>3551</v>
      </c>
      <c r="D1423">
        <v>2.09</v>
      </c>
      <c r="F1423" t="str">
        <f t="shared" si="110"/>
        <v>No</v>
      </c>
      <c r="G1423" t="str">
        <f t="shared" si="111"/>
        <v/>
      </c>
      <c r="H1423" t="str">
        <f t="shared" si="112"/>
        <v>—</v>
      </c>
      <c r="I1423" t="str">
        <f t="shared" si="113"/>
        <v>Below thresholds</v>
      </c>
      <c r="J1423" t="str">
        <f t="shared" si="114"/>
        <v/>
      </c>
    </row>
    <row r="1424" spans="1:10" x14ac:dyDescent="0.2">
      <c r="A1424">
        <v>226979689208</v>
      </c>
      <c r="B1424" t="s">
        <v>3552</v>
      </c>
      <c r="C1424" t="s">
        <v>3553</v>
      </c>
      <c r="D1424">
        <v>1.99</v>
      </c>
      <c r="F1424" t="str">
        <f t="shared" si="110"/>
        <v>No</v>
      </c>
      <c r="G1424" t="str">
        <f t="shared" si="111"/>
        <v/>
      </c>
      <c r="H1424" t="str">
        <f t="shared" si="112"/>
        <v>—</v>
      </c>
      <c r="I1424" t="str">
        <f t="shared" si="113"/>
        <v>Below thresholds</v>
      </c>
      <c r="J1424" t="str">
        <f t="shared" si="114"/>
        <v/>
      </c>
    </row>
    <row r="1425" spans="1:10" x14ac:dyDescent="0.2">
      <c r="A1425">
        <v>226979689237</v>
      </c>
      <c r="B1425" t="s">
        <v>3554</v>
      </c>
      <c r="C1425" t="s">
        <v>3555</v>
      </c>
      <c r="D1425">
        <v>1.99</v>
      </c>
      <c r="F1425" t="str">
        <f t="shared" si="110"/>
        <v>No</v>
      </c>
      <c r="G1425" t="str">
        <f t="shared" si="111"/>
        <v/>
      </c>
      <c r="H1425" t="str">
        <f t="shared" si="112"/>
        <v>—</v>
      </c>
      <c r="I1425" t="str">
        <f t="shared" si="113"/>
        <v>Below thresholds</v>
      </c>
      <c r="J1425" t="str">
        <f t="shared" si="114"/>
        <v/>
      </c>
    </row>
    <row r="1426" spans="1:10" x14ac:dyDescent="0.2">
      <c r="A1426">
        <v>226979689249</v>
      </c>
      <c r="B1426" t="s">
        <v>3556</v>
      </c>
      <c r="C1426" t="s">
        <v>3557</v>
      </c>
      <c r="D1426">
        <v>14.59</v>
      </c>
      <c r="F1426" t="str">
        <f t="shared" si="110"/>
        <v>No</v>
      </c>
      <c r="G1426" t="str">
        <f t="shared" si="111"/>
        <v/>
      </c>
      <c r="H1426" t="str">
        <f t="shared" si="112"/>
        <v>—</v>
      </c>
      <c r="I1426" t="str">
        <f t="shared" si="113"/>
        <v>Below thresholds</v>
      </c>
      <c r="J1426" t="str">
        <f t="shared" si="114"/>
        <v/>
      </c>
    </row>
    <row r="1427" spans="1:10" x14ac:dyDescent="0.2">
      <c r="A1427">
        <v>226979689267</v>
      </c>
      <c r="B1427" t="s">
        <v>3558</v>
      </c>
      <c r="C1427" t="s">
        <v>3559</v>
      </c>
      <c r="D1427">
        <v>3.29</v>
      </c>
      <c r="F1427" t="str">
        <f t="shared" si="110"/>
        <v>No</v>
      </c>
      <c r="G1427" t="str">
        <f t="shared" si="111"/>
        <v/>
      </c>
      <c r="H1427" t="str">
        <f t="shared" si="112"/>
        <v>—</v>
      </c>
      <c r="I1427" t="str">
        <f t="shared" si="113"/>
        <v>Below thresholds</v>
      </c>
      <c r="J1427" t="str">
        <f t="shared" si="114"/>
        <v/>
      </c>
    </row>
    <row r="1428" spans="1:10" x14ac:dyDescent="0.2">
      <c r="A1428">
        <v>226979689288</v>
      </c>
      <c r="B1428" t="s">
        <v>3560</v>
      </c>
      <c r="C1428" t="s">
        <v>3561</v>
      </c>
      <c r="D1428">
        <v>1.99</v>
      </c>
      <c r="F1428" t="str">
        <f t="shared" si="110"/>
        <v>No</v>
      </c>
      <c r="G1428" t="str">
        <f t="shared" si="111"/>
        <v/>
      </c>
      <c r="H1428" t="str">
        <f t="shared" si="112"/>
        <v>—</v>
      </c>
      <c r="I1428" t="str">
        <f t="shared" si="113"/>
        <v>Below thresholds</v>
      </c>
      <c r="J1428" t="str">
        <f t="shared" si="114"/>
        <v/>
      </c>
    </row>
    <row r="1429" spans="1:10" x14ac:dyDescent="0.2">
      <c r="A1429">
        <v>226979689301</v>
      </c>
      <c r="B1429" t="s">
        <v>3562</v>
      </c>
      <c r="C1429" t="s">
        <v>3563</v>
      </c>
      <c r="D1429">
        <v>1.99</v>
      </c>
      <c r="F1429" t="str">
        <f t="shared" si="110"/>
        <v>No</v>
      </c>
      <c r="G1429" t="str">
        <f t="shared" si="111"/>
        <v/>
      </c>
      <c r="H1429" t="str">
        <f t="shared" si="112"/>
        <v>—</v>
      </c>
      <c r="I1429" t="str">
        <f t="shared" si="113"/>
        <v>Below thresholds</v>
      </c>
      <c r="J1429" t="str">
        <f t="shared" si="114"/>
        <v/>
      </c>
    </row>
    <row r="1430" spans="1:10" x14ac:dyDescent="0.2">
      <c r="A1430">
        <v>226979689321</v>
      </c>
      <c r="B1430" t="s">
        <v>3564</v>
      </c>
      <c r="C1430" t="s">
        <v>3565</v>
      </c>
      <c r="D1430">
        <v>1.99</v>
      </c>
      <c r="F1430" t="str">
        <f t="shared" si="110"/>
        <v>No</v>
      </c>
      <c r="G1430" t="str">
        <f t="shared" si="111"/>
        <v/>
      </c>
      <c r="H1430" t="str">
        <f t="shared" si="112"/>
        <v>—</v>
      </c>
      <c r="I1430" t="str">
        <f t="shared" si="113"/>
        <v>Below thresholds</v>
      </c>
      <c r="J1430" t="str">
        <f t="shared" si="114"/>
        <v/>
      </c>
    </row>
    <row r="1431" spans="1:10" x14ac:dyDescent="0.2">
      <c r="A1431">
        <v>226979689346</v>
      </c>
      <c r="B1431" t="s">
        <v>3566</v>
      </c>
      <c r="C1431" t="s">
        <v>3567</v>
      </c>
      <c r="D1431">
        <v>1.99</v>
      </c>
      <c r="F1431" t="str">
        <f t="shared" si="110"/>
        <v>No</v>
      </c>
      <c r="G1431" t="str">
        <f t="shared" si="111"/>
        <v/>
      </c>
      <c r="H1431" t="str">
        <f t="shared" si="112"/>
        <v>—</v>
      </c>
      <c r="I1431" t="str">
        <f t="shared" si="113"/>
        <v>Below thresholds</v>
      </c>
      <c r="J1431" t="str">
        <f t="shared" si="114"/>
        <v/>
      </c>
    </row>
    <row r="1432" spans="1:10" x14ac:dyDescent="0.2">
      <c r="A1432">
        <v>226979689370</v>
      </c>
      <c r="B1432" t="s">
        <v>3568</v>
      </c>
      <c r="C1432" t="s">
        <v>3569</v>
      </c>
      <c r="D1432">
        <v>2.09</v>
      </c>
      <c r="F1432" t="str">
        <f t="shared" si="110"/>
        <v>No</v>
      </c>
      <c r="G1432" t="str">
        <f t="shared" si="111"/>
        <v/>
      </c>
      <c r="H1432" t="str">
        <f t="shared" si="112"/>
        <v>—</v>
      </c>
      <c r="I1432" t="str">
        <f t="shared" si="113"/>
        <v>Below thresholds</v>
      </c>
      <c r="J1432" t="str">
        <f t="shared" si="114"/>
        <v/>
      </c>
    </row>
    <row r="1433" spans="1:10" x14ac:dyDescent="0.2">
      <c r="A1433">
        <v>226979689388</v>
      </c>
      <c r="B1433" t="s">
        <v>3570</v>
      </c>
      <c r="C1433" t="s">
        <v>3571</v>
      </c>
      <c r="D1433">
        <v>1.99</v>
      </c>
      <c r="F1433" t="str">
        <f t="shared" si="110"/>
        <v>No</v>
      </c>
      <c r="G1433" t="str">
        <f t="shared" si="111"/>
        <v/>
      </c>
      <c r="H1433" t="str">
        <f t="shared" si="112"/>
        <v>—</v>
      </c>
      <c r="I1433" t="str">
        <f t="shared" si="113"/>
        <v>Below thresholds</v>
      </c>
      <c r="J1433" t="str">
        <f t="shared" si="114"/>
        <v/>
      </c>
    </row>
    <row r="1434" spans="1:10" x14ac:dyDescent="0.2">
      <c r="A1434">
        <v>226979689456</v>
      </c>
      <c r="B1434" t="s">
        <v>3572</v>
      </c>
      <c r="C1434" t="s">
        <v>3573</v>
      </c>
      <c r="D1434">
        <v>2.69</v>
      </c>
      <c r="F1434" t="str">
        <f t="shared" si="110"/>
        <v>No</v>
      </c>
      <c r="G1434" t="str">
        <f t="shared" si="111"/>
        <v/>
      </c>
      <c r="H1434" t="str">
        <f t="shared" si="112"/>
        <v>—</v>
      </c>
      <c r="I1434" t="str">
        <f t="shared" si="113"/>
        <v>Below thresholds</v>
      </c>
      <c r="J1434" t="str">
        <f t="shared" si="114"/>
        <v/>
      </c>
    </row>
    <row r="1435" spans="1:10" x14ac:dyDescent="0.2">
      <c r="A1435">
        <v>226979689486</v>
      </c>
      <c r="B1435" t="s">
        <v>3454</v>
      </c>
      <c r="C1435" t="s">
        <v>3574</v>
      </c>
      <c r="D1435">
        <v>1.99</v>
      </c>
      <c r="F1435" t="str">
        <f t="shared" si="110"/>
        <v>No</v>
      </c>
      <c r="G1435" t="str">
        <f t="shared" si="111"/>
        <v/>
      </c>
      <c r="H1435" t="str">
        <f t="shared" si="112"/>
        <v>—</v>
      </c>
      <c r="I1435" t="str">
        <f t="shared" si="113"/>
        <v>Below thresholds</v>
      </c>
      <c r="J1435" t="str">
        <f t="shared" si="114"/>
        <v/>
      </c>
    </row>
    <row r="1436" spans="1:10" x14ac:dyDescent="0.2">
      <c r="A1436">
        <v>226979689504</v>
      </c>
      <c r="B1436" t="s">
        <v>3575</v>
      </c>
      <c r="C1436" t="s">
        <v>3576</v>
      </c>
      <c r="D1436">
        <v>2.09</v>
      </c>
      <c r="F1436" t="str">
        <f t="shared" si="110"/>
        <v>No</v>
      </c>
      <c r="G1436" t="str">
        <f t="shared" si="111"/>
        <v/>
      </c>
      <c r="H1436" t="str">
        <f t="shared" si="112"/>
        <v>—</v>
      </c>
      <c r="I1436" t="str">
        <f t="shared" si="113"/>
        <v>Below thresholds</v>
      </c>
      <c r="J1436" t="str">
        <f t="shared" si="114"/>
        <v/>
      </c>
    </row>
    <row r="1437" spans="1:10" x14ac:dyDescent="0.2">
      <c r="A1437">
        <v>226979689529</v>
      </c>
      <c r="B1437" t="s">
        <v>3577</v>
      </c>
      <c r="C1437" t="s">
        <v>3578</v>
      </c>
      <c r="D1437">
        <v>1.99</v>
      </c>
      <c r="F1437" t="str">
        <f t="shared" si="110"/>
        <v>No</v>
      </c>
      <c r="G1437" t="str">
        <f t="shared" si="111"/>
        <v/>
      </c>
      <c r="H1437" t="str">
        <f t="shared" si="112"/>
        <v>—</v>
      </c>
      <c r="I1437" t="str">
        <f t="shared" si="113"/>
        <v>Below thresholds</v>
      </c>
      <c r="J1437" t="str">
        <f t="shared" si="114"/>
        <v/>
      </c>
    </row>
    <row r="1438" spans="1:10" x14ac:dyDescent="0.2">
      <c r="A1438">
        <v>226979689584</v>
      </c>
      <c r="B1438" t="s">
        <v>3579</v>
      </c>
      <c r="C1438" t="s">
        <v>3580</v>
      </c>
      <c r="D1438">
        <v>1.99</v>
      </c>
      <c r="F1438" t="str">
        <f t="shared" si="110"/>
        <v>No</v>
      </c>
      <c r="G1438" t="str">
        <f t="shared" si="111"/>
        <v/>
      </c>
      <c r="H1438" t="str">
        <f t="shared" si="112"/>
        <v>—</v>
      </c>
      <c r="I1438" t="str">
        <f t="shared" si="113"/>
        <v>Below thresholds</v>
      </c>
      <c r="J1438" t="str">
        <f t="shared" si="114"/>
        <v/>
      </c>
    </row>
    <row r="1439" spans="1:10" x14ac:dyDescent="0.2">
      <c r="A1439">
        <v>226979689615</v>
      </c>
      <c r="B1439" t="s">
        <v>3581</v>
      </c>
      <c r="C1439" t="s">
        <v>3582</v>
      </c>
      <c r="D1439">
        <v>1.99</v>
      </c>
      <c r="F1439" t="str">
        <f t="shared" si="110"/>
        <v>No</v>
      </c>
      <c r="G1439" t="str">
        <f t="shared" si="111"/>
        <v/>
      </c>
      <c r="H1439" t="str">
        <f t="shared" si="112"/>
        <v>—</v>
      </c>
      <c r="I1439" t="str">
        <f t="shared" si="113"/>
        <v>Below thresholds</v>
      </c>
      <c r="J1439" t="str">
        <f t="shared" si="114"/>
        <v/>
      </c>
    </row>
    <row r="1440" spans="1:10" x14ac:dyDescent="0.2">
      <c r="A1440">
        <v>226979689650</v>
      </c>
      <c r="B1440" t="s">
        <v>3583</v>
      </c>
      <c r="C1440" t="s">
        <v>3584</v>
      </c>
      <c r="D1440">
        <v>1.99</v>
      </c>
      <c r="F1440" t="str">
        <f t="shared" si="110"/>
        <v>No</v>
      </c>
      <c r="G1440" t="str">
        <f t="shared" si="111"/>
        <v/>
      </c>
      <c r="H1440" t="str">
        <f t="shared" si="112"/>
        <v>—</v>
      </c>
      <c r="I1440" t="str">
        <f t="shared" si="113"/>
        <v>Below thresholds</v>
      </c>
      <c r="J1440" t="str">
        <f t="shared" si="114"/>
        <v/>
      </c>
    </row>
    <row r="1441" spans="1:10" x14ac:dyDescent="0.2">
      <c r="A1441">
        <v>226979689676</v>
      </c>
      <c r="B1441" t="s">
        <v>3585</v>
      </c>
      <c r="C1441" t="s">
        <v>3586</v>
      </c>
      <c r="D1441">
        <v>1.99</v>
      </c>
      <c r="F1441" t="str">
        <f t="shared" si="110"/>
        <v>No</v>
      </c>
      <c r="G1441" t="str">
        <f t="shared" si="111"/>
        <v/>
      </c>
      <c r="H1441" t="str">
        <f t="shared" si="112"/>
        <v>—</v>
      </c>
      <c r="I1441" t="str">
        <f t="shared" si="113"/>
        <v>Below thresholds</v>
      </c>
      <c r="J1441" t="str">
        <f t="shared" si="114"/>
        <v/>
      </c>
    </row>
    <row r="1442" spans="1:10" x14ac:dyDescent="0.2">
      <c r="A1442">
        <v>226979689715</v>
      </c>
      <c r="B1442" t="s">
        <v>3587</v>
      </c>
      <c r="C1442" t="s">
        <v>3588</v>
      </c>
      <c r="D1442">
        <v>1.99</v>
      </c>
      <c r="F1442" t="str">
        <f t="shared" si="110"/>
        <v>No</v>
      </c>
      <c r="G1442" t="str">
        <f t="shared" si="111"/>
        <v/>
      </c>
      <c r="H1442" t="str">
        <f t="shared" si="112"/>
        <v>—</v>
      </c>
      <c r="I1442" t="str">
        <f t="shared" si="113"/>
        <v>Below thresholds</v>
      </c>
      <c r="J1442" t="str">
        <f t="shared" si="114"/>
        <v/>
      </c>
    </row>
    <row r="1443" spans="1:10" x14ac:dyDescent="0.2">
      <c r="A1443">
        <v>226979712832</v>
      </c>
      <c r="B1443" t="s">
        <v>3589</v>
      </c>
      <c r="C1443" t="s">
        <v>3590</v>
      </c>
      <c r="D1443">
        <v>1.99</v>
      </c>
      <c r="F1443" t="str">
        <f t="shared" si="110"/>
        <v>No</v>
      </c>
      <c r="G1443" t="str">
        <f t="shared" si="111"/>
        <v/>
      </c>
      <c r="H1443" t="str">
        <f t="shared" si="112"/>
        <v>—</v>
      </c>
      <c r="I1443" t="str">
        <f t="shared" si="113"/>
        <v>Below thresholds</v>
      </c>
      <c r="J1443" t="str">
        <f t="shared" si="114"/>
        <v/>
      </c>
    </row>
    <row r="1444" spans="1:10" x14ac:dyDescent="0.2">
      <c r="A1444">
        <v>226979712889</v>
      </c>
      <c r="B1444" t="s">
        <v>3591</v>
      </c>
      <c r="C1444" t="s">
        <v>3592</v>
      </c>
      <c r="D1444">
        <v>1.99</v>
      </c>
      <c r="F1444" t="str">
        <f t="shared" si="110"/>
        <v>No</v>
      </c>
      <c r="G1444" t="str">
        <f t="shared" si="111"/>
        <v/>
      </c>
      <c r="H1444" t="str">
        <f t="shared" si="112"/>
        <v>—</v>
      </c>
      <c r="I1444" t="str">
        <f t="shared" si="113"/>
        <v>Below thresholds</v>
      </c>
      <c r="J1444" t="str">
        <f t="shared" si="114"/>
        <v/>
      </c>
    </row>
    <row r="1445" spans="1:10" x14ac:dyDescent="0.2">
      <c r="A1445">
        <v>226979713206</v>
      </c>
      <c r="B1445" t="s">
        <v>3593</v>
      </c>
      <c r="C1445" t="s">
        <v>3594</v>
      </c>
      <c r="D1445">
        <v>1.99</v>
      </c>
      <c r="F1445" t="str">
        <f t="shared" si="110"/>
        <v>No</v>
      </c>
      <c r="G1445" t="str">
        <f t="shared" si="111"/>
        <v/>
      </c>
      <c r="H1445" t="str">
        <f t="shared" si="112"/>
        <v>—</v>
      </c>
      <c r="I1445" t="str">
        <f t="shared" si="113"/>
        <v>Below thresholds</v>
      </c>
      <c r="J1445" t="str">
        <f t="shared" si="114"/>
        <v/>
      </c>
    </row>
    <row r="1446" spans="1:10" x14ac:dyDescent="0.2">
      <c r="A1446">
        <v>226979713215</v>
      </c>
      <c r="B1446" t="s">
        <v>2480</v>
      </c>
      <c r="C1446" t="s">
        <v>3595</v>
      </c>
      <c r="D1446">
        <v>1.99</v>
      </c>
      <c r="F1446" t="str">
        <f t="shared" si="110"/>
        <v>No</v>
      </c>
      <c r="G1446" t="str">
        <f t="shared" si="111"/>
        <v/>
      </c>
      <c r="H1446" t="str">
        <f t="shared" si="112"/>
        <v>—</v>
      </c>
      <c r="I1446" t="str">
        <f t="shared" si="113"/>
        <v>Below thresholds</v>
      </c>
      <c r="J1446" t="str">
        <f t="shared" si="114"/>
        <v/>
      </c>
    </row>
    <row r="1447" spans="1:10" x14ac:dyDescent="0.2">
      <c r="A1447">
        <v>226979713244</v>
      </c>
      <c r="B1447" t="s">
        <v>3596</v>
      </c>
      <c r="C1447" t="s">
        <v>3597</v>
      </c>
      <c r="D1447">
        <v>1.99</v>
      </c>
      <c r="F1447" t="str">
        <f t="shared" si="110"/>
        <v>No</v>
      </c>
      <c r="G1447" t="str">
        <f t="shared" si="111"/>
        <v/>
      </c>
      <c r="H1447" t="str">
        <f t="shared" si="112"/>
        <v>—</v>
      </c>
      <c r="I1447" t="str">
        <f t="shared" si="113"/>
        <v>Below thresholds</v>
      </c>
      <c r="J1447" t="str">
        <f t="shared" si="114"/>
        <v/>
      </c>
    </row>
    <row r="1448" spans="1:10" x14ac:dyDescent="0.2">
      <c r="A1448">
        <v>226979713251</v>
      </c>
      <c r="B1448" t="s">
        <v>3598</v>
      </c>
      <c r="C1448" t="s">
        <v>3599</v>
      </c>
      <c r="D1448">
        <v>1.99</v>
      </c>
      <c r="F1448" t="str">
        <f t="shared" si="110"/>
        <v>No</v>
      </c>
      <c r="G1448" t="str">
        <f t="shared" si="111"/>
        <v/>
      </c>
      <c r="H1448" t="str">
        <f t="shared" si="112"/>
        <v>—</v>
      </c>
      <c r="I1448" t="str">
        <f t="shared" si="113"/>
        <v>Below thresholds</v>
      </c>
      <c r="J1448" t="str">
        <f t="shared" si="114"/>
        <v/>
      </c>
    </row>
    <row r="1449" spans="1:10" x14ac:dyDescent="0.2">
      <c r="A1449">
        <v>226979713356</v>
      </c>
      <c r="B1449" t="s">
        <v>3600</v>
      </c>
      <c r="C1449" t="s">
        <v>3601</v>
      </c>
      <c r="D1449">
        <v>1.99</v>
      </c>
      <c r="F1449" t="str">
        <f t="shared" si="110"/>
        <v>No</v>
      </c>
      <c r="G1449" t="str">
        <f t="shared" si="111"/>
        <v/>
      </c>
      <c r="H1449" t="str">
        <f t="shared" si="112"/>
        <v>—</v>
      </c>
      <c r="I1449" t="str">
        <f t="shared" si="113"/>
        <v>Below thresholds</v>
      </c>
      <c r="J1449" t="str">
        <f t="shared" si="114"/>
        <v/>
      </c>
    </row>
    <row r="1450" spans="1:10" x14ac:dyDescent="0.2">
      <c r="A1450">
        <v>226979713420</v>
      </c>
      <c r="B1450" t="s">
        <v>3602</v>
      </c>
      <c r="C1450" t="s">
        <v>3603</v>
      </c>
      <c r="D1450">
        <v>1.99</v>
      </c>
      <c r="F1450" t="str">
        <f t="shared" si="110"/>
        <v>No</v>
      </c>
      <c r="G1450" t="str">
        <f t="shared" si="111"/>
        <v/>
      </c>
      <c r="H1450" t="str">
        <f t="shared" si="112"/>
        <v>—</v>
      </c>
      <c r="I1450" t="str">
        <f t="shared" si="113"/>
        <v>Below thresholds</v>
      </c>
      <c r="J1450" t="str">
        <f t="shared" si="114"/>
        <v/>
      </c>
    </row>
    <row r="1451" spans="1:10" x14ac:dyDescent="0.2">
      <c r="A1451">
        <v>226979713825</v>
      </c>
      <c r="B1451" t="s">
        <v>3604</v>
      </c>
      <c r="C1451" t="s">
        <v>3605</v>
      </c>
      <c r="D1451">
        <v>1.99</v>
      </c>
      <c r="F1451" t="str">
        <f t="shared" si="110"/>
        <v>No</v>
      </c>
      <c r="G1451" t="str">
        <f t="shared" si="111"/>
        <v/>
      </c>
      <c r="H1451" t="str">
        <f t="shared" si="112"/>
        <v>—</v>
      </c>
      <c r="I1451" t="str">
        <f t="shared" si="113"/>
        <v>Below thresholds</v>
      </c>
      <c r="J1451" t="str">
        <f t="shared" si="114"/>
        <v/>
      </c>
    </row>
    <row r="1452" spans="1:10" x14ac:dyDescent="0.2">
      <c r="A1452">
        <v>226979713916</v>
      </c>
      <c r="B1452" t="s">
        <v>3606</v>
      </c>
      <c r="C1452" t="s">
        <v>3607</v>
      </c>
      <c r="D1452">
        <v>1.99</v>
      </c>
      <c r="F1452" t="str">
        <f t="shared" si="110"/>
        <v>No</v>
      </c>
      <c r="G1452" t="str">
        <f t="shared" si="111"/>
        <v/>
      </c>
      <c r="H1452" t="str">
        <f t="shared" si="112"/>
        <v>—</v>
      </c>
      <c r="I1452" t="str">
        <f t="shared" si="113"/>
        <v>Below thresholds</v>
      </c>
      <c r="J1452" t="str">
        <f t="shared" si="114"/>
        <v/>
      </c>
    </row>
    <row r="1453" spans="1:10" x14ac:dyDescent="0.2">
      <c r="A1453">
        <v>226979714257</v>
      </c>
      <c r="B1453" t="s">
        <v>3608</v>
      </c>
      <c r="C1453" t="s">
        <v>3609</v>
      </c>
      <c r="D1453">
        <v>2.4900000000000002</v>
      </c>
      <c r="F1453" t="str">
        <f t="shared" si="110"/>
        <v>No</v>
      </c>
      <c r="G1453" t="str">
        <f t="shared" si="111"/>
        <v/>
      </c>
      <c r="H1453" t="str">
        <f t="shared" si="112"/>
        <v>—</v>
      </c>
      <c r="I1453" t="str">
        <f t="shared" si="113"/>
        <v>Below thresholds</v>
      </c>
      <c r="J1453" t="str">
        <f t="shared" si="114"/>
        <v/>
      </c>
    </row>
    <row r="1454" spans="1:10" x14ac:dyDescent="0.2">
      <c r="A1454">
        <v>226979774261</v>
      </c>
      <c r="B1454" t="s">
        <v>3610</v>
      </c>
      <c r="C1454" t="s">
        <v>3611</v>
      </c>
      <c r="D1454">
        <v>1.99</v>
      </c>
      <c r="F1454" t="str">
        <f t="shared" si="110"/>
        <v>No</v>
      </c>
      <c r="G1454" t="str">
        <f t="shared" si="111"/>
        <v/>
      </c>
      <c r="H1454" t="str">
        <f t="shared" si="112"/>
        <v>—</v>
      </c>
      <c r="I1454" t="str">
        <f t="shared" si="113"/>
        <v>Below thresholds</v>
      </c>
      <c r="J1454" t="str">
        <f t="shared" si="114"/>
        <v/>
      </c>
    </row>
    <row r="1455" spans="1:10" x14ac:dyDescent="0.2">
      <c r="A1455">
        <v>226979774290</v>
      </c>
      <c r="B1455" t="s">
        <v>3612</v>
      </c>
      <c r="C1455" t="s">
        <v>3613</v>
      </c>
      <c r="D1455">
        <v>1.99</v>
      </c>
      <c r="F1455" t="str">
        <f t="shared" si="110"/>
        <v>No</v>
      </c>
      <c r="G1455" t="str">
        <f t="shared" si="111"/>
        <v/>
      </c>
      <c r="H1455" t="str">
        <f t="shared" si="112"/>
        <v>—</v>
      </c>
      <c r="I1455" t="str">
        <f t="shared" si="113"/>
        <v>Below thresholds</v>
      </c>
      <c r="J1455" t="str">
        <f t="shared" si="114"/>
        <v/>
      </c>
    </row>
    <row r="1456" spans="1:10" x14ac:dyDescent="0.2">
      <c r="A1456">
        <v>226979774311</v>
      </c>
      <c r="B1456" t="s">
        <v>3614</v>
      </c>
      <c r="C1456" t="s">
        <v>3615</v>
      </c>
      <c r="D1456">
        <v>1.99</v>
      </c>
      <c r="F1456" t="str">
        <f t="shared" si="110"/>
        <v>No</v>
      </c>
      <c r="G1456" t="str">
        <f t="shared" si="111"/>
        <v/>
      </c>
      <c r="H1456" t="str">
        <f t="shared" si="112"/>
        <v>—</v>
      </c>
      <c r="I1456" t="str">
        <f t="shared" si="113"/>
        <v>Below thresholds</v>
      </c>
      <c r="J1456" t="str">
        <f t="shared" si="114"/>
        <v/>
      </c>
    </row>
    <row r="1457" spans="1:10" x14ac:dyDescent="0.2">
      <c r="A1457">
        <v>226979774312</v>
      </c>
      <c r="B1457" t="s">
        <v>3616</v>
      </c>
      <c r="C1457" t="s">
        <v>3617</v>
      </c>
      <c r="D1457">
        <v>1.99</v>
      </c>
      <c r="F1457" t="str">
        <f t="shared" si="110"/>
        <v>No</v>
      </c>
      <c r="G1457" t="str">
        <f t="shared" si="111"/>
        <v/>
      </c>
      <c r="H1457" t="str">
        <f t="shared" si="112"/>
        <v>—</v>
      </c>
      <c r="I1457" t="str">
        <f t="shared" si="113"/>
        <v>Below thresholds</v>
      </c>
      <c r="J1457" t="str">
        <f t="shared" si="114"/>
        <v/>
      </c>
    </row>
    <row r="1458" spans="1:10" x14ac:dyDescent="0.2">
      <c r="A1458">
        <v>226979774327</v>
      </c>
      <c r="B1458" t="s">
        <v>3618</v>
      </c>
      <c r="C1458" t="s">
        <v>3619</v>
      </c>
      <c r="D1458">
        <v>1.99</v>
      </c>
      <c r="F1458" t="str">
        <f t="shared" si="110"/>
        <v>No</v>
      </c>
      <c r="G1458" t="str">
        <f t="shared" si="111"/>
        <v/>
      </c>
      <c r="H1458" t="str">
        <f t="shared" si="112"/>
        <v>—</v>
      </c>
      <c r="I1458" t="str">
        <f t="shared" si="113"/>
        <v>Below thresholds</v>
      </c>
      <c r="J1458" t="str">
        <f t="shared" si="114"/>
        <v/>
      </c>
    </row>
    <row r="1459" spans="1:10" x14ac:dyDescent="0.2">
      <c r="A1459">
        <v>226979774465</v>
      </c>
      <c r="B1459" t="s">
        <v>313</v>
      </c>
      <c r="C1459" t="s">
        <v>3620</v>
      </c>
      <c r="D1459">
        <v>2.99</v>
      </c>
      <c r="F1459" t="str">
        <f t="shared" si="110"/>
        <v>No</v>
      </c>
      <c r="G1459" t="str">
        <f t="shared" si="111"/>
        <v/>
      </c>
      <c r="H1459" t="str">
        <f t="shared" si="112"/>
        <v>—</v>
      </c>
      <c r="I1459" t="str">
        <f t="shared" si="113"/>
        <v>Below thresholds</v>
      </c>
      <c r="J1459" t="str">
        <f t="shared" si="114"/>
        <v/>
      </c>
    </row>
    <row r="1460" spans="1:10" x14ac:dyDescent="0.2">
      <c r="A1460">
        <v>226979774484</v>
      </c>
      <c r="B1460" t="s">
        <v>3621</v>
      </c>
      <c r="C1460" t="s">
        <v>3622</v>
      </c>
      <c r="D1460">
        <v>2.99</v>
      </c>
      <c r="F1460" t="str">
        <f t="shared" si="110"/>
        <v>No</v>
      </c>
      <c r="G1460" t="str">
        <f t="shared" si="111"/>
        <v/>
      </c>
      <c r="H1460" t="str">
        <f t="shared" si="112"/>
        <v>—</v>
      </c>
      <c r="I1460" t="str">
        <f t="shared" si="113"/>
        <v>Below thresholds</v>
      </c>
      <c r="J1460" t="str">
        <f t="shared" si="114"/>
        <v/>
      </c>
    </row>
    <row r="1461" spans="1:10" x14ac:dyDescent="0.2">
      <c r="A1461">
        <v>226979774513</v>
      </c>
      <c r="B1461" t="s">
        <v>3623</v>
      </c>
      <c r="C1461" t="s">
        <v>3624</v>
      </c>
      <c r="D1461">
        <v>3.99</v>
      </c>
      <c r="F1461" t="str">
        <f t="shared" si="110"/>
        <v>No</v>
      </c>
      <c r="G1461" t="str">
        <f t="shared" si="111"/>
        <v/>
      </c>
      <c r="H1461" t="str">
        <f t="shared" si="112"/>
        <v>—</v>
      </c>
      <c r="I1461" t="str">
        <f t="shared" si="113"/>
        <v>Below thresholds</v>
      </c>
      <c r="J1461" t="str">
        <f t="shared" si="114"/>
        <v/>
      </c>
    </row>
    <row r="1462" spans="1:10" x14ac:dyDescent="0.2">
      <c r="A1462">
        <v>226979774553</v>
      </c>
      <c r="B1462" t="s">
        <v>3625</v>
      </c>
      <c r="C1462" t="s">
        <v>3626</v>
      </c>
      <c r="D1462">
        <v>2.9</v>
      </c>
      <c r="F1462" t="str">
        <f t="shared" si="110"/>
        <v>No</v>
      </c>
      <c r="G1462" t="str">
        <f t="shared" si="111"/>
        <v/>
      </c>
      <c r="H1462" t="str">
        <f t="shared" si="112"/>
        <v>—</v>
      </c>
      <c r="I1462" t="str">
        <f t="shared" si="113"/>
        <v>Below thresholds</v>
      </c>
      <c r="J1462" t="str">
        <f t="shared" si="114"/>
        <v/>
      </c>
    </row>
    <row r="1463" spans="1:10" x14ac:dyDescent="0.2">
      <c r="A1463">
        <v>226979774554</v>
      </c>
      <c r="B1463" t="s">
        <v>3627</v>
      </c>
      <c r="C1463" t="s">
        <v>3628</v>
      </c>
      <c r="D1463">
        <v>2.99</v>
      </c>
      <c r="F1463" t="str">
        <f t="shared" si="110"/>
        <v>No</v>
      </c>
      <c r="G1463" t="str">
        <f t="shared" si="111"/>
        <v/>
      </c>
      <c r="H1463" t="str">
        <f t="shared" si="112"/>
        <v>—</v>
      </c>
      <c r="I1463" t="str">
        <f t="shared" si="113"/>
        <v>Below thresholds</v>
      </c>
      <c r="J1463" t="str">
        <f t="shared" si="114"/>
        <v/>
      </c>
    </row>
    <row r="1464" spans="1:10" x14ac:dyDescent="0.2">
      <c r="A1464">
        <v>226979774595</v>
      </c>
      <c r="B1464" t="s">
        <v>3629</v>
      </c>
      <c r="C1464" t="s">
        <v>3630</v>
      </c>
      <c r="D1464">
        <v>2.29</v>
      </c>
      <c r="F1464" t="str">
        <f t="shared" si="110"/>
        <v>No</v>
      </c>
      <c r="G1464" t="str">
        <f t="shared" si="111"/>
        <v/>
      </c>
      <c r="H1464" t="str">
        <f t="shared" si="112"/>
        <v>—</v>
      </c>
      <c r="I1464" t="str">
        <f t="shared" si="113"/>
        <v>Below thresholds</v>
      </c>
      <c r="J1464" t="str">
        <f t="shared" si="114"/>
        <v/>
      </c>
    </row>
    <row r="1465" spans="1:10" x14ac:dyDescent="0.2">
      <c r="A1465">
        <v>226979774623</v>
      </c>
      <c r="B1465" t="s">
        <v>3631</v>
      </c>
      <c r="C1465" t="s">
        <v>3632</v>
      </c>
      <c r="D1465">
        <v>1.99</v>
      </c>
      <c r="F1465" t="str">
        <f t="shared" si="110"/>
        <v>No</v>
      </c>
      <c r="G1465" t="str">
        <f t="shared" si="111"/>
        <v/>
      </c>
      <c r="H1465" t="str">
        <f t="shared" si="112"/>
        <v>—</v>
      </c>
      <c r="I1465" t="str">
        <f t="shared" si="113"/>
        <v>Below thresholds</v>
      </c>
      <c r="J1465" t="str">
        <f t="shared" si="114"/>
        <v/>
      </c>
    </row>
    <row r="1466" spans="1:10" x14ac:dyDescent="0.2">
      <c r="A1466">
        <v>226979774651</v>
      </c>
      <c r="B1466" t="s">
        <v>3633</v>
      </c>
      <c r="C1466" t="s">
        <v>3634</v>
      </c>
      <c r="D1466">
        <v>2.99</v>
      </c>
      <c r="F1466" t="str">
        <f t="shared" si="110"/>
        <v>No</v>
      </c>
      <c r="G1466" t="str">
        <f t="shared" si="111"/>
        <v/>
      </c>
      <c r="H1466" t="str">
        <f t="shared" si="112"/>
        <v>—</v>
      </c>
      <c r="I1466" t="str">
        <f t="shared" si="113"/>
        <v>Below thresholds</v>
      </c>
      <c r="J1466" t="str">
        <f t="shared" si="114"/>
        <v/>
      </c>
    </row>
    <row r="1467" spans="1:10" x14ac:dyDescent="0.2">
      <c r="A1467">
        <v>226979774712</v>
      </c>
      <c r="B1467" t="s">
        <v>3635</v>
      </c>
      <c r="C1467" t="s">
        <v>3636</v>
      </c>
      <c r="D1467">
        <v>2.29</v>
      </c>
      <c r="F1467" t="str">
        <f t="shared" si="110"/>
        <v>No</v>
      </c>
      <c r="G1467" t="str">
        <f t="shared" si="111"/>
        <v/>
      </c>
      <c r="H1467" t="str">
        <f t="shared" si="112"/>
        <v>—</v>
      </c>
      <c r="I1467" t="str">
        <f t="shared" si="113"/>
        <v>Below thresholds</v>
      </c>
      <c r="J1467" t="str">
        <f t="shared" si="114"/>
        <v/>
      </c>
    </row>
    <row r="1468" spans="1:10" x14ac:dyDescent="0.2">
      <c r="A1468">
        <v>226979774801</v>
      </c>
      <c r="B1468" t="s">
        <v>3637</v>
      </c>
      <c r="C1468" t="s">
        <v>3638</v>
      </c>
      <c r="D1468">
        <v>2.29</v>
      </c>
      <c r="F1468" t="str">
        <f t="shared" si="110"/>
        <v>No</v>
      </c>
      <c r="G1468" t="str">
        <f t="shared" si="111"/>
        <v/>
      </c>
      <c r="H1468" t="str">
        <f t="shared" si="112"/>
        <v>—</v>
      </c>
      <c r="I1468" t="str">
        <f t="shared" si="113"/>
        <v>Below thresholds</v>
      </c>
      <c r="J1468" t="str">
        <f t="shared" si="114"/>
        <v/>
      </c>
    </row>
    <row r="1469" spans="1:10" x14ac:dyDescent="0.2">
      <c r="A1469">
        <v>226979774827</v>
      </c>
      <c r="B1469" t="s">
        <v>3070</v>
      </c>
      <c r="C1469" t="s">
        <v>3639</v>
      </c>
      <c r="D1469">
        <v>2.99</v>
      </c>
      <c r="F1469" t="str">
        <f t="shared" si="110"/>
        <v>No</v>
      </c>
      <c r="G1469" t="str">
        <f t="shared" si="111"/>
        <v/>
      </c>
      <c r="H1469" t="str">
        <f t="shared" si="112"/>
        <v>—</v>
      </c>
      <c r="I1469" t="str">
        <f t="shared" si="113"/>
        <v>Below thresholds</v>
      </c>
      <c r="J1469" t="str">
        <f t="shared" si="114"/>
        <v/>
      </c>
    </row>
    <row r="1470" spans="1:10" x14ac:dyDescent="0.2">
      <c r="A1470">
        <v>226979774847</v>
      </c>
      <c r="B1470" t="s">
        <v>3640</v>
      </c>
      <c r="C1470" t="s">
        <v>3641</v>
      </c>
      <c r="D1470">
        <v>1.99</v>
      </c>
      <c r="F1470" t="str">
        <f t="shared" si="110"/>
        <v>No</v>
      </c>
      <c r="G1470" t="str">
        <f t="shared" si="111"/>
        <v/>
      </c>
      <c r="H1470" t="str">
        <f t="shared" si="112"/>
        <v>—</v>
      </c>
      <c r="I1470" t="str">
        <f t="shared" si="113"/>
        <v>Below thresholds</v>
      </c>
      <c r="J1470" t="str">
        <f t="shared" si="114"/>
        <v/>
      </c>
    </row>
    <row r="1471" spans="1:10" x14ac:dyDescent="0.2">
      <c r="A1471">
        <v>226979774862</v>
      </c>
      <c r="B1471" t="s">
        <v>2918</v>
      </c>
      <c r="C1471" t="s">
        <v>3642</v>
      </c>
      <c r="D1471">
        <v>1.99</v>
      </c>
      <c r="F1471" t="str">
        <f t="shared" si="110"/>
        <v>No</v>
      </c>
      <c r="G1471" t="str">
        <f t="shared" si="111"/>
        <v/>
      </c>
      <c r="H1471" t="str">
        <f t="shared" si="112"/>
        <v>—</v>
      </c>
      <c r="I1471" t="str">
        <f t="shared" si="113"/>
        <v>Below thresholds</v>
      </c>
      <c r="J1471" t="str">
        <f t="shared" si="114"/>
        <v/>
      </c>
    </row>
    <row r="1472" spans="1:10" x14ac:dyDescent="0.2">
      <c r="A1472">
        <v>226979774873</v>
      </c>
      <c r="B1472" t="s">
        <v>3643</v>
      </c>
      <c r="C1472" t="s">
        <v>3644</v>
      </c>
      <c r="D1472">
        <v>1.99</v>
      </c>
      <c r="F1472" t="str">
        <f t="shared" si="110"/>
        <v>No</v>
      </c>
      <c r="G1472" t="str">
        <f t="shared" si="111"/>
        <v/>
      </c>
      <c r="H1472" t="str">
        <f t="shared" si="112"/>
        <v>—</v>
      </c>
      <c r="I1472" t="str">
        <f t="shared" si="113"/>
        <v>Below thresholds</v>
      </c>
      <c r="J1472" t="str">
        <f t="shared" si="114"/>
        <v/>
      </c>
    </row>
    <row r="1473" spans="1:10" x14ac:dyDescent="0.2">
      <c r="A1473">
        <v>226979774896</v>
      </c>
      <c r="B1473" t="s">
        <v>3645</v>
      </c>
      <c r="C1473" t="s">
        <v>3646</v>
      </c>
      <c r="D1473">
        <v>1.99</v>
      </c>
      <c r="F1473" t="str">
        <f t="shared" si="110"/>
        <v>No</v>
      </c>
      <c r="G1473" t="str">
        <f t="shared" si="111"/>
        <v/>
      </c>
      <c r="H1473" t="str">
        <f t="shared" si="112"/>
        <v>—</v>
      </c>
      <c r="I1473" t="str">
        <f t="shared" si="113"/>
        <v>Below thresholds</v>
      </c>
      <c r="J1473" t="str">
        <f t="shared" si="114"/>
        <v/>
      </c>
    </row>
    <row r="1474" spans="1:10" x14ac:dyDescent="0.2">
      <c r="A1474">
        <v>226979774922</v>
      </c>
      <c r="B1474" t="s">
        <v>3647</v>
      </c>
      <c r="C1474" t="s">
        <v>3648</v>
      </c>
      <c r="D1474">
        <v>1.99</v>
      </c>
      <c r="F1474" t="str">
        <f t="shared" si="110"/>
        <v>No</v>
      </c>
      <c r="G1474" t="str">
        <f t="shared" si="111"/>
        <v/>
      </c>
      <c r="H1474" t="str">
        <f t="shared" si="112"/>
        <v>—</v>
      </c>
      <c r="I1474" t="str">
        <f t="shared" si="113"/>
        <v>Below thresholds</v>
      </c>
      <c r="J1474" t="str">
        <f t="shared" si="114"/>
        <v/>
      </c>
    </row>
    <row r="1475" spans="1:10" x14ac:dyDescent="0.2">
      <c r="A1475">
        <v>226979774933</v>
      </c>
      <c r="B1475" t="s">
        <v>3649</v>
      </c>
      <c r="C1475" t="s">
        <v>3650</v>
      </c>
      <c r="D1475">
        <v>2.4900000000000002</v>
      </c>
      <c r="F1475" t="str">
        <f t="shared" si="110"/>
        <v>No</v>
      </c>
      <c r="G1475" t="str">
        <f t="shared" si="111"/>
        <v/>
      </c>
      <c r="H1475" t="str">
        <f t="shared" si="112"/>
        <v>—</v>
      </c>
      <c r="I1475" t="str">
        <f t="shared" si="113"/>
        <v>Below thresholds</v>
      </c>
      <c r="J1475" t="str">
        <f t="shared" si="114"/>
        <v/>
      </c>
    </row>
    <row r="1476" spans="1:10" x14ac:dyDescent="0.2">
      <c r="A1476">
        <v>226979774954</v>
      </c>
      <c r="B1476" t="s">
        <v>3651</v>
      </c>
      <c r="C1476" t="s">
        <v>3652</v>
      </c>
      <c r="D1476">
        <v>2.09</v>
      </c>
      <c r="F1476" t="str">
        <f t="shared" si="110"/>
        <v>No</v>
      </c>
      <c r="G1476" t="str">
        <f t="shared" si="111"/>
        <v/>
      </c>
      <c r="H1476" t="str">
        <f t="shared" si="112"/>
        <v>—</v>
      </c>
      <c r="I1476" t="str">
        <f t="shared" si="113"/>
        <v>Below thresholds</v>
      </c>
      <c r="J1476" t="str">
        <f t="shared" si="114"/>
        <v/>
      </c>
    </row>
    <row r="1477" spans="1:10" x14ac:dyDescent="0.2">
      <c r="A1477">
        <v>226979774962</v>
      </c>
      <c r="B1477" t="s">
        <v>3653</v>
      </c>
      <c r="C1477" t="s">
        <v>3654</v>
      </c>
      <c r="D1477">
        <v>2.99</v>
      </c>
      <c r="F1477" t="str">
        <f t="shared" ref="F1477:F1540" si="115">IF($B1477="","",IF(ISNUMBER(SEARCH("PSA",$B1477)),"Yes","No"))</f>
        <v>No</v>
      </c>
      <c r="G1477" t="str">
        <f t="shared" ref="G1477:G1540" si="116">IF($B1477="","",IF(ISNUMBER(SEARCH("PSA 10",$B1477)),10,IF(ISNUMBER(SEARCH("PSA 9.5",$B1477)),9.5,IF(ISNUMBER(SEARCH("PSA 9",$B1477)),9,IF(ISNUMBER(SEARCH("PSA 8",$B1477)),8,IF(ISNUMBER(SEARCH("PSA",$B1477)),"&lt;9",""))))))</f>
        <v/>
      </c>
      <c r="H1477" t="str">
        <f t="shared" ref="H1477:H1540" si="117">IF($B1477="","",IF($D1477&gt;=100,"TIER 2",IF(OR(ISNUMBER(SEARCH("PSA 10",$B1477)),ISNUMBER(SEARCH("PSA 9.5",$B1477)),ISNUMBER(SEARCH("PSA 9",$B1477))),"TIER 3",IF(AND($D1477&gt;20,N($E1477)&gt;=15),"TIER 1","—"))))</f>
        <v>—</v>
      </c>
      <c r="I1477" t="str">
        <f t="shared" ref="I1477:I1540" si="118">IF($B1477="","",IF($D1477&gt;=100,"Premium $100+ (auto)",IF(OR(ISNUMBER(SEARCH("PSA 10",$B1477)),ISNUMBER(SEARCH("PSA 9.5",$B1477)),ISNUMBER(SEARCH("PSA 9",$B1477))),"Graded PSA 9+ (auto)",IF(AND($D1477&gt;20,N($E1477)&gt;=15),"Hot: $20+ &amp; "&amp;$E1477&amp;"/day",IF($D1477&gt;20,"$20+ — needs velocity check","Below thresholds")))))</f>
        <v>Below thresholds</v>
      </c>
      <c r="J1477" t="str">
        <f t="shared" ref="J1477:J1540" si="119">IF($B1477="","",IF(AND($D1477&gt;20,$D1477&lt;100,NOT(OR(ISNUMBER(SEARCH("PSA 10",$B1477)),ISNUMBER(SEARCH("PSA 9.5",$B1477)),ISNUMBER(SEARCH("PSA 9",$B1477)))),$E1477=""),"YES — pull CardHedger",""))</f>
        <v/>
      </c>
    </row>
    <row r="1478" spans="1:10" x14ac:dyDescent="0.2">
      <c r="A1478">
        <v>226979774993</v>
      </c>
      <c r="B1478" t="s">
        <v>3655</v>
      </c>
      <c r="C1478" t="s">
        <v>3656</v>
      </c>
      <c r="D1478">
        <v>1.99</v>
      </c>
      <c r="F1478" t="str">
        <f t="shared" si="115"/>
        <v>No</v>
      </c>
      <c r="G1478" t="str">
        <f t="shared" si="116"/>
        <v/>
      </c>
      <c r="H1478" t="str">
        <f t="shared" si="117"/>
        <v>—</v>
      </c>
      <c r="I1478" t="str">
        <f t="shared" si="118"/>
        <v>Below thresholds</v>
      </c>
      <c r="J1478" t="str">
        <f t="shared" si="119"/>
        <v/>
      </c>
    </row>
    <row r="1479" spans="1:10" x14ac:dyDescent="0.2">
      <c r="A1479">
        <v>226979774994</v>
      </c>
      <c r="B1479" t="s">
        <v>3657</v>
      </c>
      <c r="C1479" t="s">
        <v>3658</v>
      </c>
      <c r="D1479">
        <v>2.99</v>
      </c>
      <c r="F1479" t="str">
        <f t="shared" si="115"/>
        <v>No</v>
      </c>
      <c r="G1479" t="str">
        <f t="shared" si="116"/>
        <v/>
      </c>
      <c r="H1479" t="str">
        <f t="shared" si="117"/>
        <v>—</v>
      </c>
      <c r="I1479" t="str">
        <f t="shared" si="118"/>
        <v>Below thresholds</v>
      </c>
      <c r="J1479" t="str">
        <f t="shared" si="119"/>
        <v/>
      </c>
    </row>
    <row r="1480" spans="1:10" x14ac:dyDescent="0.2">
      <c r="A1480">
        <v>226979775021</v>
      </c>
      <c r="B1480" t="s">
        <v>3659</v>
      </c>
      <c r="C1480" t="s">
        <v>3660</v>
      </c>
      <c r="D1480">
        <v>1.99</v>
      </c>
      <c r="F1480" t="str">
        <f t="shared" si="115"/>
        <v>No</v>
      </c>
      <c r="G1480" t="str">
        <f t="shared" si="116"/>
        <v/>
      </c>
      <c r="H1480" t="str">
        <f t="shared" si="117"/>
        <v>—</v>
      </c>
      <c r="I1480" t="str">
        <f t="shared" si="118"/>
        <v>Below thresholds</v>
      </c>
      <c r="J1480" t="str">
        <f t="shared" si="119"/>
        <v/>
      </c>
    </row>
    <row r="1481" spans="1:10" x14ac:dyDescent="0.2">
      <c r="A1481">
        <v>226979775022</v>
      </c>
      <c r="B1481" t="s">
        <v>3661</v>
      </c>
      <c r="C1481" t="s">
        <v>3662</v>
      </c>
      <c r="D1481">
        <v>1.99</v>
      </c>
      <c r="F1481" t="str">
        <f t="shared" si="115"/>
        <v>No</v>
      </c>
      <c r="G1481" t="str">
        <f t="shared" si="116"/>
        <v/>
      </c>
      <c r="H1481" t="str">
        <f t="shared" si="117"/>
        <v>—</v>
      </c>
      <c r="I1481" t="str">
        <f t="shared" si="118"/>
        <v>Below thresholds</v>
      </c>
      <c r="J1481" t="str">
        <f t="shared" si="119"/>
        <v/>
      </c>
    </row>
    <row r="1482" spans="1:10" x14ac:dyDescent="0.2">
      <c r="A1482">
        <v>226983228194</v>
      </c>
      <c r="B1482" t="s">
        <v>3663</v>
      </c>
      <c r="C1482" t="s">
        <v>3664</v>
      </c>
      <c r="D1482">
        <v>2.09</v>
      </c>
      <c r="F1482" t="str">
        <f t="shared" si="115"/>
        <v>No</v>
      </c>
      <c r="G1482" t="str">
        <f t="shared" si="116"/>
        <v/>
      </c>
      <c r="H1482" t="str">
        <f t="shared" si="117"/>
        <v>—</v>
      </c>
      <c r="I1482" t="str">
        <f t="shared" si="118"/>
        <v>Below thresholds</v>
      </c>
      <c r="J1482" t="str">
        <f t="shared" si="119"/>
        <v/>
      </c>
    </row>
    <row r="1483" spans="1:10" x14ac:dyDescent="0.2">
      <c r="A1483">
        <v>226983228226</v>
      </c>
      <c r="B1483" t="s">
        <v>3665</v>
      </c>
      <c r="C1483" t="s">
        <v>3666</v>
      </c>
      <c r="D1483">
        <v>2.69</v>
      </c>
      <c r="F1483" t="str">
        <f t="shared" si="115"/>
        <v>No</v>
      </c>
      <c r="G1483" t="str">
        <f t="shared" si="116"/>
        <v/>
      </c>
      <c r="H1483" t="str">
        <f t="shared" si="117"/>
        <v>—</v>
      </c>
      <c r="I1483" t="str">
        <f t="shared" si="118"/>
        <v>Below thresholds</v>
      </c>
      <c r="J1483" t="str">
        <f t="shared" si="119"/>
        <v/>
      </c>
    </row>
    <row r="1484" spans="1:10" x14ac:dyDescent="0.2">
      <c r="A1484">
        <v>226983228272</v>
      </c>
      <c r="B1484" t="s">
        <v>3667</v>
      </c>
      <c r="C1484" t="s">
        <v>3668</v>
      </c>
      <c r="D1484">
        <v>2.09</v>
      </c>
      <c r="F1484" t="str">
        <f t="shared" si="115"/>
        <v>No</v>
      </c>
      <c r="G1484" t="str">
        <f t="shared" si="116"/>
        <v/>
      </c>
      <c r="H1484" t="str">
        <f t="shared" si="117"/>
        <v>—</v>
      </c>
      <c r="I1484" t="str">
        <f t="shared" si="118"/>
        <v>Below thresholds</v>
      </c>
      <c r="J1484" t="str">
        <f t="shared" si="119"/>
        <v/>
      </c>
    </row>
    <row r="1485" spans="1:10" x14ac:dyDescent="0.2">
      <c r="A1485">
        <v>226983228287</v>
      </c>
      <c r="B1485" t="s">
        <v>3669</v>
      </c>
      <c r="C1485" t="s">
        <v>3670</v>
      </c>
      <c r="D1485">
        <v>2.09</v>
      </c>
      <c r="F1485" t="str">
        <f t="shared" si="115"/>
        <v>No</v>
      </c>
      <c r="G1485" t="str">
        <f t="shared" si="116"/>
        <v/>
      </c>
      <c r="H1485" t="str">
        <f t="shared" si="117"/>
        <v>—</v>
      </c>
      <c r="I1485" t="str">
        <f t="shared" si="118"/>
        <v>Below thresholds</v>
      </c>
      <c r="J1485" t="str">
        <f t="shared" si="119"/>
        <v/>
      </c>
    </row>
    <row r="1486" spans="1:10" x14ac:dyDescent="0.2">
      <c r="A1486">
        <v>226983228351</v>
      </c>
      <c r="B1486" t="s">
        <v>3671</v>
      </c>
      <c r="C1486" t="s">
        <v>3672</v>
      </c>
      <c r="D1486">
        <v>2.09</v>
      </c>
      <c r="F1486" t="str">
        <f t="shared" si="115"/>
        <v>No</v>
      </c>
      <c r="G1486" t="str">
        <f t="shared" si="116"/>
        <v/>
      </c>
      <c r="H1486" t="str">
        <f t="shared" si="117"/>
        <v>—</v>
      </c>
      <c r="I1486" t="str">
        <f t="shared" si="118"/>
        <v>Below thresholds</v>
      </c>
      <c r="J1486" t="str">
        <f t="shared" si="119"/>
        <v/>
      </c>
    </row>
    <row r="1487" spans="1:10" x14ac:dyDescent="0.2">
      <c r="A1487">
        <v>226983228363</v>
      </c>
      <c r="B1487" t="s">
        <v>3673</v>
      </c>
      <c r="C1487" t="s">
        <v>3674</v>
      </c>
      <c r="D1487">
        <v>2.09</v>
      </c>
      <c r="F1487" t="str">
        <f t="shared" si="115"/>
        <v>No</v>
      </c>
      <c r="G1487" t="str">
        <f t="shared" si="116"/>
        <v/>
      </c>
      <c r="H1487" t="str">
        <f t="shared" si="117"/>
        <v>—</v>
      </c>
      <c r="I1487" t="str">
        <f t="shared" si="118"/>
        <v>Below thresholds</v>
      </c>
      <c r="J1487" t="str">
        <f t="shared" si="119"/>
        <v/>
      </c>
    </row>
    <row r="1488" spans="1:10" x14ac:dyDescent="0.2">
      <c r="A1488">
        <v>226983228414</v>
      </c>
      <c r="B1488" t="s">
        <v>3675</v>
      </c>
      <c r="C1488" t="s">
        <v>3676</v>
      </c>
      <c r="D1488">
        <v>2.09</v>
      </c>
      <c r="F1488" t="str">
        <f t="shared" si="115"/>
        <v>No</v>
      </c>
      <c r="G1488" t="str">
        <f t="shared" si="116"/>
        <v/>
      </c>
      <c r="H1488" t="str">
        <f t="shared" si="117"/>
        <v>—</v>
      </c>
      <c r="I1488" t="str">
        <f t="shared" si="118"/>
        <v>Below thresholds</v>
      </c>
      <c r="J1488" t="str">
        <f t="shared" si="119"/>
        <v/>
      </c>
    </row>
    <row r="1489" spans="1:10" x14ac:dyDescent="0.2">
      <c r="A1489">
        <v>226983228419</v>
      </c>
      <c r="B1489" t="s">
        <v>3677</v>
      </c>
      <c r="C1489" t="s">
        <v>3678</v>
      </c>
      <c r="D1489">
        <v>2.09</v>
      </c>
      <c r="F1489" t="str">
        <f t="shared" si="115"/>
        <v>No</v>
      </c>
      <c r="G1489" t="str">
        <f t="shared" si="116"/>
        <v/>
      </c>
      <c r="H1489" t="str">
        <f t="shared" si="117"/>
        <v>—</v>
      </c>
      <c r="I1489" t="str">
        <f t="shared" si="118"/>
        <v>Below thresholds</v>
      </c>
      <c r="J1489" t="str">
        <f t="shared" si="119"/>
        <v/>
      </c>
    </row>
    <row r="1490" spans="1:10" x14ac:dyDescent="0.2">
      <c r="A1490">
        <v>226983228465</v>
      </c>
      <c r="B1490" t="s">
        <v>3679</v>
      </c>
      <c r="C1490" t="s">
        <v>3680</v>
      </c>
      <c r="D1490">
        <v>2.09</v>
      </c>
      <c r="F1490" t="str">
        <f t="shared" si="115"/>
        <v>No</v>
      </c>
      <c r="G1490" t="str">
        <f t="shared" si="116"/>
        <v/>
      </c>
      <c r="H1490" t="str">
        <f t="shared" si="117"/>
        <v>—</v>
      </c>
      <c r="I1490" t="str">
        <f t="shared" si="118"/>
        <v>Below thresholds</v>
      </c>
      <c r="J1490" t="str">
        <f t="shared" si="119"/>
        <v/>
      </c>
    </row>
    <row r="1491" spans="1:10" x14ac:dyDescent="0.2">
      <c r="A1491">
        <v>226983228674</v>
      </c>
      <c r="B1491" t="s">
        <v>3681</v>
      </c>
      <c r="C1491" t="s">
        <v>3682</v>
      </c>
      <c r="D1491">
        <v>2.09</v>
      </c>
      <c r="F1491" t="str">
        <f t="shared" si="115"/>
        <v>No</v>
      </c>
      <c r="G1491" t="str">
        <f t="shared" si="116"/>
        <v/>
      </c>
      <c r="H1491" t="str">
        <f t="shared" si="117"/>
        <v>—</v>
      </c>
      <c r="I1491" t="str">
        <f t="shared" si="118"/>
        <v>Below thresholds</v>
      </c>
      <c r="J1491" t="str">
        <f t="shared" si="119"/>
        <v/>
      </c>
    </row>
    <row r="1492" spans="1:10" x14ac:dyDescent="0.2">
      <c r="A1492">
        <v>226983228761</v>
      </c>
      <c r="B1492" t="s">
        <v>3683</v>
      </c>
      <c r="C1492" t="s">
        <v>3684</v>
      </c>
      <c r="D1492">
        <v>1.99</v>
      </c>
      <c r="F1492" t="str">
        <f t="shared" si="115"/>
        <v>No</v>
      </c>
      <c r="G1492" t="str">
        <f t="shared" si="116"/>
        <v/>
      </c>
      <c r="H1492" t="str">
        <f t="shared" si="117"/>
        <v>—</v>
      </c>
      <c r="I1492" t="str">
        <f t="shared" si="118"/>
        <v>Below thresholds</v>
      </c>
      <c r="J1492" t="str">
        <f t="shared" si="119"/>
        <v/>
      </c>
    </row>
    <row r="1493" spans="1:10" x14ac:dyDescent="0.2">
      <c r="A1493">
        <v>226983228969</v>
      </c>
      <c r="B1493" t="s">
        <v>3685</v>
      </c>
      <c r="C1493" t="s">
        <v>3686</v>
      </c>
      <c r="D1493">
        <v>2.09</v>
      </c>
      <c r="F1493" t="str">
        <f t="shared" si="115"/>
        <v>No</v>
      </c>
      <c r="G1493" t="str">
        <f t="shared" si="116"/>
        <v/>
      </c>
      <c r="H1493" t="str">
        <f t="shared" si="117"/>
        <v>—</v>
      </c>
      <c r="I1493" t="str">
        <f t="shared" si="118"/>
        <v>Below thresholds</v>
      </c>
      <c r="J1493" t="str">
        <f t="shared" si="119"/>
        <v/>
      </c>
    </row>
    <row r="1494" spans="1:10" x14ac:dyDescent="0.2">
      <c r="A1494">
        <v>226983229023</v>
      </c>
      <c r="B1494" t="s">
        <v>3687</v>
      </c>
      <c r="C1494" t="s">
        <v>3688</v>
      </c>
      <c r="D1494">
        <v>2.09</v>
      </c>
      <c r="F1494" t="str">
        <f t="shared" si="115"/>
        <v>No</v>
      </c>
      <c r="G1494" t="str">
        <f t="shared" si="116"/>
        <v/>
      </c>
      <c r="H1494" t="str">
        <f t="shared" si="117"/>
        <v>—</v>
      </c>
      <c r="I1494" t="str">
        <f t="shared" si="118"/>
        <v>Below thresholds</v>
      </c>
      <c r="J1494" t="str">
        <f t="shared" si="119"/>
        <v/>
      </c>
    </row>
    <row r="1495" spans="1:10" x14ac:dyDescent="0.2">
      <c r="A1495">
        <v>226983229144</v>
      </c>
      <c r="B1495" t="s">
        <v>3689</v>
      </c>
      <c r="C1495" t="s">
        <v>3690</v>
      </c>
      <c r="D1495">
        <v>1.99</v>
      </c>
      <c r="F1495" t="str">
        <f t="shared" si="115"/>
        <v>No</v>
      </c>
      <c r="G1495" t="str">
        <f t="shared" si="116"/>
        <v/>
      </c>
      <c r="H1495" t="str">
        <f t="shared" si="117"/>
        <v>—</v>
      </c>
      <c r="I1495" t="str">
        <f t="shared" si="118"/>
        <v>Below thresholds</v>
      </c>
      <c r="J1495" t="str">
        <f t="shared" si="119"/>
        <v/>
      </c>
    </row>
    <row r="1496" spans="1:10" x14ac:dyDescent="0.2">
      <c r="A1496">
        <v>226983229213</v>
      </c>
      <c r="B1496" t="s">
        <v>3691</v>
      </c>
      <c r="C1496" t="s">
        <v>3692</v>
      </c>
      <c r="D1496">
        <v>1.99</v>
      </c>
      <c r="F1496" t="str">
        <f t="shared" si="115"/>
        <v>No</v>
      </c>
      <c r="G1496" t="str">
        <f t="shared" si="116"/>
        <v/>
      </c>
      <c r="H1496" t="str">
        <f t="shared" si="117"/>
        <v>—</v>
      </c>
      <c r="I1496" t="str">
        <f t="shared" si="118"/>
        <v>Below thresholds</v>
      </c>
      <c r="J1496" t="str">
        <f t="shared" si="119"/>
        <v/>
      </c>
    </row>
    <row r="1497" spans="1:10" x14ac:dyDescent="0.2">
      <c r="A1497">
        <v>226983229214</v>
      </c>
      <c r="B1497" t="s">
        <v>3693</v>
      </c>
      <c r="C1497" t="s">
        <v>3694</v>
      </c>
      <c r="D1497">
        <v>1.99</v>
      </c>
      <c r="F1497" t="str">
        <f t="shared" si="115"/>
        <v>No</v>
      </c>
      <c r="G1497" t="str">
        <f t="shared" si="116"/>
        <v/>
      </c>
      <c r="H1497" t="str">
        <f t="shared" si="117"/>
        <v>—</v>
      </c>
      <c r="I1497" t="str">
        <f t="shared" si="118"/>
        <v>Below thresholds</v>
      </c>
      <c r="J1497" t="str">
        <f t="shared" si="119"/>
        <v/>
      </c>
    </row>
    <row r="1498" spans="1:10" x14ac:dyDescent="0.2">
      <c r="A1498">
        <v>226983229550</v>
      </c>
      <c r="B1498" t="s">
        <v>3695</v>
      </c>
      <c r="C1498" t="s">
        <v>3696</v>
      </c>
      <c r="D1498">
        <v>3.69</v>
      </c>
      <c r="F1498" t="str">
        <f t="shared" si="115"/>
        <v>No</v>
      </c>
      <c r="G1498" t="str">
        <f t="shared" si="116"/>
        <v/>
      </c>
      <c r="H1498" t="str">
        <f t="shared" si="117"/>
        <v>—</v>
      </c>
      <c r="I1498" t="str">
        <f t="shared" si="118"/>
        <v>Below thresholds</v>
      </c>
      <c r="J1498" t="str">
        <f t="shared" si="119"/>
        <v/>
      </c>
    </row>
    <row r="1499" spans="1:10" x14ac:dyDescent="0.2">
      <c r="A1499">
        <v>226983229553</v>
      </c>
      <c r="B1499" t="s">
        <v>3697</v>
      </c>
      <c r="C1499" t="s">
        <v>3698</v>
      </c>
      <c r="D1499">
        <v>2.09</v>
      </c>
      <c r="F1499" t="str">
        <f t="shared" si="115"/>
        <v>No</v>
      </c>
      <c r="G1499" t="str">
        <f t="shared" si="116"/>
        <v/>
      </c>
      <c r="H1499" t="str">
        <f t="shared" si="117"/>
        <v>—</v>
      </c>
      <c r="I1499" t="str">
        <f t="shared" si="118"/>
        <v>Below thresholds</v>
      </c>
      <c r="J1499" t="str">
        <f t="shared" si="119"/>
        <v/>
      </c>
    </row>
    <row r="1500" spans="1:10" x14ac:dyDescent="0.2">
      <c r="A1500">
        <v>226983229618</v>
      </c>
      <c r="B1500" t="s">
        <v>3699</v>
      </c>
      <c r="C1500" t="s">
        <v>3700</v>
      </c>
      <c r="D1500">
        <v>2.09</v>
      </c>
      <c r="F1500" t="str">
        <f t="shared" si="115"/>
        <v>No</v>
      </c>
      <c r="G1500" t="str">
        <f t="shared" si="116"/>
        <v/>
      </c>
      <c r="H1500" t="str">
        <f t="shared" si="117"/>
        <v>—</v>
      </c>
      <c r="I1500" t="str">
        <f t="shared" si="118"/>
        <v>Below thresholds</v>
      </c>
      <c r="J1500" t="str">
        <f t="shared" si="119"/>
        <v/>
      </c>
    </row>
    <row r="1501" spans="1:10" x14ac:dyDescent="0.2">
      <c r="A1501">
        <v>226983229643</v>
      </c>
      <c r="B1501" t="s">
        <v>3701</v>
      </c>
      <c r="C1501" t="s">
        <v>3702</v>
      </c>
      <c r="D1501">
        <v>2.09</v>
      </c>
      <c r="F1501" t="str">
        <f t="shared" si="115"/>
        <v>No</v>
      </c>
      <c r="G1501" t="str">
        <f t="shared" si="116"/>
        <v/>
      </c>
      <c r="H1501" t="str">
        <f t="shared" si="117"/>
        <v>—</v>
      </c>
      <c r="I1501" t="str">
        <f t="shared" si="118"/>
        <v>Below thresholds</v>
      </c>
      <c r="J1501" t="str">
        <f t="shared" si="119"/>
        <v/>
      </c>
    </row>
    <row r="1502" spans="1:10" x14ac:dyDescent="0.2">
      <c r="A1502">
        <v>226983230037</v>
      </c>
      <c r="B1502" t="s">
        <v>3703</v>
      </c>
      <c r="C1502" t="s">
        <v>3704</v>
      </c>
      <c r="D1502">
        <v>2.59</v>
      </c>
      <c r="F1502" t="str">
        <f t="shared" si="115"/>
        <v>No</v>
      </c>
      <c r="G1502" t="str">
        <f t="shared" si="116"/>
        <v/>
      </c>
      <c r="H1502" t="str">
        <f t="shared" si="117"/>
        <v>—</v>
      </c>
      <c r="I1502" t="str">
        <f t="shared" si="118"/>
        <v>Below thresholds</v>
      </c>
      <c r="J1502" t="str">
        <f t="shared" si="119"/>
        <v/>
      </c>
    </row>
    <row r="1503" spans="1:10" x14ac:dyDescent="0.2">
      <c r="A1503">
        <v>226983230039</v>
      </c>
      <c r="B1503" t="s">
        <v>3705</v>
      </c>
      <c r="C1503" t="s">
        <v>3706</v>
      </c>
      <c r="D1503">
        <v>2.99</v>
      </c>
      <c r="F1503" t="str">
        <f t="shared" si="115"/>
        <v>No</v>
      </c>
      <c r="G1503" t="str">
        <f t="shared" si="116"/>
        <v/>
      </c>
      <c r="H1503" t="str">
        <f t="shared" si="117"/>
        <v>—</v>
      </c>
      <c r="I1503" t="str">
        <f t="shared" si="118"/>
        <v>Below thresholds</v>
      </c>
      <c r="J1503" t="str">
        <f t="shared" si="119"/>
        <v/>
      </c>
    </row>
    <row r="1504" spans="1:10" x14ac:dyDescent="0.2">
      <c r="A1504">
        <v>226983230120</v>
      </c>
      <c r="B1504" t="s">
        <v>3707</v>
      </c>
      <c r="C1504" t="s">
        <v>3708</v>
      </c>
      <c r="D1504">
        <v>2.99</v>
      </c>
      <c r="F1504" t="str">
        <f t="shared" si="115"/>
        <v>No</v>
      </c>
      <c r="G1504" t="str">
        <f t="shared" si="116"/>
        <v/>
      </c>
      <c r="H1504" t="str">
        <f t="shared" si="117"/>
        <v>—</v>
      </c>
      <c r="I1504" t="str">
        <f t="shared" si="118"/>
        <v>Below thresholds</v>
      </c>
      <c r="J1504" t="str">
        <f t="shared" si="119"/>
        <v/>
      </c>
    </row>
    <row r="1505" spans="1:10" x14ac:dyDescent="0.2">
      <c r="A1505">
        <v>226983240993</v>
      </c>
      <c r="B1505" t="s">
        <v>3709</v>
      </c>
      <c r="C1505" t="s">
        <v>3710</v>
      </c>
      <c r="D1505">
        <v>2.99</v>
      </c>
      <c r="F1505" t="str">
        <f t="shared" si="115"/>
        <v>No</v>
      </c>
      <c r="G1505" t="str">
        <f t="shared" si="116"/>
        <v/>
      </c>
      <c r="H1505" t="str">
        <f t="shared" si="117"/>
        <v>—</v>
      </c>
      <c r="I1505" t="str">
        <f t="shared" si="118"/>
        <v>Below thresholds</v>
      </c>
      <c r="J1505" t="str">
        <f t="shared" si="119"/>
        <v/>
      </c>
    </row>
    <row r="1506" spans="1:10" x14ac:dyDescent="0.2">
      <c r="A1506">
        <v>226983241056</v>
      </c>
      <c r="B1506" t="s">
        <v>3711</v>
      </c>
      <c r="C1506" t="s">
        <v>3712</v>
      </c>
      <c r="D1506">
        <v>2.69</v>
      </c>
      <c r="F1506" t="str">
        <f t="shared" si="115"/>
        <v>No</v>
      </c>
      <c r="G1506" t="str">
        <f t="shared" si="116"/>
        <v/>
      </c>
      <c r="H1506" t="str">
        <f t="shared" si="117"/>
        <v>—</v>
      </c>
      <c r="I1506" t="str">
        <f t="shared" si="118"/>
        <v>Below thresholds</v>
      </c>
      <c r="J1506" t="str">
        <f t="shared" si="119"/>
        <v/>
      </c>
    </row>
    <row r="1507" spans="1:10" x14ac:dyDescent="0.2">
      <c r="A1507">
        <v>226983241089</v>
      </c>
      <c r="B1507" t="s">
        <v>3713</v>
      </c>
      <c r="C1507" t="s">
        <v>3714</v>
      </c>
      <c r="D1507">
        <v>2.99</v>
      </c>
      <c r="F1507" t="str">
        <f t="shared" si="115"/>
        <v>No</v>
      </c>
      <c r="G1507" t="str">
        <f t="shared" si="116"/>
        <v/>
      </c>
      <c r="H1507" t="str">
        <f t="shared" si="117"/>
        <v>—</v>
      </c>
      <c r="I1507" t="str">
        <f t="shared" si="118"/>
        <v>Below thresholds</v>
      </c>
      <c r="J1507" t="str">
        <f t="shared" si="119"/>
        <v/>
      </c>
    </row>
    <row r="1508" spans="1:10" x14ac:dyDescent="0.2">
      <c r="A1508">
        <v>226984269301</v>
      </c>
      <c r="B1508" t="s">
        <v>3715</v>
      </c>
      <c r="C1508" t="s">
        <v>3716</v>
      </c>
      <c r="D1508">
        <v>15</v>
      </c>
      <c r="F1508" t="str">
        <f t="shared" si="115"/>
        <v>Yes</v>
      </c>
      <c r="G1508">
        <f t="shared" si="116"/>
        <v>9</v>
      </c>
      <c r="H1508" t="str">
        <f t="shared" si="117"/>
        <v>TIER 3</v>
      </c>
      <c r="I1508" t="str">
        <f t="shared" si="118"/>
        <v>Graded PSA 9+ (auto)</v>
      </c>
      <c r="J1508" t="str">
        <f t="shared" si="119"/>
        <v/>
      </c>
    </row>
    <row r="1509" spans="1:10" x14ac:dyDescent="0.2">
      <c r="A1509">
        <v>226987526716</v>
      </c>
      <c r="B1509" t="s">
        <v>3717</v>
      </c>
      <c r="C1509" t="s">
        <v>3718</v>
      </c>
      <c r="D1509">
        <v>2.09</v>
      </c>
      <c r="F1509" t="str">
        <f t="shared" si="115"/>
        <v>No</v>
      </c>
      <c r="G1509" t="str">
        <f t="shared" si="116"/>
        <v/>
      </c>
      <c r="H1509" t="str">
        <f t="shared" si="117"/>
        <v>—</v>
      </c>
      <c r="I1509" t="str">
        <f t="shared" si="118"/>
        <v>Below thresholds</v>
      </c>
      <c r="J1509" t="str">
        <f t="shared" si="119"/>
        <v/>
      </c>
    </row>
    <row r="1510" spans="1:10" x14ac:dyDescent="0.2">
      <c r="A1510">
        <v>226987526719</v>
      </c>
      <c r="B1510" t="s">
        <v>3719</v>
      </c>
      <c r="C1510" t="s">
        <v>3720</v>
      </c>
      <c r="D1510">
        <v>2.09</v>
      </c>
      <c r="F1510" t="str">
        <f t="shared" si="115"/>
        <v>No</v>
      </c>
      <c r="G1510" t="str">
        <f t="shared" si="116"/>
        <v/>
      </c>
      <c r="H1510" t="str">
        <f t="shared" si="117"/>
        <v>—</v>
      </c>
      <c r="I1510" t="str">
        <f t="shared" si="118"/>
        <v>Below thresholds</v>
      </c>
      <c r="J1510" t="str">
        <f t="shared" si="119"/>
        <v/>
      </c>
    </row>
    <row r="1511" spans="1:10" x14ac:dyDescent="0.2">
      <c r="A1511">
        <v>226987526772</v>
      </c>
      <c r="B1511" t="s">
        <v>3721</v>
      </c>
      <c r="C1511" t="s">
        <v>3722</v>
      </c>
      <c r="D1511">
        <v>2.09</v>
      </c>
      <c r="F1511" t="str">
        <f t="shared" si="115"/>
        <v>No</v>
      </c>
      <c r="G1511" t="str">
        <f t="shared" si="116"/>
        <v/>
      </c>
      <c r="H1511" t="str">
        <f t="shared" si="117"/>
        <v>—</v>
      </c>
      <c r="I1511" t="str">
        <f t="shared" si="118"/>
        <v>Below thresholds</v>
      </c>
      <c r="J1511" t="str">
        <f t="shared" si="119"/>
        <v/>
      </c>
    </row>
    <row r="1512" spans="1:10" x14ac:dyDescent="0.2">
      <c r="A1512">
        <v>226987527188</v>
      </c>
      <c r="B1512" t="s">
        <v>3723</v>
      </c>
      <c r="C1512" t="s">
        <v>3724</v>
      </c>
      <c r="D1512">
        <v>2.09</v>
      </c>
      <c r="F1512" t="str">
        <f t="shared" si="115"/>
        <v>No</v>
      </c>
      <c r="G1512" t="str">
        <f t="shared" si="116"/>
        <v/>
      </c>
      <c r="H1512" t="str">
        <f t="shared" si="117"/>
        <v>—</v>
      </c>
      <c r="I1512" t="str">
        <f t="shared" si="118"/>
        <v>Below thresholds</v>
      </c>
      <c r="J1512" t="str">
        <f t="shared" si="119"/>
        <v/>
      </c>
    </row>
    <row r="1513" spans="1:10" x14ac:dyDescent="0.2">
      <c r="A1513">
        <v>226987527708</v>
      </c>
      <c r="B1513" t="s">
        <v>3725</v>
      </c>
      <c r="C1513" t="s">
        <v>3726</v>
      </c>
      <c r="D1513">
        <v>2.09</v>
      </c>
      <c r="F1513" t="str">
        <f t="shared" si="115"/>
        <v>No</v>
      </c>
      <c r="G1513" t="str">
        <f t="shared" si="116"/>
        <v/>
      </c>
      <c r="H1513" t="str">
        <f t="shared" si="117"/>
        <v>—</v>
      </c>
      <c r="I1513" t="str">
        <f t="shared" si="118"/>
        <v>Below thresholds</v>
      </c>
      <c r="J1513" t="str">
        <f t="shared" si="119"/>
        <v/>
      </c>
    </row>
    <row r="1514" spans="1:10" x14ac:dyDescent="0.2">
      <c r="A1514">
        <v>226987527895</v>
      </c>
      <c r="B1514" t="s">
        <v>3727</v>
      </c>
      <c r="C1514" t="s">
        <v>3728</v>
      </c>
      <c r="D1514">
        <v>2.09</v>
      </c>
      <c r="F1514" t="str">
        <f t="shared" si="115"/>
        <v>No</v>
      </c>
      <c r="G1514" t="str">
        <f t="shared" si="116"/>
        <v/>
      </c>
      <c r="H1514" t="str">
        <f t="shared" si="117"/>
        <v>—</v>
      </c>
      <c r="I1514" t="str">
        <f t="shared" si="118"/>
        <v>Below thresholds</v>
      </c>
      <c r="J1514" t="str">
        <f t="shared" si="119"/>
        <v/>
      </c>
    </row>
    <row r="1515" spans="1:10" x14ac:dyDescent="0.2">
      <c r="A1515">
        <v>226987528221</v>
      </c>
      <c r="B1515" t="s">
        <v>3729</v>
      </c>
      <c r="C1515" t="s">
        <v>3730</v>
      </c>
      <c r="D1515">
        <v>2.09</v>
      </c>
      <c r="F1515" t="str">
        <f t="shared" si="115"/>
        <v>No</v>
      </c>
      <c r="G1515" t="str">
        <f t="shared" si="116"/>
        <v/>
      </c>
      <c r="H1515" t="str">
        <f t="shared" si="117"/>
        <v>—</v>
      </c>
      <c r="I1515" t="str">
        <f t="shared" si="118"/>
        <v>Below thresholds</v>
      </c>
      <c r="J1515" t="str">
        <f t="shared" si="119"/>
        <v/>
      </c>
    </row>
    <row r="1516" spans="1:10" x14ac:dyDescent="0.2">
      <c r="A1516">
        <v>226987528379</v>
      </c>
      <c r="B1516" t="s">
        <v>3731</v>
      </c>
      <c r="C1516" t="s">
        <v>3732</v>
      </c>
      <c r="D1516">
        <v>2.09</v>
      </c>
      <c r="F1516" t="str">
        <f t="shared" si="115"/>
        <v>No</v>
      </c>
      <c r="G1516" t="str">
        <f t="shared" si="116"/>
        <v/>
      </c>
      <c r="H1516" t="str">
        <f t="shared" si="117"/>
        <v>—</v>
      </c>
      <c r="I1516" t="str">
        <f t="shared" si="118"/>
        <v>Below thresholds</v>
      </c>
      <c r="J1516" t="str">
        <f t="shared" si="119"/>
        <v/>
      </c>
    </row>
    <row r="1517" spans="1:10" x14ac:dyDescent="0.2">
      <c r="A1517">
        <v>226987528626</v>
      </c>
      <c r="B1517" t="s">
        <v>3733</v>
      </c>
      <c r="C1517" t="s">
        <v>3734</v>
      </c>
      <c r="D1517">
        <v>2.09</v>
      </c>
      <c r="F1517" t="str">
        <f t="shared" si="115"/>
        <v>No</v>
      </c>
      <c r="G1517" t="str">
        <f t="shared" si="116"/>
        <v/>
      </c>
      <c r="H1517" t="str">
        <f t="shared" si="117"/>
        <v>—</v>
      </c>
      <c r="I1517" t="str">
        <f t="shared" si="118"/>
        <v>Below thresholds</v>
      </c>
      <c r="J1517" t="str">
        <f t="shared" si="119"/>
        <v/>
      </c>
    </row>
    <row r="1518" spans="1:10" x14ac:dyDescent="0.2">
      <c r="A1518">
        <v>226987529133</v>
      </c>
      <c r="B1518" t="s">
        <v>3733</v>
      </c>
      <c r="C1518" t="s">
        <v>3735</v>
      </c>
      <c r="D1518">
        <v>2.09</v>
      </c>
      <c r="F1518" t="str">
        <f t="shared" si="115"/>
        <v>No</v>
      </c>
      <c r="G1518" t="str">
        <f t="shared" si="116"/>
        <v/>
      </c>
      <c r="H1518" t="str">
        <f t="shared" si="117"/>
        <v>—</v>
      </c>
      <c r="I1518" t="str">
        <f t="shared" si="118"/>
        <v>Below thresholds</v>
      </c>
      <c r="J1518" t="str">
        <f t="shared" si="119"/>
        <v/>
      </c>
    </row>
    <row r="1519" spans="1:10" x14ac:dyDescent="0.2">
      <c r="A1519">
        <v>226987529208</v>
      </c>
      <c r="B1519" t="s">
        <v>3736</v>
      </c>
      <c r="C1519" t="s">
        <v>3737</v>
      </c>
      <c r="D1519">
        <v>2.19</v>
      </c>
      <c r="F1519" t="str">
        <f t="shared" si="115"/>
        <v>No</v>
      </c>
      <c r="G1519" t="str">
        <f t="shared" si="116"/>
        <v/>
      </c>
      <c r="H1519" t="str">
        <f t="shared" si="117"/>
        <v>—</v>
      </c>
      <c r="I1519" t="str">
        <f t="shared" si="118"/>
        <v>Below thresholds</v>
      </c>
      <c r="J1519" t="str">
        <f t="shared" si="119"/>
        <v/>
      </c>
    </row>
    <row r="1520" spans="1:10" x14ac:dyDescent="0.2">
      <c r="A1520">
        <v>226987529585</v>
      </c>
      <c r="B1520" t="s">
        <v>3738</v>
      </c>
      <c r="C1520" t="s">
        <v>3739</v>
      </c>
      <c r="D1520">
        <v>4.95</v>
      </c>
      <c r="F1520" t="str">
        <f t="shared" si="115"/>
        <v>No</v>
      </c>
      <c r="G1520" t="str">
        <f t="shared" si="116"/>
        <v/>
      </c>
      <c r="H1520" t="str">
        <f t="shared" si="117"/>
        <v>—</v>
      </c>
      <c r="I1520" t="str">
        <f t="shared" si="118"/>
        <v>Below thresholds</v>
      </c>
      <c r="J1520" t="str">
        <f t="shared" si="119"/>
        <v/>
      </c>
    </row>
    <row r="1521" spans="1:10" x14ac:dyDescent="0.2">
      <c r="A1521">
        <v>226987529728</v>
      </c>
      <c r="B1521" t="s">
        <v>3740</v>
      </c>
      <c r="C1521" t="s">
        <v>3741</v>
      </c>
      <c r="D1521">
        <v>2.4900000000000002</v>
      </c>
      <c r="F1521" t="str">
        <f t="shared" si="115"/>
        <v>No</v>
      </c>
      <c r="G1521" t="str">
        <f t="shared" si="116"/>
        <v/>
      </c>
      <c r="H1521" t="str">
        <f t="shared" si="117"/>
        <v>—</v>
      </c>
      <c r="I1521" t="str">
        <f t="shared" si="118"/>
        <v>Below thresholds</v>
      </c>
      <c r="J1521" t="str">
        <f t="shared" si="119"/>
        <v/>
      </c>
    </row>
    <row r="1522" spans="1:10" x14ac:dyDescent="0.2">
      <c r="A1522">
        <v>226987529983</v>
      </c>
      <c r="B1522" t="s">
        <v>3725</v>
      </c>
      <c r="C1522" t="s">
        <v>3742</v>
      </c>
      <c r="D1522">
        <v>2.09</v>
      </c>
      <c r="F1522" t="str">
        <f t="shared" si="115"/>
        <v>No</v>
      </c>
      <c r="G1522" t="str">
        <f t="shared" si="116"/>
        <v/>
      </c>
      <c r="H1522" t="str">
        <f t="shared" si="117"/>
        <v>—</v>
      </c>
      <c r="I1522" t="str">
        <f t="shared" si="118"/>
        <v>Below thresholds</v>
      </c>
      <c r="J1522" t="str">
        <f t="shared" si="119"/>
        <v/>
      </c>
    </row>
    <row r="1523" spans="1:10" x14ac:dyDescent="0.2">
      <c r="A1523">
        <v>226987530160</v>
      </c>
      <c r="B1523" t="s">
        <v>3743</v>
      </c>
      <c r="C1523" t="s">
        <v>3744</v>
      </c>
      <c r="D1523">
        <v>2.09</v>
      </c>
      <c r="F1523" t="str">
        <f t="shared" si="115"/>
        <v>No</v>
      </c>
      <c r="G1523" t="str">
        <f t="shared" si="116"/>
        <v/>
      </c>
      <c r="H1523" t="str">
        <f t="shared" si="117"/>
        <v>—</v>
      </c>
      <c r="I1523" t="str">
        <f t="shared" si="118"/>
        <v>Below thresholds</v>
      </c>
      <c r="J1523" t="str">
        <f t="shared" si="119"/>
        <v/>
      </c>
    </row>
    <row r="1524" spans="1:10" x14ac:dyDescent="0.2">
      <c r="A1524">
        <v>226987530565</v>
      </c>
      <c r="B1524" t="s">
        <v>3745</v>
      </c>
      <c r="C1524" t="s">
        <v>3746</v>
      </c>
      <c r="D1524">
        <v>2.09</v>
      </c>
      <c r="F1524" t="str">
        <f t="shared" si="115"/>
        <v>No</v>
      </c>
      <c r="G1524" t="str">
        <f t="shared" si="116"/>
        <v/>
      </c>
      <c r="H1524" t="str">
        <f t="shared" si="117"/>
        <v>—</v>
      </c>
      <c r="I1524" t="str">
        <f t="shared" si="118"/>
        <v>Below thresholds</v>
      </c>
      <c r="J1524" t="str">
        <f t="shared" si="119"/>
        <v/>
      </c>
    </row>
    <row r="1525" spans="1:10" x14ac:dyDescent="0.2">
      <c r="A1525">
        <v>226989333606</v>
      </c>
      <c r="B1525" t="s">
        <v>3747</v>
      </c>
      <c r="C1525" t="s">
        <v>3748</v>
      </c>
      <c r="D1525">
        <v>1.99</v>
      </c>
      <c r="F1525" t="str">
        <f t="shared" si="115"/>
        <v>No</v>
      </c>
      <c r="G1525" t="str">
        <f t="shared" si="116"/>
        <v/>
      </c>
      <c r="H1525" t="str">
        <f t="shared" si="117"/>
        <v>—</v>
      </c>
      <c r="I1525" t="str">
        <f t="shared" si="118"/>
        <v>Below thresholds</v>
      </c>
      <c r="J1525" t="str">
        <f t="shared" si="119"/>
        <v/>
      </c>
    </row>
    <row r="1526" spans="1:10" x14ac:dyDescent="0.2">
      <c r="A1526">
        <v>226989333773</v>
      </c>
      <c r="B1526" t="s">
        <v>3749</v>
      </c>
      <c r="C1526" t="s">
        <v>3750</v>
      </c>
      <c r="D1526">
        <v>1.99</v>
      </c>
      <c r="F1526" t="str">
        <f t="shared" si="115"/>
        <v>No</v>
      </c>
      <c r="G1526" t="str">
        <f t="shared" si="116"/>
        <v/>
      </c>
      <c r="H1526" t="str">
        <f t="shared" si="117"/>
        <v>—</v>
      </c>
      <c r="I1526" t="str">
        <f t="shared" si="118"/>
        <v>Below thresholds</v>
      </c>
      <c r="J1526" t="str">
        <f t="shared" si="119"/>
        <v/>
      </c>
    </row>
    <row r="1527" spans="1:10" x14ac:dyDescent="0.2">
      <c r="A1527">
        <v>226989333857</v>
      </c>
      <c r="B1527" t="s">
        <v>3751</v>
      </c>
      <c r="C1527" t="s">
        <v>3752</v>
      </c>
      <c r="D1527">
        <v>1.99</v>
      </c>
      <c r="F1527" t="str">
        <f t="shared" si="115"/>
        <v>No</v>
      </c>
      <c r="G1527" t="str">
        <f t="shared" si="116"/>
        <v/>
      </c>
      <c r="H1527" t="str">
        <f t="shared" si="117"/>
        <v>—</v>
      </c>
      <c r="I1527" t="str">
        <f t="shared" si="118"/>
        <v>Below thresholds</v>
      </c>
      <c r="J1527" t="str">
        <f t="shared" si="119"/>
        <v/>
      </c>
    </row>
    <row r="1528" spans="1:10" x14ac:dyDescent="0.2">
      <c r="A1528">
        <v>226989334072</v>
      </c>
      <c r="B1528" t="s">
        <v>3753</v>
      </c>
      <c r="C1528" t="s">
        <v>3754</v>
      </c>
      <c r="D1528">
        <v>1.99</v>
      </c>
      <c r="F1528" t="str">
        <f t="shared" si="115"/>
        <v>No</v>
      </c>
      <c r="G1528" t="str">
        <f t="shared" si="116"/>
        <v/>
      </c>
      <c r="H1528" t="str">
        <f t="shared" si="117"/>
        <v>—</v>
      </c>
      <c r="I1528" t="str">
        <f t="shared" si="118"/>
        <v>Below thresholds</v>
      </c>
      <c r="J1528" t="str">
        <f t="shared" si="119"/>
        <v/>
      </c>
    </row>
    <row r="1529" spans="1:10" x14ac:dyDescent="0.2">
      <c r="A1529">
        <v>226989334074</v>
      </c>
      <c r="B1529" t="s">
        <v>3755</v>
      </c>
      <c r="C1529" t="s">
        <v>3756</v>
      </c>
      <c r="D1529">
        <v>1.99</v>
      </c>
      <c r="F1529" t="str">
        <f t="shared" si="115"/>
        <v>No</v>
      </c>
      <c r="G1529" t="str">
        <f t="shared" si="116"/>
        <v/>
      </c>
      <c r="H1529" t="str">
        <f t="shared" si="117"/>
        <v>—</v>
      </c>
      <c r="I1529" t="str">
        <f t="shared" si="118"/>
        <v>Below thresholds</v>
      </c>
      <c r="J1529" t="str">
        <f t="shared" si="119"/>
        <v/>
      </c>
    </row>
    <row r="1530" spans="1:10" x14ac:dyDescent="0.2">
      <c r="A1530">
        <v>226989334143</v>
      </c>
      <c r="B1530" t="s">
        <v>3757</v>
      </c>
      <c r="C1530" t="s">
        <v>3758</v>
      </c>
      <c r="D1530">
        <v>2.09</v>
      </c>
      <c r="F1530" t="str">
        <f t="shared" si="115"/>
        <v>No</v>
      </c>
      <c r="G1530" t="str">
        <f t="shared" si="116"/>
        <v/>
      </c>
      <c r="H1530" t="str">
        <f t="shared" si="117"/>
        <v>—</v>
      </c>
      <c r="I1530" t="str">
        <f t="shared" si="118"/>
        <v>Below thresholds</v>
      </c>
      <c r="J1530" t="str">
        <f t="shared" si="119"/>
        <v/>
      </c>
    </row>
    <row r="1531" spans="1:10" x14ac:dyDescent="0.2">
      <c r="A1531">
        <v>226989334149</v>
      </c>
      <c r="B1531" t="s">
        <v>3759</v>
      </c>
      <c r="C1531" t="s">
        <v>3760</v>
      </c>
      <c r="D1531">
        <v>2.29</v>
      </c>
      <c r="F1531" t="str">
        <f t="shared" si="115"/>
        <v>No</v>
      </c>
      <c r="G1531" t="str">
        <f t="shared" si="116"/>
        <v/>
      </c>
      <c r="H1531" t="str">
        <f t="shared" si="117"/>
        <v>—</v>
      </c>
      <c r="I1531" t="str">
        <f t="shared" si="118"/>
        <v>Below thresholds</v>
      </c>
      <c r="J1531" t="str">
        <f t="shared" si="119"/>
        <v/>
      </c>
    </row>
    <row r="1532" spans="1:10" x14ac:dyDescent="0.2">
      <c r="A1532">
        <v>226989334341</v>
      </c>
      <c r="B1532" t="s">
        <v>3761</v>
      </c>
      <c r="C1532" t="s">
        <v>3762</v>
      </c>
      <c r="D1532">
        <v>6.99</v>
      </c>
      <c r="F1532" t="str">
        <f t="shared" si="115"/>
        <v>No</v>
      </c>
      <c r="G1532" t="str">
        <f t="shared" si="116"/>
        <v/>
      </c>
      <c r="H1532" t="str">
        <f t="shared" si="117"/>
        <v>—</v>
      </c>
      <c r="I1532" t="str">
        <f t="shared" si="118"/>
        <v>Below thresholds</v>
      </c>
      <c r="J1532" t="str">
        <f t="shared" si="119"/>
        <v/>
      </c>
    </row>
    <row r="1533" spans="1:10" x14ac:dyDescent="0.2">
      <c r="A1533">
        <v>226989334429</v>
      </c>
      <c r="B1533" t="s">
        <v>3763</v>
      </c>
      <c r="C1533" t="s">
        <v>3764</v>
      </c>
      <c r="D1533">
        <v>1.99</v>
      </c>
      <c r="F1533" t="str">
        <f t="shared" si="115"/>
        <v>No</v>
      </c>
      <c r="G1533" t="str">
        <f t="shared" si="116"/>
        <v/>
      </c>
      <c r="H1533" t="str">
        <f t="shared" si="117"/>
        <v>—</v>
      </c>
      <c r="I1533" t="str">
        <f t="shared" si="118"/>
        <v>Below thresholds</v>
      </c>
      <c r="J1533" t="str">
        <f t="shared" si="119"/>
        <v/>
      </c>
    </row>
    <row r="1534" spans="1:10" x14ac:dyDescent="0.2">
      <c r="A1534">
        <v>226989334484</v>
      </c>
      <c r="B1534" t="s">
        <v>3765</v>
      </c>
      <c r="C1534" t="s">
        <v>3766</v>
      </c>
      <c r="D1534">
        <v>1.99</v>
      </c>
      <c r="F1534" t="str">
        <f t="shared" si="115"/>
        <v>No</v>
      </c>
      <c r="G1534" t="str">
        <f t="shared" si="116"/>
        <v/>
      </c>
      <c r="H1534" t="str">
        <f t="shared" si="117"/>
        <v>—</v>
      </c>
      <c r="I1534" t="str">
        <f t="shared" si="118"/>
        <v>Below thresholds</v>
      </c>
      <c r="J1534" t="str">
        <f t="shared" si="119"/>
        <v/>
      </c>
    </row>
    <row r="1535" spans="1:10" x14ac:dyDescent="0.2">
      <c r="A1535">
        <v>226989334507</v>
      </c>
      <c r="B1535" t="s">
        <v>3767</v>
      </c>
      <c r="C1535" t="s">
        <v>3768</v>
      </c>
      <c r="D1535">
        <v>1.99</v>
      </c>
      <c r="F1535" t="str">
        <f t="shared" si="115"/>
        <v>No</v>
      </c>
      <c r="G1535" t="str">
        <f t="shared" si="116"/>
        <v/>
      </c>
      <c r="H1535" t="str">
        <f t="shared" si="117"/>
        <v>—</v>
      </c>
      <c r="I1535" t="str">
        <f t="shared" si="118"/>
        <v>Below thresholds</v>
      </c>
      <c r="J1535" t="str">
        <f t="shared" si="119"/>
        <v/>
      </c>
    </row>
    <row r="1536" spans="1:10" x14ac:dyDescent="0.2">
      <c r="A1536">
        <v>226989334538</v>
      </c>
      <c r="B1536" t="s">
        <v>3769</v>
      </c>
      <c r="C1536" t="s">
        <v>3770</v>
      </c>
      <c r="D1536">
        <v>1.99</v>
      </c>
      <c r="F1536" t="str">
        <f t="shared" si="115"/>
        <v>No</v>
      </c>
      <c r="G1536" t="str">
        <f t="shared" si="116"/>
        <v/>
      </c>
      <c r="H1536" t="str">
        <f t="shared" si="117"/>
        <v>—</v>
      </c>
      <c r="I1536" t="str">
        <f t="shared" si="118"/>
        <v>Below thresholds</v>
      </c>
      <c r="J1536" t="str">
        <f t="shared" si="119"/>
        <v/>
      </c>
    </row>
    <row r="1537" spans="1:10" x14ac:dyDescent="0.2">
      <c r="A1537">
        <v>226989334645</v>
      </c>
      <c r="B1537" t="s">
        <v>3771</v>
      </c>
      <c r="C1537" t="s">
        <v>3772</v>
      </c>
      <c r="D1537">
        <v>1.99</v>
      </c>
      <c r="F1537" t="str">
        <f t="shared" si="115"/>
        <v>No</v>
      </c>
      <c r="G1537" t="str">
        <f t="shared" si="116"/>
        <v/>
      </c>
      <c r="H1537" t="str">
        <f t="shared" si="117"/>
        <v>—</v>
      </c>
      <c r="I1537" t="str">
        <f t="shared" si="118"/>
        <v>Below thresholds</v>
      </c>
      <c r="J1537" t="str">
        <f t="shared" si="119"/>
        <v/>
      </c>
    </row>
    <row r="1538" spans="1:10" x14ac:dyDescent="0.2">
      <c r="A1538">
        <v>226989334816</v>
      </c>
      <c r="B1538" t="s">
        <v>3773</v>
      </c>
      <c r="C1538" t="s">
        <v>3774</v>
      </c>
      <c r="D1538">
        <v>1.99</v>
      </c>
      <c r="F1538" t="str">
        <f t="shared" si="115"/>
        <v>No</v>
      </c>
      <c r="G1538" t="str">
        <f t="shared" si="116"/>
        <v/>
      </c>
      <c r="H1538" t="str">
        <f t="shared" si="117"/>
        <v>—</v>
      </c>
      <c r="I1538" t="str">
        <f t="shared" si="118"/>
        <v>Below thresholds</v>
      </c>
      <c r="J1538" t="str">
        <f t="shared" si="119"/>
        <v/>
      </c>
    </row>
    <row r="1539" spans="1:10" x14ac:dyDescent="0.2">
      <c r="A1539">
        <v>226989334933</v>
      </c>
      <c r="B1539" t="s">
        <v>3775</v>
      </c>
      <c r="C1539" t="s">
        <v>3776</v>
      </c>
      <c r="D1539">
        <v>1.99</v>
      </c>
      <c r="F1539" t="str">
        <f t="shared" si="115"/>
        <v>No</v>
      </c>
      <c r="G1539" t="str">
        <f t="shared" si="116"/>
        <v/>
      </c>
      <c r="H1539" t="str">
        <f t="shared" si="117"/>
        <v>—</v>
      </c>
      <c r="I1539" t="str">
        <f t="shared" si="118"/>
        <v>Below thresholds</v>
      </c>
      <c r="J1539" t="str">
        <f t="shared" si="119"/>
        <v/>
      </c>
    </row>
    <row r="1540" spans="1:10" x14ac:dyDescent="0.2">
      <c r="A1540">
        <v>226989335185</v>
      </c>
      <c r="B1540" t="s">
        <v>3777</v>
      </c>
      <c r="C1540" t="s">
        <v>3778</v>
      </c>
      <c r="D1540">
        <v>2.09</v>
      </c>
      <c r="F1540" t="str">
        <f t="shared" si="115"/>
        <v>No</v>
      </c>
      <c r="G1540" t="str">
        <f t="shared" si="116"/>
        <v/>
      </c>
      <c r="H1540" t="str">
        <f t="shared" si="117"/>
        <v>—</v>
      </c>
      <c r="I1540" t="str">
        <f t="shared" si="118"/>
        <v>Below thresholds</v>
      </c>
      <c r="J1540" t="str">
        <f t="shared" si="119"/>
        <v/>
      </c>
    </row>
    <row r="1541" spans="1:10" x14ac:dyDescent="0.2">
      <c r="A1541">
        <v>226989335313</v>
      </c>
      <c r="B1541" t="s">
        <v>3779</v>
      </c>
      <c r="C1541" t="s">
        <v>3780</v>
      </c>
      <c r="D1541">
        <v>1.99</v>
      </c>
      <c r="F1541" t="str">
        <f t="shared" ref="F1541:F1604" si="120">IF($B1541="","",IF(ISNUMBER(SEARCH("PSA",$B1541)),"Yes","No"))</f>
        <v>No</v>
      </c>
      <c r="G1541" t="str">
        <f t="shared" ref="G1541:G1604" si="121">IF($B1541="","",IF(ISNUMBER(SEARCH("PSA 10",$B1541)),10,IF(ISNUMBER(SEARCH("PSA 9.5",$B1541)),9.5,IF(ISNUMBER(SEARCH("PSA 9",$B1541)),9,IF(ISNUMBER(SEARCH("PSA 8",$B1541)),8,IF(ISNUMBER(SEARCH("PSA",$B1541)),"&lt;9",""))))))</f>
        <v/>
      </c>
      <c r="H1541" t="str">
        <f t="shared" ref="H1541:H1604" si="122">IF($B1541="","",IF($D1541&gt;=100,"TIER 2",IF(OR(ISNUMBER(SEARCH("PSA 10",$B1541)),ISNUMBER(SEARCH("PSA 9.5",$B1541)),ISNUMBER(SEARCH("PSA 9",$B1541))),"TIER 3",IF(AND($D1541&gt;20,N($E1541)&gt;=15),"TIER 1","—"))))</f>
        <v>—</v>
      </c>
      <c r="I1541" t="str">
        <f t="shared" ref="I1541:I1604" si="123">IF($B1541="","",IF($D1541&gt;=100,"Premium $100+ (auto)",IF(OR(ISNUMBER(SEARCH("PSA 10",$B1541)),ISNUMBER(SEARCH("PSA 9.5",$B1541)),ISNUMBER(SEARCH("PSA 9",$B1541))),"Graded PSA 9+ (auto)",IF(AND($D1541&gt;20,N($E1541)&gt;=15),"Hot: $20+ &amp; "&amp;$E1541&amp;"/day",IF($D1541&gt;20,"$20+ — needs velocity check","Below thresholds")))))</f>
        <v>Below thresholds</v>
      </c>
      <c r="J1541" t="str">
        <f t="shared" ref="J1541:J1604" si="124">IF($B1541="","",IF(AND($D1541&gt;20,$D1541&lt;100,NOT(OR(ISNUMBER(SEARCH("PSA 10",$B1541)),ISNUMBER(SEARCH("PSA 9.5",$B1541)),ISNUMBER(SEARCH("PSA 9",$B1541)))),$E1541=""),"YES — pull CardHedger",""))</f>
        <v/>
      </c>
    </row>
    <row r="1542" spans="1:10" x14ac:dyDescent="0.2">
      <c r="A1542">
        <v>226989335342</v>
      </c>
      <c r="B1542" t="s">
        <v>3781</v>
      </c>
      <c r="C1542" t="s">
        <v>3782</v>
      </c>
      <c r="D1542">
        <v>2.29</v>
      </c>
      <c r="F1542" t="str">
        <f t="shared" si="120"/>
        <v>No</v>
      </c>
      <c r="G1542" t="str">
        <f t="shared" si="121"/>
        <v/>
      </c>
      <c r="H1542" t="str">
        <f t="shared" si="122"/>
        <v>—</v>
      </c>
      <c r="I1542" t="str">
        <f t="shared" si="123"/>
        <v>Below thresholds</v>
      </c>
      <c r="J1542" t="str">
        <f t="shared" si="124"/>
        <v/>
      </c>
    </row>
    <row r="1543" spans="1:10" x14ac:dyDescent="0.2">
      <c r="A1543">
        <v>226989335358</v>
      </c>
      <c r="B1543" t="s">
        <v>3783</v>
      </c>
      <c r="C1543" t="s">
        <v>3784</v>
      </c>
      <c r="D1543">
        <v>1.99</v>
      </c>
      <c r="F1543" t="str">
        <f t="shared" si="120"/>
        <v>No</v>
      </c>
      <c r="G1543" t="str">
        <f t="shared" si="121"/>
        <v/>
      </c>
      <c r="H1543" t="str">
        <f t="shared" si="122"/>
        <v>—</v>
      </c>
      <c r="I1543" t="str">
        <f t="shared" si="123"/>
        <v>Below thresholds</v>
      </c>
      <c r="J1543" t="str">
        <f t="shared" si="124"/>
        <v/>
      </c>
    </row>
    <row r="1544" spans="1:10" x14ac:dyDescent="0.2">
      <c r="A1544">
        <v>226989335369</v>
      </c>
      <c r="B1544" t="s">
        <v>3785</v>
      </c>
      <c r="C1544" t="s">
        <v>3786</v>
      </c>
      <c r="D1544">
        <v>2.09</v>
      </c>
      <c r="F1544" t="str">
        <f t="shared" si="120"/>
        <v>No</v>
      </c>
      <c r="G1544" t="str">
        <f t="shared" si="121"/>
        <v/>
      </c>
      <c r="H1544" t="str">
        <f t="shared" si="122"/>
        <v>—</v>
      </c>
      <c r="I1544" t="str">
        <f t="shared" si="123"/>
        <v>Below thresholds</v>
      </c>
      <c r="J1544" t="str">
        <f t="shared" si="124"/>
        <v/>
      </c>
    </row>
    <row r="1545" spans="1:10" x14ac:dyDescent="0.2">
      <c r="A1545">
        <v>226989335382</v>
      </c>
      <c r="B1545" t="s">
        <v>3787</v>
      </c>
      <c r="C1545" t="s">
        <v>3788</v>
      </c>
      <c r="D1545">
        <v>2.4900000000000002</v>
      </c>
      <c r="F1545" t="str">
        <f t="shared" si="120"/>
        <v>No</v>
      </c>
      <c r="G1545" t="str">
        <f t="shared" si="121"/>
        <v/>
      </c>
      <c r="H1545" t="str">
        <f t="shared" si="122"/>
        <v>—</v>
      </c>
      <c r="I1545" t="str">
        <f t="shared" si="123"/>
        <v>Below thresholds</v>
      </c>
      <c r="J1545" t="str">
        <f t="shared" si="124"/>
        <v/>
      </c>
    </row>
    <row r="1546" spans="1:10" x14ac:dyDescent="0.2">
      <c r="A1546">
        <v>226989335388</v>
      </c>
      <c r="B1546" t="s">
        <v>3789</v>
      </c>
      <c r="C1546" t="s">
        <v>3790</v>
      </c>
      <c r="D1546">
        <v>1.99</v>
      </c>
      <c r="F1546" t="str">
        <f t="shared" si="120"/>
        <v>No</v>
      </c>
      <c r="G1546" t="str">
        <f t="shared" si="121"/>
        <v/>
      </c>
      <c r="H1546" t="str">
        <f t="shared" si="122"/>
        <v>—</v>
      </c>
      <c r="I1546" t="str">
        <f t="shared" si="123"/>
        <v>Below thresholds</v>
      </c>
      <c r="J1546" t="str">
        <f t="shared" si="124"/>
        <v/>
      </c>
    </row>
    <row r="1547" spans="1:10" x14ac:dyDescent="0.2">
      <c r="A1547">
        <v>226989335415</v>
      </c>
      <c r="B1547" t="s">
        <v>3791</v>
      </c>
      <c r="C1547" t="s">
        <v>3792</v>
      </c>
      <c r="D1547">
        <v>1.99</v>
      </c>
      <c r="F1547" t="str">
        <f t="shared" si="120"/>
        <v>No</v>
      </c>
      <c r="G1547" t="str">
        <f t="shared" si="121"/>
        <v/>
      </c>
      <c r="H1547" t="str">
        <f t="shared" si="122"/>
        <v>—</v>
      </c>
      <c r="I1547" t="str">
        <f t="shared" si="123"/>
        <v>Below thresholds</v>
      </c>
      <c r="J1547" t="str">
        <f t="shared" si="124"/>
        <v/>
      </c>
    </row>
    <row r="1548" spans="1:10" x14ac:dyDescent="0.2">
      <c r="A1548">
        <v>226989335441</v>
      </c>
      <c r="B1548" t="s">
        <v>3793</v>
      </c>
      <c r="C1548" t="s">
        <v>3794</v>
      </c>
      <c r="D1548">
        <v>1.99</v>
      </c>
      <c r="F1548" t="str">
        <f t="shared" si="120"/>
        <v>No</v>
      </c>
      <c r="G1548" t="str">
        <f t="shared" si="121"/>
        <v/>
      </c>
      <c r="H1548" t="str">
        <f t="shared" si="122"/>
        <v>—</v>
      </c>
      <c r="I1548" t="str">
        <f t="shared" si="123"/>
        <v>Below thresholds</v>
      </c>
      <c r="J1548" t="str">
        <f t="shared" si="124"/>
        <v/>
      </c>
    </row>
    <row r="1549" spans="1:10" x14ac:dyDescent="0.2">
      <c r="A1549">
        <v>226989335469</v>
      </c>
      <c r="B1549" t="s">
        <v>3795</v>
      </c>
      <c r="C1549" t="s">
        <v>3796</v>
      </c>
      <c r="D1549">
        <v>1.99</v>
      </c>
      <c r="F1549" t="str">
        <f t="shared" si="120"/>
        <v>No</v>
      </c>
      <c r="G1549" t="str">
        <f t="shared" si="121"/>
        <v/>
      </c>
      <c r="H1549" t="str">
        <f t="shared" si="122"/>
        <v>—</v>
      </c>
      <c r="I1549" t="str">
        <f t="shared" si="123"/>
        <v>Below thresholds</v>
      </c>
      <c r="J1549" t="str">
        <f t="shared" si="124"/>
        <v/>
      </c>
    </row>
    <row r="1550" spans="1:10" x14ac:dyDescent="0.2">
      <c r="A1550">
        <v>226989335501</v>
      </c>
      <c r="B1550" t="s">
        <v>3797</v>
      </c>
      <c r="C1550" t="s">
        <v>3798</v>
      </c>
      <c r="D1550">
        <v>1.99</v>
      </c>
      <c r="F1550" t="str">
        <f t="shared" si="120"/>
        <v>No</v>
      </c>
      <c r="G1550" t="str">
        <f t="shared" si="121"/>
        <v/>
      </c>
      <c r="H1550" t="str">
        <f t="shared" si="122"/>
        <v>—</v>
      </c>
      <c r="I1550" t="str">
        <f t="shared" si="123"/>
        <v>Below thresholds</v>
      </c>
      <c r="J1550" t="str">
        <f t="shared" si="124"/>
        <v/>
      </c>
    </row>
    <row r="1551" spans="1:10" x14ac:dyDescent="0.2">
      <c r="A1551">
        <v>226989335517</v>
      </c>
      <c r="B1551" t="s">
        <v>3799</v>
      </c>
      <c r="C1551" t="s">
        <v>3800</v>
      </c>
      <c r="D1551">
        <v>1.99</v>
      </c>
      <c r="F1551" t="str">
        <f t="shared" si="120"/>
        <v>No</v>
      </c>
      <c r="G1551" t="str">
        <f t="shared" si="121"/>
        <v/>
      </c>
      <c r="H1551" t="str">
        <f t="shared" si="122"/>
        <v>—</v>
      </c>
      <c r="I1551" t="str">
        <f t="shared" si="123"/>
        <v>Below thresholds</v>
      </c>
      <c r="J1551" t="str">
        <f t="shared" si="124"/>
        <v/>
      </c>
    </row>
    <row r="1552" spans="1:10" x14ac:dyDescent="0.2">
      <c r="A1552">
        <v>226989335518</v>
      </c>
      <c r="B1552" t="s">
        <v>3801</v>
      </c>
      <c r="C1552" t="s">
        <v>3802</v>
      </c>
      <c r="D1552">
        <v>2</v>
      </c>
      <c r="F1552" t="str">
        <f t="shared" si="120"/>
        <v>No</v>
      </c>
      <c r="G1552" t="str">
        <f t="shared" si="121"/>
        <v/>
      </c>
      <c r="H1552" t="str">
        <f t="shared" si="122"/>
        <v>—</v>
      </c>
      <c r="I1552" t="str">
        <f t="shared" si="123"/>
        <v>Below thresholds</v>
      </c>
      <c r="J1552" t="str">
        <f t="shared" si="124"/>
        <v/>
      </c>
    </row>
    <row r="1553" spans="1:10" x14ac:dyDescent="0.2">
      <c r="A1553">
        <v>226989335550</v>
      </c>
      <c r="B1553" t="s">
        <v>3803</v>
      </c>
      <c r="C1553" t="s">
        <v>3804</v>
      </c>
      <c r="D1553">
        <v>2</v>
      </c>
      <c r="F1553" t="str">
        <f t="shared" si="120"/>
        <v>No</v>
      </c>
      <c r="G1553" t="str">
        <f t="shared" si="121"/>
        <v/>
      </c>
      <c r="H1553" t="str">
        <f t="shared" si="122"/>
        <v>—</v>
      </c>
      <c r="I1553" t="str">
        <f t="shared" si="123"/>
        <v>Below thresholds</v>
      </c>
      <c r="J1553" t="str">
        <f t="shared" si="124"/>
        <v/>
      </c>
    </row>
    <row r="1554" spans="1:10" x14ac:dyDescent="0.2">
      <c r="A1554">
        <v>226989335562</v>
      </c>
      <c r="B1554" t="s">
        <v>3805</v>
      </c>
      <c r="C1554" t="s">
        <v>3806</v>
      </c>
      <c r="D1554">
        <v>2.4900000000000002</v>
      </c>
      <c r="F1554" t="str">
        <f t="shared" si="120"/>
        <v>No</v>
      </c>
      <c r="G1554" t="str">
        <f t="shared" si="121"/>
        <v/>
      </c>
      <c r="H1554" t="str">
        <f t="shared" si="122"/>
        <v>—</v>
      </c>
      <c r="I1554" t="str">
        <f t="shared" si="123"/>
        <v>Below thresholds</v>
      </c>
      <c r="J1554" t="str">
        <f t="shared" si="124"/>
        <v/>
      </c>
    </row>
    <row r="1555" spans="1:10" x14ac:dyDescent="0.2">
      <c r="A1555">
        <v>226989335602</v>
      </c>
      <c r="B1555" t="s">
        <v>3807</v>
      </c>
      <c r="C1555" t="s">
        <v>3808</v>
      </c>
      <c r="D1555">
        <v>1.99</v>
      </c>
      <c r="F1555" t="str">
        <f t="shared" si="120"/>
        <v>No</v>
      </c>
      <c r="G1555" t="str">
        <f t="shared" si="121"/>
        <v/>
      </c>
      <c r="H1555" t="str">
        <f t="shared" si="122"/>
        <v>—</v>
      </c>
      <c r="I1555" t="str">
        <f t="shared" si="123"/>
        <v>Below thresholds</v>
      </c>
      <c r="J1555" t="str">
        <f t="shared" si="124"/>
        <v/>
      </c>
    </row>
    <row r="1556" spans="1:10" x14ac:dyDescent="0.2">
      <c r="A1556">
        <v>226989335604</v>
      </c>
      <c r="B1556" t="s">
        <v>3809</v>
      </c>
      <c r="C1556" t="s">
        <v>3810</v>
      </c>
      <c r="D1556">
        <v>1.99</v>
      </c>
      <c r="F1556" t="str">
        <f t="shared" si="120"/>
        <v>No</v>
      </c>
      <c r="G1556" t="str">
        <f t="shared" si="121"/>
        <v/>
      </c>
      <c r="H1556" t="str">
        <f t="shared" si="122"/>
        <v>—</v>
      </c>
      <c r="I1556" t="str">
        <f t="shared" si="123"/>
        <v>Below thresholds</v>
      </c>
      <c r="J1556" t="str">
        <f t="shared" si="124"/>
        <v/>
      </c>
    </row>
    <row r="1557" spans="1:10" x14ac:dyDescent="0.2">
      <c r="A1557">
        <v>226990353483</v>
      </c>
      <c r="B1557" t="s">
        <v>3811</v>
      </c>
      <c r="C1557" t="s">
        <v>3812</v>
      </c>
      <c r="D1557">
        <v>1.99</v>
      </c>
      <c r="F1557" t="str">
        <f t="shared" si="120"/>
        <v>No</v>
      </c>
      <c r="G1557" t="str">
        <f t="shared" si="121"/>
        <v/>
      </c>
      <c r="H1557" t="str">
        <f t="shared" si="122"/>
        <v>—</v>
      </c>
      <c r="I1557" t="str">
        <f t="shared" si="123"/>
        <v>Below thresholds</v>
      </c>
      <c r="J1557" t="str">
        <f t="shared" si="124"/>
        <v/>
      </c>
    </row>
    <row r="1558" spans="1:10" x14ac:dyDescent="0.2">
      <c r="A1558">
        <v>226990353577</v>
      </c>
      <c r="B1558" t="s">
        <v>3813</v>
      </c>
      <c r="C1558" t="s">
        <v>3814</v>
      </c>
      <c r="D1558">
        <v>2.39</v>
      </c>
      <c r="F1558" t="str">
        <f t="shared" si="120"/>
        <v>No</v>
      </c>
      <c r="G1558" t="str">
        <f t="shared" si="121"/>
        <v/>
      </c>
      <c r="H1558" t="str">
        <f t="shared" si="122"/>
        <v>—</v>
      </c>
      <c r="I1558" t="str">
        <f t="shared" si="123"/>
        <v>Below thresholds</v>
      </c>
      <c r="J1558" t="str">
        <f t="shared" si="124"/>
        <v/>
      </c>
    </row>
    <row r="1559" spans="1:10" x14ac:dyDescent="0.2">
      <c r="A1559">
        <v>226990353733</v>
      </c>
      <c r="B1559" t="s">
        <v>3815</v>
      </c>
      <c r="C1559" t="s">
        <v>3816</v>
      </c>
      <c r="D1559">
        <v>7.99</v>
      </c>
      <c r="F1559" t="str">
        <f t="shared" si="120"/>
        <v>No</v>
      </c>
      <c r="G1559" t="str">
        <f t="shared" si="121"/>
        <v/>
      </c>
      <c r="H1559" t="str">
        <f t="shared" si="122"/>
        <v>—</v>
      </c>
      <c r="I1559" t="str">
        <f t="shared" si="123"/>
        <v>Below thresholds</v>
      </c>
      <c r="J1559" t="str">
        <f t="shared" si="124"/>
        <v/>
      </c>
    </row>
    <row r="1560" spans="1:10" x14ac:dyDescent="0.2">
      <c r="A1560">
        <v>226990353903</v>
      </c>
      <c r="B1560" t="s">
        <v>3817</v>
      </c>
      <c r="C1560" t="s">
        <v>3818</v>
      </c>
      <c r="D1560">
        <v>2.19</v>
      </c>
      <c r="F1560" t="str">
        <f t="shared" si="120"/>
        <v>No</v>
      </c>
      <c r="G1560" t="str">
        <f t="shared" si="121"/>
        <v/>
      </c>
      <c r="H1560" t="str">
        <f t="shared" si="122"/>
        <v>—</v>
      </c>
      <c r="I1560" t="str">
        <f t="shared" si="123"/>
        <v>Below thresholds</v>
      </c>
      <c r="J1560" t="str">
        <f t="shared" si="124"/>
        <v/>
      </c>
    </row>
    <row r="1561" spans="1:10" x14ac:dyDescent="0.2">
      <c r="A1561">
        <v>226990353974</v>
      </c>
      <c r="B1561" t="s">
        <v>3819</v>
      </c>
      <c r="C1561" t="s">
        <v>3820</v>
      </c>
      <c r="D1561">
        <v>1.99</v>
      </c>
      <c r="F1561" t="str">
        <f t="shared" si="120"/>
        <v>No</v>
      </c>
      <c r="G1561" t="str">
        <f t="shared" si="121"/>
        <v/>
      </c>
      <c r="H1561" t="str">
        <f t="shared" si="122"/>
        <v>—</v>
      </c>
      <c r="I1561" t="str">
        <f t="shared" si="123"/>
        <v>Below thresholds</v>
      </c>
      <c r="J1561" t="str">
        <f t="shared" si="124"/>
        <v/>
      </c>
    </row>
    <row r="1562" spans="1:10" x14ac:dyDescent="0.2">
      <c r="A1562">
        <v>226990354135</v>
      </c>
      <c r="B1562" t="s">
        <v>3821</v>
      </c>
      <c r="C1562" t="s">
        <v>3822</v>
      </c>
      <c r="D1562">
        <v>4.09</v>
      </c>
      <c r="F1562" t="str">
        <f t="shared" si="120"/>
        <v>No</v>
      </c>
      <c r="G1562" t="str">
        <f t="shared" si="121"/>
        <v/>
      </c>
      <c r="H1562" t="str">
        <f t="shared" si="122"/>
        <v>—</v>
      </c>
      <c r="I1562" t="str">
        <f t="shared" si="123"/>
        <v>Below thresholds</v>
      </c>
      <c r="J1562" t="str">
        <f t="shared" si="124"/>
        <v/>
      </c>
    </row>
    <row r="1563" spans="1:10" x14ac:dyDescent="0.2">
      <c r="A1563">
        <v>226990354242</v>
      </c>
      <c r="B1563" t="s">
        <v>3823</v>
      </c>
      <c r="C1563" t="s">
        <v>3824</v>
      </c>
      <c r="D1563">
        <v>2.99</v>
      </c>
      <c r="F1563" t="str">
        <f t="shared" si="120"/>
        <v>No</v>
      </c>
      <c r="G1563" t="str">
        <f t="shared" si="121"/>
        <v/>
      </c>
      <c r="H1563" t="str">
        <f t="shared" si="122"/>
        <v>—</v>
      </c>
      <c r="I1563" t="str">
        <f t="shared" si="123"/>
        <v>Below thresholds</v>
      </c>
      <c r="J1563" t="str">
        <f t="shared" si="124"/>
        <v/>
      </c>
    </row>
    <row r="1564" spans="1:10" x14ac:dyDescent="0.2">
      <c r="A1564">
        <v>226990354407</v>
      </c>
      <c r="B1564" t="s">
        <v>3825</v>
      </c>
      <c r="C1564" t="s">
        <v>3826</v>
      </c>
      <c r="D1564">
        <v>4.09</v>
      </c>
      <c r="F1564" t="str">
        <f t="shared" si="120"/>
        <v>No</v>
      </c>
      <c r="G1564" t="str">
        <f t="shared" si="121"/>
        <v/>
      </c>
      <c r="H1564" t="str">
        <f t="shared" si="122"/>
        <v>—</v>
      </c>
      <c r="I1564" t="str">
        <f t="shared" si="123"/>
        <v>Below thresholds</v>
      </c>
      <c r="J1564" t="str">
        <f t="shared" si="124"/>
        <v/>
      </c>
    </row>
    <row r="1565" spans="1:10" x14ac:dyDescent="0.2">
      <c r="A1565">
        <v>226990354457</v>
      </c>
      <c r="B1565" t="s">
        <v>3827</v>
      </c>
      <c r="C1565" t="s">
        <v>3828</v>
      </c>
      <c r="D1565">
        <v>4.09</v>
      </c>
      <c r="F1565" t="str">
        <f t="shared" si="120"/>
        <v>No</v>
      </c>
      <c r="G1565" t="str">
        <f t="shared" si="121"/>
        <v/>
      </c>
      <c r="H1565" t="str">
        <f t="shared" si="122"/>
        <v>—</v>
      </c>
      <c r="I1565" t="str">
        <f t="shared" si="123"/>
        <v>Below thresholds</v>
      </c>
      <c r="J1565" t="str">
        <f t="shared" si="124"/>
        <v/>
      </c>
    </row>
    <row r="1566" spans="1:10" x14ac:dyDescent="0.2">
      <c r="A1566">
        <v>226990354613</v>
      </c>
      <c r="B1566" t="s">
        <v>3829</v>
      </c>
      <c r="C1566" t="s">
        <v>3830</v>
      </c>
      <c r="D1566">
        <v>1.99</v>
      </c>
      <c r="F1566" t="str">
        <f t="shared" si="120"/>
        <v>No</v>
      </c>
      <c r="G1566" t="str">
        <f t="shared" si="121"/>
        <v/>
      </c>
      <c r="H1566" t="str">
        <f t="shared" si="122"/>
        <v>—</v>
      </c>
      <c r="I1566" t="str">
        <f t="shared" si="123"/>
        <v>Below thresholds</v>
      </c>
      <c r="J1566" t="str">
        <f t="shared" si="124"/>
        <v/>
      </c>
    </row>
    <row r="1567" spans="1:10" x14ac:dyDescent="0.2">
      <c r="A1567">
        <v>226990354651</v>
      </c>
      <c r="B1567" t="s">
        <v>3831</v>
      </c>
      <c r="C1567" t="s">
        <v>3832</v>
      </c>
      <c r="D1567">
        <v>1.99</v>
      </c>
      <c r="F1567" t="str">
        <f t="shared" si="120"/>
        <v>No</v>
      </c>
      <c r="G1567" t="str">
        <f t="shared" si="121"/>
        <v/>
      </c>
      <c r="H1567" t="str">
        <f t="shared" si="122"/>
        <v>—</v>
      </c>
      <c r="I1567" t="str">
        <f t="shared" si="123"/>
        <v>Below thresholds</v>
      </c>
      <c r="J1567" t="str">
        <f t="shared" si="124"/>
        <v/>
      </c>
    </row>
    <row r="1568" spans="1:10" x14ac:dyDescent="0.2">
      <c r="A1568">
        <v>226990354675</v>
      </c>
      <c r="B1568" t="s">
        <v>3833</v>
      </c>
      <c r="C1568" t="s">
        <v>3834</v>
      </c>
      <c r="D1568">
        <v>2.99</v>
      </c>
      <c r="F1568" t="str">
        <f t="shared" si="120"/>
        <v>No</v>
      </c>
      <c r="G1568" t="str">
        <f t="shared" si="121"/>
        <v/>
      </c>
      <c r="H1568" t="str">
        <f t="shared" si="122"/>
        <v>—</v>
      </c>
      <c r="I1568" t="str">
        <f t="shared" si="123"/>
        <v>Below thresholds</v>
      </c>
      <c r="J1568" t="str">
        <f t="shared" si="124"/>
        <v/>
      </c>
    </row>
    <row r="1569" spans="1:10" x14ac:dyDescent="0.2">
      <c r="A1569">
        <v>226990354687</v>
      </c>
      <c r="B1569" t="s">
        <v>3835</v>
      </c>
      <c r="C1569" t="s">
        <v>3836</v>
      </c>
      <c r="D1569">
        <v>1.99</v>
      </c>
      <c r="F1569" t="str">
        <f t="shared" si="120"/>
        <v>No</v>
      </c>
      <c r="G1569" t="str">
        <f t="shared" si="121"/>
        <v/>
      </c>
      <c r="H1569" t="str">
        <f t="shared" si="122"/>
        <v>—</v>
      </c>
      <c r="I1569" t="str">
        <f t="shared" si="123"/>
        <v>Below thresholds</v>
      </c>
      <c r="J1569" t="str">
        <f t="shared" si="124"/>
        <v/>
      </c>
    </row>
    <row r="1570" spans="1:10" x14ac:dyDescent="0.2">
      <c r="A1570">
        <v>226990354737</v>
      </c>
      <c r="B1570" t="s">
        <v>3837</v>
      </c>
      <c r="C1570" t="s">
        <v>3838</v>
      </c>
      <c r="D1570">
        <v>2.39</v>
      </c>
      <c r="F1570" t="str">
        <f t="shared" si="120"/>
        <v>No</v>
      </c>
      <c r="G1570" t="str">
        <f t="shared" si="121"/>
        <v/>
      </c>
      <c r="H1570" t="str">
        <f t="shared" si="122"/>
        <v>—</v>
      </c>
      <c r="I1570" t="str">
        <f t="shared" si="123"/>
        <v>Below thresholds</v>
      </c>
      <c r="J1570" t="str">
        <f t="shared" si="124"/>
        <v/>
      </c>
    </row>
    <row r="1571" spans="1:10" x14ac:dyDescent="0.2">
      <c r="A1571">
        <v>226990354738</v>
      </c>
      <c r="B1571" t="s">
        <v>3839</v>
      </c>
      <c r="C1571" t="s">
        <v>3840</v>
      </c>
      <c r="D1571">
        <v>1.99</v>
      </c>
      <c r="F1571" t="str">
        <f t="shared" si="120"/>
        <v>No</v>
      </c>
      <c r="G1571" t="str">
        <f t="shared" si="121"/>
        <v/>
      </c>
      <c r="H1571" t="str">
        <f t="shared" si="122"/>
        <v>—</v>
      </c>
      <c r="I1571" t="str">
        <f t="shared" si="123"/>
        <v>Below thresholds</v>
      </c>
      <c r="J1571" t="str">
        <f t="shared" si="124"/>
        <v/>
      </c>
    </row>
    <row r="1572" spans="1:10" x14ac:dyDescent="0.2">
      <c r="A1572">
        <v>226990354774</v>
      </c>
      <c r="B1572" t="s">
        <v>3841</v>
      </c>
      <c r="C1572" t="s">
        <v>3842</v>
      </c>
      <c r="D1572">
        <v>1.99</v>
      </c>
      <c r="F1572" t="str">
        <f t="shared" si="120"/>
        <v>No</v>
      </c>
      <c r="G1572" t="str">
        <f t="shared" si="121"/>
        <v/>
      </c>
      <c r="H1572" t="str">
        <f t="shared" si="122"/>
        <v>—</v>
      </c>
      <c r="I1572" t="str">
        <f t="shared" si="123"/>
        <v>Below thresholds</v>
      </c>
      <c r="J1572" t="str">
        <f t="shared" si="124"/>
        <v/>
      </c>
    </row>
    <row r="1573" spans="1:10" x14ac:dyDescent="0.2">
      <c r="A1573">
        <v>226990354783</v>
      </c>
      <c r="B1573" t="s">
        <v>3843</v>
      </c>
      <c r="C1573" t="s">
        <v>3844</v>
      </c>
      <c r="D1573">
        <v>1.99</v>
      </c>
      <c r="F1573" t="str">
        <f t="shared" si="120"/>
        <v>No</v>
      </c>
      <c r="G1573" t="str">
        <f t="shared" si="121"/>
        <v/>
      </c>
      <c r="H1573" t="str">
        <f t="shared" si="122"/>
        <v>—</v>
      </c>
      <c r="I1573" t="str">
        <f t="shared" si="123"/>
        <v>Below thresholds</v>
      </c>
      <c r="J1573" t="str">
        <f t="shared" si="124"/>
        <v/>
      </c>
    </row>
    <row r="1574" spans="1:10" x14ac:dyDescent="0.2">
      <c r="A1574">
        <v>226990354839</v>
      </c>
      <c r="B1574" t="s">
        <v>3845</v>
      </c>
      <c r="C1574" t="s">
        <v>3846</v>
      </c>
      <c r="D1574">
        <v>1.99</v>
      </c>
      <c r="F1574" t="str">
        <f t="shared" si="120"/>
        <v>No</v>
      </c>
      <c r="G1574" t="str">
        <f t="shared" si="121"/>
        <v/>
      </c>
      <c r="H1574" t="str">
        <f t="shared" si="122"/>
        <v>—</v>
      </c>
      <c r="I1574" t="str">
        <f t="shared" si="123"/>
        <v>Below thresholds</v>
      </c>
      <c r="J1574" t="str">
        <f t="shared" si="124"/>
        <v/>
      </c>
    </row>
    <row r="1575" spans="1:10" x14ac:dyDescent="0.2">
      <c r="A1575">
        <v>226990354855</v>
      </c>
      <c r="B1575" t="s">
        <v>3847</v>
      </c>
      <c r="C1575" t="s">
        <v>3848</v>
      </c>
      <c r="D1575">
        <v>1.99</v>
      </c>
      <c r="F1575" t="str">
        <f t="shared" si="120"/>
        <v>No</v>
      </c>
      <c r="G1575" t="str">
        <f t="shared" si="121"/>
        <v/>
      </c>
      <c r="H1575" t="str">
        <f t="shared" si="122"/>
        <v>—</v>
      </c>
      <c r="I1575" t="str">
        <f t="shared" si="123"/>
        <v>Below thresholds</v>
      </c>
      <c r="J1575" t="str">
        <f t="shared" si="124"/>
        <v/>
      </c>
    </row>
    <row r="1576" spans="1:10" x14ac:dyDescent="0.2">
      <c r="A1576">
        <v>226990354913</v>
      </c>
      <c r="B1576" t="s">
        <v>3849</v>
      </c>
      <c r="C1576" t="s">
        <v>3850</v>
      </c>
      <c r="D1576">
        <v>2.99</v>
      </c>
      <c r="F1576" t="str">
        <f t="shared" si="120"/>
        <v>No</v>
      </c>
      <c r="G1576" t="str">
        <f t="shared" si="121"/>
        <v/>
      </c>
      <c r="H1576" t="str">
        <f t="shared" si="122"/>
        <v>—</v>
      </c>
      <c r="I1576" t="str">
        <f t="shared" si="123"/>
        <v>Below thresholds</v>
      </c>
      <c r="J1576" t="str">
        <f t="shared" si="124"/>
        <v/>
      </c>
    </row>
    <row r="1577" spans="1:10" x14ac:dyDescent="0.2">
      <c r="A1577">
        <v>226990354927</v>
      </c>
      <c r="B1577" t="s">
        <v>3851</v>
      </c>
      <c r="C1577" t="s">
        <v>3852</v>
      </c>
      <c r="D1577">
        <v>1.99</v>
      </c>
      <c r="F1577" t="str">
        <f t="shared" si="120"/>
        <v>No</v>
      </c>
      <c r="G1577" t="str">
        <f t="shared" si="121"/>
        <v/>
      </c>
      <c r="H1577" t="str">
        <f t="shared" si="122"/>
        <v>—</v>
      </c>
      <c r="I1577" t="str">
        <f t="shared" si="123"/>
        <v>Below thresholds</v>
      </c>
      <c r="J1577" t="str">
        <f t="shared" si="124"/>
        <v/>
      </c>
    </row>
    <row r="1578" spans="1:10" x14ac:dyDescent="0.2">
      <c r="A1578">
        <v>226990354992</v>
      </c>
      <c r="B1578" t="s">
        <v>3853</v>
      </c>
      <c r="C1578" t="s">
        <v>3854</v>
      </c>
      <c r="D1578">
        <v>1.99</v>
      </c>
      <c r="F1578" t="str">
        <f t="shared" si="120"/>
        <v>No</v>
      </c>
      <c r="G1578" t="str">
        <f t="shared" si="121"/>
        <v/>
      </c>
      <c r="H1578" t="str">
        <f t="shared" si="122"/>
        <v>—</v>
      </c>
      <c r="I1578" t="str">
        <f t="shared" si="123"/>
        <v>Below thresholds</v>
      </c>
      <c r="J1578" t="str">
        <f t="shared" si="124"/>
        <v/>
      </c>
    </row>
    <row r="1579" spans="1:10" x14ac:dyDescent="0.2">
      <c r="A1579">
        <v>226990355046</v>
      </c>
      <c r="B1579" t="s">
        <v>3855</v>
      </c>
      <c r="C1579" t="s">
        <v>3856</v>
      </c>
      <c r="D1579">
        <v>1.99</v>
      </c>
      <c r="F1579" t="str">
        <f t="shared" si="120"/>
        <v>No</v>
      </c>
      <c r="G1579" t="str">
        <f t="shared" si="121"/>
        <v/>
      </c>
      <c r="H1579" t="str">
        <f t="shared" si="122"/>
        <v>—</v>
      </c>
      <c r="I1579" t="str">
        <f t="shared" si="123"/>
        <v>Below thresholds</v>
      </c>
      <c r="J1579" t="str">
        <f t="shared" si="124"/>
        <v/>
      </c>
    </row>
    <row r="1580" spans="1:10" x14ac:dyDescent="0.2">
      <c r="A1580">
        <v>226990355069</v>
      </c>
      <c r="B1580" t="s">
        <v>3857</v>
      </c>
      <c r="C1580" t="s">
        <v>3858</v>
      </c>
      <c r="D1580">
        <v>1.99</v>
      </c>
      <c r="F1580" t="str">
        <f t="shared" si="120"/>
        <v>No</v>
      </c>
      <c r="G1580" t="str">
        <f t="shared" si="121"/>
        <v/>
      </c>
      <c r="H1580" t="str">
        <f t="shared" si="122"/>
        <v>—</v>
      </c>
      <c r="I1580" t="str">
        <f t="shared" si="123"/>
        <v>Below thresholds</v>
      </c>
      <c r="J1580" t="str">
        <f t="shared" si="124"/>
        <v/>
      </c>
    </row>
    <row r="1581" spans="1:10" x14ac:dyDescent="0.2">
      <c r="A1581">
        <v>226990355085</v>
      </c>
      <c r="B1581" t="s">
        <v>3859</v>
      </c>
      <c r="C1581" t="s">
        <v>3860</v>
      </c>
      <c r="D1581">
        <v>1.99</v>
      </c>
      <c r="F1581" t="str">
        <f t="shared" si="120"/>
        <v>No</v>
      </c>
      <c r="G1581" t="str">
        <f t="shared" si="121"/>
        <v/>
      </c>
      <c r="H1581" t="str">
        <f t="shared" si="122"/>
        <v>—</v>
      </c>
      <c r="I1581" t="str">
        <f t="shared" si="123"/>
        <v>Below thresholds</v>
      </c>
      <c r="J1581" t="str">
        <f t="shared" si="124"/>
        <v/>
      </c>
    </row>
    <row r="1582" spans="1:10" x14ac:dyDescent="0.2">
      <c r="A1582">
        <v>226991050504</v>
      </c>
      <c r="B1582" t="s">
        <v>3861</v>
      </c>
      <c r="C1582" t="s">
        <v>3862</v>
      </c>
      <c r="D1582">
        <v>1.99</v>
      </c>
      <c r="F1582" t="str">
        <f t="shared" si="120"/>
        <v>No</v>
      </c>
      <c r="G1582" t="str">
        <f t="shared" si="121"/>
        <v/>
      </c>
      <c r="H1582" t="str">
        <f t="shared" si="122"/>
        <v>—</v>
      </c>
      <c r="I1582" t="str">
        <f t="shared" si="123"/>
        <v>Below thresholds</v>
      </c>
      <c r="J1582" t="str">
        <f t="shared" si="124"/>
        <v/>
      </c>
    </row>
    <row r="1583" spans="1:10" x14ac:dyDescent="0.2">
      <c r="A1583">
        <v>226991050581</v>
      </c>
      <c r="B1583" t="s">
        <v>3863</v>
      </c>
      <c r="C1583" t="s">
        <v>3864</v>
      </c>
      <c r="D1583">
        <v>1.99</v>
      </c>
      <c r="F1583" t="str">
        <f t="shared" si="120"/>
        <v>No</v>
      </c>
      <c r="G1583" t="str">
        <f t="shared" si="121"/>
        <v/>
      </c>
      <c r="H1583" t="str">
        <f t="shared" si="122"/>
        <v>—</v>
      </c>
      <c r="I1583" t="str">
        <f t="shared" si="123"/>
        <v>Below thresholds</v>
      </c>
      <c r="J1583" t="str">
        <f t="shared" si="124"/>
        <v/>
      </c>
    </row>
    <row r="1584" spans="1:10" x14ac:dyDescent="0.2">
      <c r="A1584">
        <v>226991050710</v>
      </c>
      <c r="B1584" t="s">
        <v>3865</v>
      </c>
      <c r="C1584" t="s">
        <v>3866</v>
      </c>
      <c r="D1584">
        <v>1.99</v>
      </c>
      <c r="F1584" t="str">
        <f t="shared" si="120"/>
        <v>No</v>
      </c>
      <c r="G1584" t="str">
        <f t="shared" si="121"/>
        <v/>
      </c>
      <c r="H1584" t="str">
        <f t="shared" si="122"/>
        <v>—</v>
      </c>
      <c r="I1584" t="str">
        <f t="shared" si="123"/>
        <v>Below thresholds</v>
      </c>
      <c r="J1584" t="str">
        <f t="shared" si="124"/>
        <v/>
      </c>
    </row>
    <row r="1585" spans="1:10" x14ac:dyDescent="0.2">
      <c r="A1585">
        <v>226991050763</v>
      </c>
      <c r="B1585" t="s">
        <v>3867</v>
      </c>
      <c r="C1585" t="s">
        <v>3868</v>
      </c>
      <c r="D1585">
        <v>1.99</v>
      </c>
      <c r="F1585" t="str">
        <f t="shared" si="120"/>
        <v>No</v>
      </c>
      <c r="G1585" t="str">
        <f t="shared" si="121"/>
        <v/>
      </c>
      <c r="H1585" t="str">
        <f t="shared" si="122"/>
        <v>—</v>
      </c>
      <c r="I1585" t="str">
        <f t="shared" si="123"/>
        <v>Below thresholds</v>
      </c>
      <c r="J1585" t="str">
        <f t="shared" si="124"/>
        <v/>
      </c>
    </row>
    <row r="1586" spans="1:10" x14ac:dyDescent="0.2">
      <c r="A1586">
        <v>226991050826</v>
      </c>
      <c r="B1586" t="s">
        <v>3869</v>
      </c>
      <c r="C1586" t="s">
        <v>3870</v>
      </c>
      <c r="D1586">
        <v>1.99</v>
      </c>
      <c r="F1586" t="str">
        <f t="shared" si="120"/>
        <v>No</v>
      </c>
      <c r="G1586" t="str">
        <f t="shared" si="121"/>
        <v/>
      </c>
      <c r="H1586" t="str">
        <f t="shared" si="122"/>
        <v>—</v>
      </c>
      <c r="I1586" t="str">
        <f t="shared" si="123"/>
        <v>Below thresholds</v>
      </c>
      <c r="J1586" t="str">
        <f t="shared" si="124"/>
        <v/>
      </c>
    </row>
    <row r="1587" spans="1:10" x14ac:dyDescent="0.2">
      <c r="A1587">
        <v>226991052260</v>
      </c>
      <c r="B1587" t="s">
        <v>3871</v>
      </c>
      <c r="C1587" t="s">
        <v>3872</v>
      </c>
      <c r="D1587">
        <v>2</v>
      </c>
      <c r="F1587" t="str">
        <f t="shared" si="120"/>
        <v>No</v>
      </c>
      <c r="G1587" t="str">
        <f t="shared" si="121"/>
        <v/>
      </c>
      <c r="H1587" t="str">
        <f t="shared" si="122"/>
        <v>—</v>
      </c>
      <c r="I1587" t="str">
        <f t="shared" si="123"/>
        <v>Below thresholds</v>
      </c>
      <c r="J1587" t="str">
        <f t="shared" si="124"/>
        <v/>
      </c>
    </row>
    <row r="1588" spans="1:10" x14ac:dyDescent="0.2">
      <c r="A1588">
        <v>226991052304</v>
      </c>
      <c r="B1588" t="s">
        <v>3873</v>
      </c>
      <c r="C1588" t="s">
        <v>3874</v>
      </c>
      <c r="D1588">
        <v>1.99</v>
      </c>
      <c r="F1588" t="str">
        <f t="shared" si="120"/>
        <v>No</v>
      </c>
      <c r="G1588" t="str">
        <f t="shared" si="121"/>
        <v/>
      </c>
      <c r="H1588" t="str">
        <f t="shared" si="122"/>
        <v>—</v>
      </c>
      <c r="I1588" t="str">
        <f t="shared" si="123"/>
        <v>Below thresholds</v>
      </c>
      <c r="J1588" t="str">
        <f t="shared" si="124"/>
        <v/>
      </c>
    </row>
    <row r="1589" spans="1:10" x14ac:dyDescent="0.2">
      <c r="A1589">
        <v>226991052410</v>
      </c>
      <c r="B1589" t="s">
        <v>3875</v>
      </c>
      <c r="C1589" t="s">
        <v>3876</v>
      </c>
      <c r="D1589">
        <v>2.09</v>
      </c>
      <c r="F1589" t="str">
        <f t="shared" si="120"/>
        <v>No</v>
      </c>
      <c r="G1589" t="str">
        <f t="shared" si="121"/>
        <v/>
      </c>
      <c r="H1589" t="str">
        <f t="shared" si="122"/>
        <v>—</v>
      </c>
      <c r="I1589" t="str">
        <f t="shared" si="123"/>
        <v>Below thresholds</v>
      </c>
      <c r="J1589" t="str">
        <f t="shared" si="124"/>
        <v/>
      </c>
    </row>
    <row r="1590" spans="1:10" x14ac:dyDescent="0.2">
      <c r="A1590">
        <v>226991052492</v>
      </c>
      <c r="B1590" t="s">
        <v>3877</v>
      </c>
      <c r="C1590" t="s">
        <v>3878</v>
      </c>
      <c r="D1590">
        <v>1.99</v>
      </c>
      <c r="F1590" t="str">
        <f t="shared" si="120"/>
        <v>No</v>
      </c>
      <c r="G1590" t="str">
        <f t="shared" si="121"/>
        <v/>
      </c>
      <c r="H1590" t="str">
        <f t="shared" si="122"/>
        <v>—</v>
      </c>
      <c r="I1590" t="str">
        <f t="shared" si="123"/>
        <v>Below thresholds</v>
      </c>
      <c r="J1590" t="str">
        <f t="shared" si="124"/>
        <v/>
      </c>
    </row>
    <row r="1591" spans="1:10" x14ac:dyDescent="0.2">
      <c r="A1591">
        <v>226991052521</v>
      </c>
      <c r="B1591" t="s">
        <v>3879</v>
      </c>
      <c r="C1591" t="s">
        <v>3880</v>
      </c>
      <c r="D1591">
        <v>2.09</v>
      </c>
      <c r="F1591" t="str">
        <f t="shared" si="120"/>
        <v>No</v>
      </c>
      <c r="G1591" t="str">
        <f t="shared" si="121"/>
        <v/>
      </c>
      <c r="H1591" t="str">
        <f t="shared" si="122"/>
        <v>—</v>
      </c>
      <c r="I1591" t="str">
        <f t="shared" si="123"/>
        <v>Below thresholds</v>
      </c>
      <c r="J1591" t="str">
        <f t="shared" si="124"/>
        <v/>
      </c>
    </row>
    <row r="1592" spans="1:10" x14ac:dyDescent="0.2">
      <c r="A1592">
        <v>226991052560</v>
      </c>
      <c r="B1592" t="s">
        <v>3881</v>
      </c>
      <c r="C1592" t="s">
        <v>3882</v>
      </c>
      <c r="D1592">
        <v>2.69</v>
      </c>
      <c r="F1592" t="str">
        <f t="shared" si="120"/>
        <v>No</v>
      </c>
      <c r="G1592" t="str">
        <f t="shared" si="121"/>
        <v/>
      </c>
      <c r="H1592" t="str">
        <f t="shared" si="122"/>
        <v>—</v>
      </c>
      <c r="I1592" t="str">
        <f t="shared" si="123"/>
        <v>Below thresholds</v>
      </c>
      <c r="J1592" t="str">
        <f t="shared" si="124"/>
        <v/>
      </c>
    </row>
    <row r="1593" spans="1:10" x14ac:dyDescent="0.2">
      <c r="A1593">
        <v>226991052575</v>
      </c>
      <c r="B1593" t="s">
        <v>3883</v>
      </c>
      <c r="C1593" t="s">
        <v>3884</v>
      </c>
      <c r="D1593">
        <v>2.59</v>
      </c>
      <c r="F1593" t="str">
        <f t="shared" si="120"/>
        <v>No</v>
      </c>
      <c r="G1593" t="str">
        <f t="shared" si="121"/>
        <v/>
      </c>
      <c r="H1593" t="str">
        <f t="shared" si="122"/>
        <v>—</v>
      </c>
      <c r="I1593" t="str">
        <f t="shared" si="123"/>
        <v>Below thresholds</v>
      </c>
      <c r="J1593" t="str">
        <f t="shared" si="124"/>
        <v/>
      </c>
    </row>
    <row r="1594" spans="1:10" x14ac:dyDescent="0.2">
      <c r="A1594">
        <v>226991052597</v>
      </c>
      <c r="B1594" t="s">
        <v>3885</v>
      </c>
      <c r="C1594" t="s">
        <v>3886</v>
      </c>
      <c r="D1594">
        <v>2.29</v>
      </c>
      <c r="F1594" t="str">
        <f t="shared" si="120"/>
        <v>No</v>
      </c>
      <c r="G1594" t="str">
        <f t="shared" si="121"/>
        <v/>
      </c>
      <c r="H1594" t="str">
        <f t="shared" si="122"/>
        <v>—</v>
      </c>
      <c r="I1594" t="str">
        <f t="shared" si="123"/>
        <v>Below thresholds</v>
      </c>
      <c r="J1594" t="str">
        <f t="shared" si="124"/>
        <v/>
      </c>
    </row>
    <row r="1595" spans="1:10" x14ac:dyDescent="0.2">
      <c r="A1595">
        <v>226991052610</v>
      </c>
      <c r="B1595" t="s">
        <v>3887</v>
      </c>
      <c r="C1595" t="s">
        <v>3888</v>
      </c>
      <c r="D1595">
        <v>1.99</v>
      </c>
      <c r="F1595" t="str">
        <f t="shared" si="120"/>
        <v>No</v>
      </c>
      <c r="G1595" t="str">
        <f t="shared" si="121"/>
        <v/>
      </c>
      <c r="H1595" t="str">
        <f t="shared" si="122"/>
        <v>—</v>
      </c>
      <c r="I1595" t="str">
        <f t="shared" si="123"/>
        <v>Below thresholds</v>
      </c>
      <c r="J1595" t="str">
        <f t="shared" si="124"/>
        <v/>
      </c>
    </row>
    <row r="1596" spans="1:10" x14ac:dyDescent="0.2">
      <c r="A1596">
        <v>226991052648</v>
      </c>
      <c r="B1596" t="s">
        <v>3889</v>
      </c>
      <c r="C1596" t="s">
        <v>3890</v>
      </c>
      <c r="D1596">
        <v>2.99</v>
      </c>
      <c r="F1596" t="str">
        <f t="shared" si="120"/>
        <v>No</v>
      </c>
      <c r="G1596" t="str">
        <f t="shared" si="121"/>
        <v/>
      </c>
      <c r="H1596" t="str">
        <f t="shared" si="122"/>
        <v>—</v>
      </c>
      <c r="I1596" t="str">
        <f t="shared" si="123"/>
        <v>Below thresholds</v>
      </c>
      <c r="J1596" t="str">
        <f t="shared" si="124"/>
        <v/>
      </c>
    </row>
    <row r="1597" spans="1:10" x14ac:dyDescent="0.2">
      <c r="A1597">
        <v>226991052651</v>
      </c>
      <c r="B1597" t="s">
        <v>3891</v>
      </c>
      <c r="C1597" t="s">
        <v>3892</v>
      </c>
      <c r="D1597">
        <v>1.99</v>
      </c>
      <c r="F1597" t="str">
        <f t="shared" si="120"/>
        <v>No</v>
      </c>
      <c r="G1597" t="str">
        <f t="shared" si="121"/>
        <v/>
      </c>
      <c r="H1597" t="str">
        <f t="shared" si="122"/>
        <v>—</v>
      </c>
      <c r="I1597" t="str">
        <f t="shared" si="123"/>
        <v>Below thresholds</v>
      </c>
      <c r="J1597" t="str">
        <f t="shared" si="124"/>
        <v/>
      </c>
    </row>
    <row r="1598" spans="1:10" x14ac:dyDescent="0.2">
      <c r="A1598">
        <v>226991057082</v>
      </c>
      <c r="B1598" t="s">
        <v>3893</v>
      </c>
      <c r="C1598" t="s">
        <v>3894</v>
      </c>
      <c r="D1598">
        <v>1.99</v>
      </c>
      <c r="F1598" t="str">
        <f t="shared" si="120"/>
        <v>No</v>
      </c>
      <c r="G1598" t="str">
        <f t="shared" si="121"/>
        <v/>
      </c>
      <c r="H1598" t="str">
        <f t="shared" si="122"/>
        <v>—</v>
      </c>
      <c r="I1598" t="str">
        <f t="shared" si="123"/>
        <v>Below thresholds</v>
      </c>
      <c r="J1598" t="str">
        <f t="shared" si="124"/>
        <v/>
      </c>
    </row>
    <row r="1599" spans="1:10" x14ac:dyDescent="0.2">
      <c r="A1599">
        <v>226991057121</v>
      </c>
      <c r="B1599" t="s">
        <v>3895</v>
      </c>
      <c r="C1599" t="s">
        <v>3896</v>
      </c>
      <c r="D1599">
        <v>3.09</v>
      </c>
      <c r="F1599" t="str">
        <f t="shared" si="120"/>
        <v>No</v>
      </c>
      <c r="G1599" t="str">
        <f t="shared" si="121"/>
        <v/>
      </c>
      <c r="H1599" t="str">
        <f t="shared" si="122"/>
        <v>—</v>
      </c>
      <c r="I1599" t="str">
        <f t="shared" si="123"/>
        <v>Below thresholds</v>
      </c>
      <c r="J1599" t="str">
        <f t="shared" si="124"/>
        <v/>
      </c>
    </row>
    <row r="1600" spans="1:10" x14ac:dyDescent="0.2">
      <c r="A1600">
        <v>226991057140</v>
      </c>
      <c r="B1600" t="s">
        <v>3897</v>
      </c>
      <c r="C1600" t="s">
        <v>3898</v>
      </c>
      <c r="D1600">
        <v>1.99</v>
      </c>
      <c r="F1600" t="str">
        <f t="shared" si="120"/>
        <v>No</v>
      </c>
      <c r="G1600" t="str">
        <f t="shared" si="121"/>
        <v/>
      </c>
      <c r="H1600" t="str">
        <f t="shared" si="122"/>
        <v>—</v>
      </c>
      <c r="I1600" t="str">
        <f t="shared" si="123"/>
        <v>Below thresholds</v>
      </c>
      <c r="J1600" t="str">
        <f t="shared" si="124"/>
        <v/>
      </c>
    </row>
    <row r="1601" spans="1:10" x14ac:dyDescent="0.2">
      <c r="A1601">
        <v>226991057203</v>
      </c>
      <c r="B1601" t="s">
        <v>3899</v>
      </c>
      <c r="C1601" t="s">
        <v>3900</v>
      </c>
      <c r="D1601">
        <v>1.99</v>
      </c>
      <c r="F1601" t="str">
        <f t="shared" si="120"/>
        <v>No</v>
      </c>
      <c r="G1601" t="str">
        <f t="shared" si="121"/>
        <v/>
      </c>
      <c r="H1601" t="str">
        <f t="shared" si="122"/>
        <v>—</v>
      </c>
      <c r="I1601" t="str">
        <f t="shared" si="123"/>
        <v>Below thresholds</v>
      </c>
      <c r="J1601" t="str">
        <f t="shared" si="124"/>
        <v/>
      </c>
    </row>
    <row r="1602" spans="1:10" x14ac:dyDescent="0.2">
      <c r="A1602">
        <v>226991057205</v>
      </c>
      <c r="B1602" t="s">
        <v>3901</v>
      </c>
      <c r="C1602" t="s">
        <v>3902</v>
      </c>
      <c r="D1602">
        <v>1.99</v>
      </c>
      <c r="F1602" t="str">
        <f t="shared" si="120"/>
        <v>No</v>
      </c>
      <c r="G1602" t="str">
        <f t="shared" si="121"/>
        <v/>
      </c>
      <c r="H1602" t="str">
        <f t="shared" si="122"/>
        <v>—</v>
      </c>
      <c r="I1602" t="str">
        <f t="shared" si="123"/>
        <v>Below thresholds</v>
      </c>
      <c r="J1602" t="str">
        <f t="shared" si="124"/>
        <v/>
      </c>
    </row>
    <row r="1603" spans="1:10" x14ac:dyDescent="0.2">
      <c r="A1603">
        <v>226991057282</v>
      </c>
      <c r="B1603" t="s">
        <v>3903</v>
      </c>
      <c r="C1603" t="s">
        <v>3904</v>
      </c>
      <c r="D1603">
        <v>6.99</v>
      </c>
      <c r="F1603" t="str">
        <f t="shared" si="120"/>
        <v>No</v>
      </c>
      <c r="G1603" t="str">
        <f t="shared" si="121"/>
        <v/>
      </c>
      <c r="H1603" t="str">
        <f t="shared" si="122"/>
        <v>—</v>
      </c>
      <c r="I1603" t="str">
        <f t="shared" si="123"/>
        <v>Below thresholds</v>
      </c>
      <c r="J1603" t="str">
        <f t="shared" si="124"/>
        <v/>
      </c>
    </row>
    <row r="1604" spans="1:10" x14ac:dyDescent="0.2">
      <c r="A1604">
        <v>226991057305</v>
      </c>
      <c r="B1604" t="s">
        <v>3905</v>
      </c>
      <c r="C1604" t="s">
        <v>3906</v>
      </c>
      <c r="D1604">
        <v>9.99</v>
      </c>
      <c r="F1604" t="str">
        <f t="shared" si="120"/>
        <v>No</v>
      </c>
      <c r="G1604" t="str">
        <f t="shared" si="121"/>
        <v/>
      </c>
      <c r="H1604" t="str">
        <f t="shared" si="122"/>
        <v>—</v>
      </c>
      <c r="I1604" t="str">
        <f t="shared" si="123"/>
        <v>Below thresholds</v>
      </c>
      <c r="J1604" t="str">
        <f t="shared" si="124"/>
        <v/>
      </c>
    </row>
    <row r="1605" spans="1:10" x14ac:dyDescent="0.2">
      <c r="A1605">
        <v>226991059590</v>
      </c>
      <c r="B1605" t="s">
        <v>3907</v>
      </c>
      <c r="C1605" t="s">
        <v>3908</v>
      </c>
      <c r="D1605">
        <v>2.4900000000000002</v>
      </c>
      <c r="F1605" t="str">
        <f t="shared" ref="F1605:F1668" si="125">IF($B1605="","",IF(ISNUMBER(SEARCH("PSA",$B1605)),"Yes","No"))</f>
        <v>No</v>
      </c>
      <c r="G1605" t="str">
        <f t="shared" ref="G1605:G1668" si="126">IF($B1605="","",IF(ISNUMBER(SEARCH("PSA 10",$B1605)),10,IF(ISNUMBER(SEARCH("PSA 9.5",$B1605)),9.5,IF(ISNUMBER(SEARCH("PSA 9",$B1605)),9,IF(ISNUMBER(SEARCH("PSA 8",$B1605)),8,IF(ISNUMBER(SEARCH("PSA",$B1605)),"&lt;9",""))))))</f>
        <v/>
      </c>
      <c r="H1605" t="str">
        <f t="shared" ref="H1605:H1668" si="127">IF($B1605="","",IF($D1605&gt;=100,"TIER 2",IF(OR(ISNUMBER(SEARCH("PSA 10",$B1605)),ISNUMBER(SEARCH("PSA 9.5",$B1605)),ISNUMBER(SEARCH("PSA 9",$B1605))),"TIER 3",IF(AND($D1605&gt;20,N($E1605)&gt;=15),"TIER 1","—"))))</f>
        <v>—</v>
      </c>
      <c r="I1605" t="str">
        <f t="shared" ref="I1605:I1668" si="128">IF($B1605="","",IF($D1605&gt;=100,"Premium $100+ (auto)",IF(OR(ISNUMBER(SEARCH("PSA 10",$B1605)),ISNUMBER(SEARCH("PSA 9.5",$B1605)),ISNUMBER(SEARCH("PSA 9",$B1605))),"Graded PSA 9+ (auto)",IF(AND($D1605&gt;20,N($E1605)&gt;=15),"Hot: $20+ &amp; "&amp;$E1605&amp;"/day",IF($D1605&gt;20,"$20+ — needs velocity check","Below thresholds")))))</f>
        <v>Below thresholds</v>
      </c>
      <c r="J1605" t="str">
        <f t="shared" ref="J1605:J1668" si="129">IF($B1605="","",IF(AND($D1605&gt;20,$D1605&lt;100,NOT(OR(ISNUMBER(SEARCH("PSA 10",$B1605)),ISNUMBER(SEARCH("PSA 9.5",$B1605)),ISNUMBER(SEARCH("PSA 9",$B1605)))),$E1605=""),"YES — pull CardHedger",""))</f>
        <v/>
      </c>
    </row>
    <row r="1606" spans="1:10" x14ac:dyDescent="0.2">
      <c r="A1606">
        <v>226991059599</v>
      </c>
      <c r="B1606" t="s">
        <v>3909</v>
      </c>
      <c r="C1606" t="s">
        <v>3910</v>
      </c>
      <c r="D1606">
        <v>2.39</v>
      </c>
      <c r="F1606" t="str">
        <f t="shared" si="125"/>
        <v>No</v>
      </c>
      <c r="G1606" t="str">
        <f t="shared" si="126"/>
        <v/>
      </c>
      <c r="H1606" t="str">
        <f t="shared" si="127"/>
        <v>—</v>
      </c>
      <c r="I1606" t="str">
        <f t="shared" si="128"/>
        <v>Below thresholds</v>
      </c>
      <c r="J1606" t="str">
        <f t="shared" si="129"/>
        <v/>
      </c>
    </row>
    <row r="1607" spans="1:10" x14ac:dyDescent="0.2">
      <c r="A1607">
        <v>226991059623</v>
      </c>
      <c r="B1607" t="s">
        <v>3911</v>
      </c>
      <c r="C1607" t="s">
        <v>3912</v>
      </c>
      <c r="D1607">
        <v>2.99</v>
      </c>
      <c r="F1607" t="str">
        <f t="shared" si="125"/>
        <v>No</v>
      </c>
      <c r="G1607" t="str">
        <f t="shared" si="126"/>
        <v/>
      </c>
      <c r="H1607" t="str">
        <f t="shared" si="127"/>
        <v>—</v>
      </c>
      <c r="I1607" t="str">
        <f t="shared" si="128"/>
        <v>Below thresholds</v>
      </c>
      <c r="J1607" t="str">
        <f t="shared" si="129"/>
        <v/>
      </c>
    </row>
    <row r="1608" spans="1:10" x14ac:dyDescent="0.2">
      <c r="A1608">
        <v>226991059633</v>
      </c>
      <c r="B1608" t="s">
        <v>3913</v>
      </c>
      <c r="C1608" t="s">
        <v>3914</v>
      </c>
      <c r="D1608">
        <v>1.99</v>
      </c>
      <c r="F1608" t="str">
        <f t="shared" si="125"/>
        <v>No</v>
      </c>
      <c r="G1608" t="str">
        <f t="shared" si="126"/>
        <v/>
      </c>
      <c r="H1608" t="str">
        <f t="shared" si="127"/>
        <v>—</v>
      </c>
      <c r="I1608" t="str">
        <f t="shared" si="128"/>
        <v>Below thresholds</v>
      </c>
      <c r="J1608" t="str">
        <f t="shared" si="129"/>
        <v/>
      </c>
    </row>
    <row r="1609" spans="1:10" x14ac:dyDescent="0.2">
      <c r="A1609">
        <v>226991059731</v>
      </c>
      <c r="B1609" t="s">
        <v>3915</v>
      </c>
      <c r="C1609" t="s">
        <v>3916</v>
      </c>
      <c r="D1609">
        <v>1.99</v>
      </c>
      <c r="F1609" t="str">
        <f t="shared" si="125"/>
        <v>No</v>
      </c>
      <c r="G1609" t="str">
        <f t="shared" si="126"/>
        <v/>
      </c>
      <c r="H1609" t="str">
        <f t="shared" si="127"/>
        <v>—</v>
      </c>
      <c r="I1609" t="str">
        <f t="shared" si="128"/>
        <v>Below thresholds</v>
      </c>
      <c r="J1609" t="str">
        <f t="shared" si="129"/>
        <v/>
      </c>
    </row>
    <row r="1610" spans="1:10" x14ac:dyDescent="0.2">
      <c r="A1610">
        <v>226991060126</v>
      </c>
      <c r="B1610" t="s">
        <v>3917</v>
      </c>
      <c r="C1610" t="s">
        <v>3918</v>
      </c>
      <c r="D1610">
        <v>2.29</v>
      </c>
      <c r="F1610" t="str">
        <f t="shared" si="125"/>
        <v>No</v>
      </c>
      <c r="G1610" t="str">
        <f t="shared" si="126"/>
        <v/>
      </c>
      <c r="H1610" t="str">
        <f t="shared" si="127"/>
        <v>—</v>
      </c>
      <c r="I1610" t="str">
        <f t="shared" si="128"/>
        <v>Below thresholds</v>
      </c>
      <c r="J1610" t="str">
        <f t="shared" si="129"/>
        <v/>
      </c>
    </row>
    <row r="1611" spans="1:10" x14ac:dyDescent="0.2">
      <c r="A1611">
        <v>226991060150</v>
      </c>
      <c r="B1611" t="s">
        <v>3919</v>
      </c>
      <c r="C1611" t="s">
        <v>3920</v>
      </c>
      <c r="D1611">
        <v>1.99</v>
      </c>
      <c r="F1611" t="str">
        <f t="shared" si="125"/>
        <v>No</v>
      </c>
      <c r="G1611" t="str">
        <f t="shared" si="126"/>
        <v/>
      </c>
      <c r="H1611" t="str">
        <f t="shared" si="127"/>
        <v>—</v>
      </c>
      <c r="I1611" t="str">
        <f t="shared" si="128"/>
        <v>Below thresholds</v>
      </c>
      <c r="J1611" t="str">
        <f t="shared" si="129"/>
        <v/>
      </c>
    </row>
    <row r="1612" spans="1:10" x14ac:dyDescent="0.2">
      <c r="A1612">
        <v>226991060172</v>
      </c>
      <c r="B1612" t="s">
        <v>3921</v>
      </c>
      <c r="C1612" t="s">
        <v>3922</v>
      </c>
      <c r="D1612">
        <v>2</v>
      </c>
      <c r="F1612" t="str">
        <f t="shared" si="125"/>
        <v>No</v>
      </c>
      <c r="G1612" t="str">
        <f t="shared" si="126"/>
        <v/>
      </c>
      <c r="H1612" t="str">
        <f t="shared" si="127"/>
        <v>—</v>
      </c>
      <c r="I1612" t="str">
        <f t="shared" si="128"/>
        <v>Below thresholds</v>
      </c>
      <c r="J1612" t="str">
        <f t="shared" si="129"/>
        <v/>
      </c>
    </row>
    <row r="1613" spans="1:10" x14ac:dyDescent="0.2">
      <c r="A1613">
        <v>226991060218</v>
      </c>
      <c r="B1613" t="s">
        <v>3923</v>
      </c>
      <c r="C1613" t="s">
        <v>3924</v>
      </c>
      <c r="D1613">
        <v>1.99</v>
      </c>
      <c r="F1613" t="str">
        <f t="shared" si="125"/>
        <v>No</v>
      </c>
      <c r="G1613" t="str">
        <f t="shared" si="126"/>
        <v/>
      </c>
      <c r="H1613" t="str">
        <f t="shared" si="127"/>
        <v>—</v>
      </c>
      <c r="I1613" t="str">
        <f t="shared" si="128"/>
        <v>Below thresholds</v>
      </c>
      <c r="J1613" t="str">
        <f t="shared" si="129"/>
        <v/>
      </c>
    </row>
    <row r="1614" spans="1:10" x14ac:dyDescent="0.2">
      <c r="A1614">
        <v>226991060227</v>
      </c>
      <c r="B1614" t="s">
        <v>3925</v>
      </c>
      <c r="C1614" t="s">
        <v>3926</v>
      </c>
      <c r="D1614">
        <v>1.99</v>
      </c>
      <c r="F1614" t="str">
        <f t="shared" si="125"/>
        <v>No</v>
      </c>
      <c r="G1614" t="str">
        <f t="shared" si="126"/>
        <v/>
      </c>
      <c r="H1614" t="str">
        <f t="shared" si="127"/>
        <v>—</v>
      </c>
      <c r="I1614" t="str">
        <f t="shared" si="128"/>
        <v>Below thresholds</v>
      </c>
      <c r="J1614" t="str">
        <f t="shared" si="129"/>
        <v/>
      </c>
    </row>
    <row r="1615" spans="1:10" x14ac:dyDescent="0.2">
      <c r="A1615">
        <v>226991060268</v>
      </c>
      <c r="B1615" t="s">
        <v>3927</v>
      </c>
      <c r="C1615" t="s">
        <v>3928</v>
      </c>
      <c r="D1615">
        <v>1.99</v>
      </c>
      <c r="F1615" t="str">
        <f t="shared" si="125"/>
        <v>No</v>
      </c>
      <c r="G1615" t="str">
        <f t="shared" si="126"/>
        <v/>
      </c>
      <c r="H1615" t="str">
        <f t="shared" si="127"/>
        <v>—</v>
      </c>
      <c r="I1615" t="str">
        <f t="shared" si="128"/>
        <v>Below thresholds</v>
      </c>
      <c r="J1615" t="str">
        <f t="shared" si="129"/>
        <v/>
      </c>
    </row>
    <row r="1616" spans="1:10" x14ac:dyDescent="0.2">
      <c r="A1616">
        <v>226992654624</v>
      </c>
      <c r="B1616" t="s">
        <v>3917</v>
      </c>
      <c r="C1616" t="s">
        <v>3929</v>
      </c>
      <c r="D1616">
        <v>2.09</v>
      </c>
      <c r="F1616" t="str">
        <f t="shared" si="125"/>
        <v>No</v>
      </c>
      <c r="G1616" t="str">
        <f t="shared" si="126"/>
        <v/>
      </c>
      <c r="H1616" t="str">
        <f t="shared" si="127"/>
        <v>—</v>
      </c>
      <c r="I1616" t="str">
        <f t="shared" si="128"/>
        <v>Below thresholds</v>
      </c>
      <c r="J1616" t="str">
        <f t="shared" si="129"/>
        <v/>
      </c>
    </row>
    <row r="1617" spans="1:10" x14ac:dyDescent="0.2">
      <c r="A1617">
        <v>226992654656</v>
      </c>
      <c r="B1617" t="s">
        <v>3930</v>
      </c>
      <c r="C1617" t="s">
        <v>3931</v>
      </c>
      <c r="D1617">
        <v>2.09</v>
      </c>
      <c r="F1617" t="str">
        <f t="shared" si="125"/>
        <v>No</v>
      </c>
      <c r="G1617" t="str">
        <f t="shared" si="126"/>
        <v/>
      </c>
      <c r="H1617" t="str">
        <f t="shared" si="127"/>
        <v>—</v>
      </c>
      <c r="I1617" t="str">
        <f t="shared" si="128"/>
        <v>Below thresholds</v>
      </c>
      <c r="J1617" t="str">
        <f t="shared" si="129"/>
        <v/>
      </c>
    </row>
    <row r="1618" spans="1:10" x14ac:dyDescent="0.2">
      <c r="A1618">
        <v>226992654674</v>
      </c>
      <c r="B1618" t="s">
        <v>3932</v>
      </c>
      <c r="C1618" t="s">
        <v>3933</v>
      </c>
      <c r="D1618">
        <v>2.09</v>
      </c>
      <c r="F1618" t="str">
        <f t="shared" si="125"/>
        <v>No</v>
      </c>
      <c r="G1618" t="str">
        <f t="shared" si="126"/>
        <v/>
      </c>
      <c r="H1618" t="str">
        <f t="shared" si="127"/>
        <v>—</v>
      </c>
      <c r="I1618" t="str">
        <f t="shared" si="128"/>
        <v>Below thresholds</v>
      </c>
      <c r="J1618" t="str">
        <f t="shared" si="129"/>
        <v/>
      </c>
    </row>
    <row r="1619" spans="1:10" x14ac:dyDescent="0.2">
      <c r="A1619">
        <v>226992654698</v>
      </c>
      <c r="B1619" t="s">
        <v>3934</v>
      </c>
      <c r="C1619" t="s">
        <v>3935</v>
      </c>
      <c r="D1619">
        <v>2.4900000000000002</v>
      </c>
      <c r="F1619" t="str">
        <f t="shared" si="125"/>
        <v>No</v>
      </c>
      <c r="G1619" t="str">
        <f t="shared" si="126"/>
        <v/>
      </c>
      <c r="H1619" t="str">
        <f t="shared" si="127"/>
        <v>—</v>
      </c>
      <c r="I1619" t="str">
        <f t="shared" si="128"/>
        <v>Below thresholds</v>
      </c>
      <c r="J1619" t="str">
        <f t="shared" si="129"/>
        <v/>
      </c>
    </row>
    <row r="1620" spans="1:10" x14ac:dyDescent="0.2">
      <c r="A1620">
        <v>226992654732</v>
      </c>
      <c r="B1620" t="s">
        <v>3936</v>
      </c>
      <c r="C1620" t="s">
        <v>3937</v>
      </c>
      <c r="D1620">
        <v>2.4900000000000002</v>
      </c>
      <c r="F1620" t="str">
        <f t="shared" si="125"/>
        <v>No</v>
      </c>
      <c r="G1620" t="str">
        <f t="shared" si="126"/>
        <v/>
      </c>
      <c r="H1620" t="str">
        <f t="shared" si="127"/>
        <v>—</v>
      </c>
      <c r="I1620" t="str">
        <f t="shared" si="128"/>
        <v>Below thresholds</v>
      </c>
      <c r="J1620" t="str">
        <f t="shared" si="129"/>
        <v/>
      </c>
    </row>
    <row r="1621" spans="1:10" x14ac:dyDescent="0.2">
      <c r="A1621">
        <v>226992654751</v>
      </c>
      <c r="B1621" t="s">
        <v>3938</v>
      </c>
      <c r="C1621" t="s">
        <v>3939</v>
      </c>
      <c r="D1621">
        <v>2.4900000000000002</v>
      </c>
      <c r="F1621" t="str">
        <f t="shared" si="125"/>
        <v>No</v>
      </c>
      <c r="G1621" t="str">
        <f t="shared" si="126"/>
        <v/>
      </c>
      <c r="H1621" t="str">
        <f t="shared" si="127"/>
        <v>—</v>
      </c>
      <c r="I1621" t="str">
        <f t="shared" si="128"/>
        <v>Below thresholds</v>
      </c>
      <c r="J1621" t="str">
        <f t="shared" si="129"/>
        <v/>
      </c>
    </row>
    <row r="1622" spans="1:10" x14ac:dyDescent="0.2">
      <c r="A1622">
        <v>226992654787</v>
      </c>
      <c r="B1622" t="s">
        <v>1809</v>
      </c>
      <c r="C1622" t="s">
        <v>3940</v>
      </c>
      <c r="D1622">
        <v>2.4900000000000002</v>
      </c>
      <c r="F1622" t="str">
        <f t="shared" si="125"/>
        <v>No</v>
      </c>
      <c r="G1622" t="str">
        <f t="shared" si="126"/>
        <v/>
      </c>
      <c r="H1622" t="str">
        <f t="shared" si="127"/>
        <v>—</v>
      </c>
      <c r="I1622" t="str">
        <f t="shared" si="128"/>
        <v>Below thresholds</v>
      </c>
      <c r="J1622" t="str">
        <f t="shared" si="129"/>
        <v/>
      </c>
    </row>
    <row r="1623" spans="1:10" x14ac:dyDescent="0.2">
      <c r="A1623">
        <v>226992654790</v>
      </c>
      <c r="B1623" t="s">
        <v>3941</v>
      </c>
      <c r="C1623" t="s">
        <v>3942</v>
      </c>
      <c r="D1623">
        <v>2.09</v>
      </c>
      <c r="F1623" t="str">
        <f t="shared" si="125"/>
        <v>No</v>
      </c>
      <c r="G1623" t="str">
        <f t="shared" si="126"/>
        <v/>
      </c>
      <c r="H1623" t="str">
        <f t="shared" si="127"/>
        <v>—</v>
      </c>
      <c r="I1623" t="str">
        <f t="shared" si="128"/>
        <v>Below thresholds</v>
      </c>
      <c r="J1623" t="str">
        <f t="shared" si="129"/>
        <v/>
      </c>
    </row>
    <row r="1624" spans="1:10" x14ac:dyDescent="0.2">
      <c r="A1624">
        <v>226992654837</v>
      </c>
      <c r="B1624" t="s">
        <v>3943</v>
      </c>
      <c r="C1624" t="s">
        <v>3944</v>
      </c>
      <c r="D1624">
        <v>2.4900000000000002</v>
      </c>
      <c r="F1624" t="str">
        <f t="shared" si="125"/>
        <v>No</v>
      </c>
      <c r="G1624" t="str">
        <f t="shared" si="126"/>
        <v/>
      </c>
      <c r="H1624" t="str">
        <f t="shared" si="127"/>
        <v>—</v>
      </c>
      <c r="I1624" t="str">
        <f t="shared" si="128"/>
        <v>Below thresholds</v>
      </c>
      <c r="J1624" t="str">
        <f t="shared" si="129"/>
        <v/>
      </c>
    </row>
    <row r="1625" spans="1:10" x14ac:dyDescent="0.2">
      <c r="A1625">
        <v>226992654844</v>
      </c>
      <c r="B1625" t="s">
        <v>3945</v>
      </c>
      <c r="C1625" t="s">
        <v>3946</v>
      </c>
      <c r="D1625">
        <v>2.99</v>
      </c>
      <c r="F1625" t="str">
        <f t="shared" si="125"/>
        <v>No</v>
      </c>
      <c r="G1625" t="str">
        <f t="shared" si="126"/>
        <v/>
      </c>
      <c r="H1625" t="str">
        <f t="shared" si="127"/>
        <v>—</v>
      </c>
      <c r="I1625" t="str">
        <f t="shared" si="128"/>
        <v>Below thresholds</v>
      </c>
      <c r="J1625" t="str">
        <f t="shared" si="129"/>
        <v/>
      </c>
    </row>
    <row r="1626" spans="1:10" x14ac:dyDescent="0.2">
      <c r="A1626">
        <v>226992654973</v>
      </c>
      <c r="B1626" t="s">
        <v>3947</v>
      </c>
      <c r="C1626" t="s">
        <v>3948</v>
      </c>
      <c r="D1626">
        <v>2.09</v>
      </c>
      <c r="F1626" t="str">
        <f t="shared" si="125"/>
        <v>No</v>
      </c>
      <c r="G1626" t="str">
        <f t="shared" si="126"/>
        <v/>
      </c>
      <c r="H1626" t="str">
        <f t="shared" si="127"/>
        <v>—</v>
      </c>
      <c r="I1626" t="str">
        <f t="shared" si="128"/>
        <v>Below thresholds</v>
      </c>
      <c r="J1626" t="str">
        <f t="shared" si="129"/>
        <v/>
      </c>
    </row>
    <row r="1627" spans="1:10" x14ac:dyDescent="0.2">
      <c r="A1627">
        <v>226992654980</v>
      </c>
      <c r="B1627" t="s">
        <v>3949</v>
      </c>
      <c r="C1627" t="s">
        <v>3950</v>
      </c>
      <c r="D1627">
        <v>2.09</v>
      </c>
      <c r="F1627" t="str">
        <f t="shared" si="125"/>
        <v>No</v>
      </c>
      <c r="G1627" t="str">
        <f t="shared" si="126"/>
        <v/>
      </c>
      <c r="H1627" t="str">
        <f t="shared" si="127"/>
        <v>—</v>
      </c>
      <c r="I1627" t="str">
        <f t="shared" si="128"/>
        <v>Below thresholds</v>
      </c>
      <c r="J1627" t="str">
        <f t="shared" si="129"/>
        <v/>
      </c>
    </row>
    <row r="1628" spans="1:10" x14ac:dyDescent="0.2">
      <c r="A1628">
        <v>226992655125</v>
      </c>
      <c r="B1628" t="s">
        <v>3951</v>
      </c>
      <c r="C1628" t="s">
        <v>3952</v>
      </c>
      <c r="D1628">
        <v>2.09</v>
      </c>
      <c r="F1628" t="str">
        <f t="shared" si="125"/>
        <v>No</v>
      </c>
      <c r="G1628" t="str">
        <f t="shared" si="126"/>
        <v/>
      </c>
      <c r="H1628" t="str">
        <f t="shared" si="127"/>
        <v>—</v>
      </c>
      <c r="I1628" t="str">
        <f t="shared" si="128"/>
        <v>Below thresholds</v>
      </c>
      <c r="J1628" t="str">
        <f t="shared" si="129"/>
        <v/>
      </c>
    </row>
    <row r="1629" spans="1:10" x14ac:dyDescent="0.2">
      <c r="A1629">
        <v>226992655133</v>
      </c>
      <c r="B1629" t="s">
        <v>3953</v>
      </c>
      <c r="C1629" t="s">
        <v>3954</v>
      </c>
      <c r="D1629">
        <v>2.09</v>
      </c>
      <c r="F1629" t="str">
        <f t="shared" si="125"/>
        <v>No</v>
      </c>
      <c r="G1629" t="str">
        <f t="shared" si="126"/>
        <v/>
      </c>
      <c r="H1629" t="str">
        <f t="shared" si="127"/>
        <v>—</v>
      </c>
      <c r="I1629" t="str">
        <f t="shared" si="128"/>
        <v>Below thresholds</v>
      </c>
      <c r="J1629" t="str">
        <f t="shared" si="129"/>
        <v/>
      </c>
    </row>
    <row r="1630" spans="1:10" x14ac:dyDescent="0.2">
      <c r="A1630">
        <v>226992655164</v>
      </c>
      <c r="B1630" t="s">
        <v>3955</v>
      </c>
      <c r="C1630" t="s">
        <v>3956</v>
      </c>
      <c r="D1630">
        <v>2.4900000000000002</v>
      </c>
      <c r="F1630" t="str">
        <f t="shared" si="125"/>
        <v>No</v>
      </c>
      <c r="G1630" t="str">
        <f t="shared" si="126"/>
        <v/>
      </c>
      <c r="H1630" t="str">
        <f t="shared" si="127"/>
        <v>—</v>
      </c>
      <c r="I1630" t="str">
        <f t="shared" si="128"/>
        <v>Below thresholds</v>
      </c>
      <c r="J1630" t="str">
        <f t="shared" si="129"/>
        <v/>
      </c>
    </row>
    <row r="1631" spans="1:10" x14ac:dyDescent="0.2">
      <c r="A1631">
        <v>226992655165</v>
      </c>
      <c r="B1631" t="s">
        <v>3957</v>
      </c>
      <c r="C1631" t="s">
        <v>3958</v>
      </c>
      <c r="D1631">
        <v>2.09</v>
      </c>
      <c r="F1631" t="str">
        <f t="shared" si="125"/>
        <v>No</v>
      </c>
      <c r="G1631" t="str">
        <f t="shared" si="126"/>
        <v/>
      </c>
      <c r="H1631" t="str">
        <f t="shared" si="127"/>
        <v>—</v>
      </c>
      <c r="I1631" t="str">
        <f t="shared" si="128"/>
        <v>Below thresholds</v>
      </c>
      <c r="J1631" t="str">
        <f t="shared" si="129"/>
        <v/>
      </c>
    </row>
    <row r="1632" spans="1:10" x14ac:dyDescent="0.2">
      <c r="A1632">
        <v>226992655199</v>
      </c>
      <c r="B1632" t="s">
        <v>3959</v>
      </c>
      <c r="C1632" t="s">
        <v>3960</v>
      </c>
      <c r="D1632">
        <v>2.09</v>
      </c>
      <c r="F1632" t="str">
        <f t="shared" si="125"/>
        <v>No</v>
      </c>
      <c r="G1632" t="str">
        <f t="shared" si="126"/>
        <v/>
      </c>
      <c r="H1632" t="str">
        <f t="shared" si="127"/>
        <v>—</v>
      </c>
      <c r="I1632" t="str">
        <f t="shared" si="128"/>
        <v>Below thresholds</v>
      </c>
      <c r="J1632" t="str">
        <f t="shared" si="129"/>
        <v/>
      </c>
    </row>
    <row r="1633" spans="1:10" x14ac:dyDescent="0.2">
      <c r="A1633">
        <v>226992655215</v>
      </c>
      <c r="B1633" t="s">
        <v>3961</v>
      </c>
      <c r="C1633" t="s">
        <v>3962</v>
      </c>
      <c r="D1633">
        <v>2.99</v>
      </c>
      <c r="F1633" t="str">
        <f t="shared" si="125"/>
        <v>No</v>
      </c>
      <c r="G1633" t="str">
        <f t="shared" si="126"/>
        <v/>
      </c>
      <c r="H1633" t="str">
        <f t="shared" si="127"/>
        <v>—</v>
      </c>
      <c r="I1633" t="str">
        <f t="shared" si="128"/>
        <v>Below thresholds</v>
      </c>
      <c r="J1633" t="str">
        <f t="shared" si="129"/>
        <v/>
      </c>
    </row>
    <row r="1634" spans="1:10" x14ac:dyDescent="0.2">
      <c r="A1634">
        <v>226992655227</v>
      </c>
      <c r="B1634" t="s">
        <v>3963</v>
      </c>
      <c r="C1634" t="s">
        <v>3964</v>
      </c>
      <c r="D1634">
        <v>2.09</v>
      </c>
      <c r="F1634" t="str">
        <f t="shared" si="125"/>
        <v>No</v>
      </c>
      <c r="G1634" t="str">
        <f t="shared" si="126"/>
        <v/>
      </c>
      <c r="H1634" t="str">
        <f t="shared" si="127"/>
        <v>—</v>
      </c>
      <c r="I1634" t="str">
        <f t="shared" si="128"/>
        <v>Below thresholds</v>
      </c>
      <c r="J1634" t="str">
        <f t="shared" si="129"/>
        <v/>
      </c>
    </row>
    <row r="1635" spans="1:10" x14ac:dyDescent="0.2">
      <c r="A1635">
        <v>226992655261</v>
      </c>
      <c r="B1635" t="s">
        <v>3965</v>
      </c>
      <c r="C1635" t="s">
        <v>3966</v>
      </c>
      <c r="D1635">
        <v>2.99</v>
      </c>
      <c r="F1635" t="str">
        <f t="shared" si="125"/>
        <v>No</v>
      </c>
      <c r="G1635" t="str">
        <f t="shared" si="126"/>
        <v/>
      </c>
      <c r="H1635" t="str">
        <f t="shared" si="127"/>
        <v>—</v>
      </c>
      <c r="I1635" t="str">
        <f t="shared" si="128"/>
        <v>Below thresholds</v>
      </c>
      <c r="J1635" t="str">
        <f t="shared" si="129"/>
        <v/>
      </c>
    </row>
    <row r="1636" spans="1:10" x14ac:dyDescent="0.2">
      <c r="A1636">
        <v>226992655327</v>
      </c>
      <c r="B1636" t="s">
        <v>3967</v>
      </c>
      <c r="C1636" t="s">
        <v>3968</v>
      </c>
      <c r="D1636">
        <v>2.99</v>
      </c>
      <c r="F1636" t="str">
        <f t="shared" si="125"/>
        <v>No</v>
      </c>
      <c r="G1636" t="str">
        <f t="shared" si="126"/>
        <v/>
      </c>
      <c r="H1636" t="str">
        <f t="shared" si="127"/>
        <v>—</v>
      </c>
      <c r="I1636" t="str">
        <f t="shared" si="128"/>
        <v>Below thresholds</v>
      </c>
      <c r="J1636" t="str">
        <f t="shared" si="129"/>
        <v/>
      </c>
    </row>
    <row r="1637" spans="1:10" x14ac:dyDescent="0.2">
      <c r="A1637">
        <v>226992655491</v>
      </c>
      <c r="B1637" t="s">
        <v>3969</v>
      </c>
      <c r="C1637" t="s">
        <v>3970</v>
      </c>
      <c r="D1637">
        <v>2.59</v>
      </c>
      <c r="F1637" t="str">
        <f t="shared" si="125"/>
        <v>No</v>
      </c>
      <c r="G1637" t="str">
        <f t="shared" si="126"/>
        <v/>
      </c>
      <c r="H1637" t="str">
        <f t="shared" si="127"/>
        <v>—</v>
      </c>
      <c r="I1637" t="str">
        <f t="shared" si="128"/>
        <v>Below thresholds</v>
      </c>
      <c r="J1637" t="str">
        <f t="shared" si="129"/>
        <v/>
      </c>
    </row>
    <row r="1638" spans="1:10" x14ac:dyDescent="0.2">
      <c r="A1638">
        <v>226992657345</v>
      </c>
      <c r="B1638" t="s">
        <v>3971</v>
      </c>
      <c r="C1638" t="s">
        <v>3972</v>
      </c>
      <c r="D1638">
        <v>2.09</v>
      </c>
      <c r="F1638" t="str">
        <f t="shared" si="125"/>
        <v>No</v>
      </c>
      <c r="G1638" t="str">
        <f t="shared" si="126"/>
        <v/>
      </c>
      <c r="H1638" t="str">
        <f t="shared" si="127"/>
        <v>—</v>
      </c>
      <c r="I1638" t="str">
        <f t="shared" si="128"/>
        <v>Below thresholds</v>
      </c>
      <c r="J1638" t="str">
        <f t="shared" si="129"/>
        <v/>
      </c>
    </row>
    <row r="1639" spans="1:10" x14ac:dyDescent="0.2">
      <c r="A1639">
        <v>226992657369</v>
      </c>
      <c r="B1639" t="s">
        <v>3973</v>
      </c>
      <c r="C1639" t="s">
        <v>3974</v>
      </c>
      <c r="D1639">
        <v>2.99</v>
      </c>
      <c r="F1639" t="str">
        <f t="shared" si="125"/>
        <v>No</v>
      </c>
      <c r="G1639" t="str">
        <f t="shared" si="126"/>
        <v/>
      </c>
      <c r="H1639" t="str">
        <f t="shared" si="127"/>
        <v>—</v>
      </c>
      <c r="I1639" t="str">
        <f t="shared" si="128"/>
        <v>Below thresholds</v>
      </c>
      <c r="J1639" t="str">
        <f t="shared" si="129"/>
        <v/>
      </c>
    </row>
    <row r="1640" spans="1:10" x14ac:dyDescent="0.2">
      <c r="A1640">
        <v>226992657485</v>
      </c>
      <c r="B1640" t="s">
        <v>3975</v>
      </c>
      <c r="C1640" t="s">
        <v>3976</v>
      </c>
      <c r="D1640">
        <v>2.39</v>
      </c>
      <c r="F1640" t="str">
        <f t="shared" si="125"/>
        <v>No</v>
      </c>
      <c r="G1640" t="str">
        <f t="shared" si="126"/>
        <v/>
      </c>
      <c r="H1640" t="str">
        <f t="shared" si="127"/>
        <v>—</v>
      </c>
      <c r="I1640" t="str">
        <f t="shared" si="128"/>
        <v>Below thresholds</v>
      </c>
      <c r="J1640" t="str">
        <f t="shared" si="129"/>
        <v/>
      </c>
    </row>
    <row r="1641" spans="1:10" x14ac:dyDescent="0.2">
      <c r="A1641">
        <v>226992657528</v>
      </c>
      <c r="B1641" t="s">
        <v>3977</v>
      </c>
      <c r="C1641" t="s">
        <v>3978</v>
      </c>
      <c r="D1641">
        <v>2.29</v>
      </c>
      <c r="F1641" t="str">
        <f t="shared" si="125"/>
        <v>No</v>
      </c>
      <c r="G1641" t="str">
        <f t="shared" si="126"/>
        <v/>
      </c>
      <c r="H1641" t="str">
        <f t="shared" si="127"/>
        <v>—</v>
      </c>
      <c r="I1641" t="str">
        <f t="shared" si="128"/>
        <v>Below thresholds</v>
      </c>
      <c r="J1641" t="str">
        <f t="shared" si="129"/>
        <v/>
      </c>
    </row>
    <row r="1642" spans="1:10" x14ac:dyDescent="0.2">
      <c r="A1642">
        <v>226992674094</v>
      </c>
      <c r="B1642" t="s">
        <v>3979</v>
      </c>
      <c r="C1642" t="s">
        <v>3980</v>
      </c>
      <c r="D1642">
        <v>2.09</v>
      </c>
      <c r="F1642" t="str">
        <f t="shared" si="125"/>
        <v>No</v>
      </c>
      <c r="G1642" t="str">
        <f t="shared" si="126"/>
        <v/>
      </c>
      <c r="H1642" t="str">
        <f t="shared" si="127"/>
        <v>—</v>
      </c>
      <c r="I1642" t="str">
        <f t="shared" si="128"/>
        <v>Below thresholds</v>
      </c>
      <c r="J1642" t="str">
        <f t="shared" si="129"/>
        <v/>
      </c>
    </row>
    <row r="1643" spans="1:10" x14ac:dyDescent="0.2">
      <c r="A1643">
        <v>226992674341</v>
      </c>
      <c r="B1643" t="s">
        <v>3981</v>
      </c>
      <c r="C1643" t="s">
        <v>3982</v>
      </c>
      <c r="D1643">
        <v>4.29</v>
      </c>
      <c r="F1643" t="str">
        <f t="shared" si="125"/>
        <v>No</v>
      </c>
      <c r="G1643" t="str">
        <f t="shared" si="126"/>
        <v/>
      </c>
      <c r="H1643" t="str">
        <f t="shared" si="127"/>
        <v>—</v>
      </c>
      <c r="I1643" t="str">
        <f t="shared" si="128"/>
        <v>Below thresholds</v>
      </c>
      <c r="J1643" t="str">
        <f t="shared" si="129"/>
        <v/>
      </c>
    </row>
    <row r="1644" spans="1:10" x14ac:dyDescent="0.2">
      <c r="A1644">
        <v>226994253198</v>
      </c>
      <c r="B1644" t="s">
        <v>3983</v>
      </c>
      <c r="C1644" t="s">
        <v>3984</v>
      </c>
      <c r="D1644">
        <v>2.09</v>
      </c>
      <c r="F1644" t="str">
        <f t="shared" si="125"/>
        <v>No</v>
      </c>
      <c r="G1644" t="str">
        <f t="shared" si="126"/>
        <v/>
      </c>
      <c r="H1644" t="str">
        <f t="shared" si="127"/>
        <v>—</v>
      </c>
      <c r="I1644" t="str">
        <f t="shared" si="128"/>
        <v>Below thresholds</v>
      </c>
      <c r="J1644" t="str">
        <f t="shared" si="129"/>
        <v/>
      </c>
    </row>
    <row r="1645" spans="1:10" x14ac:dyDescent="0.2">
      <c r="A1645">
        <v>226994253250</v>
      </c>
      <c r="B1645" t="s">
        <v>3985</v>
      </c>
      <c r="C1645" t="s">
        <v>3986</v>
      </c>
      <c r="D1645">
        <v>2.99</v>
      </c>
      <c r="F1645" t="str">
        <f t="shared" si="125"/>
        <v>No</v>
      </c>
      <c r="G1645" t="str">
        <f t="shared" si="126"/>
        <v/>
      </c>
      <c r="H1645" t="str">
        <f t="shared" si="127"/>
        <v>—</v>
      </c>
      <c r="I1645" t="str">
        <f t="shared" si="128"/>
        <v>Below thresholds</v>
      </c>
      <c r="J1645" t="str">
        <f t="shared" si="129"/>
        <v/>
      </c>
    </row>
    <row r="1646" spans="1:10" x14ac:dyDescent="0.2">
      <c r="A1646">
        <v>226994253255</v>
      </c>
      <c r="B1646" t="s">
        <v>3987</v>
      </c>
      <c r="C1646" t="s">
        <v>3988</v>
      </c>
      <c r="D1646">
        <v>4.99</v>
      </c>
      <c r="F1646" t="str">
        <f t="shared" si="125"/>
        <v>No</v>
      </c>
      <c r="G1646" t="str">
        <f t="shared" si="126"/>
        <v/>
      </c>
      <c r="H1646" t="str">
        <f t="shared" si="127"/>
        <v>—</v>
      </c>
      <c r="I1646" t="str">
        <f t="shared" si="128"/>
        <v>Below thresholds</v>
      </c>
      <c r="J1646" t="str">
        <f t="shared" si="129"/>
        <v/>
      </c>
    </row>
    <row r="1647" spans="1:10" x14ac:dyDescent="0.2">
      <c r="A1647">
        <v>226994253299</v>
      </c>
      <c r="B1647" t="s">
        <v>3989</v>
      </c>
      <c r="C1647" t="s">
        <v>3990</v>
      </c>
      <c r="D1647">
        <v>2.09</v>
      </c>
      <c r="F1647" t="str">
        <f t="shared" si="125"/>
        <v>No</v>
      </c>
      <c r="G1647" t="str">
        <f t="shared" si="126"/>
        <v/>
      </c>
      <c r="H1647" t="str">
        <f t="shared" si="127"/>
        <v>—</v>
      </c>
      <c r="I1647" t="str">
        <f t="shared" si="128"/>
        <v>Below thresholds</v>
      </c>
      <c r="J1647" t="str">
        <f t="shared" si="129"/>
        <v/>
      </c>
    </row>
    <row r="1648" spans="1:10" x14ac:dyDescent="0.2">
      <c r="A1648">
        <v>226994253343</v>
      </c>
      <c r="B1648" t="s">
        <v>3991</v>
      </c>
      <c r="C1648" t="s">
        <v>3992</v>
      </c>
      <c r="D1648">
        <v>3.49</v>
      </c>
      <c r="F1648" t="str">
        <f t="shared" si="125"/>
        <v>No</v>
      </c>
      <c r="G1648" t="str">
        <f t="shared" si="126"/>
        <v/>
      </c>
      <c r="H1648" t="str">
        <f t="shared" si="127"/>
        <v>—</v>
      </c>
      <c r="I1648" t="str">
        <f t="shared" si="128"/>
        <v>Below thresholds</v>
      </c>
      <c r="J1648" t="str">
        <f t="shared" si="129"/>
        <v/>
      </c>
    </row>
    <row r="1649" spans="1:10" x14ac:dyDescent="0.2">
      <c r="A1649">
        <v>226994253381</v>
      </c>
      <c r="B1649" t="s">
        <v>330</v>
      </c>
      <c r="C1649" t="s">
        <v>3993</v>
      </c>
      <c r="D1649">
        <v>29.99</v>
      </c>
      <c r="F1649" t="str">
        <f t="shared" si="125"/>
        <v>No</v>
      </c>
      <c r="G1649" t="str">
        <f t="shared" si="126"/>
        <v/>
      </c>
      <c r="H1649" t="str">
        <f t="shared" si="127"/>
        <v>—</v>
      </c>
      <c r="I1649" t="str">
        <f t="shared" si="128"/>
        <v>$20+ — needs velocity check</v>
      </c>
      <c r="J1649" t="str">
        <f t="shared" si="129"/>
        <v>YES — pull CardHedger</v>
      </c>
    </row>
    <row r="1650" spans="1:10" x14ac:dyDescent="0.2">
      <c r="A1650">
        <v>226994253395</v>
      </c>
      <c r="B1650" t="s">
        <v>3994</v>
      </c>
      <c r="C1650" t="s">
        <v>3995</v>
      </c>
      <c r="D1650">
        <v>3.99</v>
      </c>
      <c r="F1650" t="str">
        <f t="shared" si="125"/>
        <v>No</v>
      </c>
      <c r="G1650" t="str">
        <f t="shared" si="126"/>
        <v/>
      </c>
      <c r="H1650" t="str">
        <f t="shared" si="127"/>
        <v>—</v>
      </c>
      <c r="I1650" t="str">
        <f t="shared" si="128"/>
        <v>Below thresholds</v>
      </c>
      <c r="J1650" t="str">
        <f t="shared" si="129"/>
        <v/>
      </c>
    </row>
    <row r="1651" spans="1:10" x14ac:dyDescent="0.2">
      <c r="A1651">
        <v>226994253444</v>
      </c>
      <c r="B1651" t="s">
        <v>3996</v>
      </c>
      <c r="C1651" t="s">
        <v>3997</v>
      </c>
      <c r="D1651">
        <v>15</v>
      </c>
      <c r="F1651" t="str">
        <f t="shared" si="125"/>
        <v>No</v>
      </c>
      <c r="G1651" t="str">
        <f t="shared" si="126"/>
        <v/>
      </c>
      <c r="H1651" t="str">
        <f t="shared" si="127"/>
        <v>—</v>
      </c>
      <c r="I1651" t="str">
        <f t="shared" si="128"/>
        <v>Below thresholds</v>
      </c>
      <c r="J1651" t="str">
        <f t="shared" si="129"/>
        <v/>
      </c>
    </row>
    <row r="1652" spans="1:10" x14ac:dyDescent="0.2">
      <c r="A1652">
        <v>226994253511</v>
      </c>
      <c r="B1652" t="s">
        <v>3998</v>
      </c>
      <c r="C1652" t="s">
        <v>3999</v>
      </c>
      <c r="D1652">
        <v>2.09</v>
      </c>
      <c r="F1652" t="str">
        <f t="shared" si="125"/>
        <v>No</v>
      </c>
      <c r="G1652" t="str">
        <f t="shared" si="126"/>
        <v/>
      </c>
      <c r="H1652" t="str">
        <f t="shared" si="127"/>
        <v>—</v>
      </c>
      <c r="I1652" t="str">
        <f t="shared" si="128"/>
        <v>Below thresholds</v>
      </c>
      <c r="J1652" t="str">
        <f t="shared" si="129"/>
        <v/>
      </c>
    </row>
    <row r="1653" spans="1:10" x14ac:dyDescent="0.2">
      <c r="A1653">
        <v>226994253515</v>
      </c>
      <c r="B1653" t="s">
        <v>4000</v>
      </c>
      <c r="C1653" t="s">
        <v>4001</v>
      </c>
      <c r="D1653">
        <v>2.09</v>
      </c>
      <c r="F1653" t="str">
        <f t="shared" si="125"/>
        <v>No</v>
      </c>
      <c r="G1653" t="str">
        <f t="shared" si="126"/>
        <v/>
      </c>
      <c r="H1653" t="str">
        <f t="shared" si="127"/>
        <v>—</v>
      </c>
      <c r="I1653" t="str">
        <f t="shared" si="128"/>
        <v>Below thresholds</v>
      </c>
      <c r="J1653" t="str">
        <f t="shared" si="129"/>
        <v/>
      </c>
    </row>
    <row r="1654" spans="1:10" x14ac:dyDescent="0.2">
      <c r="A1654">
        <v>226995723834</v>
      </c>
      <c r="B1654" t="s">
        <v>4002</v>
      </c>
      <c r="C1654" t="s">
        <v>4003</v>
      </c>
      <c r="D1654">
        <v>9.99</v>
      </c>
      <c r="F1654" t="str">
        <f t="shared" si="125"/>
        <v>No</v>
      </c>
      <c r="G1654" t="str">
        <f t="shared" si="126"/>
        <v/>
      </c>
      <c r="H1654" t="str">
        <f t="shared" si="127"/>
        <v>—</v>
      </c>
      <c r="I1654" t="str">
        <f t="shared" si="128"/>
        <v>Below thresholds</v>
      </c>
      <c r="J1654" t="str">
        <f t="shared" si="129"/>
        <v/>
      </c>
    </row>
    <row r="1655" spans="1:10" x14ac:dyDescent="0.2">
      <c r="A1655">
        <v>226995726837</v>
      </c>
      <c r="B1655" t="s">
        <v>4004</v>
      </c>
      <c r="C1655" t="s">
        <v>4005</v>
      </c>
      <c r="D1655">
        <v>1.99</v>
      </c>
      <c r="F1655" t="str">
        <f t="shared" si="125"/>
        <v>No</v>
      </c>
      <c r="G1655" t="str">
        <f t="shared" si="126"/>
        <v/>
      </c>
      <c r="H1655" t="str">
        <f t="shared" si="127"/>
        <v>—</v>
      </c>
      <c r="I1655" t="str">
        <f t="shared" si="128"/>
        <v>Below thresholds</v>
      </c>
      <c r="J1655" t="str">
        <f t="shared" si="129"/>
        <v/>
      </c>
    </row>
    <row r="1656" spans="1:10" x14ac:dyDescent="0.2">
      <c r="A1656">
        <v>226995729077</v>
      </c>
      <c r="B1656" t="s">
        <v>4006</v>
      </c>
      <c r="C1656" t="s">
        <v>4007</v>
      </c>
      <c r="D1656">
        <v>5.99</v>
      </c>
      <c r="F1656" t="str">
        <f t="shared" si="125"/>
        <v>No</v>
      </c>
      <c r="G1656" t="str">
        <f t="shared" si="126"/>
        <v/>
      </c>
      <c r="H1656" t="str">
        <f t="shared" si="127"/>
        <v>—</v>
      </c>
      <c r="I1656" t="str">
        <f t="shared" si="128"/>
        <v>Below thresholds</v>
      </c>
      <c r="J1656" t="str">
        <f t="shared" si="129"/>
        <v/>
      </c>
    </row>
    <row r="1657" spans="1:10" x14ac:dyDescent="0.2">
      <c r="A1657">
        <v>226995729124</v>
      </c>
      <c r="B1657" t="s">
        <v>4008</v>
      </c>
      <c r="C1657" t="s">
        <v>4009</v>
      </c>
      <c r="D1657">
        <v>3</v>
      </c>
      <c r="F1657" t="str">
        <f t="shared" si="125"/>
        <v>No</v>
      </c>
      <c r="G1657" t="str">
        <f t="shared" si="126"/>
        <v/>
      </c>
      <c r="H1657" t="str">
        <f t="shared" si="127"/>
        <v>—</v>
      </c>
      <c r="I1657" t="str">
        <f t="shared" si="128"/>
        <v>Below thresholds</v>
      </c>
      <c r="J1657" t="str">
        <f t="shared" si="129"/>
        <v/>
      </c>
    </row>
    <row r="1658" spans="1:10" x14ac:dyDescent="0.2">
      <c r="A1658">
        <v>226995732640</v>
      </c>
      <c r="B1658" t="s">
        <v>4010</v>
      </c>
      <c r="C1658" t="s">
        <v>4011</v>
      </c>
      <c r="D1658">
        <v>2.99</v>
      </c>
      <c r="F1658" t="str">
        <f t="shared" si="125"/>
        <v>No</v>
      </c>
      <c r="G1658" t="str">
        <f t="shared" si="126"/>
        <v/>
      </c>
      <c r="H1658" t="str">
        <f t="shared" si="127"/>
        <v>—</v>
      </c>
      <c r="I1658" t="str">
        <f t="shared" si="128"/>
        <v>Below thresholds</v>
      </c>
      <c r="J1658" t="str">
        <f t="shared" si="129"/>
        <v/>
      </c>
    </row>
    <row r="1659" spans="1:10" x14ac:dyDescent="0.2">
      <c r="A1659">
        <v>226995735238</v>
      </c>
      <c r="B1659" t="s">
        <v>4012</v>
      </c>
      <c r="C1659" t="s">
        <v>4013</v>
      </c>
      <c r="D1659">
        <v>3.99</v>
      </c>
      <c r="F1659" t="str">
        <f t="shared" si="125"/>
        <v>No</v>
      </c>
      <c r="G1659" t="str">
        <f t="shared" si="126"/>
        <v/>
      </c>
      <c r="H1659" t="str">
        <f t="shared" si="127"/>
        <v>—</v>
      </c>
      <c r="I1659" t="str">
        <f t="shared" si="128"/>
        <v>Below thresholds</v>
      </c>
      <c r="J1659" t="str">
        <f t="shared" si="129"/>
        <v/>
      </c>
    </row>
    <row r="1660" spans="1:10" x14ac:dyDescent="0.2">
      <c r="A1660">
        <v>226995736250</v>
      </c>
      <c r="B1660" t="s">
        <v>4014</v>
      </c>
      <c r="C1660" t="s">
        <v>4015</v>
      </c>
      <c r="D1660">
        <v>1.99</v>
      </c>
      <c r="F1660" t="str">
        <f t="shared" si="125"/>
        <v>No</v>
      </c>
      <c r="G1660" t="str">
        <f t="shared" si="126"/>
        <v/>
      </c>
      <c r="H1660" t="str">
        <f t="shared" si="127"/>
        <v>—</v>
      </c>
      <c r="I1660" t="str">
        <f t="shared" si="128"/>
        <v>Below thresholds</v>
      </c>
      <c r="J1660" t="str">
        <f t="shared" si="129"/>
        <v/>
      </c>
    </row>
    <row r="1661" spans="1:10" x14ac:dyDescent="0.2">
      <c r="A1661">
        <v>226995737789</v>
      </c>
      <c r="B1661" t="s">
        <v>4016</v>
      </c>
      <c r="C1661" t="s">
        <v>4017</v>
      </c>
      <c r="D1661">
        <v>3.99</v>
      </c>
      <c r="F1661" t="str">
        <f t="shared" si="125"/>
        <v>No</v>
      </c>
      <c r="G1661" t="str">
        <f t="shared" si="126"/>
        <v/>
      </c>
      <c r="H1661" t="str">
        <f t="shared" si="127"/>
        <v>—</v>
      </c>
      <c r="I1661" t="str">
        <f t="shared" si="128"/>
        <v>Below thresholds</v>
      </c>
      <c r="J1661" t="str">
        <f t="shared" si="129"/>
        <v/>
      </c>
    </row>
    <row r="1662" spans="1:10" x14ac:dyDescent="0.2">
      <c r="A1662">
        <v>226995746071</v>
      </c>
      <c r="B1662" t="s">
        <v>4018</v>
      </c>
      <c r="C1662" t="s">
        <v>4019</v>
      </c>
      <c r="D1662">
        <v>2.4900000000000002</v>
      </c>
      <c r="F1662" t="str">
        <f t="shared" si="125"/>
        <v>No</v>
      </c>
      <c r="G1662" t="str">
        <f t="shared" si="126"/>
        <v/>
      </c>
      <c r="H1662" t="str">
        <f t="shared" si="127"/>
        <v>—</v>
      </c>
      <c r="I1662" t="str">
        <f t="shared" si="128"/>
        <v>Below thresholds</v>
      </c>
      <c r="J1662" t="str">
        <f t="shared" si="129"/>
        <v/>
      </c>
    </row>
    <row r="1663" spans="1:10" x14ac:dyDescent="0.2">
      <c r="A1663">
        <v>226995749128</v>
      </c>
      <c r="B1663" t="s">
        <v>4020</v>
      </c>
      <c r="C1663" t="s">
        <v>4021</v>
      </c>
      <c r="D1663">
        <v>3.99</v>
      </c>
      <c r="F1663" t="str">
        <f t="shared" si="125"/>
        <v>No</v>
      </c>
      <c r="G1663" t="str">
        <f t="shared" si="126"/>
        <v/>
      </c>
      <c r="H1663" t="str">
        <f t="shared" si="127"/>
        <v>—</v>
      </c>
      <c r="I1663" t="str">
        <f t="shared" si="128"/>
        <v>Below thresholds</v>
      </c>
      <c r="J1663" t="str">
        <f t="shared" si="129"/>
        <v/>
      </c>
    </row>
    <row r="1664" spans="1:10" x14ac:dyDescent="0.2">
      <c r="A1664">
        <v>226995754023</v>
      </c>
      <c r="B1664" t="s">
        <v>4022</v>
      </c>
      <c r="C1664" t="s">
        <v>4023</v>
      </c>
      <c r="D1664">
        <v>2.99</v>
      </c>
      <c r="F1664" t="str">
        <f t="shared" si="125"/>
        <v>No</v>
      </c>
      <c r="G1664" t="str">
        <f t="shared" si="126"/>
        <v/>
      </c>
      <c r="H1664" t="str">
        <f t="shared" si="127"/>
        <v>—</v>
      </c>
      <c r="I1664" t="str">
        <f t="shared" si="128"/>
        <v>Below thresholds</v>
      </c>
      <c r="J1664" t="str">
        <f t="shared" si="129"/>
        <v/>
      </c>
    </row>
    <row r="1665" spans="1:10" x14ac:dyDescent="0.2">
      <c r="A1665">
        <v>226995760746</v>
      </c>
      <c r="B1665" t="s">
        <v>4024</v>
      </c>
      <c r="C1665" t="s">
        <v>4025</v>
      </c>
      <c r="D1665">
        <v>1.99</v>
      </c>
      <c r="F1665" t="str">
        <f t="shared" si="125"/>
        <v>No</v>
      </c>
      <c r="G1665" t="str">
        <f t="shared" si="126"/>
        <v/>
      </c>
      <c r="H1665" t="str">
        <f t="shared" si="127"/>
        <v>—</v>
      </c>
      <c r="I1665" t="str">
        <f t="shared" si="128"/>
        <v>Below thresholds</v>
      </c>
      <c r="J1665" t="str">
        <f t="shared" si="129"/>
        <v/>
      </c>
    </row>
    <row r="1666" spans="1:10" x14ac:dyDescent="0.2">
      <c r="A1666">
        <v>226995760803</v>
      </c>
      <c r="B1666" t="s">
        <v>4026</v>
      </c>
      <c r="C1666" t="s">
        <v>4027</v>
      </c>
      <c r="D1666">
        <v>2.99</v>
      </c>
      <c r="F1666" t="str">
        <f t="shared" si="125"/>
        <v>No</v>
      </c>
      <c r="G1666" t="str">
        <f t="shared" si="126"/>
        <v/>
      </c>
      <c r="H1666" t="str">
        <f t="shared" si="127"/>
        <v>—</v>
      </c>
      <c r="I1666" t="str">
        <f t="shared" si="128"/>
        <v>Below thresholds</v>
      </c>
      <c r="J1666" t="str">
        <f t="shared" si="129"/>
        <v/>
      </c>
    </row>
    <row r="1667" spans="1:10" x14ac:dyDescent="0.2">
      <c r="A1667">
        <v>226995760818</v>
      </c>
      <c r="B1667" t="s">
        <v>4028</v>
      </c>
      <c r="C1667" t="s">
        <v>4029</v>
      </c>
      <c r="D1667">
        <v>6.99</v>
      </c>
      <c r="F1667" t="str">
        <f t="shared" si="125"/>
        <v>No</v>
      </c>
      <c r="G1667" t="str">
        <f t="shared" si="126"/>
        <v/>
      </c>
      <c r="H1667" t="str">
        <f t="shared" si="127"/>
        <v>—</v>
      </c>
      <c r="I1667" t="str">
        <f t="shared" si="128"/>
        <v>Below thresholds</v>
      </c>
      <c r="J1667" t="str">
        <f t="shared" si="129"/>
        <v/>
      </c>
    </row>
    <row r="1668" spans="1:10" x14ac:dyDescent="0.2">
      <c r="A1668">
        <v>226995766517</v>
      </c>
      <c r="B1668" t="s">
        <v>4030</v>
      </c>
      <c r="C1668" t="s">
        <v>4031</v>
      </c>
      <c r="D1668">
        <v>2.5</v>
      </c>
      <c r="F1668" t="str">
        <f t="shared" si="125"/>
        <v>No</v>
      </c>
      <c r="G1668" t="str">
        <f t="shared" si="126"/>
        <v/>
      </c>
      <c r="H1668" t="str">
        <f t="shared" si="127"/>
        <v>—</v>
      </c>
      <c r="I1668" t="str">
        <f t="shared" si="128"/>
        <v>Below thresholds</v>
      </c>
      <c r="J1668" t="str">
        <f t="shared" si="129"/>
        <v/>
      </c>
    </row>
    <row r="1669" spans="1:10" x14ac:dyDescent="0.2">
      <c r="A1669">
        <v>226995766585</v>
      </c>
      <c r="B1669" t="s">
        <v>4032</v>
      </c>
      <c r="C1669" t="s">
        <v>4033</v>
      </c>
      <c r="D1669">
        <v>3</v>
      </c>
      <c r="F1669" t="str">
        <f t="shared" ref="F1669:F1732" si="130">IF($B1669="","",IF(ISNUMBER(SEARCH("PSA",$B1669)),"Yes","No"))</f>
        <v>No</v>
      </c>
      <c r="G1669" t="str">
        <f t="shared" ref="G1669:G1732" si="131">IF($B1669="","",IF(ISNUMBER(SEARCH("PSA 10",$B1669)),10,IF(ISNUMBER(SEARCH("PSA 9.5",$B1669)),9.5,IF(ISNUMBER(SEARCH("PSA 9",$B1669)),9,IF(ISNUMBER(SEARCH("PSA 8",$B1669)),8,IF(ISNUMBER(SEARCH("PSA",$B1669)),"&lt;9",""))))))</f>
        <v/>
      </c>
      <c r="H1669" t="str">
        <f t="shared" ref="H1669:H1732" si="132">IF($B1669="","",IF($D1669&gt;=100,"TIER 2",IF(OR(ISNUMBER(SEARCH("PSA 10",$B1669)),ISNUMBER(SEARCH("PSA 9.5",$B1669)),ISNUMBER(SEARCH("PSA 9",$B1669))),"TIER 3",IF(AND($D1669&gt;20,N($E1669)&gt;=15),"TIER 1","—"))))</f>
        <v>—</v>
      </c>
      <c r="I1669" t="str">
        <f t="shared" ref="I1669:I1732" si="133">IF($B1669="","",IF($D1669&gt;=100,"Premium $100+ (auto)",IF(OR(ISNUMBER(SEARCH("PSA 10",$B1669)),ISNUMBER(SEARCH("PSA 9.5",$B1669)),ISNUMBER(SEARCH("PSA 9",$B1669))),"Graded PSA 9+ (auto)",IF(AND($D1669&gt;20,N($E1669)&gt;=15),"Hot: $20+ &amp; "&amp;$E1669&amp;"/day",IF($D1669&gt;20,"$20+ — needs velocity check","Below thresholds")))))</f>
        <v>Below thresholds</v>
      </c>
      <c r="J1669" t="str">
        <f t="shared" ref="J1669:J1732" si="134">IF($B1669="","",IF(AND($D1669&gt;20,$D1669&lt;100,NOT(OR(ISNUMBER(SEARCH("PSA 10",$B1669)),ISNUMBER(SEARCH("PSA 9.5",$B1669)),ISNUMBER(SEARCH("PSA 9",$B1669)))),$E1669=""),"YES — pull CardHedger",""))</f>
        <v/>
      </c>
    </row>
    <row r="1670" spans="1:10" x14ac:dyDescent="0.2">
      <c r="A1670">
        <v>226995785551</v>
      </c>
      <c r="B1670" t="s">
        <v>4034</v>
      </c>
      <c r="C1670" t="s">
        <v>4035</v>
      </c>
      <c r="D1670">
        <v>2.99</v>
      </c>
      <c r="F1670" t="str">
        <f t="shared" si="130"/>
        <v>No</v>
      </c>
      <c r="G1670" t="str">
        <f t="shared" si="131"/>
        <v/>
      </c>
      <c r="H1670" t="str">
        <f t="shared" si="132"/>
        <v>—</v>
      </c>
      <c r="I1670" t="str">
        <f t="shared" si="133"/>
        <v>Below thresholds</v>
      </c>
      <c r="J1670" t="str">
        <f t="shared" si="134"/>
        <v/>
      </c>
    </row>
    <row r="1671" spans="1:10" x14ac:dyDescent="0.2">
      <c r="A1671">
        <v>226995800188</v>
      </c>
      <c r="B1671" t="s">
        <v>4036</v>
      </c>
      <c r="C1671" t="s">
        <v>4037</v>
      </c>
      <c r="D1671">
        <v>2.09</v>
      </c>
      <c r="F1671" t="str">
        <f t="shared" si="130"/>
        <v>No</v>
      </c>
      <c r="G1671" t="str">
        <f t="shared" si="131"/>
        <v/>
      </c>
      <c r="H1671" t="str">
        <f t="shared" si="132"/>
        <v>—</v>
      </c>
      <c r="I1671" t="str">
        <f t="shared" si="133"/>
        <v>Below thresholds</v>
      </c>
      <c r="J1671" t="str">
        <f t="shared" si="134"/>
        <v/>
      </c>
    </row>
    <row r="1672" spans="1:10" x14ac:dyDescent="0.2">
      <c r="A1672">
        <v>226995800212</v>
      </c>
      <c r="B1672" t="s">
        <v>4038</v>
      </c>
      <c r="C1672" t="s">
        <v>4039</v>
      </c>
      <c r="D1672">
        <v>2.09</v>
      </c>
      <c r="F1672" t="str">
        <f t="shared" si="130"/>
        <v>No</v>
      </c>
      <c r="G1672" t="str">
        <f t="shared" si="131"/>
        <v/>
      </c>
      <c r="H1672" t="str">
        <f t="shared" si="132"/>
        <v>—</v>
      </c>
      <c r="I1672" t="str">
        <f t="shared" si="133"/>
        <v>Below thresholds</v>
      </c>
      <c r="J1672" t="str">
        <f t="shared" si="134"/>
        <v/>
      </c>
    </row>
    <row r="1673" spans="1:10" x14ac:dyDescent="0.2">
      <c r="A1673">
        <v>226995800237</v>
      </c>
      <c r="B1673" t="s">
        <v>4040</v>
      </c>
      <c r="C1673" t="s">
        <v>4041</v>
      </c>
      <c r="D1673">
        <v>1.99</v>
      </c>
      <c r="F1673" t="str">
        <f t="shared" si="130"/>
        <v>No</v>
      </c>
      <c r="G1673" t="str">
        <f t="shared" si="131"/>
        <v/>
      </c>
      <c r="H1673" t="str">
        <f t="shared" si="132"/>
        <v>—</v>
      </c>
      <c r="I1673" t="str">
        <f t="shared" si="133"/>
        <v>Below thresholds</v>
      </c>
      <c r="J1673" t="str">
        <f t="shared" si="134"/>
        <v/>
      </c>
    </row>
    <row r="1674" spans="1:10" x14ac:dyDescent="0.2">
      <c r="A1674">
        <v>226995800255</v>
      </c>
      <c r="B1674" t="s">
        <v>4042</v>
      </c>
      <c r="C1674" t="s">
        <v>4043</v>
      </c>
      <c r="D1674">
        <v>2.29</v>
      </c>
      <c r="F1674" t="str">
        <f t="shared" si="130"/>
        <v>No</v>
      </c>
      <c r="G1674" t="str">
        <f t="shared" si="131"/>
        <v/>
      </c>
      <c r="H1674" t="str">
        <f t="shared" si="132"/>
        <v>—</v>
      </c>
      <c r="I1674" t="str">
        <f t="shared" si="133"/>
        <v>Below thresholds</v>
      </c>
      <c r="J1674" t="str">
        <f t="shared" si="134"/>
        <v/>
      </c>
    </row>
    <row r="1675" spans="1:10" x14ac:dyDescent="0.2">
      <c r="A1675">
        <v>226995800266</v>
      </c>
      <c r="B1675" t="s">
        <v>4044</v>
      </c>
      <c r="C1675" t="s">
        <v>4045</v>
      </c>
      <c r="D1675">
        <v>3.99</v>
      </c>
      <c r="F1675" t="str">
        <f t="shared" si="130"/>
        <v>No</v>
      </c>
      <c r="G1675" t="str">
        <f t="shared" si="131"/>
        <v/>
      </c>
      <c r="H1675" t="str">
        <f t="shared" si="132"/>
        <v>—</v>
      </c>
      <c r="I1675" t="str">
        <f t="shared" si="133"/>
        <v>Below thresholds</v>
      </c>
      <c r="J1675" t="str">
        <f t="shared" si="134"/>
        <v/>
      </c>
    </row>
    <row r="1676" spans="1:10" x14ac:dyDescent="0.2">
      <c r="A1676">
        <v>226995800286</v>
      </c>
      <c r="B1676" t="s">
        <v>4046</v>
      </c>
      <c r="C1676" t="s">
        <v>4047</v>
      </c>
      <c r="D1676">
        <v>1.99</v>
      </c>
      <c r="F1676" t="str">
        <f t="shared" si="130"/>
        <v>No</v>
      </c>
      <c r="G1676" t="str">
        <f t="shared" si="131"/>
        <v/>
      </c>
      <c r="H1676" t="str">
        <f t="shared" si="132"/>
        <v>—</v>
      </c>
      <c r="I1676" t="str">
        <f t="shared" si="133"/>
        <v>Below thresholds</v>
      </c>
      <c r="J1676" t="str">
        <f t="shared" si="134"/>
        <v/>
      </c>
    </row>
    <row r="1677" spans="1:10" x14ac:dyDescent="0.2">
      <c r="A1677">
        <v>226995800290</v>
      </c>
      <c r="B1677" t="s">
        <v>4048</v>
      </c>
      <c r="C1677" t="s">
        <v>4049</v>
      </c>
      <c r="D1677">
        <v>4.29</v>
      </c>
      <c r="F1677" t="str">
        <f t="shared" si="130"/>
        <v>No</v>
      </c>
      <c r="G1677" t="str">
        <f t="shared" si="131"/>
        <v/>
      </c>
      <c r="H1677" t="str">
        <f t="shared" si="132"/>
        <v>—</v>
      </c>
      <c r="I1677" t="str">
        <f t="shared" si="133"/>
        <v>Below thresholds</v>
      </c>
      <c r="J1677" t="str">
        <f t="shared" si="134"/>
        <v/>
      </c>
    </row>
    <row r="1678" spans="1:10" x14ac:dyDescent="0.2">
      <c r="A1678">
        <v>226996319722</v>
      </c>
      <c r="B1678" t="s">
        <v>4050</v>
      </c>
      <c r="C1678" t="s">
        <v>4051</v>
      </c>
      <c r="D1678">
        <v>2.09</v>
      </c>
      <c r="F1678" t="str">
        <f t="shared" si="130"/>
        <v>No</v>
      </c>
      <c r="G1678" t="str">
        <f t="shared" si="131"/>
        <v/>
      </c>
      <c r="H1678" t="str">
        <f t="shared" si="132"/>
        <v>—</v>
      </c>
      <c r="I1678" t="str">
        <f t="shared" si="133"/>
        <v>Below thresholds</v>
      </c>
      <c r="J1678" t="str">
        <f t="shared" si="134"/>
        <v/>
      </c>
    </row>
    <row r="1679" spans="1:10" x14ac:dyDescent="0.2">
      <c r="A1679">
        <v>226996319744</v>
      </c>
      <c r="B1679" t="s">
        <v>4052</v>
      </c>
      <c r="C1679" t="s">
        <v>4053</v>
      </c>
      <c r="D1679">
        <v>10.99</v>
      </c>
      <c r="F1679" t="str">
        <f t="shared" si="130"/>
        <v>No</v>
      </c>
      <c r="G1679" t="str">
        <f t="shared" si="131"/>
        <v/>
      </c>
      <c r="H1679" t="str">
        <f t="shared" si="132"/>
        <v>—</v>
      </c>
      <c r="I1679" t="str">
        <f t="shared" si="133"/>
        <v>Below thresholds</v>
      </c>
      <c r="J1679" t="str">
        <f t="shared" si="134"/>
        <v/>
      </c>
    </row>
    <row r="1680" spans="1:10" x14ac:dyDescent="0.2">
      <c r="A1680">
        <v>226996319762</v>
      </c>
      <c r="B1680" t="s">
        <v>4054</v>
      </c>
      <c r="C1680" t="s">
        <v>4055</v>
      </c>
      <c r="D1680">
        <v>1.99</v>
      </c>
      <c r="F1680" t="str">
        <f t="shared" si="130"/>
        <v>No</v>
      </c>
      <c r="G1680" t="str">
        <f t="shared" si="131"/>
        <v/>
      </c>
      <c r="H1680" t="str">
        <f t="shared" si="132"/>
        <v>—</v>
      </c>
      <c r="I1680" t="str">
        <f t="shared" si="133"/>
        <v>Below thresholds</v>
      </c>
      <c r="J1680" t="str">
        <f t="shared" si="134"/>
        <v/>
      </c>
    </row>
    <row r="1681" spans="1:10" x14ac:dyDescent="0.2">
      <c r="A1681">
        <v>226996319795</v>
      </c>
      <c r="B1681" t="s">
        <v>4056</v>
      </c>
      <c r="C1681" t="s">
        <v>4057</v>
      </c>
      <c r="D1681">
        <v>1.99</v>
      </c>
      <c r="F1681" t="str">
        <f t="shared" si="130"/>
        <v>No</v>
      </c>
      <c r="G1681" t="str">
        <f t="shared" si="131"/>
        <v/>
      </c>
      <c r="H1681" t="str">
        <f t="shared" si="132"/>
        <v>—</v>
      </c>
      <c r="I1681" t="str">
        <f t="shared" si="133"/>
        <v>Below thresholds</v>
      </c>
      <c r="J1681" t="str">
        <f t="shared" si="134"/>
        <v/>
      </c>
    </row>
    <row r="1682" spans="1:10" x14ac:dyDescent="0.2">
      <c r="A1682">
        <v>226996319825</v>
      </c>
      <c r="B1682" t="s">
        <v>4058</v>
      </c>
      <c r="C1682" t="s">
        <v>4059</v>
      </c>
      <c r="D1682">
        <v>1.99</v>
      </c>
      <c r="F1682" t="str">
        <f t="shared" si="130"/>
        <v>No</v>
      </c>
      <c r="G1682" t="str">
        <f t="shared" si="131"/>
        <v/>
      </c>
      <c r="H1682" t="str">
        <f t="shared" si="132"/>
        <v>—</v>
      </c>
      <c r="I1682" t="str">
        <f t="shared" si="133"/>
        <v>Below thresholds</v>
      </c>
      <c r="J1682" t="str">
        <f t="shared" si="134"/>
        <v/>
      </c>
    </row>
    <row r="1683" spans="1:10" x14ac:dyDescent="0.2">
      <c r="A1683">
        <v>226996319850</v>
      </c>
      <c r="B1683" t="s">
        <v>4060</v>
      </c>
      <c r="C1683" t="s">
        <v>4061</v>
      </c>
      <c r="D1683">
        <v>1.99</v>
      </c>
      <c r="F1683" t="str">
        <f t="shared" si="130"/>
        <v>No</v>
      </c>
      <c r="G1683" t="str">
        <f t="shared" si="131"/>
        <v/>
      </c>
      <c r="H1683" t="str">
        <f t="shared" si="132"/>
        <v>—</v>
      </c>
      <c r="I1683" t="str">
        <f t="shared" si="133"/>
        <v>Below thresholds</v>
      </c>
      <c r="J1683" t="str">
        <f t="shared" si="134"/>
        <v/>
      </c>
    </row>
    <row r="1684" spans="1:10" x14ac:dyDescent="0.2">
      <c r="A1684">
        <v>226996319875</v>
      </c>
      <c r="B1684" t="s">
        <v>4062</v>
      </c>
      <c r="C1684" t="s">
        <v>4063</v>
      </c>
      <c r="D1684">
        <v>1.99</v>
      </c>
      <c r="F1684" t="str">
        <f t="shared" si="130"/>
        <v>No</v>
      </c>
      <c r="G1684" t="str">
        <f t="shared" si="131"/>
        <v/>
      </c>
      <c r="H1684" t="str">
        <f t="shared" si="132"/>
        <v>—</v>
      </c>
      <c r="I1684" t="str">
        <f t="shared" si="133"/>
        <v>Below thresholds</v>
      </c>
      <c r="J1684" t="str">
        <f t="shared" si="134"/>
        <v/>
      </c>
    </row>
    <row r="1685" spans="1:10" x14ac:dyDescent="0.2">
      <c r="A1685">
        <v>226996319927</v>
      </c>
      <c r="B1685" t="s">
        <v>4064</v>
      </c>
      <c r="C1685" t="s">
        <v>4065</v>
      </c>
      <c r="D1685">
        <v>1.99</v>
      </c>
      <c r="F1685" t="str">
        <f t="shared" si="130"/>
        <v>No</v>
      </c>
      <c r="G1685" t="str">
        <f t="shared" si="131"/>
        <v/>
      </c>
      <c r="H1685" t="str">
        <f t="shared" si="132"/>
        <v>—</v>
      </c>
      <c r="I1685" t="str">
        <f t="shared" si="133"/>
        <v>Below thresholds</v>
      </c>
      <c r="J1685" t="str">
        <f t="shared" si="134"/>
        <v/>
      </c>
    </row>
    <row r="1686" spans="1:10" x14ac:dyDescent="0.2">
      <c r="A1686">
        <v>226996319948</v>
      </c>
      <c r="B1686" t="s">
        <v>4066</v>
      </c>
      <c r="C1686" t="s">
        <v>4067</v>
      </c>
      <c r="D1686">
        <v>1.99</v>
      </c>
      <c r="F1686" t="str">
        <f t="shared" si="130"/>
        <v>No</v>
      </c>
      <c r="G1686" t="str">
        <f t="shared" si="131"/>
        <v/>
      </c>
      <c r="H1686" t="str">
        <f t="shared" si="132"/>
        <v>—</v>
      </c>
      <c r="I1686" t="str">
        <f t="shared" si="133"/>
        <v>Below thresholds</v>
      </c>
      <c r="J1686" t="str">
        <f t="shared" si="134"/>
        <v/>
      </c>
    </row>
    <row r="1687" spans="1:10" x14ac:dyDescent="0.2">
      <c r="A1687">
        <v>226996339425</v>
      </c>
      <c r="B1687" t="s">
        <v>4068</v>
      </c>
      <c r="C1687" t="s">
        <v>4069</v>
      </c>
      <c r="D1687">
        <v>1.99</v>
      </c>
      <c r="F1687" t="str">
        <f t="shared" si="130"/>
        <v>No</v>
      </c>
      <c r="G1687" t="str">
        <f t="shared" si="131"/>
        <v/>
      </c>
      <c r="H1687" t="str">
        <f t="shared" si="132"/>
        <v>—</v>
      </c>
      <c r="I1687" t="str">
        <f t="shared" si="133"/>
        <v>Below thresholds</v>
      </c>
      <c r="J1687" t="str">
        <f t="shared" si="134"/>
        <v/>
      </c>
    </row>
    <row r="1688" spans="1:10" x14ac:dyDescent="0.2">
      <c r="A1688">
        <v>226996339520</v>
      </c>
      <c r="B1688" t="s">
        <v>4070</v>
      </c>
      <c r="C1688" t="s">
        <v>4071</v>
      </c>
      <c r="D1688">
        <v>1.99</v>
      </c>
      <c r="F1688" t="str">
        <f t="shared" si="130"/>
        <v>No</v>
      </c>
      <c r="G1688" t="str">
        <f t="shared" si="131"/>
        <v/>
      </c>
      <c r="H1688" t="str">
        <f t="shared" si="132"/>
        <v>—</v>
      </c>
      <c r="I1688" t="str">
        <f t="shared" si="133"/>
        <v>Below thresholds</v>
      </c>
      <c r="J1688" t="str">
        <f t="shared" si="134"/>
        <v/>
      </c>
    </row>
    <row r="1689" spans="1:10" x14ac:dyDescent="0.2">
      <c r="A1689">
        <v>226996339528</v>
      </c>
      <c r="B1689" t="s">
        <v>4072</v>
      </c>
      <c r="C1689" t="s">
        <v>4073</v>
      </c>
      <c r="D1689">
        <v>1.99</v>
      </c>
      <c r="F1689" t="str">
        <f t="shared" si="130"/>
        <v>No</v>
      </c>
      <c r="G1689" t="str">
        <f t="shared" si="131"/>
        <v/>
      </c>
      <c r="H1689" t="str">
        <f t="shared" si="132"/>
        <v>—</v>
      </c>
      <c r="I1689" t="str">
        <f t="shared" si="133"/>
        <v>Below thresholds</v>
      </c>
      <c r="J1689" t="str">
        <f t="shared" si="134"/>
        <v/>
      </c>
    </row>
    <row r="1690" spans="1:10" x14ac:dyDescent="0.2">
      <c r="A1690">
        <v>226996339597</v>
      </c>
      <c r="B1690" t="s">
        <v>4074</v>
      </c>
      <c r="C1690" t="s">
        <v>4075</v>
      </c>
      <c r="D1690">
        <v>6.95</v>
      </c>
      <c r="F1690" t="str">
        <f t="shared" si="130"/>
        <v>No</v>
      </c>
      <c r="G1690" t="str">
        <f t="shared" si="131"/>
        <v/>
      </c>
      <c r="H1690" t="str">
        <f t="shared" si="132"/>
        <v>—</v>
      </c>
      <c r="I1690" t="str">
        <f t="shared" si="133"/>
        <v>Below thresholds</v>
      </c>
      <c r="J1690" t="str">
        <f t="shared" si="134"/>
        <v/>
      </c>
    </row>
    <row r="1691" spans="1:10" x14ac:dyDescent="0.2">
      <c r="A1691">
        <v>226996339654</v>
      </c>
      <c r="B1691" t="s">
        <v>4076</v>
      </c>
      <c r="C1691" t="s">
        <v>4077</v>
      </c>
      <c r="D1691">
        <v>1.99</v>
      </c>
      <c r="F1691" t="str">
        <f t="shared" si="130"/>
        <v>No</v>
      </c>
      <c r="G1691" t="str">
        <f t="shared" si="131"/>
        <v/>
      </c>
      <c r="H1691" t="str">
        <f t="shared" si="132"/>
        <v>—</v>
      </c>
      <c r="I1691" t="str">
        <f t="shared" si="133"/>
        <v>Below thresholds</v>
      </c>
      <c r="J1691" t="str">
        <f t="shared" si="134"/>
        <v/>
      </c>
    </row>
    <row r="1692" spans="1:10" x14ac:dyDescent="0.2">
      <c r="A1692">
        <v>226996339657</v>
      </c>
      <c r="B1692" t="s">
        <v>4078</v>
      </c>
      <c r="C1692" t="s">
        <v>4079</v>
      </c>
      <c r="D1692">
        <v>2.4900000000000002</v>
      </c>
      <c r="F1692" t="str">
        <f t="shared" si="130"/>
        <v>No</v>
      </c>
      <c r="G1692" t="str">
        <f t="shared" si="131"/>
        <v/>
      </c>
      <c r="H1692" t="str">
        <f t="shared" si="132"/>
        <v>—</v>
      </c>
      <c r="I1692" t="str">
        <f t="shared" si="133"/>
        <v>Below thresholds</v>
      </c>
      <c r="J1692" t="str">
        <f t="shared" si="134"/>
        <v/>
      </c>
    </row>
    <row r="1693" spans="1:10" x14ac:dyDescent="0.2">
      <c r="A1693">
        <v>226996392291</v>
      </c>
      <c r="B1693" t="s">
        <v>4080</v>
      </c>
      <c r="C1693" t="s">
        <v>4081</v>
      </c>
      <c r="D1693">
        <v>1.99</v>
      </c>
      <c r="F1693" t="str">
        <f t="shared" si="130"/>
        <v>No</v>
      </c>
      <c r="G1693" t="str">
        <f t="shared" si="131"/>
        <v/>
      </c>
      <c r="H1693" t="str">
        <f t="shared" si="132"/>
        <v>—</v>
      </c>
      <c r="I1693" t="str">
        <f t="shared" si="133"/>
        <v>Below thresholds</v>
      </c>
      <c r="J1693" t="str">
        <f t="shared" si="134"/>
        <v/>
      </c>
    </row>
    <row r="1694" spans="1:10" x14ac:dyDescent="0.2">
      <c r="A1694">
        <v>226996392308</v>
      </c>
      <c r="B1694" t="s">
        <v>4082</v>
      </c>
      <c r="C1694" t="s">
        <v>4083</v>
      </c>
      <c r="D1694">
        <v>1.99</v>
      </c>
      <c r="F1694" t="str">
        <f t="shared" si="130"/>
        <v>No</v>
      </c>
      <c r="G1694" t="str">
        <f t="shared" si="131"/>
        <v/>
      </c>
      <c r="H1694" t="str">
        <f t="shared" si="132"/>
        <v>—</v>
      </c>
      <c r="I1694" t="str">
        <f t="shared" si="133"/>
        <v>Below thresholds</v>
      </c>
      <c r="J1694" t="str">
        <f t="shared" si="134"/>
        <v/>
      </c>
    </row>
    <row r="1695" spans="1:10" x14ac:dyDescent="0.2">
      <c r="A1695">
        <v>226996417216</v>
      </c>
      <c r="B1695" t="s">
        <v>4084</v>
      </c>
      <c r="C1695" t="s">
        <v>4085</v>
      </c>
      <c r="D1695">
        <v>1.99</v>
      </c>
      <c r="F1695" t="str">
        <f t="shared" si="130"/>
        <v>No</v>
      </c>
      <c r="G1695" t="str">
        <f t="shared" si="131"/>
        <v/>
      </c>
      <c r="H1695" t="str">
        <f t="shared" si="132"/>
        <v>—</v>
      </c>
      <c r="I1695" t="str">
        <f t="shared" si="133"/>
        <v>Below thresholds</v>
      </c>
      <c r="J1695" t="str">
        <f t="shared" si="134"/>
        <v/>
      </c>
    </row>
    <row r="1696" spans="1:10" x14ac:dyDescent="0.2">
      <c r="A1696">
        <v>226996417226</v>
      </c>
      <c r="B1696" t="s">
        <v>4086</v>
      </c>
      <c r="C1696" t="s">
        <v>4087</v>
      </c>
      <c r="D1696">
        <v>12.99</v>
      </c>
      <c r="F1696" t="str">
        <f t="shared" si="130"/>
        <v>No</v>
      </c>
      <c r="G1696" t="str">
        <f t="shared" si="131"/>
        <v/>
      </c>
      <c r="H1696" t="str">
        <f t="shared" si="132"/>
        <v>—</v>
      </c>
      <c r="I1696" t="str">
        <f t="shared" si="133"/>
        <v>Below thresholds</v>
      </c>
      <c r="J1696" t="str">
        <f t="shared" si="134"/>
        <v/>
      </c>
    </row>
    <row r="1697" spans="1:10" x14ac:dyDescent="0.2">
      <c r="A1697">
        <v>226996417248</v>
      </c>
      <c r="B1697" t="s">
        <v>4088</v>
      </c>
      <c r="C1697" t="s">
        <v>4089</v>
      </c>
      <c r="D1697">
        <v>3.99</v>
      </c>
      <c r="F1697" t="str">
        <f t="shared" si="130"/>
        <v>No</v>
      </c>
      <c r="G1697" t="str">
        <f t="shared" si="131"/>
        <v/>
      </c>
      <c r="H1697" t="str">
        <f t="shared" si="132"/>
        <v>—</v>
      </c>
      <c r="I1697" t="str">
        <f t="shared" si="133"/>
        <v>Below thresholds</v>
      </c>
      <c r="J1697" t="str">
        <f t="shared" si="134"/>
        <v/>
      </c>
    </row>
    <row r="1698" spans="1:10" x14ac:dyDescent="0.2">
      <c r="A1698">
        <v>226996417255</v>
      </c>
      <c r="B1698" t="s">
        <v>4090</v>
      </c>
      <c r="C1698" t="s">
        <v>4091</v>
      </c>
      <c r="D1698">
        <v>3</v>
      </c>
      <c r="F1698" t="str">
        <f t="shared" si="130"/>
        <v>No</v>
      </c>
      <c r="G1698" t="str">
        <f t="shared" si="131"/>
        <v/>
      </c>
      <c r="H1698" t="str">
        <f t="shared" si="132"/>
        <v>—</v>
      </c>
      <c r="I1698" t="str">
        <f t="shared" si="133"/>
        <v>Below thresholds</v>
      </c>
      <c r="J1698" t="str">
        <f t="shared" si="134"/>
        <v/>
      </c>
    </row>
    <row r="1699" spans="1:10" x14ac:dyDescent="0.2">
      <c r="A1699">
        <v>226996417272</v>
      </c>
      <c r="B1699" t="s">
        <v>4092</v>
      </c>
      <c r="C1699" t="s">
        <v>4093</v>
      </c>
      <c r="D1699">
        <v>4.25</v>
      </c>
      <c r="F1699" t="str">
        <f t="shared" si="130"/>
        <v>No</v>
      </c>
      <c r="G1699" t="str">
        <f t="shared" si="131"/>
        <v/>
      </c>
      <c r="H1699" t="str">
        <f t="shared" si="132"/>
        <v>—</v>
      </c>
      <c r="I1699" t="str">
        <f t="shared" si="133"/>
        <v>Below thresholds</v>
      </c>
      <c r="J1699" t="str">
        <f t="shared" si="134"/>
        <v/>
      </c>
    </row>
    <row r="1700" spans="1:10" x14ac:dyDescent="0.2">
      <c r="A1700">
        <v>226996417279</v>
      </c>
      <c r="B1700" t="s">
        <v>4094</v>
      </c>
      <c r="C1700" t="s">
        <v>4095</v>
      </c>
      <c r="D1700">
        <v>2.4900000000000002</v>
      </c>
      <c r="F1700" t="str">
        <f t="shared" si="130"/>
        <v>No</v>
      </c>
      <c r="G1700" t="str">
        <f t="shared" si="131"/>
        <v/>
      </c>
      <c r="H1700" t="str">
        <f t="shared" si="132"/>
        <v>—</v>
      </c>
      <c r="I1700" t="str">
        <f t="shared" si="133"/>
        <v>Below thresholds</v>
      </c>
      <c r="J1700" t="str">
        <f t="shared" si="134"/>
        <v/>
      </c>
    </row>
    <row r="1701" spans="1:10" x14ac:dyDescent="0.2">
      <c r="A1701">
        <v>226996417313</v>
      </c>
      <c r="B1701" t="s">
        <v>4096</v>
      </c>
      <c r="C1701" t="s">
        <v>4097</v>
      </c>
      <c r="D1701">
        <v>1.99</v>
      </c>
      <c r="F1701" t="str">
        <f t="shared" si="130"/>
        <v>No</v>
      </c>
      <c r="G1701" t="str">
        <f t="shared" si="131"/>
        <v/>
      </c>
      <c r="H1701" t="str">
        <f t="shared" si="132"/>
        <v>—</v>
      </c>
      <c r="I1701" t="str">
        <f t="shared" si="133"/>
        <v>Below thresholds</v>
      </c>
      <c r="J1701" t="str">
        <f t="shared" si="134"/>
        <v/>
      </c>
    </row>
    <row r="1702" spans="1:10" x14ac:dyDescent="0.2">
      <c r="A1702">
        <v>226996417319</v>
      </c>
      <c r="B1702" t="s">
        <v>4098</v>
      </c>
      <c r="C1702" t="s">
        <v>4099</v>
      </c>
      <c r="D1702">
        <v>2.29</v>
      </c>
      <c r="F1702" t="str">
        <f t="shared" si="130"/>
        <v>No</v>
      </c>
      <c r="G1702" t="str">
        <f t="shared" si="131"/>
        <v/>
      </c>
      <c r="H1702" t="str">
        <f t="shared" si="132"/>
        <v>—</v>
      </c>
      <c r="I1702" t="str">
        <f t="shared" si="133"/>
        <v>Below thresholds</v>
      </c>
      <c r="J1702" t="str">
        <f t="shared" si="134"/>
        <v/>
      </c>
    </row>
    <row r="1703" spans="1:10" x14ac:dyDescent="0.2">
      <c r="A1703">
        <v>226996417346</v>
      </c>
      <c r="B1703" t="s">
        <v>4100</v>
      </c>
      <c r="C1703" t="s">
        <v>4101</v>
      </c>
      <c r="D1703">
        <v>1.99</v>
      </c>
      <c r="F1703" t="str">
        <f t="shared" si="130"/>
        <v>No</v>
      </c>
      <c r="G1703" t="str">
        <f t="shared" si="131"/>
        <v/>
      </c>
      <c r="H1703" t="str">
        <f t="shared" si="132"/>
        <v>—</v>
      </c>
      <c r="I1703" t="str">
        <f t="shared" si="133"/>
        <v>Below thresholds</v>
      </c>
      <c r="J1703" t="str">
        <f t="shared" si="134"/>
        <v/>
      </c>
    </row>
    <row r="1704" spans="1:10" x14ac:dyDescent="0.2">
      <c r="A1704">
        <v>226996417353</v>
      </c>
      <c r="B1704" t="s">
        <v>4102</v>
      </c>
      <c r="C1704" t="s">
        <v>4103</v>
      </c>
      <c r="D1704">
        <v>1.99</v>
      </c>
      <c r="F1704" t="str">
        <f t="shared" si="130"/>
        <v>No</v>
      </c>
      <c r="G1704" t="str">
        <f t="shared" si="131"/>
        <v/>
      </c>
      <c r="H1704" t="str">
        <f t="shared" si="132"/>
        <v>—</v>
      </c>
      <c r="I1704" t="str">
        <f t="shared" si="133"/>
        <v>Below thresholds</v>
      </c>
      <c r="J1704" t="str">
        <f t="shared" si="134"/>
        <v/>
      </c>
    </row>
    <row r="1705" spans="1:10" x14ac:dyDescent="0.2">
      <c r="A1705">
        <v>226996417375</v>
      </c>
      <c r="B1705" t="s">
        <v>4104</v>
      </c>
      <c r="C1705" t="s">
        <v>4105</v>
      </c>
      <c r="D1705">
        <v>2.09</v>
      </c>
      <c r="F1705" t="str">
        <f t="shared" si="130"/>
        <v>No</v>
      </c>
      <c r="G1705" t="str">
        <f t="shared" si="131"/>
        <v/>
      </c>
      <c r="H1705" t="str">
        <f t="shared" si="132"/>
        <v>—</v>
      </c>
      <c r="I1705" t="str">
        <f t="shared" si="133"/>
        <v>Below thresholds</v>
      </c>
      <c r="J1705" t="str">
        <f t="shared" si="134"/>
        <v/>
      </c>
    </row>
    <row r="1706" spans="1:10" x14ac:dyDescent="0.2">
      <c r="A1706">
        <v>226996417376</v>
      </c>
      <c r="B1706" t="s">
        <v>4106</v>
      </c>
      <c r="C1706" t="s">
        <v>4107</v>
      </c>
      <c r="D1706">
        <v>2.59</v>
      </c>
      <c r="F1706" t="str">
        <f t="shared" si="130"/>
        <v>No</v>
      </c>
      <c r="G1706" t="str">
        <f t="shared" si="131"/>
        <v/>
      </c>
      <c r="H1706" t="str">
        <f t="shared" si="132"/>
        <v>—</v>
      </c>
      <c r="I1706" t="str">
        <f t="shared" si="133"/>
        <v>Below thresholds</v>
      </c>
      <c r="J1706" t="str">
        <f t="shared" si="134"/>
        <v/>
      </c>
    </row>
    <row r="1707" spans="1:10" x14ac:dyDescent="0.2">
      <c r="A1707">
        <v>226996417404</v>
      </c>
      <c r="B1707" t="s">
        <v>4108</v>
      </c>
      <c r="C1707" t="s">
        <v>4109</v>
      </c>
      <c r="D1707">
        <v>1.99</v>
      </c>
      <c r="F1707" t="str">
        <f t="shared" si="130"/>
        <v>No</v>
      </c>
      <c r="G1707" t="str">
        <f t="shared" si="131"/>
        <v/>
      </c>
      <c r="H1707" t="str">
        <f t="shared" si="132"/>
        <v>—</v>
      </c>
      <c r="I1707" t="str">
        <f t="shared" si="133"/>
        <v>Below thresholds</v>
      </c>
      <c r="J1707" t="str">
        <f t="shared" si="134"/>
        <v/>
      </c>
    </row>
    <row r="1708" spans="1:10" x14ac:dyDescent="0.2">
      <c r="A1708">
        <v>226996417405</v>
      </c>
      <c r="B1708" t="s">
        <v>4110</v>
      </c>
      <c r="C1708" t="s">
        <v>4111</v>
      </c>
      <c r="D1708">
        <v>1.99</v>
      </c>
      <c r="F1708" t="str">
        <f t="shared" si="130"/>
        <v>No</v>
      </c>
      <c r="G1708" t="str">
        <f t="shared" si="131"/>
        <v/>
      </c>
      <c r="H1708" t="str">
        <f t="shared" si="132"/>
        <v>—</v>
      </c>
      <c r="I1708" t="str">
        <f t="shared" si="133"/>
        <v>Below thresholds</v>
      </c>
      <c r="J1708" t="str">
        <f t="shared" si="134"/>
        <v/>
      </c>
    </row>
    <row r="1709" spans="1:10" x14ac:dyDescent="0.2">
      <c r="A1709">
        <v>226996417455</v>
      </c>
      <c r="B1709" t="s">
        <v>4112</v>
      </c>
      <c r="C1709" t="s">
        <v>4113</v>
      </c>
      <c r="D1709">
        <v>2.99</v>
      </c>
      <c r="F1709" t="str">
        <f t="shared" si="130"/>
        <v>No</v>
      </c>
      <c r="G1709" t="str">
        <f t="shared" si="131"/>
        <v/>
      </c>
      <c r="H1709" t="str">
        <f t="shared" si="132"/>
        <v>—</v>
      </c>
      <c r="I1709" t="str">
        <f t="shared" si="133"/>
        <v>Below thresholds</v>
      </c>
      <c r="J1709" t="str">
        <f t="shared" si="134"/>
        <v/>
      </c>
    </row>
    <row r="1710" spans="1:10" x14ac:dyDescent="0.2">
      <c r="A1710">
        <v>226996417474</v>
      </c>
      <c r="B1710" t="s">
        <v>4114</v>
      </c>
      <c r="C1710" t="s">
        <v>4115</v>
      </c>
      <c r="D1710">
        <v>1.99</v>
      </c>
      <c r="F1710" t="str">
        <f t="shared" si="130"/>
        <v>No</v>
      </c>
      <c r="G1710" t="str">
        <f t="shared" si="131"/>
        <v/>
      </c>
      <c r="H1710" t="str">
        <f t="shared" si="132"/>
        <v>—</v>
      </c>
      <c r="I1710" t="str">
        <f t="shared" si="133"/>
        <v>Below thresholds</v>
      </c>
      <c r="J1710" t="str">
        <f t="shared" si="134"/>
        <v/>
      </c>
    </row>
    <row r="1711" spans="1:10" x14ac:dyDescent="0.2">
      <c r="A1711">
        <v>226996432959</v>
      </c>
      <c r="B1711" t="s">
        <v>4116</v>
      </c>
      <c r="C1711" t="s">
        <v>4117</v>
      </c>
      <c r="D1711">
        <v>2.09</v>
      </c>
      <c r="F1711" t="str">
        <f t="shared" si="130"/>
        <v>No</v>
      </c>
      <c r="G1711" t="str">
        <f t="shared" si="131"/>
        <v/>
      </c>
      <c r="H1711" t="str">
        <f t="shared" si="132"/>
        <v>—</v>
      </c>
      <c r="I1711" t="str">
        <f t="shared" si="133"/>
        <v>Below thresholds</v>
      </c>
      <c r="J1711" t="str">
        <f t="shared" si="134"/>
        <v/>
      </c>
    </row>
    <row r="1712" spans="1:10" x14ac:dyDescent="0.2">
      <c r="A1712">
        <v>226996433038</v>
      </c>
      <c r="B1712" t="s">
        <v>4118</v>
      </c>
      <c r="C1712" t="s">
        <v>4119</v>
      </c>
      <c r="D1712">
        <v>1.99</v>
      </c>
      <c r="F1712" t="str">
        <f t="shared" si="130"/>
        <v>No</v>
      </c>
      <c r="G1712" t="str">
        <f t="shared" si="131"/>
        <v/>
      </c>
      <c r="H1712" t="str">
        <f t="shared" si="132"/>
        <v>—</v>
      </c>
      <c r="I1712" t="str">
        <f t="shared" si="133"/>
        <v>Below thresholds</v>
      </c>
      <c r="J1712" t="str">
        <f t="shared" si="134"/>
        <v/>
      </c>
    </row>
    <row r="1713" spans="1:10" x14ac:dyDescent="0.2">
      <c r="A1713">
        <v>226996433062</v>
      </c>
      <c r="B1713" t="s">
        <v>4120</v>
      </c>
      <c r="C1713" t="s">
        <v>4121</v>
      </c>
      <c r="D1713">
        <v>1.99</v>
      </c>
      <c r="F1713" t="str">
        <f t="shared" si="130"/>
        <v>No</v>
      </c>
      <c r="G1713" t="str">
        <f t="shared" si="131"/>
        <v/>
      </c>
      <c r="H1713" t="str">
        <f t="shared" si="132"/>
        <v>—</v>
      </c>
      <c r="I1713" t="str">
        <f t="shared" si="133"/>
        <v>Below thresholds</v>
      </c>
      <c r="J1713" t="str">
        <f t="shared" si="134"/>
        <v/>
      </c>
    </row>
    <row r="1714" spans="1:10" x14ac:dyDescent="0.2">
      <c r="A1714">
        <v>226996433066</v>
      </c>
      <c r="B1714" t="s">
        <v>4122</v>
      </c>
      <c r="C1714" t="s">
        <v>4123</v>
      </c>
      <c r="D1714">
        <v>1.99</v>
      </c>
      <c r="F1714" t="str">
        <f t="shared" si="130"/>
        <v>No</v>
      </c>
      <c r="G1714" t="str">
        <f t="shared" si="131"/>
        <v/>
      </c>
      <c r="H1714" t="str">
        <f t="shared" si="132"/>
        <v>—</v>
      </c>
      <c r="I1714" t="str">
        <f t="shared" si="133"/>
        <v>Below thresholds</v>
      </c>
      <c r="J1714" t="str">
        <f t="shared" si="134"/>
        <v/>
      </c>
    </row>
    <row r="1715" spans="1:10" x14ac:dyDescent="0.2">
      <c r="A1715">
        <v>226996433089</v>
      </c>
      <c r="B1715" t="s">
        <v>4124</v>
      </c>
      <c r="C1715" t="s">
        <v>4125</v>
      </c>
      <c r="D1715">
        <v>1.99</v>
      </c>
      <c r="F1715" t="str">
        <f t="shared" si="130"/>
        <v>No</v>
      </c>
      <c r="G1715" t="str">
        <f t="shared" si="131"/>
        <v/>
      </c>
      <c r="H1715" t="str">
        <f t="shared" si="132"/>
        <v>—</v>
      </c>
      <c r="I1715" t="str">
        <f t="shared" si="133"/>
        <v>Below thresholds</v>
      </c>
      <c r="J1715" t="str">
        <f t="shared" si="134"/>
        <v/>
      </c>
    </row>
    <row r="1716" spans="1:10" x14ac:dyDescent="0.2">
      <c r="A1716">
        <v>226996433092</v>
      </c>
      <c r="B1716" t="s">
        <v>4126</v>
      </c>
      <c r="C1716" t="s">
        <v>4127</v>
      </c>
      <c r="D1716">
        <v>2.09</v>
      </c>
      <c r="F1716" t="str">
        <f t="shared" si="130"/>
        <v>No</v>
      </c>
      <c r="G1716" t="str">
        <f t="shared" si="131"/>
        <v/>
      </c>
      <c r="H1716" t="str">
        <f t="shared" si="132"/>
        <v>—</v>
      </c>
      <c r="I1716" t="str">
        <f t="shared" si="133"/>
        <v>Below thresholds</v>
      </c>
      <c r="J1716" t="str">
        <f t="shared" si="134"/>
        <v/>
      </c>
    </row>
    <row r="1717" spans="1:10" x14ac:dyDescent="0.2">
      <c r="A1717">
        <v>226996433129</v>
      </c>
      <c r="B1717" t="s">
        <v>4128</v>
      </c>
      <c r="C1717" t="s">
        <v>4129</v>
      </c>
      <c r="D1717">
        <v>2.09</v>
      </c>
      <c r="F1717" t="str">
        <f t="shared" si="130"/>
        <v>No</v>
      </c>
      <c r="G1717" t="str">
        <f t="shared" si="131"/>
        <v/>
      </c>
      <c r="H1717" t="str">
        <f t="shared" si="132"/>
        <v>—</v>
      </c>
      <c r="I1717" t="str">
        <f t="shared" si="133"/>
        <v>Below thresholds</v>
      </c>
      <c r="J1717" t="str">
        <f t="shared" si="134"/>
        <v/>
      </c>
    </row>
    <row r="1718" spans="1:10" x14ac:dyDescent="0.2">
      <c r="A1718">
        <v>226996433145</v>
      </c>
      <c r="B1718" t="s">
        <v>4130</v>
      </c>
      <c r="C1718" t="s">
        <v>4131</v>
      </c>
      <c r="D1718">
        <v>1.99</v>
      </c>
      <c r="F1718" t="str">
        <f t="shared" si="130"/>
        <v>No</v>
      </c>
      <c r="G1718" t="str">
        <f t="shared" si="131"/>
        <v/>
      </c>
      <c r="H1718" t="str">
        <f t="shared" si="132"/>
        <v>—</v>
      </c>
      <c r="I1718" t="str">
        <f t="shared" si="133"/>
        <v>Below thresholds</v>
      </c>
      <c r="J1718" t="str">
        <f t="shared" si="134"/>
        <v/>
      </c>
    </row>
    <row r="1719" spans="1:10" x14ac:dyDescent="0.2">
      <c r="A1719">
        <v>226996433174</v>
      </c>
      <c r="B1719" t="s">
        <v>4132</v>
      </c>
      <c r="C1719" t="s">
        <v>4133</v>
      </c>
      <c r="D1719">
        <v>1.99</v>
      </c>
      <c r="F1719" t="str">
        <f t="shared" si="130"/>
        <v>No</v>
      </c>
      <c r="G1719" t="str">
        <f t="shared" si="131"/>
        <v/>
      </c>
      <c r="H1719" t="str">
        <f t="shared" si="132"/>
        <v>—</v>
      </c>
      <c r="I1719" t="str">
        <f t="shared" si="133"/>
        <v>Below thresholds</v>
      </c>
      <c r="J1719" t="str">
        <f t="shared" si="134"/>
        <v/>
      </c>
    </row>
    <row r="1720" spans="1:10" x14ac:dyDescent="0.2">
      <c r="A1720">
        <v>226996433175</v>
      </c>
      <c r="B1720" t="s">
        <v>4134</v>
      </c>
      <c r="C1720" t="s">
        <v>4135</v>
      </c>
      <c r="D1720">
        <v>1.99</v>
      </c>
      <c r="F1720" t="str">
        <f t="shared" si="130"/>
        <v>No</v>
      </c>
      <c r="G1720" t="str">
        <f t="shared" si="131"/>
        <v/>
      </c>
      <c r="H1720" t="str">
        <f t="shared" si="132"/>
        <v>—</v>
      </c>
      <c r="I1720" t="str">
        <f t="shared" si="133"/>
        <v>Below thresholds</v>
      </c>
      <c r="J1720" t="str">
        <f t="shared" si="134"/>
        <v/>
      </c>
    </row>
    <row r="1721" spans="1:10" x14ac:dyDescent="0.2">
      <c r="A1721">
        <v>226996433198</v>
      </c>
      <c r="B1721" t="s">
        <v>4136</v>
      </c>
      <c r="C1721" t="s">
        <v>4137</v>
      </c>
      <c r="D1721">
        <v>1.99</v>
      </c>
      <c r="F1721" t="str">
        <f t="shared" si="130"/>
        <v>No</v>
      </c>
      <c r="G1721" t="str">
        <f t="shared" si="131"/>
        <v/>
      </c>
      <c r="H1721" t="str">
        <f t="shared" si="132"/>
        <v>—</v>
      </c>
      <c r="I1721" t="str">
        <f t="shared" si="133"/>
        <v>Below thresholds</v>
      </c>
      <c r="J1721" t="str">
        <f t="shared" si="134"/>
        <v/>
      </c>
    </row>
    <row r="1722" spans="1:10" x14ac:dyDescent="0.2">
      <c r="A1722">
        <v>226996433202</v>
      </c>
      <c r="B1722" t="s">
        <v>4138</v>
      </c>
      <c r="C1722" t="s">
        <v>4139</v>
      </c>
      <c r="D1722">
        <v>1.99</v>
      </c>
      <c r="F1722" t="str">
        <f t="shared" si="130"/>
        <v>No</v>
      </c>
      <c r="G1722" t="str">
        <f t="shared" si="131"/>
        <v/>
      </c>
      <c r="H1722" t="str">
        <f t="shared" si="132"/>
        <v>—</v>
      </c>
      <c r="I1722" t="str">
        <f t="shared" si="133"/>
        <v>Below thresholds</v>
      </c>
      <c r="J1722" t="str">
        <f t="shared" si="134"/>
        <v/>
      </c>
    </row>
    <row r="1723" spans="1:10" x14ac:dyDescent="0.2">
      <c r="A1723">
        <v>226996433230</v>
      </c>
      <c r="B1723" t="s">
        <v>4140</v>
      </c>
      <c r="C1723" t="s">
        <v>4141</v>
      </c>
      <c r="D1723">
        <v>1.99</v>
      </c>
      <c r="F1723" t="str">
        <f t="shared" si="130"/>
        <v>No</v>
      </c>
      <c r="G1723" t="str">
        <f t="shared" si="131"/>
        <v/>
      </c>
      <c r="H1723" t="str">
        <f t="shared" si="132"/>
        <v>—</v>
      </c>
      <c r="I1723" t="str">
        <f t="shared" si="133"/>
        <v>Below thresholds</v>
      </c>
      <c r="J1723" t="str">
        <f t="shared" si="134"/>
        <v/>
      </c>
    </row>
    <row r="1724" spans="1:10" x14ac:dyDescent="0.2">
      <c r="A1724">
        <v>226996433234</v>
      </c>
      <c r="B1724" t="s">
        <v>4142</v>
      </c>
      <c r="C1724" t="s">
        <v>4143</v>
      </c>
      <c r="D1724">
        <v>1.99</v>
      </c>
      <c r="F1724" t="str">
        <f t="shared" si="130"/>
        <v>No</v>
      </c>
      <c r="G1724" t="str">
        <f t="shared" si="131"/>
        <v/>
      </c>
      <c r="H1724" t="str">
        <f t="shared" si="132"/>
        <v>—</v>
      </c>
      <c r="I1724" t="str">
        <f t="shared" si="133"/>
        <v>Below thresholds</v>
      </c>
      <c r="J1724" t="str">
        <f t="shared" si="134"/>
        <v/>
      </c>
    </row>
    <row r="1725" spans="1:10" x14ac:dyDescent="0.2">
      <c r="A1725">
        <v>226997514069</v>
      </c>
      <c r="B1725" t="s">
        <v>4144</v>
      </c>
      <c r="C1725" t="s">
        <v>4145</v>
      </c>
      <c r="D1725">
        <v>12</v>
      </c>
      <c r="F1725" t="str">
        <f t="shared" si="130"/>
        <v>No</v>
      </c>
      <c r="G1725" t="str">
        <f t="shared" si="131"/>
        <v/>
      </c>
      <c r="H1725" t="str">
        <f t="shared" si="132"/>
        <v>—</v>
      </c>
      <c r="I1725" t="str">
        <f t="shared" si="133"/>
        <v>Below thresholds</v>
      </c>
      <c r="J1725" t="str">
        <f t="shared" si="134"/>
        <v/>
      </c>
    </row>
    <row r="1726" spans="1:10" x14ac:dyDescent="0.2">
      <c r="A1726">
        <v>226997535419</v>
      </c>
      <c r="B1726" t="s">
        <v>4146</v>
      </c>
      <c r="C1726" t="s">
        <v>4147</v>
      </c>
      <c r="D1726">
        <v>10</v>
      </c>
      <c r="F1726" t="str">
        <f t="shared" si="130"/>
        <v>No</v>
      </c>
      <c r="G1726" t="str">
        <f t="shared" si="131"/>
        <v/>
      </c>
      <c r="H1726" t="str">
        <f t="shared" si="132"/>
        <v>—</v>
      </c>
      <c r="I1726" t="str">
        <f t="shared" si="133"/>
        <v>Below thresholds</v>
      </c>
      <c r="J1726" t="str">
        <f t="shared" si="134"/>
        <v/>
      </c>
    </row>
    <row r="1727" spans="1:10" x14ac:dyDescent="0.2">
      <c r="A1727">
        <v>226997548331</v>
      </c>
      <c r="B1727" t="s">
        <v>4148</v>
      </c>
      <c r="C1727" t="s">
        <v>4149</v>
      </c>
      <c r="D1727">
        <v>15</v>
      </c>
      <c r="F1727" t="str">
        <f t="shared" si="130"/>
        <v>No</v>
      </c>
      <c r="G1727" t="str">
        <f t="shared" si="131"/>
        <v/>
      </c>
      <c r="H1727" t="str">
        <f t="shared" si="132"/>
        <v>—</v>
      </c>
      <c r="I1727" t="str">
        <f t="shared" si="133"/>
        <v>Below thresholds</v>
      </c>
      <c r="J1727" t="str">
        <f t="shared" si="134"/>
        <v/>
      </c>
    </row>
    <row r="1728" spans="1:10" x14ac:dyDescent="0.2">
      <c r="A1728">
        <v>226997741085</v>
      </c>
      <c r="B1728" t="s">
        <v>4150</v>
      </c>
      <c r="C1728" t="s">
        <v>4151</v>
      </c>
      <c r="D1728">
        <v>1.99</v>
      </c>
      <c r="F1728" t="str">
        <f t="shared" si="130"/>
        <v>No</v>
      </c>
      <c r="G1728" t="str">
        <f t="shared" si="131"/>
        <v/>
      </c>
      <c r="H1728" t="str">
        <f t="shared" si="132"/>
        <v>—</v>
      </c>
      <c r="I1728" t="str">
        <f t="shared" si="133"/>
        <v>Below thresholds</v>
      </c>
      <c r="J1728" t="str">
        <f t="shared" si="134"/>
        <v/>
      </c>
    </row>
    <row r="1729" spans="1:10" x14ac:dyDescent="0.2">
      <c r="A1729">
        <v>226997741117</v>
      </c>
      <c r="B1729" t="s">
        <v>4152</v>
      </c>
      <c r="C1729" t="s">
        <v>4153</v>
      </c>
      <c r="D1729">
        <v>2.99</v>
      </c>
      <c r="F1729" t="str">
        <f t="shared" si="130"/>
        <v>No</v>
      </c>
      <c r="G1729" t="str">
        <f t="shared" si="131"/>
        <v/>
      </c>
      <c r="H1729" t="str">
        <f t="shared" si="132"/>
        <v>—</v>
      </c>
      <c r="I1729" t="str">
        <f t="shared" si="133"/>
        <v>Below thresholds</v>
      </c>
      <c r="J1729" t="str">
        <f t="shared" si="134"/>
        <v/>
      </c>
    </row>
    <row r="1730" spans="1:10" x14ac:dyDescent="0.2">
      <c r="A1730">
        <v>226997741183</v>
      </c>
      <c r="B1730" t="s">
        <v>4154</v>
      </c>
      <c r="C1730" t="s">
        <v>4155</v>
      </c>
      <c r="D1730">
        <v>1.99</v>
      </c>
      <c r="F1730" t="str">
        <f t="shared" si="130"/>
        <v>No</v>
      </c>
      <c r="G1730" t="str">
        <f t="shared" si="131"/>
        <v/>
      </c>
      <c r="H1730" t="str">
        <f t="shared" si="132"/>
        <v>—</v>
      </c>
      <c r="I1730" t="str">
        <f t="shared" si="133"/>
        <v>Below thresholds</v>
      </c>
      <c r="J1730" t="str">
        <f t="shared" si="134"/>
        <v/>
      </c>
    </row>
    <row r="1731" spans="1:10" x14ac:dyDescent="0.2">
      <c r="A1731">
        <v>226997741216</v>
      </c>
      <c r="B1731" t="s">
        <v>4156</v>
      </c>
      <c r="C1731" t="s">
        <v>4157</v>
      </c>
      <c r="D1731">
        <v>6.95</v>
      </c>
      <c r="F1731" t="str">
        <f t="shared" si="130"/>
        <v>No</v>
      </c>
      <c r="G1731" t="str">
        <f t="shared" si="131"/>
        <v/>
      </c>
      <c r="H1731" t="str">
        <f t="shared" si="132"/>
        <v>—</v>
      </c>
      <c r="I1731" t="str">
        <f t="shared" si="133"/>
        <v>Below thresholds</v>
      </c>
      <c r="J1731" t="str">
        <f t="shared" si="134"/>
        <v/>
      </c>
    </row>
    <row r="1732" spans="1:10" x14ac:dyDescent="0.2">
      <c r="A1732">
        <v>226997741252</v>
      </c>
      <c r="B1732" t="s">
        <v>4158</v>
      </c>
      <c r="C1732" t="s">
        <v>4159</v>
      </c>
      <c r="D1732">
        <v>1.99</v>
      </c>
      <c r="F1732" t="str">
        <f t="shared" si="130"/>
        <v>No</v>
      </c>
      <c r="G1732" t="str">
        <f t="shared" si="131"/>
        <v/>
      </c>
      <c r="H1732" t="str">
        <f t="shared" si="132"/>
        <v>—</v>
      </c>
      <c r="I1732" t="str">
        <f t="shared" si="133"/>
        <v>Below thresholds</v>
      </c>
      <c r="J1732" t="str">
        <f t="shared" si="134"/>
        <v/>
      </c>
    </row>
    <row r="1733" spans="1:10" x14ac:dyDescent="0.2">
      <c r="A1733">
        <v>226997741274</v>
      </c>
      <c r="B1733" t="s">
        <v>4160</v>
      </c>
      <c r="C1733" t="s">
        <v>4161</v>
      </c>
      <c r="D1733">
        <v>1.99</v>
      </c>
      <c r="F1733" t="str">
        <f t="shared" ref="F1733:F1796" si="135">IF($B1733="","",IF(ISNUMBER(SEARCH("PSA",$B1733)),"Yes","No"))</f>
        <v>No</v>
      </c>
      <c r="G1733" t="str">
        <f t="shared" ref="G1733:G1796" si="136">IF($B1733="","",IF(ISNUMBER(SEARCH("PSA 10",$B1733)),10,IF(ISNUMBER(SEARCH("PSA 9.5",$B1733)),9.5,IF(ISNUMBER(SEARCH("PSA 9",$B1733)),9,IF(ISNUMBER(SEARCH("PSA 8",$B1733)),8,IF(ISNUMBER(SEARCH("PSA",$B1733)),"&lt;9",""))))))</f>
        <v/>
      </c>
      <c r="H1733" t="str">
        <f t="shared" ref="H1733:H1796" si="137">IF($B1733="","",IF($D1733&gt;=100,"TIER 2",IF(OR(ISNUMBER(SEARCH("PSA 10",$B1733)),ISNUMBER(SEARCH("PSA 9.5",$B1733)),ISNUMBER(SEARCH("PSA 9",$B1733))),"TIER 3",IF(AND($D1733&gt;20,N($E1733)&gt;=15),"TIER 1","—"))))</f>
        <v>—</v>
      </c>
      <c r="I1733" t="str">
        <f t="shared" ref="I1733:I1796" si="138">IF($B1733="","",IF($D1733&gt;=100,"Premium $100+ (auto)",IF(OR(ISNUMBER(SEARCH("PSA 10",$B1733)),ISNUMBER(SEARCH("PSA 9.5",$B1733)),ISNUMBER(SEARCH("PSA 9",$B1733))),"Graded PSA 9+ (auto)",IF(AND($D1733&gt;20,N($E1733)&gt;=15),"Hot: $20+ &amp; "&amp;$E1733&amp;"/day",IF($D1733&gt;20,"$20+ — needs velocity check","Below thresholds")))))</f>
        <v>Below thresholds</v>
      </c>
      <c r="J1733" t="str">
        <f t="shared" ref="J1733:J1796" si="139">IF($B1733="","",IF(AND($D1733&gt;20,$D1733&lt;100,NOT(OR(ISNUMBER(SEARCH("PSA 10",$B1733)),ISNUMBER(SEARCH("PSA 9.5",$B1733)),ISNUMBER(SEARCH("PSA 9",$B1733)))),$E1733=""),"YES — pull CardHedger",""))</f>
        <v/>
      </c>
    </row>
    <row r="1734" spans="1:10" x14ac:dyDescent="0.2">
      <c r="A1734">
        <v>226997741287</v>
      </c>
      <c r="B1734" t="s">
        <v>4162</v>
      </c>
      <c r="C1734" t="s">
        <v>4163</v>
      </c>
      <c r="D1734">
        <v>1.99</v>
      </c>
      <c r="F1734" t="str">
        <f t="shared" si="135"/>
        <v>No</v>
      </c>
      <c r="G1734" t="str">
        <f t="shared" si="136"/>
        <v/>
      </c>
      <c r="H1734" t="str">
        <f t="shared" si="137"/>
        <v>—</v>
      </c>
      <c r="I1734" t="str">
        <f t="shared" si="138"/>
        <v>Below thresholds</v>
      </c>
      <c r="J1734" t="str">
        <f t="shared" si="139"/>
        <v/>
      </c>
    </row>
    <row r="1735" spans="1:10" x14ac:dyDescent="0.2">
      <c r="A1735">
        <v>226997741311</v>
      </c>
      <c r="B1735" t="s">
        <v>4164</v>
      </c>
      <c r="C1735" t="s">
        <v>4165</v>
      </c>
      <c r="D1735">
        <v>1.99</v>
      </c>
      <c r="F1735" t="str">
        <f t="shared" si="135"/>
        <v>No</v>
      </c>
      <c r="G1735" t="str">
        <f t="shared" si="136"/>
        <v/>
      </c>
      <c r="H1735" t="str">
        <f t="shared" si="137"/>
        <v>—</v>
      </c>
      <c r="I1735" t="str">
        <f t="shared" si="138"/>
        <v>Below thresholds</v>
      </c>
      <c r="J1735" t="str">
        <f t="shared" si="139"/>
        <v/>
      </c>
    </row>
    <row r="1736" spans="1:10" x14ac:dyDescent="0.2">
      <c r="A1736">
        <v>226997741319</v>
      </c>
      <c r="B1736" t="s">
        <v>4166</v>
      </c>
      <c r="C1736" t="s">
        <v>4167</v>
      </c>
      <c r="D1736">
        <v>1.99</v>
      </c>
      <c r="F1736" t="str">
        <f t="shared" si="135"/>
        <v>No</v>
      </c>
      <c r="G1736" t="str">
        <f t="shared" si="136"/>
        <v/>
      </c>
      <c r="H1736" t="str">
        <f t="shared" si="137"/>
        <v>—</v>
      </c>
      <c r="I1736" t="str">
        <f t="shared" si="138"/>
        <v>Below thresholds</v>
      </c>
      <c r="J1736" t="str">
        <f t="shared" si="139"/>
        <v/>
      </c>
    </row>
    <row r="1737" spans="1:10" x14ac:dyDescent="0.2">
      <c r="A1737">
        <v>226997741430</v>
      </c>
      <c r="B1737" t="s">
        <v>4168</v>
      </c>
      <c r="C1737" t="s">
        <v>4169</v>
      </c>
      <c r="D1737">
        <v>1.99</v>
      </c>
      <c r="F1737" t="str">
        <f t="shared" si="135"/>
        <v>No</v>
      </c>
      <c r="G1737" t="str">
        <f t="shared" si="136"/>
        <v/>
      </c>
      <c r="H1737" t="str">
        <f t="shared" si="137"/>
        <v>—</v>
      </c>
      <c r="I1737" t="str">
        <f t="shared" si="138"/>
        <v>Below thresholds</v>
      </c>
      <c r="J1737" t="str">
        <f t="shared" si="139"/>
        <v/>
      </c>
    </row>
    <row r="1738" spans="1:10" x14ac:dyDescent="0.2">
      <c r="A1738">
        <v>226997741565</v>
      </c>
      <c r="B1738" t="s">
        <v>4170</v>
      </c>
      <c r="C1738" t="s">
        <v>4171</v>
      </c>
      <c r="D1738">
        <v>1.99</v>
      </c>
      <c r="F1738" t="str">
        <f t="shared" si="135"/>
        <v>No</v>
      </c>
      <c r="G1738" t="str">
        <f t="shared" si="136"/>
        <v/>
      </c>
      <c r="H1738" t="str">
        <f t="shared" si="137"/>
        <v>—</v>
      </c>
      <c r="I1738" t="str">
        <f t="shared" si="138"/>
        <v>Below thresholds</v>
      </c>
      <c r="J1738" t="str">
        <f t="shared" si="139"/>
        <v/>
      </c>
    </row>
    <row r="1739" spans="1:10" x14ac:dyDescent="0.2">
      <c r="A1739">
        <v>226997741571</v>
      </c>
      <c r="B1739" t="s">
        <v>4172</v>
      </c>
      <c r="C1739" t="s">
        <v>4173</v>
      </c>
      <c r="D1739">
        <v>1.99</v>
      </c>
      <c r="F1739" t="str">
        <f t="shared" si="135"/>
        <v>No</v>
      </c>
      <c r="G1739" t="str">
        <f t="shared" si="136"/>
        <v/>
      </c>
      <c r="H1739" t="str">
        <f t="shared" si="137"/>
        <v>—</v>
      </c>
      <c r="I1739" t="str">
        <f t="shared" si="138"/>
        <v>Below thresholds</v>
      </c>
      <c r="J1739" t="str">
        <f t="shared" si="139"/>
        <v/>
      </c>
    </row>
    <row r="1740" spans="1:10" x14ac:dyDescent="0.2">
      <c r="A1740">
        <v>226997749944</v>
      </c>
      <c r="B1740" t="s">
        <v>4174</v>
      </c>
      <c r="C1740" t="s">
        <v>4175</v>
      </c>
      <c r="D1740">
        <v>1.99</v>
      </c>
      <c r="F1740" t="str">
        <f t="shared" si="135"/>
        <v>No</v>
      </c>
      <c r="G1740" t="str">
        <f t="shared" si="136"/>
        <v/>
      </c>
      <c r="H1740" t="str">
        <f t="shared" si="137"/>
        <v>—</v>
      </c>
      <c r="I1740" t="str">
        <f t="shared" si="138"/>
        <v>Below thresholds</v>
      </c>
      <c r="J1740" t="str">
        <f t="shared" si="139"/>
        <v/>
      </c>
    </row>
    <row r="1741" spans="1:10" x14ac:dyDescent="0.2">
      <c r="A1741">
        <v>226997750005</v>
      </c>
      <c r="B1741" t="s">
        <v>4176</v>
      </c>
      <c r="C1741" t="s">
        <v>4177</v>
      </c>
      <c r="D1741">
        <v>1.99</v>
      </c>
      <c r="F1741" t="str">
        <f t="shared" si="135"/>
        <v>No</v>
      </c>
      <c r="G1741" t="str">
        <f t="shared" si="136"/>
        <v/>
      </c>
      <c r="H1741" t="str">
        <f t="shared" si="137"/>
        <v>—</v>
      </c>
      <c r="I1741" t="str">
        <f t="shared" si="138"/>
        <v>Below thresholds</v>
      </c>
      <c r="J1741" t="str">
        <f t="shared" si="139"/>
        <v/>
      </c>
    </row>
    <row r="1742" spans="1:10" x14ac:dyDescent="0.2">
      <c r="A1742">
        <v>226997750027</v>
      </c>
      <c r="B1742" t="s">
        <v>4178</v>
      </c>
      <c r="C1742" t="s">
        <v>4179</v>
      </c>
      <c r="D1742">
        <v>1.99</v>
      </c>
      <c r="F1742" t="str">
        <f t="shared" si="135"/>
        <v>No</v>
      </c>
      <c r="G1742" t="str">
        <f t="shared" si="136"/>
        <v/>
      </c>
      <c r="H1742" t="str">
        <f t="shared" si="137"/>
        <v>—</v>
      </c>
      <c r="I1742" t="str">
        <f t="shared" si="138"/>
        <v>Below thresholds</v>
      </c>
      <c r="J1742" t="str">
        <f t="shared" si="139"/>
        <v/>
      </c>
    </row>
    <row r="1743" spans="1:10" x14ac:dyDescent="0.2">
      <c r="A1743">
        <v>226997750063</v>
      </c>
      <c r="B1743" t="s">
        <v>4180</v>
      </c>
      <c r="C1743" t="s">
        <v>4181</v>
      </c>
      <c r="D1743">
        <v>1.99</v>
      </c>
      <c r="F1743" t="str">
        <f t="shared" si="135"/>
        <v>No</v>
      </c>
      <c r="G1743" t="str">
        <f t="shared" si="136"/>
        <v/>
      </c>
      <c r="H1743" t="str">
        <f t="shared" si="137"/>
        <v>—</v>
      </c>
      <c r="I1743" t="str">
        <f t="shared" si="138"/>
        <v>Below thresholds</v>
      </c>
      <c r="J1743" t="str">
        <f t="shared" si="139"/>
        <v/>
      </c>
    </row>
    <row r="1744" spans="1:10" x14ac:dyDescent="0.2">
      <c r="A1744">
        <v>226997750083</v>
      </c>
      <c r="B1744" t="s">
        <v>4182</v>
      </c>
      <c r="C1744" t="s">
        <v>4183</v>
      </c>
      <c r="D1744">
        <v>1.99</v>
      </c>
      <c r="F1744" t="str">
        <f t="shared" si="135"/>
        <v>No</v>
      </c>
      <c r="G1744" t="str">
        <f t="shared" si="136"/>
        <v/>
      </c>
      <c r="H1744" t="str">
        <f t="shared" si="137"/>
        <v>—</v>
      </c>
      <c r="I1744" t="str">
        <f t="shared" si="138"/>
        <v>Below thresholds</v>
      </c>
      <c r="J1744" t="str">
        <f t="shared" si="139"/>
        <v/>
      </c>
    </row>
    <row r="1745" spans="1:10" x14ac:dyDescent="0.2">
      <c r="A1745">
        <v>226997750108</v>
      </c>
      <c r="B1745" t="s">
        <v>4184</v>
      </c>
      <c r="C1745" t="s">
        <v>4185</v>
      </c>
      <c r="D1745">
        <v>1.99</v>
      </c>
      <c r="F1745" t="str">
        <f t="shared" si="135"/>
        <v>No</v>
      </c>
      <c r="G1745" t="str">
        <f t="shared" si="136"/>
        <v/>
      </c>
      <c r="H1745" t="str">
        <f t="shared" si="137"/>
        <v>—</v>
      </c>
      <c r="I1745" t="str">
        <f t="shared" si="138"/>
        <v>Below thresholds</v>
      </c>
      <c r="J1745" t="str">
        <f t="shared" si="139"/>
        <v/>
      </c>
    </row>
    <row r="1746" spans="1:10" x14ac:dyDescent="0.2">
      <c r="A1746">
        <v>226997750127</v>
      </c>
      <c r="B1746" t="s">
        <v>4186</v>
      </c>
      <c r="C1746" t="s">
        <v>4187</v>
      </c>
      <c r="D1746">
        <v>1.99</v>
      </c>
      <c r="F1746" t="str">
        <f t="shared" si="135"/>
        <v>No</v>
      </c>
      <c r="G1746" t="str">
        <f t="shared" si="136"/>
        <v/>
      </c>
      <c r="H1746" t="str">
        <f t="shared" si="137"/>
        <v>—</v>
      </c>
      <c r="I1746" t="str">
        <f t="shared" si="138"/>
        <v>Below thresholds</v>
      </c>
      <c r="J1746" t="str">
        <f t="shared" si="139"/>
        <v/>
      </c>
    </row>
    <row r="1747" spans="1:10" x14ac:dyDescent="0.2">
      <c r="A1747">
        <v>226997750168</v>
      </c>
      <c r="B1747" t="s">
        <v>4188</v>
      </c>
      <c r="C1747" t="s">
        <v>4189</v>
      </c>
      <c r="D1747">
        <v>1.99</v>
      </c>
      <c r="F1747" t="str">
        <f t="shared" si="135"/>
        <v>No</v>
      </c>
      <c r="G1747" t="str">
        <f t="shared" si="136"/>
        <v/>
      </c>
      <c r="H1747" t="str">
        <f t="shared" si="137"/>
        <v>—</v>
      </c>
      <c r="I1747" t="str">
        <f t="shared" si="138"/>
        <v>Below thresholds</v>
      </c>
      <c r="J1747" t="str">
        <f t="shared" si="139"/>
        <v/>
      </c>
    </row>
    <row r="1748" spans="1:10" x14ac:dyDescent="0.2">
      <c r="A1748">
        <v>226997750190</v>
      </c>
      <c r="B1748" t="s">
        <v>4190</v>
      </c>
      <c r="C1748" t="s">
        <v>4191</v>
      </c>
      <c r="D1748">
        <v>1.99</v>
      </c>
      <c r="F1748" t="str">
        <f t="shared" si="135"/>
        <v>No</v>
      </c>
      <c r="G1748" t="str">
        <f t="shared" si="136"/>
        <v/>
      </c>
      <c r="H1748" t="str">
        <f t="shared" si="137"/>
        <v>—</v>
      </c>
      <c r="I1748" t="str">
        <f t="shared" si="138"/>
        <v>Below thresholds</v>
      </c>
      <c r="J1748" t="str">
        <f t="shared" si="139"/>
        <v/>
      </c>
    </row>
    <row r="1749" spans="1:10" x14ac:dyDescent="0.2">
      <c r="A1749">
        <v>226997750206</v>
      </c>
      <c r="B1749" t="s">
        <v>4192</v>
      </c>
      <c r="C1749" t="s">
        <v>4193</v>
      </c>
      <c r="D1749">
        <v>1.99</v>
      </c>
      <c r="F1749" t="str">
        <f t="shared" si="135"/>
        <v>No</v>
      </c>
      <c r="G1749" t="str">
        <f t="shared" si="136"/>
        <v/>
      </c>
      <c r="H1749" t="str">
        <f t="shared" si="137"/>
        <v>—</v>
      </c>
      <c r="I1749" t="str">
        <f t="shared" si="138"/>
        <v>Below thresholds</v>
      </c>
      <c r="J1749" t="str">
        <f t="shared" si="139"/>
        <v/>
      </c>
    </row>
    <row r="1750" spans="1:10" x14ac:dyDescent="0.2">
      <c r="A1750">
        <v>226997751441</v>
      </c>
      <c r="B1750" t="s">
        <v>4194</v>
      </c>
      <c r="C1750" t="s">
        <v>4195</v>
      </c>
      <c r="D1750">
        <v>1.99</v>
      </c>
      <c r="F1750" t="str">
        <f t="shared" si="135"/>
        <v>No</v>
      </c>
      <c r="G1750" t="str">
        <f t="shared" si="136"/>
        <v/>
      </c>
      <c r="H1750" t="str">
        <f t="shared" si="137"/>
        <v>—</v>
      </c>
      <c r="I1750" t="str">
        <f t="shared" si="138"/>
        <v>Below thresholds</v>
      </c>
      <c r="J1750" t="str">
        <f t="shared" si="139"/>
        <v/>
      </c>
    </row>
    <row r="1751" spans="1:10" x14ac:dyDescent="0.2">
      <c r="A1751">
        <v>226997782572</v>
      </c>
      <c r="B1751" t="s">
        <v>4196</v>
      </c>
      <c r="C1751" t="s">
        <v>4197</v>
      </c>
      <c r="D1751">
        <v>2.39</v>
      </c>
      <c r="F1751" t="str">
        <f t="shared" si="135"/>
        <v>No</v>
      </c>
      <c r="G1751" t="str">
        <f t="shared" si="136"/>
        <v/>
      </c>
      <c r="H1751" t="str">
        <f t="shared" si="137"/>
        <v>—</v>
      </c>
      <c r="I1751" t="str">
        <f t="shared" si="138"/>
        <v>Below thresholds</v>
      </c>
      <c r="J1751" t="str">
        <f t="shared" si="139"/>
        <v/>
      </c>
    </row>
    <row r="1752" spans="1:10" x14ac:dyDescent="0.2">
      <c r="A1752">
        <v>226997782627</v>
      </c>
      <c r="B1752" t="s">
        <v>4198</v>
      </c>
      <c r="C1752" t="s">
        <v>4199</v>
      </c>
      <c r="D1752">
        <v>3.99</v>
      </c>
      <c r="F1752" t="str">
        <f t="shared" si="135"/>
        <v>No</v>
      </c>
      <c r="G1752" t="str">
        <f t="shared" si="136"/>
        <v/>
      </c>
      <c r="H1752" t="str">
        <f t="shared" si="137"/>
        <v>—</v>
      </c>
      <c r="I1752" t="str">
        <f t="shared" si="138"/>
        <v>Below thresholds</v>
      </c>
      <c r="J1752" t="str">
        <f t="shared" si="139"/>
        <v/>
      </c>
    </row>
    <row r="1753" spans="1:10" x14ac:dyDescent="0.2">
      <c r="A1753">
        <v>226997782634</v>
      </c>
      <c r="B1753" t="s">
        <v>4200</v>
      </c>
      <c r="C1753" t="s">
        <v>4201</v>
      </c>
      <c r="D1753">
        <v>1.99</v>
      </c>
      <c r="F1753" t="str">
        <f t="shared" si="135"/>
        <v>No</v>
      </c>
      <c r="G1753" t="str">
        <f t="shared" si="136"/>
        <v/>
      </c>
      <c r="H1753" t="str">
        <f t="shared" si="137"/>
        <v>—</v>
      </c>
      <c r="I1753" t="str">
        <f t="shared" si="138"/>
        <v>Below thresholds</v>
      </c>
      <c r="J1753" t="str">
        <f t="shared" si="139"/>
        <v/>
      </c>
    </row>
    <row r="1754" spans="1:10" x14ac:dyDescent="0.2">
      <c r="A1754">
        <v>226997782657</v>
      </c>
      <c r="B1754" t="s">
        <v>4202</v>
      </c>
      <c r="C1754" t="s">
        <v>4203</v>
      </c>
      <c r="D1754">
        <v>2.29</v>
      </c>
      <c r="F1754" t="str">
        <f t="shared" si="135"/>
        <v>No</v>
      </c>
      <c r="G1754" t="str">
        <f t="shared" si="136"/>
        <v/>
      </c>
      <c r="H1754" t="str">
        <f t="shared" si="137"/>
        <v>—</v>
      </c>
      <c r="I1754" t="str">
        <f t="shared" si="138"/>
        <v>Below thresholds</v>
      </c>
      <c r="J1754" t="str">
        <f t="shared" si="139"/>
        <v/>
      </c>
    </row>
    <row r="1755" spans="1:10" x14ac:dyDescent="0.2">
      <c r="A1755">
        <v>226997782672</v>
      </c>
      <c r="B1755" t="s">
        <v>4204</v>
      </c>
      <c r="C1755" t="s">
        <v>4205</v>
      </c>
      <c r="D1755">
        <v>1.99</v>
      </c>
      <c r="F1755" t="str">
        <f t="shared" si="135"/>
        <v>No</v>
      </c>
      <c r="G1755" t="str">
        <f t="shared" si="136"/>
        <v/>
      </c>
      <c r="H1755" t="str">
        <f t="shared" si="137"/>
        <v>—</v>
      </c>
      <c r="I1755" t="str">
        <f t="shared" si="138"/>
        <v>Below thresholds</v>
      </c>
      <c r="J1755" t="str">
        <f t="shared" si="139"/>
        <v/>
      </c>
    </row>
    <row r="1756" spans="1:10" x14ac:dyDescent="0.2">
      <c r="A1756">
        <v>226997782693</v>
      </c>
      <c r="B1756" t="s">
        <v>4206</v>
      </c>
      <c r="C1756" t="s">
        <v>4207</v>
      </c>
      <c r="D1756">
        <v>1.99</v>
      </c>
      <c r="F1756" t="str">
        <f t="shared" si="135"/>
        <v>No</v>
      </c>
      <c r="G1756" t="str">
        <f t="shared" si="136"/>
        <v/>
      </c>
      <c r="H1756" t="str">
        <f t="shared" si="137"/>
        <v>—</v>
      </c>
      <c r="I1756" t="str">
        <f t="shared" si="138"/>
        <v>Below thresholds</v>
      </c>
      <c r="J1756" t="str">
        <f t="shared" si="139"/>
        <v/>
      </c>
    </row>
    <row r="1757" spans="1:10" x14ac:dyDescent="0.2">
      <c r="A1757">
        <v>226997782701</v>
      </c>
      <c r="B1757" t="s">
        <v>4208</v>
      </c>
      <c r="C1757" t="s">
        <v>4209</v>
      </c>
      <c r="D1757">
        <v>1.99</v>
      </c>
      <c r="F1757" t="str">
        <f t="shared" si="135"/>
        <v>No</v>
      </c>
      <c r="G1757" t="str">
        <f t="shared" si="136"/>
        <v/>
      </c>
      <c r="H1757" t="str">
        <f t="shared" si="137"/>
        <v>—</v>
      </c>
      <c r="I1757" t="str">
        <f t="shared" si="138"/>
        <v>Below thresholds</v>
      </c>
      <c r="J1757" t="str">
        <f t="shared" si="139"/>
        <v/>
      </c>
    </row>
    <row r="1758" spans="1:10" x14ac:dyDescent="0.2">
      <c r="A1758">
        <v>226997782774</v>
      </c>
      <c r="B1758" t="s">
        <v>4210</v>
      </c>
      <c r="C1758" t="s">
        <v>4211</v>
      </c>
      <c r="D1758">
        <v>2.99</v>
      </c>
      <c r="F1758" t="str">
        <f t="shared" si="135"/>
        <v>No</v>
      </c>
      <c r="G1758" t="str">
        <f t="shared" si="136"/>
        <v/>
      </c>
      <c r="H1758" t="str">
        <f t="shared" si="137"/>
        <v>—</v>
      </c>
      <c r="I1758" t="str">
        <f t="shared" si="138"/>
        <v>Below thresholds</v>
      </c>
      <c r="J1758" t="str">
        <f t="shared" si="139"/>
        <v/>
      </c>
    </row>
    <row r="1759" spans="1:10" x14ac:dyDescent="0.2">
      <c r="A1759">
        <v>226997782802</v>
      </c>
      <c r="B1759" t="s">
        <v>4212</v>
      </c>
      <c r="C1759" t="s">
        <v>4213</v>
      </c>
      <c r="D1759">
        <v>1.99</v>
      </c>
      <c r="F1759" t="str">
        <f t="shared" si="135"/>
        <v>No</v>
      </c>
      <c r="G1759" t="str">
        <f t="shared" si="136"/>
        <v/>
      </c>
      <c r="H1759" t="str">
        <f t="shared" si="137"/>
        <v>—</v>
      </c>
      <c r="I1759" t="str">
        <f t="shared" si="138"/>
        <v>Below thresholds</v>
      </c>
      <c r="J1759" t="str">
        <f t="shared" si="139"/>
        <v/>
      </c>
    </row>
    <row r="1760" spans="1:10" x14ac:dyDescent="0.2">
      <c r="A1760">
        <v>226997782827</v>
      </c>
      <c r="B1760" t="s">
        <v>4214</v>
      </c>
      <c r="C1760" t="s">
        <v>4215</v>
      </c>
      <c r="D1760">
        <v>2.29</v>
      </c>
      <c r="F1760" t="str">
        <f t="shared" si="135"/>
        <v>No</v>
      </c>
      <c r="G1760" t="str">
        <f t="shared" si="136"/>
        <v/>
      </c>
      <c r="H1760" t="str">
        <f t="shared" si="137"/>
        <v>—</v>
      </c>
      <c r="I1760" t="str">
        <f t="shared" si="138"/>
        <v>Below thresholds</v>
      </c>
      <c r="J1760" t="str">
        <f t="shared" si="139"/>
        <v/>
      </c>
    </row>
    <row r="1761" spans="1:10" x14ac:dyDescent="0.2">
      <c r="A1761">
        <v>226997782861</v>
      </c>
      <c r="B1761" t="s">
        <v>4216</v>
      </c>
      <c r="C1761" t="s">
        <v>4217</v>
      </c>
      <c r="D1761">
        <v>1.99</v>
      </c>
      <c r="F1761" t="str">
        <f t="shared" si="135"/>
        <v>No</v>
      </c>
      <c r="G1761" t="str">
        <f t="shared" si="136"/>
        <v/>
      </c>
      <c r="H1761" t="str">
        <f t="shared" si="137"/>
        <v>—</v>
      </c>
      <c r="I1761" t="str">
        <f t="shared" si="138"/>
        <v>Below thresholds</v>
      </c>
      <c r="J1761" t="str">
        <f t="shared" si="139"/>
        <v/>
      </c>
    </row>
    <row r="1762" spans="1:10" x14ac:dyDescent="0.2">
      <c r="A1762">
        <v>226997782896</v>
      </c>
      <c r="B1762" t="s">
        <v>4218</v>
      </c>
      <c r="C1762" t="s">
        <v>4219</v>
      </c>
      <c r="D1762">
        <v>1.99</v>
      </c>
      <c r="F1762" t="str">
        <f t="shared" si="135"/>
        <v>No</v>
      </c>
      <c r="G1762" t="str">
        <f t="shared" si="136"/>
        <v/>
      </c>
      <c r="H1762" t="str">
        <f t="shared" si="137"/>
        <v>—</v>
      </c>
      <c r="I1762" t="str">
        <f t="shared" si="138"/>
        <v>Below thresholds</v>
      </c>
      <c r="J1762" t="str">
        <f t="shared" si="139"/>
        <v/>
      </c>
    </row>
    <row r="1763" spans="1:10" x14ac:dyDescent="0.2">
      <c r="A1763">
        <v>226997782898</v>
      </c>
      <c r="B1763" t="s">
        <v>4220</v>
      </c>
      <c r="C1763" t="s">
        <v>4221</v>
      </c>
      <c r="D1763">
        <v>1.99</v>
      </c>
      <c r="F1763" t="str">
        <f t="shared" si="135"/>
        <v>No</v>
      </c>
      <c r="G1763" t="str">
        <f t="shared" si="136"/>
        <v/>
      </c>
      <c r="H1763" t="str">
        <f t="shared" si="137"/>
        <v>—</v>
      </c>
      <c r="I1763" t="str">
        <f t="shared" si="138"/>
        <v>Below thresholds</v>
      </c>
      <c r="J1763" t="str">
        <f t="shared" si="139"/>
        <v/>
      </c>
    </row>
    <row r="1764" spans="1:10" x14ac:dyDescent="0.2">
      <c r="A1764">
        <v>226997782941</v>
      </c>
      <c r="B1764" t="s">
        <v>4218</v>
      </c>
      <c r="C1764" t="s">
        <v>4222</v>
      </c>
      <c r="D1764">
        <v>1.99</v>
      </c>
      <c r="F1764" t="str">
        <f t="shared" si="135"/>
        <v>No</v>
      </c>
      <c r="G1764" t="str">
        <f t="shared" si="136"/>
        <v/>
      </c>
      <c r="H1764" t="str">
        <f t="shared" si="137"/>
        <v>—</v>
      </c>
      <c r="I1764" t="str">
        <f t="shared" si="138"/>
        <v>Below thresholds</v>
      </c>
      <c r="J1764" t="str">
        <f t="shared" si="139"/>
        <v/>
      </c>
    </row>
    <row r="1765" spans="1:10" x14ac:dyDescent="0.2">
      <c r="A1765">
        <v>226997782943</v>
      </c>
      <c r="B1765" t="s">
        <v>4223</v>
      </c>
      <c r="C1765" t="s">
        <v>4224</v>
      </c>
      <c r="D1765">
        <v>1.99</v>
      </c>
      <c r="F1765" t="str">
        <f t="shared" si="135"/>
        <v>No</v>
      </c>
      <c r="G1765" t="str">
        <f t="shared" si="136"/>
        <v/>
      </c>
      <c r="H1765" t="str">
        <f t="shared" si="137"/>
        <v>—</v>
      </c>
      <c r="I1765" t="str">
        <f t="shared" si="138"/>
        <v>Below thresholds</v>
      </c>
      <c r="J1765" t="str">
        <f t="shared" si="139"/>
        <v/>
      </c>
    </row>
    <row r="1766" spans="1:10" x14ac:dyDescent="0.2">
      <c r="A1766">
        <v>226997782963</v>
      </c>
      <c r="B1766" t="s">
        <v>4225</v>
      </c>
      <c r="C1766" t="s">
        <v>4226</v>
      </c>
      <c r="D1766">
        <v>1.99</v>
      </c>
      <c r="F1766" t="str">
        <f t="shared" si="135"/>
        <v>No</v>
      </c>
      <c r="G1766" t="str">
        <f t="shared" si="136"/>
        <v/>
      </c>
      <c r="H1766" t="str">
        <f t="shared" si="137"/>
        <v>—</v>
      </c>
      <c r="I1766" t="str">
        <f t="shared" si="138"/>
        <v>Below thresholds</v>
      </c>
      <c r="J1766" t="str">
        <f t="shared" si="139"/>
        <v/>
      </c>
    </row>
    <row r="1767" spans="1:10" x14ac:dyDescent="0.2">
      <c r="A1767">
        <v>226997782972</v>
      </c>
      <c r="B1767" t="s">
        <v>4227</v>
      </c>
      <c r="C1767" t="s">
        <v>4228</v>
      </c>
      <c r="D1767">
        <v>2.99</v>
      </c>
      <c r="F1767" t="str">
        <f t="shared" si="135"/>
        <v>No</v>
      </c>
      <c r="G1767" t="str">
        <f t="shared" si="136"/>
        <v/>
      </c>
      <c r="H1767" t="str">
        <f t="shared" si="137"/>
        <v>—</v>
      </c>
      <c r="I1767" t="str">
        <f t="shared" si="138"/>
        <v>Below thresholds</v>
      </c>
      <c r="J1767" t="str">
        <f t="shared" si="139"/>
        <v/>
      </c>
    </row>
    <row r="1768" spans="1:10" x14ac:dyDescent="0.2">
      <c r="A1768">
        <v>226997782997</v>
      </c>
      <c r="B1768" t="s">
        <v>4229</v>
      </c>
      <c r="C1768" t="s">
        <v>4230</v>
      </c>
      <c r="D1768">
        <v>1.99</v>
      </c>
      <c r="F1768" t="str">
        <f t="shared" si="135"/>
        <v>No</v>
      </c>
      <c r="G1768" t="str">
        <f t="shared" si="136"/>
        <v/>
      </c>
      <c r="H1768" t="str">
        <f t="shared" si="137"/>
        <v>—</v>
      </c>
      <c r="I1768" t="str">
        <f t="shared" si="138"/>
        <v>Below thresholds</v>
      </c>
      <c r="J1768" t="str">
        <f t="shared" si="139"/>
        <v/>
      </c>
    </row>
    <row r="1769" spans="1:10" x14ac:dyDescent="0.2">
      <c r="A1769">
        <v>226997783025</v>
      </c>
      <c r="B1769" t="s">
        <v>4231</v>
      </c>
      <c r="C1769" t="s">
        <v>4232</v>
      </c>
      <c r="D1769">
        <v>1.99</v>
      </c>
      <c r="F1769" t="str">
        <f t="shared" si="135"/>
        <v>No</v>
      </c>
      <c r="G1769" t="str">
        <f t="shared" si="136"/>
        <v/>
      </c>
      <c r="H1769" t="str">
        <f t="shared" si="137"/>
        <v>—</v>
      </c>
      <c r="I1769" t="str">
        <f t="shared" si="138"/>
        <v>Below thresholds</v>
      </c>
      <c r="J1769" t="str">
        <f t="shared" si="139"/>
        <v/>
      </c>
    </row>
    <row r="1770" spans="1:10" x14ac:dyDescent="0.2">
      <c r="A1770">
        <v>226997783050</v>
      </c>
      <c r="B1770" t="s">
        <v>4233</v>
      </c>
      <c r="C1770" t="s">
        <v>4234</v>
      </c>
      <c r="D1770">
        <v>1.99</v>
      </c>
      <c r="F1770" t="str">
        <f t="shared" si="135"/>
        <v>No</v>
      </c>
      <c r="G1770" t="str">
        <f t="shared" si="136"/>
        <v/>
      </c>
      <c r="H1770" t="str">
        <f t="shared" si="137"/>
        <v>—</v>
      </c>
      <c r="I1770" t="str">
        <f t="shared" si="138"/>
        <v>Below thresholds</v>
      </c>
      <c r="J1770" t="str">
        <f t="shared" si="139"/>
        <v/>
      </c>
    </row>
    <row r="1771" spans="1:10" x14ac:dyDescent="0.2">
      <c r="A1771">
        <v>226997783095</v>
      </c>
      <c r="B1771" t="s">
        <v>4235</v>
      </c>
      <c r="C1771" t="s">
        <v>4236</v>
      </c>
      <c r="D1771">
        <v>1.99</v>
      </c>
      <c r="F1771" t="str">
        <f t="shared" si="135"/>
        <v>No</v>
      </c>
      <c r="G1771" t="str">
        <f t="shared" si="136"/>
        <v/>
      </c>
      <c r="H1771" t="str">
        <f t="shared" si="137"/>
        <v>—</v>
      </c>
      <c r="I1771" t="str">
        <f t="shared" si="138"/>
        <v>Below thresholds</v>
      </c>
      <c r="J1771" t="str">
        <f t="shared" si="139"/>
        <v/>
      </c>
    </row>
    <row r="1772" spans="1:10" x14ac:dyDescent="0.2">
      <c r="A1772">
        <v>226997783117</v>
      </c>
      <c r="B1772" t="s">
        <v>4237</v>
      </c>
      <c r="C1772" t="s">
        <v>4238</v>
      </c>
      <c r="D1772">
        <v>4.79</v>
      </c>
      <c r="F1772" t="str">
        <f t="shared" si="135"/>
        <v>No</v>
      </c>
      <c r="G1772" t="str">
        <f t="shared" si="136"/>
        <v/>
      </c>
      <c r="H1772" t="str">
        <f t="shared" si="137"/>
        <v>—</v>
      </c>
      <c r="I1772" t="str">
        <f t="shared" si="138"/>
        <v>Below thresholds</v>
      </c>
      <c r="J1772" t="str">
        <f t="shared" si="139"/>
        <v/>
      </c>
    </row>
    <row r="1773" spans="1:10" x14ac:dyDescent="0.2">
      <c r="A1773">
        <v>226997783158</v>
      </c>
      <c r="B1773" t="s">
        <v>4239</v>
      </c>
      <c r="C1773" t="s">
        <v>4240</v>
      </c>
      <c r="D1773">
        <v>1.99</v>
      </c>
      <c r="F1773" t="str">
        <f t="shared" si="135"/>
        <v>No</v>
      </c>
      <c r="G1773" t="str">
        <f t="shared" si="136"/>
        <v/>
      </c>
      <c r="H1773" t="str">
        <f t="shared" si="137"/>
        <v>—</v>
      </c>
      <c r="I1773" t="str">
        <f t="shared" si="138"/>
        <v>Below thresholds</v>
      </c>
      <c r="J1773" t="str">
        <f t="shared" si="139"/>
        <v/>
      </c>
    </row>
    <row r="1774" spans="1:10" x14ac:dyDescent="0.2">
      <c r="A1774">
        <v>226997783162</v>
      </c>
      <c r="B1774" t="s">
        <v>4241</v>
      </c>
      <c r="C1774" t="s">
        <v>4242</v>
      </c>
      <c r="D1774">
        <v>1.99</v>
      </c>
      <c r="F1774" t="str">
        <f t="shared" si="135"/>
        <v>No</v>
      </c>
      <c r="G1774" t="str">
        <f t="shared" si="136"/>
        <v/>
      </c>
      <c r="H1774" t="str">
        <f t="shared" si="137"/>
        <v>—</v>
      </c>
      <c r="I1774" t="str">
        <f t="shared" si="138"/>
        <v>Below thresholds</v>
      </c>
      <c r="J1774" t="str">
        <f t="shared" si="139"/>
        <v/>
      </c>
    </row>
    <row r="1775" spans="1:10" x14ac:dyDescent="0.2">
      <c r="A1775">
        <v>226997783259</v>
      </c>
      <c r="B1775" t="s">
        <v>4243</v>
      </c>
      <c r="C1775" t="s">
        <v>4244</v>
      </c>
      <c r="D1775">
        <v>2.4900000000000002</v>
      </c>
      <c r="F1775" t="str">
        <f t="shared" si="135"/>
        <v>No</v>
      </c>
      <c r="G1775" t="str">
        <f t="shared" si="136"/>
        <v/>
      </c>
      <c r="H1775" t="str">
        <f t="shared" si="137"/>
        <v>—</v>
      </c>
      <c r="I1775" t="str">
        <f t="shared" si="138"/>
        <v>Below thresholds</v>
      </c>
      <c r="J1775" t="str">
        <f t="shared" si="139"/>
        <v/>
      </c>
    </row>
    <row r="1776" spans="1:10" x14ac:dyDescent="0.2">
      <c r="A1776">
        <v>226997783262</v>
      </c>
      <c r="B1776" t="s">
        <v>4245</v>
      </c>
      <c r="C1776" t="s">
        <v>4246</v>
      </c>
      <c r="D1776">
        <v>1.99</v>
      </c>
      <c r="F1776" t="str">
        <f t="shared" si="135"/>
        <v>No</v>
      </c>
      <c r="G1776" t="str">
        <f t="shared" si="136"/>
        <v/>
      </c>
      <c r="H1776" t="str">
        <f t="shared" si="137"/>
        <v>—</v>
      </c>
      <c r="I1776" t="str">
        <f t="shared" si="138"/>
        <v>Below thresholds</v>
      </c>
      <c r="J1776" t="str">
        <f t="shared" si="139"/>
        <v/>
      </c>
    </row>
    <row r="1777" spans="1:10" x14ac:dyDescent="0.2">
      <c r="A1777">
        <v>226997783403</v>
      </c>
      <c r="B1777" t="s">
        <v>4247</v>
      </c>
      <c r="C1777" t="s">
        <v>4248</v>
      </c>
      <c r="D1777">
        <v>1.99</v>
      </c>
      <c r="F1777" t="str">
        <f t="shared" si="135"/>
        <v>No</v>
      </c>
      <c r="G1777" t="str">
        <f t="shared" si="136"/>
        <v/>
      </c>
      <c r="H1777" t="str">
        <f t="shared" si="137"/>
        <v>—</v>
      </c>
      <c r="I1777" t="str">
        <f t="shared" si="138"/>
        <v>Below thresholds</v>
      </c>
      <c r="J1777" t="str">
        <f t="shared" si="139"/>
        <v/>
      </c>
    </row>
    <row r="1778" spans="1:10" x14ac:dyDescent="0.2">
      <c r="A1778">
        <v>226997783445</v>
      </c>
      <c r="B1778" t="s">
        <v>4249</v>
      </c>
      <c r="C1778" t="s">
        <v>4250</v>
      </c>
      <c r="D1778">
        <v>1.99</v>
      </c>
      <c r="F1778" t="str">
        <f t="shared" si="135"/>
        <v>No</v>
      </c>
      <c r="G1778" t="str">
        <f t="shared" si="136"/>
        <v/>
      </c>
      <c r="H1778" t="str">
        <f t="shared" si="137"/>
        <v>—</v>
      </c>
      <c r="I1778" t="str">
        <f t="shared" si="138"/>
        <v>Below thresholds</v>
      </c>
      <c r="J1778" t="str">
        <f t="shared" si="139"/>
        <v/>
      </c>
    </row>
    <row r="1779" spans="1:10" x14ac:dyDescent="0.2">
      <c r="A1779">
        <v>226997783452</v>
      </c>
      <c r="B1779" t="s">
        <v>4251</v>
      </c>
      <c r="C1779" t="s">
        <v>4252</v>
      </c>
      <c r="D1779">
        <v>1.99</v>
      </c>
      <c r="F1779" t="str">
        <f t="shared" si="135"/>
        <v>No</v>
      </c>
      <c r="G1779" t="str">
        <f t="shared" si="136"/>
        <v/>
      </c>
      <c r="H1779" t="str">
        <f t="shared" si="137"/>
        <v>—</v>
      </c>
      <c r="I1779" t="str">
        <f t="shared" si="138"/>
        <v>Below thresholds</v>
      </c>
      <c r="J1779" t="str">
        <f t="shared" si="139"/>
        <v/>
      </c>
    </row>
    <row r="1780" spans="1:10" x14ac:dyDescent="0.2">
      <c r="A1780">
        <v>226997783485</v>
      </c>
      <c r="B1780" t="s">
        <v>4253</v>
      </c>
      <c r="C1780" t="s">
        <v>4254</v>
      </c>
      <c r="D1780">
        <v>1.99</v>
      </c>
      <c r="F1780" t="str">
        <f t="shared" si="135"/>
        <v>No</v>
      </c>
      <c r="G1780" t="str">
        <f t="shared" si="136"/>
        <v/>
      </c>
      <c r="H1780" t="str">
        <f t="shared" si="137"/>
        <v>—</v>
      </c>
      <c r="I1780" t="str">
        <f t="shared" si="138"/>
        <v>Below thresholds</v>
      </c>
      <c r="J1780" t="str">
        <f t="shared" si="139"/>
        <v/>
      </c>
    </row>
    <row r="1781" spans="1:10" x14ac:dyDescent="0.2">
      <c r="A1781">
        <v>226997783514</v>
      </c>
      <c r="B1781" t="s">
        <v>4255</v>
      </c>
      <c r="C1781" t="s">
        <v>4256</v>
      </c>
      <c r="D1781">
        <v>1.99</v>
      </c>
      <c r="F1781" t="str">
        <f t="shared" si="135"/>
        <v>No</v>
      </c>
      <c r="G1781" t="str">
        <f t="shared" si="136"/>
        <v/>
      </c>
      <c r="H1781" t="str">
        <f t="shared" si="137"/>
        <v>—</v>
      </c>
      <c r="I1781" t="str">
        <f t="shared" si="138"/>
        <v>Below thresholds</v>
      </c>
      <c r="J1781" t="str">
        <f t="shared" si="139"/>
        <v/>
      </c>
    </row>
    <row r="1782" spans="1:10" x14ac:dyDescent="0.2">
      <c r="A1782">
        <v>226997783543</v>
      </c>
      <c r="B1782" t="s">
        <v>4257</v>
      </c>
      <c r="C1782" t="s">
        <v>4258</v>
      </c>
      <c r="D1782">
        <v>1.99</v>
      </c>
      <c r="F1782" t="str">
        <f t="shared" si="135"/>
        <v>No</v>
      </c>
      <c r="G1782" t="str">
        <f t="shared" si="136"/>
        <v/>
      </c>
      <c r="H1782" t="str">
        <f t="shared" si="137"/>
        <v>—</v>
      </c>
      <c r="I1782" t="str">
        <f t="shared" si="138"/>
        <v>Below thresholds</v>
      </c>
      <c r="J1782" t="str">
        <f t="shared" si="139"/>
        <v/>
      </c>
    </row>
    <row r="1783" spans="1:10" x14ac:dyDescent="0.2">
      <c r="A1783">
        <v>227001000346</v>
      </c>
      <c r="B1783" t="s">
        <v>4259</v>
      </c>
      <c r="C1783" t="s">
        <v>4260</v>
      </c>
      <c r="D1783">
        <v>1.99</v>
      </c>
      <c r="F1783" t="str">
        <f t="shared" si="135"/>
        <v>No</v>
      </c>
      <c r="G1783" t="str">
        <f t="shared" si="136"/>
        <v/>
      </c>
      <c r="H1783" t="str">
        <f t="shared" si="137"/>
        <v>—</v>
      </c>
      <c r="I1783" t="str">
        <f t="shared" si="138"/>
        <v>Below thresholds</v>
      </c>
      <c r="J1783" t="str">
        <f t="shared" si="139"/>
        <v/>
      </c>
    </row>
    <row r="1784" spans="1:10" x14ac:dyDescent="0.2">
      <c r="A1784">
        <v>227001000347</v>
      </c>
      <c r="B1784" t="s">
        <v>4261</v>
      </c>
      <c r="C1784" t="s">
        <v>4262</v>
      </c>
      <c r="D1784">
        <v>1.99</v>
      </c>
      <c r="F1784" t="str">
        <f t="shared" si="135"/>
        <v>No</v>
      </c>
      <c r="G1784" t="str">
        <f t="shared" si="136"/>
        <v/>
      </c>
      <c r="H1784" t="str">
        <f t="shared" si="137"/>
        <v>—</v>
      </c>
      <c r="I1784" t="str">
        <f t="shared" si="138"/>
        <v>Below thresholds</v>
      </c>
      <c r="J1784" t="str">
        <f t="shared" si="139"/>
        <v/>
      </c>
    </row>
    <row r="1785" spans="1:10" x14ac:dyDescent="0.2">
      <c r="A1785">
        <v>227001000348</v>
      </c>
      <c r="B1785" t="s">
        <v>314</v>
      </c>
      <c r="C1785" t="s">
        <v>4263</v>
      </c>
      <c r="D1785">
        <v>1.99</v>
      </c>
      <c r="F1785" t="str">
        <f t="shared" si="135"/>
        <v>No</v>
      </c>
      <c r="G1785" t="str">
        <f t="shared" si="136"/>
        <v/>
      </c>
      <c r="H1785" t="str">
        <f t="shared" si="137"/>
        <v>—</v>
      </c>
      <c r="I1785" t="str">
        <f t="shared" si="138"/>
        <v>Below thresholds</v>
      </c>
      <c r="J1785" t="str">
        <f t="shared" si="139"/>
        <v/>
      </c>
    </row>
    <row r="1786" spans="1:10" x14ac:dyDescent="0.2">
      <c r="A1786">
        <v>227001000349</v>
      </c>
      <c r="B1786" t="s">
        <v>4264</v>
      </c>
      <c r="C1786" t="s">
        <v>4265</v>
      </c>
      <c r="D1786">
        <v>1.99</v>
      </c>
      <c r="F1786" t="str">
        <f t="shared" si="135"/>
        <v>No</v>
      </c>
      <c r="G1786" t="str">
        <f t="shared" si="136"/>
        <v/>
      </c>
      <c r="H1786" t="str">
        <f t="shared" si="137"/>
        <v>—</v>
      </c>
      <c r="I1786" t="str">
        <f t="shared" si="138"/>
        <v>Below thresholds</v>
      </c>
      <c r="J1786" t="str">
        <f t="shared" si="139"/>
        <v/>
      </c>
    </row>
    <row r="1787" spans="1:10" x14ac:dyDescent="0.2">
      <c r="A1787">
        <v>227001000351</v>
      </c>
      <c r="B1787" t="s">
        <v>4266</v>
      </c>
      <c r="C1787" t="s">
        <v>4267</v>
      </c>
      <c r="D1787">
        <v>1.99</v>
      </c>
      <c r="F1787" t="str">
        <f t="shared" si="135"/>
        <v>No</v>
      </c>
      <c r="G1787" t="str">
        <f t="shared" si="136"/>
        <v/>
      </c>
      <c r="H1787" t="str">
        <f t="shared" si="137"/>
        <v>—</v>
      </c>
      <c r="I1787" t="str">
        <f t="shared" si="138"/>
        <v>Below thresholds</v>
      </c>
      <c r="J1787" t="str">
        <f t="shared" si="139"/>
        <v/>
      </c>
    </row>
    <row r="1788" spans="1:10" x14ac:dyDescent="0.2">
      <c r="A1788">
        <v>227001000353</v>
      </c>
      <c r="B1788" t="s">
        <v>4268</v>
      </c>
      <c r="C1788" t="s">
        <v>4269</v>
      </c>
      <c r="D1788">
        <v>1.99</v>
      </c>
      <c r="F1788" t="str">
        <f t="shared" si="135"/>
        <v>No</v>
      </c>
      <c r="G1788" t="str">
        <f t="shared" si="136"/>
        <v/>
      </c>
      <c r="H1788" t="str">
        <f t="shared" si="137"/>
        <v>—</v>
      </c>
      <c r="I1788" t="str">
        <f t="shared" si="138"/>
        <v>Below thresholds</v>
      </c>
      <c r="J1788" t="str">
        <f t="shared" si="139"/>
        <v/>
      </c>
    </row>
    <row r="1789" spans="1:10" x14ac:dyDescent="0.2">
      <c r="A1789">
        <v>227001000355</v>
      </c>
      <c r="B1789" t="s">
        <v>4270</v>
      </c>
      <c r="C1789" t="s">
        <v>4271</v>
      </c>
      <c r="D1789">
        <v>2.4900000000000002</v>
      </c>
      <c r="F1789" t="str">
        <f t="shared" si="135"/>
        <v>No</v>
      </c>
      <c r="G1789" t="str">
        <f t="shared" si="136"/>
        <v/>
      </c>
      <c r="H1789" t="str">
        <f t="shared" si="137"/>
        <v>—</v>
      </c>
      <c r="I1789" t="str">
        <f t="shared" si="138"/>
        <v>Below thresholds</v>
      </c>
      <c r="J1789" t="str">
        <f t="shared" si="139"/>
        <v/>
      </c>
    </row>
    <row r="1790" spans="1:10" x14ac:dyDescent="0.2">
      <c r="A1790">
        <v>227001000356</v>
      </c>
      <c r="B1790" t="s">
        <v>4272</v>
      </c>
      <c r="C1790" t="s">
        <v>4273</v>
      </c>
      <c r="D1790">
        <v>1.99</v>
      </c>
      <c r="F1790" t="str">
        <f t="shared" si="135"/>
        <v>No</v>
      </c>
      <c r="G1790" t="str">
        <f t="shared" si="136"/>
        <v/>
      </c>
      <c r="H1790" t="str">
        <f t="shared" si="137"/>
        <v>—</v>
      </c>
      <c r="I1790" t="str">
        <f t="shared" si="138"/>
        <v>Below thresholds</v>
      </c>
      <c r="J1790" t="str">
        <f t="shared" si="139"/>
        <v/>
      </c>
    </row>
    <row r="1791" spans="1:10" x14ac:dyDescent="0.2">
      <c r="A1791">
        <v>227001000357</v>
      </c>
      <c r="B1791" t="s">
        <v>4274</v>
      </c>
      <c r="C1791" t="s">
        <v>4275</v>
      </c>
      <c r="D1791">
        <v>1.99</v>
      </c>
      <c r="F1791" t="str">
        <f t="shared" si="135"/>
        <v>No</v>
      </c>
      <c r="G1791" t="str">
        <f t="shared" si="136"/>
        <v/>
      </c>
      <c r="H1791" t="str">
        <f t="shared" si="137"/>
        <v>—</v>
      </c>
      <c r="I1791" t="str">
        <f t="shared" si="138"/>
        <v>Below thresholds</v>
      </c>
      <c r="J1791" t="str">
        <f t="shared" si="139"/>
        <v/>
      </c>
    </row>
    <row r="1792" spans="1:10" x14ac:dyDescent="0.2">
      <c r="A1792">
        <v>227001000358</v>
      </c>
      <c r="B1792" t="s">
        <v>4276</v>
      </c>
      <c r="C1792" t="s">
        <v>4277</v>
      </c>
      <c r="D1792">
        <v>1.99</v>
      </c>
      <c r="F1792" t="str">
        <f t="shared" si="135"/>
        <v>No</v>
      </c>
      <c r="G1792" t="str">
        <f t="shared" si="136"/>
        <v/>
      </c>
      <c r="H1792" t="str">
        <f t="shared" si="137"/>
        <v>—</v>
      </c>
      <c r="I1792" t="str">
        <f t="shared" si="138"/>
        <v>Below thresholds</v>
      </c>
      <c r="J1792" t="str">
        <f t="shared" si="139"/>
        <v/>
      </c>
    </row>
    <row r="1793" spans="1:10" x14ac:dyDescent="0.2">
      <c r="A1793">
        <v>227001000359</v>
      </c>
      <c r="B1793" t="s">
        <v>4278</v>
      </c>
      <c r="C1793" t="s">
        <v>4279</v>
      </c>
      <c r="D1793">
        <v>1.99</v>
      </c>
      <c r="F1793" t="str">
        <f t="shared" si="135"/>
        <v>No</v>
      </c>
      <c r="G1793" t="str">
        <f t="shared" si="136"/>
        <v/>
      </c>
      <c r="H1793" t="str">
        <f t="shared" si="137"/>
        <v>—</v>
      </c>
      <c r="I1793" t="str">
        <f t="shared" si="138"/>
        <v>Below thresholds</v>
      </c>
      <c r="J1793" t="str">
        <f t="shared" si="139"/>
        <v/>
      </c>
    </row>
    <row r="1794" spans="1:10" x14ac:dyDescent="0.2">
      <c r="A1794">
        <v>227001000360</v>
      </c>
      <c r="B1794" t="s">
        <v>4280</v>
      </c>
      <c r="C1794" t="s">
        <v>4281</v>
      </c>
      <c r="D1794">
        <v>1.99</v>
      </c>
      <c r="F1794" t="str">
        <f t="shared" si="135"/>
        <v>No</v>
      </c>
      <c r="G1794" t="str">
        <f t="shared" si="136"/>
        <v/>
      </c>
      <c r="H1794" t="str">
        <f t="shared" si="137"/>
        <v>—</v>
      </c>
      <c r="I1794" t="str">
        <f t="shared" si="138"/>
        <v>Below thresholds</v>
      </c>
      <c r="J1794" t="str">
        <f t="shared" si="139"/>
        <v/>
      </c>
    </row>
    <row r="1795" spans="1:10" x14ac:dyDescent="0.2">
      <c r="A1795">
        <v>227001000363</v>
      </c>
      <c r="B1795" t="s">
        <v>4282</v>
      </c>
      <c r="C1795" t="s">
        <v>4283</v>
      </c>
      <c r="D1795">
        <v>1.99</v>
      </c>
      <c r="F1795" t="str">
        <f t="shared" si="135"/>
        <v>No</v>
      </c>
      <c r="G1795" t="str">
        <f t="shared" si="136"/>
        <v/>
      </c>
      <c r="H1795" t="str">
        <f t="shared" si="137"/>
        <v>—</v>
      </c>
      <c r="I1795" t="str">
        <f t="shared" si="138"/>
        <v>Below thresholds</v>
      </c>
      <c r="J1795" t="str">
        <f t="shared" si="139"/>
        <v/>
      </c>
    </row>
    <row r="1796" spans="1:10" x14ac:dyDescent="0.2">
      <c r="A1796">
        <v>227001000364</v>
      </c>
      <c r="B1796" t="s">
        <v>4284</v>
      </c>
      <c r="C1796" t="s">
        <v>4285</v>
      </c>
      <c r="D1796">
        <v>1.99</v>
      </c>
      <c r="F1796" t="str">
        <f t="shared" si="135"/>
        <v>No</v>
      </c>
      <c r="G1796" t="str">
        <f t="shared" si="136"/>
        <v/>
      </c>
      <c r="H1796" t="str">
        <f t="shared" si="137"/>
        <v>—</v>
      </c>
      <c r="I1796" t="str">
        <f t="shared" si="138"/>
        <v>Below thresholds</v>
      </c>
      <c r="J1796" t="str">
        <f t="shared" si="139"/>
        <v/>
      </c>
    </row>
    <row r="1797" spans="1:10" x14ac:dyDescent="0.2">
      <c r="A1797">
        <v>227001000366</v>
      </c>
      <c r="B1797" t="s">
        <v>4286</v>
      </c>
      <c r="C1797" t="s">
        <v>4287</v>
      </c>
      <c r="D1797">
        <v>1.99</v>
      </c>
      <c r="F1797" t="str">
        <f t="shared" ref="F1797:F1860" si="140">IF($B1797="","",IF(ISNUMBER(SEARCH("PSA",$B1797)),"Yes","No"))</f>
        <v>No</v>
      </c>
      <c r="G1797" t="str">
        <f t="shared" ref="G1797:G1860" si="141">IF($B1797="","",IF(ISNUMBER(SEARCH("PSA 10",$B1797)),10,IF(ISNUMBER(SEARCH("PSA 9.5",$B1797)),9.5,IF(ISNUMBER(SEARCH("PSA 9",$B1797)),9,IF(ISNUMBER(SEARCH("PSA 8",$B1797)),8,IF(ISNUMBER(SEARCH("PSA",$B1797)),"&lt;9",""))))))</f>
        <v/>
      </c>
      <c r="H1797" t="str">
        <f t="shared" ref="H1797:H1860" si="142">IF($B1797="","",IF($D1797&gt;=100,"TIER 2",IF(OR(ISNUMBER(SEARCH("PSA 10",$B1797)),ISNUMBER(SEARCH("PSA 9.5",$B1797)),ISNUMBER(SEARCH("PSA 9",$B1797))),"TIER 3",IF(AND($D1797&gt;20,N($E1797)&gt;=15),"TIER 1","—"))))</f>
        <v>—</v>
      </c>
      <c r="I1797" t="str">
        <f t="shared" ref="I1797:I1860" si="143">IF($B1797="","",IF($D1797&gt;=100,"Premium $100+ (auto)",IF(OR(ISNUMBER(SEARCH("PSA 10",$B1797)),ISNUMBER(SEARCH("PSA 9.5",$B1797)),ISNUMBER(SEARCH("PSA 9",$B1797))),"Graded PSA 9+ (auto)",IF(AND($D1797&gt;20,N($E1797)&gt;=15),"Hot: $20+ &amp; "&amp;$E1797&amp;"/day",IF($D1797&gt;20,"$20+ — needs velocity check","Below thresholds")))))</f>
        <v>Below thresholds</v>
      </c>
      <c r="J1797" t="str">
        <f t="shared" ref="J1797:J1860" si="144">IF($B1797="","",IF(AND($D1797&gt;20,$D1797&lt;100,NOT(OR(ISNUMBER(SEARCH("PSA 10",$B1797)),ISNUMBER(SEARCH("PSA 9.5",$B1797)),ISNUMBER(SEARCH("PSA 9",$B1797)))),$E1797=""),"YES — pull CardHedger",""))</f>
        <v/>
      </c>
    </row>
    <row r="1798" spans="1:10" x14ac:dyDescent="0.2">
      <c r="A1798">
        <v>227001000367</v>
      </c>
      <c r="B1798" t="s">
        <v>4288</v>
      </c>
      <c r="C1798" t="s">
        <v>4289</v>
      </c>
      <c r="D1798">
        <v>1.99</v>
      </c>
      <c r="F1798" t="str">
        <f t="shared" si="140"/>
        <v>No</v>
      </c>
      <c r="G1798" t="str">
        <f t="shared" si="141"/>
        <v/>
      </c>
      <c r="H1798" t="str">
        <f t="shared" si="142"/>
        <v>—</v>
      </c>
      <c r="I1798" t="str">
        <f t="shared" si="143"/>
        <v>Below thresholds</v>
      </c>
      <c r="J1798" t="str">
        <f t="shared" si="144"/>
        <v/>
      </c>
    </row>
    <row r="1799" spans="1:10" x14ac:dyDescent="0.2">
      <c r="A1799">
        <v>227001000370</v>
      </c>
      <c r="B1799" t="s">
        <v>1920</v>
      </c>
      <c r="C1799" t="s">
        <v>4290</v>
      </c>
      <c r="D1799">
        <v>1.99</v>
      </c>
      <c r="F1799" t="str">
        <f t="shared" si="140"/>
        <v>No</v>
      </c>
      <c r="G1799" t="str">
        <f t="shared" si="141"/>
        <v/>
      </c>
      <c r="H1799" t="str">
        <f t="shared" si="142"/>
        <v>—</v>
      </c>
      <c r="I1799" t="str">
        <f t="shared" si="143"/>
        <v>Below thresholds</v>
      </c>
      <c r="J1799" t="str">
        <f t="shared" si="144"/>
        <v/>
      </c>
    </row>
    <row r="1800" spans="1:10" x14ac:dyDescent="0.2">
      <c r="A1800">
        <v>227001000371</v>
      </c>
      <c r="B1800" t="s">
        <v>4291</v>
      </c>
      <c r="C1800" t="s">
        <v>4292</v>
      </c>
      <c r="D1800">
        <v>1.99</v>
      </c>
      <c r="F1800" t="str">
        <f t="shared" si="140"/>
        <v>No</v>
      </c>
      <c r="G1800" t="str">
        <f t="shared" si="141"/>
        <v/>
      </c>
      <c r="H1800" t="str">
        <f t="shared" si="142"/>
        <v>—</v>
      </c>
      <c r="I1800" t="str">
        <f t="shared" si="143"/>
        <v>Below thresholds</v>
      </c>
      <c r="J1800" t="str">
        <f t="shared" si="144"/>
        <v/>
      </c>
    </row>
    <row r="1801" spans="1:10" x14ac:dyDescent="0.2">
      <c r="A1801">
        <v>227001000372</v>
      </c>
      <c r="B1801" t="s">
        <v>4293</v>
      </c>
      <c r="C1801" t="s">
        <v>4294</v>
      </c>
      <c r="D1801">
        <v>1.99</v>
      </c>
      <c r="F1801" t="str">
        <f t="shared" si="140"/>
        <v>No</v>
      </c>
      <c r="G1801" t="str">
        <f t="shared" si="141"/>
        <v/>
      </c>
      <c r="H1801" t="str">
        <f t="shared" si="142"/>
        <v>—</v>
      </c>
      <c r="I1801" t="str">
        <f t="shared" si="143"/>
        <v>Below thresholds</v>
      </c>
      <c r="J1801" t="str">
        <f t="shared" si="144"/>
        <v/>
      </c>
    </row>
    <row r="1802" spans="1:10" x14ac:dyDescent="0.2">
      <c r="A1802">
        <v>227001000374</v>
      </c>
      <c r="B1802" t="s">
        <v>4295</v>
      </c>
      <c r="C1802" t="s">
        <v>4296</v>
      </c>
      <c r="D1802">
        <v>1.99</v>
      </c>
      <c r="F1802" t="str">
        <f t="shared" si="140"/>
        <v>No</v>
      </c>
      <c r="G1802" t="str">
        <f t="shared" si="141"/>
        <v/>
      </c>
      <c r="H1802" t="str">
        <f t="shared" si="142"/>
        <v>—</v>
      </c>
      <c r="I1802" t="str">
        <f t="shared" si="143"/>
        <v>Below thresholds</v>
      </c>
      <c r="J1802" t="str">
        <f t="shared" si="144"/>
        <v/>
      </c>
    </row>
    <row r="1803" spans="1:10" x14ac:dyDescent="0.2">
      <c r="A1803">
        <v>227001000375</v>
      </c>
      <c r="B1803" t="s">
        <v>4297</v>
      </c>
      <c r="C1803" t="s">
        <v>4298</v>
      </c>
      <c r="D1803">
        <v>1.99</v>
      </c>
      <c r="F1803" t="str">
        <f t="shared" si="140"/>
        <v>No</v>
      </c>
      <c r="G1803" t="str">
        <f t="shared" si="141"/>
        <v/>
      </c>
      <c r="H1803" t="str">
        <f t="shared" si="142"/>
        <v>—</v>
      </c>
      <c r="I1803" t="str">
        <f t="shared" si="143"/>
        <v>Below thresholds</v>
      </c>
      <c r="J1803" t="str">
        <f t="shared" si="144"/>
        <v/>
      </c>
    </row>
    <row r="1804" spans="1:10" x14ac:dyDescent="0.2">
      <c r="A1804">
        <v>227001000376</v>
      </c>
      <c r="B1804" t="s">
        <v>4299</v>
      </c>
      <c r="C1804" t="s">
        <v>4300</v>
      </c>
      <c r="D1804">
        <v>2.09</v>
      </c>
      <c r="F1804" t="str">
        <f t="shared" si="140"/>
        <v>No</v>
      </c>
      <c r="G1804" t="str">
        <f t="shared" si="141"/>
        <v/>
      </c>
      <c r="H1804" t="str">
        <f t="shared" si="142"/>
        <v>—</v>
      </c>
      <c r="I1804" t="str">
        <f t="shared" si="143"/>
        <v>Below thresholds</v>
      </c>
      <c r="J1804" t="str">
        <f t="shared" si="144"/>
        <v/>
      </c>
    </row>
    <row r="1805" spans="1:10" x14ac:dyDescent="0.2">
      <c r="A1805">
        <v>227001000377</v>
      </c>
      <c r="B1805" t="s">
        <v>4301</v>
      </c>
      <c r="C1805" t="s">
        <v>4302</v>
      </c>
      <c r="D1805">
        <v>1.99</v>
      </c>
      <c r="F1805" t="str">
        <f t="shared" si="140"/>
        <v>No</v>
      </c>
      <c r="G1805" t="str">
        <f t="shared" si="141"/>
        <v/>
      </c>
      <c r="H1805" t="str">
        <f t="shared" si="142"/>
        <v>—</v>
      </c>
      <c r="I1805" t="str">
        <f t="shared" si="143"/>
        <v>Below thresholds</v>
      </c>
      <c r="J1805" t="str">
        <f t="shared" si="144"/>
        <v/>
      </c>
    </row>
    <row r="1806" spans="1:10" x14ac:dyDescent="0.2">
      <c r="A1806">
        <v>227001000378</v>
      </c>
      <c r="B1806" t="s">
        <v>4303</v>
      </c>
      <c r="C1806" t="s">
        <v>4304</v>
      </c>
      <c r="D1806">
        <v>1.99</v>
      </c>
      <c r="F1806" t="str">
        <f t="shared" si="140"/>
        <v>No</v>
      </c>
      <c r="G1806" t="str">
        <f t="shared" si="141"/>
        <v/>
      </c>
      <c r="H1806" t="str">
        <f t="shared" si="142"/>
        <v>—</v>
      </c>
      <c r="I1806" t="str">
        <f t="shared" si="143"/>
        <v>Below thresholds</v>
      </c>
      <c r="J1806" t="str">
        <f t="shared" si="144"/>
        <v/>
      </c>
    </row>
    <row r="1807" spans="1:10" x14ac:dyDescent="0.2">
      <c r="A1807">
        <v>227001000379</v>
      </c>
      <c r="B1807" t="s">
        <v>4305</v>
      </c>
      <c r="C1807" t="s">
        <v>4306</v>
      </c>
      <c r="D1807">
        <v>1.99</v>
      </c>
      <c r="F1807" t="str">
        <f t="shared" si="140"/>
        <v>No</v>
      </c>
      <c r="G1807" t="str">
        <f t="shared" si="141"/>
        <v/>
      </c>
      <c r="H1807" t="str">
        <f t="shared" si="142"/>
        <v>—</v>
      </c>
      <c r="I1807" t="str">
        <f t="shared" si="143"/>
        <v>Below thresholds</v>
      </c>
      <c r="J1807" t="str">
        <f t="shared" si="144"/>
        <v/>
      </c>
    </row>
    <row r="1808" spans="1:10" x14ac:dyDescent="0.2">
      <c r="A1808">
        <v>227001000380</v>
      </c>
      <c r="B1808" t="s">
        <v>4307</v>
      </c>
      <c r="C1808" t="s">
        <v>4308</v>
      </c>
      <c r="D1808">
        <v>2</v>
      </c>
      <c r="F1808" t="str">
        <f t="shared" si="140"/>
        <v>No</v>
      </c>
      <c r="G1808" t="str">
        <f t="shared" si="141"/>
        <v/>
      </c>
      <c r="H1808" t="str">
        <f t="shared" si="142"/>
        <v>—</v>
      </c>
      <c r="I1808" t="str">
        <f t="shared" si="143"/>
        <v>Below thresholds</v>
      </c>
      <c r="J1808" t="str">
        <f t="shared" si="144"/>
        <v/>
      </c>
    </row>
    <row r="1809" spans="1:10" x14ac:dyDescent="0.2">
      <c r="A1809">
        <v>227001000381</v>
      </c>
      <c r="B1809" t="s">
        <v>4309</v>
      </c>
      <c r="C1809" t="s">
        <v>4310</v>
      </c>
      <c r="D1809">
        <v>1.99</v>
      </c>
      <c r="F1809" t="str">
        <f t="shared" si="140"/>
        <v>No</v>
      </c>
      <c r="G1809" t="str">
        <f t="shared" si="141"/>
        <v/>
      </c>
      <c r="H1809" t="str">
        <f t="shared" si="142"/>
        <v>—</v>
      </c>
      <c r="I1809" t="str">
        <f t="shared" si="143"/>
        <v>Below thresholds</v>
      </c>
      <c r="J1809" t="str">
        <f t="shared" si="144"/>
        <v/>
      </c>
    </row>
    <row r="1810" spans="1:10" x14ac:dyDescent="0.2">
      <c r="A1810">
        <v>227001000383</v>
      </c>
      <c r="B1810" t="s">
        <v>4311</v>
      </c>
      <c r="C1810" t="s">
        <v>4312</v>
      </c>
      <c r="D1810">
        <v>1.99</v>
      </c>
      <c r="F1810" t="str">
        <f t="shared" si="140"/>
        <v>No</v>
      </c>
      <c r="G1810" t="str">
        <f t="shared" si="141"/>
        <v/>
      </c>
      <c r="H1810" t="str">
        <f t="shared" si="142"/>
        <v>—</v>
      </c>
      <c r="I1810" t="str">
        <f t="shared" si="143"/>
        <v>Below thresholds</v>
      </c>
      <c r="J1810" t="str">
        <f t="shared" si="144"/>
        <v/>
      </c>
    </row>
    <row r="1811" spans="1:10" x14ac:dyDescent="0.2">
      <c r="A1811">
        <v>227001000387</v>
      </c>
      <c r="B1811" t="s">
        <v>4313</v>
      </c>
      <c r="C1811" t="s">
        <v>4314</v>
      </c>
      <c r="D1811">
        <v>1.99</v>
      </c>
      <c r="F1811" t="str">
        <f t="shared" si="140"/>
        <v>No</v>
      </c>
      <c r="G1811" t="str">
        <f t="shared" si="141"/>
        <v/>
      </c>
      <c r="H1811" t="str">
        <f t="shared" si="142"/>
        <v>—</v>
      </c>
      <c r="I1811" t="str">
        <f t="shared" si="143"/>
        <v>Below thresholds</v>
      </c>
      <c r="J1811" t="str">
        <f t="shared" si="144"/>
        <v/>
      </c>
    </row>
    <row r="1812" spans="1:10" x14ac:dyDescent="0.2">
      <c r="A1812">
        <v>227001000391</v>
      </c>
      <c r="B1812" t="s">
        <v>4315</v>
      </c>
      <c r="C1812" t="s">
        <v>4316</v>
      </c>
      <c r="D1812">
        <v>1.99</v>
      </c>
      <c r="F1812" t="str">
        <f t="shared" si="140"/>
        <v>No</v>
      </c>
      <c r="G1812" t="str">
        <f t="shared" si="141"/>
        <v/>
      </c>
      <c r="H1812" t="str">
        <f t="shared" si="142"/>
        <v>—</v>
      </c>
      <c r="I1812" t="str">
        <f t="shared" si="143"/>
        <v>Below thresholds</v>
      </c>
      <c r="J1812" t="str">
        <f t="shared" si="144"/>
        <v/>
      </c>
    </row>
    <row r="1813" spans="1:10" x14ac:dyDescent="0.2">
      <c r="A1813">
        <v>227001121707</v>
      </c>
      <c r="B1813" t="s">
        <v>4317</v>
      </c>
      <c r="C1813" t="s">
        <v>4318</v>
      </c>
      <c r="D1813">
        <v>14.99</v>
      </c>
      <c r="F1813" t="str">
        <f t="shared" si="140"/>
        <v>No</v>
      </c>
      <c r="G1813" t="str">
        <f t="shared" si="141"/>
        <v/>
      </c>
      <c r="H1813" t="str">
        <f t="shared" si="142"/>
        <v>—</v>
      </c>
      <c r="I1813" t="str">
        <f t="shared" si="143"/>
        <v>Below thresholds</v>
      </c>
      <c r="J1813" t="str">
        <f t="shared" si="144"/>
        <v/>
      </c>
    </row>
    <row r="1814" spans="1:10" x14ac:dyDescent="0.2">
      <c r="A1814">
        <v>227001121892</v>
      </c>
      <c r="B1814" t="s">
        <v>4319</v>
      </c>
      <c r="C1814" t="s">
        <v>4320</v>
      </c>
      <c r="D1814">
        <v>1.99</v>
      </c>
      <c r="F1814" t="str">
        <f t="shared" si="140"/>
        <v>No</v>
      </c>
      <c r="G1814" t="str">
        <f t="shared" si="141"/>
        <v/>
      </c>
      <c r="H1814" t="str">
        <f t="shared" si="142"/>
        <v>—</v>
      </c>
      <c r="I1814" t="str">
        <f t="shared" si="143"/>
        <v>Below thresholds</v>
      </c>
      <c r="J1814" t="str">
        <f t="shared" si="144"/>
        <v/>
      </c>
    </row>
    <row r="1815" spans="1:10" x14ac:dyDescent="0.2">
      <c r="A1815">
        <v>227001121901</v>
      </c>
      <c r="B1815" t="s">
        <v>4321</v>
      </c>
      <c r="C1815" t="s">
        <v>4322</v>
      </c>
      <c r="D1815">
        <v>4.99</v>
      </c>
      <c r="F1815" t="str">
        <f t="shared" si="140"/>
        <v>No</v>
      </c>
      <c r="G1815" t="str">
        <f t="shared" si="141"/>
        <v/>
      </c>
      <c r="H1815" t="str">
        <f t="shared" si="142"/>
        <v>—</v>
      </c>
      <c r="I1815" t="str">
        <f t="shared" si="143"/>
        <v>Below thresholds</v>
      </c>
      <c r="J1815" t="str">
        <f t="shared" si="144"/>
        <v/>
      </c>
    </row>
    <row r="1816" spans="1:10" x14ac:dyDescent="0.2">
      <c r="A1816">
        <v>227001122057</v>
      </c>
      <c r="B1816" t="s">
        <v>4323</v>
      </c>
      <c r="C1816" t="s">
        <v>4324</v>
      </c>
      <c r="D1816">
        <v>1.99</v>
      </c>
      <c r="F1816" t="str">
        <f t="shared" si="140"/>
        <v>No</v>
      </c>
      <c r="G1816" t="str">
        <f t="shared" si="141"/>
        <v/>
      </c>
      <c r="H1816" t="str">
        <f t="shared" si="142"/>
        <v>—</v>
      </c>
      <c r="I1816" t="str">
        <f t="shared" si="143"/>
        <v>Below thresholds</v>
      </c>
      <c r="J1816" t="str">
        <f t="shared" si="144"/>
        <v/>
      </c>
    </row>
    <row r="1817" spans="1:10" x14ac:dyDescent="0.2">
      <c r="A1817">
        <v>227001122141</v>
      </c>
      <c r="B1817" t="s">
        <v>289</v>
      </c>
      <c r="C1817" t="s">
        <v>4325</v>
      </c>
      <c r="D1817">
        <v>1.99</v>
      </c>
      <c r="F1817" t="str">
        <f t="shared" si="140"/>
        <v>No</v>
      </c>
      <c r="G1817" t="str">
        <f t="shared" si="141"/>
        <v/>
      </c>
      <c r="H1817" t="str">
        <f t="shared" si="142"/>
        <v>—</v>
      </c>
      <c r="I1817" t="str">
        <f t="shared" si="143"/>
        <v>Below thresholds</v>
      </c>
      <c r="J1817" t="str">
        <f t="shared" si="144"/>
        <v/>
      </c>
    </row>
    <row r="1818" spans="1:10" x14ac:dyDescent="0.2">
      <c r="A1818">
        <v>227001122536</v>
      </c>
      <c r="B1818" t="s">
        <v>4326</v>
      </c>
      <c r="C1818" t="s">
        <v>4327</v>
      </c>
      <c r="D1818">
        <v>2.99</v>
      </c>
      <c r="F1818" t="str">
        <f t="shared" si="140"/>
        <v>No</v>
      </c>
      <c r="G1818" t="str">
        <f t="shared" si="141"/>
        <v/>
      </c>
      <c r="H1818" t="str">
        <f t="shared" si="142"/>
        <v>—</v>
      </c>
      <c r="I1818" t="str">
        <f t="shared" si="143"/>
        <v>Below thresholds</v>
      </c>
      <c r="J1818" t="str">
        <f t="shared" si="144"/>
        <v/>
      </c>
    </row>
    <row r="1819" spans="1:10" x14ac:dyDescent="0.2">
      <c r="A1819">
        <v>227001122553</v>
      </c>
      <c r="B1819" t="s">
        <v>4328</v>
      </c>
      <c r="C1819" t="s">
        <v>4329</v>
      </c>
      <c r="D1819">
        <v>12.59</v>
      </c>
      <c r="F1819" t="str">
        <f t="shared" si="140"/>
        <v>No</v>
      </c>
      <c r="G1819" t="str">
        <f t="shared" si="141"/>
        <v/>
      </c>
      <c r="H1819" t="str">
        <f t="shared" si="142"/>
        <v>—</v>
      </c>
      <c r="I1819" t="str">
        <f t="shared" si="143"/>
        <v>Below thresholds</v>
      </c>
      <c r="J1819" t="str">
        <f t="shared" si="144"/>
        <v/>
      </c>
    </row>
    <row r="1820" spans="1:10" x14ac:dyDescent="0.2">
      <c r="A1820">
        <v>227001458106</v>
      </c>
      <c r="B1820" t="s">
        <v>4330</v>
      </c>
      <c r="C1820" t="s">
        <v>4331</v>
      </c>
      <c r="D1820">
        <v>3.89</v>
      </c>
      <c r="F1820" t="str">
        <f t="shared" si="140"/>
        <v>No</v>
      </c>
      <c r="G1820" t="str">
        <f t="shared" si="141"/>
        <v/>
      </c>
      <c r="H1820" t="str">
        <f t="shared" si="142"/>
        <v>—</v>
      </c>
      <c r="I1820" t="str">
        <f t="shared" si="143"/>
        <v>Below thresholds</v>
      </c>
      <c r="J1820" t="str">
        <f t="shared" si="144"/>
        <v/>
      </c>
    </row>
    <row r="1821" spans="1:10" x14ac:dyDescent="0.2">
      <c r="A1821">
        <v>227001458138</v>
      </c>
      <c r="B1821" t="s">
        <v>4332</v>
      </c>
      <c r="C1821" t="s">
        <v>4333</v>
      </c>
      <c r="D1821">
        <v>1.99</v>
      </c>
      <c r="F1821" t="str">
        <f t="shared" si="140"/>
        <v>No</v>
      </c>
      <c r="G1821" t="str">
        <f t="shared" si="141"/>
        <v/>
      </c>
      <c r="H1821" t="str">
        <f t="shared" si="142"/>
        <v>—</v>
      </c>
      <c r="I1821" t="str">
        <f t="shared" si="143"/>
        <v>Below thresholds</v>
      </c>
      <c r="J1821" t="str">
        <f t="shared" si="144"/>
        <v/>
      </c>
    </row>
    <row r="1822" spans="1:10" x14ac:dyDescent="0.2">
      <c r="A1822">
        <v>227001458165</v>
      </c>
      <c r="B1822" t="s">
        <v>4334</v>
      </c>
      <c r="C1822" t="s">
        <v>4335</v>
      </c>
      <c r="D1822">
        <v>1.99</v>
      </c>
      <c r="F1822" t="str">
        <f t="shared" si="140"/>
        <v>No</v>
      </c>
      <c r="G1822" t="str">
        <f t="shared" si="141"/>
        <v/>
      </c>
      <c r="H1822" t="str">
        <f t="shared" si="142"/>
        <v>—</v>
      </c>
      <c r="I1822" t="str">
        <f t="shared" si="143"/>
        <v>Below thresholds</v>
      </c>
      <c r="J1822" t="str">
        <f t="shared" si="144"/>
        <v/>
      </c>
    </row>
    <row r="1823" spans="1:10" x14ac:dyDescent="0.2">
      <c r="A1823">
        <v>227001458192</v>
      </c>
      <c r="B1823" t="s">
        <v>4336</v>
      </c>
      <c r="C1823" t="s">
        <v>4337</v>
      </c>
      <c r="D1823">
        <v>1.99</v>
      </c>
      <c r="F1823" t="str">
        <f t="shared" si="140"/>
        <v>No</v>
      </c>
      <c r="G1823" t="str">
        <f t="shared" si="141"/>
        <v/>
      </c>
      <c r="H1823" t="str">
        <f t="shared" si="142"/>
        <v>—</v>
      </c>
      <c r="I1823" t="str">
        <f t="shared" si="143"/>
        <v>Below thresholds</v>
      </c>
      <c r="J1823" t="str">
        <f t="shared" si="144"/>
        <v/>
      </c>
    </row>
    <row r="1824" spans="1:10" x14ac:dyDescent="0.2">
      <c r="A1824">
        <v>227001458317</v>
      </c>
      <c r="B1824" t="s">
        <v>4338</v>
      </c>
      <c r="C1824" t="s">
        <v>4339</v>
      </c>
      <c r="D1824">
        <v>1.99</v>
      </c>
      <c r="F1824" t="str">
        <f t="shared" si="140"/>
        <v>No</v>
      </c>
      <c r="G1824" t="str">
        <f t="shared" si="141"/>
        <v/>
      </c>
      <c r="H1824" t="str">
        <f t="shared" si="142"/>
        <v>—</v>
      </c>
      <c r="I1824" t="str">
        <f t="shared" si="143"/>
        <v>Below thresholds</v>
      </c>
      <c r="J1824" t="str">
        <f t="shared" si="144"/>
        <v/>
      </c>
    </row>
    <row r="1825" spans="1:10" x14ac:dyDescent="0.2">
      <c r="A1825">
        <v>227001458346</v>
      </c>
      <c r="B1825" t="s">
        <v>4340</v>
      </c>
      <c r="C1825" t="s">
        <v>4341</v>
      </c>
      <c r="D1825">
        <v>1.99</v>
      </c>
      <c r="F1825" t="str">
        <f t="shared" si="140"/>
        <v>No</v>
      </c>
      <c r="G1825" t="str">
        <f t="shared" si="141"/>
        <v/>
      </c>
      <c r="H1825" t="str">
        <f t="shared" si="142"/>
        <v>—</v>
      </c>
      <c r="I1825" t="str">
        <f t="shared" si="143"/>
        <v>Below thresholds</v>
      </c>
      <c r="J1825" t="str">
        <f t="shared" si="144"/>
        <v/>
      </c>
    </row>
    <row r="1826" spans="1:10" x14ac:dyDescent="0.2">
      <c r="A1826">
        <v>227001458387</v>
      </c>
      <c r="B1826" t="s">
        <v>4342</v>
      </c>
      <c r="C1826" t="s">
        <v>4343</v>
      </c>
      <c r="D1826">
        <v>1.99</v>
      </c>
      <c r="F1826" t="str">
        <f t="shared" si="140"/>
        <v>No</v>
      </c>
      <c r="G1826" t="str">
        <f t="shared" si="141"/>
        <v/>
      </c>
      <c r="H1826" t="str">
        <f t="shared" si="142"/>
        <v>—</v>
      </c>
      <c r="I1826" t="str">
        <f t="shared" si="143"/>
        <v>Below thresholds</v>
      </c>
      <c r="J1826" t="str">
        <f t="shared" si="144"/>
        <v/>
      </c>
    </row>
    <row r="1827" spans="1:10" x14ac:dyDescent="0.2">
      <c r="A1827">
        <v>227001458418</v>
      </c>
      <c r="B1827" t="s">
        <v>4344</v>
      </c>
      <c r="C1827" t="s">
        <v>4345</v>
      </c>
      <c r="D1827">
        <v>1.99</v>
      </c>
      <c r="F1827" t="str">
        <f t="shared" si="140"/>
        <v>No</v>
      </c>
      <c r="G1827" t="str">
        <f t="shared" si="141"/>
        <v/>
      </c>
      <c r="H1827" t="str">
        <f t="shared" si="142"/>
        <v>—</v>
      </c>
      <c r="I1827" t="str">
        <f t="shared" si="143"/>
        <v>Below thresholds</v>
      </c>
      <c r="J1827" t="str">
        <f t="shared" si="144"/>
        <v/>
      </c>
    </row>
    <row r="1828" spans="1:10" x14ac:dyDescent="0.2">
      <c r="A1828">
        <v>227001458447</v>
      </c>
      <c r="B1828" t="s">
        <v>4346</v>
      </c>
      <c r="C1828" t="s">
        <v>4347</v>
      </c>
      <c r="D1828">
        <v>1.99</v>
      </c>
      <c r="F1828" t="str">
        <f t="shared" si="140"/>
        <v>No</v>
      </c>
      <c r="G1828" t="str">
        <f t="shared" si="141"/>
        <v/>
      </c>
      <c r="H1828" t="str">
        <f t="shared" si="142"/>
        <v>—</v>
      </c>
      <c r="I1828" t="str">
        <f t="shared" si="143"/>
        <v>Below thresholds</v>
      </c>
      <c r="J1828" t="str">
        <f t="shared" si="144"/>
        <v/>
      </c>
    </row>
    <row r="1829" spans="1:10" x14ac:dyDescent="0.2">
      <c r="A1829">
        <v>227001458483</v>
      </c>
      <c r="B1829" t="s">
        <v>4348</v>
      </c>
      <c r="C1829" t="s">
        <v>4349</v>
      </c>
      <c r="D1829">
        <v>1.99</v>
      </c>
      <c r="F1829" t="str">
        <f t="shared" si="140"/>
        <v>No</v>
      </c>
      <c r="G1829" t="str">
        <f t="shared" si="141"/>
        <v/>
      </c>
      <c r="H1829" t="str">
        <f t="shared" si="142"/>
        <v>—</v>
      </c>
      <c r="I1829" t="str">
        <f t="shared" si="143"/>
        <v>Below thresholds</v>
      </c>
      <c r="J1829" t="str">
        <f t="shared" si="144"/>
        <v/>
      </c>
    </row>
    <row r="1830" spans="1:10" x14ac:dyDescent="0.2">
      <c r="A1830">
        <v>227001458518</v>
      </c>
      <c r="B1830" t="s">
        <v>4350</v>
      </c>
      <c r="C1830" t="s">
        <v>4351</v>
      </c>
      <c r="D1830">
        <v>1.99</v>
      </c>
      <c r="F1830" t="str">
        <f t="shared" si="140"/>
        <v>No</v>
      </c>
      <c r="G1830" t="str">
        <f t="shared" si="141"/>
        <v/>
      </c>
      <c r="H1830" t="str">
        <f t="shared" si="142"/>
        <v>—</v>
      </c>
      <c r="I1830" t="str">
        <f t="shared" si="143"/>
        <v>Below thresholds</v>
      </c>
      <c r="J1830" t="str">
        <f t="shared" si="144"/>
        <v/>
      </c>
    </row>
    <row r="1831" spans="1:10" x14ac:dyDescent="0.2">
      <c r="A1831">
        <v>227001458538</v>
      </c>
      <c r="B1831" t="s">
        <v>4352</v>
      </c>
      <c r="C1831" t="s">
        <v>4353</v>
      </c>
      <c r="D1831">
        <v>1.99</v>
      </c>
      <c r="F1831" t="str">
        <f t="shared" si="140"/>
        <v>No</v>
      </c>
      <c r="G1831" t="str">
        <f t="shared" si="141"/>
        <v/>
      </c>
      <c r="H1831" t="str">
        <f t="shared" si="142"/>
        <v>—</v>
      </c>
      <c r="I1831" t="str">
        <f t="shared" si="143"/>
        <v>Below thresholds</v>
      </c>
      <c r="J1831" t="str">
        <f t="shared" si="144"/>
        <v/>
      </c>
    </row>
    <row r="1832" spans="1:10" x14ac:dyDescent="0.2">
      <c r="A1832">
        <v>227001458556</v>
      </c>
      <c r="B1832" t="s">
        <v>4354</v>
      </c>
      <c r="C1832" t="s">
        <v>4355</v>
      </c>
      <c r="D1832">
        <v>1.99</v>
      </c>
      <c r="F1832" t="str">
        <f t="shared" si="140"/>
        <v>No</v>
      </c>
      <c r="G1832" t="str">
        <f t="shared" si="141"/>
        <v/>
      </c>
      <c r="H1832" t="str">
        <f t="shared" si="142"/>
        <v>—</v>
      </c>
      <c r="I1832" t="str">
        <f t="shared" si="143"/>
        <v>Below thresholds</v>
      </c>
      <c r="J1832" t="str">
        <f t="shared" si="144"/>
        <v/>
      </c>
    </row>
    <row r="1833" spans="1:10" x14ac:dyDescent="0.2">
      <c r="A1833">
        <v>227001458602</v>
      </c>
      <c r="B1833" t="s">
        <v>1476</v>
      </c>
      <c r="C1833" t="s">
        <v>4356</v>
      </c>
      <c r="D1833">
        <v>1.99</v>
      </c>
      <c r="F1833" t="str">
        <f t="shared" si="140"/>
        <v>No</v>
      </c>
      <c r="G1833" t="str">
        <f t="shared" si="141"/>
        <v/>
      </c>
      <c r="H1833" t="str">
        <f t="shared" si="142"/>
        <v>—</v>
      </c>
      <c r="I1833" t="str">
        <f t="shared" si="143"/>
        <v>Below thresholds</v>
      </c>
      <c r="J1833" t="str">
        <f t="shared" si="144"/>
        <v/>
      </c>
    </row>
    <row r="1834" spans="1:10" x14ac:dyDescent="0.2">
      <c r="A1834">
        <v>227001458814</v>
      </c>
      <c r="B1834" t="s">
        <v>4357</v>
      </c>
      <c r="C1834" t="s">
        <v>4358</v>
      </c>
      <c r="D1834">
        <v>1.99</v>
      </c>
      <c r="F1834" t="str">
        <f t="shared" si="140"/>
        <v>No</v>
      </c>
      <c r="G1834" t="str">
        <f t="shared" si="141"/>
        <v/>
      </c>
      <c r="H1834" t="str">
        <f t="shared" si="142"/>
        <v>—</v>
      </c>
      <c r="I1834" t="str">
        <f t="shared" si="143"/>
        <v>Below thresholds</v>
      </c>
      <c r="J1834" t="str">
        <f t="shared" si="144"/>
        <v/>
      </c>
    </row>
    <row r="1835" spans="1:10" x14ac:dyDescent="0.2">
      <c r="A1835">
        <v>227001458837</v>
      </c>
      <c r="B1835" t="s">
        <v>4359</v>
      </c>
      <c r="C1835" t="s">
        <v>4360</v>
      </c>
      <c r="D1835">
        <v>1.99</v>
      </c>
      <c r="F1835" t="str">
        <f t="shared" si="140"/>
        <v>No</v>
      </c>
      <c r="G1835" t="str">
        <f t="shared" si="141"/>
        <v/>
      </c>
      <c r="H1835" t="str">
        <f t="shared" si="142"/>
        <v>—</v>
      </c>
      <c r="I1835" t="str">
        <f t="shared" si="143"/>
        <v>Below thresholds</v>
      </c>
      <c r="J1835" t="str">
        <f t="shared" si="144"/>
        <v/>
      </c>
    </row>
    <row r="1836" spans="1:10" x14ac:dyDescent="0.2">
      <c r="A1836">
        <v>227001458949</v>
      </c>
      <c r="B1836" t="s">
        <v>4361</v>
      </c>
      <c r="C1836" t="s">
        <v>4362</v>
      </c>
      <c r="D1836">
        <v>1.99</v>
      </c>
      <c r="F1836" t="str">
        <f t="shared" si="140"/>
        <v>No</v>
      </c>
      <c r="G1836" t="str">
        <f t="shared" si="141"/>
        <v/>
      </c>
      <c r="H1836" t="str">
        <f t="shared" si="142"/>
        <v>—</v>
      </c>
      <c r="I1836" t="str">
        <f t="shared" si="143"/>
        <v>Below thresholds</v>
      </c>
      <c r="J1836" t="str">
        <f t="shared" si="144"/>
        <v/>
      </c>
    </row>
    <row r="1837" spans="1:10" x14ac:dyDescent="0.2">
      <c r="A1837">
        <v>227001459121</v>
      </c>
      <c r="B1837" t="s">
        <v>4363</v>
      </c>
      <c r="C1837" t="s">
        <v>4364</v>
      </c>
      <c r="D1837">
        <v>1.99</v>
      </c>
      <c r="F1837" t="str">
        <f t="shared" si="140"/>
        <v>No</v>
      </c>
      <c r="G1837" t="str">
        <f t="shared" si="141"/>
        <v/>
      </c>
      <c r="H1837" t="str">
        <f t="shared" si="142"/>
        <v>—</v>
      </c>
      <c r="I1837" t="str">
        <f t="shared" si="143"/>
        <v>Below thresholds</v>
      </c>
      <c r="J1837" t="str">
        <f t="shared" si="144"/>
        <v/>
      </c>
    </row>
    <row r="1838" spans="1:10" x14ac:dyDescent="0.2">
      <c r="A1838">
        <v>227001459400</v>
      </c>
      <c r="B1838" t="s">
        <v>4365</v>
      </c>
      <c r="C1838" t="s">
        <v>4366</v>
      </c>
      <c r="D1838">
        <v>1.99</v>
      </c>
      <c r="F1838" t="str">
        <f t="shared" si="140"/>
        <v>No</v>
      </c>
      <c r="G1838" t="str">
        <f t="shared" si="141"/>
        <v/>
      </c>
      <c r="H1838" t="str">
        <f t="shared" si="142"/>
        <v>—</v>
      </c>
      <c r="I1838" t="str">
        <f t="shared" si="143"/>
        <v>Below thresholds</v>
      </c>
      <c r="J1838" t="str">
        <f t="shared" si="144"/>
        <v/>
      </c>
    </row>
    <row r="1839" spans="1:10" x14ac:dyDescent="0.2">
      <c r="A1839">
        <v>227001459610</v>
      </c>
      <c r="B1839" t="s">
        <v>4367</v>
      </c>
      <c r="C1839" t="s">
        <v>4368</v>
      </c>
      <c r="D1839">
        <v>1.99</v>
      </c>
      <c r="F1839" t="str">
        <f t="shared" si="140"/>
        <v>No</v>
      </c>
      <c r="G1839" t="str">
        <f t="shared" si="141"/>
        <v/>
      </c>
      <c r="H1839" t="str">
        <f t="shared" si="142"/>
        <v>—</v>
      </c>
      <c r="I1839" t="str">
        <f t="shared" si="143"/>
        <v>Below thresholds</v>
      </c>
      <c r="J1839" t="str">
        <f t="shared" si="144"/>
        <v/>
      </c>
    </row>
    <row r="1840" spans="1:10" x14ac:dyDescent="0.2">
      <c r="A1840">
        <v>227001459774</v>
      </c>
      <c r="B1840" t="s">
        <v>4369</v>
      </c>
      <c r="C1840" t="s">
        <v>4370</v>
      </c>
      <c r="D1840">
        <v>1.99</v>
      </c>
      <c r="F1840" t="str">
        <f t="shared" si="140"/>
        <v>No</v>
      </c>
      <c r="G1840" t="str">
        <f t="shared" si="141"/>
        <v/>
      </c>
      <c r="H1840" t="str">
        <f t="shared" si="142"/>
        <v>—</v>
      </c>
      <c r="I1840" t="str">
        <f t="shared" si="143"/>
        <v>Below thresholds</v>
      </c>
      <c r="J1840" t="str">
        <f t="shared" si="144"/>
        <v/>
      </c>
    </row>
    <row r="1841" spans="1:10" x14ac:dyDescent="0.2">
      <c r="A1841">
        <v>227001459905</v>
      </c>
      <c r="B1841" t="s">
        <v>4371</v>
      </c>
      <c r="C1841" t="s">
        <v>4372</v>
      </c>
      <c r="D1841">
        <v>1.99</v>
      </c>
      <c r="F1841" t="str">
        <f t="shared" si="140"/>
        <v>No</v>
      </c>
      <c r="G1841" t="str">
        <f t="shared" si="141"/>
        <v/>
      </c>
      <c r="H1841" t="str">
        <f t="shared" si="142"/>
        <v>—</v>
      </c>
      <c r="I1841" t="str">
        <f t="shared" si="143"/>
        <v>Below thresholds</v>
      </c>
      <c r="J1841" t="str">
        <f t="shared" si="144"/>
        <v/>
      </c>
    </row>
    <row r="1842" spans="1:10" x14ac:dyDescent="0.2">
      <c r="A1842">
        <v>227001460003</v>
      </c>
      <c r="B1842" t="s">
        <v>4373</v>
      </c>
      <c r="C1842" t="s">
        <v>4374</v>
      </c>
      <c r="D1842">
        <v>1.99</v>
      </c>
      <c r="F1842" t="str">
        <f t="shared" si="140"/>
        <v>No</v>
      </c>
      <c r="G1842" t="str">
        <f t="shared" si="141"/>
        <v/>
      </c>
      <c r="H1842" t="str">
        <f t="shared" si="142"/>
        <v>—</v>
      </c>
      <c r="I1842" t="str">
        <f t="shared" si="143"/>
        <v>Below thresholds</v>
      </c>
      <c r="J1842" t="str">
        <f t="shared" si="144"/>
        <v/>
      </c>
    </row>
    <row r="1843" spans="1:10" x14ac:dyDescent="0.2">
      <c r="A1843">
        <v>227001460153</v>
      </c>
      <c r="B1843" t="s">
        <v>4375</v>
      </c>
      <c r="C1843" t="s">
        <v>4376</v>
      </c>
      <c r="D1843">
        <v>1.99</v>
      </c>
      <c r="F1843" t="str">
        <f t="shared" si="140"/>
        <v>No</v>
      </c>
      <c r="G1843" t="str">
        <f t="shared" si="141"/>
        <v/>
      </c>
      <c r="H1843" t="str">
        <f t="shared" si="142"/>
        <v>—</v>
      </c>
      <c r="I1843" t="str">
        <f t="shared" si="143"/>
        <v>Below thresholds</v>
      </c>
      <c r="J1843" t="str">
        <f t="shared" si="144"/>
        <v/>
      </c>
    </row>
    <row r="1844" spans="1:10" x14ac:dyDescent="0.2">
      <c r="A1844">
        <v>227001460274</v>
      </c>
      <c r="B1844" t="s">
        <v>4377</v>
      </c>
      <c r="C1844" t="s">
        <v>4378</v>
      </c>
      <c r="D1844">
        <v>1.99</v>
      </c>
      <c r="F1844" t="str">
        <f t="shared" si="140"/>
        <v>No</v>
      </c>
      <c r="G1844" t="str">
        <f t="shared" si="141"/>
        <v/>
      </c>
      <c r="H1844" t="str">
        <f t="shared" si="142"/>
        <v>—</v>
      </c>
      <c r="I1844" t="str">
        <f t="shared" si="143"/>
        <v>Below thresholds</v>
      </c>
      <c r="J1844" t="str">
        <f t="shared" si="144"/>
        <v/>
      </c>
    </row>
    <row r="1845" spans="1:10" x14ac:dyDescent="0.2">
      <c r="A1845">
        <v>227001460372</v>
      </c>
      <c r="B1845" t="s">
        <v>4379</v>
      </c>
      <c r="C1845" t="s">
        <v>4380</v>
      </c>
      <c r="D1845">
        <v>1.99</v>
      </c>
      <c r="F1845" t="str">
        <f t="shared" si="140"/>
        <v>No</v>
      </c>
      <c r="G1845" t="str">
        <f t="shared" si="141"/>
        <v/>
      </c>
      <c r="H1845" t="str">
        <f t="shared" si="142"/>
        <v>—</v>
      </c>
      <c r="I1845" t="str">
        <f t="shared" si="143"/>
        <v>Below thresholds</v>
      </c>
      <c r="J1845" t="str">
        <f t="shared" si="144"/>
        <v/>
      </c>
    </row>
    <row r="1846" spans="1:10" x14ac:dyDescent="0.2">
      <c r="A1846">
        <v>227001460481</v>
      </c>
      <c r="B1846" t="s">
        <v>4381</v>
      </c>
      <c r="C1846" t="s">
        <v>4382</v>
      </c>
      <c r="D1846">
        <v>1.99</v>
      </c>
      <c r="F1846" t="str">
        <f t="shared" si="140"/>
        <v>No</v>
      </c>
      <c r="G1846" t="str">
        <f t="shared" si="141"/>
        <v/>
      </c>
      <c r="H1846" t="str">
        <f t="shared" si="142"/>
        <v>—</v>
      </c>
      <c r="I1846" t="str">
        <f t="shared" si="143"/>
        <v>Below thresholds</v>
      </c>
      <c r="J1846" t="str">
        <f t="shared" si="144"/>
        <v/>
      </c>
    </row>
    <row r="1847" spans="1:10" x14ac:dyDescent="0.2">
      <c r="A1847">
        <v>227001460526</v>
      </c>
      <c r="B1847" t="s">
        <v>4383</v>
      </c>
      <c r="C1847" t="s">
        <v>4384</v>
      </c>
      <c r="D1847">
        <v>1.99</v>
      </c>
      <c r="F1847" t="str">
        <f t="shared" si="140"/>
        <v>No</v>
      </c>
      <c r="G1847" t="str">
        <f t="shared" si="141"/>
        <v/>
      </c>
      <c r="H1847" t="str">
        <f t="shared" si="142"/>
        <v>—</v>
      </c>
      <c r="I1847" t="str">
        <f t="shared" si="143"/>
        <v>Below thresholds</v>
      </c>
      <c r="J1847" t="str">
        <f t="shared" si="144"/>
        <v/>
      </c>
    </row>
    <row r="1848" spans="1:10" x14ac:dyDescent="0.2">
      <c r="A1848">
        <v>227001460580</v>
      </c>
      <c r="B1848" t="s">
        <v>4385</v>
      </c>
      <c r="C1848" t="s">
        <v>4386</v>
      </c>
      <c r="D1848">
        <v>1.99</v>
      </c>
      <c r="F1848" t="str">
        <f t="shared" si="140"/>
        <v>No</v>
      </c>
      <c r="G1848" t="str">
        <f t="shared" si="141"/>
        <v/>
      </c>
      <c r="H1848" t="str">
        <f t="shared" si="142"/>
        <v>—</v>
      </c>
      <c r="I1848" t="str">
        <f t="shared" si="143"/>
        <v>Below thresholds</v>
      </c>
      <c r="J1848" t="str">
        <f t="shared" si="144"/>
        <v/>
      </c>
    </row>
    <row r="1849" spans="1:10" x14ac:dyDescent="0.2">
      <c r="A1849">
        <v>227001460600</v>
      </c>
      <c r="B1849" t="s">
        <v>4387</v>
      </c>
      <c r="C1849" t="s">
        <v>4388</v>
      </c>
      <c r="D1849">
        <v>1.99</v>
      </c>
      <c r="F1849" t="str">
        <f t="shared" si="140"/>
        <v>No</v>
      </c>
      <c r="G1849" t="str">
        <f t="shared" si="141"/>
        <v/>
      </c>
      <c r="H1849" t="str">
        <f t="shared" si="142"/>
        <v>—</v>
      </c>
      <c r="I1849" t="str">
        <f t="shared" si="143"/>
        <v>Below thresholds</v>
      </c>
      <c r="J1849" t="str">
        <f t="shared" si="144"/>
        <v/>
      </c>
    </row>
    <row r="1850" spans="1:10" x14ac:dyDescent="0.2">
      <c r="A1850">
        <v>227001460640</v>
      </c>
      <c r="B1850" t="s">
        <v>4389</v>
      </c>
      <c r="C1850" t="s">
        <v>4390</v>
      </c>
      <c r="D1850">
        <v>1.99</v>
      </c>
      <c r="F1850" t="str">
        <f t="shared" si="140"/>
        <v>No</v>
      </c>
      <c r="G1850" t="str">
        <f t="shared" si="141"/>
        <v/>
      </c>
      <c r="H1850" t="str">
        <f t="shared" si="142"/>
        <v>—</v>
      </c>
      <c r="I1850" t="str">
        <f t="shared" si="143"/>
        <v>Below thresholds</v>
      </c>
      <c r="J1850" t="str">
        <f t="shared" si="144"/>
        <v/>
      </c>
    </row>
    <row r="1851" spans="1:10" x14ac:dyDescent="0.2">
      <c r="A1851">
        <v>227001460684</v>
      </c>
      <c r="B1851" t="s">
        <v>4391</v>
      </c>
      <c r="C1851" t="s">
        <v>4392</v>
      </c>
      <c r="D1851">
        <v>1.99</v>
      </c>
      <c r="F1851" t="str">
        <f t="shared" si="140"/>
        <v>No</v>
      </c>
      <c r="G1851" t="str">
        <f t="shared" si="141"/>
        <v/>
      </c>
      <c r="H1851" t="str">
        <f t="shared" si="142"/>
        <v>—</v>
      </c>
      <c r="I1851" t="str">
        <f t="shared" si="143"/>
        <v>Below thresholds</v>
      </c>
      <c r="J1851" t="str">
        <f t="shared" si="144"/>
        <v/>
      </c>
    </row>
    <row r="1852" spans="1:10" x14ac:dyDescent="0.2">
      <c r="A1852">
        <v>227001460779</v>
      </c>
      <c r="B1852" t="s">
        <v>4393</v>
      </c>
      <c r="C1852" t="s">
        <v>4394</v>
      </c>
      <c r="D1852">
        <v>1.99</v>
      </c>
      <c r="F1852" t="str">
        <f t="shared" si="140"/>
        <v>No</v>
      </c>
      <c r="G1852" t="str">
        <f t="shared" si="141"/>
        <v/>
      </c>
      <c r="H1852" t="str">
        <f t="shared" si="142"/>
        <v>—</v>
      </c>
      <c r="I1852" t="str">
        <f t="shared" si="143"/>
        <v>Below thresholds</v>
      </c>
      <c r="J1852" t="str">
        <f t="shared" si="144"/>
        <v/>
      </c>
    </row>
    <row r="1853" spans="1:10" x14ac:dyDescent="0.2">
      <c r="A1853">
        <v>227001460847</v>
      </c>
      <c r="B1853" t="s">
        <v>4395</v>
      </c>
      <c r="C1853" t="s">
        <v>4396</v>
      </c>
      <c r="D1853">
        <v>1.99</v>
      </c>
      <c r="F1853" t="str">
        <f t="shared" si="140"/>
        <v>No</v>
      </c>
      <c r="G1853" t="str">
        <f t="shared" si="141"/>
        <v/>
      </c>
      <c r="H1853" t="str">
        <f t="shared" si="142"/>
        <v>—</v>
      </c>
      <c r="I1853" t="str">
        <f t="shared" si="143"/>
        <v>Below thresholds</v>
      </c>
      <c r="J1853" t="str">
        <f t="shared" si="144"/>
        <v/>
      </c>
    </row>
    <row r="1854" spans="1:10" x14ac:dyDescent="0.2">
      <c r="A1854">
        <v>227001460892</v>
      </c>
      <c r="B1854" t="s">
        <v>4397</v>
      </c>
      <c r="C1854" t="s">
        <v>4398</v>
      </c>
      <c r="D1854">
        <v>1.99</v>
      </c>
      <c r="F1854" t="str">
        <f t="shared" si="140"/>
        <v>No</v>
      </c>
      <c r="G1854" t="str">
        <f t="shared" si="141"/>
        <v/>
      </c>
      <c r="H1854" t="str">
        <f t="shared" si="142"/>
        <v>—</v>
      </c>
      <c r="I1854" t="str">
        <f t="shared" si="143"/>
        <v>Below thresholds</v>
      </c>
      <c r="J1854" t="str">
        <f t="shared" si="144"/>
        <v/>
      </c>
    </row>
    <row r="1855" spans="1:10" x14ac:dyDescent="0.2">
      <c r="A1855">
        <v>227001460955</v>
      </c>
      <c r="B1855" t="s">
        <v>4399</v>
      </c>
      <c r="C1855" t="s">
        <v>4400</v>
      </c>
      <c r="D1855">
        <v>1.99</v>
      </c>
      <c r="F1855" t="str">
        <f t="shared" si="140"/>
        <v>No</v>
      </c>
      <c r="G1855" t="str">
        <f t="shared" si="141"/>
        <v/>
      </c>
      <c r="H1855" t="str">
        <f t="shared" si="142"/>
        <v>—</v>
      </c>
      <c r="I1855" t="str">
        <f t="shared" si="143"/>
        <v>Below thresholds</v>
      </c>
      <c r="J1855" t="str">
        <f t="shared" si="144"/>
        <v/>
      </c>
    </row>
    <row r="1856" spans="1:10" x14ac:dyDescent="0.2">
      <c r="A1856">
        <v>227001461013</v>
      </c>
      <c r="B1856" t="s">
        <v>4401</v>
      </c>
      <c r="C1856" t="s">
        <v>4402</v>
      </c>
      <c r="D1856">
        <v>1.99</v>
      </c>
      <c r="F1856" t="str">
        <f t="shared" si="140"/>
        <v>No</v>
      </c>
      <c r="G1856" t="str">
        <f t="shared" si="141"/>
        <v/>
      </c>
      <c r="H1856" t="str">
        <f t="shared" si="142"/>
        <v>—</v>
      </c>
      <c r="I1856" t="str">
        <f t="shared" si="143"/>
        <v>Below thresholds</v>
      </c>
      <c r="J1856" t="str">
        <f t="shared" si="144"/>
        <v/>
      </c>
    </row>
    <row r="1857" spans="1:10" x14ac:dyDescent="0.2">
      <c r="A1857">
        <v>227001461050</v>
      </c>
      <c r="B1857" t="s">
        <v>4403</v>
      </c>
      <c r="C1857" t="s">
        <v>4404</v>
      </c>
      <c r="D1857">
        <v>1.99</v>
      </c>
      <c r="F1857" t="str">
        <f t="shared" si="140"/>
        <v>No</v>
      </c>
      <c r="G1857" t="str">
        <f t="shared" si="141"/>
        <v/>
      </c>
      <c r="H1857" t="str">
        <f t="shared" si="142"/>
        <v>—</v>
      </c>
      <c r="I1857" t="str">
        <f t="shared" si="143"/>
        <v>Below thresholds</v>
      </c>
      <c r="J1857" t="str">
        <f t="shared" si="144"/>
        <v/>
      </c>
    </row>
    <row r="1858" spans="1:10" x14ac:dyDescent="0.2">
      <c r="A1858">
        <v>227001461115</v>
      </c>
      <c r="B1858" t="s">
        <v>4405</v>
      </c>
      <c r="C1858" t="s">
        <v>4406</v>
      </c>
      <c r="D1858">
        <v>1.99</v>
      </c>
      <c r="F1858" t="str">
        <f t="shared" si="140"/>
        <v>No</v>
      </c>
      <c r="G1858" t="str">
        <f t="shared" si="141"/>
        <v/>
      </c>
      <c r="H1858" t="str">
        <f t="shared" si="142"/>
        <v>—</v>
      </c>
      <c r="I1858" t="str">
        <f t="shared" si="143"/>
        <v>Below thresholds</v>
      </c>
      <c r="J1858" t="str">
        <f t="shared" si="144"/>
        <v/>
      </c>
    </row>
    <row r="1859" spans="1:10" x14ac:dyDescent="0.2">
      <c r="A1859">
        <v>227001461218</v>
      </c>
      <c r="B1859" t="s">
        <v>4407</v>
      </c>
      <c r="C1859" t="s">
        <v>4408</v>
      </c>
      <c r="D1859">
        <v>1.99</v>
      </c>
      <c r="F1859" t="str">
        <f t="shared" si="140"/>
        <v>No</v>
      </c>
      <c r="G1859" t="str">
        <f t="shared" si="141"/>
        <v/>
      </c>
      <c r="H1859" t="str">
        <f t="shared" si="142"/>
        <v>—</v>
      </c>
      <c r="I1859" t="str">
        <f t="shared" si="143"/>
        <v>Below thresholds</v>
      </c>
      <c r="J1859" t="str">
        <f t="shared" si="144"/>
        <v/>
      </c>
    </row>
    <row r="1860" spans="1:10" x14ac:dyDescent="0.2">
      <c r="A1860">
        <v>227001461322</v>
      </c>
      <c r="B1860" t="s">
        <v>4409</v>
      </c>
      <c r="C1860" t="s">
        <v>4410</v>
      </c>
      <c r="D1860">
        <v>1.99</v>
      </c>
      <c r="F1860" t="str">
        <f t="shared" si="140"/>
        <v>No</v>
      </c>
      <c r="G1860" t="str">
        <f t="shared" si="141"/>
        <v/>
      </c>
      <c r="H1860" t="str">
        <f t="shared" si="142"/>
        <v>—</v>
      </c>
      <c r="I1860" t="str">
        <f t="shared" si="143"/>
        <v>Below thresholds</v>
      </c>
      <c r="J1860" t="str">
        <f t="shared" si="144"/>
        <v/>
      </c>
    </row>
    <row r="1861" spans="1:10" x14ac:dyDescent="0.2">
      <c r="A1861">
        <v>227001461425</v>
      </c>
      <c r="B1861" t="s">
        <v>4411</v>
      </c>
      <c r="C1861" t="s">
        <v>4412</v>
      </c>
      <c r="D1861">
        <v>1.99</v>
      </c>
      <c r="F1861" t="str">
        <f t="shared" ref="F1861:F1924" si="145">IF($B1861="","",IF(ISNUMBER(SEARCH("PSA",$B1861)),"Yes","No"))</f>
        <v>No</v>
      </c>
      <c r="G1861" t="str">
        <f t="shared" ref="G1861:G1924" si="146">IF($B1861="","",IF(ISNUMBER(SEARCH("PSA 10",$B1861)),10,IF(ISNUMBER(SEARCH("PSA 9.5",$B1861)),9.5,IF(ISNUMBER(SEARCH("PSA 9",$B1861)),9,IF(ISNUMBER(SEARCH("PSA 8",$B1861)),8,IF(ISNUMBER(SEARCH("PSA",$B1861)),"&lt;9",""))))))</f>
        <v/>
      </c>
      <c r="H1861" t="str">
        <f t="shared" ref="H1861:H1924" si="147">IF($B1861="","",IF($D1861&gt;=100,"TIER 2",IF(OR(ISNUMBER(SEARCH("PSA 10",$B1861)),ISNUMBER(SEARCH("PSA 9.5",$B1861)),ISNUMBER(SEARCH("PSA 9",$B1861))),"TIER 3",IF(AND($D1861&gt;20,N($E1861)&gt;=15),"TIER 1","—"))))</f>
        <v>—</v>
      </c>
      <c r="I1861" t="str">
        <f t="shared" ref="I1861:I1924" si="148">IF($B1861="","",IF($D1861&gt;=100,"Premium $100+ (auto)",IF(OR(ISNUMBER(SEARCH("PSA 10",$B1861)),ISNUMBER(SEARCH("PSA 9.5",$B1861)),ISNUMBER(SEARCH("PSA 9",$B1861))),"Graded PSA 9+ (auto)",IF(AND($D1861&gt;20,N($E1861)&gt;=15),"Hot: $20+ &amp; "&amp;$E1861&amp;"/day",IF($D1861&gt;20,"$20+ — needs velocity check","Below thresholds")))))</f>
        <v>Below thresholds</v>
      </c>
      <c r="J1861" t="str">
        <f t="shared" ref="J1861:J1924" si="149">IF($B1861="","",IF(AND($D1861&gt;20,$D1861&lt;100,NOT(OR(ISNUMBER(SEARCH("PSA 10",$B1861)),ISNUMBER(SEARCH("PSA 9.5",$B1861)),ISNUMBER(SEARCH("PSA 9",$B1861)))),$E1861=""),"YES — pull CardHedger",""))</f>
        <v/>
      </c>
    </row>
    <row r="1862" spans="1:10" x14ac:dyDescent="0.2">
      <c r="A1862">
        <v>227001461505</v>
      </c>
      <c r="B1862" t="s">
        <v>4413</v>
      </c>
      <c r="C1862" t="s">
        <v>4414</v>
      </c>
      <c r="D1862">
        <v>1.99</v>
      </c>
      <c r="F1862" t="str">
        <f t="shared" si="145"/>
        <v>No</v>
      </c>
      <c r="G1862" t="str">
        <f t="shared" si="146"/>
        <v/>
      </c>
      <c r="H1862" t="str">
        <f t="shared" si="147"/>
        <v>—</v>
      </c>
      <c r="I1862" t="str">
        <f t="shared" si="148"/>
        <v>Below thresholds</v>
      </c>
      <c r="J1862" t="str">
        <f t="shared" si="149"/>
        <v/>
      </c>
    </row>
    <row r="1863" spans="1:10" x14ac:dyDescent="0.2">
      <c r="A1863">
        <v>227001461621</v>
      </c>
      <c r="B1863" t="s">
        <v>4415</v>
      </c>
      <c r="C1863" t="s">
        <v>4416</v>
      </c>
      <c r="D1863">
        <v>1.99</v>
      </c>
      <c r="F1863" t="str">
        <f t="shared" si="145"/>
        <v>No</v>
      </c>
      <c r="G1863" t="str">
        <f t="shared" si="146"/>
        <v/>
      </c>
      <c r="H1863" t="str">
        <f t="shared" si="147"/>
        <v>—</v>
      </c>
      <c r="I1863" t="str">
        <f t="shared" si="148"/>
        <v>Below thresholds</v>
      </c>
      <c r="J1863" t="str">
        <f t="shared" si="149"/>
        <v/>
      </c>
    </row>
    <row r="1864" spans="1:10" x14ac:dyDescent="0.2">
      <c r="A1864">
        <v>227001461713</v>
      </c>
      <c r="B1864" t="s">
        <v>4417</v>
      </c>
      <c r="C1864" t="s">
        <v>4418</v>
      </c>
      <c r="D1864">
        <v>1.99</v>
      </c>
      <c r="F1864" t="str">
        <f t="shared" si="145"/>
        <v>No</v>
      </c>
      <c r="G1864" t="str">
        <f t="shared" si="146"/>
        <v/>
      </c>
      <c r="H1864" t="str">
        <f t="shared" si="147"/>
        <v>—</v>
      </c>
      <c r="I1864" t="str">
        <f t="shared" si="148"/>
        <v>Below thresholds</v>
      </c>
      <c r="J1864" t="str">
        <f t="shared" si="149"/>
        <v/>
      </c>
    </row>
    <row r="1865" spans="1:10" x14ac:dyDescent="0.2">
      <c r="A1865">
        <v>227001461785</v>
      </c>
      <c r="B1865" t="s">
        <v>4419</v>
      </c>
      <c r="C1865" t="s">
        <v>4420</v>
      </c>
      <c r="D1865">
        <v>1.99</v>
      </c>
      <c r="F1865" t="str">
        <f t="shared" si="145"/>
        <v>No</v>
      </c>
      <c r="G1865" t="str">
        <f t="shared" si="146"/>
        <v/>
      </c>
      <c r="H1865" t="str">
        <f t="shared" si="147"/>
        <v>—</v>
      </c>
      <c r="I1865" t="str">
        <f t="shared" si="148"/>
        <v>Below thresholds</v>
      </c>
      <c r="J1865" t="str">
        <f t="shared" si="149"/>
        <v/>
      </c>
    </row>
    <row r="1866" spans="1:10" x14ac:dyDescent="0.2">
      <c r="A1866">
        <v>227001461949</v>
      </c>
      <c r="B1866" t="s">
        <v>4421</v>
      </c>
      <c r="C1866" t="s">
        <v>4422</v>
      </c>
      <c r="D1866">
        <v>1.99</v>
      </c>
      <c r="F1866" t="str">
        <f t="shared" si="145"/>
        <v>No</v>
      </c>
      <c r="G1866" t="str">
        <f t="shared" si="146"/>
        <v/>
      </c>
      <c r="H1866" t="str">
        <f t="shared" si="147"/>
        <v>—</v>
      </c>
      <c r="I1866" t="str">
        <f t="shared" si="148"/>
        <v>Below thresholds</v>
      </c>
      <c r="J1866" t="str">
        <f t="shared" si="149"/>
        <v/>
      </c>
    </row>
    <row r="1867" spans="1:10" x14ac:dyDescent="0.2">
      <c r="A1867">
        <v>227001462081</v>
      </c>
      <c r="B1867" t="s">
        <v>4423</v>
      </c>
      <c r="C1867" t="s">
        <v>4424</v>
      </c>
      <c r="D1867">
        <v>1.99</v>
      </c>
      <c r="F1867" t="str">
        <f t="shared" si="145"/>
        <v>No</v>
      </c>
      <c r="G1867" t="str">
        <f t="shared" si="146"/>
        <v/>
      </c>
      <c r="H1867" t="str">
        <f t="shared" si="147"/>
        <v>—</v>
      </c>
      <c r="I1867" t="str">
        <f t="shared" si="148"/>
        <v>Below thresholds</v>
      </c>
      <c r="J1867" t="str">
        <f t="shared" si="149"/>
        <v/>
      </c>
    </row>
    <row r="1868" spans="1:10" x14ac:dyDescent="0.2">
      <c r="A1868">
        <v>227001462172</v>
      </c>
      <c r="B1868" t="s">
        <v>4425</v>
      </c>
      <c r="C1868" t="s">
        <v>4426</v>
      </c>
      <c r="D1868">
        <v>1.99</v>
      </c>
      <c r="F1868" t="str">
        <f t="shared" si="145"/>
        <v>No</v>
      </c>
      <c r="G1868" t="str">
        <f t="shared" si="146"/>
        <v/>
      </c>
      <c r="H1868" t="str">
        <f t="shared" si="147"/>
        <v>—</v>
      </c>
      <c r="I1868" t="str">
        <f t="shared" si="148"/>
        <v>Below thresholds</v>
      </c>
      <c r="J1868" t="str">
        <f t="shared" si="149"/>
        <v/>
      </c>
    </row>
    <row r="1869" spans="1:10" x14ac:dyDescent="0.2">
      <c r="A1869">
        <v>227001462228</v>
      </c>
      <c r="B1869" t="s">
        <v>4427</v>
      </c>
      <c r="C1869" t="s">
        <v>4428</v>
      </c>
      <c r="D1869">
        <v>1.99</v>
      </c>
      <c r="F1869" t="str">
        <f t="shared" si="145"/>
        <v>No</v>
      </c>
      <c r="G1869" t="str">
        <f t="shared" si="146"/>
        <v/>
      </c>
      <c r="H1869" t="str">
        <f t="shared" si="147"/>
        <v>—</v>
      </c>
      <c r="I1869" t="str">
        <f t="shared" si="148"/>
        <v>Below thresholds</v>
      </c>
      <c r="J1869" t="str">
        <f t="shared" si="149"/>
        <v/>
      </c>
    </row>
    <row r="1870" spans="1:10" x14ac:dyDescent="0.2">
      <c r="A1870">
        <v>227001462362</v>
      </c>
      <c r="B1870" t="s">
        <v>4429</v>
      </c>
      <c r="C1870" t="s">
        <v>4430</v>
      </c>
      <c r="D1870">
        <v>1.99</v>
      </c>
      <c r="F1870" t="str">
        <f t="shared" si="145"/>
        <v>No</v>
      </c>
      <c r="G1870" t="str">
        <f t="shared" si="146"/>
        <v/>
      </c>
      <c r="H1870" t="str">
        <f t="shared" si="147"/>
        <v>—</v>
      </c>
      <c r="I1870" t="str">
        <f t="shared" si="148"/>
        <v>Below thresholds</v>
      </c>
      <c r="J1870" t="str">
        <f t="shared" si="149"/>
        <v/>
      </c>
    </row>
    <row r="1871" spans="1:10" x14ac:dyDescent="0.2">
      <c r="A1871">
        <v>227001462646</v>
      </c>
      <c r="B1871" t="s">
        <v>4431</v>
      </c>
      <c r="C1871" t="s">
        <v>4432</v>
      </c>
      <c r="D1871">
        <v>1.99</v>
      </c>
      <c r="F1871" t="str">
        <f t="shared" si="145"/>
        <v>No</v>
      </c>
      <c r="G1871" t="str">
        <f t="shared" si="146"/>
        <v/>
      </c>
      <c r="H1871" t="str">
        <f t="shared" si="147"/>
        <v>—</v>
      </c>
      <c r="I1871" t="str">
        <f t="shared" si="148"/>
        <v>Below thresholds</v>
      </c>
      <c r="J1871" t="str">
        <f t="shared" si="149"/>
        <v/>
      </c>
    </row>
    <row r="1872" spans="1:10" x14ac:dyDescent="0.2">
      <c r="A1872">
        <v>227001462953</v>
      </c>
      <c r="B1872" t="s">
        <v>4433</v>
      </c>
      <c r="C1872" t="s">
        <v>4434</v>
      </c>
      <c r="D1872">
        <v>1.99</v>
      </c>
      <c r="F1872" t="str">
        <f t="shared" si="145"/>
        <v>No</v>
      </c>
      <c r="G1872" t="str">
        <f t="shared" si="146"/>
        <v/>
      </c>
      <c r="H1872" t="str">
        <f t="shared" si="147"/>
        <v>—</v>
      </c>
      <c r="I1872" t="str">
        <f t="shared" si="148"/>
        <v>Below thresholds</v>
      </c>
      <c r="J1872" t="str">
        <f t="shared" si="149"/>
        <v/>
      </c>
    </row>
    <row r="1873" spans="1:10" x14ac:dyDescent="0.2">
      <c r="A1873">
        <v>227001463159</v>
      </c>
      <c r="B1873" t="s">
        <v>4435</v>
      </c>
      <c r="C1873" t="s">
        <v>4436</v>
      </c>
      <c r="D1873">
        <v>1.99</v>
      </c>
      <c r="F1873" t="str">
        <f t="shared" si="145"/>
        <v>No</v>
      </c>
      <c r="G1873" t="str">
        <f t="shared" si="146"/>
        <v/>
      </c>
      <c r="H1873" t="str">
        <f t="shared" si="147"/>
        <v>—</v>
      </c>
      <c r="I1873" t="str">
        <f t="shared" si="148"/>
        <v>Below thresholds</v>
      </c>
      <c r="J1873" t="str">
        <f t="shared" si="149"/>
        <v/>
      </c>
    </row>
    <row r="1874" spans="1:10" x14ac:dyDescent="0.2">
      <c r="A1874">
        <v>227001463325</v>
      </c>
      <c r="B1874" t="s">
        <v>4437</v>
      </c>
      <c r="C1874" t="s">
        <v>4438</v>
      </c>
      <c r="D1874">
        <v>1.99</v>
      </c>
      <c r="F1874" t="str">
        <f t="shared" si="145"/>
        <v>No</v>
      </c>
      <c r="G1874" t="str">
        <f t="shared" si="146"/>
        <v/>
      </c>
      <c r="H1874" t="str">
        <f t="shared" si="147"/>
        <v>—</v>
      </c>
      <c r="I1874" t="str">
        <f t="shared" si="148"/>
        <v>Below thresholds</v>
      </c>
      <c r="J1874" t="str">
        <f t="shared" si="149"/>
        <v/>
      </c>
    </row>
    <row r="1875" spans="1:10" x14ac:dyDescent="0.2">
      <c r="A1875">
        <v>227001463448</v>
      </c>
      <c r="B1875" t="s">
        <v>4395</v>
      </c>
      <c r="C1875" t="s">
        <v>4439</v>
      </c>
      <c r="D1875">
        <v>1.99</v>
      </c>
      <c r="F1875" t="str">
        <f t="shared" si="145"/>
        <v>No</v>
      </c>
      <c r="G1875" t="str">
        <f t="shared" si="146"/>
        <v/>
      </c>
      <c r="H1875" t="str">
        <f t="shared" si="147"/>
        <v>—</v>
      </c>
      <c r="I1875" t="str">
        <f t="shared" si="148"/>
        <v>Below thresholds</v>
      </c>
      <c r="J1875" t="str">
        <f t="shared" si="149"/>
        <v/>
      </c>
    </row>
    <row r="1876" spans="1:10" x14ac:dyDescent="0.2">
      <c r="A1876">
        <v>227001463563</v>
      </c>
      <c r="B1876" t="s">
        <v>4440</v>
      </c>
      <c r="C1876" t="s">
        <v>4441</v>
      </c>
      <c r="D1876">
        <v>1.99</v>
      </c>
      <c r="F1876" t="str">
        <f t="shared" si="145"/>
        <v>No</v>
      </c>
      <c r="G1876" t="str">
        <f t="shared" si="146"/>
        <v/>
      </c>
      <c r="H1876" t="str">
        <f t="shared" si="147"/>
        <v>—</v>
      </c>
      <c r="I1876" t="str">
        <f t="shared" si="148"/>
        <v>Below thresholds</v>
      </c>
      <c r="J1876" t="str">
        <f t="shared" si="149"/>
        <v/>
      </c>
    </row>
    <row r="1877" spans="1:10" x14ac:dyDescent="0.2">
      <c r="A1877">
        <v>227001463692</v>
      </c>
      <c r="B1877" t="s">
        <v>4442</v>
      </c>
      <c r="C1877" t="s">
        <v>4443</v>
      </c>
      <c r="D1877">
        <v>1.99</v>
      </c>
      <c r="F1877" t="str">
        <f t="shared" si="145"/>
        <v>No</v>
      </c>
      <c r="G1877" t="str">
        <f t="shared" si="146"/>
        <v/>
      </c>
      <c r="H1877" t="str">
        <f t="shared" si="147"/>
        <v>—</v>
      </c>
      <c r="I1877" t="str">
        <f t="shared" si="148"/>
        <v>Below thresholds</v>
      </c>
      <c r="J1877" t="str">
        <f t="shared" si="149"/>
        <v/>
      </c>
    </row>
    <row r="1878" spans="1:10" x14ac:dyDescent="0.2">
      <c r="A1878">
        <v>227001463814</v>
      </c>
      <c r="B1878" t="s">
        <v>4444</v>
      </c>
      <c r="C1878" t="s">
        <v>4445</v>
      </c>
      <c r="D1878">
        <v>1.99</v>
      </c>
      <c r="F1878" t="str">
        <f t="shared" si="145"/>
        <v>No</v>
      </c>
      <c r="G1878" t="str">
        <f t="shared" si="146"/>
        <v/>
      </c>
      <c r="H1878" t="str">
        <f t="shared" si="147"/>
        <v>—</v>
      </c>
      <c r="I1878" t="str">
        <f t="shared" si="148"/>
        <v>Below thresholds</v>
      </c>
      <c r="J1878" t="str">
        <f t="shared" si="149"/>
        <v/>
      </c>
    </row>
    <row r="1879" spans="1:10" x14ac:dyDescent="0.2">
      <c r="A1879">
        <v>227001463965</v>
      </c>
      <c r="B1879" t="s">
        <v>4446</v>
      </c>
      <c r="C1879" t="s">
        <v>4447</v>
      </c>
      <c r="D1879">
        <v>1.99</v>
      </c>
      <c r="F1879" t="str">
        <f t="shared" si="145"/>
        <v>No</v>
      </c>
      <c r="G1879" t="str">
        <f t="shared" si="146"/>
        <v/>
      </c>
      <c r="H1879" t="str">
        <f t="shared" si="147"/>
        <v>—</v>
      </c>
      <c r="I1879" t="str">
        <f t="shared" si="148"/>
        <v>Below thresholds</v>
      </c>
      <c r="J1879" t="str">
        <f t="shared" si="149"/>
        <v/>
      </c>
    </row>
    <row r="1880" spans="1:10" x14ac:dyDescent="0.2">
      <c r="A1880">
        <v>227001464124</v>
      </c>
      <c r="B1880" t="s">
        <v>4448</v>
      </c>
      <c r="C1880" t="s">
        <v>4449</v>
      </c>
      <c r="D1880">
        <v>1.99</v>
      </c>
      <c r="F1880" t="str">
        <f t="shared" si="145"/>
        <v>No</v>
      </c>
      <c r="G1880" t="str">
        <f t="shared" si="146"/>
        <v/>
      </c>
      <c r="H1880" t="str">
        <f t="shared" si="147"/>
        <v>—</v>
      </c>
      <c r="I1880" t="str">
        <f t="shared" si="148"/>
        <v>Below thresholds</v>
      </c>
      <c r="J1880" t="str">
        <f t="shared" si="149"/>
        <v/>
      </c>
    </row>
    <row r="1881" spans="1:10" x14ac:dyDescent="0.2">
      <c r="A1881">
        <v>227001464292</v>
      </c>
      <c r="B1881" t="s">
        <v>4450</v>
      </c>
      <c r="C1881" t="s">
        <v>4451</v>
      </c>
      <c r="D1881">
        <v>1.99</v>
      </c>
      <c r="F1881" t="str">
        <f t="shared" si="145"/>
        <v>No</v>
      </c>
      <c r="G1881" t="str">
        <f t="shared" si="146"/>
        <v/>
      </c>
      <c r="H1881" t="str">
        <f t="shared" si="147"/>
        <v>—</v>
      </c>
      <c r="I1881" t="str">
        <f t="shared" si="148"/>
        <v>Below thresholds</v>
      </c>
      <c r="J1881" t="str">
        <f t="shared" si="149"/>
        <v/>
      </c>
    </row>
    <row r="1882" spans="1:10" x14ac:dyDescent="0.2">
      <c r="A1882">
        <v>227001464418</v>
      </c>
      <c r="B1882" t="s">
        <v>4452</v>
      </c>
      <c r="C1882" t="s">
        <v>4453</v>
      </c>
      <c r="D1882">
        <v>1.99</v>
      </c>
      <c r="F1882" t="str">
        <f t="shared" si="145"/>
        <v>No</v>
      </c>
      <c r="G1882" t="str">
        <f t="shared" si="146"/>
        <v/>
      </c>
      <c r="H1882" t="str">
        <f t="shared" si="147"/>
        <v>—</v>
      </c>
      <c r="I1882" t="str">
        <f t="shared" si="148"/>
        <v>Below thresholds</v>
      </c>
      <c r="J1882" t="str">
        <f t="shared" si="149"/>
        <v/>
      </c>
    </row>
    <row r="1883" spans="1:10" x14ac:dyDescent="0.2">
      <c r="A1883">
        <v>227001668927</v>
      </c>
      <c r="B1883" t="s">
        <v>4454</v>
      </c>
      <c r="C1883" t="s">
        <v>4455</v>
      </c>
      <c r="D1883">
        <v>1.69</v>
      </c>
      <c r="F1883" t="str">
        <f t="shared" si="145"/>
        <v>No</v>
      </c>
      <c r="G1883" t="str">
        <f t="shared" si="146"/>
        <v/>
      </c>
      <c r="H1883" t="str">
        <f t="shared" si="147"/>
        <v>—</v>
      </c>
      <c r="I1883" t="str">
        <f t="shared" si="148"/>
        <v>Below thresholds</v>
      </c>
      <c r="J1883" t="str">
        <f t="shared" si="149"/>
        <v/>
      </c>
    </row>
    <row r="1884" spans="1:10" x14ac:dyDescent="0.2">
      <c r="A1884">
        <v>227001668985</v>
      </c>
      <c r="B1884" t="s">
        <v>4456</v>
      </c>
      <c r="C1884" t="s">
        <v>4457</v>
      </c>
      <c r="D1884">
        <v>1.79</v>
      </c>
      <c r="F1884" t="str">
        <f t="shared" si="145"/>
        <v>No</v>
      </c>
      <c r="G1884" t="str">
        <f t="shared" si="146"/>
        <v/>
      </c>
      <c r="H1884" t="str">
        <f t="shared" si="147"/>
        <v>—</v>
      </c>
      <c r="I1884" t="str">
        <f t="shared" si="148"/>
        <v>Below thresholds</v>
      </c>
      <c r="J1884" t="str">
        <f t="shared" si="149"/>
        <v/>
      </c>
    </row>
    <row r="1885" spans="1:10" x14ac:dyDescent="0.2">
      <c r="A1885">
        <v>227001669015</v>
      </c>
      <c r="B1885" t="s">
        <v>4458</v>
      </c>
      <c r="C1885" t="s">
        <v>4459</v>
      </c>
      <c r="D1885">
        <v>1.99</v>
      </c>
      <c r="F1885" t="str">
        <f t="shared" si="145"/>
        <v>No</v>
      </c>
      <c r="G1885" t="str">
        <f t="shared" si="146"/>
        <v/>
      </c>
      <c r="H1885" t="str">
        <f t="shared" si="147"/>
        <v>—</v>
      </c>
      <c r="I1885" t="str">
        <f t="shared" si="148"/>
        <v>Below thresholds</v>
      </c>
      <c r="J1885" t="str">
        <f t="shared" si="149"/>
        <v/>
      </c>
    </row>
    <row r="1886" spans="1:10" x14ac:dyDescent="0.2">
      <c r="A1886">
        <v>227001669046</v>
      </c>
      <c r="B1886" t="s">
        <v>4460</v>
      </c>
      <c r="C1886" t="s">
        <v>4461</v>
      </c>
      <c r="D1886">
        <v>2.09</v>
      </c>
      <c r="F1886" t="str">
        <f t="shared" si="145"/>
        <v>No</v>
      </c>
      <c r="G1886" t="str">
        <f t="shared" si="146"/>
        <v/>
      </c>
      <c r="H1886" t="str">
        <f t="shared" si="147"/>
        <v>—</v>
      </c>
      <c r="I1886" t="str">
        <f t="shared" si="148"/>
        <v>Below thresholds</v>
      </c>
      <c r="J1886" t="str">
        <f t="shared" si="149"/>
        <v/>
      </c>
    </row>
    <row r="1887" spans="1:10" x14ac:dyDescent="0.2">
      <c r="A1887">
        <v>227001669081</v>
      </c>
      <c r="B1887" t="s">
        <v>4462</v>
      </c>
      <c r="C1887" t="s">
        <v>4463</v>
      </c>
      <c r="D1887">
        <v>2.99</v>
      </c>
      <c r="F1887" t="str">
        <f t="shared" si="145"/>
        <v>No</v>
      </c>
      <c r="G1887" t="str">
        <f t="shared" si="146"/>
        <v/>
      </c>
      <c r="H1887" t="str">
        <f t="shared" si="147"/>
        <v>—</v>
      </c>
      <c r="I1887" t="str">
        <f t="shared" si="148"/>
        <v>Below thresholds</v>
      </c>
      <c r="J1887" t="str">
        <f t="shared" si="149"/>
        <v/>
      </c>
    </row>
    <row r="1888" spans="1:10" x14ac:dyDescent="0.2">
      <c r="A1888">
        <v>227001669112</v>
      </c>
      <c r="B1888" t="s">
        <v>4464</v>
      </c>
      <c r="C1888" t="s">
        <v>4465</v>
      </c>
      <c r="D1888">
        <v>2.29</v>
      </c>
      <c r="F1888" t="str">
        <f t="shared" si="145"/>
        <v>No</v>
      </c>
      <c r="G1888" t="str">
        <f t="shared" si="146"/>
        <v/>
      </c>
      <c r="H1888" t="str">
        <f t="shared" si="147"/>
        <v>—</v>
      </c>
      <c r="I1888" t="str">
        <f t="shared" si="148"/>
        <v>Below thresholds</v>
      </c>
      <c r="J1888" t="str">
        <f t="shared" si="149"/>
        <v/>
      </c>
    </row>
    <row r="1889" spans="1:10" x14ac:dyDescent="0.2">
      <c r="A1889">
        <v>227001669243</v>
      </c>
      <c r="B1889" t="s">
        <v>4466</v>
      </c>
      <c r="C1889" t="s">
        <v>4467</v>
      </c>
      <c r="D1889">
        <v>2.99</v>
      </c>
      <c r="F1889" t="str">
        <f t="shared" si="145"/>
        <v>No</v>
      </c>
      <c r="G1889" t="str">
        <f t="shared" si="146"/>
        <v/>
      </c>
      <c r="H1889" t="str">
        <f t="shared" si="147"/>
        <v>—</v>
      </c>
      <c r="I1889" t="str">
        <f t="shared" si="148"/>
        <v>Below thresholds</v>
      </c>
      <c r="J1889" t="str">
        <f t="shared" si="149"/>
        <v/>
      </c>
    </row>
    <row r="1890" spans="1:10" x14ac:dyDescent="0.2">
      <c r="A1890">
        <v>227001669364</v>
      </c>
      <c r="B1890" t="s">
        <v>4468</v>
      </c>
      <c r="C1890" t="s">
        <v>4469</v>
      </c>
      <c r="D1890">
        <v>1.99</v>
      </c>
      <c r="F1890" t="str">
        <f t="shared" si="145"/>
        <v>No</v>
      </c>
      <c r="G1890" t="str">
        <f t="shared" si="146"/>
        <v/>
      </c>
      <c r="H1890" t="str">
        <f t="shared" si="147"/>
        <v>—</v>
      </c>
      <c r="I1890" t="str">
        <f t="shared" si="148"/>
        <v>Below thresholds</v>
      </c>
      <c r="J1890" t="str">
        <f t="shared" si="149"/>
        <v/>
      </c>
    </row>
    <row r="1891" spans="1:10" x14ac:dyDescent="0.2">
      <c r="A1891">
        <v>227001669427</v>
      </c>
      <c r="B1891" t="s">
        <v>4470</v>
      </c>
      <c r="C1891" t="s">
        <v>4471</v>
      </c>
      <c r="D1891">
        <v>2.59</v>
      </c>
      <c r="F1891" t="str">
        <f t="shared" si="145"/>
        <v>No</v>
      </c>
      <c r="G1891" t="str">
        <f t="shared" si="146"/>
        <v/>
      </c>
      <c r="H1891" t="str">
        <f t="shared" si="147"/>
        <v>—</v>
      </c>
      <c r="I1891" t="str">
        <f t="shared" si="148"/>
        <v>Below thresholds</v>
      </c>
      <c r="J1891" t="str">
        <f t="shared" si="149"/>
        <v/>
      </c>
    </row>
    <row r="1892" spans="1:10" x14ac:dyDescent="0.2">
      <c r="A1892">
        <v>227001669523</v>
      </c>
      <c r="B1892" t="s">
        <v>4472</v>
      </c>
      <c r="C1892" t="s">
        <v>4473</v>
      </c>
      <c r="D1892">
        <v>2.99</v>
      </c>
      <c r="F1892" t="str">
        <f t="shared" si="145"/>
        <v>No</v>
      </c>
      <c r="G1892" t="str">
        <f t="shared" si="146"/>
        <v/>
      </c>
      <c r="H1892" t="str">
        <f t="shared" si="147"/>
        <v>—</v>
      </c>
      <c r="I1892" t="str">
        <f t="shared" si="148"/>
        <v>Below thresholds</v>
      </c>
      <c r="J1892" t="str">
        <f t="shared" si="149"/>
        <v/>
      </c>
    </row>
    <row r="1893" spans="1:10" x14ac:dyDescent="0.2">
      <c r="A1893">
        <v>227001669704</v>
      </c>
      <c r="B1893" t="s">
        <v>4474</v>
      </c>
      <c r="C1893" t="s">
        <v>4475</v>
      </c>
      <c r="D1893">
        <v>2.99</v>
      </c>
      <c r="F1893" t="str">
        <f t="shared" si="145"/>
        <v>No</v>
      </c>
      <c r="G1893" t="str">
        <f t="shared" si="146"/>
        <v/>
      </c>
      <c r="H1893" t="str">
        <f t="shared" si="147"/>
        <v>—</v>
      </c>
      <c r="I1893" t="str">
        <f t="shared" si="148"/>
        <v>Below thresholds</v>
      </c>
      <c r="J1893" t="str">
        <f t="shared" si="149"/>
        <v/>
      </c>
    </row>
    <row r="1894" spans="1:10" x14ac:dyDescent="0.2">
      <c r="A1894">
        <v>227001670039</v>
      </c>
      <c r="B1894" t="s">
        <v>4476</v>
      </c>
      <c r="C1894" t="s">
        <v>4477</v>
      </c>
      <c r="D1894">
        <v>3.99</v>
      </c>
      <c r="F1894" t="str">
        <f t="shared" si="145"/>
        <v>No</v>
      </c>
      <c r="G1894" t="str">
        <f t="shared" si="146"/>
        <v/>
      </c>
      <c r="H1894" t="str">
        <f t="shared" si="147"/>
        <v>—</v>
      </c>
      <c r="I1894" t="str">
        <f t="shared" si="148"/>
        <v>Below thresholds</v>
      </c>
      <c r="J1894" t="str">
        <f t="shared" si="149"/>
        <v/>
      </c>
    </row>
    <row r="1895" spans="1:10" x14ac:dyDescent="0.2">
      <c r="A1895">
        <v>227001670234</v>
      </c>
      <c r="B1895" t="s">
        <v>4478</v>
      </c>
      <c r="C1895" t="s">
        <v>4479</v>
      </c>
      <c r="D1895">
        <v>2.99</v>
      </c>
      <c r="F1895" t="str">
        <f t="shared" si="145"/>
        <v>No</v>
      </c>
      <c r="G1895" t="str">
        <f t="shared" si="146"/>
        <v/>
      </c>
      <c r="H1895" t="str">
        <f t="shared" si="147"/>
        <v>—</v>
      </c>
      <c r="I1895" t="str">
        <f t="shared" si="148"/>
        <v>Below thresholds</v>
      </c>
      <c r="J1895" t="str">
        <f t="shared" si="149"/>
        <v/>
      </c>
    </row>
    <row r="1896" spans="1:10" x14ac:dyDescent="0.2">
      <c r="A1896">
        <v>227001670425</v>
      </c>
      <c r="B1896" t="s">
        <v>4480</v>
      </c>
      <c r="C1896" t="s">
        <v>4481</v>
      </c>
      <c r="D1896">
        <v>2.4900000000000002</v>
      </c>
      <c r="F1896" t="str">
        <f t="shared" si="145"/>
        <v>No</v>
      </c>
      <c r="G1896" t="str">
        <f t="shared" si="146"/>
        <v/>
      </c>
      <c r="H1896" t="str">
        <f t="shared" si="147"/>
        <v>—</v>
      </c>
      <c r="I1896" t="str">
        <f t="shared" si="148"/>
        <v>Below thresholds</v>
      </c>
      <c r="J1896" t="str">
        <f t="shared" si="149"/>
        <v/>
      </c>
    </row>
    <row r="1897" spans="1:10" x14ac:dyDescent="0.2">
      <c r="A1897">
        <v>227001670527</v>
      </c>
      <c r="B1897" t="s">
        <v>4482</v>
      </c>
      <c r="C1897" t="s">
        <v>4483</v>
      </c>
      <c r="D1897">
        <v>4.29</v>
      </c>
      <c r="F1897" t="str">
        <f t="shared" si="145"/>
        <v>No</v>
      </c>
      <c r="G1897" t="str">
        <f t="shared" si="146"/>
        <v/>
      </c>
      <c r="H1897" t="str">
        <f t="shared" si="147"/>
        <v>—</v>
      </c>
      <c r="I1897" t="str">
        <f t="shared" si="148"/>
        <v>Below thresholds</v>
      </c>
      <c r="J1897" t="str">
        <f t="shared" si="149"/>
        <v/>
      </c>
    </row>
    <row r="1898" spans="1:10" x14ac:dyDescent="0.2">
      <c r="A1898">
        <v>227001670726</v>
      </c>
      <c r="B1898" t="s">
        <v>4484</v>
      </c>
      <c r="C1898" t="s">
        <v>4485</v>
      </c>
      <c r="D1898">
        <v>1.79</v>
      </c>
      <c r="F1898" t="str">
        <f t="shared" si="145"/>
        <v>No</v>
      </c>
      <c r="G1898" t="str">
        <f t="shared" si="146"/>
        <v/>
      </c>
      <c r="H1898" t="str">
        <f t="shared" si="147"/>
        <v>—</v>
      </c>
      <c r="I1898" t="str">
        <f t="shared" si="148"/>
        <v>Below thresholds</v>
      </c>
      <c r="J1898" t="str">
        <f t="shared" si="149"/>
        <v/>
      </c>
    </row>
    <row r="1899" spans="1:10" x14ac:dyDescent="0.2">
      <c r="A1899">
        <v>227001671419</v>
      </c>
      <c r="B1899" t="s">
        <v>4486</v>
      </c>
      <c r="C1899" t="s">
        <v>4487</v>
      </c>
      <c r="D1899">
        <v>2.09</v>
      </c>
      <c r="F1899" t="str">
        <f t="shared" si="145"/>
        <v>No</v>
      </c>
      <c r="G1899" t="str">
        <f t="shared" si="146"/>
        <v/>
      </c>
      <c r="H1899" t="str">
        <f t="shared" si="147"/>
        <v>—</v>
      </c>
      <c r="I1899" t="str">
        <f t="shared" si="148"/>
        <v>Below thresholds</v>
      </c>
      <c r="J1899" t="str">
        <f t="shared" si="149"/>
        <v/>
      </c>
    </row>
    <row r="1900" spans="1:10" x14ac:dyDescent="0.2">
      <c r="A1900">
        <v>227001671933</v>
      </c>
      <c r="B1900" t="s">
        <v>4488</v>
      </c>
      <c r="C1900" t="s">
        <v>4489</v>
      </c>
      <c r="D1900">
        <v>1.99</v>
      </c>
      <c r="F1900" t="str">
        <f t="shared" si="145"/>
        <v>No</v>
      </c>
      <c r="G1900" t="str">
        <f t="shared" si="146"/>
        <v/>
      </c>
      <c r="H1900" t="str">
        <f t="shared" si="147"/>
        <v>—</v>
      </c>
      <c r="I1900" t="str">
        <f t="shared" si="148"/>
        <v>Below thresholds</v>
      </c>
      <c r="J1900" t="str">
        <f t="shared" si="149"/>
        <v/>
      </c>
    </row>
    <row r="1901" spans="1:10" x14ac:dyDescent="0.2">
      <c r="A1901">
        <v>227001672541</v>
      </c>
      <c r="B1901" t="s">
        <v>305</v>
      </c>
      <c r="C1901" t="s">
        <v>4490</v>
      </c>
      <c r="D1901">
        <v>4.99</v>
      </c>
      <c r="F1901" t="str">
        <f t="shared" si="145"/>
        <v>No</v>
      </c>
      <c r="G1901" t="str">
        <f t="shared" si="146"/>
        <v/>
      </c>
      <c r="H1901" t="str">
        <f t="shared" si="147"/>
        <v>—</v>
      </c>
      <c r="I1901" t="str">
        <f t="shared" si="148"/>
        <v>Below thresholds</v>
      </c>
      <c r="J1901" t="str">
        <f t="shared" si="149"/>
        <v/>
      </c>
    </row>
    <row r="1902" spans="1:10" x14ac:dyDescent="0.2">
      <c r="A1902">
        <v>227001673262</v>
      </c>
      <c r="B1902" t="s">
        <v>4491</v>
      </c>
      <c r="C1902" t="s">
        <v>4492</v>
      </c>
      <c r="D1902">
        <v>2.99</v>
      </c>
      <c r="F1902" t="str">
        <f t="shared" si="145"/>
        <v>No</v>
      </c>
      <c r="G1902" t="str">
        <f t="shared" si="146"/>
        <v/>
      </c>
      <c r="H1902" t="str">
        <f t="shared" si="147"/>
        <v>—</v>
      </c>
      <c r="I1902" t="str">
        <f t="shared" si="148"/>
        <v>Below thresholds</v>
      </c>
      <c r="J1902" t="str">
        <f t="shared" si="149"/>
        <v/>
      </c>
    </row>
    <row r="1903" spans="1:10" x14ac:dyDescent="0.2">
      <c r="A1903">
        <v>227001673688</v>
      </c>
      <c r="B1903" t="s">
        <v>306</v>
      </c>
      <c r="C1903" t="s">
        <v>4493</v>
      </c>
      <c r="D1903">
        <v>2.99</v>
      </c>
      <c r="F1903" t="str">
        <f t="shared" si="145"/>
        <v>No</v>
      </c>
      <c r="G1903" t="str">
        <f t="shared" si="146"/>
        <v/>
      </c>
      <c r="H1903" t="str">
        <f t="shared" si="147"/>
        <v>—</v>
      </c>
      <c r="I1903" t="str">
        <f t="shared" si="148"/>
        <v>Below thresholds</v>
      </c>
      <c r="J1903" t="str">
        <f t="shared" si="149"/>
        <v/>
      </c>
    </row>
    <row r="1904" spans="1:10" x14ac:dyDescent="0.2">
      <c r="A1904">
        <v>227001674140</v>
      </c>
      <c r="B1904" t="s">
        <v>4494</v>
      </c>
      <c r="C1904" t="s">
        <v>4495</v>
      </c>
      <c r="D1904">
        <v>1.99</v>
      </c>
      <c r="F1904" t="str">
        <f t="shared" si="145"/>
        <v>No</v>
      </c>
      <c r="G1904" t="str">
        <f t="shared" si="146"/>
        <v/>
      </c>
      <c r="H1904" t="str">
        <f t="shared" si="147"/>
        <v>—</v>
      </c>
      <c r="I1904" t="str">
        <f t="shared" si="148"/>
        <v>Below thresholds</v>
      </c>
      <c r="J1904" t="str">
        <f t="shared" si="149"/>
        <v/>
      </c>
    </row>
    <row r="1905" spans="1:10" x14ac:dyDescent="0.2">
      <c r="A1905">
        <v>227001674566</v>
      </c>
      <c r="B1905" t="s">
        <v>4496</v>
      </c>
      <c r="C1905" t="s">
        <v>4497</v>
      </c>
      <c r="D1905">
        <v>1.99</v>
      </c>
      <c r="F1905" t="str">
        <f t="shared" si="145"/>
        <v>No</v>
      </c>
      <c r="G1905" t="str">
        <f t="shared" si="146"/>
        <v/>
      </c>
      <c r="H1905" t="str">
        <f t="shared" si="147"/>
        <v>—</v>
      </c>
      <c r="I1905" t="str">
        <f t="shared" si="148"/>
        <v>Below thresholds</v>
      </c>
      <c r="J1905" t="str">
        <f t="shared" si="149"/>
        <v/>
      </c>
    </row>
    <row r="1906" spans="1:10" x14ac:dyDescent="0.2">
      <c r="A1906">
        <v>227001674985</v>
      </c>
      <c r="B1906" t="s">
        <v>4498</v>
      </c>
      <c r="C1906" t="s">
        <v>4499</v>
      </c>
      <c r="D1906">
        <v>2.25</v>
      </c>
      <c r="F1906" t="str">
        <f t="shared" si="145"/>
        <v>No</v>
      </c>
      <c r="G1906" t="str">
        <f t="shared" si="146"/>
        <v/>
      </c>
      <c r="H1906" t="str">
        <f t="shared" si="147"/>
        <v>—</v>
      </c>
      <c r="I1906" t="str">
        <f t="shared" si="148"/>
        <v>Below thresholds</v>
      </c>
      <c r="J1906" t="str">
        <f t="shared" si="149"/>
        <v/>
      </c>
    </row>
    <row r="1907" spans="1:10" x14ac:dyDescent="0.2">
      <c r="A1907">
        <v>227001675380</v>
      </c>
      <c r="B1907" t="s">
        <v>315</v>
      </c>
      <c r="C1907" t="s">
        <v>4500</v>
      </c>
      <c r="D1907">
        <v>1.99</v>
      </c>
      <c r="F1907" t="str">
        <f t="shared" si="145"/>
        <v>No</v>
      </c>
      <c r="G1907" t="str">
        <f t="shared" si="146"/>
        <v/>
      </c>
      <c r="H1907" t="str">
        <f t="shared" si="147"/>
        <v>—</v>
      </c>
      <c r="I1907" t="str">
        <f t="shared" si="148"/>
        <v>Below thresholds</v>
      </c>
      <c r="J1907" t="str">
        <f t="shared" si="149"/>
        <v/>
      </c>
    </row>
    <row r="1908" spans="1:10" x14ac:dyDescent="0.2">
      <c r="A1908">
        <v>227001675771</v>
      </c>
      <c r="B1908" t="s">
        <v>4501</v>
      </c>
      <c r="C1908" t="s">
        <v>4502</v>
      </c>
      <c r="D1908">
        <v>3</v>
      </c>
      <c r="F1908" t="str">
        <f t="shared" si="145"/>
        <v>No</v>
      </c>
      <c r="G1908" t="str">
        <f t="shared" si="146"/>
        <v/>
      </c>
      <c r="H1908" t="str">
        <f t="shared" si="147"/>
        <v>—</v>
      </c>
      <c r="I1908" t="str">
        <f t="shared" si="148"/>
        <v>Below thresholds</v>
      </c>
      <c r="J1908" t="str">
        <f t="shared" si="149"/>
        <v/>
      </c>
    </row>
    <row r="1909" spans="1:10" x14ac:dyDescent="0.2">
      <c r="A1909">
        <v>227001676176</v>
      </c>
      <c r="B1909" t="s">
        <v>4503</v>
      </c>
      <c r="C1909" t="s">
        <v>4504</v>
      </c>
      <c r="D1909">
        <v>1.5</v>
      </c>
      <c r="F1909" t="str">
        <f t="shared" si="145"/>
        <v>No</v>
      </c>
      <c r="G1909" t="str">
        <f t="shared" si="146"/>
        <v/>
      </c>
      <c r="H1909" t="str">
        <f t="shared" si="147"/>
        <v>—</v>
      </c>
      <c r="I1909" t="str">
        <f t="shared" si="148"/>
        <v>Below thresholds</v>
      </c>
      <c r="J1909" t="str">
        <f t="shared" si="149"/>
        <v/>
      </c>
    </row>
    <row r="1910" spans="1:10" x14ac:dyDescent="0.2">
      <c r="A1910">
        <v>227001676657</v>
      </c>
      <c r="B1910" t="s">
        <v>4505</v>
      </c>
      <c r="C1910" t="s">
        <v>4506</v>
      </c>
      <c r="D1910">
        <v>2.59</v>
      </c>
      <c r="F1910" t="str">
        <f t="shared" si="145"/>
        <v>No</v>
      </c>
      <c r="G1910" t="str">
        <f t="shared" si="146"/>
        <v/>
      </c>
      <c r="H1910" t="str">
        <f t="shared" si="147"/>
        <v>—</v>
      </c>
      <c r="I1910" t="str">
        <f t="shared" si="148"/>
        <v>Below thresholds</v>
      </c>
      <c r="J1910" t="str">
        <f t="shared" si="149"/>
        <v/>
      </c>
    </row>
    <row r="1911" spans="1:10" x14ac:dyDescent="0.2">
      <c r="A1911">
        <v>227001677536</v>
      </c>
      <c r="B1911" t="s">
        <v>4507</v>
      </c>
      <c r="C1911" t="s">
        <v>4508</v>
      </c>
      <c r="D1911">
        <v>1.69</v>
      </c>
      <c r="F1911" t="str">
        <f t="shared" si="145"/>
        <v>No</v>
      </c>
      <c r="G1911" t="str">
        <f t="shared" si="146"/>
        <v/>
      </c>
      <c r="H1911" t="str">
        <f t="shared" si="147"/>
        <v>—</v>
      </c>
      <c r="I1911" t="str">
        <f t="shared" si="148"/>
        <v>Below thresholds</v>
      </c>
      <c r="J1911" t="str">
        <f t="shared" si="149"/>
        <v/>
      </c>
    </row>
    <row r="1912" spans="1:10" x14ac:dyDescent="0.2">
      <c r="A1912">
        <v>227001678091</v>
      </c>
      <c r="B1912" t="s">
        <v>307</v>
      </c>
      <c r="C1912" t="s">
        <v>4509</v>
      </c>
      <c r="D1912">
        <v>1.99</v>
      </c>
      <c r="F1912" t="str">
        <f t="shared" si="145"/>
        <v>No</v>
      </c>
      <c r="G1912" t="str">
        <f t="shared" si="146"/>
        <v/>
      </c>
      <c r="H1912" t="str">
        <f t="shared" si="147"/>
        <v>—</v>
      </c>
      <c r="I1912" t="str">
        <f t="shared" si="148"/>
        <v>Below thresholds</v>
      </c>
      <c r="J1912" t="str">
        <f t="shared" si="149"/>
        <v/>
      </c>
    </row>
    <row r="1913" spans="1:10" x14ac:dyDescent="0.2">
      <c r="A1913">
        <v>227001678568</v>
      </c>
      <c r="B1913" t="s">
        <v>4510</v>
      </c>
      <c r="C1913" t="s">
        <v>4511</v>
      </c>
      <c r="D1913">
        <v>2.99</v>
      </c>
      <c r="F1913" t="str">
        <f t="shared" si="145"/>
        <v>No</v>
      </c>
      <c r="G1913" t="str">
        <f t="shared" si="146"/>
        <v/>
      </c>
      <c r="H1913" t="str">
        <f t="shared" si="147"/>
        <v>—</v>
      </c>
      <c r="I1913" t="str">
        <f t="shared" si="148"/>
        <v>Below thresholds</v>
      </c>
      <c r="J1913" t="str">
        <f t="shared" si="149"/>
        <v/>
      </c>
    </row>
    <row r="1914" spans="1:10" x14ac:dyDescent="0.2">
      <c r="A1914">
        <v>227001679002</v>
      </c>
      <c r="B1914" t="s">
        <v>4512</v>
      </c>
      <c r="C1914" t="s">
        <v>4513</v>
      </c>
      <c r="D1914">
        <v>4.99</v>
      </c>
      <c r="F1914" t="str">
        <f t="shared" si="145"/>
        <v>No</v>
      </c>
      <c r="G1914" t="str">
        <f t="shared" si="146"/>
        <v/>
      </c>
      <c r="H1914" t="str">
        <f t="shared" si="147"/>
        <v>—</v>
      </c>
      <c r="I1914" t="str">
        <f t="shared" si="148"/>
        <v>Below thresholds</v>
      </c>
      <c r="J1914" t="str">
        <f t="shared" si="149"/>
        <v/>
      </c>
    </row>
    <row r="1915" spans="1:10" x14ac:dyDescent="0.2">
      <c r="A1915">
        <v>227001679511</v>
      </c>
      <c r="B1915" t="s">
        <v>4514</v>
      </c>
      <c r="C1915" t="s">
        <v>4515</v>
      </c>
      <c r="D1915">
        <v>2.79</v>
      </c>
      <c r="F1915" t="str">
        <f t="shared" si="145"/>
        <v>No</v>
      </c>
      <c r="G1915" t="str">
        <f t="shared" si="146"/>
        <v/>
      </c>
      <c r="H1915" t="str">
        <f t="shared" si="147"/>
        <v>—</v>
      </c>
      <c r="I1915" t="str">
        <f t="shared" si="148"/>
        <v>Below thresholds</v>
      </c>
      <c r="J1915" t="str">
        <f t="shared" si="149"/>
        <v/>
      </c>
    </row>
    <row r="1916" spans="1:10" x14ac:dyDescent="0.2">
      <c r="A1916">
        <v>227001679997</v>
      </c>
      <c r="B1916" t="s">
        <v>4516</v>
      </c>
      <c r="C1916" t="s">
        <v>4517</v>
      </c>
      <c r="D1916">
        <v>3.99</v>
      </c>
      <c r="F1916" t="str">
        <f t="shared" si="145"/>
        <v>No</v>
      </c>
      <c r="G1916" t="str">
        <f t="shared" si="146"/>
        <v/>
      </c>
      <c r="H1916" t="str">
        <f t="shared" si="147"/>
        <v>—</v>
      </c>
      <c r="I1916" t="str">
        <f t="shared" si="148"/>
        <v>Below thresholds</v>
      </c>
      <c r="J1916" t="str">
        <f t="shared" si="149"/>
        <v/>
      </c>
    </row>
    <row r="1917" spans="1:10" x14ac:dyDescent="0.2">
      <c r="A1917">
        <v>227001680397</v>
      </c>
      <c r="B1917" t="s">
        <v>4518</v>
      </c>
      <c r="C1917" t="s">
        <v>4519</v>
      </c>
      <c r="D1917">
        <v>1.79</v>
      </c>
      <c r="F1917" t="str">
        <f t="shared" si="145"/>
        <v>No</v>
      </c>
      <c r="G1917" t="str">
        <f t="shared" si="146"/>
        <v/>
      </c>
      <c r="H1917" t="str">
        <f t="shared" si="147"/>
        <v>—</v>
      </c>
      <c r="I1917" t="str">
        <f t="shared" si="148"/>
        <v>Below thresholds</v>
      </c>
      <c r="J1917" t="str">
        <f t="shared" si="149"/>
        <v/>
      </c>
    </row>
    <row r="1918" spans="1:10" x14ac:dyDescent="0.2">
      <c r="A1918">
        <v>227001680490</v>
      </c>
      <c r="B1918" t="s">
        <v>4520</v>
      </c>
      <c r="C1918" t="s">
        <v>4521</v>
      </c>
      <c r="D1918">
        <v>1.79</v>
      </c>
      <c r="F1918" t="str">
        <f t="shared" si="145"/>
        <v>No</v>
      </c>
      <c r="G1918" t="str">
        <f t="shared" si="146"/>
        <v/>
      </c>
      <c r="H1918" t="str">
        <f t="shared" si="147"/>
        <v>—</v>
      </c>
      <c r="I1918" t="str">
        <f t="shared" si="148"/>
        <v>Below thresholds</v>
      </c>
      <c r="J1918" t="str">
        <f t="shared" si="149"/>
        <v/>
      </c>
    </row>
    <row r="1919" spans="1:10" x14ac:dyDescent="0.2">
      <c r="A1919">
        <v>227001680563</v>
      </c>
      <c r="B1919" t="s">
        <v>4522</v>
      </c>
      <c r="C1919" t="s">
        <v>4523</v>
      </c>
      <c r="D1919">
        <v>3.49</v>
      </c>
      <c r="F1919" t="str">
        <f t="shared" si="145"/>
        <v>No</v>
      </c>
      <c r="G1919" t="str">
        <f t="shared" si="146"/>
        <v/>
      </c>
      <c r="H1919" t="str">
        <f t="shared" si="147"/>
        <v>—</v>
      </c>
      <c r="I1919" t="str">
        <f t="shared" si="148"/>
        <v>Below thresholds</v>
      </c>
      <c r="J1919" t="str">
        <f t="shared" si="149"/>
        <v/>
      </c>
    </row>
    <row r="1920" spans="1:10" x14ac:dyDescent="0.2">
      <c r="A1920">
        <v>227001680596</v>
      </c>
      <c r="B1920" t="s">
        <v>4524</v>
      </c>
      <c r="C1920" t="s">
        <v>4525</v>
      </c>
      <c r="D1920">
        <v>2.4900000000000002</v>
      </c>
      <c r="F1920" t="str">
        <f t="shared" si="145"/>
        <v>No</v>
      </c>
      <c r="G1920" t="str">
        <f t="shared" si="146"/>
        <v/>
      </c>
      <c r="H1920" t="str">
        <f t="shared" si="147"/>
        <v>—</v>
      </c>
      <c r="I1920" t="str">
        <f t="shared" si="148"/>
        <v>Below thresholds</v>
      </c>
      <c r="J1920" t="str">
        <f t="shared" si="149"/>
        <v/>
      </c>
    </row>
    <row r="1921" spans="1:10" x14ac:dyDescent="0.2">
      <c r="A1921">
        <v>227001680679</v>
      </c>
      <c r="B1921" t="s">
        <v>4526</v>
      </c>
      <c r="C1921" t="s">
        <v>4527</v>
      </c>
      <c r="D1921">
        <v>1.59</v>
      </c>
      <c r="F1921" t="str">
        <f t="shared" si="145"/>
        <v>No</v>
      </c>
      <c r="G1921" t="str">
        <f t="shared" si="146"/>
        <v/>
      </c>
      <c r="H1921" t="str">
        <f t="shared" si="147"/>
        <v>—</v>
      </c>
      <c r="I1921" t="str">
        <f t="shared" si="148"/>
        <v>Below thresholds</v>
      </c>
      <c r="J1921" t="str">
        <f t="shared" si="149"/>
        <v/>
      </c>
    </row>
    <row r="1922" spans="1:10" x14ac:dyDescent="0.2">
      <c r="A1922">
        <v>227001680782</v>
      </c>
      <c r="B1922" t="s">
        <v>4528</v>
      </c>
      <c r="C1922" t="s">
        <v>4529</v>
      </c>
      <c r="D1922">
        <v>3.85</v>
      </c>
      <c r="F1922" t="str">
        <f t="shared" si="145"/>
        <v>No</v>
      </c>
      <c r="G1922" t="str">
        <f t="shared" si="146"/>
        <v/>
      </c>
      <c r="H1922" t="str">
        <f t="shared" si="147"/>
        <v>—</v>
      </c>
      <c r="I1922" t="str">
        <f t="shared" si="148"/>
        <v>Below thresholds</v>
      </c>
      <c r="J1922" t="str">
        <f t="shared" si="149"/>
        <v/>
      </c>
    </row>
    <row r="1923" spans="1:10" x14ac:dyDescent="0.2">
      <c r="A1923">
        <v>227001680805</v>
      </c>
      <c r="B1923" t="s">
        <v>4530</v>
      </c>
      <c r="C1923" t="s">
        <v>4531</v>
      </c>
      <c r="D1923">
        <v>5.5</v>
      </c>
      <c r="F1923" t="str">
        <f t="shared" si="145"/>
        <v>No</v>
      </c>
      <c r="G1923" t="str">
        <f t="shared" si="146"/>
        <v/>
      </c>
      <c r="H1923" t="str">
        <f t="shared" si="147"/>
        <v>—</v>
      </c>
      <c r="I1923" t="str">
        <f t="shared" si="148"/>
        <v>Below thresholds</v>
      </c>
      <c r="J1923" t="str">
        <f t="shared" si="149"/>
        <v/>
      </c>
    </row>
    <row r="1924" spans="1:10" x14ac:dyDescent="0.2">
      <c r="A1924">
        <v>227001680863</v>
      </c>
      <c r="B1924" t="s">
        <v>4532</v>
      </c>
      <c r="C1924" t="s">
        <v>4533</v>
      </c>
      <c r="D1924">
        <v>1.69</v>
      </c>
      <c r="F1924" t="str">
        <f t="shared" si="145"/>
        <v>No</v>
      </c>
      <c r="G1924" t="str">
        <f t="shared" si="146"/>
        <v/>
      </c>
      <c r="H1924" t="str">
        <f t="shared" si="147"/>
        <v>—</v>
      </c>
      <c r="I1924" t="str">
        <f t="shared" si="148"/>
        <v>Below thresholds</v>
      </c>
      <c r="J1924" t="str">
        <f t="shared" si="149"/>
        <v/>
      </c>
    </row>
    <row r="1925" spans="1:10" x14ac:dyDescent="0.2">
      <c r="A1925">
        <v>227006968522</v>
      </c>
      <c r="B1925" t="s">
        <v>4534</v>
      </c>
      <c r="C1925" t="s">
        <v>4535</v>
      </c>
      <c r="D1925">
        <v>1.99</v>
      </c>
      <c r="F1925" t="str">
        <f t="shared" ref="F1925:F1988" si="150">IF($B1925="","",IF(ISNUMBER(SEARCH("PSA",$B1925)),"Yes","No"))</f>
        <v>No</v>
      </c>
      <c r="G1925" t="str">
        <f t="shared" ref="G1925:G1988" si="151">IF($B1925="","",IF(ISNUMBER(SEARCH("PSA 10",$B1925)),10,IF(ISNUMBER(SEARCH("PSA 9.5",$B1925)),9.5,IF(ISNUMBER(SEARCH("PSA 9",$B1925)),9,IF(ISNUMBER(SEARCH("PSA 8",$B1925)),8,IF(ISNUMBER(SEARCH("PSA",$B1925)),"&lt;9",""))))))</f>
        <v/>
      </c>
      <c r="H1925" t="str">
        <f t="shared" ref="H1925:H1988" si="152">IF($B1925="","",IF($D1925&gt;=100,"TIER 2",IF(OR(ISNUMBER(SEARCH("PSA 10",$B1925)),ISNUMBER(SEARCH("PSA 9.5",$B1925)),ISNUMBER(SEARCH("PSA 9",$B1925))),"TIER 3",IF(AND($D1925&gt;20,N($E1925)&gt;=15),"TIER 1","—"))))</f>
        <v>—</v>
      </c>
      <c r="I1925" t="str">
        <f t="shared" ref="I1925:I1988" si="153">IF($B1925="","",IF($D1925&gt;=100,"Premium $100+ (auto)",IF(OR(ISNUMBER(SEARCH("PSA 10",$B1925)),ISNUMBER(SEARCH("PSA 9.5",$B1925)),ISNUMBER(SEARCH("PSA 9",$B1925))),"Graded PSA 9+ (auto)",IF(AND($D1925&gt;20,N($E1925)&gt;=15),"Hot: $20+ &amp; "&amp;$E1925&amp;"/day",IF($D1925&gt;20,"$20+ — needs velocity check","Below thresholds")))))</f>
        <v>Below thresholds</v>
      </c>
      <c r="J1925" t="str">
        <f t="shared" ref="J1925:J1988" si="154">IF($B1925="","",IF(AND($D1925&gt;20,$D1925&lt;100,NOT(OR(ISNUMBER(SEARCH("PSA 10",$B1925)),ISNUMBER(SEARCH("PSA 9.5",$B1925)),ISNUMBER(SEARCH("PSA 9",$B1925)))),$E1925=""),"YES — pull CardHedger",""))</f>
        <v/>
      </c>
    </row>
    <row r="1926" spans="1:10" x14ac:dyDescent="0.2">
      <c r="A1926">
        <v>227006978583</v>
      </c>
      <c r="B1926" t="s">
        <v>4536</v>
      </c>
      <c r="C1926" t="s">
        <v>4537</v>
      </c>
      <c r="D1926">
        <v>1.99</v>
      </c>
      <c r="F1926" t="str">
        <f t="shared" si="150"/>
        <v>No</v>
      </c>
      <c r="G1926" t="str">
        <f t="shared" si="151"/>
        <v/>
      </c>
      <c r="H1926" t="str">
        <f t="shared" si="152"/>
        <v>—</v>
      </c>
      <c r="I1926" t="str">
        <f t="shared" si="153"/>
        <v>Below thresholds</v>
      </c>
      <c r="J1926" t="str">
        <f t="shared" si="154"/>
        <v/>
      </c>
    </row>
    <row r="1927" spans="1:10" x14ac:dyDescent="0.2">
      <c r="A1927">
        <v>227006980961</v>
      </c>
      <c r="B1927" t="s">
        <v>4538</v>
      </c>
      <c r="C1927" t="s">
        <v>4539</v>
      </c>
      <c r="D1927">
        <v>1.49</v>
      </c>
      <c r="F1927" t="str">
        <f t="shared" si="150"/>
        <v>No</v>
      </c>
      <c r="G1927" t="str">
        <f t="shared" si="151"/>
        <v/>
      </c>
      <c r="H1927" t="str">
        <f t="shared" si="152"/>
        <v>—</v>
      </c>
      <c r="I1927" t="str">
        <f t="shared" si="153"/>
        <v>Below thresholds</v>
      </c>
      <c r="J1927" t="str">
        <f t="shared" si="154"/>
        <v/>
      </c>
    </row>
    <row r="1928" spans="1:10" x14ac:dyDescent="0.2">
      <c r="A1928">
        <v>227006982786</v>
      </c>
      <c r="B1928" t="s">
        <v>4540</v>
      </c>
      <c r="C1928" t="s">
        <v>4541</v>
      </c>
      <c r="D1928">
        <v>1.5</v>
      </c>
      <c r="F1928" t="str">
        <f t="shared" si="150"/>
        <v>No</v>
      </c>
      <c r="G1928" t="str">
        <f t="shared" si="151"/>
        <v/>
      </c>
      <c r="H1928" t="str">
        <f t="shared" si="152"/>
        <v>—</v>
      </c>
      <c r="I1928" t="str">
        <f t="shared" si="153"/>
        <v>Below thresholds</v>
      </c>
      <c r="J1928" t="str">
        <f t="shared" si="154"/>
        <v/>
      </c>
    </row>
    <row r="1929" spans="1:10" x14ac:dyDescent="0.2">
      <c r="A1929">
        <v>227006985580</v>
      </c>
      <c r="B1929" t="s">
        <v>4542</v>
      </c>
      <c r="C1929" t="s">
        <v>4543</v>
      </c>
      <c r="D1929">
        <v>2</v>
      </c>
      <c r="F1929" t="str">
        <f t="shared" si="150"/>
        <v>No</v>
      </c>
      <c r="G1929" t="str">
        <f t="shared" si="151"/>
        <v/>
      </c>
      <c r="H1929" t="str">
        <f t="shared" si="152"/>
        <v>—</v>
      </c>
      <c r="I1929" t="str">
        <f t="shared" si="153"/>
        <v>Below thresholds</v>
      </c>
      <c r="J1929" t="str">
        <f t="shared" si="154"/>
        <v/>
      </c>
    </row>
    <row r="1930" spans="1:10" x14ac:dyDescent="0.2">
      <c r="A1930">
        <v>227006987064</v>
      </c>
      <c r="B1930" t="s">
        <v>4544</v>
      </c>
      <c r="C1930" t="s">
        <v>4545</v>
      </c>
      <c r="D1930">
        <v>1.5</v>
      </c>
      <c r="F1930" t="str">
        <f t="shared" si="150"/>
        <v>No</v>
      </c>
      <c r="G1930" t="str">
        <f t="shared" si="151"/>
        <v/>
      </c>
      <c r="H1930" t="str">
        <f t="shared" si="152"/>
        <v>—</v>
      </c>
      <c r="I1930" t="str">
        <f t="shared" si="153"/>
        <v>Below thresholds</v>
      </c>
      <c r="J1930" t="str">
        <f t="shared" si="154"/>
        <v/>
      </c>
    </row>
    <row r="1931" spans="1:10" x14ac:dyDescent="0.2">
      <c r="A1931">
        <v>227006993910</v>
      </c>
      <c r="B1931" t="s">
        <v>4546</v>
      </c>
      <c r="C1931" t="s">
        <v>4547</v>
      </c>
      <c r="D1931">
        <v>2.59</v>
      </c>
      <c r="F1931" t="str">
        <f t="shared" si="150"/>
        <v>No</v>
      </c>
      <c r="G1931" t="str">
        <f t="shared" si="151"/>
        <v/>
      </c>
      <c r="H1931" t="str">
        <f t="shared" si="152"/>
        <v>—</v>
      </c>
      <c r="I1931" t="str">
        <f t="shared" si="153"/>
        <v>Below thresholds</v>
      </c>
      <c r="J1931" t="str">
        <f t="shared" si="154"/>
        <v/>
      </c>
    </row>
    <row r="1932" spans="1:10" x14ac:dyDescent="0.2">
      <c r="A1932">
        <v>227007000808</v>
      </c>
      <c r="B1932" t="s">
        <v>4548</v>
      </c>
      <c r="C1932" t="s">
        <v>4549</v>
      </c>
      <c r="D1932">
        <v>3.99</v>
      </c>
      <c r="F1932" t="str">
        <f t="shared" si="150"/>
        <v>No</v>
      </c>
      <c r="G1932" t="str">
        <f t="shared" si="151"/>
        <v/>
      </c>
      <c r="H1932" t="str">
        <f t="shared" si="152"/>
        <v>—</v>
      </c>
      <c r="I1932" t="str">
        <f t="shared" si="153"/>
        <v>Below thresholds</v>
      </c>
      <c r="J1932" t="str">
        <f t="shared" si="154"/>
        <v/>
      </c>
    </row>
    <row r="1933" spans="1:10" x14ac:dyDescent="0.2">
      <c r="A1933">
        <v>227007003278</v>
      </c>
      <c r="B1933" t="s">
        <v>4550</v>
      </c>
      <c r="C1933" t="s">
        <v>4551</v>
      </c>
      <c r="D1933">
        <v>1.49</v>
      </c>
      <c r="F1933" t="str">
        <f t="shared" si="150"/>
        <v>No</v>
      </c>
      <c r="G1933" t="str">
        <f t="shared" si="151"/>
        <v/>
      </c>
      <c r="H1933" t="str">
        <f t="shared" si="152"/>
        <v>—</v>
      </c>
      <c r="I1933" t="str">
        <f t="shared" si="153"/>
        <v>Below thresholds</v>
      </c>
      <c r="J1933" t="str">
        <f t="shared" si="154"/>
        <v/>
      </c>
    </row>
    <row r="1934" spans="1:10" x14ac:dyDescent="0.2">
      <c r="A1934">
        <v>227007005097</v>
      </c>
      <c r="B1934" t="s">
        <v>4552</v>
      </c>
      <c r="C1934" t="s">
        <v>4553</v>
      </c>
      <c r="D1934">
        <v>1.49</v>
      </c>
      <c r="F1934" t="str">
        <f t="shared" si="150"/>
        <v>No</v>
      </c>
      <c r="G1934" t="str">
        <f t="shared" si="151"/>
        <v/>
      </c>
      <c r="H1934" t="str">
        <f t="shared" si="152"/>
        <v>—</v>
      </c>
      <c r="I1934" t="str">
        <f t="shared" si="153"/>
        <v>Below thresholds</v>
      </c>
      <c r="J1934" t="str">
        <f t="shared" si="154"/>
        <v/>
      </c>
    </row>
    <row r="1935" spans="1:10" x14ac:dyDescent="0.2">
      <c r="A1935">
        <v>227007006569</v>
      </c>
      <c r="B1935" t="s">
        <v>4554</v>
      </c>
      <c r="C1935" t="s">
        <v>4555</v>
      </c>
      <c r="D1935">
        <v>1.49</v>
      </c>
      <c r="F1935" t="str">
        <f t="shared" si="150"/>
        <v>No</v>
      </c>
      <c r="G1935" t="str">
        <f t="shared" si="151"/>
        <v/>
      </c>
      <c r="H1935" t="str">
        <f t="shared" si="152"/>
        <v>—</v>
      </c>
      <c r="I1935" t="str">
        <f t="shared" si="153"/>
        <v>Below thresholds</v>
      </c>
      <c r="J1935" t="str">
        <f t="shared" si="154"/>
        <v/>
      </c>
    </row>
    <row r="1936" spans="1:10" x14ac:dyDescent="0.2">
      <c r="A1936">
        <v>227007007304</v>
      </c>
      <c r="B1936" t="s">
        <v>4556</v>
      </c>
      <c r="C1936" t="s">
        <v>4557</v>
      </c>
      <c r="D1936">
        <v>2.4900000000000002</v>
      </c>
      <c r="F1936" t="str">
        <f t="shared" si="150"/>
        <v>No</v>
      </c>
      <c r="G1936" t="str">
        <f t="shared" si="151"/>
        <v/>
      </c>
      <c r="H1936" t="str">
        <f t="shared" si="152"/>
        <v>—</v>
      </c>
      <c r="I1936" t="str">
        <f t="shared" si="153"/>
        <v>Below thresholds</v>
      </c>
      <c r="J1936" t="str">
        <f t="shared" si="154"/>
        <v/>
      </c>
    </row>
    <row r="1937" spans="1:10" x14ac:dyDescent="0.2">
      <c r="A1937">
        <v>227007008317</v>
      </c>
      <c r="B1937" t="s">
        <v>4558</v>
      </c>
      <c r="C1937" t="s">
        <v>4559</v>
      </c>
      <c r="D1937">
        <v>2.99</v>
      </c>
      <c r="F1937" t="str">
        <f t="shared" si="150"/>
        <v>No</v>
      </c>
      <c r="G1937" t="str">
        <f t="shared" si="151"/>
        <v/>
      </c>
      <c r="H1937" t="str">
        <f t="shared" si="152"/>
        <v>—</v>
      </c>
      <c r="I1937" t="str">
        <f t="shared" si="153"/>
        <v>Below thresholds</v>
      </c>
      <c r="J1937" t="str">
        <f t="shared" si="154"/>
        <v/>
      </c>
    </row>
    <row r="1938" spans="1:10" x14ac:dyDescent="0.2">
      <c r="A1938">
        <v>227007011826</v>
      </c>
      <c r="B1938" t="s">
        <v>4560</v>
      </c>
      <c r="C1938" t="s">
        <v>4561</v>
      </c>
      <c r="D1938">
        <v>2.99</v>
      </c>
      <c r="F1938" t="str">
        <f t="shared" si="150"/>
        <v>No</v>
      </c>
      <c r="G1938" t="str">
        <f t="shared" si="151"/>
        <v/>
      </c>
      <c r="H1938" t="str">
        <f t="shared" si="152"/>
        <v>—</v>
      </c>
      <c r="I1938" t="str">
        <f t="shared" si="153"/>
        <v>Below thresholds</v>
      </c>
      <c r="J1938" t="str">
        <f t="shared" si="154"/>
        <v/>
      </c>
    </row>
    <row r="1939" spans="1:10" x14ac:dyDescent="0.2">
      <c r="A1939">
        <v>227008359597</v>
      </c>
      <c r="B1939" t="s">
        <v>4562</v>
      </c>
      <c r="C1939" t="s">
        <v>4563</v>
      </c>
      <c r="D1939">
        <v>1.49</v>
      </c>
      <c r="F1939" t="str">
        <f t="shared" si="150"/>
        <v>No</v>
      </c>
      <c r="G1939" t="str">
        <f t="shared" si="151"/>
        <v/>
      </c>
      <c r="H1939" t="str">
        <f t="shared" si="152"/>
        <v>—</v>
      </c>
      <c r="I1939" t="str">
        <f t="shared" si="153"/>
        <v>Below thresholds</v>
      </c>
      <c r="J1939" t="str">
        <f t="shared" si="154"/>
        <v/>
      </c>
    </row>
    <row r="1940" spans="1:10" x14ac:dyDescent="0.2">
      <c r="A1940">
        <v>227008359638</v>
      </c>
      <c r="B1940" t="s">
        <v>4564</v>
      </c>
      <c r="C1940" t="s">
        <v>4565</v>
      </c>
      <c r="D1940">
        <v>1.49</v>
      </c>
      <c r="F1940" t="str">
        <f t="shared" si="150"/>
        <v>No</v>
      </c>
      <c r="G1940" t="str">
        <f t="shared" si="151"/>
        <v/>
      </c>
      <c r="H1940" t="str">
        <f t="shared" si="152"/>
        <v>—</v>
      </c>
      <c r="I1940" t="str">
        <f t="shared" si="153"/>
        <v>Below thresholds</v>
      </c>
      <c r="J1940" t="str">
        <f t="shared" si="154"/>
        <v/>
      </c>
    </row>
    <row r="1941" spans="1:10" x14ac:dyDescent="0.2">
      <c r="A1941">
        <v>227008359664</v>
      </c>
      <c r="B1941" t="s">
        <v>4566</v>
      </c>
      <c r="C1941" t="s">
        <v>4567</v>
      </c>
      <c r="D1941">
        <v>2.95</v>
      </c>
      <c r="F1941" t="str">
        <f t="shared" si="150"/>
        <v>No</v>
      </c>
      <c r="G1941" t="str">
        <f t="shared" si="151"/>
        <v/>
      </c>
      <c r="H1941" t="str">
        <f t="shared" si="152"/>
        <v>—</v>
      </c>
      <c r="I1941" t="str">
        <f t="shared" si="153"/>
        <v>Below thresholds</v>
      </c>
      <c r="J1941" t="str">
        <f t="shared" si="154"/>
        <v/>
      </c>
    </row>
    <row r="1942" spans="1:10" x14ac:dyDescent="0.2">
      <c r="A1942">
        <v>227008359680</v>
      </c>
      <c r="B1942" t="s">
        <v>4568</v>
      </c>
      <c r="C1942" t="s">
        <v>4569</v>
      </c>
      <c r="D1942">
        <v>1.25</v>
      </c>
      <c r="F1942" t="str">
        <f t="shared" si="150"/>
        <v>No</v>
      </c>
      <c r="G1942" t="str">
        <f t="shared" si="151"/>
        <v/>
      </c>
      <c r="H1942" t="str">
        <f t="shared" si="152"/>
        <v>—</v>
      </c>
      <c r="I1942" t="str">
        <f t="shared" si="153"/>
        <v>Below thresholds</v>
      </c>
      <c r="J1942" t="str">
        <f t="shared" si="154"/>
        <v/>
      </c>
    </row>
    <row r="1943" spans="1:10" x14ac:dyDescent="0.2">
      <c r="A1943">
        <v>227008359715</v>
      </c>
      <c r="B1943" t="s">
        <v>4570</v>
      </c>
      <c r="C1943" t="s">
        <v>4571</v>
      </c>
      <c r="D1943">
        <v>1.49</v>
      </c>
      <c r="F1943" t="str">
        <f t="shared" si="150"/>
        <v>No</v>
      </c>
      <c r="G1943" t="str">
        <f t="shared" si="151"/>
        <v/>
      </c>
      <c r="H1943" t="str">
        <f t="shared" si="152"/>
        <v>—</v>
      </c>
      <c r="I1943" t="str">
        <f t="shared" si="153"/>
        <v>Below thresholds</v>
      </c>
      <c r="J1943" t="str">
        <f t="shared" si="154"/>
        <v/>
      </c>
    </row>
    <row r="1944" spans="1:10" x14ac:dyDescent="0.2">
      <c r="A1944">
        <v>227008359726</v>
      </c>
      <c r="B1944" t="s">
        <v>4572</v>
      </c>
      <c r="C1944" t="s">
        <v>4573</v>
      </c>
      <c r="D1944">
        <v>1.59</v>
      </c>
      <c r="F1944" t="str">
        <f t="shared" si="150"/>
        <v>No</v>
      </c>
      <c r="G1944" t="str">
        <f t="shared" si="151"/>
        <v/>
      </c>
      <c r="H1944" t="str">
        <f t="shared" si="152"/>
        <v>—</v>
      </c>
      <c r="I1944" t="str">
        <f t="shared" si="153"/>
        <v>Below thresholds</v>
      </c>
      <c r="J1944" t="str">
        <f t="shared" si="154"/>
        <v/>
      </c>
    </row>
    <row r="1945" spans="1:10" x14ac:dyDescent="0.2">
      <c r="A1945">
        <v>227008359769</v>
      </c>
      <c r="B1945" t="s">
        <v>4574</v>
      </c>
      <c r="C1945" t="s">
        <v>4575</v>
      </c>
      <c r="D1945">
        <v>1.49</v>
      </c>
      <c r="F1945" t="str">
        <f t="shared" si="150"/>
        <v>No</v>
      </c>
      <c r="G1945" t="str">
        <f t="shared" si="151"/>
        <v/>
      </c>
      <c r="H1945" t="str">
        <f t="shared" si="152"/>
        <v>—</v>
      </c>
      <c r="I1945" t="str">
        <f t="shared" si="153"/>
        <v>Below thresholds</v>
      </c>
      <c r="J1945" t="str">
        <f t="shared" si="154"/>
        <v/>
      </c>
    </row>
    <row r="1946" spans="1:10" x14ac:dyDescent="0.2">
      <c r="A1946">
        <v>227008359783</v>
      </c>
      <c r="B1946" t="s">
        <v>4576</v>
      </c>
      <c r="C1946" t="s">
        <v>4577</v>
      </c>
      <c r="D1946">
        <v>2.65</v>
      </c>
      <c r="F1946" t="str">
        <f t="shared" si="150"/>
        <v>No</v>
      </c>
      <c r="G1946" t="str">
        <f t="shared" si="151"/>
        <v/>
      </c>
      <c r="H1946" t="str">
        <f t="shared" si="152"/>
        <v>—</v>
      </c>
      <c r="I1946" t="str">
        <f t="shared" si="153"/>
        <v>Below thresholds</v>
      </c>
      <c r="J1946" t="str">
        <f t="shared" si="154"/>
        <v/>
      </c>
    </row>
    <row r="1947" spans="1:10" x14ac:dyDescent="0.2">
      <c r="A1947">
        <v>227008359804</v>
      </c>
      <c r="B1947" t="s">
        <v>4578</v>
      </c>
      <c r="C1947" t="s">
        <v>4579</v>
      </c>
      <c r="D1947">
        <v>2.99</v>
      </c>
      <c r="F1947" t="str">
        <f t="shared" si="150"/>
        <v>No</v>
      </c>
      <c r="G1947" t="str">
        <f t="shared" si="151"/>
        <v/>
      </c>
      <c r="H1947" t="str">
        <f t="shared" si="152"/>
        <v>—</v>
      </c>
      <c r="I1947" t="str">
        <f t="shared" si="153"/>
        <v>Below thresholds</v>
      </c>
      <c r="J1947" t="str">
        <f t="shared" si="154"/>
        <v/>
      </c>
    </row>
    <row r="1948" spans="1:10" x14ac:dyDescent="0.2">
      <c r="A1948">
        <v>227008359844</v>
      </c>
      <c r="B1948" t="s">
        <v>4580</v>
      </c>
      <c r="C1948" t="s">
        <v>4581</v>
      </c>
      <c r="D1948">
        <v>3</v>
      </c>
      <c r="F1948" t="str">
        <f t="shared" si="150"/>
        <v>No</v>
      </c>
      <c r="G1948" t="str">
        <f t="shared" si="151"/>
        <v/>
      </c>
      <c r="H1948" t="str">
        <f t="shared" si="152"/>
        <v>—</v>
      </c>
      <c r="I1948" t="str">
        <f t="shared" si="153"/>
        <v>Below thresholds</v>
      </c>
      <c r="J1948" t="str">
        <f t="shared" si="154"/>
        <v/>
      </c>
    </row>
    <row r="1949" spans="1:10" x14ac:dyDescent="0.2">
      <c r="A1949">
        <v>227008359849</v>
      </c>
      <c r="B1949" t="s">
        <v>4582</v>
      </c>
      <c r="C1949" t="s">
        <v>4583</v>
      </c>
      <c r="D1949">
        <v>1.49</v>
      </c>
      <c r="F1949" t="str">
        <f t="shared" si="150"/>
        <v>No</v>
      </c>
      <c r="G1949" t="str">
        <f t="shared" si="151"/>
        <v/>
      </c>
      <c r="H1949" t="str">
        <f t="shared" si="152"/>
        <v>—</v>
      </c>
      <c r="I1949" t="str">
        <f t="shared" si="153"/>
        <v>Below thresholds</v>
      </c>
      <c r="J1949" t="str">
        <f t="shared" si="154"/>
        <v/>
      </c>
    </row>
    <row r="1950" spans="1:10" x14ac:dyDescent="0.2">
      <c r="A1950">
        <v>227008359897</v>
      </c>
      <c r="B1950" t="s">
        <v>4584</v>
      </c>
      <c r="C1950" t="s">
        <v>4585</v>
      </c>
      <c r="D1950">
        <v>1.25</v>
      </c>
      <c r="F1950" t="str">
        <f t="shared" si="150"/>
        <v>No</v>
      </c>
      <c r="G1950" t="str">
        <f t="shared" si="151"/>
        <v/>
      </c>
      <c r="H1950" t="str">
        <f t="shared" si="152"/>
        <v>—</v>
      </c>
      <c r="I1950" t="str">
        <f t="shared" si="153"/>
        <v>Below thresholds</v>
      </c>
      <c r="J1950" t="str">
        <f t="shared" si="154"/>
        <v/>
      </c>
    </row>
    <row r="1951" spans="1:10" x14ac:dyDescent="0.2">
      <c r="A1951">
        <v>227008359910</v>
      </c>
      <c r="B1951" t="s">
        <v>4586</v>
      </c>
      <c r="C1951" t="s">
        <v>4587</v>
      </c>
      <c r="D1951">
        <v>1.25</v>
      </c>
      <c r="F1951" t="str">
        <f t="shared" si="150"/>
        <v>No</v>
      </c>
      <c r="G1951" t="str">
        <f t="shared" si="151"/>
        <v/>
      </c>
      <c r="H1951" t="str">
        <f t="shared" si="152"/>
        <v>—</v>
      </c>
      <c r="I1951" t="str">
        <f t="shared" si="153"/>
        <v>Below thresholds</v>
      </c>
      <c r="J1951" t="str">
        <f t="shared" si="154"/>
        <v/>
      </c>
    </row>
    <row r="1952" spans="1:10" x14ac:dyDescent="0.2">
      <c r="A1952">
        <v>227008359964</v>
      </c>
      <c r="B1952" t="s">
        <v>4588</v>
      </c>
      <c r="C1952" t="s">
        <v>4589</v>
      </c>
      <c r="D1952">
        <v>1.25</v>
      </c>
      <c r="F1952" t="str">
        <f t="shared" si="150"/>
        <v>No</v>
      </c>
      <c r="G1952" t="str">
        <f t="shared" si="151"/>
        <v/>
      </c>
      <c r="H1952" t="str">
        <f t="shared" si="152"/>
        <v>—</v>
      </c>
      <c r="I1952" t="str">
        <f t="shared" si="153"/>
        <v>Below thresholds</v>
      </c>
      <c r="J1952" t="str">
        <f t="shared" si="154"/>
        <v/>
      </c>
    </row>
    <row r="1953" spans="1:10" x14ac:dyDescent="0.2">
      <c r="A1953">
        <v>227008414427</v>
      </c>
      <c r="B1953" t="s">
        <v>4590</v>
      </c>
      <c r="C1953" t="s">
        <v>4591</v>
      </c>
      <c r="D1953">
        <v>1.49</v>
      </c>
      <c r="F1953" t="str">
        <f t="shared" si="150"/>
        <v>No</v>
      </c>
      <c r="G1953" t="str">
        <f t="shared" si="151"/>
        <v/>
      </c>
      <c r="H1953" t="str">
        <f t="shared" si="152"/>
        <v>—</v>
      </c>
      <c r="I1953" t="str">
        <f t="shared" si="153"/>
        <v>Below thresholds</v>
      </c>
      <c r="J1953" t="str">
        <f t="shared" si="154"/>
        <v/>
      </c>
    </row>
    <row r="1954" spans="1:10" x14ac:dyDescent="0.2">
      <c r="A1954">
        <v>227008414431</v>
      </c>
      <c r="B1954" t="s">
        <v>4592</v>
      </c>
      <c r="C1954" t="s">
        <v>4593</v>
      </c>
      <c r="D1954">
        <v>1.59</v>
      </c>
      <c r="F1954" t="str">
        <f t="shared" si="150"/>
        <v>No</v>
      </c>
      <c r="G1954" t="str">
        <f t="shared" si="151"/>
        <v/>
      </c>
      <c r="H1954" t="str">
        <f t="shared" si="152"/>
        <v>—</v>
      </c>
      <c r="I1954" t="str">
        <f t="shared" si="153"/>
        <v>Below thresholds</v>
      </c>
      <c r="J1954" t="str">
        <f t="shared" si="154"/>
        <v/>
      </c>
    </row>
    <row r="1955" spans="1:10" x14ac:dyDescent="0.2">
      <c r="A1955">
        <v>227008414511</v>
      </c>
      <c r="B1955" t="s">
        <v>4594</v>
      </c>
      <c r="C1955" t="s">
        <v>4595</v>
      </c>
      <c r="D1955">
        <v>1.49</v>
      </c>
      <c r="F1955" t="str">
        <f t="shared" si="150"/>
        <v>No</v>
      </c>
      <c r="G1955" t="str">
        <f t="shared" si="151"/>
        <v/>
      </c>
      <c r="H1955" t="str">
        <f t="shared" si="152"/>
        <v>—</v>
      </c>
      <c r="I1955" t="str">
        <f t="shared" si="153"/>
        <v>Below thresholds</v>
      </c>
      <c r="J1955" t="str">
        <f t="shared" si="154"/>
        <v/>
      </c>
    </row>
    <row r="1956" spans="1:10" x14ac:dyDescent="0.2">
      <c r="A1956">
        <v>227008414522</v>
      </c>
      <c r="B1956" t="s">
        <v>4596</v>
      </c>
      <c r="C1956" t="s">
        <v>4597</v>
      </c>
      <c r="D1956">
        <v>1.49</v>
      </c>
      <c r="F1956" t="str">
        <f t="shared" si="150"/>
        <v>No</v>
      </c>
      <c r="G1956" t="str">
        <f t="shared" si="151"/>
        <v/>
      </c>
      <c r="H1956" t="str">
        <f t="shared" si="152"/>
        <v>—</v>
      </c>
      <c r="I1956" t="str">
        <f t="shared" si="153"/>
        <v>Below thresholds</v>
      </c>
      <c r="J1956" t="str">
        <f t="shared" si="154"/>
        <v/>
      </c>
    </row>
    <row r="1957" spans="1:10" x14ac:dyDescent="0.2">
      <c r="A1957">
        <v>227008414594</v>
      </c>
      <c r="B1957" t="s">
        <v>4598</v>
      </c>
      <c r="C1957" t="s">
        <v>4599</v>
      </c>
      <c r="D1957">
        <v>1.39</v>
      </c>
      <c r="F1957" t="str">
        <f t="shared" si="150"/>
        <v>No</v>
      </c>
      <c r="G1957" t="str">
        <f t="shared" si="151"/>
        <v/>
      </c>
      <c r="H1957" t="str">
        <f t="shared" si="152"/>
        <v>—</v>
      </c>
      <c r="I1957" t="str">
        <f t="shared" si="153"/>
        <v>Below thresholds</v>
      </c>
      <c r="J1957" t="str">
        <f t="shared" si="154"/>
        <v/>
      </c>
    </row>
    <row r="1958" spans="1:10" x14ac:dyDescent="0.2">
      <c r="A1958">
        <v>227008414606</v>
      </c>
      <c r="B1958" t="s">
        <v>4600</v>
      </c>
      <c r="C1958" t="s">
        <v>4601</v>
      </c>
      <c r="D1958">
        <v>1.25</v>
      </c>
      <c r="F1958" t="str">
        <f t="shared" si="150"/>
        <v>No</v>
      </c>
      <c r="G1958" t="str">
        <f t="shared" si="151"/>
        <v/>
      </c>
      <c r="H1958" t="str">
        <f t="shared" si="152"/>
        <v>—</v>
      </c>
      <c r="I1958" t="str">
        <f t="shared" si="153"/>
        <v>Below thresholds</v>
      </c>
      <c r="J1958" t="str">
        <f t="shared" si="154"/>
        <v/>
      </c>
    </row>
    <row r="1959" spans="1:10" x14ac:dyDescent="0.2">
      <c r="A1959">
        <v>227008414684</v>
      </c>
      <c r="B1959" t="s">
        <v>4602</v>
      </c>
      <c r="C1959" t="s">
        <v>4603</v>
      </c>
      <c r="D1959">
        <v>1.49</v>
      </c>
      <c r="F1959" t="str">
        <f t="shared" si="150"/>
        <v>No</v>
      </c>
      <c r="G1959" t="str">
        <f t="shared" si="151"/>
        <v/>
      </c>
      <c r="H1959" t="str">
        <f t="shared" si="152"/>
        <v>—</v>
      </c>
      <c r="I1959" t="str">
        <f t="shared" si="153"/>
        <v>Below thresholds</v>
      </c>
      <c r="J1959" t="str">
        <f t="shared" si="154"/>
        <v/>
      </c>
    </row>
    <row r="1960" spans="1:10" x14ac:dyDescent="0.2">
      <c r="A1960">
        <v>227008414698</v>
      </c>
      <c r="B1960" t="s">
        <v>4604</v>
      </c>
      <c r="C1960" t="s">
        <v>4605</v>
      </c>
      <c r="D1960">
        <v>1.79</v>
      </c>
      <c r="F1960" t="str">
        <f t="shared" si="150"/>
        <v>No</v>
      </c>
      <c r="G1960" t="str">
        <f t="shared" si="151"/>
        <v/>
      </c>
      <c r="H1960" t="str">
        <f t="shared" si="152"/>
        <v>—</v>
      </c>
      <c r="I1960" t="str">
        <f t="shared" si="153"/>
        <v>Below thresholds</v>
      </c>
      <c r="J1960" t="str">
        <f t="shared" si="154"/>
        <v/>
      </c>
    </row>
    <row r="1961" spans="1:10" x14ac:dyDescent="0.2">
      <c r="A1961">
        <v>227008414785</v>
      </c>
      <c r="B1961" t="s">
        <v>4606</v>
      </c>
      <c r="C1961" t="s">
        <v>4607</v>
      </c>
      <c r="D1961">
        <v>1.59</v>
      </c>
      <c r="F1961" t="str">
        <f t="shared" si="150"/>
        <v>No</v>
      </c>
      <c r="G1961" t="str">
        <f t="shared" si="151"/>
        <v/>
      </c>
      <c r="H1961" t="str">
        <f t="shared" si="152"/>
        <v>—</v>
      </c>
      <c r="I1961" t="str">
        <f t="shared" si="153"/>
        <v>Below thresholds</v>
      </c>
      <c r="J1961" t="str">
        <f t="shared" si="154"/>
        <v/>
      </c>
    </row>
    <row r="1962" spans="1:10" x14ac:dyDescent="0.2">
      <c r="A1962">
        <v>227008414793</v>
      </c>
      <c r="B1962" t="s">
        <v>4608</v>
      </c>
      <c r="C1962" t="s">
        <v>4609</v>
      </c>
      <c r="D1962">
        <v>1.99</v>
      </c>
      <c r="F1962" t="str">
        <f t="shared" si="150"/>
        <v>No</v>
      </c>
      <c r="G1962" t="str">
        <f t="shared" si="151"/>
        <v/>
      </c>
      <c r="H1962" t="str">
        <f t="shared" si="152"/>
        <v>—</v>
      </c>
      <c r="I1962" t="str">
        <f t="shared" si="153"/>
        <v>Below thresholds</v>
      </c>
      <c r="J1962" t="str">
        <f t="shared" si="154"/>
        <v/>
      </c>
    </row>
    <row r="1963" spans="1:10" x14ac:dyDescent="0.2">
      <c r="A1963">
        <v>227008414836</v>
      </c>
      <c r="B1963" t="s">
        <v>4610</v>
      </c>
      <c r="C1963" t="s">
        <v>4611</v>
      </c>
      <c r="D1963">
        <v>1.49</v>
      </c>
      <c r="F1963" t="str">
        <f t="shared" si="150"/>
        <v>No</v>
      </c>
      <c r="G1963" t="str">
        <f t="shared" si="151"/>
        <v/>
      </c>
      <c r="H1963" t="str">
        <f t="shared" si="152"/>
        <v>—</v>
      </c>
      <c r="I1963" t="str">
        <f t="shared" si="153"/>
        <v>Below thresholds</v>
      </c>
      <c r="J1963" t="str">
        <f t="shared" si="154"/>
        <v/>
      </c>
    </row>
    <row r="1964" spans="1:10" x14ac:dyDescent="0.2">
      <c r="A1964">
        <v>227008414861</v>
      </c>
      <c r="B1964" t="s">
        <v>4612</v>
      </c>
      <c r="C1964" t="s">
        <v>4613</v>
      </c>
      <c r="D1964">
        <v>1.69</v>
      </c>
      <c r="F1964" t="str">
        <f t="shared" si="150"/>
        <v>No</v>
      </c>
      <c r="G1964" t="str">
        <f t="shared" si="151"/>
        <v/>
      </c>
      <c r="H1964" t="str">
        <f t="shared" si="152"/>
        <v>—</v>
      </c>
      <c r="I1964" t="str">
        <f t="shared" si="153"/>
        <v>Below thresholds</v>
      </c>
      <c r="J1964" t="str">
        <f t="shared" si="154"/>
        <v/>
      </c>
    </row>
    <row r="1965" spans="1:10" x14ac:dyDescent="0.2">
      <c r="A1965">
        <v>227008414900</v>
      </c>
      <c r="B1965" t="s">
        <v>4614</v>
      </c>
      <c r="C1965" t="s">
        <v>4615</v>
      </c>
      <c r="D1965">
        <v>1.49</v>
      </c>
      <c r="F1965" t="str">
        <f t="shared" si="150"/>
        <v>No</v>
      </c>
      <c r="G1965" t="str">
        <f t="shared" si="151"/>
        <v/>
      </c>
      <c r="H1965" t="str">
        <f t="shared" si="152"/>
        <v>—</v>
      </c>
      <c r="I1965" t="str">
        <f t="shared" si="153"/>
        <v>Below thresholds</v>
      </c>
      <c r="J1965" t="str">
        <f t="shared" si="154"/>
        <v/>
      </c>
    </row>
    <row r="1966" spans="1:10" x14ac:dyDescent="0.2">
      <c r="A1966">
        <v>227008414944</v>
      </c>
      <c r="B1966" t="s">
        <v>4616</v>
      </c>
      <c r="C1966" t="s">
        <v>4617</v>
      </c>
      <c r="D1966">
        <v>1.49</v>
      </c>
      <c r="F1966" t="str">
        <f t="shared" si="150"/>
        <v>No</v>
      </c>
      <c r="G1966" t="str">
        <f t="shared" si="151"/>
        <v/>
      </c>
      <c r="H1966" t="str">
        <f t="shared" si="152"/>
        <v>—</v>
      </c>
      <c r="I1966" t="str">
        <f t="shared" si="153"/>
        <v>Below thresholds</v>
      </c>
      <c r="J1966" t="str">
        <f t="shared" si="154"/>
        <v/>
      </c>
    </row>
    <row r="1967" spans="1:10" x14ac:dyDescent="0.2">
      <c r="A1967">
        <v>227008414982</v>
      </c>
      <c r="B1967" t="s">
        <v>4618</v>
      </c>
      <c r="C1967" t="s">
        <v>4619</v>
      </c>
      <c r="D1967">
        <v>1.49</v>
      </c>
      <c r="F1967" t="str">
        <f t="shared" si="150"/>
        <v>No</v>
      </c>
      <c r="G1967" t="str">
        <f t="shared" si="151"/>
        <v/>
      </c>
      <c r="H1967" t="str">
        <f t="shared" si="152"/>
        <v>—</v>
      </c>
      <c r="I1967" t="str">
        <f t="shared" si="153"/>
        <v>Below thresholds</v>
      </c>
      <c r="J1967" t="str">
        <f t="shared" si="154"/>
        <v/>
      </c>
    </row>
    <row r="1968" spans="1:10" x14ac:dyDescent="0.2">
      <c r="A1968">
        <v>227008415020</v>
      </c>
      <c r="B1968" t="s">
        <v>4620</v>
      </c>
      <c r="C1968" t="s">
        <v>4621</v>
      </c>
      <c r="D1968">
        <v>1.49</v>
      </c>
      <c r="F1968" t="str">
        <f t="shared" si="150"/>
        <v>No</v>
      </c>
      <c r="G1968" t="str">
        <f t="shared" si="151"/>
        <v/>
      </c>
      <c r="H1968" t="str">
        <f t="shared" si="152"/>
        <v>—</v>
      </c>
      <c r="I1968" t="str">
        <f t="shared" si="153"/>
        <v>Below thresholds</v>
      </c>
      <c r="J1968" t="str">
        <f t="shared" si="154"/>
        <v/>
      </c>
    </row>
    <row r="1969" spans="1:10" x14ac:dyDescent="0.2">
      <c r="A1969">
        <v>227008415054</v>
      </c>
      <c r="B1969" t="s">
        <v>4622</v>
      </c>
      <c r="C1969" t="s">
        <v>4623</v>
      </c>
      <c r="D1969">
        <v>1.49</v>
      </c>
      <c r="F1969" t="str">
        <f t="shared" si="150"/>
        <v>No</v>
      </c>
      <c r="G1969" t="str">
        <f t="shared" si="151"/>
        <v/>
      </c>
      <c r="H1969" t="str">
        <f t="shared" si="152"/>
        <v>—</v>
      </c>
      <c r="I1969" t="str">
        <f t="shared" si="153"/>
        <v>Below thresholds</v>
      </c>
      <c r="J1969" t="str">
        <f t="shared" si="154"/>
        <v/>
      </c>
    </row>
    <row r="1970" spans="1:10" x14ac:dyDescent="0.2">
      <c r="A1970">
        <v>227008415116</v>
      </c>
      <c r="B1970" t="s">
        <v>4624</v>
      </c>
      <c r="C1970" t="s">
        <v>4625</v>
      </c>
      <c r="D1970">
        <v>1.49</v>
      </c>
      <c r="F1970" t="str">
        <f t="shared" si="150"/>
        <v>No</v>
      </c>
      <c r="G1970" t="str">
        <f t="shared" si="151"/>
        <v/>
      </c>
      <c r="H1970" t="str">
        <f t="shared" si="152"/>
        <v>—</v>
      </c>
      <c r="I1970" t="str">
        <f t="shared" si="153"/>
        <v>Below thresholds</v>
      </c>
      <c r="J1970" t="str">
        <f t="shared" si="154"/>
        <v/>
      </c>
    </row>
    <row r="1971" spans="1:10" x14ac:dyDescent="0.2">
      <c r="A1971">
        <v>227008415130</v>
      </c>
      <c r="B1971" t="s">
        <v>4626</v>
      </c>
      <c r="C1971" t="s">
        <v>4627</v>
      </c>
      <c r="D1971">
        <v>1.59</v>
      </c>
      <c r="F1971" t="str">
        <f t="shared" si="150"/>
        <v>No</v>
      </c>
      <c r="G1971" t="str">
        <f t="shared" si="151"/>
        <v/>
      </c>
      <c r="H1971" t="str">
        <f t="shared" si="152"/>
        <v>—</v>
      </c>
      <c r="I1971" t="str">
        <f t="shared" si="153"/>
        <v>Below thresholds</v>
      </c>
      <c r="J1971" t="str">
        <f t="shared" si="154"/>
        <v/>
      </c>
    </row>
    <row r="1972" spans="1:10" x14ac:dyDescent="0.2">
      <c r="A1972">
        <v>227008415195</v>
      </c>
      <c r="B1972" t="s">
        <v>4628</v>
      </c>
      <c r="C1972" t="s">
        <v>4629</v>
      </c>
      <c r="D1972">
        <v>1.49</v>
      </c>
      <c r="F1972" t="str">
        <f t="shared" si="150"/>
        <v>No</v>
      </c>
      <c r="G1972" t="str">
        <f t="shared" si="151"/>
        <v/>
      </c>
      <c r="H1972" t="str">
        <f t="shared" si="152"/>
        <v>—</v>
      </c>
      <c r="I1972" t="str">
        <f t="shared" si="153"/>
        <v>Below thresholds</v>
      </c>
      <c r="J1972" t="str">
        <f t="shared" si="154"/>
        <v/>
      </c>
    </row>
    <row r="1973" spans="1:10" x14ac:dyDescent="0.2">
      <c r="A1973">
        <v>227008415223</v>
      </c>
      <c r="B1973" t="s">
        <v>4630</v>
      </c>
      <c r="C1973" t="s">
        <v>4631</v>
      </c>
      <c r="D1973">
        <v>1.69</v>
      </c>
      <c r="F1973" t="str">
        <f t="shared" si="150"/>
        <v>No</v>
      </c>
      <c r="G1973" t="str">
        <f t="shared" si="151"/>
        <v/>
      </c>
      <c r="H1973" t="str">
        <f t="shared" si="152"/>
        <v>—</v>
      </c>
      <c r="I1973" t="str">
        <f t="shared" si="153"/>
        <v>Below thresholds</v>
      </c>
      <c r="J1973" t="str">
        <f t="shared" si="154"/>
        <v/>
      </c>
    </row>
    <row r="1974" spans="1:10" x14ac:dyDescent="0.2">
      <c r="A1974">
        <v>227008415267</v>
      </c>
      <c r="B1974" t="s">
        <v>4632</v>
      </c>
      <c r="C1974" t="s">
        <v>4633</v>
      </c>
      <c r="D1974">
        <v>1.49</v>
      </c>
      <c r="F1974" t="str">
        <f t="shared" si="150"/>
        <v>No</v>
      </c>
      <c r="G1974" t="str">
        <f t="shared" si="151"/>
        <v/>
      </c>
      <c r="H1974" t="str">
        <f t="shared" si="152"/>
        <v>—</v>
      </c>
      <c r="I1974" t="str">
        <f t="shared" si="153"/>
        <v>Below thresholds</v>
      </c>
      <c r="J1974" t="str">
        <f t="shared" si="154"/>
        <v/>
      </c>
    </row>
    <row r="1975" spans="1:10" x14ac:dyDescent="0.2">
      <c r="A1975">
        <v>227008415269</v>
      </c>
      <c r="B1975" t="s">
        <v>4634</v>
      </c>
      <c r="C1975" t="s">
        <v>4635</v>
      </c>
      <c r="D1975">
        <v>1.49</v>
      </c>
      <c r="F1975" t="str">
        <f t="shared" si="150"/>
        <v>No</v>
      </c>
      <c r="G1975" t="str">
        <f t="shared" si="151"/>
        <v/>
      </c>
      <c r="H1975" t="str">
        <f t="shared" si="152"/>
        <v>—</v>
      </c>
      <c r="I1975" t="str">
        <f t="shared" si="153"/>
        <v>Below thresholds</v>
      </c>
      <c r="J1975" t="str">
        <f t="shared" si="154"/>
        <v/>
      </c>
    </row>
    <row r="1976" spans="1:10" x14ac:dyDescent="0.2">
      <c r="A1976">
        <v>227008415303</v>
      </c>
      <c r="B1976" t="s">
        <v>4636</v>
      </c>
      <c r="C1976" t="s">
        <v>4637</v>
      </c>
      <c r="D1976">
        <v>2.99</v>
      </c>
      <c r="F1976" t="str">
        <f t="shared" si="150"/>
        <v>No</v>
      </c>
      <c r="G1976" t="str">
        <f t="shared" si="151"/>
        <v/>
      </c>
      <c r="H1976" t="str">
        <f t="shared" si="152"/>
        <v>—</v>
      </c>
      <c r="I1976" t="str">
        <f t="shared" si="153"/>
        <v>Below thresholds</v>
      </c>
      <c r="J1976" t="str">
        <f t="shared" si="154"/>
        <v/>
      </c>
    </row>
    <row r="1977" spans="1:10" x14ac:dyDescent="0.2">
      <c r="A1977">
        <v>227009690746</v>
      </c>
      <c r="B1977" t="s">
        <v>4638</v>
      </c>
      <c r="C1977" t="s">
        <v>4639</v>
      </c>
      <c r="D1977">
        <v>7.99</v>
      </c>
      <c r="F1977" t="str">
        <f t="shared" si="150"/>
        <v>No</v>
      </c>
      <c r="G1977" t="str">
        <f t="shared" si="151"/>
        <v/>
      </c>
      <c r="H1977" t="str">
        <f t="shared" si="152"/>
        <v>—</v>
      </c>
      <c r="I1977" t="str">
        <f t="shared" si="153"/>
        <v>Below thresholds</v>
      </c>
      <c r="J1977" t="str">
        <f t="shared" si="154"/>
        <v/>
      </c>
    </row>
    <row r="1978" spans="1:10" x14ac:dyDescent="0.2">
      <c r="A1978">
        <v>227009701632</v>
      </c>
      <c r="B1978" t="s">
        <v>4640</v>
      </c>
      <c r="C1978" t="s">
        <v>4641</v>
      </c>
      <c r="D1978">
        <v>1.5</v>
      </c>
      <c r="F1978" t="str">
        <f t="shared" si="150"/>
        <v>No</v>
      </c>
      <c r="G1978" t="str">
        <f t="shared" si="151"/>
        <v/>
      </c>
      <c r="H1978" t="str">
        <f t="shared" si="152"/>
        <v>—</v>
      </c>
      <c r="I1978" t="str">
        <f t="shared" si="153"/>
        <v>Below thresholds</v>
      </c>
      <c r="J1978" t="str">
        <f t="shared" si="154"/>
        <v/>
      </c>
    </row>
    <row r="1979" spans="1:10" x14ac:dyDescent="0.2">
      <c r="A1979">
        <v>227009708035</v>
      </c>
      <c r="B1979" t="s">
        <v>4642</v>
      </c>
      <c r="C1979" t="s">
        <v>4643</v>
      </c>
      <c r="D1979">
        <v>2.4900000000000002</v>
      </c>
      <c r="F1979" t="str">
        <f t="shared" si="150"/>
        <v>No</v>
      </c>
      <c r="G1979" t="str">
        <f t="shared" si="151"/>
        <v/>
      </c>
      <c r="H1979" t="str">
        <f t="shared" si="152"/>
        <v>—</v>
      </c>
      <c r="I1979" t="str">
        <f t="shared" si="153"/>
        <v>Below thresholds</v>
      </c>
      <c r="J1979" t="str">
        <f t="shared" si="154"/>
        <v/>
      </c>
    </row>
    <row r="1980" spans="1:10" x14ac:dyDescent="0.2">
      <c r="A1980">
        <v>227009710127</v>
      </c>
      <c r="B1980" t="s">
        <v>4644</v>
      </c>
      <c r="C1980" t="s">
        <v>4645</v>
      </c>
      <c r="D1980">
        <v>1.99</v>
      </c>
      <c r="F1980" t="str">
        <f t="shared" si="150"/>
        <v>No</v>
      </c>
      <c r="G1980" t="str">
        <f t="shared" si="151"/>
        <v/>
      </c>
      <c r="H1980" t="str">
        <f t="shared" si="152"/>
        <v>—</v>
      </c>
      <c r="I1980" t="str">
        <f t="shared" si="153"/>
        <v>Below thresholds</v>
      </c>
      <c r="J1980" t="str">
        <f t="shared" si="154"/>
        <v/>
      </c>
    </row>
    <row r="1981" spans="1:10" x14ac:dyDescent="0.2">
      <c r="A1981">
        <v>227009745389</v>
      </c>
      <c r="B1981" t="s">
        <v>4646</v>
      </c>
      <c r="C1981" t="s">
        <v>4647</v>
      </c>
      <c r="D1981">
        <v>1.89</v>
      </c>
      <c r="F1981" t="str">
        <f t="shared" si="150"/>
        <v>No</v>
      </c>
      <c r="G1981" t="str">
        <f t="shared" si="151"/>
        <v/>
      </c>
      <c r="H1981" t="str">
        <f t="shared" si="152"/>
        <v>—</v>
      </c>
      <c r="I1981" t="str">
        <f t="shared" si="153"/>
        <v>Below thresholds</v>
      </c>
      <c r="J1981" t="str">
        <f t="shared" si="154"/>
        <v/>
      </c>
    </row>
    <row r="1982" spans="1:10" x14ac:dyDescent="0.2">
      <c r="A1982">
        <v>227009745473</v>
      </c>
      <c r="B1982" t="s">
        <v>4648</v>
      </c>
      <c r="C1982" t="s">
        <v>4649</v>
      </c>
      <c r="D1982">
        <v>1.49</v>
      </c>
      <c r="F1982" t="str">
        <f t="shared" si="150"/>
        <v>No</v>
      </c>
      <c r="G1982" t="str">
        <f t="shared" si="151"/>
        <v/>
      </c>
      <c r="H1982" t="str">
        <f t="shared" si="152"/>
        <v>—</v>
      </c>
      <c r="I1982" t="str">
        <f t="shared" si="153"/>
        <v>Below thresholds</v>
      </c>
      <c r="J1982" t="str">
        <f t="shared" si="154"/>
        <v/>
      </c>
    </row>
    <row r="1983" spans="1:10" x14ac:dyDescent="0.2">
      <c r="A1983">
        <v>227009745510</v>
      </c>
      <c r="B1983" t="s">
        <v>4650</v>
      </c>
      <c r="C1983" t="s">
        <v>4651</v>
      </c>
      <c r="D1983">
        <v>1.49</v>
      </c>
      <c r="F1983" t="str">
        <f t="shared" si="150"/>
        <v>No</v>
      </c>
      <c r="G1983" t="str">
        <f t="shared" si="151"/>
        <v/>
      </c>
      <c r="H1983" t="str">
        <f t="shared" si="152"/>
        <v>—</v>
      </c>
      <c r="I1983" t="str">
        <f t="shared" si="153"/>
        <v>Below thresholds</v>
      </c>
      <c r="J1983" t="str">
        <f t="shared" si="154"/>
        <v/>
      </c>
    </row>
    <row r="1984" spans="1:10" x14ac:dyDescent="0.2">
      <c r="A1984">
        <v>227009745555</v>
      </c>
      <c r="B1984" t="s">
        <v>4652</v>
      </c>
      <c r="C1984" t="s">
        <v>4653</v>
      </c>
      <c r="D1984">
        <v>2.99</v>
      </c>
      <c r="F1984" t="str">
        <f t="shared" si="150"/>
        <v>No</v>
      </c>
      <c r="G1984" t="str">
        <f t="shared" si="151"/>
        <v/>
      </c>
      <c r="H1984" t="str">
        <f t="shared" si="152"/>
        <v>—</v>
      </c>
      <c r="I1984" t="str">
        <f t="shared" si="153"/>
        <v>Below thresholds</v>
      </c>
      <c r="J1984" t="str">
        <f t="shared" si="154"/>
        <v/>
      </c>
    </row>
    <row r="1985" spans="1:10" x14ac:dyDescent="0.2">
      <c r="A1985">
        <v>227009745596</v>
      </c>
      <c r="B1985" t="s">
        <v>4654</v>
      </c>
      <c r="C1985" t="s">
        <v>4655</v>
      </c>
      <c r="D1985">
        <v>1.99</v>
      </c>
      <c r="F1985" t="str">
        <f t="shared" si="150"/>
        <v>No</v>
      </c>
      <c r="G1985" t="str">
        <f t="shared" si="151"/>
        <v/>
      </c>
      <c r="H1985" t="str">
        <f t="shared" si="152"/>
        <v>—</v>
      </c>
      <c r="I1985" t="str">
        <f t="shared" si="153"/>
        <v>Below thresholds</v>
      </c>
      <c r="J1985" t="str">
        <f t="shared" si="154"/>
        <v/>
      </c>
    </row>
    <row r="1986" spans="1:10" x14ac:dyDescent="0.2">
      <c r="A1986">
        <v>227009745625</v>
      </c>
      <c r="B1986" t="s">
        <v>4656</v>
      </c>
      <c r="C1986" t="s">
        <v>4657</v>
      </c>
      <c r="D1986">
        <v>1.49</v>
      </c>
      <c r="F1986" t="str">
        <f t="shared" si="150"/>
        <v>No</v>
      </c>
      <c r="G1986" t="str">
        <f t="shared" si="151"/>
        <v/>
      </c>
      <c r="H1986" t="str">
        <f t="shared" si="152"/>
        <v>—</v>
      </c>
      <c r="I1986" t="str">
        <f t="shared" si="153"/>
        <v>Below thresholds</v>
      </c>
      <c r="J1986" t="str">
        <f t="shared" si="154"/>
        <v/>
      </c>
    </row>
    <row r="1987" spans="1:10" x14ac:dyDescent="0.2">
      <c r="A1987">
        <v>227009745675</v>
      </c>
      <c r="B1987" t="s">
        <v>4658</v>
      </c>
      <c r="C1987" t="s">
        <v>4659</v>
      </c>
      <c r="D1987">
        <v>1.69</v>
      </c>
      <c r="F1987" t="str">
        <f t="shared" si="150"/>
        <v>No</v>
      </c>
      <c r="G1987" t="str">
        <f t="shared" si="151"/>
        <v/>
      </c>
      <c r="H1987" t="str">
        <f t="shared" si="152"/>
        <v>—</v>
      </c>
      <c r="I1987" t="str">
        <f t="shared" si="153"/>
        <v>Below thresholds</v>
      </c>
      <c r="J1987" t="str">
        <f t="shared" si="154"/>
        <v/>
      </c>
    </row>
    <row r="1988" spans="1:10" x14ac:dyDescent="0.2">
      <c r="A1988">
        <v>227009745687</v>
      </c>
      <c r="B1988" t="s">
        <v>4660</v>
      </c>
      <c r="C1988" t="s">
        <v>4661</v>
      </c>
      <c r="D1988">
        <v>1.49</v>
      </c>
      <c r="F1988" t="str">
        <f t="shared" si="150"/>
        <v>No</v>
      </c>
      <c r="G1988" t="str">
        <f t="shared" si="151"/>
        <v/>
      </c>
      <c r="H1988" t="str">
        <f t="shared" si="152"/>
        <v>—</v>
      </c>
      <c r="I1988" t="str">
        <f t="shared" si="153"/>
        <v>Below thresholds</v>
      </c>
      <c r="J1988" t="str">
        <f t="shared" si="154"/>
        <v/>
      </c>
    </row>
    <row r="1989" spans="1:10" x14ac:dyDescent="0.2">
      <c r="A1989">
        <v>227009745716</v>
      </c>
      <c r="B1989" t="s">
        <v>4206</v>
      </c>
      <c r="C1989" t="s">
        <v>4662</v>
      </c>
      <c r="D1989">
        <v>1.69</v>
      </c>
      <c r="F1989" t="str">
        <f t="shared" ref="F1989:F2052" si="155">IF($B1989="","",IF(ISNUMBER(SEARCH("PSA",$B1989)),"Yes","No"))</f>
        <v>No</v>
      </c>
      <c r="G1989" t="str">
        <f t="shared" ref="G1989:G2052" si="156">IF($B1989="","",IF(ISNUMBER(SEARCH("PSA 10",$B1989)),10,IF(ISNUMBER(SEARCH("PSA 9.5",$B1989)),9.5,IF(ISNUMBER(SEARCH("PSA 9",$B1989)),9,IF(ISNUMBER(SEARCH("PSA 8",$B1989)),8,IF(ISNUMBER(SEARCH("PSA",$B1989)),"&lt;9",""))))))</f>
        <v/>
      </c>
      <c r="H1989" t="str">
        <f t="shared" ref="H1989:H2052" si="157">IF($B1989="","",IF($D1989&gt;=100,"TIER 2",IF(OR(ISNUMBER(SEARCH("PSA 10",$B1989)),ISNUMBER(SEARCH("PSA 9.5",$B1989)),ISNUMBER(SEARCH("PSA 9",$B1989))),"TIER 3",IF(AND($D1989&gt;20,N($E1989)&gt;=15),"TIER 1","—"))))</f>
        <v>—</v>
      </c>
      <c r="I1989" t="str">
        <f t="shared" ref="I1989:I2052" si="158">IF($B1989="","",IF($D1989&gt;=100,"Premium $100+ (auto)",IF(OR(ISNUMBER(SEARCH("PSA 10",$B1989)),ISNUMBER(SEARCH("PSA 9.5",$B1989)),ISNUMBER(SEARCH("PSA 9",$B1989))),"Graded PSA 9+ (auto)",IF(AND($D1989&gt;20,N($E1989)&gt;=15),"Hot: $20+ &amp; "&amp;$E1989&amp;"/day",IF($D1989&gt;20,"$20+ — needs velocity check","Below thresholds")))))</f>
        <v>Below thresholds</v>
      </c>
      <c r="J1989" t="str">
        <f t="shared" ref="J1989:J2052" si="159">IF($B1989="","",IF(AND($D1989&gt;20,$D1989&lt;100,NOT(OR(ISNUMBER(SEARCH("PSA 10",$B1989)),ISNUMBER(SEARCH("PSA 9.5",$B1989)),ISNUMBER(SEARCH("PSA 9",$B1989)))),$E1989=""),"YES — pull CardHedger",""))</f>
        <v/>
      </c>
    </row>
    <row r="1990" spans="1:10" x14ac:dyDescent="0.2">
      <c r="A1990">
        <v>227009745726</v>
      </c>
      <c r="B1990" t="s">
        <v>4663</v>
      </c>
      <c r="C1990" t="s">
        <v>4664</v>
      </c>
      <c r="D1990">
        <v>1.49</v>
      </c>
      <c r="F1990" t="str">
        <f t="shared" si="155"/>
        <v>No</v>
      </c>
      <c r="G1990" t="str">
        <f t="shared" si="156"/>
        <v/>
      </c>
      <c r="H1990" t="str">
        <f t="shared" si="157"/>
        <v>—</v>
      </c>
      <c r="I1990" t="str">
        <f t="shared" si="158"/>
        <v>Below thresholds</v>
      </c>
      <c r="J1990" t="str">
        <f t="shared" si="159"/>
        <v/>
      </c>
    </row>
    <row r="1991" spans="1:10" x14ac:dyDescent="0.2">
      <c r="A1991">
        <v>227009745767</v>
      </c>
      <c r="B1991" t="s">
        <v>4665</v>
      </c>
      <c r="C1991" t="s">
        <v>4666</v>
      </c>
      <c r="D1991">
        <v>1.59</v>
      </c>
      <c r="F1991" t="str">
        <f t="shared" si="155"/>
        <v>No</v>
      </c>
      <c r="G1991" t="str">
        <f t="shared" si="156"/>
        <v/>
      </c>
      <c r="H1991" t="str">
        <f t="shared" si="157"/>
        <v>—</v>
      </c>
      <c r="I1991" t="str">
        <f t="shared" si="158"/>
        <v>Below thresholds</v>
      </c>
      <c r="J1991" t="str">
        <f t="shared" si="159"/>
        <v/>
      </c>
    </row>
    <row r="1992" spans="1:10" x14ac:dyDescent="0.2">
      <c r="A1992">
        <v>227009745784</v>
      </c>
      <c r="B1992" t="s">
        <v>4667</v>
      </c>
      <c r="C1992" t="s">
        <v>4668</v>
      </c>
      <c r="D1992">
        <v>1.49</v>
      </c>
      <c r="F1992" t="str">
        <f t="shared" si="155"/>
        <v>No</v>
      </c>
      <c r="G1992" t="str">
        <f t="shared" si="156"/>
        <v/>
      </c>
      <c r="H1992" t="str">
        <f t="shared" si="157"/>
        <v>—</v>
      </c>
      <c r="I1992" t="str">
        <f t="shared" si="158"/>
        <v>Below thresholds</v>
      </c>
      <c r="J1992" t="str">
        <f t="shared" si="159"/>
        <v/>
      </c>
    </row>
    <row r="1993" spans="1:10" x14ac:dyDescent="0.2">
      <c r="A1993">
        <v>227009746024</v>
      </c>
      <c r="B1993" t="s">
        <v>4669</v>
      </c>
      <c r="C1993" t="s">
        <v>4670</v>
      </c>
      <c r="D1993">
        <v>1.49</v>
      </c>
      <c r="F1993" t="str">
        <f t="shared" si="155"/>
        <v>No</v>
      </c>
      <c r="G1993" t="str">
        <f t="shared" si="156"/>
        <v/>
      </c>
      <c r="H1993" t="str">
        <f t="shared" si="157"/>
        <v>—</v>
      </c>
      <c r="I1993" t="str">
        <f t="shared" si="158"/>
        <v>Below thresholds</v>
      </c>
      <c r="J1993" t="str">
        <f t="shared" si="159"/>
        <v/>
      </c>
    </row>
    <row r="1994" spans="1:10" x14ac:dyDescent="0.2">
      <c r="A1994">
        <v>227009746034</v>
      </c>
      <c r="B1994" t="s">
        <v>4671</v>
      </c>
      <c r="C1994" t="s">
        <v>4672</v>
      </c>
      <c r="D1994">
        <v>1.99</v>
      </c>
      <c r="F1994" t="str">
        <f t="shared" si="155"/>
        <v>No</v>
      </c>
      <c r="G1994" t="str">
        <f t="shared" si="156"/>
        <v/>
      </c>
      <c r="H1994" t="str">
        <f t="shared" si="157"/>
        <v>—</v>
      </c>
      <c r="I1994" t="str">
        <f t="shared" si="158"/>
        <v>Below thresholds</v>
      </c>
      <c r="J1994" t="str">
        <f t="shared" si="159"/>
        <v/>
      </c>
    </row>
    <row r="1995" spans="1:10" x14ac:dyDescent="0.2">
      <c r="A1995">
        <v>227009746067</v>
      </c>
      <c r="B1995" t="s">
        <v>4673</v>
      </c>
      <c r="C1995" t="s">
        <v>4674</v>
      </c>
      <c r="D1995">
        <v>1.49</v>
      </c>
      <c r="F1995" t="str">
        <f t="shared" si="155"/>
        <v>No</v>
      </c>
      <c r="G1995" t="str">
        <f t="shared" si="156"/>
        <v/>
      </c>
      <c r="H1995" t="str">
        <f t="shared" si="157"/>
        <v>—</v>
      </c>
      <c r="I1995" t="str">
        <f t="shared" si="158"/>
        <v>Below thresholds</v>
      </c>
      <c r="J1995" t="str">
        <f t="shared" si="159"/>
        <v/>
      </c>
    </row>
    <row r="1996" spans="1:10" x14ac:dyDescent="0.2">
      <c r="A1996">
        <v>227009746080</v>
      </c>
      <c r="B1996" t="s">
        <v>4675</v>
      </c>
      <c r="C1996" t="s">
        <v>4676</v>
      </c>
      <c r="D1996">
        <v>2.4900000000000002</v>
      </c>
      <c r="F1996" t="str">
        <f t="shared" si="155"/>
        <v>No</v>
      </c>
      <c r="G1996" t="str">
        <f t="shared" si="156"/>
        <v/>
      </c>
      <c r="H1996" t="str">
        <f t="shared" si="157"/>
        <v>—</v>
      </c>
      <c r="I1996" t="str">
        <f t="shared" si="158"/>
        <v>Below thresholds</v>
      </c>
      <c r="J1996" t="str">
        <f t="shared" si="159"/>
        <v/>
      </c>
    </row>
    <row r="1997" spans="1:10" x14ac:dyDescent="0.2">
      <c r="A1997">
        <v>227009746124</v>
      </c>
      <c r="B1997" t="s">
        <v>4677</v>
      </c>
      <c r="C1997" t="s">
        <v>4678</v>
      </c>
      <c r="D1997">
        <v>1.89</v>
      </c>
      <c r="F1997" t="str">
        <f t="shared" si="155"/>
        <v>No</v>
      </c>
      <c r="G1997" t="str">
        <f t="shared" si="156"/>
        <v/>
      </c>
      <c r="H1997" t="str">
        <f t="shared" si="157"/>
        <v>—</v>
      </c>
      <c r="I1997" t="str">
        <f t="shared" si="158"/>
        <v>Below thresholds</v>
      </c>
      <c r="J1997" t="str">
        <f t="shared" si="159"/>
        <v/>
      </c>
    </row>
    <row r="1998" spans="1:10" x14ac:dyDescent="0.2">
      <c r="A1998">
        <v>227009746138</v>
      </c>
      <c r="B1998" t="s">
        <v>4679</v>
      </c>
      <c r="C1998" t="s">
        <v>4680</v>
      </c>
      <c r="D1998">
        <v>1.49</v>
      </c>
      <c r="F1998" t="str">
        <f t="shared" si="155"/>
        <v>No</v>
      </c>
      <c r="G1998" t="str">
        <f t="shared" si="156"/>
        <v/>
      </c>
      <c r="H1998" t="str">
        <f t="shared" si="157"/>
        <v>—</v>
      </c>
      <c r="I1998" t="str">
        <f t="shared" si="158"/>
        <v>Below thresholds</v>
      </c>
      <c r="J1998" t="str">
        <f t="shared" si="159"/>
        <v/>
      </c>
    </row>
    <row r="1999" spans="1:10" x14ac:dyDescent="0.2">
      <c r="A1999">
        <v>227009746188</v>
      </c>
      <c r="B1999" t="s">
        <v>4681</v>
      </c>
      <c r="C1999" t="s">
        <v>4682</v>
      </c>
      <c r="D1999">
        <v>1.49</v>
      </c>
      <c r="F1999" t="str">
        <f t="shared" si="155"/>
        <v>No</v>
      </c>
      <c r="G1999" t="str">
        <f t="shared" si="156"/>
        <v/>
      </c>
      <c r="H1999" t="str">
        <f t="shared" si="157"/>
        <v>—</v>
      </c>
      <c r="I1999" t="str">
        <f t="shared" si="158"/>
        <v>Below thresholds</v>
      </c>
      <c r="J1999" t="str">
        <f t="shared" si="159"/>
        <v/>
      </c>
    </row>
    <row r="2000" spans="1:10" x14ac:dyDescent="0.2">
      <c r="A2000">
        <v>227009746227</v>
      </c>
      <c r="B2000" t="s">
        <v>4683</v>
      </c>
      <c r="C2000" t="s">
        <v>4684</v>
      </c>
      <c r="D2000">
        <v>1.89</v>
      </c>
      <c r="F2000" t="str">
        <f t="shared" si="155"/>
        <v>No</v>
      </c>
      <c r="G2000" t="str">
        <f t="shared" si="156"/>
        <v/>
      </c>
      <c r="H2000" t="str">
        <f t="shared" si="157"/>
        <v>—</v>
      </c>
      <c r="I2000" t="str">
        <f t="shared" si="158"/>
        <v>Below thresholds</v>
      </c>
      <c r="J2000" t="str">
        <f t="shared" si="159"/>
        <v/>
      </c>
    </row>
    <row r="2001" spans="1:10" x14ac:dyDescent="0.2">
      <c r="A2001">
        <v>227009746235</v>
      </c>
      <c r="B2001" t="s">
        <v>4685</v>
      </c>
      <c r="C2001" t="s">
        <v>4686</v>
      </c>
      <c r="D2001">
        <v>1.49</v>
      </c>
      <c r="F2001" t="str">
        <f t="shared" si="155"/>
        <v>No</v>
      </c>
      <c r="G2001" t="str">
        <f t="shared" si="156"/>
        <v/>
      </c>
      <c r="H2001" t="str">
        <f t="shared" si="157"/>
        <v>—</v>
      </c>
      <c r="I2001" t="str">
        <f t="shared" si="158"/>
        <v>Below thresholds</v>
      </c>
      <c r="J2001" t="str">
        <f t="shared" si="159"/>
        <v/>
      </c>
    </row>
    <row r="2002" spans="1:10" x14ac:dyDescent="0.2">
      <c r="A2002">
        <v>227009746283</v>
      </c>
      <c r="B2002" t="s">
        <v>4687</v>
      </c>
      <c r="C2002" t="s">
        <v>4688</v>
      </c>
      <c r="D2002">
        <v>1.99</v>
      </c>
      <c r="F2002" t="str">
        <f t="shared" si="155"/>
        <v>No</v>
      </c>
      <c r="G2002" t="str">
        <f t="shared" si="156"/>
        <v/>
      </c>
      <c r="H2002" t="str">
        <f t="shared" si="157"/>
        <v>—</v>
      </c>
      <c r="I2002" t="str">
        <f t="shared" si="158"/>
        <v>Below thresholds</v>
      </c>
      <c r="J2002" t="str">
        <f t="shared" si="159"/>
        <v/>
      </c>
    </row>
    <row r="2003" spans="1:10" x14ac:dyDescent="0.2">
      <c r="A2003">
        <v>227009746284</v>
      </c>
      <c r="B2003" t="s">
        <v>4689</v>
      </c>
      <c r="C2003" t="s">
        <v>4690</v>
      </c>
      <c r="D2003">
        <v>1.49</v>
      </c>
      <c r="F2003" t="str">
        <f t="shared" si="155"/>
        <v>No</v>
      </c>
      <c r="G2003" t="str">
        <f t="shared" si="156"/>
        <v/>
      </c>
      <c r="H2003" t="str">
        <f t="shared" si="157"/>
        <v>—</v>
      </c>
      <c r="I2003" t="str">
        <f t="shared" si="158"/>
        <v>Below thresholds</v>
      </c>
      <c r="J2003" t="str">
        <f t="shared" si="159"/>
        <v/>
      </c>
    </row>
    <row r="2004" spans="1:10" x14ac:dyDescent="0.2">
      <c r="A2004">
        <v>227009746524</v>
      </c>
      <c r="B2004" t="s">
        <v>4691</v>
      </c>
      <c r="C2004" t="s">
        <v>4692</v>
      </c>
      <c r="D2004">
        <v>1.49</v>
      </c>
      <c r="F2004" t="str">
        <f t="shared" si="155"/>
        <v>No</v>
      </c>
      <c r="G2004" t="str">
        <f t="shared" si="156"/>
        <v/>
      </c>
      <c r="H2004" t="str">
        <f t="shared" si="157"/>
        <v>—</v>
      </c>
      <c r="I2004" t="str">
        <f t="shared" si="158"/>
        <v>Below thresholds</v>
      </c>
      <c r="J2004" t="str">
        <f t="shared" si="159"/>
        <v/>
      </c>
    </row>
    <row r="2005" spans="1:10" x14ac:dyDescent="0.2">
      <c r="A2005">
        <v>227009746525</v>
      </c>
      <c r="B2005" t="s">
        <v>4693</v>
      </c>
      <c r="C2005" t="s">
        <v>4694</v>
      </c>
      <c r="D2005">
        <v>1.99</v>
      </c>
      <c r="F2005" t="str">
        <f t="shared" si="155"/>
        <v>No</v>
      </c>
      <c r="G2005" t="str">
        <f t="shared" si="156"/>
        <v/>
      </c>
      <c r="H2005" t="str">
        <f t="shared" si="157"/>
        <v>—</v>
      </c>
      <c r="I2005" t="str">
        <f t="shared" si="158"/>
        <v>Below thresholds</v>
      </c>
      <c r="J2005" t="str">
        <f t="shared" si="159"/>
        <v/>
      </c>
    </row>
    <row r="2006" spans="1:10" x14ac:dyDescent="0.2">
      <c r="A2006">
        <v>227009746576</v>
      </c>
      <c r="B2006" t="s">
        <v>4695</v>
      </c>
      <c r="C2006" t="s">
        <v>4696</v>
      </c>
      <c r="D2006">
        <v>1.49</v>
      </c>
      <c r="F2006" t="str">
        <f t="shared" si="155"/>
        <v>No</v>
      </c>
      <c r="G2006" t="str">
        <f t="shared" si="156"/>
        <v/>
      </c>
      <c r="H2006" t="str">
        <f t="shared" si="157"/>
        <v>—</v>
      </c>
      <c r="I2006" t="str">
        <f t="shared" si="158"/>
        <v>Below thresholds</v>
      </c>
      <c r="J2006" t="str">
        <f t="shared" si="159"/>
        <v/>
      </c>
    </row>
    <row r="2007" spans="1:10" x14ac:dyDescent="0.2">
      <c r="A2007">
        <v>227009746584</v>
      </c>
      <c r="B2007" t="s">
        <v>4158</v>
      </c>
      <c r="C2007" t="s">
        <v>4697</v>
      </c>
      <c r="D2007">
        <v>1.99</v>
      </c>
      <c r="F2007" t="str">
        <f t="shared" si="155"/>
        <v>No</v>
      </c>
      <c r="G2007" t="str">
        <f t="shared" si="156"/>
        <v/>
      </c>
      <c r="H2007" t="str">
        <f t="shared" si="157"/>
        <v>—</v>
      </c>
      <c r="I2007" t="str">
        <f t="shared" si="158"/>
        <v>Below thresholds</v>
      </c>
      <c r="J2007" t="str">
        <f t="shared" si="159"/>
        <v/>
      </c>
    </row>
    <row r="2008" spans="1:10" x14ac:dyDescent="0.2">
      <c r="A2008">
        <v>227009746633</v>
      </c>
      <c r="B2008" t="s">
        <v>4698</v>
      </c>
      <c r="C2008" t="s">
        <v>4699</v>
      </c>
      <c r="D2008">
        <v>1.49</v>
      </c>
      <c r="F2008" t="str">
        <f t="shared" si="155"/>
        <v>No</v>
      </c>
      <c r="G2008" t="str">
        <f t="shared" si="156"/>
        <v/>
      </c>
      <c r="H2008" t="str">
        <f t="shared" si="157"/>
        <v>—</v>
      </c>
      <c r="I2008" t="str">
        <f t="shared" si="158"/>
        <v>Below thresholds</v>
      </c>
      <c r="J2008" t="str">
        <f t="shared" si="159"/>
        <v/>
      </c>
    </row>
    <row r="2009" spans="1:10" x14ac:dyDescent="0.2">
      <c r="A2009">
        <v>227009746644</v>
      </c>
      <c r="B2009" t="s">
        <v>4700</v>
      </c>
      <c r="C2009" t="s">
        <v>4701</v>
      </c>
      <c r="D2009">
        <v>1.59</v>
      </c>
      <c r="F2009" t="str">
        <f t="shared" si="155"/>
        <v>No</v>
      </c>
      <c r="G2009" t="str">
        <f t="shared" si="156"/>
        <v/>
      </c>
      <c r="H2009" t="str">
        <f t="shared" si="157"/>
        <v>—</v>
      </c>
      <c r="I2009" t="str">
        <f t="shared" si="158"/>
        <v>Below thresholds</v>
      </c>
      <c r="J2009" t="str">
        <f t="shared" si="159"/>
        <v/>
      </c>
    </row>
    <row r="2010" spans="1:10" x14ac:dyDescent="0.2">
      <c r="A2010">
        <v>227009746668</v>
      </c>
      <c r="B2010" t="s">
        <v>4702</v>
      </c>
      <c r="C2010" t="s">
        <v>4703</v>
      </c>
      <c r="D2010">
        <v>2.19</v>
      </c>
      <c r="F2010" t="str">
        <f t="shared" si="155"/>
        <v>No</v>
      </c>
      <c r="G2010" t="str">
        <f t="shared" si="156"/>
        <v/>
      </c>
      <c r="H2010" t="str">
        <f t="shared" si="157"/>
        <v>—</v>
      </c>
      <c r="I2010" t="str">
        <f t="shared" si="158"/>
        <v>Below thresholds</v>
      </c>
      <c r="J2010" t="str">
        <f t="shared" si="159"/>
        <v/>
      </c>
    </row>
    <row r="2011" spans="1:10" x14ac:dyDescent="0.2">
      <c r="A2011">
        <v>227009746676</v>
      </c>
      <c r="B2011" t="s">
        <v>4704</v>
      </c>
      <c r="C2011" t="s">
        <v>4705</v>
      </c>
      <c r="D2011">
        <v>2.99</v>
      </c>
      <c r="F2011" t="str">
        <f t="shared" si="155"/>
        <v>No</v>
      </c>
      <c r="G2011" t="str">
        <f t="shared" si="156"/>
        <v/>
      </c>
      <c r="H2011" t="str">
        <f t="shared" si="157"/>
        <v>—</v>
      </c>
      <c r="I2011" t="str">
        <f t="shared" si="158"/>
        <v>Below thresholds</v>
      </c>
      <c r="J2011" t="str">
        <f t="shared" si="159"/>
        <v/>
      </c>
    </row>
    <row r="2012" spans="1:10" x14ac:dyDescent="0.2">
      <c r="A2012">
        <v>227009746919</v>
      </c>
      <c r="B2012" t="s">
        <v>4706</v>
      </c>
      <c r="C2012" t="s">
        <v>4707</v>
      </c>
      <c r="D2012">
        <v>1.49</v>
      </c>
      <c r="F2012" t="str">
        <f t="shared" si="155"/>
        <v>No</v>
      </c>
      <c r="G2012" t="str">
        <f t="shared" si="156"/>
        <v/>
      </c>
      <c r="H2012" t="str">
        <f t="shared" si="157"/>
        <v>—</v>
      </c>
      <c r="I2012" t="str">
        <f t="shared" si="158"/>
        <v>Below thresholds</v>
      </c>
      <c r="J2012" t="str">
        <f t="shared" si="159"/>
        <v/>
      </c>
    </row>
    <row r="2013" spans="1:10" x14ac:dyDescent="0.2">
      <c r="A2013">
        <v>227009888400</v>
      </c>
      <c r="B2013" t="s">
        <v>4708</v>
      </c>
      <c r="C2013" t="s">
        <v>4709</v>
      </c>
      <c r="D2013">
        <v>1.5</v>
      </c>
      <c r="F2013" t="str">
        <f t="shared" si="155"/>
        <v>No</v>
      </c>
      <c r="G2013" t="str">
        <f t="shared" si="156"/>
        <v/>
      </c>
      <c r="H2013" t="str">
        <f t="shared" si="157"/>
        <v>—</v>
      </c>
      <c r="I2013" t="str">
        <f t="shared" si="158"/>
        <v>Below thresholds</v>
      </c>
      <c r="J2013" t="str">
        <f t="shared" si="159"/>
        <v/>
      </c>
    </row>
    <row r="2014" spans="1:10" x14ac:dyDescent="0.2">
      <c r="A2014">
        <v>227009888480</v>
      </c>
      <c r="B2014" t="s">
        <v>4710</v>
      </c>
      <c r="C2014" t="s">
        <v>4711</v>
      </c>
      <c r="D2014">
        <v>2.5</v>
      </c>
      <c r="F2014" t="str">
        <f t="shared" si="155"/>
        <v>No</v>
      </c>
      <c r="G2014" t="str">
        <f t="shared" si="156"/>
        <v/>
      </c>
      <c r="H2014" t="str">
        <f t="shared" si="157"/>
        <v>—</v>
      </c>
      <c r="I2014" t="str">
        <f t="shared" si="158"/>
        <v>Below thresholds</v>
      </c>
      <c r="J2014" t="str">
        <f t="shared" si="159"/>
        <v/>
      </c>
    </row>
    <row r="2015" spans="1:10" x14ac:dyDescent="0.2">
      <c r="A2015">
        <v>227019577815</v>
      </c>
      <c r="B2015" t="s">
        <v>4712</v>
      </c>
      <c r="C2015" t="s">
        <v>4713</v>
      </c>
      <c r="D2015">
        <v>4.99</v>
      </c>
      <c r="F2015" t="str">
        <f t="shared" si="155"/>
        <v>No</v>
      </c>
      <c r="G2015" t="str">
        <f t="shared" si="156"/>
        <v/>
      </c>
      <c r="H2015" t="str">
        <f t="shared" si="157"/>
        <v>—</v>
      </c>
      <c r="I2015" t="str">
        <f t="shared" si="158"/>
        <v>Below thresholds</v>
      </c>
      <c r="J2015" t="str">
        <f t="shared" si="159"/>
        <v/>
      </c>
    </row>
    <row r="2016" spans="1:10" x14ac:dyDescent="0.2">
      <c r="A2016">
        <v>227019577817</v>
      </c>
      <c r="B2016" t="s">
        <v>4714</v>
      </c>
      <c r="C2016" t="s">
        <v>4715</v>
      </c>
      <c r="D2016">
        <v>6.99</v>
      </c>
      <c r="F2016" t="str">
        <f t="shared" si="155"/>
        <v>No</v>
      </c>
      <c r="G2016" t="str">
        <f t="shared" si="156"/>
        <v/>
      </c>
      <c r="H2016" t="str">
        <f t="shared" si="157"/>
        <v>—</v>
      </c>
      <c r="I2016" t="str">
        <f t="shared" si="158"/>
        <v>Below thresholds</v>
      </c>
      <c r="J2016" t="str">
        <f t="shared" si="159"/>
        <v/>
      </c>
    </row>
    <row r="2017" spans="1:10" x14ac:dyDescent="0.2">
      <c r="A2017">
        <v>227019692944</v>
      </c>
      <c r="B2017" t="s">
        <v>4716</v>
      </c>
      <c r="C2017" t="s">
        <v>4717</v>
      </c>
      <c r="D2017">
        <v>1.99</v>
      </c>
      <c r="F2017" t="str">
        <f t="shared" si="155"/>
        <v>No</v>
      </c>
      <c r="G2017" t="str">
        <f t="shared" si="156"/>
        <v/>
      </c>
      <c r="H2017" t="str">
        <f t="shared" si="157"/>
        <v>—</v>
      </c>
      <c r="I2017" t="str">
        <f t="shared" si="158"/>
        <v>Below thresholds</v>
      </c>
      <c r="J2017" t="str">
        <f t="shared" si="159"/>
        <v/>
      </c>
    </row>
    <row r="2018" spans="1:10" x14ac:dyDescent="0.2">
      <c r="A2018">
        <v>227019692946</v>
      </c>
      <c r="B2018" t="s">
        <v>4718</v>
      </c>
      <c r="C2018" t="s">
        <v>4719</v>
      </c>
      <c r="D2018">
        <v>1.99</v>
      </c>
      <c r="F2018" t="str">
        <f t="shared" si="155"/>
        <v>No</v>
      </c>
      <c r="G2018" t="str">
        <f t="shared" si="156"/>
        <v/>
      </c>
      <c r="H2018" t="str">
        <f t="shared" si="157"/>
        <v>—</v>
      </c>
      <c r="I2018" t="str">
        <f t="shared" si="158"/>
        <v>Below thresholds</v>
      </c>
      <c r="J2018" t="str">
        <f t="shared" si="159"/>
        <v/>
      </c>
    </row>
    <row r="2019" spans="1:10" x14ac:dyDescent="0.2">
      <c r="A2019">
        <v>227019692947</v>
      </c>
      <c r="B2019" t="s">
        <v>4720</v>
      </c>
      <c r="C2019" t="s">
        <v>4721</v>
      </c>
      <c r="D2019">
        <v>1.99</v>
      </c>
      <c r="F2019" t="str">
        <f t="shared" si="155"/>
        <v>No</v>
      </c>
      <c r="G2019" t="str">
        <f t="shared" si="156"/>
        <v/>
      </c>
      <c r="H2019" t="str">
        <f t="shared" si="157"/>
        <v>—</v>
      </c>
      <c r="I2019" t="str">
        <f t="shared" si="158"/>
        <v>Below thresholds</v>
      </c>
      <c r="J2019" t="str">
        <f t="shared" si="159"/>
        <v/>
      </c>
    </row>
    <row r="2020" spans="1:10" x14ac:dyDescent="0.2">
      <c r="A2020">
        <v>227019692949</v>
      </c>
      <c r="B2020" t="s">
        <v>4722</v>
      </c>
      <c r="C2020" t="s">
        <v>4723</v>
      </c>
      <c r="D2020">
        <v>1.99</v>
      </c>
      <c r="F2020" t="str">
        <f t="shared" si="155"/>
        <v>No</v>
      </c>
      <c r="G2020" t="str">
        <f t="shared" si="156"/>
        <v/>
      </c>
      <c r="H2020" t="str">
        <f t="shared" si="157"/>
        <v>—</v>
      </c>
      <c r="I2020" t="str">
        <f t="shared" si="158"/>
        <v>Below thresholds</v>
      </c>
      <c r="J2020" t="str">
        <f t="shared" si="159"/>
        <v/>
      </c>
    </row>
    <row r="2021" spans="1:10" x14ac:dyDescent="0.2">
      <c r="A2021">
        <v>227019692951</v>
      </c>
      <c r="B2021" t="s">
        <v>4724</v>
      </c>
      <c r="C2021" t="s">
        <v>4725</v>
      </c>
      <c r="D2021">
        <v>1.99</v>
      </c>
      <c r="F2021" t="str">
        <f t="shared" si="155"/>
        <v>No</v>
      </c>
      <c r="G2021" t="str">
        <f t="shared" si="156"/>
        <v/>
      </c>
      <c r="H2021" t="str">
        <f t="shared" si="157"/>
        <v>—</v>
      </c>
      <c r="I2021" t="str">
        <f t="shared" si="158"/>
        <v>Below thresholds</v>
      </c>
      <c r="J2021" t="str">
        <f t="shared" si="159"/>
        <v/>
      </c>
    </row>
    <row r="2022" spans="1:10" x14ac:dyDescent="0.2">
      <c r="A2022">
        <v>227019692954</v>
      </c>
      <c r="B2022" t="s">
        <v>4726</v>
      </c>
      <c r="C2022" t="s">
        <v>4727</v>
      </c>
      <c r="D2022">
        <v>1.99</v>
      </c>
      <c r="F2022" t="str">
        <f t="shared" si="155"/>
        <v>No</v>
      </c>
      <c r="G2022" t="str">
        <f t="shared" si="156"/>
        <v/>
      </c>
      <c r="H2022" t="str">
        <f t="shared" si="157"/>
        <v>—</v>
      </c>
      <c r="I2022" t="str">
        <f t="shared" si="158"/>
        <v>Below thresholds</v>
      </c>
      <c r="J2022" t="str">
        <f t="shared" si="159"/>
        <v/>
      </c>
    </row>
    <row r="2023" spans="1:10" x14ac:dyDescent="0.2">
      <c r="A2023">
        <v>227019692960</v>
      </c>
      <c r="B2023" t="s">
        <v>4728</v>
      </c>
      <c r="C2023" t="s">
        <v>4729</v>
      </c>
      <c r="D2023">
        <v>1.99</v>
      </c>
      <c r="F2023" t="str">
        <f t="shared" si="155"/>
        <v>No</v>
      </c>
      <c r="G2023" t="str">
        <f t="shared" si="156"/>
        <v/>
      </c>
      <c r="H2023" t="str">
        <f t="shared" si="157"/>
        <v>—</v>
      </c>
      <c r="I2023" t="str">
        <f t="shared" si="158"/>
        <v>Below thresholds</v>
      </c>
      <c r="J2023" t="str">
        <f t="shared" si="159"/>
        <v/>
      </c>
    </row>
    <row r="2024" spans="1:10" x14ac:dyDescent="0.2">
      <c r="A2024">
        <v>227019692962</v>
      </c>
      <c r="B2024" t="s">
        <v>4730</v>
      </c>
      <c r="C2024" t="s">
        <v>4731</v>
      </c>
      <c r="D2024">
        <v>1.99</v>
      </c>
      <c r="F2024" t="str">
        <f t="shared" si="155"/>
        <v>No</v>
      </c>
      <c r="G2024" t="str">
        <f t="shared" si="156"/>
        <v/>
      </c>
      <c r="H2024" t="str">
        <f t="shared" si="157"/>
        <v>—</v>
      </c>
      <c r="I2024" t="str">
        <f t="shared" si="158"/>
        <v>Below thresholds</v>
      </c>
      <c r="J2024" t="str">
        <f t="shared" si="159"/>
        <v/>
      </c>
    </row>
    <row r="2025" spans="1:10" x14ac:dyDescent="0.2">
      <c r="A2025">
        <v>227019692963</v>
      </c>
      <c r="B2025" t="s">
        <v>4732</v>
      </c>
      <c r="C2025" t="s">
        <v>4733</v>
      </c>
      <c r="D2025">
        <v>1.99</v>
      </c>
      <c r="F2025" t="str">
        <f t="shared" si="155"/>
        <v>No</v>
      </c>
      <c r="G2025" t="str">
        <f t="shared" si="156"/>
        <v/>
      </c>
      <c r="H2025" t="str">
        <f t="shared" si="157"/>
        <v>—</v>
      </c>
      <c r="I2025" t="str">
        <f t="shared" si="158"/>
        <v>Below thresholds</v>
      </c>
      <c r="J2025" t="str">
        <f t="shared" si="159"/>
        <v/>
      </c>
    </row>
    <row r="2026" spans="1:10" x14ac:dyDescent="0.2">
      <c r="A2026">
        <v>227019692967</v>
      </c>
      <c r="B2026" t="s">
        <v>4734</v>
      </c>
      <c r="C2026" t="s">
        <v>4735</v>
      </c>
      <c r="D2026">
        <v>1.99</v>
      </c>
      <c r="F2026" t="str">
        <f t="shared" si="155"/>
        <v>No</v>
      </c>
      <c r="G2026" t="str">
        <f t="shared" si="156"/>
        <v/>
      </c>
      <c r="H2026" t="str">
        <f t="shared" si="157"/>
        <v>—</v>
      </c>
      <c r="I2026" t="str">
        <f t="shared" si="158"/>
        <v>Below thresholds</v>
      </c>
      <c r="J2026" t="str">
        <f t="shared" si="159"/>
        <v/>
      </c>
    </row>
    <row r="2027" spans="1:10" x14ac:dyDescent="0.2">
      <c r="A2027">
        <v>227019692968</v>
      </c>
      <c r="B2027" t="s">
        <v>4736</v>
      </c>
      <c r="C2027" t="s">
        <v>4737</v>
      </c>
      <c r="D2027">
        <v>1.99</v>
      </c>
      <c r="F2027" t="str">
        <f t="shared" si="155"/>
        <v>No</v>
      </c>
      <c r="G2027" t="str">
        <f t="shared" si="156"/>
        <v/>
      </c>
      <c r="H2027" t="str">
        <f t="shared" si="157"/>
        <v>—</v>
      </c>
      <c r="I2027" t="str">
        <f t="shared" si="158"/>
        <v>Below thresholds</v>
      </c>
      <c r="J2027" t="str">
        <f t="shared" si="159"/>
        <v/>
      </c>
    </row>
    <row r="2028" spans="1:10" x14ac:dyDescent="0.2">
      <c r="A2028">
        <v>227019692969</v>
      </c>
      <c r="B2028" t="s">
        <v>4738</v>
      </c>
      <c r="C2028" t="s">
        <v>4739</v>
      </c>
      <c r="D2028">
        <v>1.99</v>
      </c>
      <c r="F2028" t="str">
        <f t="shared" si="155"/>
        <v>No</v>
      </c>
      <c r="G2028" t="str">
        <f t="shared" si="156"/>
        <v/>
      </c>
      <c r="H2028" t="str">
        <f t="shared" si="157"/>
        <v>—</v>
      </c>
      <c r="I2028" t="str">
        <f t="shared" si="158"/>
        <v>Below thresholds</v>
      </c>
      <c r="J2028" t="str">
        <f t="shared" si="159"/>
        <v/>
      </c>
    </row>
    <row r="2029" spans="1:10" x14ac:dyDescent="0.2">
      <c r="A2029">
        <v>227019692970</v>
      </c>
      <c r="B2029" t="s">
        <v>4740</v>
      </c>
      <c r="C2029" t="s">
        <v>4741</v>
      </c>
      <c r="D2029">
        <v>1.99</v>
      </c>
      <c r="F2029" t="str">
        <f t="shared" si="155"/>
        <v>No</v>
      </c>
      <c r="G2029" t="str">
        <f t="shared" si="156"/>
        <v/>
      </c>
      <c r="H2029" t="str">
        <f t="shared" si="157"/>
        <v>—</v>
      </c>
      <c r="I2029" t="str">
        <f t="shared" si="158"/>
        <v>Below thresholds</v>
      </c>
      <c r="J2029" t="str">
        <f t="shared" si="159"/>
        <v/>
      </c>
    </row>
    <row r="2030" spans="1:10" x14ac:dyDescent="0.2">
      <c r="A2030">
        <v>227019692971</v>
      </c>
      <c r="B2030" t="s">
        <v>4742</v>
      </c>
      <c r="C2030" t="s">
        <v>4743</v>
      </c>
      <c r="D2030">
        <v>1.99</v>
      </c>
      <c r="F2030" t="str">
        <f t="shared" si="155"/>
        <v>No</v>
      </c>
      <c r="G2030" t="str">
        <f t="shared" si="156"/>
        <v/>
      </c>
      <c r="H2030" t="str">
        <f t="shared" si="157"/>
        <v>—</v>
      </c>
      <c r="I2030" t="str">
        <f t="shared" si="158"/>
        <v>Below thresholds</v>
      </c>
      <c r="J2030" t="str">
        <f t="shared" si="159"/>
        <v/>
      </c>
    </row>
    <row r="2031" spans="1:10" x14ac:dyDescent="0.2">
      <c r="A2031">
        <v>227019692973</v>
      </c>
      <c r="B2031" t="s">
        <v>4744</v>
      </c>
      <c r="C2031" t="s">
        <v>4745</v>
      </c>
      <c r="D2031">
        <v>1.99</v>
      </c>
      <c r="F2031" t="str">
        <f t="shared" si="155"/>
        <v>No</v>
      </c>
      <c r="G2031" t="str">
        <f t="shared" si="156"/>
        <v/>
      </c>
      <c r="H2031" t="str">
        <f t="shared" si="157"/>
        <v>—</v>
      </c>
      <c r="I2031" t="str">
        <f t="shared" si="158"/>
        <v>Below thresholds</v>
      </c>
      <c r="J2031" t="str">
        <f t="shared" si="159"/>
        <v/>
      </c>
    </row>
    <row r="2032" spans="1:10" x14ac:dyDescent="0.2">
      <c r="A2032">
        <v>227019692974</v>
      </c>
      <c r="B2032" t="s">
        <v>4746</v>
      </c>
      <c r="C2032" t="s">
        <v>4747</v>
      </c>
      <c r="D2032">
        <v>1.99</v>
      </c>
      <c r="F2032" t="str">
        <f t="shared" si="155"/>
        <v>No</v>
      </c>
      <c r="G2032" t="str">
        <f t="shared" si="156"/>
        <v/>
      </c>
      <c r="H2032" t="str">
        <f t="shared" si="157"/>
        <v>—</v>
      </c>
      <c r="I2032" t="str">
        <f t="shared" si="158"/>
        <v>Below thresholds</v>
      </c>
      <c r="J2032" t="str">
        <f t="shared" si="159"/>
        <v/>
      </c>
    </row>
    <row r="2033" spans="1:10" x14ac:dyDescent="0.2">
      <c r="A2033">
        <v>227019692975</v>
      </c>
      <c r="B2033" t="s">
        <v>4748</v>
      </c>
      <c r="C2033" t="s">
        <v>4749</v>
      </c>
      <c r="D2033">
        <v>1.99</v>
      </c>
      <c r="F2033" t="str">
        <f t="shared" si="155"/>
        <v>No</v>
      </c>
      <c r="G2033" t="str">
        <f t="shared" si="156"/>
        <v/>
      </c>
      <c r="H2033" t="str">
        <f t="shared" si="157"/>
        <v>—</v>
      </c>
      <c r="I2033" t="str">
        <f t="shared" si="158"/>
        <v>Below thresholds</v>
      </c>
      <c r="J2033" t="str">
        <f t="shared" si="159"/>
        <v/>
      </c>
    </row>
    <row r="2034" spans="1:10" x14ac:dyDescent="0.2">
      <c r="A2034">
        <v>227019692977</v>
      </c>
      <c r="B2034" t="s">
        <v>4750</v>
      </c>
      <c r="C2034" t="s">
        <v>4751</v>
      </c>
      <c r="D2034">
        <v>1.99</v>
      </c>
      <c r="F2034" t="str">
        <f t="shared" si="155"/>
        <v>No</v>
      </c>
      <c r="G2034" t="str">
        <f t="shared" si="156"/>
        <v/>
      </c>
      <c r="H2034" t="str">
        <f t="shared" si="157"/>
        <v>—</v>
      </c>
      <c r="I2034" t="str">
        <f t="shared" si="158"/>
        <v>Below thresholds</v>
      </c>
      <c r="J2034" t="str">
        <f t="shared" si="159"/>
        <v/>
      </c>
    </row>
    <row r="2035" spans="1:10" x14ac:dyDescent="0.2">
      <c r="A2035">
        <v>227019692978</v>
      </c>
      <c r="B2035" t="s">
        <v>4752</v>
      </c>
      <c r="C2035" t="s">
        <v>4753</v>
      </c>
      <c r="D2035">
        <v>1.99</v>
      </c>
      <c r="F2035" t="str">
        <f t="shared" si="155"/>
        <v>No</v>
      </c>
      <c r="G2035" t="str">
        <f t="shared" si="156"/>
        <v/>
      </c>
      <c r="H2035" t="str">
        <f t="shared" si="157"/>
        <v>—</v>
      </c>
      <c r="I2035" t="str">
        <f t="shared" si="158"/>
        <v>Below thresholds</v>
      </c>
      <c r="J2035" t="str">
        <f t="shared" si="159"/>
        <v/>
      </c>
    </row>
    <row r="2036" spans="1:10" x14ac:dyDescent="0.2">
      <c r="A2036">
        <v>227019692980</v>
      </c>
      <c r="B2036" t="s">
        <v>4754</v>
      </c>
      <c r="C2036" t="s">
        <v>4755</v>
      </c>
      <c r="D2036">
        <v>1.99</v>
      </c>
      <c r="F2036" t="str">
        <f t="shared" si="155"/>
        <v>No</v>
      </c>
      <c r="G2036" t="str">
        <f t="shared" si="156"/>
        <v/>
      </c>
      <c r="H2036" t="str">
        <f t="shared" si="157"/>
        <v>—</v>
      </c>
      <c r="I2036" t="str">
        <f t="shared" si="158"/>
        <v>Below thresholds</v>
      </c>
      <c r="J2036" t="str">
        <f t="shared" si="159"/>
        <v/>
      </c>
    </row>
    <row r="2037" spans="1:10" x14ac:dyDescent="0.2">
      <c r="A2037">
        <v>227019692981</v>
      </c>
      <c r="B2037" t="s">
        <v>4756</v>
      </c>
      <c r="C2037" t="s">
        <v>4757</v>
      </c>
      <c r="D2037">
        <v>1.99</v>
      </c>
      <c r="F2037" t="str">
        <f t="shared" si="155"/>
        <v>No</v>
      </c>
      <c r="G2037" t="str">
        <f t="shared" si="156"/>
        <v/>
      </c>
      <c r="H2037" t="str">
        <f t="shared" si="157"/>
        <v>—</v>
      </c>
      <c r="I2037" t="str">
        <f t="shared" si="158"/>
        <v>Below thresholds</v>
      </c>
      <c r="J2037" t="str">
        <f t="shared" si="159"/>
        <v/>
      </c>
    </row>
    <row r="2038" spans="1:10" x14ac:dyDescent="0.2">
      <c r="A2038">
        <v>227019692982</v>
      </c>
      <c r="B2038" t="s">
        <v>4758</v>
      </c>
      <c r="C2038" t="s">
        <v>4759</v>
      </c>
      <c r="D2038">
        <v>1.99</v>
      </c>
      <c r="F2038" t="str">
        <f t="shared" si="155"/>
        <v>No</v>
      </c>
      <c r="G2038" t="str">
        <f t="shared" si="156"/>
        <v/>
      </c>
      <c r="H2038" t="str">
        <f t="shared" si="157"/>
        <v>—</v>
      </c>
      <c r="I2038" t="str">
        <f t="shared" si="158"/>
        <v>Below thresholds</v>
      </c>
      <c r="J2038" t="str">
        <f t="shared" si="159"/>
        <v/>
      </c>
    </row>
    <row r="2039" spans="1:10" x14ac:dyDescent="0.2">
      <c r="A2039">
        <v>227019834930</v>
      </c>
      <c r="B2039" t="s">
        <v>4760</v>
      </c>
      <c r="C2039" t="s">
        <v>4761</v>
      </c>
      <c r="D2039">
        <v>1.99</v>
      </c>
      <c r="F2039" t="str">
        <f t="shared" si="155"/>
        <v>No</v>
      </c>
      <c r="G2039" t="str">
        <f t="shared" si="156"/>
        <v/>
      </c>
      <c r="H2039" t="str">
        <f t="shared" si="157"/>
        <v>—</v>
      </c>
      <c r="I2039" t="str">
        <f t="shared" si="158"/>
        <v>Below thresholds</v>
      </c>
      <c r="J2039" t="str">
        <f t="shared" si="159"/>
        <v/>
      </c>
    </row>
    <row r="2040" spans="1:10" x14ac:dyDescent="0.2">
      <c r="A2040">
        <v>227019834938</v>
      </c>
      <c r="B2040" t="s">
        <v>4762</v>
      </c>
      <c r="C2040" t="s">
        <v>4763</v>
      </c>
      <c r="D2040">
        <v>1.99</v>
      </c>
      <c r="F2040" t="str">
        <f t="shared" si="155"/>
        <v>No</v>
      </c>
      <c r="G2040" t="str">
        <f t="shared" si="156"/>
        <v/>
      </c>
      <c r="H2040" t="str">
        <f t="shared" si="157"/>
        <v>—</v>
      </c>
      <c r="I2040" t="str">
        <f t="shared" si="158"/>
        <v>Below thresholds</v>
      </c>
      <c r="J2040" t="str">
        <f t="shared" si="159"/>
        <v/>
      </c>
    </row>
    <row r="2041" spans="1:10" x14ac:dyDescent="0.2">
      <c r="A2041">
        <v>227019835220</v>
      </c>
      <c r="B2041" t="s">
        <v>4764</v>
      </c>
      <c r="C2041" t="s">
        <v>4765</v>
      </c>
      <c r="D2041">
        <v>2.4500000000000002</v>
      </c>
      <c r="F2041" t="str">
        <f t="shared" si="155"/>
        <v>No</v>
      </c>
      <c r="G2041" t="str">
        <f t="shared" si="156"/>
        <v/>
      </c>
      <c r="H2041" t="str">
        <f t="shared" si="157"/>
        <v>—</v>
      </c>
      <c r="I2041" t="str">
        <f t="shared" si="158"/>
        <v>Below thresholds</v>
      </c>
      <c r="J2041" t="str">
        <f t="shared" si="159"/>
        <v/>
      </c>
    </row>
    <row r="2042" spans="1:10" x14ac:dyDescent="0.2">
      <c r="A2042">
        <v>227019835899</v>
      </c>
      <c r="B2042" t="s">
        <v>4766</v>
      </c>
      <c r="C2042" t="s">
        <v>4767</v>
      </c>
      <c r="D2042">
        <v>1.99</v>
      </c>
      <c r="F2042" t="str">
        <f t="shared" si="155"/>
        <v>No</v>
      </c>
      <c r="G2042" t="str">
        <f t="shared" si="156"/>
        <v/>
      </c>
      <c r="H2042" t="str">
        <f t="shared" si="157"/>
        <v>—</v>
      </c>
      <c r="I2042" t="str">
        <f t="shared" si="158"/>
        <v>Below thresholds</v>
      </c>
      <c r="J2042" t="str">
        <f t="shared" si="159"/>
        <v/>
      </c>
    </row>
    <row r="2043" spans="1:10" x14ac:dyDescent="0.2">
      <c r="A2043">
        <v>227019836442</v>
      </c>
      <c r="B2043" t="s">
        <v>4768</v>
      </c>
      <c r="C2043" t="s">
        <v>4769</v>
      </c>
      <c r="D2043">
        <v>1.59</v>
      </c>
      <c r="F2043" t="str">
        <f t="shared" si="155"/>
        <v>No</v>
      </c>
      <c r="G2043" t="str">
        <f t="shared" si="156"/>
        <v/>
      </c>
      <c r="H2043" t="str">
        <f t="shared" si="157"/>
        <v>—</v>
      </c>
      <c r="I2043" t="str">
        <f t="shared" si="158"/>
        <v>Below thresholds</v>
      </c>
      <c r="J2043" t="str">
        <f t="shared" si="159"/>
        <v/>
      </c>
    </row>
    <row r="2044" spans="1:10" x14ac:dyDescent="0.2">
      <c r="A2044">
        <v>227019836524</v>
      </c>
      <c r="B2044" t="s">
        <v>4770</v>
      </c>
      <c r="C2044" t="s">
        <v>4771</v>
      </c>
      <c r="D2044">
        <v>2.99</v>
      </c>
      <c r="F2044" t="str">
        <f t="shared" si="155"/>
        <v>No</v>
      </c>
      <c r="G2044" t="str">
        <f t="shared" si="156"/>
        <v/>
      </c>
      <c r="H2044" t="str">
        <f t="shared" si="157"/>
        <v>—</v>
      </c>
      <c r="I2044" t="str">
        <f t="shared" si="158"/>
        <v>Below thresholds</v>
      </c>
      <c r="J2044" t="str">
        <f t="shared" si="159"/>
        <v/>
      </c>
    </row>
    <row r="2045" spans="1:10" x14ac:dyDescent="0.2">
      <c r="A2045">
        <v>227019836602</v>
      </c>
      <c r="B2045" t="s">
        <v>4772</v>
      </c>
      <c r="C2045" t="s">
        <v>4773</v>
      </c>
      <c r="D2045">
        <v>2.59</v>
      </c>
      <c r="F2045" t="str">
        <f t="shared" si="155"/>
        <v>No</v>
      </c>
      <c r="G2045" t="str">
        <f t="shared" si="156"/>
        <v/>
      </c>
      <c r="H2045" t="str">
        <f t="shared" si="157"/>
        <v>—</v>
      </c>
      <c r="I2045" t="str">
        <f t="shared" si="158"/>
        <v>Below thresholds</v>
      </c>
      <c r="J2045" t="str">
        <f t="shared" si="159"/>
        <v/>
      </c>
    </row>
    <row r="2046" spans="1:10" x14ac:dyDescent="0.2">
      <c r="A2046">
        <v>227019836761</v>
      </c>
      <c r="B2046" t="s">
        <v>4774</v>
      </c>
      <c r="C2046" t="s">
        <v>4775</v>
      </c>
      <c r="D2046">
        <v>1.59</v>
      </c>
      <c r="F2046" t="str">
        <f t="shared" si="155"/>
        <v>No</v>
      </c>
      <c r="G2046" t="str">
        <f t="shared" si="156"/>
        <v/>
      </c>
      <c r="H2046" t="str">
        <f t="shared" si="157"/>
        <v>—</v>
      </c>
      <c r="I2046" t="str">
        <f t="shared" si="158"/>
        <v>Below thresholds</v>
      </c>
      <c r="J2046" t="str">
        <f t="shared" si="159"/>
        <v/>
      </c>
    </row>
    <row r="2047" spans="1:10" x14ac:dyDescent="0.2">
      <c r="A2047">
        <v>227019836778</v>
      </c>
      <c r="B2047" t="s">
        <v>4776</v>
      </c>
      <c r="C2047" t="s">
        <v>4777</v>
      </c>
      <c r="D2047">
        <v>1.99</v>
      </c>
      <c r="F2047" t="str">
        <f t="shared" si="155"/>
        <v>No</v>
      </c>
      <c r="G2047" t="str">
        <f t="shared" si="156"/>
        <v/>
      </c>
      <c r="H2047" t="str">
        <f t="shared" si="157"/>
        <v>—</v>
      </c>
      <c r="I2047" t="str">
        <f t="shared" si="158"/>
        <v>Below thresholds</v>
      </c>
      <c r="J2047" t="str">
        <f t="shared" si="159"/>
        <v/>
      </c>
    </row>
    <row r="2048" spans="1:10" x14ac:dyDescent="0.2">
      <c r="A2048">
        <v>227019836783</v>
      </c>
      <c r="B2048" t="s">
        <v>4778</v>
      </c>
      <c r="C2048" t="s">
        <v>4779</v>
      </c>
      <c r="D2048">
        <v>1.99</v>
      </c>
      <c r="F2048" t="str">
        <f t="shared" si="155"/>
        <v>No</v>
      </c>
      <c r="G2048" t="str">
        <f t="shared" si="156"/>
        <v/>
      </c>
      <c r="H2048" t="str">
        <f t="shared" si="157"/>
        <v>—</v>
      </c>
      <c r="I2048" t="str">
        <f t="shared" si="158"/>
        <v>Below thresholds</v>
      </c>
      <c r="J2048" t="str">
        <f t="shared" si="159"/>
        <v/>
      </c>
    </row>
    <row r="2049" spans="1:10" x14ac:dyDescent="0.2">
      <c r="A2049">
        <v>227019836873</v>
      </c>
      <c r="B2049" t="s">
        <v>4780</v>
      </c>
      <c r="C2049" t="s">
        <v>4781</v>
      </c>
      <c r="D2049">
        <v>1.79</v>
      </c>
      <c r="F2049" t="str">
        <f t="shared" si="155"/>
        <v>No</v>
      </c>
      <c r="G2049" t="str">
        <f t="shared" si="156"/>
        <v/>
      </c>
      <c r="H2049" t="str">
        <f t="shared" si="157"/>
        <v>—</v>
      </c>
      <c r="I2049" t="str">
        <f t="shared" si="158"/>
        <v>Below thresholds</v>
      </c>
      <c r="J2049" t="str">
        <f t="shared" si="159"/>
        <v/>
      </c>
    </row>
    <row r="2050" spans="1:10" x14ac:dyDescent="0.2">
      <c r="A2050">
        <v>227019836908</v>
      </c>
      <c r="B2050" t="s">
        <v>4782</v>
      </c>
      <c r="C2050" t="s">
        <v>4783</v>
      </c>
      <c r="D2050">
        <v>1.99</v>
      </c>
      <c r="F2050" t="str">
        <f t="shared" si="155"/>
        <v>No</v>
      </c>
      <c r="G2050" t="str">
        <f t="shared" si="156"/>
        <v/>
      </c>
      <c r="H2050" t="str">
        <f t="shared" si="157"/>
        <v>—</v>
      </c>
      <c r="I2050" t="str">
        <f t="shared" si="158"/>
        <v>Below thresholds</v>
      </c>
      <c r="J2050" t="str">
        <f t="shared" si="159"/>
        <v/>
      </c>
    </row>
    <row r="2051" spans="1:10" x14ac:dyDescent="0.2">
      <c r="A2051">
        <v>227019836909</v>
      </c>
      <c r="B2051" t="s">
        <v>4784</v>
      </c>
      <c r="C2051" t="s">
        <v>4785</v>
      </c>
      <c r="D2051">
        <v>1.59</v>
      </c>
      <c r="F2051" t="str">
        <f t="shared" si="155"/>
        <v>No</v>
      </c>
      <c r="G2051" t="str">
        <f t="shared" si="156"/>
        <v/>
      </c>
      <c r="H2051" t="str">
        <f t="shared" si="157"/>
        <v>—</v>
      </c>
      <c r="I2051" t="str">
        <f t="shared" si="158"/>
        <v>Below thresholds</v>
      </c>
      <c r="J2051" t="str">
        <f t="shared" si="159"/>
        <v/>
      </c>
    </row>
    <row r="2052" spans="1:10" x14ac:dyDescent="0.2">
      <c r="A2052">
        <v>227019837001</v>
      </c>
      <c r="B2052" t="s">
        <v>4786</v>
      </c>
      <c r="C2052" t="s">
        <v>4787</v>
      </c>
      <c r="D2052">
        <v>1.59</v>
      </c>
      <c r="F2052" t="str">
        <f t="shared" si="155"/>
        <v>No</v>
      </c>
      <c r="G2052" t="str">
        <f t="shared" si="156"/>
        <v/>
      </c>
      <c r="H2052" t="str">
        <f t="shared" si="157"/>
        <v>—</v>
      </c>
      <c r="I2052" t="str">
        <f t="shared" si="158"/>
        <v>Below thresholds</v>
      </c>
      <c r="J2052" t="str">
        <f t="shared" si="159"/>
        <v/>
      </c>
    </row>
    <row r="2053" spans="1:10" x14ac:dyDescent="0.2">
      <c r="A2053">
        <v>227019837030</v>
      </c>
      <c r="B2053" t="s">
        <v>4788</v>
      </c>
      <c r="C2053" t="s">
        <v>4789</v>
      </c>
      <c r="D2053">
        <v>1.49</v>
      </c>
      <c r="F2053" t="str">
        <f t="shared" ref="F2053:F2116" si="160">IF($B2053="","",IF(ISNUMBER(SEARCH("PSA",$B2053)),"Yes","No"))</f>
        <v>No</v>
      </c>
      <c r="G2053" t="str">
        <f t="shared" ref="G2053:G2116" si="161">IF($B2053="","",IF(ISNUMBER(SEARCH("PSA 10",$B2053)),10,IF(ISNUMBER(SEARCH("PSA 9.5",$B2053)),9.5,IF(ISNUMBER(SEARCH("PSA 9",$B2053)),9,IF(ISNUMBER(SEARCH("PSA 8",$B2053)),8,IF(ISNUMBER(SEARCH("PSA",$B2053)),"&lt;9",""))))))</f>
        <v/>
      </c>
      <c r="H2053" t="str">
        <f t="shared" ref="H2053:H2116" si="162">IF($B2053="","",IF($D2053&gt;=100,"TIER 2",IF(OR(ISNUMBER(SEARCH("PSA 10",$B2053)),ISNUMBER(SEARCH("PSA 9.5",$B2053)),ISNUMBER(SEARCH("PSA 9",$B2053))),"TIER 3",IF(AND($D2053&gt;20,N($E2053)&gt;=15),"TIER 1","—"))))</f>
        <v>—</v>
      </c>
      <c r="I2053" t="str">
        <f t="shared" ref="I2053:I2116" si="163">IF($B2053="","",IF($D2053&gt;=100,"Premium $100+ (auto)",IF(OR(ISNUMBER(SEARCH("PSA 10",$B2053)),ISNUMBER(SEARCH("PSA 9.5",$B2053)),ISNUMBER(SEARCH("PSA 9",$B2053))),"Graded PSA 9+ (auto)",IF(AND($D2053&gt;20,N($E2053)&gt;=15),"Hot: $20+ &amp; "&amp;$E2053&amp;"/day",IF($D2053&gt;20,"$20+ — needs velocity check","Below thresholds")))))</f>
        <v>Below thresholds</v>
      </c>
      <c r="J2053" t="str">
        <f t="shared" ref="J2053:J2116" si="164">IF($B2053="","",IF(AND($D2053&gt;20,$D2053&lt;100,NOT(OR(ISNUMBER(SEARCH("PSA 10",$B2053)),ISNUMBER(SEARCH("PSA 9.5",$B2053)),ISNUMBER(SEARCH("PSA 9",$B2053)))),$E2053=""),"YES — pull CardHedger",""))</f>
        <v/>
      </c>
    </row>
    <row r="2054" spans="1:10" x14ac:dyDescent="0.2">
      <c r="A2054">
        <v>227019837039</v>
      </c>
      <c r="B2054" t="s">
        <v>4790</v>
      </c>
      <c r="C2054" t="s">
        <v>4791</v>
      </c>
      <c r="D2054">
        <v>2.09</v>
      </c>
      <c r="F2054" t="str">
        <f t="shared" si="160"/>
        <v>No</v>
      </c>
      <c r="G2054" t="str">
        <f t="shared" si="161"/>
        <v/>
      </c>
      <c r="H2054" t="str">
        <f t="shared" si="162"/>
        <v>—</v>
      </c>
      <c r="I2054" t="str">
        <f t="shared" si="163"/>
        <v>Below thresholds</v>
      </c>
      <c r="J2054" t="str">
        <f t="shared" si="164"/>
        <v/>
      </c>
    </row>
    <row r="2055" spans="1:10" x14ac:dyDescent="0.2">
      <c r="A2055">
        <v>227019837131</v>
      </c>
      <c r="B2055" t="s">
        <v>4792</v>
      </c>
      <c r="C2055" t="s">
        <v>4793</v>
      </c>
      <c r="D2055">
        <v>1.89</v>
      </c>
      <c r="F2055" t="str">
        <f t="shared" si="160"/>
        <v>No</v>
      </c>
      <c r="G2055" t="str">
        <f t="shared" si="161"/>
        <v/>
      </c>
      <c r="H2055" t="str">
        <f t="shared" si="162"/>
        <v>—</v>
      </c>
      <c r="I2055" t="str">
        <f t="shared" si="163"/>
        <v>Below thresholds</v>
      </c>
      <c r="J2055" t="str">
        <f t="shared" si="164"/>
        <v/>
      </c>
    </row>
    <row r="2056" spans="1:10" x14ac:dyDescent="0.2">
      <c r="A2056">
        <v>227019837155</v>
      </c>
      <c r="B2056" t="s">
        <v>4794</v>
      </c>
      <c r="C2056" t="s">
        <v>4795</v>
      </c>
      <c r="D2056">
        <v>1.89</v>
      </c>
      <c r="F2056" t="str">
        <f t="shared" si="160"/>
        <v>No</v>
      </c>
      <c r="G2056" t="str">
        <f t="shared" si="161"/>
        <v/>
      </c>
      <c r="H2056" t="str">
        <f t="shared" si="162"/>
        <v>—</v>
      </c>
      <c r="I2056" t="str">
        <f t="shared" si="163"/>
        <v>Below thresholds</v>
      </c>
      <c r="J2056" t="str">
        <f t="shared" si="164"/>
        <v/>
      </c>
    </row>
    <row r="2057" spans="1:10" x14ac:dyDescent="0.2">
      <c r="A2057">
        <v>227019837235</v>
      </c>
      <c r="B2057" t="s">
        <v>4796</v>
      </c>
      <c r="C2057" t="s">
        <v>4797</v>
      </c>
      <c r="D2057">
        <v>1.49</v>
      </c>
      <c r="F2057" t="str">
        <f t="shared" si="160"/>
        <v>No</v>
      </c>
      <c r="G2057" t="str">
        <f t="shared" si="161"/>
        <v/>
      </c>
      <c r="H2057" t="str">
        <f t="shared" si="162"/>
        <v>—</v>
      </c>
      <c r="I2057" t="str">
        <f t="shared" si="163"/>
        <v>Below thresholds</v>
      </c>
      <c r="J2057" t="str">
        <f t="shared" si="164"/>
        <v/>
      </c>
    </row>
    <row r="2058" spans="1:10" x14ac:dyDescent="0.2">
      <c r="A2058">
        <v>227019837278</v>
      </c>
      <c r="B2058" t="s">
        <v>4798</v>
      </c>
      <c r="C2058" t="s">
        <v>4799</v>
      </c>
      <c r="D2058">
        <v>1.99</v>
      </c>
      <c r="F2058" t="str">
        <f t="shared" si="160"/>
        <v>No</v>
      </c>
      <c r="G2058" t="str">
        <f t="shared" si="161"/>
        <v/>
      </c>
      <c r="H2058" t="str">
        <f t="shared" si="162"/>
        <v>—</v>
      </c>
      <c r="I2058" t="str">
        <f t="shared" si="163"/>
        <v>Below thresholds</v>
      </c>
      <c r="J2058" t="str">
        <f t="shared" si="164"/>
        <v/>
      </c>
    </row>
    <row r="2059" spans="1:10" x14ac:dyDescent="0.2">
      <c r="A2059">
        <v>227019837296</v>
      </c>
      <c r="B2059" t="s">
        <v>4800</v>
      </c>
      <c r="C2059" t="s">
        <v>4801</v>
      </c>
      <c r="D2059">
        <v>1.69</v>
      </c>
      <c r="F2059" t="str">
        <f t="shared" si="160"/>
        <v>No</v>
      </c>
      <c r="G2059" t="str">
        <f t="shared" si="161"/>
        <v/>
      </c>
      <c r="H2059" t="str">
        <f t="shared" si="162"/>
        <v>—</v>
      </c>
      <c r="I2059" t="str">
        <f t="shared" si="163"/>
        <v>Below thresholds</v>
      </c>
      <c r="J2059" t="str">
        <f t="shared" si="164"/>
        <v/>
      </c>
    </row>
    <row r="2060" spans="1:10" x14ac:dyDescent="0.2">
      <c r="A2060">
        <v>227019837351</v>
      </c>
      <c r="B2060" t="s">
        <v>308</v>
      </c>
      <c r="C2060" t="s">
        <v>4802</v>
      </c>
      <c r="D2060">
        <v>1.99</v>
      </c>
      <c r="F2060" t="str">
        <f t="shared" si="160"/>
        <v>No</v>
      </c>
      <c r="G2060" t="str">
        <f t="shared" si="161"/>
        <v/>
      </c>
      <c r="H2060" t="str">
        <f t="shared" si="162"/>
        <v>—</v>
      </c>
      <c r="I2060" t="str">
        <f t="shared" si="163"/>
        <v>Below thresholds</v>
      </c>
      <c r="J2060" t="str">
        <f t="shared" si="164"/>
        <v/>
      </c>
    </row>
    <row r="2061" spans="1:10" x14ac:dyDescent="0.2">
      <c r="A2061">
        <v>227019837399</v>
      </c>
      <c r="B2061" t="s">
        <v>4803</v>
      </c>
      <c r="C2061" t="s">
        <v>4804</v>
      </c>
      <c r="D2061">
        <v>1.99</v>
      </c>
      <c r="F2061" t="str">
        <f t="shared" si="160"/>
        <v>No</v>
      </c>
      <c r="G2061" t="str">
        <f t="shared" si="161"/>
        <v/>
      </c>
      <c r="H2061" t="str">
        <f t="shared" si="162"/>
        <v>—</v>
      </c>
      <c r="I2061" t="str">
        <f t="shared" si="163"/>
        <v>Below thresholds</v>
      </c>
      <c r="J2061" t="str">
        <f t="shared" si="164"/>
        <v/>
      </c>
    </row>
    <row r="2062" spans="1:10" x14ac:dyDescent="0.2">
      <c r="A2062">
        <v>227019837503</v>
      </c>
      <c r="B2062" t="s">
        <v>4805</v>
      </c>
      <c r="C2062" t="s">
        <v>4806</v>
      </c>
      <c r="D2062">
        <v>1.59</v>
      </c>
      <c r="F2062" t="str">
        <f t="shared" si="160"/>
        <v>No</v>
      </c>
      <c r="G2062" t="str">
        <f t="shared" si="161"/>
        <v/>
      </c>
      <c r="H2062" t="str">
        <f t="shared" si="162"/>
        <v>—</v>
      </c>
      <c r="I2062" t="str">
        <f t="shared" si="163"/>
        <v>Below thresholds</v>
      </c>
      <c r="J2062" t="str">
        <f t="shared" si="164"/>
        <v/>
      </c>
    </row>
    <row r="2063" spans="1:10" x14ac:dyDescent="0.2">
      <c r="A2063">
        <v>227019837533</v>
      </c>
      <c r="B2063" t="s">
        <v>4807</v>
      </c>
      <c r="C2063" t="s">
        <v>4808</v>
      </c>
      <c r="D2063">
        <v>1.78</v>
      </c>
      <c r="F2063" t="str">
        <f t="shared" si="160"/>
        <v>No</v>
      </c>
      <c r="G2063" t="str">
        <f t="shared" si="161"/>
        <v/>
      </c>
      <c r="H2063" t="str">
        <f t="shared" si="162"/>
        <v>—</v>
      </c>
      <c r="I2063" t="str">
        <f t="shared" si="163"/>
        <v>Below thresholds</v>
      </c>
      <c r="J2063" t="str">
        <f t="shared" si="164"/>
        <v/>
      </c>
    </row>
    <row r="2064" spans="1:10" x14ac:dyDescent="0.2">
      <c r="A2064">
        <v>227019837590</v>
      </c>
      <c r="B2064" t="s">
        <v>4809</v>
      </c>
      <c r="C2064" t="s">
        <v>4810</v>
      </c>
      <c r="D2064">
        <v>2.39</v>
      </c>
      <c r="F2064" t="str">
        <f t="shared" si="160"/>
        <v>No</v>
      </c>
      <c r="G2064" t="str">
        <f t="shared" si="161"/>
        <v/>
      </c>
      <c r="H2064" t="str">
        <f t="shared" si="162"/>
        <v>—</v>
      </c>
      <c r="I2064" t="str">
        <f t="shared" si="163"/>
        <v>Below thresholds</v>
      </c>
      <c r="J2064" t="str">
        <f t="shared" si="164"/>
        <v/>
      </c>
    </row>
    <row r="2065" spans="1:10" x14ac:dyDescent="0.2">
      <c r="A2065">
        <v>227019837595</v>
      </c>
      <c r="B2065" t="s">
        <v>4811</v>
      </c>
      <c r="C2065" t="s">
        <v>4812</v>
      </c>
      <c r="D2065">
        <v>7.69</v>
      </c>
      <c r="F2065" t="str">
        <f t="shared" si="160"/>
        <v>No</v>
      </c>
      <c r="G2065" t="str">
        <f t="shared" si="161"/>
        <v/>
      </c>
      <c r="H2065" t="str">
        <f t="shared" si="162"/>
        <v>—</v>
      </c>
      <c r="I2065" t="str">
        <f t="shared" si="163"/>
        <v>Below thresholds</v>
      </c>
      <c r="J2065" t="str">
        <f t="shared" si="164"/>
        <v/>
      </c>
    </row>
    <row r="2066" spans="1:10" x14ac:dyDescent="0.2">
      <c r="A2066">
        <v>227019837614</v>
      </c>
      <c r="B2066" t="s">
        <v>4813</v>
      </c>
      <c r="C2066" t="s">
        <v>4814</v>
      </c>
      <c r="D2066">
        <v>2</v>
      </c>
      <c r="F2066" t="str">
        <f t="shared" si="160"/>
        <v>No</v>
      </c>
      <c r="G2066" t="str">
        <f t="shared" si="161"/>
        <v/>
      </c>
      <c r="H2066" t="str">
        <f t="shared" si="162"/>
        <v>—</v>
      </c>
      <c r="I2066" t="str">
        <f t="shared" si="163"/>
        <v>Below thresholds</v>
      </c>
      <c r="J2066" t="str">
        <f t="shared" si="164"/>
        <v/>
      </c>
    </row>
    <row r="2067" spans="1:10" x14ac:dyDescent="0.2">
      <c r="A2067">
        <v>227019837676</v>
      </c>
      <c r="B2067" t="s">
        <v>4815</v>
      </c>
      <c r="C2067" t="s">
        <v>4816</v>
      </c>
      <c r="D2067">
        <v>1.79</v>
      </c>
      <c r="F2067" t="str">
        <f t="shared" si="160"/>
        <v>No</v>
      </c>
      <c r="G2067" t="str">
        <f t="shared" si="161"/>
        <v/>
      </c>
      <c r="H2067" t="str">
        <f t="shared" si="162"/>
        <v>—</v>
      </c>
      <c r="I2067" t="str">
        <f t="shared" si="163"/>
        <v>Below thresholds</v>
      </c>
      <c r="J2067" t="str">
        <f t="shared" si="164"/>
        <v/>
      </c>
    </row>
    <row r="2068" spans="1:10" x14ac:dyDescent="0.2">
      <c r="A2068">
        <v>227019837679</v>
      </c>
      <c r="B2068" t="s">
        <v>4817</v>
      </c>
      <c r="C2068" t="s">
        <v>4818</v>
      </c>
      <c r="D2068">
        <v>2.99</v>
      </c>
      <c r="F2068" t="str">
        <f t="shared" si="160"/>
        <v>No</v>
      </c>
      <c r="G2068" t="str">
        <f t="shared" si="161"/>
        <v/>
      </c>
      <c r="H2068" t="str">
        <f t="shared" si="162"/>
        <v>—</v>
      </c>
      <c r="I2068" t="str">
        <f t="shared" si="163"/>
        <v>Below thresholds</v>
      </c>
      <c r="J2068" t="str">
        <f t="shared" si="164"/>
        <v/>
      </c>
    </row>
    <row r="2069" spans="1:10" x14ac:dyDescent="0.2">
      <c r="A2069">
        <v>227019837704</v>
      </c>
      <c r="B2069" t="s">
        <v>4819</v>
      </c>
      <c r="C2069" t="s">
        <v>4820</v>
      </c>
      <c r="D2069">
        <v>1.69</v>
      </c>
      <c r="F2069" t="str">
        <f t="shared" si="160"/>
        <v>No</v>
      </c>
      <c r="G2069" t="str">
        <f t="shared" si="161"/>
        <v/>
      </c>
      <c r="H2069" t="str">
        <f t="shared" si="162"/>
        <v>—</v>
      </c>
      <c r="I2069" t="str">
        <f t="shared" si="163"/>
        <v>Below thresholds</v>
      </c>
      <c r="J2069" t="str">
        <f t="shared" si="164"/>
        <v/>
      </c>
    </row>
    <row r="2070" spans="1:10" x14ac:dyDescent="0.2">
      <c r="A2070">
        <v>227019837767</v>
      </c>
      <c r="B2070" t="s">
        <v>4821</v>
      </c>
      <c r="C2070" t="s">
        <v>4822</v>
      </c>
      <c r="D2070">
        <v>2.29</v>
      </c>
      <c r="F2070" t="str">
        <f t="shared" si="160"/>
        <v>No</v>
      </c>
      <c r="G2070" t="str">
        <f t="shared" si="161"/>
        <v/>
      </c>
      <c r="H2070" t="str">
        <f t="shared" si="162"/>
        <v>—</v>
      </c>
      <c r="I2070" t="str">
        <f t="shared" si="163"/>
        <v>Below thresholds</v>
      </c>
      <c r="J2070" t="str">
        <f t="shared" si="164"/>
        <v/>
      </c>
    </row>
    <row r="2071" spans="1:10" x14ac:dyDescent="0.2">
      <c r="A2071">
        <v>227019837860</v>
      </c>
      <c r="B2071" t="s">
        <v>4823</v>
      </c>
      <c r="C2071" t="s">
        <v>4824</v>
      </c>
      <c r="D2071">
        <v>2.25</v>
      </c>
      <c r="F2071" t="str">
        <f t="shared" si="160"/>
        <v>No</v>
      </c>
      <c r="G2071" t="str">
        <f t="shared" si="161"/>
        <v/>
      </c>
      <c r="H2071" t="str">
        <f t="shared" si="162"/>
        <v>—</v>
      </c>
      <c r="I2071" t="str">
        <f t="shared" si="163"/>
        <v>Below thresholds</v>
      </c>
      <c r="J2071" t="str">
        <f t="shared" si="164"/>
        <v/>
      </c>
    </row>
    <row r="2072" spans="1:10" x14ac:dyDescent="0.2">
      <c r="A2072">
        <v>227019837902</v>
      </c>
      <c r="B2072" t="s">
        <v>4825</v>
      </c>
      <c r="C2072" t="s">
        <v>4826</v>
      </c>
      <c r="D2072">
        <v>1.59</v>
      </c>
      <c r="F2072" t="str">
        <f t="shared" si="160"/>
        <v>No</v>
      </c>
      <c r="G2072" t="str">
        <f t="shared" si="161"/>
        <v/>
      </c>
      <c r="H2072" t="str">
        <f t="shared" si="162"/>
        <v>—</v>
      </c>
      <c r="I2072" t="str">
        <f t="shared" si="163"/>
        <v>Below thresholds</v>
      </c>
      <c r="J2072" t="str">
        <f t="shared" si="164"/>
        <v/>
      </c>
    </row>
    <row r="2073" spans="1:10" x14ac:dyDescent="0.2">
      <c r="A2073">
        <v>227019837929</v>
      </c>
      <c r="B2073" t="s">
        <v>4827</v>
      </c>
      <c r="C2073" t="s">
        <v>4828</v>
      </c>
      <c r="D2073">
        <v>2</v>
      </c>
      <c r="F2073" t="str">
        <f t="shared" si="160"/>
        <v>No</v>
      </c>
      <c r="G2073" t="str">
        <f t="shared" si="161"/>
        <v/>
      </c>
      <c r="H2073" t="str">
        <f t="shared" si="162"/>
        <v>—</v>
      </c>
      <c r="I2073" t="str">
        <f t="shared" si="163"/>
        <v>Below thresholds</v>
      </c>
      <c r="J2073" t="str">
        <f t="shared" si="164"/>
        <v/>
      </c>
    </row>
    <row r="2074" spans="1:10" x14ac:dyDescent="0.2">
      <c r="A2074">
        <v>227019837961</v>
      </c>
      <c r="B2074" t="s">
        <v>4829</v>
      </c>
      <c r="C2074" t="s">
        <v>4830</v>
      </c>
      <c r="D2074">
        <v>3.89</v>
      </c>
      <c r="F2074" t="str">
        <f t="shared" si="160"/>
        <v>No</v>
      </c>
      <c r="G2074" t="str">
        <f t="shared" si="161"/>
        <v/>
      </c>
      <c r="H2074" t="str">
        <f t="shared" si="162"/>
        <v>—</v>
      </c>
      <c r="I2074" t="str">
        <f t="shared" si="163"/>
        <v>Below thresholds</v>
      </c>
      <c r="J2074" t="str">
        <f t="shared" si="164"/>
        <v/>
      </c>
    </row>
    <row r="2075" spans="1:10" x14ac:dyDescent="0.2">
      <c r="A2075">
        <v>227019838007</v>
      </c>
      <c r="B2075" t="s">
        <v>4831</v>
      </c>
      <c r="C2075" t="s">
        <v>4832</v>
      </c>
      <c r="D2075">
        <v>1.69</v>
      </c>
      <c r="F2075" t="str">
        <f t="shared" si="160"/>
        <v>No</v>
      </c>
      <c r="G2075" t="str">
        <f t="shared" si="161"/>
        <v/>
      </c>
      <c r="H2075" t="str">
        <f t="shared" si="162"/>
        <v>—</v>
      </c>
      <c r="I2075" t="str">
        <f t="shared" si="163"/>
        <v>Below thresholds</v>
      </c>
      <c r="J2075" t="str">
        <f t="shared" si="164"/>
        <v/>
      </c>
    </row>
    <row r="2076" spans="1:10" x14ac:dyDescent="0.2">
      <c r="A2076">
        <v>227019838053</v>
      </c>
      <c r="B2076" t="s">
        <v>4833</v>
      </c>
      <c r="C2076" t="s">
        <v>4834</v>
      </c>
      <c r="D2076">
        <v>1.89</v>
      </c>
      <c r="F2076" t="str">
        <f t="shared" si="160"/>
        <v>No</v>
      </c>
      <c r="G2076" t="str">
        <f t="shared" si="161"/>
        <v/>
      </c>
      <c r="H2076" t="str">
        <f t="shared" si="162"/>
        <v>—</v>
      </c>
      <c r="I2076" t="str">
        <f t="shared" si="163"/>
        <v>Below thresholds</v>
      </c>
      <c r="J2076" t="str">
        <f t="shared" si="164"/>
        <v/>
      </c>
    </row>
    <row r="2077" spans="1:10" x14ac:dyDescent="0.2">
      <c r="A2077">
        <v>227019838098</v>
      </c>
      <c r="B2077" t="s">
        <v>4835</v>
      </c>
      <c r="C2077" t="s">
        <v>4836</v>
      </c>
      <c r="D2077">
        <v>1.59</v>
      </c>
      <c r="F2077" t="str">
        <f t="shared" si="160"/>
        <v>No</v>
      </c>
      <c r="G2077" t="str">
        <f t="shared" si="161"/>
        <v/>
      </c>
      <c r="H2077" t="str">
        <f t="shared" si="162"/>
        <v>—</v>
      </c>
      <c r="I2077" t="str">
        <f t="shared" si="163"/>
        <v>Below thresholds</v>
      </c>
      <c r="J2077" t="str">
        <f t="shared" si="164"/>
        <v/>
      </c>
    </row>
    <row r="2078" spans="1:10" x14ac:dyDescent="0.2">
      <c r="A2078">
        <v>227019838132</v>
      </c>
      <c r="B2078" t="s">
        <v>4837</v>
      </c>
      <c r="C2078" t="s">
        <v>4838</v>
      </c>
      <c r="D2078">
        <v>1.79</v>
      </c>
      <c r="F2078" t="str">
        <f t="shared" si="160"/>
        <v>No</v>
      </c>
      <c r="G2078" t="str">
        <f t="shared" si="161"/>
        <v/>
      </c>
      <c r="H2078" t="str">
        <f t="shared" si="162"/>
        <v>—</v>
      </c>
      <c r="I2078" t="str">
        <f t="shared" si="163"/>
        <v>Below thresholds</v>
      </c>
      <c r="J2078" t="str">
        <f t="shared" si="164"/>
        <v/>
      </c>
    </row>
    <row r="2079" spans="1:10" x14ac:dyDescent="0.2">
      <c r="A2079">
        <v>227022347303</v>
      </c>
      <c r="B2079" t="s">
        <v>4839</v>
      </c>
      <c r="C2079" t="s">
        <v>4840</v>
      </c>
      <c r="D2079">
        <v>2.4900000000000002</v>
      </c>
      <c r="F2079" t="str">
        <f t="shared" si="160"/>
        <v>No</v>
      </c>
      <c r="G2079" t="str">
        <f t="shared" si="161"/>
        <v/>
      </c>
      <c r="H2079" t="str">
        <f t="shared" si="162"/>
        <v>—</v>
      </c>
      <c r="I2079" t="str">
        <f t="shared" si="163"/>
        <v>Below thresholds</v>
      </c>
      <c r="J2079" t="str">
        <f t="shared" si="164"/>
        <v/>
      </c>
    </row>
    <row r="2080" spans="1:10" x14ac:dyDescent="0.2">
      <c r="A2080">
        <v>227022347355</v>
      </c>
      <c r="B2080" t="s">
        <v>4841</v>
      </c>
      <c r="C2080" t="s">
        <v>4842</v>
      </c>
      <c r="D2080">
        <v>1.59</v>
      </c>
      <c r="F2080" t="str">
        <f t="shared" si="160"/>
        <v>No</v>
      </c>
      <c r="G2080" t="str">
        <f t="shared" si="161"/>
        <v/>
      </c>
      <c r="H2080" t="str">
        <f t="shared" si="162"/>
        <v>—</v>
      </c>
      <c r="I2080" t="str">
        <f t="shared" si="163"/>
        <v>Below thresholds</v>
      </c>
      <c r="J2080" t="str">
        <f t="shared" si="164"/>
        <v/>
      </c>
    </row>
    <row r="2081" spans="1:10" x14ac:dyDescent="0.2">
      <c r="A2081">
        <v>227022347372</v>
      </c>
      <c r="B2081" t="s">
        <v>4843</v>
      </c>
      <c r="C2081" t="s">
        <v>4844</v>
      </c>
      <c r="D2081">
        <v>2.59</v>
      </c>
      <c r="F2081" t="str">
        <f t="shared" si="160"/>
        <v>No</v>
      </c>
      <c r="G2081" t="str">
        <f t="shared" si="161"/>
        <v/>
      </c>
      <c r="H2081" t="str">
        <f t="shared" si="162"/>
        <v>—</v>
      </c>
      <c r="I2081" t="str">
        <f t="shared" si="163"/>
        <v>Below thresholds</v>
      </c>
      <c r="J2081" t="str">
        <f t="shared" si="164"/>
        <v/>
      </c>
    </row>
    <row r="2082" spans="1:10" x14ac:dyDescent="0.2">
      <c r="A2082">
        <v>227022347375</v>
      </c>
      <c r="B2082" t="s">
        <v>4845</v>
      </c>
      <c r="C2082" t="s">
        <v>4846</v>
      </c>
      <c r="D2082">
        <v>3.39</v>
      </c>
      <c r="F2082" t="str">
        <f t="shared" si="160"/>
        <v>No</v>
      </c>
      <c r="G2082" t="str">
        <f t="shared" si="161"/>
        <v/>
      </c>
      <c r="H2082" t="str">
        <f t="shared" si="162"/>
        <v>—</v>
      </c>
      <c r="I2082" t="str">
        <f t="shared" si="163"/>
        <v>Below thresholds</v>
      </c>
      <c r="J2082" t="str">
        <f t="shared" si="164"/>
        <v/>
      </c>
    </row>
    <row r="2083" spans="1:10" x14ac:dyDescent="0.2">
      <c r="A2083">
        <v>227022347399</v>
      </c>
      <c r="B2083" t="s">
        <v>4847</v>
      </c>
      <c r="C2083" t="s">
        <v>4848</v>
      </c>
      <c r="D2083">
        <v>1.59</v>
      </c>
      <c r="F2083" t="str">
        <f t="shared" si="160"/>
        <v>No</v>
      </c>
      <c r="G2083" t="str">
        <f t="shared" si="161"/>
        <v/>
      </c>
      <c r="H2083" t="str">
        <f t="shared" si="162"/>
        <v>—</v>
      </c>
      <c r="I2083" t="str">
        <f t="shared" si="163"/>
        <v>Below thresholds</v>
      </c>
      <c r="J2083" t="str">
        <f t="shared" si="164"/>
        <v/>
      </c>
    </row>
    <row r="2084" spans="1:10" x14ac:dyDescent="0.2">
      <c r="A2084">
        <v>227022347416</v>
      </c>
      <c r="B2084" t="s">
        <v>4849</v>
      </c>
      <c r="C2084" t="s">
        <v>4850</v>
      </c>
      <c r="D2084">
        <v>1.59</v>
      </c>
      <c r="F2084" t="str">
        <f t="shared" si="160"/>
        <v>No</v>
      </c>
      <c r="G2084" t="str">
        <f t="shared" si="161"/>
        <v/>
      </c>
      <c r="H2084" t="str">
        <f t="shared" si="162"/>
        <v>—</v>
      </c>
      <c r="I2084" t="str">
        <f t="shared" si="163"/>
        <v>Below thresholds</v>
      </c>
      <c r="J2084" t="str">
        <f t="shared" si="164"/>
        <v/>
      </c>
    </row>
    <row r="2085" spans="1:10" x14ac:dyDescent="0.2">
      <c r="A2085">
        <v>227022347422</v>
      </c>
      <c r="B2085" t="s">
        <v>4851</v>
      </c>
      <c r="C2085" t="s">
        <v>4852</v>
      </c>
      <c r="D2085">
        <v>1.69</v>
      </c>
      <c r="F2085" t="str">
        <f t="shared" si="160"/>
        <v>No</v>
      </c>
      <c r="G2085" t="str">
        <f t="shared" si="161"/>
        <v/>
      </c>
      <c r="H2085" t="str">
        <f t="shared" si="162"/>
        <v>—</v>
      </c>
      <c r="I2085" t="str">
        <f t="shared" si="163"/>
        <v>Below thresholds</v>
      </c>
      <c r="J2085" t="str">
        <f t="shared" si="164"/>
        <v/>
      </c>
    </row>
    <row r="2086" spans="1:10" x14ac:dyDescent="0.2">
      <c r="A2086">
        <v>227022347466</v>
      </c>
      <c r="B2086" t="s">
        <v>4853</v>
      </c>
      <c r="C2086" t="s">
        <v>4854</v>
      </c>
      <c r="D2086">
        <v>1.79</v>
      </c>
      <c r="F2086" t="str">
        <f t="shared" si="160"/>
        <v>No</v>
      </c>
      <c r="G2086" t="str">
        <f t="shared" si="161"/>
        <v/>
      </c>
      <c r="H2086" t="str">
        <f t="shared" si="162"/>
        <v>—</v>
      </c>
      <c r="I2086" t="str">
        <f t="shared" si="163"/>
        <v>Below thresholds</v>
      </c>
      <c r="J2086" t="str">
        <f t="shared" si="164"/>
        <v/>
      </c>
    </row>
    <row r="2087" spans="1:10" x14ac:dyDescent="0.2">
      <c r="A2087">
        <v>227022347473</v>
      </c>
      <c r="B2087" t="s">
        <v>4855</v>
      </c>
      <c r="C2087" t="s">
        <v>4856</v>
      </c>
      <c r="D2087">
        <v>1.59</v>
      </c>
      <c r="F2087" t="str">
        <f t="shared" si="160"/>
        <v>No</v>
      </c>
      <c r="G2087" t="str">
        <f t="shared" si="161"/>
        <v/>
      </c>
      <c r="H2087" t="str">
        <f t="shared" si="162"/>
        <v>—</v>
      </c>
      <c r="I2087" t="str">
        <f t="shared" si="163"/>
        <v>Below thresholds</v>
      </c>
      <c r="J2087" t="str">
        <f t="shared" si="164"/>
        <v/>
      </c>
    </row>
    <row r="2088" spans="1:10" x14ac:dyDescent="0.2">
      <c r="A2088">
        <v>227022347496</v>
      </c>
      <c r="B2088" t="s">
        <v>4857</v>
      </c>
      <c r="C2088" t="s">
        <v>4858</v>
      </c>
      <c r="D2088">
        <v>1.59</v>
      </c>
      <c r="F2088" t="str">
        <f t="shared" si="160"/>
        <v>No</v>
      </c>
      <c r="G2088" t="str">
        <f t="shared" si="161"/>
        <v/>
      </c>
      <c r="H2088" t="str">
        <f t="shared" si="162"/>
        <v>—</v>
      </c>
      <c r="I2088" t="str">
        <f t="shared" si="163"/>
        <v>Below thresholds</v>
      </c>
      <c r="J2088" t="str">
        <f t="shared" si="164"/>
        <v/>
      </c>
    </row>
    <row r="2089" spans="1:10" x14ac:dyDescent="0.2">
      <c r="A2089">
        <v>227022347513</v>
      </c>
      <c r="B2089" t="s">
        <v>4859</v>
      </c>
      <c r="C2089" t="s">
        <v>4860</v>
      </c>
      <c r="D2089">
        <v>3.79</v>
      </c>
      <c r="F2089" t="str">
        <f t="shared" si="160"/>
        <v>No</v>
      </c>
      <c r="G2089" t="str">
        <f t="shared" si="161"/>
        <v/>
      </c>
      <c r="H2089" t="str">
        <f t="shared" si="162"/>
        <v>—</v>
      </c>
      <c r="I2089" t="str">
        <f t="shared" si="163"/>
        <v>Below thresholds</v>
      </c>
      <c r="J2089" t="str">
        <f t="shared" si="164"/>
        <v/>
      </c>
    </row>
    <row r="2090" spans="1:10" x14ac:dyDescent="0.2">
      <c r="A2090">
        <v>227022347515</v>
      </c>
      <c r="B2090" t="s">
        <v>4861</v>
      </c>
      <c r="C2090" t="s">
        <v>4862</v>
      </c>
      <c r="D2090">
        <v>1.94</v>
      </c>
      <c r="F2090" t="str">
        <f t="shared" si="160"/>
        <v>No</v>
      </c>
      <c r="G2090" t="str">
        <f t="shared" si="161"/>
        <v/>
      </c>
      <c r="H2090" t="str">
        <f t="shared" si="162"/>
        <v>—</v>
      </c>
      <c r="I2090" t="str">
        <f t="shared" si="163"/>
        <v>Below thresholds</v>
      </c>
      <c r="J2090" t="str">
        <f t="shared" si="164"/>
        <v/>
      </c>
    </row>
    <row r="2091" spans="1:10" x14ac:dyDescent="0.2">
      <c r="A2091">
        <v>227022347550</v>
      </c>
      <c r="B2091" t="s">
        <v>4863</v>
      </c>
      <c r="C2091" t="s">
        <v>4864</v>
      </c>
      <c r="D2091">
        <v>1.99</v>
      </c>
      <c r="F2091" t="str">
        <f t="shared" si="160"/>
        <v>No</v>
      </c>
      <c r="G2091" t="str">
        <f t="shared" si="161"/>
        <v/>
      </c>
      <c r="H2091" t="str">
        <f t="shared" si="162"/>
        <v>—</v>
      </c>
      <c r="I2091" t="str">
        <f t="shared" si="163"/>
        <v>Below thresholds</v>
      </c>
      <c r="J2091" t="str">
        <f t="shared" si="164"/>
        <v/>
      </c>
    </row>
    <row r="2092" spans="1:10" x14ac:dyDescent="0.2">
      <c r="A2092">
        <v>227022347571</v>
      </c>
      <c r="B2092" t="s">
        <v>4865</v>
      </c>
      <c r="C2092" t="s">
        <v>4866</v>
      </c>
      <c r="D2092">
        <v>1.59</v>
      </c>
      <c r="F2092" t="str">
        <f t="shared" si="160"/>
        <v>No</v>
      </c>
      <c r="G2092" t="str">
        <f t="shared" si="161"/>
        <v/>
      </c>
      <c r="H2092" t="str">
        <f t="shared" si="162"/>
        <v>—</v>
      </c>
      <c r="I2092" t="str">
        <f t="shared" si="163"/>
        <v>Below thresholds</v>
      </c>
      <c r="J2092" t="str">
        <f t="shared" si="164"/>
        <v/>
      </c>
    </row>
    <row r="2093" spans="1:10" x14ac:dyDescent="0.2">
      <c r="A2093">
        <v>227022347582</v>
      </c>
      <c r="B2093" t="s">
        <v>4867</v>
      </c>
      <c r="C2093" t="s">
        <v>4868</v>
      </c>
      <c r="D2093">
        <v>1.59</v>
      </c>
      <c r="F2093" t="str">
        <f t="shared" si="160"/>
        <v>No</v>
      </c>
      <c r="G2093" t="str">
        <f t="shared" si="161"/>
        <v/>
      </c>
      <c r="H2093" t="str">
        <f t="shared" si="162"/>
        <v>—</v>
      </c>
      <c r="I2093" t="str">
        <f t="shared" si="163"/>
        <v>Below thresholds</v>
      </c>
      <c r="J2093" t="str">
        <f t="shared" si="164"/>
        <v/>
      </c>
    </row>
    <row r="2094" spans="1:10" x14ac:dyDescent="0.2">
      <c r="A2094">
        <v>227022347602</v>
      </c>
      <c r="B2094" t="s">
        <v>4869</v>
      </c>
      <c r="C2094" t="s">
        <v>4870</v>
      </c>
      <c r="D2094">
        <v>1.59</v>
      </c>
      <c r="F2094" t="str">
        <f t="shared" si="160"/>
        <v>No</v>
      </c>
      <c r="G2094" t="str">
        <f t="shared" si="161"/>
        <v/>
      </c>
      <c r="H2094" t="str">
        <f t="shared" si="162"/>
        <v>—</v>
      </c>
      <c r="I2094" t="str">
        <f t="shared" si="163"/>
        <v>Below thresholds</v>
      </c>
      <c r="J2094" t="str">
        <f t="shared" si="164"/>
        <v/>
      </c>
    </row>
    <row r="2095" spans="1:10" x14ac:dyDescent="0.2">
      <c r="A2095">
        <v>227022347623</v>
      </c>
      <c r="B2095" t="s">
        <v>4871</v>
      </c>
      <c r="C2095" t="s">
        <v>4872</v>
      </c>
      <c r="D2095">
        <v>1.59</v>
      </c>
      <c r="F2095" t="str">
        <f t="shared" si="160"/>
        <v>No</v>
      </c>
      <c r="G2095" t="str">
        <f t="shared" si="161"/>
        <v/>
      </c>
      <c r="H2095" t="str">
        <f t="shared" si="162"/>
        <v>—</v>
      </c>
      <c r="I2095" t="str">
        <f t="shared" si="163"/>
        <v>Below thresholds</v>
      </c>
      <c r="J2095" t="str">
        <f t="shared" si="164"/>
        <v/>
      </c>
    </row>
    <row r="2096" spans="1:10" x14ac:dyDescent="0.2">
      <c r="A2096">
        <v>227022347641</v>
      </c>
      <c r="B2096" t="s">
        <v>4873</v>
      </c>
      <c r="C2096" t="s">
        <v>4874</v>
      </c>
      <c r="D2096">
        <v>1.59</v>
      </c>
      <c r="F2096" t="str">
        <f t="shared" si="160"/>
        <v>No</v>
      </c>
      <c r="G2096" t="str">
        <f t="shared" si="161"/>
        <v/>
      </c>
      <c r="H2096" t="str">
        <f t="shared" si="162"/>
        <v>—</v>
      </c>
      <c r="I2096" t="str">
        <f t="shared" si="163"/>
        <v>Below thresholds</v>
      </c>
      <c r="J2096" t="str">
        <f t="shared" si="164"/>
        <v/>
      </c>
    </row>
    <row r="2097" spans="1:10" x14ac:dyDescent="0.2">
      <c r="A2097">
        <v>227022347648</v>
      </c>
      <c r="B2097" t="s">
        <v>4875</v>
      </c>
      <c r="C2097" t="s">
        <v>4876</v>
      </c>
      <c r="D2097">
        <v>1.59</v>
      </c>
      <c r="F2097" t="str">
        <f t="shared" si="160"/>
        <v>No</v>
      </c>
      <c r="G2097" t="str">
        <f t="shared" si="161"/>
        <v/>
      </c>
      <c r="H2097" t="str">
        <f t="shared" si="162"/>
        <v>—</v>
      </c>
      <c r="I2097" t="str">
        <f t="shared" si="163"/>
        <v>Below thresholds</v>
      </c>
      <c r="J2097" t="str">
        <f t="shared" si="164"/>
        <v/>
      </c>
    </row>
    <row r="2098" spans="1:10" x14ac:dyDescent="0.2">
      <c r="A2098">
        <v>227022347676</v>
      </c>
      <c r="B2098" t="s">
        <v>4877</v>
      </c>
      <c r="C2098" t="s">
        <v>4878</v>
      </c>
      <c r="D2098">
        <v>1.59</v>
      </c>
      <c r="F2098" t="str">
        <f t="shared" si="160"/>
        <v>No</v>
      </c>
      <c r="G2098" t="str">
        <f t="shared" si="161"/>
        <v/>
      </c>
      <c r="H2098" t="str">
        <f t="shared" si="162"/>
        <v>—</v>
      </c>
      <c r="I2098" t="str">
        <f t="shared" si="163"/>
        <v>Below thresholds</v>
      </c>
      <c r="J2098" t="str">
        <f t="shared" si="164"/>
        <v/>
      </c>
    </row>
    <row r="2099" spans="1:10" x14ac:dyDescent="0.2">
      <c r="A2099">
        <v>227022347689</v>
      </c>
      <c r="B2099" t="s">
        <v>4879</v>
      </c>
      <c r="C2099" t="s">
        <v>4880</v>
      </c>
      <c r="D2099">
        <v>1.59</v>
      </c>
      <c r="F2099" t="str">
        <f t="shared" si="160"/>
        <v>No</v>
      </c>
      <c r="G2099" t="str">
        <f t="shared" si="161"/>
        <v/>
      </c>
      <c r="H2099" t="str">
        <f t="shared" si="162"/>
        <v>—</v>
      </c>
      <c r="I2099" t="str">
        <f t="shared" si="163"/>
        <v>Below thresholds</v>
      </c>
      <c r="J2099" t="str">
        <f t="shared" si="164"/>
        <v/>
      </c>
    </row>
    <row r="2100" spans="1:10" x14ac:dyDescent="0.2">
      <c r="A2100">
        <v>227022347710</v>
      </c>
      <c r="B2100" t="s">
        <v>4881</v>
      </c>
      <c r="C2100" t="s">
        <v>4882</v>
      </c>
      <c r="D2100">
        <v>1.59</v>
      </c>
      <c r="F2100" t="str">
        <f t="shared" si="160"/>
        <v>No</v>
      </c>
      <c r="G2100" t="str">
        <f t="shared" si="161"/>
        <v/>
      </c>
      <c r="H2100" t="str">
        <f t="shared" si="162"/>
        <v>—</v>
      </c>
      <c r="I2100" t="str">
        <f t="shared" si="163"/>
        <v>Below thresholds</v>
      </c>
      <c r="J2100" t="str">
        <f t="shared" si="164"/>
        <v/>
      </c>
    </row>
    <row r="2101" spans="1:10" x14ac:dyDescent="0.2">
      <c r="A2101">
        <v>227022347739</v>
      </c>
      <c r="B2101" t="s">
        <v>4883</v>
      </c>
      <c r="C2101" t="s">
        <v>4884</v>
      </c>
      <c r="D2101">
        <v>1.59</v>
      </c>
      <c r="F2101" t="str">
        <f t="shared" si="160"/>
        <v>No</v>
      </c>
      <c r="G2101" t="str">
        <f t="shared" si="161"/>
        <v/>
      </c>
      <c r="H2101" t="str">
        <f t="shared" si="162"/>
        <v>—</v>
      </c>
      <c r="I2101" t="str">
        <f t="shared" si="163"/>
        <v>Below thresholds</v>
      </c>
      <c r="J2101" t="str">
        <f t="shared" si="164"/>
        <v/>
      </c>
    </row>
    <row r="2102" spans="1:10" x14ac:dyDescent="0.2">
      <c r="A2102">
        <v>227022347765</v>
      </c>
      <c r="B2102" t="s">
        <v>4885</v>
      </c>
      <c r="C2102" t="s">
        <v>4886</v>
      </c>
      <c r="D2102">
        <v>1.59</v>
      </c>
      <c r="F2102" t="str">
        <f t="shared" si="160"/>
        <v>No</v>
      </c>
      <c r="G2102" t="str">
        <f t="shared" si="161"/>
        <v/>
      </c>
      <c r="H2102" t="str">
        <f t="shared" si="162"/>
        <v>—</v>
      </c>
      <c r="I2102" t="str">
        <f t="shared" si="163"/>
        <v>Below thresholds</v>
      </c>
      <c r="J2102" t="str">
        <f t="shared" si="164"/>
        <v/>
      </c>
    </row>
    <row r="2103" spans="1:10" x14ac:dyDescent="0.2">
      <c r="A2103">
        <v>227022347785</v>
      </c>
      <c r="B2103" t="s">
        <v>4887</v>
      </c>
      <c r="C2103" t="s">
        <v>4888</v>
      </c>
      <c r="D2103">
        <v>1.59</v>
      </c>
      <c r="F2103" t="str">
        <f t="shared" si="160"/>
        <v>No</v>
      </c>
      <c r="G2103" t="str">
        <f t="shared" si="161"/>
        <v/>
      </c>
      <c r="H2103" t="str">
        <f t="shared" si="162"/>
        <v>—</v>
      </c>
      <c r="I2103" t="str">
        <f t="shared" si="163"/>
        <v>Below thresholds</v>
      </c>
      <c r="J2103" t="str">
        <f t="shared" si="164"/>
        <v/>
      </c>
    </row>
    <row r="2104" spans="1:10" x14ac:dyDescent="0.2">
      <c r="A2104">
        <v>227022347808</v>
      </c>
      <c r="B2104" t="s">
        <v>4889</v>
      </c>
      <c r="C2104" t="s">
        <v>4890</v>
      </c>
      <c r="D2104">
        <v>1.59</v>
      </c>
      <c r="F2104" t="str">
        <f t="shared" si="160"/>
        <v>No</v>
      </c>
      <c r="G2104" t="str">
        <f t="shared" si="161"/>
        <v/>
      </c>
      <c r="H2104" t="str">
        <f t="shared" si="162"/>
        <v>—</v>
      </c>
      <c r="I2104" t="str">
        <f t="shared" si="163"/>
        <v>Below thresholds</v>
      </c>
      <c r="J2104" t="str">
        <f t="shared" si="164"/>
        <v/>
      </c>
    </row>
    <row r="2105" spans="1:10" x14ac:dyDescent="0.2">
      <c r="A2105">
        <v>227022347831</v>
      </c>
      <c r="B2105" t="s">
        <v>4891</v>
      </c>
      <c r="C2105" t="s">
        <v>4892</v>
      </c>
      <c r="D2105">
        <v>1.59</v>
      </c>
      <c r="F2105" t="str">
        <f t="shared" si="160"/>
        <v>No</v>
      </c>
      <c r="G2105" t="str">
        <f t="shared" si="161"/>
        <v/>
      </c>
      <c r="H2105" t="str">
        <f t="shared" si="162"/>
        <v>—</v>
      </c>
      <c r="I2105" t="str">
        <f t="shared" si="163"/>
        <v>Below thresholds</v>
      </c>
      <c r="J2105" t="str">
        <f t="shared" si="164"/>
        <v/>
      </c>
    </row>
    <row r="2106" spans="1:10" x14ac:dyDescent="0.2">
      <c r="A2106">
        <v>227022350435</v>
      </c>
      <c r="B2106" t="s">
        <v>4893</v>
      </c>
      <c r="C2106" t="s">
        <v>4894</v>
      </c>
      <c r="D2106">
        <v>1.5</v>
      </c>
      <c r="F2106" t="str">
        <f t="shared" si="160"/>
        <v>No</v>
      </c>
      <c r="G2106" t="str">
        <f t="shared" si="161"/>
        <v/>
      </c>
      <c r="H2106" t="str">
        <f t="shared" si="162"/>
        <v>—</v>
      </c>
      <c r="I2106" t="str">
        <f t="shared" si="163"/>
        <v>Below thresholds</v>
      </c>
      <c r="J2106" t="str">
        <f t="shared" si="164"/>
        <v/>
      </c>
    </row>
    <row r="2107" spans="1:10" x14ac:dyDescent="0.2">
      <c r="A2107">
        <v>227022351139</v>
      </c>
      <c r="B2107" t="s">
        <v>4895</v>
      </c>
      <c r="C2107" t="s">
        <v>4896</v>
      </c>
      <c r="D2107">
        <v>65</v>
      </c>
      <c r="F2107" t="str">
        <f t="shared" si="160"/>
        <v>No</v>
      </c>
      <c r="G2107" t="str">
        <f t="shared" si="161"/>
        <v/>
      </c>
      <c r="H2107" t="str">
        <f t="shared" si="162"/>
        <v>—</v>
      </c>
      <c r="I2107" t="str">
        <f t="shared" si="163"/>
        <v>$20+ — needs velocity check</v>
      </c>
      <c r="J2107" t="str">
        <f t="shared" si="164"/>
        <v>YES — pull CardHedger</v>
      </c>
    </row>
    <row r="2108" spans="1:10" x14ac:dyDescent="0.2">
      <c r="A2108">
        <v>227023497809</v>
      </c>
      <c r="B2108" t="s">
        <v>331</v>
      </c>
      <c r="C2108" t="s">
        <v>4897</v>
      </c>
      <c r="D2108">
        <v>29</v>
      </c>
      <c r="F2108" t="str">
        <f t="shared" si="160"/>
        <v>No</v>
      </c>
      <c r="G2108" t="str">
        <f t="shared" si="161"/>
        <v/>
      </c>
      <c r="H2108" t="str">
        <f t="shared" si="162"/>
        <v>—</v>
      </c>
      <c r="I2108" t="str">
        <f t="shared" si="163"/>
        <v>$20+ — needs velocity check</v>
      </c>
      <c r="J2108" t="str">
        <f t="shared" si="164"/>
        <v>YES — pull CardHedger</v>
      </c>
    </row>
    <row r="2109" spans="1:10" x14ac:dyDescent="0.2">
      <c r="A2109">
        <v>227023531262</v>
      </c>
      <c r="B2109" t="s">
        <v>4898</v>
      </c>
      <c r="C2109" t="s">
        <v>4899</v>
      </c>
      <c r="D2109">
        <v>1.49</v>
      </c>
      <c r="F2109" t="str">
        <f t="shared" si="160"/>
        <v>No</v>
      </c>
      <c r="G2109" t="str">
        <f t="shared" si="161"/>
        <v/>
      </c>
      <c r="H2109" t="str">
        <f t="shared" si="162"/>
        <v>—</v>
      </c>
      <c r="I2109" t="str">
        <f t="shared" si="163"/>
        <v>Below thresholds</v>
      </c>
      <c r="J2109" t="str">
        <f t="shared" si="164"/>
        <v/>
      </c>
    </row>
    <row r="2110" spans="1:10" x14ac:dyDescent="0.2">
      <c r="A2110">
        <v>227023531319</v>
      </c>
      <c r="B2110" t="s">
        <v>4900</v>
      </c>
      <c r="C2110" t="s">
        <v>4901</v>
      </c>
      <c r="D2110">
        <v>1.49</v>
      </c>
      <c r="F2110" t="str">
        <f t="shared" si="160"/>
        <v>No</v>
      </c>
      <c r="G2110" t="str">
        <f t="shared" si="161"/>
        <v/>
      </c>
      <c r="H2110" t="str">
        <f t="shared" si="162"/>
        <v>—</v>
      </c>
      <c r="I2110" t="str">
        <f t="shared" si="163"/>
        <v>Below thresholds</v>
      </c>
      <c r="J2110" t="str">
        <f t="shared" si="164"/>
        <v/>
      </c>
    </row>
    <row r="2111" spans="1:10" x14ac:dyDescent="0.2">
      <c r="A2111">
        <v>227023531322</v>
      </c>
      <c r="B2111" t="s">
        <v>4902</v>
      </c>
      <c r="C2111" t="s">
        <v>4903</v>
      </c>
      <c r="D2111">
        <v>1.65</v>
      </c>
      <c r="F2111" t="str">
        <f t="shared" si="160"/>
        <v>No</v>
      </c>
      <c r="G2111" t="str">
        <f t="shared" si="161"/>
        <v/>
      </c>
      <c r="H2111" t="str">
        <f t="shared" si="162"/>
        <v>—</v>
      </c>
      <c r="I2111" t="str">
        <f t="shared" si="163"/>
        <v>Below thresholds</v>
      </c>
      <c r="J2111" t="str">
        <f t="shared" si="164"/>
        <v/>
      </c>
    </row>
    <row r="2112" spans="1:10" x14ac:dyDescent="0.2">
      <c r="A2112">
        <v>227023531379</v>
      </c>
      <c r="B2112" t="s">
        <v>4904</v>
      </c>
      <c r="C2112" t="s">
        <v>4905</v>
      </c>
      <c r="D2112">
        <v>2.2599999999999998</v>
      </c>
      <c r="F2112" t="str">
        <f t="shared" si="160"/>
        <v>No</v>
      </c>
      <c r="G2112" t="str">
        <f t="shared" si="161"/>
        <v/>
      </c>
      <c r="H2112" t="str">
        <f t="shared" si="162"/>
        <v>—</v>
      </c>
      <c r="I2112" t="str">
        <f t="shared" si="163"/>
        <v>Below thresholds</v>
      </c>
      <c r="J2112" t="str">
        <f t="shared" si="164"/>
        <v/>
      </c>
    </row>
    <row r="2113" spans="1:10" x14ac:dyDescent="0.2">
      <c r="A2113">
        <v>227023531415</v>
      </c>
      <c r="B2113" t="s">
        <v>4906</v>
      </c>
      <c r="C2113" t="s">
        <v>4907</v>
      </c>
      <c r="D2113">
        <v>1.49</v>
      </c>
      <c r="F2113" t="str">
        <f t="shared" si="160"/>
        <v>No</v>
      </c>
      <c r="G2113" t="str">
        <f t="shared" si="161"/>
        <v/>
      </c>
      <c r="H2113" t="str">
        <f t="shared" si="162"/>
        <v>—</v>
      </c>
      <c r="I2113" t="str">
        <f t="shared" si="163"/>
        <v>Below thresholds</v>
      </c>
      <c r="J2113" t="str">
        <f t="shared" si="164"/>
        <v/>
      </c>
    </row>
    <row r="2114" spans="1:10" x14ac:dyDescent="0.2">
      <c r="A2114">
        <v>227023531477</v>
      </c>
      <c r="B2114" t="s">
        <v>4908</v>
      </c>
      <c r="C2114" t="s">
        <v>4909</v>
      </c>
      <c r="D2114">
        <v>1.29</v>
      </c>
      <c r="F2114" t="str">
        <f t="shared" si="160"/>
        <v>No</v>
      </c>
      <c r="G2114" t="str">
        <f t="shared" si="161"/>
        <v/>
      </c>
      <c r="H2114" t="str">
        <f t="shared" si="162"/>
        <v>—</v>
      </c>
      <c r="I2114" t="str">
        <f t="shared" si="163"/>
        <v>Below thresholds</v>
      </c>
      <c r="J2114" t="str">
        <f t="shared" si="164"/>
        <v/>
      </c>
    </row>
    <row r="2115" spans="1:10" x14ac:dyDescent="0.2">
      <c r="A2115">
        <v>227023531505</v>
      </c>
      <c r="B2115" t="s">
        <v>4910</v>
      </c>
      <c r="C2115" t="s">
        <v>4911</v>
      </c>
      <c r="D2115">
        <v>0.99</v>
      </c>
      <c r="F2115" t="str">
        <f t="shared" si="160"/>
        <v>No</v>
      </c>
      <c r="G2115" t="str">
        <f t="shared" si="161"/>
        <v/>
      </c>
      <c r="H2115" t="str">
        <f t="shared" si="162"/>
        <v>—</v>
      </c>
      <c r="I2115" t="str">
        <f t="shared" si="163"/>
        <v>Below thresholds</v>
      </c>
      <c r="J2115" t="str">
        <f t="shared" si="164"/>
        <v/>
      </c>
    </row>
    <row r="2116" spans="1:10" x14ac:dyDescent="0.2">
      <c r="A2116">
        <v>227023531527</v>
      </c>
      <c r="B2116" t="s">
        <v>4912</v>
      </c>
      <c r="C2116" t="s">
        <v>4913</v>
      </c>
      <c r="D2116">
        <v>0.99</v>
      </c>
      <c r="F2116" t="str">
        <f t="shared" si="160"/>
        <v>No</v>
      </c>
      <c r="G2116" t="str">
        <f t="shared" si="161"/>
        <v/>
      </c>
      <c r="H2116" t="str">
        <f t="shared" si="162"/>
        <v>—</v>
      </c>
      <c r="I2116" t="str">
        <f t="shared" si="163"/>
        <v>Below thresholds</v>
      </c>
      <c r="J2116" t="str">
        <f t="shared" si="164"/>
        <v/>
      </c>
    </row>
    <row r="2117" spans="1:10" x14ac:dyDescent="0.2">
      <c r="A2117">
        <v>227023531560</v>
      </c>
      <c r="B2117" t="s">
        <v>4914</v>
      </c>
      <c r="C2117" t="s">
        <v>4915</v>
      </c>
      <c r="D2117">
        <v>1.99</v>
      </c>
      <c r="F2117" t="str">
        <f t="shared" ref="F2117:F2180" si="165">IF($B2117="","",IF(ISNUMBER(SEARCH("PSA",$B2117)),"Yes","No"))</f>
        <v>No</v>
      </c>
      <c r="G2117" t="str">
        <f t="shared" ref="G2117:G2180" si="166">IF($B2117="","",IF(ISNUMBER(SEARCH("PSA 10",$B2117)),10,IF(ISNUMBER(SEARCH("PSA 9.5",$B2117)),9.5,IF(ISNUMBER(SEARCH("PSA 9",$B2117)),9,IF(ISNUMBER(SEARCH("PSA 8",$B2117)),8,IF(ISNUMBER(SEARCH("PSA",$B2117)),"&lt;9",""))))))</f>
        <v/>
      </c>
      <c r="H2117" t="str">
        <f t="shared" ref="H2117:H2180" si="167">IF($B2117="","",IF($D2117&gt;=100,"TIER 2",IF(OR(ISNUMBER(SEARCH("PSA 10",$B2117)),ISNUMBER(SEARCH("PSA 9.5",$B2117)),ISNUMBER(SEARCH("PSA 9",$B2117))),"TIER 3",IF(AND($D2117&gt;20,N($E2117)&gt;=15),"TIER 1","—"))))</f>
        <v>—</v>
      </c>
      <c r="I2117" t="str">
        <f t="shared" ref="I2117:I2180" si="168">IF($B2117="","",IF($D2117&gt;=100,"Premium $100+ (auto)",IF(OR(ISNUMBER(SEARCH("PSA 10",$B2117)),ISNUMBER(SEARCH("PSA 9.5",$B2117)),ISNUMBER(SEARCH("PSA 9",$B2117))),"Graded PSA 9+ (auto)",IF(AND($D2117&gt;20,N($E2117)&gt;=15),"Hot: $20+ &amp; "&amp;$E2117&amp;"/day",IF($D2117&gt;20,"$20+ — needs velocity check","Below thresholds")))))</f>
        <v>Below thresholds</v>
      </c>
      <c r="J2117" t="str">
        <f t="shared" ref="J2117:J2180" si="169">IF($B2117="","",IF(AND($D2117&gt;20,$D2117&lt;100,NOT(OR(ISNUMBER(SEARCH("PSA 10",$B2117)),ISNUMBER(SEARCH("PSA 9.5",$B2117)),ISNUMBER(SEARCH("PSA 9",$B2117)))),$E2117=""),"YES — pull CardHedger",""))</f>
        <v/>
      </c>
    </row>
    <row r="2118" spans="1:10" x14ac:dyDescent="0.2">
      <c r="A2118">
        <v>227023531607</v>
      </c>
      <c r="B2118" t="s">
        <v>4916</v>
      </c>
      <c r="C2118" t="s">
        <v>4917</v>
      </c>
      <c r="D2118">
        <v>1.29</v>
      </c>
      <c r="F2118" t="str">
        <f t="shared" si="165"/>
        <v>No</v>
      </c>
      <c r="G2118" t="str">
        <f t="shared" si="166"/>
        <v/>
      </c>
      <c r="H2118" t="str">
        <f t="shared" si="167"/>
        <v>—</v>
      </c>
      <c r="I2118" t="str">
        <f t="shared" si="168"/>
        <v>Below thresholds</v>
      </c>
      <c r="J2118" t="str">
        <f t="shared" si="169"/>
        <v/>
      </c>
    </row>
    <row r="2119" spans="1:10" x14ac:dyDescent="0.2">
      <c r="A2119">
        <v>227023531615</v>
      </c>
      <c r="B2119" t="s">
        <v>4918</v>
      </c>
      <c r="C2119" t="s">
        <v>4919</v>
      </c>
      <c r="D2119">
        <v>1.59</v>
      </c>
      <c r="F2119" t="str">
        <f t="shared" si="165"/>
        <v>No</v>
      </c>
      <c r="G2119" t="str">
        <f t="shared" si="166"/>
        <v/>
      </c>
      <c r="H2119" t="str">
        <f t="shared" si="167"/>
        <v>—</v>
      </c>
      <c r="I2119" t="str">
        <f t="shared" si="168"/>
        <v>Below thresholds</v>
      </c>
      <c r="J2119" t="str">
        <f t="shared" si="169"/>
        <v/>
      </c>
    </row>
    <row r="2120" spans="1:10" x14ac:dyDescent="0.2">
      <c r="A2120">
        <v>227023531666</v>
      </c>
      <c r="B2120" t="s">
        <v>4920</v>
      </c>
      <c r="C2120" t="s">
        <v>4921</v>
      </c>
      <c r="D2120">
        <v>1.49</v>
      </c>
      <c r="F2120" t="str">
        <f t="shared" si="165"/>
        <v>No</v>
      </c>
      <c r="G2120" t="str">
        <f t="shared" si="166"/>
        <v/>
      </c>
      <c r="H2120" t="str">
        <f t="shared" si="167"/>
        <v>—</v>
      </c>
      <c r="I2120" t="str">
        <f t="shared" si="168"/>
        <v>Below thresholds</v>
      </c>
      <c r="J2120" t="str">
        <f t="shared" si="169"/>
        <v/>
      </c>
    </row>
    <row r="2121" spans="1:10" x14ac:dyDescent="0.2">
      <c r="A2121">
        <v>227023531699</v>
      </c>
      <c r="B2121" t="s">
        <v>4922</v>
      </c>
      <c r="C2121" t="s">
        <v>4923</v>
      </c>
      <c r="D2121">
        <v>1.49</v>
      </c>
      <c r="F2121" t="str">
        <f t="shared" si="165"/>
        <v>No</v>
      </c>
      <c r="G2121" t="str">
        <f t="shared" si="166"/>
        <v/>
      </c>
      <c r="H2121" t="str">
        <f t="shared" si="167"/>
        <v>—</v>
      </c>
      <c r="I2121" t="str">
        <f t="shared" si="168"/>
        <v>Below thresholds</v>
      </c>
      <c r="J2121" t="str">
        <f t="shared" si="169"/>
        <v/>
      </c>
    </row>
    <row r="2122" spans="1:10" x14ac:dyDescent="0.2">
      <c r="A2122">
        <v>227023536997</v>
      </c>
      <c r="B2122" t="s">
        <v>4924</v>
      </c>
      <c r="C2122" t="s">
        <v>4925</v>
      </c>
      <c r="D2122">
        <v>1.59</v>
      </c>
      <c r="F2122" t="str">
        <f t="shared" si="165"/>
        <v>No</v>
      </c>
      <c r="G2122" t="str">
        <f t="shared" si="166"/>
        <v/>
      </c>
      <c r="H2122" t="str">
        <f t="shared" si="167"/>
        <v>—</v>
      </c>
      <c r="I2122" t="str">
        <f t="shared" si="168"/>
        <v>Below thresholds</v>
      </c>
      <c r="J2122" t="str">
        <f t="shared" si="169"/>
        <v/>
      </c>
    </row>
    <row r="2123" spans="1:10" x14ac:dyDescent="0.2">
      <c r="A2123">
        <v>227023537061</v>
      </c>
      <c r="B2123" t="s">
        <v>4926</v>
      </c>
      <c r="C2123" t="s">
        <v>4927</v>
      </c>
      <c r="D2123">
        <v>0.99</v>
      </c>
      <c r="F2123" t="str">
        <f t="shared" si="165"/>
        <v>No</v>
      </c>
      <c r="G2123" t="str">
        <f t="shared" si="166"/>
        <v/>
      </c>
      <c r="H2123" t="str">
        <f t="shared" si="167"/>
        <v>—</v>
      </c>
      <c r="I2123" t="str">
        <f t="shared" si="168"/>
        <v>Below thresholds</v>
      </c>
      <c r="J2123" t="str">
        <f t="shared" si="169"/>
        <v/>
      </c>
    </row>
    <row r="2124" spans="1:10" x14ac:dyDescent="0.2">
      <c r="A2124">
        <v>227023537091</v>
      </c>
      <c r="B2124" t="s">
        <v>4928</v>
      </c>
      <c r="C2124" t="s">
        <v>4929</v>
      </c>
      <c r="D2124">
        <v>1.99</v>
      </c>
      <c r="F2124" t="str">
        <f t="shared" si="165"/>
        <v>No</v>
      </c>
      <c r="G2124" t="str">
        <f t="shared" si="166"/>
        <v/>
      </c>
      <c r="H2124" t="str">
        <f t="shared" si="167"/>
        <v>—</v>
      </c>
      <c r="I2124" t="str">
        <f t="shared" si="168"/>
        <v>Below thresholds</v>
      </c>
      <c r="J2124" t="str">
        <f t="shared" si="169"/>
        <v/>
      </c>
    </row>
    <row r="2125" spans="1:10" x14ac:dyDescent="0.2">
      <c r="A2125">
        <v>227023575489</v>
      </c>
      <c r="B2125" t="s">
        <v>4930</v>
      </c>
      <c r="C2125" t="s">
        <v>4931</v>
      </c>
      <c r="D2125">
        <v>2.59</v>
      </c>
      <c r="F2125" t="str">
        <f t="shared" si="165"/>
        <v>No</v>
      </c>
      <c r="G2125" t="str">
        <f t="shared" si="166"/>
        <v/>
      </c>
      <c r="H2125" t="str">
        <f t="shared" si="167"/>
        <v>—</v>
      </c>
      <c r="I2125" t="str">
        <f t="shared" si="168"/>
        <v>Below thresholds</v>
      </c>
      <c r="J2125" t="str">
        <f t="shared" si="169"/>
        <v/>
      </c>
    </row>
    <row r="2126" spans="1:10" x14ac:dyDescent="0.2">
      <c r="A2126">
        <v>227023575493</v>
      </c>
      <c r="B2126" t="s">
        <v>4932</v>
      </c>
      <c r="C2126" t="s">
        <v>4933</v>
      </c>
      <c r="D2126">
        <v>1.99</v>
      </c>
      <c r="F2126" t="str">
        <f t="shared" si="165"/>
        <v>No</v>
      </c>
      <c r="G2126" t="str">
        <f t="shared" si="166"/>
        <v/>
      </c>
      <c r="H2126" t="str">
        <f t="shared" si="167"/>
        <v>—</v>
      </c>
      <c r="I2126" t="str">
        <f t="shared" si="168"/>
        <v>Below thresholds</v>
      </c>
      <c r="J2126" t="str">
        <f t="shared" si="169"/>
        <v/>
      </c>
    </row>
    <row r="2127" spans="1:10" x14ac:dyDescent="0.2">
      <c r="A2127">
        <v>227023575535</v>
      </c>
      <c r="B2127" t="s">
        <v>4934</v>
      </c>
      <c r="C2127" t="s">
        <v>4935</v>
      </c>
      <c r="D2127">
        <v>1.99</v>
      </c>
      <c r="F2127" t="str">
        <f t="shared" si="165"/>
        <v>No</v>
      </c>
      <c r="G2127" t="str">
        <f t="shared" si="166"/>
        <v/>
      </c>
      <c r="H2127" t="str">
        <f t="shared" si="167"/>
        <v>—</v>
      </c>
      <c r="I2127" t="str">
        <f t="shared" si="168"/>
        <v>Below thresholds</v>
      </c>
      <c r="J2127" t="str">
        <f t="shared" si="169"/>
        <v/>
      </c>
    </row>
    <row r="2128" spans="1:10" x14ac:dyDescent="0.2">
      <c r="A2128">
        <v>227023575539</v>
      </c>
      <c r="B2128" t="s">
        <v>4936</v>
      </c>
      <c r="C2128" t="s">
        <v>4937</v>
      </c>
      <c r="D2128">
        <v>1.99</v>
      </c>
      <c r="F2128" t="str">
        <f t="shared" si="165"/>
        <v>No</v>
      </c>
      <c r="G2128" t="str">
        <f t="shared" si="166"/>
        <v/>
      </c>
      <c r="H2128" t="str">
        <f t="shared" si="167"/>
        <v>—</v>
      </c>
      <c r="I2128" t="str">
        <f t="shared" si="168"/>
        <v>Below thresholds</v>
      </c>
      <c r="J2128" t="str">
        <f t="shared" si="169"/>
        <v/>
      </c>
    </row>
    <row r="2129" spans="1:10" x14ac:dyDescent="0.2">
      <c r="A2129">
        <v>227023575540</v>
      </c>
      <c r="B2129" t="s">
        <v>4938</v>
      </c>
      <c r="C2129" t="s">
        <v>4939</v>
      </c>
      <c r="D2129">
        <v>1.99</v>
      </c>
      <c r="F2129" t="str">
        <f t="shared" si="165"/>
        <v>No</v>
      </c>
      <c r="G2129" t="str">
        <f t="shared" si="166"/>
        <v/>
      </c>
      <c r="H2129" t="str">
        <f t="shared" si="167"/>
        <v>—</v>
      </c>
      <c r="I2129" t="str">
        <f t="shared" si="168"/>
        <v>Below thresholds</v>
      </c>
      <c r="J2129" t="str">
        <f t="shared" si="169"/>
        <v/>
      </c>
    </row>
    <row r="2130" spans="1:10" x14ac:dyDescent="0.2">
      <c r="A2130">
        <v>227023575689</v>
      </c>
      <c r="B2130" t="s">
        <v>4940</v>
      </c>
      <c r="C2130" t="s">
        <v>4941</v>
      </c>
      <c r="D2130">
        <v>1.99</v>
      </c>
      <c r="F2130" t="str">
        <f t="shared" si="165"/>
        <v>No</v>
      </c>
      <c r="G2130" t="str">
        <f t="shared" si="166"/>
        <v/>
      </c>
      <c r="H2130" t="str">
        <f t="shared" si="167"/>
        <v>—</v>
      </c>
      <c r="I2130" t="str">
        <f t="shared" si="168"/>
        <v>Below thresholds</v>
      </c>
      <c r="J2130" t="str">
        <f t="shared" si="169"/>
        <v/>
      </c>
    </row>
    <row r="2131" spans="1:10" x14ac:dyDescent="0.2">
      <c r="A2131">
        <v>227023575693</v>
      </c>
      <c r="B2131" t="s">
        <v>4942</v>
      </c>
      <c r="C2131" t="s">
        <v>4943</v>
      </c>
      <c r="D2131">
        <v>1.99</v>
      </c>
      <c r="F2131" t="str">
        <f t="shared" si="165"/>
        <v>No</v>
      </c>
      <c r="G2131" t="str">
        <f t="shared" si="166"/>
        <v/>
      </c>
      <c r="H2131" t="str">
        <f t="shared" si="167"/>
        <v>—</v>
      </c>
      <c r="I2131" t="str">
        <f t="shared" si="168"/>
        <v>Below thresholds</v>
      </c>
      <c r="J2131" t="str">
        <f t="shared" si="169"/>
        <v/>
      </c>
    </row>
    <row r="2132" spans="1:10" x14ac:dyDescent="0.2">
      <c r="A2132">
        <v>227023575698</v>
      </c>
      <c r="B2132" t="s">
        <v>4944</v>
      </c>
      <c r="C2132" t="s">
        <v>4945</v>
      </c>
      <c r="D2132">
        <v>1.99</v>
      </c>
      <c r="F2132" t="str">
        <f t="shared" si="165"/>
        <v>No</v>
      </c>
      <c r="G2132" t="str">
        <f t="shared" si="166"/>
        <v/>
      </c>
      <c r="H2132" t="str">
        <f t="shared" si="167"/>
        <v>—</v>
      </c>
      <c r="I2132" t="str">
        <f t="shared" si="168"/>
        <v>Below thresholds</v>
      </c>
      <c r="J2132" t="str">
        <f t="shared" si="169"/>
        <v/>
      </c>
    </row>
    <row r="2133" spans="1:10" x14ac:dyDescent="0.2">
      <c r="A2133">
        <v>227023575762</v>
      </c>
      <c r="B2133" t="s">
        <v>4946</v>
      </c>
      <c r="C2133" t="s">
        <v>4947</v>
      </c>
      <c r="D2133">
        <v>1.99</v>
      </c>
      <c r="F2133" t="str">
        <f t="shared" si="165"/>
        <v>No</v>
      </c>
      <c r="G2133" t="str">
        <f t="shared" si="166"/>
        <v/>
      </c>
      <c r="H2133" t="str">
        <f t="shared" si="167"/>
        <v>—</v>
      </c>
      <c r="I2133" t="str">
        <f t="shared" si="168"/>
        <v>Below thresholds</v>
      </c>
      <c r="J2133" t="str">
        <f t="shared" si="169"/>
        <v/>
      </c>
    </row>
    <row r="2134" spans="1:10" x14ac:dyDescent="0.2">
      <c r="A2134">
        <v>227023575765</v>
      </c>
      <c r="B2134" t="s">
        <v>4948</v>
      </c>
      <c r="C2134" t="s">
        <v>4949</v>
      </c>
      <c r="D2134">
        <v>1.99</v>
      </c>
      <c r="F2134" t="str">
        <f t="shared" si="165"/>
        <v>No</v>
      </c>
      <c r="G2134" t="str">
        <f t="shared" si="166"/>
        <v/>
      </c>
      <c r="H2134" t="str">
        <f t="shared" si="167"/>
        <v>—</v>
      </c>
      <c r="I2134" t="str">
        <f t="shared" si="168"/>
        <v>Below thresholds</v>
      </c>
      <c r="J2134" t="str">
        <f t="shared" si="169"/>
        <v/>
      </c>
    </row>
    <row r="2135" spans="1:10" x14ac:dyDescent="0.2">
      <c r="A2135">
        <v>227023575769</v>
      </c>
      <c r="B2135" t="s">
        <v>4950</v>
      </c>
      <c r="C2135" t="s">
        <v>4951</v>
      </c>
      <c r="D2135">
        <v>1.99</v>
      </c>
      <c r="F2135" t="str">
        <f t="shared" si="165"/>
        <v>No</v>
      </c>
      <c r="G2135" t="str">
        <f t="shared" si="166"/>
        <v/>
      </c>
      <c r="H2135" t="str">
        <f t="shared" si="167"/>
        <v>—</v>
      </c>
      <c r="I2135" t="str">
        <f t="shared" si="168"/>
        <v>Below thresholds</v>
      </c>
      <c r="J2135" t="str">
        <f t="shared" si="169"/>
        <v/>
      </c>
    </row>
    <row r="2136" spans="1:10" x14ac:dyDescent="0.2">
      <c r="A2136">
        <v>227023575812</v>
      </c>
      <c r="B2136" t="s">
        <v>4952</v>
      </c>
      <c r="C2136" t="s">
        <v>4953</v>
      </c>
      <c r="D2136">
        <v>1.99</v>
      </c>
      <c r="F2136" t="str">
        <f t="shared" si="165"/>
        <v>No</v>
      </c>
      <c r="G2136" t="str">
        <f t="shared" si="166"/>
        <v/>
      </c>
      <c r="H2136" t="str">
        <f t="shared" si="167"/>
        <v>—</v>
      </c>
      <c r="I2136" t="str">
        <f t="shared" si="168"/>
        <v>Below thresholds</v>
      </c>
      <c r="J2136" t="str">
        <f t="shared" si="169"/>
        <v/>
      </c>
    </row>
    <row r="2137" spans="1:10" x14ac:dyDescent="0.2">
      <c r="A2137">
        <v>227023575815</v>
      </c>
      <c r="B2137" t="s">
        <v>4954</v>
      </c>
      <c r="C2137" t="s">
        <v>4955</v>
      </c>
      <c r="D2137">
        <v>1.99</v>
      </c>
      <c r="F2137" t="str">
        <f t="shared" si="165"/>
        <v>No</v>
      </c>
      <c r="G2137" t="str">
        <f t="shared" si="166"/>
        <v/>
      </c>
      <c r="H2137" t="str">
        <f t="shared" si="167"/>
        <v>—</v>
      </c>
      <c r="I2137" t="str">
        <f t="shared" si="168"/>
        <v>Below thresholds</v>
      </c>
      <c r="J2137" t="str">
        <f t="shared" si="169"/>
        <v/>
      </c>
    </row>
    <row r="2138" spans="1:10" x14ac:dyDescent="0.2">
      <c r="A2138">
        <v>227023575819</v>
      </c>
      <c r="B2138" t="s">
        <v>4956</v>
      </c>
      <c r="C2138" t="s">
        <v>4957</v>
      </c>
      <c r="D2138">
        <v>1.99</v>
      </c>
      <c r="F2138" t="str">
        <f t="shared" si="165"/>
        <v>No</v>
      </c>
      <c r="G2138" t="str">
        <f t="shared" si="166"/>
        <v/>
      </c>
      <c r="H2138" t="str">
        <f t="shared" si="167"/>
        <v>—</v>
      </c>
      <c r="I2138" t="str">
        <f t="shared" si="168"/>
        <v>Below thresholds</v>
      </c>
      <c r="J2138" t="str">
        <f t="shared" si="169"/>
        <v/>
      </c>
    </row>
    <row r="2139" spans="1:10" x14ac:dyDescent="0.2">
      <c r="A2139">
        <v>227023575876</v>
      </c>
      <c r="B2139" t="s">
        <v>4958</v>
      </c>
      <c r="C2139" t="s">
        <v>4959</v>
      </c>
      <c r="D2139">
        <v>1.99</v>
      </c>
      <c r="F2139" t="str">
        <f t="shared" si="165"/>
        <v>No</v>
      </c>
      <c r="G2139" t="str">
        <f t="shared" si="166"/>
        <v/>
      </c>
      <c r="H2139" t="str">
        <f t="shared" si="167"/>
        <v>—</v>
      </c>
      <c r="I2139" t="str">
        <f t="shared" si="168"/>
        <v>Below thresholds</v>
      </c>
      <c r="J2139" t="str">
        <f t="shared" si="169"/>
        <v/>
      </c>
    </row>
    <row r="2140" spans="1:10" x14ac:dyDescent="0.2">
      <c r="A2140">
        <v>227023575883</v>
      </c>
      <c r="B2140" t="s">
        <v>4960</v>
      </c>
      <c r="C2140" t="s">
        <v>4961</v>
      </c>
      <c r="D2140">
        <v>1.99</v>
      </c>
      <c r="F2140" t="str">
        <f t="shared" si="165"/>
        <v>No</v>
      </c>
      <c r="G2140" t="str">
        <f t="shared" si="166"/>
        <v/>
      </c>
      <c r="H2140" t="str">
        <f t="shared" si="167"/>
        <v>—</v>
      </c>
      <c r="I2140" t="str">
        <f t="shared" si="168"/>
        <v>Below thresholds</v>
      </c>
      <c r="J2140" t="str">
        <f t="shared" si="169"/>
        <v/>
      </c>
    </row>
    <row r="2141" spans="1:10" x14ac:dyDescent="0.2">
      <c r="A2141">
        <v>227023575885</v>
      </c>
      <c r="B2141" t="s">
        <v>4962</v>
      </c>
      <c r="C2141" t="s">
        <v>4963</v>
      </c>
      <c r="D2141">
        <v>1.99</v>
      </c>
      <c r="F2141" t="str">
        <f t="shared" si="165"/>
        <v>No</v>
      </c>
      <c r="G2141" t="str">
        <f t="shared" si="166"/>
        <v/>
      </c>
      <c r="H2141" t="str">
        <f t="shared" si="167"/>
        <v>—</v>
      </c>
      <c r="I2141" t="str">
        <f t="shared" si="168"/>
        <v>Below thresholds</v>
      </c>
      <c r="J2141" t="str">
        <f t="shared" si="169"/>
        <v/>
      </c>
    </row>
    <row r="2142" spans="1:10" x14ac:dyDescent="0.2">
      <c r="A2142">
        <v>227023575933</v>
      </c>
      <c r="B2142" t="s">
        <v>4964</v>
      </c>
      <c r="C2142" t="s">
        <v>4965</v>
      </c>
      <c r="D2142">
        <v>1</v>
      </c>
      <c r="F2142" t="str">
        <f t="shared" si="165"/>
        <v>No</v>
      </c>
      <c r="G2142" t="str">
        <f t="shared" si="166"/>
        <v/>
      </c>
      <c r="H2142" t="str">
        <f t="shared" si="167"/>
        <v>—</v>
      </c>
      <c r="I2142" t="str">
        <f t="shared" si="168"/>
        <v>Below thresholds</v>
      </c>
      <c r="J2142" t="str">
        <f t="shared" si="169"/>
        <v/>
      </c>
    </row>
    <row r="2143" spans="1:10" x14ac:dyDescent="0.2">
      <c r="A2143">
        <v>227023575939</v>
      </c>
      <c r="B2143" t="s">
        <v>4966</v>
      </c>
      <c r="C2143" t="s">
        <v>4967</v>
      </c>
      <c r="D2143">
        <v>1.99</v>
      </c>
      <c r="F2143" t="str">
        <f t="shared" si="165"/>
        <v>No</v>
      </c>
      <c r="G2143" t="str">
        <f t="shared" si="166"/>
        <v/>
      </c>
      <c r="H2143" t="str">
        <f t="shared" si="167"/>
        <v>—</v>
      </c>
      <c r="I2143" t="str">
        <f t="shared" si="168"/>
        <v>Below thresholds</v>
      </c>
      <c r="J2143" t="str">
        <f t="shared" si="169"/>
        <v/>
      </c>
    </row>
    <row r="2144" spans="1:10" x14ac:dyDescent="0.2">
      <c r="A2144">
        <v>227023575945</v>
      </c>
      <c r="B2144" t="s">
        <v>4968</v>
      </c>
      <c r="C2144" t="s">
        <v>4969</v>
      </c>
      <c r="D2144">
        <v>1.99</v>
      </c>
      <c r="F2144" t="str">
        <f t="shared" si="165"/>
        <v>No</v>
      </c>
      <c r="G2144" t="str">
        <f t="shared" si="166"/>
        <v/>
      </c>
      <c r="H2144" t="str">
        <f t="shared" si="167"/>
        <v>—</v>
      </c>
      <c r="I2144" t="str">
        <f t="shared" si="168"/>
        <v>Below thresholds</v>
      </c>
      <c r="J2144" t="str">
        <f t="shared" si="169"/>
        <v/>
      </c>
    </row>
    <row r="2145" spans="1:10" x14ac:dyDescent="0.2">
      <c r="A2145">
        <v>227023575984</v>
      </c>
      <c r="B2145" t="s">
        <v>4970</v>
      </c>
      <c r="C2145" t="s">
        <v>4971</v>
      </c>
      <c r="D2145">
        <v>1.99</v>
      </c>
      <c r="F2145" t="str">
        <f t="shared" si="165"/>
        <v>No</v>
      </c>
      <c r="G2145" t="str">
        <f t="shared" si="166"/>
        <v/>
      </c>
      <c r="H2145" t="str">
        <f t="shared" si="167"/>
        <v>—</v>
      </c>
      <c r="I2145" t="str">
        <f t="shared" si="168"/>
        <v>Below thresholds</v>
      </c>
      <c r="J2145" t="str">
        <f t="shared" si="169"/>
        <v/>
      </c>
    </row>
    <row r="2146" spans="1:10" x14ac:dyDescent="0.2">
      <c r="A2146">
        <v>227023575986</v>
      </c>
      <c r="B2146" t="s">
        <v>4972</v>
      </c>
      <c r="C2146" t="s">
        <v>4973</v>
      </c>
      <c r="D2146">
        <v>1.99</v>
      </c>
      <c r="F2146" t="str">
        <f t="shared" si="165"/>
        <v>No</v>
      </c>
      <c r="G2146" t="str">
        <f t="shared" si="166"/>
        <v/>
      </c>
      <c r="H2146" t="str">
        <f t="shared" si="167"/>
        <v>—</v>
      </c>
      <c r="I2146" t="str">
        <f t="shared" si="168"/>
        <v>Below thresholds</v>
      </c>
      <c r="J2146" t="str">
        <f t="shared" si="169"/>
        <v/>
      </c>
    </row>
    <row r="2147" spans="1:10" x14ac:dyDescent="0.2">
      <c r="A2147">
        <v>227023576036</v>
      </c>
      <c r="B2147" t="s">
        <v>4974</v>
      </c>
      <c r="C2147" t="s">
        <v>4975</v>
      </c>
      <c r="D2147">
        <v>1.79</v>
      </c>
      <c r="F2147" t="str">
        <f t="shared" si="165"/>
        <v>No</v>
      </c>
      <c r="G2147" t="str">
        <f t="shared" si="166"/>
        <v/>
      </c>
      <c r="H2147" t="str">
        <f t="shared" si="167"/>
        <v>—</v>
      </c>
      <c r="I2147" t="str">
        <f t="shared" si="168"/>
        <v>Below thresholds</v>
      </c>
      <c r="J2147" t="str">
        <f t="shared" si="169"/>
        <v/>
      </c>
    </row>
    <row r="2148" spans="1:10" x14ac:dyDescent="0.2">
      <c r="A2148">
        <v>227023576037</v>
      </c>
      <c r="B2148" t="s">
        <v>4976</v>
      </c>
      <c r="C2148" t="s">
        <v>4977</v>
      </c>
      <c r="D2148">
        <v>1.79</v>
      </c>
      <c r="F2148" t="str">
        <f t="shared" si="165"/>
        <v>No</v>
      </c>
      <c r="G2148" t="str">
        <f t="shared" si="166"/>
        <v/>
      </c>
      <c r="H2148" t="str">
        <f t="shared" si="167"/>
        <v>—</v>
      </c>
      <c r="I2148" t="str">
        <f t="shared" si="168"/>
        <v>Below thresholds</v>
      </c>
      <c r="J2148" t="str">
        <f t="shared" si="169"/>
        <v/>
      </c>
    </row>
    <row r="2149" spans="1:10" x14ac:dyDescent="0.2">
      <c r="A2149">
        <v>227023576042</v>
      </c>
      <c r="B2149" t="s">
        <v>4978</v>
      </c>
      <c r="C2149" t="s">
        <v>4979</v>
      </c>
      <c r="D2149">
        <v>1.69</v>
      </c>
      <c r="F2149" t="str">
        <f t="shared" si="165"/>
        <v>No</v>
      </c>
      <c r="G2149" t="str">
        <f t="shared" si="166"/>
        <v/>
      </c>
      <c r="H2149" t="str">
        <f t="shared" si="167"/>
        <v>—</v>
      </c>
      <c r="I2149" t="str">
        <f t="shared" si="168"/>
        <v>Below thresholds</v>
      </c>
      <c r="J2149" t="str">
        <f t="shared" si="169"/>
        <v/>
      </c>
    </row>
    <row r="2150" spans="1:10" x14ac:dyDescent="0.2">
      <c r="A2150">
        <v>227023576195</v>
      </c>
      <c r="B2150" t="s">
        <v>4980</v>
      </c>
      <c r="C2150" t="s">
        <v>4981</v>
      </c>
      <c r="D2150">
        <v>1.99</v>
      </c>
      <c r="F2150" t="str">
        <f t="shared" si="165"/>
        <v>No</v>
      </c>
      <c r="G2150" t="str">
        <f t="shared" si="166"/>
        <v/>
      </c>
      <c r="H2150" t="str">
        <f t="shared" si="167"/>
        <v>—</v>
      </c>
      <c r="I2150" t="str">
        <f t="shared" si="168"/>
        <v>Below thresholds</v>
      </c>
      <c r="J2150" t="str">
        <f t="shared" si="169"/>
        <v/>
      </c>
    </row>
    <row r="2151" spans="1:10" x14ac:dyDescent="0.2">
      <c r="A2151">
        <v>227023576202</v>
      </c>
      <c r="B2151" t="s">
        <v>4982</v>
      </c>
      <c r="C2151" t="s">
        <v>4983</v>
      </c>
      <c r="D2151">
        <v>8.99</v>
      </c>
      <c r="F2151" t="str">
        <f t="shared" si="165"/>
        <v>No</v>
      </c>
      <c r="G2151" t="str">
        <f t="shared" si="166"/>
        <v/>
      </c>
      <c r="H2151" t="str">
        <f t="shared" si="167"/>
        <v>—</v>
      </c>
      <c r="I2151" t="str">
        <f t="shared" si="168"/>
        <v>Below thresholds</v>
      </c>
      <c r="J2151" t="str">
        <f t="shared" si="169"/>
        <v/>
      </c>
    </row>
    <row r="2152" spans="1:10" x14ac:dyDescent="0.2">
      <c r="A2152">
        <v>227023870072</v>
      </c>
      <c r="B2152" t="s">
        <v>4984</v>
      </c>
      <c r="C2152" t="s">
        <v>4985</v>
      </c>
      <c r="D2152">
        <v>2.99</v>
      </c>
      <c r="F2152" t="str">
        <f t="shared" si="165"/>
        <v>No</v>
      </c>
      <c r="G2152" t="str">
        <f t="shared" si="166"/>
        <v/>
      </c>
      <c r="H2152" t="str">
        <f t="shared" si="167"/>
        <v>—</v>
      </c>
      <c r="I2152" t="str">
        <f t="shared" si="168"/>
        <v>Below thresholds</v>
      </c>
      <c r="J2152" t="str">
        <f t="shared" si="169"/>
        <v/>
      </c>
    </row>
    <row r="2153" spans="1:10" x14ac:dyDescent="0.2">
      <c r="A2153">
        <v>227030580603</v>
      </c>
      <c r="B2153" t="s">
        <v>4986</v>
      </c>
      <c r="C2153" t="s">
        <v>4987</v>
      </c>
      <c r="D2153">
        <v>7.95</v>
      </c>
      <c r="F2153" t="str">
        <f t="shared" si="165"/>
        <v>No</v>
      </c>
      <c r="G2153" t="str">
        <f t="shared" si="166"/>
        <v/>
      </c>
      <c r="H2153" t="str">
        <f t="shared" si="167"/>
        <v>—</v>
      </c>
      <c r="I2153" t="str">
        <f t="shared" si="168"/>
        <v>Below thresholds</v>
      </c>
      <c r="J2153" t="str">
        <f t="shared" si="169"/>
        <v/>
      </c>
    </row>
    <row r="2154" spans="1:10" x14ac:dyDescent="0.2">
      <c r="A2154">
        <v>227030580646</v>
      </c>
      <c r="B2154" t="s">
        <v>4988</v>
      </c>
      <c r="C2154" t="s">
        <v>4989</v>
      </c>
      <c r="D2154">
        <v>2.29</v>
      </c>
      <c r="F2154" t="str">
        <f t="shared" si="165"/>
        <v>No</v>
      </c>
      <c r="G2154" t="str">
        <f t="shared" si="166"/>
        <v/>
      </c>
      <c r="H2154" t="str">
        <f t="shared" si="167"/>
        <v>—</v>
      </c>
      <c r="I2154" t="str">
        <f t="shared" si="168"/>
        <v>Below thresholds</v>
      </c>
      <c r="J2154" t="str">
        <f t="shared" si="169"/>
        <v/>
      </c>
    </row>
    <row r="2155" spans="1:10" x14ac:dyDescent="0.2">
      <c r="A2155">
        <v>227030580661</v>
      </c>
      <c r="B2155" t="s">
        <v>4990</v>
      </c>
      <c r="C2155" t="s">
        <v>4991</v>
      </c>
      <c r="D2155">
        <v>3.99</v>
      </c>
      <c r="F2155" t="str">
        <f t="shared" si="165"/>
        <v>No</v>
      </c>
      <c r="G2155" t="str">
        <f t="shared" si="166"/>
        <v/>
      </c>
      <c r="H2155" t="str">
        <f t="shared" si="167"/>
        <v>—</v>
      </c>
      <c r="I2155" t="str">
        <f t="shared" si="168"/>
        <v>Below thresholds</v>
      </c>
      <c r="J2155" t="str">
        <f t="shared" si="169"/>
        <v/>
      </c>
    </row>
    <row r="2156" spans="1:10" x14ac:dyDescent="0.2">
      <c r="A2156">
        <v>227030580680</v>
      </c>
      <c r="B2156" t="s">
        <v>4992</v>
      </c>
      <c r="C2156" t="s">
        <v>4993</v>
      </c>
      <c r="D2156">
        <v>3.99</v>
      </c>
      <c r="F2156" t="str">
        <f t="shared" si="165"/>
        <v>No</v>
      </c>
      <c r="G2156" t="str">
        <f t="shared" si="166"/>
        <v/>
      </c>
      <c r="H2156" t="str">
        <f t="shared" si="167"/>
        <v>—</v>
      </c>
      <c r="I2156" t="str">
        <f t="shared" si="168"/>
        <v>Below thresholds</v>
      </c>
      <c r="J2156" t="str">
        <f t="shared" si="169"/>
        <v/>
      </c>
    </row>
    <row r="2157" spans="1:10" x14ac:dyDescent="0.2">
      <c r="A2157">
        <v>227030580714</v>
      </c>
      <c r="B2157" t="s">
        <v>4994</v>
      </c>
      <c r="C2157" t="s">
        <v>4995</v>
      </c>
      <c r="D2157">
        <v>2.5</v>
      </c>
      <c r="F2157" t="str">
        <f t="shared" si="165"/>
        <v>No</v>
      </c>
      <c r="G2157" t="str">
        <f t="shared" si="166"/>
        <v/>
      </c>
      <c r="H2157" t="str">
        <f t="shared" si="167"/>
        <v>—</v>
      </c>
      <c r="I2157" t="str">
        <f t="shared" si="168"/>
        <v>Below thresholds</v>
      </c>
      <c r="J2157" t="str">
        <f t="shared" si="169"/>
        <v/>
      </c>
    </row>
    <row r="2158" spans="1:10" x14ac:dyDescent="0.2">
      <c r="A2158">
        <v>227030580729</v>
      </c>
      <c r="B2158" t="s">
        <v>4996</v>
      </c>
      <c r="C2158" t="s">
        <v>4997</v>
      </c>
      <c r="D2158">
        <v>1.99</v>
      </c>
      <c r="F2158" t="str">
        <f t="shared" si="165"/>
        <v>No</v>
      </c>
      <c r="G2158" t="str">
        <f t="shared" si="166"/>
        <v/>
      </c>
      <c r="H2158" t="str">
        <f t="shared" si="167"/>
        <v>—</v>
      </c>
      <c r="I2158" t="str">
        <f t="shared" si="168"/>
        <v>Below thresholds</v>
      </c>
      <c r="J2158" t="str">
        <f t="shared" si="169"/>
        <v/>
      </c>
    </row>
    <row r="2159" spans="1:10" x14ac:dyDescent="0.2">
      <c r="A2159">
        <v>227030580755</v>
      </c>
      <c r="B2159" t="s">
        <v>4998</v>
      </c>
      <c r="C2159" t="s">
        <v>4999</v>
      </c>
      <c r="D2159">
        <v>2.99</v>
      </c>
      <c r="F2159" t="str">
        <f t="shared" si="165"/>
        <v>No</v>
      </c>
      <c r="G2159" t="str">
        <f t="shared" si="166"/>
        <v/>
      </c>
      <c r="H2159" t="str">
        <f t="shared" si="167"/>
        <v>—</v>
      </c>
      <c r="I2159" t="str">
        <f t="shared" si="168"/>
        <v>Below thresholds</v>
      </c>
      <c r="J2159" t="str">
        <f t="shared" si="169"/>
        <v/>
      </c>
    </row>
    <row r="2160" spans="1:10" x14ac:dyDescent="0.2">
      <c r="A2160">
        <v>227036682443</v>
      </c>
      <c r="B2160" t="s">
        <v>5000</v>
      </c>
      <c r="C2160" t="s">
        <v>5001</v>
      </c>
      <c r="D2160">
        <v>3</v>
      </c>
      <c r="F2160" t="str">
        <f t="shared" si="165"/>
        <v>No</v>
      </c>
      <c r="G2160" t="str">
        <f t="shared" si="166"/>
        <v/>
      </c>
      <c r="H2160" t="str">
        <f t="shared" si="167"/>
        <v>—</v>
      </c>
      <c r="I2160" t="str">
        <f t="shared" si="168"/>
        <v>Below thresholds</v>
      </c>
      <c r="J2160" t="str">
        <f t="shared" si="169"/>
        <v/>
      </c>
    </row>
    <row r="2161" spans="1:10" x14ac:dyDescent="0.2">
      <c r="A2161">
        <v>227036682447</v>
      </c>
      <c r="B2161" t="s">
        <v>5002</v>
      </c>
      <c r="C2161" t="s">
        <v>5003</v>
      </c>
      <c r="D2161">
        <v>2.79</v>
      </c>
      <c r="F2161" t="str">
        <f t="shared" si="165"/>
        <v>No</v>
      </c>
      <c r="G2161" t="str">
        <f t="shared" si="166"/>
        <v/>
      </c>
      <c r="H2161" t="str">
        <f t="shared" si="167"/>
        <v>—</v>
      </c>
      <c r="I2161" t="str">
        <f t="shared" si="168"/>
        <v>Below thresholds</v>
      </c>
      <c r="J2161" t="str">
        <f t="shared" si="169"/>
        <v/>
      </c>
    </row>
    <row r="2162" spans="1:10" x14ac:dyDescent="0.2">
      <c r="A2162">
        <v>227036682448</v>
      </c>
      <c r="B2162" t="s">
        <v>5004</v>
      </c>
      <c r="C2162" t="s">
        <v>5005</v>
      </c>
      <c r="D2162">
        <v>1.5</v>
      </c>
      <c r="F2162" t="str">
        <f t="shared" si="165"/>
        <v>No</v>
      </c>
      <c r="G2162" t="str">
        <f t="shared" si="166"/>
        <v/>
      </c>
      <c r="H2162" t="str">
        <f t="shared" si="167"/>
        <v>—</v>
      </c>
      <c r="I2162" t="str">
        <f t="shared" si="168"/>
        <v>Below thresholds</v>
      </c>
      <c r="J2162" t="str">
        <f t="shared" si="169"/>
        <v/>
      </c>
    </row>
    <row r="2163" spans="1:10" x14ac:dyDescent="0.2">
      <c r="A2163">
        <v>227036682451</v>
      </c>
      <c r="B2163" t="s">
        <v>5006</v>
      </c>
      <c r="C2163" t="s">
        <v>5007</v>
      </c>
      <c r="D2163">
        <v>2.99</v>
      </c>
      <c r="F2163" t="str">
        <f t="shared" si="165"/>
        <v>No</v>
      </c>
      <c r="G2163" t="str">
        <f t="shared" si="166"/>
        <v/>
      </c>
      <c r="H2163" t="str">
        <f t="shared" si="167"/>
        <v>—</v>
      </c>
      <c r="I2163" t="str">
        <f t="shared" si="168"/>
        <v>Below thresholds</v>
      </c>
      <c r="J2163" t="str">
        <f t="shared" si="169"/>
        <v/>
      </c>
    </row>
    <row r="2164" spans="1:10" x14ac:dyDescent="0.2">
      <c r="A2164">
        <v>227036682452</v>
      </c>
      <c r="B2164" t="s">
        <v>5008</v>
      </c>
      <c r="C2164" t="s">
        <v>5009</v>
      </c>
      <c r="D2164">
        <v>1.99</v>
      </c>
      <c r="F2164" t="str">
        <f t="shared" si="165"/>
        <v>No</v>
      </c>
      <c r="G2164" t="str">
        <f t="shared" si="166"/>
        <v/>
      </c>
      <c r="H2164" t="str">
        <f t="shared" si="167"/>
        <v>—</v>
      </c>
      <c r="I2164" t="str">
        <f t="shared" si="168"/>
        <v>Below thresholds</v>
      </c>
      <c r="J2164" t="str">
        <f t="shared" si="169"/>
        <v/>
      </c>
    </row>
    <row r="2165" spans="1:10" x14ac:dyDescent="0.2">
      <c r="A2165">
        <v>227036682453</v>
      </c>
      <c r="B2165" t="s">
        <v>5010</v>
      </c>
      <c r="C2165" t="s">
        <v>5011</v>
      </c>
      <c r="D2165">
        <v>1.59</v>
      </c>
      <c r="F2165" t="str">
        <f t="shared" si="165"/>
        <v>No</v>
      </c>
      <c r="G2165" t="str">
        <f t="shared" si="166"/>
        <v/>
      </c>
      <c r="H2165" t="str">
        <f t="shared" si="167"/>
        <v>—</v>
      </c>
      <c r="I2165" t="str">
        <f t="shared" si="168"/>
        <v>Below thresholds</v>
      </c>
      <c r="J2165" t="str">
        <f t="shared" si="169"/>
        <v/>
      </c>
    </row>
    <row r="2166" spans="1:10" x14ac:dyDescent="0.2">
      <c r="A2166">
        <v>227036682455</v>
      </c>
      <c r="B2166" t="s">
        <v>5012</v>
      </c>
      <c r="C2166" t="s">
        <v>5013</v>
      </c>
      <c r="D2166">
        <v>1.5</v>
      </c>
      <c r="F2166" t="str">
        <f t="shared" si="165"/>
        <v>No</v>
      </c>
      <c r="G2166" t="str">
        <f t="shared" si="166"/>
        <v/>
      </c>
      <c r="H2166" t="str">
        <f t="shared" si="167"/>
        <v>—</v>
      </c>
      <c r="I2166" t="str">
        <f t="shared" si="168"/>
        <v>Below thresholds</v>
      </c>
      <c r="J2166" t="str">
        <f t="shared" si="169"/>
        <v/>
      </c>
    </row>
    <row r="2167" spans="1:10" x14ac:dyDescent="0.2">
      <c r="A2167">
        <v>227036682456</v>
      </c>
      <c r="B2167" t="s">
        <v>5014</v>
      </c>
      <c r="C2167" t="s">
        <v>5015</v>
      </c>
      <c r="D2167">
        <v>2.09</v>
      </c>
      <c r="F2167" t="str">
        <f t="shared" si="165"/>
        <v>No</v>
      </c>
      <c r="G2167" t="str">
        <f t="shared" si="166"/>
        <v/>
      </c>
      <c r="H2167" t="str">
        <f t="shared" si="167"/>
        <v>—</v>
      </c>
      <c r="I2167" t="str">
        <f t="shared" si="168"/>
        <v>Below thresholds</v>
      </c>
      <c r="J2167" t="str">
        <f t="shared" si="169"/>
        <v/>
      </c>
    </row>
    <row r="2168" spans="1:10" x14ac:dyDescent="0.2">
      <c r="A2168">
        <v>227036682457</v>
      </c>
      <c r="B2168" t="s">
        <v>5016</v>
      </c>
      <c r="C2168" t="s">
        <v>5017</v>
      </c>
      <c r="D2168">
        <v>3.99</v>
      </c>
      <c r="F2168" t="str">
        <f t="shared" si="165"/>
        <v>No</v>
      </c>
      <c r="G2168" t="str">
        <f t="shared" si="166"/>
        <v/>
      </c>
      <c r="H2168" t="str">
        <f t="shared" si="167"/>
        <v>—</v>
      </c>
      <c r="I2168" t="str">
        <f t="shared" si="168"/>
        <v>Below thresholds</v>
      </c>
      <c r="J2168" t="str">
        <f t="shared" si="169"/>
        <v/>
      </c>
    </row>
    <row r="2169" spans="1:10" x14ac:dyDescent="0.2">
      <c r="A2169">
        <v>227036682459</v>
      </c>
      <c r="B2169" t="s">
        <v>5018</v>
      </c>
      <c r="C2169" t="s">
        <v>5019</v>
      </c>
      <c r="D2169">
        <v>1.99</v>
      </c>
      <c r="F2169" t="str">
        <f t="shared" si="165"/>
        <v>No</v>
      </c>
      <c r="G2169" t="str">
        <f t="shared" si="166"/>
        <v/>
      </c>
      <c r="H2169" t="str">
        <f t="shared" si="167"/>
        <v>—</v>
      </c>
      <c r="I2169" t="str">
        <f t="shared" si="168"/>
        <v>Below thresholds</v>
      </c>
      <c r="J2169" t="str">
        <f t="shared" si="169"/>
        <v/>
      </c>
    </row>
    <row r="2170" spans="1:10" x14ac:dyDescent="0.2">
      <c r="A2170">
        <v>227036682460</v>
      </c>
      <c r="B2170" t="s">
        <v>5020</v>
      </c>
      <c r="C2170" t="s">
        <v>5021</v>
      </c>
      <c r="D2170">
        <v>1.99</v>
      </c>
      <c r="F2170" t="str">
        <f t="shared" si="165"/>
        <v>No</v>
      </c>
      <c r="G2170" t="str">
        <f t="shared" si="166"/>
        <v/>
      </c>
      <c r="H2170" t="str">
        <f t="shared" si="167"/>
        <v>—</v>
      </c>
      <c r="I2170" t="str">
        <f t="shared" si="168"/>
        <v>Below thresholds</v>
      </c>
      <c r="J2170" t="str">
        <f t="shared" si="169"/>
        <v/>
      </c>
    </row>
    <row r="2171" spans="1:10" x14ac:dyDescent="0.2">
      <c r="A2171">
        <v>227036816424</v>
      </c>
      <c r="B2171" t="s">
        <v>332</v>
      </c>
      <c r="C2171" t="s">
        <v>5022</v>
      </c>
      <c r="D2171">
        <v>25</v>
      </c>
      <c r="F2171" t="str">
        <f t="shared" si="165"/>
        <v>No</v>
      </c>
      <c r="G2171" t="str">
        <f t="shared" si="166"/>
        <v/>
      </c>
      <c r="H2171" t="str">
        <f t="shared" si="167"/>
        <v>—</v>
      </c>
      <c r="I2171" t="str">
        <f t="shared" si="168"/>
        <v>$20+ — needs velocity check</v>
      </c>
      <c r="J2171" t="str">
        <f t="shared" si="169"/>
        <v>YES — pull CardHedger</v>
      </c>
    </row>
    <row r="2172" spans="1:10" x14ac:dyDescent="0.2">
      <c r="A2172">
        <v>227040156294</v>
      </c>
      <c r="B2172" t="s">
        <v>5023</v>
      </c>
      <c r="C2172" t="s">
        <v>5024</v>
      </c>
      <c r="D2172">
        <v>34.950000000000003</v>
      </c>
      <c r="F2172" t="str">
        <f t="shared" si="165"/>
        <v>No</v>
      </c>
      <c r="G2172" t="str">
        <f t="shared" si="166"/>
        <v/>
      </c>
      <c r="H2172" t="str">
        <f t="shared" si="167"/>
        <v>—</v>
      </c>
      <c r="I2172" t="str">
        <f t="shared" si="168"/>
        <v>$20+ — needs velocity check</v>
      </c>
      <c r="J2172" t="str">
        <f t="shared" si="169"/>
        <v>YES — pull CardHedger</v>
      </c>
    </row>
    <row r="2173" spans="1:10" x14ac:dyDescent="0.2">
      <c r="A2173">
        <v>227041207642</v>
      </c>
      <c r="B2173" t="s">
        <v>5025</v>
      </c>
      <c r="C2173" t="s">
        <v>5026</v>
      </c>
      <c r="D2173">
        <v>4.95</v>
      </c>
      <c r="F2173" t="str">
        <f t="shared" si="165"/>
        <v>No</v>
      </c>
      <c r="G2173" t="str">
        <f t="shared" si="166"/>
        <v/>
      </c>
      <c r="H2173" t="str">
        <f t="shared" si="167"/>
        <v>—</v>
      </c>
      <c r="I2173" t="str">
        <f t="shared" si="168"/>
        <v>Below thresholds</v>
      </c>
      <c r="J2173" t="str">
        <f t="shared" si="169"/>
        <v/>
      </c>
    </row>
    <row r="2174" spans="1:10" x14ac:dyDescent="0.2">
      <c r="A2174">
        <v>227041207678</v>
      </c>
      <c r="B2174" t="s">
        <v>5027</v>
      </c>
      <c r="C2174" t="s">
        <v>5028</v>
      </c>
      <c r="D2174">
        <v>3</v>
      </c>
      <c r="F2174" t="str">
        <f t="shared" si="165"/>
        <v>No</v>
      </c>
      <c r="G2174" t="str">
        <f t="shared" si="166"/>
        <v/>
      </c>
      <c r="H2174" t="str">
        <f t="shared" si="167"/>
        <v>—</v>
      </c>
      <c r="I2174" t="str">
        <f t="shared" si="168"/>
        <v>Below thresholds</v>
      </c>
      <c r="J2174" t="str">
        <f t="shared" si="169"/>
        <v/>
      </c>
    </row>
    <row r="2175" spans="1:10" x14ac:dyDescent="0.2">
      <c r="A2175">
        <v>227041207698</v>
      </c>
      <c r="B2175" t="s">
        <v>5029</v>
      </c>
      <c r="C2175" t="s">
        <v>5030</v>
      </c>
      <c r="D2175">
        <v>2</v>
      </c>
      <c r="F2175" t="str">
        <f t="shared" si="165"/>
        <v>No</v>
      </c>
      <c r="G2175" t="str">
        <f t="shared" si="166"/>
        <v/>
      </c>
      <c r="H2175" t="str">
        <f t="shared" si="167"/>
        <v>—</v>
      </c>
      <c r="I2175" t="str">
        <f t="shared" si="168"/>
        <v>Below thresholds</v>
      </c>
      <c r="J2175" t="str">
        <f t="shared" si="169"/>
        <v/>
      </c>
    </row>
    <row r="2176" spans="1:10" x14ac:dyDescent="0.2">
      <c r="A2176">
        <v>227041207700</v>
      </c>
      <c r="B2176" t="s">
        <v>333</v>
      </c>
      <c r="C2176" t="s">
        <v>5031</v>
      </c>
      <c r="D2176">
        <v>25</v>
      </c>
      <c r="F2176" t="str">
        <f t="shared" si="165"/>
        <v>No</v>
      </c>
      <c r="G2176" t="str">
        <f t="shared" si="166"/>
        <v/>
      </c>
      <c r="H2176" t="str">
        <f t="shared" si="167"/>
        <v>—</v>
      </c>
      <c r="I2176" t="str">
        <f t="shared" si="168"/>
        <v>$20+ — needs velocity check</v>
      </c>
      <c r="J2176" t="str">
        <f t="shared" si="169"/>
        <v>YES — pull CardHedger</v>
      </c>
    </row>
    <row r="2177" spans="1:10" x14ac:dyDescent="0.2">
      <c r="A2177">
        <v>227041207730</v>
      </c>
      <c r="B2177" t="s">
        <v>5032</v>
      </c>
      <c r="C2177" t="s">
        <v>5033</v>
      </c>
      <c r="D2177">
        <v>4</v>
      </c>
      <c r="F2177" t="str">
        <f t="shared" si="165"/>
        <v>No</v>
      </c>
      <c r="G2177" t="str">
        <f t="shared" si="166"/>
        <v/>
      </c>
      <c r="H2177" t="str">
        <f t="shared" si="167"/>
        <v>—</v>
      </c>
      <c r="I2177" t="str">
        <f t="shared" si="168"/>
        <v>Below thresholds</v>
      </c>
      <c r="J2177" t="str">
        <f t="shared" si="169"/>
        <v/>
      </c>
    </row>
    <row r="2178" spans="1:10" x14ac:dyDescent="0.2">
      <c r="A2178">
        <v>227041207758</v>
      </c>
      <c r="B2178" t="s">
        <v>5034</v>
      </c>
      <c r="C2178" t="s">
        <v>5035</v>
      </c>
      <c r="D2178">
        <v>3</v>
      </c>
      <c r="F2178" t="str">
        <f t="shared" si="165"/>
        <v>No</v>
      </c>
      <c r="G2178" t="str">
        <f t="shared" si="166"/>
        <v/>
      </c>
      <c r="H2178" t="str">
        <f t="shared" si="167"/>
        <v>—</v>
      </c>
      <c r="I2178" t="str">
        <f t="shared" si="168"/>
        <v>Below thresholds</v>
      </c>
      <c r="J2178" t="str">
        <f t="shared" si="169"/>
        <v/>
      </c>
    </row>
    <row r="2179" spans="1:10" x14ac:dyDescent="0.2">
      <c r="A2179">
        <v>227041207785</v>
      </c>
      <c r="B2179" t="s">
        <v>342</v>
      </c>
      <c r="C2179" t="s">
        <v>5036</v>
      </c>
      <c r="D2179">
        <v>20</v>
      </c>
      <c r="F2179" t="str">
        <f t="shared" si="165"/>
        <v>No</v>
      </c>
      <c r="G2179" t="str">
        <f t="shared" si="166"/>
        <v/>
      </c>
      <c r="H2179" t="str">
        <f t="shared" si="167"/>
        <v>—</v>
      </c>
      <c r="I2179" t="str">
        <f t="shared" si="168"/>
        <v>Below thresholds</v>
      </c>
      <c r="J2179" t="str">
        <f t="shared" si="169"/>
        <v/>
      </c>
    </row>
    <row r="2180" spans="1:10" x14ac:dyDescent="0.2">
      <c r="A2180">
        <v>227041207801</v>
      </c>
      <c r="B2180" t="s">
        <v>5037</v>
      </c>
      <c r="C2180" t="s">
        <v>5038</v>
      </c>
      <c r="D2180">
        <v>4</v>
      </c>
      <c r="F2180" t="str">
        <f t="shared" si="165"/>
        <v>No</v>
      </c>
      <c r="G2180" t="str">
        <f t="shared" si="166"/>
        <v/>
      </c>
      <c r="H2180" t="str">
        <f t="shared" si="167"/>
        <v>—</v>
      </c>
      <c r="I2180" t="str">
        <f t="shared" si="168"/>
        <v>Below thresholds</v>
      </c>
      <c r="J2180" t="str">
        <f t="shared" si="169"/>
        <v/>
      </c>
    </row>
    <row r="2181" spans="1:10" x14ac:dyDescent="0.2">
      <c r="A2181">
        <v>227041207890</v>
      </c>
      <c r="B2181" t="s">
        <v>5039</v>
      </c>
      <c r="C2181" t="s">
        <v>5040</v>
      </c>
      <c r="D2181">
        <v>4.99</v>
      </c>
      <c r="F2181" t="str">
        <f t="shared" ref="F2181:F2244" si="170">IF($B2181="","",IF(ISNUMBER(SEARCH("PSA",$B2181)),"Yes","No"))</f>
        <v>No</v>
      </c>
      <c r="G2181" t="str">
        <f t="shared" ref="G2181:G2244" si="171">IF($B2181="","",IF(ISNUMBER(SEARCH("PSA 10",$B2181)),10,IF(ISNUMBER(SEARCH("PSA 9.5",$B2181)),9.5,IF(ISNUMBER(SEARCH("PSA 9",$B2181)),9,IF(ISNUMBER(SEARCH("PSA 8",$B2181)),8,IF(ISNUMBER(SEARCH("PSA",$B2181)),"&lt;9",""))))))</f>
        <v/>
      </c>
      <c r="H2181" t="str">
        <f t="shared" ref="H2181:H2244" si="172">IF($B2181="","",IF($D2181&gt;=100,"TIER 2",IF(OR(ISNUMBER(SEARCH("PSA 10",$B2181)),ISNUMBER(SEARCH("PSA 9.5",$B2181)),ISNUMBER(SEARCH("PSA 9",$B2181))),"TIER 3",IF(AND($D2181&gt;20,N($E2181)&gt;=15),"TIER 1","—"))))</f>
        <v>—</v>
      </c>
      <c r="I2181" t="str">
        <f t="shared" ref="I2181:I2244" si="173">IF($B2181="","",IF($D2181&gt;=100,"Premium $100+ (auto)",IF(OR(ISNUMBER(SEARCH("PSA 10",$B2181)),ISNUMBER(SEARCH("PSA 9.5",$B2181)),ISNUMBER(SEARCH("PSA 9",$B2181))),"Graded PSA 9+ (auto)",IF(AND($D2181&gt;20,N($E2181)&gt;=15),"Hot: $20+ &amp; "&amp;$E2181&amp;"/day",IF($D2181&gt;20,"$20+ — needs velocity check","Below thresholds")))))</f>
        <v>Below thresholds</v>
      </c>
      <c r="J2181" t="str">
        <f t="shared" ref="J2181:J2244" si="174">IF($B2181="","",IF(AND($D2181&gt;20,$D2181&lt;100,NOT(OR(ISNUMBER(SEARCH("PSA 10",$B2181)),ISNUMBER(SEARCH("PSA 9.5",$B2181)),ISNUMBER(SEARCH("PSA 9",$B2181)))),$E2181=""),"YES — pull CardHedger",""))</f>
        <v/>
      </c>
    </row>
    <row r="2182" spans="1:10" x14ac:dyDescent="0.2">
      <c r="A2182">
        <v>227041207999</v>
      </c>
      <c r="B2182" t="s">
        <v>5041</v>
      </c>
      <c r="C2182" t="s">
        <v>5042</v>
      </c>
      <c r="D2182">
        <v>4</v>
      </c>
      <c r="F2182" t="str">
        <f t="shared" si="170"/>
        <v>No</v>
      </c>
      <c r="G2182" t="str">
        <f t="shared" si="171"/>
        <v/>
      </c>
      <c r="H2182" t="str">
        <f t="shared" si="172"/>
        <v>—</v>
      </c>
      <c r="I2182" t="str">
        <f t="shared" si="173"/>
        <v>Below thresholds</v>
      </c>
      <c r="J2182" t="str">
        <f t="shared" si="174"/>
        <v/>
      </c>
    </row>
    <row r="2183" spans="1:10" x14ac:dyDescent="0.2">
      <c r="A2183">
        <v>227041208051</v>
      </c>
      <c r="B2183" t="s">
        <v>5043</v>
      </c>
      <c r="C2183" t="s">
        <v>5044</v>
      </c>
      <c r="D2183">
        <v>3.99</v>
      </c>
      <c r="F2183" t="str">
        <f t="shared" si="170"/>
        <v>No</v>
      </c>
      <c r="G2183" t="str">
        <f t="shared" si="171"/>
        <v/>
      </c>
      <c r="H2183" t="str">
        <f t="shared" si="172"/>
        <v>—</v>
      </c>
      <c r="I2183" t="str">
        <f t="shared" si="173"/>
        <v>Below thresholds</v>
      </c>
      <c r="J2183" t="str">
        <f t="shared" si="174"/>
        <v/>
      </c>
    </row>
    <row r="2184" spans="1:10" x14ac:dyDescent="0.2">
      <c r="A2184">
        <v>227041208075</v>
      </c>
      <c r="B2184" t="s">
        <v>5045</v>
      </c>
      <c r="C2184" t="s">
        <v>5046</v>
      </c>
      <c r="D2184">
        <v>14</v>
      </c>
      <c r="F2184" t="str">
        <f t="shared" si="170"/>
        <v>No</v>
      </c>
      <c r="G2184" t="str">
        <f t="shared" si="171"/>
        <v/>
      </c>
      <c r="H2184" t="str">
        <f t="shared" si="172"/>
        <v>—</v>
      </c>
      <c r="I2184" t="str">
        <f t="shared" si="173"/>
        <v>Below thresholds</v>
      </c>
      <c r="J2184" t="str">
        <f t="shared" si="174"/>
        <v/>
      </c>
    </row>
    <row r="2185" spans="1:10" x14ac:dyDescent="0.2">
      <c r="A2185">
        <v>227041413840</v>
      </c>
      <c r="B2185" t="s">
        <v>5047</v>
      </c>
      <c r="C2185" t="s">
        <v>5048</v>
      </c>
      <c r="D2185">
        <v>1.99</v>
      </c>
      <c r="F2185" t="str">
        <f t="shared" si="170"/>
        <v>No</v>
      </c>
      <c r="G2185" t="str">
        <f t="shared" si="171"/>
        <v/>
      </c>
      <c r="H2185" t="str">
        <f t="shared" si="172"/>
        <v>—</v>
      </c>
      <c r="I2185" t="str">
        <f t="shared" si="173"/>
        <v>Below thresholds</v>
      </c>
      <c r="J2185" t="str">
        <f t="shared" si="174"/>
        <v/>
      </c>
    </row>
    <row r="2186" spans="1:10" x14ac:dyDescent="0.2">
      <c r="A2186">
        <v>227041413869</v>
      </c>
      <c r="B2186" t="s">
        <v>5049</v>
      </c>
      <c r="C2186" t="s">
        <v>5050</v>
      </c>
      <c r="D2186">
        <v>1.99</v>
      </c>
      <c r="F2186" t="str">
        <f t="shared" si="170"/>
        <v>No</v>
      </c>
      <c r="G2186" t="str">
        <f t="shared" si="171"/>
        <v/>
      </c>
      <c r="H2186" t="str">
        <f t="shared" si="172"/>
        <v>—</v>
      </c>
      <c r="I2186" t="str">
        <f t="shared" si="173"/>
        <v>Below thresholds</v>
      </c>
      <c r="J2186" t="str">
        <f t="shared" si="174"/>
        <v/>
      </c>
    </row>
    <row r="2187" spans="1:10" x14ac:dyDescent="0.2">
      <c r="A2187">
        <v>227041413903</v>
      </c>
      <c r="B2187" t="s">
        <v>5051</v>
      </c>
      <c r="C2187" t="s">
        <v>5052</v>
      </c>
      <c r="D2187">
        <v>1.99</v>
      </c>
      <c r="F2187" t="str">
        <f t="shared" si="170"/>
        <v>No</v>
      </c>
      <c r="G2187" t="str">
        <f t="shared" si="171"/>
        <v/>
      </c>
      <c r="H2187" t="str">
        <f t="shared" si="172"/>
        <v>—</v>
      </c>
      <c r="I2187" t="str">
        <f t="shared" si="173"/>
        <v>Below thresholds</v>
      </c>
      <c r="J2187" t="str">
        <f t="shared" si="174"/>
        <v/>
      </c>
    </row>
    <row r="2188" spans="1:10" x14ac:dyDescent="0.2">
      <c r="A2188">
        <v>227041413948</v>
      </c>
      <c r="B2188" t="s">
        <v>5053</v>
      </c>
      <c r="C2188" t="s">
        <v>5054</v>
      </c>
      <c r="D2188">
        <v>5</v>
      </c>
      <c r="F2188" t="str">
        <f t="shared" si="170"/>
        <v>No</v>
      </c>
      <c r="G2188" t="str">
        <f t="shared" si="171"/>
        <v/>
      </c>
      <c r="H2188" t="str">
        <f t="shared" si="172"/>
        <v>—</v>
      </c>
      <c r="I2188" t="str">
        <f t="shared" si="173"/>
        <v>Below thresholds</v>
      </c>
      <c r="J2188" t="str">
        <f t="shared" si="174"/>
        <v/>
      </c>
    </row>
    <row r="2189" spans="1:10" x14ac:dyDescent="0.2">
      <c r="A2189">
        <v>227041413953</v>
      </c>
      <c r="B2189" t="s">
        <v>5055</v>
      </c>
      <c r="C2189" t="s">
        <v>5056</v>
      </c>
      <c r="D2189">
        <v>1.59</v>
      </c>
      <c r="F2189" t="str">
        <f t="shared" si="170"/>
        <v>No</v>
      </c>
      <c r="G2189" t="str">
        <f t="shared" si="171"/>
        <v/>
      </c>
      <c r="H2189" t="str">
        <f t="shared" si="172"/>
        <v>—</v>
      </c>
      <c r="I2189" t="str">
        <f t="shared" si="173"/>
        <v>Below thresholds</v>
      </c>
      <c r="J2189" t="str">
        <f t="shared" si="174"/>
        <v/>
      </c>
    </row>
    <row r="2190" spans="1:10" x14ac:dyDescent="0.2">
      <c r="A2190">
        <v>227041414054</v>
      </c>
      <c r="B2190" t="s">
        <v>5047</v>
      </c>
      <c r="C2190" t="s">
        <v>5057</v>
      </c>
      <c r="D2190">
        <v>1.99</v>
      </c>
      <c r="F2190" t="str">
        <f t="shared" si="170"/>
        <v>No</v>
      </c>
      <c r="G2190" t="str">
        <f t="shared" si="171"/>
        <v/>
      </c>
      <c r="H2190" t="str">
        <f t="shared" si="172"/>
        <v>—</v>
      </c>
      <c r="I2190" t="str">
        <f t="shared" si="173"/>
        <v>Below thresholds</v>
      </c>
      <c r="J2190" t="str">
        <f t="shared" si="174"/>
        <v/>
      </c>
    </row>
    <row r="2191" spans="1:10" x14ac:dyDescent="0.2">
      <c r="A2191">
        <v>227041414087</v>
      </c>
      <c r="B2191" t="s">
        <v>5049</v>
      </c>
      <c r="C2191" t="s">
        <v>5058</v>
      </c>
      <c r="D2191">
        <v>1.99</v>
      </c>
      <c r="F2191" t="str">
        <f t="shared" si="170"/>
        <v>No</v>
      </c>
      <c r="G2191" t="str">
        <f t="shared" si="171"/>
        <v/>
      </c>
      <c r="H2191" t="str">
        <f t="shared" si="172"/>
        <v>—</v>
      </c>
      <c r="I2191" t="str">
        <f t="shared" si="173"/>
        <v>Below thresholds</v>
      </c>
      <c r="J2191" t="str">
        <f t="shared" si="174"/>
        <v/>
      </c>
    </row>
    <row r="2192" spans="1:10" x14ac:dyDescent="0.2">
      <c r="A2192">
        <v>227041414090</v>
      </c>
      <c r="B2192" t="s">
        <v>5059</v>
      </c>
      <c r="C2192" t="s">
        <v>5060</v>
      </c>
      <c r="D2192">
        <v>2.99</v>
      </c>
      <c r="F2192" t="str">
        <f t="shared" si="170"/>
        <v>No</v>
      </c>
      <c r="G2192" t="str">
        <f t="shared" si="171"/>
        <v/>
      </c>
      <c r="H2192" t="str">
        <f t="shared" si="172"/>
        <v>—</v>
      </c>
      <c r="I2192" t="str">
        <f t="shared" si="173"/>
        <v>Below thresholds</v>
      </c>
      <c r="J2192" t="str">
        <f t="shared" si="174"/>
        <v/>
      </c>
    </row>
    <row r="2193" spans="1:10" x14ac:dyDescent="0.2">
      <c r="A2193">
        <v>227041414197</v>
      </c>
      <c r="B2193" t="s">
        <v>5051</v>
      </c>
      <c r="C2193" t="s">
        <v>5061</v>
      </c>
      <c r="D2193">
        <v>1.99</v>
      </c>
      <c r="F2193" t="str">
        <f t="shared" si="170"/>
        <v>No</v>
      </c>
      <c r="G2193" t="str">
        <f t="shared" si="171"/>
        <v/>
      </c>
      <c r="H2193" t="str">
        <f t="shared" si="172"/>
        <v>—</v>
      </c>
      <c r="I2193" t="str">
        <f t="shared" si="173"/>
        <v>Below thresholds</v>
      </c>
      <c r="J2193" t="str">
        <f t="shared" si="174"/>
        <v/>
      </c>
    </row>
    <row r="2194" spans="1:10" x14ac:dyDescent="0.2">
      <c r="A2194">
        <v>227041414253</v>
      </c>
      <c r="B2194" t="s">
        <v>5062</v>
      </c>
      <c r="C2194" t="s">
        <v>5063</v>
      </c>
      <c r="D2194">
        <v>1.99</v>
      </c>
      <c r="F2194" t="str">
        <f t="shared" si="170"/>
        <v>No</v>
      </c>
      <c r="G2194" t="str">
        <f t="shared" si="171"/>
        <v/>
      </c>
      <c r="H2194" t="str">
        <f t="shared" si="172"/>
        <v>—</v>
      </c>
      <c r="I2194" t="str">
        <f t="shared" si="173"/>
        <v>Below thresholds</v>
      </c>
      <c r="J2194" t="str">
        <f t="shared" si="174"/>
        <v/>
      </c>
    </row>
    <row r="2195" spans="1:10" x14ac:dyDescent="0.2">
      <c r="A2195">
        <v>227041414314</v>
      </c>
      <c r="B2195" t="s">
        <v>5064</v>
      </c>
      <c r="C2195" t="s">
        <v>5065</v>
      </c>
      <c r="D2195">
        <v>1.99</v>
      </c>
      <c r="F2195" t="str">
        <f t="shared" si="170"/>
        <v>No</v>
      </c>
      <c r="G2195" t="str">
        <f t="shared" si="171"/>
        <v/>
      </c>
      <c r="H2195" t="str">
        <f t="shared" si="172"/>
        <v>—</v>
      </c>
      <c r="I2195" t="str">
        <f t="shared" si="173"/>
        <v>Below thresholds</v>
      </c>
      <c r="J2195" t="str">
        <f t="shared" si="174"/>
        <v/>
      </c>
    </row>
    <row r="2196" spans="1:10" x14ac:dyDescent="0.2">
      <c r="A2196">
        <v>227041414358</v>
      </c>
      <c r="B2196" t="s">
        <v>5066</v>
      </c>
      <c r="C2196" t="s">
        <v>5067</v>
      </c>
      <c r="D2196">
        <v>1.99</v>
      </c>
      <c r="F2196" t="str">
        <f t="shared" si="170"/>
        <v>No</v>
      </c>
      <c r="G2196" t="str">
        <f t="shared" si="171"/>
        <v/>
      </c>
      <c r="H2196" t="str">
        <f t="shared" si="172"/>
        <v>—</v>
      </c>
      <c r="I2196" t="str">
        <f t="shared" si="173"/>
        <v>Below thresholds</v>
      </c>
      <c r="J2196" t="str">
        <f t="shared" si="174"/>
        <v/>
      </c>
    </row>
    <row r="2197" spans="1:10" x14ac:dyDescent="0.2">
      <c r="A2197">
        <v>227041414496</v>
      </c>
      <c r="B2197" t="s">
        <v>5068</v>
      </c>
      <c r="C2197" t="s">
        <v>5069</v>
      </c>
      <c r="D2197">
        <v>1.59</v>
      </c>
      <c r="F2197" t="str">
        <f t="shared" si="170"/>
        <v>No</v>
      </c>
      <c r="G2197" t="str">
        <f t="shared" si="171"/>
        <v/>
      </c>
      <c r="H2197" t="str">
        <f t="shared" si="172"/>
        <v>—</v>
      </c>
      <c r="I2197" t="str">
        <f t="shared" si="173"/>
        <v>Below thresholds</v>
      </c>
      <c r="J2197" t="str">
        <f t="shared" si="174"/>
        <v/>
      </c>
    </row>
    <row r="2198" spans="1:10" x14ac:dyDescent="0.2">
      <c r="A2198">
        <v>227041414506</v>
      </c>
      <c r="B2198" t="s">
        <v>5070</v>
      </c>
      <c r="C2198" t="s">
        <v>5071</v>
      </c>
      <c r="D2198">
        <v>1.99</v>
      </c>
      <c r="F2198" t="str">
        <f t="shared" si="170"/>
        <v>No</v>
      </c>
      <c r="G2198" t="str">
        <f t="shared" si="171"/>
        <v/>
      </c>
      <c r="H2198" t="str">
        <f t="shared" si="172"/>
        <v>—</v>
      </c>
      <c r="I2198" t="str">
        <f t="shared" si="173"/>
        <v>Below thresholds</v>
      </c>
      <c r="J2198" t="str">
        <f t="shared" si="174"/>
        <v/>
      </c>
    </row>
    <row r="2199" spans="1:10" x14ac:dyDescent="0.2">
      <c r="A2199">
        <v>227041414671</v>
      </c>
      <c r="B2199" t="s">
        <v>316</v>
      </c>
      <c r="C2199" t="s">
        <v>5072</v>
      </c>
      <c r="D2199">
        <v>1.99</v>
      </c>
      <c r="F2199" t="str">
        <f t="shared" si="170"/>
        <v>No</v>
      </c>
      <c r="G2199" t="str">
        <f t="shared" si="171"/>
        <v/>
      </c>
      <c r="H2199" t="str">
        <f t="shared" si="172"/>
        <v>—</v>
      </c>
      <c r="I2199" t="str">
        <f t="shared" si="173"/>
        <v>Below thresholds</v>
      </c>
      <c r="J2199" t="str">
        <f t="shared" si="174"/>
        <v/>
      </c>
    </row>
    <row r="2200" spans="1:10" x14ac:dyDescent="0.2">
      <c r="A2200">
        <v>227041414723</v>
      </c>
      <c r="B2200" t="s">
        <v>5073</v>
      </c>
      <c r="C2200" t="s">
        <v>5074</v>
      </c>
      <c r="D2200">
        <v>1.59</v>
      </c>
      <c r="F2200" t="str">
        <f t="shared" si="170"/>
        <v>No</v>
      </c>
      <c r="G2200" t="str">
        <f t="shared" si="171"/>
        <v/>
      </c>
      <c r="H2200" t="str">
        <f t="shared" si="172"/>
        <v>—</v>
      </c>
      <c r="I2200" t="str">
        <f t="shared" si="173"/>
        <v>Below thresholds</v>
      </c>
      <c r="J2200" t="str">
        <f t="shared" si="174"/>
        <v/>
      </c>
    </row>
    <row r="2201" spans="1:10" x14ac:dyDescent="0.2">
      <c r="A2201">
        <v>227041414745</v>
      </c>
      <c r="B2201" t="s">
        <v>5075</v>
      </c>
      <c r="C2201" t="s">
        <v>5076</v>
      </c>
      <c r="D2201">
        <v>1.99</v>
      </c>
      <c r="F2201" t="str">
        <f t="shared" si="170"/>
        <v>No</v>
      </c>
      <c r="G2201" t="str">
        <f t="shared" si="171"/>
        <v/>
      </c>
      <c r="H2201" t="str">
        <f t="shared" si="172"/>
        <v>—</v>
      </c>
      <c r="I2201" t="str">
        <f t="shared" si="173"/>
        <v>Below thresholds</v>
      </c>
      <c r="J2201" t="str">
        <f t="shared" si="174"/>
        <v/>
      </c>
    </row>
    <row r="2202" spans="1:10" x14ac:dyDescent="0.2">
      <c r="A2202">
        <v>227041414752</v>
      </c>
      <c r="B2202" t="s">
        <v>5077</v>
      </c>
      <c r="C2202" t="s">
        <v>5078</v>
      </c>
      <c r="D2202">
        <v>2.09</v>
      </c>
      <c r="F2202" t="str">
        <f t="shared" si="170"/>
        <v>No</v>
      </c>
      <c r="G2202" t="str">
        <f t="shared" si="171"/>
        <v/>
      </c>
      <c r="H2202" t="str">
        <f t="shared" si="172"/>
        <v>—</v>
      </c>
      <c r="I2202" t="str">
        <f t="shared" si="173"/>
        <v>Below thresholds</v>
      </c>
      <c r="J2202" t="str">
        <f t="shared" si="174"/>
        <v/>
      </c>
    </row>
    <row r="2203" spans="1:10" x14ac:dyDescent="0.2">
      <c r="A2203">
        <v>227041414828</v>
      </c>
      <c r="B2203" t="s">
        <v>5053</v>
      </c>
      <c r="C2203" t="s">
        <v>5079</v>
      </c>
      <c r="D2203">
        <v>4.29</v>
      </c>
      <c r="F2203" t="str">
        <f t="shared" si="170"/>
        <v>No</v>
      </c>
      <c r="G2203" t="str">
        <f t="shared" si="171"/>
        <v/>
      </c>
      <c r="H2203" t="str">
        <f t="shared" si="172"/>
        <v>—</v>
      </c>
      <c r="I2203" t="str">
        <f t="shared" si="173"/>
        <v>Below thresholds</v>
      </c>
      <c r="J2203" t="str">
        <f t="shared" si="174"/>
        <v/>
      </c>
    </row>
    <row r="2204" spans="1:10" x14ac:dyDescent="0.2">
      <c r="A2204">
        <v>227041414861</v>
      </c>
      <c r="B2204" t="s">
        <v>5080</v>
      </c>
      <c r="C2204" t="s">
        <v>5081</v>
      </c>
      <c r="D2204">
        <v>1.99</v>
      </c>
      <c r="F2204" t="str">
        <f t="shared" si="170"/>
        <v>No</v>
      </c>
      <c r="G2204" t="str">
        <f t="shared" si="171"/>
        <v/>
      </c>
      <c r="H2204" t="str">
        <f t="shared" si="172"/>
        <v>—</v>
      </c>
      <c r="I2204" t="str">
        <f t="shared" si="173"/>
        <v>Below thresholds</v>
      </c>
      <c r="J2204" t="str">
        <f t="shared" si="174"/>
        <v/>
      </c>
    </row>
    <row r="2205" spans="1:10" x14ac:dyDescent="0.2">
      <c r="A2205">
        <v>227041414935</v>
      </c>
      <c r="B2205" t="s">
        <v>5082</v>
      </c>
      <c r="C2205" t="s">
        <v>5083</v>
      </c>
      <c r="D2205">
        <v>1.99</v>
      </c>
      <c r="F2205" t="str">
        <f t="shared" si="170"/>
        <v>No</v>
      </c>
      <c r="G2205" t="str">
        <f t="shared" si="171"/>
        <v/>
      </c>
      <c r="H2205" t="str">
        <f t="shared" si="172"/>
        <v>—</v>
      </c>
      <c r="I2205" t="str">
        <f t="shared" si="173"/>
        <v>Below thresholds</v>
      </c>
      <c r="J2205" t="str">
        <f t="shared" si="174"/>
        <v/>
      </c>
    </row>
    <row r="2206" spans="1:10" x14ac:dyDescent="0.2">
      <c r="A2206">
        <v>227041414951</v>
      </c>
      <c r="B2206" t="s">
        <v>5068</v>
      </c>
      <c r="C2206" t="s">
        <v>5084</v>
      </c>
      <c r="D2206">
        <v>1.99</v>
      </c>
      <c r="F2206" t="str">
        <f t="shared" si="170"/>
        <v>No</v>
      </c>
      <c r="G2206" t="str">
        <f t="shared" si="171"/>
        <v/>
      </c>
      <c r="H2206" t="str">
        <f t="shared" si="172"/>
        <v>—</v>
      </c>
      <c r="I2206" t="str">
        <f t="shared" si="173"/>
        <v>Below thresholds</v>
      </c>
      <c r="J2206" t="str">
        <f t="shared" si="174"/>
        <v/>
      </c>
    </row>
    <row r="2207" spans="1:10" x14ac:dyDescent="0.2">
      <c r="A2207">
        <v>227041414961</v>
      </c>
      <c r="B2207" t="s">
        <v>5073</v>
      </c>
      <c r="C2207" t="s">
        <v>5085</v>
      </c>
      <c r="D2207">
        <v>1.99</v>
      </c>
      <c r="F2207" t="str">
        <f t="shared" si="170"/>
        <v>No</v>
      </c>
      <c r="G2207" t="str">
        <f t="shared" si="171"/>
        <v/>
      </c>
      <c r="H2207" t="str">
        <f t="shared" si="172"/>
        <v>—</v>
      </c>
      <c r="I2207" t="str">
        <f t="shared" si="173"/>
        <v>Below thresholds</v>
      </c>
      <c r="J2207" t="str">
        <f t="shared" si="174"/>
        <v/>
      </c>
    </row>
    <row r="2208" spans="1:10" x14ac:dyDescent="0.2">
      <c r="A2208">
        <v>227041415037</v>
      </c>
      <c r="B2208" t="s">
        <v>5086</v>
      </c>
      <c r="C2208" t="s">
        <v>5087</v>
      </c>
      <c r="D2208">
        <v>1.99</v>
      </c>
      <c r="F2208" t="str">
        <f t="shared" si="170"/>
        <v>No</v>
      </c>
      <c r="G2208" t="str">
        <f t="shared" si="171"/>
        <v/>
      </c>
      <c r="H2208" t="str">
        <f t="shared" si="172"/>
        <v>—</v>
      </c>
      <c r="I2208" t="str">
        <f t="shared" si="173"/>
        <v>Below thresholds</v>
      </c>
      <c r="J2208" t="str">
        <f t="shared" si="174"/>
        <v/>
      </c>
    </row>
    <row r="2209" spans="1:10" x14ac:dyDescent="0.2">
      <c r="A2209">
        <v>227041415055</v>
      </c>
      <c r="B2209" t="s">
        <v>316</v>
      </c>
      <c r="C2209" t="s">
        <v>5088</v>
      </c>
      <c r="D2209">
        <v>1.99</v>
      </c>
      <c r="F2209" t="str">
        <f t="shared" si="170"/>
        <v>No</v>
      </c>
      <c r="G2209" t="str">
        <f t="shared" si="171"/>
        <v/>
      </c>
      <c r="H2209" t="str">
        <f t="shared" si="172"/>
        <v>—</v>
      </c>
      <c r="I2209" t="str">
        <f t="shared" si="173"/>
        <v>Below thresholds</v>
      </c>
      <c r="J2209" t="str">
        <f t="shared" si="174"/>
        <v/>
      </c>
    </row>
    <row r="2210" spans="1:10" x14ac:dyDescent="0.2">
      <c r="A2210">
        <v>227041415067</v>
      </c>
      <c r="B2210" t="s">
        <v>5066</v>
      </c>
      <c r="C2210" t="s">
        <v>5089</v>
      </c>
      <c r="D2210">
        <v>1.99</v>
      </c>
      <c r="F2210" t="str">
        <f t="shared" si="170"/>
        <v>No</v>
      </c>
      <c r="G2210" t="str">
        <f t="shared" si="171"/>
        <v/>
      </c>
      <c r="H2210" t="str">
        <f t="shared" si="172"/>
        <v>—</v>
      </c>
      <c r="I2210" t="str">
        <f t="shared" si="173"/>
        <v>Below thresholds</v>
      </c>
      <c r="J2210" t="str">
        <f t="shared" si="174"/>
        <v/>
      </c>
    </row>
    <row r="2211" spans="1:10" x14ac:dyDescent="0.2">
      <c r="A2211">
        <v>227041415088</v>
      </c>
      <c r="B2211" t="s">
        <v>5090</v>
      </c>
      <c r="C2211" t="s">
        <v>5091</v>
      </c>
      <c r="D2211">
        <v>3</v>
      </c>
      <c r="F2211" t="str">
        <f t="shared" si="170"/>
        <v>No</v>
      </c>
      <c r="G2211" t="str">
        <f t="shared" si="171"/>
        <v/>
      </c>
      <c r="H2211" t="str">
        <f t="shared" si="172"/>
        <v>—</v>
      </c>
      <c r="I2211" t="str">
        <f t="shared" si="173"/>
        <v>Below thresholds</v>
      </c>
      <c r="J2211" t="str">
        <f t="shared" si="174"/>
        <v/>
      </c>
    </row>
    <row r="2212" spans="1:10" x14ac:dyDescent="0.2">
      <c r="A2212">
        <v>227041415139</v>
      </c>
      <c r="B2212" t="s">
        <v>5092</v>
      </c>
      <c r="C2212" t="s">
        <v>5093</v>
      </c>
      <c r="D2212">
        <v>1.99</v>
      </c>
      <c r="F2212" t="str">
        <f t="shared" si="170"/>
        <v>No</v>
      </c>
      <c r="G2212" t="str">
        <f t="shared" si="171"/>
        <v/>
      </c>
      <c r="H2212" t="str">
        <f t="shared" si="172"/>
        <v>—</v>
      </c>
      <c r="I2212" t="str">
        <f t="shared" si="173"/>
        <v>Below thresholds</v>
      </c>
      <c r="J2212" t="str">
        <f t="shared" si="174"/>
        <v/>
      </c>
    </row>
    <row r="2213" spans="1:10" x14ac:dyDescent="0.2">
      <c r="A2213">
        <v>227041415155</v>
      </c>
      <c r="B2213" t="s">
        <v>316</v>
      </c>
      <c r="C2213" t="s">
        <v>5094</v>
      </c>
      <c r="D2213">
        <v>1.99</v>
      </c>
      <c r="F2213" t="str">
        <f t="shared" si="170"/>
        <v>No</v>
      </c>
      <c r="G2213" t="str">
        <f t="shared" si="171"/>
        <v/>
      </c>
      <c r="H2213" t="str">
        <f t="shared" si="172"/>
        <v>—</v>
      </c>
      <c r="I2213" t="str">
        <f t="shared" si="173"/>
        <v>Below thresholds</v>
      </c>
      <c r="J2213" t="str">
        <f t="shared" si="174"/>
        <v/>
      </c>
    </row>
    <row r="2214" spans="1:10" x14ac:dyDescent="0.2">
      <c r="A2214">
        <v>227041415221</v>
      </c>
      <c r="B2214" t="s">
        <v>5095</v>
      </c>
      <c r="C2214" t="s">
        <v>5096</v>
      </c>
      <c r="D2214">
        <v>1.99</v>
      </c>
      <c r="F2214" t="str">
        <f t="shared" si="170"/>
        <v>No</v>
      </c>
      <c r="G2214" t="str">
        <f t="shared" si="171"/>
        <v/>
      </c>
      <c r="H2214" t="str">
        <f t="shared" si="172"/>
        <v>—</v>
      </c>
      <c r="I2214" t="str">
        <f t="shared" si="173"/>
        <v>Below thresholds</v>
      </c>
      <c r="J2214" t="str">
        <f t="shared" si="174"/>
        <v/>
      </c>
    </row>
    <row r="2215" spans="1:10" x14ac:dyDescent="0.2">
      <c r="A2215">
        <v>227041415238</v>
      </c>
      <c r="B2215" t="s">
        <v>5097</v>
      </c>
      <c r="C2215" t="s">
        <v>5098</v>
      </c>
      <c r="D2215">
        <v>1.99</v>
      </c>
      <c r="F2215" t="str">
        <f t="shared" si="170"/>
        <v>No</v>
      </c>
      <c r="G2215" t="str">
        <f t="shared" si="171"/>
        <v/>
      </c>
      <c r="H2215" t="str">
        <f t="shared" si="172"/>
        <v>—</v>
      </c>
      <c r="I2215" t="str">
        <f t="shared" si="173"/>
        <v>Below thresholds</v>
      </c>
      <c r="J2215" t="str">
        <f t="shared" si="174"/>
        <v/>
      </c>
    </row>
    <row r="2216" spans="1:10" x14ac:dyDescent="0.2">
      <c r="A2216">
        <v>227041415284</v>
      </c>
      <c r="B2216" t="s">
        <v>5099</v>
      </c>
      <c r="C2216" t="s">
        <v>5100</v>
      </c>
      <c r="D2216">
        <v>1.99</v>
      </c>
      <c r="F2216" t="str">
        <f t="shared" si="170"/>
        <v>No</v>
      </c>
      <c r="G2216" t="str">
        <f t="shared" si="171"/>
        <v/>
      </c>
      <c r="H2216" t="str">
        <f t="shared" si="172"/>
        <v>—</v>
      </c>
      <c r="I2216" t="str">
        <f t="shared" si="173"/>
        <v>Below thresholds</v>
      </c>
      <c r="J2216" t="str">
        <f t="shared" si="174"/>
        <v/>
      </c>
    </row>
    <row r="2217" spans="1:10" x14ac:dyDescent="0.2">
      <c r="A2217">
        <v>227041415319</v>
      </c>
      <c r="B2217" t="s">
        <v>5101</v>
      </c>
      <c r="C2217" t="s">
        <v>5102</v>
      </c>
      <c r="D2217">
        <v>1.99</v>
      </c>
      <c r="F2217" t="str">
        <f t="shared" si="170"/>
        <v>No</v>
      </c>
      <c r="G2217" t="str">
        <f t="shared" si="171"/>
        <v/>
      </c>
      <c r="H2217" t="str">
        <f t="shared" si="172"/>
        <v>—</v>
      </c>
      <c r="I2217" t="str">
        <f t="shared" si="173"/>
        <v>Below thresholds</v>
      </c>
      <c r="J2217" t="str">
        <f t="shared" si="174"/>
        <v/>
      </c>
    </row>
    <row r="2218" spans="1:10" x14ac:dyDescent="0.2">
      <c r="A2218">
        <v>227041415326</v>
      </c>
      <c r="B2218" t="s">
        <v>5103</v>
      </c>
      <c r="C2218" t="s">
        <v>5104</v>
      </c>
      <c r="D2218">
        <v>1.99</v>
      </c>
      <c r="F2218" t="str">
        <f t="shared" si="170"/>
        <v>No</v>
      </c>
      <c r="G2218" t="str">
        <f t="shared" si="171"/>
        <v/>
      </c>
      <c r="H2218" t="str">
        <f t="shared" si="172"/>
        <v>—</v>
      </c>
      <c r="I2218" t="str">
        <f t="shared" si="173"/>
        <v>Below thresholds</v>
      </c>
      <c r="J2218" t="str">
        <f t="shared" si="174"/>
        <v/>
      </c>
    </row>
    <row r="2219" spans="1:10" x14ac:dyDescent="0.2">
      <c r="A2219">
        <v>227041415327</v>
      </c>
      <c r="B2219" t="s">
        <v>5105</v>
      </c>
      <c r="C2219" t="s">
        <v>5106</v>
      </c>
      <c r="D2219">
        <v>1.99</v>
      </c>
      <c r="F2219" t="str">
        <f t="shared" si="170"/>
        <v>No</v>
      </c>
      <c r="G2219" t="str">
        <f t="shared" si="171"/>
        <v/>
      </c>
      <c r="H2219" t="str">
        <f t="shared" si="172"/>
        <v>—</v>
      </c>
      <c r="I2219" t="str">
        <f t="shared" si="173"/>
        <v>Below thresholds</v>
      </c>
      <c r="J2219" t="str">
        <f t="shared" si="174"/>
        <v/>
      </c>
    </row>
    <row r="2220" spans="1:10" x14ac:dyDescent="0.2">
      <c r="A2220">
        <v>227041415394</v>
      </c>
      <c r="B2220" t="s">
        <v>5107</v>
      </c>
      <c r="C2220" t="s">
        <v>5108</v>
      </c>
      <c r="D2220">
        <v>1.99</v>
      </c>
      <c r="F2220" t="str">
        <f t="shared" si="170"/>
        <v>No</v>
      </c>
      <c r="G2220" t="str">
        <f t="shared" si="171"/>
        <v/>
      </c>
      <c r="H2220" t="str">
        <f t="shared" si="172"/>
        <v>—</v>
      </c>
      <c r="I2220" t="str">
        <f t="shared" si="173"/>
        <v>Below thresholds</v>
      </c>
      <c r="J2220" t="str">
        <f t="shared" si="174"/>
        <v/>
      </c>
    </row>
    <row r="2221" spans="1:10" x14ac:dyDescent="0.2">
      <c r="A2221">
        <v>227041415408</v>
      </c>
      <c r="B2221" t="s">
        <v>5109</v>
      </c>
      <c r="C2221" t="s">
        <v>5110</v>
      </c>
      <c r="D2221">
        <v>1.99</v>
      </c>
      <c r="F2221" t="str">
        <f t="shared" si="170"/>
        <v>No</v>
      </c>
      <c r="G2221" t="str">
        <f t="shared" si="171"/>
        <v/>
      </c>
      <c r="H2221" t="str">
        <f t="shared" si="172"/>
        <v>—</v>
      </c>
      <c r="I2221" t="str">
        <f t="shared" si="173"/>
        <v>Below thresholds</v>
      </c>
      <c r="J2221" t="str">
        <f t="shared" si="174"/>
        <v/>
      </c>
    </row>
    <row r="2222" spans="1:10" x14ac:dyDescent="0.2">
      <c r="A2222">
        <v>227041415459</v>
      </c>
      <c r="B2222" t="s">
        <v>5111</v>
      </c>
      <c r="C2222" t="s">
        <v>5112</v>
      </c>
      <c r="D2222">
        <v>1.99</v>
      </c>
      <c r="F2222" t="str">
        <f t="shared" si="170"/>
        <v>No</v>
      </c>
      <c r="G2222" t="str">
        <f t="shared" si="171"/>
        <v/>
      </c>
      <c r="H2222" t="str">
        <f t="shared" si="172"/>
        <v>—</v>
      </c>
      <c r="I2222" t="str">
        <f t="shared" si="173"/>
        <v>Below thresholds</v>
      </c>
      <c r="J2222" t="str">
        <f t="shared" si="174"/>
        <v/>
      </c>
    </row>
    <row r="2223" spans="1:10" x14ac:dyDescent="0.2">
      <c r="A2223">
        <v>227041415493</v>
      </c>
      <c r="B2223" t="s">
        <v>5113</v>
      </c>
      <c r="C2223" t="s">
        <v>5114</v>
      </c>
      <c r="D2223">
        <v>1.99</v>
      </c>
      <c r="F2223" t="str">
        <f t="shared" si="170"/>
        <v>No</v>
      </c>
      <c r="G2223" t="str">
        <f t="shared" si="171"/>
        <v/>
      </c>
      <c r="H2223" t="str">
        <f t="shared" si="172"/>
        <v>—</v>
      </c>
      <c r="I2223" t="str">
        <f t="shared" si="173"/>
        <v>Below thresholds</v>
      </c>
      <c r="J2223" t="str">
        <f t="shared" si="174"/>
        <v/>
      </c>
    </row>
    <row r="2224" spans="1:10" x14ac:dyDescent="0.2">
      <c r="A2224">
        <v>227041415502</v>
      </c>
      <c r="B2224" t="s">
        <v>5115</v>
      </c>
      <c r="C2224" t="s">
        <v>5116</v>
      </c>
      <c r="D2224">
        <v>1.99</v>
      </c>
      <c r="F2224" t="str">
        <f t="shared" si="170"/>
        <v>No</v>
      </c>
      <c r="G2224" t="str">
        <f t="shared" si="171"/>
        <v/>
      </c>
      <c r="H2224" t="str">
        <f t="shared" si="172"/>
        <v>—</v>
      </c>
      <c r="I2224" t="str">
        <f t="shared" si="173"/>
        <v>Below thresholds</v>
      </c>
      <c r="J2224" t="str">
        <f t="shared" si="174"/>
        <v/>
      </c>
    </row>
    <row r="2225" spans="1:10" x14ac:dyDescent="0.2">
      <c r="A2225">
        <v>227041415518</v>
      </c>
      <c r="B2225" t="s">
        <v>5117</v>
      </c>
      <c r="C2225" t="s">
        <v>5118</v>
      </c>
      <c r="D2225">
        <v>1.99</v>
      </c>
      <c r="F2225" t="str">
        <f t="shared" si="170"/>
        <v>No</v>
      </c>
      <c r="G2225" t="str">
        <f t="shared" si="171"/>
        <v/>
      </c>
      <c r="H2225" t="str">
        <f t="shared" si="172"/>
        <v>—</v>
      </c>
      <c r="I2225" t="str">
        <f t="shared" si="173"/>
        <v>Below thresholds</v>
      </c>
      <c r="J2225" t="str">
        <f t="shared" si="174"/>
        <v/>
      </c>
    </row>
    <row r="2226" spans="1:10" x14ac:dyDescent="0.2">
      <c r="A2226">
        <v>227041415585</v>
      </c>
      <c r="B2226" t="s">
        <v>5099</v>
      </c>
      <c r="C2226" t="s">
        <v>5119</v>
      </c>
      <c r="D2226">
        <v>1.99</v>
      </c>
      <c r="F2226" t="str">
        <f t="shared" si="170"/>
        <v>No</v>
      </c>
      <c r="G2226" t="str">
        <f t="shared" si="171"/>
        <v/>
      </c>
      <c r="H2226" t="str">
        <f t="shared" si="172"/>
        <v>—</v>
      </c>
      <c r="I2226" t="str">
        <f t="shared" si="173"/>
        <v>Below thresholds</v>
      </c>
      <c r="J2226" t="str">
        <f t="shared" si="174"/>
        <v/>
      </c>
    </row>
    <row r="2227" spans="1:10" x14ac:dyDescent="0.2">
      <c r="A2227">
        <v>227041415630</v>
      </c>
      <c r="B2227" t="s">
        <v>5095</v>
      </c>
      <c r="C2227" t="s">
        <v>5120</v>
      </c>
      <c r="D2227">
        <v>1.99</v>
      </c>
      <c r="F2227" t="str">
        <f t="shared" si="170"/>
        <v>No</v>
      </c>
      <c r="G2227" t="str">
        <f t="shared" si="171"/>
        <v/>
      </c>
      <c r="H2227" t="str">
        <f t="shared" si="172"/>
        <v>—</v>
      </c>
      <c r="I2227" t="str">
        <f t="shared" si="173"/>
        <v>Below thresholds</v>
      </c>
      <c r="J2227" t="str">
        <f t="shared" si="174"/>
        <v/>
      </c>
    </row>
    <row r="2228" spans="1:10" x14ac:dyDescent="0.2">
      <c r="A2228">
        <v>227041415660</v>
      </c>
      <c r="B2228" t="s">
        <v>5075</v>
      </c>
      <c r="C2228" t="s">
        <v>5121</v>
      </c>
      <c r="D2228">
        <v>1.99</v>
      </c>
      <c r="F2228" t="str">
        <f t="shared" si="170"/>
        <v>No</v>
      </c>
      <c r="G2228" t="str">
        <f t="shared" si="171"/>
        <v/>
      </c>
      <c r="H2228" t="str">
        <f t="shared" si="172"/>
        <v>—</v>
      </c>
      <c r="I2228" t="str">
        <f t="shared" si="173"/>
        <v>Below thresholds</v>
      </c>
      <c r="J2228" t="str">
        <f t="shared" si="174"/>
        <v/>
      </c>
    </row>
    <row r="2229" spans="1:10" x14ac:dyDescent="0.2">
      <c r="A2229">
        <v>227041415665</v>
      </c>
      <c r="B2229" t="s">
        <v>5082</v>
      </c>
      <c r="C2229" t="s">
        <v>5122</v>
      </c>
      <c r="D2229">
        <v>1.99</v>
      </c>
      <c r="F2229" t="str">
        <f t="shared" si="170"/>
        <v>No</v>
      </c>
      <c r="G2229" t="str">
        <f t="shared" si="171"/>
        <v/>
      </c>
      <c r="H2229" t="str">
        <f t="shared" si="172"/>
        <v>—</v>
      </c>
      <c r="I2229" t="str">
        <f t="shared" si="173"/>
        <v>Below thresholds</v>
      </c>
      <c r="J2229" t="str">
        <f t="shared" si="174"/>
        <v/>
      </c>
    </row>
    <row r="2230" spans="1:10" x14ac:dyDescent="0.2">
      <c r="A2230">
        <v>227041475882</v>
      </c>
      <c r="B2230" t="s">
        <v>338</v>
      </c>
      <c r="C2230" t="s">
        <v>5123</v>
      </c>
      <c r="D2230">
        <v>22</v>
      </c>
      <c r="F2230" t="str">
        <f t="shared" si="170"/>
        <v>No</v>
      </c>
      <c r="G2230" t="str">
        <f t="shared" si="171"/>
        <v/>
      </c>
      <c r="H2230" t="str">
        <f t="shared" si="172"/>
        <v>—</v>
      </c>
      <c r="I2230" t="str">
        <f t="shared" si="173"/>
        <v>$20+ — needs velocity check</v>
      </c>
      <c r="J2230" t="str">
        <f t="shared" si="174"/>
        <v>YES — pull CardHedger</v>
      </c>
    </row>
    <row r="2231" spans="1:10" x14ac:dyDescent="0.2">
      <c r="A2231">
        <v>227041690069</v>
      </c>
      <c r="B2231" t="s">
        <v>5124</v>
      </c>
      <c r="C2231" t="s">
        <v>5125</v>
      </c>
      <c r="D2231">
        <v>3.99</v>
      </c>
      <c r="F2231" t="str">
        <f t="shared" si="170"/>
        <v>No</v>
      </c>
      <c r="G2231" t="str">
        <f t="shared" si="171"/>
        <v/>
      </c>
      <c r="H2231" t="str">
        <f t="shared" si="172"/>
        <v>—</v>
      </c>
      <c r="I2231" t="str">
        <f t="shared" si="173"/>
        <v>Below thresholds</v>
      </c>
      <c r="J2231" t="str">
        <f t="shared" si="174"/>
        <v/>
      </c>
    </row>
    <row r="2232" spans="1:10" x14ac:dyDescent="0.2">
      <c r="A2232">
        <v>227042822368</v>
      </c>
      <c r="B2232" t="s">
        <v>5126</v>
      </c>
      <c r="C2232" t="s">
        <v>5127</v>
      </c>
      <c r="D2232">
        <v>4.5</v>
      </c>
      <c r="F2232" t="str">
        <f t="shared" si="170"/>
        <v>No</v>
      </c>
      <c r="G2232" t="str">
        <f t="shared" si="171"/>
        <v/>
      </c>
      <c r="H2232" t="str">
        <f t="shared" si="172"/>
        <v>—</v>
      </c>
      <c r="I2232" t="str">
        <f t="shared" si="173"/>
        <v>Below thresholds</v>
      </c>
      <c r="J2232" t="str">
        <f t="shared" si="174"/>
        <v/>
      </c>
    </row>
    <row r="2233" spans="1:10" x14ac:dyDescent="0.2">
      <c r="A2233">
        <v>227042822370</v>
      </c>
      <c r="B2233" t="s">
        <v>5128</v>
      </c>
      <c r="C2233" t="s">
        <v>5129</v>
      </c>
      <c r="D2233">
        <v>2.99</v>
      </c>
      <c r="F2233" t="str">
        <f t="shared" si="170"/>
        <v>No</v>
      </c>
      <c r="G2233" t="str">
        <f t="shared" si="171"/>
        <v/>
      </c>
      <c r="H2233" t="str">
        <f t="shared" si="172"/>
        <v>—</v>
      </c>
      <c r="I2233" t="str">
        <f t="shared" si="173"/>
        <v>Below thresholds</v>
      </c>
      <c r="J2233" t="str">
        <f t="shared" si="174"/>
        <v/>
      </c>
    </row>
    <row r="2234" spans="1:10" x14ac:dyDescent="0.2">
      <c r="A2234">
        <v>227042822375</v>
      </c>
      <c r="B2234" t="s">
        <v>5130</v>
      </c>
      <c r="C2234" t="s">
        <v>5131</v>
      </c>
      <c r="D2234">
        <v>4.55</v>
      </c>
      <c r="F2234" t="str">
        <f t="shared" si="170"/>
        <v>No</v>
      </c>
      <c r="G2234" t="str">
        <f t="shared" si="171"/>
        <v/>
      </c>
      <c r="H2234" t="str">
        <f t="shared" si="172"/>
        <v>—</v>
      </c>
      <c r="I2234" t="str">
        <f t="shared" si="173"/>
        <v>Below thresholds</v>
      </c>
      <c r="J2234" t="str">
        <f t="shared" si="174"/>
        <v/>
      </c>
    </row>
    <row r="2235" spans="1:10" x14ac:dyDescent="0.2">
      <c r="A2235">
        <v>227042822378</v>
      </c>
      <c r="B2235" t="s">
        <v>5132</v>
      </c>
      <c r="C2235" t="s">
        <v>5133</v>
      </c>
      <c r="D2235">
        <v>6</v>
      </c>
      <c r="F2235" t="str">
        <f t="shared" si="170"/>
        <v>No</v>
      </c>
      <c r="G2235" t="str">
        <f t="shared" si="171"/>
        <v/>
      </c>
      <c r="H2235" t="str">
        <f t="shared" si="172"/>
        <v>—</v>
      </c>
      <c r="I2235" t="str">
        <f t="shared" si="173"/>
        <v>Below thresholds</v>
      </c>
      <c r="J2235" t="str">
        <f t="shared" si="174"/>
        <v/>
      </c>
    </row>
    <row r="2236" spans="1:10" x14ac:dyDescent="0.2">
      <c r="A2236">
        <v>227042855945</v>
      </c>
      <c r="B2236" t="s">
        <v>5134</v>
      </c>
      <c r="C2236" t="s">
        <v>5135</v>
      </c>
      <c r="D2236">
        <v>1.99</v>
      </c>
      <c r="F2236" t="str">
        <f t="shared" si="170"/>
        <v>No</v>
      </c>
      <c r="G2236" t="str">
        <f t="shared" si="171"/>
        <v/>
      </c>
      <c r="H2236" t="str">
        <f t="shared" si="172"/>
        <v>—</v>
      </c>
      <c r="I2236" t="str">
        <f t="shared" si="173"/>
        <v>Below thresholds</v>
      </c>
      <c r="J2236" t="str">
        <f t="shared" si="174"/>
        <v/>
      </c>
    </row>
    <row r="2237" spans="1:10" x14ac:dyDescent="0.2">
      <c r="A2237">
        <v>227044271335</v>
      </c>
      <c r="B2237" t="s">
        <v>5136</v>
      </c>
      <c r="C2237" t="s">
        <v>5137</v>
      </c>
      <c r="D2237">
        <v>1.99</v>
      </c>
      <c r="F2237" t="str">
        <f t="shared" si="170"/>
        <v>No</v>
      </c>
      <c r="G2237" t="str">
        <f t="shared" si="171"/>
        <v/>
      </c>
      <c r="H2237" t="str">
        <f t="shared" si="172"/>
        <v>—</v>
      </c>
      <c r="I2237" t="str">
        <f t="shared" si="173"/>
        <v>Below thresholds</v>
      </c>
      <c r="J2237" t="str">
        <f t="shared" si="174"/>
        <v/>
      </c>
    </row>
    <row r="2238" spans="1:10" x14ac:dyDescent="0.2">
      <c r="A2238">
        <v>227044271344</v>
      </c>
      <c r="B2238" t="s">
        <v>5138</v>
      </c>
      <c r="C2238" t="s">
        <v>5139</v>
      </c>
      <c r="D2238">
        <v>2.69</v>
      </c>
      <c r="F2238" t="str">
        <f t="shared" si="170"/>
        <v>No</v>
      </c>
      <c r="G2238" t="str">
        <f t="shared" si="171"/>
        <v/>
      </c>
      <c r="H2238" t="str">
        <f t="shared" si="172"/>
        <v>—</v>
      </c>
      <c r="I2238" t="str">
        <f t="shared" si="173"/>
        <v>Below thresholds</v>
      </c>
      <c r="J2238" t="str">
        <f t="shared" si="174"/>
        <v/>
      </c>
    </row>
    <row r="2239" spans="1:10" x14ac:dyDescent="0.2">
      <c r="A2239">
        <v>227044271385</v>
      </c>
      <c r="B2239" t="s">
        <v>302</v>
      </c>
      <c r="C2239" t="s">
        <v>5140</v>
      </c>
      <c r="D2239">
        <v>1.99</v>
      </c>
      <c r="F2239" t="str">
        <f t="shared" si="170"/>
        <v>No</v>
      </c>
      <c r="G2239" t="str">
        <f t="shared" si="171"/>
        <v/>
      </c>
      <c r="H2239" t="str">
        <f t="shared" si="172"/>
        <v>—</v>
      </c>
      <c r="I2239" t="str">
        <f t="shared" si="173"/>
        <v>Below thresholds</v>
      </c>
      <c r="J2239" t="str">
        <f t="shared" si="174"/>
        <v/>
      </c>
    </row>
    <row r="2240" spans="1:10" x14ac:dyDescent="0.2">
      <c r="A2240">
        <v>227044271609</v>
      </c>
      <c r="B2240" t="s">
        <v>5141</v>
      </c>
      <c r="C2240" t="s">
        <v>5142</v>
      </c>
      <c r="D2240">
        <v>1.99</v>
      </c>
      <c r="F2240" t="str">
        <f t="shared" si="170"/>
        <v>No</v>
      </c>
      <c r="G2240" t="str">
        <f t="shared" si="171"/>
        <v/>
      </c>
      <c r="H2240" t="str">
        <f t="shared" si="172"/>
        <v>—</v>
      </c>
      <c r="I2240" t="str">
        <f t="shared" si="173"/>
        <v>Below thresholds</v>
      </c>
      <c r="J2240" t="str">
        <f t="shared" si="174"/>
        <v/>
      </c>
    </row>
    <row r="2241" spans="1:10" x14ac:dyDescent="0.2">
      <c r="A2241">
        <v>227044271632</v>
      </c>
      <c r="B2241" t="s">
        <v>5143</v>
      </c>
      <c r="C2241" t="s">
        <v>5144</v>
      </c>
      <c r="D2241">
        <v>1.99</v>
      </c>
      <c r="F2241" t="str">
        <f t="shared" si="170"/>
        <v>No</v>
      </c>
      <c r="G2241" t="str">
        <f t="shared" si="171"/>
        <v/>
      </c>
      <c r="H2241" t="str">
        <f t="shared" si="172"/>
        <v>—</v>
      </c>
      <c r="I2241" t="str">
        <f t="shared" si="173"/>
        <v>Below thresholds</v>
      </c>
      <c r="J2241" t="str">
        <f t="shared" si="174"/>
        <v/>
      </c>
    </row>
    <row r="2242" spans="1:10" x14ac:dyDescent="0.2">
      <c r="A2242">
        <v>227044271727</v>
      </c>
      <c r="B2242" t="s">
        <v>5145</v>
      </c>
      <c r="C2242" t="s">
        <v>5146</v>
      </c>
      <c r="D2242">
        <v>1.99</v>
      </c>
      <c r="F2242" t="str">
        <f t="shared" si="170"/>
        <v>No</v>
      </c>
      <c r="G2242" t="str">
        <f t="shared" si="171"/>
        <v/>
      </c>
      <c r="H2242" t="str">
        <f t="shared" si="172"/>
        <v>—</v>
      </c>
      <c r="I2242" t="str">
        <f t="shared" si="173"/>
        <v>Below thresholds</v>
      </c>
      <c r="J2242" t="str">
        <f t="shared" si="174"/>
        <v/>
      </c>
    </row>
    <row r="2243" spans="1:10" x14ac:dyDescent="0.2">
      <c r="A2243">
        <v>227044271782</v>
      </c>
      <c r="B2243" t="s">
        <v>5147</v>
      </c>
      <c r="C2243" t="s">
        <v>5148</v>
      </c>
      <c r="D2243">
        <v>1.99</v>
      </c>
      <c r="F2243" t="str">
        <f t="shared" si="170"/>
        <v>No</v>
      </c>
      <c r="G2243" t="str">
        <f t="shared" si="171"/>
        <v/>
      </c>
      <c r="H2243" t="str">
        <f t="shared" si="172"/>
        <v>—</v>
      </c>
      <c r="I2243" t="str">
        <f t="shared" si="173"/>
        <v>Below thresholds</v>
      </c>
      <c r="J2243" t="str">
        <f t="shared" si="174"/>
        <v/>
      </c>
    </row>
    <row r="2244" spans="1:10" x14ac:dyDescent="0.2">
      <c r="A2244">
        <v>227044271796</v>
      </c>
      <c r="B2244" t="s">
        <v>5149</v>
      </c>
      <c r="C2244" t="s">
        <v>5150</v>
      </c>
      <c r="D2244">
        <v>1.99</v>
      </c>
      <c r="F2244" t="str">
        <f t="shared" si="170"/>
        <v>No</v>
      </c>
      <c r="G2244" t="str">
        <f t="shared" si="171"/>
        <v/>
      </c>
      <c r="H2244" t="str">
        <f t="shared" si="172"/>
        <v>—</v>
      </c>
      <c r="I2244" t="str">
        <f t="shared" si="173"/>
        <v>Below thresholds</v>
      </c>
      <c r="J2244" t="str">
        <f t="shared" si="174"/>
        <v/>
      </c>
    </row>
    <row r="2245" spans="1:10" x14ac:dyDescent="0.2">
      <c r="A2245">
        <v>227044271875</v>
      </c>
      <c r="B2245" t="s">
        <v>5151</v>
      </c>
      <c r="C2245" t="s">
        <v>5152</v>
      </c>
      <c r="D2245">
        <v>1.99</v>
      </c>
      <c r="F2245" t="str">
        <f t="shared" ref="F2245:F2308" si="175">IF($B2245="","",IF(ISNUMBER(SEARCH("PSA",$B2245)),"Yes","No"))</f>
        <v>No</v>
      </c>
      <c r="G2245" t="str">
        <f t="shared" ref="G2245:G2308" si="176">IF($B2245="","",IF(ISNUMBER(SEARCH("PSA 10",$B2245)),10,IF(ISNUMBER(SEARCH("PSA 9.5",$B2245)),9.5,IF(ISNUMBER(SEARCH("PSA 9",$B2245)),9,IF(ISNUMBER(SEARCH("PSA 8",$B2245)),8,IF(ISNUMBER(SEARCH("PSA",$B2245)),"&lt;9",""))))))</f>
        <v/>
      </c>
      <c r="H2245" t="str">
        <f t="shared" ref="H2245:H2308" si="177">IF($B2245="","",IF($D2245&gt;=100,"TIER 2",IF(OR(ISNUMBER(SEARCH("PSA 10",$B2245)),ISNUMBER(SEARCH("PSA 9.5",$B2245)),ISNUMBER(SEARCH("PSA 9",$B2245))),"TIER 3",IF(AND($D2245&gt;20,N($E2245)&gt;=15),"TIER 1","—"))))</f>
        <v>—</v>
      </c>
      <c r="I2245" t="str">
        <f t="shared" ref="I2245:I2308" si="178">IF($B2245="","",IF($D2245&gt;=100,"Premium $100+ (auto)",IF(OR(ISNUMBER(SEARCH("PSA 10",$B2245)),ISNUMBER(SEARCH("PSA 9.5",$B2245)),ISNUMBER(SEARCH("PSA 9",$B2245))),"Graded PSA 9+ (auto)",IF(AND($D2245&gt;20,N($E2245)&gt;=15),"Hot: $20+ &amp; "&amp;$E2245&amp;"/day",IF($D2245&gt;20,"$20+ — needs velocity check","Below thresholds")))))</f>
        <v>Below thresholds</v>
      </c>
      <c r="J2245" t="str">
        <f t="shared" ref="J2245:J2308" si="179">IF($B2245="","",IF(AND($D2245&gt;20,$D2245&lt;100,NOT(OR(ISNUMBER(SEARCH("PSA 10",$B2245)),ISNUMBER(SEARCH("PSA 9.5",$B2245)),ISNUMBER(SEARCH("PSA 9",$B2245)))),$E2245=""),"YES — pull CardHedger",""))</f>
        <v/>
      </c>
    </row>
    <row r="2246" spans="1:10" x14ac:dyDescent="0.2">
      <c r="A2246">
        <v>227044271970</v>
      </c>
      <c r="B2246" t="s">
        <v>5153</v>
      </c>
      <c r="C2246" t="s">
        <v>5154</v>
      </c>
      <c r="D2246">
        <v>1.99</v>
      </c>
      <c r="F2246" t="str">
        <f t="shared" si="175"/>
        <v>No</v>
      </c>
      <c r="G2246" t="str">
        <f t="shared" si="176"/>
        <v/>
      </c>
      <c r="H2246" t="str">
        <f t="shared" si="177"/>
        <v>—</v>
      </c>
      <c r="I2246" t="str">
        <f t="shared" si="178"/>
        <v>Below thresholds</v>
      </c>
      <c r="J2246" t="str">
        <f t="shared" si="179"/>
        <v/>
      </c>
    </row>
    <row r="2247" spans="1:10" x14ac:dyDescent="0.2">
      <c r="A2247">
        <v>227044272019</v>
      </c>
      <c r="B2247" t="s">
        <v>5155</v>
      </c>
      <c r="C2247" t="s">
        <v>5156</v>
      </c>
      <c r="D2247">
        <v>1.99</v>
      </c>
      <c r="F2247" t="str">
        <f t="shared" si="175"/>
        <v>No</v>
      </c>
      <c r="G2247" t="str">
        <f t="shared" si="176"/>
        <v/>
      </c>
      <c r="H2247" t="str">
        <f t="shared" si="177"/>
        <v>—</v>
      </c>
      <c r="I2247" t="str">
        <f t="shared" si="178"/>
        <v>Below thresholds</v>
      </c>
      <c r="J2247" t="str">
        <f t="shared" si="179"/>
        <v/>
      </c>
    </row>
    <row r="2248" spans="1:10" x14ac:dyDescent="0.2">
      <c r="A2248">
        <v>227044272021</v>
      </c>
      <c r="B2248" t="s">
        <v>5157</v>
      </c>
      <c r="C2248" t="s">
        <v>5158</v>
      </c>
      <c r="D2248">
        <v>1.99</v>
      </c>
      <c r="F2248" t="str">
        <f t="shared" si="175"/>
        <v>No</v>
      </c>
      <c r="G2248" t="str">
        <f t="shared" si="176"/>
        <v/>
      </c>
      <c r="H2248" t="str">
        <f t="shared" si="177"/>
        <v>—</v>
      </c>
      <c r="I2248" t="str">
        <f t="shared" si="178"/>
        <v>Below thresholds</v>
      </c>
      <c r="J2248" t="str">
        <f t="shared" si="179"/>
        <v/>
      </c>
    </row>
    <row r="2249" spans="1:10" x14ac:dyDescent="0.2">
      <c r="A2249">
        <v>227044272064</v>
      </c>
      <c r="B2249" t="s">
        <v>5159</v>
      </c>
      <c r="C2249" t="s">
        <v>5160</v>
      </c>
      <c r="D2249">
        <v>1.99</v>
      </c>
      <c r="F2249" t="str">
        <f t="shared" si="175"/>
        <v>No</v>
      </c>
      <c r="G2249" t="str">
        <f t="shared" si="176"/>
        <v/>
      </c>
      <c r="H2249" t="str">
        <f t="shared" si="177"/>
        <v>—</v>
      </c>
      <c r="I2249" t="str">
        <f t="shared" si="178"/>
        <v>Below thresholds</v>
      </c>
      <c r="J2249" t="str">
        <f t="shared" si="179"/>
        <v/>
      </c>
    </row>
    <row r="2250" spans="1:10" x14ac:dyDescent="0.2">
      <c r="A2250">
        <v>227044272072</v>
      </c>
      <c r="B2250" t="s">
        <v>5161</v>
      </c>
      <c r="C2250" t="s">
        <v>5162</v>
      </c>
      <c r="D2250">
        <v>3.09</v>
      </c>
      <c r="F2250" t="str">
        <f t="shared" si="175"/>
        <v>No</v>
      </c>
      <c r="G2250" t="str">
        <f t="shared" si="176"/>
        <v/>
      </c>
      <c r="H2250" t="str">
        <f t="shared" si="177"/>
        <v>—</v>
      </c>
      <c r="I2250" t="str">
        <f t="shared" si="178"/>
        <v>Below thresholds</v>
      </c>
      <c r="J2250" t="str">
        <f t="shared" si="179"/>
        <v/>
      </c>
    </row>
    <row r="2251" spans="1:10" x14ac:dyDescent="0.2">
      <c r="A2251">
        <v>227044272199</v>
      </c>
      <c r="B2251" t="s">
        <v>5163</v>
      </c>
      <c r="C2251" t="s">
        <v>5164</v>
      </c>
      <c r="D2251">
        <v>2.4900000000000002</v>
      </c>
      <c r="F2251" t="str">
        <f t="shared" si="175"/>
        <v>No</v>
      </c>
      <c r="G2251" t="str">
        <f t="shared" si="176"/>
        <v/>
      </c>
      <c r="H2251" t="str">
        <f t="shared" si="177"/>
        <v>—</v>
      </c>
      <c r="I2251" t="str">
        <f t="shared" si="178"/>
        <v>Below thresholds</v>
      </c>
      <c r="J2251" t="str">
        <f t="shared" si="179"/>
        <v/>
      </c>
    </row>
    <row r="2252" spans="1:10" x14ac:dyDescent="0.2">
      <c r="A2252">
        <v>227044272211</v>
      </c>
      <c r="B2252" t="s">
        <v>5165</v>
      </c>
      <c r="C2252" t="s">
        <v>5166</v>
      </c>
      <c r="D2252">
        <v>1.99</v>
      </c>
      <c r="F2252" t="str">
        <f t="shared" si="175"/>
        <v>No</v>
      </c>
      <c r="G2252" t="str">
        <f t="shared" si="176"/>
        <v/>
      </c>
      <c r="H2252" t="str">
        <f t="shared" si="177"/>
        <v>—</v>
      </c>
      <c r="I2252" t="str">
        <f t="shared" si="178"/>
        <v>Below thresholds</v>
      </c>
      <c r="J2252" t="str">
        <f t="shared" si="179"/>
        <v/>
      </c>
    </row>
    <row r="2253" spans="1:10" x14ac:dyDescent="0.2">
      <c r="A2253">
        <v>227044272212</v>
      </c>
      <c r="B2253" t="s">
        <v>5167</v>
      </c>
      <c r="C2253" t="s">
        <v>5168</v>
      </c>
      <c r="D2253">
        <v>2.69</v>
      </c>
      <c r="F2253" t="str">
        <f t="shared" si="175"/>
        <v>No</v>
      </c>
      <c r="G2253" t="str">
        <f t="shared" si="176"/>
        <v/>
      </c>
      <c r="H2253" t="str">
        <f t="shared" si="177"/>
        <v>—</v>
      </c>
      <c r="I2253" t="str">
        <f t="shared" si="178"/>
        <v>Below thresholds</v>
      </c>
      <c r="J2253" t="str">
        <f t="shared" si="179"/>
        <v/>
      </c>
    </row>
    <row r="2254" spans="1:10" x14ac:dyDescent="0.2">
      <c r="A2254">
        <v>227044272311</v>
      </c>
      <c r="B2254" t="s">
        <v>5169</v>
      </c>
      <c r="C2254" t="s">
        <v>5170</v>
      </c>
      <c r="D2254">
        <v>1.99</v>
      </c>
      <c r="F2254" t="str">
        <f t="shared" si="175"/>
        <v>No</v>
      </c>
      <c r="G2254" t="str">
        <f t="shared" si="176"/>
        <v/>
      </c>
      <c r="H2254" t="str">
        <f t="shared" si="177"/>
        <v>—</v>
      </c>
      <c r="I2254" t="str">
        <f t="shared" si="178"/>
        <v>Below thresholds</v>
      </c>
      <c r="J2254" t="str">
        <f t="shared" si="179"/>
        <v/>
      </c>
    </row>
    <row r="2255" spans="1:10" x14ac:dyDescent="0.2">
      <c r="A2255">
        <v>227044272320</v>
      </c>
      <c r="B2255" t="s">
        <v>5171</v>
      </c>
      <c r="C2255" t="s">
        <v>5172</v>
      </c>
      <c r="D2255">
        <v>1.99</v>
      </c>
      <c r="F2255" t="str">
        <f t="shared" si="175"/>
        <v>No</v>
      </c>
      <c r="G2255" t="str">
        <f t="shared" si="176"/>
        <v/>
      </c>
      <c r="H2255" t="str">
        <f t="shared" si="177"/>
        <v>—</v>
      </c>
      <c r="I2255" t="str">
        <f t="shared" si="178"/>
        <v>Below thresholds</v>
      </c>
      <c r="J2255" t="str">
        <f t="shared" si="179"/>
        <v/>
      </c>
    </row>
    <row r="2256" spans="1:10" x14ac:dyDescent="0.2">
      <c r="A2256">
        <v>227044272327</v>
      </c>
      <c r="B2256" t="s">
        <v>5173</v>
      </c>
      <c r="C2256" t="s">
        <v>5174</v>
      </c>
      <c r="D2256">
        <v>1.99</v>
      </c>
      <c r="F2256" t="str">
        <f t="shared" si="175"/>
        <v>No</v>
      </c>
      <c r="G2256" t="str">
        <f t="shared" si="176"/>
        <v/>
      </c>
      <c r="H2256" t="str">
        <f t="shared" si="177"/>
        <v>—</v>
      </c>
      <c r="I2256" t="str">
        <f t="shared" si="178"/>
        <v>Below thresholds</v>
      </c>
      <c r="J2256" t="str">
        <f t="shared" si="179"/>
        <v/>
      </c>
    </row>
    <row r="2257" spans="1:10" x14ac:dyDescent="0.2">
      <c r="A2257">
        <v>227044272465</v>
      </c>
      <c r="B2257" t="s">
        <v>5175</v>
      </c>
      <c r="C2257" t="s">
        <v>5176</v>
      </c>
      <c r="D2257">
        <v>1.99</v>
      </c>
      <c r="F2257" t="str">
        <f t="shared" si="175"/>
        <v>No</v>
      </c>
      <c r="G2257" t="str">
        <f t="shared" si="176"/>
        <v/>
      </c>
      <c r="H2257" t="str">
        <f t="shared" si="177"/>
        <v>—</v>
      </c>
      <c r="I2257" t="str">
        <f t="shared" si="178"/>
        <v>Below thresholds</v>
      </c>
      <c r="J2257" t="str">
        <f t="shared" si="179"/>
        <v/>
      </c>
    </row>
    <row r="2258" spans="1:10" x14ac:dyDescent="0.2">
      <c r="A2258">
        <v>227044272471</v>
      </c>
      <c r="B2258" t="s">
        <v>5177</v>
      </c>
      <c r="C2258" t="s">
        <v>5178</v>
      </c>
      <c r="D2258">
        <v>2.69</v>
      </c>
      <c r="F2258" t="str">
        <f t="shared" si="175"/>
        <v>No</v>
      </c>
      <c r="G2258" t="str">
        <f t="shared" si="176"/>
        <v/>
      </c>
      <c r="H2258" t="str">
        <f t="shared" si="177"/>
        <v>—</v>
      </c>
      <c r="I2258" t="str">
        <f t="shared" si="178"/>
        <v>Below thresholds</v>
      </c>
      <c r="J2258" t="str">
        <f t="shared" si="179"/>
        <v/>
      </c>
    </row>
    <row r="2259" spans="1:10" x14ac:dyDescent="0.2">
      <c r="A2259">
        <v>227044272483</v>
      </c>
      <c r="B2259" t="s">
        <v>5157</v>
      </c>
      <c r="C2259" t="s">
        <v>5179</v>
      </c>
      <c r="D2259">
        <v>1.99</v>
      </c>
      <c r="F2259" t="str">
        <f t="shared" si="175"/>
        <v>No</v>
      </c>
      <c r="G2259" t="str">
        <f t="shared" si="176"/>
        <v/>
      </c>
      <c r="H2259" t="str">
        <f t="shared" si="177"/>
        <v>—</v>
      </c>
      <c r="I2259" t="str">
        <f t="shared" si="178"/>
        <v>Below thresholds</v>
      </c>
      <c r="J2259" t="str">
        <f t="shared" si="179"/>
        <v/>
      </c>
    </row>
    <row r="2260" spans="1:10" x14ac:dyDescent="0.2">
      <c r="A2260">
        <v>227044272581</v>
      </c>
      <c r="B2260" t="s">
        <v>5180</v>
      </c>
      <c r="C2260" t="s">
        <v>5181</v>
      </c>
      <c r="D2260">
        <v>2.09</v>
      </c>
      <c r="F2260" t="str">
        <f t="shared" si="175"/>
        <v>No</v>
      </c>
      <c r="G2260" t="str">
        <f t="shared" si="176"/>
        <v/>
      </c>
      <c r="H2260" t="str">
        <f t="shared" si="177"/>
        <v>—</v>
      </c>
      <c r="I2260" t="str">
        <f t="shared" si="178"/>
        <v>Below thresholds</v>
      </c>
      <c r="J2260" t="str">
        <f t="shared" si="179"/>
        <v/>
      </c>
    </row>
    <row r="2261" spans="1:10" x14ac:dyDescent="0.2">
      <c r="A2261">
        <v>227044272584</v>
      </c>
      <c r="B2261" t="s">
        <v>5182</v>
      </c>
      <c r="C2261" t="s">
        <v>5183</v>
      </c>
      <c r="D2261">
        <v>1.99</v>
      </c>
      <c r="F2261" t="str">
        <f t="shared" si="175"/>
        <v>No</v>
      </c>
      <c r="G2261" t="str">
        <f t="shared" si="176"/>
        <v/>
      </c>
      <c r="H2261" t="str">
        <f t="shared" si="177"/>
        <v>—</v>
      </c>
      <c r="I2261" t="str">
        <f t="shared" si="178"/>
        <v>Below thresholds</v>
      </c>
      <c r="J2261" t="str">
        <f t="shared" si="179"/>
        <v/>
      </c>
    </row>
    <row r="2262" spans="1:10" x14ac:dyDescent="0.2">
      <c r="A2262">
        <v>227044272600</v>
      </c>
      <c r="B2262" t="s">
        <v>5184</v>
      </c>
      <c r="C2262" t="s">
        <v>5185</v>
      </c>
      <c r="D2262">
        <v>1.99</v>
      </c>
      <c r="F2262" t="str">
        <f t="shared" si="175"/>
        <v>No</v>
      </c>
      <c r="G2262" t="str">
        <f t="shared" si="176"/>
        <v/>
      </c>
      <c r="H2262" t="str">
        <f t="shared" si="177"/>
        <v>—</v>
      </c>
      <c r="I2262" t="str">
        <f t="shared" si="178"/>
        <v>Below thresholds</v>
      </c>
      <c r="J2262" t="str">
        <f t="shared" si="179"/>
        <v/>
      </c>
    </row>
    <row r="2263" spans="1:10" x14ac:dyDescent="0.2">
      <c r="A2263">
        <v>227044272659</v>
      </c>
      <c r="B2263" t="s">
        <v>5186</v>
      </c>
      <c r="C2263" t="s">
        <v>5187</v>
      </c>
      <c r="D2263">
        <v>1.99</v>
      </c>
      <c r="F2263" t="str">
        <f t="shared" si="175"/>
        <v>No</v>
      </c>
      <c r="G2263" t="str">
        <f t="shared" si="176"/>
        <v/>
      </c>
      <c r="H2263" t="str">
        <f t="shared" si="177"/>
        <v>—</v>
      </c>
      <c r="I2263" t="str">
        <f t="shared" si="178"/>
        <v>Below thresholds</v>
      </c>
      <c r="J2263" t="str">
        <f t="shared" si="179"/>
        <v/>
      </c>
    </row>
    <row r="2264" spans="1:10" x14ac:dyDescent="0.2">
      <c r="A2264">
        <v>227044272671</v>
      </c>
      <c r="B2264" t="s">
        <v>5188</v>
      </c>
      <c r="C2264" t="s">
        <v>5189</v>
      </c>
      <c r="D2264">
        <v>1.99</v>
      </c>
      <c r="F2264" t="str">
        <f t="shared" si="175"/>
        <v>No</v>
      </c>
      <c r="G2264" t="str">
        <f t="shared" si="176"/>
        <v/>
      </c>
      <c r="H2264" t="str">
        <f t="shared" si="177"/>
        <v>—</v>
      </c>
      <c r="I2264" t="str">
        <f t="shared" si="178"/>
        <v>Below thresholds</v>
      </c>
      <c r="J2264" t="str">
        <f t="shared" si="179"/>
        <v/>
      </c>
    </row>
    <row r="2265" spans="1:10" x14ac:dyDescent="0.2">
      <c r="A2265">
        <v>227044272747</v>
      </c>
      <c r="B2265" t="s">
        <v>5190</v>
      </c>
      <c r="C2265" t="s">
        <v>5191</v>
      </c>
      <c r="D2265">
        <v>1.99</v>
      </c>
      <c r="F2265" t="str">
        <f t="shared" si="175"/>
        <v>No</v>
      </c>
      <c r="G2265" t="str">
        <f t="shared" si="176"/>
        <v/>
      </c>
      <c r="H2265" t="str">
        <f t="shared" si="177"/>
        <v>—</v>
      </c>
      <c r="I2265" t="str">
        <f t="shared" si="178"/>
        <v>Below thresholds</v>
      </c>
      <c r="J2265" t="str">
        <f t="shared" si="179"/>
        <v/>
      </c>
    </row>
    <row r="2266" spans="1:10" x14ac:dyDescent="0.2">
      <c r="A2266">
        <v>227044272789</v>
      </c>
      <c r="B2266" t="s">
        <v>5192</v>
      </c>
      <c r="C2266" t="s">
        <v>5193</v>
      </c>
      <c r="D2266">
        <v>1.99</v>
      </c>
      <c r="F2266" t="str">
        <f t="shared" si="175"/>
        <v>No</v>
      </c>
      <c r="G2266" t="str">
        <f t="shared" si="176"/>
        <v/>
      </c>
      <c r="H2266" t="str">
        <f t="shared" si="177"/>
        <v>—</v>
      </c>
      <c r="I2266" t="str">
        <f t="shared" si="178"/>
        <v>Below thresholds</v>
      </c>
      <c r="J2266" t="str">
        <f t="shared" si="179"/>
        <v/>
      </c>
    </row>
    <row r="2267" spans="1:10" x14ac:dyDescent="0.2">
      <c r="A2267">
        <v>227044272799</v>
      </c>
      <c r="B2267" t="s">
        <v>5194</v>
      </c>
      <c r="C2267" t="s">
        <v>5195</v>
      </c>
      <c r="D2267">
        <v>1.99</v>
      </c>
      <c r="F2267" t="str">
        <f t="shared" si="175"/>
        <v>No</v>
      </c>
      <c r="G2267" t="str">
        <f t="shared" si="176"/>
        <v/>
      </c>
      <c r="H2267" t="str">
        <f t="shared" si="177"/>
        <v>—</v>
      </c>
      <c r="I2267" t="str">
        <f t="shared" si="178"/>
        <v>Below thresholds</v>
      </c>
      <c r="J2267" t="str">
        <f t="shared" si="179"/>
        <v/>
      </c>
    </row>
    <row r="2268" spans="1:10" x14ac:dyDescent="0.2">
      <c r="A2268">
        <v>227044272832</v>
      </c>
      <c r="B2268" t="s">
        <v>5196</v>
      </c>
      <c r="C2268" t="s">
        <v>5197</v>
      </c>
      <c r="D2268">
        <v>1.99</v>
      </c>
      <c r="F2268" t="str">
        <f t="shared" si="175"/>
        <v>No</v>
      </c>
      <c r="G2268" t="str">
        <f t="shared" si="176"/>
        <v/>
      </c>
      <c r="H2268" t="str">
        <f t="shared" si="177"/>
        <v>—</v>
      </c>
      <c r="I2268" t="str">
        <f t="shared" si="178"/>
        <v>Below thresholds</v>
      </c>
      <c r="J2268" t="str">
        <f t="shared" si="179"/>
        <v/>
      </c>
    </row>
    <row r="2269" spans="1:10" x14ac:dyDescent="0.2">
      <c r="A2269">
        <v>227044272877</v>
      </c>
      <c r="B2269" t="s">
        <v>5198</v>
      </c>
      <c r="C2269" t="s">
        <v>5199</v>
      </c>
      <c r="D2269">
        <v>1.99</v>
      </c>
      <c r="F2269" t="str">
        <f t="shared" si="175"/>
        <v>No</v>
      </c>
      <c r="G2269" t="str">
        <f t="shared" si="176"/>
        <v/>
      </c>
      <c r="H2269" t="str">
        <f t="shared" si="177"/>
        <v>—</v>
      </c>
      <c r="I2269" t="str">
        <f t="shared" si="178"/>
        <v>Below thresholds</v>
      </c>
      <c r="J2269" t="str">
        <f t="shared" si="179"/>
        <v/>
      </c>
    </row>
    <row r="2270" spans="1:10" x14ac:dyDescent="0.2">
      <c r="A2270">
        <v>227044272886</v>
      </c>
      <c r="B2270" t="s">
        <v>5200</v>
      </c>
      <c r="C2270" t="s">
        <v>5201</v>
      </c>
      <c r="D2270">
        <v>1.99</v>
      </c>
      <c r="F2270" t="str">
        <f t="shared" si="175"/>
        <v>No</v>
      </c>
      <c r="G2270" t="str">
        <f t="shared" si="176"/>
        <v/>
      </c>
      <c r="H2270" t="str">
        <f t="shared" si="177"/>
        <v>—</v>
      </c>
      <c r="I2270" t="str">
        <f t="shared" si="178"/>
        <v>Below thresholds</v>
      </c>
      <c r="J2270" t="str">
        <f t="shared" si="179"/>
        <v/>
      </c>
    </row>
    <row r="2271" spans="1:10" x14ac:dyDescent="0.2">
      <c r="A2271">
        <v>227044272907</v>
      </c>
      <c r="B2271" t="s">
        <v>5202</v>
      </c>
      <c r="C2271" t="s">
        <v>5203</v>
      </c>
      <c r="D2271">
        <v>1.99</v>
      </c>
      <c r="F2271" t="str">
        <f t="shared" si="175"/>
        <v>No</v>
      </c>
      <c r="G2271" t="str">
        <f t="shared" si="176"/>
        <v/>
      </c>
      <c r="H2271" t="str">
        <f t="shared" si="177"/>
        <v>—</v>
      </c>
      <c r="I2271" t="str">
        <f t="shared" si="178"/>
        <v>Below thresholds</v>
      </c>
      <c r="J2271" t="str">
        <f t="shared" si="179"/>
        <v/>
      </c>
    </row>
    <row r="2272" spans="1:10" x14ac:dyDescent="0.2">
      <c r="A2272">
        <v>227044272948</v>
      </c>
      <c r="B2272" t="s">
        <v>5204</v>
      </c>
      <c r="C2272" t="s">
        <v>5205</v>
      </c>
      <c r="D2272">
        <v>2.69</v>
      </c>
      <c r="F2272" t="str">
        <f t="shared" si="175"/>
        <v>No</v>
      </c>
      <c r="G2272" t="str">
        <f t="shared" si="176"/>
        <v/>
      </c>
      <c r="H2272" t="str">
        <f t="shared" si="177"/>
        <v>—</v>
      </c>
      <c r="I2272" t="str">
        <f t="shared" si="178"/>
        <v>Below thresholds</v>
      </c>
      <c r="J2272" t="str">
        <f t="shared" si="179"/>
        <v/>
      </c>
    </row>
    <row r="2273" spans="1:10" x14ac:dyDescent="0.2">
      <c r="A2273">
        <v>227044272953</v>
      </c>
      <c r="B2273" t="s">
        <v>5206</v>
      </c>
      <c r="C2273" t="s">
        <v>5207</v>
      </c>
      <c r="D2273">
        <v>1.99</v>
      </c>
      <c r="F2273" t="str">
        <f t="shared" si="175"/>
        <v>No</v>
      </c>
      <c r="G2273" t="str">
        <f t="shared" si="176"/>
        <v/>
      </c>
      <c r="H2273" t="str">
        <f t="shared" si="177"/>
        <v>—</v>
      </c>
      <c r="I2273" t="str">
        <f t="shared" si="178"/>
        <v>Below thresholds</v>
      </c>
      <c r="J2273" t="str">
        <f t="shared" si="179"/>
        <v/>
      </c>
    </row>
    <row r="2274" spans="1:10" x14ac:dyDescent="0.2">
      <c r="A2274">
        <v>227044272980</v>
      </c>
      <c r="B2274" t="s">
        <v>5208</v>
      </c>
      <c r="C2274" t="s">
        <v>5209</v>
      </c>
      <c r="D2274">
        <v>1.99</v>
      </c>
      <c r="F2274" t="str">
        <f t="shared" si="175"/>
        <v>No</v>
      </c>
      <c r="G2274" t="str">
        <f t="shared" si="176"/>
        <v/>
      </c>
      <c r="H2274" t="str">
        <f t="shared" si="177"/>
        <v>—</v>
      </c>
      <c r="I2274" t="str">
        <f t="shared" si="178"/>
        <v>Below thresholds</v>
      </c>
      <c r="J2274" t="str">
        <f t="shared" si="179"/>
        <v/>
      </c>
    </row>
    <row r="2275" spans="1:10" x14ac:dyDescent="0.2">
      <c r="A2275">
        <v>227044273057</v>
      </c>
      <c r="B2275" t="s">
        <v>5210</v>
      </c>
      <c r="C2275" t="s">
        <v>5211</v>
      </c>
      <c r="D2275">
        <v>1.99</v>
      </c>
      <c r="F2275" t="str">
        <f t="shared" si="175"/>
        <v>No</v>
      </c>
      <c r="G2275" t="str">
        <f t="shared" si="176"/>
        <v/>
      </c>
      <c r="H2275" t="str">
        <f t="shared" si="177"/>
        <v>—</v>
      </c>
      <c r="I2275" t="str">
        <f t="shared" si="178"/>
        <v>Below thresholds</v>
      </c>
      <c r="J2275" t="str">
        <f t="shared" si="179"/>
        <v/>
      </c>
    </row>
    <row r="2276" spans="1:10" x14ac:dyDescent="0.2">
      <c r="A2276">
        <v>227044273058</v>
      </c>
      <c r="B2276" t="s">
        <v>5212</v>
      </c>
      <c r="C2276" t="s">
        <v>5213</v>
      </c>
      <c r="D2276">
        <v>1.99</v>
      </c>
      <c r="F2276" t="str">
        <f t="shared" si="175"/>
        <v>No</v>
      </c>
      <c r="G2276" t="str">
        <f t="shared" si="176"/>
        <v/>
      </c>
      <c r="H2276" t="str">
        <f t="shared" si="177"/>
        <v>—</v>
      </c>
      <c r="I2276" t="str">
        <f t="shared" si="178"/>
        <v>Below thresholds</v>
      </c>
      <c r="J2276" t="str">
        <f t="shared" si="179"/>
        <v/>
      </c>
    </row>
    <row r="2277" spans="1:10" x14ac:dyDescent="0.2">
      <c r="A2277">
        <v>227044273135</v>
      </c>
      <c r="B2277" t="s">
        <v>5214</v>
      </c>
      <c r="C2277" t="s">
        <v>5215</v>
      </c>
      <c r="D2277">
        <v>2.19</v>
      </c>
      <c r="F2277" t="str">
        <f t="shared" si="175"/>
        <v>No</v>
      </c>
      <c r="G2277" t="str">
        <f t="shared" si="176"/>
        <v/>
      </c>
      <c r="H2277" t="str">
        <f t="shared" si="177"/>
        <v>—</v>
      </c>
      <c r="I2277" t="str">
        <f t="shared" si="178"/>
        <v>Below thresholds</v>
      </c>
      <c r="J2277" t="str">
        <f t="shared" si="179"/>
        <v/>
      </c>
    </row>
    <row r="2278" spans="1:10" x14ac:dyDescent="0.2">
      <c r="A2278">
        <v>227044273155</v>
      </c>
      <c r="B2278" t="s">
        <v>5216</v>
      </c>
      <c r="C2278" t="s">
        <v>5217</v>
      </c>
      <c r="D2278">
        <v>1.99</v>
      </c>
      <c r="F2278" t="str">
        <f t="shared" si="175"/>
        <v>No</v>
      </c>
      <c r="G2278" t="str">
        <f t="shared" si="176"/>
        <v/>
      </c>
      <c r="H2278" t="str">
        <f t="shared" si="177"/>
        <v>—</v>
      </c>
      <c r="I2278" t="str">
        <f t="shared" si="178"/>
        <v>Below thresholds</v>
      </c>
      <c r="J2278" t="str">
        <f t="shared" si="179"/>
        <v/>
      </c>
    </row>
    <row r="2279" spans="1:10" x14ac:dyDescent="0.2">
      <c r="A2279">
        <v>227044273158</v>
      </c>
      <c r="B2279" t="s">
        <v>5218</v>
      </c>
      <c r="C2279" t="s">
        <v>5219</v>
      </c>
      <c r="D2279">
        <v>1.99</v>
      </c>
      <c r="F2279" t="str">
        <f t="shared" si="175"/>
        <v>No</v>
      </c>
      <c r="G2279" t="str">
        <f t="shared" si="176"/>
        <v/>
      </c>
      <c r="H2279" t="str">
        <f t="shared" si="177"/>
        <v>—</v>
      </c>
      <c r="I2279" t="str">
        <f t="shared" si="178"/>
        <v>Below thresholds</v>
      </c>
      <c r="J2279" t="str">
        <f t="shared" si="179"/>
        <v/>
      </c>
    </row>
    <row r="2280" spans="1:10" x14ac:dyDescent="0.2">
      <c r="A2280">
        <v>227044273213</v>
      </c>
      <c r="B2280" t="s">
        <v>5220</v>
      </c>
      <c r="C2280" t="s">
        <v>5221</v>
      </c>
      <c r="D2280">
        <v>1.99</v>
      </c>
      <c r="F2280" t="str">
        <f t="shared" si="175"/>
        <v>No</v>
      </c>
      <c r="G2280" t="str">
        <f t="shared" si="176"/>
        <v/>
      </c>
      <c r="H2280" t="str">
        <f t="shared" si="177"/>
        <v>—</v>
      </c>
      <c r="I2280" t="str">
        <f t="shared" si="178"/>
        <v>Below thresholds</v>
      </c>
      <c r="J2280" t="str">
        <f t="shared" si="179"/>
        <v/>
      </c>
    </row>
    <row r="2281" spans="1:10" x14ac:dyDescent="0.2">
      <c r="A2281">
        <v>227044273244</v>
      </c>
      <c r="B2281" t="s">
        <v>5222</v>
      </c>
      <c r="C2281" t="s">
        <v>5223</v>
      </c>
      <c r="D2281">
        <v>1.99</v>
      </c>
      <c r="F2281" t="str">
        <f t="shared" si="175"/>
        <v>No</v>
      </c>
      <c r="G2281" t="str">
        <f t="shared" si="176"/>
        <v/>
      </c>
      <c r="H2281" t="str">
        <f t="shared" si="177"/>
        <v>—</v>
      </c>
      <c r="I2281" t="str">
        <f t="shared" si="178"/>
        <v>Below thresholds</v>
      </c>
      <c r="J2281" t="str">
        <f t="shared" si="179"/>
        <v/>
      </c>
    </row>
    <row r="2282" spans="1:10" x14ac:dyDescent="0.2">
      <c r="A2282">
        <v>227044273253</v>
      </c>
      <c r="B2282" t="s">
        <v>5224</v>
      </c>
      <c r="C2282" t="s">
        <v>5225</v>
      </c>
      <c r="D2282">
        <v>1.99</v>
      </c>
      <c r="F2282" t="str">
        <f t="shared" si="175"/>
        <v>No</v>
      </c>
      <c r="G2282" t="str">
        <f t="shared" si="176"/>
        <v/>
      </c>
      <c r="H2282" t="str">
        <f t="shared" si="177"/>
        <v>—</v>
      </c>
      <c r="I2282" t="str">
        <f t="shared" si="178"/>
        <v>Below thresholds</v>
      </c>
      <c r="J2282" t="str">
        <f t="shared" si="179"/>
        <v/>
      </c>
    </row>
    <row r="2283" spans="1:10" x14ac:dyDescent="0.2">
      <c r="A2283">
        <v>227044273292</v>
      </c>
      <c r="B2283" t="s">
        <v>5226</v>
      </c>
      <c r="C2283" t="s">
        <v>5227</v>
      </c>
      <c r="D2283">
        <v>1.99</v>
      </c>
      <c r="F2283" t="str">
        <f t="shared" si="175"/>
        <v>No</v>
      </c>
      <c r="G2283" t="str">
        <f t="shared" si="176"/>
        <v/>
      </c>
      <c r="H2283" t="str">
        <f t="shared" si="177"/>
        <v>—</v>
      </c>
      <c r="I2283" t="str">
        <f t="shared" si="178"/>
        <v>Below thresholds</v>
      </c>
      <c r="J2283" t="str">
        <f t="shared" si="179"/>
        <v/>
      </c>
    </row>
    <row r="2284" spans="1:10" x14ac:dyDescent="0.2">
      <c r="A2284">
        <v>227044273376</v>
      </c>
      <c r="B2284" t="s">
        <v>315</v>
      </c>
      <c r="C2284" t="s">
        <v>5228</v>
      </c>
      <c r="D2284">
        <v>1.99</v>
      </c>
      <c r="F2284" t="str">
        <f t="shared" si="175"/>
        <v>No</v>
      </c>
      <c r="G2284" t="str">
        <f t="shared" si="176"/>
        <v/>
      </c>
      <c r="H2284" t="str">
        <f t="shared" si="177"/>
        <v>—</v>
      </c>
      <c r="I2284" t="str">
        <f t="shared" si="178"/>
        <v>Below thresholds</v>
      </c>
      <c r="J2284" t="str">
        <f t="shared" si="179"/>
        <v/>
      </c>
    </row>
    <row r="2285" spans="1:10" x14ac:dyDescent="0.2">
      <c r="A2285">
        <v>227044273457</v>
      </c>
      <c r="B2285" t="s">
        <v>5229</v>
      </c>
      <c r="C2285" t="s">
        <v>5230</v>
      </c>
      <c r="D2285">
        <v>1.99</v>
      </c>
      <c r="F2285" t="str">
        <f t="shared" si="175"/>
        <v>No</v>
      </c>
      <c r="G2285" t="str">
        <f t="shared" si="176"/>
        <v/>
      </c>
      <c r="H2285" t="str">
        <f t="shared" si="177"/>
        <v>—</v>
      </c>
      <c r="I2285" t="str">
        <f t="shared" si="178"/>
        <v>Below thresholds</v>
      </c>
      <c r="J2285" t="str">
        <f t="shared" si="179"/>
        <v/>
      </c>
    </row>
    <row r="2286" spans="1:10" x14ac:dyDescent="0.2">
      <c r="A2286">
        <v>227044273470</v>
      </c>
      <c r="B2286" t="s">
        <v>5231</v>
      </c>
      <c r="C2286" t="s">
        <v>5232</v>
      </c>
      <c r="D2286">
        <v>1.99</v>
      </c>
      <c r="F2286" t="str">
        <f t="shared" si="175"/>
        <v>No</v>
      </c>
      <c r="G2286" t="str">
        <f t="shared" si="176"/>
        <v/>
      </c>
      <c r="H2286" t="str">
        <f t="shared" si="177"/>
        <v>—</v>
      </c>
      <c r="I2286" t="str">
        <f t="shared" si="178"/>
        <v>Below thresholds</v>
      </c>
      <c r="J2286" t="str">
        <f t="shared" si="179"/>
        <v/>
      </c>
    </row>
    <row r="2287" spans="1:10" x14ac:dyDescent="0.2">
      <c r="A2287">
        <v>227044273492</v>
      </c>
      <c r="B2287" t="s">
        <v>5233</v>
      </c>
      <c r="C2287" t="s">
        <v>5234</v>
      </c>
      <c r="D2287">
        <v>1.99</v>
      </c>
      <c r="F2287" t="str">
        <f t="shared" si="175"/>
        <v>No</v>
      </c>
      <c r="G2287" t="str">
        <f t="shared" si="176"/>
        <v/>
      </c>
      <c r="H2287" t="str">
        <f t="shared" si="177"/>
        <v>—</v>
      </c>
      <c r="I2287" t="str">
        <f t="shared" si="178"/>
        <v>Below thresholds</v>
      </c>
      <c r="J2287" t="str">
        <f t="shared" si="179"/>
        <v/>
      </c>
    </row>
    <row r="2288" spans="1:10" x14ac:dyDescent="0.2">
      <c r="A2288">
        <v>227044273563</v>
      </c>
      <c r="B2288" t="s">
        <v>5235</v>
      </c>
      <c r="C2288" t="s">
        <v>5236</v>
      </c>
      <c r="D2288">
        <v>4.49</v>
      </c>
      <c r="F2288" t="str">
        <f t="shared" si="175"/>
        <v>No</v>
      </c>
      <c r="G2288" t="str">
        <f t="shared" si="176"/>
        <v/>
      </c>
      <c r="H2288" t="str">
        <f t="shared" si="177"/>
        <v>—</v>
      </c>
      <c r="I2288" t="str">
        <f t="shared" si="178"/>
        <v>Below thresholds</v>
      </c>
      <c r="J2288" t="str">
        <f t="shared" si="179"/>
        <v/>
      </c>
    </row>
    <row r="2289" spans="1:10" x14ac:dyDescent="0.2">
      <c r="A2289">
        <v>227044273566</v>
      </c>
      <c r="B2289" t="s">
        <v>5237</v>
      </c>
      <c r="C2289" t="s">
        <v>5238</v>
      </c>
      <c r="D2289">
        <v>3.99</v>
      </c>
      <c r="F2289" t="str">
        <f t="shared" si="175"/>
        <v>No</v>
      </c>
      <c r="G2289" t="str">
        <f t="shared" si="176"/>
        <v/>
      </c>
      <c r="H2289" t="str">
        <f t="shared" si="177"/>
        <v>—</v>
      </c>
      <c r="I2289" t="str">
        <f t="shared" si="178"/>
        <v>Below thresholds</v>
      </c>
      <c r="J2289" t="str">
        <f t="shared" si="179"/>
        <v/>
      </c>
    </row>
    <row r="2290" spans="1:10" x14ac:dyDescent="0.2">
      <c r="A2290">
        <v>227044273572</v>
      </c>
      <c r="B2290" t="s">
        <v>5239</v>
      </c>
      <c r="C2290" t="s">
        <v>5240</v>
      </c>
      <c r="D2290">
        <v>2.19</v>
      </c>
      <c r="F2290" t="str">
        <f t="shared" si="175"/>
        <v>No</v>
      </c>
      <c r="G2290" t="str">
        <f t="shared" si="176"/>
        <v/>
      </c>
      <c r="H2290" t="str">
        <f t="shared" si="177"/>
        <v>—</v>
      </c>
      <c r="I2290" t="str">
        <f t="shared" si="178"/>
        <v>Below thresholds</v>
      </c>
      <c r="J2290" t="str">
        <f t="shared" si="179"/>
        <v/>
      </c>
    </row>
    <row r="2291" spans="1:10" x14ac:dyDescent="0.2">
      <c r="A2291">
        <v>227044273660</v>
      </c>
      <c r="B2291" t="s">
        <v>5241</v>
      </c>
      <c r="C2291" t="s">
        <v>5242</v>
      </c>
      <c r="D2291">
        <v>1.99</v>
      </c>
      <c r="F2291" t="str">
        <f t="shared" si="175"/>
        <v>No</v>
      </c>
      <c r="G2291" t="str">
        <f t="shared" si="176"/>
        <v/>
      </c>
      <c r="H2291" t="str">
        <f t="shared" si="177"/>
        <v>—</v>
      </c>
      <c r="I2291" t="str">
        <f t="shared" si="178"/>
        <v>Below thresholds</v>
      </c>
      <c r="J2291" t="str">
        <f t="shared" si="179"/>
        <v/>
      </c>
    </row>
    <row r="2292" spans="1:10" x14ac:dyDescent="0.2">
      <c r="A2292">
        <v>227044273670</v>
      </c>
      <c r="B2292" t="s">
        <v>5243</v>
      </c>
      <c r="C2292" t="s">
        <v>5244</v>
      </c>
      <c r="D2292">
        <v>6.29</v>
      </c>
      <c r="F2292" t="str">
        <f t="shared" si="175"/>
        <v>No</v>
      </c>
      <c r="G2292" t="str">
        <f t="shared" si="176"/>
        <v/>
      </c>
      <c r="H2292" t="str">
        <f t="shared" si="177"/>
        <v>—</v>
      </c>
      <c r="I2292" t="str">
        <f t="shared" si="178"/>
        <v>Below thresholds</v>
      </c>
      <c r="J2292" t="str">
        <f t="shared" si="179"/>
        <v/>
      </c>
    </row>
    <row r="2293" spans="1:10" x14ac:dyDescent="0.2">
      <c r="A2293">
        <v>227044273706</v>
      </c>
      <c r="B2293" t="s">
        <v>5245</v>
      </c>
      <c r="C2293" t="s">
        <v>5246</v>
      </c>
      <c r="D2293">
        <v>1.99</v>
      </c>
      <c r="F2293" t="str">
        <f t="shared" si="175"/>
        <v>No</v>
      </c>
      <c r="G2293" t="str">
        <f t="shared" si="176"/>
        <v/>
      </c>
      <c r="H2293" t="str">
        <f t="shared" si="177"/>
        <v>—</v>
      </c>
      <c r="I2293" t="str">
        <f t="shared" si="178"/>
        <v>Below thresholds</v>
      </c>
      <c r="J2293" t="str">
        <f t="shared" si="179"/>
        <v/>
      </c>
    </row>
    <row r="2294" spans="1:10" x14ac:dyDescent="0.2">
      <c r="A2294">
        <v>227044833572</v>
      </c>
      <c r="B2294" t="s">
        <v>5247</v>
      </c>
      <c r="C2294" t="s">
        <v>5248</v>
      </c>
      <c r="D2294">
        <v>4.49</v>
      </c>
      <c r="F2294" t="str">
        <f t="shared" si="175"/>
        <v>No</v>
      </c>
      <c r="G2294" t="str">
        <f t="shared" si="176"/>
        <v/>
      </c>
      <c r="H2294" t="str">
        <f t="shared" si="177"/>
        <v>—</v>
      </c>
      <c r="I2294" t="str">
        <f t="shared" si="178"/>
        <v>Below thresholds</v>
      </c>
      <c r="J2294" t="str">
        <f t="shared" si="179"/>
        <v/>
      </c>
    </row>
    <row r="2295" spans="1:10" x14ac:dyDescent="0.2">
      <c r="A2295">
        <v>227044833606</v>
      </c>
      <c r="B2295" t="s">
        <v>2688</v>
      </c>
      <c r="C2295" t="s">
        <v>5249</v>
      </c>
      <c r="D2295">
        <v>1.99</v>
      </c>
      <c r="F2295" t="str">
        <f t="shared" si="175"/>
        <v>No</v>
      </c>
      <c r="G2295" t="str">
        <f t="shared" si="176"/>
        <v/>
      </c>
      <c r="H2295" t="str">
        <f t="shared" si="177"/>
        <v>—</v>
      </c>
      <c r="I2295" t="str">
        <f t="shared" si="178"/>
        <v>Below thresholds</v>
      </c>
      <c r="J2295" t="str">
        <f t="shared" si="179"/>
        <v/>
      </c>
    </row>
    <row r="2296" spans="1:10" x14ac:dyDescent="0.2">
      <c r="A2296">
        <v>227044833612</v>
      </c>
      <c r="B2296" t="s">
        <v>290</v>
      </c>
      <c r="C2296" t="s">
        <v>5250</v>
      </c>
      <c r="D2296">
        <v>1.99</v>
      </c>
      <c r="F2296" t="str">
        <f t="shared" si="175"/>
        <v>No</v>
      </c>
      <c r="G2296" t="str">
        <f t="shared" si="176"/>
        <v/>
      </c>
      <c r="H2296" t="str">
        <f t="shared" si="177"/>
        <v>—</v>
      </c>
      <c r="I2296" t="str">
        <f t="shared" si="178"/>
        <v>Below thresholds</v>
      </c>
      <c r="J2296" t="str">
        <f t="shared" si="179"/>
        <v/>
      </c>
    </row>
    <row r="2297" spans="1:10" x14ac:dyDescent="0.2">
      <c r="A2297">
        <v>227044833623</v>
      </c>
      <c r="B2297" t="s">
        <v>5251</v>
      </c>
      <c r="C2297" t="s">
        <v>5252</v>
      </c>
      <c r="D2297">
        <v>1.99</v>
      </c>
      <c r="F2297" t="str">
        <f t="shared" si="175"/>
        <v>No</v>
      </c>
      <c r="G2297" t="str">
        <f t="shared" si="176"/>
        <v/>
      </c>
      <c r="H2297" t="str">
        <f t="shared" si="177"/>
        <v>—</v>
      </c>
      <c r="I2297" t="str">
        <f t="shared" si="178"/>
        <v>Below thresholds</v>
      </c>
      <c r="J2297" t="str">
        <f t="shared" si="179"/>
        <v/>
      </c>
    </row>
    <row r="2298" spans="1:10" x14ac:dyDescent="0.2">
      <c r="A2298">
        <v>227044833671</v>
      </c>
      <c r="B2298" t="s">
        <v>5253</v>
      </c>
      <c r="C2298" t="s">
        <v>5254</v>
      </c>
      <c r="D2298">
        <v>3.89</v>
      </c>
      <c r="F2298" t="str">
        <f t="shared" si="175"/>
        <v>No</v>
      </c>
      <c r="G2298" t="str">
        <f t="shared" si="176"/>
        <v/>
      </c>
      <c r="H2298" t="str">
        <f t="shared" si="177"/>
        <v>—</v>
      </c>
      <c r="I2298" t="str">
        <f t="shared" si="178"/>
        <v>Below thresholds</v>
      </c>
      <c r="J2298" t="str">
        <f t="shared" si="179"/>
        <v/>
      </c>
    </row>
    <row r="2299" spans="1:10" x14ac:dyDescent="0.2">
      <c r="A2299">
        <v>227044833751</v>
      </c>
      <c r="B2299" t="s">
        <v>5255</v>
      </c>
      <c r="C2299" t="s">
        <v>5256</v>
      </c>
      <c r="D2299">
        <v>2.99</v>
      </c>
      <c r="F2299" t="str">
        <f t="shared" si="175"/>
        <v>No</v>
      </c>
      <c r="G2299" t="str">
        <f t="shared" si="176"/>
        <v/>
      </c>
      <c r="H2299" t="str">
        <f t="shared" si="177"/>
        <v>—</v>
      </c>
      <c r="I2299" t="str">
        <f t="shared" si="178"/>
        <v>Below thresholds</v>
      </c>
      <c r="J2299" t="str">
        <f t="shared" si="179"/>
        <v/>
      </c>
    </row>
    <row r="2300" spans="1:10" x14ac:dyDescent="0.2">
      <c r="A2300">
        <v>227044834125</v>
      </c>
      <c r="B2300" t="s">
        <v>5257</v>
      </c>
      <c r="C2300" t="s">
        <v>5258</v>
      </c>
      <c r="D2300">
        <v>3.59</v>
      </c>
      <c r="F2300" t="str">
        <f t="shared" si="175"/>
        <v>No</v>
      </c>
      <c r="G2300" t="str">
        <f t="shared" si="176"/>
        <v/>
      </c>
      <c r="H2300" t="str">
        <f t="shared" si="177"/>
        <v>—</v>
      </c>
      <c r="I2300" t="str">
        <f t="shared" si="178"/>
        <v>Below thresholds</v>
      </c>
      <c r="J2300" t="str">
        <f t="shared" si="179"/>
        <v/>
      </c>
    </row>
    <row r="2301" spans="1:10" x14ac:dyDescent="0.2">
      <c r="A2301">
        <v>227044834234</v>
      </c>
      <c r="B2301" t="s">
        <v>5259</v>
      </c>
      <c r="C2301" t="s">
        <v>5260</v>
      </c>
      <c r="D2301">
        <v>6.29</v>
      </c>
      <c r="F2301" t="str">
        <f t="shared" si="175"/>
        <v>No</v>
      </c>
      <c r="G2301" t="str">
        <f t="shared" si="176"/>
        <v/>
      </c>
      <c r="H2301" t="str">
        <f t="shared" si="177"/>
        <v>—</v>
      </c>
      <c r="I2301" t="str">
        <f t="shared" si="178"/>
        <v>Below thresholds</v>
      </c>
      <c r="J2301" t="str">
        <f t="shared" si="179"/>
        <v/>
      </c>
    </row>
    <row r="2302" spans="1:10" x14ac:dyDescent="0.2">
      <c r="A2302">
        <v>227044834254</v>
      </c>
      <c r="B2302" t="s">
        <v>5261</v>
      </c>
      <c r="C2302" t="s">
        <v>5262</v>
      </c>
      <c r="D2302">
        <v>4.99</v>
      </c>
      <c r="F2302" t="str">
        <f t="shared" si="175"/>
        <v>No</v>
      </c>
      <c r="G2302" t="str">
        <f t="shared" si="176"/>
        <v/>
      </c>
      <c r="H2302" t="str">
        <f t="shared" si="177"/>
        <v>—</v>
      </c>
      <c r="I2302" t="str">
        <f t="shared" si="178"/>
        <v>Below thresholds</v>
      </c>
      <c r="J2302" t="str">
        <f t="shared" si="179"/>
        <v/>
      </c>
    </row>
    <row r="2303" spans="1:10" x14ac:dyDescent="0.2">
      <c r="A2303">
        <v>227044834438</v>
      </c>
      <c r="B2303" t="s">
        <v>5263</v>
      </c>
      <c r="C2303" t="s">
        <v>5264</v>
      </c>
      <c r="D2303">
        <v>8.09</v>
      </c>
      <c r="F2303" t="str">
        <f t="shared" si="175"/>
        <v>No</v>
      </c>
      <c r="G2303" t="str">
        <f t="shared" si="176"/>
        <v/>
      </c>
      <c r="H2303" t="str">
        <f t="shared" si="177"/>
        <v>—</v>
      </c>
      <c r="I2303" t="str">
        <f t="shared" si="178"/>
        <v>Below thresholds</v>
      </c>
      <c r="J2303" t="str">
        <f t="shared" si="179"/>
        <v/>
      </c>
    </row>
    <row r="2304" spans="1:10" x14ac:dyDescent="0.2">
      <c r="A2304">
        <v>227044834469</v>
      </c>
      <c r="B2304" t="s">
        <v>5265</v>
      </c>
      <c r="C2304" t="s">
        <v>5266</v>
      </c>
      <c r="D2304">
        <v>9.99</v>
      </c>
      <c r="F2304" t="str">
        <f t="shared" si="175"/>
        <v>No</v>
      </c>
      <c r="G2304" t="str">
        <f t="shared" si="176"/>
        <v/>
      </c>
      <c r="H2304" t="str">
        <f t="shared" si="177"/>
        <v>—</v>
      </c>
      <c r="I2304" t="str">
        <f t="shared" si="178"/>
        <v>Below thresholds</v>
      </c>
      <c r="J2304" t="str">
        <f t="shared" si="179"/>
        <v/>
      </c>
    </row>
    <row r="2305" spans="1:10" x14ac:dyDescent="0.2">
      <c r="A2305">
        <v>227044834543</v>
      </c>
      <c r="B2305" t="s">
        <v>5267</v>
      </c>
      <c r="C2305" t="s">
        <v>5268</v>
      </c>
      <c r="D2305">
        <v>3.29</v>
      </c>
      <c r="F2305" t="str">
        <f t="shared" si="175"/>
        <v>No</v>
      </c>
      <c r="G2305" t="str">
        <f t="shared" si="176"/>
        <v/>
      </c>
      <c r="H2305" t="str">
        <f t="shared" si="177"/>
        <v>—</v>
      </c>
      <c r="I2305" t="str">
        <f t="shared" si="178"/>
        <v>Below thresholds</v>
      </c>
      <c r="J2305" t="str">
        <f t="shared" si="179"/>
        <v/>
      </c>
    </row>
    <row r="2306" spans="1:10" x14ac:dyDescent="0.2">
      <c r="A2306">
        <v>227044834553</v>
      </c>
      <c r="B2306" t="s">
        <v>5269</v>
      </c>
      <c r="C2306" t="s">
        <v>5270</v>
      </c>
      <c r="D2306">
        <v>2.69</v>
      </c>
      <c r="F2306" t="str">
        <f t="shared" si="175"/>
        <v>No</v>
      </c>
      <c r="G2306" t="str">
        <f t="shared" si="176"/>
        <v/>
      </c>
      <c r="H2306" t="str">
        <f t="shared" si="177"/>
        <v>—</v>
      </c>
      <c r="I2306" t="str">
        <f t="shared" si="178"/>
        <v>Below thresholds</v>
      </c>
      <c r="J2306" t="str">
        <f t="shared" si="179"/>
        <v/>
      </c>
    </row>
    <row r="2307" spans="1:10" x14ac:dyDescent="0.2">
      <c r="A2307">
        <v>227044834566</v>
      </c>
      <c r="B2307" t="s">
        <v>5271</v>
      </c>
      <c r="C2307" t="s">
        <v>5272</v>
      </c>
      <c r="D2307">
        <v>1.99</v>
      </c>
      <c r="F2307" t="str">
        <f t="shared" si="175"/>
        <v>No</v>
      </c>
      <c r="G2307" t="str">
        <f t="shared" si="176"/>
        <v/>
      </c>
      <c r="H2307" t="str">
        <f t="shared" si="177"/>
        <v>—</v>
      </c>
      <c r="I2307" t="str">
        <f t="shared" si="178"/>
        <v>Below thresholds</v>
      </c>
      <c r="J2307" t="str">
        <f t="shared" si="179"/>
        <v/>
      </c>
    </row>
    <row r="2308" spans="1:10" x14ac:dyDescent="0.2">
      <c r="A2308">
        <v>227044834641</v>
      </c>
      <c r="B2308" t="s">
        <v>5273</v>
      </c>
      <c r="C2308" t="s">
        <v>5274</v>
      </c>
      <c r="D2308">
        <v>2.99</v>
      </c>
      <c r="F2308" t="str">
        <f t="shared" si="175"/>
        <v>No</v>
      </c>
      <c r="G2308" t="str">
        <f t="shared" si="176"/>
        <v/>
      </c>
      <c r="H2308" t="str">
        <f t="shared" si="177"/>
        <v>—</v>
      </c>
      <c r="I2308" t="str">
        <f t="shared" si="178"/>
        <v>Below thresholds</v>
      </c>
      <c r="J2308" t="str">
        <f t="shared" si="179"/>
        <v/>
      </c>
    </row>
    <row r="2309" spans="1:10" x14ac:dyDescent="0.2">
      <c r="A2309">
        <v>227044834647</v>
      </c>
      <c r="B2309" t="s">
        <v>5275</v>
      </c>
      <c r="C2309" t="s">
        <v>5276</v>
      </c>
      <c r="D2309">
        <v>5.99</v>
      </c>
      <c r="F2309" t="str">
        <f t="shared" ref="F2309:F2372" si="180">IF($B2309="","",IF(ISNUMBER(SEARCH("PSA",$B2309)),"Yes","No"))</f>
        <v>No</v>
      </c>
      <c r="G2309" t="str">
        <f t="shared" ref="G2309:G2372" si="181">IF($B2309="","",IF(ISNUMBER(SEARCH("PSA 10",$B2309)),10,IF(ISNUMBER(SEARCH("PSA 9.5",$B2309)),9.5,IF(ISNUMBER(SEARCH("PSA 9",$B2309)),9,IF(ISNUMBER(SEARCH("PSA 8",$B2309)),8,IF(ISNUMBER(SEARCH("PSA",$B2309)),"&lt;9",""))))))</f>
        <v/>
      </c>
      <c r="H2309" t="str">
        <f t="shared" ref="H2309:H2372" si="182">IF($B2309="","",IF($D2309&gt;=100,"TIER 2",IF(OR(ISNUMBER(SEARCH("PSA 10",$B2309)),ISNUMBER(SEARCH("PSA 9.5",$B2309)),ISNUMBER(SEARCH("PSA 9",$B2309))),"TIER 3",IF(AND($D2309&gt;20,N($E2309)&gt;=15),"TIER 1","—"))))</f>
        <v>—</v>
      </c>
      <c r="I2309" t="str">
        <f t="shared" ref="I2309:I2372" si="183">IF($B2309="","",IF($D2309&gt;=100,"Premium $100+ (auto)",IF(OR(ISNUMBER(SEARCH("PSA 10",$B2309)),ISNUMBER(SEARCH("PSA 9.5",$B2309)),ISNUMBER(SEARCH("PSA 9",$B2309))),"Graded PSA 9+ (auto)",IF(AND($D2309&gt;20,N($E2309)&gt;=15),"Hot: $20+ &amp; "&amp;$E2309&amp;"/day",IF($D2309&gt;20,"$20+ — needs velocity check","Below thresholds")))))</f>
        <v>Below thresholds</v>
      </c>
      <c r="J2309" t="str">
        <f t="shared" ref="J2309:J2372" si="184">IF($B2309="","",IF(AND($D2309&gt;20,$D2309&lt;100,NOT(OR(ISNUMBER(SEARCH("PSA 10",$B2309)),ISNUMBER(SEARCH("PSA 9.5",$B2309)),ISNUMBER(SEARCH("PSA 9",$B2309)))),$E2309=""),"YES — pull CardHedger",""))</f>
        <v/>
      </c>
    </row>
    <row r="2310" spans="1:10" x14ac:dyDescent="0.2">
      <c r="A2310">
        <v>227044834696</v>
      </c>
      <c r="B2310" t="s">
        <v>5277</v>
      </c>
      <c r="C2310" t="s">
        <v>5278</v>
      </c>
      <c r="D2310">
        <v>10.99</v>
      </c>
      <c r="F2310" t="str">
        <f t="shared" si="180"/>
        <v>No</v>
      </c>
      <c r="G2310" t="str">
        <f t="shared" si="181"/>
        <v/>
      </c>
      <c r="H2310" t="str">
        <f t="shared" si="182"/>
        <v>—</v>
      </c>
      <c r="I2310" t="str">
        <f t="shared" si="183"/>
        <v>Below thresholds</v>
      </c>
      <c r="J2310" t="str">
        <f t="shared" si="184"/>
        <v/>
      </c>
    </row>
    <row r="2311" spans="1:10" x14ac:dyDescent="0.2">
      <c r="A2311">
        <v>227044834707</v>
      </c>
      <c r="B2311" t="s">
        <v>5279</v>
      </c>
      <c r="C2311" t="s">
        <v>5280</v>
      </c>
      <c r="D2311">
        <v>2.99</v>
      </c>
      <c r="F2311" t="str">
        <f t="shared" si="180"/>
        <v>No</v>
      </c>
      <c r="G2311" t="str">
        <f t="shared" si="181"/>
        <v/>
      </c>
      <c r="H2311" t="str">
        <f t="shared" si="182"/>
        <v>—</v>
      </c>
      <c r="I2311" t="str">
        <f t="shared" si="183"/>
        <v>Below thresholds</v>
      </c>
      <c r="J2311" t="str">
        <f t="shared" si="184"/>
        <v/>
      </c>
    </row>
    <row r="2312" spans="1:10" x14ac:dyDescent="0.2">
      <c r="A2312">
        <v>227044834713</v>
      </c>
      <c r="B2312" t="s">
        <v>5281</v>
      </c>
      <c r="C2312" t="s">
        <v>5282</v>
      </c>
      <c r="D2312">
        <v>6.09</v>
      </c>
      <c r="F2312" t="str">
        <f t="shared" si="180"/>
        <v>No</v>
      </c>
      <c r="G2312" t="str">
        <f t="shared" si="181"/>
        <v/>
      </c>
      <c r="H2312" t="str">
        <f t="shared" si="182"/>
        <v>—</v>
      </c>
      <c r="I2312" t="str">
        <f t="shared" si="183"/>
        <v>Below thresholds</v>
      </c>
      <c r="J2312" t="str">
        <f t="shared" si="184"/>
        <v/>
      </c>
    </row>
    <row r="2313" spans="1:10" x14ac:dyDescent="0.2">
      <c r="A2313">
        <v>227052846488</v>
      </c>
      <c r="B2313" t="s">
        <v>5283</v>
      </c>
      <c r="C2313" t="s">
        <v>5284</v>
      </c>
      <c r="D2313">
        <v>2.4900000000000002</v>
      </c>
      <c r="F2313" t="str">
        <f t="shared" si="180"/>
        <v>No</v>
      </c>
      <c r="G2313" t="str">
        <f t="shared" si="181"/>
        <v/>
      </c>
      <c r="H2313" t="str">
        <f t="shared" si="182"/>
        <v>—</v>
      </c>
      <c r="I2313" t="str">
        <f t="shared" si="183"/>
        <v>Below thresholds</v>
      </c>
      <c r="J2313" t="str">
        <f t="shared" si="184"/>
        <v/>
      </c>
    </row>
    <row r="2314" spans="1:10" x14ac:dyDescent="0.2">
      <c r="A2314">
        <v>227052846501</v>
      </c>
      <c r="B2314" t="s">
        <v>5285</v>
      </c>
      <c r="C2314" t="s">
        <v>5286</v>
      </c>
      <c r="D2314">
        <v>2.95</v>
      </c>
      <c r="F2314" t="str">
        <f t="shared" si="180"/>
        <v>No</v>
      </c>
      <c r="G2314" t="str">
        <f t="shared" si="181"/>
        <v/>
      </c>
      <c r="H2314" t="str">
        <f t="shared" si="182"/>
        <v>—</v>
      </c>
      <c r="I2314" t="str">
        <f t="shared" si="183"/>
        <v>Below thresholds</v>
      </c>
      <c r="J2314" t="str">
        <f t="shared" si="184"/>
        <v/>
      </c>
    </row>
    <row r="2315" spans="1:10" x14ac:dyDescent="0.2">
      <c r="A2315">
        <v>227052846535</v>
      </c>
      <c r="B2315" t="s">
        <v>5287</v>
      </c>
      <c r="C2315" t="s">
        <v>5288</v>
      </c>
      <c r="D2315">
        <v>1.75</v>
      </c>
      <c r="F2315" t="str">
        <f t="shared" si="180"/>
        <v>No</v>
      </c>
      <c r="G2315" t="str">
        <f t="shared" si="181"/>
        <v/>
      </c>
      <c r="H2315" t="str">
        <f t="shared" si="182"/>
        <v>—</v>
      </c>
      <c r="I2315" t="str">
        <f t="shared" si="183"/>
        <v>Below thresholds</v>
      </c>
      <c r="J2315" t="str">
        <f t="shared" si="184"/>
        <v/>
      </c>
    </row>
    <row r="2316" spans="1:10" x14ac:dyDescent="0.2">
      <c r="A2316">
        <v>227052846555</v>
      </c>
      <c r="B2316" t="s">
        <v>5289</v>
      </c>
      <c r="C2316" t="s">
        <v>5290</v>
      </c>
      <c r="D2316">
        <v>2.99</v>
      </c>
      <c r="F2316" t="str">
        <f t="shared" si="180"/>
        <v>No</v>
      </c>
      <c r="G2316" t="str">
        <f t="shared" si="181"/>
        <v/>
      </c>
      <c r="H2316" t="str">
        <f t="shared" si="182"/>
        <v>—</v>
      </c>
      <c r="I2316" t="str">
        <f t="shared" si="183"/>
        <v>Below thresholds</v>
      </c>
      <c r="J2316" t="str">
        <f t="shared" si="184"/>
        <v/>
      </c>
    </row>
    <row r="2317" spans="1:10" x14ac:dyDescent="0.2">
      <c r="A2317">
        <v>227052846572</v>
      </c>
      <c r="B2317" t="s">
        <v>5291</v>
      </c>
      <c r="C2317" t="s">
        <v>5292</v>
      </c>
      <c r="D2317">
        <v>1.75</v>
      </c>
      <c r="F2317" t="str">
        <f t="shared" si="180"/>
        <v>No</v>
      </c>
      <c r="G2317" t="str">
        <f t="shared" si="181"/>
        <v/>
      </c>
      <c r="H2317" t="str">
        <f t="shared" si="182"/>
        <v>—</v>
      </c>
      <c r="I2317" t="str">
        <f t="shared" si="183"/>
        <v>Below thresholds</v>
      </c>
      <c r="J2317" t="str">
        <f t="shared" si="184"/>
        <v/>
      </c>
    </row>
    <row r="2318" spans="1:10" x14ac:dyDescent="0.2">
      <c r="A2318">
        <v>227052846583</v>
      </c>
      <c r="B2318" t="s">
        <v>5293</v>
      </c>
      <c r="C2318" t="s">
        <v>5294</v>
      </c>
      <c r="D2318">
        <v>1.99</v>
      </c>
      <c r="F2318" t="str">
        <f t="shared" si="180"/>
        <v>No</v>
      </c>
      <c r="G2318" t="str">
        <f t="shared" si="181"/>
        <v/>
      </c>
      <c r="H2318" t="str">
        <f t="shared" si="182"/>
        <v>—</v>
      </c>
      <c r="I2318" t="str">
        <f t="shared" si="183"/>
        <v>Below thresholds</v>
      </c>
      <c r="J2318" t="str">
        <f t="shared" si="184"/>
        <v/>
      </c>
    </row>
    <row r="2319" spans="1:10" x14ac:dyDescent="0.2">
      <c r="A2319">
        <v>227054281118</v>
      </c>
      <c r="B2319" t="s">
        <v>5295</v>
      </c>
      <c r="C2319" t="s">
        <v>5296</v>
      </c>
      <c r="D2319">
        <v>13</v>
      </c>
      <c r="F2319" t="str">
        <f t="shared" si="180"/>
        <v>No</v>
      </c>
      <c r="G2319" t="str">
        <f t="shared" si="181"/>
        <v/>
      </c>
      <c r="H2319" t="str">
        <f t="shared" si="182"/>
        <v>—</v>
      </c>
      <c r="I2319" t="str">
        <f t="shared" si="183"/>
        <v>Below thresholds</v>
      </c>
      <c r="J2319" t="str">
        <f t="shared" si="184"/>
        <v/>
      </c>
    </row>
    <row r="2320" spans="1:10" x14ac:dyDescent="0.2">
      <c r="A2320">
        <v>227054281122</v>
      </c>
      <c r="B2320" t="s">
        <v>5297</v>
      </c>
      <c r="C2320" t="s">
        <v>5298</v>
      </c>
      <c r="D2320">
        <v>10.99</v>
      </c>
      <c r="F2320" t="str">
        <f t="shared" si="180"/>
        <v>No</v>
      </c>
      <c r="G2320" t="str">
        <f t="shared" si="181"/>
        <v/>
      </c>
      <c r="H2320" t="str">
        <f t="shared" si="182"/>
        <v>—</v>
      </c>
      <c r="I2320" t="str">
        <f t="shared" si="183"/>
        <v>Below thresholds</v>
      </c>
      <c r="J2320" t="str">
        <f t="shared" si="184"/>
        <v/>
      </c>
    </row>
    <row r="2321" spans="1:10" x14ac:dyDescent="0.2">
      <c r="A2321">
        <v>227054281124</v>
      </c>
      <c r="B2321" t="s">
        <v>5299</v>
      </c>
      <c r="C2321" t="s">
        <v>5300</v>
      </c>
      <c r="D2321">
        <v>40</v>
      </c>
      <c r="F2321" t="str">
        <f t="shared" si="180"/>
        <v>No</v>
      </c>
      <c r="G2321" t="str">
        <f t="shared" si="181"/>
        <v/>
      </c>
      <c r="H2321" t="str">
        <f t="shared" si="182"/>
        <v>—</v>
      </c>
      <c r="I2321" t="str">
        <f t="shared" si="183"/>
        <v>$20+ — needs velocity check</v>
      </c>
      <c r="J2321" t="str">
        <f t="shared" si="184"/>
        <v>YES — pull CardHedger</v>
      </c>
    </row>
    <row r="2322" spans="1:10" x14ac:dyDescent="0.2">
      <c r="A2322">
        <v>227054679128</v>
      </c>
      <c r="B2322" t="s">
        <v>5301</v>
      </c>
      <c r="C2322" t="s">
        <v>5302</v>
      </c>
      <c r="D2322">
        <v>16</v>
      </c>
      <c r="F2322" t="str">
        <f t="shared" si="180"/>
        <v>No</v>
      </c>
      <c r="G2322" t="str">
        <f t="shared" si="181"/>
        <v/>
      </c>
      <c r="H2322" t="str">
        <f t="shared" si="182"/>
        <v>—</v>
      </c>
      <c r="I2322" t="str">
        <f t="shared" si="183"/>
        <v>Below thresholds</v>
      </c>
      <c r="J2322" t="str">
        <f t="shared" si="184"/>
        <v/>
      </c>
    </row>
    <row r="2323" spans="1:10" x14ac:dyDescent="0.2">
      <c r="A2323">
        <v>227054718417</v>
      </c>
      <c r="B2323" t="s">
        <v>5303</v>
      </c>
      <c r="C2323" t="s">
        <v>5304</v>
      </c>
      <c r="D2323">
        <v>3.95</v>
      </c>
      <c r="F2323" t="str">
        <f t="shared" si="180"/>
        <v>No</v>
      </c>
      <c r="G2323" t="str">
        <f t="shared" si="181"/>
        <v/>
      </c>
      <c r="H2323" t="str">
        <f t="shared" si="182"/>
        <v>—</v>
      </c>
      <c r="I2323" t="str">
        <f t="shared" si="183"/>
        <v>Below thresholds</v>
      </c>
      <c r="J2323" t="str">
        <f t="shared" si="184"/>
        <v/>
      </c>
    </row>
    <row r="2324" spans="1:10" x14ac:dyDescent="0.2">
      <c r="A2324">
        <v>227054744759</v>
      </c>
      <c r="B2324" t="s">
        <v>5305</v>
      </c>
      <c r="C2324" t="s">
        <v>5306</v>
      </c>
      <c r="D2324">
        <v>2.99</v>
      </c>
      <c r="F2324" t="str">
        <f t="shared" si="180"/>
        <v>No</v>
      </c>
      <c r="G2324" t="str">
        <f t="shared" si="181"/>
        <v/>
      </c>
      <c r="H2324" t="str">
        <f t="shared" si="182"/>
        <v>—</v>
      </c>
      <c r="I2324" t="str">
        <f t="shared" si="183"/>
        <v>Below thresholds</v>
      </c>
      <c r="J2324" t="str">
        <f t="shared" si="184"/>
        <v/>
      </c>
    </row>
    <row r="2325" spans="1:10" x14ac:dyDescent="0.2">
      <c r="A2325">
        <v>227055121101</v>
      </c>
      <c r="B2325" t="s">
        <v>5307</v>
      </c>
      <c r="C2325" t="s">
        <v>5308</v>
      </c>
      <c r="D2325">
        <v>3.99</v>
      </c>
      <c r="F2325" t="str">
        <f t="shared" si="180"/>
        <v>No</v>
      </c>
      <c r="G2325" t="str">
        <f t="shared" si="181"/>
        <v/>
      </c>
      <c r="H2325" t="str">
        <f t="shared" si="182"/>
        <v>—</v>
      </c>
      <c r="I2325" t="str">
        <f t="shared" si="183"/>
        <v>Below thresholds</v>
      </c>
      <c r="J2325" t="str">
        <f t="shared" si="184"/>
        <v/>
      </c>
    </row>
    <row r="2326" spans="1:10" x14ac:dyDescent="0.2">
      <c r="A2326">
        <v>227055123087</v>
      </c>
      <c r="B2326" t="s">
        <v>5309</v>
      </c>
      <c r="C2326" t="s">
        <v>5310</v>
      </c>
      <c r="D2326">
        <v>4.95</v>
      </c>
      <c r="F2326" t="str">
        <f t="shared" si="180"/>
        <v>No</v>
      </c>
      <c r="G2326" t="str">
        <f t="shared" si="181"/>
        <v/>
      </c>
      <c r="H2326" t="str">
        <f t="shared" si="182"/>
        <v>—</v>
      </c>
      <c r="I2326" t="str">
        <f t="shared" si="183"/>
        <v>Below thresholds</v>
      </c>
      <c r="J2326" t="str">
        <f t="shared" si="184"/>
        <v/>
      </c>
    </row>
    <row r="2327" spans="1:10" x14ac:dyDescent="0.2">
      <c r="A2327">
        <v>227055905749</v>
      </c>
      <c r="B2327" t="s">
        <v>5311</v>
      </c>
      <c r="C2327" t="s">
        <v>5312</v>
      </c>
      <c r="D2327">
        <v>14.99</v>
      </c>
      <c r="F2327" t="str">
        <f t="shared" si="180"/>
        <v>No</v>
      </c>
      <c r="G2327" t="str">
        <f t="shared" si="181"/>
        <v/>
      </c>
      <c r="H2327" t="str">
        <f t="shared" si="182"/>
        <v>—</v>
      </c>
      <c r="I2327" t="str">
        <f t="shared" si="183"/>
        <v>Below thresholds</v>
      </c>
      <c r="J2327" t="str">
        <f t="shared" si="184"/>
        <v/>
      </c>
    </row>
    <row r="2328" spans="1:10" x14ac:dyDescent="0.2">
      <c r="A2328">
        <v>227055905803</v>
      </c>
      <c r="B2328" t="s">
        <v>5313</v>
      </c>
      <c r="C2328" t="s">
        <v>5314</v>
      </c>
      <c r="D2328">
        <v>1.99</v>
      </c>
      <c r="F2328" t="str">
        <f t="shared" si="180"/>
        <v>No</v>
      </c>
      <c r="G2328" t="str">
        <f t="shared" si="181"/>
        <v/>
      </c>
      <c r="H2328" t="str">
        <f t="shared" si="182"/>
        <v>—</v>
      </c>
      <c r="I2328" t="str">
        <f t="shared" si="183"/>
        <v>Below thresholds</v>
      </c>
      <c r="J2328" t="str">
        <f t="shared" si="184"/>
        <v/>
      </c>
    </row>
    <row r="2329" spans="1:10" x14ac:dyDescent="0.2">
      <c r="A2329">
        <v>227055905863</v>
      </c>
      <c r="B2329" t="s">
        <v>5315</v>
      </c>
      <c r="C2329" t="s">
        <v>5316</v>
      </c>
      <c r="D2329">
        <v>1.99</v>
      </c>
      <c r="F2329" t="str">
        <f t="shared" si="180"/>
        <v>No</v>
      </c>
      <c r="G2329" t="str">
        <f t="shared" si="181"/>
        <v/>
      </c>
      <c r="H2329" t="str">
        <f t="shared" si="182"/>
        <v>—</v>
      </c>
      <c r="I2329" t="str">
        <f t="shared" si="183"/>
        <v>Below thresholds</v>
      </c>
      <c r="J2329" t="str">
        <f t="shared" si="184"/>
        <v/>
      </c>
    </row>
    <row r="2330" spans="1:10" x14ac:dyDescent="0.2">
      <c r="A2330">
        <v>227055905905</v>
      </c>
      <c r="B2330" t="s">
        <v>5317</v>
      </c>
      <c r="C2330" t="s">
        <v>5318</v>
      </c>
      <c r="D2330">
        <v>9.99</v>
      </c>
      <c r="F2330" t="str">
        <f t="shared" si="180"/>
        <v>No</v>
      </c>
      <c r="G2330" t="str">
        <f t="shared" si="181"/>
        <v/>
      </c>
      <c r="H2330" t="str">
        <f t="shared" si="182"/>
        <v>—</v>
      </c>
      <c r="I2330" t="str">
        <f t="shared" si="183"/>
        <v>Below thresholds</v>
      </c>
      <c r="J2330" t="str">
        <f t="shared" si="184"/>
        <v/>
      </c>
    </row>
    <row r="2331" spans="1:10" x14ac:dyDescent="0.2">
      <c r="A2331">
        <v>227055905978</v>
      </c>
      <c r="B2331" t="s">
        <v>5319</v>
      </c>
      <c r="C2331" t="s">
        <v>5320</v>
      </c>
      <c r="D2331">
        <v>2.99</v>
      </c>
      <c r="F2331" t="str">
        <f t="shared" si="180"/>
        <v>No</v>
      </c>
      <c r="G2331" t="str">
        <f t="shared" si="181"/>
        <v/>
      </c>
      <c r="H2331" t="str">
        <f t="shared" si="182"/>
        <v>—</v>
      </c>
      <c r="I2331" t="str">
        <f t="shared" si="183"/>
        <v>Below thresholds</v>
      </c>
      <c r="J2331" t="str">
        <f t="shared" si="184"/>
        <v/>
      </c>
    </row>
    <row r="2332" spans="1:10" x14ac:dyDescent="0.2">
      <c r="A2332">
        <v>227055906022</v>
      </c>
      <c r="B2332" t="s">
        <v>5321</v>
      </c>
      <c r="C2332" t="s">
        <v>5322</v>
      </c>
      <c r="D2332">
        <v>1.99</v>
      </c>
      <c r="F2332" t="str">
        <f t="shared" si="180"/>
        <v>No</v>
      </c>
      <c r="G2332" t="str">
        <f t="shared" si="181"/>
        <v/>
      </c>
      <c r="H2332" t="str">
        <f t="shared" si="182"/>
        <v>—</v>
      </c>
      <c r="I2332" t="str">
        <f t="shared" si="183"/>
        <v>Below thresholds</v>
      </c>
      <c r="J2332" t="str">
        <f t="shared" si="184"/>
        <v/>
      </c>
    </row>
    <row r="2333" spans="1:10" x14ac:dyDescent="0.2">
      <c r="A2333">
        <v>227055906086</v>
      </c>
      <c r="B2333" t="s">
        <v>5323</v>
      </c>
      <c r="C2333" t="s">
        <v>5324</v>
      </c>
      <c r="D2333">
        <v>1.99</v>
      </c>
      <c r="F2333" t="str">
        <f t="shared" si="180"/>
        <v>No</v>
      </c>
      <c r="G2333" t="str">
        <f t="shared" si="181"/>
        <v/>
      </c>
      <c r="H2333" t="str">
        <f t="shared" si="182"/>
        <v>—</v>
      </c>
      <c r="I2333" t="str">
        <f t="shared" si="183"/>
        <v>Below thresholds</v>
      </c>
      <c r="J2333" t="str">
        <f t="shared" si="184"/>
        <v/>
      </c>
    </row>
    <row r="2334" spans="1:10" x14ac:dyDescent="0.2">
      <c r="A2334">
        <v>227055941160</v>
      </c>
      <c r="B2334" t="s">
        <v>5325</v>
      </c>
      <c r="C2334" t="s">
        <v>5326</v>
      </c>
      <c r="D2334">
        <v>1</v>
      </c>
      <c r="F2334" t="str">
        <f t="shared" si="180"/>
        <v>No</v>
      </c>
      <c r="G2334" t="str">
        <f t="shared" si="181"/>
        <v/>
      </c>
      <c r="H2334" t="str">
        <f t="shared" si="182"/>
        <v>—</v>
      </c>
      <c r="I2334" t="str">
        <f t="shared" si="183"/>
        <v>Below thresholds</v>
      </c>
      <c r="J2334" t="str">
        <f t="shared" si="184"/>
        <v/>
      </c>
    </row>
    <row r="2335" spans="1:10" x14ac:dyDescent="0.2">
      <c r="A2335">
        <v>227055941164</v>
      </c>
      <c r="B2335" t="s">
        <v>5327</v>
      </c>
      <c r="C2335" t="s">
        <v>5328</v>
      </c>
      <c r="D2335">
        <v>1</v>
      </c>
      <c r="F2335" t="str">
        <f t="shared" si="180"/>
        <v>No</v>
      </c>
      <c r="G2335" t="str">
        <f t="shared" si="181"/>
        <v/>
      </c>
      <c r="H2335" t="str">
        <f t="shared" si="182"/>
        <v>—</v>
      </c>
      <c r="I2335" t="str">
        <f t="shared" si="183"/>
        <v>Below thresholds</v>
      </c>
      <c r="J2335" t="str">
        <f t="shared" si="184"/>
        <v/>
      </c>
    </row>
    <row r="2336" spans="1:10" x14ac:dyDescent="0.2">
      <c r="A2336">
        <v>227055941169</v>
      </c>
      <c r="B2336" t="s">
        <v>5329</v>
      </c>
      <c r="C2336" t="s">
        <v>5330</v>
      </c>
      <c r="D2336">
        <v>1</v>
      </c>
      <c r="F2336" t="str">
        <f t="shared" si="180"/>
        <v>No</v>
      </c>
      <c r="G2336" t="str">
        <f t="shared" si="181"/>
        <v/>
      </c>
      <c r="H2336" t="str">
        <f t="shared" si="182"/>
        <v>—</v>
      </c>
      <c r="I2336" t="str">
        <f t="shared" si="183"/>
        <v>Below thresholds</v>
      </c>
      <c r="J2336" t="str">
        <f t="shared" si="184"/>
        <v/>
      </c>
    </row>
    <row r="2337" spans="1:10" x14ac:dyDescent="0.2">
      <c r="A2337">
        <v>227055941251</v>
      </c>
      <c r="B2337" t="s">
        <v>5331</v>
      </c>
      <c r="C2337" t="s">
        <v>5332</v>
      </c>
      <c r="D2337">
        <v>1</v>
      </c>
      <c r="F2337" t="str">
        <f t="shared" si="180"/>
        <v>No</v>
      </c>
      <c r="G2337" t="str">
        <f t="shared" si="181"/>
        <v/>
      </c>
      <c r="H2337" t="str">
        <f t="shared" si="182"/>
        <v>—</v>
      </c>
      <c r="I2337" t="str">
        <f t="shared" si="183"/>
        <v>Below thresholds</v>
      </c>
      <c r="J2337" t="str">
        <f t="shared" si="184"/>
        <v/>
      </c>
    </row>
    <row r="2338" spans="1:10" x14ac:dyDescent="0.2">
      <c r="A2338">
        <v>227055941254</v>
      </c>
      <c r="B2338" t="s">
        <v>5333</v>
      </c>
      <c r="C2338" t="s">
        <v>5334</v>
      </c>
      <c r="D2338">
        <v>1</v>
      </c>
      <c r="F2338" t="str">
        <f t="shared" si="180"/>
        <v>No</v>
      </c>
      <c r="G2338" t="str">
        <f t="shared" si="181"/>
        <v/>
      </c>
      <c r="H2338" t="str">
        <f t="shared" si="182"/>
        <v>—</v>
      </c>
      <c r="I2338" t="str">
        <f t="shared" si="183"/>
        <v>Below thresholds</v>
      </c>
      <c r="J2338" t="str">
        <f t="shared" si="184"/>
        <v/>
      </c>
    </row>
    <row r="2339" spans="1:10" x14ac:dyDescent="0.2">
      <c r="A2339">
        <v>227055941260</v>
      </c>
      <c r="B2339" t="s">
        <v>5335</v>
      </c>
      <c r="C2339" t="s">
        <v>5336</v>
      </c>
      <c r="D2339">
        <v>1</v>
      </c>
      <c r="F2339" t="str">
        <f t="shared" si="180"/>
        <v>No</v>
      </c>
      <c r="G2339" t="str">
        <f t="shared" si="181"/>
        <v/>
      </c>
      <c r="H2339" t="str">
        <f t="shared" si="182"/>
        <v>—</v>
      </c>
      <c r="I2339" t="str">
        <f t="shared" si="183"/>
        <v>Below thresholds</v>
      </c>
      <c r="J2339" t="str">
        <f t="shared" si="184"/>
        <v/>
      </c>
    </row>
    <row r="2340" spans="1:10" x14ac:dyDescent="0.2">
      <c r="A2340">
        <v>227055941345</v>
      </c>
      <c r="B2340" t="s">
        <v>5337</v>
      </c>
      <c r="C2340" t="s">
        <v>5338</v>
      </c>
      <c r="D2340">
        <v>1</v>
      </c>
      <c r="F2340" t="str">
        <f t="shared" si="180"/>
        <v>No</v>
      </c>
      <c r="G2340" t="str">
        <f t="shared" si="181"/>
        <v/>
      </c>
      <c r="H2340" t="str">
        <f t="shared" si="182"/>
        <v>—</v>
      </c>
      <c r="I2340" t="str">
        <f t="shared" si="183"/>
        <v>Below thresholds</v>
      </c>
      <c r="J2340" t="str">
        <f t="shared" si="184"/>
        <v/>
      </c>
    </row>
    <row r="2341" spans="1:10" x14ac:dyDescent="0.2">
      <c r="A2341">
        <v>227055941348</v>
      </c>
      <c r="B2341" t="s">
        <v>5339</v>
      </c>
      <c r="C2341" t="s">
        <v>5340</v>
      </c>
      <c r="D2341">
        <v>1</v>
      </c>
      <c r="F2341" t="str">
        <f t="shared" si="180"/>
        <v>No</v>
      </c>
      <c r="G2341" t="str">
        <f t="shared" si="181"/>
        <v/>
      </c>
      <c r="H2341" t="str">
        <f t="shared" si="182"/>
        <v>—</v>
      </c>
      <c r="I2341" t="str">
        <f t="shared" si="183"/>
        <v>Below thresholds</v>
      </c>
      <c r="J2341" t="str">
        <f t="shared" si="184"/>
        <v/>
      </c>
    </row>
    <row r="2342" spans="1:10" x14ac:dyDescent="0.2">
      <c r="A2342">
        <v>227055941356</v>
      </c>
      <c r="B2342" t="s">
        <v>5341</v>
      </c>
      <c r="C2342" t="s">
        <v>5342</v>
      </c>
      <c r="D2342">
        <v>1</v>
      </c>
      <c r="F2342" t="str">
        <f t="shared" si="180"/>
        <v>No</v>
      </c>
      <c r="G2342" t="str">
        <f t="shared" si="181"/>
        <v/>
      </c>
      <c r="H2342" t="str">
        <f t="shared" si="182"/>
        <v>—</v>
      </c>
      <c r="I2342" t="str">
        <f t="shared" si="183"/>
        <v>Below thresholds</v>
      </c>
      <c r="J2342" t="str">
        <f t="shared" si="184"/>
        <v/>
      </c>
    </row>
    <row r="2343" spans="1:10" x14ac:dyDescent="0.2">
      <c r="A2343">
        <v>227055941434</v>
      </c>
      <c r="B2343" t="s">
        <v>5343</v>
      </c>
      <c r="C2343" t="s">
        <v>5344</v>
      </c>
      <c r="D2343">
        <v>1</v>
      </c>
      <c r="F2343" t="str">
        <f t="shared" si="180"/>
        <v>No</v>
      </c>
      <c r="G2343" t="str">
        <f t="shared" si="181"/>
        <v/>
      </c>
      <c r="H2343" t="str">
        <f t="shared" si="182"/>
        <v>—</v>
      </c>
      <c r="I2343" t="str">
        <f t="shared" si="183"/>
        <v>Below thresholds</v>
      </c>
      <c r="J2343" t="str">
        <f t="shared" si="184"/>
        <v/>
      </c>
    </row>
    <row r="2344" spans="1:10" x14ac:dyDescent="0.2">
      <c r="A2344">
        <v>227055941438</v>
      </c>
      <c r="B2344" t="s">
        <v>5345</v>
      </c>
      <c r="C2344" t="s">
        <v>5346</v>
      </c>
      <c r="D2344">
        <v>1</v>
      </c>
      <c r="F2344" t="str">
        <f t="shared" si="180"/>
        <v>No</v>
      </c>
      <c r="G2344" t="str">
        <f t="shared" si="181"/>
        <v/>
      </c>
      <c r="H2344" t="str">
        <f t="shared" si="182"/>
        <v>—</v>
      </c>
      <c r="I2344" t="str">
        <f t="shared" si="183"/>
        <v>Below thresholds</v>
      </c>
      <c r="J2344" t="str">
        <f t="shared" si="184"/>
        <v/>
      </c>
    </row>
    <row r="2345" spans="1:10" x14ac:dyDescent="0.2">
      <c r="A2345">
        <v>227055941449</v>
      </c>
      <c r="B2345" t="s">
        <v>5347</v>
      </c>
      <c r="C2345" t="s">
        <v>5348</v>
      </c>
      <c r="D2345">
        <v>1</v>
      </c>
      <c r="F2345" t="str">
        <f t="shared" si="180"/>
        <v>No</v>
      </c>
      <c r="G2345" t="str">
        <f t="shared" si="181"/>
        <v/>
      </c>
      <c r="H2345" t="str">
        <f t="shared" si="182"/>
        <v>—</v>
      </c>
      <c r="I2345" t="str">
        <f t="shared" si="183"/>
        <v>Below thresholds</v>
      </c>
      <c r="J2345" t="str">
        <f t="shared" si="184"/>
        <v/>
      </c>
    </row>
    <row r="2346" spans="1:10" x14ac:dyDescent="0.2">
      <c r="A2346">
        <v>227055941501</v>
      </c>
      <c r="B2346" t="s">
        <v>5349</v>
      </c>
      <c r="C2346" t="s">
        <v>5350</v>
      </c>
      <c r="D2346">
        <v>1</v>
      </c>
      <c r="F2346" t="str">
        <f t="shared" si="180"/>
        <v>No</v>
      </c>
      <c r="G2346" t="str">
        <f t="shared" si="181"/>
        <v/>
      </c>
      <c r="H2346" t="str">
        <f t="shared" si="182"/>
        <v>—</v>
      </c>
      <c r="I2346" t="str">
        <f t="shared" si="183"/>
        <v>Below thresholds</v>
      </c>
      <c r="J2346" t="str">
        <f t="shared" si="184"/>
        <v/>
      </c>
    </row>
    <row r="2347" spans="1:10" x14ac:dyDescent="0.2">
      <c r="A2347">
        <v>227055941503</v>
      </c>
      <c r="B2347" t="s">
        <v>5351</v>
      </c>
      <c r="C2347" t="s">
        <v>5352</v>
      </c>
      <c r="D2347">
        <v>1</v>
      </c>
      <c r="F2347" t="str">
        <f t="shared" si="180"/>
        <v>No</v>
      </c>
      <c r="G2347" t="str">
        <f t="shared" si="181"/>
        <v/>
      </c>
      <c r="H2347" t="str">
        <f t="shared" si="182"/>
        <v>—</v>
      </c>
      <c r="I2347" t="str">
        <f t="shared" si="183"/>
        <v>Below thresholds</v>
      </c>
      <c r="J2347" t="str">
        <f t="shared" si="184"/>
        <v/>
      </c>
    </row>
    <row r="2348" spans="1:10" x14ac:dyDescent="0.2">
      <c r="A2348">
        <v>227055941511</v>
      </c>
      <c r="B2348" t="s">
        <v>5353</v>
      </c>
      <c r="C2348" t="s">
        <v>5354</v>
      </c>
      <c r="D2348">
        <v>1</v>
      </c>
      <c r="F2348" t="str">
        <f t="shared" si="180"/>
        <v>No</v>
      </c>
      <c r="G2348" t="str">
        <f t="shared" si="181"/>
        <v/>
      </c>
      <c r="H2348" t="str">
        <f t="shared" si="182"/>
        <v>—</v>
      </c>
      <c r="I2348" t="str">
        <f t="shared" si="183"/>
        <v>Below thresholds</v>
      </c>
      <c r="J2348" t="str">
        <f t="shared" si="184"/>
        <v/>
      </c>
    </row>
    <row r="2349" spans="1:10" x14ac:dyDescent="0.2">
      <c r="A2349">
        <v>227055941558</v>
      </c>
      <c r="B2349" t="s">
        <v>5355</v>
      </c>
      <c r="C2349" t="s">
        <v>5356</v>
      </c>
      <c r="D2349">
        <v>1</v>
      </c>
      <c r="F2349" t="str">
        <f t="shared" si="180"/>
        <v>No</v>
      </c>
      <c r="G2349" t="str">
        <f t="shared" si="181"/>
        <v/>
      </c>
      <c r="H2349" t="str">
        <f t="shared" si="182"/>
        <v>—</v>
      </c>
      <c r="I2349" t="str">
        <f t="shared" si="183"/>
        <v>Below thresholds</v>
      </c>
      <c r="J2349" t="str">
        <f t="shared" si="184"/>
        <v/>
      </c>
    </row>
    <row r="2350" spans="1:10" x14ac:dyDescent="0.2">
      <c r="A2350">
        <v>227055941567</v>
      </c>
      <c r="B2350" t="s">
        <v>5337</v>
      </c>
      <c r="C2350" t="s">
        <v>5357</v>
      </c>
      <c r="D2350">
        <v>1</v>
      </c>
      <c r="F2350" t="str">
        <f t="shared" si="180"/>
        <v>No</v>
      </c>
      <c r="G2350" t="str">
        <f t="shared" si="181"/>
        <v/>
      </c>
      <c r="H2350" t="str">
        <f t="shared" si="182"/>
        <v>—</v>
      </c>
      <c r="I2350" t="str">
        <f t="shared" si="183"/>
        <v>Below thresholds</v>
      </c>
      <c r="J2350" t="str">
        <f t="shared" si="184"/>
        <v/>
      </c>
    </row>
    <row r="2351" spans="1:10" x14ac:dyDescent="0.2">
      <c r="A2351">
        <v>227055941576</v>
      </c>
      <c r="B2351" t="s">
        <v>5358</v>
      </c>
      <c r="C2351" t="s">
        <v>5359</v>
      </c>
      <c r="D2351">
        <v>1</v>
      </c>
      <c r="F2351" t="str">
        <f t="shared" si="180"/>
        <v>No</v>
      </c>
      <c r="G2351" t="str">
        <f t="shared" si="181"/>
        <v/>
      </c>
      <c r="H2351" t="str">
        <f t="shared" si="182"/>
        <v>—</v>
      </c>
      <c r="I2351" t="str">
        <f t="shared" si="183"/>
        <v>Below thresholds</v>
      </c>
      <c r="J2351" t="str">
        <f t="shared" si="184"/>
        <v/>
      </c>
    </row>
    <row r="2352" spans="1:10" x14ac:dyDescent="0.2">
      <c r="A2352">
        <v>227055941625</v>
      </c>
      <c r="B2352" t="s">
        <v>5360</v>
      </c>
      <c r="C2352" t="s">
        <v>5361</v>
      </c>
      <c r="D2352">
        <v>1</v>
      </c>
      <c r="F2352" t="str">
        <f t="shared" si="180"/>
        <v>No</v>
      </c>
      <c r="G2352" t="str">
        <f t="shared" si="181"/>
        <v/>
      </c>
      <c r="H2352" t="str">
        <f t="shared" si="182"/>
        <v>—</v>
      </c>
      <c r="I2352" t="str">
        <f t="shared" si="183"/>
        <v>Below thresholds</v>
      </c>
      <c r="J2352" t="str">
        <f t="shared" si="184"/>
        <v/>
      </c>
    </row>
    <row r="2353" spans="1:10" x14ac:dyDescent="0.2">
      <c r="A2353">
        <v>227055941634</v>
      </c>
      <c r="B2353" t="s">
        <v>5362</v>
      </c>
      <c r="C2353" t="s">
        <v>5363</v>
      </c>
      <c r="D2353">
        <v>1</v>
      </c>
      <c r="F2353" t="str">
        <f t="shared" si="180"/>
        <v>No</v>
      </c>
      <c r="G2353" t="str">
        <f t="shared" si="181"/>
        <v/>
      </c>
      <c r="H2353" t="str">
        <f t="shared" si="182"/>
        <v>—</v>
      </c>
      <c r="I2353" t="str">
        <f t="shared" si="183"/>
        <v>Below thresholds</v>
      </c>
      <c r="J2353" t="str">
        <f t="shared" si="184"/>
        <v/>
      </c>
    </row>
    <row r="2354" spans="1:10" x14ac:dyDescent="0.2">
      <c r="A2354">
        <v>227055941642</v>
      </c>
      <c r="B2354" t="s">
        <v>5364</v>
      </c>
      <c r="C2354" t="s">
        <v>5365</v>
      </c>
      <c r="D2354">
        <v>1</v>
      </c>
      <c r="F2354" t="str">
        <f t="shared" si="180"/>
        <v>No</v>
      </c>
      <c r="G2354" t="str">
        <f t="shared" si="181"/>
        <v/>
      </c>
      <c r="H2354" t="str">
        <f t="shared" si="182"/>
        <v>—</v>
      </c>
      <c r="I2354" t="str">
        <f t="shared" si="183"/>
        <v>Below thresholds</v>
      </c>
      <c r="J2354" t="str">
        <f t="shared" si="184"/>
        <v/>
      </c>
    </row>
    <row r="2355" spans="1:10" x14ac:dyDescent="0.2">
      <c r="A2355">
        <v>227055941704</v>
      </c>
      <c r="B2355" t="s">
        <v>5366</v>
      </c>
      <c r="C2355" t="s">
        <v>5367</v>
      </c>
      <c r="D2355">
        <v>1</v>
      </c>
      <c r="F2355" t="str">
        <f t="shared" si="180"/>
        <v>No</v>
      </c>
      <c r="G2355" t="str">
        <f t="shared" si="181"/>
        <v/>
      </c>
      <c r="H2355" t="str">
        <f t="shared" si="182"/>
        <v>—</v>
      </c>
      <c r="I2355" t="str">
        <f t="shared" si="183"/>
        <v>Below thresholds</v>
      </c>
      <c r="J2355" t="str">
        <f t="shared" si="184"/>
        <v/>
      </c>
    </row>
    <row r="2356" spans="1:10" x14ac:dyDescent="0.2">
      <c r="A2356">
        <v>227055941718</v>
      </c>
      <c r="B2356" t="s">
        <v>5368</v>
      </c>
      <c r="C2356" t="s">
        <v>5369</v>
      </c>
      <c r="D2356">
        <v>1</v>
      </c>
      <c r="F2356" t="str">
        <f t="shared" si="180"/>
        <v>No</v>
      </c>
      <c r="G2356" t="str">
        <f t="shared" si="181"/>
        <v/>
      </c>
      <c r="H2356" t="str">
        <f t="shared" si="182"/>
        <v>—</v>
      </c>
      <c r="I2356" t="str">
        <f t="shared" si="183"/>
        <v>Below thresholds</v>
      </c>
      <c r="J2356" t="str">
        <f t="shared" si="184"/>
        <v/>
      </c>
    </row>
    <row r="2357" spans="1:10" x14ac:dyDescent="0.2">
      <c r="A2357">
        <v>227055941793</v>
      </c>
      <c r="B2357" t="s">
        <v>5370</v>
      </c>
      <c r="C2357" t="s">
        <v>5371</v>
      </c>
      <c r="D2357">
        <v>1</v>
      </c>
      <c r="F2357" t="str">
        <f t="shared" si="180"/>
        <v>No</v>
      </c>
      <c r="G2357" t="str">
        <f t="shared" si="181"/>
        <v/>
      </c>
      <c r="H2357" t="str">
        <f t="shared" si="182"/>
        <v>—</v>
      </c>
      <c r="I2357" t="str">
        <f t="shared" si="183"/>
        <v>Below thresholds</v>
      </c>
      <c r="J2357" t="str">
        <f t="shared" si="184"/>
        <v/>
      </c>
    </row>
    <row r="2358" spans="1:10" x14ac:dyDescent="0.2">
      <c r="A2358">
        <v>227055941801</v>
      </c>
      <c r="B2358" t="s">
        <v>5372</v>
      </c>
      <c r="C2358" t="s">
        <v>5373</v>
      </c>
      <c r="D2358">
        <v>1</v>
      </c>
      <c r="F2358" t="str">
        <f t="shared" si="180"/>
        <v>No</v>
      </c>
      <c r="G2358" t="str">
        <f t="shared" si="181"/>
        <v/>
      </c>
      <c r="H2358" t="str">
        <f t="shared" si="182"/>
        <v>—</v>
      </c>
      <c r="I2358" t="str">
        <f t="shared" si="183"/>
        <v>Below thresholds</v>
      </c>
      <c r="J2358" t="str">
        <f t="shared" si="184"/>
        <v/>
      </c>
    </row>
    <row r="2359" spans="1:10" x14ac:dyDescent="0.2">
      <c r="A2359">
        <v>227055941843</v>
      </c>
      <c r="B2359" t="s">
        <v>5374</v>
      </c>
      <c r="C2359" t="s">
        <v>5375</v>
      </c>
      <c r="D2359">
        <v>1</v>
      </c>
      <c r="F2359" t="str">
        <f t="shared" si="180"/>
        <v>No</v>
      </c>
      <c r="G2359" t="str">
        <f t="shared" si="181"/>
        <v/>
      </c>
      <c r="H2359" t="str">
        <f t="shared" si="182"/>
        <v>—</v>
      </c>
      <c r="I2359" t="str">
        <f t="shared" si="183"/>
        <v>Below thresholds</v>
      </c>
      <c r="J2359" t="str">
        <f t="shared" si="184"/>
        <v/>
      </c>
    </row>
    <row r="2360" spans="1:10" x14ac:dyDescent="0.2">
      <c r="A2360">
        <v>227055941954</v>
      </c>
      <c r="B2360" t="s">
        <v>5376</v>
      </c>
      <c r="C2360" t="s">
        <v>5377</v>
      </c>
      <c r="D2360">
        <v>1</v>
      </c>
      <c r="F2360" t="str">
        <f t="shared" si="180"/>
        <v>No</v>
      </c>
      <c r="G2360" t="str">
        <f t="shared" si="181"/>
        <v/>
      </c>
      <c r="H2360" t="str">
        <f t="shared" si="182"/>
        <v>—</v>
      </c>
      <c r="I2360" t="str">
        <f t="shared" si="183"/>
        <v>Below thresholds</v>
      </c>
      <c r="J2360" t="str">
        <f t="shared" si="184"/>
        <v/>
      </c>
    </row>
    <row r="2361" spans="1:10" x14ac:dyDescent="0.2">
      <c r="A2361">
        <v>227055941984</v>
      </c>
      <c r="B2361" t="s">
        <v>5378</v>
      </c>
      <c r="C2361" t="s">
        <v>5379</v>
      </c>
      <c r="D2361">
        <v>1</v>
      </c>
      <c r="F2361" t="str">
        <f t="shared" si="180"/>
        <v>No</v>
      </c>
      <c r="G2361" t="str">
        <f t="shared" si="181"/>
        <v/>
      </c>
      <c r="H2361" t="str">
        <f t="shared" si="182"/>
        <v>—</v>
      </c>
      <c r="I2361" t="str">
        <f t="shared" si="183"/>
        <v>Below thresholds</v>
      </c>
      <c r="J2361" t="str">
        <f t="shared" si="184"/>
        <v/>
      </c>
    </row>
    <row r="2362" spans="1:10" x14ac:dyDescent="0.2">
      <c r="A2362">
        <v>227055942085</v>
      </c>
      <c r="B2362" t="s">
        <v>5380</v>
      </c>
      <c r="C2362" t="s">
        <v>5381</v>
      </c>
      <c r="D2362">
        <v>1</v>
      </c>
      <c r="F2362" t="str">
        <f t="shared" si="180"/>
        <v>No</v>
      </c>
      <c r="G2362" t="str">
        <f t="shared" si="181"/>
        <v/>
      </c>
      <c r="H2362" t="str">
        <f t="shared" si="182"/>
        <v>—</v>
      </c>
      <c r="I2362" t="str">
        <f t="shared" si="183"/>
        <v>Below thresholds</v>
      </c>
      <c r="J2362" t="str">
        <f t="shared" si="184"/>
        <v/>
      </c>
    </row>
    <row r="2363" spans="1:10" x14ac:dyDescent="0.2">
      <c r="A2363">
        <v>227055942106</v>
      </c>
      <c r="B2363" t="s">
        <v>5358</v>
      </c>
      <c r="C2363" t="s">
        <v>5382</v>
      </c>
      <c r="D2363">
        <v>1</v>
      </c>
      <c r="F2363" t="str">
        <f t="shared" si="180"/>
        <v>No</v>
      </c>
      <c r="G2363" t="str">
        <f t="shared" si="181"/>
        <v/>
      </c>
      <c r="H2363" t="str">
        <f t="shared" si="182"/>
        <v>—</v>
      </c>
      <c r="I2363" t="str">
        <f t="shared" si="183"/>
        <v>Below thresholds</v>
      </c>
      <c r="J2363" t="str">
        <f t="shared" si="184"/>
        <v/>
      </c>
    </row>
    <row r="2364" spans="1:10" x14ac:dyDescent="0.2">
      <c r="A2364">
        <v>227055942110</v>
      </c>
      <c r="B2364" t="s">
        <v>5383</v>
      </c>
      <c r="C2364" t="s">
        <v>5384</v>
      </c>
      <c r="D2364">
        <v>1</v>
      </c>
      <c r="F2364" t="str">
        <f t="shared" si="180"/>
        <v>No</v>
      </c>
      <c r="G2364" t="str">
        <f t="shared" si="181"/>
        <v/>
      </c>
      <c r="H2364" t="str">
        <f t="shared" si="182"/>
        <v>—</v>
      </c>
      <c r="I2364" t="str">
        <f t="shared" si="183"/>
        <v>Below thresholds</v>
      </c>
      <c r="J2364" t="str">
        <f t="shared" si="184"/>
        <v/>
      </c>
    </row>
    <row r="2365" spans="1:10" x14ac:dyDescent="0.2">
      <c r="A2365">
        <v>227055942211</v>
      </c>
      <c r="B2365" t="s">
        <v>5385</v>
      </c>
      <c r="C2365" t="s">
        <v>5386</v>
      </c>
      <c r="D2365">
        <v>1</v>
      </c>
      <c r="F2365" t="str">
        <f t="shared" si="180"/>
        <v>No</v>
      </c>
      <c r="G2365" t="str">
        <f t="shared" si="181"/>
        <v/>
      </c>
      <c r="H2365" t="str">
        <f t="shared" si="182"/>
        <v>—</v>
      </c>
      <c r="I2365" t="str">
        <f t="shared" si="183"/>
        <v>Below thresholds</v>
      </c>
      <c r="J2365" t="str">
        <f t="shared" si="184"/>
        <v/>
      </c>
    </row>
    <row r="2366" spans="1:10" x14ac:dyDescent="0.2">
      <c r="A2366">
        <v>227055942236</v>
      </c>
      <c r="B2366" t="s">
        <v>5387</v>
      </c>
      <c r="C2366" t="s">
        <v>5388</v>
      </c>
      <c r="D2366">
        <v>1</v>
      </c>
      <c r="F2366" t="str">
        <f t="shared" si="180"/>
        <v>No</v>
      </c>
      <c r="G2366" t="str">
        <f t="shared" si="181"/>
        <v/>
      </c>
      <c r="H2366" t="str">
        <f t="shared" si="182"/>
        <v>—</v>
      </c>
      <c r="I2366" t="str">
        <f t="shared" si="183"/>
        <v>Below thresholds</v>
      </c>
      <c r="J2366" t="str">
        <f t="shared" si="184"/>
        <v/>
      </c>
    </row>
    <row r="2367" spans="1:10" x14ac:dyDescent="0.2">
      <c r="A2367">
        <v>227055942241</v>
      </c>
      <c r="B2367" t="s">
        <v>5380</v>
      </c>
      <c r="C2367" t="s">
        <v>5389</v>
      </c>
      <c r="D2367">
        <v>1</v>
      </c>
      <c r="F2367" t="str">
        <f t="shared" si="180"/>
        <v>No</v>
      </c>
      <c r="G2367" t="str">
        <f t="shared" si="181"/>
        <v/>
      </c>
      <c r="H2367" t="str">
        <f t="shared" si="182"/>
        <v>—</v>
      </c>
      <c r="I2367" t="str">
        <f t="shared" si="183"/>
        <v>Below thresholds</v>
      </c>
      <c r="J2367" t="str">
        <f t="shared" si="184"/>
        <v/>
      </c>
    </row>
    <row r="2368" spans="1:10" x14ac:dyDescent="0.2">
      <c r="A2368">
        <v>227055942324</v>
      </c>
      <c r="B2368" t="s">
        <v>5390</v>
      </c>
      <c r="C2368" t="s">
        <v>5391</v>
      </c>
      <c r="D2368">
        <v>1</v>
      </c>
      <c r="F2368" t="str">
        <f t="shared" si="180"/>
        <v>No</v>
      </c>
      <c r="G2368" t="str">
        <f t="shared" si="181"/>
        <v/>
      </c>
      <c r="H2368" t="str">
        <f t="shared" si="182"/>
        <v>—</v>
      </c>
      <c r="I2368" t="str">
        <f t="shared" si="183"/>
        <v>Below thresholds</v>
      </c>
      <c r="J2368" t="str">
        <f t="shared" si="184"/>
        <v/>
      </c>
    </row>
    <row r="2369" spans="1:10" x14ac:dyDescent="0.2">
      <c r="A2369">
        <v>227055942343</v>
      </c>
      <c r="B2369" t="s">
        <v>5392</v>
      </c>
      <c r="C2369" t="s">
        <v>5393</v>
      </c>
      <c r="D2369">
        <v>1</v>
      </c>
      <c r="F2369" t="str">
        <f t="shared" si="180"/>
        <v>No</v>
      </c>
      <c r="G2369" t="str">
        <f t="shared" si="181"/>
        <v/>
      </c>
      <c r="H2369" t="str">
        <f t="shared" si="182"/>
        <v>—</v>
      </c>
      <c r="I2369" t="str">
        <f t="shared" si="183"/>
        <v>Below thresholds</v>
      </c>
      <c r="J2369" t="str">
        <f t="shared" si="184"/>
        <v/>
      </c>
    </row>
    <row r="2370" spans="1:10" x14ac:dyDescent="0.2">
      <c r="A2370">
        <v>227055942349</v>
      </c>
      <c r="B2370" t="s">
        <v>5394</v>
      </c>
      <c r="C2370" t="s">
        <v>5395</v>
      </c>
      <c r="D2370">
        <v>1</v>
      </c>
      <c r="F2370" t="str">
        <f t="shared" si="180"/>
        <v>No</v>
      </c>
      <c r="G2370" t="str">
        <f t="shared" si="181"/>
        <v/>
      </c>
      <c r="H2370" t="str">
        <f t="shared" si="182"/>
        <v>—</v>
      </c>
      <c r="I2370" t="str">
        <f t="shared" si="183"/>
        <v>Below thresholds</v>
      </c>
      <c r="J2370" t="str">
        <f t="shared" si="184"/>
        <v/>
      </c>
    </row>
    <row r="2371" spans="1:10" x14ac:dyDescent="0.2">
      <c r="A2371">
        <v>227055943711</v>
      </c>
      <c r="B2371" t="s">
        <v>5396</v>
      </c>
      <c r="C2371" t="s">
        <v>5397</v>
      </c>
      <c r="D2371">
        <v>1</v>
      </c>
      <c r="F2371" t="str">
        <f t="shared" si="180"/>
        <v>No</v>
      </c>
      <c r="G2371" t="str">
        <f t="shared" si="181"/>
        <v/>
      </c>
      <c r="H2371" t="str">
        <f t="shared" si="182"/>
        <v>—</v>
      </c>
      <c r="I2371" t="str">
        <f t="shared" si="183"/>
        <v>Below thresholds</v>
      </c>
      <c r="J2371" t="str">
        <f t="shared" si="184"/>
        <v/>
      </c>
    </row>
    <row r="2372" spans="1:10" x14ac:dyDescent="0.2">
      <c r="A2372">
        <v>227055944392</v>
      </c>
      <c r="B2372" t="s">
        <v>5398</v>
      </c>
      <c r="C2372" t="s">
        <v>5399</v>
      </c>
      <c r="D2372">
        <v>1</v>
      </c>
      <c r="F2372" t="str">
        <f t="shared" si="180"/>
        <v>No</v>
      </c>
      <c r="G2372" t="str">
        <f t="shared" si="181"/>
        <v/>
      </c>
      <c r="H2372" t="str">
        <f t="shared" si="182"/>
        <v>—</v>
      </c>
      <c r="I2372" t="str">
        <f t="shared" si="183"/>
        <v>Below thresholds</v>
      </c>
      <c r="J2372" t="str">
        <f t="shared" si="184"/>
        <v/>
      </c>
    </row>
    <row r="2373" spans="1:10" x14ac:dyDescent="0.2">
      <c r="A2373">
        <v>227055944394</v>
      </c>
      <c r="B2373" t="s">
        <v>5400</v>
      </c>
      <c r="C2373" t="s">
        <v>5401</v>
      </c>
      <c r="D2373">
        <v>1</v>
      </c>
      <c r="F2373" t="str">
        <f t="shared" ref="F2373:F2436" si="185">IF($B2373="","",IF(ISNUMBER(SEARCH("PSA",$B2373)),"Yes","No"))</f>
        <v>No</v>
      </c>
      <c r="G2373" t="str">
        <f t="shared" ref="G2373:G2436" si="186">IF($B2373="","",IF(ISNUMBER(SEARCH("PSA 10",$B2373)),10,IF(ISNUMBER(SEARCH("PSA 9.5",$B2373)),9.5,IF(ISNUMBER(SEARCH("PSA 9",$B2373)),9,IF(ISNUMBER(SEARCH("PSA 8",$B2373)),8,IF(ISNUMBER(SEARCH("PSA",$B2373)),"&lt;9",""))))))</f>
        <v/>
      </c>
      <c r="H2373" t="str">
        <f t="shared" ref="H2373:H2436" si="187">IF($B2373="","",IF($D2373&gt;=100,"TIER 2",IF(OR(ISNUMBER(SEARCH("PSA 10",$B2373)),ISNUMBER(SEARCH("PSA 9.5",$B2373)),ISNUMBER(SEARCH("PSA 9",$B2373))),"TIER 3",IF(AND($D2373&gt;20,N($E2373)&gt;=15),"TIER 1","—"))))</f>
        <v>—</v>
      </c>
      <c r="I2373" t="str">
        <f t="shared" ref="I2373:I2436" si="188">IF($B2373="","",IF($D2373&gt;=100,"Premium $100+ (auto)",IF(OR(ISNUMBER(SEARCH("PSA 10",$B2373)),ISNUMBER(SEARCH("PSA 9.5",$B2373)),ISNUMBER(SEARCH("PSA 9",$B2373))),"Graded PSA 9+ (auto)",IF(AND($D2373&gt;20,N($E2373)&gt;=15),"Hot: $20+ &amp; "&amp;$E2373&amp;"/day",IF($D2373&gt;20,"$20+ — needs velocity check","Below thresholds")))))</f>
        <v>Below thresholds</v>
      </c>
      <c r="J2373" t="str">
        <f t="shared" ref="J2373:J2436" si="189">IF($B2373="","",IF(AND($D2373&gt;20,$D2373&lt;100,NOT(OR(ISNUMBER(SEARCH("PSA 10",$B2373)),ISNUMBER(SEARCH("PSA 9.5",$B2373)),ISNUMBER(SEARCH("PSA 9",$B2373)))),$E2373=""),"YES — pull CardHedger",""))</f>
        <v/>
      </c>
    </row>
    <row r="2374" spans="1:10" x14ac:dyDescent="0.2">
      <c r="A2374">
        <v>227055944443</v>
      </c>
      <c r="B2374" t="s">
        <v>5402</v>
      </c>
      <c r="C2374" t="s">
        <v>5403</v>
      </c>
      <c r="D2374">
        <v>1</v>
      </c>
      <c r="F2374" t="str">
        <f t="shared" si="185"/>
        <v>No</v>
      </c>
      <c r="G2374" t="str">
        <f t="shared" si="186"/>
        <v/>
      </c>
      <c r="H2374" t="str">
        <f t="shared" si="187"/>
        <v>—</v>
      </c>
      <c r="I2374" t="str">
        <f t="shared" si="188"/>
        <v>Below thresholds</v>
      </c>
      <c r="J2374" t="str">
        <f t="shared" si="189"/>
        <v/>
      </c>
    </row>
    <row r="2375" spans="1:10" x14ac:dyDescent="0.2">
      <c r="A2375">
        <v>227055944469</v>
      </c>
      <c r="B2375" t="s">
        <v>5404</v>
      </c>
      <c r="C2375" t="s">
        <v>5405</v>
      </c>
      <c r="D2375">
        <v>1</v>
      </c>
      <c r="F2375" t="str">
        <f t="shared" si="185"/>
        <v>No</v>
      </c>
      <c r="G2375" t="str">
        <f t="shared" si="186"/>
        <v/>
      </c>
      <c r="H2375" t="str">
        <f t="shared" si="187"/>
        <v>—</v>
      </c>
      <c r="I2375" t="str">
        <f t="shared" si="188"/>
        <v>Below thresholds</v>
      </c>
      <c r="J2375" t="str">
        <f t="shared" si="189"/>
        <v/>
      </c>
    </row>
    <row r="2376" spans="1:10" x14ac:dyDescent="0.2">
      <c r="A2376">
        <v>227055944473</v>
      </c>
      <c r="B2376" t="s">
        <v>5406</v>
      </c>
      <c r="C2376" t="s">
        <v>5407</v>
      </c>
      <c r="D2376">
        <v>1</v>
      </c>
      <c r="F2376" t="str">
        <f t="shared" si="185"/>
        <v>No</v>
      </c>
      <c r="G2376" t="str">
        <f t="shared" si="186"/>
        <v/>
      </c>
      <c r="H2376" t="str">
        <f t="shared" si="187"/>
        <v>—</v>
      </c>
      <c r="I2376" t="str">
        <f t="shared" si="188"/>
        <v>Below thresholds</v>
      </c>
      <c r="J2376" t="str">
        <f t="shared" si="189"/>
        <v/>
      </c>
    </row>
    <row r="2377" spans="1:10" x14ac:dyDescent="0.2">
      <c r="A2377">
        <v>227055944504</v>
      </c>
      <c r="B2377" t="s">
        <v>5408</v>
      </c>
      <c r="C2377" t="s">
        <v>5409</v>
      </c>
      <c r="D2377">
        <v>1</v>
      </c>
      <c r="F2377" t="str">
        <f t="shared" si="185"/>
        <v>No</v>
      </c>
      <c r="G2377" t="str">
        <f t="shared" si="186"/>
        <v/>
      </c>
      <c r="H2377" t="str">
        <f t="shared" si="187"/>
        <v>—</v>
      </c>
      <c r="I2377" t="str">
        <f t="shared" si="188"/>
        <v>Below thresholds</v>
      </c>
      <c r="J2377" t="str">
        <f t="shared" si="189"/>
        <v/>
      </c>
    </row>
    <row r="2378" spans="1:10" x14ac:dyDescent="0.2">
      <c r="A2378">
        <v>227055944535</v>
      </c>
      <c r="B2378" t="s">
        <v>5410</v>
      </c>
      <c r="C2378" t="s">
        <v>5411</v>
      </c>
      <c r="D2378">
        <v>1</v>
      </c>
      <c r="F2378" t="str">
        <f t="shared" si="185"/>
        <v>No</v>
      </c>
      <c r="G2378" t="str">
        <f t="shared" si="186"/>
        <v/>
      </c>
      <c r="H2378" t="str">
        <f t="shared" si="187"/>
        <v>—</v>
      </c>
      <c r="I2378" t="str">
        <f t="shared" si="188"/>
        <v>Below thresholds</v>
      </c>
      <c r="J2378" t="str">
        <f t="shared" si="189"/>
        <v/>
      </c>
    </row>
    <row r="2379" spans="1:10" x14ac:dyDescent="0.2">
      <c r="A2379">
        <v>227055944540</v>
      </c>
      <c r="B2379" t="s">
        <v>5412</v>
      </c>
      <c r="C2379" t="s">
        <v>5413</v>
      </c>
      <c r="D2379">
        <v>1</v>
      </c>
      <c r="F2379" t="str">
        <f t="shared" si="185"/>
        <v>No</v>
      </c>
      <c r="G2379" t="str">
        <f t="shared" si="186"/>
        <v/>
      </c>
      <c r="H2379" t="str">
        <f t="shared" si="187"/>
        <v>—</v>
      </c>
      <c r="I2379" t="str">
        <f t="shared" si="188"/>
        <v>Below thresholds</v>
      </c>
      <c r="J2379" t="str">
        <f t="shared" si="189"/>
        <v/>
      </c>
    </row>
    <row r="2380" spans="1:10" x14ac:dyDescent="0.2">
      <c r="A2380">
        <v>227055944589</v>
      </c>
      <c r="B2380" t="s">
        <v>5414</v>
      </c>
      <c r="C2380" t="s">
        <v>5415</v>
      </c>
      <c r="D2380">
        <v>1</v>
      </c>
      <c r="F2380" t="str">
        <f t="shared" si="185"/>
        <v>No</v>
      </c>
      <c r="G2380" t="str">
        <f t="shared" si="186"/>
        <v/>
      </c>
      <c r="H2380" t="str">
        <f t="shared" si="187"/>
        <v>—</v>
      </c>
      <c r="I2380" t="str">
        <f t="shared" si="188"/>
        <v>Below thresholds</v>
      </c>
      <c r="J2380" t="str">
        <f t="shared" si="189"/>
        <v/>
      </c>
    </row>
    <row r="2381" spans="1:10" x14ac:dyDescent="0.2">
      <c r="A2381">
        <v>227055944626</v>
      </c>
      <c r="B2381" t="s">
        <v>5416</v>
      </c>
      <c r="C2381" t="s">
        <v>5417</v>
      </c>
      <c r="D2381">
        <v>1</v>
      </c>
      <c r="F2381" t="str">
        <f t="shared" si="185"/>
        <v>No</v>
      </c>
      <c r="G2381" t="str">
        <f t="shared" si="186"/>
        <v/>
      </c>
      <c r="H2381" t="str">
        <f t="shared" si="187"/>
        <v>—</v>
      </c>
      <c r="I2381" t="str">
        <f t="shared" si="188"/>
        <v>Below thresholds</v>
      </c>
      <c r="J2381" t="str">
        <f t="shared" si="189"/>
        <v/>
      </c>
    </row>
    <row r="2382" spans="1:10" x14ac:dyDescent="0.2">
      <c r="A2382">
        <v>227055944636</v>
      </c>
      <c r="B2382" t="s">
        <v>5418</v>
      </c>
      <c r="C2382" t="s">
        <v>5419</v>
      </c>
      <c r="D2382">
        <v>1</v>
      </c>
      <c r="F2382" t="str">
        <f t="shared" si="185"/>
        <v>No</v>
      </c>
      <c r="G2382" t="str">
        <f t="shared" si="186"/>
        <v/>
      </c>
      <c r="H2382" t="str">
        <f t="shared" si="187"/>
        <v>—</v>
      </c>
      <c r="I2382" t="str">
        <f t="shared" si="188"/>
        <v>Below thresholds</v>
      </c>
      <c r="J2382" t="str">
        <f t="shared" si="189"/>
        <v/>
      </c>
    </row>
    <row r="2383" spans="1:10" x14ac:dyDescent="0.2">
      <c r="A2383">
        <v>227055944680</v>
      </c>
      <c r="B2383" t="s">
        <v>5420</v>
      </c>
      <c r="C2383" t="s">
        <v>5421</v>
      </c>
      <c r="D2383">
        <v>1</v>
      </c>
      <c r="F2383" t="str">
        <f t="shared" si="185"/>
        <v>No</v>
      </c>
      <c r="G2383" t="str">
        <f t="shared" si="186"/>
        <v/>
      </c>
      <c r="H2383" t="str">
        <f t="shared" si="187"/>
        <v>—</v>
      </c>
      <c r="I2383" t="str">
        <f t="shared" si="188"/>
        <v>Below thresholds</v>
      </c>
      <c r="J2383" t="str">
        <f t="shared" si="189"/>
        <v/>
      </c>
    </row>
    <row r="2384" spans="1:10" x14ac:dyDescent="0.2">
      <c r="A2384">
        <v>227055944692</v>
      </c>
      <c r="B2384" t="s">
        <v>5422</v>
      </c>
      <c r="C2384" t="s">
        <v>5423</v>
      </c>
      <c r="D2384">
        <v>1</v>
      </c>
      <c r="F2384" t="str">
        <f t="shared" si="185"/>
        <v>No</v>
      </c>
      <c r="G2384" t="str">
        <f t="shared" si="186"/>
        <v/>
      </c>
      <c r="H2384" t="str">
        <f t="shared" si="187"/>
        <v>—</v>
      </c>
      <c r="I2384" t="str">
        <f t="shared" si="188"/>
        <v>Below thresholds</v>
      </c>
      <c r="J2384" t="str">
        <f t="shared" si="189"/>
        <v/>
      </c>
    </row>
    <row r="2385" spans="1:10" x14ac:dyDescent="0.2">
      <c r="A2385">
        <v>227055944714</v>
      </c>
      <c r="B2385" t="s">
        <v>5424</v>
      </c>
      <c r="C2385" t="s">
        <v>5425</v>
      </c>
      <c r="D2385">
        <v>1</v>
      </c>
      <c r="F2385" t="str">
        <f t="shared" si="185"/>
        <v>No</v>
      </c>
      <c r="G2385" t="str">
        <f t="shared" si="186"/>
        <v/>
      </c>
      <c r="H2385" t="str">
        <f t="shared" si="187"/>
        <v>—</v>
      </c>
      <c r="I2385" t="str">
        <f t="shared" si="188"/>
        <v>Below thresholds</v>
      </c>
      <c r="J2385" t="str">
        <f t="shared" si="189"/>
        <v/>
      </c>
    </row>
    <row r="2386" spans="1:10" x14ac:dyDescent="0.2">
      <c r="A2386">
        <v>227055944748</v>
      </c>
      <c r="B2386" t="s">
        <v>5426</v>
      </c>
      <c r="C2386" t="s">
        <v>5427</v>
      </c>
      <c r="D2386">
        <v>1</v>
      </c>
      <c r="F2386" t="str">
        <f t="shared" si="185"/>
        <v>No</v>
      </c>
      <c r="G2386" t="str">
        <f t="shared" si="186"/>
        <v/>
      </c>
      <c r="H2386" t="str">
        <f t="shared" si="187"/>
        <v>—</v>
      </c>
      <c r="I2386" t="str">
        <f t="shared" si="188"/>
        <v>Below thresholds</v>
      </c>
      <c r="J2386" t="str">
        <f t="shared" si="189"/>
        <v/>
      </c>
    </row>
    <row r="2387" spans="1:10" x14ac:dyDescent="0.2">
      <c r="A2387">
        <v>227055944767</v>
      </c>
      <c r="B2387" t="s">
        <v>5428</v>
      </c>
      <c r="C2387" t="s">
        <v>5429</v>
      </c>
      <c r="D2387">
        <v>1</v>
      </c>
      <c r="F2387" t="str">
        <f t="shared" si="185"/>
        <v>No</v>
      </c>
      <c r="G2387" t="str">
        <f t="shared" si="186"/>
        <v/>
      </c>
      <c r="H2387" t="str">
        <f t="shared" si="187"/>
        <v>—</v>
      </c>
      <c r="I2387" t="str">
        <f t="shared" si="188"/>
        <v>Below thresholds</v>
      </c>
      <c r="J2387" t="str">
        <f t="shared" si="189"/>
        <v/>
      </c>
    </row>
    <row r="2388" spans="1:10" x14ac:dyDescent="0.2">
      <c r="A2388">
        <v>227055944774</v>
      </c>
      <c r="B2388" t="s">
        <v>5430</v>
      </c>
      <c r="C2388" t="s">
        <v>5431</v>
      </c>
      <c r="D2388">
        <v>1</v>
      </c>
      <c r="F2388" t="str">
        <f t="shared" si="185"/>
        <v>No</v>
      </c>
      <c r="G2388" t="str">
        <f t="shared" si="186"/>
        <v/>
      </c>
      <c r="H2388" t="str">
        <f t="shared" si="187"/>
        <v>—</v>
      </c>
      <c r="I2388" t="str">
        <f t="shared" si="188"/>
        <v>Below thresholds</v>
      </c>
      <c r="J2388" t="str">
        <f t="shared" si="189"/>
        <v/>
      </c>
    </row>
    <row r="2389" spans="1:10" x14ac:dyDescent="0.2">
      <c r="A2389">
        <v>227055944906</v>
      </c>
      <c r="B2389" t="s">
        <v>5432</v>
      </c>
      <c r="C2389" t="s">
        <v>5433</v>
      </c>
      <c r="D2389">
        <v>1</v>
      </c>
      <c r="F2389" t="str">
        <f t="shared" si="185"/>
        <v>No</v>
      </c>
      <c r="G2389" t="str">
        <f t="shared" si="186"/>
        <v/>
      </c>
      <c r="H2389" t="str">
        <f t="shared" si="187"/>
        <v>—</v>
      </c>
      <c r="I2389" t="str">
        <f t="shared" si="188"/>
        <v>Below thresholds</v>
      </c>
      <c r="J2389" t="str">
        <f t="shared" si="189"/>
        <v/>
      </c>
    </row>
    <row r="2390" spans="1:10" x14ac:dyDescent="0.2">
      <c r="A2390">
        <v>227055944914</v>
      </c>
      <c r="B2390" t="s">
        <v>5434</v>
      </c>
      <c r="C2390" t="s">
        <v>5435</v>
      </c>
      <c r="D2390">
        <v>1</v>
      </c>
      <c r="F2390" t="str">
        <f t="shared" si="185"/>
        <v>No</v>
      </c>
      <c r="G2390" t="str">
        <f t="shared" si="186"/>
        <v/>
      </c>
      <c r="H2390" t="str">
        <f t="shared" si="187"/>
        <v>—</v>
      </c>
      <c r="I2390" t="str">
        <f t="shared" si="188"/>
        <v>Below thresholds</v>
      </c>
      <c r="J2390" t="str">
        <f t="shared" si="189"/>
        <v/>
      </c>
    </row>
    <row r="2391" spans="1:10" x14ac:dyDescent="0.2">
      <c r="A2391">
        <v>227055944930</v>
      </c>
      <c r="B2391" t="s">
        <v>5436</v>
      </c>
      <c r="C2391" t="s">
        <v>5437</v>
      </c>
      <c r="D2391">
        <v>1</v>
      </c>
      <c r="F2391" t="str">
        <f t="shared" si="185"/>
        <v>No</v>
      </c>
      <c r="G2391" t="str">
        <f t="shared" si="186"/>
        <v/>
      </c>
      <c r="H2391" t="str">
        <f t="shared" si="187"/>
        <v>—</v>
      </c>
      <c r="I2391" t="str">
        <f t="shared" si="188"/>
        <v>Below thresholds</v>
      </c>
      <c r="J2391" t="str">
        <f t="shared" si="189"/>
        <v/>
      </c>
    </row>
    <row r="2392" spans="1:10" x14ac:dyDescent="0.2">
      <c r="A2392">
        <v>227055944967</v>
      </c>
      <c r="B2392" t="s">
        <v>5329</v>
      </c>
      <c r="C2392" t="s">
        <v>5438</v>
      </c>
      <c r="D2392">
        <v>1</v>
      </c>
      <c r="F2392" t="str">
        <f t="shared" si="185"/>
        <v>No</v>
      </c>
      <c r="G2392" t="str">
        <f t="shared" si="186"/>
        <v/>
      </c>
      <c r="H2392" t="str">
        <f t="shared" si="187"/>
        <v>—</v>
      </c>
      <c r="I2392" t="str">
        <f t="shared" si="188"/>
        <v>Below thresholds</v>
      </c>
      <c r="J2392" t="str">
        <f t="shared" si="189"/>
        <v/>
      </c>
    </row>
    <row r="2393" spans="1:10" x14ac:dyDescent="0.2">
      <c r="A2393">
        <v>227055944969</v>
      </c>
      <c r="B2393" t="s">
        <v>5439</v>
      </c>
      <c r="C2393" t="s">
        <v>5440</v>
      </c>
      <c r="D2393">
        <v>1</v>
      </c>
      <c r="F2393" t="str">
        <f t="shared" si="185"/>
        <v>No</v>
      </c>
      <c r="G2393" t="str">
        <f t="shared" si="186"/>
        <v/>
      </c>
      <c r="H2393" t="str">
        <f t="shared" si="187"/>
        <v>—</v>
      </c>
      <c r="I2393" t="str">
        <f t="shared" si="188"/>
        <v>Below thresholds</v>
      </c>
      <c r="J2393" t="str">
        <f t="shared" si="189"/>
        <v/>
      </c>
    </row>
    <row r="2394" spans="1:10" x14ac:dyDescent="0.2">
      <c r="A2394">
        <v>227055944995</v>
      </c>
      <c r="B2394" t="s">
        <v>5396</v>
      </c>
      <c r="C2394" t="s">
        <v>5441</v>
      </c>
      <c r="D2394">
        <v>1</v>
      </c>
      <c r="F2394" t="str">
        <f t="shared" si="185"/>
        <v>No</v>
      </c>
      <c r="G2394" t="str">
        <f t="shared" si="186"/>
        <v/>
      </c>
      <c r="H2394" t="str">
        <f t="shared" si="187"/>
        <v>—</v>
      </c>
      <c r="I2394" t="str">
        <f t="shared" si="188"/>
        <v>Below thresholds</v>
      </c>
      <c r="J2394" t="str">
        <f t="shared" si="189"/>
        <v/>
      </c>
    </row>
    <row r="2395" spans="1:10" x14ac:dyDescent="0.2">
      <c r="A2395">
        <v>227055945020</v>
      </c>
      <c r="B2395" t="s">
        <v>5442</v>
      </c>
      <c r="C2395" t="s">
        <v>5443</v>
      </c>
      <c r="D2395">
        <v>1</v>
      </c>
      <c r="F2395" t="str">
        <f t="shared" si="185"/>
        <v>No</v>
      </c>
      <c r="G2395" t="str">
        <f t="shared" si="186"/>
        <v/>
      </c>
      <c r="H2395" t="str">
        <f t="shared" si="187"/>
        <v>—</v>
      </c>
      <c r="I2395" t="str">
        <f t="shared" si="188"/>
        <v>Below thresholds</v>
      </c>
      <c r="J2395" t="str">
        <f t="shared" si="189"/>
        <v/>
      </c>
    </row>
    <row r="2396" spans="1:10" x14ac:dyDescent="0.2">
      <c r="A2396">
        <v>227055945021</v>
      </c>
      <c r="B2396" t="s">
        <v>5444</v>
      </c>
      <c r="C2396" t="s">
        <v>5445</v>
      </c>
      <c r="D2396">
        <v>1</v>
      </c>
      <c r="F2396" t="str">
        <f t="shared" si="185"/>
        <v>No</v>
      </c>
      <c r="G2396" t="str">
        <f t="shared" si="186"/>
        <v/>
      </c>
      <c r="H2396" t="str">
        <f t="shared" si="187"/>
        <v>—</v>
      </c>
      <c r="I2396" t="str">
        <f t="shared" si="188"/>
        <v>Below thresholds</v>
      </c>
      <c r="J2396" t="str">
        <f t="shared" si="189"/>
        <v/>
      </c>
    </row>
    <row r="2397" spans="1:10" x14ac:dyDescent="0.2">
      <c r="A2397">
        <v>227055945045</v>
      </c>
      <c r="B2397" t="s">
        <v>5446</v>
      </c>
      <c r="C2397" t="s">
        <v>5447</v>
      </c>
      <c r="D2397">
        <v>1</v>
      </c>
      <c r="F2397" t="str">
        <f t="shared" si="185"/>
        <v>No</v>
      </c>
      <c r="G2397" t="str">
        <f t="shared" si="186"/>
        <v/>
      </c>
      <c r="H2397" t="str">
        <f t="shared" si="187"/>
        <v>—</v>
      </c>
      <c r="I2397" t="str">
        <f t="shared" si="188"/>
        <v>Below thresholds</v>
      </c>
      <c r="J2397" t="str">
        <f t="shared" si="189"/>
        <v/>
      </c>
    </row>
    <row r="2398" spans="1:10" x14ac:dyDescent="0.2">
      <c r="A2398">
        <v>227055945064</v>
      </c>
      <c r="B2398" t="s">
        <v>5448</v>
      </c>
      <c r="C2398" t="s">
        <v>5449</v>
      </c>
      <c r="D2398">
        <v>1</v>
      </c>
      <c r="F2398" t="str">
        <f t="shared" si="185"/>
        <v>No</v>
      </c>
      <c r="G2398" t="str">
        <f t="shared" si="186"/>
        <v/>
      </c>
      <c r="H2398" t="str">
        <f t="shared" si="187"/>
        <v>—</v>
      </c>
      <c r="I2398" t="str">
        <f t="shared" si="188"/>
        <v>Below thresholds</v>
      </c>
      <c r="J2398" t="str">
        <f t="shared" si="189"/>
        <v/>
      </c>
    </row>
    <row r="2399" spans="1:10" x14ac:dyDescent="0.2">
      <c r="A2399">
        <v>227055945068</v>
      </c>
      <c r="B2399" t="s">
        <v>5450</v>
      </c>
      <c r="C2399" t="s">
        <v>5451</v>
      </c>
      <c r="D2399">
        <v>1</v>
      </c>
      <c r="F2399" t="str">
        <f t="shared" si="185"/>
        <v>No</v>
      </c>
      <c r="G2399" t="str">
        <f t="shared" si="186"/>
        <v/>
      </c>
      <c r="H2399" t="str">
        <f t="shared" si="187"/>
        <v>—</v>
      </c>
      <c r="I2399" t="str">
        <f t="shared" si="188"/>
        <v>Below thresholds</v>
      </c>
      <c r="J2399" t="str">
        <f t="shared" si="189"/>
        <v/>
      </c>
    </row>
    <row r="2400" spans="1:10" x14ac:dyDescent="0.2">
      <c r="A2400">
        <v>227055945114</v>
      </c>
      <c r="B2400" t="s">
        <v>5452</v>
      </c>
      <c r="C2400" t="s">
        <v>5453</v>
      </c>
      <c r="D2400">
        <v>1</v>
      </c>
      <c r="F2400" t="str">
        <f t="shared" si="185"/>
        <v>No</v>
      </c>
      <c r="G2400" t="str">
        <f t="shared" si="186"/>
        <v/>
      </c>
      <c r="H2400" t="str">
        <f t="shared" si="187"/>
        <v>—</v>
      </c>
      <c r="I2400" t="str">
        <f t="shared" si="188"/>
        <v>Below thresholds</v>
      </c>
      <c r="J2400" t="str">
        <f t="shared" si="189"/>
        <v/>
      </c>
    </row>
    <row r="2401" spans="1:10" x14ac:dyDescent="0.2">
      <c r="A2401">
        <v>227055945127</v>
      </c>
      <c r="B2401" t="s">
        <v>5454</v>
      </c>
      <c r="C2401" t="s">
        <v>5455</v>
      </c>
      <c r="D2401">
        <v>1</v>
      </c>
      <c r="F2401" t="str">
        <f t="shared" si="185"/>
        <v>No</v>
      </c>
      <c r="G2401" t="str">
        <f t="shared" si="186"/>
        <v/>
      </c>
      <c r="H2401" t="str">
        <f t="shared" si="187"/>
        <v>—</v>
      </c>
      <c r="I2401" t="str">
        <f t="shared" si="188"/>
        <v>Below thresholds</v>
      </c>
      <c r="J2401" t="str">
        <f t="shared" si="189"/>
        <v/>
      </c>
    </row>
    <row r="2402" spans="1:10" x14ac:dyDescent="0.2">
      <c r="A2402">
        <v>227055945145</v>
      </c>
      <c r="B2402" t="s">
        <v>5456</v>
      </c>
      <c r="C2402" t="s">
        <v>5457</v>
      </c>
      <c r="D2402">
        <v>1</v>
      </c>
      <c r="F2402" t="str">
        <f t="shared" si="185"/>
        <v>No</v>
      </c>
      <c r="G2402" t="str">
        <f t="shared" si="186"/>
        <v/>
      </c>
      <c r="H2402" t="str">
        <f t="shared" si="187"/>
        <v>—</v>
      </c>
      <c r="I2402" t="str">
        <f t="shared" si="188"/>
        <v>Below thresholds</v>
      </c>
      <c r="J2402" t="str">
        <f t="shared" si="189"/>
        <v/>
      </c>
    </row>
    <row r="2403" spans="1:10" x14ac:dyDescent="0.2">
      <c r="A2403">
        <v>227055945182</v>
      </c>
      <c r="B2403" t="s">
        <v>5458</v>
      </c>
      <c r="C2403" t="s">
        <v>5459</v>
      </c>
      <c r="D2403">
        <v>1</v>
      </c>
      <c r="F2403" t="str">
        <f t="shared" si="185"/>
        <v>No</v>
      </c>
      <c r="G2403" t="str">
        <f t="shared" si="186"/>
        <v/>
      </c>
      <c r="H2403" t="str">
        <f t="shared" si="187"/>
        <v>—</v>
      </c>
      <c r="I2403" t="str">
        <f t="shared" si="188"/>
        <v>Below thresholds</v>
      </c>
      <c r="J2403" t="str">
        <f t="shared" si="189"/>
        <v/>
      </c>
    </row>
    <row r="2404" spans="1:10" x14ac:dyDescent="0.2">
      <c r="A2404">
        <v>227055945198</v>
      </c>
      <c r="B2404" t="s">
        <v>5460</v>
      </c>
      <c r="C2404" t="s">
        <v>5461</v>
      </c>
      <c r="D2404">
        <v>1</v>
      </c>
      <c r="F2404" t="str">
        <f t="shared" si="185"/>
        <v>No</v>
      </c>
      <c r="G2404" t="str">
        <f t="shared" si="186"/>
        <v/>
      </c>
      <c r="H2404" t="str">
        <f t="shared" si="187"/>
        <v>—</v>
      </c>
      <c r="I2404" t="str">
        <f t="shared" si="188"/>
        <v>Below thresholds</v>
      </c>
      <c r="J2404" t="str">
        <f t="shared" si="189"/>
        <v/>
      </c>
    </row>
    <row r="2405" spans="1:10" x14ac:dyDescent="0.2">
      <c r="A2405">
        <v>227055945202</v>
      </c>
      <c r="B2405" t="s">
        <v>5462</v>
      </c>
      <c r="C2405" t="s">
        <v>5463</v>
      </c>
      <c r="D2405">
        <v>1</v>
      </c>
      <c r="F2405" t="str">
        <f t="shared" si="185"/>
        <v>No</v>
      </c>
      <c r="G2405" t="str">
        <f t="shared" si="186"/>
        <v/>
      </c>
      <c r="H2405" t="str">
        <f t="shared" si="187"/>
        <v>—</v>
      </c>
      <c r="I2405" t="str">
        <f t="shared" si="188"/>
        <v>Below thresholds</v>
      </c>
      <c r="J2405" t="str">
        <f t="shared" si="189"/>
        <v/>
      </c>
    </row>
    <row r="2406" spans="1:10" x14ac:dyDescent="0.2">
      <c r="A2406">
        <v>227055945236</v>
      </c>
      <c r="B2406" t="s">
        <v>5464</v>
      </c>
      <c r="C2406" t="s">
        <v>5465</v>
      </c>
      <c r="D2406">
        <v>1</v>
      </c>
      <c r="F2406" t="str">
        <f t="shared" si="185"/>
        <v>No</v>
      </c>
      <c r="G2406" t="str">
        <f t="shared" si="186"/>
        <v/>
      </c>
      <c r="H2406" t="str">
        <f t="shared" si="187"/>
        <v>—</v>
      </c>
      <c r="I2406" t="str">
        <f t="shared" si="188"/>
        <v>Below thresholds</v>
      </c>
      <c r="J2406" t="str">
        <f t="shared" si="189"/>
        <v/>
      </c>
    </row>
    <row r="2407" spans="1:10" x14ac:dyDescent="0.2">
      <c r="A2407">
        <v>227055945249</v>
      </c>
      <c r="B2407" t="s">
        <v>5466</v>
      </c>
      <c r="C2407" t="s">
        <v>5467</v>
      </c>
      <c r="D2407">
        <v>1</v>
      </c>
      <c r="F2407" t="str">
        <f t="shared" si="185"/>
        <v>No</v>
      </c>
      <c r="G2407" t="str">
        <f t="shared" si="186"/>
        <v/>
      </c>
      <c r="H2407" t="str">
        <f t="shared" si="187"/>
        <v>—</v>
      </c>
      <c r="I2407" t="str">
        <f t="shared" si="188"/>
        <v>Below thresholds</v>
      </c>
      <c r="J2407" t="str">
        <f t="shared" si="189"/>
        <v/>
      </c>
    </row>
    <row r="2408" spans="1:10" x14ac:dyDescent="0.2">
      <c r="A2408">
        <v>227055945261</v>
      </c>
      <c r="B2408" t="s">
        <v>5468</v>
      </c>
      <c r="C2408" t="s">
        <v>5469</v>
      </c>
      <c r="D2408">
        <v>1</v>
      </c>
      <c r="F2408" t="str">
        <f t="shared" si="185"/>
        <v>No</v>
      </c>
      <c r="G2408" t="str">
        <f t="shared" si="186"/>
        <v/>
      </c>
      <c r="H2408" t="str">
        <f t="shared" si="187"/>
        <v>—</v>
      </c>
      <c r="I2408" t="str">
        <f t="shared" si="188"/>
        <v>Below thresholds</v>
      </c>
      <c r="J2408" t="str">
        <f t="shared" si="189"/>
        <v/>
      </c>
    </row>
    <row r="2409" spans="1:10" x14ac:dyDescent="0.2">
      <c r="A2409">
        <v>227055945279</v>
      </c>
      <c r="B2409" t="s">
        <v>5470</v>
      </c>
      <c r="C2409" t="s">
        <v>5471</v>
      </c>
      <c r="D2409">
        <v>1</v>
      </c>
      <c r="F2409" t="str">
        <f t="shared" si="185"/>
        <v>No</v>
      </c>
      <c r="G2409" t="str">
        <f t="shared" si="186"/>
        <v/>
      </c>
      <c r="H2409" t="str">
        <f t="shared" si="187"/>
        <v>—</v>
      </c>
      <c r="I2409" t="str">
        <f t="shared" si="188"/>
        <v>Below thresholds</v>
      </c>
      <c r="J2409" t="str">
        <f t="shared" si="189"/>
        <v/>
      </c>
    </row>
    <row r="2410" spans="1:10" x14ac:dyDescent="0.2">
      <c r="A2410">
        <v>227061326649</v>
      </c>
      <c r="B2410" t="s">
        <v>334</v>
      </c>
      <c r="C2410" t="s">
        <v>5472</v>
      </c>
      <c r="D2410">
        <v>25</v>
      </c>
      <c r="F2410" t="str">
        <f t="shared" si="185"/>
        <v>No</v>
      </c>
      <c r="G2410" t="str">
        <f t="shared" si="186"/>
        <v/>
      </c>
      <c r="H2410" t="str">
        <f t="shared" si="187"/>
        <v>—</v>
      </c>
      <c r="I2410" t="str">
        <f t="shared" si="188"/>
        <v>$20+ — needs velocity check</v>
      </c>
      <c r="J2410" t="str">
        <f t="shared" si="189"/>
        <v>YES — pull CardHedger</v>
      </c>
    </row>
    <row r="2411" spans="1:10" x14ac:dyDescent="0.2">
      <c r="A2411">
        <v>227062477639</v>
      </c>
      <c r="B2411" t="s">
        <v>5473</v>
      </c>
      <c r="C2411" t="s">
        <v>5474</v>
      </c>
      <c r="D2411">
        <v>332</v>
      </c>
      <c r="F2411" t="str">
        <f t="shared" si="185"/>
        <v>Yes</v>
      </c>
      <c r="G2411">
        <f t="shared" si="186"/>
        <v>10</v>
      </c>
      <c r="H2411" t="str">
        <f t="shared" si="187"/>
        <v>TIER 2</v>
      </c>
      <c r="I2411" t="str">
        <f t="shared" si="188"/>
        <v>Premium $100+ (auto)</v>
      </c>
      <c r="J2411" t="str">
        <f t="shared" si="189"/>
        <v/>
      </c>
    </row>
    <row r="2412" spans="1:10" x14ac:dyDescent="0.2">
      <c r="A2412">
        <v>227064072356</v>
      </c>
      <c r="B2412" t="s">
        <v>5475</v>
      </c>
      <c r="C2412" t="s">
        <v>5476</v>
      </c>
      <c r="D2412">
        <v>1.49</v>
      </c>
      <c r="F2412" t="str">
        <f t="shared" si="185"/>
        <v>No</v>
      </c>
      <c r="G2412" t="str">
        <f t="shared" si="186"/>
        <v/>
      </c>
      <c r="H2412" t="str">
        <f t="shared" si="187"/>
        <v>—</v>
      </c>
      <c r="I2412" t="str">
        <f t="shared" si="188"/>
        <v>Below thresholds</v>
      </c>
      <c r="J2412" t="str">
        <f t="shared" si="189"/>
        <v/>
      </c>
    </row>
    <row r="2413" spans="1:10" x14ac:dyDescent="0.2">
      <c r="A2413">
        <v>227064072358</v>
      </c>
      <c r="B2413" t="s">
        <v>5477</v>
      </c>
      <c r="C2413" t="s">
        <v>5478</v>
      </c>
      <c r="D2413">
        <v>1.99</v>
      </c>
      <c r="F2413" t="str">
        <f t="shared" si="185"/>
        <v>No</v>
      </c>
      <c r="G2413" t="str">
        <f t="shared" si="186"/>
        <v/>
      </c>
      <c r="H2413" t="str">
        <f t="shared" si="187"/>
        <v>—</v>
      </c>
      <c r="I2413" t="str">
        <f t="shared" si="188"/>
        <v>Below thresholds</v>
      </c>
      <c r="J2413" t="str">
        <f t="shared" si="189"/>
        <v/>
      </c>
    </row>
    <row r="2414" spans="1:10" x14ac:dyDescent="0.2">
      <c r="A2414">
        <v>227064072360</v>
      </c>
      <c r="B2414" t="s">
        <v>5479</v>
      </c>
      <c r="C2414" t="s">
        <v>5480</v>
      </c>
      <c r="D2414">
        <v>1.62</v>
      </c>
      <c r="F2414" t="str">
        <f t="shared" si="185"/>
        <v>No</v>
      </c>
      <c r="G2414" t="str">
        <f t="shared" si="186"/>
        <v/>
      </c>
      <c r="H2414" t="str">
        <f t="shared" si="187"/>
        <v>—</v>
      </c>
      <c r="I2414" t="str">
        <f t="shared" si="188"/>
        <v>Below thresholds</v>
      </c>
      <c r="J2414" t="str">
        <f t="shared" si="189"/>
        <v/>
      </c>
    </row>
    <row r="2415" spans="1:10" x14ac:dyDescent="0.2">
      <c r="A2415">
        <v>227064072361</v>
      </c>
      <c r="B2415" t="s">
        <v>5481</v>
      </c>
      <c r="C2415" t="s">
        <v>5482</v>
      </c>
      <c r="D2415">
        <v>1.49</v>
      </c>
      <c r="F2415" t="str">
        <f t="shared" si="185"/>
        <v>No</v>
      </c>
      <c r="G2415" t="str">
        <f t="shared" si="186"/>
        <v/>
      </c>
      <c r="H2415" t="str">
        <f t="shared" si="187"/>
        <v>—</v>
      </c>
      <c r="I2415" t="str">
        <f t="shared" si="188"/>
        <v>Below thresholds</v>
      </c>
      <c r="J2415" t="str">
        <f t="shared" si="189"/>
        <v/>
      </c>
    </row>
    <row r="2416" spans="1:10" x14ac:dyDescent="0.2">
      <c r="A2416">
        <v>227064072363</v>
      </c>
      <c r="B2416" t="s">
        <v>5483</v>
      </c>
      <c r="C2416" t="s">
        <v>5484</v>
      </c>
      <c r="D2416">
        <v>1.99</v>
      </c>
      <c r="F2416" t="str">
        <f t="shared" si="185"/>
        <v>No</v>
      </c>
      <c r="G2416" t="str">
        <f t="shared" si="186"/>
        <v/>
      </c>
      <c r="H2416" t="str">
        <f t="shared" si="187"/>
        <v>—</v>
      </c>
      <c r="I2416" t="str">
        <f t="shared" si="188"/>
        <v>Below thresholds</v>
      </c>
      <c r="J2416" t="str">
        <f t="shared" si="189"/>
        <v/>
      </c>
    </row>
    <row r="2417" spans="1:10" x14ac:dyDescent="0.2">
      <c r="A2417">
        <v>227064072364</v>
      </c>
      <c r="B2417" t="s">
        <v>5485</v>
      </c>
      <c r="C2417" t="s">
        <v>5486</v>
      </c>
      <c r="D2417">
        <v>2.25</v>
      </c>
      <c r="F2417" t="str">
        <f t="shared" si="185"/>
        <v>No</v>
      </c>
      <c r="G2417" t="str">
        <f t="shared" si="186"/>
        <v/>
      </c>
      <c r="H2417" t="str">
        <f t="shared" si="187"/>
        <v>—</v>
      </c>
      <c r="I2417" t="str">
        <f t="shared" si="188"/>
        <v>Below thresholds</v>
      </c>
      <c r="J2417" t="str">
        <f t="shared" si="189"/>
        <v/>
      </c>
    </row>
    <row r="2418" spans="1:10" x14ac:dyDescent="0.2">
      <c r="A2418">
        <v>227064072366</v>
      </c>
      <c r="B2418" t="s">
        <v>5487</v>
      </c>
      <c r="C2418" t="s">
        <v>5488</v>
      </c>
      <c r="D2418">
        <v>1.25</v>
      </c>
      <c r="F2418" t="str">
        <f t="shared" si="185"/>
        <v>No</v>
      </c>
      <c r="G2418" t="str">
        <f t="shared" si="186"/>
        <v/>
      </c>
      <c r="H2418" t="str">
        <f t="shared" si="187"/>
        <v>—</v>
      </c>
      <c r="I2418" t="str">
        <f t="shared" si="188"/>
        <v>Below thresholds</v>
      </c>
      <c r="J2418" t="str">
        <f t="shared" si="189"/>
        <v/>
      </c>
    </row>
    <row r="2419" spans="1:10" x14ac:dyDescent="0.2">
      <c r="A2419">
        <v>227064072367</v>
      </c>
      <c r="B2419" t="s">
        <v>5489</v>
      </c>
      <c r="C2419" t="s">
        <v>5490</v>
      </c>
      <c r="D2419">
        <v>1.99</v>
      </c>
      <c r="F2419" t="str">
        <f t="shared" si="185"/>
        <v>No</v>
      </c>
      <c r="G2419" t="str">
        <f t="shared" si="186"/>
        <v/>
      </c>
      <c r="H2419" t="str">
        <f t="shared" si="187"/>
        <v>—</v>
      </c>
      <c r="I2419" t="str">
        <f t="shared" si="188"/>
        <v>Below thresholds</v>
      </c>
      <c r="J2419" t="str">
        <f t="shared" si="189"/>
        <v/>
      </c>
    </row>
    <row r="2420" spans="1:10" x14ac:dyDescent="0.2">
      <c r="A2420">
        <v>227064072368</v>
      </c>
      <c r="B2420" t="s">
        <v>5491</v>
      </c>
      <c r="C2420" t="s">
        <v>5492</v>
      </c>
      <c r="D2420">
        <v>2.39</v>
      </c>
      <c r="F2420" t="str">
        <f t="shared" si="185"/>
        <v>No</v>
      </c>
      <c r="G2420" t="str">
        <f t="shared" si="186"/>
        <v/>
      </c>
      <c r="H2420" t="str">
        <f t="shared" si="187"/>
        <v>—</v>
      </c>
      <c r="I2420" t="str">
        <f t="shared" si="188"/>
        <v>Below thresholds</v>
      </c>
      <c r="J2420" t="str">
        <f t="shared" si="189"/>
        <v/>
      </c>
    </row>
    <row r="2421" spans="1:10" x14ac:dyDescent="0.2">
      <c r="A2421">
        <v>227064072369</v>
      </c>
      <c r="B2421" t="s">
        <v>5493</v>
      </c>
      <c r="C2421" t="s">
        <v>5494</v>
      </c>
      <c r="D2421">
        <v>18</v>
      </c>
      <c r="F2421" t="str">
        <f t="shared" si="185"/>
        <v>No</v>
      </c>
      <c r="G2421" t="str">
        <f t="shared" si="186"/>
        <v/>
      </c>
      <c r="H2421" t="str">
        <f t="shared" si="187"/>
        <v>—</v>
      </c>
      <c r="I2421" t="str">
        <f t="shared" si="188"/>
        <v>Below thresholds</v>
      </c>
      <c r="J2421" t="str">
        <f t="shared" si="189"/>
        <v/>
      </c>
    </row>
    <row r="2422" spans="1:10" x14ac:dyDescent="0.2">
      <c r="A2422">
        <v>227064072370</v>
      </c>
      <c r="B2422" t="s">
        <v>5495</v>
      </c>
      <c r="C2422" t="s">
        <v>5496</v>
      </c>
      <c r="D2422">
        <v>1.36</v>
      </c>
      <c r="F2422" t="str">
        <f t="shared" si="185"/>
        <v>No</v>
      </c>
      <c r="G2422" t="str">
        <f t="shared" si="186"/>
        <v/>
      </c>
      <c r="H2422" t="str">
        <f t="shared" si="187"/>
        <v>—</v>
      </c>
      <c r="I2422" t="str">
        <f t="shared" si="188"/>
        <v>Below thresholds</v>
      </c>
      <c r="J2422" t="str">
        <f t="shared" si="189"/>
        <v/>
      </c>
    </row>
    <row r="2423" spans="1:10" x14ac:dyDescent="0.2">
      <c r="A2423">
        <v>227064072371</v>
      </c>
      <c r="B2423" t="s">
        <v>5497</v>
      </c>
      <c r="C2423" t="s">
        <v>5498</v>
      </c>
      <c r="D2423">
        <v>5.03</v>
      </c>
      <c r="F2423" t="str">
        <f t="shared" si="185"/>
        <v>No</v>
      </c>
      <c r="G2423" t="str">
        <f t="shared" si="186"/>
        <v/>
      </c>
      <c r="H2423" t="str">
        <f t="shared" si="187"/>
        <v>—</v>
      </c>
      <c r="I2423" t="str">
        <f t="shared" si="188"/>
        <v>Below thresholds</v>
      </c>
      <c r="J2423" t="str">
        <f t="shared" si="189"/>
        <v/>
      </c>
    </row>
    <row r="2424" spans="1:10" x14ac:dyDescent="0.2">
      <c r="A2424">
        <v>227064072373</v>
      </c>
      <c r="B2424" t="s">
        <v>5499</v>
      </c>
      <c r="C2424" t="s">
        <v>5500</v>
      </c>
      <c r="D2424">
        <v>0.99</v>
      </c>
      <c r="F2424" t="str">
        <f t="shared" si="185"/>
        <v>No</v>
      </c>
      <c r="G2424" t="str">
        <f t="shared" si="186"/>
        <v/>
      </c>
      <c r="H2424" t="str">
        <f t="shared" si="187"/>
        <v>—</v>
      </c>
      <c r="I2424" t="str">
        <f t="shared" si="188"/>
        <v>Below thresholds</v>
      </c>
      <c r="J2424" t="str">
        <f t="shared" si="189"/>
        <v/>
      </c>
    </row>
    <row r="2425" spans="1:10" x14ac:dyDescent="0.2">
      <c r="A2425">
        <v>227064072375</v>
      </c>
      <c r="B2425" t="s">
        <v>5501</v>
      </c>
      <c r="C2425" t="s">
        <v>5502</v>
      </c>
      <c r="D2425">
        <v>1.99</v>
      </c>
      <c r="F2425" t="str">
        <f t="shared" si="185"/>
        <v>No</v>
      </c>
      <c r="G2425" t="str">
        <f t="shared" si="186"/>
        <v/>
      </c>
      <c r="H2425" t="str">
        <f t="shared" si="187"/>
        <v>—</v>
      </c>
      <c r="I2425" t="str">
        <f t="shared" si="188"/>
        <v>Below thresholds</v>
      </c>
      <c r="J2425" t="str">
        <f t="shared" si="189"/>
        <v/>
      </c>
    </row>
    <row r="2426" spans="1:10" x14ac:dyDescent="0.2">
      <c r="A2426">
        <v>227064072376</v>
      </c>
      <c r="B2426" t="s">
        <v>5503</v>
      </c>
      <c r="C2426" t="s">
        <v>5504</v>
      </c>
      <c r="D2426">
        <v>1.59</v>
      </c>
      <c r="F2426" t="str">
        <f t="shared" si="185"/>
        <v>No</v>
      </c>
      <c r="G2426" t="str">
        <f t="shared" si="186"/>
        <v/>
      </c>
      <c r="H2426" t="str">
        <f t="shared" si="187"/>
        <v>—</v>
      </c>
      <c r="I2426" t="str">
        <f t="shared" si="188"/>
        <v>Below thresholds</v>
      </c>
      <c r="J2426" t="str">
        <f t="shared" si="189"/>
        <v/>
      </c>
    </row>
    <row r="2427" spans="1:10" x14ac:dyDescent="0.2">
      <c r="A2427">
        <v>227064072377</v>
      </c>
      <c r="B2427" t="s">
        <v>317</v>
      </c>
      <c r="C2427" t="s">
        <v>5505</v>
      </c>
      <c r="D2427">
        <v>2</v>
      </c>
      <c r="F2427" t="str">
        <f t="shared" si="185"/>
        <v>No</v>
      </c>
      <c r="G2427" t="str">
        <f t="shared" si="186"/>
        <v/>
      </c>
      <c r="H2427" t="str">
        <f t="shared" si="187"/>
        <v>—</v>
      </c>
      <c r="I2427" t="str">
        <f t="shared" si="188"/>
        <v>Below thresholds</v>
      </c>
      <c r="J2427" t="str">
        <f t="shared" si="189"/>
        <v/>
      </c>
    </row>
    <row r="2428" spans="1:10" x14ac:dyDescent="0.2">
      <c r="A2428">
        <v>227064072378</v>
      </c>
      <c r="B2428" t="s">
        <v>5506</v>
      </c>
      <c r="C2428" t="s">
        <v>5507</v>
      </c>
      <c r="D2428">
        <v>1.99</v>
      </c>
      <c r="F2428" t="str">
        <f t="shared" si="185"/>
        <v>No</v>
      </c>
      <c r="G2428" t="str">
        <f t="shared" si="186"/>
        <v/>
      </c>
      <c r="H2428" t="str">
        <f t="shared" si="187"/>
        <v>—</v>
      </c>
      <c r="I2428" t="str">
        <f t="shared" si="188"/>
        <v>Below thresholds</v>
      </c>
      <c r="J2428" t="str">
        <f t="shared" si="189"/>
        <v/>
      </c>
    </row>
    <row r="2429" spans="1:10" x14ac:dyDescent="0.2">
      <c r="A2429">
        <v>227064072380</v>
      </c>
      <c r="B2429" t="s">
        <v>5508</v>
      </c>
      <c r="C2429" t="s">
        <v>5509</v>
      </c>
      <c r="D2429">
        <v>1.49</v>
      </c>
      <c r="F2429" t="str">
        <f t="shared" si="185"/>
        <v>No</v>
      </c>
      <c r="G2429" t="str">
        <f t="shared" si="186"/>
        <v/>
      </c>
      <c r="H2429" t="str">
        <f t="shared" si="187"/>
        <v>—</v>
      </c>
      <c r="I2429" t="str">
        <f t="shared" si="188"/>
        <v>Below thresholds</v>
      </c>
      <c r="J2429" t="str">
        <f t="shared" si="189"/>
        <v/>
      </c>
    </row>
    <row r="2430" spans="1:10" x14ac:dyDescent="0.2">
      <c r="A2430">
        <v>227064072387</v>
      </c>
      <c r="B2430" t="s">
        <v>5510</v>
      </c>
      <c r="C2430" t="s">
        <v>5511</v>
      </c>
      <c r="D2430">
        <v>1</v>
      </c>
      <c r="F2430" t="str">
        <f t="shared" si="185"/>
        <v>No</v>
      </c>
      <c r="G2430" t="str">
        <f t="shared" si="186"/>
        <v/>
      </c>
      <c r="H2430" t="str">
        <f t="shared" si="187"/>
        <v>—</v>
      </c>
      <c r="I2430" t="str">
        <f t="shared" si="188"/>
        <v>Below thresholds</v>
      </c>
      <c r="J2430" t="str">
        <f t="shared" si="189"/>
        <v/>
      </c>
    </row>
    <row r="2431" spans="1:10" x14ac:dyDescent="0.2">
      <c r="A2431">
        <v>227064072388</v>
      </c>
      <c r="B2431" t="s">
        <v>5512</v>
      </c>
      <c r="C2431" t="s">
        <v>5513</v>
      </c>
      <c r="D2431">
        <v>3.89</v>
      </c>
      <c r="F2431" t="str">
        <f t="shared" si="185"/>
        <v>No</v>
      </c>
      <c r="G2431" t="str">
        <f t="shared" si="186"/>
        <v/>
      </c>
      <c r="H2431" t="str">
        <f t="shared" si="187"/>
        <v>—</v>
      </c>
      <c r="I2431" t="str">
        <f t="shared" si="188"/>
        <v>Below thresholds</v>
      </c>
      <c r="J2431" t="str">
        <f t="shared" si="189"/>
        <v/>
      </c>
    </row>
    <row r="2432" spans="1:10" x14ac:dyDescent="0.2">
      <c r="A2432">
        <v>227064072390</v>
      </c>
      <c r="B2432" t="s">
        <v>5514</v>
      </c>
      <c r="C2432" t="s">
        <v>5515</v>
      </c>
      <c r="D2432">
        <v>1</v>
      </c>
      <c r="F2432" t="str">
        <f t="shared" si="185"/>
        <v>No</v>
      </c>
      <c r="G2432" t="str">
        <f t="shared" si="186"/>
        <v/>
      </c>
      <c r="H2432" t="str">
        <f t="shared" si="187"/>
        <v>—</v>
      </c>
      <c r="I2432" t="str">
        <f t="shared" si="188"/>
        <v>Below thresholds</v>
      </c>
      <c r="J2432" t="str">
        <f t="shared" si="189"/>
        <v/>
      </c>
    </row>
    <row r="2433" spans="1:10" x14ac:dyDescent="0.2">
      <c r="A2433">
        <v>227064072402</v>
      </c>
      <c r="B2433" t="s">
        <v>5516</v>
      </c>
      <c r="C2433" t="s">
        <v>5517</v>
      </c>
      <c r="D2433">
        <v>1.99</v>
      </c>
      <c r="F2433" t="str">
        <f t="shared" si="185"/>
        <v>No</v>
      </c>
      <c r="G2433" t="str">
        <f t="shared" si="186"/>
        <v/>
      </c>
      <c r="H2433" t="str">
        <f t="shared" si="187"/>
        <v>—</v>
      </c>
      <c r="I2433" t="str">
        <f t="shared" si="188"/>
        <v>Below thresholds</v>
      </c>
      <c r="J2433" t="str">
        <f t="shared" si="189"/>
        <v/>
      </c>
    </row>
    <row r="2434" spans="1:10" x14ac:dyDescent="0.2">
      <c r="A2434">
        <v>227064072404</v>
      </c>
      <c r="B2434" t="s">
        <v>5518</v>
      </c>
      <c r="C2434" t="s">
        <v>5519</v>
      </c>
      <c r="D2434">
        <v>1.99</v>
      </c>
      <c r="F2434" t="str">
        <f t="shared" si="185"/>
        <v>No</v>
      </c>
      <c r="G2434" t="str">
        <f t="shared" si="186"/>
        <v/>
      </c>
      <c r="H2434" t="str">
        <f t="shared" si="187"/>
        <v>—</v>
      </c>
      <c r="I2434" t="str">
        <f t="shared" si="188"/>
        <v>Below thresholds</v>
      </c>
      <c r="J2434" t="str">
        <f t="shared" si="189"/>
        <v/>
      </c>
    </row>
    <row r="2435" spans="1:10" x14ac:dyDescent="0.2">
      <c r="A2435">
        <v>227064072408</v>
      </c>
      <c r="B2435" t="s">
        <v>5520</v>
      </c>
      <c r="C2435" t="s">
        <v>5521</v>
      </c>
      <c r="D2435">
        <v>0.99</v>
      </c>
      <c r="F2435" t="str">
        <f t="shared" si="185"/>
        <v>No</v>
      </c>
      <c r="G2435" t="str">
        <f t="shared" si="186"/>
        <v/>
      </c>
      <c r="H2435" t="str">
        <f t="shared" si="187"/>
        <v>—</v>
      </c>
      <c r="I2435" t="str">
        <f t="shared" si="188"/>
        <v>Below thresholds</v>
      </c>
      <c r="J2435" t="str">
        <f t="shared" si="189"/>
        <v/>
      </c>
    </row>
    <row r="2436" spans="1:10" x14ac:dyDescent="0.2">
      <c r="A2436">
        <v>227064073475</v>
      </c>
      <c r="B2436" t="s">
        <v>5497</v>
      </c>
      <c r="C2436" t="s">
        <v>5522</v>
      </c>
      <c r="D2436">
        <v>5.03</v>
      </c>
      <c r="F2436" t="str">
        <f t="shared" si="185"/>
        <v>No</v>
      </c>
      <c r="G2436" t="str">
        <f t="shared" si="186"/>
        <v/>
      </c>
      <c r="H2436" t="str">
        <f t="shared" si="187"/>
        <v>—</v>
      </c>
      <c r="I2436" t="str">
        <f t="shared" si="188"/>
        <v>Below thresholds</v>
      </c>
      <c r="J2436" t="str">
        <f t="shared" si="189"/>
        <v/>
      </c>
    </row>
    <row r="2437" spans="1:10" x14ac:dyDescent="0.2">
      <c r="A2437">
        <v>227064073520</v>
      </c>
      <c r="B2437" t="s">
        <v>5489</v>
      </c>
      <c r="C2437" t="s">
        <v>5523</v>
      </c>
      <c r="D2437">
        <v>1.99</v>
      </c>
      <c r="F2437" t="str">
        <f t="shared" ref="F2437:F2500" si="190">IF($B2437="","",IF(ISNUMBER(SEARCH("PSA",$B2437)),"Yes","No"))</f>
        <v>No</v>
      </c>
      <c r="G2437" t="str">
        <f t="shared" ref="G2437:G2500" si="191">IF($B2437="","",IF(ISNUMBER(SEARCH("PSA 10",$B2437)),10,IF(ISNUMBER(SEARCH("PSA 9.5",$B2437)),9.5,IF(ISNUMBER(SEARCH("PSA 9",$B2437)),9,IF(ISNUMBER(SEARCH("PSA 8",$B2437)),8,IF(ISNUMBER(SEARCH("PSA",$B2437)),"&lt;9",""))))))</f>
        <v/>
      </c>
      <c r="H2437" t="str">
        <f t="shared" ref="H2437:H2500" si="192">IF($B2437="","",IF($D2437&gt;=100,"TIER 2",IF(OR(ISNUMBER(SEARCH("PSA 10",$B2437)),ISNUMBER(SEARCH("PSA 9.5",$B2437)),ISNUMBER(SEARCH("PSA 9",$B2437))),"TIER 3",IF(AND($D2437&gt;20,N($E2437)&gt;=15),"TIER 1","—"))))</f>
        <v>—</v>
      </c>
      <c r="I2437" t="str">
        <f t="shared" ref="I2437:I2500" si="193">IF($B2437="","",IF($D2437&gt;=100,"Premium $100+ (auto)",IF(OR(ISNUMBER(SEARCH("PSA 10",$B2437)),ISNUMBER(SEARCH("PSA 9.5",$B2437)),ISNUMBER(SEARCH("PSA 9",$B2437))),"Graded PSA 9+ (auto)",IF(AND($D2437&gt;20,N($E2437)&gt;=15),"Hot: $20+ &amp; "&amp;$E2437&amp;"/day",IF($D2437&gt;20,"$20+ — needs velocity check","Below thresholds")))))</f>
        <v>Below thresholds</v>
      </c>
      <c r="J2437" t="str">
        <f t="shared" ref="J2437:J2500" si="194">IF($B2437="","",IF(AND($D2437&gt;20,$D2437&lt;100,NOT(OR(ISNUMBER(SEARCH("PSA 10",$B2437)),ISNUMBER(SEARCH("PSA 9.5",$B2437)),ISNUMBER(SEARCH("PSA 9",$B2437)))),$E2437=""),"YES — pull CardHedger",""))</f>
        <v/>
      </c>
    </row>
    <row r="2438" spans="1:10" x14ac:dyDescent="0.2">
      <c r="A2438">
        <v>227064073819</v>
      </c>
      <c r="B2438" t="s">
        <v>5518</v>
      </c>
      <c r="C2438" t="s">
        <v>5524</v>
      </c>
      <c r="D2438">
        <v>1.99</v>
      </c>
      <c r="F2438" t="str">
        <f t="shared" si="190"/>
        <v>No</v>
      </c>
      <c r="G2438" t="str">
        <f t="shared" si="191"/>
        <v/>
      </c>
      <c r="H2438" t="str">
        <f t="shared" si="192"/>
        <v>—</v>
      </c>
      <c r="I2438" t="str">
        <f t="shared" si="193"/>
        <v>Below thresholds</v>
      </c>
      <c r="J2438" t="str">
        <f t="shared" si="194"/>
        <v/>
      </c>
    </row>
    <row r="2439" spans="1:10" x14ac:dyDescent="0.2">
      <c r="A2439">
        <v>227064073873</v>
      </c>
      <c r="B2439" t="s">
        <v>5512</v>
      </c>
      <c r="C2439" t="s">
        <v>5525</v>
      </c>
      <c r="D2439">
        <v>3.89</v>
      </c>
      <c r="F2439" t="str">
        <f t="shared" si="190"/>
        <v>No</v>
      </c>
      <c r="G2439" t="str">
        <f t="shared" si="191"/>
        <v/>
      </c>
      <c r="H2439" t="str">
        <f t="shared" si="192"/>
        <v>—</v>
      </c>
      <c r="I2439" t="str">
        <f t="shared" si="193"/>
        <v>Below thresholds</v>
      </c>
      <c r="J2439" t="str">
        <f t="shared" si="194"/>
        <v/>
      </c>
    </row>
    <row r="2440" spans="1:10" x14ac:dyDescent="0.2">
      <c r="A2440">
        <v>227064074168</v>
      </c>
      <c r="B2440" t="s">
        <v>5526</v>
      </c>
      <c r="C2440" t="s">
        <v>5527</v>
      </c>
      <c r="D2440">
        <v>1.99</v>
      </c>
      <c r="F2440" t="str">
        <f t="shared" si="190"/>
        <v>No</v>
      </c>
      <c r="G2440" t="str">
        <f t="shared" si="191"/>
        <v/>
      </c>
      <c r="H2440" t="str">
        <f t="shared" si="192"/>
        <v>—</v>
      </c>
      <c r="I2440" t="str">
        <f t="shared" si="193"/>
        <v>Below thresholds</v>
      </c>
      <c r="J2440" t="str">
        <f t="shared" si="194"/>
        <v/>
      </c>
    </row>
    <row r="2441" spans="1:10" x14ac:dyDescent="0.2">
      <c r="A2441">
        <v>227064074196</v>
      </c>
      <c r="B2441" t="s">
        <v>5528</v>
      </c>
      <c r="C2441" t="s">
        <v>5529</v>
      </c>
      <c r="D2441">
        <v>1.99</v>
      </c>
      <c r="F2441" t="str">
        <f t="shared" si="190"/>
        <v>No</v>
      </c>
      <c r="G2441" t="str">
        <f t="shared" si="191"/>
        <v/>
      </c>
      <c r="H2441" t="str">
        <f t="shared" si="192"/>
        <v>—</v>
      </c>
      <c r="I2441" t="str">
        <f t="shared" si="193"/>
        <v>Below thresholds</v>
      </c>
      <c r="J2441" t="str">
        <f t="shared" si="194"/>
        <v/>
      </c>
    </row>
    <row r="2442" spans="1:10" x14ac:dyDescent="0.2">
      <c r="A2442">
        <v>227064074593</v>
      </c>
      <c r="B2442" t="s">
        <v>5530</v>
      </c>
      <c r="C2442" t="s">
        <v>5531</v>
      </c>
      <c r="D2442">
        <v>1.49</v>
      </c>
      <c r="F2442" t="str">
        <f t="shared" si="190"/>
        <v>No</v>
      </c>
      <c r="G2442" t="str">
        <f t="shared" si="191"/>
        <v/>
      </c>
      <c r="H2442" t="str">
        <f t="shared" si="192"/>
        <v>—</v>
      </c>
      <c r="I2442" t="str">
        <f t="shared" si="193"/>
        <v>Below thresholds</v>
      </c>
      <c r="J2442" t="str">
        <f t="shared" si="194"/>
        <v/>
      </c>
    </row>
    <row r="2443" spans="1:10" x14ac:dyDescent="0.2">
      <c r="A2443">
        <v>227064074878</v>
      </c>
      <c r="B2443" t="s">
        <v>5483</v>
      </c>
      <c r="C2443" t="s">
        <v>5532</v>
      </c>
      <c r="D2443">
        <v>1.99</v>
      </c>
      <c r="F2443" t="str">
        <f t="shared" si="190"/>
        <v>No</v>
      </c>
      <c r="G2443" t="str">
        <f t="shared" si="191"/>
        <v/>
      </c>
      <c r="H2443" t="str">
        <f t="shared" si="192"/>
        <v>—</v>
      </c>
      <c r="I2443" t="str">
        <f t="shared" si="193"/>
        <v>Below thresholds</v>
      </c>
      <c r="J2443" t="str">
        <f t="shared" si="194"/>
        <v/>
      </c>
    </row>
    <row r="2444" spans="1:10" x14ac:dyDescent="0.2">
      <c r="A2444">
        <v>227064075195</v>
      </c>
      <c r="B2444" t="s">
        <v>5508</v>
      </c>
      <c r="C2444" t="s">
        <v>5533</v>
      </c>
      <c r="D2444">
        <v>1.49</v>
      </c>
      <c r="F2444" t="str">
        <f t="shared" si="190"/>
        <v>No</v>
      </c>
      <c r="G2444" t="str">
        <f t="shared" si="191"/>
        <v/>
      </c>
      <c r="H2444" t="str">
        <f t="shared" si="192"/>
        <v>—</v>
      </c>
      <c r="I2444" t="str">
        <f t="shared" si="193"/>
        <v>Below thresholds</v>
      </c>
      <c r="J2444" t="str">
        <f t="shared" si="194"/>
        <v/>
      </c>
    </row>
    <row r="2445" spans="1:10" x14ac:dyDescent="0.2">
      <c r="A2445">
        <v>227064075432</v>
      </c>
      <c r="B2445" t="s">
        <v>5534</v>
      </c>
      <c r="C2445" t="s">
        <v>5535</v>
      </c>
      <c r="D2445">
        <v>1.99</v>
      </c>
      <c r="F2445" t="str">
        <f t="shared" si="190"/>
        <v>No</v>
      </c>
      <c r="G2445" t="str">
        <f t="shared" si="191"/>
        <v/>
      </c>
      <c r="H2445" t="str">
        <f t="shared" si="192"/>
        <v>—</v>
      </c>
      <c r="I2445" t="str">
        <f t="shared" si="193"/>
        <v>Below thresholds</v>
      </c>
      <c r="J2445" t="str">
        <f t="shared" si="194"/>
        <v/>
      </c>
    </row>
    <row r="2446" spans="1:10" x14ac:dyDescent="0.2">
      <c r="A2446">
        <v>227064075546</v>
      </c>
      <c r="B2446" t="s">
        <v>5477</v>
      </c>
      <c r="C2446" t="s">
        <v>5536</v>
      </c>
      <c r="D2446">
        <v>1.99</v>
      </c>
      <c r="F2446" t="str">
        <f t="shared" si="190"/>
        <v>No</v>
      </c>
      <c r="G2446" t="str">
        <f t="shared" si="191"/>
        <v/>
      </c>
      <c r="H2446" t="str">
        <f t="shared" si="192"/>
        <v>—</v>
      </c>
      <c r="I2446" t="str">
        <f t="shared" si="193"/>
        <v>Below thresholds</v>
      </c>
      <c r="J2446" t="str">
        <f t="shared" si="194"/>
        <v/>
      </c>
    </row>
    <row r="2447" spans="1:10" x14ac:dyDescent="0.2">
      <c r="A2447">
        <v>227064075585</v>
      </c>
      <c r="B2447" t="s">
        <v>5537</v>
      </c>
      <c r="C2447" t="s">
        <v>5538</v>
      </c>
      <c r="D2447">
        <v>1.99</v>
      </c>
      <c r="F2447" t="str">
        <f t="shared" si="190"/>
        <v>No</v>
      </c>
      <c r="G2447" t="str">
        <f t="shared" si="191"/>
        <v/>
      </c>
      <c r="H2447" t="str">
        <f t="shared" si="192"/>
        <v>—</v>
      </c>
      <c r="I2447" t="str">
        <f t="shared" si="193"/>
        <v>Below thresholds</v>
      </c>
      <c r="J2447" t="str">
        <f t="shared" si="194"/>
        <v/>
      </c>
    </row>
    <row r="2448" spans="1:10" x14ac:dyDescent="0.2">
      <c r="A2448">
        <v>227064075822</v>
      </c>
      <c r="B2448" t="s">
        <v>5539</v>
      </c>
      <c r="C2448" t="s">
        <v>5540</v>
      </c>
      <c r="D2448">
        <v>1.29</v>
      </c>
      <c r="F2448" t="str">
        <f t="shared" si="190"/>
        <v>No</v>
      </c>
      <c r="G2448" t="str">
        <f t="shared" si="191"/>
        <v/>
      </c>
      <c r="H2448" t="str">
        <f t="shared" si="192"/>
        <v>—</v>
      </c>
      <c r="I2448" t="str">
        <f t="shared" si="193"/>
        <v>Below thresholds</v>
      </c>
      <c r="J2448" t="str">
        <f t="shared" si="194"/>
        <v/>
      </c>
    </row>
    <row r="2449" spans="1:10" x14ac:dyDescent="0.2">
      <c r="A2449">
        <v>227064075917</v>
      </c>
      <c r="B2449" t="s">
        <v>5541</v>
      </c>
      <c r="C2449" t="s">
        <v>5542</v>
      </c>
      <c r="D2449">
        <v>1.75</v>
      </c>
      <c r="F2449" t="str">
        <f t="shared" si="190"/>
        <v>No</v>
      </c>
      <c r="G2449" t="str">
        <f t="shared" si="191"/>
        <v/>
      </c>
      <c r="H2449" t="str">
        <f t="shared" si="192"/>
        <v>—</v>
      </c>
      <c r="I2449" t="str">
        <f t="shared" si="193"/>
        <v>Below thresholds</v>
      </c>
      <c r="J2449" t="str">
        <f t="shared" si="194"/>
        <v/>
      </c>
    </row>
    <row r="2450" spans="1:10" x14ac:dyDescent="0.2">
      <c r="A2450">
        <v>227064076113</v>
      </c>
      <c r="B2450" t="s">
        <v>5501</v>
      </c>
      <c r="C2450" t="s">
        <v>5543</v>
      </c>
      <c r="D2450">
        <v>1.99</v>
      </c>
      <c r="F2450" t="str">
        <f t="shared" si="190"/>
        <v>No</v>
      </c>
      <c r="G2450" t="str">
        <f t="shared" si="191"/>
        <v/>
      </c>
      <c r="H2450" t="str">
        <f t="shared" si="192"/>
        <v>—</v>
      </c>
      <c r="I2450" t="str">
        <f t="shared" si="193"/>
        <v>Below thresholds</v>
      </c>
      <c r="J2450" t="str">
        <f t="shared" si="194"/>
        <v/>
      </c>
    </row>
    <row r="2451" spans="1:10" x14ac:dyDescent="0.2">
      <c r="A2451">
        <v>227064076282</v>
      </c>
      <c r="B2451" t="s">
        <v>5544</v>
      </c>
      <c r="C2451" t="s">
        <v>5545</v>
      </c>
      <c r="D2451">
        <v>2.57</v>
      </c>
      <c r="F2451" t="str">
        <f t="shared" si="190"/>
        <v>No</v>
      </c>
      <c r="G2451" t="str">
        <f t="shared" si="191"/>
        <v/>
      </c>
      <c r="H2451" t="str">
        <f t="shared" si="192"/>
        <v>—</v>
      </c>
      <c r="I2451" t="str">
        <f t="shared" si="193"/>
        <v>Below thresholds</v>
      </c>
      <c r="J2451" t="str">
        <f t="shared" si="194"/>
        <v/>
      </c>
    </row>
    <row r="2452" spans="1:10" x14ac:dyDescent="0.2">
      <c r="A2452">
        <v>227064076323</v>
      </c>
      <c r="B2452" t="s">
        <v>5506</v>
      </c>
      <c r="C2452" t="s">
        <v>5546</v>
      </c>
      <c r="D2452">
        <v>1.99</v>
      </c>
      <c r="F2452" t="str">
        <f t="shared" si="190"/>
        <v>No</v>
      </c>
      <c r="G2452" t="str">
        <f t="shared" si="191"/>
        <v/>
      </c>
      <c r="H2452" t="str">
        <f t="shared" si="192"/>
        <v>—</v>
      </c>
      <c r="I2452" t="str">
        <f t="shared" si="193"/>
        <v>Below thresholds</v>
      </c>
      <c r="J2452" t="str">
        <f t="shared" si="194"/>
        <v/>
      </c>
    </row>
    <row r="2453" spans="1:10" x14ac:dyDescent="0.2">
      <c r="A2453">
        <v>227064076529</v>
      </c>
      <c r="B2453" t="s">
        <v>5547</v>
      </c>
      <c r="C2453" t="s">
        <v>5548</v>
      </c>
      <c r="D2453">
        <v>1.58</v>
      </c>
      <c r="F2453" t="str">
        <f t="shared" si="190"/>
        <v>No</v>
      </c>
      <c r="G2453" t="str">
        <f t="shared" si="191"/>
        <v/>
      </c>
      <c r="H2453" t="str">
        <f t="shared" si="192"/>
        <v>—</v>
      </c>
      <c r="I2453" t="str">
        <f t="shared" si="193"/>
        <v>Below thresholds</v>
      </c>
      <c r="J2453" t="str">
        <f t="shared" si="194"/>
        <v/>
      </c>
    </row>
    <row r="2454" spans="1:10" x14ac:dyDescent="0.2">
      <c r="A2454">
        <v>227064076677</v>
      </c>
      <c r="B2454" t="s">
        <v>5549</v>
      </c>
      <c r="C2454" t="s">
        <v>5550</v>
      </c>
      <c r="D2454">
        <v>2.09</v>
      </c>
      <c r="F2454" t="str">
        <f t="shared" si="190"/>
        <v>No</v>
      </c>
      <c r="G2454" t="str">
        <f t="shared" si="191"/>
        <v/>
      </c>
      <c r="H2454" t="str">
        <f t="shared" si="192"/>
        <v>—</v>
      </c>
      <c r="I2454" t="str">
        <f t="shared" si="193"/>
        <v>Below thresholds</v>
      </c>
      <c r="J2454" t="str">
        <f t="shared" si="194"/>
        <v/>
      </c>
    </row>
    <row r="2455" spans="1:10" x14ac:dyDescent="0.2">
      <c r="A2455">
        <v>227064076691</v>
      </c>
      <c r="B2455" t="s">
        <v>5499</v>
      </c>
      <c r="C2455" t="s">
        <v>5551</v>
      </c>
      <c r="D2455">
        <v>0.99</v>
      </c>
      <c r="F2455" t="str">
        <f t="shared" si="190"/>
        <v>No</v>
      </c>
      <c r="G2455" t="str">
        <f t="shared" si="191"/>
        <v/>
      </c>
      <c r="H2455" t="str">
        <f t="shared" si="192"/>
        <v>—</v>
      </c>
      <c r="I2455" t="str">
        <f t="shared" si="193"/>
        <v>Below thresholds</v>
      </c>
      <c r="J2455" t="str">
        <f t="shared" si="194"/>
        <v/>
      </c>
    </row>
    <row r="2456" spans="1:10" x14ac:dyDescent="0.2">
      <c r="A2456">
        <v>227064077055</v>
      </c>
      <c r="B2456" t="s">
        <v>5552</v>
      </c>
      <c r="C2456" t="s">
        <v>5553</v>
      </c>
      <c r="D2456">
        <v>4</v>
      </c>
      <c r="F2456" t="str">
        <f t="shared" si="190"/>
        <v>No</v>
      </c>
      <c r="G2456" t="str">
        <f t="shared" si="191"/>
        <v/>
      </c>
      <c r="H2456" t="str">
        <f t="shared" si="192"/>
        <v>—</v>
      </c>
      <c r="I2456" t="str">
        <f t="shared" si="193"/>
        <v>Below thresholds</v>
      </c>
      <c r="J2456" t="str">
        <f t="shared" si="194"/>
        <v/>
      </c>
    </row>
    <row r="2457" spans="1:10" x14ac:dyDescent="0.2">
      <c r="A2457">
        <v>227064077202</v>
      </c>
      <c r="B2457" t="s">
        <v>5475</v>
      </c>
      <c r="C2457" t="s">
        <v>5554</v>
      </c>
      <c r="D2457">
        <v>1.49</v>
      </c>
      <c r="F2457" t="str">
        <f t="shared" si="190"/>
        <v>No</v>
      </c>
      <c r="G2457" t="str">
        <f t="shared" si="191"/>
        <v/>
      </c>
      <c r="H2457" t="str">
        <f t="shared" si="192"/>
        <v>—</v>
      </c>
      <c r="I2457" t="str">
        <f t="shared" si="193"/>
        <v>Below thresholds</v>
      </c>
      <c r="J2457" t="str">
        <f t="shared" si="194"/>
        <v/>
      </c>
    </row>
    <row r="2458" spans="1:10" x14ac:dyDescent="0.2">
      <c r="A2458">
        <v>227064077373</v>
      </c>
      <c r="B2458" t="s">
        <v>5555</v>
      </c>
      <c r="C2458" t="s">
        <v>5556</v>
      </c>
      <c r="D2458">
        <v>0.99</v>
      </c>
      <c r="F2458" t="str">
        <f t="shared" si="190"/>
        <v>No</v>
      </c>
      <c r="G2458" t="str">
        <f t="shared" si="191"/>
        <v/>
      </c>
      <c r="H2458" t="str">
        <f t="shared" si="192"/>
        <v>—</v>
      </c>
      <c r="I2458" t="str">
        <f t="shared" si="193"/>
        <v>Below thresholds</v>
      </c>
      <c r="J2458" t="str">
        <f t="shared" si="194"/>
        <v/>
      </c>
    </row>
    <row r="2459" spans="1:10" x14ac:dyDescent="0.2">
      <c r="A2459">
        <v>227064077380</v>
      </c>
      <c r="B2459" t="s">
        <v>5557</v>
      </c>
      <c r="C2459" t="s">
        <v>5558</v>
      </c>
      <c r="D2459">
        <v>1.8</v>
      </c>
      <c r="F2459" t="str">
        <f t="shared" si="190"/>
        <v>No</v>
      </c>
      <c r="G2459" t="str">
        <f t="shared" si="191"/>
        <v/>
      </c>
      <c r="H2459" t="str">
        <f t="shared" si="192"/>
        <v>—</v>
      </c>
      <c r="I2459" t="str">
        <f t="shared" si="193"/>
        <v>Below thresholds</v>
      </c>
      <c r="J2459" t="str">
        <f t="shared" si="194"/>
        <v/>
      </c>
    </row>
    <row r="2460" spans="1:10" x14ac:dyDescent="0.2">
      <c r="A2460">
        <v>227064077580</v>
      </c>
      <c r="B2460" t="s">
        <v>5481</v>
      </c>
      <c r="C2460" t="s">
        <v>5559</v>
      </c>
      <c r="D2460">
        <v>1.49</v>
      </c>
      <c r="F2460" t="str">
        <f t="shared" si="190"/>
        <v>No</v>
      </c>
      <c r="G2460" t="str">
        <f t="shared" si="191"/>
        <v/>
      </c>
      <c r="H2460" t="str">
        <f t="shared" si="192"/>
        <v>—</v>
      </c>
      <c r="I2460" t="str">
        <f t="shared" si="193"/>
        <v>Below thresholds</v>
      </c>
      <c r="J2460" t="str">
        <f t="shared" si="194"/>
        <v/>
      </c>
    </row>
    <row r="2461" spans="1:10" x14ac:dyDescent="0.2">
      <c r="A2461">
        <v>227064077738</v>
      </c>
      <c r="B2461" t="s">
        <v>5560</v>
      </c>
      <c r="C2461" t="s">
        <v>5561</v>
      </c>
      <c r="D2461">
        <v>17.5</v>
      </c>
      <c r="F2461" t="str">
        <f t="shared" si="190"/>
        <v>No</v>
      </c>
      <c r="G2461" t="str">
        <f t="shared" si="191"/>
        <v/>
      </c>
      <c r="H2461" t="str">
        <f t="shared" si="192"/>
        <v>—</v>
      </c>
      <c r="I2461" t="str">
        <f t="shared" si="193"/>
        <v>Below thresholds</v>
      </c>
      <c r="J2461" t="str">
        <f t="shared" si="194"/>
        <v/>
      </c>
    </row>
    <row r="2462" spans="1:10" x14ac:dyDescent="0.2">
      <c r="A2462">
        <v>227064077884</v>
      </c>
      <c r="B2462" t="s">
        <v>5562</v>
      </c>
      <c r="C2462" t="s">
        <v>5563</v>
      </c>
      <c r="D2462">
        <v>0.99</v>
      </c>
      <c r="F2462" t="str">
        <f t="shared" si="190"/>
        <v>No</v>
      </c>
      <c r="G2462" t="str">
        <f t="shared" si="191"/>
        <v/>
      </c>
      <c r="H2462" t="str">
        <f t="shared" si="192"/>
        <v>—</v>
      </c>
      <c r="I2462" t="str">
        <f t="shared" si="193"/>
        <v>Below thresholds</v>
      </c>
      <c r="J2462" t="str">
        <f t="shared" si="194"/>
        <v/>
      </c>
    </row>
    <row r="2463" spans="1:10" x14ac:dyDescent="0.2">
      <c r="A2463">
        <v>227064077936</v>
      </c>
      <c r="B2463" t="s">
        <v>5485</v>
      </c>
      <c r="C2463" t="s">
        <v>5564</v>
      </c>
      <c r="D2463">
        <v>2.25</v>
      </c>
      <c r="F2463" t="str">
        <f t="shared" si="190"/>
        <v>No</v>
      </c>
      <c r="G2463" t="str">
        <f t="shared" si="191"/>
        <v/>
      </c>
      <c r="H2463" t="str">
        <f t="shared" si="192"/>
        <v>—</v>
      </c>
      <c r="I2463" t="str">
        <f t="shared" si="193"/>
        <v>Below thresholds</v>
      </c>
      <c r="J2463" t="str">
        <f t="shared" si="194"/>
        <v/>
      </c>
    </row>
    <row r="2464" spans="1:10" x14ac:dyDescent="0.2">
      <c r="A2464">
        <v>227064078136</v>
      </c>
      <c r="B2464" t="s">
        <v>5493</v>
      </c>
      <c r="C2464" t="s">
        <v>5565</v>
      </c>
      <c r="D2464">
        <v>18</v>
      </c>
      <c r="F2464" t="str">
        <f t="shared" si="190"/>
        <v>No</v>
      </c>
      <c r="G2464" t="str">
        <f t="shared" si="191"/>
        <v/>
      </c>
      <c r="H2464" t="str">
        <f t="shared" si="192"/>
        <v>—</v>
      </c>
      <c r="I2464" t="str">
        <f t="shared" si="193"/>
        <v>Below thresholds</v>
      </c>
      <c r="J2464" t="str">
        <f t="shared" si="194"/>
        <v/>
      </c>
    </row>
    <row r="2465" spans="1:10" x14ac:dyDescent="0.2">
      <c r="A2465">
        <v>227064078454</v>
      </c>
      <c r="B2465" t="s">
        <v>5495</v>
      </c>
      <c r="C2465" t="s">
        <v>5566</v>
      </c>
      <c r="D2465">
        <v>1.36</v>
      </c>
      <c r="F2465" t="str">
        <f t="shared" si="190"/>
        <v>No</v>
      </c>
      <c r="G2465" t="str">
        <f t="shared" si="191"/>
        <v/>
      </c>
      <c r="H2465" t="str">
        <f t="shared" si="192"/>
        <v>—</v>
      </c>
      <c r="I2465" t="str">
        <f t="shared" si="193"/>
        <v>Below thresholds</v>
      </c>
      <c r="J2465" t="str">
        <f t="shared" si="194"/>
        <v/>
      </c>
    </row>
    <row r="2466" spans="1:10" x14ac:dyDescent="0.2">
      <c r="A2466">
        <v>227064078517</v>
      </c>
      <c r="B2466" t="s">
        <v>5567</v>
      </c>
      <c r="C2466" t="s">
        <v>5568</v>
      </c>
      <c r="D2466">
        <v>0.99</v>
      </c>
      <c r="F2466" t="str">
        <f t="shared" si="190"/>
        <v>No</v>
      </c>
      <c r="G2466" t="str">
        <f t="shared" si="191"/>
        <v/>
      </c>
      <c r="H2466" t="str">
        <f t="shared" si="192"/>
        <v>—</v>
      </c>
      <c r="I2466" t="str">
        <f t="shared" si="193"/>
        <v>Below thresholds</v>
      </c>
      <c r="J2466" t="str">
        <f t="shared" si="194"/>
        <v/>
      </c>
    </row>
    <row r="2467" spans="1:10" x14ac:dyDescent="0.2">
      <c r="A2467">
        <v>227064078739</v>
      </c>
      <c r="B2467" t="s">
        <v>5569</v>
      </c>
      <c r="C2467" t="s">
        <v>5570</v>
      </c>
      <c r="D2467">
        <v>1.59</v>
      </c>
      <c r="F2467" t="str">
        <f t="shared" si="190"/>
        <v>No</v>
      </c>
      <c r="G2467" t="str">
        <f t="shared" si="191"/>
        <v/>
      </c>
      <c r="H2467" t="str">
        <f t="shared" si="192"/>
        <v>—</v>
      </c>
      <c r="I2467" t="str">
        <f t="shared" si="193"/>
        <v>Below thresholds</v>
      </c>
      <c r="J2467" t="str">
        <f t="shared" si="194"/>
        <v/>
      </c>
    </row>
    <row r="2468" spans="1:10" x14ac:dyDescent="0.2">
      <c r="A2468">
        <v>227064079055</v>
      </c>
      <c r="B2468" t="s">
        <v>5571</v>
      </c>
      <c r="C2468" t="s">
        <v>5572</v>
      </c>
      <c r="D2468">
        <v>1.59</v>
      </c>
      <c r="F2468" t="str">
        <f t="shared" si="190"/>
        <v>No</v>
      </c>
      <c r="G2468" t="str">
        <f t="shared" si="191"/>
        <v/>
      </c>
      <c r="H2468" t="str">
        <f t="shared" si="192"/>
        <v>—</v>
      </c>
      <c r="I2468" t="str">
        <f t="shared" si="193"/>
        <v>Below thresholds</v>
      </c>
      <c r="J2468" t="str">
        <f t="shared" si="194"/>
        <v/>
      </c>
    </row>
    <row r="2469" spans="1:10" x14ac:dyDescent="0.2">
      <c r="A2469">
        <v>227064079126</v>
      </c>
      <c r="B2469" t="s">
        <v>5491</v>
      </c>
      <c r="C2469" t="s">
        <v>5573</v>
      </c>
      <c r="D2469">
        <v>2.39</v>
      </c>
      <c r="F2469" t="str">
        <f t="shared" si="190"/>
        <v>No</v>
      </c>
      <c r="G2469" t="str">
        <f t="shared" si="191"/>
        <v/>
      </c>
      <c r="H2469" t="str">
        <f t="shared" si="192"/>
        <v>—</v>
      </c>
      <c r="I2469" t="str">
        <f t="shared" si="193"/>
        <v>Below thresholds</v>
      </c>
      <c r="J2469" t="str">
        <f t="shared" si="194"/>
        <v/>
      </c>
    </row>
    <row r="2470" spans="1:10" x14ac:dyDescent="0.2">
      <c r="A2470">
        <v>227064079352</v>
      </c>
      <c r="B2470" t="s">
        <v>5192</v>
      </c>
      <c r="C2470" t="s">
        <v>5574</v>
      </c>
      <c r="D2470">
        <v>1.99</v>
      </c>
      <c r="F2470" t="str">
        <f t="shared" si="190"/>
        <v>No</v>
      </c>
      <c r="G2470" t="str">
        <f t="shared" si="191"/>
        <v/>
      </c>
      <c r="H2470" t="str">
        <f t="shared" si="192"/>
        <v>—</v>
      </c>
      <c r="I2470" t="str">
        <f t="shared" si="193"/>
        <v>Below thresholds</v>
      </c>
      <c r="J2470" t="str">
        <f t="shared" si="194"/>
        <v/>
      </c>
    </row>
    <row r="2471" spans="1:10" x14ac:dyDescent="0.2">
      <c r="A2471">
        <v>227064079711</v>
      </c>
      <c r="B2471" t="s">
        <v>5514</v>
      </c>
      <c r="C2471" t="s">
        <v>5575</v>
      </c>
      <c r="D2471">
        <v>1</v>
      </c>
      <c r="F2471" t="str">
        <f t="shared" si="190"/>
        <v>No</v>
      </c>
      <c r="G2471" t="str">
        <f t="shared" si="191"/>
        <v/>
      </c>
      <c r="H2471" t="str">
        <f t="shared" si="192"/>
        <v>—</v>
      </c>
      <c r="I2471" t="str">
        <f t="shared" si="193"/>
        <v>Below thresholds</v>
      </c>
      <c r="J2471" t="str">
        <f t="shared" si="194"/>
        <v/>
      </c>
    </row>
    <row r="2472" spans="1:10" x14ac:dyDescent="0.2">
      <c r="A2472">
        <v>227064079733</v>
      </c>
      <c r="B2472" t="s">
        <v>5503</v>
      </c>
      <c r="C2472" t="s">
        <v>5576</v>
      </c>
      <c r="D2472">
        <v>1.59</v>
      </c>
      <c r="F2472" t="str">
        <f t="shared" si="190"/>
        <v>No</v>
      </c>
      <c r="G2472" t="str">
        <f t="shared" si="191"/>
        <v/>
      </c>
      <c r="H2472" t="str">
        <f t="shared" si="192"/>
        <v>—</v>
      </c>
      <c r="I2472" t="str">
        <f t="shared" si="193"/>
        <v>Below thresholds</v>
      </c>
      <c r="J2472" t="str">
        <f t="shared" si="194"/>
        <v/>
      </c>
    </row>
    <row r="2473" spans="1:10" x14ac:dyDescent="0.2">
      <c r="A2473">
        <v>227064079949</v>
      </c>
      <c r="B2473" t="s">
        <v>5520</v>
      </c>
      <c r="C2473" t="s">
        <v>5577</v>
      </c>
      <c r="D2473">
        <v>0.99</v>
      </c>
      <c r="F2473" t="str">
        <f t="shared" si="190"/>
        <v>No</v>
      </c>
      <c r="G2473" t="str">
        <f t="shared" si="191"/>
        <v/>
      </c>
      <c r="H2473" t="str">
        <f t="shared" si="192"/>
        <v>—</v>
      </c>
      <c r="I2473" t="str">
        <f t="shared" si="193"/>
        <v>Below thresholds</v>
      </c>
      <c r="J2473" t="str">
        <f t="shared" si="194"/>
        <v/>
      </c>
    </row>
    <row r="2474" spans="1:10" x14ac:dyDescent="0.2">
      <c r="A2474">
        <v>227064080330</v>
      </c>
      <c r="B2474" t="s">
        <v>5510</v>
      </c>
      <c r="C2474" t="s">
        <v>5578</v>
      </c>
      <c r="D2474">
        <v>1</v>
      </c>
      <c r="F2474" t="str">
        <f t="shared" si="190"/>
        <v>No</v>
      </c>
      <c r="G2474" t="str">
        <f t="shared" si="191"/>
        <v/>
      </c>
      <c r="H2474" t="str">
        <f t="shared" si="192"/>
        <v>—</v>
      </c>
      <c r="I2474" t="str">
        <f t="shared" si="193"/>
        <v>Below thresholds</v>
      </c>
      <c r="J2474" t="str">
        <f t="shared" si="194"/>
        <v/>
      </c>
    </row>
    <row r="2475" spans="1:10" x14ac:dyDescent="0.2">
      <c r="A2475">
        <v>227064080473</v>
      </c>
      <c r="B2475" t="s">
        <v>5479</v>
      </c>
      <c r="C2475" t="s">
        <v>5579</v>
      </c>
      <c r="D2475">
        <v>1.62</v>
      </c>
      <c r="F2475" t="str">
        <f t="shared" si="190"/>
        <v>No</v>
      </c>
      <c r="G2475" t="str">
        <f t="shared" si="191"/>
        <v/>
      </c>
      <c r="H2475" t="str">
        <f t="shared" si="192"/>
        <v>—</v>
      </c>
      <c r="I2475" t="str">
        <f t="shared" si="193"/>
        <v>Below thresholds</v>
      </c>
      <c r="J2475" t="str">
        <f t="shared" si="194"/>
        <v/>
      </c>
    </row>
    <row r="2476" spans="1:10" x14ac:dyDescent="0.2">
      <c r="A2476">
        <v>227064080643</v>
      </c>
      <c r="B2476" t="s">
        <v>5487</v>
      </c>
      <c r="C2476" t="s">
        <v>5580</v>
      </c>
      <c r="D2476">
        <v>1.25</v>
      </c>
      <c r="F2476" t="str">
        <f t="shared" si="190"/>
        <v>No</v>
      </c>
      <c r="G2476" t="str">
        <f t="shared" si="191"/>
        <v/>
      </c>
      <c r="H2476" t="str">
        <f t="shared" si="192"/>
        <v>—</v>
      </c>
      <c r="I2476" t="str">
        <f t="shared" si="193"/>
        <v>Below thresholds</v>
      </c>
      <c r="J2476" t="str">
        <f t="shared" si="194"/>
        <v/>
      </c>
    </row>
    <row r="2477" spans="1:10" x14ac:dyDescent="0.2">
      <c r="A2477">
        <v>227064081039</v>
      </c>
      <c r="B2477" t="s">
        <v>5516</v>
      </c>
      <c r="C2477" t="s">
        <v>5581</v>
      </c>
      <c r="D2477">
        <v>1.99</v>
      </c>
      <c r="F2477" t="str">
        <f t="shared" si="190"/>
        <v>No</v>
      </c>
      <c r="G2477" t="str">
        <f t="shared" si="191"/>
        <v/>
      </c>
      <c r="H2477" t="str">
        <f t="shared" si="192"/>
        <v>—</v>
      </c>
      <c r="I2477" t="str">
        <f t="shared" si="193"/>
        <v>Below thresholds</v>
      </c>
      <c r="J2477" t="str">
        <f t="shared" si="194"/>
        <v/>
      </c>
    </row>
    <row r="2478" spans="1:10" x14ac:dyDescent="0.2">
      <c r="A2478">
        <v>227064081093</v>
      </c>
      <c r="B2478" t="s">
        <v>5582</v>
      </c>
      <c r="C2478" t="s">
        <v>5583</v>
      </c>
      <c r="D2478">
        <v>2</v>
      </c>
      <c r="F2478" t="str">
        <f t="shared" si="190"/>
        <v>No</v>
      </c>
      <c r="G2478" t="str">
        <f t="shared" si="191"/>
        <v/>
      </c>
      <c r="H2478" t="str">
        <f t="shared" si="192"/>
        <v>—</v>
      </c>
      <c r="I2478" t="str">
        <f t="shared" si="193"/>
        <v>Below thresholds</v>
      </c>
      <c r="J2478" t="str">
        <f t="shared" si="194"/>
        <v/>
      </c>
    </row>
    <row r="2479" spans="1:10" x14ac:dyDescent="0.2">
      <c r="A2479">
        <v>227064081969</v>
      </c>
      <c r="B2479" t="s">
        <v>5584</v>
      </c>
      <c r="C2479" t="s">
        <v>5585</v>
      </c>
      <c r="D2479">
        <v>1.59</v>
      </c>
      <c r="F2479" t="str">
        <f t="shared" si="190"/>
        <v>No</v>
      </c>
      <c r="G2479" t="str">
        <f t="shared" si="191"/>
        <v/>
      </c>
      <c r="H2479" t="str">
        <f t="shared" si="192"/>
        <v>—</v>
      </c>
      <c r="I2479" t="str">
        <f t="shared" si="193"/>
        <v>Below thresholds</v>
      </c>
      <c r="J2479" t="str">
        <f t="shared" si="194"/>
        <v/>
      </c>
    </row>
    <row r="2480" spans="1:10" x14ac:dyDescent="0.2">
      <c r="A2480">
        <v>227064082272</v>
      </c>
      <c r="B2480" t="s">
        <v>317</v>
      </c>
      <c r="C2480" t="s">
        <v>5586</v>
      </c>
      <c r="D2480">
        <v>2</v>
      </c>
      <c r="F2480" t="str">
        <f t="shared" si="190"/>
        <v>No</v>
      </c>
      <c r="G2480" t="str">
        <f t="shared" si="191"/>
        <v/>
      </c>
      <c r="H2480" t="str">
        <f t="shared" si="192"/>
        <v>—</v>
      </c>
      <c r="I2480" t="str">
        <f t="shared" si="193"/>
        <v>Below thresholds</v>
      </c>
      <c r="J2480" t="str">
        <f t="shared" si="194"/>
        <v/>
      </c>
    </row>
    <row r="2481" spans="1:10" x14ac:dyDescent="0.2">
      <c r="A2481">
        <v>227082398302</v>
      </c>
      <c r="B2481" t="s">
        <v>5587</v>
      </c>
      <c r="C2481" t="s">
        <v>5588</v>
      </c>
      <c r="D2481">
        <v>1.99</v>
      </c>
      <c r="F2481" t="str">
        <f t="shared" si="190"/>
        <v>No</v>
      </c>
      <c r="G2481" t="str">
        <f t="shared" si="191"/>
        <v/>
      </c>
      <c r="H2481" t="str">
        <f t="shared" si="192"/>
        <v>—</v>
      </c>
      <c r="I2481" t="str">
        <f t="shared" si="193"/>
        <v>Below thresholds</v>
      </c>
      <c r="J2481" t="str">
        <f t="shared" si="194"/>
        <v/>
      </c>
    </row>
    <row r="2482" spans="1:10" x14ac:dyDescent="0.2">
      <c r="A2482">
        <v>227082398305</v>
      </c>
      <c r="B2482" t="s">
        <v>5589</v>
      </c>
      <c r="C2482" t="s">
        <v>5590</v>
      </c>
      <c r="D2482">
        <v>1.99</v>
      </c>
      <c r="F2482" t="str">
        <f t="shared" si="190"/>
        <v>No</v>
      </c>
      <c r="G2482" t="str">
        <f t="shared" si="191"/>
        <v/>
      </c>
      <c r="H2482" t="str">
        <f t="shared" si="192"/>
        <v>—</v>
      </c>
      <c r="I2482" t="str">
        <f t="shared" si="193"/>
        <v>Below thresholds</v>
      </c>
      <c r="J2482" t="str">
        <f t="shared" si="194"/>
        <v/>
      </c>
    </row>
    <row r="2483" spans="1:10" x14ac:dyDescent="0.2">
      <c r="A2483">
        <v>227082398307</v>
      </c>
      <c r="B2483" t="s">
        <v>5591</v>
      </c>
      <c r="C2483" t="s">
        <v>5592</v>
      </c>
      <c r="D2483">
        <v>4.29</v>
      </c>
      <c r="F2483" t="str">
        <f t="shared" si="190"/>
        <v>No</v>
      </c>
      <c r="G2483" t="str">
        <f t="shared" si="191"/>
        <v/>
      </c>
      <c r="H2483" t="str">
        <f t="shared" si="192"/>
        <v>—</v>
      </c>
      <c r="I2483" t="str">
        <f t="shared" si="193"/>
        <v>Below thresholds</v>
      </c>
      <c r="J2483" t="str">
        <f t="shared" si="194"/>
        <v/>
      </c>
    </row>
    <row r="2484" spans="1:10" x14ac:dyDescent="0.2">
      <c r="A2484">
        <v>227082398308</v>
      </c>
      <c r="B2484" t="s">
        <v>5593</v>
      </c>
      <c r="C2484" t="s">
        <v>5594</v>
      </c>
      <c r="D2484">
        <v>4.29</v>
      </c>
      <c r="F2484" t="str">
        <f t="shared" si="190"/>
        <v>No</v>
      </c>
      <c r="G2484" t="str">
        <f t="shared" si="191"/>
        <v/>
      </c>
      <c r="H2484" t="str">
        <f t="shared" si="192"/>
        <v>—</v>
      </c>
      <c r="I2484" t="str">
        <f t="shared" si="193"/>
        <v>Below thresholds</v>
      </c>
      <c r="J2484" t="str">
        <f t="shared" si="194"/>
        <v/>
      </c>
    </row>
    <row r="2485" spans="1:10" x14ac:dyDescent="0.2">
      <c r="A2485">
        <v>227082398309</v>
      </c>
      <c r="B2485" t="s">
        <v>5595</v>
      </c>
      <c r="C2485" t="s">
        <v>5596</v>
      </c>
      <c r="D2485">
        <v>1.99</v>
      </c>
      <c r="F2485" t="str">
        <f t="shared" si="190"/>
        <v>No</v>
      </c>
      <c r="G2485" t="str">
        <f t="shared" si="191"/>
        <v/>
      </c>
      <c r="H2485" t="str">
        <f t="shared" si="192"/>
        <v>—</v>
      </c>
      <c r="I2485" t="str">
        <f t="shared" si="193"/>
        <v>Below thresholds</v>
      </c>
      <c r="J2485" t="str">
        <f t="shared" si="194"/>
        <v/>
      </c>
    </row>
    <row r="2486" spans="1:10" x14ac:dyDescent="0.2">
      <c r="A2486">
        <v>227082398311</v>
      </c>
      <c r="B2486" t="s">
        <v>4710</v>
      </c>
      <c r="C2486" t="s">
        <v>5597</v>
      </c>
      <c r="D2486">
        <v>2.4900000000000002</v>
      </c>
      <c r="F2486" t="str">
        <f t="shared" si="190"/>
        <v>No</v>
      </c>
      <c r="G2486" t="str">
        <f t="shared" si="191"/>
        <v/>
      </c>
      <c r="H2486" t="str">
        <f t="shared" si="192"/>
        <v>—</v>
      </c>
      <c r="I2486" t="str">
        <f t="shared" si="193"/>
        <v>Below thresholds</v>
      </c>
      <c r="J2486" t="str">
        <f t="shared" si="194"/>
        <v/>
      </c>
    </row>
    <row r="2487" spans="1:10" x14ac:dyDescent="0.2">
      <c r="A2487">
        <v>227082398312</v>
      </c>
      <c r="B2487" t="s">
        <v>5598</v>
      </c>
      <c r="C2487" t="s">
        <v>5599</v>
      </c>
      <c r="D2487">
        <v>1.99</v>
      </c>
      <c r="F2487" t="str">
        <f t="shared" si="190"/>
        <v>No</v>
      </c>
      <c r="G2487" t="str">
        <f t="shared" si="191"/>
        <v/>
      </c>
      <c r="H2487" t="str">
        <f t="shared" si="192"/>
        <v>—</v>
      </c>
      <c r="I2487" t="str">
        <f t="shared" si="193"/>
        <v>Below thresholds</v>
      </c>
      <c r="J2487" t="str">
        <f t="shared" si="194"/>
        <v/>
      </c>
    </row>
    <row r="2488" spans="1:10" x14ac:dyDescent="0.2">
      <c r="A2488">
        <v>227082398314</v>
      </c>
      <c r="B2488" t="s">
        <v>5600</v>
      </c>
      <c r="C2488" t="s">
        <v>5601</v>
      </c>
      <c r="D2488">
        <v>1.99</v>
      </c>
      <c r="F2488" t="str">
        <f t="shared" si="190"/>
        <v>No</v>
      </c>
      <c r="G2488" t="str">
        <f t="shared" si="191"/>
        <v/>
      </c>
      <c r="H2488" t="str">
        <f t="shared" si="192"/>
        <v>—</v>
      </c>
      <c r="I2488" t="str">
        <f t="shared" si="193"/>
        <v>Below thresholds</v>
      </c>
      <c r="J2488" t="str">
        <f t="shared" si="194"/>
        <v/>
      </c>
    </row>
    <row r="2489" spans="1:10" x14ac:dyDescent="0.2">
      <c r="A2489">
        <v>227082398315</v>
      </c>
      <c r="B2489" t="s">
        <v>5602</v>
      </c>
      <c r="C2489" t="s">
        <v>5603</v>
      </c>
      <c r="D2489">
        <v>4.99</v>
      </c>
      <c r="F2489" t="str">
        <f t="shared" si="190"/>
        <v>No</v>
      </c>
      <c r="G2489" t="str">
        <f t="shared" si="191"/>
        <v/>
      </c>
      <c r="H2489" t="str">
        <f t="shared" si="192"/>
        <v>—</v>
      </c>
      <c r="I2489" t="str">
        <f t="shared" si="193"/>
        <v>Below thresholds</v>
      </c>
      <c r="J2489" t="str">
        <f t="shared" si="194"/>
        <v/>
      </c>
    </row>
    <row r="2490" spans="1:10" x14ac:dyDescent="0.2">
      <c r="A2490">
        <v>227082398317</v>
      </c>
      <c r="B2490" t="s">
        <v>5604</v>
      </c>
      <c r="C2490" t="s">
        <v>5605</v>
      </c>
      <c r="D2490">
        <v>1.99</v>
      </c>
      <c r="F2490" t="str">
        <f t="shared" si="190"/>
        <v>No</v>
      </c>
      <c r="G2490" t="str">
        <f t="shared" si="191"/>
        <v/>
      </c>
      <c r="H2490" t="str">
        <f t="shared" si="192"/>
        <v>—</v>
      </c>
      <c r="I2490" t="str">
        <f t="shared" si="193"/>
        <v>Below thresholds</v>
      </c>
      <c r="J2490" t="str">
        <f t="shared" si="194"/>
        <v/>
      </c>
    </row>
    <row r="2491" spans="1:10" x14ac:dyDescent="0.2">
      <c r="A2491">
        <v>227082398318</v>
      </c>
      <c r="B2491" t="s">
        <v>5606</v>
      </c>
      <c r="C2491" t="s">
        <v>5607</v>
      </c>
      <c r="D2491">
        <v>1.99</v>
      </c>
      <c r="F2491" t="str">
        <f t="shared" si="190"/>
        <v>No</v>
      </c>
      <c r="G2491" t="str">
        <f t="shared" si="191"/>
        <v/>
      </c>
      <c r="H2491" t="str">
        <f t="shared" si="192"/>
        <v>—</v>
      </c>
      <c r="I2491" t="str">
        <f t="shared" si="193"/>
        <v>Below thresholds</v>
      </c>
      <c r="J2491" t="str">
        <f t="shared" si="194"/>
        <v/>
      </c>
    </row>
    <row r="2492" spans="1:10" x14ac:dyDescent="0.2">
      <c r="A2492">
        <v>227082398319</v>
      </c>
      <c r="B2492" t="s">
        <v>5608</v>
      </c>
      <c r="C2492" t="s">
        <v>5609</v>
      </c>
      <c r="D2492">
        <v>1.99</v>
      </c>
      <c r="F2492" t="str">
        <f t="shared" si="190"/>
        <v>No</v>
      </c>
      <c r="G2492" t="str">
        <f t="shared" si="191"/>
        <v/>
      </c>
      <c r="H2492" t="str">
        <f t="shared" si="192"/>
        <v>—</v>
      </c>
      <c r="I2492" t="str">
        <f t="shared" si="193"/>
        <v>Below thresholds</v>
      </c>
      <c r="J2492" t="str">
        <f t="shared" si="194"/>
        <v/>
      </c>
    </row>
    <row r="2493" spans="1:10" x14ac:dyDescent="0.2">
      <c r="A2493">
        <v>227082398321</v>
      </c>
      <c r="B2493" t="s">
        <v>5610</v>
      </c>
      <c r="C2493" t="s">
        <v>5611</v>
      </c>
      <c r="D2493">
        <v>1.99</v>
      </c>
      <c r="F2493" t="str">
        <f t="shared" si="190"/>
        <v>No</v>
      </c>
      <c r="G2493" t="str">
        <f t="shared" si="191"/>
        <v/>
      </c>
      <c r="H2493" t="str">
        <f t="shared" si="192"/>
        <v>—</v>
      </c>
      <c r="I2493" t="str">
        <f t="shared" si="193"/>
        <v>Below thresholds</v>
      </c>
      <c r="J2493" t="str">
        <f t="shared" si="194"/>
        <v/>
      </c>
    </row>
    <row r="2494" spans="1:10" x14ac:dyDescent="0.2">
      <c r="A2494">
        <v>227082398323</v>
      </c>
      <c r="B2494" t="s">
        <v>5612</v>
      </c>
      <c r="C2494" t="s">
        <v>5613</v>
      </c>
      <c r="D2494">
        <v>4.09</v>
      </c>
      <c r="F2494" t="str">
        <f t="shared" si="190"/>
        <v>No</v>
      </c>
      <c r="G2494" t="str">
        <f t="shared" si="191"/>
        <v/>
      </c>
      <c r="H2494" t="str">
        <f t="shared" si="192"/>
        <v>—</v>
      </c>
      <c r="I2494" t="str">
        <f t="shared" si="193"/>
        <v>Below thresholds</v>
      </c>
      <c r="J2494" t="str">
        <f t="shared" si="194"/>
        <v/>
      </c>
    </row>
    <row r="2495" spans="1:10" x14ac:dyDescent="0.2">
      <c r="A2495">
        <v>227082398324</v>
      </c>
      <c r="B2495" t="s">
        <v>5614</v>
      </c>
      <c r="C2495" t="s">
        <v>5615</v>
      </c>
      <c r="D2495">
        <v>1.99</v>
      </c>
      <c r="F2495" t="str">
        <f t="shared" si="190"/>
        <v>No</v>
      </c>
      <c r="G2495" t="str">
        <f t="shared" si="191"/>
        <v/>
      </c>
      <c r="H2495" t="str">
        <f t="shared" si="192"/>
        <v>—</v>
      </c>
      <c r="I2495" t="str">
        <f t="shared" si="193"/>
        <v>Below thresholds</v>
      </c>
      <c r="J2495" t="str">
        <f t="shared" si="194"/>
        <v/>
      </c>
    </row>
    <row r="2496" spans="1:10" x14ac:dyDescent="0.2">
      <c r="A2496">
        <v>227082398327</v>
      </c>
      <c r="B2496" t="s">
        <v>5616</v>
      </c>
      <c r="C2496" t="s">
        <v>5617</v>
      </c>
      <c r="D2496">
        <v>1.99</v>
      </c>
      <c r="F2496" t="str">
        <f t="shared" si="190"/>
        <v>No</v>
      </c>
      <c r="G2496" t="str">
        <f t="shared" si="191"/>
        <v/>
      </c>
      <c r="H2496" t="str">
        <f t="shared" si="192"/>
        <v>—</v>
      </c>
      <c r="I2496" t="str">
        <f t="shared" si="193"/>
        <v>Below thresholds</v>
      </c>
      <c r="J2496" t="str">
        <f t="shared" si="194"/>
        <v/>
      </c>
    </row>
    <row r="2497" spans="1:10" x14ac:dyDescent="0.2">
      <c r="A2497">
        <v>227082398328</v>
      </c>
      <c r="B2497" t="s">
        <v>5618</v>
      </c>
      <c r="C2497" t="s">
        <v>5619</v>
      </c>
      <c r="D2497">
        <v>1.99</v>
      </c>
      <c r="F2497" t="str">
        <f t="shared" si="190"/>
        <v>No</v>
      </c>
      <c r="G2497" t="str">
        <f t="shared" si="191"/>
        <v/>
      </c>
      <c r="H2497" t="str">
        <f t="shared" si="192"/>
        <v>—</v>
      </c>
      <c r="I2497" t="str">
        <f t="shared" si="193"/>
        <v>Below thresholds</v>
      </c>
      <c r="J2497" t="str">
        <f t="shared" si="194"/>
        <v/>
      </c>
    </row>
    <row r="2498" spans="1:10" x14ac:dyDescent="0.2">
      <c r="A2498">
        <v>227082398331</v>
      </c>
      <c r="B2498" t="s">
        <v>5620</v>
      </c>
      <c r="C2498" t="s">
        <v>5621</v>
      </c>
      <c r="D2498">
        <v>2.39</v>
      </c>
      <c r="F2498" t="str">
        <f t="shared" si="190"/>
        <v>No</v>
      </c>
      <c r="G2498" t="str">
        <f t="shared" si="191"/>
        <v/>
      </c>
      <c r="H2498" t="str">
        <f t="shared" si="192"/>
        <v>—</v>
      </c>
      <c r="I2498" t="str">
        <f t="shared" si="193"/>
        <v>Below thresholds</v>
      </c>
      <c r="J2498" t="str">
        <f t="shared" si="194"/>
        <v/>
      </c>
    </row>
    <row r="2499" spans="1:10" x14ac:dyDescent="0.2">
      <c r="A2499">
        <v>227082398332</v>
      </c>
      <c r="B2499" t="s">
        <v>5622</v>
      </c>
      <c r="C2499" t="s">
        <v>5623</v>
      </c>
      <c r="D2499">
        <v>0.99</v>
      </c>
      <c r="F2499" t="str">
        <f t="shared" si="190"/>
        <v>No</v>
      </c>
      <c r="G2499" t="str">
        <f t="shared" si="191"/>
        <v/>
      </c>
      <c r="H2499" t="str">
        <f t="shared" si="192"/>
        <v>—</v>
      </c>
      <c r="I2499" t="str">
        <f t="shared" si="193"/>
        <v>Below thresholds</v>
      </c>
      <c r="J2499" t="str">
        <f t="shared" si="194"/>
        <v/>
      </c>
    </row>
    <row r="2500" spans="1:10" x14ac:dyDescent="0.2">
      <c r="A2500">
        <v>227082398334</v>
      </c>
      <c r="B2500" t="s">
        <v>5624</v>
      </c>
      <c r="C2500" t="s">
        <v>5625</v>
      </c>
      <c r="D2500">
        <v>1.99</v>
      </c>
      <c r="F2500" t="str">
        <f t="shared" si="190"/>
        <v>No</v>
      </c>
      <c r="G2500" t="str">
        <f t="shared" si="191"/>
        <v/>
      </c>
      <c r="H2500" t="str">
        <f t="shared" si="192"/>
        <v>—</v>
      </c>
      <c r="I2500" t="str">
        <f t="shared" si="193"/>
        <v>Below thresholds</v>
      </c>
      <c r="J2500" t="str">
        <f t="shared" si="194"/>
        <v/>
      </c>
    </row>
    <row r="2501" spans="1:10" x14ac:dyDescent="0.2">
      <c r="A2501">
        <v>227082398335</v>
      </c>
      <c r="B2501" t="s">
        <v>5626</v>
      </c>
      <c r="C2501" t="s">
        <v>5627</v>
      </c>
      <c r="D2501">
        <v>1.99</v>
      </c>
      <c r="F2501" t="str">
        <f t="shared" ref="F2501:F2564" si="195">IF($B2501="","",IF(ISNUMBER(SEARCH("PSA",$B2501)),"Yes","No"))</f>
        <v>No</v>
      </c>
      <c r="G2501" t="str">
        <f t="shared" ref="G2501:G2564" si="196">IF($B2501="","",IF(ISNUMBER(SEARCH("PSA 10",$B2501)),10,IF(ISNUMBER(SEARCH("PSA 9.5",$B2501)),9.5,IF(ISNUMBER(SEARCH("PSA 9",$B2501)),9,IF(ISNUMBER(SEARCH("PSA 8",$B2501)),8,IF(ISNUMBER(SEARCH("PSA",$B2501)),"&lt;9",""))))))</f>
        <v/>
      </c>
      <c r="H2501" t="str">
        <f t="shared" ref="H2501:H2564" si="197">IF($B2501="","",IF($D2501&gt;=100,"TIER 2",IF(OR(ISNUMBER(SEARCH("PSA 10",$B2501)),ISNUMBER(SEARCH("PSA 9.5",$B2501)),ISNUMBER(SEARCH("PSA 9",$B2501))),"TIER 3",IF(AND($D2501&gt;20,N($E2501)&gt;=15),"TIER 1","—"))))</f>
        <v>—</v>
      </c>
      <c r="I2501" t="str">
        <f t="shared" ref="I2501:I2564" si="198">IF($B2501="","",IF($D2501&gt;=100,"Premium $100+ (auto)",IF(OR(ISNUMBER(SEARCH("PSA 10",$B2501)),ISNUMBER(SEARCH("PSA 9.5",$B2501)),ISNUMBER(SEARCH("PSA 9",$B2501))),"Graded PSA 9+ (auto)",IF(AND($D2501&gt;20,N($E2501)&gt;=15),"Hot: $20+ &amp; "&amp;$E2501&amp;"/day",IF($D2501&gt;20,"$20+ — needs velocity check","Below thresholds")))))</f>
        <v>Below thresholds</v>
      </c>
      <c r="J2501" t="str">
        <f t="shared" ref="J2501:J2564" si="199">IF($B2501="","",IF(AND($D2501&gt;20,$D2501&lt;100,NOT(OR(ISNUMBER(SEARCH("PSA 10",$B2501)),ISNUMBER(SEARCH("PSA 9.5",$B2501)),ISNUMBER(SEARCH("PSA 9",$B2501)))),$E2501=""),"YES — pull CardHedger",""))</f>
        <v/>
      </c>
    </row>
    <row r="2502" spans="1:10" x14ac:dyDescent="0.2">
      <c r="A2502">
        <v>227082398336</v>
      </c>
      <c r="B2502" t="s">
        <v>5628</v>
      </c>
      <c r="C2502" t="s">
        <v>5629</v>
      </c>
      <c r="D2502">
        <v>1.99</v>
      </c>
      <c r="F2502" t="str">
        <f t="shared" si="195"/>
        <v>No</v>
      </c>
      <c r="G2502" t="str">
        <f t="shared" si="196"/>
        <v/>
      </c>
      <c r="H2502" t="str">
        <f t="shared" si="197"/>
        <v>—</v>
      </c>
      <c r="I2502" t="str">
        <f t="shared" si="198"/>
        <v>Below thresholds</v>
      </c>
      <c r="J2502" t="str">
        <f t="shared" si="199"/>
        <v/>
      </c>
    </row>
    <row r="2503" spans="1:10" x14ac:dyDescent="0.2">
      <c r="A2503">
        <v>227082398337</v>
      </c>
      <c r="B2503" t="s">
        <v>5630</v>
      </c>
      <c r="C2503" t="s">
        <v>5631</v>
      </c>
      <c r="D2503">
        <v>2.39</v>
      </c>
      <c r="F2503" t="str">
        <f t="shared" si="195"/>
        <v>No</v>
      </c>
      <c r="G2503" t="str">
        <f t="shared" si="196"/>
        <v/>
      </c>
      <c r="H2503" t="str">
        <f t="shared" si="197"/>
        <v>—</v>
      </c>
      <c r="I2503" t="str">
        <f t="shared" si="198"/>
        <v>Below thresholds</v>
      </c>
      <c r="J2503" t="str">
        <f t="shared" si="199"/>
        <v/>
      </c>
    </row>
    <row r="2504" spans="1:10" x14ac:dyDescent="0.2">
      <c r="A2504">
        <v>227082398338</v>
      </c>
      <c r="B2504" t="s">
        <v>5632</v>
      </c>
      <c r="C2504" t="s">
        <v>5633</v>
      </c>
      <c r="D2504">
        <v>0.99</v>
      </c>
      <c r="F2504" t="str">
        <f t="shared" si="195"/>
        <v>No</v>
      </c>
      <c r="G2504" t="str">
        <f t="shared" si="196"/>
        <v/>
      </c>
      <c r="H2504" t="str">
        <f t="shared" si="197"/>
        <v>—</v>
      </c>
      <c r="I2504" t="str">
        <f t="shared" si="198"/>
        <v>Below thresholds</v>
      </c>
      <c r="J2504" t="str">
        <f t="shared" si="199"/>
        <v/>
      </c>
    </row>
    <row r="2505" spans="1:10" x14ac:dyDescent="0.2">
      <c r="A2505">
        <v>227082398340</v>
      </c>
      <c r="B2505" t="s">
        <v>5634</v>
      </c>
      <c r="C2505" t="s">
        <v>5635</v>
      </c>
      <c r="D2505">
        <v>1.99</v>
      </c>
      <c r="F2505" t="str">
        <f t="shared" si="195"/>
        <v>No</v>
      </c>
      <c r="G2505" t="str">
        <f t="shared" si="196"/>
        <v/>
      </c>
      <c r="H2505" t="str">
        <f t="shared" si="197"/>
        <v>—</v>
      </c>
      <c r="I2505" t="str">
        <f t="shared" si="198"/>
        <v>Below thresholds</v>
      </c>
      <c r="J2505" t="str">
        <f t="shared" si="199"/>
        <v/>
      </c>
    </row>
    <row r="2506" spans="1:10" x14ac:dyDescent="0.2">
      <c r="A2506">
        <v>227082398341</v>
      </c>
      <c r="B2506" t="s">
        <v>5636</v>
      </c>
      <c r="C2506" t="s">
        <v>5637</v>
      </c>
      <c r="D2506">
        <v>1.99</v>
      </c>
      <c r="F2506" t="str">
        <f t="shared" si="195"/>
        <v>No</v>
      </c>
      <c r="G2506" t="str">
        <f t="shared" si="196"/>
        <v/>
      </c>
      <c r="H2506" t="str">
        <f t="shared" si="197"/>
        <v>—</v>
      </c>
      <c r="I2506" t="str">
        <f t="shared" si="198"/>
        <v>Below thresholds</v>
      </c>
      <c r="J2506" t="str">
        <f t="shared" si="199"/>
        <v/>
      </c>
    </row>
    <row r="2507" spans="1:10" x14ac:dyDescent="0.2">
      <c r="A2507">
        <v>227082398343</v>
      </c>
      <c r="B2507" t="s">
        <v>314</v>
      </c>
      <c r="C2507" t="s">
        <v>5638</v>
      </c>
      <c r="D2507">
        <v>1.99</v>
      </c>
      <c r="F2507" t="str">
        <f t="shared" si="195"/>
        <v>No</v>
      </c>
      <c r="G2507" t="str">
        <f t="shared" si="196"/>
        <v/>
      </c>
      <c r="H2507" t="str">
        <f t="shared" si="197"/>
        <v>—</v>
      </c>
      <c r="I2507" t="str">
        <f t="shared" si="198"/>
        <v>Below thresholds</v>
      </c>
      <c r="J2507" t="str">
        <f t="shared" si="199"/>
        <v/>
      </c>
    </row>
    <row r="2508" spans="1:10" x14ac:dyDescent="0.2">
      <c r="A2508">
        <v>227082448570</v>
      </c>
      <c r="B2508" t="s">
        <v>5639</v>
      </c>
      <c r="C2508" t="s">
        <v>5640</v>
      </c>
      <c r="D2508">
        <v>2.2400000000000002</v>
      </c>
      <c r="F2508" t="str">
        <f t="shared" si="195"/>
        <v>No</v>
      </c>
      <c r="G2508" t="str">
        <f t="shared" si="196"/>
        <v/>
      </c>
      <c r="H2508" t="str">
        <f t="shared" si="197"/>
        <v>—</v>
      </c>
      <c r="I2508" t="str">
        <f t="shared" si="198"/>
        <v>Below thresholds</v>
      </c>
      <c r="J2508" t="str">
        <f t="shared" si="199"/>
        <v/>
      </c>
    </row>
    <row r="2509" spans="1:10" x14ac:dyDescent="0.2">
      <c r="A2509">
        <v>227082448848</v>
      </c>
      <c r="B2509" t="s">
        <v>5641</v>
      </c>
      <c r="C2509" t="s">
        <v>5642</v>
      </c>
      <c r="D2509">
        <v>5.03</v>
      </c>
      <c r="F2509" t="str">
        <f t="shared" si="195"/>
        <v>No</v>
      </c>
      <c r="G2509" t="str">
        <f t="shared" si="196"/>
        <v/>
      </c>
      <c r="H2509" t="str">
        <f t="shared" si="197"/>
        <v>—</v>
      </c>
      <c r="I2509" t="str">
        <f t="shared" si="198"/>
        <v>Below thresholds</v>
      </c>
      <c r="J2509" t="str">
        <f t="shared" si="199"/>
        <v/>
      </c>
    </row>
    <row r="2510" spans="1:10" x14ac:dyDescent="0.2">
      <c r="A2510">
        <v>227082448852</v>
      </c>
      <c r="B2510" t="s">
        <v>5643</v>
      </c>
      <c r="C2510" t="s">
        <v>5644</v>
      </c>
      <c r="D2510">
        <v>1.9</v>
      </c>
      <c r="F2510" t="str">
        <f t="shared" si="195"/>
        <v>No</v>
      </c>
      <c r="G2510" t="str">
        <f t="shared" si="196"/>
        <v/>
      </c>
      <c r="H2510" t="str">
        <f t="shared" si="197"/>
        <v>—</v>
      </c>
      <c r="I2510" t="str">
        <f t="shared" si="198"/>
        <v>Below thresholds</v>
      </c>
      <c r="J2510" t="str">
        <f t="shared" si="199"/>
        <v/>
      </c>
    </row>
    <row r="2511" spans="1:10" x14ac:dyDescent="0.2">
      <c r="A2511">
        <v>227082652093</v>
      </c>
      <c r="B2511" t="s">
        <v>5645</v>
      </c>
      <c r="C2511" t="s">
        <v>5646</v>
      </c>
      <c r="D2511">
        <v>18.25</v>
      </c>
      <c r="F2511" t="str">
        <f t="shared" si="195"/>
        <v>No</v>
      </c>
      <c r="G2511" t="str">
        <f t="shared" si="196"/>
        <v/>
      </c>
      <c r="H2511" t="str">
        <f t="shared" si="197"/>
        <v>—</v>
      </c>
      <c r="I2511" t="str">
        <f t="shared" si="198"/>
        <v>Below thresholds</v>
      </c>
      <c r="J2511" t="str">
        <f t="shared" si="199"/>
        <v/>
      </c>
    </row>
    <row r="2512" spans="1:10" x14ac:dyDescent="0.2">
      <c r="A2512">
        <v>227082742859</v>
      </c>
      <c r="B2512" t="s">
        <v>5647</v>
      </c>
      <c r="C2512" t="s">
        <v>5648</v>
      </c>
      <c r="D2512">
        <v>1.1499999999999999</v>
      </c>
      <c r="F2512" t="str">
        <f t="shared" si="195"/>
        <v>No</v>
      </c>
      <c r="G2512" t="str">
        <f t="shared" si="196"/>
        <v/>
      </c>
      <c r="H2512" t="str">
        <f t="shared" si="197"/>
        <v>—</v>
      </c>
      <c r="I2512" t="str">
        <f t="shared" si="198"/>
        <v>Below thresholds</v>
      </c>
      <c r="J2512" t="str">
        <f t="shared" si="199"/>
        <v/>
      </c>
    </row>
    <row r="2513" spans="1:10" x14ac:dyDescent="0.2">
      <c r="A2513">
        <v>227082742975</v>
      </c>
      <c r="B2513" t="s">
        <v>5649</v>
      </c>
      <c r="C2513" t="s">
        <v>5650</v>
      </c>
      <c r="D2513">
        <v>1.99</v>
      </c>
      <c r="F2513" t="str">
        <f t="shared" si="195"/>
        <v>No</v>
      </c>
      <c r="G2513" t="str">
        <f t="shared" si="196"/>
        <v/>
      </c>
      <c r="H2513" t="str">
        <f t="shared" si="197"/>
        <v>—</v>
      </c>
      <c r="I2513" t="str">
        <f t="shared" si="198"/>
        <v>Below thresholds</v>
      </c>
      <c r="J2513" t="str">
        <f t="shared" si="199"/>
        <v/>
      </c>
    </row>
    <row r="2514" spans="1:10" x14ac:dyDescent="0.2">
      <c r="A2514">
        <v>227082742999</v>
      </c>
      <c r="B2514" t="s">
        <v>5651</v>
      </c>
      <c r="C2514" t="s">
        <v>5652</v>
      </c>
      <c r="D2514">
        <v>1.5</v>
      </c>
      <c r="F2514" t="str">
        <f t="shared" si="195"/>
        <v>No</v>
      </c>
      <c r="G2514" t="str">
        <f t="shared" si="196"/>
        <v/>
      </c>
      <c r="H2514" t="str">
        <f t="shared" si="197"/>
        <v>—</v>
      </c>
      <c r="I2514" t="str">
        <f t="shared" si="198"/>
        <v>Below thresholds</v>
      </c>
      <c r="J2514" t="str">
        <f t="shared" si="199"/>
        <v/>
      </c>
    </row>
    <row r="2515" spans="1:10" x14ac:dyDescent="0.2">
      <c r="A2515">
        <v>227082743158</v>
      </c>
      <c r="B2515" t="s">
        <v>5653</v>
      </c>
      <c r="C2515" t="s">
        <v>5654</v>
      </c>
      <c r="D2515">
        <v>2.99</v>
      </c>
      <c r="F2515" t="str">
        <f t="shared" si="195"/>
        <v>No</v>
      </c>
      <c r="G2515" t="str">
        <f t="shared" si="196"/>
        <v/>
      </c>
      <c r="H2515" t="str">
        <f t="shared" si="197"/>
        <v>—</v>
      </c>
      <c r="I2515" t="str">
        <f t="shared" si="198"/>
        <v>Below thresholds</v>
      </c>
      <c r="J2515" t="str">
        <f t="shared" si="199"/>
        <v/>
      </c>
    </row>
    <row r="2516" spans="1:10" x14ac:dyDescent="0.2">
      <c r="A2516">
        <v>227082743164</v>
      </c>
      <c r="B2516" t="s">
        <v>5655</v>
      </c>
      <c r="C2516" t="s">
        <v>5656</v>
      </c>
      <c r="D2516">
        <v>1.39</v>
      </c>
      <c r="F2516" t="str">
        <f t="shared" si="195"/>
        <v>No</v>
      </c>
      <c r="G2516" t="str">
        <f t="shared" si="196"/>
        <v/>
      </c>
      <c r="H2516" t="str">
        <f t="shared" si="197"/>
        <v>—</v>
      </c>
      <c r="I2516" t="str">
        <f t="shared" si="198"/>
        <v>Below thresholds</v>
      </c>
      <c r="J2516" t="str">
        <f t="shared" si="199"/>
        <v/>
      </c>
    </row>
    <row r="2517" spans="1:10" x14ac:dyDescent="0.2">
      <c r="A2517">
        <v>227082743185</v>
      </c>
      <c r="B2517" t="s">
        <v>5657</v>
      </c>
      <c r="C2517" t="s">
        <v>5658</v>
      </c>
      <c r="D2517">
        <v>2.4900000000000002</v>
      </c>
      <c r="F2517" t="str">
        <f t="shared" si="195"/>
        <v>No</v>
      </c>
      <c r="G2517" t="str">
        <f t="shared" si="196"/>
        <v/>
      </c>
      <c r="H2517" t="str">
        <f t="shared" si="197"/>
        <v>—</v>
      </c>
      <c r="I2517" t="str">
        <f t="shared" si="198"/>
        <v>Below thresholds</v>
      </c>
      <c r="J2517" t="str">
        <f t="shared" si="199"/>
        <v/>
      </c>
    </row>
    <row r="2518" spans="1:10" x14ac:dyDescent="0.2">
      <c r="A2518">
        <v>227082743370</v>
      </c>
      <c r="B2518" t="s">
        <v>5659</v>
      </c>
      <c r="C2518" t="s">
        <v>5660</v>
      </c>
      <c r="D2518">
        <v>1.8</v>
      </c>
      <c r="F2518" t="str">
        <f t="shared" si="195"/>
        <v>No</v>
      </c>
      <c r="G2518" t="str">
        <f t="shared" si="196"/>
        <v/>
      </c>
      <c r="H2518" t="str">
        <f t="shared" si="197"/>
        <v>—</v>
      </c>
      <c r="I2518" t="str">
        <f t="shared" si="198"/>
        <v>Below thresholds</v>
      </c>
      <c r="J2518" t="str">
        <f t="shared" si="199"/>
        <v/>
      </c>
    </row>
    <row r="2519" spans="1:10" x14ac:dyDescent="0.2">
      <c r="A2519">
        <v>227082743371</v>
      </c>
      <c r="B2519" t="s">
        <v>5661</v>
      </c>
      <c r="C2519" t="s">
        <v>5662</v>
      </c>
      <c r="D2519">
        <v>1.27</v>
      </c>
      <c r="F2519" t="str">
        <f t="shared" si="195"/>
        <v>No</v>
      </c>
      <c r="G2519" t="str">
        <f t="shared" si="196"/>
        <v/>
      </c>
      <c r="H2519" t="str">
        <f t="shared" si="197"/>
        <v>—</v>
      </c>
      <c r="I2519" t="str">
        <f t="shared" si="198"/>
        <v>Below thresholds</v>
      </c>
      <c r="J2519" t="str">
        <f t="shared" si="199"/>
        <v/>
      </c>
    </row>
    <row r="2520" spans="1:10" x14ac:dyDescent="0.2">
      <c r="A2520">
        <v>227082743410</v>
      </c>
      <c r="B2520" t="s">
        <v>5663</v>
      </c>
      <c r="C2520" t="s">
        <v>5664</v>
      </c>
      <c r="D2520">
        <v>1.75</v>
      </c>
      <c r="F2520" t="str">
        <f t="shared" si="195"/>
        <v>No</v>
      </c>
      <c r="G2520" t="str">
        <f t="shared" si="196"/>
        <v/>
      </c>
      <c r="H2520" t="str">
        <f t="shared" si="197"/>
        <v>—</v>
      </c>
      <c r="I2520" t="str">
        <f t="shared" si="198"/>
        <v>Below thresholds</v>
      </c>
      <c r="J2520" t="str">
        <f t="shared" si="199"/>
        <v/>
      </c>
    </row>
    <row r="2521" spans="1:10" x14ac:dyDescent="0.2">
      <c r="A2521">
        <v>227082743631</v>
      </c>
      <c r="B2521" t="s">
        <v>5665</v>
      </c>
      <c r="C2521" t="s">
        <v>5666</v>
      </c>
      <c r="D2521">
        <v>1</v>
      </c>
      <c r="F2521" t="str">
        <f t="shared" si="195"/>
        <v>No</v>
      </c>
      <c r="G2521" t="str">
        <f t="shared" si="196"/>
        <v/>
      </c>
      <c r="H2521" t="str">
        <f t="shared" si="197"/>
        <v>—</v>
      </c>
      <c r="I2521" t="str">
        <f t="shared" si="198"/>
        <v>Below thresholds</v>
      </c>
      <c r="J2521" t="str">
        <f t="shared" si="199"/>
        <v/>
      </c>
    </row>
    <row r="2522" spans="1:10" x14ac:dyDescent="0.2">
      <c r="A2522">
        <v>227082743658</v>
      </c>
      <c r="B2522" t="s">
        <v>5667</v>
      </c>
      <c r="C2522" t="s">
        <v>5668</v>
      </c>
      <c r="D2522">
        <v>4.99</v>
      </c>
      <c r="F2522" t="str">
        <f t="shared" si="195"/>
        <v>No</v>
      </c>
      <c r="G2522" t="str">
        <f t="shared" si="196"/>
        <v/>
      </c>
      <c r="H2522" t="str">
        <f t="shared" si="197"/>
        <v>—</v>
      </c>
      <c r="I2522" t="str">
        <f t="shared" si="198"/>
        <v>Below thresholds</v>
      </c>
      <c r="J2522" t="str">
        <f t="shared" si="199"/>
        <v/>
      </c>
    </row>
    <row r="2523" spans="1:10" x14ac:dyDescent="0.2">
      <c r="A2523">
        <v>227082743882</v>
      </c>
      <c r="B2523" t="s">
        <v>1323</v>
      </c>
      <c r="C2523" t="s">
        <v>5669</v>
      </c>
      <c r="D2523">
        <v>1.79</v>
      </c>
      <c r="F2523" t="str">
        <f t="shared" si="195"/>
        <v>No</v>
      </c>
      <c r="G2523" t="str">
        <f t="shared" si="196"/>
        <v/>
      </c>
      <c r="H2523" t="str">
        <f t="shared" si="197"/>
        <v>—</v>
      </c>
      <c r="I2523" t="str">
        <f t="shared" si="198"/>
        <v>Below thresholds</v>
      </c>
      <c r="J2523" t="str">
        <f t="shared" si="199"/>
        <v/>
      </c>
    </row>
    <row r="2524" spans="1:10" x14ac:dyDescent="0.2">
      <c r="A2524">
        <v>227082743884</v>
      </c>
      <c r="B2524" t="s">
        <v>5670</v>
      </c>
      <c r="C2524" t="s">
        <v>5671</v>
      </c>
      <c r="D2524">
        <v>1.5</v>
      </c>
      <c r="F2524" t="str">
        <f t="shared" si="195"/>
        <v>No</v>
      </c>
      <c r="G2524" t="str">
        <f t="shared" si="196"/>
        <v/>
      </c>
      <c r="H2524" t="str">
        <f t="shared" si="197"/>
        <v>—</v>
      </c>
      <c r="I2524" t="str">
        <f t="shared" si="198"/>
        <v>Below thresholds</v>
      </c>
      <c r="J2524" t="str">
        <f t="shared" si="199"/>
        <v/>
      </c>
    </row>
    <row r="2525" spans="1:10" x14ac:dyDescent="0.2">
      <c r="A2525">
        <v>227082743903</v>
      </c>
      <c r="B2525" t="s">
        <v>5672</v>
      </c>
      <c r="C2525" t="s">
        <v>5673</v>
      </c>
      <c r="D2525">
        <v>1.5</v>
      </c>
      <c r="F2525" t="str">
        <f t="shared" si="195"/>
        <v>No</v>
      </c>
      <c r="G2525" t="str">
        <f t="shared" si="196"/>
        <v/>
      </c>
      <c r="H2525" t="str">
        <f t="shared" si="197"/>
        <v>—</v>
      </c>
      <c r="I2525" t="str">
        <f t="shared" si="198"/>
        <v>Below thresholds</v>
      </c>
      <c r="J2525" t="str">
        <f t="shared" si="199"/>
        <v/>
      </c>
    </row>
    <row r="2526" spans="1:10" x14ac:dyDescent="0.2">
      <c r="A2526">
        <v>227082744035</v>
      </c>
      <c r="B2526" t="s">
        <v>5674</v>
      </c>
      <c r="C2526" t="s">
        <v>5675</v>
      </c>
      <c r="D2526">
        <v>1.59</v>
      </c>
      <c r="F2526" t="str">
        <f t="shared" si="195"/>
        <v>No</v>
      </c>
      <c r="G2526" t="str">
        <f t="shared" si="196"/>
        <v/>
      </c>
      <c r="H2526" t="str">
        <f t="shared" si="197"/>
        <v>—</v>
      </c>
      <c r="I2526" t="str">
        <f t="shared" si="198"/>
        <v>Below thresholds</v>
      </c>
      <c r="J2526" t="str">
        <f t="shared" si="199"/>
        <v/>
      </c>
    </row>
    <row r="2527" spans="1:10" x14ac:dyDescent="0.2">
      <c r="A2527">
        <v>227082744046</v>
      </c>
      <c r="B2527" t="s">
        <v>5676</v>
      </c>
      <c r="C2527" t="s">
        <v>5677</v>
      </c>
      <c r="D2527">
        <v>1.47</v>
      </c>
      <c r="F2527" t="str">
        <f t="shared" si="195"/>
        <v>No</v>
      </c>
      <c r="G2527" t="str">
        <f t="shared" si="196"/>
        <v/>
      </c>
      <c r="H2527" t="str">
        <f t="shared" si="197"/>
        <v>—</v>
      </c>
      <c r="I2527" t="str">
        <f t="shared" si="198"/>
        <v>Below thresholds</v>
      </c>
      <c r="J2527" t="str">
        <f t="shared" si="199"/>
        <v/>
      </c>
    </row>
    <row r="2528" spans="1:10" x14ac:dyDescent="0.2">
      <c r="A2528">
        <v>227092783605</v>
      </c>
      <c r="B2528" t="s">
        <v>5678</v>
      </c>
      <c r="C2528" t="s">
        <v>5679</v>
      </c>
      <c r="D2528">
        <v>1.75</v>
      </c>
      <c r="F2528" t="str">
        <f t="shared" si="195"/>
        <v>No</v>
      </c>
      <c r="G2528" t="str">
        <f t="shared" si="196"/>
        <v/>
      </c>
      <c r="H2528" t="str">
        <f t="shared" si="197"/>
        <v>—</v>
      </c>
      <c r="I2528" t="str">
        <f t="shared" si="198"/>
        <v>Below thresholds</v>
      </c>
      <c r="J2528" t="str">
        <f t="shared" si="199"/>
        <v/>
      </c>
    </row>
    <row r="2529" spans="1:10" x14ac:dyDescent="0.2">
      <c r="A2529">
        <v>227092783606</v>
      </c>
      <c r="B2529" t="s">
        <v>5680</v>
      </c>
      <c r="C2529" t="s">
        <v>5681</v>
      </c>
      <c r="D2529">
        <v>5</v>
      </c>
      <c r="F2529" t="str">
        <f t="shared" si="195"/>
        <v>No</v>
      </c>
      <c r="G2529" t="str">
        <f t="shared" si="196"/>
        <v/>
      </c>
      <c r="H2529" t="str">
        <f t="shared" si="197"/>
        <v>—</v>
      </c>
      <c r="I2529" t="str">
        <f t="shared" si="198"/>
        <v>Below thresholds</v>
      </c>
      <c r="J2529" t="str">
        <f t="shared" si="199"/>
        <v/>
      </c>
    </row>
    <row r="2530" spans="1:10" x14ac:dyDescent="0.2">
      <c r="A2530">
        <v>227092783607</v>
      </c>
      <c r="B2530" t="s">
        <v>299</v>
      </c>
      <c r="C2530" t="s">
        <v>5682</v>
      </c>
      <c r="D2530">
        <v>2.3199999999999998</v>
      </c>
      <c r="F2530" t="str">
        <f t="shared" si="195"/>
        <v>No</v>
      </c>
      <c r="G2530" t="str">
        <f t="shared" si="196"/>
        <v/>
      </c>
      <c r="H2530" t="str">
        <f t="shared" si="197"/>
        <v>—</v>
      </c>
      <c r="I2530" t="str">
        <f t="shared" si="198"/>
        <v>Below thresholds</v>
      </c>
      <c r="J2530" t="str">
        <f t="shared" si="199"/>
        <v/>
      </c>
    </row>
    <row r="2531" spans="1:10" x14ac:dyDescent="0.2">
      <c r="A2531">
        <v>227092783608</v>
      </c>
      <c r="B2531" t="s">
        <v>5683</v>
      </c>
      <c r="C2531" t="s">
        <v>5684</v>
      </c>
      <c r="D2531">
        <v>0.99</v>
      </c>
      <c r="F2531" t="str">
        <f t="shared" si="195"/>
        <v>No</v>
      </c>
      <c r="G2531" t="str">
        <f t="shared" si="196"/>
        <v/>
      </c>
      <c r="H2531" t="str">
        <f t="shared" si="197"/>
        <v>—</v>
      </c>
      <c r="I2531" t="str">
        <f t="shared" si="198"/>
        <v>Below thresholds</v>
      </c>
      <c r="J2531" t="str">
        <f t="shared" si="199"/>
        <v/>
      </c>
    </row>
    <row r="2532" spans="1:10" x14ac:dyDescent="0.2">
      <c r="A2532">
        <v>227092783609</v>
      </c>
      <c r="B2532" t="s">
        <v>5685</v>
      </c>
      <c r="C2532" t="s">
        <v>5686</v>
      </c>
      <c r="D2532">
        <v>2.3199999999999998</v>
      </c>
      <c r="F2532" t="str">
        <f t="shared" si="195"/>
        <v>No</v>
      </c>
      <c r="G2532" t="str">
        <f t="shared" si="196"/>
        <v/>
      </c>
      <c r="H2532" t="str">
        <f t="shared" si="197"/>
        <v>—</v>
      </c>
      <c r="I2532" t="str">
        <f t="shared" si="198"/>
        <v>Below thresholds</v>
      </c>
      <c r="J2532" t="str">
        <f t="shared" si="199"/>
        <v/>
      </c>
    </row>
    <row r="2533" spans="1:10" x14ac:dyDescent="0.2">
      <c r="A2533">
        <v>227092783610</v>
      </c>
      <c r="B2533" t="s">
        <v>5687</v>
      </c>
      <c r="C2533" t="s">
        <v>5688</v>
      </c>
      <c r="D2533">
        <v>3</v>
      </c>
      <c r="F2533" t="str">
        <f t="shared" si="195"/>
        <v>No</v>
      </c>
      <c r="G2533" t="str">
        <f t="shared" si="196"/>
        <v/>
      </c>
      <c r="H2533" t="str">
        <f t="shared" si="197"/>
        <v>—</v>
      </c>
      <c r="I2533" t="str">
        <f t="shared" si="198"/>
        <v>Below thresholds</v>
      </c>
      <c r="J2533" t="str">
        <f t="shared" si="199"/>
        <v/>
      </c>
    </row>
    <row r="2534" spans="1:10" x14ac:dyDescent="0.2">
      <c r="A2534">
        <v>227092783611</v>
      </c>
      <c r="B2534" t="s">
        <v>5689</v>
      </c>
      <c r="C2534" t="s">
        <v>5690</v>
      </c>
      <c r="D2534">
        <v>0.99</v>
      </c>
      <c r="F2534" t="str">
        <f t="shared" si="195"/>
        <v>No</v>
      </c>
      <c r="G2534" t="str">
        <f t="shared" si="196"/>
        <v/>
      </c>
      <c r="H2534" t="str">
        <f t="shared" si="197"/>
        <v>—</v>
      </c>
      <c r="I2534" t="str">
        <f t="shared" si="198"/>
        <v>Below thresholds</v>
      </c>
      <c r="J2534" t="str">
        <f t="shared" si="199"/>
        <v/>
      </c>
    </row>
    <row r="2535" spans="1:10" x14ac:dyDescent="0.2">
      <c r="A2535">
        <v>227092783612</v>
      </c>
      <c r="B2535" t="s">
        <v>5691</v>
      </c>
      <c r="C2535" t="s">
        <v>5692</v>
      </c>
      <c r="D2535">
        <v>1</v>
      </c>
      <c r="F2535" t="str">
        <f t="shared" si="195"/>
        <v>No</v>
      </c>
      <c r="G2535" t="str">
        <f t="shared" si="196"/>
        <v/>
      </c>
      <c r="H2535" t="str">
        <f t="shared" si="197"/>
        <v>—</v>
      </c>
      <c r="I2535" t="str">
        <f t="shared" si="198"/>
        <v>Below thresholds</v>
      </c>
      <c r="J2535" t="str">
        <f t="shared" si="199"/>
        <v/>
      </c>
    </row>
    <row r="2536" spans="1:10" x14ac:dyDescent="0.2">
      <c r="A2536">
        <v>227092783613</v>
      </c>
      <c r="B2536" t="s">
        <v>5693</v>
      </c>
      <c r="C2536" t="s">
        <v>5694</v>
      </c>
      <c r="D2536">
        <v>2</v>
      </c>
      <c r="F2536" t="str">
        <f t="shared" si="195"/>
        <v>No</v>
      </c>
      <c r="G2536" t="str">
        <f t="shared" si="196"/>
        <v/>
      </c>
      <c r="H2536" t="str">
        <f t="shared" si="197"/>
        <v>—</v>
      </c>
      <c r="I2536" t="str">
        <f t="shared" si="198"/>
        <v>Below thresholds</v>
      </c>
      <c r="J2536" t="str">
        <f t="shared" si="199"/>
        <v/>
      </c>
    </row>
    <row r="2537" spans="1:10" x14ac:dyDescent="0.2">
      <c r="A2537">
        <v>227092783614</v>
      </c>
      <c r="B2537" t="s">
        <v>5695</v>
      </c>
      <c r="C2537" t="s">
        <v>5696</v>
      </c>
      <c r="D2537">
        <v>2.3199999999999998</v>
      </c>
      <c r="F2537" t="str">
        <f t="shared" si="195"/>
        <v>No</v>
      </c>
      <c r="G2537" t="str">
        <f t="shared" si="196"/>
        <v/>
      </c>
      <c r="H2537" t="str">
        <f t="shared" si="197"/>
        <v>—</v>
      </c>
      <c r="I2537" t="str">
        <f t="shared" si="198"/>
        <v>Below thresholds</v>
      </c>
      <c r="J2537" t="str">
        <f t="shared" si="199"/>
        <v/>
      </c>
    </row>
    <row r="2538" spans="1:10" x14ac:dyDescent="0.2">
      <c r="A2538">
        <v>227092783615</v>
      </c>
      <c r="B2538" t="s">
        <v>5697</v>
      </c>
      <c r="C2538" t="s">
        <v>5698</v>
      </c>
      <c r="D2538">
        <v>1.5</v>
      </c>
      <c r="F2538" t="str">
        <f t="shared" si="195"/>
        <v>No</v>
      </c>
      <c r="G2538" t="str">
        <f t="shared" si="196"/>
        <v/>
      </c>
      <c r="H2538" t="str">
        <f t="shared" si="197"/>
        <v>—</v>
      </c>
      <c r="I2538" t="str">
        <f t="shared" si="198"/>
        <v>Below thresholds</v>
      </c>
      <c r="J2538" t="str">
        <f t="shared" si="199"/>
        <v/>
      </c>
    </row>
    <row r="2539" spans="1:10" x14ac:dyDescent="0.2">
      <c r="A2539">
        <v>227092783617</v>
      </c>
      <c r="B2539" t="s">
        <v>5699</v>
      </c>
      <c r="C2539" t="s">
        <v>5700</v>
      </c>
      <c r="D2539">
        <v>0.99</v>
      </c>
      <c r="F2539" t="str">
        <f t="shared" si="195"/>
        <v>No</v>
      </c>
      <c r="G2539" t="str">
        <f t="shared" si="196"/>
        <v/>
      </c>
      <c r="H2539" t="str">
        <f t="shared" si="197"/>
        <v>—</v>
      </c>
      <c r="I2539" t="str">
        <f t="shared" si="198"/>
        <v>Below thresholds</v>
      </c>
      <c r="J2539" t="str">
        <f t="shared" si="199"/>
        <v/>
      </c>
    </row>
    <row r="2540" spans="1:10" x14ac:dyDescent="0.2">
      <c r="A2540">
        <v>227092783618</v>
      </c>
      <c r="B2540" t="s">
        <v>5701</v>
      </c>
      <c r="C2540" t="s">
        <v>5702</v>
      </c>
      <c r="D2540">
        <v>1.25</v>
      </c>
      <c r="F2540" t="str">
        <f t="shared" si="195"/>
        <v>No</v>
      </c>
      <c r="G2540" t="str">
        <f t="shared" si="196"/>
        <v/>
      </c>
      <c r="H2540" t="str">
        <f t="shared" si="197"/>
        <v>—</v>
      </c>
      <c r="I2540" t="str">
        <f t="shared" si="198"/>
        <v>Below thresholds</v>
      </c>
      <c r="J2540" t="str">
        <f t="shared" si="199"/>
        <v/>
      </c>
    </row>
    <row r="2541" spans="1:10" x14ac:dyDescent="0.2">
      <c r="A2541">
        <v>227092783619</v>
      </c>
      <c r="B2541" t="s">
        <v>5703</v>
      </c>
      <c r="C2541" t="s">
        <v>5704</v>
      </c>
      <c r="D2541">
        <v>1.25</v>
      </c>
      <c r="F2541" t="str">
        <f t="shared" si="195"/>
        <v>No</v>
      </c>
      <c r="G2541" t="str">
        <f t="shared" si="196"/>
        <v/>
      </c>
      <c r="H2541" t="str">
        <f t="shared" si="197"/>
        <v>—</v>
      </c>
      <c r="I2541" t="str">
        <f t="shared" si="198"/>
        <v>Below thresholds</v>
      </c>
      <c r="J2541" t="str">
        <f t="shared" si="199"/>
        <v/>
      </c>
    </row>
    <row r="2542" spans="1:10" x14ac:dyDescent="0.2">
      <c r="A2542">
        <v>227092783620</v>
      </c>
      <c r="B2542" t="s">
        <v>5705</v>
      </c>
      <c r="C2542" t="s">
        <v>5706</v>
      </c>
      <c r="D2542">
        <v>2.3199999999999998</v>
      </c>
      <c r="F2542" t="str">
        <f t="shared" si="195"/>
        <v>No</v>
      </c>
      <c r="G2542" t="str">
        <f t="shared" si="196"/>
        <v/>
      </c>
      <c r="H2542" t="str">
        <f t="shared" si="197"/>
        <v>—</v>
      </c>
      <c r="I2542" t="str">
        <f t="shared" si="198"/>
        <v>Below thresholds</v>
      </c>
      <c r="J2542" t="str">
        <f t="shared" si="199"/>
        <v/>
      </c>
    </row>
    <row r="2543" spans="1:10" x14ac:dyDescent="0.2">
      <c r="A2543">
        <v>227092783621</v>
      </c>
      <c r="B2543" t="s">
        <v>5707</v>
      </c>
      <c r="C2543" t="s">
        <v>5708</v>
      </c>
      <c r="D2543">
        <v>1.4</v>
      </c>
      <c r="F2543" t="str">
        <f t="shared" si="195"/>
        <v>No</v>
      </c>
      <c r="G2543" t="str">
        <f t="shared" si="196"/>
        <v/>
      </c>
      <c r="H2543" t="str">
        <f t="shared" si="197"/>
        <v>—</v>
      </c>
      <c r="I2543" t="str">
        <f t="shared" si="198"/>
        <v>Below thresholds</v>
      </c>
      <c r="J2543" t="str">
        <f t="shared" si="199"/>
        <v/>
      </c>
    </row>
    <row r="2544" spans="1:10" x14ac:dyDescent="0.2">
      <c r="A2544">
        <v>227092783622</v>
      </c>
      <c r="B2544" t="s">
        <v>5709</v>
      </c>
      <c r="C2544" t="s">
        <v>5710</v>
      </c>
      <c r="D2544">
        <v>1.5</v>
      </c>
      <c r="F2544" t="str">
        <f t="shared" si="195"/>
        <v>No</v>
      </c>
      <c r="G2544" t="str">
        <f t="shared" si="196"/>
        <v/>
      </c>
      <c r="H2544" t="str">
        <f t="shared" si="197"/>
        <v>—</v>
      </c>
      <c r="I2544" t="str">
        <f t="shared" si="198"/>
        <v>Below thresholds</v>
      </c>
      <c r="J2544" t="str">
        <f t="shared" si="199"/>
        <v/>
      </c>
    </row>
    <row r="2545" spans="1:10" x14ac:dyDescent="0.2">
      <c r="A2545">
        <v>227092783623</v>
      </c>
      <c r="B2545" t="s">
        <v>5711</v>
      </c>
      <c r="C2545" t="s">
        <v>5712</v>
      </c>
      <c r="D2545">
        <v>1.25</v>
      </c>
      <c r="F2545" t="str">
        <f t="shared" si="195"/>
        <v>No</v>
      </c>
      <c r="G2545" t="str">
        <f t="shared" si="196"/>
        <v/>
      </c>
      <c r="H2545" t="str">
        <f t="shared" si="197"/>
        <v>—</v>
      </c>
      <c r="I2545" t="str">
        <f t="shared" si="198"/>
        <v>Below thresholds</v>
      </c>
      <c r="J2545" t="str">
        <f t="shared" si="199"/>
        <v/>
      </c>
    </row>
    <row r="2546" spans="1:10" x14ac:dyDescent="0.2">
      <c r="A2546">
        <v>227092783625</v>
      </c>
      <c r="B2546" t="s">
        <v>286</v>
      </c>
      <c r="C2546" t="s">
        <v>5713</v>
      </c>
      <c r="D2546">
        <v>2</v>
      </c>
      <c r="F2546" t="str">
        <f t="shared" si="195"/>
        <v>No</v>
      </c>
      <c r="G2546" t="str">
        <f t="shared" si="196"/>
        <v/>
      </c>
      <c r="H2546" t="str">
        <f t="shared" si="197"/>
        <v>—</v>
      </c>
      <c r="I2546" t="str">
        <f t="shared" si="198"/>
        <v>Below thresholds</v>
      </c>
      <c r="J2546" t="str">
        <f t="shared" si="199"/>
        <v/>
      </c>
    </row>
    <row r="2547" spans="1:10" x14ac:dyDescent="0.2">
      <c r="A2547">
        <v>227092783626</v>
      </c>
      <c r="B2547" t="s">
        <v>5714</v>
      </c>
      <c r="C2547" t="s">
        <v>5715</v>
      </c>
      <c r="D2547">
        <v>3.5</v>
      </c>
      <c r="F2547" t="str">
        <f t="shared" si="195"/>
        <v>No</v>
      </c>
      <c r="G2547" t="str">
        <f t="shared" si="196"/>
        <v/>
      </c>
      <c r="H2547" t="str">
        <f t="shared" si="197"/>
        <v>—</v>
      </c>
      <c r="I2547" t="str">
        <f t="shared" si="198"/>
        <v>Below thresholds</v>
      </c>
      <c r="J2547" t="str">
        <f t="shared" si="199"/>
        <v/>
      </c>
    </row>
    <row r="2548" spans="1:10" x14ac:dyDescent="0.2">
      <c r="A2548">
        <v>227092783627</v>
      </c>
      <c r="B2548" t="s">
        <v>269</v>
      </c>
      <c r="C2548" t="s">
        <v>5716</v>
      </c>
      <c r="D2548">
        <v>6</v>
      </c>
      <c r="F2548" t="str">
        <f t="shared" si="195"/>
        <v>No</v>
      </c>
      <c r="G2548" t="str">
        <f t="shared" si="196"/>
        <v/>
      </c>
      <c r="H2548" t="str">
        <f t="shared" si="197"/>
        <v>—</v>
      </c>
      <c r="I2548" t="str">
        <f t="shared" si="198"/>
        <v>Below thresholds</v>
      </c>
      <c r="J2548" t="str">
        <f t="shared" si="199"/>
        <v/>
      </c>
    </row>
    <row r="2549" spans="1:10" x14ac:dyDescent="0.2">
      <c r="A2549">
        <v>227092783628</v>
      </c>
      <c r="B2549" t="s">
        <v>5717</v>
      </c>
      <c r="C2549" t="s">
        <v>5718</v>
      </c>
      <c r="D2549">
        <v>0.99</v>
      </c>
      <c r="F2549" t="str">
        <f t="shared" si="195"/>
        <v>No</v>
      </c>
      <c r="G2549" t="str">
        <f t="shared" si="196"/>
        <v/>
      </c>
      <c r="H2549" t="str">
        <f t="shared" si="197"/>
        <v>—</v>
      </c>
      <c r="I2549" t="str">
        <f t="shared" si="198"/>
        <v>Below thresholds</v>
      </c>
      <c r="J2549" t="str">
        <f t="shared" si="199"/>
        <v/>
      </c>
    </row>
    <row r="2550" spans="1:10" x14ac:dyDescent="0.2">
      <c r="A2550">
        <v>227092783629</v>
      </c>
      <c r="B2550" t="s">
        <v>5719</v>
      </c>
      <c r="C2550" t="s">
        <v>5720</v>
      </c>
      <c r="D2550">
        <v>1</v>
      </c>
      <c r="F2550" t="str">
        <f t="shared" si="195"/>
        <v>No</v>
      </c>
      <c r="G2550" t="str">
        <f t="shared" si="196"/>
        <v/>
      </c>
      <c r="H2550" t="str">
        <f t="shared" si="197"/>
        <v>—</v>
      </c>
      <c r="I2550" t="str">
        <f t="shared" si="198"/>
        <v>Below thresholds</v>
      </c>
      <c r="J2550" t="str">
        <f t="shared" si="199"/>
        <v/>
      </c>
    </row>
    <row r="2551" spans="1:10" x14ac:dyDescent="0.2">
      <c r="A2551">
        <v>227092783630</v>
      </c>
      <c r="B2551" t="s">
        <v>5721</v>
      </c>
      <c r="C2551" t="s">
        <v>5722</v>
      </c>
      <c r="D2551">
        <v>1.5</v>
      </c>
      <c r="F2551" t="str">
        <f t="shared" si="195"/>
        <v>No</v>
      </c>
      <c r="G2551" t="str">
        <f t="shared" si="196"/>
        <v/>
      </c>
      <c r="H2551" t="str">
        <f t="shared" si="197"/>
        <v>—</v>
      </c>
      <c r="I2551" t="str">
        <f t="shared" si="198"/>
        <v>Below thresholds</v>
      </c>
      <c r="J2551" t="str">
        <f t="shared" si="199"/>
        <v/>
      </c>
    </row>
    <row r="2552" spans="1:10" x14ac:dyDescent="0.2">
      <c r="A2552">
        <v>227092783631</v>
      </c>
      <c r="B2552" t="s">
        <v>5723</v>
      </c>
      <c r="C2552" t="s">
        <v>5724</v>
      </c>
      <c r="D2552">
        <v>2.3199999999999998</v>
      </c>
      <c r="F2552" t="str">
        <f t="shared" si="195"/>
        <v>No</v>
      </c>
      <c r="G2552" t="str">
        <f t="shared" si="196"/>
        <v/>
      </c>
      <c r="H2552" t="str">
        <f t="shared" si="197"/>
        <v>—</v>
      </c>
      <c r="I2552" t="str">
        <f t="shared" si="198"/>
        <v>Below thresholds</v>
      </c>
      <c r="J2552" t="str">
        <f t="shared" si="199"/>
        <v/>
      </c>
    </row>
    <row r="2553" spans="1:10" x14ac:dyDescent="0.2">
      <c r="A2553">
        <v>227092783632</v>
      </c>
      <c r="B2553" t="s">
        <v>5725</v>
      </c>
      <c r="C2553" t="s">
        <v>5726</v>
      </c>
      <c r="D2553">
        <v>1.25</v>
      </c>
      <c r="F2553" t="str">
        <f t="shared" si="195"/>
        <v>No</v>
      </c>
      <c r="G2553" t="str">
        <f t="shared" si="196"/>
        <v/>
      </c>
      <c r="H2553" t="str">
        <f t="shared" si="197"/>
        <v>—</v>
      </c>
      <c r="I2553" t="str">
        <f t="shared" si="198"/>
        <v>Below thresholds</v>
      </c>
      <c r="J2553" t="str">
        <f t="shared" si="199"/>
        <v/>
      </c>
    </row>
    <row r="2554" spans="1:10" x14ac:dyDescent="0.2">
      <c r="A2554">
        <v>227092783633</v>
      </c>
      <c r="B2554" t="s">
        <v>5727</v>
      </c>
      <c r="C2554" t="s">
        <v>5728</v>
      </c>
      <c r="D2554">
        <v>0.99</v>
      </c>
      <c r="F2554" t="str">
        <f t="shared" si="195"/>
        <v>No</v>
      </c>
      <c r="G2554" t="str">
        <f t="shared" si="196"/>
        <v/>
      </c>
      <c r="H2554" t="str">
        <f t="shared" si="197"/>
        <v>—</v>
      </c>
      <c r="I2554" t="str">
        <f t="shared" si="198"/>
        <v>Below thresholds</v>
      </c>
      <c r="J2554" t="str">
        <f t="shared" si="199"/>
        <v/>
      </c>
    </row>
    <row r="2555" spans="1:10" x14ac:dyDescent="0.2">
      <c r="A2555">
        <v>227092783634</v>
      </c>
      <c r="B2555" t="s">
        <v>5729</v>
      </c>
      <c r="C2555" t="s">
        <v>5730</v>
      </c>
      <c r="D2555">
        <v>9.11</v>
      </c>
      <c r="F2555" t="str">
        <f t="shared" si="195"/>
        <v>No</v>
      </c>
      <c r="G2555" t="str">
        <f t="shared" si="196"/>
        <v/>
      </c>
      <c r="H2555" t="str">
        <f t="shared" si="197"/>
        <v>—</v>
      </c>
      <c r="I2555" t="str">
        <f t="shared" si="198"/>
        <v>Below thresholds</v>
      </c>
      <c r="J2555" t="str">
        <f t="shared" si="199"/>
        <v/>
      </c>
    </row>
    <row r="2556" spans="1:10" x14ac:dyDescent="0.2">
      <c r="A2556">
        <v>227092783635</v>
      </c>
      <c r="B2556" t="s">
        <v>5731</v>
      </c>
      <c r="C2556" t="s">
        <v>5732</v>
      </c>
      <c r="D2556">
        <v>2.3199999999999998</v>
      </c>
      <c r="F2556" t="str">
        <f t="shared" si="195"/>
        <v>No</v>
      </c>
      <c r="G2556" t="str">
        <f t="shared" si="196"/>
        <v/>
      </c>
      <c r="H2556" t="str">
        <f t="shared" si="197"/>
        <v>—</v>
      </c>
      <c r="I2556" t="str">
        <f t="shared" si="198"/>
        <v>Below thresholds</v>
      </c>
      <c r="J2556" t="str">
        <f t="shared" si="199"/>
        <v/>
      </c>
    </row>
    <row r="2557" spans="1:10" x14ac:dyDescent="0.2">
      <c r="A2557">
        <v>227092783636</v>
      </c>
      <c r="B2557" t="s">
        <v>5733</v>
      </c>
      <c r="C2557" t="s">
        <v>5734</v>
      </c>
      <c r="D2557">
        <v>2.99</v>
      </c>
      <c r="F2557" t="str">
        <f t="shared" si="195"/>
        <v>No</v>
      </c>
      <c r="G2557" t="str">
        <f t="shared" si="196"/>
        <v/>
      </c>
      <c r="H2557" t="str">
        <f t="shared" si="197"/>
        <v>—</v>
      </c>
      <c r="I2557" t="str">
        <f t="shared" si="198"/>
        <v>Below thresholds</v>
      </c>
      <c r="J2557" t="str">
        <f t="shared" si="199"/>
        <v/>
      </c>
    </row>
    <row r="2558" spans="1:10" x14ac:dyDescent="0.2">
      <c r="A2558">
        <v>227092783637</v>
      </c>
      <c r="B2558" t="s">
        <v>5735</v>
      </c>
      <c r="C2558" t="s">
        <v>5736</v>
      </c>
      <c r="D2558">
        <v>1.0900000000000001</v>
      </c>
      <c r="F2558" t="str">
        <f t="shared" si="195"/>
        <v>No</v>
      </c>
      <c r="G2558" t="str">
        <f t="shared" si="196"/>
        <v/>
      </c>
      <c r="H2558" t="str">
        <f t="shared" si="197"/>
        <v>—</v>
      </c>
      <c r="I2558" t="str">
        <f t="shared" si="198"/>
        <v>Below thresholds</v>
      </c>
      <c r="J2558" t="str">
        <f t="shared" si="199"/>
        <v/>
      </c>
    </row>
    <row r="2559" spans="1:10" x14ac:dyDescent="0.2">
      <c r="A2559">
        <v>227092783638</v>
      </c>
      <c r="B2559" t="s">
        <v>291</v>
      </c>
      <c r="C2559" t="s">
        <v>5737</v>
      </c>
      <c r="D2559">
        <v>1.99</v>
      </c>
      <c r="F2559" t="str">
        <f t="shared" si="195"/>
        <v>No</v>
      </c>
      <c r="G2559" t="str">
        <f t="shared" si="196"/>
        <v/>
      </c>
      <c r="H2559" t="str">
        <f t="shared" si="197"/>
        <v>—</v>
      </c>
      <c r="I2559" t="str">
        <f t="shared" si="198"/>
        <v>Below thresholds</v>
      </c>
      <c r="J2559" t="str">
        <f t="shared" si="199"/>
        <v/>
      </c>
    </row>
    <row r="2560" spans="1:10" x14ac:dyDescent="0.2">
      <c r="A2560">
        <v>227092783639</v>
      </c>
      <c r="B2560" t="s">
        <v>5738</v>
      </c>
      <c r="C2560" t="s">
        <v>5739</v>
      </c>
      <c r="D2560">
        <v>1.25</v>
      </c>
      <c r="F2560" t="str">
        <f t="shared" si="195"/>
        <v>No</v>
      </c>
      <c r="G2560" t="str">
        <f t="shared" si="196"/>
        <v/>
      </c>
      <c r="H2560" t="str">
        <f t="shared" si="197"/>
        <v>—</v>
      </c>
      <c r="I2560" t="str">
        <f t="shared" si="198"/>
        <v>Below thresholds</v>
      </c>
      <c r="J2560" t="str">
        <f t="shared" si="199"/>
        <v/>
      </c>
    </row>
    <row r="2561" spans="1:10" x14ac:dyDescent="0.2">
      <c r="A2561">
        <v>227092783640</v>
      </c>
      <c r="B2561" t="s">
        <v>5740</v>
      </c>
      <c r="C2561" t="s">
        <v>5741</v>
      </c>
      <c r="D2561">
        <v>1.25</v>
      </c>
      <c r="F2561" t="str">
        <f t="shared" si="195"/>
        <v>No</v>
      </c>
      <c r="G2561" t="str">
        <f t="shared" si="196"/>
        <v/>
      </c>
      <c r="H2561" t="str">
        <f t="shared" si="197"/>
        <v>—</v>
      </c>
      <c r="I2561" t="str">
        <f t="shared" si="198"/>
        <v>Below thresholds</v>
      </c>
      <c r="J2561" t="str">
        <f t="shared" si="199"/>
        <v/>
      </c>
    </row>
    <row r="2562" spans="1:10" x14ac:dyDescent="0.2">
      <c r="A2562">
        <v>227092783641</v>
      </c>
      <c r="B2562" t="s">
        <v>5742</v>
      </c>
      <c r="C2562" t="s">
        <v>5743</v>
      </c>
      <c r="D2562">
        <v>2.48</v>
      </c>
      <c r="F2562" t="str">
        <f t="shared" si="195"/>
        <v>No</v>
      </c>
      <c r="G2562" t="str">
        <f t="shared" si="196"/>
        <v/>
      </c>
      <c r="H2562" t="str">
        <f t="shared" si="197"/>
        <v>—</v>
      </c>
      <c r="I2562" t="str">
        <f t="shared" si="198"/>
        <v>Below thresholds</v>
      </c>
      <c r="J2562" t="str">
        <f t="shared" si="199"/>
        <v/>
      </c>
    </row>
    <row r="2563" spans="1:10" x14ac:dyDescent="0.2">
      <c r="A2563">
        <v>227092783642</v>
      </c>
      <c r="B2563" t="s">
        <v>5744</v>
      </c>
      <c r="C2563" t="s">
        <v>5745</v>
      </c>
      <c r="D2563">
        <v>0.99</v>
      </c>
      <c r="F2563" t="str">
        <f t="shared" si="195"/>
        <v>No</v>
      </c>
      <c r="G2563" t="str">
        <f t="shared" si="196"/>
        <v/>
      </c>
      <c r="H2563" t="str">
        <f t="shared" si="197"/>
        <v>—</v>
      </c>
      <c r="I2563" t="str">
        <f t="shared" si="198"/>
        <v>Below thresholds</v>
      </c>
      <c r="J2563" t="str">
        <f t="shared" si="199"/>
        <v/>
      </c>
    </row>
    <row r="2564" spans="1:10" x14ac:dyDescent="0.2">
      <c r="A2564">
        <v>227092783643</v>
      </c>
      <c r="B2564" t="s">
        <v>5746</v>
      </c>
      <c r="C2564" t="s">
        <v>5747</v>
      </c>
      <c r="D2564">
        <v>0.99</v>
      </c>
      <c r="F2564" t="str">
        <f t="shared" si="195"/>
        <v>No</v>
      </c>
      <c r="G2564" t="str">
        <f t="shared" si="196"/>
        <v/>
      </c>
      <c r="H2564" t="str">
        <f t="shared" si="197"/>
        <v>—</v>
      </c>
      <c r="I2564" t="str">
        <f t="shared" si="198"/>
        <v>Below thresholds</v>
      </c>
      <c r="J2564" t="str">
        <f t="shared" si="199"/>
        <v/>
      </c>
    </row>
    <row r="2565" spans="1:10" x14ac:dyDescent="0.2">
      <c r="A2565">
        <v>227092783644</v>
      </c>
      <c r="B2565" t="s">
        <v>5748</v>
      </c>
      <c r="C2565" t="s">
        <v>5749</v>
      </c>
      <c r="D2565">
        <v>1.75</v>
      </c>
      <c r="F2565" t="str">
        <f t="shared" ref="F2565:F2628" si="200">IF($B2565="","",IF(ISNUMBER(SEARCH("PSA",$B2565)),"Yes","No"))</f>
        <v>No</v>
      </c>
      <c r="G2565" t="str">
        <f t="shared" ref="G2565:G2628" si="201">IF($B2565="","",IF(ISNUMBER(SEARCH("PSA 10",$B2565)),10,IF(ISNUMBER(SEARCH("PSA 9.5",$B2565)),9.5,IF(ISNUMBER(SEARCH("PSA 9",$B2565)),9,IF(ISNUMBER(SEARCH("PSA 8",$B2565)),8,IF(ISNUMBER(SEARCH("PSA",$B2565)),"&lt;9",""))))))</f>
        <v/>
      </c>
      <c r="H2565" t="str">
        <f t="shared" ref="H2565:H2628" si="202">IF($B2565="","",IF($D2565&gt;=100,"TIER 2",IF(OR(ISNUMBER(SEARCH("PSA 10",$B2565)),ISNUMBER(SEARCH("PSA 9.5",$B2565)),ISNUMBER(SEARCH("PSA 9",$B2565))),"TIER 3",IF(AND($D2565&gt;20,N($E2565)&gt;=15),"TIER 1","—"))))</f>
        <v>—</v>
      </c>
      <c r="I2565" t="str">
        <f t="shared" ref="I2565:I2628" si="203">IF($B2565="","",IF($D2565&gt;=100,"Premium $100+ (auto)",IF(OR(ISNUMBER(SEARCH("PSA 10",$B2565)),ISNUMBER(SEARCH("PSA 9.5",$B2565)),ISNUMBER(SEARCH("PSA 9",$B2565))),"Graded PSA 9+ (auto)",IF(AND($D2565&gt;20,N($E2565)&gt;=15),"Hot: $20+ &amp; "&amp;$E2565&amp;"/day",IF($D2565&gt;20,"$20+ — needs velocity check","Below thresholds")))))</f>
        <v>Below thresholds</v>
      </c>
      <c r="J2565" t="str">
        <f t="shared" ref="J2565:J2628" si="204">IF($B2565="","",IF(AND($D2565&gt;20,$D2565&lt;100,NOT(OR(ISNUMBER(SEARCH("PSA 10",$B2565)),ISNUMBER(SEARCH("PSA 9.5",$B2565)),ISNUMBER(SEARCH("PSA 9",$B2565)))),$E2565=""),"YES — pull CardHedger",""))</f>
        <v/>
      </c>
    </row>
    <row r="2566" spans="1:10" x14ac:dyDescent="0.2">
      <c r="A2566">
        <v>227092783645</v>
      </c>
      <c r="B2566" t="s">
        <v>5750</v>
      </c>
      <c r="C2566" t="s">
        <v>5751</v>
      </c>
      <c r="D2566">
        <v>1.5</v>
      </c>
      <c r="F2566" t="str">
        <f t="shared" si="200"/>
        <v>No</v>
      </c>
      <c r="G2566" t="str">
        <f t="shared" si="201"/>
        <v/>
      </c>
      <c r="H2566" t="str">
        <f t="shared" si="202"/>
        <v>—</v>
      </c>
      <c r="I2566" t="str">
        <f t="shared" si="203"/>
        <v>Below thresholds</v>
      </c>
      <c r="J2566" t="str">
        <f t="shared" si="204"/>
        <v/>
      </c>
    </row>
    <row r="2567" spans="1:10" x14ac:dyDescent="0.2">
      <c r="A2567">
        <v>227092783646</v>
      </c>
      <c r="B2567" t="s">
        <v>5752</v>
      </c>
      <c r="C2567" t="s">
        <v>5753</v>
      </c>
      <c r="D2567">
        <v>1</v>
      </c>
      <c r="F2567" t="str">
        <f t="shared" si="200"/>
        <v>No</v>
      </c>
      <c r="G2567" t="str">
        <f t="shared" si="201"/>
        <v/>
      </c>
      <c r="H2567" t="str">
        <f t="shared" si="202"/>
        <v>—</v>
      </c>
      <c r="I2567" t="str">
        <f t="shared" si="203"/>
        <v>Below thresholds</v>
      </c>
      <c r="J2567" t="str">
        <f t="shared" si="204"/>
        <v/>
      </c>
    </row>
    <row r="2568" spans="1:10" x14ac:dyDescent="0.2">
      <c r="A2568">
        <v>227092783647</v>
      </c>
      <c r="B2568" t="s">
        <v>5754</v>
      </c>
      <c r="C2568" t="s">
        <v>5755</v>
      </c>
      <c r="D2568">
        <v>1.5</v>
      </c>
      <c r="F2568" t="str">
        <f t="shared" si="200"/>
        <v>No</v>
      </c>
      <c r="G2568" t="str">
        <f t="shared" si="201"/>
        <v/>
      </c>
      <c r="H2568" t="str">
        <f t="shared" si="202"/>
        <v>—</v>
      </c>
      <c r="I2568" t="str">
        <f t="shared" si="203"/>
        <v>Below thresholds</v>
      </c>
      <c r="J2568" t="str">
        <f t="shared" si="204"/>
        <v/>
      </c>
    </row>
    <row r="2569" spans="1:10" x14ac:dyDescent="0.2">
      <c r="A2569">
        <v>227092783648</v>
      </c>
      <c r="B2569" t="s">
        <v>5756</v>
      </c>
      <c r="C2569" t="s">
        <v>5757</v>
      </c>
      <c r="D2569">
        <v>2.3199999999999998</v>
      </c>
      <c r="F2569" t="str">
        <f t="shared" si="200"/>
        <v>No</v>
      </c>
      <c r="G2569" t="str">
        <f t="shared" si="201"/>
        <v/>
      </c>
      <c r="H2569" t="str">
        <f t="shared" si="202"/>
        <v>—</v>
      </c>
      <c r="I2569" t="str">
        <f t="shared" si="203"/>
        <v>Below thresholds</v>
      </c>
      <c r="J2569" t="str">
        <f t="shared" si="204"/>
        <v/>
      </c>
    </row>
    <row r="2570" spans="1:10" x14ac:dyDescent="0.2">
      <c r="A2570">
        <v>227092783649</v>
      </c>
      <c r="B2570" t="s">
        <v>5758</v>
      </c>
      <c r="C2570" t="s">
        <v>5759</v>
      </c>
      <c r="D2570">
        <v>1.1200000000000001</v>
      </c>
      <c r="F2570" t="str">
        <f t="shared" si="200"/>
        <v>No</v>
      </c>
      <c r="G2570" t="str">
        <f t="shared" si="201"/>
        <v/>
      </c>
      <c r="H2570" t="str">
        <f t="shared" si="202"/>
        <v>—</v>
      </c>
      <c r="I2570" t="str">
        <f t="shared" si="203"/>
        <v>Below thresholds</v>
      </c>
      <c r="J2570" t="str">
        <f t="shared" si="204"/>
        <v/>
      </c>
    </row>
    <row r="2571" spans="1:10" x14ac:dyDescent="0.2">
      <c r="A2571">
        <v>227092783650</v>
      </c>
      <c r="B2571" t="s">
        <v>5760</v>
      </c>
      <c r="C2571" t="s">
        <v>5761</v>
      </c>
      <c r="D2571">
        <v>2.3199999999999998</v>
      </c>
      <c r="F2571" t="str">
        <f t="shared" si="200"/>
        <v>No</v>
      </c>
      <c r="G2571" t="str">
        <f t="shared" si="201"/>
        <v/>
      </c>
      <c r="H2571" t="str">
        <f t="shared" si="202"/>
        <v>—</v>
      </c>
      <c r="I2571" t="str">
        <f t="shared" si="203"/>
        <v>Below thresholds</v>
      </c>
      <c r="J2571" t="str">
        <f t="shared" si="204"/>
        <v/>
      </c>
    </row>
    <row r="2572" spans="1:10" x14ac:dyDescent="0.2">
      <c r="A2572">
        <v>227092783651</v>
      </c>
      <c r="B2572" t="s">
        <v>5762</v>
      </c>
      <c r="C2572" t="s">
        <v>5763</v>
      </c>
      <c r="D2572">
        <v>2.3199999999999998</v>
      </c>
      <c r="F2572" t="str">
        <f t="shared" si="200"/>
        <v>No</v>
      </c>
      <c r="G2572" t="str">
        <f t="shared" si="201"/>
        <v/>
      </c>
      <c r="H2572" t="str">
        <f t="shared" si="202"/>
        <v>—</v>
      </c>
      <c r="I2572" t="str">
        <f t="shared" si="203"/>
        <v>Below thresholds</v>
      </c>
      <c r="J2572" t="str">
        <f t="shared" si="204"/>
        <v/>
      </c>
    </row>
    <row r="2573" spans="1:10" x14ac:dyDescent="0.2">
      <c r="A2573">
        <v>227092783652</v>
      </c>
      <c r="B2573" t="s">
        <v>5764</v>
      </c>
      <c r="C2573" t="s">
        <v>5765</v>
      </c>
      <c r="D2573">
        <v>2.3199999999999998</v>
      </c>
      <c r="F2573" t="str">
        <f t="shared" si="200"/>
        <v>No</v>
      </c>
      <c r="G2573" t="str">
        <f t="shared" si="201"/>
        <v/>
      </c>
      <c r="H2573" t="str">
        <f t="shared" si="202"/>
        <v>—</v>
      </c>
      <c r="I2573" t="str">
        <f t="shared" si="203"/>
        <v>Below thresholds</v>
      </c>
      <c r="J2573" t="str">
        <f t="shared" si="204"/>
        <v/>
      </c>
    </row>
    <row r="2574" spans="1:10" x14ac:dyDescent="0.2">
      <c r="A2574">
        <v>227092783653</v>
      </c>
      <c r="B2574" t="s">
        <v>5766</v>
      </c>
      <c r="C2574" t="s">
        <v>5767</v>
      </c>
      <c r="D2574">
        <v>1.25</v>
      </c>
      <c r="F2574" t="str">
        <f t="shared" si="200"/>
        <v>No</v>
      </c>
      <c r="G2574" t="str">
        <f t="shared" si="201"/>
        <v/>
      </c>
      <c r="H2574" t="str">
        <f t="shared" si="202"/>
        <v>—</v>
      </c>
      <c r="I2574" t="str">
        <f t="shared" si="203"/>
        <v>Below thresholds</v>
      </c>
      <c r="J2574" t="str">
        <f t="shared" si="204"/>
        <v/>
      </c>
    </row>
    <row r="2575" spans="1:10" x14ac:dyDescent="0.2">
      <c r="A2575">
        <v>227092817796</v>
      </c>
      <c r="B2575" t="s">
        <v>5709</v>
      </c>
      <c r="C2575" t="s">
        <v>5768</v>
      </c>
      <c r="D2575">
        <v>1.5</v>
      </c>
      <c r="F2575" t="str">
        <f t="shared" si="200"/>
        <v>No</v>
      </c>
      <c r="G2575" t="str">
        <f t="shared" si="201"/>
        <v/>
      </c>
      <c r="H2575" t="str">
        <f t="shared" si="202"/>
        <v>—</v>
      </c>
      <c r="I2575" t="str">
        <f t="shared" si="203"/>
        <v>Below thresholds</v>
      </c>
      <c r="J2575" t="str">
        <f t="shared" si="204"/>
        <v/>
      </c>
    </row>
    <row r="2576" spans="1:10" x14ac:dyDescent="0.2">
      <c r="A2576">
        <v>227092838500</v>
      </c>
      <c r="B2576" t="s">
        <v>5769</v>
      </c>
      <c r="C2576" t="s">
        <v>5770</v>
      </c>
      <c r="D2576">
        <v>4</v>
      </c>
      <c r="F2576" t="str">
        <f t="shared" si="200"/>
        <v>No</v>
      </c>
      <c r="G2576" t="str">
        <f t="shared" si="201"/>
        <v/>
      </c>
      <c r="H2576" t="str">
        <f t="shared" si="202"/>
        <v>—</v>
      </c>
      <c r="I2576" t="str">
        <f t="shared" si="203"/>
        <v>Below thresholds</v>
      </c>
      <c r="J2576" t="str">
        <f t="shared" si="204"/>
        <v/>
      </c>
    </row>
    <row r="2577" spans="1:10" x14ac:dyDescent="0.2">
      <c r="A2577">
        <v>227092846073</v>
      </c>
      <c r="B2577" t="s">
        <v>5771</v>
      </c>
      <c r="C2577" t="s">
        <v>5772</v>
      </c>
      <c r="D2577">
        <v>5</v>
      </c>
      <c r="F2577" t="str">
        <f t="shared" si="200"/>
        <v>No</v>
      </c>
      <c r="G2577" t="str">
        <f t="shared" si="201"/>
        <v/>
      </c>
      <c r="H2577" t="str">
        <f t="shared" si="202"/>
        <v>—</v>
      </c>
      <c r="I2577" t="str">
        <f t="shared" si="203"/>
        <v>Below thresholds</v>
      </c>
      <c r="J2577" t="str">
        <f t="shared" si="204"/>
        <v/>
      </c>
    </row>
    <row r="2578" spans="1:10" x14ac:dyDescent="0.2">
      <c r="A2578">
        <v>227092917189</v>
      </c>
      <c r="B2578" t="s">
        <v>5773</v>
      </c>
      <c r="C2578" t="s">
        <v>5774</v>
      </c>
      <c r="D2578">
        <v>3.5</v>
      </c>
      <c r="F2578" t="str">
        <f t="shared" si="200"/>
        <v>No</v>
      </c>
      <c r="G2578" t="str">
        <f t="shared" si="201"/>
        <v/>
      </c>
      <c r="H2578" t="str">
        <f t="shared" si="202"/>
        <v>—</v>
      </c>
      <c r="I2578" t="str">
        <f t="shared" si="203"/>
        <v>Below thresholds</v>
      </c>
      <c r="J2578" t="str">
        <f t="shared" si="204"/>
        <v/>
      </c>
    </row>
    <row r="2579" spans="1:10" x14ac:dyDescent="0.2">
      <c r="A2579">
        <v>227094563389</v>
      </c>
      <c r="B2579" t="s">
        <v>5775</v>
      </c>
      <c r="C2579" t="s">
        <v>5776</v>
      </c>
      <c r="D2579">
        <v>10</v>
      </c>
      <c r="F2579" t="str">
        <f t="shared" si="200"/>
        <v>No</v>
      </c>
      <c r="G2579" t="str">
        <f t="shared" si="201"/>
        <v/>
      </c>
      <c r="H2579" t="str">
        <f t="shared" si="202"/>
        <v>—</v>
      </c>
      <c r="I2579" t="str">
        <f t="shared" si="203"/>
        <v>Below thresholds</v>
      </c>
      <c r="J2579" t="str">
        <f t="shared" si="204"/>
        <v/>
      </c>
    </row>
    <row r="2580" spans="1:10" x14ac:dyDescent="0.2">
      <c r="A2580">
        <v>227097312041</v>
      </c>
      <c r="B2580" t="s">
        <v>5777</v>
      </c>
      <c r="C2580" t="s">
        <v>5778</v>
      </c>
      <c r="D2580">
        <v>0.99</v>
      </c>
      <c r="F2580" t="str">
        <f t="shared" si="200"/>
        <v>No</v>
      </c>
      <c r="G2580" t="str">
        <f t="shared" si="201"/>
        <v/>
      </c>
      <c r="H2580" t="str">
        <f t="shared" si="202"/>
        <v>—</v>
      </c>
      <c r="I2580" t="str">
        <f t="shared" si="203"/>
        <v>Below thresholds</v>
      </c>
      <c r="J2580" t="str">
        <f t="shared" si="204"/>
        <v/>
      </c>
    </row>
    <row r="2581" spans="1:10" x14ac:dyDescent="0.2">
      <c r="A2581">
        <v>227097312044</v>
      </c>
      <c r="B2581" t="s">
        <v>5779</v>
      </c>
      <c r="C2581" t="s">
        <v>5780</v>
      </c>
      <c r="D2581">
        <v>0.99</v>
      </c>
      <c r="F2581" t="str">
        <f t="shared" si="200"/>
        <v>No</v>
      </c>
      <c r="G2581" t="str">
        <f t="shared" si="201"/>
        <v/>
      </c>
      <c r="H2581" t="str">
        <f t="shared" si="202"/>
        <v>—</v>
      </c>
      <c r="I2581" t="str">
        <f t="shared" si="203"/>
        <v>Below thresholds</v>
      </c>
      <c r="J2581" t="str">
        <f t="shared" si="204"/>
        <v/>
      </c>
    </row>
    <row r="2582" spans="1:10" x14ac:dyDescent="0.2">
      <c r="A2582">
        <v>227097312045</v>
      </c>
      <c r="B2582" t="s">
        <v>5781</v>
      </c>
      <c r="C2582" t="s">
        <v>5782</v>
      </c>
      <c r="D2582">
        <v>0.99</v>
      </c>
      <c r="F2582" t="str">
        <f t="shared" si="200"/>
        <v>No</v>
      </c>
      <c r="G2582" t="str">
        <f t="shared" si="201"/>
        <v/>
      </c>
      <c r="H2582" t="str">
        <f t="shared" si="202"/>
        <v>—</v>
      </c>
      <c r="I2582" t="str">
        <f t="shared" si="203"/>
        <v>Below thresholds</v>
      </c>
      <c r="J2582" t="str">
        <f t="shared" si="204"/>
        <v/>
      </c>
    </row>
    <row r="2583" spans="1:10" x14ac:dyDescent="0.2">
      <c r="A2583">
        <v>227097312051</v>
      </c>
      <c r="B2583" t="s">
        <v>5783</v>
      </c>
      <c r="C2583" t="s">
        <v>5784</v>
      </c>
      <c r="D2583">
        <v>0.99</v>
      </c>
      <c r="F2583" t="str">
        <f t="shared" si="200"/>
        <v>No</v>
      </c>
      <c r="G2583" t="str">
        <f t="shared" si="201"/>
        <v/>
      </c>
      <c r="H2583" t="str">
        <f t="shared" si="202"/>
        <v>—</v>
      </c>
      <c r="I2583" t="str">
        <f t="shared" si="203"/>
        <v>Below thresholds</v>
      </c>
      <c r="J2583" t="str">
        <f t="shared" si="204"/>
        <v/>
      </c>
    </row>
    <row r="2584" spans="1:10" x14ac:dyDescent="0.2">
      <c r="A2584">
        <v>227097312052</v>
      </c>
      <c r="B2584" t="s">
        <v>5785</v>
      </c>
      <c r="C2584" t="s">
        <v>5786</v>
      </c>
      <c r="D2584">
        <v>0.99</v>
      </c>
      <c r="F2584" t="str">
        <f t="shared" si="200"/>
        <v>No</v>
      </c>
      <c r="G2584" t="str">
        <f t="shared" si="201"/>
        <v/>
      </c>
      <c r="H2584" t="str">
        <f t="shared" si="202"/>
        <v>—</v>
      </c>
      <c r="I2584" t="str">
        <f t="shared" si="203"/>
        <v>Below thresholds</v>
      </c>
      <c r="J2584" t="str">
        <f t="shared" si="204"/>
        <v/>
      </c>
    </row>
    <row r="2585" spans="1:10" x14ac:dyDescent="0.2">
      <c r="A2585">
        <v>227097312053</v>
      </c>
      <c r="B2585" t="s">
        <v>5787</v>
      </c>
      <c r="C2585" t="s">
        <v>5788</v>
      </c>
      <c r="D2585">
        <v>1.55</v>
      </c>
      <c r="F2585" t="str">
        <f t="shared" si="200"/>
        <v>No</v>
      </c>
      <c r="G2585" t="str">
        <f t="shared" si="201"/>
        <v/>
      </c>
      <c r="H2585" t="str">
        <f t="shared" si="202"/>
        <v>—</v>
      </c>
      <c r="I2585" t="str">
        <f t="shared" si="203"/>
        <v>Below thresholds</v>
      </c>
      <c r="J2585" t="str">
        <f t="shared" si="204"/>
        <v/>
      </c>
    </row>
    <row r="2586" spans="1:10" x14ac:dyDescent="0.2">
      <c r="A2586">
        <v>227097312054</v>
      </c>
      <c r="B2586" t="s">
        <v>5789</v>
      </c>
      <c r="C2586" t="s">
        <v>5790</v>
      </c>
      <c r="D2586">
        <v>0.99</v>
      </c>
      <c r="F2586" t="str">
        <f t="shared" si="200"/>
        <v>No</v>
      </c>
      <c r="G2586" t="str">
        <f t="shared" si="201"/>
        <v/>
      </c>
      <c r="H2586" t="str">
        <f t="shared" si="202"/>
        <v>—</v>
      </c>
      <c r="I2586" t="str">
        <f t="shared" si="203"/>
        <v>Below thresholds</v>
      </c>
      <c r="J2586" t="str">
        <f t="shared" si="204"/>
        <v/>
      </c>
    </row>
    <row r="2587" spans="1:10" x14ac:dyDescent="0.2">
      <c r="A2587">
        <v>227097312056</v>
      </c>
      <c r="B2587" t="s">
        <v>5781</v>
      </c>
      <c r="C2587" t="s">
        <v>5791</v>
      </c>
      <c r="D2587">
        <v>0.99</v>
      </c>
      <c r="F2587" t="str">
        <f t="shared" si="200"/>
        <v>No</v>
      </c>
      <c r="G2587" t="str">
        <f t="shared" si="201"/>
        <v/>
      </c>
      <c r="H2587" t="str">
        <f t="shared" si="202"/>
        <v>—</v>
      </c>
      <c r="I2587" t="str">
        <f t="shared" si="203"/>
        <v>Below thresholds</v>
      </c>
      <c r="J2587" t="str">
        <f t="shared" si="204"/>
        <v/>
      </c>
    </row>
    <row r="2588" spans="1:10" x14ac:dyDescent="0.2">
      <c r="A2588">
        <v>227097312057</v>
      </c>
      <c r="B2588" t="s">
        <v>5792</v>
      </c>
      <c r="C2588" t="s">
        <v>5793</v>
      </c>
      <c r="D2588">
        <v>0.99</v>
      </c>
      <c r="F2588" t="str">
        <f t="shared" si="200"/>
        <v>No</v>
      </c>
      <c r="G2588" t="str">
        <f t="shared" si="201"/>
        <v/>
      </c>
      <c r="H2588" t="str">
        <f t="shared" si="202"/>
        <v>—</v>
      </c>
      <c r="I2588" t="str">
        <f t="shared" si="203"/>
        <v>Below thresholds</v>
      </c>
      <c r="J2588" t="str">
        <f t="shared" si="204"/>
        <v/>
      </c>
    </row>
    <row r="2589" spans="1:10" x14ac:dyDescent="0.2">
      <c r="A2589">
        <v>227097312058</v>
      </c>
      <c r="B2589" t="s">
        <v>5794</v>
      </c>
      <c r="C2589" t="s">
        <v>5795</v>
      </c>
      <c r="D2589">
        <v>0.99</v>
      </c>
      <c r="F2589" t="str">
        <f t="shared" si="200"/>
        <v>No</v>
      </c>
      <c r="G2589" t="str">
        <f t="shared" si="201"/>
        <v/>
      </c>
      <c r="H2589" t="str">
        <f t="shared" si="202"/>
        <v>—</v>
      </c>
      <c r="I2589" t="str">
        <f t="shared" si="203"/>
        <v>Below thresholds</v>
      </c>
      <c r="J2589" t="str">
        <f t="shared" si="204"/>
        <v/>
      </c>
    </row>
    <row r="2590" spans="1:10" x14ac:dyDescent="0.2">
      <c r="A2590">
        <v>227097312059</v>
      </c>
      <c r="B2590" t="s">
        <v>5796</v>
      </c>
      <c r="C2590" t="s">
        <v>5797</v>
      </c>
      <c r="D2590">
        <v>0.99</v>
      </c>
      <c r="F2590" t="str">
        <f t="shared" si="200"/>
        <v>No</v>
      </c>
      <c r="G2590" t="str">
        <f t="shared" si="201"/>
        <v/>
      </c>
      <c r="H2590" t="str">
        <f t="shared" si="202"/>
        <v>—</v>
      </c>
      <c r="I2590" t="str">
        <f t="shared" si="203"/>
        <v>Below thresholds</v>
      </c>
      <c r="J2590" t="str">
        <f t="shared" si="204"/>
        <v/>
      </c>
    </row>
    <row r="2591" spans="1:10" x14ac:dyDescent="0.2">
      <c r="A2591">
        <v>227097312060</v>
      </c>
      <c r="B2591" t="s">
        <v>5798</v>
      </c>
      <c r="C2591" t="s">
        <v>5799</v>
      </c>
      <c r="D2591">
        <v>0.99</v>
      </c>
      <c r="F2591" t="str">
        <f t="shared" si="200"/>
        <v>No</v>
      </c>
      <c r="G2591" t="str">
        <f t="shared" si="201"/>
        <v/>
      </c>
      <c r="H2591" t="str">
        <f t="shared" si="202"/>
        <v>—</v>
      </c>
      <c r="I2591" t="str">
        <f t="shared" si="203"/>
        <v>Below thresholds</v>
      </c>
      <c r="J2591" t="str">
        <f t="shared" si="204"/>
        <v/>
      </c>
    </row>
    <row r="2592" spans="1:10" x14ac:dyDescent="0.2">
      <c r="A2592">
        <v>227097312063</v>
      </c>
      <c r="B2592" t="s">
        <v>5800</v>
      </c>
      <c r="C2592" t="s">
        <v>5801</v>
      </c>
      <c r="D2592">
        <v>0.99</v>
      </c>
      <c r="F2592" t="str">
        <f t="shared" si="200"/>
        <v>No</v>
      </c>
      <c r="G2592" t="str">
        <f t="shared" si="201"/>
        <v/>
      </c>
      <c r="H2592" t="str">
        <f t="shared" si="202"/>
        <v>—</v>
      </c>
      <c r="I2592" t="str">
        <f t="shared" si="203"/>
        <v>Below thresholds</v>
      </c>
      <c r="J2592" t="str">
        <f t="shared" si="204"/>
        <v/>
      </c>
    </row>
    <row r="2593" spans="1:10" x14ac:dyDescent="0.2">
      <c r="A2593">
        <v>227097312064</v>
      </c>
      <c r="B2593" t="s">
        <v>5802</v>
      </c>
      <c r="C2593" t="s">
        <v>5803</v>
      </c>
      <c r="D2593">
        <v>0.99</v>
      </c>
      <c r="F2593" t="str">
        <f t="shared" si="200"/>
        <v>No</v>
      </c>
      <c r="G2593" t="str">
        <f t="shared" si="201"/>
        <v/>
      </c>
      <c r="H2593" t="str">
        <f t="shared" si="202"/>
        <v>—</v>
      </c>
      <c r="I2593" t="str">
        <f t="shared" si="203"/>
        <v>Below thresholds</v>
      </c>
      <c r="J2593" t="str">
        <f t="shared" si="204"/>
        <v/>
      </c>
    </row>
    <row r="2594" spans="1:10" x14ac:dyDescent="0.2">
      <c r="A2594">
        <v>227097312067</v>
      </c>
      <c r="B2594" t="s">
        <v>5804</v>
      </c>
      <c r="C2594" t="s">
        <v>5805</v>
      </c>
      <c r="D2594">
        <v>0.99</v>
      </c>
      <c r="F2594" t="str">
        <f t="shared" si="200"/>
        <v>No</v>
      </c>
      <c r="G2594" t="str">
        <f t="shared" si="201"/>
        <v/>
      </c>
      <c r="H2594" t="str">
        <f t="shared" si="202"/>
        <v>—</v>
      </c>
      <c r="I2594" t="str">
        <f t="shared" si="203"/>
        <v>Below thresholds</v>
      </c>
      <c r="J2594" t="str">
        <f t="shared" si="204"/>
        <v/>
      </c>
    </row>
    <row r="2595" spans="1:10" x14ac:dyDescent="0.2">
      <c r="A2595">
        <v>227097312068</v>
      </c>
      <c r="B2595" t="s">
        <v>5806</v>
      </c>
      <c r="C2595" t="s">
        <v>5807</v>
      </c>
      <c r="D2595">
        <v>0.99</v>
      </c>
      <c r="F2595" t="str">
        <f t="shared" si="200"/>
        <v>No</v>
      </c>
      <c r="G2595" t="str">
        <f t="shared" si="201"/>
        <v/>
      </c>
      <c r="H2595" t="str">
        <f t="shared" si="202"/>
        <v>—</v>
      </c>
      <c r="I2595" t="str">
        <f t="shared" si="203"/>
        <v>Below thresholds</v>
      </c>
      <c r="J2595" t="str">
        <f t="shared" si="204"/>
        <v/>
      </c>
    </row>
    <row r="2596" spans="1:10" x14ac:dyDescent="0.2">
      <c r="A2596">
        <v>227097312069</v>
      </c>
      <c r="B2596" t="s">
        <v>5808</v>
      </c>
      <c r="C2596" t="s">
        <v>5809</v>
      </c>
      <c r="D2596">
        <v>1.89</v>
      </c>
      <c r="F2596" t="str">
        <f t="shared" si="200"/>
        <v>No</v>
      </c>
      <c r="G2596" t="str">
        <f t="shared" si="201"/>
        <v/>
      </c>
      <c r="H2596" t="str">
        <f t="shared" si="202"/>
        <v>—</v>
      </c>
      <c r="I2596" t="str">
        <f t="shared" si="203"/>
        <v>Below thresholds</v>
      </c>
      <c r="J2596" t="str">
        <f t="shared" si="204"/>
        <v/>
      </c>
    </row>
    <row r="2597" spans="1:10" x14ac:dyDescent="0.2">
      <c r="A2597">
        <v>227097312070</v>
      </c>
      <c r="B2597" t="s">
        <v>5810</v>
      </c>
      <c r="C2597" t="s">
        <v>5811</v>
      </c>
      <c r="D2597">
        <v>0.99</v>
      </c>
      <c r="F2597" t="str">
        <f t="shared" si="200"/>
        <v>No</v>
      </c>
      <c r="G2597" t="str">
        <f t="shared" si="201"/>
        <v/>
      </c>
      <c r="H2597" t="str">
        <f t="shared" si="202"/>
        <v>—</v>
      </c>
      <c r="I2597" t="str">
        <f t="shared" si="203"/>
        <v>Below thresholds</v>
      </c>
      <c r="J2597" t="str">
        <f t="shared" si="204"/>
        <v/>
      </c>
    </row>
    <row r="2598" spans="1:10" x14ac:dyDescent="0.2">
      <c r="A2598">
        <v>227097312073</v>
      </c>
      <c r="B2598" t="s">
        <v>5812</v>
      </c>
      <c r="C2598" t="s">
        <v>5813</v>
      </c>
      <c r="D2598">
        <v>1.1000000000000001</v>
      </c>
      <c r="F2598" t="str">
        <f t="shared" si="200"/>
        <v>No</v>
      </c>
      <c r="G2598" t="str">
        <f t="shared" si="201"/>
        <v/>
      </c>
      <c r="H2598" t="str">
        <f t="shared" si="202"/>
        <v>—</v>
      </c>
      <c r="I2598" t="str">
        <f t="shared" si="203"/>
        <v>Below thresholds</v>
      </c>
      <c r="J2598" t="str">
        <f t="shared" si="204"/>
        <v/>
      </c>
    </row>
    <row r="2599" spans="1:10" x14ac:dyDescent="0.2">
      <c r="A2599">
        <v>227097312075</v>
      </c>
      <c r="B2599" t="s">
        <v>5814</v>
      </c>
      <c r="C2599" t="s">
        <v>5815</v>
      </c>
      <c r="D2599">
        <v>0.99</v>
      </c>
      <c r="F2599" t="str">
        <f t="shared" si="200"/>
        <v>No</v>
      </c>
      <c r="G2599" t="str">
        <f t="shared" si="201"/>
        <v/>
      </c>
      <c r="H2599" t="str">
        <f t="shared" si="202"/>
        <v>—</v>
      </c>
      <c r="I2599" t="str">
        <f t="shared" si="203"/>
        <v>Below thresholds</v>
      </c>
      <c r="J2599" t="str">
        <f t="shared" si="204"/>
        <v/>
      </c>
    </row>
    <row r="2600" spans="1:10" x14ac:dyDescent="0.2">
      <c r="A2600">
        <v>227097312076</v>
      </c>
      <c r="B2600" t="s">
        <v>5816</v>
      </c>
      <c r="C2600" t="s">
        <v>5817</v>
      </c>
      <c r="D2600">
        <v>0.99</v>
      </c>
      <c r="F2600" t="str">
        <f t="shared" si="200"/>
        <v>No</v>
      </c>
      <c r="G2600" t="str">
        <f t="shared" si="201"/>
        <v/>
      </c>
      <c r="H2600" t="str">
        <f t="shared" si="202"/>
        <v>—</v>
      </c>
      <c r="I2600" t="str">
        <f t="shared" si="203"/>
        <v>Below thresholds</v>
      </c>
      <c r="J2600" t="str">
        <f t="shared" si="204"/>
        <v/>
      </c>
    </row>
    <row r="2601" spans="1:10" x14ac:dyDescent="0.2">
      <c r="A2601">
        <v>227097312078</v>
      </c>
      <c r="B2601" t="s">
        <v>5818</v>
      </c>
      <c r="C2601" t="s">
        <v>5819</v>
      </c>
      <c r="D2601">
        <v>0.99</v>
      </c>
      <c r="F2601" t="str">
        <f t="shared" si="200"/>
        <v>No</v>
      </c>
      <c r="G2601" t="str">
        <f t="shared" si="201"/>
        <v/>
      </c>
      <c r="H2601" t="str">
        <f t="shared" si="202"/>
        <v>—</v>
      </c>
      <c r="I2601" t="str">
        <f t="shared" si="203"/>
        <v>Below thresholds</v>
      </c>
      <c r="J2601" t="str">
        <f t="shared" si="204"/>
        <v/>
      </c>
    </row>
    <row r="2602" spans="1:10" x14ac:dyDescent="0.2">
      <c r="A2602">
        <v>227097312079</v>
      </c>
      <c r="B2602" t="s">
        <v>5820</v>
      </c>
      <c r="C2602" t="s">
        <v>5821</v>
      </c>
      <c r="D2602">
        <v>1.5</v>
      </c>
      <c r="F2602" t="str">
        <f t="shared" si="200"/>
        <v>No</v>
      </c>
      <c r="G2602" t="str">
        <f t="shared" si="201"/>
        <v/>
      </c>
      <c r="H2602" t="str">
        <f t="shared" si="202"/>
        <v>—</v>
      </c>
      <c r="I2602" t="str">
        <f t="shared" si="203"/>
        <v>Below thresholds</v>
      </c>
      <c r="J2602" t="str">
        <f t="shared" si="204"/>
        <v/>
      </c>
    </row>
    <row r="2603" spans="1:10" x14ac:dyDescent="0.2">
      <c r="A2603">
        <v>227097312080</v>
      </c>
      <c r="B2603" t="s">
        <v>5822</v>
      </c>
      <c r="C2603" t="s">
        <v>5823</v>
      </c>
      <c r="D2603">
        <v>0.99</v>
      </c>
      <c r="F2603" t="str">
        <f t="shared" si="200"/>
        <v>No</v>
      </c>
      <c r="G2603" t="str">
        <f t="shared" si="201"/>
        <v/>
      </c>
      <c r="H2603" t="str">
        <f t="shared" si="202"/>
        <v>—</v>
      </c>
      <c r="I2603" t="str">
        <f t="shared" si="203"/>
        <v>Below thresholds</v>
      </c>
      <c r="J2603" t="str">
        <f t="shared" si="204"/>
        <v/>
      </c>
    </row>
    <row r="2604" spans="1:10" x14ac:dyDescent="0.2">
      <c r="A2604">
        <v>227097312081</v>
      </c>
      <c r="B2604" t="s">
        <v>5824</v>
      </c>
      <c r="C2604" t="s">
        <v>5825</v>
      </c>
      <c r="D2604">
        <v>1.85</v>
      </c>
      <c r="F2604" t="str">
        <f t="shared" si="200"/>
        <v>No</v>
      </c>
      <c r="G2604" t="str">
        <f t="shared" si="201"/>
        <v/>
      </c>
      <c r="H2604" t="str">
        <f t="shared" si="202"/>
        <v>—</v>
      </c>
      <c r="I2604" t="str">
        <f t="shared" si="203"/>
        <v>Below thresholds</v>
      </c>
      <c r="J2604" t="str">
        <f t="shared" si="204"/>
        <v/>
      </c>
    </row>
    <row r="2605" spans="1:10" x14ac:dyDescent="0.2">
      <c r="A2605">
        <v>227097312082</v>
      </c>
      <c r="B2605" t="s">
        <v>5826</v>
      </c>
      <c r="C2605" t="s">
        <v>5827</v>
      </c>
      <c r="D2605">
        <v>0.99</v>
      </c>
      <c r="F2605" t="str">
        <f t="shared" si="200"/>
        <v>No</v>
      </c>
      <c r="G2605" t="str">
        <f t="shared" si="201"/>
        <v/>
      </c>
      <c r="H2605" t="str">
        <f t="shared" si="202"/>
        <v>—</v>
      </c>
      <c r="I2605" t="str">
        <f t="shared" si="203"/>
        <v>Below thresholds</v>
      </c>
      <c r="J2605" t="str">
        <f t="shared" si="204"/>
        <v/>
      </c>
    </row>
    <row r="2606" spans="1:10" x14ac:dyDescent="0.2">
      <c r="A2606">
        <v>227097312083</v>
      </c>
      <c r="B2606" t="s">
        <v>5828</v>
      </c>
      <c r="C2606" t="s">
        <v>5829</v>
      </c>
      <c r="D2606">
        <v>0.99</v>
      </c>
      <c r="F2606" t="str">
        <f t="shared" si="200"/>
        <v>No</v>
      </c>
      <c r="G2606" t="str">
        <f t="shared" si="201"/>
        <v/>
      </c>
      <c r="H2606" t="str">
        <f t="shared" si="202"/>
        <v>—</v>
      </c>
      <c r="I2606" t="str">
        <f t="shared" si="203"/>
        <v>Below thresholds</v>
      </c>
      <c r="J2606" t="str">
        <f t="shared" si="204"/>
        <v/>
      </c>
    </row>
    <row r="2607" spans="1:10" x14ac:dyDescent="0.2">
      <c r="A2607">
        <v>227097312085</v>
      </c>
      <c r="B2607" t="s">
        <v>5830</v>
      </c>
      <c r="C2607" t="s">
        <v>5831</v>
      </c>
      <c r="D2607">
        <v>0.99</v>
      </c>
      <c r="F2607" t="str">
        <f t="shared" si="200"/>
        <v>No</v>
      </c>
      <c r="G2607" t="str">
        <f t="shared" si="201"/>
        <v/>
      </c>
      <c r="H2607" t="str">
        <f t="shared" si="202"/>
        <v>—</v>
      </c>
      <c r="I2607" t="str">
        <f t="shared" si="203"/>
        <v>Below thresholds</v>
      </c>
      <c r="J2607" t="str">
        <f t="shared" si="204"/>
        <v/>
      </c>
    </row>
    <row r="2608" spans="1:10" x14ac:dyDescent="0.2">
      <c r="A2608">
        <v>227097312088</v>
      </c>
      <c r="B2608" t="s">
        <v>5832</v>
      </c>
      <c r="C2608" t="s">
        <v>5833</v>
      </c>
      <c r="D2608">
        <v>1.25</v>
      </c>
      <c r="F2608" t="str">
        <f t="shared" si="200"/>
        <v>No</v>
      </c>
      <c r="G2608" t="str">
        <f t="shared" si="201"/>
        <v/>
      </c>
      <c r="H2608" t="str">
        <f t="shared" si="202"/>
        <v>—</v>
      </c>
      <c r="I2608" t="str">
        <f t="shared" si="203"/>
        <v>Below thresholds</v>
      </c>
      <c r="J2608" t="str">
        <f t="shared" si="204"/>
        <v/>
      </c>
    </row>
    <row r="2609" spans="1:10" x14ac:dyDescent="0.2">
      <c r="A2609">
        <v>227097312089</v>
      </c>
      <c r="B2609" t="s">
        <v>5834</v>
      </c>
      <c r="C2609" t="s">
        <v>5835</v>
      </c>
      <c r="D2609">
        <v>1.25</v>
      </c>
      <c r="F2609" t="str">
        <f t="shared" si="200"/>
        <v>No</v>
      </c>
      <c r="G2609" t="str">
        <f t="shared" si="201"/>
        <v/>
      </c>
      <c r="H2609" t="str">
        <f t="shared" si="202"/>
        <v>—</v>
      </c>
      <c r="I2609" t="str">
        <f t="shared" si="203"/>
        <v>Below thresholds</v>
      </c>
      <c r="J2609" t="str">
        <f t="shared" si="204"/>
        <v/>
      </c>
    </row>
    <row r="2610" spans="1:10" x14ac:dyDescent="0.2">
      <c r="A2610">
        <v>227097312090</v>
      </c>
      <c r="B2610" t="s">
        <v>5836</v>
      </c>
      <c r="C2610" t="s">
        <v>5837</v>
      </c>
      <c r="D2610">
        <v>1.25</v>
      </c>
      <c r="F2610" t="str">
        <f t="shared" si="200"/>
        <v>No</v>
      </c>
      <c r="G2610" t="str">
        <f t="shared" si="201"/>
        <v/>
      </c>
      <c r="H2610" t="str">
        <f t="shared" si="202"/>
        <v>—</v>
      </c>
      <c r="I2610" t="str">
        <f t="shared" si="203"/>
        <v>Below thresholds</v>
      </c>
      <c r="J2610" t="str">
        <f t="shared" si="204"/>
        <v/>
      </c>
    </row>
    <row r="2611" spans="1:10" x14ac:dyDescent="0.2">
      <c r="A2611">
        <v>227110061739</v>
      </c>
      <c r="B2611" t="s">
        <v>5838</v>
      </c>
      <c r="C2611" t="s">
        <v>5839</v>
      </c>
      <c r="D2611">
        <v>2.4900000000000002</v>
      </c>
      <c r="F2611" t="str">
        <f t="shared" si="200"/>
        <v>No</v>
      </c>
      <c r="G2611" t="str">
        <f t="shared" si="201"/>
        <v/>
      </c>
      <c r="H2611" t="str">
        <f t="shared" si="202"/>
        <v>—</v>
      </c>
      <c r="I2611" t="str">
        <f t="shared" si="203"/>
        <v>Below thresholds</v>
      </c>
      <c r="J2611" t="str">
        <f t="shared" si="204"/>
        <v/>
      </c>
    </row>
    <row r="2612" spans="1:10" x14ac:dyDescent="0.2">
      <c r="A2612">
        <v>227110197338</v>
      </c>
      <c r="B2612" t="s">
        <v>5840</v>
      </c>
      <c r="C2612" t="s">
        <v>5841</v>
      </c>
      <c r="D2612">
        <v>1.81</v>
      </c>
      <c r="F2612" t="str">
        <f t="shared" si="200"/>
        <v>No</v>
      </c>
      <c r="G2612" t="str">
        <f t="shared" si="201"/>
        <v/>
      </c>
      <c r="H2612" t="str">
        <f t="shared" si="202"/>
        <v>—</v>
      </c>
      <c r="I2612" t="str">
        <f t="shared" si="203"/>
        <v>Below thresholds</v>
      </c>
      <c r="J2612" t="str">
        <f t="shared" si="204"/>
        <v/>
      </c>
    </row>
    <row r="2613" spans="1:10" x14ac:dyDescent="0.2">
      <c r="A2613">
        <v>227110197339</v>
      </c>
      <c r="B2613" t="s">
        <v>3214</v>
      </c>
      <c r="C2613" t="s">
        <v>5842</v>
      </c>
      <c r="D2613">
        <v>1.25</v>
      </c>
      <c r="F2613" t="str">
        <f t="shared" si="200"/>
        <v>No</v>
      </c>
      <c r="G2613" t="str">
        <f t="shared" si="201"/>
        <v/>
      </c>
      <c r="H2613" t="str">
        <f t="shared" si="202"/>
        <v>—</v>
      </c>
      <c r="I2613" t="str">
        <f t="shared" si="203"/>
        <v>Below thresholds</v>
      </c>
      <c r="J2613" t="str">
        <f t="shared" si="204"/>
        <v/>
      </c>
    </row>
    <row r="2614" spans="1:10" x14ac:dyDescent="0.2">
      <c r="A2614">
        <v>227110197340</v>
      </c>
      <c r="B2614" t="s">
        <v>3210</v>
      </c>
      <c r="C2614" t="s">
        <v>5843</v>
      </c>
      <c r="D2614">
        <v>1.59</v>
      </c>
      <c r="F2614" t="str">
        <f t="shared" si="200"/>
        <v>No</v>
      </c>
      <c r="G2614" t="str">
        <f t="shared" si="201"/>
        <v/>
      </c>
      <c r="H2614" t="str">
        <f t="shared" si="202"/>
        <v>—</v>
      </c>
      <c r="I2614" t="str">
        <f t="shared" si="203"/>
        <v>Below thresholds</v>
      </c>
      <c r="J2614" t="str">
        <f t="shared" si="204"/>
        <v/>
      </c>
    </row>
    <row r="2615" spans="1:10" x14ac:dyDescent="0.2">
      <c r="A2615">
        <v>227110197342</v>
      </c>
      <c r="B2615" t="s">
        <v>1930</v>
      </c>
      <c r="C2615" t="s">
        <v>5844</v>
      </c>
      <c r="D2615">
        <v>1.04</v>
      </c>
      <c r="F2615" t="str">
        <f t="shared" si="200"/>
        <v>No</v>
      </c>
      <c r="G2615" t="str">
        <f t="shared" si="201"/>
        <v/>
      </c>
      <c r="H2615" t="str">
        <f t="shared" si="202"/>
        <v>—</v>
      </c>
      <c r="I2615" t="str">
        <f t="shared" si="203"/>
        <v>Below thresholds</v>
      </c>
      <c r="J2615" t="str">
        <f t="shared" si="204"/>
        <v/>
      </c>
    </row>
    <row r="2616" spans="1:10" x14ac:dyDescent="0.2">
      <c r="A2616">
        <v>227110197369</v>
      </c>
      <c r="B2616" t="s">
        <v>5845</v>
      </c>
      <c r="C2616" t="s">
        <v>5846</v>
      </c>
      <c r="D2616">
        <v>1.29</v>
      </c>
      <c r="F2616" t="str">
        <f t="shared" si="200"/>
        <v>No</v>
      </c>
      <c r="G2616" t="str">
        <f t="shared" si="201"/>
        <v/>
      </c>
      <c r="H2616" t="str">
        <f t="shared" si="202"/>
        <v>—</v>
      </c>
      <c r="I2616" t="str">
        <f t="shared" si="203"/>
        <v>Below thresholds</v>
      </c>
      <c r="J2616" t="str">
        <f t="shared" si="204"/>
        <v/>
      </c>
    </row>
    <row r="2617" spans="1:10" x14ac:dyDescent="0.2">
      <c r="A2617">
        <v>227110197397</v>
      </c>
      <c r="B2617" t="s">
        <v>5847</v>
      </c>
      <c r="C2617" t="s">
        <v>5848</v>
      </c>
      <c r="D2617">
        <v>3.89</v>
      </c>
      <c r="F2617" t="str">
        <f t="shared" si="200"/>
        <v>No</v>
      </c>
      <c r="G2617" t="str">
        <f t="shared" si="201"/>
        <v/>
      </c>
      <c r="H2617" t="str">
        <f t="shared" si="202"/>
        <v>—</v>
      </c>
      <c r="I2617" t="str">
        <f t="shared" si="203"/>
        <v>Below thresholds</v>
      </c>
      <c r="J2617" t="str">
        <f t="shared" si="204"/>
        <v/>
      </c>
    </row>
    <row r="2618" spans="1:10" x14ac:dyDescent="0.2">
      <c r="A2618">
        <v>227110197400</v>
      </c>
      <c r="B2618" t="s">
        <v>3216</v>
      </c>
      <c r="C2618" t="s">
        <v>5849</v>
      </c>
      <c r="D2618">
        <v>1.76</v>
      </c>
      <c r="F2618" t="str">
        <f t="shared" si="200"/>
        <v>No</v>
      </c>
      <c r="G2618" t="str">
        <f t="shared" si="201"/>
        <v/>
      </c>
      <c r="H2618" t="str">
        <f t="shared" si="202"/>
        <v>—</v>
      </c>
      <c r="I2618" t="str">
        <f t="shared" si="203"/>
        <v>Below thresholds</v>
      </c>
      <c r="J2618" t="str">
        <f t="shared" si="204"/>
        <v/>
      </c>
    </row>
    <row r="2619" spans="1:10" x14ac:dyDescent="0.2">
      <c r="A2619">
        <v>227110197403</v>
      </c>
      <c r="B2619" t="s">
        <v>5598</v>
      </c>
      <c r="C2619" t="s">
        <v>5850</v>
      </c>
      <c r="D2619">
        <v>1.32</v>
      </c>
      <c r="F2619" t="str">
        <f t="shared" si="200"/>
        <v>No</v>
      </c>
      <c r="G2619" t="str">
        <f t="shared" si="201"/>
        <v/>
      </c>
      <c r="H2619" t="str">
        <f t="shared" si="202"/>
        <v>—</v>
      </c>
      <c r="I2619" t="str">
        <f t="shared" si="203"/>
        <v>Below thresholds</v>
      </c>
      <c r="J2619" t="str">
        <f t="shared" si="204"/>
        <v/>
      </c>
    </row>
    <row r="2620" spans="1:10" x14ac:dyDescent="0.2">
      <c r="A2620">
        <v>227110197414</v>
      </c>
      <c r="B2620" t="s">
        <v>5851</v>
      </c>
      <c r="C2620" t="s">
        <v>5852</v>
      </c>
      <c r="D2620">
        <v>1.35</v>
      </c>
      <c r="F2620" t="str">
        <f t="shared" si="200"/>
        <v>No</v>
      </c>
      <c r="G2620" t="str">
        <f t="shared" si="201"/>
        <v/>
      </c>
      <c r="H2620" t="str">
        <f t="shared" si="202"/>
        <v>—</v>
      </c>
      <c r="I2620" t="str">
        <f t="shared" si="203"/>
        <v>Below thresholds</v>
      </c>
      <c r="J2620" t="str">
        <f t="shared" si="204"/>
        <v/>
      </c>
    </row>
    <row r="2621" spans="1:10" x14ac:dyDescent="0.2">
      <c r="A2621">
        <v>227110197434</v>
      </c>
      <c r="B2621" t="s">
        <v>5853</v>
      </c>
      <c r="C2621" t="s">
        <v>5854</v>
      </c>
      <c r="D2621">
        <v>1.25</v>
      </c>
      <c r="F2621" t="str">
        <f t="shared" si="200"/>
        <v>No</v>
      </c>
      <c r="G2621" t="str">
        <f t="shared" si="201"/>
        <v/>
      </c>
      <c r="H2621" t="str">
        <f t="shared" si="202"/>
        <v>—</v>
      </c>
      <c r="I2621" t="str">
        <f t="shared" si="203"/>
        <v>Below thresholds</v>
      </c>
      <c r="J2621" t="str">
        <f t="shared" si="204"/>
        <v/>
      </c>
    </row>
    <row r="2622" spans="1:10" x14ac:dyDescent="0.2">
      <c r="A2622">
        <v>227110197435</v>
      </c>
      <c r="B2622" t="s">
        <v>5855</v>
      </c>
      <c r="C2622" t="s">
        <v>5856</v>
      </c>
      <c r="D2622">
        <v>1.99</v>
      </c>
      <c r="F2622" t="str">
        <f t="shared" si="200"/>
        <v>No</v>
      </c>
      <c r="G2622" t="str">
        <f t="shared" si="201"/>
        <v/>
      </c>
      <c r="H2622" t="str">
        <f t="shared" si="202"/>
        <v>—</v>
      </c>
      <c r="I2622" t="str">
        <f t="shared" si="203"/>
        <v>Below thresholds</v>
      </c>
      <c r="J2622" t="str">
        <f t="shared" si="204"/>
        <v/>
      </c>
    </row>
    <row r="2623" spans="1:10" x14ac:dyDescent="0.2">
      <c r="A2623">
        <v>227110197451</v>
      </c>
      <c r="B2623" t="s">
        <v>5857</v>
      </c>
      <c r="C2623" t="s">
        <v>5858</v>
      </c>
      <c r="D2623">
        <v>1.25</v>
      </c>
      <c r="F2623" t="str">
        <f t="shared" si="200"/>
        <v>No</v>
      </c>
      <c r="G2623" t="str">
        <f t="shared" si="201"/>
        <v/>
      </c>
      <c r="H2623" t="str">
        <f t="shared" si="202"/>
        <v>—</v>
      </c>
      <c r="I2623" t="str">
        <f t="shared" si="203"/>
        <v>Below thresholds</v>
      </c>
      <c r="J2623" t="str">
        <f t="shared" si="204"/>
        <v/>
      </c>
    </row>
    <row r="2624" spans="1:10" x14ac:dyDescent="0.2">
      <c r="A2624">
        <v>227110197455</v>
      </c>
      <c r="B2624" t="s">
        <v>5859</v>
      </c>
      <c r="C2624" t="s">
        <v>5860</v>
      </c>
      <c r="D2624">
        <v>2.25</v>
      </c>
      <c r="F2624" t="str">
        <f t="shared" si="200"/>
        <v>No</v>
      </c>
      <c r="G2624" t="str">
        <f t="shared" si="201"/>
        <v/>
      </c>
      <c r="H2624" t="str">
        <f t="shared" si="202"/>
        <v>—</v>
      </c>
      <c r="I2624" t="str">
        <f t="shared" si="203"/>
        <v>Below thresholds</v>
      </c>
      <c r="J2624" t="str">
        <f t="shared" si="204"/>
        <v/>
      </c>
    </row>
    <row r="2625" spans="1:10" x14ac:dyDescent="0.2">
      <c r="A2625">
        <v>227110197460</v>
      </c>
      <c r="B2625" t="s">
        <v>5861</v>
      </c>
      <c r="C2625" t="s">
        <v>5862</v>
      </c>
      <c r="D2625">
        <v>1.85</v>
      </c>
      <c r="F2625" t="str">
        <f t="shared" si="200"/>
        <v>No</v>
      </c>
      <c r="G2625" t="str">
        <f t="shared" si="201"/>
        <v/>
      </c>
      <c r="H2625" t="str">
        <f t="shared" si="202"/>
        <v>—</v>
      </c>
      <c r="I2625" t="str">
        <f t="shared" si="203"/>
        <v>Below thresholds</v>
      </c>
      <c r="J2625" t="str">
        <f t="shared" si="204"/>
        <v/>
      </c>
    </row>
    <row r="2626" spans="1:10" x14ac:dyDescent="0.2">
      <c r="A2626">
        <v>227110197461</v>
      </c>
      <c r="B2626" t="s">
        <v>5863</v>
      </c>
      <c r="C2626" t="s">
        <v>5864</v>
      </c>
      <c r="D2626">
        <v>1.5</v>
      </c>
      <c r="F2626" t="str">
        <f t="shared" si="200"/>
        <v>No</v>
      </c>
      <c r="G2626" t="str">
        <f t="shared" si="201"/>
        <v/>
      </c>
      <c r="H2626" t="str">
        <f t="shared" si="202"/>
        <v>—</v>
      </c>
      <c r="I2626" t="str">
        <f t="shared" si="203"/>
        <v>Below thresholds</v>
      </c>
      <c r="J2626" t="str">
        <f t="shared" si="204"/>
        <v/>
      </c>
    </row>
    <row r="2627" spans="1:10" x14ac:dyDescent="0.2">
      <c r="A2627">
        <v>227110197470</v>
      </c>
      <c r="B2627" t="s">
        <v>5865</v>
      </c>
      <c r="C2627" t="s">
        <v>5866</v>
      </c>
      <c r="D2627">
        <v>1.18</v>
      </c>
      <c r="F2627" t="str">
        <f t="shared" si="200"/>
        <v>No</v>
      </c>
      <c r="G2627" t="str">
        <f t="shared" si="201"/>
        <v/>
      </c>
      <c r="H2627" t="str">
        <f t="shared" si="202"/>
        <v>—</v>
      </c>
      <c r="I2627" t="str">
        <f t="shared" si="203"/>
        <v>Below thresholds</v>
      </c>
      <c r="J2627" t="str">
        <f t="shared" si="204"/>
        <v/>
      </c>
    </row>
    <row r="2628" spans="1:10" x14ac:dyDescent="0.2">
      <c r="A2628">
        <v>227110197482</v>
      </c>
      <c r="B2628" t="s">
        <v>280</v>
      </c>
      <c r="C2628" t="s">
        <v>5867</v>
      </c>
      <c r="D2628">
        <v>2.48</v>
      </c>
      <c r="F2628" t="str">
        <f t="shared" si="200"/>
        <v>No</v>
      </c>
      <c r="G2628" t="str">
        <f t="shared" si="201"/>
        <v/>
      </c>
      <c r="H2628" t="str">
        <f t="shared" si="202"/>
        <v>—</v>
      </c>
      <c r="I2628" t="str">
        <f t="shared" si="203"/>
        <v>Below thresholds</v>
      </c>
      <c r="J2628" t="str">
        <f t="shared" si="204"/>
        <v/>
      </c>
    </row>
    <row r="2629" spans="1:10" x14ac:dyDescent="0.2">
      <c r="A2629">
        <v>227110197488</v>
      </c>
      <c r="B2629" t="s">
        <v>5868</v>
      </c>
      <c r="C2629" t="s">
        <v>5869</v>
      </c>
      <c r="D2629">
        <v>1.49</v>
      </c>
      <c r="F2629" t="str">
        <f t="shared" ref="F2629:F2692" si="205">IF($B2629="","",IF(ISNUMBER(SEARCH("PSA",$B2629)),"Yes","No"))</f>
        <v>No</v>
      </c>
      <c r="G2629" t="str">
        <f t="shared" ref="G2629:G2692" si="206">IF($B2629="","",IF(ISNUMBER(SEARCH("PSA 10",$B2629)),10,IF(ISNUMBER(SEARCH("PSA 9.5",$B2629)),9.5,IF(ISNUMBER(SEARCH("PSA 9",$B2629)),9,IF(ISNUMBER(SEARCH("PSA 8",$B2629)),8,IF(ISNUMBER(SEARCH("PSA",$B2629)),"&lt;9",""))))))</f>
        <v/>
      </c>
      <c r="H2629" t="str">
        <f t="shared" ref="H2629:H2692" si="207">IF($B2629="","",IF($D2629&gt;=100,"TIER 2",IF(OR(ISNUMBER(SEARCH("PSA 10",$B2629)),ISNUMBER(SEARCH("PSA 9.5",$B2629)),ISNUMBER(SEARCH("PSA 9",$B2629))),"TIER 3",IF(AND($D2629&gt;20,N($E2629)&gt;=15),"TIER 1","—"))))</f>
        <v>—</v>
      </c>
      <c r="I2629" t="str">
        <f t="shared" ref="I2629:I2692" si="208">IF($B2629="","",IF($D2629&gt;=100,"Premium $100+ (auto)",IF(OR(ISNUMBER(SEARCH("PSA 10",$B2629)),ISNUMBER(SEARCH("PSA 9.5",$B2629)),ISNUMBER(SEARCH("PSA 9",$B2629))),"Graded PSA 9+ (auto)",IF(AND($D2629&gt;20,N($E2629)&gt;=15),"Hot: $20+ &amp; "&amp;$E2629&amp;"/day",IF($D2629&gt;20,"$20+ — needs velocity check","Below thresholds")))))</f>
        <v>Below thresholds</v>
      </c>
      <c r="J2629" t="str">
        <f t="shared" ref="J2629:J2692" si="209">IF($B2629="","",IF(AND($D2629&gt;20,$D2629&lt;100,NOT(OR(ISNUMBER(SEARCH("PSA 10",$B2629)),ISNUMBER(SEARCH("PSA 9.5",$B2629)),ISNUMBER(SEARCH("PSA 9",$B2629)))),$E2629=""),"YES — pull CardHedger",""))</f>
        <v/>
      </c>
    </row>
    <row r="2630" spans="1:10" x14ac:dyDescent="0.2">
      <c r="A2630">
        <v>227110197489</v>
      </c>
      <c r="B2630" t="s">
        <v>5870</v>
      </c>
      <c r="C2630" t="s">
        <v>5871</v>
      </c>
      <c r="D2630">
        <v>1</v>
      </c>
      <c r="F2630" t="str">
        <f t="shared" si="205"/>
        <v>No</v>
      </c>
      <c r="G2630" t="str">
        <f t="shared" si="206"/>
        <v/>
      </c>
      <c r="H2630" t="str">
        <f t="shared" si="207"/>
        <v>—</v>
      </c>
      <c r="I2630" t="str">
        <f t="shared" si="208"/>
        <v>Below thresholds</v>
      </c>
      <c r="J2630" t="str">
        <f t="shared" si="209"/>
        <v/>
      </c>
    </row>
    <row r="2631" spans="1:10" x14ac:dyDescent="0.2">
      <c r="A2631">
        <v>227110197493</v>
      </c>
      <c r="B2631" t="s">
        <v>5872</v>
      </c>
      <c r="C2631" t="s">
        <v>5873</v>
      </c>
      <c r="D2631">
        <v>1.25</v>
      </c>
      <c r="F2631" t="str">
        <f t="shared" si="205"/>
        <v>No</v>
      </c>
      <c r="G2631" t="str">
        <f t="shared" si="206"/>
        <v/>
      </c>
      <c r="H2631" t="str">
        <f t="shared" si="207"/>
        <v>—</v>
      </c>
      <c r="I2631" t="str">
        <f t="shared" si="208"/>
        <v>Below thresholds</v>
      </c>
      <c r="J2631" t="str">
        <f t="shared" si="209"/>
        <v/>
      </c>
    </row>
    <row r="2632" spans="1:10" x14ac:dyDescent="0.2">
      <c r="A2632">
        <v>227110197503</v>
      </c>
      <c r="B2632" t="s">
        <v>5874</v>
      </c>
      <c r="C2632" t="s">
        <v>5875</v>
      </c>
      <c r="D2632">
        <v>1</v>
      </c>
      <c r="F2632" t="str">
        <f t="shared" si="205"/>
        <v>No</v>
      </c>
      <c r="G2632" t="str">
        <f t="shared" si="206"/>
        <v/>
      </c>
      <c r="H2632" t="str">
        <f t="shared" si="207"/>
        <v>—</v>
      </c>
      <c r="I2632" t="str">
        <f t="shared" si="208"/>
        <v>Below thresholds</v>
      </c>
      <c r="J2632" t="str">
        <f t="shared" si="209"/>
        <v/>
      </c>
    </row>
    <row r="2633" spans="1:10" x14ac:dyDescent="0.2">
      <c r="A2633">
        <v>227110197505</v>
      </c>
      <c r="B2633" t="s">
        <v>5876</v>
      </c>
      <c r="C2633" t="s">
        <v>5877</v>
      </c>
      <c r="D2633">
        <v>1</v>
      </c>
      <c r="F2633" t="str">
        <f t="shared" si="205"/>
        <v>No</v>
      </c>
      <c r="G2633" t="str">
        <f t="shared" si="206"/>
        <v/>
      </c>
      <c r="H2633" t="str">
        <f t="shared" si="207"/>
        <v>—</v>
      </c>
      <c r="I2633" t="str">
        <f t="shared" si="208"/>
        <v>Below thresholds</v>
      </c>
      <c r="J2633" t="str">
        <f t="shared" si="209"/>
        <v/>
      </c>
    </row>
    <row r="2634" spans="1:10" x14ac:dyDescent="0.2">
      <c r="A2634">
        <v>227110197511</v>
      </c>
      <c r="B2634" t="s">
        <v>5878</v>
      </c>
      <c r="C2634" t="s">
        <v>5879</v>
      </c>
      <c r="D2634">
        <v>1</v>
      </c>
      <c r="F2634" t="str">
        <f t="shared" si="205"/>
        <v>No</v>
      </c>
      <c r="G2634" t="str">
        <f t="shared" si="206"/>
        <v/>
      </c>
      <c r="H2634" t="str">
        <f t="shared" si="207"/>
        <v>—</v>
      </c>
      <c r="I2634" t="str">
        <f t="shared" si="208"/>
        <v>Below thresholds</v>
      </c>
      <c r="J2634" t="str">
        <f t="shared" si="209"/>
        <v/>
      </c>
    </row>
    <row r="2635" spans="1:10" x14ac:dyDescent="0.2">
      <c r="A2635">
        <v>227110197512</v>
      </c>
      <c r="B2635" t="s">
        <v>5880</v>
      </c>
      <c r="C2635" t="s">
        <v>5881</v>
      </c>
      <c r="D2635">
        <v>1.25</v>
      </c>
      <c r="F2635" t="str">
        <f t="shared" si="205"/>
        <v>No</v>
      </c>
      <c r="G2635" t="str">
        <f t="shared" si="206"/>
        <v/>
      </c>
      <c r="H2635" t="str">
        <f t="shared" si="207"/>
        <v>—</v>
      </c>
      <c r="I2635" t="str">
        <f t="shared" si="208"/>
        <v>Below thresholds</v>
      </c>
      <c r="J2635" t="str">
        <f t="shared" si="209"/>
        <v/>
      </c>
    </row>
    <row r="2636" spans="1:10" x14ac:dyDescent="0.2">
      <c r="A2636">
        <v>227110197528</v>
      </c>
      <c r="B2636" t="s">
        <v>5882</v>
      </c>
      <c r="C2636" t="s">
        <v>5883</v>
      </c>
      <c r="D2636">
        <v>1</v>
      </c>
      <c r="F2636" t="str">
        <f t="shared" si="205"/>
        <v>No</v>
      </c>
      <c r="G2636" t="str">
        <f t="shared" si="206"/>
        <v/>
      </c>
      <c r="H2636" t="str">
        <f t="shared" si="207"/>
        <v>—</v>
      </c>
      <c r="I2636" t="str">
        <f t="shared" si="208"/>
        <v>Below thresholds</v>
      </c>
      <c r="J2636" t="str">
        <f t="shared" si="209"/>
        <v/>
      </c>
    </row>
    <row r="2637" spans="1:10" x14ac:dyDescent="0.2">
      <c r="A2637">
        <v>227110197529</v>
      </c>
      <c r="B2637" t="s">
        <v>5884</v>
      </c>
      <c r="C2637" t="s">
        <v>5885</v>
      </c>
      <c r="D2637">
        <v>8.5</v>
      </c>
      <c r="F2637" t="str">
        <f t="shared" si="205"/>
        <v>No</v>
      </c>
      <c r="G2637" t="str">
        <f t="shared" si="206"/>
        <v/>
      </c>
      <c r="H2637" t="str">
        <f t="shared" si="207"/>
        <v>—</v>
      </c>
      <c r="I2637" t="str">
        <f t="shared" si="208"/>
        <v>Below thresholds</v>
      </c>
      <c r="J2637" t="str">
        <f t="shared" si="209"/>
        <v/>
      </c>
    </row>
    <row r="2638" spans="1:10" x14ac:dyDescent="0.2">
      <c r="A2638">
        <v>227110197531</v>
      </c>
      <c r="B2638" t="s">
        <v>5886</v>
      </c>
      <c r="C2638" t="s">
        <v>5887</v>
      </c>
      <c r="D2638">
        <v>1</v>
      </c>
      <c r="F2638" t="str">
        <f t="shared" si="205"/>
        <v>No</v>
      </c>
      <c r="G2638" t="str">
        <f t="shared" si="206"/>
        <v/>
      </c>
      <c r="H2638" t="str">
        <f t="shared" si="207"/>
        <v>—</v>
      </c>
      <c r="I2638" t="str">
        <f t="shared" si="208"/>
        <v>Below thresholds</v>
      </c>
      <c r="J2638" t="str">
        <f t="shared" si="209"/>
        <v/>
      </c>
    </row>
    <row r="2639" spans="1:10" x14ac:dyDescent="0.2">
      <c r="A2639">
        <v>227110197542</v>
      </c>
      <c r="B2639" t="s">
        <v>5888</v>
      </c>
      <c r="C2639" t="s">
        <v>5889</v>
      </c>
      <c r="D2639">
        <v>1.25</v>
      </c>
      <c r="F2639" t="str">
        <f t="shared" si="205"/>
        <v>No</v>
      </c>
      <c r="G2639" t="str">
        <f t="shared" si="206"/>
        <v/>
      </c>
      <c r="H2639" t="str">
        <f t="shared" si="207"/>
        <v>—</v>
      </c>
      <c r="I2639" t="str">
        <f t="shared" si="208"/>
        <v>Below thresholds</v>
      </c>
      <c r="J2639" t="str">
        <f t="shared" si="209"/>
        <v/>
      </c>
    </row>
    <row r="2640" spans="1:10" x14ac:dyDescent="0.2">
      <c r="A2640">
        <v>227110197550</v>
      </c>
      <c r="B2640" t="s">
        <v>3212</v>
      </c>
      <c r="C2640" t="s">
        <v>5890</v>
      </c>
      <c r="D2640">
        <v>1.99</v>
      </c>
      <c r="F2640" t="str">
        <f t="shared" si="205"/>
        <v>No</v>
      </c>
      <c r="G2640" t="str">
        <f t="shared" si="206"/>
        <v/>
      </c>
      <c r="H2640" t="str">
        <f t="shared" si="207"/>
        <v>—</v>
      </c>
      <c r="I2640" t="str">
        <f t="shared" si="208"/>
        <v>Below thresholds</v>
      </c>
      <c r="J2640" t="str">
        <f t="shared" si="209"/>
        <v/>
      </c>
    </row>
    <row r="2641" spans="1:10" x14ac:dyDescent="0.2">
      <c r="A2641">
        <v>227111401346</v>
      </c>
      <c r="B2641" t="s">
        <v>5891</v>
      </c>
      <c r="C2641" t="s">
        <v>5892</v>
      </c>
      <c r="D2641">
        <v>4.99</v>
      </c>
      <c r="F2641" t="str">
        <f t="shared" si="205"/>
        <v>No</v>
      </c>
      <c r="G2641" t="str">
        <f t="shared" si="206"/>
        <v/>
      </c>
      <c r="H2641" t="str">
        <f t="shared" si="207"/>
        <v>—</v>
      </c>
      <c r="I2641" t="str">
        <f t="shared" si="208"/>
        <v>Below thresholds</v>
      </c>
      <c r="J2641" t="str">
        <f t="shared" si="209"/>
        <v/>
      </c>
    </row>
    <row r="2642" spans="1:10" x14ac:dyDescent="0.2">
      <c r="A2642">
        <v>227111410089</v>
      </c>
      <c r="B2642" t="s">
        <v>5893</v>
      </c>
      <c r="C2642" t="s">
        <v>5894</v>
      </c>
      <c r="D2642">
        <v>1.5</v>
      </c>
      <c r="F2642" t="str">
        <f t="shared" si="205"/>
        <v>No</v>
      </c>
      <c r="G2642" t="str">
        <f t="shared" si="206"/>
        <v/>
      </c>
      <c r="H2642" t="str">
        <f t="shared" si="207"/>
        <v>—</v>
      </c>
      <c r="I2642" t="str">
        <f t="shared" si="208"/>
        <v>Below thresholds</v>
      </c>
      <c r="J2642" t="str">
        <f t="shared" si="209"/>
        <v/>
      </c>
    </row>
    <row r="2643" spans="1:10" x14ac:dyDescent="0.2">
      <c r="A2643">
        <v>227111412822</v>
      </c>
      <c r="B2643" t="s">
        <v>5895</v>
      </c>
      <c r="C2643" t="s">
        <v>5896</v>
      </c>
      <c r="D2643">
        <v>1.25</v>
      </c>
      <c r="F2643" t="str">
        <f t="shared" si="205"/>
        <v>No</v>
      </c>
      <c r="G2643" t="str">
        <f t="shared" si="206"/>
        <v/>
      </c>
      <c r="H2643" t="str">
        <f t="shared" si="207"/>
        <v>—</v>
      </c>
      <c r="I2643" t="str">
        <f t="shared" si="208"/>
        <v>Below thresholds</v>
      </c>
      <c r="J2643" t="str">
        <f t="shared" si="209"/>
        <v/>
      </c>
    </row>
    <row r="2644" spans="1:10" x14ac:dyDescent="0.2">
      <c r="A2644">
        <v>227111414536</v>
      </c>
      <c r="B2644" t="s">
        <v>5897</v>
      </c>
      <c r="C2644" t="s">
        <v>5898</v>
      </c>
      <c r="D2644">
        <v>2.25</v>
      </c>
      <c r="F2644" t="str">
        <f t="shared" si="205"/>
        <v>No</v>
      </c>
      <c r="G2644" t="str">
        <f t="shared" si="206"/>
        <v/>
      </c>
      <c r="H2644" t="str">
        <f t="shared" si="207"/>
        <v>—</v>
      </c>
      <c r="I2644" t="str">
        <f t="shared" si="208"/>
        <v>Below thresholds</v>
      </c>
      <c r="J2644" t="str">
        <f t="shared" si="209"/>
        <v/>
      </c>
    </row>
    <row r="2645" spans="1:10" x14ac:dyDescent="0.2">
      <c r="A2645">
        <v>227111416113</v>
      </c>
      <c r="B2645" t="s">
        <v>5899</v>
      </c>
      <c r="C2645" t="s">
        <v>5900</v>
      </c>
      <c r="D2645">
        <v>1.99</v>
      </c>
      <c r="F2645" t="str">
        <f t="shared" si="205"/>
        <v>No</v>
      </c>
      <c r="G2645" t="str">
        <f t="shared" si="206"/>
        <v/>
      </c>
      <c r="H2645" t="str">
        <f t="shared" si="207"/>
        <v>—</v>
      </c>
      <c r="I2645" t="str">
        <f t="shared" si="208"/>
        <v>Below thresholds</v>
      </c>
      <c r="J2645" t="str">
        <f t="shared" si="209"/>
        <v/>
      </c>
    </row>
    <row r="2646" spans="1:10" x14ac:dyDescent="0.2">
      <c r="A2646">
        <v>227111421653</v>
      </c>
      <c r="B2646" t="s">
        <v>5901</v>
      </c>
      <c r="C2646" t="s">
        <v>5902</v>
      </c>
      <c r="D2646">
        <v>4.99</v>
      </c>
      <c r="F2646" t="str">
        <f t="shared" si="205"/>
        <v>No</v>
      </c>
      <c r="G2646" t="str">
        <f t="shared" si="206"/>
        <v/>
      </c>
      <c r="H2646" t="str">
        <f t="shared" si="207"/>
        <v>—</v>
      </c>
      <c r="I2646" t="str">
        <f t="shared" si="208"/>
        <v>Below thresholds</v>
      </c>
      <c r="J2646" t="str">
        <f t="shared" si="209"/>
        <v/>
      </c>
    </row>
    <row r="2647" spans="1:10" x14ac:dyDescent="0.2">
      <c r="A2647">
        <v>227111423202</v>
      </c>
      <c r="B2647" t="s">
        <v>5903</v>
      </c>
      <c r="C2647" t="s">
        <v>5904</v>
      </c>
      <c r="D2647">
        <v>4.99</v>
      </c>
      <c r="F2647" t="str">
        <f t="shared" si="205"/>
        <v>No</v>
      </c>
      <c r="G2647" t="str">
        <f t="shared" si="206"/>
        <v/>
      </c>
      <c r="H2647" t="str">
        <f t="shared" si="207"/>
        <v>—</v>
      </c>
      <c r="I2647" t="str">
        <f t="shared" si="208"/>
        <v>Below thresholds</v>
      </c>
      <c r="J2647" t="str">
        <f t="shared" si="209"/>
        <v/>
      </c>
    </row>
    <row r="2648" spans="1:10" x14ac:dyDescent="0.2">
      <c r="A2648">
        <v>227111427131</v>
      </c>
      <c r="B2648" t="s">
        <v>5905</v>
      </c>
      <c r="C2648" t="s">
        <v>5906</v>
      </c>
      <c r="D2648">
        <v>2.5</v>
      </c>
      <c r="F2648" t="str">
        <f t="shared" si="205"/>
        <v>No</v>
      </c>
      <c r="G2648" t="str">
        <f t="shared" si="206"/>
        <v/>
      </c>
      <c r="H2648" t="str">
        <f t="shared" si="207"/>
        <v>—</v>
      </c>
      <c r="I2648" t="str">
        <f t="shared" si="208"/>
        <v>Below thresholds</v>
      </c>
      <c r="J2648" t="str">
        <f t="shared" si="209"/>
        <v/>
      </c>
    </row>
    <row r="2649" spans="1:10" x14ac:dyDescent="0.2">
      <c r="A2649">
        <v>227111434099</v>
      </c>
      <c r="B2649" t="s">
        <v>5907</v>
      </c>
      <c r="C2649" t="s">
        <v>5908</v>
      </c>
      <c r="D2649">
        <v>5.99</v>
      </c>
      <c r="F2649" t="str">
        <f t="shared" si="205"/>
        <v>No</v>
      </c>
      <c r="G2649" t="str">
        <f t="shared" si="206"/>
        <v/>
      </c>
      <c r="H2649" t="str">
        <f t="shared" si="207"/>
        <v>—</v>
      </c>
      <c r="I2649" t="str">
        <f t="shared" si="208"/>
        <v>Below thresholds</v>
      </c>
      <c r="J2649" t="str">
        <f t="shared" si="209"/>
        <v/>
      </c>
    </row>
    <row r="2650" spans="1:10" x14ac:dyDescent="0.2">
      <c r="A2650">
        <v>227111437722</v>
      </c>
      <c r="B2650" t="s">
        <v>5909</v>
      </c>
      <c r="C2650" t="s">
        <v>5910</v>
      </c>
      <c r="D2650">
        <v>2.25</v>
      </c>
      <c r="F2650" t="str">
        <f t="shared" si="205"/>
        <v>No</v>
      </c>
      <c r="G2650" t="str">
        <f t="shared" si="206"/>
        <v/>
      </c>
      <c r="H2650" t="str">
        <f t="shared" si="207"/>
        <v>—</v>
      </c>
      <c r="I2650" t="str">
        <f t="shared" si="208"/>
        <v>Below thresholds</v>
      </c>
      <c r="J2650" t="str">
        <f t="shared" si="209"/>
        <v/>
      </c>
    </row>
    <row r="2651" spans="1:10" x14ac:dyDescent="0.2">
      <c r="A2651">
        <v>227113152555</v>
      </c>
      <c r="B2651" t="s">
        <v>5911</v>
      </c>
      <c r="C2651" t="s">
        <v>5912</v>
      </c>
      <c r="D2651">
        <v>3</v>
      </c>
      <c r="F2651" t="str">
        <f t="shared" si="205"/>
        <v>No</v>
      </c>
      <c r="G2651" t="str">
        <f t="shared" si="206"/>
        <v/>
      </c>
      <c r="H2651" t="str">
        <f t="shared" si="207"/>
        <v>—</v>
      </c>
      <c r="I2651" t="str">
        <f t="shared" si="208"/>
        <v>Below thresholds</v>
      </c>
      <c r="J2651" t="str">
        <f t="shared" si="209"/>
        <v/>
      </c>
    </row>
    <row r="2652" spans="1:10" x14ac:dyDescent="0.2">
      <c r="A2652">
        <v>227120342192</v>
      </c>
      <c r="B2652" t="s">
        <v>5913</v>
      </c>
      <c r="C2652" t="s">
        <v>5914</v>
      </c>
      <c r="D2652">
        <v>1.25</v>
      </c>
      <c r="F2652" t="str">
        <f t="shared" si="205"/>
        <v>No</v>
      </c>
      <c r="G2652" t="str">
        <f t="shared" si="206"/>
        <v/>
      </c>
      <c r="H2652" t="str">
        <f t="shared" si="207"/>
        <v>—</v>
      </c>
      <c r="I2652" t="str">
        <f t="shared" si="208"/>
        <v>Below thresholds</v>
      </c>
      <c r="J2652" t="str">
        <f t="shared" si="209"/>
        <v/>
      </c>
    </row>
    <row r="2653" spans="1:10" x14ac:dyDescent="0.2">
      <c r="A2653">
        <v>227120342198</v>
      </c>
      <c r="B2653" t="s">
        <v>5915</v>
      </c>
      <c r="C2653" t="s">
        <v>5916</v>
      </c>
      <c r="D2653">
        <v>1.5</v>
      </c>
      <c r="F2653" t="str">
        <f t="shared" si="205"/>
        <v>No</v>
      </c>
      <c r="G2653" t="str">
        <f t="shared" si="206"/>
        <v/>
      </c>
      <c r="H2653" t="str">
        <f t="shared" si="207"/>
        <v>—</v>
      </c>
      <c r="I2653" t="str">
        <f t="shared" si="208"/>
        <v>Below thresholds</v>
      </c>
      <c r="J2653" t="str">
        <f t="shared" si="209"/>
        <v/>
      </c>
    </row>
    <row r="2654" spans="1:10" x14ac:dyDescent="0.2">
      <c r="A2654">
        <v>227120342199</v>
      </c>
      <c r="B2654" t="s">
        <v>5917</v>
      </c>
      <c r="C2654" t="s">
        <v>5918</v>
      </c>
      <c r="D2654">
        <v>1.99</v>
      </c>
      <c r="F2654" t="str">
        <f t="shared" si="205"/>
        <v>No</v>
      </c>
      <c r="G2654" t="str">
        <f t="shared" si="206"/>
        <v/>
      </c>
      <c r="H2654" t="str">
        <f t="shared" si="207"/>
        <v>—</v>
      </c>
      <c r="I2654" t="str">
        <f t="shared" si="208"/>
        <v>Below thresholds</v>
      </c>
      <c r="J2654" t="str">
        <f t="shared" si="209"/>
        <v/>
      </c>
    </row>
    <row r="2655" spans="1:10" x14ac:dyDescent="0.2">
      <c r="A2655">
        <v>227120342204</v>
      </c>
      <c r="B2655" t="s">
        <v>5919</v>
      </c>
      <c r="C2655" t="s">
        <v>5920</v>
      </c>
      <c r="D2655">
        <v>2.99</v>
      </c>
      <c r="F2655" t="str">
        <f t="shared" si="205"/>
        <v>No</v>
      </c>
      <c r="G2655" t="str">
        <f t="shared" si="206"/>
        <v/>
      </c>
      <c r="H2655" t="str">
        <f t="shared" si="207"/>
        <v>—</v>
      </c>
      <c r="I2655" t="str">
        <f t="shared" si="208"/>
        <v>Below thresholds</v>
      </c>
      <c r="J2655" t="str">
        <f t="shared" si="209"/>
        <v/>
      </c>
    </row>
    <row r="2656" spans="1:10" x14ac:dyDescent="0.2">
      <c r="A2656">
        <v>227120342213</v>
      </c>
      <c r="B2656" t="s">
        <v>5921</v>
      </c>
      <c r="C2656" t="s">
        <v>5922</v>
      </c>
      <c r="D2656">
        <v>2.4900000000000002</v>
      </c>
      <c r="F2656" t="str">
        <f t="shared" si="205"/>
        <v>No</v>
      </c>
      <c r="G2656" t="str">
        <f t="shared" si="206"/>
        <v/>
      </c>
      <c r="H2656" t="str">
        <f t="shared" si="207"/>
        <v>—</v>
      </c>
      <c r="I2656" t="str">
        <f t="shared" si="208"/>
        <v>Below thresholds</v>
      </c>
      <c r="J2656" t="str">
        <f t="shared" si="209"/>
        <v/>
      </c>
    </row>
    <row r="2657" spans="1:10" x14ac:dyDescent="0.2">
      <c r="A2657">
        <v>227120342225</v>
      </c>
      <c r="B2657" t="s">
        <v>5923</v>
      </c>
      <c r="C2657" t="s">
        <v>5924</v>
      </c>
      <c r="D2657">
        <v>2</v>
      </c>
      <c r="F2657" t="str">
        <f t="shared" si="205"/>
        <v>No</v>
      </c>
      <c r="G2657" t="str">
        <f t="shared" si="206"/>
        <v/>
      </c>
      <c r="H2657" t="str">
        <f t="shared" si="207"/>
        <v>—</v>
      </c>
      <c r="I2657" t="str">
        <f t="shared" si="208"/>
        <v>Below thresholds</v>
      </c>
      <c r="J2657" t="str">
        <f t="shared" si="209"/>
        <v/>
      </c>
    </row>
    <row r="2658" spans="1:10" x14ac:dyDescent="0.2">
      <c r="A2658">
        <v>227120342231</v>
      </c>
      <c r="B2658" t="s">
        <v>5925</v>
      </c>
      <c r="C2658" t="s">
        <v>5926</v>
      </c>
      <c r="D2658">
        <v>1.25</v>
      </c>
      <c r="F2658" t="str">
        <f t="shared" si="205"/>
        <v>No</v>
      </c>
      <c r="G2658" t="str">
        <f t="shared" si="206"/>
        <v/>
      </c>
      <c r="H2658" t="str">
        <f t="shared" si="207"/>
        <v>—</v>
      </c>
      <c r="I2658" t="str">
        <f t="shared" si="208"/>
        <v>Below thresholds</v>
      </c>
      <c r="J2658" t="str">
        <f t="shared" si="209"/>
        <v/>
      </c>
    </row>
    <row r="2659" spans="1:10" x14ac:dyDescent="0.2">
      <c r="A2659">
        <v>227124436916</v>
      </c>
      <c r="B2659" t="s">
        <v>5927</v>
      </c>
      <c r="C2659" t="s">
        <v>5928</v>
      </c>
      <c r="D2659">
        <v>1.99</v>
      </c>
      <c r="F2659" t="str">
        <f t="shared" si="205"/>
        <v>No</v>
      </c>
      <c r="G2659" t="str">
        <f t="shared" si="206"/>
        <v/>
      </c>
      <c r="H2659" t="str">
        <f t="shared" si="207"/>
        <v>—</v>
      </c>
      <c r="I2659" t="str">
        <f t="shared" si="208"/>
        <v>Below thresholds</v>
      </c>
      <c r="J2659" t="str">
        <f t="shared" si="209"/>
        <v/>
      </c>
    </row>
    <row r="2660" spans="1:10" x14ac:dyDescent="0.2">
      <c r="A2660">
        <v>227124436918</v>
      </c>
      <c r="B2660" t="s">
        <v>5929</v>
      </c>
      <c r="C2660" t="s">
        <v>5930</v>
      </c>
      <c r="D2660">
        <v>0.99</v>
      </c>
      <c r="F2660" t="str">
        <f t="shared" si="205"/>
        <v>No</v>
      </c>
      <c r="G2660" t="str">
        <f t="shared" si="206"/>
        <v/>
      </c>
      <c r="H2660" t="str">
        <f t="shared" si="207"/>
        <v>—</v>
      </c>
      <c r="I2660" t="str">
        <f t="shared" si="208"/>
        <v>Below thresholds</v>
      </c>
      <c r="J2660" t="str">
        <f t="shared" si="209"/>
        <v/>
      </c>
    </row>
    <row r="2661" spans="1:10" x14ac:dyDescent="0.2">
      <c r="A2661">
        <v>227124436927</v>
      </c>
      <c r="B2661" t="s">
        <v>5931</v>
      </c>
      <c r="C2661" t="s">
        <v>5932</v>
      </c>
      <c r="D2661">
        <v>1.56</v>
      </c>
      <c r="F2661" t="str">
        <f t="shared" si="205"/>
        <v>No</v>
      </c>
      <c r="G2661" t="str">
        <f t="shared" si="206"/>
        <v/>
      </c>
      <c r="H2661" t="str">
        <f t="shared" si="207"/>
        <v>—</v>
      </c>
      <c r="I2661" t="str">
        <f t="shared" si="208"/>
        <v>Below thresholds</v>
      </c>
      <c r="J2661" t="str">
        <f t="shared" si="209"/>
        <v/>
      </c>
    </row>
    <row r="2662" spans="1:10" x14ac:dyDescent="0.2">
      <c r="A2662">
        <v>227124437053</v>
      </c>
      <c r="B2662" t="s">
        <v>5933</v>
      </c>
      <c r="C2662" t="s">
        <v>5934</v>
      </c>
      <c r="D2662">
        <v>1.59</v>
      </c>
      <c r="F2662" t="str">
        <f t="shared" si="205"/>
        <v>No</v>
      </c>
      <c r="G2662" t="str">
        <f t="shared" si="206"/>
        <v/>
      </c>
      <c r="H2662" t="str">
        <f t="shared" si="207"/>
        <v>—</v>
      </c>
      <c r="I2662" t="str">
        <f t="shared" si="208"/>
        <v>Below thresholds</v>
      </c>
      <c r="J2662" t="str">
        <f t="shared" si="209"/>
        <v/>
      </c>
    </row>
    <row r="2663" spans="1:10" x14ac:dyDescent="0.2">
      <c r="A2663">
        <v>227124437064</v>
      </c>
      <c r="B2663" t="s">
        <v>5935</v>
      </c>
      <c r="C2663" t="s">
        <v>5936</v>
      </c>
      <c r="D2663">
        <v>1.59</v>
      </c>
      <c r="F2663" t="str">
        <f t="shared" si="205"/>
        <v>No</v>
      </c>
      <c r="G2663" t="str">
        <f t="shared" si="206"/>
        <v/>
      </c>
      <c r="H2663" t="str">
        <f t="shared" si="207"/>
        <v>—</v>
      </c>
      <c r="I2663" t="str">
        <f t="shared" si="208"/>
        <v>Below thresholds</v>
      </c>
      <c r="J2663" t="str">
        <f t="shared" si="209"/>
        <v/>
      </c>
    </row>
    <row r="2664" spans="1:10" x14ac:dyDescent="0.2">
      <c r="A2664">
        <v>227124437066</v>
      </c>
      <c r="B2664" t="s">
        <v>5937</v>
      </c>
      <c r="C2664" t="s">
        <v>5938</v>
      </c>
      <c r="D2664">
        <v>3.25</v>
      </c>
      <c r="F2664" t="str">
        <f t="shared" si="205"/>
        <v>No</v>
      </c>
      <c r="G2664" t="str">
        <f t="shared" si="206"/>
        <v/>
      </c>
      <c r="H2664" t="str">
        <f t="shared" si="207"/>
        <v>—</v>
      </c>
      <c r="I2664" t="str">
        <f t="shared" si="208"/>
        <v>Below thresholds</v>
      </c>
      <c r="J2664" t="str">
        <f t="shared" si="209"/>
        <v/>
      </c>
    </row>
    <row r="2665" spans="1:10" x14ac:dyDescent="0.2">
      <c r="A2665">
        <v>227124437076</v>
      </c>
      <c r="B2665" t="s">
        <v>5939</v>
      </c>
      <c r="C2665" t="s">
        <v>5940</v>
      </c>
      <c r="D2665">
        <v>1.59</v>
      </c>
      <c r="F2665" t="str">
        <f t="shared" si="205"/>
        <v>No</v>
      </c>
      <c r="G2665" t="str">
        <f t="shared" si="206"/>
        <v/>
      </c>
      <c r="H2665" t="str">
        <f t="shared" si="207"/>
        <v>—</v>
      </c>
      <c r="I2665" t="str">
        <f t="shared" si="208"/>
        <v>Below thresholds</v>
      </c>
      <c r="J2665" t="str">
        <f t="shared" si="209"/>
        <v/>
      </c>
    </row>
    <row r="2666" spans="1:10" x14ac:dyDescent="0.2">
      <c r="A2666">
        <v>227124437081</v>
      </c>
      <c r="B2666" t="s">
        <v>5941</v>
      </c>
      <c r="C2666" t="s">
        <v>5942</v>
      </c>
      <c r="D2666">
        <v>1.59</v>
      </c>
      <c r="F2666" t="str">
        <f t="shared" si="205"/>
        <v>No</v>
      </c>
      <c r="G2666" t="str">
        <f t="shared" si="206"/>
        <v/>
      </c>
      <c r="H2666" t="str">
        <f t="shared" si="207"/>
        <v>—</v>
      </c>
      <c r="I2666" t="str">
        <f t="shared" si="208"/>
        <v>Below thresholds</v>
      </c>
      <c r="J2666" t="str">
        <f t="shared" si="209"/>
        <v/>
      </c>
    </row>
    <row r="2667" spans="1:10" x14ac:dyDescent="0.2">
      <c r="A2667">
        <v>227124437087</v>
      </c>
      <c r="B2667" t="s">
        <v>5943</v>
      </c>
      <c r="C2667" t="s">
        <v>5944</v>
      </c>
      <c r="D2667">
        <v>1.59</v>
      </c>
      <c r="F2667" t="str">
        <f t="shared" si="205"/>
        <v>No</v>
      </c>
      <c r="G2667" t="str">
        <f t="shared" si="206"/>
        <v/>
      </c>
      <c r="H2667" t="str">
        <f t="shared" si="207"/>
        <v>—</v>
      </c>
      <c r="I2667" t="str">
        <f t="shared" si="208"/>
        <v>Below thresholds</v>
      </c>
      <c r="J2667" t="str">
        <f t="shared" si="209"/>
        <v/>
      </c>
    </row>
    <row r="2668" spans="1:10" x14ac:dyDescent="0.2">
      <c r="A2668">
        <v>227124437100</v>
      </c>
      <c r="B2668" t="s">
        <v>5945</v>
      </c>
      <c r="C2668" t="s">
        <v>5946</v>
      </c>
      <c r="D2668">
        <v>2.29</v>
      </c>
      <c r="F2668" t="str">
        <f t="shared" si="205"/>
        <v>No</v>
      </c>
      <c r="G2668" t="str">
        <f t="shared" si="206"/>
        <v/>
      </c>
      <c r="H2668" t="str">
        <f t="shared" si="207"/>
        <v>—</v>
      </c>
      <c r="I2668" t="str">
        <f t="shared" si="208"/>
        <v>Below thresholds</v>
      </c>
      <c r="J2668" t="str">
        <f t="shared" si="209"/>
        <v/>
      </c>
    </row>
    <row r="2669" spans="1:10" x14ac:dyDescent="0.2">
      <c r="A2669">
        <v>227124437109</v>
      </c>
      <c r="B2669" t="s">
        <v>5947</v>
      </c>
      <c r="C2669" t="s">
        <v>5948</v>
      </c>
      <c r="D2669">
        <v>2.5</v>
      </c>
      <c r="F2669" t="str">
        <f t="shared" si="205"/>
        <v>No</v>
      </c>
      <c r="G2669" t="str">
        <f t="shared" si="206"/>
        <v/>
      </c>
      <c r="H2669" t="str">
        <f t="shared" si="207"/>
        <v>—</v>
      </c>
      <c r="I2669" t="str">
        <f t="shared" si="208"/>
        <v>Below thresholds</v>
      </c>
      <c r="J2669" t="str">
        <f t="shared" si="209"/>
        <v/>
      </c>
    </row>
    <row r="2670" spans="1:10" x14ac:dyDescent="0.2">
      <c r="A2670">
        <v>227124437112</v>
      </c>
      <c r="B2670" t="s">
        <v>5949</v>
      </c>
      <c r="C2670" t="s">
        <v>5950</v>
      </c>
      <c r="D2670">
        <v>0.99</v>
      </c>
      <c r="F2670" t="str">
        <f t="shared" si="205"/>
        <v>No</v>
      </c>
      <c r="G2670" t="str">
        <f t="shared" si="206"/>
        <v/>
      </c>
      <c r="H2670" t="str">
        <f t="shared" si="207"/>
        <v>—</v>
      </c>
      <c r="I2670" t="str">
        <f t="shared" si="208"/>
        <v>Below thresholds</v>
      </c>
      <c r="J2670" t="str">
        <f t="shared" si="209"/>
        <v/>
      </c>
    </row>
    <row r="2671" spans="1:10" x14ac:dyDescent="0.2">
      <c r="A2671">
        <v>227124437113</v>
      </c>
      <c r="B2671" t="s">
        <v>5951</v>
      </c>
      <c r="C2671" t="s">
        <v>5952</v>
      </c>
      <c r="D2671">
        <v>2.99</v>
      </c>
      <c r="F2671" t="str">
        <f t="shared" si="205"/>
        <v>No</v>
      </c>
      <c r="G2671" t="str">
        <f t="shared" si="206"/>
        <v/>
      </c>
      <c r="H2671" t="str">
        <f t="shared" si="207"/>
        <v>—</v>
      </c>
      <c r="I2671" t="str">
        <f t="shared" si="208"/>
        <v>Below thresholds</v>
      </c>
      <c r="J2671" t="str">
        <f t="shared" si="209"/>
        <v/>
      </c>
    </row>
    <row r="2672" spans="1:10" x14ac:dyDescent="0.2">
      <c r="A2672">
        <v>227124437128</v>
      </c>
      <c r="B2672" t="s">
        <v>5953</v>
      </c>
      <c r="C2672" t="s">
        <v>5954</v>
      </c>
      <c r="D2672">
        <v>2.25</v>
      </c>
      <c r="F2672" t="str">
        <f t="shared" si="205"/>
        <v>No</v>
      </c>
      <c r="G2672" t="str">
        <f t="shared" si="206"/>
        <v/>
      </c>
      <c r="H2672" t="str">
        <f t="shared" si="207"/>
        <v>—</v>
      </c>
      <c r="I2672" t="str">
        <f t="shared" si="208"/>
        <v>Below thresholds</v>
      </c>
      <c r="J2672" t="str">
        <f t="shared" si="209"/>
        <v/>
      </c>
    </row>
    <row r="2673" spans="1:10" x14ac:dyDescent="0.2">
      <c r="A2673">
        <v>227124437129</v>
      </c>
      <c r="B2673" t="s">
        <v>5955</v>
      </c>
      <c r="C2673" t="s">
        <v>5956</v>
      </c>
      <c r="D2673">
        <v>0.99</v>
      </c>
      <c r="F2673" t="str">
        <f t="shared" si="205"/>
        <v>No</v>
      </c>
      <c r="G2673" t="str">
        <f t="shared" si="206"/>
        <v/>
      </c>
      <c r="H2673" t="str">
        <f t="shared" si="207"/>
        <v>—</v>
      </c>
      <c r="I2673" t="str">
        <f t="shared" si="208"/>
        <v>Below thresholds</v>
      </c>
      <c r="J2673" t="str">
        <f t="shared" si="209"/>
        <v/>
      </c>
    </row>
    <row r="2674" spans="1:10" x14ac:dyDescent="0.2">
      <c r="A2674">
        <v>227124437132</v>
      </c>
      <c r="B2674" t="s">
        <v>1890</v>
      </c>
      <c r="C2674" t="s">
        <v>5957</v>
      </c>
      <c r="D2674">
        <v>1.75</v>
      </c>
      <c r="F2674" t="str">
        <f t="shared" si="205"/>
        <v>No</v>
      </c>
      <c r="G2674" t="str">
        <f t="shared" si="206"/>
        <v/>
      </c>
      <c r="H2674" t="str">
        <f t="shared" si="207"/>
        <v>—</v>
      </c>
      <c r="I2674" t="str">
        <f t="shared" si="208"/>
        <v>Below thresholds</v>
      </c>
      <c r="J2674" t="str">
        <f t="shared" si="209"/>
        <v/>
      </c>
    </row>
    <row r="2675" spans="1:10" x14ac:dyDescent="0.2">
      <c r="A2675">
        <v>227124437145</v>
      </c>
      <c r="B2675" t="s">
        <v>5958</v>
      </c>
      <c r="C2675" t="s">
        <v>5959</v>
      </c>
      <c r="D2675">
        <v>2.84</v>
      </c>
      <c r="F2675" t="str">
        <f t="shared" si="205"/>
        <v>No</v>
      </c>
      <c r="G2675" t="str">
        <f t="shared" si="206"/>
        <v/>
      </c>
      <c r="H2675" t="str">
        <f t="shared" si="207"/>
        <v>—</v>
      </c>
      <c r="I2675" t="str">
        <f t="shared" si="208"/>
        <v>Below thresholds</v>
      </c>
      <c r="J2675" t="str">
        <f t="shared" si="209"/>
        <v/>
      </c>
    </row>
    <row r="2676" spans="1:10" x14ac:dyDescent="0.2">
      <c r="A2676">
        <v>227124437152</v>
      </c>
      <c r="B2676" t="s">
        <v>5960</v>
      </c>
      <c r="C2676" t="s">
        <v>5961</v>
      </c>
      <c r="D2676">
        <v>1.39</v>
      </c>
      <c r="F2676" t="str">
        <f t="shared" si="205"/>
        <v>No</v>
      </c>
      <c r="G2676" t="str">
        <f t="shared" si="206"/>
        <v/>
      </c>
      <c r="H2676" t="str">
        <f t="shared" si="207"/>
        <v>—</v>
      </c>
      <c r="I2676" t="str">
        <f t="shared" si="208"/>
        <v>Below thresholds</v>
      </c>
      <c r="J2676" t="str">
        <f t="shared" si="209"/>
        <v/>
      </c>
    </row>
    <row r="2677" spans="1:10" x14ac:dyDescent="0.2">
      <c r="A2677">
        <v>227124437154</v>
      </c>
      <c r="B2677" t="s">
        <v>5962</v>
      </c>
      <c r="C2677" t="s">
        <v>5963</v>
      </c>
      <c r="D2677">
        <v>1.75</v>
      </c>
      <c r="F2677" t="str">
        <f t="shared" si="205"/>
        <v>No</v>
      </c>
      <c r="G2677" t="str">
        <f t="shared" si="206"/>
        <v/>
      </c>
      <c r="H2677" t="str">
        <f t="shared" si="207"/>
        <v>—</v>
      </c>
      <c r="I2677" t="str">
        <f t="shared" si="208"/>
        <v>Below thresholds</v>
      </c>
      <c r="J2677" t="str">
        <f t="shared" si="209"/>
        <v/>
      </c>
    </row>
    <row r="2678" spans="1:10" x14ac:dyDescent="0.2">
      <c r="A2678">
        <v>227124437158</v>
      </c>
      <c r="B2678" t="s">
        <v>5964</v>
      </c>
      <c r="C2678" t="s">
        <v>5965</v>
      </c>
      <c r="D2678">
        <v>1.85</v>
      </c>
      <c r="F2678" t="str">
        <f t="shared" si="205"/>
        <v>No</v>
      </c>
      <c r="G2678" t="str">
        <f t="shared" si="206"/>
        <v/>
      </c>
      <c r="H2678" t="str">
        <f t="shared" si="207"/>
        <v>—</v>
      </c>
      <c r="I2678" t="str">
        <f t="shared" si="208"/>
        <v>Below thresholds</v>
      </c>
      <c r="J2678" t="str">
        <f t="shared" si="209"/>
        <v/>
      </c>
    </row>
    <row r="2679" spans="1:10" x14ac:dyDescent="0.2">
      <c r="A2679">
        <v>227124437159</v>
      </c>
      <c r="B2679" t="s">
        <v>5966</v>
      </c>
      <c r="C2679" t="s">
        <v>5967</v>
      </c>
      <c r="D2679">
        <v>1.99</v>
      </c>
      <c r="F2679" t="str">
        <f t="shared" si="205"/>
        <v>No</v>
      </c>
      <c r="G2679" t="str">
        <f t="shared" si="206"/>
        <v/>
      </c>
      <c r="H2679" t="str">
        <f t="shared" si="207"/>
        <v>—</v>
      </c>
      <c r="I2679" t="str">
        <f t="shared" si="208"/>
        <v>Below thresholds</v>
      </c>
      <c r="J2679" t="str">
        <f t="shared" si="209"/>
        <v/>
      </c>
    </row>
    <row r="2680" spans="1:10" x14ac:dyDescent="0.2">
      <c r="A2680">
        <v>227124437171</v>
      </c>
      <c r="B2680" t="s">
        <v>5968</v>
      </c>
      <c r="C2680" t="s">
        <v>5969</v>
      </c>
      <c r="D2680">
        <v>1.59</v>
      </c>
      <c r="F2680" t="str">
        <f t="shared" si="205"/>
        <v>No</v>
      </c>
      <c r="G2680" t="str">
        <f t="shared" si="206"/>
        <v/>
      </c>
      <c r="H2680" t="str">
        <f t="shared" si="207"/>
        <v>—</v>
      </c>
      <c r="I2680" t="str">
        <f t="shared" si="208"/>
        <v>Below thresholds</v>
      </c>
      <c r="J2680" t="str">
        <f t="shared" si="209"/>
        <v/>
      </c>
    </row>
    <row r="2681" spans="1:10" x14ac:dyDescent="0.2">
      <c r="A2681">
        <v>227124437173</v>
      </c>
      <c r="B2681" t="s">
        <v>5970</v>
      </c>
      <c r="C2681" t="s">
        <v>5971</v>
      </c>
      <c r="D2681">
        <v>2.25</v>
      </c>
      <c r="F2681" t="str">
        <f t="shared" si="205"/>
        <v>No</v>
      </c>
      <c r="G2681" t="str">
        <f t="shared" si="206"/>
        <v/>
      </c>
      <c r="H2681" t="str">
        <f t="shared" si="207"/>
        <v>—</v>
      </c>
      <c r="I2681" t="str">
        <f t="shared" si="208"/>
        <v>Below thresholds</v>
      </c>
      <c r="J2681" t="str">
        <f t="shared" si="209"/>
        <v/>
      </c>
    </row>
    <row r="2682" spans="1:10" x14ac:dyDescent="0.2">
      <c r="A2682">
        <v>227124437175</v>
      </c>
      <c r="B2682" t="s">
        <v>5972</v>
      </c>
      <c r="C2682" t="s">
        <v>5973</v>
      </c>
      <c r="D2682">
        <v>1.25</v>
      </c>
      <c r="F2682" t="str">
        <f t="shared" si="205"/>
        <v>No</v>
      </c>
      <c r="G2682" t="str">
        <f t="shared" si="206"/>
        <v/>
      </c>
      <c r="H2682" t="str">
        <f t="shared" si="207"/>
        <v>—</v>
      </c>
      <c r="I2682" t="str">
        <f t="shared" si="208"/>
        <v>Below thresholds</v>
      </c>
      <c r="J2682" t="str">
        <f t="shared" si="209"/>
        <v/>
      </c>
    </row>
    <row r="2683" spans="1:10" x14ac:dyDescent="0.2">
      <c r="A2683">
        <v>227124437182</v>
      </c>
      <c r="B2683" t="s">
        <v>5974</v>
      </c>
      <c r="C2683" t="s">
        <v>5975</v>
      </c>
      <c r="D2683">
        <v>0.99</v>
      </c>
      <c r="F2683" t="str">
        <f t="shared" si="205"/>
        <v>No</v>
      </c>
      <c r="G2683" t="str">
        <f t="shared" si="206"/>
        <v/>
      </c>
      <c r="H2683" t="str">
        <f t="shared" si="207"/>
        <v>—</v>
      </c>
      <c r="I2683" t="str">
        <f t="shared" si="208"/>
        <v>Below thresholds</v>
      </c>
      <c r="J2683" t="str">
        <f t="shared" si="209"/>
        <v/>
      </c>
    </row>
    <row r="2684" spans="1:10" x14ac:dyDescent="0.2">
      <c r="A2684">
        <v>227124437204</v>
      </c>
      <c r="B2684" t="s">
        <v>5976</v>
      </c>
      <c r="C2684" t="s">
        <v>5977</v>
      </c>
      <c r="D2684">
        <v>1.59</v>
      </c>
      <c r="F2684" t="str">
        <f t="shared" si="205"/>
        <v>No</v>
      </c>
      <c r="G2684" t="str">
        <f t="shared" si="206"/>
        <v/>
      </c>
      <c r="H2684" t="str">
        <f t="shared" si="207"/>
        <v>—</v>
      </c>
      <c r="I2684" t="str">
        <f t="shared" si="208"/>
        <v>Below thresholds</v>
      </c>
      <c r="J2684" t="str">
        <f t="shared" si="209"/>
        <v/>
      </c>
    </row>
    <row r="2685" spans="1:10" x14ac:dyDescent="0.2">
      <c r="A2685">
        <v>227124437239</v>
      </c>
      <c r="B2685" t="s">
        <v>5978</v>
      </c>
      <c r="C2685" t="s">
        <v>5979</v>
      </c>
      <c r="D2685">
        <v>1.25</v>
      </c>
      <c r="F2685" t="str">
        <f t="shared" si="205"/>
        <v>No</v>
      </c>
      <c r="G2685" t="str">
        <f t="shared" si="206"/>
        <v/>
      </c>
      <c r="H2685" t="str">
        <f t="shared" si="207"/>
        <v>—</v>
      </c>
      <c r="I2685" t="str">
        <f t="shared" si="208"/>
        <v>Below thresholds</v>
      </c>
      <c r="J2685" t="str">
        <f t="shared" si="209"/>
        <v/>
      </c>
    </row>
    <row r="2686" spans="1:10" x14ac:dyDescent="0.2">
      <c r="A2686">
        <v>227124437261</v>
      </c>
      <c r="B2686" t="s">
        <v>5980</v>
      </c>
      <c r="C2686" t="s">
        <v>5981</v>
      </c>
      <c r="D2686">
        <v>1.25</v>
      </c>
      <c r="F2686" t="str">
        <f t="shared" si="205"/>
        <v>No</v>
      </c>
      <c r="G2686" t="str">
        <f t="shared" si="206"/>
        <v/>
      </c>
      <c r="H2686" t="str">
        <f t="shared" si="207"/>
        <v>—</v>
      </c>
      <c r="I2686" t="str">
        <f t="shared" si="208"/>
        <v>Below thresholds</v>
      </c>
      <c r="J2686" t="str">
        <f t="shared" si="209"/>
        <v/>
      </c>
    </row>
    <row r="2687" spans="1:10" x14ac:dyDescent="0.2">
      <c r="A2687">
        <v>227124437262</v>
      </c>
      <c r="B2687" t="s">
        <v>5982</v>
      </c>
      <c r="C2687" t="s">
        <v>5983</v>
      </c>
      <c r="D2687">
        <v>1.75</v>
      </c>
      <c r="F2687" t="str">
        <f t="shared" si="205"/>
        <v>No</v>
      </c>
      <c r="G2687" t="str">
        <f t="shared" si="206"/>
        <v/>
      </c>
      <c r="H2687" t="str">
        <f t="shared" si="207"/>
        <v>—</v>
      </c>
      <c r="I2687" t="str">
        <f t="shared" si="208"/>
        <v>Below thresholds</v>
      </c>
      <c r="J2687" t="str">
        <f t="shared" si="209"/>
        <v/>
      </c>
    </row>
    <row r="2688" spans="1:10" x14ac:dyDescent="0.2">
      <c r="A2688">
        <v>227124437279</v>
      </c>
      <c r="B2688" t="s">
        <v>5984</v>
      </c>
      <c r="C2688" t="s">
        <v>5985</v>
      </c>
      <c r="D2688">
        <v>1.59</v>
      </c>
      <c r="F2688" t="str">
        <f t="shared" si="205"/>
        <v>No</v>
      </c>
      <c r="G2688" t="str">
        <f t="shared" si="206"/>
        <v/>
      </c>
      <c r="H2688" t="str">
        <f t="shared" si="207"/>
        <v>—</v>
      </c>
      <c r="I2688" t="str">
        <f t="shared" si="208"/>
        <v>Below thresholds</v>
      </c>
      <c r="J2688" t="str">
        <f t="shared" si="209"/>
        <v/>
      </c>
    </row>
    <row r="2689" spans="1:10" x14ac:dyDescent="0.2">
      <c r="A2689">
        <v>227124437310</v>
      </c>
      <c r="B2689" t="s">
        <v>5986</v>
      </c>
      <c r="C2689" t="s">
        <v>5987</v>
      </c>
      <c r="D2689">
        <v>1.75</v>
      </c>
      <c r="F2689" t="str">
        <f t="shared" si="205"/>
        <v>No</v>
      </c>
      <c r="G2689" t="str">
        <f t="shared" si="206"/>
        <v/>
      </c>
      <c r="H2689" t="str">
        <f t="shared" si="207"/>
        <v>—</v>
      </c>
      <c r="I2689" t="str">
        <f t="shared" si="208"/>
        <v>Below thresholds</v>
      </c>
      <c r="J2689" t="str">
        <f t="shared" si="209"/>
        <v/>
      </c>
    </row>
    <row r="2690" spans="1:10" x14ac:dyDescent="0.2">
      <c r="A2690">
        <v>227126513319</v>
      </c>
      <c r="B2690" t="s">
        <v>5988</v>
      </c>
      <c r="C2690" t="s">
        <v>5989</v>
      </c>
      <c r="D2690">
        <v>2</v>
      </c>
      <c r="F2690" t="str">
        <f t="shared" si="205"/>
        <v>No</v>
      </c>
      <c r="G2690" t="str">
        <f t="shared" si="206"/>
        <v/>
      </c>
      <c r="H2690" t="str">
        <f t="shared" si="207"/>
        <v>—</v>
      </c>
      <c r="I2690" t="str">
        <f t="shared" si="208"/>
        <v>Below thresholds</v>
      </c>
      <c r="J2690" t="str">
        <f t="shared" si="209"/>
        <v/>
      </c>
    </row>
    <row r="2691" spans="1:10" x14ac:dyDescent="0.2">
      <c r="A2691">
        <v>227126513321</v>
      </c>
      <c r="B2691" t="s">
        <v>5990</v>
      </c>
      <c r="C2691" t="s">
        <v>5991</v>
      </c>
      <c r="D2691">
        <v>1.65</v>
      </c>
      <c r="F2691" t="str">
        <f t="shared" si="205"/>
        <v>No</v>
      </c>
      <c r="G2691" t="str">
        <f t="shared" si="206"/>
        <v/>
      </c>
      <c r="H2691" t="str">
        <f t="shared" si="207"/>
        <v>—</v>
      </c>
      <c r="I2691" t="str">
        <f t="shared" si="208"/>
        <v>Below thresholds</v>
      </c>
      <c r="J2691" t="str">
        <f t="shared" si="209"/>
        <v/>
      </c>
    </row>
    <row r="2692" spans="1:10" x14ac:dyDescent="0.2">
      <c r="A2692">
        <v>227126513323</v>
      </c>
      <c r="B2692" t="s">
        <v>5992</v>
      </c>
      <c r="C2692" t="s">
        <v>5993</v>
      </c>
      <c r="D2692">
        <v>1.85</v>
      </c>
      <c r="F2692" t="str">
        <f t="shared" si="205"/>
        <v>No</v>
      </c>
      <c r="G2692" t="str">
        <f t="shared" si="206"/>
        <v/>
      </c>
      <c r="H2692" t="str">
        <f t="shared" si="207"/>
        <v>—</v>
      </c>
      <c r="I2692" t="str">
        <f t="shared" si="208"/>
        <v>Below thresholds</v>
      </c>
      <c r="J2692" t="str">
        <f t="shared" si="209"/>
        <v/>
      </c>
    </row>
    <row r="2693" spans="1:10" x14ac:dyDescent="0.2">
      <c r="A2693">
        <v>227126513325</v>
      </c>
      <c r="B2693" t="s">
        <v>5994</v>
      </c>
      <c r="C2693" t="s">
        <v>5995</v>
      </c>
      <c r="D2693">
        <v>1.59</v>
      </c>
      <c r="F2693" t="str">
        <f t="shared" ref="F2693:F2756" si="210">IF($B2693="","",IF(ISNUMBER(SEARCH("PSA",$B2693)),"Yes","No"))</f>
        <v>No</v>
      </c>
      <c r="G2693" t="str">
        <f t="shared" ref="G2693:G2756" si="211">IF($B2693="","",IF(ISNUMBER(SEARCH("PSA 10",$B2693)),10,IF(ISNUMBER(SEARCH("PSA 9.5",$B2693)),9.5,IF(ISNUMBER(SEARCH("PSA 9",$B2693)),9,IF(ISNUMBER(SEARCH("PSA 8",$B2693)),8,IF(ISNUMBER(SEARCH("PSA",$B2693)),"&lt;9",""))))))</f>
        <v/>
      </c>
      <c r="H2693" t="str">
        <f t="shared" ref="H2693:H2756" si="212">IF($B2693="","",IF($D2693&gt;=100,"TIER 2",IF(OR(ISNUMBER(SEARCH("PSA 10",$B2693)),ISNUMBER(SEARCH("PSA 9.5",$B2693)),ISNUMBER(SEARCH("PSA 9",$B2693))),"TIER 3",IF(AND($D2693&gt;20,N($E2693)&gt;=15),"TIER 1","—"))))</f>
        <v>—</v>
      </c>
      <c r="I2693" t="str">
        <f t="shared" ref="I2693:I2756" si="213">IF($B2693="","",IF($D2693&gt;=100,"Premium $100+ (auto)",IF(OR(ISNUMBER(SEARCH("PSA 10",$B2693)),ISNUMBER(SEARCH("PSA 9.5",$B2693)),ISNUMBER(SEARCH("PSA 9",$B2693))),"Graded PSA 9+ (auto)",IF(AND($D2693&gt;20,N($E2693)&gt;=15),"Hot: $20+ &amp; "&amp;$E2693&amp;"/day",IF($D2693&gt;20,"$20+ — needs velocity check","Below thresholds")))))</f>
        <v>Below thresholds</v>
      </c>
      <c r="J2693" t="str">
        <f t="shared" ref="J2693:J2756" si="214">IF($B2693="","",IF(AND($D2693&gt;20,$D2693&lt;100,NOT(OR(ISNUMBER(SEARCH("PSA 10",$B2693)),ISNUMBER(SEARCH("PSA 9.5",$B2693)),ISNUMBER(SEARCH("PSA 9",$B2693)))),$E2693=""),"YES — pull CardHedger",""))</f>
        <v/>
      </c>
    </row>
    <row r="2694" spans="1:10" x14ac:dyDescent="0.2">
      <c r="A2694">
        <v>227126513334</v>
      </c>
      <c r="B2694" t="s">
        <v>5996</v>
      </c>
      <c r="C2694" t="s">
        <v>5997</v>
      </c>
      <c r="D2694">
        <v>1.39</v>
      </c>
      <c r="F2694" t="str">
        <f t="shared" si="210"/>
        <v>No</v>
      </c>
      <c r="G2694" t="str">
        <f t="shared" si="211"/>
        <v/>
      </c>
      <c r="H2694" t="str">
        <f t="shared" si="212"/>
        <v>—</v>
      </c>
      <c r="I2694" t="str">
        <f t="shared" si="213"/>
        <v>Below thresholds</v>
      </c>
      <c r="J2694" t="str">
        <f t="shared" si="214"/>
        <v/>
      </c>
    </row>
    <row r="2695" spans="1:10" x14ac:dyDescent="0.2">
      <c r="A2695">
        <v>227126513336</v>
      </c>
      <c r="B2695" t="s">
        <v>5998</v>
      </c>
      <c r="C2695" t="s">
        <v>5999</v>
      </c>
      <c r="D2695">
        <v>1</v>
      </c>
      <c r="F2695" t="str">
        <f t="shared" si="210"/>
        <v>No</v>
      </c>
      <c r="G2695" t="str">
        <f t="shared" si="211"/>
        <v/>
      </c>
      <c r="H2695" t="str">
        <f t="shared" si="212"/>
        <v>—</v>
      </c>
      <c r="I2695" t="str">
        <f t="shared" si="213"/>
        <v>Below thresholds</v>
      </c>
      <c r="J2695" t="str">
        <f t="shared" si="214"/>
        <v/>
      </c>
    </row>
    <row r="2696" spans="1:10" x14ac:dyDescent="0.2">
      <c r="A2696">
        <v>227126513339</v>
      </c>
      <c r="B2696" t="s">
        <v>6000</v>
      </c>
      <c r="C2696" t="s">
        <v>6001</v>
      </c>
      <c r="D2696">
        <v>2</v>
      </c>
      <c r="F2696" t="str">
        <f t="shared" si="210"/>
        <v>No</v>
      </c>
      <c r="G2696" t="str">
        <f t="shared" si="211"/>
        <v/>
      </c>
      <c r="H2696" t="str">
        <f t="shared" si="212"/>
        <v>—</v>
      </c>
      <c r="I2696" t="str">
        <f t="shared" si="213"/>
        <v>Below thresholds</v>
      </c>
      <c r="J2696" t="str">
        <f t="shared" si="214"/>
        <v/>
      </c>
    </row>
    <row r="2697" spans="1:10" x14ac:dyDescent="0.2">
      <c r="A2697">
        <v>227126513345</v>
      </c>
      <c r="B2697" t="s">
        <v>6002</v>
      </c>
      <c r="C2697" t="s">
        <v>6003</v>
      </c>
      <c r="D2697">
        <v>1.25</v>
      </c>
      <c r="F2697" t="str">
        <f t="shared" si="210"/>
        <v>No</v>
      </c>
      <c r="G2697" t="str">
        <f t="shared" si="211"/>
        <v/>
      </c>
      <c r="H2697" t="str">
        <f t="shared" si="212"/>
        <v>—</v>
      </c>
      <c r="I2697" t="str">
        <f t="shared" si="213"/>
        <v>Below thresholds</v>
      </c>
      <c r="J2697" t="str">
        <f t="shared" si="214"/>
        <v/>
      </c>
    </row>
    <row r="2698" spans="1:10" x14ac:dyDescent="0.2">
      <c r="A2698">
        <v>227126513347</v>
      </c>
      <c r="B2698" t="s">
        <v>6004</v>
      </c>
      <c r="C2698" t="s">
        <v>6005</v>
      </c>
      <c r="D2698">
        <v>1.59</v>
      </c>
      <c r="F2698" t="str">
        <f t="shared" si="210"/>
        <v>No</v>
      </c>
      <c r="G2698" t="str">
        <f t="shared" si="211"/>
        <v/>
      </c>
      <c r="H2698" t="str">
        <f t="shared" si="212"/>
        <v>—</v>
      </c>
      <c r="I2698" t="str">
        <f t="shared" si="213"/>
        <v>Below thresholds</v>
      </c>
      <c r="J2698" t="str">
        <f t="shared" si="214"/>
        <v/>
      </c>
    </row>
    <row r="2699" spans="1:10" x14ac:dyDescent="0.2">
      <c r="A2699">
        <v>227126513350</v>
      </c>
      <c r="B2699" t="s">
        <v>6006</v>
      </c>
      <c r="C2699" t="s">
        <v>6007</v>
      </c>
      <c r="D2699">
        <v>1.83</v>
      </c>
      <c r="F2699" t="str">
        <f t="shared" si="210"/>
        <v>No</v>
      </c>
      <c r="G2699" t="str">
        <f t="shared" si="211"/>
        <v/>
      </c>
      <c r="H2699" t="str">
        <f t="shared" si="212"/>
        <v>—</v>
      </c>
      <c r="I2699" t="str">
        <f t="shared" si="213"/>
        <v>Below thresholds</v>
      </c>
      <c r="J2699" t="str">
        <f t="shared" si="214"/>
        <v/>
      </c>
    </row>
    <row r="2700" spans="1:10" x14ac:dyDescent="0.2">
      <c r="A2700">
        <v>227126513351</v>
      </c>
      <c r="B2700" t="s">
        <v>6008</v>
      </c>
      <c r="C2700" t="s">
        <v>6009</v>
      </c>
      <c r="D2700">
        <v>6</v>
      </c>
      <c r="F2700" t="str">
        <f t="shared" si="210"/>
        <v>No</v>
      </c>
      <c r="G2700" t="str">
        <f t="shared" si="211"/>
        <v/>
      </c>
      <c r="H2700" t="str">
        <f t="shared" si="212"/>
        <v>—</v>
      </c>
      <c r="I2700" t="str">
        <f t="shared" si="213"/>
        <v>Below thresholds</v>
      </c>
      <c r="J2700" t="str">
        <f t="shared" si="214"/>
        <v/>
      </c>
    </row>
    <row r="2701" spans="1:10" x14ac:dyDescent="0.2">
      <c r="A2701">
        <v>227126513369</v>
      </c>
      <c r="B2701" t="s">
        <v>6010</v>
      </c>
      <c r="C2701" t="s">
        <v>6011</v>
      </c>
      <c r="D2701">
        <v>1.75</v>
      </c>
      <c r="F2701" t="str">
        <f t="shared" si="210"/>
        <v>No</v>
      </c>
      <c r="G2701" t="str">
        <f t="shared" si="211"/>
        <v/>
      </c>
      <c r="H2701" t="str">
        <f t="shared" si="212"/>
        <v>—</v>
      </c>
      <c r="I2701" t="str">
        <f t="shared" si="213"/>
        <v>Below thresholds</v>
      </c>
      <c r="J2701" t="str">
        <f t="shared" si="214"/>
        <v/>
      </c>
    </row>
    <row r="2702" spans="1:10" x14ac:dyDescent="0.2">
      <c r="A2702">
        <v>227126513394</v>
      </c>
      <c r="B2702" t="s">
        <v>6012</v>
      </c>
      <c r="C2702" t="s">
        <v>6013</v>
      </c>
      <c r="D2702">
        <v>1.59</v>
      </c>
      <c r="F2702" t="str">
        <f t="shared" si="210"/>
        <v>No</v>
      </c>
      <c r="G2702" t="str">
        <f t="shared" si="211"/>
        <v/>
      </c>
      <c r="H2702" t="str">
        <f t="shared" si="212"/>
        <v>—</v>
      </c>
      <c r="I2702" t="str">
        <f t="shared" si="213"/>
        <v>Below thresholds</v>
      </c>
      <c r="J2702" t="str">
        <f t="shared" si="214"/>
        <v/>
      </c>
    </row>
    <row r="2703" spans="1:10" x14ac:dyDescent="0.2">
      <c r="A2703">
        <v>227126513398</v>
      </c>
      <c r="B2703" t="s">
        <v>6014</v>
      </c>
      <c r="C2703" t="s">
        <v>6015</v>
      </c>
      <c r="D2703">
        <v>1.49</v>
      </c>
      <c r="F2703" t="str">
        <f t="shared" si="210"/>
        <v>No</v>
      </c>
      <c r="G2703" t="str">
        <f t="shared" si="211"/>
        <v/>
      </c>
      <c r="H2703" t="str">
        <f t="shared" si="212"/>
        <v>—</v>
      </c>
      <c r="I2703" t="str">
        <f t="shared" si="213"/>
        <v>Below thresholds</v>
      </c>
      <c r="J2703" t="str">
        <f t="shared" si="214"/>
        <v/>
      </c>
    </row>
    <row r="2704" spans="1:10" x14ac:dyDescent="0.2">
      <c r="A2704">
        <v>227126513417</v>
      </c>
      <c r="B2704" t="s">
        <v>6016</v>
      </c>
      <c r="C2704" t="s">
        <v>6017</v>
      </c>
      <c r="D2704">
        <v>1.25</v>
      </c>
      <c r="F2704" t="str">
        <f t="shared" si="210"/>
        <v>No</v>
      </c>
      <c r="G2704" t="str">
        <f t="shared" si="211"/>
        <v/>
      </c>
      <c r="H2704" t="str">
        <f t="shared" si="212"/>
        <v>—</v>
      </c>
      <c r="I2704" t="str">
        <f t="shared" si="213"/>
        <v>Below thresholds</v>
      </c>
      <c r="J2704" t="str">
        <f t="shared" si="214"/>
        <v/>
      </c>
    </row>
    <row r="2705" spans="1:10" x14ac:dyDescent="0.2">
      <c r="A2705">
        <v>227126513419</v>
      </c>
      <c r="B2705" t="s">
        <v>6018</v>
      </c>
      <c r="C2705" t="s">
        <v>6019</v>
      </c>
      <c r="D2705">
        <v>1</v>
      </c>
      <c r="F2705" t="str">
        <f t="shared" si="210"/>
        <v>No</v>
      </c>
      <c r="G2705" t="str">
        <f t="shared" si="211"/>
        <v/>
      </c>
      <c r="H2705" t="str">
        <f t="shared" si="212"/>
        <v>—</v>
      </c>
      <c r="I2705" t="str">
        <f t="shared" si="213"/>
        <v>Below thresholds</v>
      </c>
      <c r="J2705" t="str">
        <f t="shared" si="214"/>
        <v/>
      </c>
    </row>
    <row r="2706" spans="1:10" x14ac:dyDescent="0.2">
      <c r="A2706">
        <v>227126513422</v>
      </c>
      <c r="B2706" t="s">
        <v>6020</v>
      </c>
      <c r="C2706" t="s">
        <v>6021</v>
      </c>
      <c r="D2706">
        <v>1.75</v>
      </c>
      <c r="F2706" t="str">
        <f t="shared" si="210"/>
        <v>No</v>
      </c>
      <c r="G2706" t="str">
        <f t="shared" si="211"/>
        <v/>
      </c>
      <c r="H2706" t="str">
        <f t="shared" si="212"/>
        <v>—</v>
      </c>
      <c r="I2706" t="str">
        <f t="shared" si="213"/>
        <v>Below thresholds</v>
      </c>
      <c r="J2706" t="str">
        <f t="shared" si="214"/>
        <v/>
      </c>
    </row>
    <row r="2707" spans="1:10" x14ac:dyDescent="0.2">
      <c r="A2707">
        <v>227126513443</v>
      </c>
      <c r="B2707" t="s">
        <v>6022</v>
      </c>
      <c r="C2707" t="s">
        <v>6023</v>
      </c>
      <c r="D2707">
        <v>1.75</v>
      </c>
      <c r="F2707" t="str">
        <f t="shared" si="210"/>
        <v>No</v>
      </c>
      <c r="G2707" t="str">
        <f t="shared" si="211"/>
        <v/>
      </c>
      <c r="H2707" t="str">
        <f t="shared" si="212"/>
        <v>—</v>
      </c>
      <c r="I2707" t="str">
        <f t="shared" si="213"/>
        <v>Below thresholds</v>
      </c>
      <c r="J2707" t="str">
        <f t="shared" si="214"/>
        <v/>
      </c>
    </row>
    <row r="2708" spans="1:10" x14ac:dyDescent="0.2">
      <c r="A2708">
        <v>227126513454</v>
      </c>
      <c r="B2708" t="s">
        <v>6024</v>
      </c>
      <c r="C2708" t="s">
        <v>6025</v>
      </c>
      <c r="D2708">
        <v>1.69</v>
      </c>
      <c r="F2708" t="str">
        <f t="shared" si="210"/>
        <v>No</v>
      </c>
      <c r="G2708" t="str">
        <f t="shared" si="211"/>
        <v/>
      </c>
      <c r="H2708" t="str">
        <f t="shared" si="212"/>
        <v>—</v>
      </c>
      <c r="I2708" t="str">
        <f t="shared" si="213"/>
        <v>Below thresholds</v>
      </c>
      <c r="J2708" t="str">
        <f t="shared" si="214"/>
        <v/>
      </c>
    </row>
    <row r="2709" spans="1:10" x14ac:dyDescent="0.2">
      <c r="A2709">
        <v>227126513456</v>
      </c>
      <c r="B2709" t="s">
        <v>6026</v>
      </c>
      <c r="C2709" t="s">
        <v>6027</v>
      </c>
      <c r="D2709">
        <v>3.59</v>
      </c>
      <c r="F2709" t="str">
        <f t="shared" si="210"/>
        <v>No</v>
      </c>
      <c r="G2709" t="str">
        <f t="shared" si="211"/>
        <v/>
      </c>
      <c r="H2709" t="str">
        <f t="shared" si="212"/>
        <v>—</v>
      </c>
      <c r="I2709" t="str">
        <f t="shared" si="213"/>
        <v>Below thresholds</v>
      </c>
      <c r="J2709" t="str">
        <f t="shared" si="214"/>
        <v/>
      </c>
    </row>
    <row r="2710" spans="1:10" x14ac:dyDescent="0.2">
      <c r="A2710">
        <v>227126513473</v>
      </c>
      <c r="B2710" t="s">
        <v>6028</v>
      </c>
      <c r="C2710" t="s">
        <v>6029</v>
      </c>
      <c r="D2710">
        <v>2.59</v>
      </c>
      <c r="F2710" t="str">
        <f t="shared" si="210"/>
        <v>No</v>
      </c>
      <c r="G2710" t="str">
        <f t="shared" si="211"/>
        <v/>
      </c>
      <c r="H2710" t="str">
        <f t="shared" si="212"/>
        <v>—</v>
      </c>
      <c r="I2710" t="str">
        <f t="shared" si="213"/>
        <v>Below thresholds</v>
      </c>
      <c r="J2710" t="str">
        <f t="shared" si="214"/>
        <v/>
      </c>
    </row>
    <row r="2711" spans="1:10" x14ac:dyDescent="0.2">
      <c r="A2711">
        <v>227126513477</v>
      </c>
      <c r="B2711" t="s">
        <v>6030</v>
      </c>
      <c r="C2711" t="s">
        <v>6031</v>
      </c>
      <c r="D2711">
        <v>3.59</v>
      </c>
      <c r="F2711" t="str">
        <f t="shared" si="210"/>
        <v>No</v>
      </c>
      <c r="G2711" t="str">
        <f t="shared" si="211"/>
        <v/>
      </c>
      <c r="H2711" t="str">
        <f t="shared" si="212"/>
        <v>—</v>
      </c>
      <c r="I2711" t="str">
        <f t="shared" si="213"/>
        <v>Below thresholds</v>
      </c>
      <c r="J2711" t="str">
        <f t="shared" si="214"/>
        <v/>
      </c>
    </row>
    <row r="2712" spans="1:10" x14ac:dyDescent="0.2">
      <c r="A2712">
        <v>227126513492</v>
      </c>
      <c r="B2712" t="s">
        <v>6032</v>
      </c>
      <c r="C2712" t="s">
        <v>6033</v>
      </c>
      <c r="D2712">
        <v>1.25</v>
      </c>
      <c r="F2712" t="str">
        <f t="shared" si="210"/>
        <v>No</v>
      </c>
      <c r="G2712" t="str">
        <f t="shared" si="211"/>
        <v/>
      </c>
      <c r="H2712" t="str">
        <f t="shared" si="212"/>
        <v>—</v>
      </c>
      <c r="I2712" t="str">
        <f t="shared" si="213"/>
        <v>Below thresholds</v>
      </c>
      <c r="J2712" t="str">
        <f t="shared" si="214"/>
        <v/>
      </c>
    </row>
    <row r="2713" spans="1:10" x14ac:dyDescent="0.2">
      <c r="A2713">
        <v>227126513523</v>
      </c>
      <c r="B2713" t="s">
        <v>6034</v>
      </c>
      <c r="C2713" t="s">
        <v>6035</v>
      </c>
      <c r="D2713">
        <v>1.99</v>
      </c>
      <c r="F2713" t="str">
        <f t="shared" si="210"/>
        <v>No</v>
      </c>
      <c r="G2713" t="str">
        <f t="shared" si="211"/>
        <v/>
      </c>
      <c r="H2713" t="str">
        <f t="shared" si="212"/>
        <v>—</v>
      </c>
      <c r="I2713" t="str">
        <f t="shared" si="213"/>
        <v>Below thresholds</v>
      </c>
      <c r="J2713" t="str">
        <f t="shared" si="214"/>
        <v/>
      </c>
    </row>
    <row r="2714" spans="1:10" x14ac:dyDescent="0.2">
      <c r="A2714">
        <v>227126513524</v>
      </c>
      <c r="B2714" t="s">
        <v>6036</v>
      </c>
      <c r="C2714" t="s">
        <v>6037</v>
      </c>
      <c r="D2714">
        <v>1.72</v>
      </c>
      <c r="F2714" t="str">
        <f t="shared" si="210"/>
        <v>No</v>
      </c>
      <c r="G2714" t="str">
        <f t="shared" si="211"/>
        <v/>
      </c>
      <c r="H2714" t="str">
        <f t="shared" si="212"/>
        <v>—</v>
      </c>
      <c r="I2714" t="str">
        <f t="shared" si="213"/>
        <v>Below thresholds</v>
      </c>
      <c r="J2714" t="str">
        <f t="shared" si="214"/>
        <v/>
      </c>
    </row>
    <row r="2715" spans="1:10" x14ac:dyDescent="0.2">
      <c r="A2715">
        <v>227126513542</v>
      </c>
      <c r="B2715" t="s">
        <v>5953</v>
      </c>
      <c r="C2715" t="s">
        <v>6038</v>
      </c>
      <c r="D2715">
        <v>2.25</v>
      </c>
      <c r="F2715" t="str">
        <f t="shared" si="210"/>
        <v>No</v>
      </c>
      <c r="G2715" t="str">
        <f t="shared" si="211"/>
        <v/>
      </c>
      <c r="H2715" t="str">
        <f t="shared" si="212"/>
        <v>—</v>
      </c>
      <c r="I2715" t="str">
        <f t="shared" si="213"/>
        <v>Below thresholds</v>
      </c>
      <c r="J2715" t="str">
        <f t="shared" si="214"/>
        <v/>
      </c>
    </row>
    <row r="2716" spans="1:10" x14ac:dyDescent="0.2">
      <c r="A2716">
        <v>227126513555</v>
      </c>
      <c r="B2716" t="s">
        <v>6039</v>
      </c>
      <c r="C2716" t="s">
        <v>6040</v>
      </c>
      <c r="D2716">
        <v>1.59</v>
      </c>
      <c r="F2716" t="str">
        <f t="shared" si="210"/>
        <v>No</v>
      </c>
      <c r="G2716" t="str">
        <f t="shared" si="211"/>
        <v/>
      </c>
      <c r="H2716" t="str">
        <f t="shared" si="212"/>
        <v>—</v>
      </c>
      <c r="I2716" t="str">
        <f t="shared" si="213"/>
        <v>Below thresholds</v>
      </c>
      <c r="J2716" t="str">
        <f t="shared" si="214"/>
        <v/>
      </c>
    </row>
    <row r="2717" spans="1:10" x14ac:dyDescent="0.2">
      <c r="A2717">
        <v>227126513579</v>
      </c>
      <c r="B2717" t="s">
        <v>6041</v>
      </c>
      <c r="C2717" t="s">
        <v>6042</v>
      </c>
      <c r="D2717">
        <v>1.5</v>
      </c>
      <c r="F2717" t="str">
        <f t="shared" si="210"/>
        <v>No</v>
      </c>
      <c r="G2717" t="str">
        <f t="shared" si="211"/>
        <v/>
      </c>
      <c r="H2717" t="str">
        <f t="shared" si="212"/>
        <v>—</v>
      </c>
      <c r="I2717" t="str">
        <f t="shared" si="213"/>
        <v>Below thresholds</v>
      </c>
      <c r="J2717" t="str">
        <f t="shared" si="214"/>
        <v/>
      </c>
    </row>
    <row r="2718" spans="1:10" x14ac:dyDescent="0.2">
      <c r="A2718">
        <v>227126513599</v>
      </c>
      <c r="B2718" t="s">
        <v>6043</v>
      </c>
      <c r="C2718" t="s">
        <v>6044</v>
      </c>
      <c r="D2718">
        <v>1.99</v>
      </c>
      <c r="F2718" t="str">
        <f t="shared" si="210"/>
        <v>No</v>
      </c>
      <c r="G2718" t="str">
        <f t="shared" si="211"/>
        <v/>
      </c>
      <c r="H2718" t="str">
        <f t="shared" si="212"/>
        <v>—</v>
      </c>
      <c r="I2718" t="str">
        <f t="shared" si="213"/>
        <v>Below thresholds</v>
      </c>
      <c r="J2718" t="str">
        <f t="shared" si="214"/>
        <v/>
      </c>
    </row>
    <row r="2719" spans="1:10" x14ac:dyDescent="0.2">
      <c r="A2719">
        <v>227126513607</v>
      </c>
      <c r="B2719" t="s">
        <v>6045</v>
      </c>
      <c r="C2719" t="s">
        <v>6046</v>
      </c>
      <c r="D2719">
        <v>1.89</v>
      </c>
      <c r="F2719" t="str">
        <f t="shared" si="210"/>
        <v>No</v>
      </c>
      <c r="G2719" t="str">
        <f t="shared" si="211"/>
        <v/>
      </c>
      <c r="H2719" t="str">
        <f t="shared" si="212"/>
        <v>—</v>
      </c>
      <c r="I2719" t="str">
        <f t="shared" si="213"/>
        <v>Below thresholds</v>
      </c>
      <c r="J2719" t="str">
        <f t="shared" si="214"/>
        <v/>
      </c>
    </row>
    <row r="2720" spans="1:10" x14ac:dyDescent="0.2">
      <c r="A2720">
        <v>227126513608</v>
      </c>
      <c r="B2720" t="s">
        <v>6047</v>
      </c>
      <c r="C2720" t="s">
        <v>6048</v>
      </c>
      <c r="D2720">
        <v>3.99</v>
      </c>
      <c r="F2720" t="str">
        <f t="shared" si="210"/>
        <v>No</v>
      </c>
      <c r="G2720" t="str">
        <f t="shared" si="211"/>
        <v/>
      </c>
      <c r="H2720" t="str">
        <f t="shared" si="212"/>
        <v>—</v>
      </c>
      <c r="I2720" t="str">
        <f t="shared" si="213"/>
        <v>Below thresholds</v>
      </c>
      <c r="J2720" t="str">
        <f t="shared" si="214"/>
        <v/>
      </c>
    </row>
    <row r="2721" spans="1:10" x14ac:dyDescent="0.2">
      <c r="A2721">
        <v>227126513627</v>
      </c>
      <c r="B2721" t="s">
        <v>6049</v>
      </c>
      <c r="C2721" t="s">
        <v>6050</v>
      </c>
      <c r="D2721">
        <v>6.99</v>
      </c>
      <c r="F2721" t="str">
        <f t="shared" si="210"/>
        <v>No</v>
      </c>
      <c r="G2721" t="str">
        <f t="shared" si="211"/>
        <v/>
      </c>
      <c r="H2721" t="str">
        <f t="shared" si="212"/>
        <v>—</v>
      </c>
      <c r="I2721" t="str">
        <f t="shared" si="213"/>
        <v>Below thresholds</v>
      </c>
      <c r="J2721" t="str">
        <f t="shared" si="214"/>
        <v/>
      </c>
    </row>
    <row r="2722" spans="1:10" x14ac:dyDescent="0.2">
      <c r="A2722">
        <v>227126513642</v>
      </c>
      <c r="B2722" t="s">
        <v>6051</v>
      </c>
      <c r="C2722" t="s">
        <v>6052</v>
      </c>
      <c r="D2722">
        <v>2</v>
      </c>
      <c r="F2722" t="str">
        <f t="shared" si="210"/>
        <v>No</v>
      </c>
      <c r="G2722" t="str">
        <f t="shared" si="211"/>
        <v/>
      </c>
      <c r="H2722" t="str">
        <f t="shared" si="212"/>
        <v>—</v>
      </c>
      <c r="I2722" t="str">
        <f t="shared" si="213"/>
        <v>Below thresholds</v>
      </c>
      <c r="J2722" t="str">
        <f t="shared" si="214"/>
        <v/>
      </c>
    </row>
    <row r="2723" spans="1:10" x14ac:dyDescent="0.2">
      <c r="A2723">
        <v>227126513647</v>
      </c>
      <c r="B2723" t="s">
        <v>6053</v>
      </c>
      <c r="C2723" t="s">
        <v>6054</v>
      </c>
      <c r="D2723">
        <v>1.79</v>
      </c>
      <c r="F2723" t="str">
        <f t="shared" si="210"/>
        <v>No</v>
      </c>
      <c r="G2723" t="str">
        <f t="shared" si="211"/>
        <v/>
      </c>
      <c r="H2723" t="str">
        <f t="shared" si="212"/>
        <v>—</v>
      </c>
      <c r="I2723" t="str">
        <f t="shared" si="213"/>
        <v>Below thresholds</v>
      </c>
      <c r="J2723" t="str">
        <f t="shared" si="214"/>
        <v/>
      </c>
    </row>
    <row r="2724" spans="1:10" x14ac:dyDescent="0.2">
      <c r="A2724">
        <v>227126513670</v>
      </c>
      <c r="B2724" t="s">
        <v>6055</v>
      </c>
      <c r="C2724" t="s">
        <v>6056</v>
      </c>
      <c r="D2724">
        <v>1.99</v>
      </c>
      <c r="F2724" t="str">
        <f t="shared" si="210"/>
        <v>No</v>
      </c>
      <c r="G2724" t="str">
        <f t="shared" si="211"/>
        <v/>
      </c>
      <c r="H2724" t="str">
        <f t="shared" si="212"/>
        <v>—</v>
      </c>
      <c r="I2724" t="str">
        <f t="shared" si="213"/>
        <v>Below thresholds</v>
      </c>
      <c r="J2724" t="str">
        <f t="shared" si="214"/>
        <v/>
      </c>
    </row>
    <row r="2725" spans="1:10" x14ac:dyDescent="0.2">
      <c r="A2725">
        <v>227126513672</v>
      </c>
      <c r="B2725" t="s">
        <v>6057</v>
      </c>
      <c r="C2725" t="s">
        <v>6058</v>
      </c>
      <c r="D2725">
        <v>20</v>
      </c>
      <c r="F2725" t="str">
        <f t="shared" si="210"/>
        <v>No</v>
      </c>
      <c r="G2725" t="str">
        <f t="shared" si="211"/>
        <v/>
      </c>
      <c r="H2725" t="str">
        <f t="shared" si="212"/>
        <v>—</v>
      </c>
      <c r="I2725" t="str">
        <f t="shared" si="213"/>
        <v>Below thresholds</v>
      </c>
      <c r="J2725" t="str">
        <f t="shared" si="214"/>
        <v/>
      </c>
    </row>
    <row r="2726" spans="1:10" x14ac:dyDescent="0.2">
      <c r="A2726">
        <v>227126513677</v>
      </c>
      <c r="B2726" t="s">
        <v>6059</v>
      </c>
      <c r="C2726" t="s">
        <v>6060</v>
      </c>
      <c r="D2726">
        <v>3.99</v>
      </c>
      <c r="F2726" t="str">
        <f t="shared" si="210"/>
        <v>No</v>
      </c>
      <c r="G2726" t="str">
        <f t="shared" si="211"/>
        <v/>
      </c>
      <c r="H2726" t="str">
        <f t="shared" si="212"/>
        <v>—</v>
      </c>
      <c r="I2726" t="str">
        <f t="shared" si="213"/>
        <v>Below thresholds</v>
      </c>
      <c r="J2726" t="str">
        <f t="shared" si="214"/>
        <v/>
      </c>
    </row>
    <row r="2727" spans="1:10" x14ac:dyDescent="0.2">
      <c r="A2727">
        <v>227127374209</v>
      </c>
      <c r="B2727" t="s">
        <v>6061</v>
      </c>
      <c r="C2727" t="s">
        <v>6062</v>
      </c>
      <c r="D2727">
        <v>10.5</v>
      </c>
      <c r="F2727" t="str">
        <f t="shared" si="210"/>
        <v>No</v>
      </c>
      <c r="G2727" t="str">
        <f t="shared" si="211"/>
        <v/>
      </c>
      <c r="H2727" t="str">
        <f t="shared" si="212"/>
        <v>—</v>
      </c>
      <c r="I2727" t="str">
        <f t="shared" si="213"/>
        <v>Below thresholds</v>
      </c>
      <c r="J2727" t="str">
        <f t="shared" si="214"/>
        <v/>
      </c>
    </row>
    <row r="2728" spans="1:10" x14ac:dyDescent="0.2">
      <c r="A2728">
        <v>227128108208</v>
      </c>
      <c r="B2728" t="s">
        <v>6063</v>
      </c>
      <c r="C2728" t="s">
        <v>6064</v>
      </c>
      <c r="D2728">
        <v>1.99</v>
      </c>
      <c r="F2728" t="str">
        <f t="shared" si="210"/>
        <v>No</v>
      </c>
      <c r="G2728" t="str">
        <f t="shared" si="211"/>
        <v/>
      </c>
      <c r="H2728" t="str">
        <f t="shared" si="212"/>
        <v>—</v>
      </c>
      <c r="I2728" t="str">
        <f t="shared" si="213"/>
        <v>Below thresholds</v>
      </c>
      <c r="J2728" t="str">
        <f t="shared" si="214"/>
        <v/>
      </c>
    </row>
    <row r="2729" spans="1:10" x14ac:dyDescent="0.2">
      <c r="A2729">
        <v>227128108215</v>
      </c>
      <c r="B2729" t="s">
        <v>6065</v>
      </c>
      <c r="C2729" t="s">
        <v>6066</v>
      </c>
      <c r="D2729">
        <v>3.99</v>
      </c>
      <c r="F2729" t="str">
        <f t="shared" si="210"/>
        <v>No</v>
      </c>
      <c r="G2729" t="str">
        <f t="shared" si="211"/>
        <v/>
      </c>
      <c r="H2729" t="str">
        <f t="shared" si="212"/>
        <v>—</v>
      </c>
      <c r="I2729" t="str">
        <f t="shared" si="213"/>
        <v>Below thresholds</v>
      </c>
      <c r="J2729" t="str">
        <f t="shared" si="214"/>
        <v/>
      </c>
    </row>
    <row r="2730" spans="1:10" x14ac:dyDescent="0.2">
      <c r="A2730">
        <v>227128108369</v>
      </c>
      <c r="B2730" t="s">
        <v>6067</v>
      </c>
      <c r="C2730" t="s">
        <v>6068</v>
      </c>
      <c r="D2730">
        <v>1.49</v>
      </c>
      <c r="F2730" t="str">
        <f t="shared" si="210"/>
        <v>No</v>
      </c>
      <c r="G2730" t="str">
        <f t="shared" si="211"/>
        <v/>
      </c>
      <c r="H2730" t="str">
        <f t="shared" si="212"/>
        <v>—</v>
      </c>
      <c r="I2730" t="str">
        <f t="shared" si="213"/>
        <v>Below thresholds</v>
      </c>
      <c r="J2730" t="str">
        <f t="shared" si="214"/>
        <v/>
      </c>
    </row>
    <row r="2731" spans="1:10" x14ac:dyDescent="0.2">
      <c r="A2731">
        <v>227128108504</v>
      </c>
      <c r="B2731" t="s">
        <v>6069</v>
      </c>
      <c r="C2731" t="s">
        <v>6070</v>
      </c>
      <c r="D2731">
        <v>2</v>
      </c>
      <c r="F2731" t="str">
        <f t="shared" si="210"/>
        <v>No</v>
      </c>
      <c r="G2731" t="str">
        <f t="shared" si="211"/>
        <v/>
      </c>
      <c r="H2731" t="str">
        <f t="shared" si="212"/>
        <v>—</v>
      </c>
      <c r="I2731" t="str">
        <f t="shared" si="213"/>
        <v>Below thresholds</v>
      </c>
      <c r="J2731" t="str">
        <f t="shared" si="214"/>
        <v/>
      </c>
    </row>
    <row r="2732" spans="1:10" x14ac:dyDescent="0.2">
      <c r="A2732">
        <v>227128108510</v>
      </c>
      <c r="B2732" t="s">
        <v>6071</v>
      </c>
      <c r="C2732" t="s">
        <v>6072</v>
      </c>
      <c r="D2732">
        <v>1.25</v>
      </c>
      <c r="F2732" t="str">
        <f t="shared" si="210"/>
        <v>No</v>
      </c>
      <c r="G2732" t="str">
        <f t="shared" si="211"/>
        <v/>
      </c>
      <c r="H2732" t="str">
        <f t="shared" si="212"/>
        <v>—</v>
      </c>
      <c r="I2732" t="str">
        <f t="shared" si="213"/>
        <v>Below thresholds</v>
      </c>
      <c r="J2732" t="str">
        <f t="shared" si="214"/>
        <v/>
      </c>
    </row>
    <row r="2733" spans="1:10" x14ac:dyDescent="0.2">
      <c r="A2733">
        <v>227128108630</v>
      </c>
      <c r="B2733" t="s">
        <v>6073</v>
      </c>
      <c r="C2733" t="s">
        <v>6074</v>
      </c>
      <c r="D2733">
        <v>1.99</v>
      </c>
      <c r="F2733" t="str">
        <f t="shared" si="210"/>
        <v>No</v>
      </c>
      <c r="G2733" t="str">
        <f t="shared" si="211"/>
        <v/>
      </c>
      <c r="H2733" t="str">
        <f t="shared" si="212"/>
        <v>—</v>
      </c>
      <c r="I2733" t="str">
        <f t="shared" si="213"/>
        <v>Below thresholds</v>
      </c>
      <c r="J2733" t="str">
        <f t="shared" si="214"/>
        <v/>
      </c>
    </row>
    <row r="2734" spans="1:10" x14ac:dyDescent="0.2">
      <c r="A2734">
        <v>227128108651</v>
      </c>
      <c r="B2734" t="s">
        <v>6075</v>
      </c>
      <c r="C2734" t="s">
        <v>6076</v>
      </c>
      <c r="D2734">
        <v>1.69</v>
      </c>
      <c r="F2734" t="str">
        <f t="shared" si="210"/>
        <v>No</v>
      </c>
      <c r="G2734" t="str">
        <f t="shared" si="211"/>
        <v/>
      </c>
      <c r="H2734" t="str">
        <f t="shared" si="212"/>
        <v>—</v>
      </c>
      <c r="I2734" t="str">
        <f t="shared" si="213"/>
        <v>Below thresholds</v>
      </c>
      <c r="J2734" t="str">
        <f t="shared" si="214"/>
        <v/>
      </c>
    </row>
    <row r="2735" spans="1:10" x14ac:dyDescent="0.2">
      <c r="A2735">
        <v>227128108729</v>
      </c>
      <c r="B2735" t="s">
        <v>1579</v>
      </c>
      <c r="C2735" t="s">
        <v>6077</v>
      </c>
      <c r="D2735">
        <v>1.04</v>
      </c>
      <c r="F2735" t="str">
        <f t="shared" si="210"/>
        <v>No</v>
      </c>
      <c r="G2735" t="str">
        <f t="shared" si="211"/>
        <v/>
      </c>
      <c r="H2735" t="str">
        <f t="shared" si="212"/>
        <v>—</v>
      </c>
      <c r="I2735" t="str">
        <f t="shared" si="213"/>
        <v>Below thresholds</v>
      </c>
      <c r="J2735" t="str">
        <f t="shared" si="214"/>
        <v/>
      </c>
    </row>
    <row r="2736" spans="1:10" x14ac:dyDescent="0.2">
      <c r="A2736">
        <v>227128108738</v>
      </c>
      <c r="B2736" t="s">
        <v>6078</v>
      </c>
      <c r="C2736" t="s">
        <v>6079</v>
      </c>
      <c r="D2736">
        <v>1.0900000000000001</v>
      </c>
      <c r="F2736" t="str">
        <f t="shared" si="210"/>
        <v>No</v>
      </c>
      <c r="G2736" t="str">
        <f t="shared" si="211"/>
        <v/>
      </c>
      <c r="H2736" t="str">
        <f t="shared" si="212"/>
        <v>—</v>
      </c>
      <c r="I2736" t="str">
        <f t="shared" si="213"/>
        <v>Below thresholds</v>
      </c>
      <c r="J2736" t="str">
        <f t="shared" si="214"/>
        <v/>
      </c>
    </row>
    <row r="2737" spans="1:10" x14ac:dyDescent="0.2">
      <c r="A2737">
        <v>227128108768</v>
      </c>
      <c r="B2737" t="s">
        <v>6080</v>
      </c>
      <c r="C2737" t="s">
        <v>6081</v>
      </c>
      <c r="D2737">
        <v>2.2999999999999998</v>
      </c>
      <c r="F2737" t="str">
        <f t="shared" si="210"/>
        <v>No</v>
      </c>
      <c r="G2737" t="str">
        <f t="shared" si="211"/>
        <v/>
      </c>
      <c r="H2737" t="str">
        <f t="shared" si="212"/>
        <v>—</v>
      </c>
      <c r="I2737" t="str">
        <f t="shared" si="213"/>
        <v>Below thresholds</v>
      </c>
      <c r="J2737" t="str">
        <f t="shared" si="214"/>
        <v/>
      </c>
    </row>
    <row r="2738" spans="1:10" x14ac:dyDescent="0.2">
      <c r="A2738">
        <v>227129088196</v>
      </c>
      <c r="B2738" t="s">
        <v>2117</v>
      </c>
      <c r="C2738" t="s">
        <v>6082</v>
      </c>
      <c r="D2738">
        <v>2.5</v>
      </c>
      <c r="F2738" t="str">
        <f t="shared" si="210"/>
        <v>No</v>
      </c>
      <c r="G2738" t="str">
        <f t="shared" si="211"/>
        <v/>
      </c>
      <c r="H2738" t="str">
        <f t="shared" si="212"/>
        <v>—</v>
      </c>
      <c r="I2738" t="str">
        <f t="shared" si="213"/>
        <v>Below thresholds</v>
      </c>
      <c r="J2738" t="str">
        <f t="shared" si="214"/>
        <v/>
      </c>
    </row>
    <row r="2739" spans="1:10" x14ac:dyDescent="0.2">
      <c r="A2739">
        <v>227129088216</v>
      </c>
      <c r="B2739" t="s">
        <v>6083</v>
      </c>
      <c r="C2739" t="s">
        <v>6084</v>
      </c>
      <c r="D2739">
        <v>1.35</v>
      </c>
      <c r="F2739" t="str">
        <f t="shared" si="210"/>
        <v>No</v>
      </c>
      <c r="G2739" t="str">
        <f t="shared" si="211"/>
        <v/>
      </c>
      <c r="H2739" t="str">
        <f t="shared" si="212"/>
        <v>—</v>
      </c>
      <c r="I2739" t="str">
        <f t="shared" si="213"/>
        <v>Below thresholds</v>
      </c>
      <c r="J2739" t="str">
        <f t="shared" si="214"/>
        <v/>
      </c>
    </row>
    <row r="2740" spans="1:10" x14ac:dyDescent="0.2">
      <c r="A2740">
        <v>227129088229</v>
      </c>
      <c r="B2740" t="s">
        <v>6085</v>
      </c>
      <c r="C2740" t="s">
        <v>6086</v>
      </c>
      <c r="D2740">
        <v>6</v>
      </c>
      <c r="F2740" t="str">
        <f t="shared" si="210"/>
        <v>No</v>
      </c>
      <c r="G2740" t="str">
        <f t="shared" si="211"/>
        <v/>
      </c>
      <c r="H2740" t="str">
        <f t="shared" si="212"/>
        <v>—</v>
      </c>
      <c r="I2740" t="str">
        <f t="shared" si="213"/>
        <v>Below thresholds</v>
      </c>
      <c r="J2740" t="str">
        <f t="shared" si="214"/>
        <v/>
      </c>
    </row>
    <row r="2741" spans="1:10" x14ac:dyDescent="0.2">
      <c r="A2741">
        <v>227129088306</v>
      </c>
      <c r="B2741" t="s">
        <v>6087</v>
      </c>
      <c r="C2741" t="s">
        <v>6088</v>
      </c>
      <c r="D2741">
        <v>2.25</v>
      </c>
      <c r="F2741" t="str">
        <f t="shared" si="210"/>
        <v>No</v>
      </c>
      <c r="G2741" t="str">
        <f t="shared" si="211"/>
        <v/>
      </c>
      <c r="H2741" t="str">
        <f t="shared" si="212"/>
        <v>—</v>
      </c>
      <c r="I2741" t="str">
        <f t="shared" si="213"/>
        <v>Below thresholds</v>
      </c>
      <c r="J2741" t="str">
        <f t="shared" si="214"/>
        <v/>
      </c>
    </row>
    <row r="2742" spans="1:10" x14ac:dyDescent="0.2">
      <c r="A2742">
        <v>227129088322</v>
      </c>
      <c r="B2742" t="s">
        <v>6089</v>
      </c>
      <c r="C2742" t="s">
        <v>6090</v>
      </c>
      <c r="D2742">
        <v>1.5</v>
      </c>
      <c r="F2742" t="str">
        <f t="shared" si="210"/>
        <v>No</v>
      </c>
      <c r="G2742" t="str">
        <f t="shared" si="211"/>
        <v/>
      </c>
      <c r="H2742" t="str">
        <f t="shared" si="212"/>
        <v>—</v>
      </c>
      <c r="I2742" t="str">
        <f t="shared" si="213"/>
        <v>Below thresholds</v>
      </c>
      <c r="J2742" t="str">
        <f t="shared" si="214"/>
        <v/>
      </c>
    </row>
    <row r="2743" spans="1:10" x14ac:dyDescent="0.2">
      <c r="A2743">
        <v>227129088330</v>
      </c>
      <c r="B2743" t="s">
        <v>6091</v>
      </c>
      <c r="C2743" t="s">
        <v>6092</v>
      </c>
      <c r="D2743">
        <v>1.25</v>
      </c>
      <c r="F2743" t="str">
        <f t="shared" si="210"/>
        <v>No</v>
      </c>
      <c r="G2743" t="str">
        <f t="shared" si="211"/>
        <v/>
      </c>
      <c r="H2743" t="str">
        <f t="shared" si="212"/>
        <v>—</v>
      </c>
      <c r="I2743" t="str">
        <f t="shared" si="213"/>
        <v>Below thresholds</v>
      </c>
      <c r="J2743" t="str">
        <f t="shared" si="214"/>
        <v/>
      </c>
    </row>
    <row r="2744" spans="1:10" x14ac:dyDescent="0.2">
      <c r="A2744">
        <v>227129088357</v>
      </c>
      <c r="B2744" t="s">
        <v>6093</v>
      </c>
      <c r="C2744" t="s">
        <v>6094</v>
      </c>
      <c r="D2744">
        <v>2.25</v>
      </c>
      <c r="F2744" t="str">
        <f t="shared" si="210"/>
        <v>No</v>
      </c>
      <c r="G2744" t="str">
        <f t="shared" si="211"/>
        <v/>
      </c>
      <c r="H2744" t="str">
        <f t="shared" si="212"/>
        <v>—</v>
      </c>
      <c r="I2744" t="str">
        <f t="shared" si="213"/>
        <v>Below thresholds</v>
      </c>
      <c r="J2744" t="str">
        <f t="shared" si="214"/>
        <v/>
      </c>
    </row>
    <row r="2745" spans="1:10" x14ac:dyDescent="0.2">
      <c r="A2745">
        <v>227129088383</v>
      </c>
      <c r="B2745" t="s">
        <v>2153</v>
      </c>
      <c r="C2745" t="s">
        <v>6095</v>
      </c>
      <c r="D2745">
        <v>2.99</v>
      </c>
      <c r="F2745" t="str">
        <f t="shared" si="210"/>
        <v>No</v>
      </c>
      <c r="G2745" t="str">
        <f t="shared" si="211"/>
        <v/>
      </c>
      <c r="H2745" t="str">
        <f t="shared" si="212"/>
        <v>—</v>
      </c>
      <c r="I2745" t="str">
        <f t="shared" si="213"/>
        <v>Below thresholds</v>
      </c>
      <c r="J2745" t="str">
        <f t="shared" si="214"/>
        <v/>
      </c>
    </row>
    <row r="2746" spans="1:10" x14ac:dyDescent="0.2">
      <c r="A2746">
        <v>227129088392</v>
      </c>
      <c r="B2746" t="s">
        <v>6096</v>
      </c>
      <c r="C2746" t="s">
        <v>6097</v>
      </c>
      <c r="D2746">
        <v>1.99</v>
      </c>
      <c r="F2746" t="str">
        <f t="shared" si="210"/>
        <v>No</v>
      </c>
      <c r="G2746" t="str">
        <f t="shared" si="211"/>
        <v/>
      </c>
      <c r="H2746" t="str">
        <f t="shared" si="212"/>
        <v>—</v>
      </c>
      <c r="I2746" t="str">
        <f t="shared" si="213"/>
        <v>Below thresholds</v>
      </c>
      <c r="J2746" t="str">
        <f t="shared" si="214"/>
        <v/>
      </c>
    </row>
    <row r="2747" spans="1:10" x14ac:dyDescent="0.2">
      <c r="A2747">
        <v>227129088407</v>
      </c>
      <c r="B2747" t="s">
        <v>1781</v>
      </c>
      <c r="C2747" t="s">
        <v>6098</v>
      </c>
      <c r="D2747">
        <v>1.5</v>
      </c>
      <c r="F2747" t="str">
        <f t="shared" si="210"/>
        <v>No</v>
      </c>
      <c r="G2747" t="str">
        <f t="shared" si="211"/>
        <v/>
      </c>
      <c r="H2747" t="str">
        <f t="shared" si="212"/>
        <v>—</v>
      </c>
      <c r="I2747" t="str">
        <f t="shared" si="213"/>
        <v>Below thresholds</v>
      </c>
      <c r="J2747" t="str">
        <f t="shared" si="214"/>
        <v/>
      </c>
    </row>
    <row r="2748" spans="1:10" x14ac:dyDescent="0.2">
      <c r="A2748">
        <v>227129088450</v>
      </c>
      <c r="B2748" t="s">
        <v>6099</v>
      </c>
      <c r="C2748" t="s">
        <v>6100</v>
      </c>
      <c r="D2748">
        <v>1</v>
      </c>
      <c r="F2748" t="str">
        <f t="shared" si="210"/>
        <v>No</v>
      </c>
      <c r="G2748" t="str">
        <f t="shared" si="211"/>
        <v/>
      </c>
      <c r="H2748" t="str">
        <f t="shared" si="212"/>
        <v>—</v>
      </c>
      <c r="I2748" t="str">
        <f t="shared" si="213"/>
        <v>Below thresholds</v>
      </c>
      <c r="J2748" t="str">
        <f t="shared" si="214"/>
        <v/>
      </c>
    </row>
    <row r="2749" spans="1:10" x14ac:dyDescent="0.2">
      <c r="A2749">
        <v>227129088469</v>
      </c>
      <c r="B2749" t="s">
        <v>6101</v>
      </c>
      <c r="C2749" t="s">
        <v>6102</v>
      </c>
      <c r="D2749">
        <v>2.4900000000000002</v>
      </c>
      <c r="F2749" t="str">
        <f t="shared" si="210"/>
        <v>No</v>
      </c>
      <c r="G2749" t="str">
        <f t="shared" si="211"/>
        <v/>
      </c>
      <c r="H2749" t="str">
        <f t="shared" si="212"/>
        <v>—</v>
      </c>
      <c r="I2749" t="str">
        <f t="shared" si="213"/>
        <v>Below thresholds</v>
      </c>
      <c r="J2749" t="str">
        <f t="shared" si="214"/>
        <v/>
      </c>
    </row>
    <row r="2750" spans="1:10" x14ac:dyDescent="0.2">
      <c r="A2750">
        <v>227129088477</v>
      </c>
      <c r="B2750" t="s">
        <v>5618</v>
      </c>
      <c r="C2750" t="s">
        <v>6103</v>
      </c>
      <c r="D2750">
        <v>1.49</v>
      </c>
      <c r="F2750" t="str">
        <f t="shared" si="210"/>
        <v>No</v>
      </c>
      <c r="G2750" t="str">
        <f t="shared" si="211"/>
        <v/>
      </c>
      <c r="H2750" t="str">
        <f t="shared" si="212"/>
        <v>—</v>
      </c>
      <c r="I2750" t="str">
        <f t="shared" si="213"/>
        <v>Below thresholds</v>
      </c>
      <c r="J2750" t="str">
        <f t="shared" si="214"/>
        <v/>
      </c>
    </row>
    <row r="2751" spans="1:10" x14ac:dyDescent="0.2">
      <c r="A2751">
        <v>227129088526</v>
      </c>
      <c r="B2751" t="s">
        <v>1928</v>
      </c>
      <c r="C2751" t="s">
        <v>6104</v>
      </c>
      <c r="D2751">
        <v>1.99</v>
      </c>
      <c r="F2751" t="str">
        <f t="shared" si="210"/>
        <v>No</v>
      </c>
      <c r="G2751" t="str">
        <f t="shared" si="211"/>
        <v/>
      </c>
      <c r="H2751" t="str">
        <f t="shared" si="212"/>
        <v>—</v>
      </c>
      <c r="I2751" t="str">
        <f t="shared" si="213"/>
        <v>Below thresholds</v>
      </c>
      <c r="J2751" t="str">
        <f t="shared" si="214"/>
        <v/>
      </c>
    </row>
    <row r="2752" spans="1:10" x14ac:dyDescent="0.2">
      <c r="A2752">
        <v>227129088533</v>
      </c>
      <c r="B2752" t="s">
        <v>1956</v>
      </c>
      <c r="C2752" t="s">
        <v>6105</v>
      </c>
      <c r="D2752">
        <v>2.99</v>
      </c>
      <c r="F2752" t="str">
        <f t="shared" si="210"/>
        <v>No</v>
      </c>
      <c r="G2752" t="str">
        <f t="shared" si="211"/>
        <v/>
      </c>
      <c r="H2752" t="str">
        <f t="shared" si="212"/>
        <v>—</v>
      </c>
      <c r="I2752" t="str">
        <f t="shared" si="213"/>
        <v>Below thresholds</v>
      </c>
      <c r="J2752" t="str">
        <f t="shared" si="214"/>
        <v/>
      </c>
    </row>
    <row r="2753" spans="1:10" x14ac:dyDescent="0.2">
      <c r="A2753">
        <v>227129088536</v>
      </c>
      <c r="B2753" t="s">
        <v>6106</v>
      </c>
      <c r="C2753" t="s">
        <v>6107</v>
      </c>
      <c r="D2753">
        <v>1.45</v>
      </c>
      <c r="F2753" t="str">
        <f t="shared" si="210"/>
        <v>No</v>
      </c>
      <c r="G2753" t="str">
        <f t="shared" si="211"/>
        <v/>
      </c>
      <c r="H2753" t="str">
        <f t="shared" si="212"/>
        <v>—</v>
      </c>
      <c r="I2753" t="str">
        <f t="shared" si="213"/>
        <v>Below thresholds</v>
      </c>
      <c r="J2753" t="str">
        <f t="shared" si="214"/>
        <v/>
      </c>
    </row>
    <row r="2754" spans="1:10" x14ac:dyDescent="0.2">
      <c r="A2754">
        <v>227129088590</v>
      </c>
      <c r="B2754" t="s">
        <v>6108</v>
      </c>
      <c r="C2754" t="s">
        <v>6109</v>
      </c>
      <c r="D2754">
        <v>1.99</v>
      </c>
      <c r="F2754" t="str">
        <f t="shared" si="210"/>
        <v>No</v>
      </c>
      <c r="G2754" t="str">
        <f t="shared" si="211"/>
        <v/>
      </c>
      <c r="H2754" t="str">
        <f t="shared" si="212"/>
        <v>—</v>
      </c>
      <c r="I2754" t="str">
        <f t="shared" si="213"/>
        <v>Below thresholds</v>
      </c>
      <c r="J2754" t="str">
        <f t="shared" si="214"/>
        <v/>
      </c>
    </row>
    <row r="2755" spans="1:10" x14ac:dyDescent="0.2">
      <c r="A2755">
        <v>227129088610</v>
      </c>
      <c r="B2755" t="s">
        <v>6110</v>
      </c>
      <c r="C2755" t="s">
        <v>6111</v>
      </c>
      <c r="D2755">
        <v>3</v>
      </c>
      <c r="F2755" t="str">
        <f t="shared" si="210"/>
        <v>No</v>
      </c>
      <c r="G2755" t="str">
        <f t="shared" si="211"/>
        <v/>
      </c>
      <c r="H2755" t="str">
        <f t="shared" si="212"/>
        <v>—</v>
      </c>
      <c r="I2755" t="str">
        <f t="shared" si="213"/>
        <v>Below thresholds</v>
      </c>
      <c r="J2755" t="str">
        <f t="shared" si="214"/>
        <v/>
      </c>
    </row>
    <row r="2756" spans="1:10" x14ac:dyDescent="0.2">
      <c r="A2756">
        <v>227129088620</v>
      </c>
      <c r="B2756" t="s">
        <v>312</v>
      </c>
      <c r="C2756" t="s">
        <v>6112</v>
      </c>
      <c r="D2756">
        <v>5.39</v>
      </c>
      <c r="F2756" t="str">
        <f t="shared" si="210"/>
        <v>No</v>
      </c>
      <c r="G2756" t="str">
        <f t="shared" si="211"/>
        <v/>
      </c>
      <c r="H2756" t="str">
        <f t="shared" si="212"/>
        <v>—</v>
      </c>
      <c r="I2756" t="str">
        <f t="shared" si="213"/>
        <v>Below thresholds</v>
      </c>
      <c r="J2756" t="str">
        <f t="shared" si="214"/>
        <v/>
      </c>
    </row>
    <row r="2757" spans="1:10" x14ac:dyDescent="0.2">
      <c r="A2757">
        <v>227129088704</v>
      </c>
      <c r="B2757" t="s">
        <v>6113</v>
      </c>
      <c r="C2757" t="s">
        <v>6114</v>
      </c>
      <c r="D2757">
        <v>8.99</v>
      </c>
      <c r="F2757" t="str">
        <f t="shared" ref="F2757:F2820" si="215">IF($B2757="","",IF(ISNUMBER(SEARCH("PSA",$B2757)),"Yes","No"))</f>
        <v>No</v>
      </c>
      <c r="G2757" t="str">
        <f t="shared" ref="G2757:G2820" si="216">IF($B2757="","",IF(ISNUMBER(SEARCH("PSA 10",$B2757)),10,IF(ISNUMBER(SEARCH("PSA 9.5",$B2757)),9.5,IF(ISNUMBER(SEARCH("PSA 9",$B2757)),9,IF(ISNUMBER(SEARCH("PSA 8",$B2757)),8,IF(ISNUMBER(SEARCH("PSA",$B2757)),"&lt;9",""))))))</f>
        <v/>
      </c>
      <c r="H2757" t="str">
        <f t="shared" ref="H2757:H2820" si="217">IF($B2757="","",IF($D2757&gt;=100,"TIER 2",IF(OR(ISNUMBER(SEARCH("PSA 10",$B2757)),ISNUMBER(SEARCH("PSA 9.5",$B2757)),ISNUMBER(SEARCH("PSA 9",$B2757))),"TIER 3",IF(AND($D2757&gt;20,N($E2757)&gt;=15),"TIER 1","—"))))</f>
        <v>—</v>
      </c>
      <c r="I2757" t="str">
        <f t="shared" ref="I2757:I2820" si="218">IF($B2757="","",IF($D2757&gt;=100,"Premium $100+ (auto)",IF(OR(ISNUMBER(SEARCH("PSA 10",$B2757)),ISNUMBER(SEARCH("PSA 9.5",$B2757)),ISNUMBER(SEARCH("PSA 9",$B2757))),"Graded PSA 9+ (auto)",IF(AND($D2757&gt;20,N($E2757)&gt;=15),"Hot: $20+ &amp; "&amp;$E2757&amp;"/day",IF($D2757&gt;20,"$20+ — needs velocity check","Below thresholds")))))</f>
        <v>Below thresholds</v>
      </c>
      <c r="J2757" t="str">
        <f t="shared" ref="J2757:J2820" si="219">IF($B2757="","",IF(AND($D2757&gt;20,$D2757&lt;100,NOT(OR(ISNUMBER(SEARCH("PSA 10",$B2757)),ISNUMBER(SEARCH("PSA 9.5",$B2757)),ISNUMBER(SEARCH("PSA 9",$B2757)))),$E2757=""),"YES — pull CardHedger",""))</f>
        <v/>
      </c>
    </row>
    <row r="2758" spans="1:10" x14ac:dyDescent="0.2">
      <c r="A2758">
        <v>227129088716</v>
      </c>
      <c r="B2758" t="s">
        <v>6115</v>
      </c>
      <c r="C2758" t="s">
        <v>6116</v>
      </c>
      <c r="D2758">
        <v>2.11</v>
      </c>
      <c r="F2758" t="str">
        <f t="shared" si="215"/>
        <v>No</v>
      </c>
      <c r="G2758" t="str">
        <f t="shared" si="216"/>
        <v/>
      </c>
      <c r="H2758" t="str">
        <f t="shared" si="217"/>
        <v>—</v>
      </c>
      <c r="I2758" t="str">
        <f t="shared" si="218"/>
        <v>Below thresholds</v>
      </c>
      <c r="J2758" t="str">
        <f t="shared" si="219"/>
        <v/>
      </c>
    </row>
    <row r="2759" spans="1:10" x14ac:dyDescent="0.2">
      <c r="A2759">
        <v>227129088717</v>
      </c>
      <c r="B2759" t="s">
        <v>6117</v>
      </c>
      <c r="C2759" t="s">
        <v>6118</v>
      </c>
      <c r="D2759">
        <v>18</v>
      </c>
      <c r="F2759" t="str">
        <f t="shared" si="215"/>
        <v>No</v>
      </c>
      <c r="G2759" t="str">
        <f t="shared" si="216"/>
        <v/>
      </c>
      <c r="H2759" t="str">
        <f t="shared" si="217"/>
        <v>—</v>
      </c>
      <c r="I2759" t="str">
        <f t="shared" si="218"/>
        <v>Below thresholds</v>
      </c>
      <c r="J2759" t="str">
        <f t="shared" si="219"/>
        <v/>
      </c>
    </row>
    <row r="2760" spans="1:10" x14ac:dyDescent="0.2">
      <c r="A2760">
        <v>227129088737</v>
      </c>
      <c r="B2760" t="s">
        <v>1886</v>
      </c>
      <c r="C2760" t="s">
        <v>6119</v>
      </c>
      <c r="D2760">
        <v>3.99</v>
      </c>
      <c r="F2760" t="str">
        <f t="shared" si="215"/>
        <v>No</v>
      </c>
      <c r="G2760" t="str">
        <f t="shared" si="216"/>
        <v/>
      </c>
      <c r="H2760" t="str">
        <f t="shared" si="217"/>
        <v>—</v>
      </c>
      <c r="I2760" t="str">
        <f t="shared" si="218"/>
        <v>Below thresholds</v>
      </c>
      <c r="J2760" t="str">
        <f t="shared" si="219"/>
        <v/>
      </c>
    </row>
    <row r="2761" spans="1:10" x14ac:dyDescent="0.2">
      <c r="A2761">
        <v>227129088746</v>
      </c>
      <c r="B2761" t="s">
        <v>1888</v>
      </c>
      <c r="C2761" t="s">
        <v>6120</v>
      </c>
      <c r="D2761">
        <v>2.5</v>
      </c>
      <c r="F2761" t="str">
        <f t="shared" si="215"/>
        <v>No</v>
      </c>
      <c r="G2761" t="str">
        <f t="shared" si="216"/>
        <v/>
      </c>
      <c r="H2761" t="str">
        <f t="shared" si="217"/>
        <v>—</v>
      </c>
      <c r="I2761" t="str">
        <f t="shared" si="218"/>
        <v>Below thresholds</v>
      </c>
      <c r="J2761" t="str">
        <f t="shared" si="219"/>
        <v/>
      </c>
    </row>
    <row r="2762" spans="1:10" x14ac:dyDescent="0.2">
      <c r="A2762">
        <v>227129088772</v>
      </c>
      <c r="B2762" t="s">
        <v>1892</v>
      </c>
      <c r="C2762" t="s">
        <v>6121</v>
      </c>
      <c r="D2762">
        <v>2</v>
      </c>
      <c r="F2762" t="str">
        <f t="shared" si="215"/>
        <v>No</v>
      </c>
      <c r="G2762" t="str">
        <f t="shared" si="216"/>
        <v/>
      </c>
      <c r="H2762" t="str">
        <f t="shared" si="217"/>
        <v>—</v>
      </c>
      <c r="I2762" t="str">
        <f t="shared" si="218"/>
        <v>Below thresholds</v>
      </c>
      <c r="J2762" t="str">
        <f t="shared" si="219"/>
        <v/>
      </c>
    </row>
    <row r="2763" spans="1:10" x14ac:dyDescent="0.2">
      <c r="A2763">
        <v>227129088794</v>
      </c>
      <c r="B2763" t="s">
        <v>6122</v>
      </c>
      <c r="C2763" t="s">
        <v>6123</v>
      </c>
      <c r="D2763">
        <v>2.99</v>
      </c>
      <c r="F2763" t="str">
        <f t="shared" si="215"/>
        <v>No</v>
      </c>
      <c r="G2763" t="str">
        <f t="shared" si="216"/>
        <v/>
      </c>
      <c r="H2763" t="str">
        <f t="shared" si="217"/>
        <v>—</v>
      </c>
      <c r="I2763" t="str">
        <f t="shared" si="218"/>
        <v>Below thresholds</v>
      </c>
      <c r="J2763" t="str">
        <f t="shared" si="219"/>
        <v/>
      </c>
    </row>
    <row r="2764" spans="1:10" x14ac:dyDescent="0.2">
      <c r="A2764">
        <v>227129088817</v>
      </c>
      <c r="B2764" t="s">
        <v>6124</v>
      </c>
      <c r="C2764" t="s">
        <v>6125</v>
      </c>
      <c r="D2764">
        <v>3</v>
      </c>
      <c r="F2764" t="str">
        <f t="shared" si="215"/>
        <v>No</v>
      </c>
      <c r="G2764" t="str">
        <f t="shared" si="216"/>
        <v/>
      </c>
      <c r="H2764" t="str">
        <f t="shared" si="217"/>
        <v>—</v>
      </c>
      <c r="I2764" t="str">
        <f t="shared" si="218"/>
        <v>Below thresholds</v>
      </c>
      <c r="J2764" t="str">
        <f t="shared" si="219"/>
        <v/>
      </c>
    </row>
    <row r="2765" spans="1:10" x14ac:dyDescent="0.2">
      <c r="A2765">
        <v>227129088832</v>
      </c>
      <c r="B2765" t="s">
        <v>6126</v>
      </c>
      <c r="C2765" t="s">
        <v>6127</v>
      </c>
      <c r="D2765">
        <v>1.99</v>
      </c>
      <c r="F2765" t="str">
        <f t="shared" si="215"/>
        <v>No</v>
      </c>
      <c r="G2765" t="str">
        <f t="shared" si="216"/>
        <v/>
      </c>
      <c r="H2765" t="str">
        <f t="shared" si="217"/>
        <v>—</v>
      </c>
      <c r="I2765" t="str">
        <f t="shared" si="218"/>
        <v>Below thresholds</v>
      </c>
      <c r="J2765" t="str">
        <f t="shared" si="219"/>
        <v/>
      </c>
    </row>
    <row r="2766" spans="1:10" x14ac:dyDescent="0.2">
      <c r="A2766">
        <v>227129088857</v>
      </c>
      <c r="B2766" t="s">
        <v>6128</v>
      </c>
      <c r="C2766" t="s">
        <v>6129</v>
      </c>
      <c r="D2766">
        <v>3.99</v>
      </c>
      <c r="F2766" t="str">
        <f t="shared" si="215"/>
        <v>No</v>
      </c>
      <c r="G2766" t="str">
        <f t="shared" si="216"/>
        <v/>
      </c>
      <c r="H2766" t="str">
        <f t="shared" si="217"/>
        <v>—</v>
      </c>
      <c r="I2766" t="str">
        <f t="shared" si="218"/>
        <v>Below thresholds</v>
      </c>
      <c r="J2766" t="str">
        <f t="shared" si="219"/>
        <v/>
      </c>
    </row>
    <row r="2767" spans="1:10" x14ac:dyDescent="0.2">
      <c r="A2767">
        <v>227129088887</v>
      </c>
      <c r="B2767" t="s">
        <v>6130</v>
      </c>
      <c r="C2767" t="s">
        <v>6131</v>
      </c>
      <c r="D2767">
        <v>1.99</v>
      </c>
      <c r="F2767" t="str">
        <f t="shared" si="215"/>
        <v>No</v>
      </c>
      <c r="G2767" t="str">
        <f t="shared" si="216"/>
        <v/>
      </c>
      <c r="H2767" t="str">
        <f t="shared" si="217"/>
        <v>—</v>
      </c>
      <c r="I2767" t="str">
        <f t="shared" si="218"/>
        <v>Below thresholds</v>
      </c>
      <c r="J2767" t="str">
        <f t="shared" si="219"/>
        <v/>
      </c>
    </row>
    <row r="2768" spans="1:10" x14ac:dyDescent="0.2">
      <c r="A2768">
        <v>227129088888</v>
      </c>
      <c r="B2768" t="s">
        <v>6132</v>
      </c>
      <c r="C2768" t="s">
        <v>6133</v>
      </c>
      <c r="D2768">
        <v>4.5</v>
      </c>
      <c r="F2768" t="str">
        <f t="shared" si="215"/>
        <v>No</v>
      </c>
      <c r="G2768" t="str">
        <f t="shared" si="216"/>
        <v/>
      </c>
      <c r="H2768" t="str">
        <f t="shared" si="217"/>
        <v>—</v>
      </c>
      <c r="I2768" t="str">
        <f t="shared" si="218"/>
        <v>Below thresholds</v>
      </c>
      <c r="J2768" t="str">
        <f t="shared" si="219"/>
        <v/>
      </c>
    </row>
    <row r="2769" spans="1:10" x14ac:dyDescent="0.2">
      <c r="A2769">
        <v>227129401756</v>
      </c>
      <c r="B2769" t="s">
        <v>6134</v>
      </c>
      <c r="C2769" t="s">
        <v>6135</v>
      </c>
      <c r="D2769">
        <v>1.59</v>
      </c>
      <c r="F2769" t="str">
        <f t="shared" si="215"/>
        <v>No</v>
      </c>
      <c r="G2769" t="str">
        <f t="shared" si="216"/>
        <v/>
      </c>
      <c r="H2769" t="str">
        <f t="shared" si="217"/>
        <v>—</v>
      </c>
      <c r="I2769" t="str">
        <f t="shared" si="218"/>
        <v>Below thresholds</v>
      </c>
      <c r="J2769" t="str">
        <f t="shared" si="219"/>
        <v/>
      </c>
    </row>
    <row r="2770" spans="1:10" x14ac:dyDescent="0.2">
      <c r="A2770">
        <v>227129401770</v>
      </c>
      <c r="B2770" t="s">
        <v>6136</v>
      </c>
      <c r="C2770" t="s">
        <v>6137</v>
      </c>
      <c r="D2770">
        <v>3.5</v>
      </c>
      <c r="F2770" t="str">
        <f t="shared" si="215"/>
        <v>No</v>
      </c>
      <c r="G2770" t="str">
        <f t="shared" si="216"/>
        <v/>
      </c>
      <c r="H2770" t="str">
        <f t="shared" si="217"/>
        <v>—</v>
      </c>
      <c r="I2770" t="str">
        <f t="shared" si="218"/>
        <v>Below thresholds</v>
      </c>
      <c r="J2770" t="str">
        <f t="shared" si="219"/>
        <v/>
      </c>
    </row>
    <row r="2771" spans="1:10" x14ac:dyDescent="0.2">
      <c r="A2771">
        <v>227129401802</v>
      </c>
      <c r="B2771" t="s">
        <v>6138</v>
      </c>
      <c r="C2771" t="s">
        <v>6139</v>
      </c>
      <c r="D2771">
        <v>1.5</v>
      </c>
      <c r="F2771" t="str">
        <f t="shared" si="215"/>
        <v>No</v>
      </c>
      <c r="G2771" t="str">
        <f t="shared" si="216"/>
        <v/>
      </c>
      <c r="H2771" t="str">
        <f t="shared" si="217"/>
        <v>—</v>
      </c>
      <c r="I2771" t="str">
        <f t="shared" si="218"/>
        <v>Below thresholds</v>
      </c>
      <c r="J2771" t="str">
        <f t="shared" si="219"/>
        <v/>
      </c>
    </row>
    <row r="2772" spans="1:10" x14ac:dyDescent="0.2">
      <c r="A2772">
        <v>227129401812</v>
      </c>
      <c r="B2772" t="s">
        <v>6140</v>
      </c>
      <c r="C2772" t="s">
        <v>6141</v>
      </c>
      <c r="D2772">
        <v>1.49</v>
      </c>
      <c r="F2772" t="str">
        <f t="shared" si="215"/>
        <v>No</v>
      </c>
      <c r="G2772" t="str">
        <f t="shared" si="216"/>
        <v/>
      </c>
      <c r="H2772" t="str">
        <f t="shared" si="217"/>
        <v>—</v>
      </c>
      <c r="I2772" t="str">
        <f t="shared" si="218"/>
        <v>Below thresholds</v>
      </c>
      <c r="J2772" t="str">
        <f t="shared" si="219"/>
        <v/>
      </c>
    </row>
    <row r="2773" spans="1:10" x14ac:dyDescent="0.2">
      <c r="A2773">
        <v>227129401829</v>
      </c>
      <c r="B2773" t="s">
        <v>6142</v>
      </c>
      <c r="C2773" t="s">
        <v>6143</v>
      </c>
      <c r="D2773">
        <v>1.5</v>
      </c>
      <c r="F2773" t="str">
        <f t="shared" si="215"/>
        <v>No</v>
      </c>
      <c r="G2773" t="str">
        <f t="shared" si="216"/>
        <v/>
      </c>
      <c r="H2773" t="str">
        <f t="shared" si="217"/>
        <v>—</v>
      </c>
      <c r="I2773" t="str">
        <f t="shared" si="218"/>
        <v>Below thresholds</v>
      </c>
      <c r="J2773" t="str">
        <f t="shared" si="219"/>
        <v/>
      </c>
    </row>
    <row r="2774" spans="1:10" x14ac:dyDescent="0.2">
      <c r="A2774">
        <v>227129401838</v>
      </c>
      <c r="B2774" t="s">
        <v>6144</v>
      </c>
      <c r="C2774" t="s">
        <v>6145</v>
      </c>
      <c r="D2774">
        <v>3</v>
      </c>
      <c r="F2774" t="str">
        <f t="shared" si="215"/>
        <v>No</v>
      </c>
      <c r="G2774" t="str">
        <f t="shared" si="216"/>
        <v/>
      </c>
      <c r="H2774" t="str">
        <f t="shared" si="217"/>
        <v>—</v>
      </c>
      <c r="I2774" t="str">
        <f t="shared" si="218"/>
        <v>Below thresholds</v>
      </c>
      <c r="J2774" t="str">
        <f t="shared" si="219"/>
        <v/>
      </c>
    </row>
    <row r="2775" spans="1:10" x14ac:dyDescent="0.2">
      <c r="A2775">
        <v>227129401843</v>
      </c>
      <c r="B2775" t="s">
        <v>6146</v>
      </c>
      <c r="C2775" t="s">
        <v>6147</v>
      </c>
      <c r="D2775">
        <v>1.85</v>
      </c>
      <c r="F2775" t="str">
        <f t="shared" si="215"/>
        <v>No</v>
      </c>
      <c r="G2775" t="str">
        <f t="shared" si="216"/>
        <v/>
      </c>
      <c r="H2775" t="str">
        <f t="shared" si="217"/>
        <v>—</v>
      </c>
      <c r="I2775" t="str">
        <f t="shared" si="218"/>
        <v>Below thresholds</v>
      </c>
      <c r="J2775" t="str">
        <f t="shared" si="219"/>
        <v/>
      </c>
    </row>
    <row r="2776" spans="1:10" x14ac:dyDescent="0.2">
      <c r="A2776">
        <v>227129401851</v>
      </c>
      <c r="B2776" t="s">
        <v>6148</v>
      </c>
      <c r="C2776" t="s">
        <v>6149</v>
      </c>
      <c r="D2776">
        <v>7.5</v>
      </c>
      <c r="F2776" t="str">
        <f t="shared" si="215"/>
        <v>No</v>
      </c>
      <c r="G2776" t="str">
        <f t="shared" si="216"/>
        <v/>
      </c>
      <c r="H2776" t="str">
        <f t="shared" si="217"/>
        <v>—</v>
      </c>
      <c r="I2776" t="str">
        <f t="shared" si="218"/>
        <v>Below thresholds</v>
      </c>
      <c r="J2776" t="str">
        <f t="shared" si="219"/>
        <v/>
      </c>
    </row>
    <row r="2777" spans="1:10" x14ac:dyDescent="0.2">
      <c r="A2777">
        <v>227129401858</v>
      </c>
      <c r="B2777" t="s">
        <v>5283</v>
      </c>
      <c r="C2777" t="s">
        <v>6150</v>
      </c>
      <c r="D2777">
        <v>1.8</v>
      </c>
      <c r="F2777" t="str">
        <f t="shared" si="215"/>
        <v>No</v>
      </c>
      <c r="G2777" t="str">
        <f t="shared" si="216"/>
        <v/>
      </c>
      <c r="H2777" t="str">
        <f t="shared" si="217"/>
        <v>—</v>
      </c>
      <c r="I2777" t="str">
        <f t="shared" si="218"/>
        <v>Below thresholds</v>
      </c>
      <c r="J2777" t="str">
        <f t="shared" si="219"/>
        <v/>
      </c>
    </row>
    <row r="2778" spans="1:10" x14ac:dyDescent="0.2">
      <c r="A2778">
        <v>227129401867</v>
      </c>
      <c r="B2778" t="s">
        <v>5289</v>
      </c>
      <c r="C2778" t="s">
        <v>6151</v>
      </c>
      <c r="D2778">
        <v>1.75</v>
      </c>
      <c r="F2778" t="str">
        <f t="shared" si="215"/>
        <v>No</v>
      </c>
      <c r="G2778" t="str">
        <f t="shared" si="216"/>
        <v/>
      </c>
      <c r="H2778" t="str">
        <f t="shared" si="217"/>
        <v>—</v>
      </c>
      <c r="I2778" t="str">
        <f t="shared" si="218"/>
        <v>Below thresholds</v>
      </c>
      <c r="J2778" t="str">
        <f t="shared" si="219"/>
        <v/>
      </c>
    </row>
    <row r="2779" spans="1:10" x14ac:dyDescent="0.2">
      <c r="A2779">
        <v>227129401874</v>
      </c>
      <c r="B2779" t="s">
        <v>6152</v>
      </c>
      <c r="C2779" t="s">
        <v>6153</v>
      </c>
      <c r="D2779">
        <v>2.5499999999999998</v>
      </c>
      <c r="F2779" t="str">
        <f t="shared" si="215"/>
        <v>No</v>
      </c>
      <c r="G2779" t="str">
        <f t="shared" si="216"/>
        <v/>
      </c>
      <c r="H2779" t="str">
        <f t="shared" si="217"/>
        <v>—</v>
      </c>
      <c r="I2779" t="str">
        <f t="shared" si="218"/>
        <v>Below thresholds</v>
      </c>
      <c r="J2779" t="str">
        <f t="shared" si="219"/>
        <v/>
      </c>
    </row>
    <row r="2780" spans="1:10" x14ac:dyDescent="0.2">
      <c r="A2780">
        <v>227129401876</v>
      </c>
      <c r="B2780" t="s">
        <v>6154</v>
      </c>
      <c r="C2780" t="s">
        <v>6155</v>
      </c>
      <c r="D2780">
        <v>1.5</v>
      </c>
      <c r="F2780" t="str">
        <f t="shared" si="215"/>
        <v>No</v>
      </c>
      <c r="G2780" t="str">
        <f t="shared" si="216"/>
        <v/>
      </c>
      <c r="H2780" t="str">
        <f t="shared" si="217"/>
        <v>—</v>
      </c>
      <c r="I2780" t="str">
        <f t="shared" si="218"/>
        <v>Below thresholds</v>
      </c>
      <c r="J2780" t="str">
        <f t="shared" si="219"/>
        <v/>
      </c>
    </row>
    <row r="2781" spans="1:10" x14ac:dyDescent="0.2">
      <c r="A2781">
        <v>227129401885</v>
      </c>
      <c r="B2781" t="s">
        <v>6156</v>
      </c>
      <c r="C2781" t="s">
        <v>6157</v>
      </c>
      <c r="D2781">
        <v>25</v>
      </c>
      <c r="F2781" t="str">
        <f t="shared" si="215"/>
        <v>No</v>
      </c>
      <c r="G2781" t="str">
        <f t="shared" si="216"/>
        <v/>
      </c>
      <c r="H2781" t="str">
        <f t="shared" si="217"/>
        <v>—</v>
      </c>
      <c r="I2781" t="str">
        <f t="shared" si="218"/>
        <v>$20+ — needs velocity check</v>
      </c>
      <c r="J2781" t="str">
        <f t="shared" si="219"/>
        <v>YES — pull CardHedger</v>
      </c>
    </row>
    <row r="2782" spans="1:10" x14ac:dyDescent="0.2">
      <c r="A2782">
        <v>227129401917</v>
      </c>
      <c r="B2782" t="s">
        <v>6158</v>
      </c>
      <c r="C2782" t="s">
        <v>6159</v>
      </c>
      <c r="D2782">
        <v>1.5</v>
      </c>
      <c r="F2782" t="str">
        <f t="shared" si="215"/>
        <v>No</v>
      </c>
      <c r="G2782" t="str">
        <f t="shared" si="216"/>
        <v/>
      </c>
      <c r="H2782" t="str">
        <f t="shared" si="217"/>
        <v>—</v>
      </c>
      <c r="I2782" t="str">
        <f t="shared" si="218"/>
        <v>Below thresholds</v>
      </c>
      <c r="J2782" t="str">
        <f t="shared" si="219"/>
        <v/>
      </c>
    </row>
    <row r="2783" spans="1:10" x14ac:dyDescent="0.2">
      <c r="A2783">
        <v>227129401938</v>
      </c>
      <c r="B2783" t="s">
        <v>6160</v>
      </c>
      <c r="C2783" t="s">
        <v>6161</v>
      </c>
      <c r="D2783">
        <v>1.5</v>
      </c>
      <c r="F2783" t="str">
        <f t="shared" si="215"/>
        <v>No</v>
      </c>
      <c r="G2783" t="str">
        <f t="shared" si="216"/>
        <v/>
      </c>
      <c r="H2783" t="str">
        <f t="shared" si="217"/>
        <v>—</v>
      </c>
      <c r="I2783" t="str">
        <f t="shared" si="218"/>
        <v>Below thresholds</v>
      </c>
      <c r="J2783" t="str">
        <f t="shared" si="219"/>
        <v/>
      </c>
    </row>
    <row r="2784" spans="1:10" x14ac:dyDescent="0.2">
      <c r="A2784">
        <v>227129401942</v>
      </c>
      <c r="B2784" t="s">
        <v>6162</v>
      </c>
      <c r="C2784" t="s">
        <v>6163</v>
      </c>
      <c r="D2784">
        <v>1.5</v>
      </c>
      <c r="F2784" t="str">
        <f t="shared" si="215"/>
        <v>No</v>
      </c>
      <c r="G2784" t="str">
        <f t="shared" si="216"/>
        <v/>
      </c>
      <c r="H2784" t="str">
        <f t="shared" si="217"/>
        <v>—</v>
      </c>
      <c r="I2784" t="str">
        <f t="shared" si="218"/>
        <v>Below thresholds</v>
      </c>
      <c r="J2784" t="str">
        <f t="shared" si="219"/>
        <v/>
      </c>
    </row>
    <row r="2785" spans="1:10" x14ac:dyDescent="0.2">
      <c r="A2785">
        <v>227129401943</v>
      </c>
      <c r="B2785" t="s">
        <v>5287</v>
      </c>
      <c r="C2785" t="s">
        <v>6164</v>
      </c>
      <c r="D2785">
        <v>1.25</v>
      </c>
      <c r="F2785" t="str">
        <f t="shared" si="215"/>
        <v>No</v>
      </c>
      <c r="G2785" t="str">
        <f t="shared" si="216"/>
        <v/>
      </c>
      <c r="H2785" t="str">
        <f t="shared" si="217"/>
        <v>—</v>
      </c>
      <c r="I2785" t="str">
        <f t="shared" si="218"/>
        <v>Below thresholds</v>
      </c>
      <c r="J2785" t="str">
        <f t="shared" si="219"/>
        <v/>
      </c>
    </row>
    <row r="2786" spans="1:10" x14ac:dyDescent="0.2">
      <c r="A2786">
        <v>227129401945</v>
      </c>
      <c r="B2786" t="s">
        <v>5285</v>
      </c>
      <c r="C2786" t="s">
        <v>6165</v>
      </c>
      <c r="D2786">
        <v>1.75</v>
      </c>
      <c r="F2786" t="str">
        <f t="shared" si="215"/>
        <v>No</v>
      </c>
      <c r="G2786" t="str">
        <f t="shared" si="216"/>
        <v/>
      </c>
      <c r="H2786" t="str">
        <f t="shared" si="217"/>
        <v>—</v>
      </c>
      <c r="I2786" t="str">
        <f t="shared" si="218"/>
        <v>Below thresholds</v>
      </c>
      <c r="J2786" t="str">
        <f t="shared" si="219"/>
        <v/>
      </c>
    </row>
    <row r="2787" spans="1:10" x14ac:dyDescent="0.2">
      <c r="A2787">
        <v>227129401952</v>
      </c>
      <c r="B2787" t="s">
        <v>5291</v>
      </c>
      <c r="C2787" t="s">
        <v>6166</v>
      </c>
      <c r="D2787">
        <v>2</v>
      </c>
      <c r="F2787" t="str">
        <f t="shared" si="215"/>
        <v>No</v>
      </c>
      <c r="G2787" t="str">
        <f t="shared" si="216"/>
        <v/>
      </c>
      <c r="H2787" t="str">
        <f t="shared" si="217"/>
        <v>—</v>
      </c>
      <c r="I2787" t="str">
        <f t="shared" si="218"/>
        <v>Below thresholds</v>
      </c>
      <c r="J2787" t="str">
        <f t="shared" si="219"/>
        <v/>
      </c>
    </row>
    <row r="2788" spans="1:10" x14ac:dyDescent="0.2">
      <c r="A2788">
        <v>227129401956</v>
      </c>
      <c r="B2788" t="s">
        <v>5293</v>
      </c>
      <c r="C2788" t="s">
        <v>6167</v>
      </c>
      <c r="D2788">
        <v>1.99</v>
      </c>
      <c r="F2788" t="str">
        <f t="shared" si="215"/>
        <v>No</v>
      </c>
      <c r="G2788" t="str">
        <f t="shared" si="216"/>
        <v/>
      </c>
      <c r="H2788" t="str">
        <f t="shared" si="217"/>
        <v>—</v>
      </c>
      <c r="I2788" t="str">
        <f t="shared" si="218"/>
        <v>Below thresholds</v>
      </c>
      <c r="J2788" t="str">
        <f t="shared" si="219"/>
        <v/>
      </c>
    </row>
    <row r="2789" spans="1:10" x14ac:dyDescent="0.2">
      <c r="A2789">
        <v>227129401957</v>
      </c>
      <c r="B2789" t="s">
        <v>6168</v>
      </c>
      <c r="C2789" t="s">
        <v>6169</v>
      </c>
      <c r="D2789">
        <v>1.5</v>
      </c>
      <c r="F2789" t="str">
        <f t="shared" si="215"/>
        <v>No</v>
      </c>
      <c r="G2789" t="str">
        <f t="shared" si="216"/>
        <v/>
      </c>
      <c r="H2789" t="str">
        <f t="shared" si="217"/>
        <v>—</v>
      </c>
      <c r="I2789" t="str">
        <f t="shared" si="218"/>
        <v>Below thresholds</v>
      </c>
      <c r="J2789" t="str">
        <f t="shared" si="219"/>
        <v/>
      </c>
    </row>
    <row r="2790" spans="1:10" x14ac:dyDescent="0.2">
      <c r="A2790">
        <v>227129401963</v>
      </c>
      <c r="B2790" t="s">
        <v>6170</v>
      </c>
      <c r="C2790" t="s">
        <v>6171</v>
      </c>
      <c r="D2790">
        <v>1.5</v>
      </c>
      <c r="F2790" t="str">
        <f t="shared" si="215"/>
        <v>No</v>
      </c>
      <c r="G2790" t="str">
        <f t="shared" si="216"/>
        <v/>
      </c>
      <c r="H2790" t="str">
        <f t="shared" si="217"/>
        <v>—</v>
      </c>
      <c r="I2790" t="str">
        <f t="shared" si="218"/>
        <v>Below thresholds</v>
      </c>
      <c r="J2790" t="str">
        <f t="shared" si="219"/>
        <v/>
      </c>
    </row>
    <row r="2791" spans="1:10" x14ac:dyDescent="0.2">
      <c r="A2791">
        <v>227129401964</v>
      </c>
      <c r="B2791" t="s">
        <v>6172</v>
      </c>
      <c r="C2791" t="s">
        <v>6173</v>
      </c>
      <c r="D2791">
        <v>3.25</v>
      </c>
      <c r="F2791" t="str">
        <f t="shared" si="215"/>
        <v>No</v>
      </c>
      <c r="G2791" t="str">
        <f t="shared" si="216"/>
        <v/>
      </c>
      <c r="H2791" t="str">
        <f t="shared" si="217"/>
        <v>—</v>
      </c>
      <c r="I2791" t="str">
        <f t="shared" si="218"/>
        <v>Below thresholds</v>
      </c>
      <c r="J2791" t="str">
        <f t="shared" si="219"/>
        <v/>
      </c>
    </row>
    <row r="2792" spans="1:10" x14ac:dyDescent="0.2">
      <c r="A2792">
        <v>227129401979</v>
      </c>
      <c r="B2792" t="s">
        <v>6174</v>
      </c>
      <c r="C2792" t="s">
        <v>6175</v>
      </c>
      <c r="D2792">
        <v>5</v>
      </c>
      <c r="F2792" t="str">
        <f t="shared" si="215"/>
        <v>No</v>
      </c>
      <c r="G2792" t="str">
        <f t="shared" si="216"/>
        <v/>
      </c>
      <c r="H2792" t="str">
        <f t="shared" si="217"/>
        <v>—</v>
      </c>
      <c r="I2792" t="str">
        <f t="shared" si="218"/>
        <v>Below thresholds</v>
      </c>
      <c r="J2792" t="str">
        <f t="shared" si="219"/>
        <v/>
      </c>
    </row>
    <row r="2793" spans="1:10" x14ac:dyDescent="0.2">
      <c r="A2793">
        <v>227129401984</v>
      </c>
      <c r="B2793" t="s">
        <v>6176</v>
      </c>
      <c r="C2793" t="s">
        <v>6177</v>
      </c>
      <c r="D2793">
        <v>1.99</v>
      </c>
      <c r="F2793" t="str">
        <f t="shared" si="215"/>
        <v>No</v>
      </c>
      <c r="G2793" t="str">
        <f t="shared" si="216"/>
        <v/>
      </c>
      <c r="H2793" t="str">
        <f t="shared" si="217"/>
        <v>—</v>
      </c>
      <c r="I2793" t="str">
        <f t="shared" si="218"/>
        <v>Below thresholds</v>
      </c>
      <c r="J2793" t="str">
        <f t="shared" si="219"/>
        <v/>
      </c>
    </row>
    <row r="2794" spans="1:10" x14ac:dyDescent="0.2">
      <c r="A2794">
        <v>227129401990</v>
      </c>
      <c r="B2794" t="s">
        <v>6178</v>
      </c>
      <c r="C2794" t="s">
        <v>6179</v>
      </c>
      <c r="D2794">
        <v>1.99</v>
      </c>
      <c r="F2794" t="str">
        <f t="shared" si="215"/>
        <v>No</v>
      </c>
      <c r="G2794" t="str">
        <f t="shared" si="216"/>
        <v/>
      </c>
      <c r="H2794" t="str">
        <f t="shared" si="217"/>
        <v>—</v>
      </c>
      <c r="I2794" t="str">
        <f t="shared" si="218"/>
        <v>Below thresholds</v>
      </c>
      <c r="J2794" t="str">
        <f t="shared" si="219"/>
        <v/>
      </c>
    </row>
    <row r="2795" spans="1:10" x14ac:dyDescent="0.2">
      <c r="A2795">
        <v>227129401991</v>
      </c>
      <c r="B2795" t="s">
        <v>6180</v>
      </c>
      <c r="C2795" t="s">
        <v>6181</v>
      </c>
      <c r="D2795">
        <v>1.99</v>
      </c>
      <c r="F2795" t="str">
        <f t="shared" si="215"/>
        <v>No</v>
      </c>
      <c r="G2795" t="str">
        <f t="shared" si="216"/>
        <v/>
      </c>
      <c r="H2795" t="str">
        <f t="shared" si="217"/>
        <v>—</v>
      </c>
      <c r="I2795" t="str">
        <f t="shared" si="218"/>
        <v>Below thresholds</v>
      </c>
      <c r="J2795" t="str">
        <f t="shared" si="219"/>
        <v/>
      </c>
    </row>
    <row r="2796" spans="1:10" x14ac:dyDescent="0.2">
      <c r="A2796">
        <v>227129401994</v>
      </c>
      <c r="B2796" t="s">
        <v>6182</v>
      </c>
      <c r="C2796" t="s">
        <v>6183</v>
      </c>
      <c r="D2796">
        <v>2.25</v>
      </c>
      <c r="F2796" t="str">
        <f t="shared" si="215"/>
        <v>No</v>
      </c>
      <c r="G2796" t="str">
        <f t="shared" si="216"/>
        <v/>
      </c>
      <c r="H2796" t="str">
        <f t="shared" si="217"/>
        <v>—</v>
      </c>
      <c r="I2796" t="str">
        <f t="shared" si="218"/>
        <v>Below thresholds</v>
      </c>
      <c r="J2796" t="str">
        <f t="shared" si="219"/>
        <v/>
      </c>
    </row>
    <row r="2797" spans="1:10" x14ac:dyDescent="0.2">
      <c r="A2797">
        <v>227129588762</v>
      </c>
      <c r="B2797" t="s">
        <v>6184</v>
      </c>
      <c r="C2797" t="s">
        <v>6185</v>
      </c>
      <c r="D2797">
        <v>11.99</v>
      </c>
      <c r="F2797" t="str">
        <f t="shared" si="215"/>
        <v>No</v>
      </c>
      <c r="G2797" t="str">
        <f t="shared" si="216"/>
        <v/>
      </c>
      <c r="H2797" t="str">
        <f t="shared" si="217"/>
        <v>—</v>
      </c>
      <c r="I2797" t="str">
        <f t="shared" si="218"/>
        <v>Below thresholds</v>
      </c>
      <c r="J2797" t="str">
        <f t="shared" si="219"/>
        <v/>
      </c>
    </row>
    <row r="2798" spans="1:10" x14ac:dyDescent="0.2">
      <c r="A2798">
        <v>227130405784</v>
      </c>
      <c r="B2798" t="s">
        <v>6186</v>
      </c>
      <c r="C2798" t="s">
        <v>6187</v>
      </c>
      <c r="D2798">
        <v>2.25</v>
      </c>
      <c r="F2798" t="str">
        <f t="shared" si="215"/>
        <v>No</v>
      </c>
      <c r="G2798" t="str">
        <f t="shared" si="216"/>
        <v/>
      </c>
      <c r="H2798" t="str">
        <f t="shared" si="217"/>
        <v>—</v>
      </c>
      <c r="I2798" t="str">
        <f t="shared" si="218"/>
        <v>Below thresholds</v>
      </c>
      <c r="J2798" t="str">
        <f t="shared" si="219"/>
        <v/>
      </c>
    </row>
    <row r="2799" spans="1:10" x14ac:dyDescent="0.2">
      <c r="A2799">
        <v>227130405844</v>
      </c>
      <c r="B2799" t="s">
        <v>6188</v>
      </c>
      <c r="C2799" t="s">
        <v>6189</v>
      </c>
      <c r="D2799">
        <v>7.95</v>
      </c>
      <c r="F2799" t="str">
        <f t="shared" si="215"/>
        <v>No</v>
      </c>
      <c r="G2799" t="str">
        <f t="shared" si="216"/>
        <v/>
      </c>
      <c r="H2799" t="str">
        <f t="shared" si="217"/>
        <v>—</v>
      </c>
      <c r="I2799" t="str">
        <f t="shared" si="218"/>
        <v>Below thresholds</v>
      </c>
      <c r="J2799" t="str">
        <f t="shared" si="219"/>
        <v/>
      </c>
    </row>
    <row r="2800" spans="1:10" x14ac:dyDescent="0.2">
      <c r="A2800">
        <v>227130405870</v>
      </c>
      <c r="B2800" t="s">
        <v>6190</v>
      </c>
      <c r="C2800" t="s">
        <v>6191</v>
      </c>
      <c r="D2800">
        <v>2</v>
      </c>
      <c r="F2800" t="str">
        <f t="shared" si="215"/>
        <v>No</v>
      </c>
      <c r="G2800" t="str">
        <f t="shared" si="216"/>
        <v/>
      </c>
      <c r="H2800" t="str">
        <f t="shared" si="217"/>
        <v>—</v>
      </c>
      <c r="I2800" t="str">
        <f t="shared" si="218"/>
        <v>Below thresholds</v>
      </c>
      <c r="J2800" t="str">
        <f t="shared" si="219"/>
        <v/>
      </c>
    </row>
    <row r="2801" spans="1:10" x14ac:dyDescent="0.2">
      <c r="A2801">
        <v>227130405874</v>
      </c>
      <c r="B2801" t="s">
        <v>6192</v>
      </c>
      <c r="C2801" t="s">
        <v>6193</v>
      </c>
      <c r="D2801">
        <v>3</v>
      </c>
      <c r="F2801" t="str">
        <f t="shared" si="215"/>
        <v>No</v>
      </c>
      <c r="G2801" t="str">
        <f t="shared" si="216"/>
        <v/>
      </c>
      <c r="H2801" t="str">
        <f t="shared" si="217"/>
        <v>—</v>
      </c>
      <c r="I2801" t="str">
        <f t="shared" si="218"/>
        <v>Below thresholds</v>
      </c>
      <c r="J2801" t="str">
        <f t="shared" si="219"/>
        <v/>
      </c>
    </row>
    <row r="2802" spans="1:10" x14ac:dyDescent="0.2">
      <c r="A2802">
        <v>227130405915</v>
      </c>
      <c r="B2802" t="s">
        <v>6194</v>
      </c>
      <c r="C2802" t="s">
        <v>6195</v>
      </c>
      <c r="D2802">
        <v>3.99</v>
      </c>
      <c r="F2802" t="str">
        <f t="shared" si="215"/>
        <v>No</v>
      </c>
      <c r="G2802" t="str">
        <f t="shared" si="216"/>
        <v/>
      </c>
      <c r="H2802" t="str">
        <f t="shared" si="217"/>
        <v>—</v>
      </c>
      <c r="I2802" t="str">
        <f t="shared" si="218"/>
        <v>Below thresholds</v>
      </c>
      <c r="J2802" t="str">
        <f t="shared" si="219"/>
        <v/>
      </c>
    </row>
    <row r="2803" spans="1:10" x14ac:dyDescent="0.2">
      <c r="A2803">
        <v>227137512251</v>
      </c>
      <c r="B2803" t="s">
        <v>6196</v>
      </c>
      <c r="C2803" t="s">
        <v>6197</v>
      </c>
      <c r="D2803">
        <v>1.5</v>
      </c>
      <c r="F2803" t="str">
        <f t="shared" si="215"/>
        <v>No</v>
      </c>
      <c r="G2803" t="str">
        <f t="shared" si="216"/>
        <v/>
      </c>
      <c r="H2803" t="str">
        <f t="shared" si="217"/>
        <v>—</v>
      </c>
      <c r="I2803" t="str">
        <f t="shared" si="218"/>
        <v>Below thresholds</v>
      </c>
      <c r="J2803" t="str">
        <f t="shared" si="219"/>
        <v/>
      </c>
    </row>
    <row r="2804" spans="1:10" x14ac:dyDescent="0.2">
      <c r="A2804">
        <v>227137512335</v>
      </c>
      <c r="B2804" t="s">
        <v>6198</v>
      </c>
      <c r="C2804" t="s">
        <v>6199</v>
      </c>
      <c r="D2804">
        <v>1.99</v>
      </c>
      <c r="F2804" t="str">
        <f t="shared" si="215"/>
        <v>No</v>
      </c>
      <c r="G2804" t="str">
        <f t="shared" si="216"/>
        <v/>
      </c>
      <c r="H2804" t="str">
        <f t="shared" si="217"/>
        <v>—</v>
      </c>
      <c r="I2804" t="str">
        <f t="shared" si="218"/>
        <v>Below thresholds</v>
      </c>
      <c r="J2804" t="str">
        <f t="shared" si="219"/>
        <v/>
      </c>
    </row>
    <row r="2805" spans="1:10" x14ac:dyDescent="0.2">
      <c r="A2805">
        <v>227137512337</v>
      </c>
      <c r="B2805" t="s">
        <v>6200</v>
      </c>
      <c r="C2805" t="s">
        <v>6201</v>
      </c>
      <c r="D2805">
        <v>4.25</v>
      </c>
      <c r="F2805" t="str">
        <f t="shared" si="215"/>
        <v>No</v>
      </c>
      <c r="G2805" t="str">
        <f t="shared" si="216"/>
        <v/>
      </c>
      <c r="H2805" t="str">
        <f t="shared" si="217"/>
        <v>—</v>
      </c>
      <c r="I2805" t="str">
        <f t="shared" si="218"/>
        <v>Below thresholds</v>
      </c>
      <c r="J2805" t="str">
        <f t="shared" si="219"/>
        <v/>
      </c>
    </row>
    <row r="2806" spans="1:10" x14ac:dyDescent="0.2">
      <c r="A2806">
        <v>227137512362</v>
      </c>
      <c r="B2806" t="s">
        <v>6202</v>
      </c>
      <c r="C2806" t="s">
        <v>6203</v>
      </c>
      <c r="D2806">
        <v>4</v>
      </c>
      <c r="F2806" t="str">
        <f t="shared" si="215"/>
        <v>No</v>
      </c>
      <c r="G2806" t="str">
        <f t="shared" si="216"/>
        <v/>
      </c>
      <c r="H2806" t="str">
        <f t="shared" si="217"/>
        <v>—</v>
      </c>
      <c r="I2806" t="str">
        <f t="shared" si="218"/>
        <v>Below thresholds</v>
      </c>
      <c r="J2806" t="str">
        <f t="shared" si="219"/>
        <v/>
      </c>
    </row>
    <row r="2807" spans="1:10" x14ac:dyDescent="0.2">
      <c r="A2807">
        <v>227137512383</v>
      </c>
      <c r="B2807" t="s">
        <v>5549</v>
      </c>
      <c r="C2807" t="s">
        <v>6204</v>
      </c>
      <c r="D2807">
        <v>1.99</v>
      </c>
      <c r="F2807" t="str">
        <f t="shared" si="215"/>
        <v>No</v>
      </c>
      <c r="G2807" t="str">
        <f t="shared" si="216"/>
        <v/>
      </c>
      <c r="H2807" t="str">
        <f t="shared" si="217"/>
        <v>—</v>
      </c>
      <c r="I2807" t="str">
        <f t="shared" si="218"/>
        <v>Below thresholds</v>
      </c>
      <c r="J2807" t="str">
        <f t="shared" si="219"/>
        <v/>
      </c>
    </row>
    <row r="2808" spans="1:10" x14ac:dyDescent="0.2">
      <c r="A2808">
        <v>227137512385</v>
      </c>
      <c r="B2808" t="s">
        <v>6205</v>
      </c>
      <c r="C2808" t="s">
        <v>6206</v>
      </c>
      <c r="D2808">
        <v>3.99</v>
      </c>
      <c r="F2808" t="str">
        <f t="shared" si="215"/>
        <v>No</v>
      </c>
      <c r="G2808" t="str">
        <f t="shared" si="216"/>
        <v/>
      </c>
      <c r="H2808" t="str">
        <f t="shared" si="217"/>
        <v>—</v>
      </c>
      <c r="I2808" t="str">
        <f t="shared" si="218"/>
        <v>Below thresholds</v>
      </c>
      <c r="J2808" t="str">
        <f t="shared" si="219"/>
        <v/>
      </c>
    </row>
    <row r="2809" spans="1:10" x14ac:dyDescent="0.2">
      <c r="A2809">
        <v>227137512412</v>
      </c>
      <c r="B2809" t="s">
        <v>6207</v>
      </c>
      <c r="C2809" t="s">
        <v>6208</v>
      </c>
      <c r="D2809">
        <v>1.99</v>
      </c>
      <c r="F2809" t="str">
        <f t="shared" si="215"/>
        <v>No</v>
      </c>
      <c r="G2809" t="str">
        <f t="shared" si="216"/>
        <v/>
      </c>
      <c r="H2809" t="str">
        <f t="shared" si="217"/>
        <v>—</v>
      </c>
      <c r="I2809" t="str">
        <f t="shared" si="218"/>
        <v>Below thresholds</v>
      </c>
      <c r="J2809" t="str">
        <f t="shared" si="219"/>
        <v/>
      </c>
    </row>
    <row r="2810" spans="1:10" x14ac:dyDescent="0.2">
      <c r="A2810">
        <v>227137512413</v>
      </c>
      <c r="B2810" t="s">
        <v>6209</v>
      </c>
      <c r="C2810" t="s">
        <v>6210</v>
      </c>
      <c r="D2810">
        <v>3.99</v>
      </c>
      <c r="F2810" t="str">
        <f t="shared" si="215"/>
        <v>No</v>
      </c>
      <c r="G2810" t="str">
        <f t="shared" si="216"/>
        <v/>
      </c>
      <c r="H2810" t="str">
        <f t="shared" si="217"/>
        <v>—</v>
      </c>
      <c r="I2810" t="str">
        <f t="shared" si="218"/>
        <v>Below thresholds</v>
      </c>
      <c r="J2810" t="str">
        <f t="shared" si="219"/>
        <v/>
      </c>
    </row>
    <row r="2811" spans="1:10" x14ac:dyDescent="0.2">
      <c r="A2811">
        <v>227137512433</v>
      </c>
      <c r="B2811" t="s">
        <v>6211</v>
      </c>
      <c r="C2811" t="s">
        <v>6212</v>
      </c>
      <c r="D2811">
        <v>2.99</v>
      </c>
      <c r="F2811" t="str">
        <f t="shared" si="215"/>
        <v>No</v>
      </c>
      <c r="G2811" t="str">
        <f t="shared" si="216"/>
        <v/>
      </c>
      <c r="H2811" t="str">
        <f t="shared" si="217"/>
        <v>—</v>
      </c>
      <c r="I2811" t="str">
        <f t="shared" si="218"/>
        <v>Below thresholds</v>
      </c>
      <c r="J2811" t="str">
        <f t="shared" si="219"/>
        <v/>
      </c>
    </row>
    <row r="2812" spans="1:10" x14ac:dyDescent="0.2">
      <c r="A2812">
        <v>227137512436</v>
      </c>
      <c r="B2812" t="s">
        <v>5534</v>
      </c>
      <c r="C2812" t="s">
        <v>6213</v>
      </c>
      <c r="D2812">
        <v>0.99</v>
      </c>
      <c r="F2812" t="str">
        <f t="shared" si="215"/>
        <v>No</v>
      </c>
      <c r="G2812" t="str">
        <f t="shared" si="216"/>
        <v/>
      </c>
      <c r="H2812" t="str">
        <f t="shared" si="217"/>
        <v>—</v>
      </c>
      <c r="I2812" t="str">
        <f t="shared" si="218"/>
        <v>Below thresholds</v>
      </c>
      <c r="J2812" t="str">
        <f t="shared" si="219"/>
        <v/>
      </c>
    </row>
    <row r="2813" spans="1:10" x14ac:dyDescent="0.2">
      <c r="A2813">
        <v>227137535929</v>
      </c>
      <c r="B2813" t="s">
        <v>6214</v>
      </c>
      <c r="C2813" t="s">
        <v>6215</v>
      </c>
      <c r="D2813">
        <v>4.75</v>
      </c>
      <c r="F2813" t="str">
        <f t="shared" si="215"/>
        <v>No</v>
      </c>
      <c r="G2813" t="str">
        <f t="shared" si="216"/>
        <v/>
      </c>
      <c r="H2813" t="str">
        <f t="shared" si="217"/>
        <v>—</v>
      </c>
      <c r="I2813" t="str">
        <f t="shared" si="218"/>
        <v>Below thresholds</v>
      </c>
      <c r="J2813" t="str">
        <f t="shared" si="219"/>
        <v/>
      </c>
    </row>
    <row r="2814" spans="1:10" x14ac:dyDescent="0.2">
      <c r="A2814">
        <v>227137535936</v>
      </c>
      <c r="B2814" t="s">
        <v>335</v>
      </c>
      <c r="C2814" t="s">
        <v>6216</v>
      </c>
      <c r="D2814">
        <v>25</v>
      </c>
      <c r="F2814" t="str">
        <f t="shared" si="215"/>
        <v>No</v>
      </c>
      <c r="G2814" t="str">
        <f t="shared" si="216"/>
        <v/>
      </c>
      <c r="H2814" t="str">
        <f t="shared" si="217"/>
        <v>—</v>
      </c>
      <c r="I2814" t="str">
        <f t="shared" si="218"/>
        <v>$20+ — needs velocity check</v>
      </c>
      <c r="J2814" t="str">
        <f t="shared" si="219"/>
        <v>YES — pull CardHedger</v>
      </c>
    </row>
    <row r="2815" spans="1:10" x14ac:dyDescent="0.2">
      <c r="A2815">
        <v>227137536004</v>
      </c>
      <c r="B2815" t="s">
        <v>6217</v>
      </c>
      <c r="C2815" t="s">
        <v>6218</v>
      </c>
      <c r="D2815">
        <v>1</v>
      </c>
      <c r="F2815" t="str">
        <f t="shared" si="215"/>
        <v>No</v>
      </c>
      <c r="G2815" t="str">
        <f t="shared" si="216"/>
        <v/>
      </c>
      <c r="H2815" t="str">
        <f t="shared" si="217"/>
        <v>—</v>
      </c>
      <c r="I2815" t="str">
        <f t="shared" si="218"/>
        <v>Below thresholds</v>
      </c>
      <c r="J2815" t="str">
        <f t="shared" si="219"/>
        <v/>
      </c>
    </row>
    <row r="2816" spans="1:10" x14ac:dyDescent="0.2">
      <c r="A2816">
        <v>227137536042</v>
      </c>
      <c r="B2816" t="s">
        <v>6219</v>
      </c>
      <c r="C2816" t="s">
        <v>6220</v>
      </c>
      <c r="D2816">
        <v>1.99</v>
      </c>
      <c r="F2816" t="str">
        <f t="shared" si="215"/>
        <v>No</v>
      </c>
      <c r="G2816" t="str">
        <f t="shared" si="216"/>
        <v/>
      </c>
      <c r="H2816" t="str">
        <f t="shared" si="217"/>
        <v>—</v>
      </c>
      <c r="I2816" t="str">
        <f t="shared" si="218"/>
        <v>Below thresholds</v>
      </c>
      <c r="J2816" t="str">
        <f t="shared" si="219"/>
        <v/>
      </c>
    </row>
    <row r="2817" spans="1:10" x14ac:dyDescent="0.2">
      <c r="A2817">
        <v>227137536043</v>
      </c>
      <c r="B2817" t="s">
        <v>6221</v>
      </c>
      <c r="C2817" t="s">
        <v>6222</v>
      </c>
      <c r="D2817">
        <v>11.75</v>
      </c>
      <c r="F2817" t="str">
        <f t="shared" si="215"/>
        <v>No</v>
      </c>
      <c r="G2817" t="str">
        <f t="shared" si="216"/>
        <v/>
      </c>
      <c r="H2817" t="str">
        <f t="shared" si="217"/>
        <v>—</v>
      </c>
      <c r="I2817" t="str">
        <f t="shared" si="218"/>
        <v>Below thresholds</v>
      </c>
      <c r="J2817" t="str">
        <f t="shared" si="219"/>
        <v/>
      </c>
    </row>
    <row r="2818" spans="1:10" x14ac:dyDescent="0.2">
      <c r="A2818">
        <v>227137536063</v>
      </c>
      <c r="B2818" t="s">
        <v>6223</v>
      </c>
      <c r="C2818" t="s">
        <v>6224</v>
      </c>
      <c r="D2818">
        <v>1.59</v>
      </c>
      <c r="F2818" t="str">
        <f t="shared" si="215"/>
        <v>No</v>
      </c>
      <c r="G2818" t="str">
        <f t="shared" si="216"/>
        <v/>
      </c>
      <c r="H2818" t="str">
        <f t="shared" si="217"/>
        <v>—</v>
      </c>
      <c r="I2818" t="str">
        <f t="shared" si="218"/>
        <v>Below thresholds</v>
      </c>
      <c r="J2818" t="str">
        <f t="shared" si="219"/>
        <v/>
      </c>
    </row>
    <row r="2819" spans="1:10" x14ac:dyDescent="0.2">
      <c r="A2819">
        <v>227137536068</v>
      </c>
      <c r="B2819" t="s">
        <v>6225</v>
      </c>
      <c r="C2819" t="s">
        <v>6226</v>
      </c>
      <c r="D2819">
        <v>3.99</v>
      </c>
      <c r="F2819" t="str">
        <f t="shared" si="215"/>
        <v>No</v>
      </c>
      <c r="G2819" t="str">
        <f t="shared" si="216"/>
        <v/>
      </c>
      <c r="H2819" t="str">
        <f t="shared" si="217"/>
        <v>—</v>
      </c>
      <c r="I2819" t="str">
        <f t="shared" si="218"/>
        <v>Below thresholds</v>
      </c>
      <c r="J2819" t="str">
        <f t="shared" si="219"/>
        <v/>
      </c>
    </row>
    <row r="2820" spans="1:10" x14ac:dyDescent="0.2">
      <c r="A2820">
        <v>227137536082</v>
      </c>
      <c r="B2820" t="s">
        <v>6227</v>
      </c>
      <c r="C2820" t="s">
        <v>6228</v>
      </c>
      <c r="D2820">
        <v>2.29</v>
      </c>
      <c r="F2820" t="str">
        <f t="shared" si="215"/>
        <v>No</v>
      </c>
      <c r="G2820" t="str">
        <f t="shared" si="216"/>
        <v/>
      </c>
      <c r="H2820" t="str">
        <f t="shared" si="217"/>
        <v>—</v>
      </c>
      <c r="I2820" t="str">
        <f t="shared" si="218"/>
        <v>Below thresholds</v>
      </c>
      <c r="J2820" t="str">
        <f t="shared" si="219"/>
        <v/>
      </c>
    </row>
    <row r="2821" spans="1:10" x14ac:dyDescent="0.2">
      <c r="A2821">
        <v>227137536140</v>
      </c>
      <c r="B2821" t="s">
        <v>6229</v>
      </c>
      <c r="C2821" t="s">
        <v>6230</v>
      </c>
      <c r="D2821">
        <v>1.25</v>
      </c>
      <c r="F2821" t="str">
        <f t="shared" ref="F2821:F2884" si="220">IF($B2821="","",IF(ISNUMBER(SEARCH("PSA",$B2821)),"Yes","No"))</f>
        <v>No</v>
      </c>
      <c r="G2821" t="str">
        <f t="shared" ref="G2821:G2884" si="221">IF($B2821="","",IF(ISNUMBER(SEARCH("PSA 10",$B2821)),10,IF(ISNUMBER(SEARCH("PSA 9.5",$B2821)),9.5,IF(ISNUMBER(SEARCH("PSA 9",$B2821)),9,IF(ISNUMBER(SEARCH("PSA 8",$B2821)),8,IF(ISNUMBER(SEARCH("PSA",$B2821)),"&lt;9",""))))))</f>
        <v/>
      </c>
      <c r="H2821" t="str">
        <f t="shared" ref="H2821:H2884" si="222">IF($B2821="","",IF($D2821&gt;=100,"TIER 2",IF(OR(ISNUMBER(SEARCH("PSA 10",$B2821)),ISNUMBER(SEARCH("PSA 9.5",$B2821)),ISNUMBER(SEARCH("PSA 9",$B2821))),"TIER 3",IF(AND($D2821&gt;20,N($E2821)&gt;=15),"TIER 1","—"))))</f>
        <v>—</v>
      </c>
      <c r="I2821" t="str">
        <f t="shared" ref="I2821:I2884" si="223">IF($B2821="","",IF($D2821&gt;=100,"Premium $100+ (auto)",IF(OR(ISNUMBER(SEARCH("PSA 10",$B2821)),ISNUMBER(SEARCH("PSA 9.5",$B2821)),ISNUMBER(SEARCH("PSA 9",$B2821))),"Graded PSA 9+ (auto)",IF(AND($D2821&gt;20,N($E2821)&gt;=15),"Hot: $20+ &amp; "&amp;$E2821&amp;"/day",IF($D2821&gt;20,"$20+ — needs velocity check","Below thresholds")))))</f>
        <v>Below thresholds</v>
      </c>
      <c r="J2821" t="str">
        <f t="shared" ref="J2821:J2884" si="224">IF($B2821="","",IF(AND($D2821&gt;20,$D2821&lt;100,NOT(OR(ISNUMBER(SEARCH("PSA 10",$B2821)),ISNUMBER(SEARCH("PSA 9.5",$B2821)),ISNUMBER(SEARCH("PSA 9",$B2821)))),$E2821=""),"YES — pull CardHedger",""))</f>
        <v/>
      </c>
    </row>
    <row r="2822" spans="1:10" x14ac:dyDescent="0.2">
      <c r="A2822">
        <v>227137536278</v>
      </c>
      <c r="B2822" t="s">
        <v>6231</v>
      </c>
      <c r="C2822" t="s">
        <v>6232</v>
      </c>
      <c r="D2822">
        <v>1.99</v>
      </c>
      <c r="F2822" t="str">
        <f t="shared" si="220"/>
        <v>No</v>
      </c>
      <c r="G2822" t="str">
        <f t="shared" si="221"/>
        <v/>
      </c>
      <c r="H2822" t="str">
        <f t="shared" si="222"/>
        <v>—</v>
      </c>
      <c r="I2822" t="str">
        <f t="shared" si="223"/>
        <v>Below thresholds</v>
      </c>
      <c r="J2822" t="str">
        <f t="shared" si="224"/>
        <v/>
      </c>
    </row>
    <row r="2823" spans="1:10" x14ac:dyDescent="0.2">
      <c r="A2823">
        <v>227137536281</v>
      </c>
      <c r="B2823" t="s">
        <v>6233</v>
      </c>
      <c r="C2823" t="s">
        <v>6234</v>
      </c>
      <c r="D2823">
        <v>1.99</v>
      </c>
      <c r="F2823" t="str">
        <f t="shared" si="220"/>
        <v>No</v>
      </c>
      <c r="G2823" t="str">
        <f t="shared" si="221"/>
        <v/>
      </c>
      <c r="H2823" t="str">
        <f t="shared" si="222"/>
        <v>—</v>
      </c>
      <c r="I2823" t="str">
        <f t="shared" si="223"/>
        <v>Below thresholds</v>
      </c>
      <c r="J2823" t="str">
        <f t="shared" si="224"/>
        <v/>
      </c>
    </row>
    <row r="2824" spans="1:10" x14ac:dyDescent="0.2">
      <c r="A2824">
        <v>227137536327</v>
      </c>
      <c r="B2824" t="s">
        <v>6235</v>
      </c>
      <c r="C2824" t="s">
        <v>6236</v>
      </c>
      <c r="D2824">
        <v>8.5</v>
      </c>
      <c r="F2824" t="str">
        <f t="shared" si="220"/>
        <v>No</v>
      </c>
      <c r="G2824" t="str">
        <f t="shared" si="221"/>
        <v/>
      </c>
      <c r="H2824" t="str">
        <f t="shared" si="222"/>
        <v>—</v>
      </c>
      <c r="I2824" t="str">
        <f t="shared" si="223"/>
        <v>Below thresholds</v>
      </c>
      <c r="J2824" t="str">
        <f t="shared" si="224"/>
        <v/>
      </c>
    </row>
    <row r="2825" spans="1:10" x14ac:dyDescent="0.2">
      <c r="A2825">
        <v>227137536338</v>
      </c>
      <c r="B2825" t="s">
        <v>317</v>
      </c>
      <c r="C2825" t="s">
        <v>6237</v>
      </c>
      <c r="D2825">
        <v>4.25</v>
      </c>
      <c r="F2825" t="str">
        <f t="shared" si="220"/>
        <v>No</v>
      </c>
      <c r="G2825" t="str">
        <f t="shared" si="221"/>
        <v/>
      </c>
      <c r="H2825" t="str">
        <f t="shared" si="222"/>
        <v>—</v>
      </c>
      <c r="I2825" t="str">
        <f t="shared" si="223"/>
        <v>Below thresholds</v>
      </c>
      <c r="J2825" t="str">
        <f t="shared" si="224"/>
        <v/>
      </c>
    </row>
    <row r="2826" spans="1:10" x14ac:dyDescent="0.2">
      <c r="A2826">
        <v>227137536407</v>
      </c>
      <c r="B2826" t="s">
        <v>6238</v>
      </c>
      <c r="C2826" t="s">
        <v>6239</v>
      </c>
      <c r="D2826">
        <v>1.99</v>
      </c>
      <c r="F2826" t="str">
        <f t="shared" si="220"/>
        <v>No</v>
      </c>
      <c r="G2826" t="str">
        <f t="shared" si="221"/>
        <v/>
      </c>
      <c r="H2826" t="str">
        <f t="shared" si="222"/>
        <v>—</v>
      </c>
      <c r="I2826" t="str">
        <f t="shared" si="223"/>
        <v>Below thresholds</v>
      </c>
      <c r="J2826" t="str">
        <f t="shared" si="224"/>
        <v/>
      </c>
    </row>
    <row r="2827" spans="1:10" x14ac:dyDescent="0.2">
      <c r="A2827">
        <v>227137536690</v>
      </c>
      <c r="B2827" t="s">
        <v>6240</v>
      </c>
      <c r="C2827" t="s">
        <v>6241</v>
      </c>
      <c r="D2827">
        <v>2.99</v>
      </c>
      <c r="F2827" t="str">
        <f t="shared" si="220"/>
        <v>No</v>
      </c>
      <c r="G2827" t="str">
        <f t="shared" si="221"/>
        <v/>
      </c>
      <c r="H2827" t="str">
        <f t="shared" si="222"/>
        <v>—</v>
      </c>
      <c r="I2827" t="str">
        <f t="shared" si="223"/>
        <v>Below thresholds</v>
      </c>
      <c r="J2827" t="str">
        <f t="shared" si="224"/>
        <v/>
      </c>
    </row>
    <row r="2828" spans="1:10" x14ac:dyDescent="0.2">
      <c r="A2828">
        <v>227137536727</v>
      </c>
      <c r="B2828" t="s">
        <v>6242</v>
      </c>
      <c r="C2828" t="s">
        <v>6243</v>
      </c>
      <c r="D2828">
        <v>1.99</v>
      </c>
      <c r="F2828" t="str">
        <f t="shared" si="220"/>
        <v>No</v>
      </c>
      <c r="G2828" t="str">
        <f t="shared" si="221"/>
        <v/>
      </c>
      <c r="H2828" t="str">
        <f t="shared" si="222"/>
        <v>—</v>
      </c>
      <c r="I2828" t="str">
        <f t="shared" si="223"/>
        <v>Below thresholds</v>
      </c>
      <c r="J2828" t="str">
        <f t="shared" si="224"/>
        <v/>
      </c>
    </row>
    <row r="2829" spans="1:10" x14ac:dyDescent="0.2">
      <c r="A2829">
        <v>227137536782</v>
      </c>
      <c r="B2829" t="s">
        <v>4774</v>
      </c>
      <c r="C2829" t="s">
        <v>6244</v>
      </c>
      <c r="D2829">
        <v>4.99</v>
      </c>
      <c r="F2829" t="str">
        <f t="shared" si="220"/>
        <v>No</v>
      </c>
      <c r="G2829" t="str">
        <f t="shared" si="221"/>
        <v/>
      </c>
      <c r="H2829" t="str">
        <f t="shared" si="222"/>
        <v>—</v>
      </c>
      <c r="I2829" t="str">
        <f t="shared" si="223"/>
        <v>Below thresholds</v>
      </c>
      <c r="J2829" t="str">
        <f t="shared" si="224"/>
        <v/>
      </c>
    </row>
    <row r="2830" spans="1:10" x14ac:dyDescent="0.2">
      <c r="A2830">
        <v>227137536791</v>
      </c>
      <c r="B2830" t="s">
        <v>6245</v>
      </c>
      <c r="C2830" t="s">
        <v>6246</v>
      </c>
      <c r="D2830">
        <v>1.99</v>
      </c>
      <c r="F2830" t="str">
        <f t="shared" si="220"/>
        <v>No</v>
      </c>
      <c r="G2830" t="str">
        <f t="shared" si="221"/>
        <v/>
      </c>
      <c r="H2830" t="str">
        <f t="shared" si="222"/>
        <v>—</v>
      </c>
      <c r="I2830" t="str">
        <f t="shared" si="223"/>
        <v>Below thresholds</v>
      </c>
      <c r="J2830" t="str">
        <f t="shared" si="224"/>
        <v/>
      </c>
    </row>
    <row r="2831" spans="1:10" x14ac:dyDescent="0.2">
      <c r="A2831">
        <v>227137536868</v>
      </c>
      <c r="B2831" t="s">
        <v>6247</v>
      </c>
      <c r="C2831" t="s">
        <v>6248</v>
      </c>
      <c r="D2831">
        <v>2.59</v>
      </c>
      <c r="F2831" t="str">
        <f t="shared" si="220"/>
        <v>No</v>
      </c>
      <c r="G2831" t="str">
        <f t="shared" si="221"/>
        <v/>
      </c>
      <c r="H2831" t="str">
        <f t="shared" si="222"/>
        <v>—</v>
      </c>
      <c r="I2831" t="str">
        <f t="shared" si="223"/>
        <v>Below thresholds</v>
      </c>
      <c r="J2831" t="str">
        <f t="shared" si="224"/>
        <v/>
      </c>
    </row>
    <row r="2832" spans="1:10" x14ac:dyDescent="0.2">
      <c r="A2832">
        <v>227138453156</v>
      </c>
      <c r="B2832" t="s">
        <v>6249</v>
      </c>
      <c r="C2832" t="s">
        <v>6250</v>
      </c>
      <c r="D2832">
        <v>1.99</v>
      </c>
      <c r="F2832" t="str">
        <f t="shared" si="220"/>
        <v>No</v>
      </c>
      <c r="G2832" t="str">
        <f t="shared" si="221"/>
        <v/>
      </c>
      <c r="H2832" t="str">
        <f t="shared" si="222"/>
        <v>—</v>
      </c>
      <c r="I2832" t="str">
        <f t="shared" si="223"/>
        <v>Below thresholds</v>
      </c>
      <c r="J2832" t="str">
        <f t="shared" si="224"/>
        <v/>
      </c>
    </row>
    <row r="2833" spans="1:10" x14ac:dyDescent="0.2">
      <c r="A2833">
        <v>227138453194</v>
      </c>
      <c r="B2833" t="s">
        <v>6251</v>
      </c>
      <c r="C2833" t="s">
        <v>6252</v>
      </c>
      <c r="D2833">
        <v>8.42</v>
      </c>
      <c r="F2833" t="str">
        <f t="shared" si="220"/>
        <v>No</v>
      </c>
      <c r="G2833" t="str">
        <f t="shared" si="221"/>
        <v/>
      </c>
      <c r="H2833" t="str">
        <f t="shared" si="222"/>
        <v>—</v>
      </c>
      <c r="I2833" t="str">
        <f t="shared" si="223"/>
        <v>Below thresholds</v>
      </c>
      <c r="J2833" t="str">
        <f t="shared" si="224"/>
        <v/>
      </c>
    </row>
    <row r="2834" spans="1:10" x14ac:dyDescent="0.2">
      <c r="A2834">
        <v>227138453197</v>
      </c>
      <c r="B2834" t="s">
        <v>6253</v>
      </c>
      <c r="C2834" t="s">
        <v>6254</v>
      </c>
      <c r="D2834">
        <v>1.39</v>
      </c>
      <c r="F2834" t="str">
        <f t="shared" si="220"/>
        <v>No</v>
      </c>
      <c r="G2834" t="str">
        <f t="shared" si="221"/>
        <v/>
      </c>
      <c r="H2834" t="str">
        <f t="shared" si="222"/>
        <v>—</v>
      </c>
      <c r="I2834" t="str">
        <f t="shared" si="223"/>
        <v>Below thresholds</v>
      </c>
      <c r="J2834" t="str">
        <f t="shared" si="224"/>
        <v/>
      </c>
    </row>
    <row r="2835" spans="1:10" x14ac:dyDescent="0.2">
      <c r="A2835">
        <v>227138453212</v>
      </c>
      <c r="B2835" t="s">
        <v>6255</v>
      </c>
      <c r="C2835" t="s">
        <v>6256</v>
      </c>
      <c r="D2835">
        <v>1.59</v>
      </c>
      <c r="F2835" t="str">
        <f t="shared" si="220"/>
        <v>No</v>
      </c>
      <c r="G2835" t="str">
        <f t="shared" si="221"/>
        <v/>
      </c>
      <c r="H2835" t="str">
        <f t="shared" si="222"/>
        <v>—</v>
      </c>
      <c r="I2835" t="str">
        <f t="shared" si="223"/>
        <v>Below thresholds</v>
      </c>
      <c r="J2835" t="str">
        <f t="shared" si="224"/>
        <v/>
      </c>
    </row>
    <row r="2836" spans="1:10" x14ac:dyDescent="0.2">
      <c r="A2836">
        <v>227138453227</v>
      </c>
      <c r="B2836" t="s">
        <v>6257</v>
      </c>
      <c r="C2836" t="s">
        <v>6258</v>
      </c>
      <c r="D2836">
        <v>2.4900000000000002</v>
      </c>
      <c r="F2836" t="str">
        <f t="shared" si="220"/>
        <v>No</v>
      </c>
      <c r="G2836" t="str">
        <f t="shared" si="221"/>
        <v/>
      </c>
      <c r="H2836" t="str">
        <f t="shared" si="222"/>
        <v>—</v>
      </c>
      <c r="I2836" t="str">
        <f t="shared" si="223"/>
        <v>Below thresholds</v>
      </c>
      <c r="J2836" t="str">
        <f t="shared" si="224"/>
        <v/>
      </c>
    </row>
    <row r="2837" spans="1:10" x14ac:dyDescent="0.2">
      <c r="A2837">
        <v>227138453228</v>
      </c>
      <c r="B2837" t="s">
        <v>6259</v>
      </c>
      <c r="C2837" t="s">
        <v>6260</v>
      </c>
      <c r="D2837">
        <v>2.4900000000000002</v>
      </c>
      <c r="F2837" t="str">
        <f t="shared" si="220"/>
        <v>No</v>
      </c>
      <c r="G2837" t="str">
        <f t="shared" si="221"/>
        <v/>
      </c>
      <c r="H2837" t="str">
        <f t="shared" si="222"/>
        <v>—</v>
      </c>
      <c r="I2837" t="str">
        <f t="shared" si="223"/>
        <v>Below thresholds</v>
      </c>
      <c r="J2837" t="str">
        <f t="shared" si="224"/>
        <v/>
      </c>
    </row>
    <row r="2838" spans="1:10" x14ac:dyDescent="0.2">
      <c r="A2838">
        <v>227138453230</v>
      </c>
      <c r="B2838" t="s">
        <v>6261</v>
      </c>
      <c r="C2838" t="s">
        <v>6262</v>
      </c>
      <c r="D2838">
        <v>1.99</v>
      </c>
      <c r="F2838" t="str">
        <f t="shared" si="220"/>
        <v>No</v>
      </c>
      <c r="G2838" t="str">
        <f t="shared" si="221"/>
        <v/>
      </c>
      <c r="H2838" t="str">
        <f t="shared" si="222"/>
        <v>—</v>
      </c>
      <c r="I2838" t="str">
        <f t="shared" si="223"/>
        <v>Below thresholds</v>
      </c>
      <c r="J2838" t="str">
        <f t="shared" si="224"/>
        <v/>
      </c>
    </row>
    <row r="2839" spans="1:10" x14ac:dyDescent="0.2">
      <c r="A2839">
        <v>227138453232</v>
      </c>
      <c r="B2839" t="s">
        <v>6263</v>
      </c>
      <c r="C2839" t="s">
        <v>6264</v>
      </c>
      <c r="D2839">
        <v>1.99</v>
      </c>
      <c r="F2839" t="str">
        <f t="shared" si="220"/>
        <v>No</v>
      </c>
      <c r="G2839" t="str">
        <f t="shared" si="221"/>
        <v/>
      </c>
      <c r="H2839" t="str">
        <f t="shared" si="222"/>
        <v>—</v>
      </c>
      <c r="I2839" t="str">
        <f t="shared" si="223"/>
        <v>Below thresholds</v>
      </c>
      <c r="J2839" t="str">
        <f t="shared" si="224"/>
        <v/>
      </c>
    </row>
    <row r="2840" spans="1:10" x14ac:dyDescent="0.2">
      <c r="A2840">
        <v>227138453235</v>
      </c>
      <c r="B2840" t="s">
        <v>6265</v>
      </c>
      <c r="C2840" t="s">
        <v>6266</v>
      </c>
      <c r="D2840">
        <v>1.99</v>
      </c>
      <c r="F2840" t="str">
        <f t="shared" si="220"/>
        <v>No</v>
      </c>
      <c r="G2840" t="str">
        <f t="shared" si="221"/>
        <v/>
      </c>
      <c r="H2840" t="str">
        <f t="shared" si="222"/>
        <v>—</v>
      </c>
      <c r="I2840" t="str">
        <f t="shared" si="223"/>
        <v>Below thresholds</v>
      </c>
      <c r="J2840" t="str">
        <f t="shared" si="224"/>
        <v/>
      </c>
    </row>
    <row r="2841" spans="1:10" x14ac:dyDescent="0.2">
      <c r="A2841">
        <v>227138453236</v>
      </c>
      <c r="B2841" t="s">
        <v>6267</v>
      </c>
      <c r="C2841" t="s">
        <v>6268</v>
      </c>
      <c r="D2841">
        <v>2.99</v>
      </c>
      <c r="F2841" t="str">
        <f t="shared" si="220"/>
        <v>No</v>
      </c>
      <c r="G2841" t="str">
        <f t="shared" si="221"/>
        <v/>
      </c>
      <c r="H2841" t="str">
        <f t="shared" si="222"/>
        <v>—</v>
      </c>
      <c r="I2841" t="str">
        <f t="shared" si="223"/>
        <v>Below thresholds</v>
      </c>
      <c r="J2841" t="str">
        <f t="shared" si="224"/>
        <v/>
      </c>
    </row>
    <row r="2842" spans="1:10" x14ac:dyDescent="0.2">
      <c r="A2842">
        <v>227138453241</v>
      </c>
      <c r="B2842" t="s">
        <v>6269</v>
      </c>
      <c r="C2842" t="s">
        <v>6270</v>
      </c>
      <c r="D2842">
        <v>1.99</v>
      </c>
      <c r="F2842" t="str">
        <f t="shared" si="220"/>
        <v>No</v>
      </c>
      <c r="G2842" t="str">
        <f t="shared" si="221"/>
        <v/>
      </c>
      <c r="H2842" t="str">
        <f t="shared" si="222"/>
        <v>—</v>
      </c>
      <c r="I2842" t="str">
        <f t="shared" si="223"/>
        <v>Below thresholds</v>
      </c>
      <c r="J2842" t="str">
        <f t="shared" si="224"/>
        <v/>
      </c>
    </row>
    <row r="2843" spans="1:10" x14ac:dyDescent="0.2">
      <c r="A2843">
        <v>227138453244</v>
      </c>
      <c r="B2843" t="s">
        <v>6271</v>
      </c>
      <c r="C2843" t="s">
        <v>6272</v>
      </c>
      <c r="D2843">
        <v>1.59</v>
      </c>
      <c r="F2843" t="str">
        <f t="shared" si="220"/>
        <v>No</v>
      </c>
      <c r="G2843" t="str">
        <f t="shared" si="221"/>
        <v/>
      </c>
      <c r="H2843" t="str">
        <f t="shared" si="222"/>
        <v>—</v>
      </c>
      <c r="I2843" t="str">
        <f t="shared" si="223"/>
        <v>Below thresholds</v>
      </c>
      <c r="J2843" t="str">
        <f t="shared" si="224"/>
        <v/>
      </c>
    </row>
    <row r="2844" spans="1:10" x14ac:dyDescent="0.2">
      <c r="A2844">
        <v>227138453248</v>
      </c>
      <c r="B2844" t="s">
        <v>6273</v>
      </c>
      <c r="C2844" t="s">
        <v>6274</v>
      </c>
      <c r="D2844">
        <v>1.59</v>
      </c>
      <c r="F2844" t="str">
        <f t="shared" si="220"/>
        <v>No</v>
      </c>
      <c r="G2844" t="str">
        <f t="shared" si="221"/>
        <v/>
      </c>
      <c r="H2844" t="str">
        <f t="shared" si="222"/>
        <v>—</v>
      </c>
      <c r="I2844" t="str">
        <f t="shared" si="223"/>
        <v>Below thresholds</v>
      </c>
      <c r="J2844" t="str">
        <f t="shared" si="224"/>
        <v/>
      </c>
    </row>
    <row r="2845" spans="1:10" x14ac:dyDescent="0.2">
      <c r="A2845">
        <v>227138453253</v>
      </c>
      <c r="B2845" t="s">
        <v>6275</v>
      </c>
      <c r="C2845" t="s">
        <v>6276</v>
      </c>
      <c r="D2845">
        <v>1.59</v>
      </c>
      <c r="F2845" t="str">
        <f t="shared" si="220"/>
        <v>No</v>
      </c>
      <c r="G2845" t="str">
        <f t="shared" si="221"/>
        <v/>
      </c>
      <c r="H2845" t="str">
        <f t="shared" si="222"/>
        <v>—</v>
      </c>
      <c r="I2845" t="str">
        <f t="shared" si="223"/>
        <v>Below thresholds</v>
      </c>
      <c r="J2845" t="str">
        <f t="shared" si="224"/>
        <v/>
      </c>
    </row>
    <row r="2846" spans="1:10" x14ac:dyDescent="0.2">
      <c r="A2846">
        <v>227138453260</v>
      </c>
      <c r="B2846" t="s">
        <v>6277</v>
      </c>
      <c r="C2846" t="s">
        <v>6278</v>
      </c>
      <c r="D2846">
        <v>1.59</v>
      </c>
      <c r="F2846" t="str">
        <f t="shared" si="220"/>
        <v>No</v>
      </c>
      <c r="G2846" t="str">
        <f t="shared" si="221"/>
        <v/>
      </c>
      <c r="H2846" t="str">
        <f t="shared" si="222"/>
        <v>—</v>
      </c>
      <c r="I2846" t="str">
        <f t="shared" si="223"/>
        <v>Below thresholds</v>
      </c>
      <c r="J2846" t="str">
        <f t="shared" si="224"/>
        <v/>
      </c>
    </row>
    <row r="2847" spans="1:10" x14ac:dyDescent="0.2">
      <c r="A2847">
        <v>227138453268</v>
      </c>
      <c r="B2847" t="s">
        <v>6279</v>
      </c>
      <c r="C2847" t="s">
        <v>6280</v>
      </c>
      <c r="D2847">
        <v>1.59</v>
      </c>
      <c r="F2847" t="str">
        <f t="shared" si="220"/>
        <v>No</v>
      </c>
      <c r="G2847" t="str">
        <f t="shared" si="221"/>
        <v/>
      </c>
      <c r="H2847" t="str">
        <f t="shared" si="222"/>
        <v>—</v>
      </c>
      <c r="I2847" t="str">
        <f t="shared" si="223"/>
        <v>Below thresholds</v>
      </c>
      <c r="J2847" t="str">
        <f t="shared" si="224"/>
        <v/>
      </c>
    </row>
    <row r="2848" spans="1:10" x14ac:dyDescent="0.2">
      <c r="A2848">
        <v>227138453272</v>
      </c>
      <c r="B2848" t="s">
        <v>6281</v>
      </c>
      <c r="C2848" t="s">
        <v>6282</v>
      </c>
      <c r="D2848">
        <v>1.59</v>
      </c>
      <c r="F2848" t="str">
        <f t="shared" si="220"/>
        <v>No</v>
      </c>
      <c r="G2848" t="str">
        <f t="shared" si="221"/>
        <v/>
      </c>
      <c r="H2848" t="str">
        <f t="shared" si="222"/>
        <v>—</v>
      </c>
      <c r="I2848" t="str">
        <f t="shared" si="223"/>
        <v>Below thresholds</v>
      </c>
      <c r="J2848" t="str">
        <f t="shared" si="224"/>
        <v/>
      </c>
    </row>
    <row r="2849" spans="1:10" x14ac:dyDescent="0.2">
      <c r="A2849">
        <v>227138453273</v>
      </c>
      <c r="B2849" t="s">
        <v>6283</v>
      </c>
      <c r="C2849" t="s">
        <v>6284</v>
      </c>
      <c r="D2849">
        <v>1.59</v>
      </c>
      <c r="F2849" t="str">
        <f t="shared" si="220"/>
        <v>No</v>
      </c>
      <c r="G2849" t="str">
        <f t="shared" si="221"/>
        <v/>
      </c>
      <c r="H2849" t="str">
        <f t="shared" si="222"/>
        <v>—</v>
      </c>
      <c r="I2849" t="str">
        <f t="shared" si="223"/>
        <v>Below thresholds</v>
      </c>
      <c r="J2849" t="str">
        <f t="shared" si="224"/>
        <v/>
      </c>
    </row>
    <row r="2850" spans="1:10" x14ac:dyDescent="0.2">
      <c r="A2850">
        <v>227138453287</v>
      </c>
      <c r="B2850" t="s">
        <v>6285</v>
      </c>
      <c r="C2850" t="s">
        <v>6286</v>
      </c>
      <c r="D2850">
        <v>1.59</v>
      </c>
      <c r="F2850" t="str">
        <f t="shared" si="220"/>
        <v>No</v>
      </c>
      <c r="G2850" t="str">
        <f t="shared" si="221"/>
        <v/>
      </c>
      <c r="H2850" t="str">
        <f t="shared" si="222"/>
        <v>—</v>
      </c>
      <c r="I2850" t="str">
        <f t="shared" si="223"/>
        <v>Below thresholds</v>
      </c>
      <c r="J2850" t="str">
        <f t="shared" si="224"/>
        <v/>
      </c>
    </row>
    <row r="2851" spans="1:10" x14ac:dyDescent="0.2">
      <c r="A2851">
        <v>227144106283</v>
      </c>
      <c r="B2851" t="s">
        <v>6287</v>
      </c>
      <c r="C2851" t="s">
        <v>6288</v>
      </c>
      <c r="D2851">
        <v>1.99</v>
      </c>
      <c r="F2851" t="str">
        <f t="shared" si="220"/>
        <v>No</v>
      </c>
      <c r="G2851" t="str">
        <f t="shared" si="221"/>
        <v/>
      </c>
      <c r="H2851" t="str">
        <f t="shared" si="222"/>
        <v>—</v>
      </c>
      <c r="I2851" t="str">
        <f t="shared" si="223"/>
        <v>Below thresholds</v>
      </c>
      <c r="J2851" t="str">
        <f t="shared" si="224"/>
        <v/>
      </c>
    </row>
    <row r="2852" spans="1:10" x14ac:dyDescent="0.2">
      <c r="A2852">
        <v>227144106284</v>
      </c>
      <c r="B2852" t="s">
        <v>6289</v>
      </c>
      <c r="C2852" t="s">
        <v>6290</v>
      </c>
      <c r="D2852">
        <v>6.95</v>
      </c>
      <c r="F2852" t="str">
        <f t="shared" si="220"/>
        <v>No</v>
      </c>
      <c r="G2852" t="str">
        <f t="shared" si="221"/>
        <v/>
      </c>
      <c r="H2852" t="str">
        <f t="shared" si="222"/>
        <v>—</v>
      </c>
      <c r="I2852" t="str">
        <f t="shared" si="223"/>
        <v>Below thresholds</v>
      </c>
      <c r="J2852" t="str">
        <f t="shared" si="224"/>
        <v/>
      </c>
    </row>
    <row r="2853" spans="1:10" x14ac:dyDescent="0.2">
      <c r="A2853">
        <v>227144106297</v>
      </c>
      <c r="B2853" t="s">
        <v>6291</v>
      </c>
      <c r="C2853" t="s">
        <v>6292</v>
      </c>
      <c r="D2853">
        <v>8.9499999999999993</v>
      </c>
      <c r="F2853" t="str">
        <f t="shared" si="220"/>
        <v>No</v>
      </c>
      <c r="G2853" t="str">
        <f t="shared" si="221"/>
        <v/>
      </c>
      <c r="H2853" t="str">
        <f t="shared" si="222"/>
        <v>—</v>
      </c>
      <c r="I2853" t="str">
        <f t="shared" si="223"/>
        <v>Below thresholds</v>
      </c>
      <c r="J2853" t="str">
        <f t="shared" si="224"/>
        <v/>
      </c>
    </row>
    <row r="2854" spans="1:10" x14ac:dyDescent="0.2">
      <c r="A2854">
        <v>227144106302</v>
      </c>
      <c r="B2854" t="s">
        <v>6293</v>
      </c>
      <c r="C2854" t="s">
        <v>6294</v>
      </c>
      <c r="D2854">
        <v>7.29</v>
      </c>
      <c r="F2854" t="str">
        <f t="shared" si="220"/>
        <v>No</v>
      </c>
      <c r="G2854" t="str">
        <f t="shared" si="221"/>
        <v/>
      </c>
      <c r="H2854" t="str">
        <f t="shared" si="222"/>
        <v>—</v>
      </c>
      <c r="I2854" t="str">
        <f t="shared" si="223"/>
        <v>Below thresholds</v>
      </c>
      <c r="J2854" t="str">
        <f t="shared" si="224"/>
        <v/>
      </c>
    </row>
    <row r="2855" spans="1:10" x14ac:dyDescent="0.2">
      <c r="A2855">
        <v>227144106305</v>
      </c>
      <c r="B2855" t="s">
        <v>6295</v>
      </c>
      <c r="C2855" t="s">
        <v>6296</v>
      </c>
      <c r="D2855">
        <v>5.99</v>
      </c>
      <c r="F2855" t="str">
        <f t="shared" si="220"/>
        <v>No</v>
      </c>
      <c r="G2855" t="str">
        <f t="shared" si="221"/>
        <v/>
      </c>
      <c r="H2855" t="str">
        <f t="shared" si="222"/>
        <v>—</v>
      </c>
      <c r="I2855" t="str">
        <f t="shared" si="223"/>
        <v>Below thresholds</v>
      </c>
      <c r="J2855" t="str">
        <f t="shared" si="224"/>
        <v/>
      </c>
    </row>
    <row r="2856" spans="1:10" x14ac:dyDescent="0.2">
      <c r="A2856">
        <v>227144106315</v>
      </c>
      <c r="B2856" t="s">
        <v>6297</v>
      </c>
      <c r="C2856" t="s">
        <v>6298</v>
      </c>
      <c r="D2856">
        <v>14.29</v>
      </c>
      <c r="F2856" t="str">
        <f t="shared" si="220"/>
        <v>No</v>
      </c>
      <c r="G2856" t="str">
        <f t="shared" si="221"/>
        <v/>
      </c>
      <c r="H2856" t="str">
        <f t="shared" si="222"/>
        <v>—</v>
      </c>
      <c r="I2856" t="str">
        <f t="shared" si="223"/>
        <v>Below thresholds</v>
      </c>
      <c r="J2856" t="str">
        <f t="shared" si="224"/>
        <v/>
      </c>
    </row>
    <row r="2857" spans="1:10" x14ac:dyDescent="0.2">
      <c r="A2857">
        <v>227144106316</v>
      </c>
      <c r="B2857" t="s">
        <v>6299</v>
      </c>
      <c r="C2857" t="s">
        <v>6300</v>
      </c>
      <c r="D2857">
        <v>4</v>
      </c>
      <c r="F2857" t="str">
        <f t="shared" si="220"/>
        <v>No</v>
      </c>
      <c r="G2857" t="str">
        <f t="shared" si="221"/>
        <v/>
      </c>
      <c r="H2857" t="str">
        <f t="shared" si="222"/>
        <v>—</v>
      </c>
      <c r="I2857" t="str">
        <f t="shared" si="223"/>
        <v>Below thresholds</v>
      </c>
      <c r="J2857" t="str">
        <f t="shared" si="224"/>
        <v/>
      </c>
    </row>
    <row r="2858" spans="1:10" x14ac:dyDescent="0.2">
      <c r="A2858">
        <v>227144106317</v>
      </c>
      <c r="B2858" t="s">
        <v>6301</v>
      </c>
      <c r="C2858" t="s">
        <v>6302</v>
      </c>
      <c r="D2858">
        <v>10</v>
      </c>
      <c r="F2858" t="str">
        <f t="shared" si="220"/>
        <v>No</v>
      </c>
      <c r="G2858" t="str">
        <f t="shared" si="221"/>
        <v/>
      </c>
      <c r="H2858" t="str">
        <f t="shared" si="222"/>
        <v>—</v>
      </c>
      <c r="I2858" t="str">
        <f t="shared" si="223"/>
        <v>Below thresholds</v>
      </c>
      <c r="J2858" t="str">
        <f t="shared" si="224"/>
        <v/>
      </c>
    </row>
    <row r="2859" spans="1:10" x14ac:dyDescent="0.2">
      <c r="A2859">
        <v>227144106321</v>
      </c>
      <c r="B2859" t="s">
        <v>6303</v>
      </c>
      <c r="C2859" t="s">
        <v>6304</v>
      </c>
      <c r="D2859">
        <v>5.99</v>
      </c>
      <c r="F2859" t="str">
        <f t="shared" si="220"/>
        <v>No</v>
      </c>
      <c r="G2859" t="str">
        <f t="shared" si="221"/>
        <v/>
      </c>
      <c r="H2859" t="str">
        <f t="shared" si="222"/>
        <v>—</v>
      </c>
      <c r="I2859" t="str">
        <f t="shared" si="223"/>
        <v>Below thresholds</v>
      </c>
      <c r="J2859" t="str">
        <f t="shared" si="224"/>
        <v/>
      </c>
    </row>
    <row r="2860" spans="1:10" x14ac:dyDescent="0.2">
      <c r="A2860">
        <v>227144106336</v>
      </c>
      <c r="B2860" t="s">
        <v>6305</v>
      </c>
      <c r="C2860" t="s">
        <v>6306</v>
      </c>
      <c r="D2860">
        <v>2</v>
      </c>
      <c r="F2860" t="str">
        <f t="shared" si="220"/>
        <v>No</v>
      </c>
      <c r="G2860" t="str">
        <f t="shared" si="221"/>
        <v/>
      </c>
      <c r="H2860" t="str">
        <f t="shared" si="222"/>
        <v>—</v>
      </c>
      <c r="I2860" t="str">
        <f t="shared" si="223"/>
        <v>Below thresholds</v>
      </c>
      <c r="J2860" t="str">
        <f t="shared" si="224"/>
        <v/>
      </c>
    </row>
    <row r="2861" spans="1:10" x14ac:dyDescent="0.2">
      <c r="A2861">
        <v>227144106348</v>
      </c>
      <c r="B2861" t="s">
        <v>6307</v>
      </c>
      <c r="C2861" t="s">
        <v>6308</v>
      </c>
      <c r="D2861">
        <v>1.99</v>
      </c>
      <c r="F2861" t="str">
        <f t="shared" si="220"/>
        <v>No</v>
      </c>
      <c r="G2861" t="str">
        <f t="shared" si="221"/>
        <v/>
      </c>
      <c r="H2861" t="str">
        <f t="shared" si="222"/>
        <v>—</v>
      </c>
      <c r="I2861" t="str">
        <f t="shared" si="223"/>
        <v>Below thresholds</v>
      </c>
      <c r="J2861" t="str">
        <f t="shared" si="224"/>
        <v/>
      </c>
    </row>
    <row r="2862" spans="1:10" x14ac:dyDescent="0.2">
      <c r="A2862">
        <v>227144106349</v>
      </c>
      <c r="B2862" t="s">
        <v>6309</v>
      </c>
      <c r="C2862" t="s">
        <v>6310</v>
      </c>
      <c r="D2862">
        <v>11.99</v>
      </c>
      <c r="F2862" t="str">
        <f t="shared" si="220"/>
        <v>No</v>
      </c>
      <c r="G2862" t="str">
        <f t="shared" si="221"/>
        <v/>
      </c>
      <c r="H2862" t="str">
        <f t="shared" si="222"/>
        <v>—</v>
      </c>
      <c r="I2862" t="str">
        <f t="shared" si="223"/>
        <v>Below thresholds</v>
      </c>
      <c r="J2862" t="str">
        <f t="shared" si="224"/>
        <v/>
      </c>
    </row>
    <row r="2863" spans="1:10" x14ac:dyDescent="0.2">
      <c r="A2863">
        <v>227144106353</v>
      </c>
      <c r="B2863" t="s">
        <v>6311</v>
      </c>
      <c r="C2863" t="s">
        <v>6312</v>
      </c>
      <c r="D2863">
        <v>14.99</v>
      </c>
      <c r="F2863" t="str">
        <f t="shared" si="220"/>
        <v>No</v>
      </c>
      <c r="G2863" t="str">
        <f t="shared" si="221"/>
        <v/>
      </c>
      <c r="H2863" t="str">
        <f t="shared" si="222"/>
        <v>—</v>
      </c>
      <c r="I2863" t="str">
        <f t="shared" si="223"/>
        <v>Below thresholds</v>
      </c>
      <c r="J2863" t="str">
        <f t="shared" si="224"/>
        <v/>
      </c>
    </row>
    <row r="2864" spans="1:10" x14ac:dyDescent="0.2">
      <c r="A2864">
        <v>227144106361</v>
      </c>
      <c r="B2864" t="s">
        <v>6313</v>
      </c>
      <c r="C2864" t="s">
        <v>6314</v>
      </c>
      <c r="D2864">
        <v>2.75</v>
      </c>
      <c r="F2864" t="str">
        <f t="shared" si="220"/>
        <v>No</v>
      </c>
      <c r="G2864" t="str">
        <f t="shared" si="221"/>
        <v/>
      </c>
      <c r="H2864" t="str">
        <f t="shared" si="222"/>
        <v>—</v>
      </c>
      <c r="I2864" t="str">
        <f t="shared" si="223"/>
        <v>Below thresholds</v>
      </c>
      <c r="J2864" t="str">
        <f t="shared" si="224"/>
        <v/>
      </c>
    </row>
    <row r="2865" spans="1:10" x14ac:dyDescent="0.2">
      <c r="A2865">
        <v>227144106364</v>
      </c>
      <c r="B2865" t="s">
        <v>6315</v>
      </c>
      <c r="C2865" t="s">
        <v>6316</v>
      </c>
      <c r="D2865">
        <v>2.99</v>
      </c>
      <c r="F2865" t="str">
        <f t="shared" si="220"/>
        <v>No</v>
      </c>
      <c r="G2865" t="str">
        <f t="shared" si="221"/>
        <v/>
      </c>
      <c r="H2865" t="str">
        <f t="shared" si="222"/>
        <v>—</v>
      </c>
      <c r="I2865" t="str">
        <f t="shared" si="223"/>
        <v>Below thresholds</v>
      </c>
      <c r="J2865" t="str">
        <f t="shared" si="224"/>
        <v/>
      </c>
    </row>
    <row r="2866" spans="1:10" x14ac:dyDescent="0.2">
      <c r="A2866">
        <v>227145154659</v>
      </c>
      <c r="B2866" t="s">
        <v>329</v>
      </c>
      <c r="C2866" t="s">
        <v>6317</v>
      </c>
      <c r="D2866">
        <v>30</v>
      </c>
      <c r="F2866" t="str">
        <f t="shared" si="220"/>
        <v>No</v>
      </c>
      <c r="G2866" t="str">
        <f t="shared" si="221"/>
        <v/>
      </c>
      <c r="H2866" t="str">
        <f t="shared" si="222"/>
        <v>—</v>
      </c>
      <c r="I2866" t="str">
        <f t="shared" si="223"/>
        <v>$20+ — needs velocity check</v>
      </c>
      <c r="J2866" t="str">
        <f t="shared" si="224"/>
        <v>YES — pull CardHedger</v>
      </c>
    </row>
    <row r="2867" spans="1:10" x14ac:dyDescent="0.2">
      <c r="A2867">
        <v>227146680862</v>
      </c>
      <c r="B2867" t="s">
        <v>6318</v>
      </c>
      <c r="C2867" t="s">
        <v>6319</v>
      </c>
      <c r="D2867">
        <v>2.99</v>
      </c>
      <c r="F2867" t="str">
        <f t="shared" si="220"/>
        <v>No</v>
      </c>
      <c r="G2867" t="str">
        <f t="shared" si="221"/>
        <v/>
      </c>
      <c r="H2867" t="str">
        <f t="shared" si="222"/>
        <v>—</v>
      </c>
      <c r="I2867" t="str">
        <f t="shared" si="223"/>
        <v>Below thresholds</v>
      </c>
      <c r="J2867" t="str">
        <f t="shared" si="224"/>
        <v/>
      </c>
    </row>
    <row r="2868" spans="1:10" x14ac:dyDescent="0.2">
      <c r="A2868">
        <v>227146842435</v>
      </c>
      <c r="B2868" t="s">
        <v>6320</v>
      </c>
      <c r="C2868" t="s">
        <v>6321</v>
      </c>
      <c r="D2868">
        <v>1.49</v>
      </c>
      <c r="F2868" t="str">
        <f t="shared" si="220"/>
        <v>No</v>
      </c>
      <c r="G2868" t="str">
        <f t="shared" si="221"/>
        <v/>
      </c>
      <c r="H2868" t="str">
        <f t="shared" si="222"/>
        <v>—</v>
      </c>
      <c r="I2868" t="str">
        <f t="shared" si="223"/>
        <v>Below thresholds</v>
      </c>
      <c r="J2868" t="str">
        <f t="shared" si="224"/>
        <v/>
      </c>
    </row>
    <row r="2869" spans="1:10" x14ac:dyDescent="0.2">
      <c r="A2869">
        <v>227146844247</v>
      </c>
      <c r="B2869" t="s">
        <v>6322</v>
      </c>
      <c r="C2869" t="s">
        <v>6323</v>
      </c>
      <c r="D2869">
        <v>3.76</v>
      </c>
      <c r="F2869" t="str">
        <f t="shared" si="220"/>
        <v>No</v>
      </c>
      <c r="G2869" t="str">
        <f t="shared" si="221"/>
        <v/>
      </c>
      <c r="H2869" t="str">
        <f t="shared" si="222"/>
        <v>—</v>
      </c>
      <c r="I2869" t="str">
        <f t="shared" si="223"/>
        <v>Below thresholds</v>
      </c>
      <c r="J2869" t="str">
        <f t="shared" si="224"/>
        <v/>
      </c>
    </row>
    <row r="2870" spans="1:10" x14ac:dyDescent="0.2">
      <c r="A2870">
        <v>227149142396</v>
      </c>
      <c r="B2870" t="s">
        <v>6324</v>
      </c>
      <c r="C2870" t="s">
        <v>6325</v>
      </c>
      <c r="D2870">
        <v>2.5</v>
      </c>
      <c r="F2870" t="str">
        <f t="shared" si="220"/>
        <v>No</v>
      </c>
      <c r="G2870" t="str">
        <f t="shared" si="221"/>
        <v/>
      </c>
      <c r="H2870" t="str">
        <f t="shared" si="222"/>
        <v>—</v>
      </c>
      <c r="I2870" t="str">
        <f t="shared" si="223"/>
        <v>Below thresholds</v>
      </c>
      <c r="J2870" t="str">
        <f t="shared" si="224"/>
        <v/>
      </c>
    </row>
    <row r="2871" spans="1:10" x14ac:dyDescent="0.2">
      <c r="A2871">
        <v>227149142398</v>
      </c>
      <c r="B2871" t="s">
        <v>6326</v>
      </c>
      <c r="C2871" t="s">
        <v>6327</v>
      </c>
      <c r="D2871">
        <v>1.5</v>
      </c>
      <c r="F2871" t="str">
        <f t="shared" si="220"/>
        <v>No</v>
      </c>
      <c r="G2871" t="str">
        <f t="shared" si="221"/>
        <v/>
      </c>
      <c r="H2871" t="str">
        <f t="shared" si="222"/>
        <v>—</v>
      </c>
      <c r="I2871" t="str">
        <f t="shared" si="223"/>
        <v>Below thresholds</v>
      </c>
      <c r="J2871" t="str">
        <f t="shared" si="224"/>
        <v/>
      </c>
    </row>
    <row r="2872" spans="1:10" x14ac:dyDescent="0.2">
      <c r="A2872">
        <v>227149142403</v>
      </c>
      <c r="B2872" t="s">
        <v>6328</v>
      </c>
      <c r="C2872" t="s">
        <v>6329</v>
      </c>
      <c r="D2872">
        <v>0.99</v>
      </c>
      <c r="F2872" t="str">
        <f t="shared" si="220"/>
        <v>No</v>
      </c>
      <c r="G2872" t="str">
        <f t="shared" si="221"/>
        <v/>
      </c>
      <c r="H2872" t="str">
        <f t="shared" si="222"/>
        <v>—</v>
      </c>
      <c r="I2872" t="str">
        <f t="shared" si="223"/>
        <v>Below thresholds</v>
      </c>
      <c r="J2872" t="str">
        <f t="shared" si="224"/>
        <v/>
      </c>
    </row>
    <row r="2873" spans="1:10" x14ac:dyDescent="0.2">
      <c r="A2873">
        <v>227149142414</v>
      </c>
      <c r="B2873" t="s">
        <v>6330</v>
      </c>
      <c r="C2873" t="s">
        <v>6331</v>
      </c>
      <c r="D2873">
        <v>1.99</v>
      </c>
      <c r="F2873" t="str">
        <f t="shared" si="220"/>
        <v>No</v>
      </c>
      <c r="G2873" t="str">
        <f t="shared" si="221"/>
        <v/>
      </c>
      <c r="H2873" t="str">
        <f t="shared" si="222"/>
        <v>—</v>
      </c>
      <c r="I2873" t="str">
        <f t="shared" si="223"/>
        <v>Below thresholds</v>
      </c>
      <c r="J2873" t="str">
        <f t="shared" si="224"/>
        <v/>
      </c>
    </row>
    <row r="2874" spans="1:10" x14ac:dyDescent="0.2">
      <c r="A2874">
        <v>227149142419</v>
      </c>
      <c r="B2874" t="s">
        <v>6332</v>
      </c>
      <c r="C2874" t="s">
        <v>6333</v>
      </c>
      <c r="D2874">
        <v>1.5</v>
      </c>
      <c r="F2874" t="str">
        <f t="shared" si="220"/>
        <v>No</v>
      </c>
      <c r="G2874" t="str">
        <f t="shared" si="221"/>
        <v/>
      </c>
      <c r="H2874" t="str">
        <f t="shared" si="222"/>
        <v>—</v>
      </c>
      <c r="I2874" t="str">
        <f t="shared" si="223"/>
        <v>Below thresholds</v>
      </c>
      <c r="J2874" t="str">
        <f t="shared" si="224"/>
        <v/>
      </c>
    </row>
    <row r="2875" spans="1:10" x14ac:dyDescent="0.2">
      <c r="A2875">
        <v>227149142430</v>
      </c>
      <c r="B2875" t="s">
        <v>6334</v>
      </c>
      <c r="C2875" t="s">
        <v>6335</v>
      </c>
      <c r="D2875">
        <v>1.69</v>
      </c>
      <c r="F2875" t="str">
        <f t="shared" si="220"/>
        <v>No</v>
      </c>
      <c r="G2875" t="str">
        <f t="shared" si="221"/>
        <v/>
      </c>
      <c r="H2875" t="str">
        <f t="shared" si="222"/>
        <v>—</v>
      </c>
      <c r="I2875" t="str">
        <f t="shared" si="223"/>
        <v>Below thresholds</v>
      </c>
      <c r="J2875" t="str">
        <f t="shared" si="224"/>
        <v/>
      </c>
    </row>
    <row r="2876" spans="1:10" x14ac:dyDescent="0.2">
      <c r="A2876">
        <v>227149142442</v>
      </c>
      <c r="B2876" t="s">
        <v>6336</v>
      </c>
      <c r="C2876" t="s">
        <v>6337</v>
      </c>
      <c r="D2876">
        <v>1.39</v>
      </c>
      <c r="F2876" t="str">
        <f t="shared" si="220"/>
        <v>No</v>
      </c>
      <c r="G2876" t="str">
        <f t="shared" si="221"/>
        <v/>
      </c>
      <c r="H2876" t="str">
        <f t="shared" si="222"/>
        <v>—</v>
      </c>
      <c r="I2876" t="str">
        <f t="shared" si="223"/>
        <v>Below thresholds</v>
      </c>
      <c r="J2876" t="str">
        <f t="shared" si="224"/>
        <v/>
      </c>
    </row>
    <row r="2877" spans="1:10" x14ac:dyDescent="0.2">
      <c r="A2877">
        <v>227149142443</v>
      </c>
      <c r="B2877" t="s">
        <v>6338</v>
      </c>
      <c r="C2877" t="s">
        <v>6339</v>
      </c>
      <c r="D2877">
        <v>1.45</v>
      </c>
      <c r="F2877" t="str">
        <f t="shared" si="220"/>
        <v>No</v>
      </c>
      <c r="G2877" t="str">
        <f t="shared" si="221"/>
        <v/>
      </c>
      <c r="H2877" t="str">
        <f t="shared" si="222"/>
        <v>—</v>
      </c>
      <c r="I2877" t="str">
        <f t="shared" si="223"/>
        <v>Below thresholds</v>
      </c>
      <c r="J2877" t="str">
        <f t="shared" si="224"/>
        <v/>
      </c>
    </row>
    <row r="2878" spans="1:10" x14ac:dyDescent="0.2">
      <c r="A2878">
        <v>227149142448</v>
      </c>
      <c r="B2878" t="s">
        <v>6340</v>
      </c>
      <c r="C2878" t="s">
        <v>6341</v>
      </c>
      <c r="D2878">
        <v>6</v>
      </c>
      <c r="F2878" t="str">
        <f t="shared" si="220"/>
        <v>No</v>
      </c>
      <c r="G2878" t="str">
        <f t="shared" si="221"/>
        <v/>
      </c>
      <c r="H2878" t="str">
        <f t="shared" si="222"/>
        <v>—</v>
      </c>
      <c r="I2878" t="str">
        <f t="shared" si="223"/>
        <v>Below thresholds</v>
      </c>
      <c r="J2878" t="str">
        <f t="shared" si="224"/>
        <v/>
      </c>
    </row>
    <row r="2879" spans="1:10" x14ac:dyDescent="0.2">
      <c r="A2879">
        <v>227149142450</v>
      </c>
      <c r="B2879" t="s">
        <v>6342</v>
      </c>
      <c r="C2879" t="s">
        <v>6343</v>
      </c>
      <c r="D2879">
        <v>2.5499999999999998</v>
      </c>
      <c r="F2879" t="str">
        <f t="shared" si="220"/>
        <v>No</v>
      </c>
      <c r="G2879" t="str">
        <f t="shared" si="221"/>
        <v/>
      </c>
      <c r="H2879" t="str">
        <f t="shared" si="222"/>
        <v>—</v>
      </c>
      <c r="I2879" t="str">
        <f t="shared" si="223"/>
        <v>Below thresholds</v>
      </c>
      <c r="J2879" t="str">
        <f t="shared" si="224"/>
        <v/>
      </c>
    </row>
    <row r="2880" spans="1:10" x14ac:dyDescent="0.2">
      <c r="A2880">
        <v>227149142452</v>
      </c>
      <c r="B2880" t="s">
        <v>6344</v>
      </c>
      <c r="C2880" t="s">
        <v>6345</v>
      </c>
      <c r="D2880">
        <v>5.99</v>
      </c>
      <c r="F2880" t="str">
        <f t="shared" si="220"/>
        <v>No</v>
      </c>
      <c r="G2880" t="str">
        <f t="shared" si="221"/>
        <v/>
      </c>
      <c r="H2880" t="str">
        <f t="shared" si="222"/>
        <v>—</v>
      </c>
      <c r="I2880" t="str">
        <f t="shared" si="223"/>
        <v>Below thresholds</v>
      </c>
      <c r="J2880" t="str">
        <f t="shared" si="224"/>
        <v/>
      </c>
    </row>
    <row r="2881" spans="1:10" x14ac:dyDescent="0.2">
      <c r="A2881">
        <v>227149142460</v>
      </c>
      <c r="B2881" t="s">
        <v>4064</v>
      </c>
      <c r="C2881" t="s">
        <v>6346</v>
      </c>
      <c r="D2881">
        <v>1.5</v>
      </c>
      <c r="F2881" t="str">
        <f t="shared" si="220"/>
        <v>No</v>
      </c>
      <c r="G2881" t="str">
        <f t="shared" si="221"/>
        <v/>
      </c>
      <c r="H2881" t="str">
        <f t="shared" si="222"/>
        <v>—</v>
      </c>
      <c r="I2881" t="str">
        <f t="shared" si="223"/>
        <v>Below thresholds</v>
      </c>
      <c r="J2881" t="str">
        <f t="shared" si="224"/>
        <v/>
      </c>
    </row>
    <row r="2882" spans="1:10" x14ac:dyDescent="0.2">
      <c r="A2882">
        <v>227149142463</v>
      </c>
      <c r="B2882" t="s">
        <v>6347</v>
      </c>
      <c r="C2882" t="s">
        <v>6348</v>
      </c>
      <c r="D2882">
        <v>1.75</v>
      </c>
      <c r="F2882" t="str">
        <f t="shared" si="220"/>
        <v>No</v>
      </c>
      <c r="G2882" t="str">
        <f t="shared" si="221"/>
        <v/>
      </c>
      <c r="H2882" t="str">
        <f t="shared" si="222"/>
        <v>—</v>
      </c>
      <c r="I2882" t="str">
        <f t="shared" si="223"/>
        <v>Below thresholds</v>
      </c>
      <c r="J2882" t="str">
        <f t="shared" si="224"/>
        <v/>
      </c>
    </row>
    <row r="2883" spans="1:10" x14ac:dyDescent="0.2">
      <c r="A2883">
        <v>227149142468</v>
      </c>
      <c r="B2883" t="s">
        <v>6349</v>
      </c>
      <c r="C2883" t="s">
        <v>6350</v>
      </c>
      <c r="D2883">
        <v>1.5</v>
      </c>
      <c r="F2883" t="str">
        <f t="shared" si="220"/>
        <v>No</v>
      </c>
      <c r="G2883" t="str">
        <f t="shared" si="221"/>
        <v/>
      </c>
      <c r="H2883" t="str">
        <f t="shared" si="222"/>
        <v>—</v>
      </c>
      <c r="I2883" t="str">
        <f t="shared" si="223"/>
        <v>Below thresholds</v>
      </c>
      <c r="J2883" t="str">
        <f t="shared" si="224"/>
        <v/>
      </c>
    </row>
    <row r="2884" spans="1:10" x14ac:dyDescent="0.2">
      <c r="A2884">
        <v>227149142476</v>
      </c>
      <c r="B2884" t="s">
        <v>6351</v>
      </c>
      <c r="C2884" t="s">
        <v>6352</v>
      </c>
      <c r="D2884">
        <v>2.75</v>
      </c>
      <c r="F2884" t="str">
        <f t="shared" si="220"/>
        <v>No</v>
      </c>
      <c r="G2884" t="str">
        <f t="shared" si="221"/>
        <v/>
      </c>
      <c r="H2884" t="str">
        <f t="shared" si="222"/>
        <v>—</v>
      </c>
      <c r="I2884" t="str">
        <f t="shared" si="223"/>
        <v>Below thresholds</v>
      </c>
      <c r="J2884" t="str">
        <f t="shared" si="224"/>
        <v/>
      </c>
    </row>
    <row r="2885" spans="1:10" x14ac:dyDescent="0.2">
      <c r="A2885">
        <v>227149142479</v>
      </c>
      <c r="B2885" t="s">
        <v>6353</v>
      </c>
      <c r="C2885" t="s">
        <v>6354</v>
      </c>
      <c r="D2885">
        <v>1.75</v>
      </c>
      <c r="F2885" t="str">
        <f t="shared" ref="F2885:F2948" si="225">IF($B2885="","",IF(ISNUMBER(SEARCH("PSA",$B2885)),"Yes","No"))</f>
        <v>No</v>
      </c>
      <c r="G2885" t="str">
        <f t="shared" ref="G2885:G2948" si="226">IF($B2885="","",IF(ISNUMBER(SEARCH("PSA 10",$B2885)),10,IF(ISNUMBER(SEARCH("PSA 9.5",$B2885)),9.5,IF(ISNUMBER(SEARCH("PSA 9",$B2885)),9,IF(ISNUMBER(SEARCH("PSA 8",$B2885)),8,IF(ISNUMBER(SEARCH("PSA",$B2885)),"&lt;9",""))))))</f>
        <v/>
      </c>
      <c r="H2885" t="str">
        <f t="shared" ref="H2885:H2948" si="227">IF($B2885="","",IF($D2885&gt;=100,"TIER 2",IF(OR(ISNUMBER(SEARCH("PSA 10",$B2885)),ISNUMBER(SEARCH("PSA 9.5",$B2885)),ISNUMBER(SEARCH("PSA 9",$B2885))),"TIER 3",IF(AND($D2885&gt;20,N($E2885)&gt;=15),"TIER 1","—"))))</f>
        <v>—</v>
      </c>
      <c r="I2885" t="str">
        <f t="shared" ref="I2885:I2948" si="228">IF($B2885="","",IF($D2885&gt;=100,"Premium $100+ (auto)",IF(OR(ISNUMBER(SEARCH("PSA 10",$B2885)),ISNUMBER(SEARCH("PSA 9.5",$B2885)),ISNUMBER(SEARCH("PSA 9",$B2885))),"Graded PSA 9+ (auto)",IF(AND($D2885&gt;20,N($E2885)&gt;=15),"Hot: $20+ &amp; "&amp;$E2885&amp;"/day",IF($D2885&gt;20,"$20+ — needs velocity check","Below thresholds")))))</f>
        <v>Below thresholds</v>
      </c>
      <c r="J2885" t="str">
        <f t="shared" ref="J2885:J2948" si="229">IF($B2885="","",IF(AND($D2885&gt;20,$D2885&lt;100,NOT(OR(ISNUMBER(SEARCH("PSA 10",$B2885)),ISNUMBER(SEARCH("PSA 9.5",$B2885)),ISNUMBER(SEARCH("PSA 9",$B2885)))),$E2885=""),"YES — pull CardHedger",""))</f>
        <v/>
      </c>
    </row>
    <row r="2886" spans="1:10" x14ac:dyDescent="0.2">
      <c r="A2886">
        <v>227149142483</v>
      </c>
      <c r="B2886" t="s">
        <v>6355</v>
      </c>
      <c r="C2886" t="s">
        <v>6356</v>
      </c>
      <c r="D2886">
        <v>2.99</v>
      </c>
      <c r="F2886" t="str">
        <f t="shared" si="225"/>
        <v>No</v>
      </c>
      <c r="G2886" t="str">
        <f t="shared" si="226"/>
        <v/>
      </c>
      <c r="H2886" t="str">
        <f t="shared" si="227"/>
        <v>—</v>
      </c>
      <c r="I2886" t="str">
        <f t="shared" si="228"/>
        <v>Below thresholds</v>
      </c>
      <c r="J2886" t="str">
        <f t="shared" si="229"/>
        <v/>
      </c>
    </row>
    <row r="2887" spans="1:10" x14ac:dyDescent="0.2">
      <c r="A2887">
        <v>227149142487</v>
      </c>
      <c r="B2887" t="s">
        <v>6357</v>
      </c>
      <c r="C2887" t="s">
        <v>6358</v>
      </c>
      <c r="D2887">
        <v>1.1499999999999999</v>
      </c>
      <c r="F2887" t="str">
        <f t="shared" si="225"/>
        <v>No</v>
      </c>
      <c r="G2887" t="str">
        <f t="shared" si="226"/>
        <v/>
      </c>
      <c r="H2887" t="str">
        <f t="shared" si="227"/>
        <v>—</v>
      </c>
      <c r="I2887" t="str">
        <f t="shared" si="228"/>
        <v>Below thresholds</v>
      </c>
      <c r="J2887" t="str">
        <f t="shared" si="229"/>
        <v/>
      </c>
    </row>
    <row r="2888" spans="1:10" x14ac:dyDescent="0.2">
      <c r="A2888">
        <v>227149142488</v>
      </c>
      <c r="B2888" t="s">
        <v>6359</v>
      </c>
      <c r="C2888" t="s">
        <v>6360</v>
      </c>
      <c r="D2888">
        <v>1.75</v>
      </c>
      <c r="F2888" t="str">
        <f t="shared" si="225"/>
        <v>No</v>
      </c>
      <c r="G2888" t="str">
        <f t="shared" si="226"/>
        <v/>
      </c>
      <c r="H2888" t="str">
        <f t="shared" si="227"/>
        <v>—</v>
      </c>
      <c r="I2888" t="str">
        <f t="shared" si="228"/>
        <v>Below thresholds</v>
      </c>
      <c r="J2888" t="str">
        <f t="shared" si="229"/>
        <v/>
      </c>
    </row>
    <row r="2889" spans="1:10" x14ac:dyDescent="0.2">
      <c r="A2889">
        <v>227149142500</v>
      </c>
      <c r="B2889" t="s">
        <v>6361</v>
      </c>
      <c r="C2889" t="s">
        <v>6362</v>
      </c>
      <c r="D2889">
        <v>1.99</v>
      </c>
      <c r="F2889" t="str">
        <f t="shared" si="225"/>
        <v>No</v>
      </c>
      <c r="G2889" t="str">
        <f t="shared" si="226"/>
        <v/>
      </c>
      <c r="H2889" t="str">
        <f t="shared" si="227"/>
        <v>—</v>
      </c>
      <c r="I2889" t="str">
        <f t="shared" si="228"/>
        <v>Below thresholds</v>
      </c>
      <c r="J2889" t="str">
        <f t="shared" si="229"/>
        <v/>
      </c>
    </row>
    <row r="2890" spans="1:10" x14ac:dyDescent="0.2">
      <c r="A2890">
        <v>227149142502</v>
      </c>
      <c r="B2890" t="s">
        <v>6363</v>
      </c>
      <c r="C2890" t="s">
        <v>6364</v>
      </c>
      <c r="D2890">
        <v>1.99</v>
      </c>
      <c r="F2890" t="str">
        <f t="shared" si="225"/>
        <v>No</v>
      </c>
      <c r="G2890" t="str">
        <f t="shared" si="226"/>
        <v/>
      </c>
      <c r="H2890" t="str">
        <f t="shared" si="227"/>
        <v>—</v>
      </c>
      <c r="I2890" t="str">
        <f t="shared" si="228"/>
        <v>Below thresholds</v>
      </c>
      <c r="J2890" t="str">
        <f t="shared" si="229"/>
        <v/>
      </c>
    </row>
    <row r="2891" spans="1:10" x14ac:dyDescent="0.2">
      <c r="A2891">
        <v>227149142504</v>
      </c>
      <c r="B2891" t="s">
        <v>6365</v>
      </c>
      <c r="C2891" t="s">
        <v>6366</v>
      </c>
      <c r="D2891">
        <v>1.75</v>
      </c>
      <c r="F2891" t="str">
        <f t="shared" si="225"/>
        <v>No</v>
      </c>
      <c r="G2891" t="str">
        <f t="shared" si="226"/>
        <v/>
      </c>
      <c r="H2891" t="str">
        <f t="shared" si="227"/>
        <v>—</v>
      </c>
      <c r="I2891" t="str">
        <f t="shared" si="228"/>
        <v>Below thresholds</v>
      </c>
      <c r="J2891" t="str">
        <f t="shared" si="229"/>
        <v/>
      </c>
    </row>
    <row r="2892" spans="1:10" x14ac:dyDescent="0.2">
      <c r="A2892">
        <v>227149142507</v>
      </c>
      <c r="B2892" t="s">
        <v>6367</v>
      </c>
      <c r="C2892" t="s">
        <v>6368</v>
      </c>
      <c r="D2892">
        <v>2.29</v>
      </c>
      <c r="F2892" t="str">
        <f t="shared" si="225"/>
        <v>No</v>
      </c>
      <c r="G2892" t="str">
        <f t="shared" si="226"/>
        <v/>
      </c>
      <c r="H2892" t="str">
        <f t="shared" si="227"/>
        <v>—</v>
      </c>
      <c r="I2892" t="str">
        <f t="shared" si="228"/>
        <v>Below thresholds</v>
      </c>
      <c r="J2892" t="str">
        <f t="shared" si="229"/>
        <v/>
      </c>
    </row>
    <row r="2893" spans="1:10" x14ac:dyDescent="0.2">
      <c r="A2893">
        <v>227149142508</v>
      </c>
      <c r="B2893" t="s">
        <v>6369</v>
      </c>
      <c r="C2893" t="s">
        <v>6370</v>
      </c>
      <c r="D2893">
        <v>1.99</v>
      </c>
      <c r="F2893" t="str">
        <f t="shared" si="225"/>
        <v>No</v>
      </c>
      <c r="G2893" t="str">
        <f t="shared" si="226"/>
        <v/>
      </c>
      <c r="H2893" t="str">
        <f t="shared" si="227"/>
        <v>—</v>
      </c>
      <c r="I2893" t="str">
        <f t="shared" si="228"/>
        <v>Below thresholds</v>
      </c>
      <c r="J2893" t="str">
        <f t="shared" si="229"/>
        <v/>
      </c>
    </row>
    <row r="2894" spans="1:10" x14ac:dyDescent="0.2">
      <c r="A2894">
        <v>227149142527</v>
      </c>
      <c r="B2894" t="s">
        <v>4054</v>
      </c>
      <c r="C2894" t="s">
        <v>6371</v>
      </c>
      <c r="D2894">
        <v>1.5</v>
      </c>
      <c r="F2894" t="str">
        <f t="shared" si="225"/>
        <v>No</v>
      </c>
      <c r="G2894" t="str">
        <f t="shared" si="226"/>
        <v/>
      </c>
      <c r="H2894" t="str">
        <f t="shared" si="227"/>
        <v>—</v>
      </c>
      <c r="I2894" t="str">
        <f t="shared" si="228"/>
        <v>Below thresholds</v>
      </c>
      <c r="J2894" t="str">
        <f t="shared" si="229"/>
        <v/>
      </c>
    </row>
    <row r="2895" spans="1:10" x14ac:dyDescent="0.2">
      <c r="A2895">
        <v>227149142529</v>
      </c>
      <c r="B2895" t="s">
        <v>6372</v>
      </c>
      <c r="C2895" t="s">
        <v>6373</v>
      </c>
      <c r="D2895">
        <v>1.99</v>
      </c>
      <c r="F2895" t="str">
        <f t="shared" si="225"/>
        <v>No</v>
      </c>
      <c r="G2895" t="str">
        <f t="shared" si="226"/>
        <v/>
      </c>
      <c r="H2895" t="str">
        <f t="shared" si="227"/>
        <v>—</v>
      </c>
      <c r="I2895" t="str">
        <f t="shared" si="228"/>
        <v>Below thresholds</v>
      </c>
      <c r="J2895" t="str">
        <f t="shared" si="229"/>
        <v/>
      </c>
    </row>
    <row r="2896" spans="1:10" x14ac:dyDescent="0.2">
      <c r="A2896">
        <v>227149142530</v>
      </c>
      <c r="B2896" t="s">
        <v>6374</v>
      </c>
      <c r="C2896" t="s">
        <v>6375</v>
      </c>
      <c r="D2896">
        <v>1.39</v>
      </c>
      <c r="F2896" t="str">
        <f t="shared" si="225"/>
        <v>No</v>
      </c>
      <c r="G2896" t="str">
        <f t="shared" si="226"/>
        <v/>
      </c>
      <c r="H2896" t="str">
        <f t="shared" si="227"/>
        <v>—</v>
      </c>
      <c r="I2896" t="str">
        <f t="shared" si="228"/>
        <v>Below thresholds</v>
      </c>
      <c r="J2896" t="str">
        <f t="shared" si="229"/>
        <v/>
      </c>
    </row>
    <row r="2897" spans="1:10" x14ac:dyDescent="0.2">
      <c r="A2897">
        <v>227149142541</v>
      </c>
      <c r="B2897" t="s">
        <v>6376</v>
      </c>
      <c r="C2897" t="s">
        <v>6377</v>
      </c>
      <c r="D2897">
        <v>1.99</v>
      </c>
      <c r="F2897" t="str">
        <f t="shared" si="225"/>
        <v>No</v>
      </c>
      <c r="G2897" t="str">
        <f t="shared" si="226"/>
        <v/>
      </c>
      <c r="H2897" t="str">
        <f t="shared" si="227"/>
        <v>—</v>
      </c>
      <c r="I2897" t="str">
        <f t="shared" si="228"/>
        <v>Below thresholds</v>
      </c>
      <c r="J2897" t="str">
        <f t="shared" si="229"/>
        <v/>
      </c>
    </row>
    <row r="2898" spans="1:10" x14ac:dyDescent="0.2">
      <c r="A2898">
        <v>227149142544</v>
      </c>
      <c r="B2898" t="s">
        <v>6378</v>
      </c>
      <c r="C2898" t="s">
        <v>6379</v>
      </c>
      <c r="D2898">
        <v>2.4900000000000002</v>
      </c>
      <c r="F2898" t="str">
        <f t="shared" si="225"/>
        <v>No</v>
      </c>
      <c r="G2898" t="str">
        <f t="shared" si="226"/>
        <v/>
      </c>
      <c r="H2898" t="str">
        <f t="shared" si="227"/>
        <v>—</v>
      </c>
      <c r="I2898" t="str">
        <f t="shared" si="228"/>
        <v>Below thresholds</v>
      </c>
      <c r="J2898" t="str">
        <f t="shared" si="229"/>
        <v/>
      </c>
    </row>
    <row r="2899" spans="1:10" x14ac:dyDescent="0.2">
      <c r="A2899">
        <v>227149142548</v>
      </c>
      <c r="B2899" t="s">
        <v>6380</v>
      </c>
      <c r="C2899" t="s">
        <v>6381</v>
      </c>
      <c r="D2899">
        <v>2</v>
      </c>
      <c r="F2899" t="str">
        <f t="shared" si="225"/>
        <v>No</v>
      </c>
      <c r="G2899" t="str">
        <f t="shared" si="226"/>
        <v/>
      </c>
      <c r="H2899" t="str">
        <f t="shared" si="227"/>
        <v>—</v>
      </c>
      <c r="I2899" t="str">
        <f t="shared" si="228"/>
        <v>Below thresholds</v>
      </c>
      <c r="J2899" t="str">
        <f t="shared" si="229"/>
        <v/>
      </c>
    </row>
    <row r="2900" spans="1:10" x14ac:dyDescent="0.2">
      <c r="A2900">
        <v>227149142551</v>
      </c>
      <c r="B2900" t="s">
        <v>6382</v>
      </c>
      <c r="C2900" t="s">
        <v>6383</v>
      </c>
      <c r="D2900">
        <v>1.65</v>
      </c>
      <c r="F2900" t="str">
        <f t="shared" si="225"/>
        <v>No</v>
      </c>
      <c r="G2900" t="str">
        <f t="shared" si="226"/>
        <v/>
      </c>
      <c r="H2900" t="str">
        <f t="shared" si="227"/>
        <v>—</v>
      </c>
      <c r="I2900" t="str">
        <f t="shared" si="228"/>
        <v>Below thresholds</v>
      </c>
      <c r="J2900" t="str">
        <f t="shared" si="229"/>
        <v/>
      </c>
    </row>
    <row r="2901" spans="1:10" x14ac:dyDescent="0.2">
      <c r="A2901">
        <v>227149142553</v>
      </c>
      <c r="B2901" t="s">
        <v>6384</v>
      </c>
      <c r="C2901" t="s">
        <v>6385</v>
      </c>
      <c r="D2901">
        <v>1.59</v>
      </c>
      <c r="F2901" t="str">
        <f t="shared" si="225"/>
        <v>No</v>
      </c>
      <c r="G2901" t="str">
        <f t="shared" si="226"/>
        <v/>
      </c>
      <c r="H2901" t="str">
        <f t="shared" si="227"/>
        <v>—</v>
      </c>
      <c r="I2901" t="str">
        <f t="shared" si="228"/>
        <v>Below thresholds</v>
      </c>
      <c r="J2901" t="str">
        <f t="shared" si="229"/>
        <v/>
      </c>
    </row>
    <row r="2902" spans="1:10" x14ac:dyDescent="0.2">
      <c r="A2902">
        <v>227149142559</v>
      </c>
      <c r="B2902" t="s">
        <v>6386</v>
      </c>
      <c r="C2902" t="s">
        <v>6387</v>
      </c>
      <c r="D2902">
        <v>1.49</v>
      </c>
      <c r="F2902" t="str">
        <f t="shared" si="225"/>
        <v>No</v>
      </c>
      <c r="G2902" t="str">
        <f t="shared" si="226"/>
        <v/>
      </c>
      <c r="H2902" t="str">
        <f t="shared" si="227"/>
        <v>—</v>
      </c>
      <c r="I2902" t="str">
        <f t="shared" si="228"/>
        <v>Below thresholds</v>
      </c>
      <c r="J2902" t="str">
        <f t="shared" si="229"/>
        <v/>
      </c>
    </row>
    <row r="2903" spans="1:10" x14ac:dyDescent="0.2">
      <c r="A2903">
        <v>227149271342</v>
      </c>
      <c r="B2903" t="s">
        <v>6388</v>
      </c>
      <c r="C2903" t="s">
        <v>6389</v>
      </c>
      <c r="D2903">
        <v>1.25</v>
      </c>
      <c r="F2903" t="str">
        <f t="shared" si="225"/>
        <v>No</v>
      </c>
      <c r="G2903" t="str">
        <f t="shared" si="226"/>
        <v/>
      </c>
      <c r="H2903" t="str">
        <f t="shared" si="227"/>
        <v>—</v>
      </c>
      <c r="I2903" t="str">
        <f t="shared" si="228"/>
        <v>Below thresholds</v>
      </c>
      <c r="J2903" t="str">
        <f t="shared" si="229"/>
        <v/>
      </c>
    </row>
    <row r="2904" spans="1:10" x14ac:dyDescent="0.2">
      <c r="A2904">
        <v>227149271371</v>
      </c>
      <c r="B2904" t="s">
        <v>6390</v>
      </c>
      <c r="C2904" t="s">
        <v>6391</v>
      </c>
      <c r="D2904">
        <v>0.99</v>
      </c>
      <c r="F2904" t="str">
        <f t="shared" si="225"/>
        <v>No</v>
      </c>
      <c r="G2904" t="str">
        <f t="shared" si="226"/>
        <v/>
      </c>
      <c r="H2904" t="str">
        <f t="shared" si="227"/>
        <v>—</v>
      </c>
      <c r="I2904" t="str">
        <f t="shared" si="228"/>
        <v>Below thresholds</v>
      </c>
      <c r="J2904" t="str">
        <f t="shared" si="229"/>
        <v/>
      </c>
    </row>
    <row r="2905" spans="1:10" x14ac:dyDescent="0.2">
      <c r="A2905">
        <v>227149271399</v>
      </c>
      <c r="B2905" t="s">
        <v>6392</v>
      </c>
      <c r="C2905" t="s">
        <v>6393</v>
      </c>
      <c r="D2905">
        <v>2.69</v>
      </c>
      <c r="F2905" t="str">
        <f t="shared" si="225"/>
        <v>No</v>
      </c>
      <c r="G2905" t="str">
        <f t="shared" si="226"/>
        <v/>
      </c>
      <c r="H2905" t="str">
        <f t="shared" si="227"/>
        <v>—</v>
      </c>
      <c r="I2905" t="str">
        <f t="shared" si="228"/>
        <v>Below thresholds</v>
      </c>
      <c r="J2905" t="str">
        <f t="shared" si="229"/>
        <v/>
      </c>
    </row>
    <row r="2906" spans="1:10" x14ac:dyDescent="0.2">
      <c r="A2906">
        <v>227149271401</v>
      </c>
      <c r="B2906" t="s">
        <v>6394</v>
      </c>
      <c r="C2906" t="s">
        <v>6395</v>
      </c>
      <c r="D2906">
        <v>0.99</v>
      </c>
      <c r="F2906" t="str">
        <f t="shared" si="225"/>
        <v>No</v>
      </c>
      <c r="G2906" t="str">
        <f t="shared" si="226"/>
        <v/>
      </c>
      <c r="H2906" t="str">
        <f t="shared" si="227"/>
        <v>—</v>
      </c>
      <c r="I2906" t="str">
        <f t="shared" si="228"/>
        <v>Below thresholds</v>
      </c>
      <c r="J2906" t="str">
        <f t="shared" si="229"/>
        <v/>
      </c>
    </row>
    <row r="2907" spans="1:10" x14ac:dyDescent="0.2">
      <c r="A2907">
        <v>227149271411</v>
      </c>
      <c r="B2907" t="s">
        <v>6396</v>
      </c>
      <c r="C2907" t="s">
        <v>6397</v>
      </c>
      <c r="D2907">
        <v>1.99</v>
      </c>
      <c r="F2907" t="str">
        <f t="shared" si="225"/>
        <v>No</v>
      </c>
      <c r="G2907" t="str">
        <f t="shared" si="226"/>
        <v/>
      </c>
      <c r="H2907" t="str">
        <f t="shared" si="227"/>
        <v>—</v>
      </c>
      <c r="I2907" t="str">
        <f t="shared" si="228"/>
        <v>Below thresholds</v>
      </c>
      <c r="J2907" t="str">
        <f t="shared" si="229"/>
        <v/>
      </c>
    </row>
    <row r="2908" spans="1:10" x14ac:dyDescent="0.2">
      <c r="A2908">
        <v>227149271413</v>
      </c>
      <c r="B2908" t="s">
        <v>6398</v>
      </c>
      <c r="C2908" t="s">
        <v>6399</v>
      </c>
      <c r="D2908">
        <v>2.99</v>
      </c>
      <c r="F2908" t="str">
        <f t="shared" si="225"/>
        <v>No</v>
      </c>
      <c r="G2908" t="str">
        <f t="shared" si="226"/>
        <v/>
      </c>
      <c r="H2908" t="str">
        <f t="shared" si="227"/>
        <v>—</v>
      </c>
      <c r="I2908" t="str">
        <f t="shared" si="228"/>
        <v>Below thresholds</v>
      </c>
      <c r="J2908" t="str">
        <f t="shared" si="229"/>
        <v/>
      </c>
    </row>
    <row r="2909" spans="1:10" x14ac:dyDescent="0.2">
      <c r="A2909">
        <v>227149271426</v>
      </c>
      <c r="B2909" t="s">
        <v>6400</v>
      </c>
      <c r="C2909" t="s">
        <v>6401</v>
      </c>
      <c r="D2909">
        <v>1.49</v>
      </c>
      <c r="F2909" t="str">
        <f t="shared" si="225"/>
        <v>No</v>
      </c>
      <c r="G2909" t="str">
        <f t="shared" si="226"/>
        <v/>
      </c>
      <c r="H2909" t="str">
        <f t="shared" si="227"/>
        <v>—</v>
      </c>
      <c r="I2909" t="str">
        <f t="shared" si="228"/>
        <v>Below thresholds</v>
      </c>
      <c r="J2909" t="str">
        <f t="shared" si="229"/>
        <v/>
      </c>
    </row>
    <row r="2910" spans="1:10" x14ac:dyDescent="0.2">
      <c r="A2910">
        <v>227156183073</v>
      </c>
      <c r="B2910" t="s">
        <v>6402</v>
      </c>
      <c r="C2910" t="s">
        <v>6403</v>
      </c>
      <c r="D2910">
        <v>2.99</v>
      </c>
      <c r="F2910" t="str">
        <f t="shared" si="225"/>
        <v>No</v>
      </c>
      <c r="G2910" t="str">
        <f t="shared" si="226"/>
        <v/>
      </c>
      <c r="H2910" t="str">
        <f t="shared" si="227"/>
        <v>—</v>
      </c>
      <c r="I2910" t="str">
        <f t="shared" si="228"/>
        <v>Below thresholds</v>
      </c>
      <c r="J2910" t="str">
        <f t="shared" si="229"/>
        <v/>
      </c>
    </row>
    <row r="2911" spans="1:10" x14ac:dyDescent="0.2">
      <c r="A2911">
        <v>227156183160</v>
      </c>
      <c r="B2911" t="s">
        <v>6404</v>
      </c>
      <c r="C2911" t="s">
        <v>6405</v>
      </c>
      <c r="D2911">
        <v>2.5</v>
      </c>
      <c r="F2911" t="str">
        <f t="shared" si="225"/>
        <v>No</v>
      </c>
      <c r="G2911" t="str">
        <f t="shared" si="226"/>
        <v/>
      </c>
      <c r="H2911" t="str">
        <f t="shared" si="227"/>
        <v>—</v>
      </c>
      <c r="I2911" t="str">
        <f t="shared" si="228"/>
        <v>Below thresholds</v>
      </c>
      <c r="J2911" t="str">
        <f t="shared" si="229"/>
        <v/>
      </c>
    </row>
    <row r="2912" spans="1:10" x14ac:dyDescent="0.2">
      <c r="A2912">
        <v>227156183182</v>
      </c>
      <c r="B2912" t="s">
        <v>282</v>
      </c>
      <c r="C2912" t="s">
        <v>6406</v>
      </c>
      <c r="D2912">
        <v>2.25</v>
      </c>
      <c r="F2912" t="str">
        <f t="shared" si="225"/>
        <v>No</v>
      </c>
      <c r="G2912" t="str">
        <f t="shared" si="226"/>
        <v/>
      </c>
      <c r="H2912" t="str">
        <f t="shared" si="227"/>
        <v>—</v>
      </c>
      <c r="I2912" t="str">
        <f t="shared" si="228"/>
        <v>Below thresholds</v>
      </c>
      <c r="J2912" t="str">
        <f t="shared" si="229"/>
        <v/>
      </c>
    </row>
    <row r="2913" spans="1:10" x14ac:dyDescent="0.2">
      <c r="A2913">
        <v>227156183191</v>
      </c>
      <c r="B2913" t="s">
        <v>6407</v>
      </c>
      <c r="C2913" t="s">
        <v>6408</v>
      </c>
      <c r="D2913">
        <v>1.99</v>
      </c>
      <c r="F2913" t="str">
        <f t="shared" si="225"/>
        <v>No</v>
      </c>
      <c r="G2913" t="str">
        <f t="shared" si="226"/>
        <v/>
      </c>
      <c r="H2913" t="str">
        <f t="shared" si="227"/>
        <v>—</v>
      </c>
      <c r="I2913" t="str">
        <f t="shared" si="228"/>
        <v>Below thresholds</v>
      </c>
      <c r="J2913" t="str">
        <f t="shared" si="229"/>
        <v/>
      </c>
    </row>
    <row r="2914" spans="1:10" x14ac:dyDescent="0.2">
      <c r="A2914">
        <v>227156183238</v>
      </c>
      <c r="B2914" t="s">
        <v>6409</v>
      </c>
      <c r="C2914" t="s">
        <v>6410</v>
      </c>
      <c r="D2914">
        <v>2.25</v>
      </c>
      <c r="F2914" t="str">
        <f t="shared" si="225"/>
        <v>No</v>
      </c>
      <c r="G2914" t="str">
        <f t="shared" si="226"/>
        <v/>
      </c>
      <c r="H2914" t="str">
        <f t="shared" si="227"/>
        <v>—</v>
      </c>
      <c r="I2914" t="str">
        <f t="shared" si="228"/>
        <v>Below thresholds</v>
      </c>
      <c r="J2914" t="str">
        <f t="shared" si="229"/>
        <v/>
      </c>
    </row>
    <row r="2915" spans="1:10" x14ac:dyDescent="0.2">
      <c r="A2915">
        <v>227156183244</v>
      </c>
      <c r="B2915" t="s">
        <v>6411</v>
      </c>
      <c r="C2915" t="s">
        <v>6412</v>
      </c>
      <c r="D2915">
        <v>1.25</v>
      </c>
      <c r="F2915" t="str">
        <f t="shared" si="225"/>
        <v>No</v>
      </c>
      <c r="G2915" t="str">
        <f t="shared" si="226"/>
        <v/>
      </c>
      <c r="H2915" t="str">
        <f t="shared" si="227"/>
        <v>—</v>
      </c>
      <c r="I2915" t="str">
        <f t="shared" si="228"/>
        <v>Below thresholds</v>
      </c>
      <c r="J2915" t="str">
        <f t="shared" si="229"/>
        <v/>
      </c>
    </row>
    <row r="2916" spans="1:10" x14ac:dyDescent="0.2">
      <c r="A2916">
        <v>227156183256</v>
      </c>
      <c r="B2916" t="s">
        <v>6413</v>
      </c>
      <c r="C2916" t="s">
        <v>6414</v>
      </c>
      <c r="D2916">
        <v>1.25</v>
      </c>
      <c r="F2916" t="str">
        <f t="shared" si="225"/>
        <v>No</v>
      </c>
      <c r="G2916" t="str">
        <f t="shared" si="226"/>
        <v/>
      </c>
      <c r="H2916" t="str">
        <f t="shared" si="227"/>
        <v>—</v>
      </c>
      <c r="I2916" t="str">
        <f t="shared" si="228"/>
        <v>Below thresholds</v>
      </c>
      <c r="J2916" t="str">
        <f t="shared" si="229"/>
        <v/>
      </c>
    </row>
    <row r="2917" spans="1:10" x14ac:dyDescent="0.2">
      <c r="A2917">
        <v>227156183276</v>
      </c>
      <c r="B2917" t="s">
        <v>6415</v>
      </c>
      <c r="C2917" t="s">
        <v>6416</v>
      </c>
      <c r="D2917">
        <v>1.99</v>
      </c>
      <c r="F2917" t="str">
        <f t="shared" si="225"/>
        <v>No</v>
      </c>
      <c r="G2917" t="str">
        <f t="shared" si="226"/>
        <v/>
      </c>
      <c r="H2917" t="str">
        <f t="shared" si="227"/>
        <v>—</v>
      </c>
      <c r="I2917" t="str">
        <f t="shared" si="228"/>
        <v>Below thresholds</v>
      </c>
      <c r="J2917" t="str">
        <f t="shared" si="229"/>
        <v/>
      </c>
    </row>
    <row r="2918" spans="1:10" x14ac:dyDescent="0.2">
      <c r="A2918">
        <v>227156183300</v>
      </c>
      <c r="B2918" t="s">
        <v>6417</v>
      </c>
      <c r="C2918" t="s">
        <v>6418</v>
      </c>
      <c r="D2918">
        <v>1.59</v>
      </c>
      <c r="F2918" t="str">
        <f t="shared" si="225"/>
        <v>No</v>
      </c>
      <c r="G2918" t="str">
        <f t="shared" si="226"/>
        <v/>
      </c>
      <c r="H2918" t="str">
        <f t="shared" si="227"/>
        <v>—</v>
      </c>
      <c r="I2918" t="str">
        <f t="shared" si="228"/>
        <v>Below thresholds</v>
      </c>
      <c r="J2918" t="str">
        <f t="shared" si="229"/>
        <v/>
      </c>
    </row>
    <row r="2919" spans="1:10" x14ac:dyDescent="0.2">
      <c r="A2919">
        <v>227156183319</v>
      </c>
      <c r="B2919" t="s">
        <v>6419</v>
      </c>
      <c r="C2919" t="s">
        <v>6420</v>
      </c>
      <c r="D2919">
        <v>3</v>
      </c>
      <c r="F2919" t="str">
        <f t="shared" si="225"/>
        <v>No</v>
      </c>
      <c r="G2919" t="str">
        <f t="shared" si="226"/>
        <v/>
      </c>
      <c r="H2919" t="str">
        <f t="shared" si="227"/>
        <v>—</v>
      </c>
      <c r="I2919" t="str">
        <f t="shared" si="228"/>
        <v>Below thresholds</v>
      </c>
      <c r="J2919" t="str">
        <f t="shared" si="229"/>
        <v/>
      </c>
    </row>
    <row r="2920" spans="1:10" x14ac:dyDescent="0.2">
      <c r="A2920">
        <v>227156183320</v>
      </c>
      <c r="B2920" t="s">
        <v>6421</v>
      </c>
      <c r="C2920" t="s">
        <v>6422</v>
      </c>
      <c r="D2920">
        <v>5</v>
      </c>
      <c r="F2920" t="str">
        <f t="shared" si="225"/>
        <v>No</v>
      </c>
      <c r="G2920" t="str">
        <f t="shared" si="226"/>
        <v/>
      </c>
      <c r="H2920" t="str">
        <f t="shared" si="227"/>
        <v>—</v>
      </c>
      <c r="I2920" t="str">
        <f t="shared" si="228"/>
        <v>Below thresholds</v>
      </c>
      <c r="J2920" t="str">
        <f t="shared" si="229"/>
        <v/>
      </c>
    </row>
    <row r="2921" spans="1:10" x14ac:dyDescent="0.2">
      <c r="A2921">
        <v>227156183325</v>
      </c>
      <c r="B2921" t="s">
        <v>6423</v>
      </c>
      <c r="C2921" t="s">
        <v>6424</v>
      </c>
      <c r="D2921">
        <v>2.99</v>
      </c>
      <c r="F2921" t="str">
        <f t="shared" si="225"/>
        <v>No</v>
      </c>
      <c r="G2921" t="str">
        <f t="shared" si="226"/>
        <v/>
      </c>
      <c r="H2921" t="str">
        <f t="shared" si="227"/>
        <v>—</v>
      </c>
      <c r="I2921" t="str">
        <f t="shared" si="228"/>
        <v>Below thresholds</v>
      </c>
      <c r="J2921" t="str">
        <f t="shared" si="229"/>
        <v/>
      </c>
    </row>
    <row r="2922" spans="1:10" x14ac:dyDescent="0.2">
      <c r="A2922">
        <v>227156183352</v>
      </c>
      <c r="B2922" t="s">
        <v>6425</v>
      </c>
      <c r="C2922" t="s">
        <v>6426</v>
      </c>
      <c r="D2922">
        <v>1.79</v>
      </c>
      <c r="F2922" t="str">
        <f t="shared" si="225"/>
        <v>No</v>
      </c>
      <c r="G2922" t="str">
        <f t="shared" si="226"/>
        <v/>
      </c>
      <c r="H2922" t="str">
        <f t="shared" si="227"/>
        <v>—</v>
      </c>
      <c r="I2922" t="str">
        <f t="shared" si="228"/>
        <v>Below thresholds</v>
      </c>
      <c r="J2922" t="str">
        <f t="shared" si="229"/>
        <v/>
      </c>
    </row>
    <row r="2923" spans="1:10" x14ac:dyDescent="0.2">
      <c r="A2923">
        <v>227156183360</v>
      </c>
      <c r="B2923" t="s">
        <v>6427</v>
      </c>
      <c r="C2923" t="s">
        <v>6428</v>
      </c>
      <c r="D2923">
        <v>1.5</v>
      </c>
      <c r="F2923" t="str">
        <f t="shared" si="225"/>
        <v>No</v>
      </c>
      <c r="G2923" t="str">
        <f t="shared" si="226"/>
        <v/>
      </c>
      <c r="H2923" t="str">
        <f t="shared" si="227"/>
        <v>—</v>
      </c>
      <c r="I2923" t="str">
        <f t="shared" si="228"/>
        <v>Below thresholds</v>
      </c>
      <c r="J2923" t="str">
        <f t="shared" si="229"/>
        <v/>
      </c>
    </row>
    <row r="2924" spans="1:10" x14ac:dyDescent="0.2">
      <c r="A2924">
        <v>227156183363</v>
      </c>
      <c r="B2924" t="s">
        <v>6429</v>
      </c>
      <c r="C2924" t="s">
        <v>6430</v>
      </c>
      <c r="D2924">
        <v>4</v>
      </c>
      <c r="F2924" t="str">
        <f t="shared" si="225"/>
        <v>No</v>
      </c>
      <c r="G2924" t="str">
        <f t="shared" si="226"/>
        <v/>
      </c>
      <c r="H2924" t="str">
        <f t="shared" si="227"/>
        <v>—</v>
      </c>
      <c r="I2924" t="str">
        <f t="shared" si="228"/>
        <v>Below thresholds</v>
      </c>
      <c r="J2924" t="str">
        <f t="shared" si="229"/>
        <v/>
      </c>
    </row>
    <row r="2925" spans="1:10" x14ac:dyDescent="0.2">
      <c r="A2925">
        <v>227156183374</v>
      </c>
      <c r="B2925" t="s">
        <v>6431</v>
      </c>
      <c r="C2925" t="s">
        <v>6432</v>
      </c>
      <c r="D2925">
        <v>2</v>
      </c>
      <c r="F2925" t="str">
        <f t="shared" si="225"/>
        <v>No</v>
      </c>
      <c r="G2925" t="str">
        <f t="shared" si="226"/>
        <v/>
      </c>
      <c r="H2925" t="str">
        <f t="shared" si="227"/>
        <v>—</v>
      </c>
      <c r="I2925" t="str">
        <f t="shared" si="228"/>
        <v>Below thresholds</v>
      </c>
      <c r="J2925" t="str">
        <f t="shared" si="229"/>
        <v/>
      </c>
    </row>
    <row r="2926" spans="1:10" x14ac:dyDescent="0.2">
      <c r="A2926">
        <v>227156183380</v>
      </c>
      <c r="B2926" t="s">
        <v>6433</v>
      </c>
      <c r="C2926" t="s">
        <v>6434</v>
      </c>
      <c r="D2926">
        <v>1.59</v>
      </c>
      <c r="F2926" t="str">
        <f t="shared" si="225"/>
        <v>No</v>
      </c>
      <c r="G2926" t="str">
        <f t="shared" si="226"/>
        <v/>
      </c>
      <c r="H2926" t="str">
        <f t="shared" si="227"/>
        <v>—</v>
      </c>
      <c r="I2926" t="str">
        <f t="shared" si="228"/>
        <v>Below thresholds</v>
      </c>
      <c r="J2926" t="str">
        <f t="shared" si="229"/>
        <v/>
      </c>
    </row>
    <row r="2927" spans="1:10" x14ac:dyDescent="0.2">
      <c r="A2927">
        <v>227156183393</v>
      </c>
      <c r="B2927" t="s">
        <v>6435</v>
      </c>
      <c r="C2927" t="s">
        <v>6436</v>
      </c>
      <c r="D2927">
        <v>2</v>
      </c>
      <c r="F2927" t="str">
        <f t="shared" si="225"/>
        <v>No</v>
      </c>
      <c r="G2927" t="str">
        <f t="shared" si="226"/>
        <v/>
      </c>
      <c r="H2927" t="str">
        <f t="shared" si="227"/>
        <v>—</v>
      </c>
      <c r="I2927" t="str">
        <f t="shared" si="228"/>
        <v>Below thresholds</v>
      </c>
      <c r="J2927" t="str">
        <f t="shared" si="229"/>
        <v/>
      </c>
    </row>
    <row r="2928" spans="1:10" x14ac:dyDescent="0.2">
      <c r="A2928">
        <v>227156183401</v>
      </c>
      <c r="B2928" t="s">
        <v>6437</v>
      </c>
      <c r="C2928" t="s">
        <v>6438</v>
      </c>
      <c r="D2928">
        <v>2.5</v>
      </c>
      <c r="F2928" t="str">
        <f t="shared" si="225"/>
        <v>No</v>
      </c>
      <c r="G2928" t="str">
        <f t="shared" si="226"/>
        <v/>
      </c>
      <c r="H2928" t="str">
        <f t="shared" si="227"/>
        <v>—</v>
      </c>
      <c r="I2928" t="str">
        <f t="shared" si="228"/>
        <v>Below thresholds</v>
      </c>
      <c r="J2928" t="str">
        <f t="shared" si="229"/>
        <v/>
      </c>
    </row>
    <row r="2929" spans="1:10" x14ac:dyDescent="0.2">
      <c r="A2929">
        <v>227156183408</v>
      </c>
      <c r="B2929" t="s">
        <v>6439</v>
      </c>
      <c r="C2929" t="s">
        <v>6440</v>
      </c>
      <c r="D2929">
        <v>3</v>
      </c>
      <c r="F2929" t="str">
        <f t="shared" si="225"/>
        <v>No</v>
      </c>
      <c r="G2929" t="str">
        <f t="shared" si="226"/>
        <v/>
      </c>
      <c r="H2929" t="str">
        <f t="shared" si="227"/>
        <v>—</v>
      </c>
      <c r="I2929" t="str">
        <f t="shared" si="228"/>
        <v>Below thresholds</v>
      </c>
      <c r="J2929" t="str">
        <f t="shared" si="229"/>
        <v/>
      </c>
    </row>
    <row r="2930" spans="1:10" x14ac:dyDescent="0.2">
      <c r="A2930">
        <v>227156183419</v>
      </c>
      <c r="B2930" t="s">
        <v>6441</v>
      </c>
      <c r="C2930" t="s">
        <v>6442</v>
      </c>
      <c r="D2930">
        <v>1.99</v>
      </c>
      <c r="F2930" t="str">
        <f t="shared" si="225"/>
        <v>No</v>
      </c>
      <c r="G2930" t="str">
        <f t="shared" si="226"/>
        <v/>
      </c>
      <c r="H2930" t="str">
        <f t="shared" si="227"/>
        <v>—</v>
      </c>
      <c r="I2930" t="str">
        <f t="shared" si="228"/>
        <v>Below thresholds</v>
      </c>
      <c r="J2930" t="str">
        <f t="shared" si="229"/>
        <v/>
      </c>
    </row>
    <row r="2931" spans="1:10" x14ac:dyDescent="0.2">
      <c r="A2931">
        <v>227156183427</v>
      </c>
      <c r="B2931" t="s">
        <v>6443</v>
      </c>
      <c r="C2931" t="s">
        <v>6444</v>
      </c>
      <c r="D2931">
        <v>2</v>
      </c>
      <c r="F2931" t="str">
        <f t="shared" si="225"/>
        <v>No</v>
      </c>
      <c r="G2931" t="str">
        <f t="shared" si="226"/>
        <v/>
      </c>
      <c r="H2931" t="str">
        <f t="shared" si="227"/>
        <v>—</v>
      </c>
      <c r="I2931" t="str">
        <f t="shared" si="228"/>
        <v>Below thresholds</v>
      </c>
      <c r="J2931" t="str">
        <f t="shared" si="229"/>
        <v/>
      </c>
    </row>
    <row r="2932" spans="1:10" x14ac:dyDescent="0.2">
      <c r="A2932">
        <v>227156183445</v>
      </c>
      <c r="B2932" t="s">
        <v>6445</v>
      </c>
      <c r="C2932" t="s">
        <v>6446</v>
      </c>
      <c r="D2932">
        <v>1.99</v>
      </c>
      <c r="F2932" t="str">
        <f t="shared" si="225"/>
        <v>No</v>
      </c>
      <c r="G2932" t="str">
        <f t="shared" si="226"/>
        <v/>
      </c>
      <c r="H2932" t="str">
        <f t="shared" si="227"/>
        <v>—</v>
      </c>
      <c r="I2932" t="str">
        <f t="shared" si="228"/>
        <v>Below thresholds</v>
      </c>
      <c r="J2932" t="str">
        <f t="shared" si="229"/>
        <v/>
      </c>
    </row>
    <row r="2933" spans="1:10" x14ac:dyDescent="0.2">
      <c r="A2933">
        <v>227156183456</v>
      </c>
      <c r="B2933" t="s">
        <v>6447</v>
      </c>
      <c r="C2933" t="s">
        <v>6448</v>
      </c>
      <c r="D2933">
        <v>1.99</v>
      </c>
      <c r="F2933" t="str">
        <f t="shared" si="225"/>
        <v>No</v>
      </c>
      <c r="G2933" t="str">
        <f t="shared" si="226"/>
        <v/>
      </c>
      <c r="H2933" t="str">
        <f t="shared" si="227"/>
        <v>—</v>
      </c>
      <c r="I2933" t="str">
        <f t="shared" si="228"/>
        <v>Below thresholds</v>
      </c>
      <c r="J2933" t="str">
        <f t="shared" si="229"/>
        <v/>
      </c>
    </row>
    <row r="2934" spans="1:10" x14ac:dyDescent="0.2">
      <c r="A2934">
        <v>227156183460</v>
      </c>
      <c r="B2934" t="s">
        <v>6449</v>
      </c>
      <c r="C2934" t="s">
        <v>6450</v>
      </c>
      <c r="D2934">
        <v>2.25</v>
      </c>
      <c r="F2934" t="str">
        <f t="shared" si="225"/>
        <v>No</v>
      </c>
      <c r="G2934" t="str">
        <f t="shared" si="226"/>
        <v/>
      </c>
      <c r="H2934" t="str">
        <f t="shared" si="227"/>
        <v>—</v>
      </c>
      <c r="I2934" t="str">
        <f t="shared" si="228"/>
        <v>Below thresholds</v>
      </c>
      <c r="J2934" t="str">
        <f t="shared" si="229"/>
        <v/>
      </c>
    </row>
    <row r="2935" spans="1:10" x14ac:dyDescent="0.2">
      <c r="A2935">
        <v>227156183467</v>
      </c>
      <c r="B2935" t="s">
        <v>6451</v>
      </c>
      <c r="C2935" t="s">
        <v>6452</v>
      </c>
      <c r="D2935">
        <v>2.25</v>
      </c>
      <c r="F2935" t="str">
        <f t="shared" si="225"/>
        <v>No</v>
      </c>
      <c r="G2935" t="str">
        <f t="shared" si="226"/>
        <v/>
      </c>
      <c r="H2935" t="str">
        <f t="shared" si="227"/>
        <v>—</v>
      </c>
      <c r="I2935" t="str">
        <f t="shared" si="228"/>
        <v>Below thresholds</v>
      </c>
      <c r="J2935" t="str">
        <f t="shared" si="229"/>
        <v/>
      </c>
    </row>
    <row r="2936" spans="1:10" x14ac:dyDescent="0.2">
      <c r="A2936">
        <v>227163314724</v>
      </c>
      <c r="B2936" t="s">
        <v>6453</v>
      </c>
      <c r="C2936" t="s">
        <v>6454</v>
      </c>
      <c r="D2936">
        <v>1.89</v>
      </c>
      <c r="F2936" t="str">
        <f t="shared" si="225"/>
        <v>No</v>
      </c>
      <c r="G2936" t="str">
        <f t="shared" si="226"/>
        <v/>
      </c>
      <c r="H2936" t="str">
        <f t="shared" si="227"/>
        <v>—</v>
      </c>
      <c r="I2936" t="str">
        <f t="shared" si="228"/>
        <v>Below thresholds</v>
      </c>
      <c r="J2936" t="str">
        <f t="shared" si="229"/>
        <v/>
      </c>
    </row>
    <row r="2937" spans="1:10" x14ac:dyDescent="0.2">
      <c r="A2937">
        <v>227163314726</v>
      </c>
      <c r="B2937" t="s">
        <v>6455</v>
      </c>
      <c r="C2937" t="s">
        <v>6456</v>
      </c>
      <c r="D2937">
        <v>2.59</v>
      </c>
      <c r="F2937" t="str">
        <f t="shared" si="225"/>
        <v>No</v>
      </c>
      <c r="G2937" t="str">
        <f t="shared" si="226"/>
        <v/>
      </c>
      <c r="H2937" t="str">
        <f t="shared" si="227"/>
        <v>—</v>
      </c>
      <c r="I2937" t="str">
        <f t="shared" si="228"/>
        <v>Below thresholds</v>
      </c>
      <c r="J2937" t="str">
        <f t="shared" si="229"/>
        <v/>
      </c>
    </row>
    <row r="2938" spans="1:10" x14ac:dyDescent="0.2">
      <c r="A2938">
        <v>227163314727</v>
      </c>
      <c r="B2938" t="s">
        <v>6457</v>
      </c>
      <c r="C2938" t="s">
        <v>6458</v>
      </c>
      <c r="D2938">
        <v>2.25</v>
      </c>
      <c r="F2938" t="str">
        <f t="shared" si="225"/>
        <v>No</v>
      </c>
      <c r="G2938" t="str">
        <f t="shared" si="226"/>
        <v/>
      </c>
      <c r="H2938" t="str">
        <f t="shared" si="227"/>
        <v>—</v>
      </c>
      <c r="I2938" t="str">
        <f t="shared" si="228"/>
        <v>Below thresholds</v>
      </c>
      <c r="J2938" t="str">
        <f t="shared" si="229"/>
        <v/>
      </c>
    </row>
    <row r="2939" spans="1:10" x14ac:dyDescent="0.2">
      <c r="A2939">
        <v>227163314734</v>
      </c>
      <c r="B2939" t="s">
        <v>6459</v>
      </c>
      <c r="C2939" t="s">
        <v>6460</v>
      </c>
      <c r="D2939">
        <v>1.49</v>
      </c>
      <c r="F2939" t="str">
        <f t="shared" si="225"/>
        <v>No</v>
      </c>
      <c r="G2939" t="str">
        <f t="shared" si="226"/>
        <v/>
      </c>
      <c r="H2939" t="str">
        <f t="shared" si="227"/>
        <v>—</v>
      </c>
      <c r="I2939" t="str">
        <f t="shared" si="228"/>
        <v>Below thresholds</v>
      </c>
      <c r="J2939" t="str">
        <f t="shared" si="229"/>
        <v/>
      </c>
    </row>
    <row r="2940" spans="1:10" x14ac:dyDescent="0.2">
      <c r="A2940">
        <v>227163314741</v>
      </c>
      <c r="B2940" t="s">
        <v>6461</v>
      </c>
      <c r="C2940" t="s">
        <v>6462</v>
      </c>
      <c r="D2940">
        <v>1.45</v>
      </c>
      <c r="F2940" t="str">
        <f t="shared" si="225"/>
        <v>No</v>
      </c>
      <c r="G2940" t="str">
        <f t="shared" si="226"/>
        <v/>
      </c>
      <c r="H2940" t="str">
        <f t="shared" si="227"/>
        <v>—</v>
      </c>
      <c r="I2940" t="str">
        <f t="shared" si="228"/>
        <v>Below thresholds</v>
      </c>
      <c r="J2940" t="str">
        <f t="shared" si="229"/>
        <v/>
      </c>
    </row>
    <row r="2941" spans="1:10" x14ac:dyDescent="0.2">
      <c r="A2941">
        <v>227163314743</v>
      </c>
      <c r="B2941" t="s">
        <v>6463</v>
      </c>
      <c r="C2941" t="s">
        <v>6464</v>
      </c>
      <c r="D2941">
        <v>2.5</v>
      </c>
      <c r="F2941" t="str">
        <f t="shared" si="225"/>
        <v>No</v>
      </c>
      <c r="G2941" t="str">
        <f t="shared" si="226"/>
        <v/>
      </c>
      <c r="H2941" t="str">
        <f t="shared" si="227"/>
        <v>—</v>
      </c>
      <c r="I2941" t="str">
        <f t="shared" si="228"/>
        <v>Below thresholds</v>
      </c>
      <c r="J2941" t="str">
        <f t="shared" si="229"/>
        <v/>
      </c>
    </row>
    <row r="2942" spans="1:10" x14ac:dyDescent="0.2">
      <c r="A2942">
        <v>227163314750</v>
      </c>
      <c r="B2942" t="s">
        <v>6465</v>
      </c>
      <c r="C2942" t="s">
        <v>6466</v>
      </c>
      <c r="D2942">
        <v>1.99</v>
      </c>
      <c r="F2942" t="str">
        <f t="shared" si="225"/>
        <v>No</v>
      </c>
      <c r="G2942" t="str">
        <f t="shared" si="226"/>
        <v/>
      </c>
      <c r="H2942" t="str">
        <f t="shared" si="227"/>
        <v>—</v>
      </c>
      <c r="I2942" t="str">
        <f t="shared" si="228"/>
        <v>Below thresholds</v>
      </c>
      <c r="J2942" t="str">
        <f t="shared" si="229"/>
        <v/>
      </c>
    </row>
    <row r="2943" spans="1:10" x14ac:dyDescent="0.2">
      <c r="A2943">
        <v>227163314754</v>
      </c>
      <c r="B2943" t="s">
        <v>6467</v>
      </c>
      <c r="C2943" t="s">
        <v>6468</v>
      </c>
      <c r="D2943">
        <v>1.99</v>
      </c>
      <c r="F2943" t="str">
        <f t="shared" si="225"/>
        <v>No</v>
      </c>
      <c r="G2943" t="str">
        <f t="shared" si="226"/>
        <v/>
      </c>
      <c r="H2943" t="str">
        <f t="shared" si="227"/>
        <v>—</v>
      </c>
      <c r="I2943" t="str">
        <f t="shared" si="228"/>
        <v>Below thresholds</v>
      </c>
      <c r="J2943" t="str">
        <f t="shared" si="229"/>
        <v/>
      </c>
    </row>
    <row r="2944" spans="1:10" x14ac:dyDescent="0.2">
      <c r="A2944">
        <v>227163314766</v>
      </c>
      <c r="B2944" t="s">
        <v>318</v>
      </c>
      <c r="C2944" t="s">
        <v>6469</v>
      </c>
      <c r="D2944">
        <v>2.25</v>
      </c>
      <c r="F2944" t="str">
        <f t="shared" si="225"/>
        <v>No</v>
      </c>
      <c r="G2944" t="str">
        <f t="shared" si="226"/>
        <v/>
      </c>
      <c r="H2944" t="str">
        <f t="shared" si="227"/>
        <v>—</v>
      </c>
      <c r="I2944" t="str">
        <f t="shared" si="228"/>
        <v>Below thresholds</v>
      </c>
      <c r="J2944" t="str">
        <f t="shared" si="229"/>
        <v/>
      </c>
    </row>
    <row r="2945" spans="1:10" x14ac:dyDescent="0.2">
      <c r="A2945">
        <v>227163314767</v>
      </c>
      <c r="B2945" t="s">
        <v>6470</v>
      </c>
      <c r="C2945" t="s">
        <v>6471</v>
      </c>
      <c r="D2945">
        <v>2.4900000000000002</v>
      </c>
      <c r="F2945" t="str">
        <f t="shared" si="225"/>
        <v>No</v>
      </c>
      <c r="G2945" t="str">
        <f t="shared" si="226"/>
        <v/>
      </c>
      <c r="H2945" t="str">
        <f t="shared" si="227"/>
        <v>—</v>
      </c>
      <c r="I2945" t="str">
        <f t="shared" si="228"/>
        <v>Below thresholds</v>
      </c>
      <c r="J2945" t="str">
        <f t="shared" si="229"/>
        <v/>
      </c>
    </row>
    <row r="2946" spans="1:10" x14ac:dyDescent="0.2">
      <c r="A2946">
        <v>227163314769</v>
      </c>
      <c r="B2946" t="s">
        <v>6472</v>
      </c>
      <c r="C2946" t="s">
        <v>6473</v>
      </c>
      <c r="D2946">
        <v>2.85</v>
      </c>
      <c r="F2946" t="str">
        <f t="shared" si="225"/>
        <v>No</v>
      </c>
      <c r="G2946" t="str">
        <f t="shared" si="226"/>
        <v/>
      </c>
      <c r="H2946" t="str">
        <f t="shared" si="227"/>
        <v>—</v>
      </c>
      <c r="I2946" t="str">
        <f t="shared" si="228"/>
        <v>Below thresholds</v>
      </c>
      <c r="J2946" t="str">
        <f t="shared" si="229"/>
        <v/>
      </c>
    </row>
    <row r="2947" spans="1:10" x14ac:dyDescent="0.2">
      <c r="A2947">
        <v>227170321052</v>
      </c>
      <c r="B2947" t="s">
        <v>287</v>
      </c>
      <c r="C2947" t="s">
        <v>6474</v>
      </c>
      <c r="D2947">
        <v>2</v>
      </c>
      <c r="F2947" t="str">
        <f t="shared" si="225"/>
        <v>No</v>
      </c>
      <c r="G2947" t="str">
        <f t="shared" si="226"/>
        <v/>
      </c>
      <c r="H2947" t="str">
        <f t="shared" si="227"/>
        <v>—</v>
      </c>
      <c r="I2947" t="str">
        <f t="shared" si="228"/>
        <v>Below thresholds</v>
      </c>
      <c r="J2947" t="str">
        <f t="shared" si="229"/>
        <v/>
      </c>
    </row>
    <row r="2948" spans="1:10" x14ac:dyDescent="0.2">
      <c r="A2948">
        <v>227170321119</v>
      </c>
      <c r="B2948" t="s">
        <v>6475</v>
      </c>
      <c r="C2948" t="s">
        <v>6476</v>
      </c>
      <c r="D2948">
        <v>1.75</v>
      </c>
      <c r="F2948" t="str">
        <f t="shared" si="225"/>
        <v>No</v>
      </c>
      <c r="G2948" t="str">
        <f t="shared" si="226"/>
        <v/>
      </c>
      <c r="H2948" t="str">
        <f t="shared" si="227"/>
        <v>—</v>
      </c>
      <c r="I2948" t="str">
        <f t="shared" si="228"/>
        <v>Below thresholds</v>
      </c>
      <c r="J2948" t="str">
        <f t="shared" si="229"/>
        <v/>
      </c>
    </row>
    <row r="2949" spans="1:10" x14ac:dyDescent="0.2">
      <c r="A2949">
        <v>227170321146</v>
      </c>
      <c r="B2949" t="s">
        <v>6477</v>
      </c>
      <c r="C2949" t="s">
        <v>6478</v>
      </c>
      <c r="D2949">
        <v>1.99</v>
      </c>
      <c r="F2949" t="str">
        <f t="shared" ref="F2949:F3012" si="230">IF($B2949="","",IF(ISNUMBER(SEARCH("PSA",$B2949)),"Yes","No"))</f>
        <v>No</v>
      </c>
      <c r="G2949" t="str">
        <f t="shared" ref="G2949:G3012" si="231">IF($B2949="","",IF(ISNUMBER(SEARCH("PSA 10",$B2949)),10,IF(ISNUMBER(SEARCH("PSA 9.5",$B2949)),9.5,IF(ISNUMBER(SEARCH("PSA 9",$B2949)),9,IF(ISNUMBER(SEARCH("PSA 8",$B2949)),8,IF(ISNUMBER(SEARCH("PSA",$B2949)),"&lt;9",""))))))</f>
        <v/>
      </c>
      <c r="H2949" t="str">
        <f t="shared" ref="H2949:H3012" si="232">IF($B2949="","",IF($D2949&gt;=100,"TIER 2",IF(OR(ISNUMBER(SEARCH("PSA 10",$B2949)),ISNUMBER(SEARCH("PSA 9.5",$B2949)),ISNUMBER(SEARCH("PSA 9",$B2949))),"TIER 3",IF(AND($D2949&gt;20,N($E2949)&gt;=15),"TIER 1","—"))))</f>
        <v>—</v>
      </c>
      <c r="I2949" t="str">
        <f t="shared" ref="I2949:I3012" si="233">IF($B2949="","",IF($D2949&gt;=100,"Premium $100+ (auto)",IF(OR(ISNUMBER(SEARCH("PSA 10",$B2949)),ISNUMBER(SEARCH("PSA 9.5",$B2949)),ISNUMBER(SEARCH("PSA 9",$B2949))),"Graded PSA 9+ (auto)",IF(AND($D2949&gt;20,N($E2949)&gt;=15),"Hot: $20+ &amp; "&amp;$E2949&amp;"/day",IF($D2949&gt;20,"$20+ — needs velocity check","Below thresholds")))))</f>
        <v>Below thresholds</v>
      </c>
      <c r="J2949" t="str">
        <f t="shared" ref="J2949:J3012" si="234">IF($B2949="","",IF(AND($D2949&gt;20,$D2949&lt;100,NOT(OR(ISNUMBER(SEARCH("PSA 10",$B2949)),ISNUMBER(SEARCH("PSA 9.5",$B2949)),ISNUMBER(SEARCH("PSA 9",$B2949)))),$E2949=""),"YES — pull CardHedger",""))</f>
        <v/>
      </c>
    </row>
    <row r="2950" spans="1:10" x14ac:dyDescent="0.2">
      <c r="A2950">
        <v>227170321200</v>
      </c>
      <c r="B2950" t="s">
        <v>6479</v>
      </c>
      <c r="C2950" t="s">
        <v>6480</v>
      </c>
      <c r="D2950">
        <v>2</v>
      </c>
      <c r="F2950" t="str">
        <f t="shared" si="230"/>
        <v>No</v>
      </c>
      <c r="G2950" t="str">
        <f t="shared" si="231"/>
        <v/>
      </c>
      <c r="H2950" t="str">
        <f t="shared" si="232"/>
        <v>—</v>
      </c>
      <c r="I2950" t="str">
        <f t="shared" si="233"/>
        <v>Below thresholds</v>
      </c>
      <c r="J2950" t="str">
        <f t="shared" si="234"/>
        <v/>
      </c>
    </row>
    <row r="2951" spans="1:10" x14ac:dyDescent="0.2">
      <c r="A2951">
        <v>227170321202</v>
      </c>
      <c r="B2951" t="s">
        <v>6481</v>
      </c>
      <c r="C2951" t="s">
        <v>6482</v>
      </c>
      <c r="D2951">
        <v>1.75</v>
      </c>
      <c r="F2951" t="str">
        <f t="shared" si="230"/>
        <v>No</v>
      </c>
      <c r="G2951" t="str">
        <f t="shared" si="231"/>
        <v/>
      </c>
      <c r="H2951" t="str">
        <f t="shared" si="232"/>
        <v>—</v>
      </c>
      <c r="I2951" t="str">
        <f t="shared" si="233"/>
        <v>Below thresholds</v>
      </c>
      <c r="J2951" t="str">
        <f t="shared" si="234"/>
        <v/>
      </c>
    </row>
    <row r="2952" spans="1:10" x14ac:dyDescent="0.2">
      <c r="A2952">
        <v>227170321244</v>
      </c>
      <c r="B2952" t="s">
        <v>272</v>
      </c>
      <c r="C2952" t="s">
        <v>6483</v>
      </c>
      <c r="D2952">
        <v>4.99</v>
      </c>
      <c r="F2952" t="str">
        <f t="shared" si="230"/>
        <v>No</v>
      </c>
      <c r="G2952" t="str">
        <f t="shared" si="231"/>
        <v/>
      </c>
      <c r="H2952" t="str">
        <f t="shared" si="232"/>
        <v>—</v>
      </c>
      <c r="I2952" t="str">
        <f t="shared" si="233"/>
        <v>Below thresholds</v>
      </c>
      <c r="J2952" t="str">
        <f t="shared" si="234"/>
        <v/>
      </c>
    </row>
    <row r="2953" spans="1:10" x14ac:dyDescent="0.2">
      <c r="A2953">
        <v>227170321260</v>
      </c>
      <c r="B2953" t="s">
        <v>6484</v>
      </c>
      <c r="C2953" t="s">
        <v>6485</v>
      </c>
      <c r="D2953">
        <v>2.5</v>
      </c>
      <c r="F2953" t="str">
        <f t="shared" si="230"/>
        <v>No</v>
      </c>
      <c r="G2953" t="str">
        <f t="shared" si="231"/>
        <v/>
      </c>
      <c r="H2953" t="str">
        <f t="shared" si="232"/>
        <v>—</v>
      </c>
      <c r="I2953" t="str">
        <f t="shared" si="233"/>
        <v>Below thresholds</v>
      </c>
      <c r="J2953" t="str">
        <f t="shared" si="234"/>
        <v/>
      </c>
    </row>
    <row r="2954" spans="1:10" x14ac:dyDescent="0.2">
      <c r="A2954">
        <v>227170321282</v>
      </c>
      <c r="B2954" t="s">
        <v>6433</v>
      </c>
      <c r="C2954" t="s">
        <v>6486</v>
      </c>
      <c r="D2954">
        <v>1.75</v>
      </c>
      <c r="F2954" t="str">
        <f t="shared" si="230"/>
        <v>No</v>
      </c>
      <c r="G2954" t="str">
        <f t="shared" si="231"/>
        <v/>
      </c>
      <c r="H2954" t="str">
        <f t="shared" si="232"/>
        <v>—</v>
      </c>
      <c r="I2954" t="str">
        <f t="shared" si="233"/>
        <v>Below thresholds</v>
      </c>
      <c r="J2954" t="str">
        <f t="shared" si="234"/>
        <v/>
      </c>
    </row>
    <row r="2955" spans="1:10" x14ac:dyDescent="0.2">
      <c r="A2955">
        <v>227170321299</v>
      </c>
      <c r="B2955" t="s">
        <v>6487</v>
      </c>
      <c r="C2955" t="s">
        <v>6488</v>
      </c>
      <c r="D2955">
        <v>1.99</v>
      </c>
      <c r="F2955" t="str">
        <f t="shared" si="230"/>
        <v>No</v>
      </c>
      <c r="G2955" t="str">
        <f t="shared" si="231"/>
        <v/>
      </c>
      <c r="H2955" t="str">
        <f t="shared" si="232"/>
        <v>—</v>
      </c>
      <c r="I2955" t="str">
        <f t="shared" si="233"/>
        <v>Below thresholds</v>
      </c>
      <c r="J2955" t="str">
        <f t="shared" si="234"/>
        <v/>
      </c>
    </row>
    <row r="2956" spans="1:10" x14ac:dyDescent="0.2">
      <c r="A2956">
        <v>227170321311</v>
      </c>
      <c r="B2956" t="s">
        <v>6489</v>
      </c>
      <c r="C2956" t="s">
        <v>6490</v>
      </c>
      <c r="D2956">
        <v>1.5</v>
      </c>
      <c r="F2956" t="str">
        <f t="shared" si="230"/>
        <v>No</v>
      </c>
      <c r="G2956" t="str">
        <f t="shared" si="231"/>
        <v/>
      </c>
      <c r="H2956" t="str">
        <f t="shared" si="232"/>
        <v>—</v>
      </c>
      <c r="I2956" t="str">
        <f t="shared" si="233"/>
        <v>Below thresholds</v>
      </c>
      <c r="J2956" t="str">
        <f t="shared" si="234"/>
        <v/>
      </c>
    </row>
    <row r="2957" spans="1:10" x14ac:dyDescent="0.2">
      <c r="A2957">
        <v>227170321316</v>
      </c>
      <c r="B2957" t="s">
        <v>6491</v>
      </c>
      <c r="C2957" t="s">
        <v>6492</v>
      </c>
      <c r="D2957">
        <v>1.5</v>
      </c>
      <c r="F2957" t="str">
        <f t="shared" si="230"/>
        <v>No</v>
      </c>
      <c r="G2957" t="str">
        <f t="shared" si="231"/>
        <v/>
      </c>
      <c r="H2957" t="str">
        <f t="shared" si="232"/>
        <v>—</v>
      </c>
      <c r="I2957" t="str">
        <f t="shared" si="233"/>
        <v>Below thresholds</v>
      </c>
      <c r="J2957" t="str">
        <f t="shared" si="234"/>
        <v/>
      </c>
    </row>
    <row r="2958" spans="1:10" x14ac:dyDescent="0.2">
      <c r="A2958">
        <v>227170321378</v>
      </c>
      <c r="B2958" t="s">
        <v>6493</v>
      </c>
      <c r="C2958" t="s">
        <v>6494</v>
      </c>
      <c r="D2958">
        <v>2.25</v>
      </c>
      <c r="F2958" t="str">
        <f t="shared" si="230"/>
        <v>No</v>
      </c>
      <c r="G2958" t="str">
        <f t="shared" si="231"/>
        <v/>
      </c>
      <c r="H2958" t="str">
        <f t="shared" si="232"/>
        <v>—</v>
      </c>
      <c r="I2958" t="str">
        <f t="shared" si="233"/>
        <v>Below thresholds</v>
      </c>
      <c r="J2958" t="str">
        <f t="shared" si="234"/>
        <v/>
      </c>
    </row>
    <row r="2959" spans="1:10" x14ac:dyDescent="0.2">
      <c r="A2959">
        <v>227170321397</v>
      </c>
      <c r="B2959" t="s">
        <v>6495</v>
      </c>
      <c r="C2959" t="s">
        <v>6496</v>
      </c>
      <c r="D2959">
        <v>1.99</v>
      </c>
      <c r="F2959" t="str">
        <f t="shared" si="230"/>
        <v>No</v>
      </c>
      <c r="G2959" t="str">
        <f t="shared" si="231"/>
        <v/>
      </c>
      <c r="H2959" t="str">
        <f t="shared" si="232"/>
        <v>—</v>
      </c>
      <c r="I2959" t="str">
        <f t="shared" si="233"/>
        <v>Below thresholds</v>
      </c>
      <c r="J2959" t="str">
        <f t="shared" si="234"/>
        <v/>
      </c>
    </row>
    <row r="2960" spans="1:10" x14ac:dyDescent="0.2">
      <c r="A2960">
        <v>227170321403</v>
      </c>
      <c r="B2960" t="s">
        <v>6497</v>
      </c>
      <c r="C2960" t="s">
        <v>6498</v>
      </c>
      <c r="D2960">
        <v>2.99</v>
      </c>
      <c r="F2960" t="str">
        <f t="shared" si="230"/>
        <v>No</v>
      </c>
      <c r="G2960" t="str">
        <f t="shared" si="231"/>
        <v/>
      </c>
      <c r="H2960" t="str">
        <f t="shared" si="232"/>
        <v>—</v>
      </c>
      <c r="I2960" t="str">
        <f t="shared" si="233"/>
        <v>Below thresholds</v>
      </c>
      <c r="J2960" t="str">
        <f t="shared" si="234"/>
        <v/>
      </c>
    </row>
    <row r="2961" spans="1:10" x14ac:dyDescent="0.2">
      <c r="A2961">
        <v>227170321421</v>
      </c>
      <c r="B2961" t="s">
        <v>6499</v>
      </c>
      <c r="C2961" t="s">
        <v>6500</v>
      </c>
      <c r="D2961">
        <v>1.99</v>
      </c>
      <c r="F2961" t="str">
        <f t="shared" si="230"/>
        <v>No</v>
      </c>
      <c r="G2961" t="str">
        <f t="shared" si="231"/>
        <v/>
      </c>
      <c r="H2961" t="str">
        <f t="shared" si="232"/>
        <v>—</v>
      </c>
      <c r="I2961" t="str">
        <f t="shared" si="233"/>
        <v>Below thresholds</v>
      </c>
      <c r="J2961" t="str">
        <f t="shared" si="234"/>
        <v/>
      </c>
    </row>
    <row r="2962" spans="1:10" x14ac:dyDescent="0.2">
      <c r="A2962">
        <v>227170321487</v>
      </c>
      <c r="B2962" t="s">
        <v>6501</v>
      </c>
      <c r="C2962" t="s">
        <v>6502</v>
      </c>
      <c r="D2962">
        <v>2.99</v>
      </c>
      <c r="F2962" t="str">
        <f t="shared" si="230"/>
        <v>No</v>
      </c>
      <c r="G2962" t="str">
        <f t="shared" si="231"/>
        <v/>
      </c>
      <c r="H2962" t="str">
        <f t="shared" si="232"/>
        <v>—</v>
      </c>
      <c r="I2962" t="str">
        <f t="shared" si="233"/>
        <v>Below thresholds</v>
      </c>
      <c r="J2962" t="str">
        <f t="shared" si="234"/>
        <v/>
      </c>
    </row>
    <row r="2963" spans="1:10" x14ac:dyDescent="0.2">
      <c r="A2963">
        <v>227173302207</v>
      </c>
      <c r="B2963" t="s">
        <v>6503</v>
      </c>
      <c r="C2963" t="s">
        <v>6504</v>
      </c>
      <c r="D2963">
        <v>1.99</v>
      </c>
      <c r="F2963" t="str">
        <f t="shared" si="230"/>
        <v>No</v>
      </c>
      <c r="G2963" t="str">
        <f t="shared" si="231"/>
        <v/>
      </c>
      <c r="H2963" t="str">
        <f t="shared" si="232"/>
        <v>—</v>
      </c>
      <c r="I2963" t="str">
        <f t="shared" si="233"/>
        <v>Below thresholds</v>
      </c>
      <c r="J2963" t="str">
        <f t="shared" si="234"/>
        <v/>
      </c>
    </row>
    <row r="2964" spans="1:10" x14ac:dyDescent="0.2">
      <c r="A2964">
        <v>227173302719</v>
      </c>
      <c r="B2964" t="s">
        <v>292</v>
      </c>
      <c r="C2964" t="s">
        <v>6505</v>
      </c>
      <c r="D2964">
        <v>1.99</v>
      </c>
      <c r="F2964" t="str">
        <f t="shared" si="230"/>
        <v>No</v>
      </c>
      <c r="G2964" t="str">
        <f t="shared" si="231"/>
        <v/>
      </c>
      <c r="H2964" t="str">
        <f t="shared" si="232"/>
        <v>—</v>
      </c>
      <c r="I2964" t="str">
        <f t="shared" si="233"/>
        <v>Below thresholds</v>
      </c>
      <c r="J2964" t="str">
        <f t="shared" si="234"/>
        <v/>
      </c>
    </row>
    <row r="2965" spans="1:10" x14ac:dyDescent="0.2">
      <c r="A2965">
        <v>227185371902</v>
      </c>
      <c r="B2965" t="s">
        <v>6506</v>
      </c>
      <c r="C2965" t="s">
        <v>6507</v>
      </c>
      <c r="D2965">
        <v>5.99</v>
      </c>
      <c r="F2965" t="str">
        <f t="shared" si="230"/>
        <v>No</v>
      </c>
      <c r="G2965" t="str">
        <f t="shared" si="231"/>
        <v/>
      </c>
      <c r="H2965" t="str">
        <f t="shared" si="232"/>
        <v>—</v>
      </c>
      <c r="I2965" t="str">
        <f t="shared" si="233"/>
        <v>Below thresholds</v>
      </c>
      <c r="J2965" t="str">
        <f t="shared" si="234"/>
        <v/>
      </c>
    </row>
    <row r="2966" spans="1:10" x14ac:dyDescent="0.2">
      <c r="A2966">
        <v>227185371905</v>
      </c>
      <c r="B2966" t="s">
        <v>6508</v>
      </c>
      <c r="C2966" t="s">
        <v>6509</v>
      </c>
      <c r="D2966">
        <v>4.99</v>
      </c>
      <c r="F2966" t="str">
        <f t="shared" si="230"/>
        <v>No</v>
      </c>
      <c r="G2966" t="str">
        <f t="shared" si="231"/>
        <v/>
      </c>
      <c r="H2966" t="str">
        <f t="shared" si="232"/>
        <v>—</v>
      </c>
      <c r="I2966" t="str">
        <f t="shared" si="233"/>
        <v>Below thresholds</v>
      </c>
      <c r="J2966" t="str">
        <f t="shared" si="234"/>
        <v/>
      </c>
    </row>
    <row r="2967" spans="1:10" x14ac:dyDescent="0.2">
      <c r="A2967">
        <v>227185371908</v>
      </c>
      <c r="B2967" t="s">
        <v>6510</v>
      </c>
      <c r="C2967" t="s">
        <v>6511</v>
      </c>
      <c r="D2967">
        <v>6.99</v>
      </c>
      <c r="F2967" t="str">
        <f t="shared" si="230"/>
        <v>No</v>
      </c>
      <c r="G2967" t="str">
        <f t="shared" si="231"/>
        <v/>
      </c>
      <c r="H2967" t="str">
        <f t="shared" si="232"/>
        <v>—</v>
      </c>
      <c r="I2967" t="str">
        <f t="shared" si="233"/>
        <v>Below thresholds</v>
      </c>
      <c r="J2967" t="str">
        <f t="shared" si="234"/>
        <v/>
      </c>
    </row>
    <row r="2968" spans="1:10" x14ac:dyDescent="0.2">
      <c r="A2968">
        <v>227185371909</v>
      </c>
      <c r="B2968" t="s">
        <v>6512</v>
      </c>
      <c r="C2968" t="s">
        <v>6513</v>
      </c>
      <c r="D2968">
        <v>6.25</v>
      </c>
      <c r="F2968" t="str">
        <f t="shared" si="230"/>
        <v>No</v>
      </c>
      <c r="G2968" t="str">
        <f t="shared" si="231"/>
        <v/>
      </c>
      <c r="H2968" t="str">
        <f t="shared" si="232"/>
        <v>—</v>
      </c>
      <c r="I2968" t="str">
        <f t="shared" si="233"/>
        <v>Below thresholds</v>
      </c>
      <c r="J2968" t="str">
        <f t="shared" si="234"/>
        <v/>
      </c>
    </row>
    <row r="2969" spans="1:10" x14ac:dyDescent="0.2">
      <c r="A2969">
        <v>227185371913</v>
      </c>
      <c r="B2969" t="s">
        <v>6514</v>
      </c>
      <c r="C2969" t="s">
        <v>6515</v>
      </c>
      <c r="D2969">
        <v>7.45</v>
      </c>
      <c r="F2969" t="str">
        <f t="shared" si="230"/>
        <v>No</v>
      </c>
      <c r="G2969" t="str">
        <f t="shared" si="231"/>
        <v/>
      </c>
      <c r="H2969" t="str">
        <f t="shared" si="232"/>
        <v>—</v>
      </c>
      <c r="I2969" t="str">
        <f t="shared" si="233"/>
        <v>Below thresholds</v>
      </c>
      <c r="J2969" t="str">
        <f t="shared" si="234"/>
        <v/>
      </c>
    </row>
    <row r="2970" spans="1:10" x14ac:dyDescent="0.2">
      <c r="A2970">
        <v>227185371915</v>
      </c>
      <c r="B2970" t="s">
        <v>6516</v>
      </c>
      <c r="C2970" t="s">
        <v>6517</v>
      </c>
      <c r="D2970">
        <v>9.99</v>
      </c>
      <c r="F2970" t="str">
        <f t="shared" si="230"/>
        <v>No</v>
      </c>
      <c r="G2970" t="str">
        <f t="shared" si="231"/>
        <v/>
      </c>
      <c r="H2970" t="str">
        <f t="shared" si="232"/>
        <v>—</v>
      </c>
      <c r="I2970" t="str">
        <f t="shared" si="233"/>
        <v>Below thresholds</v>
      </c>
      <c r="J2970" t="str">
        <f t="shared" si="234"/>
        <v/>
      </c>
    </row>
    <row r="2971" spans="1:10" x14ac:dyDescent="0.2">
      <c r="A2971">
        <v>227185371917</v>
      </c>
      <c r="B2971" t="s">
        <v>6518</v>
      </c>
      <c r="C2971" t="s">
        <v>6519</v>
      </c>
      <c r="D2971">
        <v>6.99</v>
      </c>
      <c r="F2971" t="str">
        <f t="shared" si="230"/>
        <v>No</v>
      </c>
      <c r="G2971" t="str">
        <f t="shared" si="231"/>
        <v/>
      </c>
      <c r="H2971" t="str">
        <f t="shared" si="232"/>
        <v>—</v>
      </c>
      <c r="I2971" t="str">
        <f t="shared" si="233"/>
        <v>Below thresholds</v>
      </c>
      <c r="J2971" t="str">
        <f t="shared" si="234"/>
        <v/>
      </c>
    </row>
    <row r="2972" spans="1:10" x14ac:dyDescent="0.2">
      <c r="A2972">
        <v>227185371918</v>
      </c>
      <c r="B2972" t="s">
        <v>6520</v>
      </c>
      <c r="C2972" t="s">
        <v>6521</v>
      </c>
      <c r="D2972">
        <v>4.55</v>
      </c>
      <c r="F2972" t="str">
        <f t="shared" si="230"/>
        <v>No</v>
      </c>
      <c r="G2972" t="str">
        <f t="shared" si="231"/>
        <v/>
      </c>
      <c r="H2972" t="str">
        <f t="shared" si="232"/>
        <v>—</v>
      </c>
      <c r="I2972" t="str">
        <f t="shared" si="233"/>
        <v>Below thresholds</v>
      </c>
      <c r="J2972" t="str">
        <f t="shared" si="234"/>
        <v/>
      </c>
    </row>
    <row r="2973" spans="1:10" x14ac:dyDescent="0.2">
      <c r="A2973">
        <v>227185371922</v>
      </c>
      <c r="B2973" t="s">
        <v>6522</v>
      </c>
      <c r="C2973" t="s">
        <v>6523</v>
      </c>
      <c r="D2973">
        <v>6.99</v>
      </c>
      <c r="F2973" t="str">
        <f t="shared" si="230"/>
        <v>No</v>
      </c>
      <c r="G2973" t="str">
        <f t="shared" si="231"/>
        <v/>
      </c>
      <c r="H2973" t="str">
        <f t="shared" si="232"/>
        <v>—</v>
      </c>
      <c r="I2973" t="str">
        <f t="shared" si="233"/>
        <v>Below thresholds</v>
      </c>
      <c r="J2973" t="str">
        <f t="shared" si="234"/>
        <v/>
      </c>
    </row>
    <row r="2974" spans="1:10" x14ac:dyDescent="0.2">
      <c r="A2974">
        <v>227185371943</v>
      </c>
      <c r="B2974" t="s">
        <v>6524</v>
      </c>
      <c r="C2974" t="s">
        <v>6525</v>
      </c>
      <c r="D2974">
        <v>7.99</v>
      </c>
      <c r="F2974" t="str">
        <f t="shared" si="230"/>
        <v>No</v>
      </c>
      <c r="G2974" t="str">
        <f t="shared" si="231"/>
        <v/>
      </c>
      <c r="H2974" t="str">
        <f t="shared" si="232"/>
        <v>—</v>
      </c>
      <c r="I2974" t="str">
        <f t="shared" si="233"/>
        <v>Below thresholds</v>
      </c>
      <c r="J2974" t="str">
        <f t="shared" si="234"/>
        <v/>
      </c>
    </row>
    <row r="2975" spans="1:10" x14ac:dyDescent="0.2">
      <c r="A2975">
        <v>227185371944</v>
      </c>
      <c r="B2975" t="s">
        <v>6526</v>
      </c>
      <c r="C2975" t="s">
        <v>6527</v>
      </c>
      <c r="D2975">
        <v>6</v>
      </c>
      <c r="F2975" t="str">
        <f t="shared" si="230"/>
        <v>No</v>
      </c>
      <c r="G2975" t="str">
        <f t="shared" si="231"/>
        <v/>
      </c>
      <c r="H2975" t="str">
        <f t="shared" si="232"/>
        <v>—</v>
      </c>
      <c r="I2975" t="str">
        <f t="shared" si="233"/>
        <v>Below thresholds</v>
      </c>
      <c r="J2975" t="str">
        <f t="shared" si="234"/>
        <v/>
      </c>
    </row>
    <row r="2976" spans="1:10" x14ac:dyDescent="0.2">
      <c r="A2976">
        <v>227185371957</v>
      </c>
      <c r="B2976" t="s">
        <v>6528</v>
      </c>
      <c r="C2976" t="s">
        <v>6529</v>
      </c>
      <c r="D2976">
        <v>6.99</v>
      </c>
      <c r="F2976" t="str">
        <f t="shared" si="230"/>
        <v>No</v>
      </c>
      <c r="G2976" t="str">
        <f t="shared" si="231"/>
        <v/>
      </c>
      <c r="H2976" t="str">
        <f t="shared" si="232"/>
        <v>—</v>
      </c>
      <c r="I2976" t="str">
        <f t="shared" si="233"/>
        <v>Below thresholds</v>
      </c>
      <c r="J2976" t="str">
        <f t="shared" si="234"/>
        <v/>
      </c>
    </row>
    <row r="2977" spans="1:10" x14ac:dyDescent="0.2">
      <c r="A2977">
        <v>227185371966</v>
      </c>
      <c r="B2977" t="s">
        <v>6530</v>
      </c>
      <c r="C2977" t="s">
        <v>6531</v>
      </c>
      <c r="D2977">
        <v>7.99</v>
      </c>
      <c r="F2977" t="str">
        <f t="shared" si="230"/>
        <v>No</v>
      </c>
      <c r="G2977" t="str">
        <f t="shared" si="231"/>
        <v/>
      </c>
      <c r="H2977" t="str">
        <f t="shared" si="232"/>
        <v>—</v>
      </c>
      <c r="I2977" t="str">
        <f t="shared" si="233"/>
        <v>Below thresholds</v>
      </c>
      <c r="J2977" t="str">
        <f t="shared" si="234"/>
        <v/>
      </c>
    </row>
    <row r="2978" spans="1:10" x14ac:dyDescent="0.2">
      <c r="A2978">
        <v>227187420344</v>
      </c>
      <c r="B2978" t="s">
        <v>6532</v>
      </c>
      <c r="C2978" t="s">
        <v>6533</v>
      </c>
      <c r="D2978">
        <v>1.99</v>
      </c>
      <c r="F2978" t="str">
        <f t="shared" si="230"/>
        <v>No</v>
      </c>
      <c r="G2978" t="str">
        <f t="shared" si="231"/>
        <v/>
      </c>
      <c r="H2978" t="str">
        <f t="shared" si="232"/>
        <v>—</v>
      </c>
      <c r="I2978" t="str">
        <f t="shared" si="233"/>
        <v>Below thresholds</v>
      </c>
      <c r="J2978" t="str">
        <f t="shared" si="234"/>
        <v/>
      </c>
    </row>
    <row r="2979" spans="1:10" x14ac:dyDescent="0.2">
      <c r="A2979">
        <v>227187726032</v>
      </c>
      <c r="B2979" t="s">
        <v>6534</v>
      </c>
      <c r="C2979" t="s">
        <v>6535</v>
      </c>
      <c r="D2979">
        <v>1.7</v>
      </c>
      <c r="F2979" t="str">
        <f t="shared" si="230"/>
        <v>No</v>
      </c>
      <c r="G2979" t="str">
        <f t="shared" si="231"/>
        <v/>
      </c>
      <c r="H2979" t="str">
        <f t="shared" si="232"/>
        <v>—</v>
      </c>
      <c r="I2979" t="str">
        <f t="shared" si="233"/>
        <v>Below thresholds</v>
      </c>
      <c r="J2979" t="str">
        <f t="shared" si="234"/>
        <v/>
      </c>
    </row>
    <row r="2980" spans="1:10" x14ac:dyDescent="0.2">
      <c r="A2980">
        <v>227187726037</v>
      </c>
      <c r="B2980" t="s">
        <v>4284</v>
      </c>
      <c r="C2980" t="s">
        <v>6536</v>
      </c>
      <c r="D2980">
        <v>1.99</v>
      </c>
      <c r="F2980" t="str">
        <f t="shared" si="230"/>
        <v>No</v>
      </c>
      <c r="G2980" t="str">
        <f t="shared" si="231"/>
        <v/>
      </c>
      <c r="H2980" t="str">
        <f t="shared" si="232"/>
        <v>—</v>
      </c>
      <c r="I2980" t="str">
        <f t="shared" si="233"/>
        <v>Below thresholds</v>
      </c>
      <c r="J2980" t="str">
        <f t="shared" si="234"/>
        <v/>
      </c>
    </row>
    <row r="2981" spans="1:10" x14ac:dyDescent="0.2">
      <c r="A2981">
        <v>227187764394</v>
      </c>
      <c r="B2981" t="s">
        <v>6537</v>
      </c>
      <c r="C2981" t="s">
        <v>6538</v>
      </c>
      <c r="D2981">
        <v>5.25</v>
      </c>
      <c r="F2981" t="str">
        <f t="shared" si="230"/>
        <v>No</v>
      </c>
      <c r="G2981" t="str">
        <f t="shared" si="231"/>
        <v/>
      </c>
      <c r="H2981" t="str">
        <f t="shared" si="232"/>
        <v>—</v>
      </c>
      <c r="I2981" t="str">
        <f t="shared" si="233"/>
        <v>Below thresholds</v>
      </c>
      <c r="J2981" t="str">
        <f t="shared" si="234"/>
        <v/>
      </c>
    </row>
    <row r="2982" spans="1:10" x14ac:dyDescent="0.2">
      <c r="A2982">
        <v>227187764399</v>
      </c>
      <c r="B2982" t="s">
        <v>6539</v>
      </c>
      <c r="C2982" t="s">
        <v>6540</v>
      </c>
      <c r="D2982">
        <v>2.25</v>
      </c>
      <c r="F2982" t="str">
        <f t="shared" si="230"/>
        <v>No</v>
      </c>
      <c r="G2982" t="str">
        <f t="shared" si="231"/>
        <v/>
      </c>
      <c r="H2982" t="str">
        <f t="shared" si="232"/>
        <v>—</v>
      </c>
      <c r="I2982" t="str">
        <f t="shared" si="233"/>
        <v>Below thresholds</v>
      </c>
      <c r="J2982" t="str">
        <f t="shared" si="234"/>
        <v/>
      </c>
    </row>
    <row r="2983" spans="1:10" x14ac:dyDescent="0.2">
      <c r="A2983">
        <v>227187764405</v>
      </c>
      <c r="B2983" t="s">
        <v>6541</v>
      </c>
      <c r="C2983" t="s">
        <v>6542</v>
      </c>
      <c r="D2983">
        <v>3.25</v>
      </c>
      <c r="F2983" t="str">
        <f t="shared" si="230"/>
        <v>No</v>
      </c>
      <c r="G2983" t="str">
        <f t="shared" si="231"/>
        <v/>
      </c>
      <c r="H2983" t="str">
        <f t="shared" si="232"/>
        <v>—</v>
      </c>
      <c r="I2983" t="str">
        <f t="shared" si="233"/>
        <v>Below thresholds</v>
      </c>
      <c r="J2983" t="str">
        <f t="shared" si="234"/>
        <v/>
      </c>
    </row>
    <row r="2984" spans="1:10" x14ac:dyDescent="0.2">
      <c r="A2984">
        <v>227187764409</v>
      </c>
      <c r="B2984" t="s">
        <v>6543</v>
      </c>
      <c r="C2984" t="s">
        <v>6544</v>
      </c>
      <c r="D2984">
        <v>1.89</v>
      </c>
      <c r="F2984" t="str">
        <f t="shared" si="230"/>
        <v>No</v>
      </c>
      <c r="G2984" t="str">
        <f t="shared" si="231"/>
        <v/>
      </c>
      <c r="H2984" t="str">
        <f t="shared" si="232"/>
        <v>—</v>
      </c>
      <c r="I2984" t="str">
        <f t="shared" si="233"/>
        <v>Below thresholds</v>
      </c>
      <c r="J2984" t="str">
        <f t="shared" si="234"/>
        <v/>
      </c>
    </row>
    <row r="2985" spans="1:10" x14ac:dyDescent="0.2">
      <c r="A2985">
        <v>227187764410</v>
      </c>
      <c r="B2985" t="s">
        <v>6545</v>
      </c>
      <c r="C2985" t="s">
        <v>6546</v>
      </c>
      <c r="D2985">
        <v>1.59</v>
      </c>
      <c r="F2985" t="str">
        <f t="shared" si="230"/>
        <v>No</v>
      </c>
      <c r="G2985" t="str">
        <f t="shared" si="231"/>
        <v/>
      </c>
      <c r="H2985" t="str">
        <f t="shared" si="232"/>
        <v>—</v>
      </c>
      <c r="I2985" t="str">
        <f t="shared" si="233"/>
        <v>Below thresholds</v>
      </c>
      <c r="J2985" t="str">
        <f t="shared" si="234"/>
        <v/>
      </c>
    </row>
    <row r="2986" spans="1:10" x14ac:dyDescent="0.2">
      <c r="A2986">
        <v>227187764435</v>
      </c>
      <c r="B2986" t="s">
        <v>6547</v>
      </c>
      <c r="C2986" t="s">
        <v>6548</v>
      </c>
      <c r="D2986">
        <v>1.75</v>
      </c>
      <c r="F2986" t="str">
        <f t="shared" si="230"/>
        <v>No</v>
      </c>
      <c r="G2986" t="str">
        <f t="shared" si="231"/>
        <v/>
      </c>
      <c r="H2986" t="str">
        <f t="shared" si="232"/>
        <v>—</v>
      </c>
      <c r="I2986" t="str">
        <f t="shared" si="233"/>
        <v>Below thresholds</v>
      </c>
      <c r="J2986" t="str">
        <f t="shared" si="234"/>
        <v/>
      </c>
    </row>
    <row r="2987" spans="1:10" x14ac:dyDescent="0.2">
      <c r="A2987">
        <v>227188624724</v>
      </c>
      <c r="B2987" t="s">
        <v>6549</v>
      </c>
      <c r="C2987" t="s">
        <v>6550</v>
      </c>
      <c r="D2987">
        <v>3.59</v>
      </c>
      <c r="F2987" t="str">
        <f t="shared" si="230"/>
        <v>No</v>
      </c>
      <c r="G2987" t="str">
        <f t="shared" si="231"/>
        <v/>
      </c>
      <c r="H2987" t="str">
        <f t="shared" si="232"/>
        <v>—</v>
      </c>
      <c r="I2987" t="str">
        <f t="shared" si="233"/>
        <v>Below thresholds</v>
      </c>
      <c r="J2987" t="str">
        <f t="shared" si="234"/>
        <v/>
      </c>
    </row>
    <row r="2988" spans="1:10" x14ac:dyDescent="0.2">
      <c r="A2988">
        <v>227194284984</v>
      </c>
      <c r="B2988" t="s">
        <v>6551</v>
      </c>
      <c r="C2988" t="s">
        <v>6552</v>
      </c>
      <c r="D2988">
        <v>1.0900000000000001</v>
      </c>
      <c r="F2988" t="str">
        <f t="shared" si="230"/>
        <v>No</v>
      </c>
      <c r="G2988" t="str">
        <f t="shared" si="231"/>
        <v/>
      </c>
      <c r="H2988" t="str">
        <f t="shared" si="232"/>
        <v>—</v>
      </c>
      <c r="I2988" t="str">
        <f t="shared" si="233"/>
        <v>Below thresholds</v>
      </c>
      <c r="J2988" t="str">
        <f t="shared" si="234"/>
        <v/>
      </c>
    </row>
    <row r="2989" spans="1:10" x14ac:dyDescent="0.2">
      <c r="A2989">
        <v>227194284986</v>
      </c>
      <c r="B2989" t="s">
        <v>6553</v>
      </c>
      <c r="C2989" t="s">
        <v>6554</v>
      </c>
      <c r="D2989">
        <v>0.99</v>
      </c>
      <c r="F2989" t="str">
        <f t="shared" si="230"/>
        <v>No</v>
      </c>
      <c r="G2989" t="str">
        <f t="shared" si="231"/>
        <v/>
      </c>
      <c r="H2989" t="str">
        <f t="shared" si="232"/>
        <v>—</v>
      </c>
      <c r="I2989" t="str">
        <f t="shared" si="233"/>
        <v>Below thresholds</v>
      </c>
      <c r="J2989" t="str">
        <f t="shared" si="234"/>
        <v/>
      </c>
    </row>
    <row r="2990" spans="1:10" x14ac:dyDescent="0.2">
      <c r="A2990">
        <v>227194284991</v>
      </c>
      <c r="B2990" t="s">
        <v>6555</v>
      </c>
      <c r="C2990" t="s">
        <v>6556</v>
      </c>
      <c r="D2990">
        <v>0.99</v>
      </c>
      <c r="F2990" t="str">
        <f t="shared" si="230"/>
        <v>No</v>
      </c>
      <c r="G2990" t="str">
        <f t="shared" si="231"/>
        <v/>
      </c>
      <c r="H2990" t="str">
        <f t="shared" si="232"/>
        <v>—</v>
      </c>
      <c r="I2990" t="str">
        <f t="shared" si="233"/>
        <v>Below thresholds</v>
      </c>
      <c r="J2990" t="str">
        <f t="shared" si="234"/>
        <v/>
      </c>
    </row>
    <row r="2991" spans="1:10" x14ac:dyDescent="0.2">
      <c r="A2991">
        <v>227194284998</v>
      </c>
      <c r="B2991" t="s">
        <v>6557</v>
      </c>
      <c r="C2991" t="s">
        <v>6558</v>
      </c>
      <c r="D2991">
        <v>0.99</v>
      </c>
      <c r="F2991" t="str">
        <f t="shared" si="230"/>
        <v>No</v>
      </c>
      <c r="G2991" t="str">
        <f t="shared" si="231"/>
        <v/>
      </c>
      <c r="H2991" t="str">
        <f t="shared" si="232"/>
        <v>—</v>
      </c>
      <c r="I2991" t="str">
        <f t="shared" si="233"/>
        <v>Below thresholds</v>
      </c>
      <c r="J2991" t="str">
        <f t="shared" si="234"/>
        <v/>
      </c>
    </row>
    <row r="2992" spans="1:10" x14ac:dyDescent="0.2">
      <c r="A2992">
        <v>227194285042</v>
      </c>
      <c r="B2992" t="s">
        <v>6559</v>
      </c>
      <c r="C2992" t="s">
        <v>6560</v>
      </c>
      <c r="D2992">
        <v>0.99</v>
      </c>
      <c r="F2992" t="str">
        <f t="shared" si="230"/>
        <v>No</v>
      </c>
      <c r="G2992" t="str">
        <f t="shared" si="231"/>
        <v/>
      </c>
      <c r="H2992" t="str">
        <f t="shared" si="232"/>
        <v>—</v>
      </c>
      <c r="I2992" t="str">
        <f t="shared" si="233"/>
        <v>Below thresholds</v>
      </c>
      <c r="J2992" t="str">
        <f t="shared" si="234"/>
        <v/>
      </c>
    </row>
    <row r="2993" spans="1:10" x14ac:dyDescent="0.2">
      <c r="A2993">
        <v>227194285052</v>
      </c>
      <c r="B2993" t="s">
        <v>6561</v>
      </c>
      <c r="C2993" t="s">
        <v>6562</v>
      </c>
      <c r="D2993">
        <v>0.99</v>
      </c>
      <c r="F2993" t="str">
        <f t="shared" si="230"/>
        <v>No</v>
      </c>
      <c r="G2993" t="str">
        <f t="shared" si="231"/>
        <v/>
      </c>
      <c r="H2993" t="str">
        <f t="shared" si="232"/>
        <v>—</v>
      </c>
      <c r="I2993" t="str">
        <f t="shared" si="233"/>
        <v>Below thresholds</v>
      </c>
      <c r="J2993" t="str">
        <f t="shared" si="234"/>
        <v/>
      </c>
    </row>
    <row r="2994" spans="1:10" x14ac:dyDescent="0.2">
      <c r="A2994">
        <v>227194285053</v>
      </c>
      <c r="B2994" t="s">
        <v>6563</v>
      </c>
      <c r="C2994" t="s">
        <v>6564</v>
      </c>
      <c r="D2994">
        <v>0.99</v>
      </c>
      <c r="F2994" t="str">
        <f t="shared" si="230"/>
        <v>No</v>
      </c>
      <c r="G2994" t="str">
        <f t="shared" si="231"/>
        <v/>
      </c>
      <c r="H2994" t="str">
        <f t="shared" si="232"/>
        <v>—</v>
      </c>
      <c r="I2994" t="str">
        <f t="shared" si="233"/>
        <v>Below thresholds</v>
      </c>
      <c r="J2994" t="str">
        <f t="shared" si="234"/>
        <v/>
      </c>
    </row>
    <row r="2995" spans="1:10" x14ac:dyDescent="0.2">
      <c r="A2995">
        <v>227194285055</v>
      </c>
      <c r="B2995" t="s">
        <v>6565</v>
      </c>
      <c r="C2995" t="s">
        <v>6566</v>
      </c>
      <c r="D2995">
        <v>0.99</v>
      </c>
      <c r="F2995" t="str">
        <f t="shared" si="230"/>
        <v>No</v>
      </c>
      <c r="G2995" t="str">
        <f t="shared" si="231"/>
        <v/>
      </c>
      <c r="H2995" t="str">
        <f t="shared" si="232"/>
        <v>—</v>
      </c>
      <c r="I2995" t="str">
        <f t="shared" si="233"/>
        <v>Below thresholds</v>
      </c>
      <c r="J2995" t="str">
        <f t="shared" si="234"/>
        <v/>
      </c>
    </row>
    <row r="2996" spans="1:10" x14ac:dyDescent="0.2">
      <c r="A2996">
        <v>227194285057</v>
      </c>
      <c r="B2996" t="s">
        <v>6567</v>
      </c>
      <c r="C2996" t="s">
        <v>6568</v>
      </c>
      <c r="D2996">
        <v>0.99</v>
      </c>
      <c r="F2996" t="str">
        <f t="shared" si="230"/>
        <v>No</v>
      </c>
      <c r="G2996" t="str">
        <f t="shared" si="231"/>
        <v/>
      </c>
      <c r="H2996" t="str">
        <f t="shared" si="232"/>
        <v>—</v>
      </c>
      <c r="I2996" t="str">
        <f t="shared" si="233"/>
        <v>Below thresholds</v>
      </c>
      <c r="J2996" t="str">
        <f t="shared" si="234"/>
        <v/>
      </c>
    </row>
    <row r="2997" spans="1:10" x14ac:dyDescent="0.2">
      <c r="A2997">
        <v>227194285058</v>
      </c>
      <c r="B2997" t="s">
        <v>5820</v>
      </c>
      <c r="C2997" t="s">
        <v>6569</v>
      </c>
      <c r="D2997">
        <v>0.99</v>
      </c>
      <c r="F2997" t="str">
        <f t="shared" si="230"/>
        <v>No</v>
      </c>
      <c r="G2997" t="str">
        <f t="shared" si="231"/>
        <v/>
      </c>
      <c r="H2997" t="str">
        <f t="shared" si="232"/>
        <v>—</v>
      </c>
      <c r="I2997" t="str">
        <f t="shared" si="233"/>
        <v>Below thresholds</v>
      </c>
      <c r="J2997" t="str">
        <f t="shared" si="234"/>
        <v/>
      </c>
    </row>
    <row r="2998" spans="1:10" x14ac:dyDescent="0.2">
      <c r="A2998">
        <v>227194285070</v>
      </c>
      <c r="B2998" t="s">
        <v>6570</v>
      </c>
      <c r="C2998" t="s">
        <v>6571</v>
      </c>
      <c r="D2998">
        <v>0.99</v>
      </c>
      <c r="F2998" t="str">
        <f t="shared" si="230"/>
        <v>No</v>
      </c>
      <c r="G2998" t="str">
        <f t="shared" si="231"/>
        <v/>
      </c>
      <c r="H2998" t="str">
        <f t="shared" si="232"/>
        <v>—</v>
      </c>
      <c r="I2998" t="str">
        <f t="shared" si="233"/>
        <v>Below thresholds</v>
      </c>
      <c r="J2998" t="str">
        <f t="shared" si="234"/>
        <v/>
      </c>
    </row>
    <row r="2999" spans="1:10" x14ac:dyDescent="0.2">
      <c r="A2999">
        <v>227194285075</v>
      </c>
      <c r="B2999" t="s">
        <v>6572</v>
      </c>
      <c r="C2999" t="s">
        <v>6573</v>
      </c>
      <c r="D2999">
        <v>1.99</v>
      </c>
      <c r="F2999" t="str">
        <f t="shared" si="230"/>
        <v>No</v>
      </c>
      <c r="G2999" t="str">
        <f t="shared" si="231"/>
        <v/>
      </c>
      <c r="H2999" t="str">
        <f t="shared" si="232"/>
        <v>—</v>
      </c>
      <c r="I2999" t="str">
        <f t="shared" si="233"/>
        <v>Below thresholds</v>
      </c>
      <c r="J2999" t="str">
        <f t="shared" si="234"/>
        <v/>
      </c>
    </row>
    <row r="3000" spans="1:10" x14ac:dyDescent="0.2">
      <c r="A3000">
        <v>227194285084</v>
      </c>
      <c r="B3000" t="s">
        <v>6574</v>
      </c>
      <c r="C3000" t="s">
        <v>6575</v>
      </c>
      <c r="D3000">
        <v>1.25</v>
      </c>
      <c r="F3000" t="str">
        <f t="shared" si="230"/>
        <v>No</v>
      </c>
      <c r="G3000" t="str">
        <f t="shared" si="231"/>
        <v/>
      </c>
      <c r="H3000" t="str">
        <f t="shared" si="232"/>
        <v>—</v>
      </c>
      <c r="I3000" t="str">
        <f t="shared" si="233"/>
        <v>Below thresholds</v>
      </c>
      <c r="J3000" t="str">
        <f t="shared" si="234"/>
        <v/>
      </c>
    </row>
    <row r="3001" spans="1:10" x14ac:dyDescent="0.2">
      <c r="A3001">
        <v>227194288303</v>
      </c>
      <c r="B3001" t="s">
        <v>6576</v>
      </c>
      <c r="C3001" t="s">
        <v>6577</v>
      </c>
      <c r="D3001">
        <v>0.99</v>
      </c>
      <c r="F3001" t="str">
        <f t="shared" si="230"/>
        <v>No</v>
      </c>
      <c r="G3001" t="str">
        <f t="shared" si="231"/>
        <v/>
      </c>
      <c r="H3001" t="str">
        <f t="shared" si="232"/>
        <v>—</v>
      </c>
      <c r="I3001" t="str">
        <f t="shared" si="233"/>
        <v>Below thresholds</v>
      </c>
      <c r="J3001" t="str">
        <f t="shared" si="234"/>
        <v/>
      </c>
    </row>
    <row r="3002" spans="1:10" x14ac:dyDescent="0.2">
      <c r="A3002">
        <v>227194288311</v>
      </c>
      <c r="B3002" t="s">
        <v>2423</v>
      </c>
      <c r="C3002" t="s">
        <v>6578</v>
      </c>
      <c r="D3002">
        <v>1.59</v>
      </c>
      <c r="F3002" t="str">
        <f t="shared" si="230"/>
        <v>No</v>
      </c>
      <c r="G3002" t="str">
        <f t="shared" si="231"/>
        <v/>
      </c>
      <c r="H3002" t="str">
        <f t="shared" si="232"/>
        <v>—</v>
      </c>
      <c r="I3002" t="str">
        <f t="shared" si="233"/>
        <v>Below thresholds</v>
      </c>
      <c r="J3002" t="str">
        <f t="shared" si="234"/>
        <v/>
      </c>
    </row>
    <row r="3003" spans="1:10" x14ac:dyDescent="0.2">
      <c r="A3003">
        <v>227194288354</v>
      </c>
      <c r="B3003" t="s">
        <v>6551</v>
      </c>
      <c r="C3003" t="s">
        <v>6579</v>
      </c>
      <c r="D3003">
        <v>1.39</v>
      </c>
      <c r="F3003" t="str">
        <f t="shared" si="230"/>
        <v>No</v>
      </c>
      <c r="G3003" t="str">
        <f t="shared" si="231"/>
        <v/>
      </c>
      <c r="H3003" t="str">
        <f t="shared" si="232"/>
        <v>—</v>
      </c>
      <c r="I3003" t="str">
        <f t="shared" si="233"/>
        <v>Below thresholds</v>
      </c>
      <c r="J3003" t="str">
        <f t="shared" si="234"/>
        <v/>
      </c>
    </row>
    <row r="3004" spans="1:10" x14ac:dyDescent="0.2">
      <c r="A3004">
        <v>227194288355</v>
      </c>
      <c r="B3004" t="s">
        <v>6580</v>
      </c>
      <c r="C3004" t="s">
        <v>6581</v>
      </c>
      <c r="D3004">
        <v>1.29</v>
      </c>
      <c r="F3004" t="str">
        <f t="shared" si="230"/>
        <v>No</v>
      </c>
      <c r="G3004" t="str">
        <f t="shared" si="231"/>
        <v/>
      </c>
      <c r="H3004" t="str">
        <f t="shared" si="232"/>
        <v>—</v>
      </c>
      <c r="I3004" t="str">
        <f t="shared" si="233"/>
        <v>Below thresholds</v>
      </c>
      <c r="J3004" t="str">
        <f t="shared" si="234"/>
        <v/>
      </c>
    </row>
    <row r="3005" spans="1:10" x14ac:dyDescent="0.2">
      <c r="A3005">
        <v>227194288356</v>
      </c>
      <c r="B3005" t="s">
        <v>6582</v>
      </c>
      <c r="C3005" t="s">
        <v>6583</v>
      </c>
      <c r="D3005">
        <v>0.99</v>
      </c>
      <c r="F3005" t="str">
        <f t="shared" si="230"/>
        <v>No</v>
      </c>
      <c r="G3005" t="str">
        <f t="shared" si="231"/>
        <v/>
      </c>
      <c r="H3005" t="str">
        <f t="shared" si="232"/>
        <v>—</v>
      </c>
      <c r="I3005" t="str">
        <f t="shared" si="233"/>
        <v>Below thresholds</v>
      </c>
      <c r="J3005" t="str">
        <f t="shared" si="234"/>
        <v/>
      </c>
    </row>
    <row r="3006" spans="1:10" x14ac:dyDescent="0.2">
      <c r="A3006">
        <v>227194288366</v>
      </c>
      <c r="B3006" t="s">
        <v>6584</v>
      </c>
      <c r="C3006" t="s">
        <v>6585</v>
      </c>
      <c r="D3006">
        <v>0.99</v>
      </c>
      <c r="F3006" t="str">
        <f t="shared" si="230"/>
        <v>No</v>
      </c>
      <c r="G3006" t="str">
        <f t="shared" si="231"/>
        <v/>
      </c>
      <c r="H3006" t="str">
        <f t="shared" si="232"/>
        <v>—</v>
      </c>
      <c r="I3006" t="str">
        <f t="shared" si="233"/>
        <v>Below thresholds</v>
      </c>
      <c r="J3006" t="str">
        <f t="shared" si="234"/>
        <v/>
      </c>
    </row>
    <row r="3007" spans="1:10" x14ac:dyDescent="0.2">
      <c r="A3007">
        <v>227194288374</v>
      </c>
      <c r="B3007" t="s">
        <v>6586</v>
      </c>
      <c r="C3007" t="s">
        <v>6587</v>
      </c>
      <c r="D3007">
        <v>0.99</v>
      </c>
      <c r="F3007" t="str">
        <f t="shared" si="230"/>
        <v>No</v>
      </c>
      <c r="G3007" t="str">
        <f t="shared" si="231"/>
        <v/>
      </c>
      <c r="H3007" t="str">
        <f t="shared" si="232"/>
        <v>—</v>
      </c>
      <c r="I3007" t="str">
        <f t="shared" si="233"/>
        <v>Below thresholds</v>
      </c>
      <c r="J3007" t="str">
        <f t="shared" si="234"/>
        <v/>
      </c>
    </row>
    <row r="3008" spans="1:10" x14ac:dyDescent="0.2">
      <c r="A3008">
        <v>227194288397</v>
      </c>
      <c r="B3008" t="s">
        <v>6588</v>
      </c>
      <c r="C3008" t="s">
        <v>6589</v>
      </c>
      <c r="D3008">
        <v>3.36</v>
      </c>
      <c r="F3008" t="str">
        <f t="shared" si="230"/>
        <v>No</v>
      </c>
      <c r="G3008" t="str">
        <f t="shared" si="231"/>
        <v/>
      </c>
      <c r="H3008" t="str">
        <f t="shared" si="232"/>
        <v>—</v>
      </c>
      <c r="I3008" t="str">
        <f t="shared" si="233"/>
        <v>Below thresholds</v>
      </c>
      <c r="J3008" t="str">
        <f t="shared" si="234"/>
        <v/>
      </c>
    </row>
    <row r="3009" spans="1:10" x14ac:dyDescent="0.2">
      <c r="A3009">
        <v>227194301766</v>
      </c>
      <c r="B3009" t="s">
        <v>6570</v>
      </c>
      <c r="C3009" t="s">
        <v>6590</v>
      </c>
      <c r="D3009">
        <v>0.99</v>
      </c>
      <c r="F3009" t="str">
        <f t="shared" si="230"/>
        <v>No</v>
      </c>
      <c r="G3009" t="str">
        <f t="shared" si="231"/>
        <v/>
      </c>
      <c r="H3009" t="str">
        <f t="shared" si="232"/>
        <v>—</v>
      </c>
      <c r="I3009" t="str">
        <f t="shared" si="233"/>
        <v>Below thresholds</v>
      </c>
      <c r="J3009" t="str">
        <f t="shared" si="234"/>
        <v/>
      </c>
    </row>
    <row r="3010" spans="1:10" x14ac:dyDescent="0.2">
      <c r="A3010">
        <v>227194686101</v>
      </c>
      <c r="B3010" t="s">
        <v>6591</v>
      </c>
      <c r="C3010" t="s">
        <v>6592</v>
      </c>
      <c r="D3010">
        <v>2.99</v>
      </c>
      <c r="F3010" t="str">
        <f t="shared" si="230"/>
        <v>No</v>
      </c>
      <c r="G3010" t="str">
        <f t="shared" si="231"/>
        <v/>
      </c>
      <c r="H3010" t="str">
        <f t="shared" si="232"/>
        <v>—</v>
      </c>
      <c r="I3010" t="str">
        <f t="shared" si="233"/>
        <v>Below thresholds</v>
      </c>
      <c r="J3010" t="str">
        <f t="shared" si="234"/>
        <v/>
      </c>
    </row>
    <row r="3011" spans="1:10" x14ac:dyDescent="0.2">
      <c r="A3011">
        <v>227200168122</v>
      </c>
      <c r="B3011" t="s">
        <v>6593</v>
      </c>
      <c r="C3011" t="s">
        <v>6594</v>
      </c>
      <c r="D3011">
        <v>1.25</v>
      </c>
      <c r="F3011" t="str">
        <f t="shared" si="230"/>
        <v>No</v>
      </c>
      <c r="G3011" t="str">
        <f t="shared" si="231"/>
        <v/>
      </c>
      <c r="H3011" t="str">
        <f t="shared" si="232"/>
        <v>—</v>
      </c>
      <c r="I3011" t="str">
        <f t="shared" si="233"/>
        <v>Below thresholds</v>
      </c>
      <c r="J3011" t="str">
        <f t="shared" si="234"/>
        <v/>
      </c>
    </row>
    <row r="3012" spans="1:10" x14ac:dyDescent="0.2">
      <c r="A3012">
        <v>227200183796</v>
      </c>
      <c r="B3012" t="s">
        <v>6595</v>
      </c>
      <c r="C3012" t="s">
        <v>6596</v>
      </c>
      <c r="D3012">
        <v>2</v>
      </c>
      <c r="F3012" t="str">
        <f t="shared" si="230"/>
        <v>No</v>
      </c>
      <c r="G3012" t="str">
        <f t="shared" si="231"/>
        <v/>
      </c>
      <c r="H3012" t="str">
        <f t="shared" si="232"/>
        <v>—</v>
      </c>
      <c r="I3012" t="str">
        <f t="shared" si="233"/>
        <v>Below thresholds</v>
      </c>
      <c r="J3012" t="str">
        <f t="shared" si="234"/>
        <v/>
      </c>
    </row>
    <row r="3013" spans="1:10" x14ac:dyDescent="0.2">
      <c r="A3013">
        <v>227200183800</v>
      </c>
      <c r="B3013" t="s">
        <v>6597</v>
      </c>
      <c r="C3013" t="s">
        <v>6598</v>
      </c>
      <c r="D3013">
        <v>1.99</v>
      </c>
      <c r="F3013" t="str">
        <f t="shared" ref="F3013:F3076" si="235">IF($B3013="","",IF(ISNUMBER(SEARCH("PSA",$B3013)),"Yes","No"))</f>
        <v>No</v>
      </c>
      <c r="G3013" t="str">
        <f t="shared" ref="G3013:G3076" si="236">IF($B3013="","",IF(ISNUMBER(SEARCH("PSA 10",$B3013)),10,IF(ISNUMBER(SEARCH("PSA 9.5",$B3013)),9.5,IF(ISNUMBER(SEARCH("PSA 9",$B3013)),9,IF(ISNUMBER(SEARCH("PSA 8",$B3013)),8,IF(ISNUMBER(SEARCH("PSA",$B3013)),"&lt;9",""))))))</f>
        <v/>
      </c>
      <c r="H3013" t="str">
        <f t="shared" ref="H3013:H3076" si="237">IF($B3013="","",IF($D3013&gt;=100,"TIER 2",IF(OR(ISNUMBER(SEARCH("PSA 10",$B3013)),ISNUMBER(SEARCH("PSA 9.5",$B3013)),ISNUMBER(SEARCH("PSA 9",$B3013))),"TIER 3",IF(AND($D3013&gt;20,N($E3013)&gt;=15),"TIER 1","—"))))</f>
        <v>—</v>
      </c>
      <c r="I3013" t="str">
        <f t="shared" ref="I3013:I3076" si="238">IF($B3013="","",IF($D3013&gt;=100,"Premium $100+ (auto)",IF(OR(ISNUMBER(SEARCH("PSA 10",$B3013)),ISNUMBER(SEARCH("PSA 9.5",$B3013)),ISNUMBER(SEARCH("PSA 9",$B3013))),"Graded PSA 9+ (auto)",IF(AND($D3013&gt;20,N($E3013)&gt;=15),"Hot: $20+ &amp; "&amp;$E3013&amp;"/day",IF($D3013&gt;20,"$20+ — needs velocity check","Below thresholds")))))</f>
        <v>Below thresholds</v>
      </c>
      <c r="J3013" t="str">
        <f t="shared" ref="J3013:J3076" si="239">IF($B3013="","",IF(AND($D3013&gt;20,$D3013&lt;100,NOT(OR(ISNUMBER(SEARCH("PSA 10",$B3013)),ISNUMBER(SEARCH("PSA 9.5",$B3013)),ISNUMBER(SEARCH("PSA 9",$B3013)))),$E3013=""),"YES — pull CardHedger",""))</f>
        <v/>
      </c>
    </row>
    <row r="3014" spans="1:10" x14ac:dyDescent="0.2">
      <c r="A3014">
        <v>227204586047</v>
      </c>
      <c r="B3014" t="s">
        <v>264</v>
      </c>
      <c r="C3014" t="s">
        <v>6599</v>
      </c>
      <c r="D3014">
        <v>13</v>
      </c>
      <c r="F3014" t="str">
        <f t="shared" si="235"/>
        <v>No</v>
      </c>
      <c r="G3014" t="str">
        <f t="shared" si="236"/>
        <v/>
      </c>
      <c r="H3014" t="str">
        <f t="shared" si="237"/>
        <v>—</v>
      </c>
      <c r="I3014" t="str">
        <f t="shared" si="238"/>
        <v>Below thresholds</v>
      </c>
      <c r="J3014" t="str">
        <f t="shared" si="239"/>
        <v/>
      </c>
    </row>
    <row r="3015" spans="1:10" x14ac:dyDescent="0.2">
      <c r="A3015">
        <v>227204695863</v>
      </c>
      <c r="B3015" t="s">
        <v>6600</v>
      </c>
      <c r="C3015" t="s">
        <v>6601</v>
      </c>
      <c r="D3015">
        <v>1.99</v>
      </c>
      <c r="F3015" t="str">
        <f t="shared" si="235"/>
        <v>No</v>
      </c>
      <c r="G3015" t="str">
        <f t="shared" si="236"/>
        <v/>
      </c>
      <c r="H3015" t="str">
        <f t="shared" si="237"/>
        <v>—</v>
      </c>
      <c r="I3015" t="str">
        <f t="shared" si="238"/>
        <v>Below thresholds</v>
      </c>
      <c r="J3015" t="str">
        <f t="shared" si="239"/>
        <v/>
      </c>
    </row>
    <row r="3016" spans="1:10" x14ac:dyDescent="0.2">
      <c r="A3016">
        <v>227204695866</v>
      </c>
      <c r="B3016" t="s">
        <v>6602</v>
      </c>
      <c r="C3016" t="s">
        <v>6603</v>
      </c>
      <c r="D3016">
        <v>1.99</v>
      </c>
      <c r="F3016" t="str">
        <f t="shared" si="235"/>
        <v>No</v>
      </c>
      <c r="G3016" t="str">
        <f t="shared" si="236"/>
        <v/>
      </c>
      <c r="H3016" t="str">
        <f t="shared" si="237"/>
        <v>—</v>
      </c>
      <c r="I3016" t="str">
        <f t="shared" si="238"/>
        <v>Below thresholds</v>
      </c>
      <c r="J3016" t="str">
        <f t="shared" si="239"/>
        <v/>
      </c>
    </row>
    <row r="3017" spans="1:10" x14ac:dyDescent="0.2">
      <c r="A3017">
        <v>227206089504</v>
      </c>
      <c r="B3017" t="s">
        <v>6604</v>
      </c>
      <c r="C3017" t="s">
        <v>6605</v>
      </c>
      <c r="D3017">
        <v>5.59</v>
      </c>
      <c r="F3017" t="str">
        <f t="shared" si="235"/>
        <v>No</v>
      </c>
      <c r="G3017" t="str">
        <f t="shared" si="236"/>
        <v/>
      </c>
      <c r="H3017" t="str">
        <f t="shared" si="237"/>
        <v>—</v>
      </c>
      <c r="I3017" t="str">
        <f t="shared" si="238"/>
        <v>Below thresholds</v>
      </c>
      <c r="J3017" t="str">
        <f t="shared" si="239"/>
        <v/>
      </c>
    </row>
    <row r="3018" spans="1:10" x14ac:dyDescent="0.2">
      <c r="A3018">
        <v>227206089512</v>
      </c>
      <c r="B3018" t="s">
        <v>6606</v>
      </c>
      <c r="C3018" t="s">
        <v>6607</v>
      </c>
      <c r="D3018">
        <v>1.99</v>
      </c>
      <c r="F3018" t="str">
        <f t="shared" si="235"/>
        <v>No</v>
      </c>
      <c r="G3018" t="str">
        <f t="shared" si="236"/>
        <v/>
      </c>
      <c r="H3018" t="str">
        <f t="shared" si="237"/>
        <v>—</v>
      </c>
      <c r="I3018" t="str">
        <f t="shared" si="238"/>
        <v>Below thresholds</v>
      </c>
      <c r="J3018" t="str">
        <f t="shared" si="239"/>
        <v/>
      </c>
    </row>
    <row r="3019" spans="1:10" x14ac:dyDescent="0.2">
      <c r="A3019">
        <v>227206089525</v>
      </c>
      <c r="B3019" t="s">
        <v>6608</v>
      </c>
      <c r="C3019" t="s">
        <v>6609</v>
      </c>
      <c r="D3019">
        <v>2.99</v>
      </c>
      <c r="F3019" t="str">
        <f t="shared" si="235"/>
        <v>No</v>
      </c>
      <c r="G3019" t="str">
        <f t="shared" si="236"/>
        <v/>
      </c>
      <c r="H3019" t="str">
        <f t="shared" si="237"/>
        <v>—</v>
      </c>
      <c r="I3019" t="str">
        <f t="shared" si="238"/>
        <v>Below thresholds</v>
      </c>
      <c r="J3019" t="str">
        <f t="shared" si="239"/>
        <v/>
      </c>
    </row>
    <row r="3020" spans="1:10" x14ac:dyDescent="0.2">
      <c r="A3020">
        <v>227206089526</v>
      </c>
      <c r="B3020" t="s">
        <v>6610</v>
      </c>
      <c r="C3020" t="s">
        <v>6611</v>
      </c>
      <c r="D3020">
        <v>1.99</v>
      </c>
      <c r="F3020" t="str">
        <f t="shared" si="235"/>
        <v>No</v>
      </c>
      <c r="G3020" t="str">
        <f t="shared" si="236"/>
        <v/>
      </c>
      <c r="H3020" t="str">
        <f t="shared" si="237"/>
        <v>—</v>
      </c>
      <c r="I3020" t="str">
        <f t="shared" si="238"/>
        <v>Below thresholds</v>
      </c>
      <c r="J3020" t="str">
        <f t="shared" si="239"/>
        <v/>
      </c>
    </row>
    <row r="3021" spans="1:10" x14ac:dyDescent="0.2">
      <c r="A3021">
        <v>227206089527</v>
      </c>
      <c r="B3021" t="s">
        <v>6612</v>
      </c>
      <c r="C3021" t="s">
        <v>6613</v>
      </c>
      <c r="D3021">
        <v>1.99</v>
      </c>
      <c r="F3021" t="str">
        <f t="shared" si="235"/>
        <v>No</v>
      </c>
      <c r="G3021" t="str">
        <f t="shared" si="236"/>
        <v/>
      </c>
      <c r="H3021" t="str">
        <f t="shared" si="237"/>
        <v>—</v>
      </c>
      <c r="I3021" t="str">
        <f t="shared" si="238"/>
        <v>Below thresholds</v>
      </c>
      <c r="J3021" t="str">
        <f t="shared" si="239"/>
        <v/>
      </c>
    </row>
    <row r="3022" spans="1:10" x14ac:dyDescent="0.2">
      <c r="A3022">
        <v>227206089528</v>
      </c>
      <c r="B3022" t="s">
        <v>6614</v>
      </c>
      <c r="C3022" t="s">
        <v>6615</v>
      </c>
      <c r="D3022">
        <v>1.99</v>
      </c>
      <c r="F3022" t="str">
        <f t="shared" si="235"/>
        <v>No</v>
      </c>
      <c r="G3022" t="str">
        <f t="shared" si="236"/>
        <v/>
      </c>
      <c r="H3022" t="str">
        <f t="shared" si="237"/>
        <v>—</v>
      </c>
      <c r="I3022" t="str">
        <f t="shared" si="238"/>
        <v>Below thresholds</v>
      </c>
      <c r="J3022" t="str">
        <f t="shared" si="239"/>
        <v/>
      </c>
    </row>
    <row r="3023" spans="1:10" x14ac:dyDescent="0.2">
      <c r="A3023">
        <v>227206089530</v>
      </c>
      <c r="B3023" t="s">
        <v>6616</v>
      </c>
      <c r="C3023" t="s">
        <v>6617</v>
      </c>
      <c r="D3023">
        <v>2.99</v>
      </c>
      <c r="F3023" t="str">
        <f t="shared" si="235"/>
        <v>No</v>
      </c>
      <c r="G3023" t="str">
        <f t="shared" si="236"/>
        <v/>
      </c>
      <c r="H3023" t="str">
        <f t="shared" si="237"/>
        <v>—</v>
      </c>
      <c r="I3023" t="str">
        <f t="shared" si="238"/>
        <v>Below thresholds</v>
      </c>
      <c r="J3023" t="str">
        <f t="shared" si="239"/>
        <v/>
      </c>
    </row>
    <row r="3024" spans="1:10" x14ac:dyDescent="0.2">
      <c r="A3024">
        <v>227206089533</v>
      </c>
      <c r="B3024" t="s">
        <v>6618</v>
      </c>
      <c r="C3024" t="s">
        <v>6619</v>
      </c>
      <c r="D3024">
        <v>6.99</v>
      </c>
      <c r="F3024" t="str">
        <f t="shared" si="235"/>
        <v>No</v>
      </c>
      <c r="G3024" t="str">
        <f t="shared" si="236"/>
        <v/>
      </c>
      <c r="H3024" t="str">
        <f t="shared" si="237"/>
        <v>—</v>
      </c>
      <c r="I3024" t="str">
        <f t="shared" si="238"/>
        <v>Below thresholds</v>
      </c>
      <c r="J3024" t="str">
        <f t="shared" si="239"/>
        <v/>
      </c>
    </row>
    <row r="3025" spans="1:10" x14ac:dyDescent="0.2">
      <c r="A3025">
        <v>227206089571</v>
      </c>
      <c r="B3025" t="s">
        <v>6620</v>
      </c>
      <c r="C3025" t="s">
        <v>6621</v>
      </c>
      <c r="D3025">
        <v>2.25</v>
      </c>
      <c r="F3025" t="str">
        <f t="shared" si="235"/>
        <v>No</v>
      </c>
      <c r="G3025" t="str">
        <f t="shared" si="236"/>
        <v/>
      </c>
      <c r="H3025" t="str">
        <f t="shared" si="237"/>
        <v>—</v>
      </c>
      <c r="I3025" t="str">
        <f t="shared" si="238"/>
        <v>Below thresholds</v>
      </c>
      <c r="J3025" t="str">
        <f t="shared" si="239"/>
        <v/>
      </c>
    </row>
    <row r="3026" spans="1:10" x14ac:dyDescent="0.2">
      <c r="A3026">
        <v>227206089629</v>
      </c>
      <c r="B3026" t="s">
        <v>6622</v>
      </c>
      <c r="C3026" t="s">
        <v>6623</v>
      </c>
      <c r="D3026">
        <v>2.4900000000000002</v>
      </c>
      <c r="F3026" t="str">
        <f t="shared" si="235"/>
        <v>No</v>
      </c>
      <c r="G3026" t="str">
        <f t="shared" si="236"/>
        <v/>
      </c>
      <c r="H3026" t="str">
        <f t="shared" si="237"/>
        <v>—</v>
      </c>
      <c r="I3026" t="str">
        <f t="shared" si="238"/>
        <v>Below thresholds</v>
      </c>
      <c r="J3026" t="str">
        <f t="shared" si="239"/>
        <v/>
      </c>
    </row>
    <row r="3027" spans="1:10" x14ac:dyDescent="0.2">
      <c r="A3027">
        <v>227206089635</v>
      </c>
      <c r="B3027" t="s">
        <v>6624</v>
      </c>
      <c r="C3027" t="s">
        <v>6625</v>
      </c>
      <c r="D3027">
        <v>7.99</v>
      </c>
      <c r="F3027" t="str">
        <f t="shared" si="235"/>
        <v>No</v>
      </c>
      <c r="G3027" t="str">
        <f t="shared" si="236"/>
        <v/>
      </c>
      <c r="H3027" t="str">
        <f t="shared" si="237"/>
        <v>—</v>
      </c>
      <c r="I3027" t="str">
        <f t="shared" si="238"/>
        <v>Below thresholds</v>
      </c>
      <c r="J3027" t="str">
        <f t="shared" si="239"/>
        <v/>
      </c>
    </row>
    <row r="3028" spans="1:10" x14ac:dyDescent="0.2">
      <c r="A3028">
        <v>227206089637</v>
      </c>
      <c r="B3028" t="s">
        <v>6626</v>
      </c>
      <c r="C3028" t="s">
        <v>6627</v>
      </c>
      <c r="D3028">
        <v>1.99</v>
      </c>
      <c r="F3028" t="str">
        <f t="shared" si="235"/>
        <v>No</v>
      </c>
      <c r="G3028" t="str">
        <f t="shared" si="236"/>
        <v/>
      </c>
      <c r="H3028" t="str">
        <f t="shared" si="237"/>
        <v>—</v>
      </c>
      <c r="I3028" t="str">
        <f t="shared" si="238"/>
        <v>Below thresholds</v>
      </c>
      <c r="J3028" t="str">
        <f t="shared" si="239"/>
        <v/>
      </c>
    </row>
    <row r="3029" spans="1:10" x14ac:dyDescent="0.2">
      <c r="A3029">
        <v>227206089638</v>
      </c>
      <c r="B3029" t="s">
        <v>6628</v>
      </c>
      <c r="C3029" t="s">
        <v>6629</v>
      </c>
      <c r="D3029">
        <v>2.29</v>
      </c>
      <c r="F3029" t="str">
        <f t="shared" si="235"/>
        <v>No</v>
      </c>
      <c r="G3029" t="str">
        <f t="shared" si="236"/>
        <v/>
      </c>
      <c r="H3029" t="str">
        <f t="shared" si="237"/>
        <v>—</v>
      </c>
      <c r="I3029" t="str">
        <f t="shared" si="238"/>
        <v>Below thresholds</v>
      </c>
      <c r="J3029" t="str">
        <f t="shared" si="239"/>
        <v/>
      </c>
    </row>
    <row r="3030" spans="1:10" x14ac:dyDescent="0.2">
      <c r="A3030">
        <v>227206089639</v>
      </c>
      <c r="B3030" t="s">
        <v>6630</v>
      </c>
      <c r="C3030" t="s">
        <v>6631</v>
      </c>
      <c r="D3030">
        <v>2.25</v>
      </c>
      <c r="F3030" t="str">
        <f t="shared" si="235"/>
        <v>No</v>
      </c>
      <c r="G3030" t="str">
        <f t="shared" si="236"/>
        <v/>
      </c>
      <c r="H3030" t="str">
        <f t="shared" si="237"/>
        <v>—</v>
      </c>
      <c r="I3030" t="str">
        <f t="shared" si="238"/>
        <v>Below thresholds</v>
      </c>
      <c r="J3030" t="str">
        <f t="shared" si="239"/>
        <v/>
      </c>
    </row>
    <row r="3031" spans="1:10" x14ac:dyDescent="0.2">
      <c r="A3031">
        <v>227206089641</v>
      </c>
      <c r="B3031" t="s">
        <v>6632</v>
      </c>
      <c r="C3031" t="s">
        <v>6633</v>
      </c>
      <c r="D3031">
        <v>1.99</v>
      </c>
      <c r="F3031" t="str">
        <f t="shared" si="235"/>
        <v>No</v>
      </c>
      <c r="G3031" t="str">
        <f t="shared" si="236"/>
        <v/>
      </c>
      <c r="H3031" t="str">
        <f t="shared" si="237"/>
        <v>—</v>
      </c>
      <c r="I3031" t="str">
        <f t="shared" si="238"/>
        <v>Below thresholds</v>
      </c>
      <c r="J3031" t="str">
        <f t="shared" si="239"/>
        <v/>
      </c>
    </row>
    <row r="3032" spans="1:10" x14ac:dyDescent="0.2">
      <c r="A3032">
        <v>227206089644</v>
      </c>
      <c r="B3032" t="s">
        <v>6634</v>
      </c>
      <c r="C3032" t="s">
        <v>6635</v>
      </c>
      <c r="D3032">
        <v>1.99</v>
      </c>
      <c r="F3032" t="str">
        <f t="shared" si="235"/>
        <v>No</v>
      </c>
      <c r="G3032" t="str">
        <f t="shared" si="236"/>
        <v/>
      </c>
      <c r="H3032" t="str">
        <f t="shared" si="237"/>
        <v>—</v>
      </c>
      <c r="I3032" t="str">
        <f t="shared" si="238"/>
        <v>Below thresholds</v>
      </c>
      <c r="J3032" t="str">
        <f t="shared" si="239"/>
        <v/>
      </c>
    </row>
    <row r="3033" spans="1:10" x14ac:dyDescent="0.2">
      <c r="A3033">
        <v>227206089645</v>
      </c>
      <c r="B3033" t="s">
        <v>6636</v>
      </c>
      <c r="C3033" t="s">
        <v>6637</v>
      </c>
      <c r="D3033">
        <v>1.99</v>
      </c>
      <c r="F3033" t="str">
        <f t="shared" si="235"/>
        <v>No</v>
      </c>
      <c r="G3033" t="str">
        <f t="shared" si="236"/>
        <v/>
      </c>
      <c r="H3033" t="str">
        <f t="shared" si="237"/>
        <v>—</v>
      </c>
      <c r="I3033" t="str">
        <f t="shared" si="238"/>
        <v>Below thresholds</v>
      </c>
      <c r="J3033" t="str">
        <f t="shared" si="239"/>
        <v/>
      </c>
    </row>
    <row r="3034" spans="1:10" x14ac:dyDescent="0.2">
      <c r="A3034">
        <v>227206089661</v>
      </c>
      <c r="B3034" t="s">
        <v>6638</v>
      </c>
      <c r="C3034" t="s">
        <v>6639</v>
      </c>
      <c r="D3034">
        <v>2.95</v>
      </c>
      <c r="F3034" t="str">
        <f t="shared" si="235"/>
        <v>No</v>
      </c>
      <c r="G3034" t="str">
        <f t="shared" si="236"/>
        <v/>
      </c>
      <c r="H3034" t="str">
        <f t="shared" si="237"/>
        <v>—</v>
      </c>
      <c r="I3034" t="str">
        <f t="shared" si="238"/>
        <v>Below thresholds</v>
      </c>
      <c r="J3034" t="str">
        <f t="shared" si="239"/>
        <v/>
      </c>
    </row>
    <row r="3035" spans="1:10" x14ac:dyDescent="0.2">
      <c r="A3035">
        <v>227206089700</v>
      </c>
      <c r="B3035" t="s">
        <v>6640</v>
      </c>
      <c r="C3035" t="s">
        <v>6641</v>
      </c>
      <c r="D3035">
        <v>1.99</v>
      </c>
      <c r="F3035" t="str">
        <f t="shared" si="235"/>
        <v>No</v>
      </c>
      <c r="G3035" t="str">
        <f t="shared" si="236"/>
        <v/>
      </c>
      <c r="H3035" t="str">
        <f t="shared" si="237"/>
        <v>—</v>
      </c>
      <c r="I3035" t="str">
        <f t="shared" si="238"/>
        <v>Below thresholds</v>
      </c>
      <c r="J3035" t="str">
        <f t="shared" si="239"/>
        <v/>
      </c>
    </row>
    <row r="3036" spans="1:10" x14ac:dyDescent="0.2">
      <c r="A3036">
        <v>227206089711</v>
      </c>
      <c r="B3036" t="s">
        <v>6642</v>
      </c>
      <c r="C3036" t="s">
        <v>6643</v>
      </c>
      <c r="D3036">
        <v>3.59</v>
      </c>
      <c r="F3036" t="str">
        <f t="shared" si="235"/>
        <v>No</v>
      </c>
      <c r="G3036" t="str">
        <f t="shared" si="236"/>
        <v/>
      </c>
      <c r="H3036" t="str">
        <f t="shared" si="237"/>
        <v>—</v>
      </c>
      <c r="I3036" t="str">
        <f t="shared" si="238"/>
        <v>Below thresholds</v>
      </c>
      <c r="J3036" t="str">
        <f t="shared" si="239"/>
        <v/>
      </c>
    </row>
    <row r="3037" spans="1:10" x14ac:dyDescent="0.2">
      <c r="A3037">
        <v>227206089715</v>
      </c>
      <c r="B3037" t="s">
        <v>6644</v>
      </c>
      <c r="C3037" t="s">
        <v>6645</v>
      </c>
      <c r="D3037">
        <v>1.99</v>
      </c>
      <c r="F3037" t="str">
        <f t="shared" si="235"/>
        <v>No</v>
      </c>
      <c r="G3037" t="str">
        <f t="shared" si="236"/>
        <v/>
      </c>
      <c r="H3037" t="str">
        <f t="shared" si="237"/>
        <v>—</v>
      </c>
      <c r="I3037" t="str">
        <f t="shared" si="238"/>
        <v>Below thresholds</v>
      </c>
      <c r="J3037" t="str">
        <f t="shared" si="239"/>
        <v/>
      </c>
    </row>
    <row r="3038" spans="1:10" x14ac:dyDescent="0.2">
      <c r="A3038">
        <v>227206089718</v>
      </c>
      <c r="B3038" t="s">
        <v>6646</v>
      </c>
      <c r="C3038" t="s">
        <v>6647</v>
      </c>
      <c r="D3038">
        <v>3.99</v>
      </c>
      <c r="F3038" t="str">
        <f t="shared" si="235"/>
        <v>No</v>
      </c>
      <c r="G3038" t="str">
        <f t="shared" si="236"/>
        <v/>
      </c>
      <c r="H3038" t="str">
        <f t="shared" si="237"/>
        <v>—</v>
      </c>
      <c r="I3038" t="str">
        <f t="shared" si="238"/>
        <v>Below thresholds</v>
      </c>
      <c r="J3038" t="str">
        <f t="shared" si="239"/>
        <v/>
      </c>
    </row>
    <row r="3039" spans="1:10" x14ac:dyDescent="0.2">
      <c r="A3039">
        <v>227206089743</v>
      </c>
      <c r="B3039" t="s">
        <v>6648</v>
      </c>
      <c r="C3039" t="s">
        <v>6649</v>
      </c>
      <c r="D3039">
        <v>9.99</v>
      </c>
      <c r="F3039" t="str">
        <f t="shared" si="235"/>
        <v>No</v>
      </c>
      <c r="G3039" t="str">
        <f t="shared" si="236"/>
        <v/>
      </c>
      <c r="H3039" t="str">
        <f t="shared" si="237"/>
        <v>—</v>
      </c>
      <c r="I3039" t="str">
        <f t="shared" si="238"/>
        <v>Below thresholds</v>
      </c>
      <c r="J3039" t="str">
        <f t="shared" si="239"/>
        <v/>
      </c>
    </row>
    <row r="3040" spans="1:10" x14ac:dyDescent="0.2">
      <c r="A3040">
        <v>227206089753</v>
      </c>
      <c r="B3040" t="s">
        <v>6650</v>
      </c>
      <c r="C3040" t="s">
        <v>6651</v>
      </c>
      <c r="D3040">
        <v>1.99</v>
      </c>
      <c r="F3040" t="str">
        <f t="shared" si="235"/>
        <v>No</v>
      </c>
      <c r="G3040" t="str">
        <f t="shared" si="236"/>
        <v/>
      </c>
      <c r="H3040" t="str">
        <f t="shared" si="237"/>
        <v>—</v>
      </c>
      <c r="I3040" t="str">
        <f t="shared" si="238"/>
        <v>Below thresholds</v>
      </c>
      <c r="J3040" t="str">
        <f t="shared" si="239"/>
        <v/>
      </c>
    </row>
    <row r="3041" spans="1:10" x14ac:dyDescent="0.2">
      <c r="A3041">
        <v>227206089756</v>
      </c>
      <c r="B3041" t="s">
        <v>6652</v>
      </c>
      <c r="C3041" t="s">
        <v>6653</v>
      </c>
      <c r="D3041">
        <v>1.99</v>
      </c>
      <c r="F3041" t="str">
        <f t="shared" si="235"/>
        <v>No</v>
      </c>
      <c r="G3041" t="str">
        <f t="shared" si="236"/>
        <v/>
      </c>
      <c r="H3041" t="str">
        <f t="shared" si="237"/>
        <v>—</v>
      </c>
      <c r="I3041" t="str">
        <f t="shared" si="238"/>
        <v>Below thresholds</v>
      </c>
      <c r="J3041" t="str">
        <f t="shared" si="239"/>
        <v/>
      </c>
    </row>
    <row r="3042" spans="1:10" x14ac:dyDescent="0.2">
      <c r="A3042">
        <v>227206089767</v>
      </c>
      <c r="B3042" t="s">
        <v>6654</v>
      </c>
      <c r="C3042" t="s">
        <v>6655</v>
      </c>
      <c r="D3042">
        <v>9.5</v>
      </c>
      <c r="F3042" t="str">
        <f t="shared" si="235"/>
        <v>No</v>
      </c>
      <c r="G3042" t="str">
        <f t="shared" si="236"/>
        <v/>
      </c>
      <c r="H3042" t="str">
        <f t="shared" si="237"/>
        <v>—</v>
      </c>
      <c r="I3042" t="str">
        <f t="shared" si="238"/>
        <v>Below thresholds</v>
      </c>
      <c r="J3042" t="str">
        <f t="shared" si="239"/>
        <v/>
      </c>
    </row>
    <row r="3043" spans="1:10" x14ac:dyDescent="0.2">
      <c r="A3043">
        <v>227209221809</v>
      </c>
      <c r="B3043" t="s">
        <v>6656</v>
      </c>
      <c r="C3043" t="s">
        <v>6657</v>
      </c>
      <c r="D3043">
        <v>1.99</v>
      </c>
      <c r="F3043" t="str">
        <f t="shared" si="235"/>
        <v>No</v>
      </c>
      <c r="G3043" t="str">
        <f t="shared" si="236"/>
        <v/>
      </c>
      <c r="H3043" t="str">
        <f t="shared" si="237"/>
        <v>—</v>
      </c>
      <c r="I3043" t="str">
        <f t="shared" si="238"/>
        <v>Below thresholds</v>
      </c>
      <c r="J3043" t="str">
        <f t="shared" si="239"/>
        <v/>
      </c>
    </row>
    <row r="3044" spans="1:10" x14ac:dyDescent="0.2">
      <c r="A3044">
        <v>227210746192</v>
      </c>
      <c r="B3044" t="s">
        <v>6658</v>
      </c>
      <c r="C3044" t="s">
        <v>6659</v>
      </c>
      <c r="D3044">
        <v>6</v>
      </c>
      <c r="F3044" t="str">
        <f t="shared" si="235"/>
        <v>No</v>
      </c>
      <c r="G3044" t="str">
        <f t="shared" si="236"/>
        <v/>
      </c>
      <c r="H3044" t="str">
        <f t="shared" si="237"/>
        <v>—</v>
      </c>
      <c r="I3044" t="str">
        <f t="shared" si="238"/>
        <v>Below thresholds</v>
      </c>
      <c r="J3044" t="str">
        <f t="shared" si="239"/>
        <v/>
      </c>
    </row>
    <row r="3045" spans="1:10" x14ac:dyDescent="0.2">
      <c r="A3045">
        <v>227210784579</v>
      </c>
      <c r="B3045" t="s">
        <v>6660</v>
      </c>
      <c r="C3045" t="s">
        <v>6661</v>
      </c>
      <c r="D3045">
        <v>4.95</v>
      </c>
      <c r="F3045" t="str">
        <f t="shared" si="235"/>
        <v>No</v>
      </c>
      <c r="G3045" t="str">
        <f t="shared" si="236"/>
        <v/>
      </c>
      <c r="H3045" t="str">
        <f t="shared" si="237"/>
        <v>—</v>
      </c>
      <c r="I3045" t="str">
        <f t="shared" si="238"/>
        <v>Below thresholds</v>
      </c>
      <c r="J3045" t="str">
        <f t="shared" si="239"/>
        <v/>
      </c>
    </row>
    <row r="3046" spans="1:10" x14ac:dyDescent="0.2">
      <c r="A3046">
        <v>227210784586</v>
      </c>
      <c r="B3046" t="s">
        <v>278</v>
      </c>
      <c r="C3046" t="s">
        <v>6662</v>
      </c>
      <c r="D3046">
        <v>2.85</v>
      </c>
      <c r="F3046" t="str">
        <f t="shared" si="235"/>
        <v>No</v>
      </c>
      <c r="G3046" t="str">
        <f t="shared" si="236"/>
        <v/>
      </c>
      <c r="H3046" t="str">
        <f t="shared" si="237"/>
        <v>—</v>
      </c>
      <c r="I3046" t="str">
        <f t="shared" si="238"/>
        <v>Below thresholds</v>
      </c>
      <c r="J3046" t="str">
        <f t="shared" si="239"/>
        <v/>
      </c>
    </row>
    <row r="3047" spans="1:10" x14ac:dyDescent="0.2">
      <c r="A3047">
        <v>227210784605</v>
      </c>
      <c r="B3047" t="s">
        <v>6663</v>
      </c>
      <c r="C3047" t="s">
        <v>6664</v>
      </c>
      <c r="D3047">
        <v>6.99</v>
      </c>
      <c r="F3047" t="str">
        <f t="shared" si="235"/>
        <v>No</v>
      </c>
      <c r="G3047" t="str">
        <f t="shared" si="236"/>
        <v/>
      </c>
      <c r="H3047" t="str">
        <f t="shared" si="237"/>
        <v>—</v>
      </c>
      <c r="I3047" t="str">
        <f t="shared" si="238"/>
        <v>Below thresholds</v>
      </c>
      <c r="J3047" t="str">
        <f t="shared" si="239"/>
        <v/>
      </c>
    </row>
    <row r="3048" spans="1:10" x14ac:dyDescent="0.2">
      <c r="A3048">
        <v>227211870014</v>
      </c>
      <c r="B3048" t="s">
        <v>6665</v>
      </c>
      <c r="C3048" t="s">
        <v>6666</v>
      </c>
      <c r="D3048">
        <v>3.99</v>
      </c>
      <c r="F3048" t="str">
        <f t="shared" si="235"/>
        <v>No</v>
      </c>
      <c r="G3048" t="str">
        <f t="shared" si="236"/>
        <v/>
      </c>
      <c r="H3048" t="str">
        <f t="shared" si="237"/>
        <v>—</v>
      </c>
      <c r="I3048" t="str">
        <f t="shared" si="238"/>
        <v>Below thresholds</v>
      </c>
      <c r="J3048" t="str">
        <f t="shared" si="239"/>
        <v/>
      </c>
    </row>
    <row r="3049" spans="1:10" x14ac:dyDescent="0.2">
      <c r="A3049">
        <v>227211870078</v>
      </c>
      <c r="B3049" t="s">
        <v>6667</v>
      </c>
      <c r="C3049" t="s">
        <v>6668</v>
      </c>
      <c r="D3049">
        <v>4.99</v>
      </c>
      <c r="F3049" t="str">
        <f t="shared" si="235"/>
        <v>No</v>
      </c>
      <c r="G3049" t="str">
        <f t="shared" si="236"/>
        <v/>
      </c>
      <c r="H3049" t="str">
        <f t="shared" si="237"/>
        <v>—</v>
      </c>
      <c r="I3049" t="str">
        <f t="shared" si="238"/>
        <v>Below thresholds</v>
      </c>
      <c r="J3049" t="str">
        <f t="shared" si="239"/>
        <v/>
      </c>
    </row>
    <row r="3050" spans="1:10" x14ac:dyDescent="0.2">
      <c r="A3050">
        <v>227212231219</v>
      </c>
      <c r="B3050" t="s">
        <v>6669</v>
      </c>
      <c r="C3050" t="s">
        <v>6670</v>
      </c>
      <c r="D3050">
        <v>4.95</v>
      </c>
      <c r="F3050" t="str">
        <f t="shared" si="235"/>
        <v>No</v>
      </c>
      <c r="G3050" t="str">
        <f t="shared" si="236"/>
        <v/>
      </c>
      <c r="H3050" t="str">
        <f t="shared" si="237"/>
        <v>—</v>
      </c>
      <c r="I3050" t="str">
        <f t="shared" si="238"/>
        <v>Below thresholds</v>
      </c>
      <c r="J3050" t="str">
        <f t="shared" si="239"/>
        <v/>
      </c>
    </row>
    <row r="3051" spans="1:10" x14ac:dyDescent="0.2">
      <c r="A3051">
        <v>227212231279</v>
      </c>
      <c r="B3051" t="s">
        <v>6671</v>
      </c>
      <c r="C3051" t="s">
        <v>6672</v>
      </c>
      <c r="D3051">
        <v>2.59</v>
      </c>
      <c r="F3051" t="str">
        <f t="shared" si="235"/>
        <v>No</v>
      </c>
      <c r="G3051" t="str">
        <f t="shared" si="236"/>
        <v/>
      </c>
      <c r="H3051" t="str">
        <f t="shared" si="237"/>
        <v>—</v>
      </c>
      <c r="I3051" t="str">
        <f t="shared" si="238"/>
        <v>Below thresholds</v>
      </c>
      <c r="J3051" t="str">
        <f t="shared" si="239"/>
        <v/>
      </c>
    </row>
    <row r="3052" spans="1:10" x14ac:dyDescent="0.2">
      <c r="A3052">
        <v>227212231295</v>
      </c>
      <c r="B3052" t="s">
        <v>6673</v>
      </c>
      <c r="C3052" t="s">
        <v>6674</v>
      </c>
      <c r="D3052">
        <v>3.49</v>
      </c>
      <c r="F3052" t="str">
        <f t="shared" si="235"/>
        <v>No</v>
      </c>
      <c r="G3052" t="str">
        <f t="shared" si="236"/>
        <v/>
      </c>
      <c r="H3052" t="str">
        <f t="shared" si="237"/>
        <v>—</v>
      </c>
      <c r="I3052" t="str">
        <f t="shared" si="238"/>
        <v>Below thresholds</v>
      </c>
      <c r="J3052" t="str">
        <f t="shared" si="239"/>
        <v/>
      </c>
    </row>
    <row r="3053" spans="1:10" x14ac:dyDescent="0.2">
      <c r="A3053">
        <v>227212231301</v>
      </c>
      <c r="B3053" t="s">
        <v>6675</v>
      </c>
      <c r="C3053" t="s">
        <v>6676</v>
      </c>
      <c r="D3053">
        <v>1.75</v>
      </c>
      <c r="F3053" t="str">
        <f t="shared" si="235"/>
        <v>No</v>
      </c>
      <c r="G3053" t="str">
        <f t="shared" si="236"/>
        <v/>
      </c>
      <c r="H3053" t="str">
        <f t="shared" si="237"/>
        <v>—</v>
      </c>
      <c r="I3053" t="str">
        <f t="shared" si="238"/>
        <v>Below thresholds</v>
      </c>
      <c r="J3053" t="str">
        <f t="shared" si="239"/>
        <v/>
      </c>
    </row>
    <row r="3054" spans="1:10" x14ac:dyDescent="0.2">
      <c r="A3054">
        <v>227212231302</v>
      </c>
      <c r="B3054" t="s">
        <v>6677</v>
      </c>
      <c r="C3054" t="s">
        <v>6678</v>
      </c>
      <c r="D3054">
        <v>1.99</v>
      </c>
      <c r="F3054" t="str">
        <f t="shared" si="235"/>
        <v>No</v>
      </c>
      <c r="G3054" t="str">
        <f t="shared" si="236"/>
        <v/>
      </c>
      <c r="H3054" t="str">
        <f t="shared" si="237"/>
        <v>—</v>
      </c>
      <c r="I3054" t="str">
        <f t="shared" si="238"/>
        <v>Below thresholds</v>
      </c>
      <c r="J3054" t="str">
        <f t="shared" si="239"/>
        <v/>
      </c>
    </row>
    <row r="3055" spans="1:10" x14ac:dyDescent="0.2">
      <c r="A3055">
        <v>227212231318</v>
      </c>
      <c r="B3055" t="s">
        <v>6679</v>
      </c>
      <c r="C3055" t="s">
        <v>6680</v>
      </c>
      <c r="D3055">
        <v>1.99</v>
      </c>
      <c r="F3055" t="str">
        <f t="shared" si="235"/>
        <v>No</v>
      </c>
      <c r="G3055" t="str">
        <f t="shared" si="236"/>
        <v/>
      </c>
      <c r="H3055" t="str">
        <f t="shared" si="237"/>
        <v>—</v>
      </c>
      <c r="I3055" t="str">
        <f t="shared" si="238"/>
        <v>Below thresholds</v>
      </c>
      <c r="J3055" t="str">
        <f t="shared" si="239"/>
        <v/>
      </c>
    </row>
    <row r="3056" spans="1:10" x14ac:dyDescent="0.2">
      <c r="A3056">
        <v>227212231324</v>
      </c>
      <c r="B3056" t="s">
        <v>6681</v>
      </c>
      <c r="C3056" t="s">
        <v>6682</v>
      </c>
      <c r="D3056">
        <v>0.99</v>
      </c>
      <c r="F3056" t="str">
        <f t="shared" si="235"/>
        <v>No</v>
      </c>
      <c r="G3056" t="str">
        <f t="shared" si="236"/>
        <v/>
      </c>
      <c r="H3056" t="str">
        <f t="shared" si="237"/>
        <v>—</v>
      </c>
      <c r="I3056" t="str">
        <f t="shared" si="238"/>
        <v>Below thresholds</v>
      </c>
      <c r="J3056" t="str">
        <f t="shared" si="239"/>
        <v/>
      </c>
    </row>
    <row r="3057" spans="1:10" x14ac:dyDescent="0.2">
      <c r="A3057">
        <v>227212231359</v>
      </c>
      <c r="B3057" t="s">
        <v>6683</v>
      </c>
      <c r="C3057" t="s">
        <v>6684</v>
      </c>
      <c r="D3057">
        <v>2.25</v>
      </c>
      <c r="F3057" t="str">
        <f t="shared" si="235"/>
        <v>No</v>
      </c>
      <c r="G3057" t="str">
        <f t="shared" si="236"/>
        <v/>
      </c>
      <c r="H3057" t="str">
        <f t="shared" si="237"/>
        <v>—</v>
      </c>
      <c r="I3057" t="str">
        <f t="shared" si="238"/>
        <v>Below thresholds</v>
      </c>
      <c r="J3057" t="str">
        <f t="shared" si="239"/>
        <v/>
      </c>
    </row>
    <row r="3058" spans="1:10" x14ac:dyDescent="0.2">
      <c r="A3058">
        <v>227212231371</v>
      </c>
      <c r="B3058" t="s">
        <v>6685</v>
      </c>
      <c r="C3058" t="s">
        <v>6686</v>
      </c>
      <c r="D3058">
        <v>1.59</v>
      </c>
      <c r="F3058" t="str">
        <f t="shared" si="235"/>
        <v>No</v>
      </c>
      <c r="G3058" t="str">
        <f t="shared" si="236"/>
        <v/>
      </c>
      <c r="H3058" t="str">
        <f t="shared" si="237"/>
        <v>—</v>
      </c>
      <c r="I3058" t="str">
        <f t="shared" si="238"/>
        <v>Below thresholds</v>
      </c>
      <c r="J3058" t="str">
        <f t="shared" si="239"/>
        <v/>
      </c>
    </row>
    <row r="3059" spans="1:10" x14ac:dyDescent="0.2">
      <c r="A3059">
        <v>227212231374</v>
      </c>
      <c r="B3059" t="s">
        <v>6687</v>
      </c>
      <c r="C3059" t="s">
        <v>6688</v>
      </c>
      <c r="D3059">
        <v>4.45</v>
      </c>
      <c r="F3059" t="str">
        <f t="shared" si="235"/>
        <v>No</v>
      </c>
      <c r="G3059" t="str">
        <f t="shared" si="236"/>
        <v/>
      </c>
      <c r="H3059" t="str">
        <f t="shared" si="237"/>
        <v>—</v>
      </c>
      <c r="I3059" t="str">
        <f t="shared" si="238"/>
        <v>Below thresholds</v>
      </c>
      <c r="J3059" t="str">
        <f t="shared" si="239"/>
        <v/>
      </c>
    </row>
    <row r="3060" spans="1:10" x14ac:dyDescent="0.2">
      <c r="A3060">
        <v>227213329836</v>
      </c>
      <c r="B3060" t="s">
        <v>6689</v>
      </c>
      <c r="C3060" t="s">
        <v>6690</v>
      </c>
      <c r="D3060">
        <v>1.95</v>
      </c>
      <c r="F3060" t="str">
        <f t="shared" si="235"/>
        <v>No</v>
      </c>
      <c r="G3060" t="str">
        <f t="shared" si="236"/>
        <v/>
      </c>
      <c r="H3060" t="str">
        <f t="shared" si="237"/>
        <v>—</v>
      </c>
      <c r="I3060" t="str">
        <f t="shared" si="238"/>
        <v>Below thresholds</v>
      </c>
      <c r="J3060" t="str">
        <f t="shared" si="239"/>
        <v/>
      </c>
    </row>
    <row r="3061" spans="1:10" x14ac:dyDescent="0.2">
      <c r="A3061">
        <v>227213329837</v>
      </c>
      <c r="B3061" t="s">
        <v>6691</v>
      </c>
      <c r="C3061" t="s">
        <v>6692</v>
      </c>
      <c r="D3061">
        <v>1.29</v>
      </c>
      <c r="F3061" t="str">
        <f t="shared" si="235"/>
        <v>No</v>
      </c>
      <c r="G3061" t="str">
        <f t="shared" si="236"/>
        <v/>
      </c>
      <c r="H3061" t="str">
        <f t="shared" si="237"/>
        <v>—</v>
      </c>
      <c r="I3061" t="str">
        <f t="shared" si="238"/>
        <v>Below thresholds</v>
      </c>
      <c r="J3061" t="str">
        <f t="shared" si="239"/>
        <v/>
      </c>
    </row>
    <row r="3062" spans="1:10" x14ac:dyDescent="0.2">
      <c r="A3062">
        <v>227213329838</v>
      </c>
      <c r="B3062" t="s">
        <v>6693</v>
      </c>
      <c r="C3062" t="s">
        <v>6694</v>
      </c>
      <c r="D3062">
        <v>1.6</v>
      </c>
      <c r="F3062" t="str">
        <f t="shared" si="235"/>
        <v>No</v>
      </c>
      <c r="G3062" t="str">
        <f t="shared" si="236"/>
        <v/>
      </c>
      <c r="H3062" t="str">
        <f t="shared" si="237"/>
        <v>—</v>
      </c>
      <c r="I3062" t="str">
        <f t="shared" si="238"/>
        <v>Below thresholds</v>
      </c>
      <c r="J3062" t="str">
        <f t="shared" si="239"/>
        <v/>
      </c>
    </row>
    <row r="3063" spans="1:10" x14ac:dyDescent="0.2">
      <c r="A3063">
        <v>227213329840</v>
      </c>
      <c r="B3063" t="s">
        <v>6695</v>
      </c>
      <c r="C3063" t="s">
        <v>6696</v>
      </c>
      <c r="D3063">
        <v>1.25</v>
      </c>
      <c r="F3063" t="str">
        <f t="shared" si="235"/>
        <v>No</v>
      </c>
      <c r="G3063" t="str">
        <f t="shared" si="236"/>
        <v/>
      </c>
      <c r="H3063" t="str">
        <f t="shared" si="237"/>
        <v>—</v>
      </c>
      <c r="I3063" t="str">
        <f t="shared" si="238"/>
        <v>Below thresholds</v>
      </c>
      <c r="J3063" t="str">
        <f t="shared" si="239"/>
        <v/>
      </c>
    </row>
    <row r="3064" spans="1:10" x14ac:dyDescent="0.2">
      <c r="A3064">
        <v>227213329841</v>
      </c>
      <c r="B3064" t="s">
        <v>6697</v>
      </c>
      <c r="C3064" t="s">
        <v>6698</v>
      </c>
      <c r="D3064">
        <v>1.78</v>
      </c>
      <c r="F3064" t="str">
        <f t="shared" si="235"/>
        <v>No</v>
      </c>
      <c r="G3064" t="str">
        <f t="shared" si="236"/>
        <v/>
      </c>
      <c r="H3064" t="str">
        <f t="shared" si="237"/>
        <v>—</v>
      </c>
      <c r="I3064" t="str">
        <f t="shared" si="238"/>
        <v>Below thresholds</v>
      </c>
      <c r="J3064" t="str">
        <f t="shared" si="239"/>
        <v/>
      </c>
    </row>
    <row r="3065" spans="1:10" x14ac:dyDescent="0.2">
      <c r="A3065">
        <v>227213329843</v>
      </c>
      <c r="B3065" t="s">
        <v>6699</v>
      </c>
      <c r="C3065" t="s">
        <v>6700</v>
      </c>
      <c r="D3065">
        <v>1.79</v>
      </c>
      <c r="F3065" t="str">
        <f t="shared" si="235"/>
        <v>No</v>
      </c>
      <c r="G3065" t="str">
        <f t="shared" si="236"/>
        <v/>
      </c>
      <c r="H3065" t="str">
        <f t="shared" si="237"/>
        <v>—</v>
      </c>
      <c r="I3065" t="str">
        <f t="shared" si="238"/>
        <v>Below thresholds</v>
      </c>
      <c r="J3065" t="str">
        <f t="shared" si="239"/>
        <v/>
      </c>
    </row>
    <row r="3066" spans="1:10" x14ac:dyDescent="0.2">
      <c r="A3066">
        <v>227213329844</v>
      </c>
      <c r="B3066" t="s">
        <v>6701</v>
      </c>
      <c r="C3066" t="s">
        <v>6702</v>
      </c>
      <c r="D3066">
        <v>1.99</v>
      </c>
      <c r="F3066" t="str">
        <f t="shared" si="235"/>
        <v>No</v>
      </c>
      <c r="G3066" t="str">
        <f t="shared" si="236"/>
        <v/>
      </c>
      <c r="H3066" t="str">
        <f t="shared" si="237"/>
        <v>—</v>
      </c>
      <c r="I3066" t="str">
        <f t="shared" si="238"/>
        <v>Below thresholds</v>
      </c>
      <c r="J3066" t="str">
        <f t="shared" si="239"/>
        <v/>
      </c>
    </row>
    <row r="3067" spans="1:10" x14ac:dyDescent="0.2">
      <c r="A3067">
        <v>227213329846</v>
      </c>
      <c r="B3067" t="s">
        <v>6703</v>
      </c>
      <c r="C3067" t="s">
        <v>6704</v>
      </c>
      <c r="D3067">
        <v>1.75</v>
      </c>
      <c r="F3067" t="str">
        <f t="shared" si="235"/>
        <v>No</v>
      </c>
      <c r="G3067" t="str">
        <f t="shared" si="236"/>
        <v/>
      </c>
      <c r="H3067" t="str">
        <f t="shared" si="237"/>
        <v>—</v>
      </c>
      <c r="I3067" t="str">
        <f t="shared" si="238"/>
        <v>Below thresholds</v>
      </c>
      <c r="J3067" t="str">
        <f t="shared" si="239"/>
        <v/>
      </c>
    </row>
    <row r="3068" spans="1:10" x14ac:dyDescent="0.2">
      <c r="A3068">
        <v>227213329847</v>
      </c>
      <c r="B3068" t="s">
        <v>6705</v>
      </c>
      <c r="C3068" t="s">
        <v>6706</v>
      </c>
      <c r="D3068">
        <v>1.5</v>
      </c>
      <c r="F3068" t="str">
        <f t="shared" si="235"/>
        <v>No</v>
      </c>
      <c r="G3068" t="str">
        <f t="shared" si="236"/>
        <v/>
      </c>
      <c r="H3068" t="str">
        <f t="shared" si="237"/>
        <v>—</v>
      </c>
      <c r="I3068" t="str">
        <f t="shared" si="238"/>
        <v>Below thresholds</v>
      </c>
      <c r="J3068" t="str">
        <f t="shared" si="239"/>
        <v/>
      </c>
    </row>
    <row r="3069" spans="1:10" x14ac:dyDescent="0.2">
      <c r="A3069">
        <v>227213329855</v>
      </c>
      <c r="B3069" t="s">
        <v>6707</v>
      </c>
      <c r="C3069" t="s">
        <v>6708</v>
      </c>
      <c r="D3069">
        <v>1.79</v>
      </c>
      <c r="F3069" t="str">
        <f t="shared" si="235"/>
        <v>No</v>
      </c>
      <c r="G3069" t="str">
        <f t="shared" si="236"/>
        <v/>
      </c>
      <c r="H3069" t="str">
        <f t="shared" si="237"/>
        <v>—</v>
      </c>
      <c r="I3069" t="str">
        <f t="shared" si="238"/>
        <v>Below thresholds</v>
      </c>
      <c r="J3069" t="str">
        <f t="shared" si="239"/>
        <v/>
      </c>
    </row>
    <row r="3070" spans="1:10" x14ac:dyDescent="0.2">
      <c r="A3070">
        <v>227213329865</v>
      </c>
      <c r="B3070" t="s">
        <v>6709</v>
      </c>
      <c r="C3070" t="s">
        <v>6710</v>
      </c>
      <c r="D3070">
        <v>2.25</v>
      </c>
      <c r="F3070" t="str">
        <f t="shared" si="235"/>
        <v>No</v>
      </c>
      <c r="G3070" t="str">
        <f t="shared" si="236"/>
        <v/>
      </c>
      <c r="H3070" t="str">
        <f t="shared" si="237"/>
        <v>—</v>
      </c>
      <c r="I3070" t="str">
        <f t="shared" si="238"/>
        <v>Below thresholds</v>
      </c>
      <c r="J3070" t="str">
        <f t="shared" si="239"/>
        <v/>
      </c>
    </row>
    <row r="3071" spans="1:10" x14ac:dyDescent="0.2">
      <c r="A3071">
        <v>227213329876</v>
      </c>
      <c r="B3071" t="s">
        <v>6711</v>
      </c>
      <c r="C3071" t="s">
        <v>6712</v>
      </c>
      <c r="D3071">
        <v>1.5</v>
      </c>
      <c r="F3071" t="str">
        <f t="shared" si="235"/>
        <v>No</v>
      </c>
      <c r="G3071" t="str">
        <f t="shared" si="236"/>
        <v/>
      </c>
      <c r="H3071" t="str">
        <f t="shared" si="237"/>
        <v>—</v>
      </c>
      <c r="I3071" t="str">
        <f t="shared" si="238"/>
        <v>Below thresholds</v>
      </c>
      <c r="J3071" t="str">
        <f t="shared" si="239"/>
        <v/>
      </c>
    </row>
    <row r="3072" spans="1:10" x14ac:dyDescent="0.2">
      <c r="A3072">
        <v>227213329883</v>
      </c>
      <c r="B3072" t="s">
        <v>6713</v>
      </c>
      <c r="C3072" t="s">
        <v>6714</v>
      </c>
      <c r="D3072">
        <v>1.5</v>
      </c>
      <c r="F3072" t="str">
        <f t="shared" si="235"/>
        <v>No</v>
      </c>
      <c r="G3072" t="str">
        <f t="shared" si="236"/>
        <v/>
      </c>
      <c r="H3072" t="str">
        <f t="shared" si="237"/>
        <v>—</v>
      </c>
      <c r="I3072" t="str">
        <f t="shared" si="238"/>
        <v>Below thresholds</v>
      </c>
      <c r="J3072" t="str">
        <f t="shared" si="239"/>
        <v/>
      </c>
    </row>
    <row r="3073" spans="1:10" x14ac:dyDescent="0.2">
      <c r="A3073">
        <v>227213329894</v>
      </c>
      <c r="B3073" t="s">
        <v>6715</v>
      </c>
      <c r="C3073" t="s">
        <v>6716</v>
      </c>
      <c r="D3073">
        <v>1.25</v>
      </c>
      <c r="F3073" t="str">
        <f t="shared" si="235"/>
        <v>No</v>
      </c>
      <c r="G3073" t="str">
        <f t="shared" si="236"/>
        <v/>
      </c>
      <c r="H3073" t="str">
        <f t="shared" si="237"/>
        <v>—</v>
      </c>
      <c r="I3073" t="str">
        <f t="shared" si="238"/>
        <v>Below thresholds</v>
      </c>
      <c r="J3073" t="str">
        <f t="shared" si="239"/>
        <v/>
      </c>
    </row>
    <row r="3074" spans="1:10" x14ac:dyDescent="0.2">
      <c r="A3074">
        <v>227213329896</v>
      </c>
      <c r="B3074" t="s">
        <v>6717</v>
      </c>
      <c r="C3074" t="s">
        <v>6718</v>
      </c>
      <c r="D3074">
        <v>1.99</v>
      </c>
      <c r="F3074" t="str">
        <f t="shared" si="235"/>
        <v>No</v>
      </c>
      <c r="G3074" t="str">
        <f t="shared" si="236"/>
        <v/>
      </c>
      <c r="H3074" t="str">
        <f t="shared" si="237"/>
        <v>—</v>
      </c>
      <c r="I3074" t="str">
        <f t="shared" si="238"/>
        <v>Below thresholds</v>
      </c>
      <c r="J3074" t="str">
        <f t="shared" si="239"/>
        <v/>
      </c>
    </row>
    <row r="3075" spans="1:10" x14ac:dyDescent="0.2">
      <c r="A3075">
        <v>227213329898</v>
      </c>
      <c r="B3075" t="s">
        <v>6719</v>
      </c>
      <c r="C3075" t="s">
        <v>6720</v>
      </c>
      <c r="D3075">
        <v>1.35</v>
      </c>
      <c r="F3075" t="str">
        <f t="shared" si="235"/>
        <v>No</v>
      </c>
      <c r="G3075" t="str">
        <f t="shared" si="236"/>
        <v/>
      </c>
      <c r="H3075" t="str">
        <f t="shared" si="237"/>
        <v>—</v>
      </c>
      <c r="I3075" t="str">
        <f t="shared" si="238"/>
        <v>Below thresholds</v>
      </c>
      <c r="J3075" t="str">
        <f t="shared" si="239"/>
        <v/>
      </c>
    </row>
    <row r="3076" spans="1:10" x14ac:dyDescent="0.2">
      <c r="A3076">
        <v>227213329902</v>
      </c>
      <c r="B3076" t="s">
        <v>6721</v>
      </c>
      <c r="C3076" t="s">
        <v>6722</v>
      </c>
      <c r="D3076">
        <v>1.47</v>
      </c>
      <c r="F3076" t="str">
        <f t="shared" si="235"/>
        <v>No</v>
      </c>
      <c r="G3076" t="str">
        <f t="shared" si="236"/>
        <v/>
      </c>
      <c r="H3076" t="str">
        <f t="shared" si="237"/>
        <v>—</v>
      </c>
      <c r="I3076" t="str">
        <f t="shared" si="238"/>
        <v>Below thresholds</v>
      </c>
      <c r="J3076" t="str">
        <f t="shared" si="239"/>
        <v/>
      </c>
    </row>
    <row r="3077" spans="1:10" x14ac:dyDescent="0.2">
      <c r="A3077">
        <v>227213329905</v>
      </c>
      <c r="B3077" t="s">
        <v>6723</v>
      </c>
      <c r="C3077" t="s">
        <v>6724</v>
      </c>
      <c r="D3077">
        <v>1.49</v>
      </c>
      <c r="F3077" t="str">
        <f t="shared" ref="F3077:F3140" si="240">IF($B3077="","",IF(ISNUMBER(SEARCH("PSA",$B3077)),"Yes","No"))</f>
        <v>No</v>
      </c>
      <c r="G3077" t="str">
        <f t="shared" ref="G3077:G3140" si="241">IF($B3077="","",IF(ISNUMBER(SEARCH("PSA 10",$B3077)),10,IF(ISNUMBER(SEARCH("PSA 9.5",$B3077)),9.5,IF(ISNUMBER(SEARCH("PSA 9",$B3077)),9,IF(ISNUMBER(SEARCH("PSA 8",$B3077)),8,IF(ISNUMBER(SEARCH("PSA",$B3077)),"&lt;9",""))))))</f>
        <v/>
      </c>
      <c r="H3077" t="str">
        <f t="shared" ref="H3077:H3140" si="242">IF($B3077="","",IF($D3077&gt;=100,"TIER 2",IF(OR(ISNUMBER(SEARCH("PSA 10",$B3077)),ISNUMBER(SEARCH("PSA 9.5",$B3077)),ISNUMBER(SEARCH("PSA 9",$B3077))),"TIER 3",IF(AND($D3077&gt;20,N($E3077)&gt;=15),"TIER 1","—"))))</f>
        <v>—</v>
      </c>
      <c r="I3077" t="str">
        <f t="shared" ref="I3077:I3140" si="243">IF($B3077="","",IF($D3077&gt;=100,"Premium $100+ (auto)",IF(OR(ISNUMBER(SEARCH("PSA 10",$B3077)),ISNUMBER(SEARCH("PSA 9.5",$B3077)),ISNUMBER(SEARCH("PSA 9",$B3077))),"Graded PSA 9+ (auto)",IF(AND($D3077&gt;20,N($E3077)&gt;=15),"Hot: $20+ &amp; "&amp;$E3077&amp;"/day",IF($D3077&gt;20,"$20+ — needs velocity check","Below thresholds")))))</f>
        <v>Below thresholds</v>
      </c>
      <c r="J3077" t="str">
        <f t="shared" ref="J3077:J3140" si="244">IF($B3077="","",IF(AND($D3077&gt;20,$D3077&lt;100,NOT(OR(ISNUMBER(SEARCH("PSA 10",$B3077)),ISNUMBER(SEARCH("PSA 9.5",$B3077)),ISNUMBER(SEARCH("PSA 9",$B3077)))),$E3077=""),"YES — pull CardHedger",""))</f>
        <v/>
      </c>
    </row>
    <row r="3078" spans="1:10" x14ac:dyDescent="0.2">
      <c r="A3078">
        <v>227213329906</v>
      </c>
      <c r="B3078" t="s">
        <v>6725</v>
      </c>
      <c r="C3078" t="s">
        <v>6726</v>
      </c>
      <c r="D3078">
        <v>1.75</v>
      </c>
      <c r="F3078" t="str">
        <f t="shared" si="240"/>
        <v>No</v>
      </c>
      <c r="G3078" t="str">
        <f t="shared" si="241"/>
        <v/>
      </c>
      <c r="H3078" t="str">
        <f t="shared" si="242"/>
        <v>—</v>
      </c>
      <c r="I3078" t="str">
        <f t="shared" si="243"/>
        <v>Below thresholds</v>
      </c>
      <c r="J3078" t="str">
        <f t="shared" si="244"/>
        <v/>
      </c>
    </row>
    <row r="3079" spans="1:10" x14ac:dyDescent="0.2">
      <c r="A3079">
        <v>227213329911</v>
      </c>
      <c r="B3079" t="s">
        <v>6727</v>
      </c>
      <c r="C3079" t="s">
        <v>6728</v>
      </c>
      <c r="D3079">
        <v>1.55</v>
      </c>
      <c r="F3079" t="str">
        <f t="shared" si="240"/>
        <v>No</v>
      </c>
      <c r="G3079" t="str">
        <f t="shared" si="241"/>
        <v/>
      </c>
      <c r="H3079" t="str">
        <f t="shared" si="242"/>
        <v>—</v>
      </c>
      <c r="I3079" t="str">
        <f t="shared" si="243"/>
        <v>Below thresholds</v>
      </c>
      <c r="J3079" t="str">
        <f t="shared" si="244"/>
        <v/>
      </c>
    </row>
    <row r="3080" spans="1:10" x14ac:dyDescent="0.2">
      <c r="A3080">
        <v>227213329913</v>
      </c>
      <c r="B3080" t="s">
        <v>6729</v>
      </c>
      <c r="C3080" t="s">
        <v>6730</v>
      </c>
      <c r="D3080">
        <v>1.75</v>
      </c>
      <c r="F3080" t="str">
        <f t="shared" si="240"/>
        <v>No</v>
      </c>
      <c r="G3080" t="str">
        <f t="shared" si="241"/>
        <v/>
      </c>
      <c r="H3080" t="str">
        <f t="shared" si="242"/>
        <v>—</v>
      </c>
      <c r="I3080" t="str">
        <f t="shared" si="243"/>
        <v>Below thresholds</v>
      </c>
      <c r="J3080" t="str">
        <f t="shared" si="244"/>
        <v/>
      </c>
    </row>
    <row r="3081" spans="1:10" x14ac:dyDescent="0.2">
      <c r="A3081">
        <v>227213329915</v>
      </c>
      <c r="B3081" t="s">
        <v>6731</v>
      </c>
      <c r="C3081" t="s">
        <v>6732</v>
      </c>
      <c r="D3081">
        <v>1.25</v>
      </c>
      <c r="F3081" t="str">
        <f t="shared" si="240"/>
        <v>No</v>
      </c>
      <c r="G3081" t="str">
        <f t="shared" si="241"/>
        <v/>
      </c>
      <c r="H3081" t="str">
        <f t="shared" si="242"/>
        <v>—</v>
      </c>
      <c r="I3081" t="str">
        <f t="shared" si="243"/>
        <v>Below thresholds</v>
      </c>
      <c r="J3081" t="str">
        <f t="shared" si="244"/>
        <v/>
      </c>
    </row>
    <row r="3082" spans="1:10" x14ac:dyDescent="0.2">
      <c r="A3082">
        <v>227213329927</v>
      </c>
      <c r="B3082" t="s">
        <v>6733</v>
      </c>
      <c r="C3082" t="s">
        <v>6734</v>
      </c>
      <c r="D3082">
        <v>1.5</v>
      </c>
      <c r="F3082" t="str">
        <f t="shared" si="240"/>
        <v>No</v>
      </c>
      <c r="G3082" t="str">
        <f t="shared" si="241"/>
        <v/>
      </c>
      <c r="H3082" t="str">
        <f t="shared" si="242"/>
        <v>—</v>
      </c>
      <c r="I3082" t="str">
        <f t="shared" si="243"/>
        <v>Below thresholds</v>
      </c>
      <c r="J3082" t="str">
        <f t="shared" si="244"/>
        <v/>
      </c>
    </row>
    <row r="3083" spans="1:10" x14ac:dyDescent="0.2">
      <c r="A3083">
        <v>227213329929</v>
      </c>
      <c r="B3083" t="s">
        <v>6735</v>
      </c>
      <c r="C3083" t="s">
        <v>6736</v>
      </c>
      <c r="D3083">
        <v>1.5</v>
      </c>
      <c r="F3083" t="str">
        <f t="shared" si="240"/>
        <v>No</v>
      </c>
      <c r="G3083" t="str">
        <f t="shared" si="241"/>
        <v/>
      </c>
      <c r="H3083" t="str">
        <f t="shared" si="242"/>
        <v>—</v>
      </c>
      <c r="I3083" t="str">
        <f t="shared" si="243"/>
        <v>Below thresholds</v>
      </c>
      <c r="J3083" t="str">
        <f t="shared" si="244"/>
        <v/>
      </c>
    </row>
    <row r="3084" spans="1:10" x14ac:dyDescent="0.2">
      <c r="A3084">
        <v>227213329937</v>
      </c>
      <c r="B3084" t="s">
        <v>6737</v>
      </c>
      <c r="C3084" t="s">
        <v>6738</v>
      </c>
      <c r="D3084">
        <v>1.49</v>
      </c>
      <c r="F3084" t="str">
        <f t="shared" si="240"/>
        <v>No</v>
      </c>
      <c r="G3084" t="str">
        <f t="shared" si="241"/>
        <v/>
      </c>
      <c r="H3084" t="str">
        <f t="shared" si="242"/>
        <v>—</v>
      </c>
      <c r="I3084" t="str">
        <f t="shared" si="243"/>
        <v>Below thresholds</v>
      </c>
      <c r="J3084" t="str">
        <f t="shared" si="244"/>
        <v/>
      </c>
    </row>
    <row r="3085" spans="1:10" x14ac:dyDescent="0.2">
      <c r="A3085">
        <v>227213329945</v>
      </c>
      <c r="B3085" t="s">
        <v>6739</v>
      </c>
      <c r="C3085" t="s">
        <v>6740</v>
      </c>
      <c r="D3085">
        <v>1.3</v>
      </c>
      <c r="F3085" t="str">
        <f t="shared" si="240"/>
        <v>No</v>
      </c>
      <c r="G3085" t="str">
        <f t="shared" si="241"/>
        <v/>
      </c>
      <c r="H3085" t="str">
        <f t="shared" si="242"/>
        <v>—</v>
      </c>
      <c r="I3085" t="str">
        <f t="shared" si="243"/>
        <v>Below thresholds</v>
      </c>
      <c r="J3085" t="str">
        <f t="shared" si="244"/>
        <v/>
      </c>
    </row>
    <row r="3086" spans="1:10" x14ac:dyDescent="0.2">
      <c r="A3086">
        <v>227213329947</v>
      </c>
      <c r="B3086" t="s">
        <v>6741</v>
      </c>
      <c r="C3086" t="s">
        <v>6742</v>
      </c>
      <c r="D3086">
        <v>1.5</v>
      </c>
      <c r="F3086" t="str">
        <f t="shared" si="240"/>
        <v>No</v>
      </c>
      <c r="G3086" t="str">
        <f t="shared" si="241"/>
        <v/>
      </c>
      <c r="H3086" t="str">
        <f t="shared" si="242"/>
        <v>—</v>
      </c>
      <c r="I3086" t="str">
        <f t="shared" si="243"/>
        <v>Below thresholds</v>
      </c>
      <c r="J3086" t="str">
        <f t="shared" si="244"/>
        <v/>
      </c>
    </row>
    <row r="3087" spans="1:10" x14ac:dyDescent="0.2">
      <c r="A3087">
        <v>227214652401</v>
      </c>
      <c r="B3087" t="s">
        <v>6743</v>
      </c>
      <c r="C3087" t="s">
        <v>6744</v>
      </c>
      <c r="D3087">
        <v>4.95</v>
      </c>
      <c r="F3087" t="str">
        <f t="shared" si="240"/>
        <v>No</v>
      </c>
      <c r="G3087" t="str">
        <f t="shared" si="241"/>
        <v/>
      </c>
      <c r="H3087" t="str">
        <f t="shared" si="242"/>
        <v>—</v>
      </c>
      <c r="I3087" t="str">
        <f t="shared" si="243"/>
        <v>Below thresholds</v>
      </c>
      <c r="J3087" t="str">
        <f t="shared" si="244"/>
        <v/>
      </c>
    </row>
    <row r="3088" spans="1:10" x14ac:dyDescent="0.2">
      <c r="A3088">
        <v>227215933141</v>
      </c>
      <c r="B3088" t="s">
        <v>6745</v>
      </c>
      <c r="C3088" t="s">
        <v>6746</v>
      </c>
      <c r="D3088">
        <v>1.99</v>
      </c>
      <c r="F3088" t="str">
        <f t="shared" si="240"/>
        <v>No</v>
      </c>
      <c r="G3088" t="str">
        <f t="shared" si="241"/>
        <v/>
      </c>
      <c r="H3088" t="str">
        <f t="shared" si="242"/>
        <v>—</v>
      </c>
      <c r="I3088" t="str">
        <f t="shared" si="243"/>
        <v>Below thresholds</v>
      </c>
      <c r="J3088" t="str">
        <f t="shared" si="244"/>
        <v/>
      </c>
    </row>
    <row r="3089" spans="1:10" x14ac:dyDescent="0.2">
      <c r="A3089">
        <v>227215933153</v>
      </c>
      <c r="B3089" t="s">
        <v>6747</v>
      </c>
      <c r="C3089" t="s">
        <v>6748</v>
      </c>
      <c r="D3089">
        <v>1.59</v>
      </c>
      <c r="F3089" t="str">
        <f t="shared" si="240"/>
        <v>No</v>
      </c>
      <c r="G3089" t="str">
        <f t="shared" si="241"/>
        <v/>
      </c>
      <c r="H3089" t="str">
        <f t="shared" si="242"/>
        <v>—</v>
      </c>
      <c r="I3089" t="str">
        <f t="shared" si="243"/>
        <v>Below thresholds</v>
      </c>
      <c r="J3089" t="str">
        <f t="shared" si="244"/>
        <v/>
      </c>
    </row>
    <row r="3090" spans="1:10" x14ac:dyDescent="0.2">
      <c r="A3090">
        <v>227215933154</v>
      </c>
      <c r="B3090" t="s">
        <v>6749</v>
      </c>
      <c r="C3090" t="s">
        <v>6750</v>
      </c>
      <c r="D3090">
        <v>2.5</v>
      </c>
      <c r="F3090" t="str">
        <f t="shared" si="240"/>
        <v>No</v>
      </c>
      <c r="G3090" t="str">
        <f t="shared" si="241"/>
        <v/>
      </c>
      <c r="H3090" t="str">
        <f t="shared" si="242"/>
        <v>—</v>
      </c>
      <c r="I3090" t="str">
        <f t="shared" si="243"/>
        <v>Below thresholds</v>
      </c>
      <c r="J3090" t="str">
        <f t="shared" si="244"/>
        <v/>
      </c>
    </row>
    <row r="3091" spans="1:10" x14ac:dyDescent="0.2">
      <c r="A3091">
        <v>227215933164</v>
      </c>
      <c r="B3091" t="s">
        <v>6751</v>
      </c>
      <c r="C3091" t="s">
        <v>6752</v>
      </c>
      <c r="D3091">
        <v>0.99</v>
      </c>
      <c r="F3091" t="str">
        <f t="shared" si="240"/>
        <v>No</v>
      </c>
      <c r="G3091" t="str">
        <f t="shared" si="241"/>
        <v/>
      </c>
      <c r="H3091" t="str">
        <f t="shared" si="242"/>
        <v>—</v>
      </c>
      <c r="I3091" t="str">
        <f t="shared" si="243"/>
        <v>Below thresholds</v>
      </c>
      <c r="J3091" t="str">
        <f t="shared" si="244"/>
        <v/>
      </c>
    </row>
    <row r="3092" spans="1:10" x14ac:dyDescent="0.2">
      <c r="A3092">
        <v>227215933165</v>
      </c>
      <c r="B3092" t="s">
        <v>6753</v>
      </c>
      <c r="C3092" t="s">
        <v>6754</v>
      </c>
      <c r="D3092">
        <v>1.99</v>
      </c>
      <c r="F3092" t="str">
        <f t="shared" si="240"/>
        <v>No</v>
      </c>
      <c r="G3092" t="str">
        <f t="shared" si="241"/>
        <v/>
      </c>
      <c r="H3092" t="str">
        <f t="shared" si="242"/>
        <v>—</v>
      </c>
      <c r="I3092" t="str">
        <f t="shared" si="243"/>
        <v>Below thresholds</v>
      </c>
      <c r="J3092" t="str">
        <f t="shared" si="244"/>
        <v/>
      </c>
    </row>
    <row r="3093" spans="1:10" x14ac:dyDescent="0.2">
      <c r="A3093">
        <v>227215933175</v>
      </c>
      <c r="B3093" t="s">
        <v>6755</v>
      </c>
      <c r="C3093" t="s">
        <v>6756</v>
      </c>
      <c r="D3093">
        <v>1.59</v>
      </c>
      <c r="F3093" t="str">
        <f t="shared" si="240"/>
        <v>No</v>
      </c>
      <c r="G3093" t="str">
        <f t="shared" si="241"/>
        <v/>
      </c>
      <c r="H3093" t="str">
        <f t="shared" si="242"/>
        <v>—</v>
      </c>
      <c r="I3093" t="str">
        <f t="shared" si="243"/>
        <v>Below thresholds</v>
      </c>
      <c r="J3093" t="str">
        <f t="shared" si="244"/>
        <v/>
      </c>
    </row>
    <row r="3094" spans="1:10" x14ac:dyDescent="0.2">
      <c r="A3094">
        <v>227215933180</v>
      </c>
      <c r="B3094" t="s">
        <v>6757</v>
      </c>
      <c r="C3094" t="s">
        <v>6758</v>
      </c>
      <c r="D3094">
        <v>1.29</v>
      </c>
      <c r="F3094" t="str">
        <f t="shared" si="240"/>
        <v>No</v>
      </c>
      <c r="G3094" t="str">
        <f t="shared" si="241"/>
        <v/>
      </c>
      <c r="H3094" t="str">
        <f t="shared" si="242"/>
        <v>—</v>
      </c>
      <c r="I3094" t="str">
        <f t="shared" si="243"/>
        <v>Below thresholds</v>
      </c>
      <c r="J3094" t="str">
        <f t="shared" si="244"/>
        <v/>
      </c>
    </row>
    <row r="3095" spans="1:10" x14ac:dyDescent="0.2">
      <c r="A3095">
        <v>227215933228</v>
      </c>
      <c r="B3095" t="s">
        <v>6759</v>
      </c>
      <c r="C3095" t="s">
        <v>6760</v>
      </c>
      <c r="D3095">
        <v>1.75</v>
      </c>
      <c r="F3095" t="str">
        <f t="shared" si="240"/>
        <v>No</v>
      </c>
      <c r="G3095" t="str">
        <f t="shared" si="241"/>
        <v/>
      </c>
      <c r="H3095" t="str">
        <f t="shared" si="242"/>
        <v>—</v>
      </c>
      <c r="I3095" t="str">
        <f t="shared" si="243"/>
        <v>Below thresholds</v>
      </c>
      <c r="J3095" t="str">
        <f t="shared" si="244"/>
        <v/>
      </c>
    </row>
    <row r="3096" spans="1:10" x14ac:dyDescent="0.2">
      <c r="A3096">
        <v>227215933235</v>
      </c>
      <c r="B3096" t="s">
        <v>6761</v>
      </c>
      <c r="C3096" t="s">
        <v>6762</v>
      </c>
      <c r="D3096">
        <v>1.99</v>
      </c>
      <c r="F3096" t="str">
        <f t="shared" si="240"/>
        <v>No</v>
      </c>
      <c r="G3096" t="str">
        <f t="shared" si="241"/>
        <v/>
      </c>
      <c r="H3096" t="str">
        <f t="shared" si="242"/>
        <v>—</v>
      </c>
      <c r="I3096" t="str">
        <f t="shared" si="243"/>
        <v>Below thresholds</v>
      </c>
      <c r="J3096" t="str">
        <f t="shared" si="244"/>
        <v/>
      </c>
    </row>
    <row r="3097" spans="1:10" x14ac:dyDescent="0.2">
      <c r="A3097">
        <v>227215933261</v>
      </c>
      <c r="B3097" t="s">
        <v>6763</v>
      </c>
      <c r="C3097" t="s">
        <v>6764</v>
      </c>
      <c r="D3097">
        <v>1.99</v>
      </c>
      <c r="F3097" t="str">
        <f t="shared" si="240"/>
        <v>No</v>
      </c>
      <c r="G3097" t="str">
        <f t="shared" si="241"/>
        <v/>
      </c>
      <c r="H3097" t="str">
        <f t="shared" si="242"/>
        <v>—</v>
      </c>
      <c r="I3097" t="str">
        <f t="shared" si="243"/>
        <v>Below thresholds</v>
      </c>
      <c r="J3097" t="str">
        <f t="shared" si="244"/>
        <v/>
      </c>
    </row>
    <row r="3098" spans="1:10" x14ac:dyDescent="0.2">
      <c r="A3098">
        <v>227215933265</v>
      </c>
      <c r="B3098" t="s">
        <v>6765</v>
      </c>
      <c r="C3098" t="s">
        <v>6766</v>
      </c>
      <c r="D3098">
        <v>1.5</v>
      </c>
      <c r="F3098" t="str">
        <f t="shared" si="240"/>
        <v>No</v>
      </c>
      <c r="G3098" t="str">
        <f t="shared" si="241"/>
        <v/>
      </c>
      <c r="H3098" t="str">
        <f t="shared" si="242"/>
        <v>—</v>
      </c>
      <c r="I3098" t="str">
        <f t="shared" si="243"/>
        <v>Below thresholds</v>
      </c>
      <c r="J3098" t="str">
        <f t="shared" si="244"/>
        <v/>
      </c>
    </row>
    <row r="3099" spans="1:10" x14ac:dyDescent="0.2">
      <c r="A3099">
        <v>227215933266</v>
      </c>
      <c r="B3099" t="s">
        <v>6767</v>
      </c>
      <c r="C3099" t="s">
        <v>6768</v>
      </c>
      <c r="D3099">
        <v>9.99</v>
      </c>
      <c r="F3099" t="str">
        <f t="shared" si="240"/>
        <v>No</v>
      </c>
      <c r="G3099" t="str">
        <f t="shared" si="241"/>
        <v/>
      </c>
      <c r="H3099" t="str">
        <f t="shared" si="242"/>
        <v>—</v>
      </c>
      <c r="I3099" t="str">
        <f t="shared" si="243"/>
        <v>Below thresholds</v>
      </c>
      <c r="J3099" t="str">
        <f t="shared" si="244"/>
        <v/>
      </c>
    </row>
    <row r="3100" spans="1:10" x14ac:dyDescent="0.2">
      <c r="A3100">
        <v>227215933267</v>
      </c>
      <c r="B3100" t="s">
        <v>6769</v>
      </c>
      <c r="C3100" t="s">
        <v>6770</v>
      </c>
      <c r="D3100">
        <v>1.1200000000000001</v>
      </c>
      <c r="F3100" t="str">
        <f t="shared" si="240"/>
        <v>No</v>
      </c>
      <c r="G3100" t="str">
        <f t="shared" si="241"/>
        <v/>
      </c>
      <c r="H3100" t="str">
        <f t="shared" si="242"/>
        <v>—</v>
      </c>
      <c r="I3100" t="str">
        <f t="shared" si="243"/>
        <v>Below thresholds</v>
      </c>
      <c r="J3100" t="str">
        <f t="shared" si="244"/>
        <v/>
      </c>
    </row>
    <row r="3101" spans="1:10" x14ac:dyDescent="0.2">
      <c r="A3101">
        <v>227215933273</v>
      </c>
      <c r="B3101" t="s">
        <v>6771</v>
      </c>
      <c r="C3101" t="s">
        <v>6772</v>
      </c>
      <c r="D3101">
        <v>1.5</v>
      </c>
      <c r="F3101" t="str">
        <f t="shared" si="240"/>
        <v>No</v>
      </c>
      <c r="G3101" t="str">
        <f t="shared" si="241"/>
        <v/>
      </c>
      <c r="H3101" t="str">
        <f t="shared" si="242"/>
        <v>—</v>
      </c>
      <c r="I3101" t="str">
        <f t="shared" si="243"/>
        <v>Below thresholds</v>
      </c>
      <c r="J3101" t="str">
        <f t="shared" si="244"/>
        <v/>
      </c>
    </row>
    <row r="3102" spans="1:10" x14ac:dyDescent="0.2">
      <c r="A3102">
        <v>227215933274</v>
      </c>
      <c r="B3102" t="s">
        <v>6773</v>
      </c>
      <c r="C3102" t="s">
        <v>6774</v>
      </c>
      <c r="D3102">
        <v>8</v>
      </c>
      <c r="F3102" t="str">
        <f t="shared" si="240"/>
        <v>No</v>
      </c>
      <c r="G3102" t="str">
        <f t="shared" si="241"/>
        <v/>
      </c>
      <c r="H3102" t="str">
        <f t="shared" si="242"/>
        <v>—</v>
      </c>
      <c r="I3102" t="str">
        <f t="shared" si="243"/>
        <v>Below thresholds</v>
      </c>
      <c r="J3102" t="str">
        <f t="shared" si="244"/>
        <v/>
      </c>
    </row>
    <row r="3103" spans="1:10" x14ac:dyDescent="0.2">
      <c r="A3103">
        <v>227215933284</v>
      </c>
      <c r="B3103" t="s">
        <v>6775</v>
      </c>
      <c r="C3103" t="s">
        <v>6776</v>
      </c>
      <c r="D3103">
        <v>1.99</v>
      </c>
      <c r="F3103" t="str">
        <f t="shared" si="240"/>
        <v>No</v>
      </c>
      <c r="G3103" t="str">
        <f t="shared" si="241"/>
        <v/>
      </c>
      <c r="H3103" t="str">
        <f t="shared" si="242"/>
        <v>—</v>
      </c>
      <c r="I3103" t="str">
        <f t="shared" si="243"/>
        <v>Below thresholds</v>
      </c>
      <c r="J3103" t="str">
        <f t="shared" si="244"/>
        <v/>
      </c>
    </row>
    <row r="3104" spans="1:10" x14ac:dyDescent="0.2">
      <c r="A3104">
        <v>227215933285</v>
      </c>
      <c r="B3104" t="s">
        <v>6777</v>
      </c>
      <c r="C3104" t="s">
        <v>6778</v>
      </c>
      <c r="D3104">
        <v>1</v>
      </c>
      <c r="F3104" t="str">
        <f t="shared" si="240"/>
        <v>No</v>
      </c>
      <c r="G3104" t="str">
        <f t="shared" si="241"/>
        <v/>
      </c>
      <c r="H3104" t="str">
        <f t="shared" si="242"/>
        <v>—</v>
      </c>
      <c r="I3104" t="str">
        <f t="shared" si="243"/>
        <v>Below thresholds</v>
      </c>
      <c r="J3104" t="str">
        <f t="shared" si="244"/>
        <v/>
      </c>
    </row>
    <row r="3105" spans="1:10" x14ac:dyDescent="0.2">
      <c r="A3105">
        <v>227215933288</v>
      </c>
      <c r="B3105" t="s">
        <v>6779</v>
      </c>
      <c r="C3105" t="s">
        <v>6780</v>
      </c>
      <c r="D3105">
        <v>1.25</v>
      </c>
      <c r="F3105" t="str">
        <f t="shared" si="240"/>
        <v>No</v>
      </c>
      <c r="G3105" t="str">
        <f t="shared" si="241"/>
        <v/>
      </c>
      <c r="H3105" t="str">
        <f t="shared" si="242"/>
        <v>—</v>
      </c>
      <c r="I3105" t="str">
        <f t="shared" si="243"/>
        <v>Below thresholds</v>
      </c>
      <c r="J3105" t="str">
        <f t="shared" si="244"/>
        <v/>
      </c>
    </row>
    <row r="3106" spans="1:10" x14ac:dyDescent="0.2">
      <c r="A3106">
        <v>227215933295</v>
      </c>
      <c r="B3106" t="s">
        <v>6781</v>
      </c>
      <c r="C3106" t="s">
        <v>6782</v>
      </c>
      <c r="D3106">
        <v>1.99</v>
      </c>
      <c r="F3106" t="str">
        <f t="shared" si="240"/>
        <v>No</v>
      </c>
      <c r="G3106" t="str">
        <f t="shared" si="241"/>
        <v/>
      </c>
      <c r="H3106" t="str">
        <f t="shared" si="242"/>
        <v>—</v>
      </c>
      <c r="I3106" t="str">
        <f t="shared" si="243"/>
        <v>Below thresholds</v>
      </c>
      <c r="J3106" t="str">
        <f t="shared" si="244"/>
        <v/>
      </c>
    </row>
    <row r="3107" spans="1:10" x14ac:dyDescent="0.2">
      <c r="A3107">
        <v>227215933376</v>
      </c>
      <c r="B3107" t="s">
        <v>6783</v>
      </c>
      <c r="C3107" t="s">
        <v>6784</v>
      </c>
      <c r="D3107">
        <v>1.5</v>
      </c>
      <c r="F3107" t="str">
        <f t="shared" si="240"/>
        <v>No</v>
      </c>
      <c r="G3107" t="str">
        <f t="shared" si="241"/>
        <v/>
      </c>
      <c r="H3107" t="str">
        <f t="shared" si="242"/>
        <v>—</v>
      </c>
      <c r="I3107" t="str">
        <f t="shared" si="243"/>
        <v>Below thresholds</v>
      </c>
      <c r="J3107" t="str">
        <f t="shared" si="244"/>
        <v/>
      </c>
    </row>
    <row r="3108" spans="1:10" x14ac:dyDescent="0.2">
      <c r="A3108">
        <v>227221330874</v>
      </c>
      <c r="B3108" t="s">
        <v>6785</v>
      </c>
      <c r="C3108" t="s">
        <v>6786</v>
      </c>
      <c r="D3108">
        <v>1.76</v>
      </c>
      <c r="F3108" t="str">
        <f t="shared" si="240"/>
        <v>No</v>
      </c>
      <c r="G3108" t="str">
        <f t="shared" si="241"/>
        <v/>
      </c>
      <c r="H3108" t="str">
        <f t="shared" si="242"/>
        <v>—</v>
      </c>
      <c r="I3108" t="str">
        <f t="shared" si="243"/>
        <v>Below thresholds</v>
      </c>
      <c r="J3108" t="str">
        <f t="shared" si="244"/>
        <v/>
      </c>
    </row>
    <row r="3109" spans="1:10" x14ac:dyDescent="0.2">
      <c r="A3109">
        <v>227221330880</v>
      </c>
      <c r="B3109" t="s">
        <v>6787</v>
      </c>
      <c r="C3109" t="s">
        <v>6788</v>
      </c>
      <c r="D3109">
        <v>3.99</v>
      </c>
      <c r="F3109" t="str">
        <f t="shared" si="240"/>
        <v>No</v>
      </c>
      <c r="G3109" t="str">
        <f t="shared" si="241"/>
        <v/>
      </c>
      <c r="H3109" t="str">
        <f t="shared" si="242"/>
        <v>—</v>
      </c>
      <c r="I3109" t="str">
        <f t="shared" si="243"/>
        <v>Below thresholds</v>
      </c>
      <c r="J3109" t="str">
        <f t="shared" si="244"/>
        <v/>
      </c>
    </row>
    <row r="3110" spans="1:10" x14ac:dyDescent="0.2">
      <c r="A3110">
        <v>227221330892</v>
      </c>
      <c r="B3110" t="s">
        <v>4088</v>
      </c>
      <c r="C3110" t="s">
        <v>6789</v>
      </c>
      <c r="D3110">
        <v>1.79</v>
      </c>
      <c r="F3110" t="str">
        <f t="shared" si="240"/>
        <v>No</v>
      </c>
      <c r="G3110" t="str">
        <f t="shared" si="241"/>
        <v/>
      </c>
      <c r="H3110" t="str">
        <f t="shared" si="242"/>
        <v>—</v>
      </c>
      <c r="I3110" t="str">
        <f t="shared" si="243"/>
        <v>Below thresholds</v>
      </c>
      <c r="J3110" t="str">
        <f t="shared" si="244"/>
        <v/>
      </c>
    </row>
    <row r="3111" spans="1:10" x14ac:dyDescent="0.2">
      <c r="A3111">
        <v>227221330896</v>
      </c>
      <c r="B3111" t="s">
        <v>6790</v>
      </c>
      <c r="C3111" t="s">
        <v>6791</v>
      </c>
      <c r="D3111">
        <v>2.25</v>
      </c>
      <c r="F3111" t="str">
        <f t="shared" si="240"/>
        <v>No</v>
      </c>
      <c r="G3111" t="str">
        <f t="shared" si="241"/>
        <v/>
      </c>
      <c r="H3111" t="str">
        <f t="shared" si="242"/>
        <v>—</v>
      </c>
      <c r="I3111" t="str">
        <f t="shared" si="243"/>
        <v>Below thresholds</v>
      </c>
      <c r="J3111" t="str">
        <f t="shared" si="244"/>
        <v/>
      </c>
    </row>
    <row r="3112" spans="1:10" x14ac:dyDescent="0.2">
      <c r="A3112">
        <v>227221330898</v>
      </c>
      <c r="B3112" t="s">
        <v>6707</v>
      </c>
      <c r="C3112" t="s">
        <v>6792</v>
      </c>
      <c r="D3112">
        <v>2.25</v>
      </c>
      <c r="F3112" t="str">
        <f t="shared" si="240"/>
        <v>No</v>
      </c>
      <c r="G3112" t="str">
        <f t="shared" si="241"/>
        <v/>
      </c>
      <c r="H3112" t="str">
        <f t="shared" si="242"/>
        <v>—</v>
      </c>
      <c r="I3112" t="str">
        <f t="shared" si="243"/>
        <v>Below thresholds</v>
      </c>
      <c r="J3112" t="str">
        <f t="shared" si="244"/>
        <v/>
      </c>
    </row>
    <row r="3113" spans="1:10" x14ac:dyDescent="0.2">
      <c r="A3113">
        <v>227221330922</v>
      </c>
      <c r="B3113" t="s">
        <v>6793</v>
      </c>
      <c r="C3113" t="s">
        <v>6794</v>
      </c>
      <c r="D3113">
        <v>3.99</v>
      </c>
      <c r="F3113" t="str">
        <f t="shared" si="240"/>
        <v>No</v>
      </c>
      <c r="G3113" t="str">
        <f t="shared" si="241"/>
        <v/>
      </c>
      <c r="H3113" t="str">
        <f t="shared" si="242"/>
        <v>—</v>
      </c>
      <c r="I3113" t="str">
        <f t="shared" si="243"/>
        <v>Below thresholds</v>
      </c>
      <c r="J3113" t="str">
        <f t="shared" si="244"/>
        <v/>
      </c>
    </row>
    <row r="3114" spans="1:10" x14ac:dyDescent="0.2">
      <c r="A3114">
        <v>227221330926</v>
      </c>
      <c r="B3114" t="s">
        <v>6795</v>
      </c>
      <c r="C3114" t="s">
        <v>6796</v>
      </c>
      <c r="D3114">
        <v>1.99</v>
      </c>
      <c r="F3114" t="str">
        <f t="shared" si="240"/>
        <v>No</v>
      </c>
      <c r="G3114" t="str">
        <f t="shared" si="241"/>
        <v/>
      </c>
      <c r="H3114" t="str">
        <f t="shared" si="242"/>
        <v>—</v>
      </c>
      <c r="I3114" t="str">
        <f t="shared" si="243"/>
        <v>Below thresholds</v>
      </c>
      <c r="J3114" t="str">
        <f t="shared" si="244"/>
        <v/>
      </c>
    </row>
    <row r="3115" spans="1:10" x14ac:dyDescent="0.2">
      <c r="A3115">
        <v>227221330930</v>
      </c>
      <c r="B3115" t="s">
        <v>6797</v>
      </c>
      <c r="C3115" t="s">
        <v>6798</v>
      </c>
      <c r="D3115">
        <v>1.99</v>
      </c>
      <c r="F3115" t="str">
        <f t="shared" si="240"/>
        <v>No</v>
      </c>
      <c r="G3115" t="str">
        <f t="shared" si="241"/>
        <v/>
      </c>
      <c r="H3115" t="str">
        <f t="shared" si="242"/>
        <v>—</v>
      </c>
      <c r="I3115" t="str">
        <f t="shared" si="243"/>
        <v>Below thresholds</v>
      </c>
      <c r="J3115" t="str">
        <f t="shared" si="244"/>
        <v/>
      </c>
    </row>
    <row r="3116" spans="1:10" x14ac:dyDescent="0.2">
      <c r="A3116">
        <v>227221330943</v>
      </c>
      <c r="B3116" t="s">
        <v>6799</v>
      </c>
      <c r="C3116" t="s">
        <v>6800</v>
      </c>
      <c r="D3116">
        <v>1.99</v>
      </c>
      <c r="F3116" t="str">
        <f t="shared" si="240"/>
        <v>No</v>
      </c>
      <c r="G3116" t="str">
        <f t="shared" si="241"/>
        <v/>
      </c>
      <c r="H3116" t="str">
        <f t="shared" si="242"/>
        <v>—</v>
      </c>
      <c r="I3116" t="str">
        <f t="shared" si="243"/>
        <v>Below thresholds</v>
      </c>
      <c r="J3116" t="str">
        <f t="shared" si="244"/>
        <v/>
      </c>
    </row>
    <row r="3117" spans="1:10" x14ac:dyDescent="0.2">
      <c r="A3117">
        <v>227221330948</v>
      </c>
      <c r="B3117" t="s">
        <v>6801</v>
      </c>
      <c r="C3117" t="s">
        <v>6802</v>
      </c>
      <c r="D3117">
        <v>1.99</v>
      </c>
      <c r="F3117" t="str">
        <f t="shared" si="240"/>
        <v>No</v>
      </c>
      <c r="G3117" t="str">
        <f t="shared" si="241"/>
        <v/>
      </c>
      <c r="H3117" t="str">
        <f t="shared" si="242"/>
        <v>—</v>
      </c>
      <c r="I3117" t="str">
        <f t="shared" si="243"/>
        <v>Below thresholds</v>
      </c>
      <c r="J3117" t="str">
        <f t="shared" si="244"/>
        <v/>
      </c>
    </row>
    <row r="3118" spans="1:10" x14ac:dyDescent="0.2">
      <c r="A3118">
        <v>227221330949</v>
      </c>
      <c r="B3118" t="s">
        <v>6803</v>
      </c>
      <c r="C3118" t="s">
        <v>6804</v>
      </c>
      <c r="D3118">
        <v>5.39</v>
      </c>
      <c r="F3118" t="str">
        <f t="shared" si="240"/>
        <v>No</v>
      </c>
      <c r="G3118" t="str">
        <f t="shared" si="241"/>
        <v/>
      </c>
      <c r="H3118" t="str">
        <f t="shared" si="242"/>
        <v>—</v>
      </c>
      <c r="I3118" t="str">
        <f t="shared" si="243"/>
        <v>Below thresholds</v>
      </c>
      <c r="J3118" t="str">
        <f t="shared" si="244"/>
        <v/>
      </c>
    </row>
    <row r="3119" spans="1:10" x14ac:dyDescent="0.2">
      <c r="A3119">
        <v>227221330952</v>
      </c>
      <c r="B3119" t="s">
        <v>6805</v>
      </c>
      <c r="C3119" t="s">
        <v>6806</v>
      </c>
      <c r="D3119">
        <v>1.99</v>
      </c>
      <c r="F3119" t="str">
        <f t="shared" si="240"/>
        <v>No</v>
      </c>
      <c r="G3119" t="str">
        <f t="shared" si="241"/>
        <v/>
      </c>
      <c r="H3119" t="str">
        <f t="shared" si="242"/>
        <v>—</v>
      </c>
      <c r="I3119" t="str">
        <f t="shared" si="243"/>
        <v>Below thresholds</v>
      </c>
      <c r="J3119" t="str">
        <f t="shared" si="244"/>
        <v/>
      </c>
    </row>
    <row r="3120" spans="1:10" x14ac:dyDescent="0.2">
      <c r="A3120">
        <v>227221330957</v>
      </c>
      <c r="B3120" t="s">
        <v>6807</v>
      </c>
      <c r="C3120" t="s">
        <v>6808</v>
      </c>
      <c r="D3120">
        <v>1.99</v>
      </c>
      <c r="F3120" t="str">
        <f t="shared" si="240"/>
        <v>No</v>
      </c>
      <c r="G3120" t="str">
        <f t="shared" si="241"/>
        <v/>
      </c>
      <c r="H3120" t="str">
        <f t="shared" si="242"/>
        <v>—</v>
      </c>
      <c r="I3120" t="str">
        <f t="shared" si="243"/>
        <v>Below thresholds</v>
      </c>
      <c r="J3120" t="str">
        <f t="shared" si="244"/>
        <v/>
      </c>
    </row>
    <row r="3121" spans="1:10" x14ac:dyDescent="0.2">
      <c r="A3121">
        <v>227221330958</v>
      </c>
      <c r="B3121" t="s">
        <v>6809</v>
      </c>
      <c r="C3121" t="s">
        <v>6810</v>
      </c>
      <c r="D3121">
        <v>1.99</v>
      </c>
      <c r="F3121" t="str">
        <f t="shared" si="240"/>
        <v>No</v>
      </c>
      <c r="G3121" t="str">
        <f t="shared" si="241"/>
        <v/>
      </c>
      <c r="H3121" t="str">
        <f t="shared" si="242"/>
        <v>—</v>
      </c>
      <c r="I3121" t="str">
        <f t="shared" si="243"/>
        <v>Below thresholds</v>
      </c>
      <c r="J3121" t="str">
        <f t="shared" si="244"/>
        <v/>
      </c>
    </row>
    <row r="3122" spans="1:10" x14ac:dyDescent="0.2">
      <c r="A3122">
        <v>227221330960</v>
      </c>
      <c r="B3122" t="s">
        <v>6811</v>
      </c>
      <c r="C3122" t="s">
        <v>6812</v>
      </c>
      <c r="D3122">
        <v>2.25</v>
      </c>
      <c r="F3122" t="str">
        <f t="shared" si="240"/>
        <v>No</v>
      </c>
      <c r="G3122" t="str">
        <f t="shared" si="241"/>
        <v/>
      </c>
      <c r="H3122" t="str">
        <f t="shared" si="242"/>
        <v>—</v>
      </c>
      <c r="I3122" t="str">
        <f t="shared" si="243"/>
        <v>Below thresholds</v>
      </c>
      <c r="J3122" t="str">
        <f t="shared" si="244"/>
        <v/>
      </c>
    </row>
    <row r="3123" spans="1:10" x14ac:dyDescent="0.2">
      <c r="A3123">
        <v>227222739108</v>
      </c>
      <c r="B3123" t="s">
        <v>6813</v>
      </c>
      <c r="C3123" t="s">
        <v>6814</v>
      </c>
      <c r="D3123">
        <v>2.5</v>
      </c>
      <c r="F3123" t="str">
        <f t="shared" si="240"/>
        <v>No</v>
      </c>
      <c r="G3123" t="str">
        <f t="shared" si="241"/>
        <v/>
      </c>
      <c r="H3123" t="str">
        <f t="shared" si="242"/>
        <v>—</v>
      </c>
      <c r="I3123" t="str">
        <f t="shared" si="243"/>
        <v>Below thresholds</v>
      </c>
      <c r="J3123" t="str">
        <f t="shared" si="244"/>
        <v/>
      </c>
    </row>
    <row r="3124" spans="1:10" x14ac:dyDescent="0.2">
      <c r="A3124">
        <v>227222739109</v>
      </c>
      <c r="B3124" t="s">
        <v>6815</v>
      </c>
      <c r="C3124" t="s">
        <v>6816</v>
      </c>
      <c r="D3124">
        <v>1.99</v>
      </c>
      <c r="F3124" t="str">
        <f t="shared" si="240"/>
        <v>No</v>
      </c>
      <c r="G3124" t="str">
        <f t="shared" si="241"/>
        <v/>
      </c>
      <c r="H3124" t="str">
        <f t="shared" si="242"/>
        <v>—</v>
      </c>
      <c r="I3124" t="str">
        <f t="shared" si="243"/>
        <v>Below thresholds</v>
      </c>
      <c r="J3124" t="str">
        <f t="shared" si="244"/>
        <v/>
      </c>
    </row>
    <row r="3125" spans="1:10" x14ac:dyDescent="0.2">
      <c r="A3125">
        <v>227222739110</v>
      </c>
      <c r="B3125" t="s">
        <v>6817</v>
      </c>
      <c r="C3125" t="s">
        <v>6818</v>
      </c>
      <c r="D3125">
        <v>2.5</v>
      </c>
      <c r="F3125" t="str">
        <f t="shared" si="240"/>
        <v>No</v>
      </c>
      <c r="G3125" t="str">
        <f t="shared" si="241"/>
        <v/>
      </c>
      <c r="H3125" t="str">
        <f t="shared" si="242"/>
        <v>—</v>
      </c>
      <c r="I3125" t="str">
        <f t="shared" si="243"/>
        <v>Below thresholds</v>
      </c>
      <c r="J3125" t="str">
        <f t="shared" si="244"/>
        <v/>
      </c>
    </row>
    <row r="3126" spans="1:10" x14ac:dyDescent="0.2">
      <c r="A3126">
        <v>227222739113</v>
      </c>
      <c r="B3126" t="s">
        <v>6819</v>
      </c>
      <c r="C3126" t="s">
        <v>6820</v>
      </c>
      <c r="D3126">
        <v>4</v>
      </c>
      <c r="F3126" t="str">
        <f t="shared" si="240"/>
        <v>No</v>
      </c>
      <c r="G3126" t="str">
        <f t="shared" si="241"/>
        <v/>
      </c>
      <c r="H3126" t="str">
        <f t="shared" si="242"/>
        <v>—</v>
      </c>
      <c r="I3126" t="str">
        <f t="shared" si="243"/>
        <v>Below thresholds</v>
      </c>
      <c r="J3126" t="str">
        <f t="shared" si="244"/>
        <v/>
      </c>
    </row>
    <row r="3127" spans="1:10" x14ac:dyDescent="0.2">
      <c r="A3127">
        <v>227222739117</v>
      </c>
      <c r="B3127" t="s">
        <v>6821</v>
      </c>
      <c r="C3127" t="s">
        <v>6822</v>
      </c>
      <c r="D3127">
        <v>4.99</v>
      </c>
      <c r="F3127" t="str">
        <f t="shared" si="240"/>
        <v>No</v>
      </c>
      <c r="G3127" t="str">
        <f t="shared" si="241"/>
        <v/>
      </c>
      <c r="H3127" t="str">
        <f t="shared" si="242"/>
        <v>—</v>
      </c>
      <c r="I3127" t="str">
        <f t="shared" si="243"/>
        <v>Below thresholds</v>
      </c>
      <c r="J3127" t="str">
        <f t="shared" si="244"/>
        <v/>
      </c>
    </row>
    <row r="3128" spans="1:10" x14ac:dyDescent="0.2">
      <c r="A3128">
        <v>227222739119</v>
      </c>
      <c r="B3128" t="s">
        <v>6823</v>
      </c>
      <c r="C3128" t="s">
        <v>6824</v>
      </c>
      <c r="D3128">
        <v>4</v>
      </c>
      <c r="F3128" t="str">
        <f t="shared" si="240"/>
        <v>No</v>
      </c>
      <c r="G3128" t="str">
        <f t="shared" si="241"/>
        <v/>
      </c>
      <c r="H3128" t="str">
        <f t="shared" si="242"/>
        <v>—</v>
      </c>
      <c r="I3128" t="str">
        <f t="shared" si="243"/>
        <v>Below thresholds</v>
      </c>
      <c r="J3128" t="str">
        <f t="shared" si="244"/>
        <v/>
      </c>
    </row>
    <row r="3129" spans="1:10" x14ac:dyDescent="0.2">
      <c r="A3129">
        <v>227222739120</v>
      </c>
      <c r="B3129" t="s">
        <v>6825</v>
      </c>
      <c r="C3129" t="s">
        <v>6826</v>
      </c>
      <c r="D3129">
        <v>2.25</v>
      </c>
      <c r="F3129" t="str">
        <f t="shared" si="240"/>
        <v>No</v>
      </c>
      <c r="G3129" t="str">
        <f t="shared" si="241"/>
        <v/>
      </c>
      <c r="H3129" t="str">
        <f t="shared" si="242"/>
        <v>—</v>
      </c>
      <c r="I3129" t="str">
        <f t="shared" si="243"/>
        <v>Below thresholds</v>
      </c>
      <c r="J3129" t="str">
        <f t="shared" si="244"/>
        <v/>
      </c>
    </row>
    <row r="3130" spans="1:10" x14ac:dyDescent="0.2">
      <c r="A3130">
        <v>227222739121</v>
      </c>
      <c r="B3130" t="s">
        <v>6827</v>
      </c>
      <c r="C3130" t="s">
        <v>6828</v>
      </c>
      <c r="D3130">
        <v>4</v>
      </c>
      <c r="F3130" t="str">
        <f t="shared" si="240"/>
        <v>No</v>
      </c>
      <c r="G3130" t="str">
        <f t="shared" si="241"/>
        <v/>
      </c>
      <c r="H3130" t="str">
        <f t="shared" si="242"/>
        <v>—</v>
      </c>
      <c r="I3130" t="str">
        <f t="shared" si="243"/>
        <v>Below thresholds</v>
      </c>
      <c r="J3130" t="str">
        <f t="shared" si="244"/>
        <v/>
      </c>
    </row>
    <row r="3131" spans="1:10" x14ac:dyDescent="0.2">
      <c r="A3131">
        <v>227222739126</v>
      </c>
      <c r="B3131" t="s">
        <v>6829</v>
      </c>
      <c r="C3131" t="s">
        <v>6830</v>
      </c>
      <c r="D3131">
        <v>1.99</v>
      </c>
      <c r="F3131" t="str">
        <f t="shared" si="240"/>
        <v>No</v>
      </c>
      <c r="G3131" t="str">
        <f t="shared" si="241"/>
        <v/>
      </c>
      <c r="H3131" t="str">
        <f t="shared" si="242"/>
        <v>—</v>
      </c>
      <c r="I3131" t="str">
        <f t="shared" si="243"/>
        <v>Below thresholds</v>
      </c>
      <c r="J3131" t="str">
        <f t="shared" si="244"/>
        <v/>
      </c>
    </row>
    <row r="3132" spans="1:10" x14ac:dyDescent="0.2">
      <c r="A3132">
        <v>227222739127</v>
      </c>
      <c r="B3132" t="s">
        <v>6831</v>
      </c>
      <c r="C3132" t="s">
        <v>6832</v>
      </c>
      <c r="D3132">
        <v>0.99</v>
      </c>
      <c r="F3132" t="str">
        <f t="shared" si="240"/>
        <v>No</v>
      </c>
      <c r="G3132" t="str">
        <f t="shared" si="241"/>
        <v/>
      </c>
      <c r="H3132" t="str">
        <f t="shared" si="242"/>
        <v>—</v>
      </c>
      <c r="I3132" t="str">
        <f t="shared" si="243"/>
        <v>Below thresholds</v>
      </c>
      <c r="J3132" t="str">
        <f t="shared" si="244"/>
        <v/>
      </c>
    </row>
    <row r="3133" spans="1:10" x14ac:dyDescent="0.2">
      <c r="A3133">
        <v>227222739129</v>
      </c>
      <c r="B3133" t="s">
        <v>6833</v>
      </c>
      <c r="C3133" t="s">
        <v>6834</v>
      </c>
      <c r="D3133">
        <v>1.99</v>
      </c>
      <c r="F3133" t="str">
        <f t="shared" si="240"/>
        <v>No</v>
      </c>
      <c r="G3133" t="str">
        <f t="shared" si="241"/>
        <v/>
      </c>
      <c r="H3133" t="str">
        <f t="shared" si="242"/>
        <v>—</v>
      </c>
      <c r="I3133" t="str">
        <f t="shared" si="243"/>
        <v>Below thresholds</v>
      </c>
      <c r="J3133" t="str">
        <f t="shared" si="244"/>
        <v/>
      </c>
    </row>
    <row r="3134" spans="1:10" x14ac:dyDescent="0.2">
      <c r="A3134">
        <v>227222739130</v>
      </c>
      <c r="B3134" t="s">
        <v>6835</v>
      </c>
      <c r="C3134" t="s">
        <v>6836</v>
      </c>
      <c r="D3134">
        <v>2.99</v>
      </c>
      <c r="F3134" t="str">
        <f t="shared" si="240"/>
        <v>No</v>
      </c>
      <c r="G3134" t="str">
        <f t="shared" si="241"/>
        <v/>
      </c>
      <c r="H3134" t="str">
        <f t="shared" si="242"/>
        <v>—</v>
      </c>
      <c r="I3134" t="str">
        <f t="shared" si="243"/>
        <v>Below thresholds</v>
      </c>
      <c r="J3134" t="str">
        <f t="shared" si="244"/>
        <v/>
      </c>
    </row>
    <row r="3135" spans="1:10" x14ac:dyDescent="0.2">
      <c r="A3135">
        <v>227222739132</v>
      </c>
      <c r="B3135" t="s">
        <v>6837</v>
      </c>
      <c r="C3135" t="s">
        <v>6838</v>
      </c>
      <c r="D3135">
        <v>1.49</v>
      </c>
      <c r="F3135" t="str">
        <f t="shared" si="240"/>
        <v>No</v>
      </c>
      <c r="G3135" t="str">
        <f t="shared" si="241"/>
        <v/>
      </c>
      <c r="H3135" t="str">
        <f t="shared" si="242"/>
        <v>—</v>
      </c>
      <c r="I3135" t="str">
        <f t="shared" si="243"/>
        <v>Below thresholds</v>
      </c>
      <c r="J3135" t="str">
        <f t="shared" si="244"/>
        <v/>
      </c>
    </row>
    <row r="3136" spans="1:10" x14ac:dyDescent="0.2">
      <c r="A3136">
        <v>227222739133</v>
      </c>
      <c r="B3136" t="s">
        <v>6839</v>
      </c>
      <c r="C3136" t="s">
        <v>6840</v>
      </c>
      <c r="D3136">
        <v>3.15</v>
      </c>
      <c r="F3136" t="str">
        <f t="shared" si="240"/>
        <v>No</v>
      </c>
      <c r="G3136" t="str">
        <f t="shared" si="241"/>
        <v/>
      </c>
      <c r="H3136" t="str">
        <f t="shared" si="242"/>
        <v>—</v>
      </c>
      <c r="I3136" t="str">
        <f t="shared" si="243"/>
        <v>Below thresholds</v>
      </c>
      <c r="J3136" t="str">
        <f t="shared" si="244"/>
        <v/>
      </c>
    </row>
    <row r="3137" spans="1:10" x14ac:dyDescent="0.2">
      <c r="A3137">
        <v>227222739138</v>
      </c>
      <c r="B3137" t="s">
        <v>6819</v>
      </c>
      <c r="C3137" t="s">
        <v>6841</v>
      </c>
      <c r="D3137">
        <v>4</v>
      </c>
      <c r="F3137" t="str">
        <f t="shared" si="240"/>
        <v>No</v>
      </c>
      <c r="G3137" t="str">
        <f t="shared" si="241"/>
        <v/>
      </c>
      <c r="H3137" t="str">
        <f t="shared" si="242"/>
        <v>—</v>
      </c>
      <c r="I3137" t="str">
        <f t="shared" si="243"/>
        <v>Below thresholds</v>
      </c>
      <c r="J3137" t="str">
        <f t="shared" si="244"/>
        <v/>
      </c>
    </row>
    <row r="3138" spans="1:10" x14ac:dyDescent="0.2">
      <c r="A3138">
        <v>227222739140</v>
      </c>
      <c r="B3138" t="s">
        <v>6842</v>
      </c>
      <c r="C3138" t="s">
        <v>6843</v>
      </c>
      <c r="D3138">
        <v>4</v>
      </c>
      <c r="F3138" t="str">
        <f t="shared" si="240"/>
        <v>No</v>
      </c>
      <c r="G3138" t="str">
        <f t="shared" si="241"/>
        <v/>
      </c>
      <c r="H3138" t="str">
        <f t="shared" si="242"/>
        <v>—</v>
      </c>
      <c r="I3138" t="str">
        <f t="shared" si="243"/>
        <v>Below thresholds</v>
      </c>
      <c r="J3138" t="str">
        <f t="shared" si="244"/>
        <v/>
      </c>
    </row>
    <row r="3139" spans="1:10" x14ac:dyDescent="0.2">
      <c r="A3139">
        <v>227222739143</v>
      </c>
      <c r="B3139" t="s">
        <v>6844</v>
      </c>
      <c r="C3139" t="s">
        <v>6845</v>
      </c>
      <c r="D3139">
        <v>2.99</v>
      </c>
      <c r="F3139" t="str">
        <f t="shared" si="240"/>
        <v>No</v>
      </c>
      <c r="G3139" t="str">
        <f t="shared" si="241"/>
        <v/>
      </c>
      <c r="H3139" t="str">
        <f t="shared" si="242"/>
        <v>—</v>
      </c>
      <c r="I3139" t="str">
        <f t="shared" si="243"/>
        <v>Below thresholds</v>
      </c>
      <c r="J3139" t="str">
        <f t="shared" si="244"/>
        <v/>
      </c>
    </row>
    <row r="3140" spans="1:10" x14ac:dyDescent="0.2">
      <c r="A3140">
        <v>227222739144</v>
      </c>
      <c r="B3140" t="s">
        <v>6846</v>
      </c>
      <c r="C3140" t="s">
        <v>6847</v>
      </c>
      <c r="D3140">
        <v>4</v>
      </c>
      <c r="F3140" t="str">
        <f t="shared" si="240"/>
        <v>No</v>
      </c>
      <c r="G3140" t="str">
        <f t="shared" si="241"/>
        <v/>
      </c>
      <c r="H3140" t="str">
        <f t="shared" si="242"/>
        <v>—</v>
      </c>
      <c r="I3140" t="str">
        <f t="shared" si="243"/>
        <v>Below thresholds</v>
      </c>
      <c r="J3140" t="str">
        <f t="shared" si="244"/>
        <v/>
      </c>
    </row>
    <row r="3141" spans="1:10" x14ac:dyDescent="0.2">
      <c r="A3141">
        <v>227222739146</v>
      </c>
      <c r="B3141" t="s">
        <v>6848</v>
      </c>
      <c r="C3141" t="s">
        <v>6849</v>
      </c>
      <c r="D3141">
        <v>4.99</v>
      </c>
      <c r="F3141" t="str">
        <f t="shared" ref="F3141:F3204" si="245">IF($B3141="","",IF(ISNUMBER(SEARCH("PSA",$B3141)),"Yes","No"))</f>
        <v>No</v>
      </c>
      <c r="G3141" t="str">
        <f t="shared" ref="G3141:G3204" si="246">IF($B3141="","",IF(ISNUMBER(SEARCH("PSA 10",$B3141)),10,IF(ISNUMBER(SEARCH("PSA 9.5",$B3141)),9.5,IF(ISNUMBER(SEARCH("PSA 9",$B3141)),9,IF(ISNUMBER(SEARCH("PSA 8",$B3141)),8,IF(ISNUMBER(SEARCH("PSA",$B3141)),"&lt;9",""))))))</f>
        <v/>
      </c>
      <c r="H3141" t="str">
        <f t="shared" ref="H3141:H3204" si="247">IF($B3141="","",IF($D3141&gt;=100,"TIER 2",IF(OR(ISNUMBER(SEARCH("PSA 10",$B3141)),ISNUMBER(SEARCH("PSA 9.5",$B3141)),ISNUMBER(SEARCH("PSA 9",$B3141))),"TIER 3",IF(AND($D3141&gt;20,N($E3141)&gt;=15),"TIER 1","—"))))</f>
        <v>—</v>
      </c>
      <c r="I3141" t="str">
        <f t="shared" ref="I3141:I3204" si="248">IF($B3141="","",IF($D3141&gt;=100,"Premium $100+ (auto)",IF(OR(ISNUMBER(SEARCH("PSA 10",$B3141)),ISNUMBER(SEARCH("PSA 9.5",$B3141)),ISNUMBER(SEARCH("PSA 9",$B3141))),"Graded PSA 9+ (auto)",IF(AND($D3141&gt;20,N($E3141)&gt;=15),"Hot: $20+ &amp; "&amp;$E3141&amp;"/day",IF($D3141&gt;20,"$20+ — needs velocity check","Below thresholds")))))</f>
        <v>Below thresholds</v>
      </c>
      <c r="J3141" t="str">
        <f t="shared" ref="J3141:J3204" si="249">IF($B3141="","",IF(AND($D3141&gt;20,$D3141&lt;100,NOT(OR(ISNUMBER(SEARCH("PSA 10",$B3141)),ISNUMBER(SEARCH("PSA 9.5",$B3141)),ISNUMBER(SEARCH("PSA 9",$B3141)))),$E3141=""),"YES — pull CardHedger",""))</f>
        <v/>
      </c>
    </row>
    <row r="3142" spans="1:10" x14ac:dyDescent="0.2">
      <c r="A3142">
        <v>227222739165</v>
      </c>
      <c r="B3142" t="s">
        <v>6850</v>
      </c>
      <c r="C3142" t="s">
        <v>6851</v>
      </c>
      <c r="D3142">
        <v>1.99</v>
      </c>
      <c r="F3142" t="str">
        <f t="shared" si="245"/>
        <v>No</v>
      </c>
      <c r="G3142" t="str">
        <f t="shared" si="246"/>
        <v/>
      </c>
      <c r="H3142" t="str">
        <f t="shared" si="247"/>
        <v>—</v>
      </c>
      <c r="I3142" t="str">
        <f t="shared" si="248"/>
        <v>Below thresholds</v>
      </c>
      <c r="J3142" t="str">
        <f t="shared" si="249"/>
        <v/>
      </c>
    </row>
    <row r="3143" spans="1:10" x14ac:dyDescent="0.2">
      <c r="A3143">
        <v>227222739173</v>
      </c>
      <c r="B3143" t="s">
        <v>6852</v>
      </c>
      <c r="C3143" t="s">
        <v>6853</v>
      </c>
      <c r="D3143">
        <v>1.99</v>
      </c>
      <c r="F3143" t="str">
        <f t="shared" si="245"/>
        <v>No</v>
      </c>
      <c r="G3143" t="str">
        <f t="shared" si="246"/>
        <v/>
      </c>
      <c r="H3143" t="str">
        <f t="shared" si="247"/>
        <v>—</v>
      </c>
      <c r="I3143" t="str">
        <f t="shared" si="248"/>
        <v>Below thresholds</v>
      </c>
      <c r="J3143" t="str">
        <f t="shared" si="249"/>
        <v/>
      </c>
    </row>
    <row r="3144" spans="1:10" x14ac:dyDescent="0.2">
      <c r="A3144">
        <v>227222739178</v>
      </c>
      <c r="B3144" t="s">
        <v>6854</v>
      </c>
      <c r="C3144" t="s">
        <v>6855</v>
      </c>
      <c r="D3144">
        <v>2.94</v>
      </c>
      <c r="F3144" t="str">
        <f t="shared" si="245"/>
        <v>No</v>
      </c>
      <c r="G3144" t="str">
        <f t="shared" si="246"/>
        <v/>
      </c>
      <c r="H3144" t="str">
        <f t="shared" si="247"/>
        <v>—</v>
      </c>
      <c r="I3144" t="str">
        <f t="shared" si="248"/>
        <v>Below thresholds</v>
      </c>
      <c r="J3144" t="str">
        <f t="shared" si="249"/>
        <v/>
      </c>
    </row>
    <row r="3145" spans="1:10" x14ac:dyDescent="0.2">
      <c r="A3145">
        <v>227226424666</v>
      </c>
      <c r="B3145" t="s">
        <v>6856</v>
      </c>
      <c r="C3145" t="s">
        <v>6857</v>
      </c>
      <c r="D3145">
        <v>1.39</v>
      </c>
      <c r="F3145" t="str">
        <f t="shared" si="245"/>
        <v>No</v>
      </c>
      <c r="G3145" t="str">
        <f t="shared" si="246"/>
        <v/>
      </c>
      <c r="H3145" t="str">
        <f t="shared" si="247"/>
        <v>—</v>
      </c>
      <c r="I3145" t="str">
        <f t="shared" si="248"/>
        <v>Below thresholds</v>
      </c>
      <c r="J3145" t="str">
        <f t="shared" si="249"/>
        <v/>
      </c>
    </row>
    <row r="3146" spans="1:10" x14ac:dyDescent="0.2">
      <c r="A3146">
        <v>227226424669</v>
      </c>
      <c r="B3146" t="s">
        <v>6858</v>
      </c>
      <c r="C3146" t="s">
        <v>6859</v>
      </c>
      <c r="D3146">
        <v>1.59</v>
      </c>
      <c r="F3146" t="str">
        <f t="shared" si="245"/>
        <v>No</v>
      </c>
      <c r="G3146" t="str">
        <f t="shared" si="246"/>
        <v/>
      </c>
      <c r="H3146" t="str">
        <f t="shared" si="247"/>
        <v>—</v>
      </c>
      <c r="I3146" t="str">
        <f t="shared" si="248"/>
        <v>Below thresholds</v>
      </c>
      <c r="J3146" t="str">
        <f t="shared" si="249"/>
        <v/>
      </c>
    </row>
    <row r="3147" spans="1:10" x14ac:dyDescent="0.2">
      <c r="A3147">
        <v>227226424678</v>
      </c>
      <c r="B3147" t="s">
        <v>6860</v>
      </c>
      <c r="C3147" t="s">
        <v>6861</v>
      </c>
      <c r="D3147">
        <v>1.39</v>
      </c>
      <c r="F3147" t="str">
        <f t="shared" si="245"/>
        <v>No</v>
      </c>
      <c r="G3147" t="str">
        <f t="shared" si="246"/>
        <v/>
      </c>
      <c r="H3147" t="str">
        <f t="shared" si="247"/>
        <v>—</v>
      </c>
      <c r="I3147" t="str">
        <f t="shared" si="248"/>
        <v>Below thresholds</v>
      </c>
      <c r="J3147" t="str">
        <f t="shared" si="249"/>
        <v/>
      </c>
    </row>
    <row r="3148" spans="1:10" x14ac:dyDescent="0.2">
      <c r="A3148">
        <v>227226424682</v>
      </c>
      <c r="B3148" t="s">
        <v>6862</v>
      </c>
      <c r="C3148" t="s">
        <v>6863</v>
      </c>
      <c r="D3148">
        <v>1.49</v>
      </c>
      <c r="F3148" t="str">
        <f t="shared" si="245"/>
        <v>No</v>
      </c>
      <c r="G3148" t="str">
        <f t="shared" si="246"/>
        <v/>
      </c>
      <c r="H3148" t="str">
        <f t="shared" si="247"/>
        <v>—</v>
      </c>
      <c r="I3148" t="str">
        <f t="shared" si="248"/>
        <v>Below thresholds</v>
      </c>
      <c r="J3148" t="str">
        <f t="shared" si="249"/>
        <v/>
      </c>
    </row>
    <row r="3149" spans="1:10" x14ac:dyDescent="0.2">
      <c r="A3149">
        <v>227226424685</v>
      </c>
      <c r="B3149" t="s">
        <v>6864</v>
      </c>
      <c r="C3149" t="s">
        <v>6865</v>
      </c>
      <c r="D3149">
        <v>3.99</v>
      </c>
      <c r="F3149" t="str">
        <f t="shared" si="245"/>
        <v>No</v>
      </c>
      <c r="G3149" t="str">
        <f t="shared" si="246"/>
        <v/>
      </c>
      <c r="H3149" t="str">
        <f t="shared" si="247"/>
        <v>—</v>
      </c>
      <c r="I3149" t="str">
        <f t="shared" si="248"/>
        <v>Below thresholds</v>
      </c>
      <c r="J3149" t="str">
        <f t="shared" si="249"/>
        <v/>
      </c>
    </row>
    <row r="3150" spans="1:10" x14ac:dyDescent="0.2">
      <c r="A3150">
        <v>227226424686</v>
      </c>
      <c r="B3150" t="s">
        <v>6866</v>
      </c>
      <c r="C3150" t="s">
        <v>6867</v>
      </c>
      <c r="D3150">
        <v>1.25</v>
      </c>
      <c r="F3150" t="str">
        <f t="shared" si="245"/>
        <v>No</v>
      </c>
      <c r="G3150" t="str">
        <f t="shared" si="246"/>
        <v/>
      </c>
      <c r="H3150" t="str">
        <f t="shared" si="247"/>
        <v>—</v>
      </c>
      <c r="I3150" t="str">
        <f t="shared" si="248"/>
        <v>Below thresholds</v>
      </c>
      <c r="J3150" t="str">
        <f t="shared" si="249"/>
        <v/>
      </c>
    </row>
    <row r="3151" spans="1:10" x14ac:dyDescent="0.2">
      <c r="A3151">
        <v>227226424688</v>
      </c>
      <c r="B3151" t="s">
        <v>6868</v>
      </c>
      <c r="C3151" t="s">
        <v>6869</v>
      </c>
      <c r="D3151">
        <v>0.99</v>
      </c>
      <c r="F3151" t="str">
        <f t="shared" si="245"/>
        <v>No</v>
      </c>
      <c r="G3151" t="str">
        <f t="shared" si="246"/>
        <v/>
      </c>
      <c r="H3151" t="str">
        <f t="shared" si="247"/>
        <v>—</v>
      </c>
      <c r="I3151" t="str">
        <f t="shared" si="248"/>
        <v>Below thresholds</v>
      </c>
      <c r="J3151" t="str">
        <f t="shared" si="249"/>
        <v/>
      </c>
    </row>
    <row r="3152" spans="1:10" x14ac:dyDescent="0.2">
      <c r="A3152">
        <v>227226424689</v>
      </c>
      <c r="B3152" t="s">
        <v>6870</v>
      </c>
      <c r="C3152" t="s">
        <v>6871</v>
      </c>
      <c r="D3152">
        <v>1.52</v>
      </c>
      <c r="F3152" t="str">
        <f t="shared" si="245"/>
        <v>No</v>
      </c>
      <c r="G3152" t="str">
        <f t="shared" si="246"/>
        <v/>
      </c>
      <c r="H3152" t="str">
        <f t="shared" si="247"/>
        <v>—</v>
      </c>
      <c r="I3152" t="str">
        <f t="shared" si="248"/>
        <v>Below thresholds</v>
      </c>
      <c r="J3152" t="str">
        <f t="shared" si="249"/>
        <v/>
      </c>
    </row>
    <row r="3153" spans="1:10" x14ac:dyDescent="0.2">
      <c r="A3153">
        <v>227226424700</v>
      </c>
      <c r="B3153" t="s">
        <v>6872</v>
      </c>
      <c r="C3153" t="s">
        <v>6873</v>
      </c>
      <c r="D3153">
        <v>2.25</v>
      </c>
      <c r="F3153" t="str">
        <f t="shared" si="245"/>
        <v>No</v>
      </c>
      <c r="G3153" t="str">
        <f t="shared" si="246"/>
        <v/>
      </c>
      <c r="H3153" t="str">
        <f t="shared" si="247"/>
        <v>—</v>
      </c>
      <c r="I3153" t="str">
        <f t="shared" si="248"/>
        <v>Below thresholds</v>
      </c>
      <c r="J3153" t="str">
        <f t="shared" si="249"/>
        <v/>
      </c>
    </row>
    <row r="3154" spans="1:10" x14ac:dyDescent="0.2">
      <c r="A3154">
        <v>227226424703</v>
      </c>
      <c r="B3154" t="s">
        <v>6874</v>
      </c>
      <c r="C3154" t="s">
        <v>6875</v>
      </c>
      <c r="D3154">
        <v>1.5</v>
      </c>
      <c r="F3154" t="str">
        <f t="shared" si="245"/>
        <v>No</v>
      </c>
      <c r="G3154" t="str">
        <f t="shared" si="246"/>
        <v/>
      </c>
      <c r="H3154" t="str">
        <f t="shared" si="247"/>
        <v>—</v>
      </c>
      <c r="I3154" t="str">
        <f t="shared" si="248"/>
        <v>Below thresholds</v>
      </c>
      <c r="J3154" t="str">
        <f t="shared" si="249"/>
        <v/>
      </c>
    </row>
    <row r="3155" spans="1:10" x14ac:dyDescent="0.2">
      <c r="A3155">
        <v>227226424711</v>
      </c>
      <c r="B3155" t="s">
        <v>6876</v>
      </c>
      <c r="C3155" t="s">
        <v>6877</v>
      </c>
      <c r="D3155">
        <v>1.49</v>
      </c>
      <c r="F3155" t="str">
        <f t="shared" si="245"/>
        <v>No</v>
      </c>
      <c r="G3155" t="str">
        <f t="shared" si="246"/>
        <v/>
      </c>
      <c r="H3155" t="str">
        <f t="shared" si="247"/>
        <v>—</v>
      </c>
      <c r="I3155" t="str">
        <f t="shared" si="248"/>
        <v>Below thresholds</v>
      </c>
      <c r="J3155" t="str">
        <f t="shared" si="249"/>
        <v/>
      </c>
    </row>
    <row r="3156" spans="1:10" x14ac:dyDescent="0.2">
      <c r="A3156">
        <v>227226424717</v>
      </c>
      <c r="B3156" t="s">
        <v>6878</v>
      </c>
      <c r="C3156" t="s">
        <v>6879</v>
      </c>
      <c r="D3156">
        <v>3.99</v>
      </c>
      <c r="F3156" t="str">
        <f t="shared" si="245"/>
        <v>No</v>
      </c>
      <c r="G3156" t="str">
        <f t="shared" si="246"/>
        <v/>
      </c>
      <c r="H3156" t="str">
        <f t="shared" si="247"/>
        <v>—</v>
      </c>
      <c r="I3156" t="str">
        <f t="shared" si="248"/>
        <v>Below thresholds</v>
      </c>
      <c r="J3156" t="str">
        <f t="shared" si="249"/>
        <v/>
      </c>
    </row>
    <row r="3157" spans="1:10" x14ac:dyDescent="0.2">
      <c r="A3157">
        <v>227226424718</v>
      </c>
      <c r="B3157" t="s">
        <v>6880</v>
      </c>
      <c r="C3157" t="s">
        <v>6881</v>
      </c>
      <c r="D3157">
        <v>1.99</v>
      </c>
      <c r="F3157" t="str">
        <f t="shared" si="245"/>
        <v>No</v>
      </c>
      <c r="G3157" t="str">
        <f t="shared" si="246"/>
        <v/>
      </c>
      <c r="H3157" t="str">
        <f t="shared" si="247"/>
        <v>—</v>
      </c>
      <c r="I3157" t="str">
        <f t="shared" si="248"/>
        <v>Below thresholds</v>
      </c>
      <c r="J3157" t="str">
        <f t="shared" si="249"/>
        <v/>
      </c>
    </row>
    <row r="3158" spans="1:10" x14ac:dyDescent="0.2">
      <c r="A3158">
        <v>227226424721</v>
      </c>
      <c r="B3158" t="s">
        <v>6882</v>
      </c>
      <c r="C3158" t="s">
        <v>6883</v>
      </c>
      <c r="D3158">
        <v>2.99</v>
      </c>
      <c r="F3158" t="str">
        <f t="shared" si="245"/>
        <v>No</v>
      </c>
      <c r="G3158" t="str">
        <f t="shared" si="246"/>
        <v/>
      </c>
      <c r="H3158" t="str">
        <f t="shared" si="247"/>
        <v>—</v>
      </c>
      <c r="I3158" t="str">
        <f t="shared" si="248"/>
        <v>Below thresholds</v>
      </c>
      <c r="J3158" t="str">
        <f t="shared" si="249"/>
        <v/>
      </c>
    </row>
    <row r="3159" spans="1:10" x14ac:dyDescent="0.2">
      <c r="A3159">
        <v>227226424725</v>
      </c>
      <c r="B3159" t="s">
        <v>6884</v>
      </c>
      <c r="C3159" t="s">
        <v>6885</v>
      </c>
      <c r="D3159">
        <v>1.25</v>
      </c>
      <c r="F3159" t="str">
        <f t="shared" si="245"/>
        <v>No</v>
      </c>
      <c r="G3159" t="str">
        <f t="shared" si="246"/>
        <v/>
      </c>
      <c r="H3159" t="str">
        <f t="shared" si="247"/>
        <v>—</v>
      </c>
      <c r="I3159" t="str">
        <f t="shared" si="248"/>
        <v>Below thresholds</v>
      </c>
      <c r="J3159" t="str">
        <f t="shared" si="249"/>
        <v/>
      </c>
    </row>
    <row r="3160" spans="1:10" x14ac:dyDescent="0.2">
      <c r="A3160">
        <v>227226424729</v>
      </c>
      <c r="B3160" t="s">
        <v>6886</v>
      </c>
      <c r="C3160" t="s">
        <v>6887</v>
      </c>
      <c r="D3160">
        <v>1.4</v>
      </c>
      <c r="F3160" t="str">
        <f t="shared" si="245"/>
        <v>No</v>
      </c>
      <c r="G3160" t="str">
        <f t="shared" si="246"/>
        <v/>
      </c>
      <c r="H3160" t="str">
        <f t="shared" si="247"/>
        <v>—</v>
      </c>
      <c r="I3160" t="str">
        <f t="shared" si="248"/>
        <v>Below thresholds</v>
      </c>
      <c r="J3160" t="str">
        <f t="shared" si="249"/>
        <v/>
      </c>
    </row>
    <row r="3161" spans="1:10" x14ac:dyDescent="0.2">
      <c r="A3161">
        <v>227226424731</v>
      </c>
      <c r="B3161" t="s">
        <v>6888</v>
      </c>
      <c r="C3161" t="s">
        <v>6889</v>
      </c>
      <c r="D3161">
        <v>1.5</v>
      </c>
      <c r="F3161" t="str">
        <f t="shared" si="245"/>
        <v>No</v>
      </c>
      <c r="G3161" t="str">
        <f t="shared" si="246"/>
        <v/>
      </c>
      <c r="H3161" t="str">
        <f t="shared" si="247"/>
        <v>—</v>
      </c>
      <c r="I3161" t="str">
        <f t="shared" si="248"/>
        <v>Below thresholds</v>
      </c>
      <c r="J3161" t="str">
        <f t="shared" si="249"/>
        <v/>
      </c>
    </row>
    <row r="3162" spans="1:10" x14ac:dyDescent="0.2">
      <c r="A3162">
        <v>227226424734</v>
      </c>
      <c r="B3162" t="s">
        <v>6890</v>
      </c>
      <c r="C3162" t="s">
        <v>6891</v>
      </c>
      <c r="D3162">
        <v>1.75</v>
      </c>
      <c r="F3162" t="str">
        <f t="shared" si="245"/>
        <v>No</v>
      </c>
      <c r="G3162" t="str">
        <f t="shared" si="246"/>
        <v/>
      </c>
      <c r="H3162" t="str">
        <f t="shared" si="247"/>
        <v>—</v>
      </c>
      <c r="I3162" t="str">
        <f t="shared" si="248"/>
        <v>Below thresholds</v>
      </c>
      <c r="J3162" t="str">
        <f t="shared" si="249"/>
        <v/>
      </c>
    </row>
    <row r="3163" spans="1:10" x14ac:dyDescent="0.2">
      <c r="A3163">
        <v>227226424744</v>
      </c>
      <c r="B3163" t="s">
        <v>6892</v>
      </c>
      <c r="C3163" t="s">
        <v>6893</v>
      </c>
      <c r="D3163">
        <v>1.56</v>
      </c>
      <c r="F3163" t="str">
        <f t="shared" si="245"/>
        <v>No</v>
      </c>
      <c r="G3163" t="str">
        <f t="shared" si="246"/>
        <v/>
      </c>
      <c r="H3163" t="str">
        <f t="shared" si="247"/>
        <v>—</v>
      </c>
      <c r="I3163" t="str">
        <f t="shared" si="248"/>
        <v>Below thresholds</v>
      </c>
      <c r="J3163" t="str">
        <f t="shared" si="249"/>
        <v/>
      </c>
    </row>
    <row r="3164" spans="1:10" x14ac:dyDescent="0.2">
      <c r="A3164">
        <v>227226424750</v>
      </c>
      <c r="B3164" t="s">
        <v>6894</v>
      </c>
      <c r="C3164" t="s">
        <v>6895</v>
      </c>
      <c r="D3164">
        <v>6.99</v>
      </c>
      <c r="F3164" t="str">
        <f t="shared" si="245"/>
        <v>No</v>
      </c>
      <c r="G3164" t="str">
        <f t="shared" si="246"/>
        <v/>
      </c>
      <c r="H3164" t="str">
        <f t="shared" si="247"/>
        <v>—</v>
      </c>
      <c r="I3164" t="str">
        <f t="shared" si="248"/>
        <v>Below thresholds</v>
      </c>
      <c r="J3164" t="str">
        <f t="shared" si="249"/>
        <v/>
      </c>
    </row>
    <row r="3165" spans="1:10" x14ac:dyDescent="0.2">
      <c r="A3165">
        <v>227226424751</v>
      </c>
      <c r="B3165" t="s">
        <v>6896</v>
      </c>
      <c r="C3165" t="s">
        <v>6897</v>
      </c>
      <c r="D3165">
        <v>1.39</v>
      </c>
      <c r="F3165" t="str">
        <f t="shared" si="245"/>
        <v>No</v>
      </c>
      <c r="G3165" t="str">
        <f t="shared" si="246"/>
        <v/>
      </c>
      <c r="H3165" t="str">
        <f t="shared" si="247"/>
        <v>—</v>
      </c>
      <c r="I3165" t="str">
        <f t="shared" si="248"/>
        <v>Below thresholds</v>
      </c>
      <c r="J3165" t="str">
        <f t="shared" si="249"/>
        <v/>
      </c>
    </row>
    <row r="3166" spans="1:10" x14ac:dyDescent="0.2">
      <c r="A3166">
        <v>227226424753</v>
      </c>
      <c r="B3166" t="s">
        <v>6898</v>
      </c>
      <c r="C3166" t="s">
        <v>6899</v>
      </c>
      <c r="D3166">
        <v>1.75</v>
      </c>
      <c r="F3166" t="str">
        <f t="shared" si="245"/>
        <v>No</v>
      </c>
      <c r="G3166" t="str">
        <f t="shared" si="246"/>
        <v/>
      </c>
      <c r="H3166" t="str">
        <f t="shared" si="247"/>
        <v>—</v>
      </c>
      <c r="I3166" t="str">
        <f t="shared" si="248"/>
        <v>Below thresholds</v>
      </c>
      <c r="J3166" t="str">
        <f t="shared" si="249"/>
        <v/>
      </c>
    </row>
    <row r="3167" spans="1:10" x14ac:dyDescent="0.2">
      <c r="A3167">
        <v>227226424754</v>
      </c>
      <c r="B3167" t="s">
        <v>6900</v>
      </c>
      <c r="C3167" t="s">
        <v>6901</v>
      </c>
      <c r="D3167">
        <v>1.5</v>
      </c>
      <c r="F3167" t="str">
        <f t="shared" si="245"/>
        <v>No</v>
      </c>
      <c r="G3167" t="str">
        <f t="shared" si="246"/>
        <v/>
      </c>
      <c r="H3167" t="str">
        <f t="shared" si="247"/>
        <v>—</v>
      </c>
      <c r="I3167" t="str">
        <f t="shared" si="248"/>
        <v>Below thresholds</v>
      </c>
      <c r="J3167" t="str">
        <f t="shared" si="249"/>
        <v/>
      </c>
    </row>
    <row r="3168" spans="1:10" x14ac:dyDescent="0.2">
      <c r="A3168">
        <v>227226424755</v>
      </c>
      <c r="B3168" t="s">
        <v>6902</v>
      </c>
      <c r="C3168" t="s">
        <v>6903</v>
      </c>
      <c r="D3168">
        <v>1.99</v>
      </c>
      <c r="F3168" t="str">
        <f t="shared" si="245"/>
        <v>No</v>
      </c>
      <c r="G3168" t="str">
        <f t="shared" si="246"/>
        <v/>
      </c>
      <c r="H3168" t="str">
        <f t="shared" si="247"/>
        <v>—</v>
      </c>
      <c r="I3168" t="str">
        <f t="shared" si="248"/>
        <v>Below thresholds</v>
      </c>
      <c r="J3168" t="str">
        <f t="shared" si="249"/>
        <v/>
      </c>
    </row>
    <row r="3169" spans="1:10" x14ac:dyDescent="0.2">
      <c r="A3169">
        <v>227226424765</v>
      </c>
      <c r="B3169" t="s">
        <v>6904</v>
      </c>
      <c r="C3169" t="s">
        <v>6905</v>
      </c>
      <c r="D3169">
        <v>1.5</v>
      </c>
      <c r="F3169" t="str">
        <f t="shared" si="245"/>
        <v>No</v>
      </c>
      <c r="G3169" t="str">
        <f t="shared" si="246"/>
        <v/>
      </c>
      <c r="H3169" t="str">
        <f t="shared" si="247"/>
        <v>—</v>
      </c>
      <c r="I3169" t="str">
        <f t="shared" si="248"/>
        <v>Below thresholds</v>
      </c>
      <c r="J3169" t="str">
        <f t="shared" si="249"/>
        <v/>
      </c>
    </row>
    <row r="3170" spans="1:10" x14ac:dyDescent="0.2">
      <c r="A3170">
        <v>227232603370</v>
      </c>
      <c r="B3170" t="s">
        <v>6906</v>
      </c>
      <c r="C3170" t="s">
        <v>6907</v>
      </c>
      <c r="D3170">
        <v>1.35</v>
      </c>
      <c r="F3170" t="str">
        <f t="shared" si="245"/>
        <v>No</v>
      </c>
      <c r="G3170" t="str">
        <f t="shared" si="246"/>
        <v/>
      </c>
      <c r="H3170" t="str">
        <f t="shared" si="247"/>
        <v>—</v>
      </c>
      <c r="I3170" t="str">
        <f t="shared" si="248"/>
        <v>Below thresholds</v>
      </c>
      <c r="J3170" t="str">
        <f t="shared" si="249"/>
        <v/>
      </c>
    </row>
    <row r="3171" spans="1:10" x14ac:dyDescent="0.2">
      <c r="A3171">
        <v>227232603376</v>
      </c>
      <c r="B3171" t="s">
        <v>6908</v>
      </c>
      <c r="C3171" t="s">
        <v>6909</v>
      </c>
      <c r="D3171">
        <v>1.29</v>
      </c>
      <c r="F3171" t="str">
        <f t="shared" si="245"/>
        <v>No</v>
      </c>
      <c r="G3171" t="str">
        <f t="shared" si="246"/>
        <v/>
      </c>
      <c r="H3171" t="str">
        <f t="shared" si="247"/>
        <v>—</v>
      </c>
      <c r="I3171" t="str">
        <f t="shared" si="248"/>
        <v>Below thresholds</v>
      </c>
      <c r="J3171" t="str">
        <f t="shared" si="249"/>
        <v/>
      </c>
    </row>
    <row r="3172" spans="1:10" x14ac:dyDescent="0.2">
      <c r="A3172">
        <v>227232811437</v>
      </c>
      <c r="B3172" t="s">
        <v>6910</v>
      </c>
      <c r="C3172" t="s">
        <v>6911</v>
      </c>
      <c r="D3172">
        <v>4.49</v>
      </c>
      <c r="F3172" t="str">
        <f t="shared" si="245"/>
        <v>No</v>
      </c>
      <c r="G3172" t="str">
        <f t="shared" si="246"/>
        <v/>
      </c>
      <c r="H3172" t="str">
        <f t="shared" si="247"/>
        <v>—</v>
      </c>
      <c r="I3172" t="str">
        <f t="shared" si="248"/>
        <v>Below thresholds</v>
      </c>
      <c r="J3172" t="str">
        <f t="shared" si="249"/>
        <v/>
      </c>
    </row>
    <row r="3173" spans="1:10" x14ac:dyDescent="0.2">
      <c r="A3173">
        <v>227232811451</v>
      </c>
      <c r="B3173" t="s">
        <v>6912</v>
      </c>
      <c r="C3173" t="s">
        <v>6913</v>
      </c>
      <c r="D3173">
        <v>1.5</v>
      </c>
      <c r="F3173" t="str">
        <f t="shared" si="245"/>
        <v>No</v>
      </c>
      <c r="G3173" t="str">
        <f t="shared" si="246"/>
        <v/>
      </c>
      <c r="H3173" t="str">
        <f t="shared" si="247"/>
        <v>—</v>
      </c>
      <c r="I3173" t="str">
        <f t="shared" si="248"/>
        <v>Below thresholds</v>
      </c>
      <c r="J3173" t="str">
        <f t="shared" si="249"/>
        <v/>
      </c>
    </row>
    <row r="3174" spans="1:10" x14ac:dyDescent="0.2">
      <c r="A3174">
        <v>227232811457</v>
      </c>
      <c r="B3174" t="s">
        <v>6914</v>
      </c>
      <c r="C3174" t="s">
        <v>6915</v>
      </c>
      <c r="D3174">
        <v>1.99</v>
      </c>
      <c r="F3174" t="str">
        <f t="shared" si="245"/>
        <v>No</v>
      </c>
      <c r="G3174" t="str">
        <f t="shared" si="246"/>
        <v/>
      </c>
      <c r="H3174" t="str">
        <f t="shared" si="247"/>
        <v>—</v>
      </c>
      <c r="I3174" t="str">
        <f t="shared" si="248"/>
        <v>Below thresholds</v>
      </c>
      <c r="J3174" t="str">
        <f t="shared" si="249"/>
        <v/>
      </c>
    </row>
    <row r="3175" spans="1:10" x14ac:dyDescent="0.2">
      <c r="A3175">
        <v>227232811471</v>
      </c>
      <c r="B3175" t="s">
        <v>6916</v>
      </c>
      <c r="C3175" t="s">
        <v>6917</v>
      </c>
      <c r="D3175">
        <v>2.5499999999999998</v>
      </c>
      <c r="F3175" t="str">
        <f t="shared" si="245"/>
        <v>No</v>
      </c>
      <c r="G3175" t="str">
        <f t="shared" si="246"/>
        <v/>
      </c>
      <c r="H3175" t="str">
        <f t="shared" si="247"/>
        <v>—</v>
      </c>
      <c r="I3175" t="str">
        <f t="shared" si="248"/>
        <v>Below thresholds</v>
      </c>
      <c r="J3175" t="str">
        <f t="shared" si="249"/>
        <v/>
      </c>
    </row>
    <row r="3176" spans="1:10" x14ac:dyDescent="0.2">
      <c r="A3176">
        <v>227232811472</v>
      </c>
      <c r="B3176" t="s">
        <v>6918</v>
      </c>
      <c r="C3176" t="s">
        <v>6919</v>
      </c>
      <c r="D3176">
        <v>6</v>
      </c>
      <c r="F3176" t="str">
        <f t="shared" si="245"/>
        <v>No</v>
      </c>
      <c r="G3176" t="str">
        <f t="shared" si="246"/>
        <v/>
      </c>
      <c r="H3176" t="str">
        <f t="shared" si="247"/>
        <v>—</v>
      </c>
      <c r="I3176" t="str">
        <f t="shared" si="248"/>
        <v>Below thresholds</v>
      </c>
      <c r="J3176" t="str">
        <f t="shared" si="249"/>
        <v/>
      </c>
    </row>
    <row r="3177" spans="1:10" x14ac:dyDescent="0.2">
      <c r="A3177">
        <v>227232811486</v>
      </c>
      <c r="B3177" t="s">
        <v>6920</v>
      </c>
      <c r="C3177" t="s">
        <v>6921</v>
      </c>
      <c r="D3177">
        <v>3.99</v>
      </c>
      <c r="F3177" t="str">
        <f t="shared" si="245"/>
        <v>No</v>
      </c>
      <c r="G3177" t="str">
        <f t="shared" si="246"/>
        <v/>
      </c>
      <c r="H3177" t="str">
        <f t="shared" si="247"/>
        <v>—</v>
      </c>
      <c r="I3177" t="str">
        <f t="shared" si="248"/>
        <v>Below thresholds</v>
      </c>
      <c r="J3177" t="str">
        <f t="shared" si="249"/>
        <v/>
      </c>
    </row>
    <row r="3178" spans="1:10" x14ac:dyDescent="0.2">
      <c r="A3178">
        <v>227232811499</v>
      </c>
      <c r="B3178" t="s">
        <v>6922</v>
      </c>
      <c r="C3178" t="s">
        <v>6923</v>
      </c>
      <c r="D3178">
        <v>1.99</v>
      </c>
      <c r="F3178" t="str">
        <f t="shared" si="245"/>
        <v>No</v>
      </c>
      <c r="G3178" t="str">
        <f t="shared" si="246"/>
        <v/>
      </c>
      <c r="H3178" t="str">
        <f t="shared" si="247"/>
        <v>—</v>
      </c>
      <c r="I3178" t="str">
        <f t="shared" si="248"/>
        <v>Below thresholds</v>
      </c>
      <c r="J3178" t="str">
        <f t="shared" si="249"/>
        <v/>
      </c>
    </row>
    <row r="3179" spans="1:10" x14ac:dyDescent="0.2">
      <c r="A3179">
        <v>227232811517</v>
      </c>
      <c r="B3179" t="s">
        <v>6924</v>
      </c>
      <c r="C3179" t="s">
        <v>6925</v>
      </c>
      <c r="D3179">
        <v>1.99</v>
      </c>
      <c r="F3179" t="str">
        <f t="shared" si="245"/>
        <v>No</v>
      </c>
      <c r="G3179" t="str">
        <f t="shared" si="246"/>
        <v/>
      </c>
      <c r="H3179" t="str">
        <f t="shared" si="247"/>
        <v>—</v>
      </c>
      <c r="I3179" t="str">
        <f t="shared" si="248"/>
        <v>Below thresholds</v>
      </c>
      <c r="J3179" t="str">
        <f t="shared" si="249"/>
        <v/>
      </c>
    </row>
    <row r="3180" spans="1:10" x14ac:dyDescent="0.2">
      <c r="A3180">
        <v>227232811527</v>
      </c>
      <c r="B3180" t="s">
        <v>6926</v>
      </c>
      <c r="C3180" t="s">
        <v>6927</v>
      </c>
      <c r="D3180">
        <v>2.5</v>
      </c>
      <c r="F3180" t="str">
        <f t="shared" si="245"/>
        <v>No</v>
      </c>
      <c r="G3180" t="str">
        <f t="shared" si="246"/>
        <v/>
      </c>
      <c r="H3180" t="str">
        <f t="shared" si="247"/>
        <v>—</v>
      </c>
      <c r="I3180" t="str">
        <f t="shared" si="248"/>
        <v>Below thresholds</v>
      </c>
      <c r="J3180" t="str">
        <f t="shared" si="249"/>
        <v/>
      </c>
    </row>
    <row r="3181" spans="1:10" x14ac:dyDescent="0.2">
      <c r="A3181">
        <v>227232811530</v>
      </c>
      <c r="B3181" t="s">
        <v>6928</v>
      </c>
      <c r="C3181" t="s">
        <v>6929</v>
      </c>
      <c r="D3181">
        <v>1.99</v>
      </c>
      <c r="F3181" t="str">
        <f t="shared" si="245"/>
        <v>No</v>
      </c>
      <c r="G3181" t="str">
        <f t="shared" si="246"/>
        <v/>
      </c>
      <c r="H3181" t="str">
        <f t="shared" si="247"/>
        <v>—</v>
      </c>
      <c r="I3181" t="str">
        <f t="shared" si="248"/>
        <v>Below thresholds</v>
      </c>
      <c r="J3181" t="str">
        <f t="shared" si="249"/>
        <v/>
      </c>
    </row>
    <row r="3182" spans="1:10" x14ac:dyDescent="0.2">
      <c r="A3182">
        <v>227232811535</v>
      </c>
      <c r="B3182" t="s">
        <v>6930</v>
      </c>
      <c r="C3182" t="s">
        <v>6931</v>
      </c>
      <c r="D3182">
        <v>1.5</v>
      </c>
      <c r="F3182" t="str">
        <f t="shared" si="245"/>
        <v>No</v>
      </c>
      <c r="G3182" t="str">
        <f t="shared" si="246"/>
        <v/>
      </c>
      <c r="H3182" t="str">
        <f t="shared" si="247"/>
        <v>—</v>
      </c>
      <c r="I3182" t="str">
        <f t="shared" si="248"/>
        <v>Below thresholds</v>
      </c>
      <c r="J3182" t="str">
        <f t="shared" si="249"/>
        <v/>
      </c>
    </row>
    <row r="3183" spans="1:10" x14ac:dyDescent="0.2">
      <c r="A3183">
        <v>227232811537</v>
      </c>
      <c r="B3183" t="s">
        <v>6932</v>
      </c>
      <c r="C3183" t="s">
        <v>6933</v>
      </c>
      <c r="D3183">
        <v>1.99</v>
      </c>
      <c r="F3183" t="str">
        <f t="shared" si="245"/>
        <v>No</v>
      </c>
      <c r="G3183" t="str">
        <f t="shared" si="246"/>
        <v/>
      </c>
      <c r="H3183" t="str">
        <f t="shared" si="247"/>
        <v>—</v>
      </c>
      <c r="I3183" t="str">
        <f t="shared" si="248"/>
        <v>Below thresholds</v>
      </c>
      <c r="J3183" t="str">
        <f t="shared" si="249"/>
        <v/>
      </c>
    </row>
    <row r="3184" spans="1:10" x14ac:dyDescent="0.2">
      <c r="A3184">
        <v>227232811538</v>
      </c>
      <c r="B3184" t="s">
        <v>6934</v>
      </c>
      <c r="C3184" t="s">
        <v>6935</v>
      </c>
      <c r="D3184">
        <v>1.99</v>
      </c>
      <c r="F3184" t="str">
        <f t="shared" si="245"/>
        <v>No</v>
      </c>
      <c r="G3184" t="str">
        <f t="shared" si="246"/>
        <v/>
      </c>
      <c r="H3184" t="str">
        <f t="shared" si="247"/>
        <v>—</v>
      </c>
      <c r="I3184" t="str">
        <f t="shared" si="248"/>
        <v>Below thresholds</v>
      </c>
      <c r="J3184" t="str">
        <f t="shared" si="249"/>
        <v/>
      </c>
    </row>
    <row r="3185" spans="1:10" x14ac:dyDescent="0.2">
      <c r="A3185">
        <v>227232811548</v>
      </c>
      <c r="B3185" t="s">
        <v>6936</v>
      </c>
      <c r="C3185" t="s">
        <v>6937</v>
      </c>
      <c r="D3185">
        <v>1.99</v>
      </c>
      <c r="F3185" t="str">
        <f t="shared" si="245"/>
        <v>No</v>
      </c>
      <c r="G3185" t="str">
        <f t="shared" si="246"/>
        <v/>
      </c>
      <c r="H3185" t="str">
        <f t="shared" si="247"/>
        <v>—</v>
      </c>
      <c r="I3185" t="str">
        <f t="shared" si="248"/>
        <v>Below thresholds</v>
      </c>
      <c r="J3185" t="str">
        <f t="shared" si="249"/>
        <v/>
      </c>
    </row>
    <row r="3186" spans="1:10" x14ac:dyDescent="0.2">
      <c r="A3186">
        <v>227232811558</v>
      </c>
      <c r="B3186" t="s">
        <v>281</v>
      </c>
      <c r="C3186" t="s">
        <v>6938</v>
      </c>
      <c r="D3186">
        <v>2.29</v>
      </c>
      <c r="F3186" t="str">
        <f t="shared" si="245"/>
        <v>No</v>
      </c>
      <c r="G3186" t="str">
        <f t="shared" si="246"/>
        <v/>
      </c>
      <c r="H3186" t="str">
        <f t="shared" si="247"/>
        <v>—</v>
      </c>
      <c r="I3186" t="str">
        <f t="shared" si="248"/>
        <v>Below thresholds</v>
      </c>
      <c r="J3186" t="str">
        <f t="shared" si="249"/>
        <v/>
      </c>
    </row>
    <row r="3187" spans="1:10" x14ac:dyDescent="0.2">
      <c r="A3187">
        <v>227232811561</v>
      </c>
      <c r="B3187" t="s">
        <v>6939</v>
      </c>
      <c r="C3187" t="s">
        <v>6940</v>
      </c>
      <c r="D3187">
        <v>3.23</v>
      </c>
      <c r="F3187" t="str">
        <f t="shared" si="245"/>
        <v>No</v>
      </c>
      <c r="G3187" t="str">
        <f t="shared" si="246"/>
        <v/>
      </c>
      <c r="H3187" t="str">
        <f t="shared" si="247"/>
        <v>—</v>
      </c>
      <c r="I3187" t="str">
        <f t="shared" si="248"/>
        <v>Below thresholds</v>
      </c>
      <c r="J3187" t="str">
        <f t="shared" si="249"/>
        <v/>
      </c>
    </row>
    <row r="3188" spans="1:10" x14ac:dyDescent="0.2">
      <c r="A3188">
        <v>227232811562</v>
      </c>
      <c r="B3188" t="s">
        <v>6941</v>
      </c>
      <c r="C3188" t="s">
        <v>6942</v>
      </c>
      <c r="D3188">
        <v>3.25</v>
      </c>
      <c r="F3188" t="str">
        <f t="shared" si="245"/>
        <v>No</v>
      </c>
      <c r="G3188" t="str">
        <f t="shared" si="246"/>
        <v/>
      </c>
      <c r="H3188" t="str">
        <f t="shared" si="247"/>
        <v>—</v>
      </c>
      <c r="I3188" t="str">
        <f t="shared" si="248"/>
        <v>Below thresholds</v>
      </c>
      <c r="J3188" t="str">
        <f t="shared" si="249"/>
        <v/>
      </c>
    </row>
    <row r="3189" spans="1:10" x14ac:dyDescent="0.2">
      <c r="A3189">
        <v>227232811582</v>
      </c>
      <c r="B3189" t="s">
        <v>6943</v>
      </c>
      <c r="C3189" t="s">
        <v>6944</v>
      </c>
      <c r="D3189">
        <v>1.99</v>
      </c>
      <c r="F3189" t="str">
        <f t="shared" si="245"/>
        <v>No</v>
      </c>
      <c r="G3189" t="str">
        <f t="shared" si="246"/>
        <v/>
      </c>
      <c r="H3189" t="str">
        <f t="shared" si="247"/>
        <v>—</v>
      </c>
      <c r="I3189" t="str">
        <f t="shared" si="248"/>
        <v>Below thresholds</v>
      </c>
      <c r="J3189" t="str">
        <f t="shared" si="249"/>
        <v/>
      </c>
    </row>
    <row r="3190" spans="1:10" x14ac:dyDescent="0.2">
      <c r="A3190">
        <v>227232811593</v>
      </c>
      <c r="B3190" t="s">
        <v>6945</v>
      </c>
      <c r="C3190" t="s">
        <v>6946</v>
      </c>
      <c r="D3190">
        <v>3.99</v>
      </c>
      <c r="F3190" t="str">
        <f t="shared" si="245"/>
        <v>No</v>
      </c>
      <c r="G3190" t="str">
        <f t="shared" si="246"/>
        <v/>
      </c>
      <c r="H3190" t="str">
        <f t="shared" si="247"/>
        <v>—</v>
      </c>
      <c r="I3190" t="str">
        <f t="shared" si="248"/>
        <v>Below thresholds</v>
      </c>
      <c r="J3190" t="str">
        <f t="shared" si="249"/>
        <v/>
      </c>
    </row>
    <row r="3191" spans="1:10" x14ac:dyDescent="0.2">
      <c r="A3191">
        <v>227232811604</v>
      </c>
      <c r="B3191" t="s">
        <v>6947</v>
      </c>
      <c r="C3191" t="s">
        <v>6948</v>
      </c>
      <c r="D3191">
        <v>3.99</v>
      </c>
      <c r="F3191" t="str">
        <f t="shared" si="245"/>
        <v>No</v>
      </c>
      <c r="G3191" t="str">
        <f t="shared" si="246"/>
        <v/>
      </c>
      <c r="H3191" t="str">
        <f t="shared" si="247"/>
        <v>—</v>
      </c>
      <c r="I3191" t="str">
        <f t="shared" si="248"/>
        <v>Below thresholds</v>
      </c>
      <c r="J3191" t="str">
        <f t="shared" si="249"/>
        <v/>
      </c>
    </row>
    <row r="3192" spans="1:10" x14ac:dyDescent="0.2">
      <c r="A3192">
        <v>227232811610</v>
      </c>
      <c r="B3192" t="s">
        <v>6949</v>
      </c>
      <c r="C3192" t="s">
        <v>6950</v>
      </c>
      <c r="D3192">
        <v>2.4500000000000002</v>
      </c>
      <c r="F3192" t="str">
        <f t="shared" si="245"/>
        <v>No</v>
      </c>
      <c r="G3192" t="str">
        <f t="shared" si="246"/>
        <v/>
      </c>
      <c r="H3192" t="str">
        <f t="shared" si="247"/>
        <v>—</v>
      </c>
      <c r="I3192" t="str">
        <f t="shared" si="248"/>
        <v>Below thresholds</v>
      </c>
      <c r="J3192" t="str">
        <f t="shared" si="249"/>
        <v/>
      </c>
    </row>
    <row r="3193" spans="1:10" x14ac:dyDescent="0.2">
      <c r="A3193">
        <v>227233466674</v>
      </c>
      <c r="B3193" t="s">
        <v>6951</v>
      </c>
      <c r="C3193" t="s">
        <v>6952</v>
      </c>
      <c r="D3193">
        <v>1.89</v>
      </c>
      <c r="F3193" t="str">
        <f t="shared" si="245"/>
        <v>No</v>
      </c>
      <c r="G3193" t="str">
        <f t="shared" si="246"/>
        <v/>
      </c>
      <c r="H3193" t="str">
        <f t="shared" si="247"/>
        <v>—</v>
      </c>
      <c r="I3193" t="str">
        <f t="shared" si="248"/>
        <v>Below thresholds</v>
      </c>
      <c r="J3193" t="str">
        <f t="shared" si="249"/>
        <v/>
      </c>
    </row>
    <row r="3194" spans="1:10" x14ac:dyDescent="0.2">
      <c r="A3194">
        <v>227233466697</v>
      </c>
      <c r="B3194" t="s">
        <v>6953</v>
      </c>
      <c r="C3194" t="s">
        <v>6954</v>
      </c>
      <c r="D3194">
        <v>1.49</v>
      </c>
      <c r="F3194" t="str">
        <f t="shared" si="245"/>
        <v>No</v>
      </c>
      <c r="G3194" t="str">
        <f t="shared" si="246"/>
        <v/>
      </c>
      <c r="H3194" t="str">
        <f t="shared" si="247"/>
        <v>—</v>
      </c>
      <c r="I3194" t="str">
        <f t="shared" si="248"/>
        <v>Below thresholds</v>
      </c>
      <c r="J3194" t="str">
        <f t="shared" si="249"/>
        <v/>
      </c>
    </row>
    <row r="3195" spans="1:10" x14ac:dyDescent="0.2">
      <c r="A3195">
        <v>227233466698</v>
      </c>
      <c r="B3195" t="s">
        <v>6955</v>
      </c>
      <c r="C3195" t="s">
        <v>6956</v>
      </c>
      <c r="D3195">
        <v>1.59</v>
      </c>
      <c r="F3195" t="str">
        <f t="shared" si="245"/>
        <v>No</v>
      </c>
      <c r="G3195" t="str">
        <f t="shared" si="246"/>
        <v/>
      </c>
      <c r="H3195" t="str">
        <f t="shared" si="247"/>
        <v>—</v>
      </c>
      <c r="I3195" t="str">
        <f t="shared" si="248"/>
        <v>Below thresholds</v>
      </c>
      <c r="J3195" t="str">
        <f t="shared" si="249"/>
        <v/>
      </c>
    </row>
    <row r="3196" spans="1:10" x14ac:dyDescent="0.2">
      <c r="A3196">
        <v>227233466699</v>
      </c>
      <c r="B3196" t="s">
        <v>6957</v>
      </c>
      <c r="C3196" t="s">
        <v>6958</v>
      </c>
      <c r="D3196">
        <v>4.95</v>
      </c>
      <c r="F3196" t="str">
        <f t="shared" si="245"/>
        <v>No</v>
      </c>
      <c r="G3196" t="str">
        <f t="shared" si="246"/>
        <v/>
      </c>
      <c r="H3196" t="str">
        <f t="shared" si="247"/>
        <v>—</v>
      </c>
      <c r="I3196" t="str">
        <f t="shared" si="248"/>
        <v>Below thresholds</v>
      </c>
      <c r="J3196" t="str">
        <f t="shared" si="249"/>
        <v/>
      </c>
    </row>
    <row r="3197" spans="1:10" x14ac:dyDescent="0.2">
      <c r="A3197">
        <v>227233466701</v>
      </c>
      <c r="B3197" t="s">
        <v>6959</v>
      </c>
      <c r="C3197" t="s">
        <v>6960</v>
      </c>
      <c r="D3197">
        <v>1.5</v>
      </c>
      <c r="F3197" t="str">
        <f t="shared" si="245"/>
        <v>No</v>
      </c>
      <c r="G3197" t="str">
        <f t="shared" si="246"/>
        <v/>
      </c>
      <c r="H3197" t="str">
        <f t="shared" si="247"/>
        <v>—</v>
      </c>
      <c r="I3197" t="str">
        <f t="shared" si="248"/>
        <v>Below thresholds</v>
      </c>
      <c r="J3197" t="str">
        <f t="shared" si="249"/>
        <v/>
      </c>
    </row>
    <row r="3198" spans="1:10" x14ac:dyDescent="0.2">
      <c r="A3198">
        <v>227233466722</v>
      </c>
      <c r="B3198" t="s">
        <v>6961</v>
      </c>
      <c r="C3198" t="s">
        <v>6962</v>
      </c>
      <c r="D3198">
        <v>4.95</v>
      </c>
      <c r="F3198" t="str">
        <f t="shared" si="245"/>
        <v>No</v>
      </c>
      <c r="G3198" t="str">
        <f t="shared" si="246"/>
        <v/>
      </c>
      <c r="H3198" t="str">
        <f t="shared" si="247"/>
        <v>—</v>
      </c>
      <c r="I3198" t="str">
        <f t="shared" si="248"/>
        <v>Below thresholds</v>
      </c>
      <c r="J3198" t="str">
        <f t="shared" si="249"/>
        <v/>
      </c>
    </row>
    <row r="3199" spans="1:10" x14ac:dyDescent="0.2">
      <c r="A3199">
        <v>227233466728</v>
      </c>
      <c r="B3199" t="s">
        <v>6963</v>
      </c>
      <c r="C3199" t="s">
        <v>6964</v>
      </c>
      <c r="D3199">
        <v>4.95</v>
      </c>
      <c r="F3199" t="str">
        <f t="shared" si="245"/>
        <v>No</v>
      </c>
      <c r="G3199" t="str">
        <f t="shared" si="246"/>
        <v/>
      </c>
      <c r="H3199" t="str">
        <f t="shared" si="247"/>
        <v>—</v>
      </c>
      <c r="I3199" t="str">
        <f t="shared" si="248"/>
        <v>Below thresholds</v>
      </c>
      <c r="J3199" t="str">
        <f t="shared" si="249"/>
        <v/>
      </c>
    </row>
    <row r="3200" spans="1:10" x14ac:dyDescent="0.2">
      <c r="A3200">
        <v>227233466735</v>
      </c>
      <c r="B3200" t="s">
        <v>309</v>
      </c>
      <c r="C3200" t="s">
        <v>6965</v>
      </c>
      <c r="D3200">
        <v>1.5</v>
      </c>
      <c r="F3200" t="str">
        <f t="shared" si="245"/>
        <v>No</v>
      </c>
      <c r="G3200" t="str">
        <f t="shared" si="246"/>
        <v/>
      </c>
      <c r="H3200" t="str">
        <f t="shared" si="247"/>
        <v>—</v>
      </c>
      <c r="I3200" t="str">
        <f t="shared" si="248"/>
        <v>Below thresholds</v>
      </c>
      <c r="J3200" t="str">
        <f t="shared" si="249"/>
        <v/>
      </c>
    </row>
    <row r="3201" spans="1:10" x14ac:dyDescent="0.2">
      <c r="A3201">
        <v>227233466738</v>
      </c>
      <c r="B3201" t="s">
        <v>273</v>
      </c>
      <c r="C3201" t="s">
        <v>6966</v>
      </c>
      <c r="D3201">
        <v>1.59</v>
      </c>
      <c r="F3201" t="str">
        <f t="shared" si="245"/>
        <v>No</v>
      </c>
      <c r="G3201" t="str">
        <f t="shared" si="246"/>
        <v/>
      </c>
      <c r="H3201" t="str">
        <f t="shared" si="247"/>
        <v>—</v>
      </c>
      <c r="I3201" t="str">
        <f t="shared" si="248"/>
        <v>Below thresholds</v>
      </c>
      <c r="J3201" t="str">
        <f t="shared" si="249"/>
        <v/>
      </c>
    </row>
    <row r="3202" spans="1:10" x14ac:dyDescent="0.2">
      <c r="A3202">
        <v>227233466739</v>
      </c>
      <c r="B3202" t="s">
        <v>6967</v>
      </c>
      <c r="C3202" t="s">
        <v>6968</v>
      </c>
      <c r="D3202">
        <v>1.99</v>
      </c>
      <c r="F3202" t="str">
        <f t="shared" si="245"/>
        <v>No</v>
      </c>
      <c r="G3202" t="str">
        <f t="shared" si="246"/>
        <v/>
      </c>
      <c r="H3202" t="str">
        <f t="shared" si="247"/>
        <v>—</v>
      </c>
      <c r="I3202" t="str">
        <f t="shared" si="248"/>
        <v>Below thresholds</v>
      </c>
      <c r="J3202" t="str">
        <f t="shared" si="249"/>
        <v/>
      </c>
    </row>
    <row r="3203" spans="1:10" x14ac:dyDescent="0.2">
      <c r="A3203">
        <v>227233466740</v>
      </c>
      <c r="B3203" t="s">
        <v>6969</v>
      </c>
      <c r="C3203" t="s">
        <v>6970</v>
      </c>
      <c r="D3203">
        <v>1.99</v>
      </c>
      <c r="F3203" t="str">
        <f t="shared" si="245"/>
        <v>No</v>
      </c>
      <c r="G3203" t="str">
        <f t="shared" si="246"/>
        <v/>
      </c>
      <c r="H3203" t="str">
        <f t="shared" si="247"/>
        <v>—</v>
      </c>
      <c r="I3203" t="str">
        <f t="shared" si="248"/>
        <v>Below thresholds</v>
      </c>
      <c r="J3203" t="str">
        <f t="shared" si="249"/>
        <v/>
      </c>
    </row>
    <row r="3204" spans="1:10" x14ac:dyDescent="0.2">
      <c r="A3204">
        <v>227233466741</v>
      </c>
      <c r="B3204" t="s">
        <v>6971</v>
      </c>
      <c r="C3204" t="s">
        <v>6972</v>
      </c>
      <c r="D3204">
        <v>0.99</v>
      </c>
      <c r="F3204" t="str">
        <f t="shared" si="245"/>
        <v>No</v>
      </c>
      <c r="G3204" t="str">
        <f t="shared" si="246"/>
        <v/>
      </c>
      <c r="H3204" t="str">
        <f t="shared" si="247"/>
        <v>—</v>
      </c>
      <c r="I3204" t="str">
        <f t="shared" si="248"/>
        <v>Below thresholds</v>
      </c>
      <c r="J3204" t="str">
        <f t="shared" si="249"/>
        <v/>
      </c>
    </row>
    <row r="3205" spans="1:10" x14ac:dyDescent="0.2">
      <c r="A3205">
        <v>227233466743</v>
      </c>
      <c r="B3205" t="s">
        <v>6971</v>
      </c>
      <c r="C3205" t="s">
        <v>6973</v>
      </c>
      <c r="D3205">
        <v>0.99</v>
      </c>
      <c r="F3205" t="str">
        <f t="shared" ref="F3205:F3268" si="250">IF($B3205="","",IF(ISNUMBER(SEARCH("PSA",$B3205)),"Yes","No"))</f>
        <v>No</v>
      </c>
      <c r="G3205" t="str">
        <f t="shared" ref="G3205:G3268" si="251">IF($B3205="","",IF(ISNUMBER(SEARCH("PSA 10",$B3205)),10,IF(ISNUMBER(SEARCH("PSA 9.5",$B3205)),9.5,IF(ISNUMBER(SEARCH("PSA 9",$B3205)),9,IF(ISNUMBER(SEARCH("PSA 8",$B3205)),8,IF(ISNUMBER(SEARCH("PSA",$B3205)),"&lt;9",""))))))</f>
        <v/>
      </c>
      <c r="H3205" t="str">
        <f t="shared" ref="H3205:H3268" si="252">IF($B3205="","",IF($D3205&gt;=100,"TIER 2",IF(OR(ISNUMBER(SEARCH("PSA 10",$B3205)),ISNUMBER(SEARCH("PSA 9.5",$B3205)),ISNUMBER(SEARCH("PSA 9",$B3205))),"TIER 3",IF(AND($D3205&gt;20,N($E3205)&gt;=15),"TIER 1","—"))))</f>
        <v>—</v>
      </c>
      <c r="I3205" t="str">
        <f t="shared" ref="I3205:I3268" si="253">IF($B3205="","",IF($D3205&gt;=100,"Premium $100+ (auto)",IF(OR(ISNUMBER(SEARCH("PSA 10",$B3205)),ISNUMBER(SEARCH("PSA 9.5",$B3205)),ISNUMBER(SEARCH("PSA 9",$B3205))),"Graded PSA 9+ (auto)",IF(AND($D3205&gt;20,N($E3205)&gt;=15),"Hot: $20+ &amp; "&amp;$E3205&amp;"/day",IF($D3205&gt;20,"$20+ — needs velocity check","Below thresholds")))))</f>
        <v>Below thresholds</v>
      </c>
      <c r="J3205" t="str">
        <f t="shared" ref="J3205:J3268" si="254">IF($B3205="","",IF(AND($D3205&gt;20,$D3205&lt;100,NOT(OR(ISNUMBER(SEARCH("PSA 10",$B3205)),ISNUMBER(SEARCH("PSA 9.5",$B3205)),ISNUMBER(SEARCH("PSA 9",$B3205)))),$E3205=""),"YES — pull CardHedger",""))</f>
        <v/>
      </c>
    </row>
    <row r="3206" spans="1:10" x14ac:dyDescent="0.2">
      <c r="A3206">
        <v>227233466753</v>
      </c>
      <c r="B3206" t="s">
        <v>6974</v>
      </c>
      <c r="C3206" t="s">
        <v>6975</v>
      </c>
      <c r="D3206">
        <v>0.99</v>
      </c>
      <c r="F3206" t="str">
        <f t="shared" si="250"/>
        <v>No</v>
      </c>
      <c r="G3206" t="str">
        <f t="shared" si="251"/>
        <v/>
      </c>
      <c r="H3206" t="str">
        <f t="shared" si="252"/>
        <v>—</v>
      </c>
      <c r="I3206" t="str">
        <f t="shared" si="253"/>
        <v>Below thresholds</v>
      </c>
      <c r="J3206" t="str">
        <f t="shared" si="254"/>
        <v/>
      </c>
    </row>
    <row r="3207" spans="1:10" x14ac:dyDescent="0.2">
      <c r="A3207">
        <v>227233466779</v>
      </c>
      <c r="B3207" t="s">
        <v>6976</v>
      </c>
      <c r="C3207" t="s">
        <v>6977</v>
      </c>
      <c r="D3207">
        <v>1.25</v>
      </c>
      <c r="F3207" t="str">
        <f t="shared" si="250"/>
        <v>No</v>
      </c>
      <c r="G3207" t="str">
        <f t="shared" si="251"/>
        <v/>
      </c>
      <c r="H3207" t="str">
        <f t="shared" si="252"/>
        <v>—</v>
      </c>
      <c r="I3207" t="str">
        <f t="shared" si="253"/>
        <v>Below thresholds</v>
      </c>
      <c r="J3207" t="str">
        <f t="shared" si="254"/>
        <v/>
      </c>
    </row>
    <row r="3208" spans="1:10" x14ac:dyDescent="0.2">
      <c r="A3208">
        <v>227233466782</v>
      </c>
      <c r="B3208" t="s">
        <v>6978</v>
      </c>
      <c r="C3208" t="s">
        <v>6979</v>
      </c>
      <c r="D3208">
        <v>1.5</v>
      </c>
      <c r="F3208" t="str">
        <f t="shared" si="250"/>
        <v>No</v>
      </c>
      <c r="G3208" t="str">
        <f t="shared" si="251"/>
        <v/>
      </c>
      <c r="H3208" t="str">
        <f t="shared" si="252"/>
        <v>—</v>
      </c>
      <c r="I3208" t="str">
        <f t="shared" si="253"/>
        <v>Below thresholds</v>
      </c>
      <c r="J3208" t="str">
        <f t="shared" si="254"/>
        <v/>
      </c>
    </row>
    <row r="3209" spans="1:10" x14ac:dyDescent="0.2">
      <c r="A3209">
        <v>227233466784</v>
      </c>
      <c r="B3209" t="s">
        <v>6980</v>
      </c>
      <c r="C3209" t="s">
        <v>6981</v>
      </c>
      <c r="D3209">
        <v>0.99</v>
      </c>
      <c r="F3209" t="str">
        <f t="shared" si="250"/>
        <v>No</v>
      </c>
      <c r="G3209" t="str">
        <f t="shared" si="251"/>
        <v/>
      </c>
      <c r="H3209" t="str">
        <f t="shared" si="252"/>
        <v>—</v>
      </c>
      <c r="I3209" t="str">
        <f t="shared" si="253"/>
        <v>Below thresholds</v>
      </c>
      <c r="J3209" t="str">
        <f t="shared" si="254"/>
        <v/>
      </c>
    </row>
    <row r="3210" spans="1:10" x14ac:dyDescent="0.2">
      <c r="A3210">
        <v>227233466790</v>
      </c>
      <c r="B3210" t="s">
        <v>6982</v>
      </c>
      <c r="C3210" t="s">
        <v>6983</v>
      </c>
      <c r="D3210">
        <v>1</v>
      </c>
      <c r="F3210" t="str">
        <f t="shared" si="250"/>
        <v>No</v>
      </c>
      <c r="G3210" t="str">
        <f t="shared" si="251"/>
        <v/>
      </c>
      <c r="H3210" t="str">
        <f t="shared" si="252"/>
        <v>—</v>
      </c>
      <c r="I3210" t="str">
        <f t="shared" si="253"/>
        <v>Below thresholds</v>
      </c>
      <c r="J3210" t="str">
        <f t="shared" si="254"/>
        <v/>
      </c>
    </row>
    <row r="3211" spans="1:10" x14ac:dyDescent="0.2">
      <c r="A3211">
        <v>227233466795</v>
      </c>
      <c r="B3211" t="s">
        <v>6984</v>
      </c>
      <c r="C3211" t="s">
        <v>6985</v>
      </c>
      <c r="D3211">
        <v>0.99</v>
      </c>
      <c r="F3211" t="str">
        <f t="shared" si="250"/>
        <v>No</v>
      </c>
      <c r="G3211" t="str">
        <f t="shared" si="251"/>
        <v/>
      </c>
      <c r="H3211" t="str">
        <f t="shared" si="252"/>
        <v>—</v>
      </c>
      <c r="I3211" t="str">
        <f t="shared" si="253"/>
        <v>Below thresholds</v>
      </c>
      <c r="J3211" t="str">
        <f t="shared" si="254"/>
        <v/>
      </c>
    </row>
    <row r="3212" spans="1:10" x14ac:dyDescent="0.2">
      <c r="A3212">
        <v>227233466797</v>
      </c>
      <c r="B3212" t="s">
        <v>6986</v>
      </c>
      <c r="C3212" t="s">
        <v>6987</v>
      </c>
      <c r="D3212">
        <v>8.99</v>
      </c>
      <c r="F3212" t="str">
        <f t="shared" si="250"/>
        <v>No</v>
      </c>
      <c r="G3212" t="str">
        <f t="shared" si="251"/>
        <v/>
      </c>
      <c r="H3212" t="str">
        <f t="shared" si="252"/>
        <v>—</v>
      </c>
      <c r="I3212" t="str">
        <f t="shared" si="253"/>
        <v>Below thresholds</v>
      </c>
      <c r="J3212" t="str">
        <f t="shared" si="254"/>
        <v/>
      </c>
    </row>
    <row r="3213" spans="1:10" x14ac:dyDescent="0.2">
      <c r="A3213">
        <v>227233466802</v>
      </c>
      <c r="B3213" t="s">
        <v>6988</v>
      </c>
      <c r="C3213" t="s">
        <v>6989</v>
      </c>
      <c r="D3213">
        <v>1.75</v>
      </c>
      <c r="F3213" t="str">
        <f t="shared" si="250"/>
        <v>No</v>
      </c>
      <c r="G3213" t="str">
        <f t="shared" si="251"/>
        <v/>
      </c>
      <c r="H3213" t="str">
        <f t="shared" si="252"/>
        <v>—</v>
      </c>
      <c r="I3213" t="str">
        <f t="shared" si="253"/>
        <v>Below thresholds</v>
      </c>
      <c r="J3213" t="str">
        <f t="shared" si="254"/>
        <v/>
      </c>
    </row>
    <row r="3214" spans="1:10" x14ac:dyDescent="0.2">
      <c r="A3214">
        <v>227233466804</v>
      </c>
      <c r="B3214" t="s">
        <v>6990</v>
      </c>
      <c r="C3214" t="s">
        <v>6991</v>
      </c>
      <c r="D3214">
        <v>1.79</v>
      </c>
      <c r="F3214" t="str">
        <f t="shared" si="250"/>
        <v>No</v>
      </c>
      <c r="G3214" t="str">
        <f t="shared" si="251"/>
        <v/>
      </c>
      <c r="H3214" t="str">
        <f t="shared" si="252"/>
        <v>—</v>
      </c>
      <c r="I3214" t="str">
        <f t="shared" si="253"/>
        <v>Below thresholds</v>
      </c>
      <c r="J3214" t="str">
        <f t="shared" si="254"/>
        <v/>
      </c>
    </row>
    <row r="3215" spans="1:10" x14ac:dyDescent="0.2">
      <c r="A3215">
        <v>227233466812</v>
      </c>
      <c r="B3215" t="s">
        <v>6992</v>
      </c>
      <c r="C3215" t="s">
        <v>6993</v>
      </c>
      <c r="D3215">
        <v>2.25</v>
      </c>
      <c r="F3215" t="str">
        <f t="shared" si="250"/>
        <v>No</v>
      </c>
      <c r="G3215" t="str">
        <f t="shared" si="251"/>
        <v/>
      </c>
      <c r="H3215" t="str">
        <f t="shared" si="252"/>
        <v>—</v>
      </c>
      <c r="I3215" t="str">
        <f t="shared" si="253"/>
        <v>Below thresholds</v>
      </c>
      <c r="J3215" t="str">
        <f t="shared" si="254"/>
        <v/>
      </c>
    </row>
    <row r="3216" spans="1:10" x14ac:dyDescent="0.2">
      <c r="A3216">
        <v>227233466813</v>
      </c>
      <c r="B3216" t="s">
        <v>6994</v>
      </c>
      <c r="C3216" t="s">
        <v>6995</v>
      </c>
      <c r="D3216">
        <v>8.99</v>
      </c>
      <c r="F3216" t="str">
        <f t="shared" si="250"/>
        <v>No</v>
      </c>
      <c r="G3216" t="str">
        <f t="shared" si="251"/>
        <v/>
      </c>
      <c r="H3216" t="str">
        <f t="shared" si="252"/>
        <v>—</v>
      </c>
      <c r="I3216" t="str">
        <f t="shared" si="253"/>
        <v>Below thresholds</v>
      </c>
      <c r="J3216" t="str">
        <f t="shared" si="254"/>
        <v/>
      </c>
    </row>
    <row r="3217" spans="1:10" x14ac:dyDescent="0.2">
      <c r="A3217">
        <v>227233466816</v>
      </c>
      <c r="B3217" t="s">
        <v>6996</v>
      </c>
      <c r="C3217" t="s">
        <v>6997</v>
      </c>
      <c r="D3217">
        <v>2.59</v>
      </c>
      <c r="F3217" t="str">
        <f t="shared" si="250"/>
        <v>No</v>
      </c>
      <c r="G3217" t="str">
        <f t="shared" si="251"/>
        <v/>
      </c>
      <c r="H3217" t="str">
        <f t="shared" si="252"/>
        <v>—</v>
      </c>
      <c r="I3217" t="str">
        <f t="shared" si="253"/>
        <v>Below thresholds</v>
      </c>
      <c r="J3217" t="str">
        <f t="shared" si="254"/>
        <v/>
      </c>
    </row>
    <row r="3218" spans="1:10" x14ac:dyDescent="0.2">
      <c r="A3218">
        <v>227233466827</v>
      </c>
      <c r="B3218" t="s">
        <v>6998</v>
      </c>
      <c r="C3218" t="s">
        <v>6999</v>
      </c>
      <c r="D3218">
        <v>3.5</v>
      </c>
      <c r="F3218" t="str">
        <f t="shared" si="250"/>
        <v>No</v>
      </c>
      <c r="G3218" t="str">
        <f t="shared" si="251"/>
        <v/>
      </c>
      <c r="H3218" t="str">
        <f t="shared" si="252"/>
        <v>—</v>
      </c>
      <c r="I3218" t="str">
        <f t="shared" si="253"/>
        <v>Below thresholds</v>
      </c>
      <c r="J3218" t="str">
        <f t="shared" si="254"/>
        <v/>
      </c>
    </row>
    <row r="3219" spans="1:10" x14ac:dyDescent="0.2">
      <c r="A3219">
        <v>227233466845</v>
      </c>
      <c r="B3219" t="s">
        <v>7000</v>
      </c>
      <c r="C3219" t="s">
        <v>7001</v>
      </c>
      <c r="D3219">
        <v>0.99</v>
      </c>
      <c r="F3219" t="str">
        <f t="shared" si="250"/>
        <v>No</v>
      </c>
      <c r="G3219" t="str">
        <f t="shared" si="251"/>
        <v/>
      </c>
      <c r="H3219" t="str">
        <f t="shared" si="252"/>
        <v>—</v>
      </c>
      <c r="I3219" t="str">
        <f t="shared" si="253"/>
        <v>Below thresholds</v>
      </c>
      <c r="J3219" t="str">
        <f t="shared" si="254"/>
        <v/>
      </c>
    </row>
    <row r="3220" spans="1:10" x14ac:dyDescent="0.2">
      <c r="A3220">
        <v>227233466847</v>
      </c>
      <c r="B3220" t="s">
        <v>310</v>
      </c>
      <c r="C3220" t="s">
        <v>7002</v>
      </c>
      <c r="D3220">
        <v>2.5</v>
      </c>
      <c r="F3220" t="str">
        <f t="shared" si="250"/>
        <v>No</v>
      </c>
      <c r="G3220" t="str">
        <f t="shared" si="251"/>
        <v/>
      </c>
      <c r="H3220" t="str">
        <f t="shared" si="252"/>
        <v>—</v>
      </c>
      <c r="I3220" t="str">
        <f t="shared" si="253"/>
        <v>Below thresholds</v>
      </c>
      <c r="J3220" t="str">
        <f t="shared" si="254"/>
        <v/>
      </c>
    </row>
    <row r="3221" spans="1:10" x14ac:dyDescent="0.2">
      <c r="A3221">
        <v>227233466867</v>
      </c>
      <c r="B3221" t="s">
        <v>7003</v>
      </c>
      <c r="C3221" t="s">
        <v>7004</v>
      </c>
      <c r="D3221">
        <v>1.99</v>
      </c>
      <c r="F3221" t="str">
        <f t="shared" si="250"/>
        <v>No</v>
      </c>
      <c r="G3221" t="str">
        <f t="shared" si="251"/>
        <v/>
      </c>
      <c r="H3221" t="str">
        <f t="shared" si="252"/>
        <v>—</v>
      </c>
      <c r="I3221" t="str">
        <f t="shared" si="253"/>
        <v>Below thresholds</v>
      </c>
      <c r="J3221" t="str">
        <f t="shared" si="254"/>
        <v/>
      </c>
    </row>
    <row r="3222" spans="1:10" x14ac:dyDescent="0.2">
      <c r="A3222">
        <v>227233466880</v>
      </c>
      <c r="B3222" t="s">
        <v>7005</v>
      </c>
      <c r="C3222" t="s">
        <v>7006</v>
      </c>
      <c r="D3222">
        <v>2.4900000000000002</v>
      </c>
      <c r="F3222" t="str">
        <f t="shared" si="250"/>
        <v>No</v>
      </c>
      <c r="G3222" t="str">
        <f t="shared" si="251"/>
        <v/>
      </c>
      <c r="H3222" t="str">
        <f t="shared" si="252"/>
        <v>—</v>
      </c>
      <c r="I3222" t="str">
        <f t="shared" si="253"/>
        <v>Below thresholds</v>
      </c>
      <c r="J3222" t="str">
        <f t="shared" si="254"/>
        <v/>
      </c>
    </row>
    <row r="3223" spans="1:10" x14ac:dyDescent="0.2">
      <c r="A3223">
        <v>227236787710</v>
      </c>
      <c r="B3223" t="s">
        <v>7007</v>
      </c>
      <c r="C3223" t="s">
        <v>7008</v>
      </c>
      <c r="D3223">
        <v>2.39</v>
      </c>
      <c r="F3223" t="str">
        <f t="shared" si="250"/>
        <v>No</v>
      </c>
      <c r="G3223" t="str">
        <f t="shared" si="251"/>
        <v/>
      </c>
      <c r="H3223" t="str">
        <f t="shared" si="252"/>
        <v>—</v>
      </c>
      <c r="I3223" t="str">
        <f t="shared" si="253"/>
        <v>Below thresholds</v>
      </c>
      <c r="J3223" t="str">
        <f t="shared" si="254"/>
        <v/>
      </c>
    </row>
    <row r="3224" spans="1:10" x14ac:dyDescent="0.2">
      <c r="A3224">
        <v>227236787753</v>
      </c>
      <c r="B3224" t="s">
        <v>7009</v>
      </c>
      <c r="C3224" t="s">
        <v>7010</v>
      </c>
      <c r="D3224">
        <v>4.25</v>
      </c>
      <c r="F3224" t="str">
        <f t="shared" si="250"/>
        <v>No</v>
      </c>
      <c r="G3224" t="str">
        <f t="shared" si="251"/>
        <v/>
      </c>
      <c r="H3224" t="str">
        <f t="shared" si="252"/>
        <v>—</v>
      </c>
      <c r="I3224" t="str">
        <f t="shared" si="253"/>
        <v>Below thresholds</v>
      </c>
      <c r="J3224" t="str">
        <f t="shared" si="254"/>
        <v/>
      </c>
    </row>
    <row r="3225" spans="1:10" x14ac:dyDescent="0.2">
      <c r="A3225">
        <v>227236787763</v>
      </c>
      <c r="B3225" t="s">
        <v>7011</v>
      </c>
      <c r="C3225" t="s">
        <v>7012</v>
      </c>
      <c r="D3225">
        <v>7.99</v>
      </c>
      <c r="F3225" t="str">
        <f t="shared" si="250"/>
        <v>No</v>
      </c>
      <c r="G3225" t="str">
        <f t="shared" si="251"/>
        <v/>
      </c>
      <c r="H3225" t="str">
        <f t="shared" si="252"/>
        <v>—</v>
      </c>
      <c r="I3225" t="str">
        <f t="shared" si="253"/>
        <v>Below thresholds</v>
      </c>
      <c r="J3225" t="str">
        <f t="shared" si="254"/>
        <v/>
      </c>
    </row>
    <row r="3226" spans="1:10" x14ac:dyDescent="0.2">
      <c r="A3226">
        <v>227236787766</v>
      </c>
      <c r="B3226" t="s">
        <v>7013</v>
      </c>
      <c r="C3226" t="s">
        <v>7014</v>
      </c>
      <c r="D3226">
        <v>6.95</v>
      </c>
      <c r="F3226" t="str">
        <f t="shared" si="250"/>
        <v>No</v>
      </c>
      <c r="G3226" t="str">
        <f t="shared" si="251"/>
        <v/>
      </c>
      <c r="H3226" t="str">
        <f t="shared" si="252"/>
        <v>—</v>
      </c>
      <c r="I3226" t="str">
        <f t="shared" si="253"/>
        <v>Below thresholds</v>
      </c>
      <c r="J3226" t="str">
        <f t="shared" si="254"/>
        <v/>
      </c>
    </row>
    <row r="3227" spans="1:10" x14ac:dyDescent="0.2">
      <c r="A3227">
        <v>227236787768</v>
      </c>
      <c r="B3227" t="s">
        <v>7015</v>
      </c>
      <c r="C3227" t="s">
        <v>7016</v>
      </c>
      <c r="D3227">
        <v>3.99</v>
      </c>
      <c r="F3227" t="str">
        <f t="shared" si="250"/>
        <v>No</v>
      </c>
      <c r="G3227" t="str">
        <f t="shared" si="251"/>
        <v/>
      </c>
      <c r="H3227" t="str">
        <f t="shared" si="252"/>
        <v>—</v>
      </c>
      <c r="I3227" t="str">
        <f t="shared" si="253"/>
        <v>Below thresholds</v>
      </c>
      <c r="J3227" t="str">
        <f t="shared" si="254"/>
        <v/>
      </c>
    </row>
    <row r="3228" spans="1:10" x14ac:dyDescent="0.2">
      <c r="A3228">
        <v>227236787789</v>
      </c>
      <c r="B3228" t="s">
        <v>7017</v>
      </c>
      <c r="C3228" t="s">
        <v>7018</v>
      </c>
      <c r="D3228">
        <v>3.55</v>
      </c>
      <c r="F3228" t="str">
        <f t="shared" si="250"/>
        <v>No</v>
      </c>
      <c r="G3228" t="str">
        <f t="shared" si="251"/>
        <v/>
      </c>
      <c r="H3228" t="str">
        <f t="shared" si="252"/>
        <v>—</v>
      </c>
      <c r="I3228" t="str">
        <f t="shared" si="253"/>
        <v>Below thresholds</v>
      </c>
      <c r="J3228" t="str">
        <f t="shared" si="254"/>
        <v/>
      </c>
    </row>
    <row r="3229" spans="1:10" x14ac:dyDescent="0.2">
      <c r="A3229">
        <v>227236787794</v>
      </c>
      <c r="B3229" t="s">
        <v>7019</v>
      </c>
      <c r="C3229" t="s">
        <v>7020</v>
      </c>
      <c r="D3229">
        <v>3.99</v>
      </c>
      <c r="F3229" t="str">
        <f t="shared" si="250"/>
        <v>No</v>
      </c>
      <c r="G3229" t="str">
        <f t="shared" si="251"/>
        <v/>
      </c>
      <c r="H3229" t="str">
        <f t="shared" si="252"/>
        <v>—</v>
      </c>
      <c r="I3229" t="str">
        <f t="shared" si="253"/>
        <v>Below thresholds</v>
      </c>
      <c r="J3229" t="str">
        <f t="shared" si="254"/>
        <v/>
      </c>
    </row>
    <row r="3230" spans="1:10" x14ac:dyDescent="0.2">
      <c r="A3230">
        <v>227236787796</v>
      </c>
      <c r="B3230" t="s">
        <v>7021</v>
      </c>
      <c r="C3230" t="s">
        <v>7022</v>
      </c>
      <c r="D3230">
        <v>1.99</v>
      </c>
      <c r="F3230" t="str">
        <f t="shared" si="250"/>
        <v>No</v>
      </c>
      <c r="G3230" t="str">
        <f t="shared" si="251"/>
        <v/>
      </c>
      <c r="H3230" t="str">
        <f t="shared" si="252"/>
        <v>—</v>
      </c>
      <c r="I3230" t="str">
        <f t="shared" si="253"/>
        <v>Below thresholds</v>
      </c>
      <c r="J3230" t="str">
        <f t="shared" si="254"/>
        <v/>
      </c>
    </row>
    <row r="3231" spans="1:10" x14ac:dyDescent="0.2">
      <c r="A3231">
        <v>227236787810</v>
      </c>
      <c r="B3231" t="s">
        <v>7023</v>
      </c>
      <c r="C3231" t="s">
        <v>7024</v>
      </c>
      <c r="D3231">
        <v>2.75</v>
      </c>
      <c r="F3231" t="str">
        <f t="shared" si="250"/>
        <v>No</v>
      </c>
      <c r="G3231" t="str">
        <f t="shared" si="251"/>
        <v/>
      </c>
      <c r="H3231" t="str">
        <f t="shared" si="252"/>
        <v>—</v>
      </c>
      <c r="I3231" t="str">
        <f t="shared" si="253"/>
        <v>Below thresholds</v>
      </c>
      <c r="J3231" t="str">
        <f t="shared" si="254"/>
        <v/>
      </c>
    </row>
    <row r="3232" spans="1:10" x14ac:dyDescent="0.2">
      <c r="A3232">
        <v>227236787851</v>
      </c>
      <c r="B3232" t="s">
        <v>7025</v>
      </c>
      <c r="C3232" t="s">
        <v>7026</v>
      </c>
      <c r="D3232">
        <v>4.95</v>
      </c>
      <c r="F3232" t="str">
        <f t="shared" si="250"/>
        <v>No</v>
      </c>
      <c r="G3232" t="str">
        <f t="shared" si="251"/>
        <v/>
      </c>
      <c r="H3232" t="str">
        <f t="shared" si="252"/>
        <v>—</v>
      </c>
      <c r="I3232" t="str">
        <f t="shared" si="253"/>
        <v>Below thresholds</v>
      </c>
      <c r="J3232" t="str">
        <f t="shared" si="254"/>
        <v/>
      </c>
    </row>
    <row r="3233" spans="1:10" x14ac:dyDescent="0.2">
      <c r="A3233">
        <v>227237795600</v>
      </c>
      <c r="B3233" t="s">
        <v>7027</v>
      </c>
      <c r="C3233" t="s">
        <v>7028</v>
      </c>
      <c r="D3233">
        <v>2.59</v>
      </c>
      <c r="F3233" t="str">
        <f t="shared" si="250"/>
        <v>No</v>
      </c>
      <c r="G3233" t="str">
        <f t="shared" si="251"/>
        <v/>
      </c>
      <c r="H3233" t="str">
        <f t="shared" si="252"/>
        <v>—</v>
      </c>
      <c r="I3233" t="str">
        <f t="shared" si="253"/>
        <v>Below thresholds</v>
      </c>
      <c r="J3233" t="str">
        <f t="shared" si="254"/>
        <v/>
      </c>
    </row>
    <row r="3234" spans="1:10" x14ac:dyDescent="0.2">
      <c r="A3234">
        <v>227237795616</v>
      </c>
      <c r="B3234" t="s">
        <v>7029</v>
      </c>
      <c r="C3234" t="s">
        <v>7030</v>
      </c>
      <c r="D3234">
        <v>2.95</v>
      </c>
      <c r="F3234" t="str">
        <f t="shared" si="250"/>
        <v>No</v>
      </c>
      <c r="G3234" t="str">
        <f t="shared" si="251"/>
        <v/>
      </c>
      <c r="H3234" t="str">
        <f t="shared" si="252"/>
        <v>—</v>
      </c>
      <c r="I3234" t="str">
        <f t="shared" si="253"/>
        <v>Below thresholds</v>
      </c>
      <c r="J3234" t="str">
        <f t="shared" si="254"/>
        <v/>
      </c>
    </row>
    <row r="3235" spans="1:10" x14ac:dyDescent="0.2">
      <c r="A3235">
        <v>227237795639</v>
      </c>
      <c r="B3235" t="s">
        <v>7031</v>
      </c>
      <c r="C3235" t="s">
        <v>7032</v>
      </c>
      <c r="D3235">
        <v>1.25</v>
      </c>
      <c r="F3235" t="str">
        <f t="shared" si="250"/>
        <v>No</v>
      </c>
      <c r="G3235" t="str">
        <f t="shared" si="251"/>
        <v/>
      </c>
      <c r="H3235" t="str">
        <f t="shared" si="252"/>
        <v>—</v>
      </c>
      <c r="I3235" t="str">
        <f t="shared" si="253"/>
        <v>Below thresholds</v>
      </c>
      <c r="J3235" t="str">
        <f t="shared" si="254"/>
        <v/>
      </c>
    </row>
    <row r="3236" spans="1:10" x14ac:dyDescent="0.2">
      <c r="A3236">
        <v>227237795649</v>
      </c>
      <c r="B3236" t="s">
        <v>7033</v>
      </c>
      <c r="C3236" t="s">
        <v>7034</v>
      </c>
      <c r="D3236">
        <v>2</v>
      </c>
      <c r="F3236" t="str">
        <f t="shared" si="250"/>
        <v>No</v>
      </c>
      <c r="G3236" t="str">
        <f t="shared" si="251"/>
        <v/>
      </c>
      <c r="H3236" t="str">
        <f t="shared" si="252"/>
        <v>—</v>
      </c>
      <c r="I3236" t="str">
        <f t="shared" si="253"/>
        <v>Below thresholds</v>
      </c>
      <c r="J3236" t="str">
        <f t="shared" si="254"/>
        <v/>
      </c>
    </row>
    <row r="3237" spans="1:10" x14ac:dyDescent="0.2">
      <c r="A3237">
        <v>227237795669</v>
      </c>
      <c r="B3237" t="s">
        <v>7035</v>
      </c>
      <c r="C3237" t="s">
        <v>7036</v>
      </c>
      <c r="D3237">
        <v>3.95</v>
      </c>
      <c r="F3237" t="str">
        <f t="shared" si="250"/>
        <v>No</v>
      </c>
      <c r="G3237" t="str">
        <f t="shared" si="251"/>
        <v/>
      </c>
      <c r="H3237" t="str">
        <f t="shared" si="252"/>
        <v>—</v>
      </c>
      <c r="I3237" t="str">
        <f t="shared" si="253"/>
        <v>Below thresholds</v>
      </c>
      <c r="J3237" t="str">
        <f t="shared" si="254"/>
        <v/>
      </c>
    </row>
    <row r="3238" spans="1:10" x14ac:dyDescent="0.2">
      <c r="A3238">
        <v>227237795672</v>
      </c>
      <c r="B3238" t="s">
        <v>277</v>
      </c>
      <c r="C3238" t="s">
        <v>7037</v>
      </c>
      <c r="D3238">
        <v>2.99</v>
      </c>
      <c r="F3238" t="str">
        <f t="shared" si="250"/>
        <v>No</v>
      </c>
      <c r="G3238" t="str">
        <f t="shared" si="251"/>
        <v/>
      </c>
      <c r="H3238" t="str">
        <f t="shared" si="252"/>
        <v>—</v>
      </c>
      <c r="I3238" t="str">
        <f t="shared" si="253"/>
        <v>Below thresholds</v>
      </c>
      <c r="J3238" t="str">
        <f t="shared" si="254"/>
        <v/>
      </c>
    </row>
    <row r="3239" spans="1:10" x14ac:dyDescent="0.2">
      <c r="A3239">
        <v>227237795731</v>
      </c>
      <c r="B3239" t="s">
        <v>271</v>
      </c>
      <c r="C3239" t="s">
        <v>7038</v>
      </c>
      <c r="D3239">
        <v>5.95</v>
      </c>
      <c r="F3239" t="str">
        <f t="shared" si="250"/>
        <v>No</v>
      </c>
      <c r="G3239" t="str">
        <f t="shared" si="251"/>
        <v/>
      </c>
      <c r="H3239" t="str">
        <f t="shared" si="252"/>
        <v>—</v>
      </c>
      <c r="I3239" t="str">
        <f t="shared" si="253"/>
        <v>Below thresholds</v>
      </c>
      <c r="J3239" t="str">
        <f t="shared" si="254"/>
        <v/>
      </c>
    </row>
    <row r="3240" spans="1:10" x14ac:dyDescent="0.2">
      <c r="A3240">
        <v>227237795757</v>
      </c>
      <c r="B3240" t="s">
        <v>7039</v>
      </c>
      <c r="C3240" t="s">
        <v>7040</v>
      </c>
      <c r="D3240">
        <v>3.95</v>
      </c>
      <c r="F3240" t="str">
        <f t="shared" si="250"/>
        <v>No</v>
      </c>
      <c r="G3240" t="str">
        <f t="shared" si="251"/>
        <v/>
      </c>
      <c r="H3240" t="str">
        <f t="shared" si="252"/>
        <v>—</v>
      </c>
      <c r="I3240" t="str">
        <f t="shared" si="253"/>
        <v>Below thresholds</v>
      </c>
      <c r="J3240" t="str">
        <f t="shared" si="254"/>
        <v/>
      </c>
    </row>
    <row r="3241" spans="1:10" x14ac:dyDescent="0.2">
      <c r="A3241">
        <v>227237795760</v>
      </c>
      <c r="B3241" t="s">
        <v>7041</v>
      </c>
      <c r="C3241" t="s">
        <v>7042</v>
      </c>
      <c r="D3241">
        <v>2.4900000000000002</v>
      </c>
      <c r="F3241" t="str">
        <f t="shared" si="250"/>
        <v>No</v>
      </c>
      <c r="G3241" t="str">
        <f t="shared" si="251"/>
        <v/>
      </c>
      <c r="H3241" t="str">
        <f t="shared" si="252"/>
        <v>—</v>
      </c>
      <c r="I3241" t="str">
        <f t="shared" si="253"/>
        <v>Below thresholds</v>
      </c>
      <c r="J3241" t="str">
        <f t="shared" si="254"/>
        <v/>
      </c>
    </row>
    <row r="3242" spans="1:10" x14ac:dyDescent="0.2">
      <c r="A3242">
        <v>227237795763</v>
      </c>
      <c r="B3242" t="s">
        <v>7043</v>
      </c>
      <c r="C3242" t="s">
        <v>7044</v>
      </c>
      <c r="D3242">
        <v>1.95</v>
      </c>
      <c r="F3242" t="str">
        <f t="shared" si="250"/>
        <v>No</v>
      </c>
      <c r="G3242" t="str">
        <f t="shared" si="251"/>
        <v/>
      </c>
      <c r="H3242" t="str">
        <f t="shared" si="252"/>
        <v>—</v>
      </c>
      <c r="I3242" t="str">
        <f t="shared" si="253"/>
        <v>Below thresholds</v>
      </c>
      <c r="J3242" t="str">
        <f t="shared" si="254"/>
        <v/>
      </c>
    </row>
    <row r="3243" spans="1:10" x14ac:dyDescent="0.2">
      <c r="A3243">
        <v>227237795765</v>
      </c>
      <c r="B3243" t="s">
        <v>7045</v>
      </c>
      <c r="C3243" t="s">
        <v>7046</v>
      </c>
      <c r="D3243">
        <v>9.99</v>
      </c>
      <c r="F3243" t="str">
        <f t="shared" si="250"/>
        <v>No</v>
      </c>
      <c r="G3243" t="str">
        <f t="shared" si="251"/>
        <v/>
      </c>
      <c r="H3243" t="str">
        <f t="shared" si="252"/>
        <v>—</v>
      </c>
      <c r="I3243" t="str">
        <f t="shared" si="253"/>
        <v>Below thresholds</v>
      </c>
      <c r="J3243" t="str">
        <f t="shared" si="254"/>
        <v/>
      </c>
    </row>
    <row r="3244" spans="1:10" x14ac:dyDescent="0.2">
      <c r="A3244">
        <v>227237795772</v>
      </c>
      <c r="B3244" t="s">
        <v>7047</v>
      </c>
      <c r="C3244" t="s">
        <v>7048</v>
      </c>
      <c r="D3244">
        <v>8.9499999999999993</v>
      </c>
      <c r="F3244" t="str">
        <f t="shared" si="250"/>
        <v>No</v>
      </c>
      <c r="G3244" t="str">
        <f t="shared" si="251"/>
        <v/>
      </c>
      <c r="H3244" t="str">
        <f t="shared" si="252"/>
        <v>—</v>
      </c>
      <c r="I3244" t="str">
        <f t="shared" si="253"/>
        <v>Below thresholds</v>
      </c>
      <c r="J3244" t="str">
        <f t="shared" si="254"/>
        <v/>
      </c>
    </row>
    <row r="3245" spans="1:10" x14ac:dyDescent="0.2">
      <c r="A3245">
        <v>227237795938</v>
      </c>
      <c r="B3245" t="s">
        <v>7049</v>
      </c>
      <c r="C3245" t="s">
        <v>7050</v>
      </c>
      <c r="D3245">
        <v>2.99</v>
      </c>
      <c r="F3245" t="str">
        <f t="shared" si="250"/>
        <v>No</v>
      </c>
      <c r="G3245" t="str">
        <f t="shared" si="251"/>
        <v/>
      </c>
      <c r="H3245" t="str">
        <f t="shared" si="252"/>
        <v>—</v>
      </c>
      <c r="I3245" t="str">
        <f t="shared" si="253"/>
        <v>Below thresholds</v>
      </c>
      <c r="J3245" t="str">
        <f t="shared" si="254"/>
        <v/>
      </c>
    </row>
    <row r="3246" spans="1:10" x14ac:dyDescent="0.2">
      <c r="A3246">
        <v>227239472400</v>
      </c>
      <c r="B3246" t="s">
        <v>270</v>
      </c>
      <c r="C3246" t="s">
        <v>7051</v>
      </c>
      <c r="D3246">
        <v>5.99</v>
      </c>
      <c r="F3246" t="str">
        <f t="shared" si="250"/>
        <v>No</v>
      </c>
      <c r="G3246" t="str">
        <f t="shared" si="251"/>
        <v/>
      </c>
      <c r="H3246" t="str">
        <f t="shared" si="252"/>
        <v>—</v>
      </c>
      <c r="I3246" t="str">
        <f t="shared" si="253"/>
        <v>Below thresholds</v>
      </c>
      <c r="J3246" t="str">
        <f t="shared" si="254"/>
        <v/>
      </c>
    </row>
    <row r="3247" spans="1:10" x14ac:dyDescent="0.2">
      <c r="A3247">
        <v>227239472413</v>
      </c>
      <c r="B3247" t="s">
        <v>7052</v>
      </c>
      <c r="C3247" t="s">
        <v>7053</v>
      </c>
      <c r="D3247">
        <v>1.5</v>
      </c>
      <c r="F3247" t="str">
        <f t="shared" si="250"/>
        <v>No</v>
      </c>
      <c r="G3247" t="str">
        <f t="shared" si="251"/>
        <v/>
      </c>
      <c r="H3247" t="str">
        <f t="shared" si="252"/>
        <v>—</v>
      </c>
      <c r="I3247" t="str">
        <f t="shared" si="253"/>
        <v>Below thresholds</v>
      </c>
      <c r="J3247" t="str">
        <f t="shared" si="254"/>
        <v/>
      </c>
    </row>
    <row r="3248" spans="1:10" x14ac:dyDescent="0.2">
      <c r="A3248">
        <v>227239472424</v>
      </c>
      <c r="B3248" t="s">
        <v>7054</v>
      </c>
      <c r="C3248" t="s">
        <v>7055</v>
      </c>
      <c r="D3248">
        <v>1.25</v>
      </c>
      <c r="F3248" t="str">
        <f t="shared" si="250"/>
        <v>No</v>
      </c>
      <c r="G3248" t="str">
        <f t="shared" si="251"/>
        <v/>
      </c>
      <c r="H3248" t="str">
        <f t="shared" si="252"/>
        <v>—</v>
      </c>
      <c r="I3248" t="str">
        <f t="shared" si="253"/>
        <v>Below thresholds</v>
      </c>
      <c r="J3248" t="str">
        <f t="shared" si="254"/>
        <v/>
      </c>
    </row>
    <row r="3249" spans="1:10" x14ac:dyDescent="0.2">
      <c r="A3249">
        <v>227239472429</v>
      </c>
      <c r="B3249" t="s">
        <v>7056</v>
      </c>
      <c r="C3249" t="s">
        <v>7057</v>
      </c>
      <c r="D3249">
        <v>1.99</v>
      </c>
      <c r="F3249" t="str">
        <f t="shared" si="250"/>
        <v>No</v>
      </c>
      <c r="G3249" t="str">
        <f t="shared" si="251"/>
        <v/>
      </c>
      <c r="H3249" t="str">
        <f t="shared" si="252"/>
        <v>—</v>
      </c>
      <c r="I3249" t="str">
        <f t="shared" si="253"/>
        <v>Below thresholds</v>
      </c>
      <c r="J3249" t="str">
        <f t="shared" si="254"/>
        <v/>
      </c>
    </row>
    <row r="3250" spans="1:10" x14ac:dyDescent="0.2">
      <c r="A3250">
        <v>227239472435</v>
      </c>
      <c r="B3250" t="s">
        <v>7058</v>
      </c>
      <c r="C3250" t="s">
        <v>7059</v>
      </c>
      <c r="D3250">
        <v>2.4500000000000002</v>
      </c>
      <c r="F3250" t="str">
        <f t="shared" si="250"/>
        <v>No</v>
      </c>
      <c r="G3250" t="str">
        <f t="shared" si="251"/>
        <v/>
      </c>
      <c r="H3250" t="str">
        <f t="shared" si="252"/>
        <v>—</v>
      </c>
      <c r="I3250" t="str">
        <f t="shared" si="253"/>
        <v>Below thresholds</v>
      </c>
      <c r="J3250" t="str">
        <f t="shared" si="254"/>
        <v/>
      </c>
    </row>
    <row r="3251" spans="1:10" x14ac:dyDescent="0.2">
      <c r="A3251">
        <v>227240835298</v>
      </c>
      <c r="B3251" t="s">
        <v>7060</v>
      </c>
      <c r="C3251" t="s">
        <v>7061</v>
      </c>
      <c r="D3251">
        <v>1.99</v>
      </c>
      <c r="F3251" t="str">
        <f t="shared" si="250"/>
        <v>No</v>
      </c>
      <c r="G3251" t="str">
        <f t="shared" si="251"/>
        <v/>
      </c>
      <c r="H3251" t="str">
        <f t="shared" si="252"/>
        <v>—</v>
      </c>
      <c r="I3251" t="str">
        <f t="shared" si="253"/>
        <v>Below thresholds</v>
      </c>
      <c r="J3251" t="str">
        <f t="shared" si="254"/>
        <v/>
      </c>
    </row>
    <row r="3252" spans="1:10" x14ac:dyDescent="0.2">
      <c r="A3252">
        <v>227240835302</v>
      </c>
      <c r="B3252" t="s">
        <v>7062</v>
      </c>
      <c r="C3252" t="s">
        <v>7063</v>
      </c>
      <c r="D3252">
        <v>24.95</v>
      </c>
      <c r="F3252" t="str">
        <f t="shared" si="250"/>
        <v>No</v>
      </c>
      <c r="G3252" t="str">
        <f t="shared" si="251"/>
        <v/>
      </c>
      <c r="H3252" t="str">
        <f t="shared" si="252"/>
        <v>—</v>
      </c>
      <c r="I3252" t="str">
        <f t="shared" si="253"/>
        <v>$20+ — needs velocity check</v>
      </c>
      <c r="J3252" t="str">
        <f t="shared" si="254"/>
        <v>YES — pull CardHedger</v>
      </c>
    </row>
    <row r="3253" spans="1:10" x14ac:dyDescent="0.2">
      <c r="A3253">
        <v>227240835305</v>
      </c>
      <c r="B3253" t="s">
        <v>7064</v>
      </c>
      <c r="C3253" t="s">
        <v>7065</v>
      </c>
      <c r="D3253">
        <v>0.99</v>
      </c>
      <c r="F3253" t="str">
        <f t="shared" si="250"/>
        <v>No</v>
      </c>
      <c r="G3253" t="str">
        <f t="shared" si="251"/>
        <v/>
      </c>
      <c r="H3253" t="str">
        <f t="shared" si="252"/>
        <v>—</v>
      </c>
      <c r="I3253" t="str">
        <f t="shared" si="253"/>
        <v>Below thresholds</v>
      </c>
      <c r="J3253" t="str">
        <f t="shared" si="254"/>
        <v/>
      </c>
    </row>
    <row r="3254" spans="1:10" x14ac:dyDescent="0.2">
      <c r="A3254">
        <v>227240835373</v>
      </c>
      <c r="B3254" t="s">
        <v>7066</v>
      </c>
      <c r="C3254" t="s">
        <v>7067</v>
      </c>
      <c r="D3254">
        <v>3.95</v>
      </c>
      <c r="F3254" t="str">
        <f t="shared" si="250"/>
        <v>No</v>
      </c>
      <c r="G3254" t="str">
        <f t="shared" si="251"/>
        <v/>
      </c>
      <c r="H3254" t="str">
        <f t="shared" si="252"/>
        <v>—</v>
      </c>
      <c r="I3254" t="str">
        <f t="shared" si="253"/>
        <v>Below thresholds</v>
      </c>
      <c r="J3254" t="str">
        <f t="shared" si="254"/>
        <v/>
      </c>
    </row>
    <row r="3255" spans="1:10" x14ac:dyDescent="0.2">
      <c r="A3255">
        <v>227240943046</v>
      </c>
      <c r="B3255" t="s">
        <v>7068</v>
      </c>
      <c r="C3255" t="s">
        <v>7069</v>
      </c>
      <c r="D3255">
        <v>2.25</v>
      </c>
      <c r="F3255" t="str">
        <f t="shared" si="250"/>
        <v>No</v>
      </c>
      <c r="G3255" t="str">
        <f t="shared" si="251"/>
        <v/>
      </c>
      <c r="H3255" t="str">
        <f t="shared" si="252"/>
        <v>—</v>
      </c>
      <c r="I3255" t="str">
        <f t="shared" si="253"/>
        <v>Below thresholds</v>
      </c>
      <c r="J3255" t="str">
        <f t="shared" si="254"/>
        <v/>
      </c>
    </row>
    <row r="3256" spans="1:10" x14ac:dyDescent="0.2">
      <c r="A3256">
        <v>227240943069</v>
      </c>
      <c r="B3256" t="s">
        <v>7070</v>
      </c>
      <c r="C3256" t="s">
        <v>7071</v>
      </c>
      <c r="D3256">
        <v>4.5</v>
      </c>
      <c r="F3256" t="str">
        <f t="shared" si="250"/>
        <v>No</v>
      </c>
      <c r="G3256" t="str">
        <f t="shared" si="251"/>
        <v/>
      </c>
      <c r="H3256" t="str">
        <f t="shared" si="252"/>
        <v>—</v>
      </c>
      <c r="I3256" t="str">
        <f t="shared" si="253"/>
        <v>Below thresholds</v>
      </c>
      <c r="J3256" t="str">
        <f t="shared" si="254"/>
        <v/>
      </c>
    </row>
    <row r="3257" spans="1:10" x14ac:dyDescent="0.2">
      <c r="A3257">
        <v>227240943075</v>
      </c>
      <c r="B3257" t="s">
        <v>7072</v>
      </c>
      <c r="C3257" t="s">
        <v>7073</v>
      </c>
      <c r="D3257">
        <v>6.25</v>
      </c>
      <c r="F3257" t="str">
        <f t="shared" si="250"/>
        <v>No</v>
      </c>
      <c r="G3257" t="str">
        <f t="shared" si="251"/>
        <v/>
      </c>
      <c r="H3257" t="str">
        <f t="shared" si="252"/>
        <v>—</v>
      </c>
      <c r="I3257" t="str">
        <f t="shared" si="253"/>
        <v>Below thresholds</v>
      </c>
      <c r="J3257" t="str">
        <f t="shared" si="254"/>
        <v/>
      </c>
    </row>
    <row r="3258" spans="1:10" x14ac:dyDescent="0.2">
      <c r="A3258">
        <v>227240943128</v>
      </c>
      <c r="B3258" t="s">
        <v>7074</v>
      </c>
      <c r="C3258" t="s">
        <v>7075</v>
      </c>
      <c r="D3258">
        <v>1.5</v>
      </c>
      <c r="F3258" t="str">
        <f t="shared" si="250"/>
        <v>No</v>
      </c>
      <c r="G3258" t="str">
        <f t="shared" si="251"/>
        <v/>
      </c>
      <c r="H3258" t="str">
        <f t="shared" si="252"/>
        <v>—</v>
      </c>
      <c r="I3258" t="str">
        <f t="shared" si="253"/>
        <v>Below thresholds</v>
      </c>
      <c r="J3258" t="str">
        <f t="shared" si="254"/>
        <v/>
      </c>
    </row>
    <row r="3259" spans="1:10" x14ac:dyDescent="0.2">
      <c r="A3259">
        <v>227241012868</v>
      </c>
      <c r="B3259" t="s">
        <v>7076</v>
      </c>
      <c r="C3259" t="s">
        <v>7077</v>
      </c>
      <c r="D3259">
        <v>3.99</v>
      </c>
      <c r="F3259" t="str">
        <f t="shared" si="250"/>
        <v>No</v>
      </c>
      <c r="G3259" t="str">
        <f t="shared" si="251"/>
        <v/>
      </c>
      <c r="H3259" t="str">
        <f t="shared" si="252"/>
        <v>—</v>
      </c>
      <c r="I3259" t="str">
        <f t="shared" si="253"/>
        <v>Below thresholds</v>
      </c>
      <c r="J3259" t="str">
        <f t="shared" si="254"/>
        <v/>
      </c>
    </row>
    <row r="3260" spans="1:10" x14ac:dyDescent="0.2">
      <c r="A3260">
        <v>227241012884</v>
      </c>
      <c r="B3260" t="s">
        <v>7078</v>
      </c>
      <c r="C3260" t="s">
        <v>7079</v>
      </c>
      <c r="D3260">
        <v>0.99</v>
      </c>
      <c r="F3260" t="str">
        <f t="shared" si="250"/>
        <v>No</v>
      </c>
      <c r="G3260" t="str">
        <f t="shared" si="251"/>
        <v/>
      </c>
      <c r="H3260" t="str">
        <f t="shared" si="252"/>
        <v>—</v>
      </c>
      <c r="I3260" t="str">
        <f t="shared" si="253"/>
        <v>Below thresholds</v>
      </c>
      <c r="J3260" t="str">
        <f t="shared" si="254"/>
        <v/>
      </c>
    </row>
    <row r="3261" spans="1:10" x14ac:dyDescent="0.2">
      <c r="A3261">
        <v>227241012920</v>
      </c>
      <c r="B3261" t="s">
        <v>7080</v>
      </c>
      <c r="C3261" t="s">
        <v>7081</v>
      </c>
      <c r="D3261">
        <v>1.49</v>
      </c>
      <c r="F3261" t="str">
        <f t="shared" si="250"/>
        <v>No</v>
      </c>
      <c r="G3261" t="str">
        <f t="shared" si="251"/>
        <v/>
      </c>
      <c r="H3261" t="str">
        <f t="shared" si="252"/>
        <v>—</v>
      </c>
      <c r="I3261" t="str">
        <f t="shared" si="253"/>
        <v>Below thresholds</v>
      </c>
      <c r="J3261" t="str">
        <f t="shared" si="254"/>
        <v/>
      </c>
    </row>
    <row r="3262" spans="1:10" x14ac:dyDescent="0.2">
      <c r="A3262">
        <v>227241012923</v>
      </c>
      <c r="B3262" t="s">
        <v>7082</v>
      </c>
      <c r="C3262" t="s">
        <v>7083</v>
      </c>
      <c r="D3262">
        <v>0.99</v>
      </c>
      <c r="F3262" t="str">
        <f t="shared" si="250"/>
        <v>No</v>
      </c>
      <c r="G3262" t="str">
        <f t="shared" si="251"/>
        <v/>
      </c>
      <c r="H3262" t="str">
        <f t="shared" si="252"/>
        <v>—</v>
      </c>
      <c r="I3262" t="str">
        <f t="shared" si="253"/>
        <v>Below thresholds</v>
      </c>
      <c r="J3262" t="str">
        <f t="shared" si="254"/>
        <v/>
      </c>
    </row>
    <row r="3263" spans="1:10" x14ac:dyDescent="0.2">
      <c r="A3263">
        <v>227241012956</v>
      </c>
      <c r="B3263" t="s">
        <v>7084</v>
      </c>
      <c r="C3263" t="s">
        <v>7085</v>
      </c>
      <c r="D3263">
        <v>0.99</v>
      </c>
      <c r="F3263" t="str">
        <f t="shared" si="250"/>
        <v>No</v>
      </c>
      <c r="G3263" t="str">
        <f t="shared" si="251"/>
        <v/>
      </c>
      <c r="H3263" t="str">
        <f t="shared" si="252"/>
        <v>—</v>
      </c>
      <c r="I3263" t="str">
        <f t="shared" si="253"/>
        <v>Below thresholds</v>
      </c>
      <c r="J3263" t="str">
        <f t="shared" si="254"/>
        <v/>
      </c>
    </row>
    <row r="3264" spans="1:10" x14ac:dyDescent="0.2">
      <c r="A3264">
        <v>227241012964</v>
      </c>
      <c r="B3264" t="s">
        <v>7086</v>
      </c>
      <c r="C3264" t="s">
        <v>7087</v>
      </c>
      <c r="D3264">
        <v>1.5</v>
      </c>
      <c r="F3264" t="str">
        <f t="shared" si="250"/>
        <v>No</v>
      </c>
      <c r="G3264" t="str">
        <f t="shared" si="251"/>
        <v/>
      </c>
      <c r="H3264" t="str">
        <f t="shared" si="252"/>
        <v>—</v>
      </c>
      <c r="I3264" t="str">
        <f t="shared" si="253"/>
        <v>Below thresholds</v>
      </c>
      <c r="J3264" t="str">
        <f t="shared" si="254"/>
        <v/>
      </c>
    </row>
    <row r="3265" spans="1:10" x14ac:dyDescent="0.2">
      <c r="A3265">
        <v>227241012973</v>
      </c>
      <c r="B3265" t="s">
        <v>7088</v>
      </c>
      <c r="C3265" t="s">
        <v>7089</v>
      </c>
      <c r="D3265">
        <v>1.25</v>
      </c>
      <c r="F3265" t="str">
        <f t="shared" si="250"/>
        <v>No</v>
      </c>
      <c r="G3265" t="str">
        <f t="shared" si="251"/>
        <v/>
      </c>
      <c r="H3265" t="str">
        <f t="shared" si="252"/>
        <v>—</v>
      </c>
      <c r="I3265" t="str">
        <f t="shared" si="253"/>
        <v>Below thresholds</v>
      </c>
      <c r="J3265" t="str">
        <f t="shared" si="254"/>
        <v/>
      </c>
    </row>
    <row r="3266" spans="1:10" x14ac:dyDescent="0.2">
      <c r="A3266">
        <v>227241032532</v>
      </c>
      <c r="B3266" t="s">
        <v>7090</v>
      </c>
      <c r="C3266" t="s">
        <v>7091</v>
      </c>
      <c r="D3266">
        <v>2.25</v>
      </c>
      <c r="F3266" t="str">
        <f t="shared" si="250"/>
        <v>No</v>
      </c>
      <c r="G3266" t="str">
        <f t="shared" si="251"/>
        <v/>
      </c>
      <c r="H3266" t="str">
        <f t="shared" si="252"/>
        <v>—</v>
      </c>
      <c r="I3266" t="str">
        <f t="shared" si="253"/>
        <v>Below thresholds</v>
      </c>
      <c r="J3266" t="str">
        <f t="shared" si="254"/>
        <v/>
      </c>
    </row>
    <row r="3267" spans="1:10" x14ac:dyDescent="0.2">
      <c r="A3267">
        <v>227241208444</v>
      </c>
      <c r="B3267" t="s">
        <v>7092</v>
      </c>
      <c r="C3267" t="s">
        <v>7093</v>
      </c>
      <c r="D3267">
        <v>1.99</v>
      </c>
      <c r="F3267" t="str">
        <f t="shared" si="250"/>
        <v>No</v>
      </c>
      <c r="G3267" t="str">
        <f t="shared" si="251"/>
        <v/>
      </c>
      <c r="H3267" t="str">
        <f t="shared" si="252"/>
        <v>—</v>
      </c>
      <c r="I3267" t="str">
        <f t="shared" si="253"/>
        <v>Below thresholds</v>
      </c>
      <c r="J3267" t="str">
        <f t="shared" si="254"/>
        <v/>
      </c>
    </row>
    <row r="3268" spans="1:10" x14ac:dyDescent="0.2">
      <c r="A3268">
        <v>227241208530</v>
      </c>
      <c r="B3268" t="s">
        <v>288</v>
      </c>
      <c r="C3268" t="s">
        <v>7094</v>
      </c>
      <c r="D3268">
        <v>2</v>
      </c>
      <c r="F3268" t="str">
        <f t="shared" si="250"/>
        <v>No</v>
      </c>
      <c r="G3268" t="str">
        <f t="shared" si="251"/>
        <v/>
      </c>
      <c r="H3268" t="str">
        <f t="shared" si="252"/>
        <v>—</v>
      </c>
      <c r="I3268" t="str">
        <f t="shared" si="253"/>
        <v>Below thresholds</v>
      </c>
      <c r="J3268" t="str">
        <f t="shared" si="254"/>
        <v/>
      </c>
    </row>
    <row r="3269" spans="1:10" x14ac:dyDescent="0.2">
      <c r="A3269">
        <v>227241208544</v>
      </c>
      <c r="B3269" t="s">
        <v>7095</v>
      </c>
      <c r="C3269" t="s">
        <v>7096</v>
      </c>
      <c r="D3269">
        <v>1.99</v>
      </c>
      <c r="F3269" t="str">
        <f t="shared" ref="F3269:F3332" si="255">IF($B3269="","",IF(ISNUMBER(SEARCH("PSA",$B3269)),"Yes","No"))</f>
        <v>No</v>
      </c>
      <c r="G3269" t="str">
        <f t="shared" ref="G3269:G3332" si="256">IF($B3269="","",IF(ISNUMBER(SEARCH("PSA 10",$B3269)),10,IF(ISNUMBER(SEARCH("PSA 9.5",$B3269)),9.5,IF(ISNUMBER(SEARCH("PSA 9",$B3269)),9,IF(ISNUMBER(SEARCH("PSA 8",$B3269)),8,IF(ISNUMBER(SEARCH("PSA",$B3269)),"&lt;9",""))))))</f>
        <v/>
      </c>
      <c r="H3269" t="str">
        <f t="shared" ref="H3269:H3332" si="257">IF($B3269="","",IF($D3269&gt;=100,"TIER 2",IF(OR(ISNUMBER(SEARCH("PSA 10",$B3269)),ISNUMBER(SEARCH("PSA 9.5",$B3269)),ISNUMBER(SEARCH("PSA 9",$B3269))),"TIER 3",IF(AND($D3269&gt;20,N($E3269)&gt;=15),"TIER 1","—"))))</f>
        <v>—</v>
      </c>
      <c r="I3269" t="str">
        <f t="shared" ref="I3269:I3332" si="258">IF($B3269="","",IF($D3269&gt;=100,"Premium $100+ (auto)",IF(OR(ISNUMBER(SEARCH("PSA 10",$B3269)),ISNUMBER(SEARCH("PSA 9.5",$B3269)),ISNUMBER(SEARCH("PSA 9",$B3269))),"Graded PSA 9+ (auto)",IF(AND($D3269&gt;20,N($E3269)&gt;=15),"Hot: $20+ &amp; "&amp;$E3269&amp;"/day",IF($D3269&gt;20,"$20+ — needs velocity check","Below thresholds")))))</f>
        <v>Below thresholds</v>
      </c>
      <c r="J3269" t="str">
        <f t="shared" ref="J3269:J3332" si="259">IF($B3269="","",IF(AND($D3269&gt;20,$D3269&lt;100,NOT(OR(ISNUMBER(SEARCH("PSA 10",$B3269)),ISNUMBER(SEARCH("PSA 9.5",$B3269)),ISNUMBER(SEARCH("PSA 9",$B3269)))),$E3269=""),"YES — pull CardHedger",""))</f>
        <v/>
      </c>
    </row>
    <row r="3270" spans="1:10" x14ac:dyDescent="0.2">
      <c r="A3270">
        <v>227241208586</v>
      </c>
      <c r="B3270" t="s">
        <v>7097</v>
      </c>
      <c r="C3270" t="s">
        <v>7098</v>
      </c>
      <c r="D3270">
        <v>0.99</v>
      </c>
      <c r="F3270" t="str">
        <f t="shared" si="255"/>
        <v>No</v>
      </c>
      <c r="G3270" t="str">
        <f t="shared" si="256"/>
        <v/>
      </c>
      <c r="H3270" t="str">
        <f t="shared" si="257"/>
        <v>—</v>
      </c>
      <c r="I3270" t="str">
        <f t="shared" si="258"/>
        <v>Below thresholds</v>
      </c>
      <c r="J3270" t="str">
        <f t="shared" si="259"/>
        <v/>
      </c>
    </row>
    <row r="3271" spans="1:10" x14ac:dyDescent="0.2">
      <c r="A3271">
        <v>227241208642</v>
      </c>
      <c r="B3271" t="s">
        <v>7099</v>
      </c>
      <c r="C3271" t="s">
        <v>7100</v>
      </c>
      <c r="D3271">
        <v>1.99</v>
      </c>
      <c r="F3271" t="str">
        <f t="shared" si="255"/>
        <v>No</v>
      </c>
      <c r="G3271" t="str">
        <f t="shared" si="256"/>
        <v/>
      </c>
      <c r="H3271" t="str">
        <f t="shared" si="257"/>
        <v>—</v>
      </c>
      <c r="I3271" t="str">
        <f t="shared" si="258"/>
        <v>Below thresholds</v>
      </c>
      <c r="J3271" t="str">
        <f t="shared" si="259"/>
        <v/>
      </c>
    </row>
    <row r="3272" spans="1:10" x14ac:dyDescent="0.2">
      <c r="A3272">
        <v>227241208683</v>
      </c>
      <c r="B3272" t="s">
        <v>7101</v>
      </c>
      <c r="C3272" t="s">
        <v>7102</v>
      </c>
      <c r="D3272">
        <v>2.4500000000000002</v>
      </c>
      <c r="F3272" t="str">
        <f t="shared" si="255"/>
        <v>No</v>
      </c>
      <c r="G3272" t="str">
        <f t="shared" si="256"/>
        <v/>
      </c>
      <c r="H3272" t="str">
        <f t="shared" si="257"/>
        <v>—</v>
      </c>
      <c r="I3272" t="str">
        <f t="shared" si="258"/>
        <v>Below thresholds</v>
      </c>
      <c r="J3272" t="str">
        <f t="shared" si="259"/>
        <v/>
      </c>
    </row>
    <row r="3273" spans="1:10" x14ac:dyDescent="0.2">
      <c r="A3273">
        <v>227241237606</v>
      </c>
      <c r="B3273" t="s">
        <v>7103</v>
      </c>
      <c r="C3273" t="s">
        <v>7104</v>
      </c>
      <c r="D3273">
        <v>12.85</v>
      </c>
      <c r="F3273" t="str">
        <f t="shared" si="255"/>
        <v>No</v>
      </c>
      <c r="G3273" t="str">
        <f t="shared" si="256"/>
        <v/>
      </c>
      <c r="H3273" t="str">
        <f t="shared" si="257"/>
        <v>—</v>
      </c>
      <c r="I3273" t="str">
        <f t="shared" si="258"/>
        <v>Below thresholds</v>
      </c>
      <c r="J3273" t="str">
        <f t="shared" si="259"/>
        <v/>
      </c>
    </row>
    <row r="3274" spans="1:10" x14ac:dyDescent="0.2">
      <c r="A3274">
        <v>227242367799</v>
      </c>
      <c r="B3274" t="s">
        <v>7105</v>
      </c>
      <c r="C3274" t="s">
        <v>7106</v>
      </c>
      <c r="D3274">
        <v>1.25</v>
      </c>
      <c r="F3274" t="str">
        <f t="shared" si="255"/>
        <v>No</v>
      </c>
      <c r="G3274" t="str">
        <f t="shared" si="256"/>
        <v/>
      </c>
      <c r="H3274" t="str">
        <f t="shared" si="257"/>
        <v>—</v>
      </c>
      <c r="I3274" t="str">
        <f t="shared" si="258"/>
        <v>Below thresholds</v>
      </c>
      <c r="J3274" t="str">
        <f t="shared" si="259"/>
        <v/>
      </c>
    </row>
    <row r="3275" spans="1:10" x14ac:dyDescent="0.2">
      <c r="A3275">
        <v>227242367855</v>
      </c>
      <c r="B3275" t="s">
        <v>7107</v>
      </c>
      <c r="C3275" t="s">
        <v>7108</v>
      </c>
      <c r="D3275">
        <v>4.99</v>
      </c>
      <c r="F3275" t="str">
        <f t="shared" si="255"/>
        <v>No</v>
      </c>
      <c r="G3275" t="str">
        <f t="shared" si="256"/>
        <v/>
      </c>
      <c r="H3275" t="str">
        <f t="shared" si="257"/>
        <v>—</v>
      </c>
      <c r="I3275" t="str">
        <f t="shared" si="258"/>
        <v>Below thresholds</v>
      </c>
      <c r="J3275" t="str">
        <f t="shared" si="259"/>
        <v/>
      </c>
    </row>
    <row r="3276" spans="1:10" x14ac:dyDescent="0.2">
      <c r="A3276">
        <v>227242367923</v>
      </c>
      <c r="B3276" t="s">
        <v>7109</v>
      </c>
      <c r="C3276" t="s">
        <v>7110</v>
      </c>
      <c r="D3276">
        <v>1.49</v>
      </c>
      <c r="F3276" t="str">
        <f t="shared" si="255"/>
        <v>No</v>
      </c>
      <c r="G3276" t="str">
        <f t="shared" si="256"/>
        <v/>
      </c>
      <c r="H3276" t="str">
        <f t="shared" si="257"/>
        <v>—</v>
      </c>
      <c r="I3276" t="str">
        <f t="shared" si="258"/>
        <v>Below thresholds</v>
      </c>
      <c r="J3276" t="str">
        <f t="shared" si="259"/>
        <v/>
      </c>
    </row>
    <row r="3277" spans="1:10" x14ac:dyDescent="0.2">
      <c r="A3277">
        <v>227242367928</v>
      </c>
      <c r="B3277" t="s">
        <v>7111</v>
      </c>
      <c r="C3277" t="s">
        <v>7112</v>
      </c>
      <c r="D3277">
        <v>1.49</v>
      </c>
      <c r="F3277" t="str">
        <f t="shared" si="255"/>
        <v>No</v>
      </c>
      <c r="G3277" t="str">
        <f t="shared" si="256"/>
        <v/>
      </c>
      <c r="H3277" t="str">
        <f t="shared" si="257"/>
        <v>—</v>
      </c>
      <c r="I3277" t="str">
        <f t="shared" si="258"/>
        <v>Below thresholds</v>
      </c>
      <c r="J3277" t="str">
        <f t="shared" si="259"/>
        <v/>
      </c>
    </row>
    <row r="3278" spans="1:10" x14ac:dyDescent="0.2">
      <c r="A3278">
        <v>227242367991</v>
      </c>
      <c r="B3278" t="s">
        <v>7113</v>
      </c>
      <c r="C3278" t="s">
        <v>7114</v>
      </c>
      <c r="D3278">
        <v>1.99</v>
      </c>
      <c r="F3278" t="str">
        <f t="shared" si="255"/>
        <v>No</v>
      </c>
      <c r="G3278" t="str">
        <f t="shared" si="256"/>
        <v/>
      </c>
      <c r="H3278" t="str">
        <f t="shared" si="257"/>
        <v>—</v>
      </c>
      <c r="I3278" t="str">
        <f t="shared" si="258"/>
        <v>Below thresholds</v>
      </c>
      <c r="J3278" t="str">
        <f t="shared" si="259"/>
        <v/>
      </c>
    </row>
    <row r="3279" spans="1:10" x14ac:dyDescent="0.2">
      <c r="A3279">
        <v>227242368094</v>
      </c>
      <c r="B3279" t="s">
        <v>7115</v>
      </c>
      <c r="C3279" t="s">
        <v>7116</v>
      </c>
      <c r="D3279">
        <v>1.99</v>
      </c>
      <c r="F3279" t="str">
        <f t="shared" si="255"/>
        <v>No</v>
      </c>
      <c r="G3279" t="str">
        <f t="shared" si="256"/>
        <v/>
      </c>
      <c r="H3279" t="str">
        <f t="shared" si="257"/>
        <v>—</v>
      </c>
      <c r="I3279" t="str">
        <f t="shared" si="258"/>
        <v>Below thresholds</v>
      </c>
      <c r="J3279" t="str">
        <f t="shared" si="259"/>
        <v/>
      </c>
    </row>
    <row r="3280" spans="1:10" x14ac:dyDescent="0.2">
      <c r="A3280">
        <v>227242368110</v>
      </c>
      <c r="B3280" t="s">
        <v>7117</v>
      </c>
      <c r="C3280" t="s">
        <v>7118</v>
      </c>
      <c r="D3280">
        <v>1.69</v>
      </c>
      <c r="F3280" t="str">
        <f t="shared" si="255"/>
        <v>No</v>
      </c>
      <c r="G3280" t="str">
        <f t="shared" si="256"/>
        <v/>
      </c>
      <c r="H3280" t="str">
        <f t="shared" si="257"/>
        <v>—</v>
      </c>
      <c r="I3280" t="str">
        <f t="shared" si="258"/>
        <v>Below thresholds</v>
      </c>
      <c r="J3280" t="str">
        <f t="shared" si="259"/>
        <v/>
      </c>
    </row>
    <row r="3281" spans="1:10" x14ac:dyDescent="0.2">
      <c r="A3281">
        <v>227242376880</v>
      </c>
      <c r="B3281" t="s">
        <v>7119</v>
      </c>
      <c r="C3281" t="s">
        <v>7120</v>
      </c>
      <c r="D3281">
        <v>1.99</v>
      </c>
      <c r="F3281" t="str">
        <f t="shared" si="255"/>
        <v>No</v>
      </c>
      <c r="G3281" t="str">
        <f t="shared" si="256"/>
        <v/>
      </c>
      <c r="H3281" t="str">
        <f t="shared" si="257"/>
        <v>—</v>
      </c>
      <c r="I3281" t="str">
        <f t="shared" si="258"/>
        <v>Below thresholds</v>
      </c>
      <c r="J3281" t="str">
        <f t="shared" si="259"/>
        <v/>
      </c>
    </row>
    <row r="3282" spans="1:10" x14ac:dyDescent="0.2">
      <c r="A3282">
        <v>227242376881</v>
      </c>
      <c r="B3282" t="s">
        <v>7121</v>
      </c>
      <c r="C3282" t="s">
        <v>7122</v>
      </c>
      <c r="D3282">
        <v>2.99</v>
      </c>
      <c r="F3282" t="str">
        <f t="shared" si="255"/>
        <v>No</v>
      </c>
      <c r="G3282" t="str">
        <f t="shared" si="256"/>
        <v/>
      </c>
      <c r="H3282" t="str">
        <f t="shared" si="257"/>
        <v>—</v>
      </c>
      <c r="I3282" t="str">
        <f t="shared" si="258"/>
        <v>Below thresholds</v>
      </c>
      <c r="J3282" t="str">
        <f t="shared" si="259"/>
        <v/>
      </c>
    </row>
    <row r="3283" spans="1:10" x14ac:dyDescent="0.2">
      <c r="A3283">
        <v>227242376936</v>
      </c>
      <c r="B3283" t="s">
        <v>7123</v>
      </c>
      <c r="C3283" t="s">
        <v>7124</v>
      </c>
      <c r="D3283">
        <v>4.5</v>
      </c>
      <c r="F3283" t="str">
        <f t="shared" si="255"/>
        <v>No</v>
      </c>
      <c r="G3283" t="str">
        <f t="shared" si="256"/>
        <v/>
      </c>
      <c r="H3283" t="str">
        <f t="shared" si="257"/>
        <v>—</v>
      </c>
      <c r="I3283" t="str">
        <f t="shared" si="258"/>
        <v>Below thresholds</v>
      </c>
      <c r="J3283" t="str">
        <f t="shared" si="259"/>
        <v/>
      </c>
    </row>
    <row r="3284" spans="1:10" x14ac:dyDescent="0.2">
      <c r="A3284">
        <v>227242376990</v>
      </c>
      <c r="B3284" t="s">
        <v>7125</v>
      </c>
      <c r="C3284" t="s">
        <v>7126</v>
      </c>
      <c r="D3284">
        <v>59.95</v>
      </c>
      <c r="F3284" t="str">
        <f t="shared" si="255"/>
        <v>No</v>
      </c>
      <c r="G3284" t="str">
        <f t="shared" si="256"/>
        <v/>
      </c>
      <c r="H3284" t="str">
        <f t="shared" si="257"/>
        <v>—</v>
      </c>
      <c r="I3284" t="str">
        <f t="shared" si="258"/>
        <v>$20+ — needs velocity check</v>
      </c>
      <c r="J3284" t="str">
        <f t="shared" si="259"/>
        <v>YES — pull CardHedger</v>
      </c>
    </row>
    <row r="3285" spans="1:10" x14ac:dyDescent="0.2">
      <c r="A3285">
        <v>227242377004</v>
      </c>
      <c r="B3285" t="s">
        <v>7127</v>
      </c>
      <c r="C3285" t="s">
        <v>7128</v>
      </c>
      <c r="D3285">
        <v>11.95</v>
      </c>
      <c r="F3285" t="str">
        <f t="shared" si="255"/>
        <v>No</v>
      </c>
      <c r="G3285" t="str">
        <f t="shared" si="256"/>
        <v/>
      </c>
      <c r="H3285" t="str">
        <f t="shared" si="257"/>
        <v>—</v>
      </c>
      <c r="I3285" t="str">
        <f t="shared" si="258"/>
        <v>Below thresholds</v>
      </c>
      <c r="J3285" t="str">
        <f t="shared" si="259"/>
        <v/>
      </c>
    </row>
    <row r="3286" spans="1:10" x14ac:dyDescent="0.2">
      <c r="A3286">
        <v>227242377049</v>
      </c>
      <c r="B3286" t="s">
        <v>7129</v>
      </c>
      <c r="C3286" t="s">
        <v>7130</v>
      </c>
      <c r="D3286">
        <v>1.99</v>
      </c>
      <c r="F3286" t="str">
        <f t="shared" si="255"/>
        <v>No</v>
      </c>
      <c r="G3286" t="str">
        <f t="shared" si="256"/>
        <v/>
      </c>
      <c r="H3286" t="str">
        <f t="shared" si="257"/>
        <v>—</v>
      </c>
      <c r="I3286" t="str">
        <f t="shared" si="258"/>
        <v>Below thresholds</v>
      </c>
      <c r="J3286" t="str">
        <f t="shared" si="259"/>
        <v/>
      </c>
    </row>
    <row r="3287" spans="1:10" x14ac:dyDescent="0.2">
      <c r="A3287">
        <v>227243818584</v>
      </c>
      <c r="B3287" t="s">
        <v>7131</v>
      </c>
      <c r="C3287" t="s">
        <v>7132</v>
      </c>
      <c r="D3287">
        <v>11.95</v>
      </c>
      <c r="F3287" t="str">
        <f t="shared" si="255"/>
        <v>No</v>
      </c>
      <c r="G3287" t="str">
        <f t="shared" si="256"/>
        <v/>
      </c>
      <c r="H3287" t="str">
        <f t="shared" si="257"/>
        <v>—</v>
      </c>
      <c r="I3287" t="str">
        <f t="shared" si="258"/>
        <v>Below thresholds</v>
      </c>
      <c r="J3287" t="str">
        <f t="shared" si="259"/>
        <v/>
      </c>
    </row>
    <row r="3288" spans="1:10" x14ac:dyDescent="0.2">
      <c r="A3288">
        <v>227243818641</v>
      </c>
      <c r="B3288" t="s">
        <v>7133</v>
      </c>
      <c r="C3288" t="s">
        <v>7134</v>
      </c>
      <c r="D3288">
        <v>5.99</v>
      </c>
      <c r="F3288" t="str">
        <f t="shared" si="255"/>
        <v>No</v>
      </c>
      <c r="G3288" t="str">
        <f t="shared" si="256"/>
        <v/>
      </c>
      <c r="H3288" t="str">
        <f t="shared" si="257"/>
        <v>—</v>
      </c>
      <c r="I3288" t="str">
        <f t="shared" si="258"/>
        <v>Below thresholds</v>
      </c>
      <c r="J3288" t="str">
        <f t="shared" si="259"/>
        <v/>
      </c>
    </row>
    <row r="3289" spans="1:10" x14ac:dyDescent="0.2">
      <c r="A3289">
        <v>227248077744</v>
      </c>
      <c r="B3289" t="s">
        <v>7135</v>
      </c>
      <c r="C3289" t="s">
        <v>7136</v>
      </c>
      <c r="D3289">
        <v>1.59</v>
      </c>
      <c r="F3289" t="str">
        <f t="shared" si="255"/>
        <v>No</v>
      </c>
      <c r="G3289" t="str">
        <f t="shared" si="256"/>
        <v/>
      </c>
      <c r="H3289" t="str">
        <f t="shared" si="257"/>
        <v>—</v>
      </c>
      <c r="I3289" t="str">
        <f t="shared" si="258"/>
        <v>Below thresholds</v>
      </c>
      <c r="J3289" t="str">
        <f t="shared" si="259"/>
        <v/>
      </c>
    </row>
    <row r="3290" spans="1:10" x14ac:dyDescent="0.2">
      <c r="A3290">
        <v>227248077991</v>
      </c>
      <c r="B3290" t="s">
        <v>7137</v>
      </c>
      <c r="C3290" t="s">
        <v>7138</v>
      </c>
      <c r="D3290">
        <v>1.99</v>
      </c>
      <c r="F3290" t="str">
        <f t="shared" si="255"/>
        <v>No</v>
      </c>
      <c r="G3290" t="str">
        <f t="shared" si="256"/>
        <v/>
      </c>
      <c r="H3290" t="str">
        <f t="shared" si="257"/>
        <v>—</v>
      </c>
      <c r="I3290" t="str">
        <f t="shared" si="258"/>
        <v>Below thresholds</v>
      </c>
      <c r="J3290" t="str">
        <f t="shared" si="259"/>
        <v/>
      </c>
    </row>
    <row r="3291" spans="1:10" x14ac:dyDescent="0.2">
      <c r="A3291">
        <v>227248078064</v>
      </c>
      <c r="B3291" t="s">
        <v>7139</v>
      </c>
      <c r="C3291" t="s">
        <v>7140</v>
      </c>
      <c r="D3291">
        <v>4.99</v>
      </c>
      <c r="F3291" t="str">
        <f t="shared" si="255"/>
        <v>No</v>
      </c>
      <c r="G3291" t="str">
        <f t="shared" si="256"/>
        <v/>
      </c>
      <c r="H3291" t="str">
        <f t="shared" si="257"/>
        <v>—</v>
      </c>
      <c r="I3291" t="str">
        <f t="shared" si="258"/>
        <v>Below thresholds</v>
      </c>
      <c r="J3291" t="str">
        <f t="shared" si="259"/>
        <v/>
      </c>
    </row>
    <row r="3292" spans="1:10" x14ac:dyDescent="0.2">
      <c r="A3292">
        <v>227248078121</v>
      </c>
      <c r="B3292" t="s">
        <v>7141</v>
      </c>
      <c r="C3292" t="s">
        <v>7142</v>
      </c>
      <c r="D3292">
        <v>1.25</v>
      </c>
      <c r="F3292" t="str">
        <f t="shared" si="255"/>
        <v>No</v>
      </c>
      <c r="G3292" t="str">
        <f t="shared" si="256"/>
        <v/>
      </c>
      <c r="H3292" t="str">
        <f t="shared" si="257"/>
        <v>—</v>
      </c>
      <c r="I3292" t="str">
        <f t="shared" si="258"/>
        <v>Below thresholds</v>
      </c>
      <c r="J3292" t="str">
        <f t="shared" si="259"/>
        <v/>
      </c>
    </row>
    <row r="3293" spans="1:10" x14ac:dyDescent="0.2">
      <c r="A3293">
        <v>227248079056</v>
      </c>
      <c r="B3293" t="s">
        <v>7143</v>
      </c>
      <c r="C3293" t="s">
        <v>7144</v>
      </c>
      <c r="D3293">
        <v>1.55</v>
      </c>
      <c r="F3293" t="str">
        <f t="shared" si="255"/>
        <v>No</v>
      </c>
      <c r="G3293" t="str">
        <f t="shared" si="256"/>
        <v/>
      </c>
      <c r="H3293" t="str">
        <f t="shared" si="257"/>
        <v>—</v>
      </c>
      <c r="I3293" t="str">
        <f t="shared" si="258"/>
        <v>Below thresholds</v>
      </c>
      <c r="J3293" t="str">
        <f t="shared" si="259"/>
        <v/>
      </c>
    </row>
    <row r="3294" spans="1:10" x14ac:dyDescent="0.2">
      <c r="A3294">
        <v>227249254812</v>
      </c>
      <c r="B3294" t="s">
        <v>7145</v>
      </c>
      <c r="C3294" t="s">
        <v>7146</v>
      </c>
      <c r="D3294">
        <v>10</v>
      </c>
      <c r="F3294" t="str">
        <f t="shared" si="255"/>
        <v>No</v>
      </c>
      <c r="G3294" t="str">
        <f t="shared" si="256"/>
        <v/>
      </c>
      <c r="H3294" t="str">
        <f t="shared" si="257"/>
        <v>—</v>
      </c>
      <c r="I3294" t="str">
        <f t="shared" si="258"/>
        <v>Below thresholds</v>
      </c>
      <c r="J3294" t="str">
        <f t="shared" si="259"/>
        <v/>
      </c>
    </row>
    <row r="3295" spans="1:10" x14ac:dyDescent="0.2">
      <c r="A3295">
        <v>227249254837</v>
      </c>
      <c r="B3295" t="s">
        <v>7147</v>
      </c>
      <c r="C3295" t="s">
        <v>7148</v>
      </c>
      <c r="D3295">
        <v>18.989999999999998</v>
      </c>
      <c r="F3295" t="str">
        <f t="shared" si="255"/>
        <v>No</v>
      </c>
      <c r="G3295" t="str">
        <f t="shared" si="256"/>
        <v/>
      </c>
      <c r="H3295" t="str">
        <f t="shared" si="257"/>
        <v>—</v>
      </c>
      <c r="I3295" t="str">
        <f t="shared" si="258"/>
        <v>Below thresholds</v>
      </c>
      <c r="J3295" t="str">
        <f t="shared" si="259"/>
        <v/>
      </c>
    </row>
    <row r="3296" spans="1:10" x14ac:dyDescent="0.2">
      <c r="A3296">
        <v>227249254903</v>
      </c>
      <c r="B3296" t="s">
        <v>7149</v>
      </c>
      <c r="C3296" t="s">
        <v>7150</v>
      </c>
      <c r="D3296">
        <v>4.49</v>
      </c>
      <c r="F3296" t="str">
        <f t="shared" si="255"/>
        <v>No</v>
      </c>
      <c r="G3296" t="str">
        <f t="shared" si="256"/>
        <v/>
      </c>
      <c r="H3296" t="str">
        <f t="shared" si="257"/>
        <v>—</v>
      </c>
      <c r="I3296" t="str">
        <f t="shared" si="258"/>
        <v>Below thresholds</v>
      </c>
      <c r="J3296" t="str">
        <f t="shared" si="259"/>
        <v/>
      </c>
    </row>
    <row r="3297" spans="1:10" x14ac:dyDescent="0.2">
      <c r="A3297">
        <v>227249254914</v>
      </c>
      <c r="B3297" t="s">
        <v>7151</v>
      </c>
      <c r="C3297" t="s">
        <v>7152</v>
      </c>
      <c r="D3297">
        <v>0.99</v>
      </c>
      <c r="F3297" t="str">
        <f t="shared" si="255"/>
        <v>No</v>
      </c>
      <c r="G3297" t="str">
        <f t="shared" si="256"/>
        <v/>
      </c>
      <c r="H3297" t="str">
        <f t="shared" si="257"/>
        <v>—</v>
      </c>
      <c r="I3297" t="str">
        <f t="shared" si="258"/>
        <v>Below thresholds</v>
      </c>
      <c r="J3297" t="str">
        <f t="shared" si="259"/>
        <v/>
      </c>
    </row>
    <row r="3298" spans="1:10" x14ac:dyDescent="0.2">
      <c r="A3298">
        <v>227249254918</v>
      </c>
      <c r="B3298" t="s">
        <v>7153</v>
      </c>
      <c r="C3298" t="s">
        <v>7154</v>
      </c>
      <c r="D3298">
        <v>2.25</v>
      </c>
      <c r="F3298" t="str">
        <f t="shared" si="255"/>
        <v>No</v>
      </c>
      <c r="G3298" t="str">
        <f t="shared" si="256"/>
        <v/>
      </c>
      <c r="H3298" t="str">
        <f t="shared" si="257"/>
        <v>—</v>
      </c>
      <c r="I3298" t="str">
        <f t="shared" si="258"/>
        <v>Below thresholds</v>
      </c>
      <c r="J3298" t="str">
        <f t="shared" si="259"/>
        <v/>
      </c>
    </row>
    <row r="3299" spans="1:10" x14ac:dyDescent="0.2">
      <c r="A3299">
        <v>227249254919</v>
      </c>
      <c r="B3299" t="s">
        <v>7155</v>
      </c>
      <c r="C3299" t="s">
        <v>7156</v>
      </c>
      <c r="D3299">
        <v>2.19</v>
      </c>
      <c r="F3299" t="str">
        <f t="shared" si="255"/>
        <v>No</v>
      </c>
      <c r="G3299" t="str">
        <f t="shared" si="256"/>
        <v/>
      </c>
      <c r="H3299" t="str">
        <f t="shared" si="257"/>
        <v>—</v>
      </c>
      <c r="I3299" t="str">
        <f t="shared" si="258"/>
        <v>Below thresholds</v>
      </c>
      <c r="J3299" t="str">
        <f t="shared" si="259"/>
        <v/>
      </c>
    </row>
    <row r="3300" spans="1:10" x14ac:dyDescent="0.2">
      <c r="A3300">
        <v>227249254920</v>
      </c>
      <c r="B3300" t="s">
        <v>7157</v>
      </c>
      <c r="C3300" t="s">
        <v>7158</v>
      </c>
      <c r="D3300">
        <v>2.79</v>
      </c>
      <c r="F3300" t="str">
        <f t="shared" si="255"/>
        <v>No</v>
      </c>
      <c r="G3300" t="str">
        <f t="shared" si="256"/>
        <v/>
      </c>
      <c r="H3300" t="str">
        <f t="shared" si="257"/>
        <v>—</v>
      </c>
      <c r="I3300" t="str">
        <f t="shared" si="258"/>
        <v>Below thresholds</v>
      </c>
      <c r="J3300" t="str">
        <f t="shared" si="259"/>
        <v/>
      </c>
    </row>
    <row r="3301" spans="1:10" x14ac:dyDescent="0.2">
      <c r="A3301">
        <v>227249254928</v>
      </c>
      <c r="B3301" t="s">
        <v>7159</v>
      </c>
      <c r="C3301" t="s">
        <v>7160</v>
      </c>
      <c r="D3301">
        <v>2</v>
      </c>
      <c r="F3301" t="str">
        <f t="shared" si="255"/>
        <v>No</v>
      </c>
      <c r="G3301" t="str">
        <f t="shared" si="256"/>
        <v/>
      </c>
      <c r="H3301" t="str">
        <f t="shared" si="257"/>
        <v>—</v>
      </c>
      <c r="I3301" t="str">
        <f t="shared" si="258"/>
        <v>Below thresholds</v>
      </c>
      <c r="J3301" t="str">
        <f t="shared" si="259"/>
        <v/>
      </c>
    </row>
    <row r="3302" spans="1:10" x14ac:dyDescent="0.2">
      <c r="A3302">
        <v>227249254934</v>
      </c>
      <c r="B3302" t="s">
        <v>7161</v>
      </c>
      <c r="C3302" t="s">
        <v>7162</v>
      </c>
      <c r="D3302">
        <v>4.99</v>
      </c>
      <c r="F3302" t="str">
        <f t="shared" si="255"/>
        <v>No</v>
      </c>
      <c r="G3302" t="str">
        <f t="shared" si="256"/>
        <v/>
      </c>
      <c r="H3302" t="str">
        <f t="shared" si="257"/>
        <v>—</v>
      </c>
      <c r="I3302" t="str">
        <f t="shared" si="258"/>
        <v>Below thresholds</v>
      </c>
      <c r="J3302" t="str">
        <f t="shared" si="259"/>
        <v/>
      </c>
    </row>
    <row r="3303" spans="1:10" x14ac:dyDescent="0.2">
      <c r="A3303">
        <v>227249254944</v>
      </c>
      <c r="B3303" t="s">
        <v>7163</v>
      </c>
      <c r="C3303" t="s">
        <v>7164</v>
      </c>
      <c r="D3303">
        <v>1.99</v>
      </c>
      <c r="F3303" t="str">
        <f t="shared" si="255"/>
        <v>No</v>
      </c>
      <c r="G3303" t="str">
        <f t="shared" si="256"/>
        <v/>
      </c>
      <c r="H3303" t="str">
        <f t="shared" si="257"/>
        <v>—</v>
      </c>
      <c r="I3303" t="str">
        <f t="shared" si="258"/>
        <v>Below thresholds</v>
      </c>
      <c r="J3303" t="str">
        <f t="shared" si="259"/>
        <v/>
      </c>
    </row>
    <row r="3304" spans="1:10" x14ac:dyDescent="0.2">
      <c r="A3304">
        <v>227249254976</v>
      </c>
      <c r="B3304" t="s">
        <v>7165</v>
      </c>
      <c r="C3304" t="s">
        <v>7166</v>
      </c>
      <c r="D3304">
        <v>1</v>
      </c>
      <c r="F3304" t="str">
        <f t="shared" si="255"/>
        <v>No</v>
      </c>
      <c r="G3304" t="str">
        <f t="shared" si="256"/>
        <v/>
      </c>
      <c r="H3304" t="str">
        <f t="shared" si="257"/>
        <v>—</v>
      </c>
      <c r="I3304" t="str">
        <f t="shared" si="258"/>
        <v>Below thresholds</v>
      </c>
      <c r="J3304" t="str">
        <f t="shared" si="259"/>
        <v/>
      </c>
    </row>
    <row r="3305" spans="1:10" x14ac:dyDescent="0.2">
      <c r="A3305">
        <v>227256249656</v>
      </c>
      <c r="B3305" t="s">
        <v>7167</v>
      </c>
      <c r="C3305" t="s">
        <v>7168</v>
      </c>
      <c r="D3305">
        <v>4</v>
      </c>
      <c r="F3305" t="str">
        <f t="shared" si="255"/>
        <v>No</v>
      </c>
      <c r="G3305" t="str">
        <f t="shared" si="256"/>
        <v/>
      </c>
      <c r="H3305" t="str">
        <f t="shared" si="257"/>
        <v>—</v>
      </c>
      <c r="I3305" t="str">
        <f t="shared" si="258"/>
        <v>Below thresholds</v>
      </c>
      <c r="J3305" t="str">
        <f t="shared" si="259"/>
        <v/>
      </c>
    </row>
    <row r="3306" spans="1:10" x14ac:dyDescent="0.2">
      <c r="A3306">
        <v>227256249659</v>
      </c>
      <c r="B3306" t="s">
        <v>7169</v>
      </c>
      <c r="C3306" t="s">
        <v>7170</v>
      </c>
      <c r="D3306">
        <v>3.99</v>
      </c>
      <c r="F3306" t="str">
        <f t="shared" si="255"/>
        <v>No</v>
      </c>
      <c r="G3306" t="str">
        <f t="shared" si="256"/>
        <v/>
      </c>
      <c r="H3306" t="str">
        <f t="shared" si="257"/>
        <v>—</v>
      </c>
      <c r="I3306" t="str">
        <f t="shared" si="258"/>
        <v>Below thresholds</v>
      </c>
      <c r="J3306" t="str">
        <f t="shared" si="259"/>
        <v/>
      </c>
    </row>
    <row r="3307" spans="1:10" x14ac:dyDescent="0.2">
      <c r="A3307">
        <v>227256249722</v>
      </c>
      <c r="B3307" t="s">
        <v>7171</v>
      </c>
      <c r="C3307" t="s">
        <v>7172</v>
      </c>
      <c r="D3307">
        <v>1.5</v>
      </c>
      <c r="F3307" t="str">
        <f t="shared" si="255"/>
        <v>No</v>
      </c>
      <c r="G3307" t="str">
        <f t="shared" si="256"/>
        <v/>
      </c>
      <c r="H3307" t="str">
        <f t="shared" si="257"/>
        <v>—</v>
      </c>
      <c r="I3307" t="str">
        <f t="shared" si="258"/>
        <v>Below thresholds</v>
      </c>
      <c r="J3307" t="str">
        <f t="shared" si="259"/>
        <v/>
      </c>
    </row>
    <row r="3308" spans="1:10" x14ac:dyDescent="0.2">
      <c r="A3308">
        <v>227256249732</v>
      </c>
      <c r="B3308" t="s">
        <v>7173</v>
      </c>
      <c r="C3308" t="s">
        <v>7174</v>
      </c>
      <c r="D3308">
        <v>2.5</v>
      </c>
      <c r="F3308" t="str">
        <f t="shared" si="255"/>
        <v>No</v>
      </c>
      <c r="G3308" t="str">
        <f t="shared" si="256"/>
        <v/>
      </c>
      <c r="H3308" t="str">
        <f t="shared" si="257"/>
        <v>—</v>
      </c>
      <c r="I3308" t="str">
        <f t="shared" si="258"/>
        <v>Below thresholds</v>
      </c>
      <c r="J3308" t="str">
        <f t="shared" si="259"/>
        <v/>
      </c>
    </row>
    <row r="3309" spans="1:10" x14ac:dyDescent="0.2">
      <c r="A3309">
        <v>227256249865</v>
      </c>
      <c r="B3309" t="s">
        <v>7175</v>
      </c>
      <c r="C3309" t="s">
        <v>7176</v>
      </c>
      <c r="D3309">
        <v>2.79</v>
      </c>
      <c r="F3309" t="str">
        <f t="shared" si="255"/>
        <v>No</v>
      </c>
      <c r="G3309" t="str">
        <f t="shared" si="256"/>
        <v/>
      </c>
      <c r="H3309" t="str">
        <f t="shared" si="257"/>
        <v>—</v>
      </c>
      <c r="I3309" t="str">
        <f t="shared" si="258"/>
        <v>Below thresholds</v>
      </c>
      <c r="J3309" t="str">
        <f t="shared" si="259"/>
        <v/>
      </c>
    </row>
    <row r="3310" spans="1:10" x14ac:dyDescent="0.2">
      <c r="A3310">
        <v>227256249956</v>
      </c>
      <c r="B3310" t="s">
        <v>283</v>
      </c>
      <c r="C3310" t="s">
        <v>7177</v>
      </c>
      <c r="D3310">
        <v>2.25</v>
      </c>
      <c r="F3310" t="str">
        <f t="shared" si="255"/>
        <v>No</v>
      </c>
      <c r="G3310" t="str">
        <f t="shared" si="256"/>
        <v/>
      </c>
      <c r="H3310" t="str">
        <f t="shared" si="257"/>
        <v>—</v>
      </c>
      <c r="I3310" t="str">
        <f t="shared" si="258"/>
        <v>Below thresholds</v>
      </c>
      <c r="J3310" t="str">
        <f t="shared" si="259"/>
        <v/>
      </c>
    </row>
    <row r="3311" spans="1:10" x14ac:dyDescent="0.2">
      <c r="A3311">
        <v>227256250023</v>
      </c>
      <c r="B3311" t="s">
        <v>7178</v>
      </c>
      <c r="C3311" t="s">
        <v>7179</v>
      </c>
      <c r="D3311">
        <v>2.99</v>
      </c>
      <c r="F3311" t="str">
        <f t="shared" si="255"/>
        <v>No</v>
      </c>
      <c r="G3311" t="str">
        <f t="shared" si="256"/>
        <v/>
      </c>
      <c r="H3311" t="str">
        <f t="shared" si="257"/>
        <v>—</v>
      </c>
      <c r="I3311" t="str">
        <f t="shared" si="258"/>
        <v>Below thresholds</v>
      </c>
      <c r="J3311" t="str">
        <f t="shared" si="259"/>
        <v/>
      </c>
    </row>
    <row r="3312" spans="1:10" x14ac:dyDescent="0.2">
      <c r="A3312">
        <v>227256250060</v>
      </c>
      <c r="B3312" t="s">
        <v>7180</v>
      </c>
      <c r="C3312" t="s">
        <v>7181</v>
      </c>
      <c r="D3312">
        <v>2.4500000000000002</v>
      </c>
      <c r="F3312" t="str">
        <f t="shared" si="255"/>
        <v>No</v>
      </c>
      <c r="G3312" t="str">
        <f t="shared" si="256"/>
        <v/>
      </c>
      <c r="H3312" t="str">
        <f t="shared" si="257"/>
        <v>—</v>
      </c>
      <c r="I3312" t="str">
        <f t="shared" si="258"/>
        <v>Below thresholds</v>
      </c>
      <c r="J3312" t="str">
        <f t="shared" si="259"/>
        <v/>
      </c>
    </row>
    <row r="3313" spans="1:10" x14ac:dyDescent="0.2">
      <c r="A3313">
        <v>227256250106</v>
      </c>
      <c r="B3313" t="s">
        <v>7182</v>
      </c>
      <c r="C3313" t="s">
        <v>7183</v>
      </c>
      <c r="D3313">
        <v>1.74</v>
      </c>
      <c r="F3313" t="str">
        <f t="shared" si="255"/>
        <v>No</v>
      </c>
      <c r="G3313" t="str">
        <f t="shared" si="256"/>
        <v/>
      </c>
      <c r="H3313" t="str">
        <f t="shared" si="257"/>
        <v>—</v>
      </c>
      <c r="I3313" t="str">
        <f t="shared" si="258"/>
        <v>Below thresholds</v>
      </c>
      <c r="J3313" t="str">
        <f t="shared" si="259"/>
        <v/>
      </c>
    </row>
    <row r="3314" spans="1:10" x14ac:dyDescent="0.2">
      <c r="A3314">
        <v>227256250131</v>
      </c>
      <c r="B3314" t="s">
        <v>7184</v>
      </c>
      <c r="C3314" t="s">
        <v>7185</v>
      </c>
      <c r="D3314">
        <v>1.99</v>
      </c>
      <c r="F3314" t="str">
        <f t="shared" si="255"/>
        <v>No</v>
      </c>
      <c r="G3314" t="str">
        <f t="shared" si="256"/>
        <v/>
      </c>
      <c r="H3314" t="str">
        <f t="shared" si="257"/>
        <v>—</v>
      </c>
      <c r="I3314" t="str">
        <f t="shared" si="258"/>
        <v>Below thresholds</v>
      </c>
      <c r="J3314" t="str">
        <f t="shared" si="259"/>
        <v/>
      </c>
    </row>
    <row r="3315" spans="1:10" x14ac:dyDescent="0.2">
      <c r="A3315">
        <v>227256250195</v>
      </c>
      <c r="B3315" t="s">
        <v>7186</v>
      </c>
      <c r="C3315" t="s">
        <v>7187</v>
      </c>
      <c r="D3315">
        <v>2.39</v>
      </c>
      <c r="F3315" t="str">
        <f t="shared" si="255"/>
        <v>No</v>
      </c>
      <c r="G3315" t="str">
        <f t="shared" si="256"/>
        <v/>
      </c>
      <c r="H3315" t="str">
        <f t="shared" si="257"/>
        <v>—</v>
      </c>
      <c r="I3315" t="str">
        <f t="shared" si="258"/>
        <v>Below thresholds</v>
      </c>
      <c r="J3315" t="str">
        <f t="shared" si="259"/>
        <v/>
      </c>
    </row>
    <row r="3316" spans="1:10" x14ac:dyDescent="0.2">
      <c r="A3316">
        <v>227256250257</v>
      </c>
      <c r="B3316" t="s">
        <v>7188</v>
      </c>
      <c r="C3316" t="s">
        <v>7189</v>
      </c>
      <c r="D3316">
        <v>4</v>
      </c>
      <c r="F3316" t="str">
        <f t="shared" si="255"/>
        <v>No</v>
      </c>
      <c r="G3316" t="str">
        <f t="shared" si="256"/>
        <v/>
      </c>
      <c r="H3316" t="str">
        <f t="shared" si="257"/>
        <v>—</v>
      </c>
      <c r="I3316" t="str">
        <f t="shared" si="258"/>
        <v>Below thresholds</v>
      </c>
      <c r="J3316" t="str">
        <f t="shared" si="259"/>
        <v/>
      </c>
    </row>
    <row r="3317" spans="1:10" x14ac:dyDescent="0.2">
      <c r="A3317">
        <v>227256250288</v>
      </c>
      <c r="B3317" t="s">
        <v>7190</v>
      </c>
      <c r="C3317" t="s">
        <v>7191</v>
      </c>
      <c r="D3317">
        <v>1.5</v>
      </c>
      <c r="F3317" t="str">
        <f t="shared" si="255"/>
        <v>No</v>
      </c>
      <c r="G3317" t="str">
        <f t="shared" si="256"/>
        <v/>
      </c>
      <c r="H3317" t="str">
        <f t="shared" si="257"/>
        <v>—</v>
      </c>
      <c r="I3317" t="str">
        <f t="shared" si="258"/>
        <v>Below thresholds</v>
      </c>
      <c r="J3317" t="str">
        <f t="shared" si="259"/>
        <v/>
      </c>
    </row>
    <row r="3318" spans="1:10" x14ac:dyDescent="0.2">
      <c r="A3318">
        <v>227256250401</v>
      </c>
      <c r="B3318" t="s">
        <v>7192</v>
      </c>
      <c r="C3318" t="s">
        <v>7193</v>
      </c>
      <c r="D3318">
        <v>2.59</v>
      </c>
      <c r="F3318" t="str">
        <f t="shared" si="255"/>
        <v>No</v>
      </c>
      <c r="G3318" t="str">
        <f t="shared" si="256"/>
        <v/>
      </c>
      <c r="H3318" t="str">
        <f t="shared" si="257"/>
        <v>—</v>
      </c>
      <c r="I3318" t="str">
        <f t="shared" si="258"/>
        <v>Below thresholds</v>
      </c>
      <c r="J3318" t="str">
        <f t="shared" si="259"/>
        <v/>
      </c>
    </row>
    <row r="3319" spans="1:10" x14ac:dyDescent="0.2">
      <c r="A3319">
        <v>227256250601</v>
      </c>
      <c r="B3319" t="s">
        <v>7194</v>
      </c>
      <c r="C3319" t="s">
        <v>7195</v>
      </c>
      <c r="D3319">
        <v>1.5</v>
      </c>
      <c r="F3319" t="str">
        <f t="shared" si="255"/>
        <v>No</v>
      </c>
      <c r="G3319" t="str">
        <f t="shared" si="256"/>
        <v/>
      </c>
      <c r="H3319" t="str">
        <f t="shared" si="257"/>
        <v>—</v>
      </c>
      <c r="I3319" t="str">
        <f t="shared" si="258"/>
        <v>Below thresholds</v>
      </c>
      <c r="J3319" t="str">
        <f t="shared" si="259"/>
        <v/>
      </c>
    </row>
    <row r="3320" spans="1:10" x14ac:dyDescent="0.2">
      <c r="A3320">
        <v>227256250610</v>
      </c>
      <c r="B3320" t="s">
        <v>7196</v>
      </c>
      <c r="C3320" t="s">
        <v>7197</v>
      </c>
      <c r="D3320">
        <v>2</v>
      </c>
      <c r="F3320" t="str">
        <f t="shared" si="255"/>
        <v>No</v>
      </c>
      <c r="G3320" t="str">
        <f t="shared" si="256"/>
        <v/>
      </c>
      <c r="H3320" t="str">
        <f t="shared" si="257"/>
        <v>—</v>
      </c>
      <c r="I3320" t="str">
        <f t="shared" si="258"/>
        <v>Below thresholds</v>
      </c>
      <c r="J3320" t="str">
        <f t="shared" si="259"/>
        <v/>
      </c>
    </row>
    <row r="3321" spans="1:10" x14ac:dyDescent="0.2">
      <c r="A3321">
        <v>227256250642</v>
      </c>
      <c r="B3321" t="s">
        <v>7198</v>
      </c>
      <c r="C3321" t="s">
        <v>7199</v>
      </c>
      <c r="D3321">
        <v>2</v>
      </c>
      <c r="F3321" t="str">
        <f t="shared" si="255"/>
        <v>No</v>
      </c>
      <c r="G3321" t="str">
        <f t="shared" si="256"/>
        <v/>
      </c>
      <c r="H3321" t="str">
        <f t="shared" si="257"/>
        <v>—</v>
      </c>
      <c r="I3321" t="str">
        <f t="shared" si="258"/>
        <v>Below thresholds</v>
      </c>
      <c r="J3321" t="str">
        <f t="shared" si="259"/>
        <v/>
      </c>
    </row>
    <row r="3322" spans="1:10" x14ac:dyDescent="0.2">
      <c r="A3322">
        <v>227256250702</v>
      </c>
      <c r="B3322" t="s">
        <v>7200</v>
      </c>
      <c r="C3322" t="s">
        <v>7201</v>
      </c>
      <c r="D3322">
        <v>1.5</v>
      </c>
      <c r="F3322" t="str">
        <f t="shared" si="255"/>
        <v>No</v>
      </c>
      <c r="G3322" t="str">
        <f t="shared" si="256"/>
        <v/>
      </c>
      <c r="H3322" t="str">
        <f t="shared" si="257"/>
        <v>—</v>
      </c>
      <c r="I3322" t="str">
        <f t="shared" si="258"/>
        <v>Below thresholds</v>
      </c>
      <c r="J3322" t="str">
        <f t="shared" si="259"/>
        <v/>
      </c>
    </row>
    <row r="3323" spans="1:10" x14ac:dyDescent="0.2">
      <c r="A3323">
        <v>227256470956</v>
      </c>
      <c r="B3323" t="s">
        <v>7202</v>
      </c>
      <c r="C3323" t="s">
        <v>7203</v>
      </c>
      <c r="D3323">
        <v>1.79</v>
      </c>
      <c r="F3323" t="str">
        <f t="shared" si="255"/>
        <v>No</v>
      </c>
      <c r="G3323" t="str">
        <f t="shared" si="256"/>
        <v/>
      </c>
      <c r="H3323" t="str">
        <f t="shared" si="257"/>
        <v>—</v>
      </c>
      <c r="I3323" t="str">
        <f t="shared" si="258"/>
        <v>Below thresholds</v>
      </c>
      <c r="J3323" t="str">
        <f t="shared" si="259"/>
        <v/>
      </c>
    </row>
    <row r="3324" spans="1:10" x14ac:dyDescent="0.2">
      <c r="A3324">
        <v>227256471097</v>
      </c>
      <c r="B3324" t="s">
        <v>7204</v>
      </c>
      <c r="C3324" t="s">
        <v>7205</v>
      </c>
      <c r="D3324">
        <v>2.99</v>
      </c>
      <c r="F3324" t="str">
        <f t="shared" si="255"/>
        <v>No</v>
      </c>
      <c r="G3324" t="str">
        <f t="shared" si="256"/>
        <v/>
      </c>
      <c r="H3324" t="str">
        <f t="shared" si="257"/>
        <v>—</v>
      </c>
      <c r="I3324" t="str">
        <f t="shared" si="258"/>
        <v>Below thresholds</v>
      </c>
      <c r="J3324" t="str">
        <f t="shared" si="259"/>
        <v/>
      </c>
    </row>
    <row r="3325" spans="1:10" x14ac:dyDescent="0.2">
      <c r="A3325">
        <v>227256471187</v>
      </c>
      <c r="B3325" t="s">
        <v>7206</v>
      </c>
      <c r="C3325" t="s">
        <v>7207</v>
      </c>
      <c r="D3325">
        <v>14</v>
      </c>
      <c r="F3325" t="str">
        <f t="shared" si="255"/>
        <v>No</v>
      </c>
      <c r="G3325" t="str">
        <f t="shared" si="256"/>
        <v/>
      </c>
      <c r="H3325" t="str">
        <f t="shared" si="257"/>
        <v>—</v>
      </c>
      <c r="I3325" t="str">
        <f t="shared" si="258"/>
        <v>Below thresholds</v>
      </c>
      <c r="J3325" t="str">
        <f t="shared" si="259"/>
        <v/>
      </c>
    </row>
    <row r="3326" spans="1:10" x14ac:dyDescent="0.2">
      <c r="A3326">
        <v>227256471207</v>
      </c>
      <c r="B3326" t="s">
        <v>7208</v>
      </c>
      <c r="C3326" t="s">
        <v>7209</v>
      </c>
      <c r="D3326">
        <v>1.75</v>
      </c>
      <c r="F3326" t="str">
        <f t="shared" si="255"/>
        <v>No</v>
      </c>
      <c r="G3326" t="str">
        <f t="shared" si="256"/>
        <v/>
      </c>
      <c r="H3326" t="str">
        <f t="shared" si="257"/>
        <v>—</v>
      </c>
      <c r="I3326" t="str">
        <f t="shared" si="258"/>
        <v>Below thresholds</v>
      </c>
      <c r="J3326" t="str">
        <f t="shared" si="259"/>
        <v/>
      </c>
    </row>
    <row r="3327" spans="1:10" x14ac:dyDescent="0.2">
      <c r="A3327">
        <v>227256471305</v>
      </c>
      <c r="B3327" t="s">
        <v>7210</v>
      </c>
      <c r="C3327" t="s">
        <v>7211</v>
      </c>
      <c r="D3327">
        <v>1.99</v>
      </c>
      <c r="F3327" t="str">
        <f t="shared" si="255"/>
        <v>No</v>
      </c>
      <c r="G3327" t="str">
        <f t="shared" si="256"/>
        <v/>
      </c>
      <c r="H3327" t="str">
        <f t="shared" si="257"/>
        <v>—</v>
      </c>
      <c r="I3327" t="str">
        <f t="shared" si="258"/>
        <v>Below thresholds</v>
      </c>
      <c r="J3327" t="str">
        <f t="shared" si="259"/>
        <v/>
      </c>
    </row>
    <row r="3328" spans="1:10" x14ac:dyDescent="0.2">
      <c r="A3328">
        <v>227256471307</v>
      </c>
      <c r="B3328" t="s">
        <v>7212</v>
      </c>
      <c r="C3328" t="s">
        <v>7213</v>
      </c>
      <c r="D3328">
        <v>1.99</v>
      </c>
      <c r="F3328" t="str">
        <f t="shared" si="255"/>
        <v>No</v>
      </c>
      <c r="G3328" t="str">
        <f t="shared" si="256"/>
        <v/>
      </c>
      <c r="H3328" t="str">
        <f t="shared" si="257"/>
        <v>—</v>
      </c>
      <c r="I3328" t="str">
        <f t="shared" si="258"/>
        <v>Below thresholds</v>
      </c>
      <c r="J3328" t="str">
        <f t="shared" si="259"/>
        <v/>
      </c>
    </row>
    <row r="3329" spans="1:10" x14ac:dyDescent="0.2">
      <c r="A3329">
        <v>227256522117</v>
      </c>
      <c r="B3329" t="s">
        <v>7214</v>
      </c>
      <c r="C3329" t="s">
        <v>7215</v>
      </c>
      <c r="D3329">
        <v>2.99</v>
      </c>
      <c r="F3329" t="str">
        <f t="shared" si="255"/>
        <v>No</v>
      </c>
      <c r="G3329" t="str">
        <f t="shared" si="256"/>
        <v/>
      </c>
      <c r="H3329" t="str">
        <f t="shared" si="257"/>
        <v>—</v>
      </c>
      <c r="I3329" t="str">
        <f t="shared" si="258"/>
        <v>Below thresholds</v>
      </c>
      <c r="J3329" t="str">
        <f t="shared" si="259"/>
        <v/>
      </c>
    </row>
    <row r="3330" spans="1:10" x14ac:dyDescent="0.2">
      <c r="A3330">
        <v>227256522177</v>
      </c>
      <c r="B3330" t="s">
        <v>7216</v>
      </c>
      <c r="C3330" t="s">
        <v>7217</v>
      </c>
      <c r="D3330">
        <v>1.5</v>
      </c>
      <c r="F3330" t="str">
        <f t="shared" si="255"/>
        <v>No</v>
      </c>
      <c r="G3330" t="str">
        <f t="shared" si="256"/>
        <v/>
      </c>
      <c r="H3330" t="str">
        <f t="shared" si="257"/>
        <v>—</v>
      </c>
      <c r="I3330" t="str">
        <f t="shared" si="258"/>
        <v>Below thresholds</v>
      </c>
      <c r="J3330" t="str">
        <f t="shared" si="259"/>
        <v/>
      </c>
    </row>
    <row r="3331" spans="1:10" x14ac:dyDescent="0.2">
      <c r="A3331">
        <v>227256522354</v>
      </c>
      <c r="B3331" t="s">
        <v>7218</v>
      </c>
      <c r="C3331" t="s">
        <v>7219</v>
      </c>
      <c r="D3331">
        <v>1.59</v>
      </c>
      <c r="F3331" t="str">
        <f t="shared" si="255"/>
        <v>No</v>
      </c>
      <c r="G3331" t="str">
        <f t="shared" si="256"/>
        <v/>
      </c>
      <c r="H3331" t="str">
        <f t="shared" si="257"/>
        <v>—</v>
      </c>
      <c r="I3331" t="str">
        <f t="shared" si="258"/>
        <v>Below thresholds</v>
      </c>
      <c r="J3331" t="str">
        <f t="shared" si="259"/>
        <v/>
      </c>
    </row>
    <row r="3332" spans="1:10" x14ac:dyDescent="0.2">
      <c r="A3332">
        <v>227256637505</v>
      </c>
      <c r="B3332" t="s">
        <v>7220</v>
      </c>
      <c r="C3332" t="s">
        <v>7221</v>
      </c>
      <c r="D3332">
        <v>7.25</v>
      </c>
      <c r="F3332" t="str">
        <f t="shared" si="255"/>
        <v>No</v>
      </c>
      <c r="G3332" t="str">
        <f t="shared" si="256"/>
        <v/>
      </c>
      <c r="H3332" t="str">
        <f t="shared" si="257"/>
        <v>—</v>
      </c>
      <c r="I3332" t="str">
        <f t="shared" si="258"/>
        <v>Below thresholds</v>
      </c>
      <c r="J3332" t="str">
        <f t="shared" si="259"/>
        <v/>
      </c>
    </row>
    <row r="3333" spans="1:10" x14ac:dyDescent="0.2">
      <c r="A3333">
        <v>227256637548</v>
      </c>
      <c r="B3333" t="s">
        <v>7222</v>
      </c>
      <c r="C3333" t="s">
        <v>7223</v>
      </c>
      <c r="D3333">
        <v>1.99</v>
      </c>
      <c r="F3333" t="str">
        <f t="shared" ref="F3333:F3396" si="260">IF($B3333="","",IF(ISNUMBER(SEARCH("PSA",$B3333)),"Yes","No"))</f>
        <v>No</v>
      </c>
      <c r="G3333" t="str">
        <f t="shared" ref="G3333:G3396" si="261">IF($B3333="","",IF(ISNUMBER(SEARCH("PSA 10",$B3333)),10,IF(ISNUMBER(SEARCH("PSA 9.5",$B3333)),9.5,IF(ISNUMBER(SEARCH("PSA 9",$B3333)),9,IF(ISNUMBER(SEARCH("PSA 8",$B3333)),8,IF(ISNUMBER(SEARCH("PSA",$B3333)),"&lt;9",""))))))</f>
        <v/>
      </c>
      <c r="H3333" t="str">
        <f t="shared" ref="H3333:H3396" si="262">IF($B3333="","",IF($D3333&gt;=100,"TIER 2",IF(OR(ISNUMBER(SEARCH("PSA 10",$B3333)),ISNUMBER(SEARCH("PSA 9.5",$B3333)),ISNUMBER(SEARCH("PSA 9",$B3333))),"TIER 3",IF(AND($D3333&gt;20,N($E3333)&gt;=15),"TIER 1","—"))))</f>
        <v>—</v>
      </c>
      <c r="I3333" t="str">
        <f t="shared" ref="I3333:I3396" si="263">IF($B3333="","",IF($D3333&gt;=100,"Premium $100+ (auto)",IF(OR(ISNUMBER(SEARCH("PSA 10",$B3333)),ISNUMBER(SEARCH("PSA 9.5",$B3333)),ISNUMBER(SEARCH("PSA 9",$B3333))),"Graded PSA 9+ (auto)",IF(AND($D3333&gt;20,N($E3333)&gt;=15),"Hot: $20+ &amp; "&amp;$E3333&amp;"/day",IF($D3333&gt;20,"$20+ — needs velocity check","Below thresholds")))))</f>
        <v>Below thresholds</v>
      </c>
      <c r="J3333" t="str">
        <f t="shared" ref="J3333:J3396" si="264">IF($B3333="","",IF(AND($D3333&gt;20,$D3333&lt;100,NOT(OR(ISNUMBER(SEARCH("PSA 10",$B3333)),ISNUMBER(SEARCH("PSA 9.5",$B3333)),ISNUMBER(SEARCH("PSA 9",$B3333)))),$E3333=""),"YES — pull CardHedger",""))</f>
        <v/>
      </c>
    </row>
    <row r="3334" spans="1:10" x14ac:dyDescent="0.2">
      <c r="A3334">
        <v>227258121933</v>
      </c>
      <c r="B3334" t="s">
        <v>7224</v>
      </c>
      <c r="C3334" t="s">
        <v>7225</v>
      </c>
      <c r="D3334">
        <v>2</v>
      </c>
      <c r="F3334" t="str">
        <f t="shared" si="260"/>
        <v>No</v>
      </c>
      <c r="G3334" t="str">
        <f t="shared" si="261"/>
        <v/>
      </c>
      <c r="H3334" t="str">
        <f t="shared" si="262"/>
        <v>—</v>
      </c>
      <c r="I3334" t="str">
        <f t="shared" si="263"/>
        <v>Below thresholds</v>
      </c>
      <c r="J3334" t="str">
        <f t="shared" si="264"/>
        <v/>
      </c>
    </row>
    <row r="3335" spans="1:10" x14ac:dyDescent="0.2">
      <c r="A3335">
        <v>227258121939</v>
      </c>
      <c r="B3335" t="s">
        <v>7226</v>
      </c>
      <c r="C3335" t="s">
        <v>7227</v>
      </c>
      <c r="D3335">
        <v>15</v>
      </c>
      <c r="F3335" t="str">
        <f t="shared" si="260"/>
        <v>No</v>
      </c>
      <c r="G3335" t="str">
        <f t="shared" si="261"/>
        <v/>
      </c>
      <c r="H3335" t="str">
        <f t="shared" si="262"/>
        <v>—</v>
      </c>
      <c r="I3335" t="str">
        <f t="shared" si="263"/>
        <v>Below thresholds</v>
      </c>
      <c r="J3335" t="str">
        <f t="shared" si="264"/>
        <v/>
      </c>
    </row>
    <row r="3336" spans="1:10" x14ac:dyDescent="0.2">
      <c r="A3336">
        <v>227258121991</v>
      </c>
      <c r="B3336" t="s">
        <v>7228</v>
      </c>
      <c r="C3336" t="s">
        <v>7229</v>
      </c>
      <c r="D3336">
        <v>6.5</v>
      </c>
      <c r="F3336" t="str">
        <f t="shared" si="260"/>
        <v>No</v>
      </c>
      <c r="G3336" t="str">
        <f t="shared" si="261"/>
        <v/>
      </c>
      <c r="H3336" t="str">
        <f t="shared" si="262"/>
        <v>—</v>
      </c>
      <c r="I3336" t="str">
        <f t="shared" si="263"/>
        <v>Below thresholds</v>
      </c>
      <c r="J3336" t="str">
        <f t="shared" si="264"/>
        <v/>
      </c>
    </row>
    <row r="3337" spans="1:10" x14ac:dyDescent="0.2">
      <c r="A3337">
        <v>227258122018</v>
      </c>
      <c r="B3337" t="s">
        <v>7230</v>
      </c>
      <c r="C3337" t="s">
        <v>7231</v>
      </c>
      <c r="D3337">
        <v>12.99</v>
      </c>
      <c r="F3337" t="str">
        <f t="shared" si="260"/>
        <v>No</v>
      </c>
      <c r="G3337" t="str">
        <f t="shared" si="261"/>
        <v/>
      </c>
      <c r="H3337" t="str">
        <f t="shared" si="262"/>
        <v>—</v>
      </c>
      <c r="I3337" t="str">
        <f t="shared" si="263"/>
        <v>Below thresholds</v>
      </c>
      <c r="J3337" t="str">
        <f t="shared" si="264"/>
        <v/>
      </c>
    </row>
    <row r="3338" spans="1:10" x14ac:dyDescent="0.2">
      <c r="A3338">
        <v>227258122025</v>
      </c>
      <c r="B3338" t="s">
        <v>7232</v>
      </c>
      <c r="C3338" t="s">
        <v>7233</v>
      </c>
      <c r="D3338">
        <v>5.5</v>
      </c>
      <c r="F3338" t="str">
        <f t="shared" si="260"/>
        <v>No</v>
      </c>
      <c r="G3338" t="str">
        <f t="shared" si="261"/>
        <v/>
      </c>
      <c r="H3338" t="str">
        <f t="shared" si="262"/>
        <v>—</v>
      </c>
      <c r="I3338" t="str">
        <f t="shared" si="263"/>
        <v>Below thresholds</v>
      </c>
      <c r="J3338" t="str">
        <f t="shared" si="264"/>
        <v/>
      </c>
    </row>
    <row r="3339" spans="1:10" x14ac:dyDescent="0.2">
      <c r="A3339">
        <v>227258122049</v>
      </c>
      <c r="B3339" t="s">
        <v>7234</v>
      </c>
      <c r="C3339" t="s">
        <v>7235</v>
      </c>
      <c r="D3339">
        <v>4</v>
      </c>
      <c r="F3339" t="str">
        <f t="shared" si="260"/>
        <v>No</v>
      </c>
      <c r="G3339" t="str">
        <f t="shared" si="261"/>
        <v/>
      </c>
      <c r="H3339" t="str">
        <f t="shared" si="262"/>
        <v>—</v>
      </c>
      <c r="I3339" t="str">
        <f t="shared" si="263"/>
        <v>Below thresholds</v>
      </c>
      <c r="J3339" t="str">
        <f t="shared" si="264"/>
        <v/>
      </c>
    </row>
    <row r="3340" spans="1:10" x14ac:dyDescent="0.2">
      <c r="A3340">
        <v>227258122067</v>
      </c>
      <c r="B3340" t="s">
        <v>7236</v>
      </c>
      <c r="C3340" t="s">
        <v>7237</v>
      </c>
      <c r="D3340">
        <v>4.95</v>
      </c>
      <c r="F3340" t="str">
        <f t="shared" si="260"/>
        <v>No</v>
      </c>
      <c r="G3340" t="str">
        <f t="shared" si="261"/>
        <v/>
      </c>
      <c r="H3340" t="str">
        <f t="shared" si="262"/>
        <v>—</v>
      </c>
      <c r="I3340" t="str">
        <f t="shared" si="263"/>
        <v>Below thresholds</v>
      </c>
      <c r="J3340" t="str">
        <f t="shared" si="264"/>
        <v/>
      </c>
    </row>
    <row r="3341" spans="1:10" x14ac:dyDescent="0.2">
      <c r="A3341">
        <v>227258122081</v>
      </c>
      <c r="B3341" t="s">
        <v>7238</v>
      </c>
      <c r="C3341" t="s">
        <v>7239</v>
      </c>
      <c r="D3341">
        <v>19.95</v>
      </c>
      <c r="F3341" t="str">
        <f t="shared" si="260"/>
        <v>No</v>
      </c>
      <c r="G3341" t="str">
        <f t="shared" si="261"/>
        <v/>
      </c>
      <c r="H3341" t="str">
        <f t="shared" si="262"/>
        <v>—</v>
      </c>
      <c r="I3341" t="str">
        <f t="shared" si="263"/>
        <v>Below thresholds</v>
      </c>
      <c r="J3341" t="str">
        <f t="shared" si="264"/>
        <v/>
      </c>
    </row>
    <row r="3342" spans="1:10" x14ac:dyDescent="0.2">
      <c r="A3342">
        <v>227258122113</v>
      </c>
      <c r="B3342" t="s">
        <v>7240</v>
      </c>
      <c r="C3342" t="s">
        <v>7241</v>
      </c>
      <c r="D3342">
        <v>15</v>
      </c>
      <c r="F3342" t="str">
        <f t="shared" si="260"/>
        <v>No</v>
      </c>
      <c r="G3342" t="str">
        <f t="shared" si="261"/>
        <v/>
      </c>
      <c r="H3342" t="str">
        <f t="shared" si="262"/>
        <v>—</v>
      </c>
      <c r="I3342" t="str">
        <f t="shared" si="263"/>
        <v>Below thresholds</v>
      </c>
      <c r="J3342" t="str">
        <f t="shared" si="264"/>
        <v/>
      </c>
    </row>
    <row r="3343" spans="1:10" x14ac:dyDescent="0.2">
      <c r="A3343">
        <v>227258122117</v>
      </c>
      <c r="B3343" t="s">
        <v>7242</v>
      </c>
      <c r="C3343" t="s">
        <v>7243</v>
      </c>
      <c r="D3343">
        <v>6</v>
      </c>
      <c r="F3343" t="str">
        <f t="shared" si="260"/>
        <v>No</v>
      </c>
      <c r="G3343" t="str">
        <f t="shared" si="261"/>
        <v/>
      </c>
      <c r="H3343" t="str">
        <f t="shared" si="262"/>
        <v>—</v>
      </c>
      <c r="I3343" t="str">
        <f t="shared" si="263"/>
        <v>Below thresholds</v>
      </c>
      <c r="J3343" t="str">
        <f t="shared" si="264"/>
        <v/>
      </c>
    </row>
    <row r="3344" spans="1:10" x14ac:dyDescent="0.2">
      <c r="A3344">
        <v>227258122141</v>
      </c>
      <c r="B3344" t="s">
        <v>7244</v>
      </c>
      <c r="C3344" t="s">
        <v>7245</v>
      </c>
      <c r="D3344">
        <v>12</v>
      </c>
      <c r="F3344" t="str">
        <f t="shared" si="260"/>
        <v>No</v>
      </c>
      <c r="G3344" t="str">
        <f t="shared" si="261"/>
        <v/>
      </c>
      <c r="H3344" t="str">
        <f t="shared" si="262"/>
        <v>—</v>
      </c>
      <c r="I3344" t="str">
        <f t="shared" si="263"/>
        <v>Below thresholds</v>
      </c>
      <c r="J3344" t="str">
        <f t="shared" si="264"/>
        <v/>
      </c>
    </row>
    <row r="3345" spans="1:10" x14ac:dyDescent="0.2">
      <c r="A3345">
        <v>227258122159</v>
      </c>
      <c r="B3345" t="s">
        <v>7246</v>
      </c>
      <c r="C3345" t="s">
        <v>7247</v>
      </c>
      <c r="D3345">
        <v>6.99</v>
      </c>
      <c r="F3345" t="str">
        <f t="shared" si="260"/>
        <v>No</v>
      </c>
      <c r="G3345" t="str">
        <f t="shared" si="261"/>
        <v/>
      </c>
      <c r="H3345" t="str">
        <f t="shared" si="262"/>
        <v>—</v>
      </c>
      <c r="I3345" t="str">
        <f t="shared" si="263"/>
        <v>Below thresholds</v>
      </c>
      <c r="J3345" t="str">
        <f t="shared" si="264"/>
        <v/>
      </c>
    </row>
    <row r="3346" spans="1:10" x14ac:dyDescent="0.2">
      <c r="A3346">
        <v>227258122182</v>
      </c>
      <c r="B3346" t="s">
        <v>7248</v>
      </c>
      <c r="C3346" t="s">
        <v>7249</v>
      </c>
      <c r="D3346">
        <v>5.99</v>
      </c>
      <c r="F3346" t="str">
        <f t="shared" si="260"/>
        <v>No</v>
      </c>
      <c r="G3346" t="str">
        <f t="shared" si="261"/>
        <v/>
      </c>
      <c r="H3346" t="str">
        <f t="shared" si="262"/>
        <v>—</v>
      </c>
      <c r="I3346" t="str">
        <f t="shared" si="263"/>
        <v>Below thresholds</v>
      </c>
      <c r="J3346" t="str">
        <f t="shared" si="264"/>
        <v/>
      </c>
    </row>
    <row r="3347" spans="1:10" x14ac:dyDescent="0.2">
      <c r="A3347">
        <v>227258122194</v>
      </c>
      <c r="B3347" t="s">
        <v>7250</v>
      </c>
      <c r="C3347" t="s">
        <v>7251</v>
      </c>
      <c r="D3347">
        <v>0.99</v>
      </c>
      <c r="F3347" t="str">
        <f t="shared" si="260"/>
        <v>No</v>
      </c>
      <c r="G3347" t="str">
        <f t="shared" si="261"/>
        <v/>
      </c>
      <c r="H3347" t="str">
        <f t="shared" si="262"/>
        <v>—</v>
      </c>
      <c r="I3347" t="str">
        <f t="shared" si="263"/>
        <v>Below thresholds</v>
      </c>
      <c r="J3347" t="str">
        <f t="shared" si="264"/>
        <v/>
      </c>
    </row>
    <row r="3348" spans="1:10" x14ac:dyDescent="0.2">
      <c r="A3348">
        <v>227258122199</v>
      </c>
      <c r="B3348" t="s">
        <v>7252</v>
      </c>
      <c r="C3348" t="s">
        <v>7253</v>
      </c>
      <c r="D3348">
        <v>2</v>
      </c>
      <c r="F3348" t="str">
        <f t="shared" si="260"/>
        <v>No</v>
      </c>
      <c r="G3348" t="str">
        <f t="shared" si="261"/>
        <v/>
      </c>
      <c r="H3348" t="str">
        <f t="shared" si="262"/>
        <v>—</v>
      </c>
      <c r="I3348" t="str">
        <f t="shared" si="263"/>
        <v>Below thresholds</v>
      </c>
      <c r="J3348" t="str">
        <f t="shared" si="264"/>
        <v/>
      </c>
    </row>
    <row r="3349" spans="1:10" x14ac:dyDescent="0.2">
      <c r="A3349">
        <v>227258122228</v>
      </c>
      <c r="B3349" t="s">
        <v>7254</v>
      </c>
      <c r="C3349" t="s">
        <v>7255</v>
      </c>
      <c r="D3349">
        <v>5.99</v>
      </c>
      <c r="F3349" t="str">
        <f t="shared" si="260"/>
        <v>No</v>
      </c>
      <c r="G3349" t="str">
        <f t="shared" si="261"/>
        <v/>
      </c>
      <c r="H3349" t="str">
        <f t="shared" si="262"/>
        <v>—</v>
      </c>
      <c r="I3349" t="str">
        <f t="shared" si="263"/>
        <v>Below thresholds</v>
      </c>
      <c r="J3349" t="str">
        <f t="shared" si="264"/>
        <v/>
      </c>
    </row>
    <row r="3350" spans="1:10" x14ac:dyDescent="0.2">
      <c r="A3350">
        <v>227258122234</v>
      </c>
      <c r="B3350" t="s">
        <v>267</v>
      </c>
      <c r="C3350" t="s">
        <v>7256</v>
      </c>
      <c r="D3350">
        <v>10</v>
      </c>
      <c r="F3350" t="str">
        <f t="shared" si="260"/>
        <v>No</v>
      </c>
      <c r="G3350" t="str">
        <f t="shared" si="261"/>
        <v/>
      </c>
      <c r="H3350" t="str">
        <f t="shared" si="262"/>
        <v>—</v>
      </c>
      <c r="I3350" t="str">
        <f t="shared" si="263"/>
        <v>Below thresholds</v>
      </c>
      <c r="J3350" t="str">
        <f t="shared" si="264"/>
        <v/>
      </c>
    </row>
    <row r="3351" spans="1:10" x14ac:dyDescent="0.2">
      <c r="A3351">
        <v>227258122262</v>
      </c>
      <c r="B3351" t="s">
        <v>7257</v>
      </c>
      <c r="C3351" t="s">
        <v>7258</v>
      </c>
      <c r="D3351">
        <v>2</v>
      </c>
      <c r="F3351" t="str">
        <f t="shared" si="260"/>
        <v>No</v>
      </c>
      <c r="G3351" t="str">
        <f t="shared" si="261"/>
        <v/>
      </c>
      <c r="H3351" t="str">
        <f t="shared" si="262"/>
        <v>—</v>
      </c>
      <c r="I3351" t="str">
        <f t="shared" si="263"/>
        <v>Below thresholds</v>
      </c>
      <c r="J3351" t="str">
        <f t="shared" si="264"/>
        <v/>
      </c>
    </row>
    <row r="3352" spans="1:10" x14ac:dyDescent="0.2">
      <c r="A3352">
        <v>227258122268</v>
      </c>
      <c r="B3352" t="s">
        <v>7259</v>
      </c>
      <c r="C3352" t="s">
        <v>7260</v>
      </c>
      <c r="D3352">
        <v>2.79</v>
      </c>
      <c r="F3352" t="str">
        <f t="shared" si="260"/>
        <v>No</v>
      </c>
      <c r="G3352" t="str">
        <f t="shared" si="261"/>
        <v/>
      </c>
      <c r="H3352" t="str">
        <f t="shared" si="262"/>
        <v>—</v>
      </c>
      <c r="I3352" t="str">
        <f t="shared" si="263"/>
        <v>Below thresholds</v>
      </c>
      <c r="J3352" t="str">
        <f t="shared" si="264"/>
        <v/>
      </c>
    </row>
    <row r="3353" spans="1:10" x14ac:dyDescent="0.2">
      <c r="A3353">
        <v>227258122278</v>
      </c>
      <c r="B3353" t="s">
        <v>265</v>
      </c>
      <c r="C3353" t="s">
        <v>7261</v>
      </c>
      <c r="D3353">
        <v>13</v>
      </c>
      <c r="F3353" t="str">
        <f t="shared" si="260"/>
        <v>No</v>
      </c>
      <c r="G3353" t="str">
        <f t="shared" si="261"/>
        <v/>
      </c>
      <c r="H3353" t="str">
        <f t="shared" si="262"/>
        <v>—</v>
      </c>
      <c r="I3353" t="str">
        <f t="shared" si="263"/>
        <v>Below thresholds</v>
      </c>
      <c r="J3353" t="str">
        <f t="shared" si="264"/>
        <v/>
      </c>
    </row>
    <row r="3354" spans="1:10" x14ac:dyDescent="0.2">
      <c r="A3354">
        <v>227258122279</v>
      </c>
      <c r="B3354" t="s">
        <v>7262</v>
      </c>
      <c r="C3354" t="s">
        <v>7263</v>
      </c>
      <c r="D3354">
        <v>10</v>
      </c>
      <c r="F3354" t="str">
        <f t="shared" si="260"/>
        <v>No</v>
      </c>
      <c r="G3354" t="str">
        <f t="shared" si="261"/>
        <v/>
      </c>
      <c r="H3354" t="str">
        <f t="shared" si="262"/>
        <v>—</v>
      </c>
      <c r="I3354" t="str">
        <f t="shared" si="263"/>
        <v>Below thresholds</v>
      </c>
      <c r="J3354" t="str">
        <f t="shared" si="264"/>
        <v/>
      </c>
    </row>
    <row r="3355" spans="1:10" x14ac:dyDescent="0.2">
      <c r="A3355">
        <v>227258122285</v>
      </c>
      <c r="B3355" t="s">
        <v>7264</v>
      </c>
      <c r="C3355" t="s">
        <v>7265</v>
      </c>
      <c r="D3355">
        <v>4.95</v>
      </c>
      <c r="F3355" t="str">
        <f t="shared" si="260"/>
        <v>No</v>
      </c>
      <c r="G3355" t="str">
        <f t="shared" si="261"/>
        <v/>
      </c>
      <c r="H3355" t="str">
        <f t="shared" si="262"/>
        <v>—</v>
      </c>
      <c r="I3355" t="str">
        <f t="shared" si="263"/>
        <v>Below thresholds</v>
      </c>
      <c r="J3355" t="str">
        <f t="shared" si="264"/>
        <v/>
      </c>
    </row>
    <row r="3356" spans="1:10" x14ac:dyDescent="0.2">
      <c r="A3356">
        <v>227258122299</v>
      </c>
      <c r="B3356" t="s">
        <v>7266</v>
      </c>
      <c r="C3356" t="s">
        <v>7267</v>
      </c>
      <c r="D3356">
        <v>4</v>
      </c>
      <c r="F3356" t="str">
        <f t="shared" si="260"/>
        <v>No</v>
      </c>
      <c r="G3356" t="str">
        <f t="shared" si="261"/>
        <v/>
      </c>
      <c r="H3356" t="str">
        <f t="shared" si="262"/>
        <v>—</v>
      </c>
      <c r="I3356" t="str">
        <f t="shared" si="263"/>
        <v>Below thresholds</v>
      </c>
      <c r="J3356" t="str">
        <f t="shared" si="264"/>
        <v/>
      </c>
    </row>
    <row r="3357" spans="1:10" x14ac:dyDescent="0.2">
      <c r="A3357">
        <v>227258122304</v>
      </c>
      <c r="B3357" t="s">
        <v>7268</v>
      </c>
      <c r="C3357" t="s">
        <v>7269</v>
      </c>
      <c r="D3357">
        <v>10</v>
      </c>
      <c r="F3357" t="str">
        <f t="shared" si="260"/>
        <v>No</v>
      </c>
      <c r="G3357" t="str">
        <f t="shared" si="261"/>
        <v/>
      </c>
      <c r="H3357" t="str">
        <f t="shared" si="262"/>
        <v>—</v>
      </c>
      <c r="I3357" t="str">
        <f t="shared" si="263"/>
        <v>Below thresholds</v>
      </c>
      <c r="J3357" t="str">
        <f t="shared" si="264"/>
        <v/>
      </c>
    </row>
    <row r="3358" spans="1:10" x14ac:dyDescent="0.2">
      <c r="A3358">
        <v>227258122307</v>
      </c>
      <c r="B3358" t="s">
        <v>7270</v>
      </c>
      <c r="C3358" t="s">
        <v>7271</v>
      </c>
      <c r="D3358">
        <v>6</v>
      </c>
      <c r="F3358" t="str">
        <f t="shared" si="260"/>
        <v>No</v>
      </c>
      <c r="G3358" t="str">
        <f t="shared" si="261"/>
        <v/>
      </c>
      <c r="H3358" t="str">
        <f t="shared" si="262"/>
        <v>—</v>
      </c>
      <c r="I3358" t="str">
        <f t="shared" si="263"/>
        <v>Below thresholds</v>
      </c>
      <c r="J3358" t="str">
        <f t="shared" si="264"/>
        <v/>
      </c>
    </row>
    <row r="3359" spans="1:10" x14ac:dyDescent="0.2">
      <c r="A3359">
        <v>227258122353</v>
      </c>
      <c r="B3359" t="s">
        <v>7272</v>
      </c>
      <c r="C3359" t="s">
        <v>7273</v>
      </c>
      <c r="D3359">
        <v>15</v>
      </c>
      <c r="F3359" t="str">
        <f t="shared" si="260"/>
        <v>No</v>
      </c>
      <c r="G3359" t="str">
        <f t="shared" si="261"/>
        <v/>
      </c>
      <c r="H3359" t="str">
        <f t="shared" si="262"/>
        <v>—</v>
      </c>
      <c r="I3359" t="str">
        <f t="shared" si="263"/>
        <v>Below thresholds</v>
      </c>
      <c r="J3359" t="str">
        <f t="shared" si="264"/>
        <v/>
      </c>
    </row>
    <row r="3360" spans="1:10" x14ac:dyDescent="0.2">
      <c r="A3360">
        <v>227258122363</v>
      </c>
      <c r="B3360" t="s">
        <v>7274</v>
      </c>
      <c r="C3360" t="s">
        <v>7275</v>
      </c>
      <c r="D3360">
        <v>19.989999999999998</v>
      </c>
      <c r="F3360" t="str">
        <f t="shared" si="260"/>
        <v>No</v>
      </c>
      <c r="G3360" t="str">
        <f t="shared" si="261"/>
        <v/>
      </c>
      <c r="H3360" t="str">
        <f t="shared" si="262"/>
        <v>—</v>
      </c>
      <c r="I3360" t="str">
        <f t="shared" si="263"/>
        <v>Below thresholds</v>
      </c>
      <c r="J3360" t="str">
        <f t="shared" si="264"/>
        <v/>
      </c>
    </row>
    <row r="3361" spans="1:10" x14ac:dyDescent="0.2">
      <c r="A3361">
        <v>227258122396</v>
      </c>
      <c r="B3361" t="s">
        <v>7276</v>
      </c>
      <c r="C3361" t="s">
        <v>7277</v>
      </c>
      <c r="D3361">
        <v>20</v>
      </c>
      <c r="F3361" t="str">
        <f t="shared" si="260"/>
        <v>No</v>
      </c>
      <c r="G3361" t="str">
        <f t="shared" si="261"/>
        <v/>
      </c>
      <c r="H3361" t="str">
        <f t="shared" si="262"/>
        <v>—</v>
      </c>
      <c r="I3361" t="str">
        <f t="shared" si="263"/>
        <v>Below thresholds</v>
      </c>
      <c r="J3361" t="str">
        <f t="shared" si="264"/>
        <v/>
      </c>
    </row>
    <row r="3362" spans="1:10" x14ac:dyDescent="0.2">
      <c r="A3362">
        <v>227258122417</v>
      </c>
      <c r="B3362" t="s">
        <v>7278</v>
      </c>
      <c r="C3362" t="s">
        <v>7279</v>
      </c>
      <c r="D3362">
        <v>7</v>
      </c>
      <c r="F3362" t="str">
        <f t="shared" si="260"/>
        <v>No</v>
      </c>
      <c r="G3362" t="str">
        <f t="shared" si="261"/>
        <v/>
      </c>
      <c r="H3362" t="str">
        <f t="shared" si="262"/>
        <v>—</v>
      </c>
      <c r="I3362" t="str">
        <f t="shared" si="263"/>
        <v>Below thresholds</v>
      </c>
      <c r="J3362" t="str">
        <f t="shared" si="264"/>
        <v/>
      </c>
    </row>
    <row r="3363" spans="1:10" x14ac:dyDescent="0.2">
      <c r="A3363">
        <v>227258122419</v>
      </c>
      <c r="B3363" t="s">
        <v>7280</v>
      </c>
      <c r="C3363" t="s">
        <v>7281</v>
      </c>
      <c r="D3363">
        <v>1.99</v>
      </c>
      <c r="F3363" t="str">
        <f t="shared" si="260"/>
        <v>No</v>
      </c>
      <c r="G3363" t="str">
        <f t="shared" si="261"/>
        <v/>
      </c>
      <c r="H3363" t="str">
        <f t="shared" si="262"/>
        <v>—</v>
      </c>
      <c r="I3363" t="str">
        <f t="shared" si="263"/>
        <v>Below thresholds</v>
      </c>
      <c r="J3363" t="str">
        <f t="shared" si="264"/>
        <v/>
      </c>
    </row>
    <row r="3364" spans="1:10" x14ac:dyDescent="0.2">
      <c r="A3364">
        <v>227258148040</v>
      </c>
      <c r="B3364" t="s">
        <v>7282</v>
      </c>
      <c r="C3364" t="s">
        <v>7283</v>
      </c>
      <c r="D3364">
        <v>4.99</v>
      </c>
      <c r="F3364" t="str">
        <f t="shared" si="260"/>
        <v>No</v>
      </c>
      <c r="G3364" t="str">
        <f t="shared" si="261"/>
        <v/>
      </c>
      <c r="H3364" t="str">
        <f t="shared" si="262"/>
        <v>—</v>
      </c>
      <c r="I3364" t="str">
        <f t="shared" si="263"/>
        <v>Below thresholds</v>
      </c>
      <c r="J3364" t="str">
        <f t="shared" si="264"/>
        <v/>
      </c>
    </row>
    <row r="3365" spans="1:10" x14ac:dyDescent="0.2">
      <c r="A3365">
        <v>227259956591</v>
      </c>
      <c r="B3365" t="s">
        <v>7284</v>
      </c>
      <c r="C3365" t="s">
        <v>7285</v>
      </c>
      <c r="D3365">
        <v>3.3</v>
      </c>
      <c r="F3365" t="str">
        <f t="shared" si="260"/>
        <v>No</v>
      </c>
      <c r="G3365" t="str">
        <f t="shared" si="261"/>
        <v/>
      </c>
      <c r="H3365" t="str">
        <f t="shared" si="262"/>
        <v>—</v>
      </c>
      <c r="I3365" t="str">
        <f t="shared" si="263"/>
        <v>Below thresholds</v>
      </c>
      <c r="J3365" t="str">
        <f t="shared" si="264"/>
        <v/>
      </c>
    </row>
    <row r="3366" spans="1:10" x14ac:dyDescent="0.2">
      <c r="A3366">
        <v>227259956626</v>
      </c>
      <c r="B3366" t="s">
        <v>7286</v>
      </c>
      <c r="C3366" t="s">
        <v>7287</v>
      </c>
      <c r="D3366">
        <v>4</v>
      </c>
      <c r="F3366" t="str">
        <f t="shared" si="260"/>
        <v>No</v>
      </c>
      <c r="G3366" t="str">
        <f t="shared" si="261"/>
        <v/>
      </c>
      <c r="H3366" t="str">
        <f t="shared" si="262"/>
        <v>—</v>
      </c>
      <c r="I3366" t="str">
        <f t="shared" si="263"/>
        <v>Below thresholds</v>
      </c>
      <c r="J3366" t="str">
        <f t="shared" si="264"/>
        <v/>
      </c>
    </row>
    <row r="3367" spans="1:10" x14ac:dyDescent="0.2">
      <c r="A3367">
        <v>227259956735</v>
      </c>
      <c r="B3367" t="s">
        <v>7288</v>
      </c>
      <c r="C3367" t="s">
        <v>7289</v>
      </c>
      <c r="D3367">
        <v>3</v>
      </c>
      <c r="F3367" t="str">
        <f t="shared" si="260"/>
        <v>No</v>
      </c>
      <c r="G3367" t="str">
        <f t="shared" si="261"/>
        <v/>
      </c>
      <c r="H3367" t="str">
        <f t="shared" si="262"/>
        <v>—</v>
      </c>
      <c r="I3367" t="str">
        <f t="shared" si="263"/>
        <v>Below thresholds</v>
      </c>
      <c r="J3367" t="str">
        <f t="shared" si="264"/>
        <v/>
      </c>
    </row>
    <row r="3368" spans="1:10" x14ac:dyDescent="0.2">
      <c r="A3368">
        <v>227259956845</v>
      </c>
      <c r="B3368" t="s">
        <v>7290</v>
      </c>
      <c r="C3368" t="s">
        <v>7291</v>
      </c>
      <c r="D3368">
        <v>2.5</v>
      </c>
      <c r="F3368" t="str">
        <f t="shared" si="260"/>
        <v>No</v>
      </c>
      <c r="G3368" t="str">
        <f t="shared" si="261"/>
        <v/>
      </c>
      <c r="H3368" t="str">
        <f t="shared" si="262"/>
        <v>—</v>
      </c>
      <c r="I3368" t="str">
        <f t="shared" si="263"/>
        <v>Below thresholds</v>
      </c>
      <c r="J3368" t="str">
        <f t="shared" si="264"/>
        <v/>
      </c>
    </row>
    <row r="3369" spans="1:10" x14ac:dyDescent="0.2">
      <c r="A3369">
        <v>227259956864</v>
      </c>
      <c r="B3369" t="s">
        <v>7292</v>
      </c>
      <c r="C3369" t="s">
        <v>7293</v>
      </c>
      <c r="D3369">
        <v>3</v>
      </c>
      <c r="F3369" t="str">
        <f t="shared" si="260"/>
        <v>No</v>
      </c>
      <c r="G3369" t="str">
        <f t="shared" si="261"/>
        <v/>
      </c>
      <c r="H3369" t="str">
        <f t="shared" si="262"/>
        <v>—</v>
      </c>
      <c r="I3369" t="str">
        <f t="shared" si="263"/>
        <v>Below thresholds</v>
      </c>
      <c r="J3369" t="str">
        <f t="shared" si="264"/>
        <v/>
      </c>
    </row>
    <row r="3370" spans="1:10" x14ac:dyDescent="0.2">
      <c r="A3370">
        <v>227259956981</v>
      </c>
      <c r="B3370" t="s">
        <v>7294</v>
      </c>
      <c r="C3370" t="s">
        <v>7295</v>
      </c>
      <c r="D3370">
        <v>7.49</v>
      </c>
      <c r="F3370" t="str">
        <f t="shared" si="260"/>
        <v>No</v>
      </c>
      <c r="G3370" t="str">
        <f t="shared" si="261"/>
        <v/>
      </c>
      <c r="H3370" t="str">
        <f t="shared" si="262"/>
        <v>—</v>
      </c>
      <c r="I3370" t="str">
        <f t="shared" si="263"/>
        <v>Below thresholds</v>
      </c>
      <c r="J3370" t="str">
        <f t="shared" si="264"/>
        <v/>
      </c>
    </row>
    <row r="3371" spans="1:10" x14ac:dyDescent="0.2">
      <c r="A3371">
        <v>227259956998</v>
      </c>
      <c r="B3371" t="s">
        <v>7296</v>
      </c>
      <c r="C3371" t="s">
        <v>7297</v>
      </c>
      <c r="D3371">
        <v>4</v>
      </c>
      <c r="F3371" t="str">
        <f t="shared" si="260"/>
        <v>No</v>
      </c>
      <c r="G3371" t="str">
        <f t="shared" si="261"/>
        <v/>
      </c>
      <c r="H3371" t="str">
        <f t="shared" si="262"/>
        <v>—</v>
      </c>
      <c r="I3371" t="str">
        <f t="shared" si="263"/>
        <v>Below thresholds</v>
      </c>
      <c r="J3371" t="str">
        <f t="shared" si="264"/>
        <v/>
      </c>
    </row>
    <row r="3372" spans="1:10" x14ac:dyDescent="0.2">
      <c r="A3372">
        <v>227259957422</v>
      </c>
      <c r="B3372" t="s">
        <v>7298</v>
      </c>
      <c r="C3372" t="s">
        <v>7299</v>
      </c>
      <c r="D3372">
        <v>6</v>
      </c>
      <c r="F3372" t="str">
        <f t="shared" si="260"/>
        <v>No</v>
      </c>
      <c r="G3372" t="str">
        <f t="shared" si="261"/>
        <v/>
      </c>
      <c r="H3372" t="str">
        <f t="shared" si="262"/>
        <v>—</v>
      </c>
      <c r="I3372" t="str">
        <f t="shared" si="263"/>
        <v>Below thresholds</v>
      </c>
      <c r="J3372" t="str">
        <f t="shared" si="264"/>
        <v/>
      </c>
    </row>
    <row r="3373" spans="1:10" x14ac:dyDescent="0.2">
      <c r="A3373">
        <v>227259957776</v>
      </c>
      <c r="B3373" t="s">
        <v>7300</v>
      </c>
      <c r="C3373" t="s">
        <v>7301</v>
      </c>
      <c r="D3373">
        <v>4.99</v>
      </c>
      <c r="F3373" t="str">
        <f t="shared" si="260"/>
        <v>No</v>
      </c>
      <c r="G3373" t="str">
        <f t="shared" si="261"/>
        <v/>
      </c>
      <c r="H3373" t="str">
        <f t="shared" si="262"/>
        <v>—</v>
      </c>
      <c r="I3373" t="str">
        <f t="shared" si="263"/>
        <v>Below thresholds</v>
      </c>
      <c r="J3373" t="str">
        <f t="shared" si="264"/>
        <v/>
      </c>
    </row>
    <row r="3374" spans="1:10" x14ac:dyDescent="0.2">
      <c r="A3374">
        <v>227259957806</v>
      </c>
      <c r="B3374" t="s">
        <v>7302</v>
      </c>
      <c r="C3374" t="s">
        <v>7303</v>
      </c>
      <c r="D3374">
        <v>4.99</v>
      </c>
      <c r="F3374" t="str">
        <f t="shared" si="260"/>
        <v>No</v>
      </c>
      <c r="G3374" t="str">
        <f t="shared" si="261"/>
        <v/>
      </c>
      <c r="H3374" t="str">
        <f t="shared" si="262"/>
        <v>—</v>
      </c>
      <c r="I3374" t="str">
        <f t="shared" si="263"/>
        <v>Below thresholds</v>
      </c>
      <c r="J3374" t="str">
        <f t="shared" si="264"/>
        <v/>
      </c>
    </row>
    <row r="3375" spans="1:10" x14ac:dyDescent="0.2">
      <c r="A3375">
        <v>227259957906</v>
      </c>
      <c r="B3375" t="s">
        <v>7304</v>
      </c>
      <c r="C3375" t="s">
        <v>7305</v>
      </c>
      <c r="D3375">
        <v>3</v>
      </c>
      <c r="F3375" t="str">
        <f t="shared" si="260"/>
        <v>No</v>
      </c>
      <c r="G3375" t="str">
        <f t="shared" si="261"/>
        <v/>
      </c>
      <c r="H3375" t="str">
        <f t="shared" si="262"/>
        <v>—</v>
      </c>
      <c r="I3375" t="str">
        <f t="shared" si="263"/>
        <v>Below thresholds</v>
      </c>
      <c r="J3375" t="str">
        <f t="shared" si="264"/>
        <v/>
      </c>
    </row>
    <row r="3376" spans="1:10" x14ac:dyDescent="0.2">
      <c r="A3376">
        <v>227259958017</v>
      </c>
      <c r="B3376" t="s">
        <v>7306</v>
      </c>
      <c r="C3376" t="s">
        <v>7307</v>
      </c>
      <c r="D3376">
        <v>2</v>
      </c>
      <c r="F3376" t="str">
        <f t="shared" si="260"/>
        <v>No</v>
      </c>
      <c r="G3376" t="str">
        <f t="shared" si="261"/>
        <v/>
      </c>
      <c r="H3376" t="str">
        <f t="shared" si="262"/>
        <v>—</v>
      </c>
      <c r="I3376" t="str">
        <f t="shared" si="263"/>
        <v>Below thresholds</v>
      </c>
      <c r="J3376" t="str">
        <f t="shared" si="264"/>
        <v/>
      </c>
    </row>
    <row r="3377" spans="1:10" x14ac:dyDescent="0.2">
      <c r="A3377">
        <v>227259966725</v>
      </c>
      <c r="B3377" t="s">
        <v>7306</v>
      </c>
      <c r="C3377" t="s">
        <v>7308</v>
      </c>
      <c r="D3377">
        <v>3</v>
      </c>
      <c r="F3377" t="str">
        <f t="shared" si="260"/>
        <v>No</v>
      </c>
      <c r="G3377" t="str">
        <f t="shared" si="261"/>
        <v/>
      </c>
      <c r="H3377" t="str">
        <f t="shared" si="262"/>
        <v>—</v>
      </c>
      <c r="I3377" t="str">
        <f t="shared" si="263"/>
        <v>Below thresholds</v>
      </c>
      <c r="J3377" t="str">
        <f t="shared" si="264"/>
        <v/>
      </c>
    </row>
    <row r="3378" spans="1:10" x14ac:dyDescent="0.2">
      <c r="A3378">
        <v>227259966751</v>
      </c>
      <c r="B3378" t="s">
        <v>7309</v>
      </c>
      <c r="C3378" t="s">
        <v>7310</v>
      </c>
      <c r="D3378">
        <v>2.25</v>
      </c>
      <c r="F3378" t="str">
        <f t="shared" si="260"/>
        <v>No</v>
      </c>
      <c r="G3378" t="str">
        <f t="shared" si="261"/>
        <v/>
      </c>
      <c r="H3378" t="str">
        <f t="shared" si="262"/>
        <v>—</v>
      </c>
      <c r="I3378" t="str">
        <f t="shared" si="263"/>
        <v>Below thresholds</v>
      </c>
      <c r="J3378" t="str">
        <f t="shared" si="264"/>
        <v/>
      </c>
    </row>
    <row r="3379" spans="1:10" x14ac:dyDescent="0.2">
      <c r="A3379">
        <v>227262689617</v>
      </c>
      <c r="B3379" t="s">
        <v>7311</v>
      </c>
      <c r="C3379" t="s">
        <v>7312</v>
      </c>
      <c r="D3379">
        <v>29</v>
      </c>
      <c r="F3379" t="str">
        <f t="shared" si="260"/>
        <v>No</v>
      </c>
      <c r="G3379" t="str">
        <f t="shared" si="261"/>
        <v/>
      </c>
      <c r="H3379" t="str">
        <f t="shared" si="262"/>
        <v>—</v>
      </c>
      <c r="I3379" t="str">
        <f t="shared" si="263"/>
        <v>$20+ — needs velocity check</v>
      </c>
      <c r="J3379" t="str">
        <f t="shared" si="264"/>
        <v>YES — pull CardHedger</v>
      </c>
    </row>
    <row r="3380" spans="1:10" x14ac:dyDescent="0.2">
      <c r="A3380">
        <v>227262689634</v>
      </c>
      <c r="B3380" t="s">
        <v>7313</v>
      </c>
      <c r="C3380" t="s">
        <v>7314</v>
      </c>
      <c r="D3380">
        <v>1.9</v>
      </c>
      <c r="F3380" t="str">
        <f t="shared" si="260"/>
        <v>No</v>
      </c>
      <c r="G3380" t="str">
        <f t="shared" si="261"/>
        <v/>
      </c>
      <c r="H3380" t="str">
        <f t="shared" si="262"/>
        <v>—</v>
      </c>
      <c r="I3380" t="str">
        <f t="shared" si="263"/>
        <v>Below thresholds</v>
      </c>
      <c r="J3380" t="str">
        <f t="shared" si="264"/>
        <v/>
      </c>
    </row>
    <row r="3381" spans="1:10" x14ac:dyDescent="0.2">
      <c r="A3381">
        <v>227262689651</v>
      </c>
      <c r="B3381" t="s">
        <v>7315</v>
      </c>
      <c r="C3381" t="s">
        <v>7316</v>
      </c>
      <c r="D3381">
        <v>1.88</v>
      </c>
      <c r="F3381" t="str">
        <f t="shared" si="260"/>
        <v>No</v>
      </c>
      <c r="G3381" t="str">
        <f t="shared" si="261"/>
        <v/>
      </c>
      <c r="H3381" t="str">
        <f t="shared" si="262"/>
        <v>—</v>
      </c>
      <c r="I3381" t="str">
        <f t="shared" si="263"/>
        <v>Below thresholds</v>
      </c>
      <c r="J3381" t="str">
        <f t="shared" si="264"/>
        <v/>
      </c>
    </row>
    <row r="3382" spans="1:10" x14ac:dyDescent="0.2">
      <c r="A3382">
        <v>227262689671</v>
      </c>
      <c r="B3382" t="s">
        <v>7317</v>
      </c>
      <c r="C3382" t="s">
        <v>7318</v>
      </c>
      <c r="D3382">
        <v>4</v>
      </c>
      <c r="F3382" t="str">
        <f t="shared" si="260"/>
        <v>No</v>
      </c>
      <c r="G3382" t="str">
        <f t="shared" si="261"/>
        <v/>
      </c>
      <c r="H3382" t="str">
        <f t="shared" si="262"/>
        <v>—</v>
      </c>
      <c r="I3382" t="str">
        <f t="shared" si="263"/>
        <v>Below thresholds</v>
      </c>
      <c r="J3382" t="str">
        <f t="shared" si="264"/>
        <v/>
      </c>
    </row>
    <row r="3383" spans="1:10" x14ac:dyDescent="0.2">
      <c r="A3383">
        <v>227262689683</v>
      </c>
      <c r="B3383" t="s">
        <v>7319</v>
      </c>
      <c r="C3383" t="s">
        <v>7320</v>
      </c>
      <c r="D3383">
        <v>0.99</v>
      </c>
      <c r="F3383" t="str">
        <f t="shared" si="260"/>
        <v>No</v>
      </c>
      <c r="G3383" t="str">
        <f t="shared" si="261"/>
        <v/>
      </c>
      <c r="H3383" t="str">
        <f t="shared" si="262"/>
        <v>—</v>
      </c>
      <c r="I3383" t="str">
        <f t="shared" si="263"/>
        <v>Below thresholds</v>
      </c>
      <c r="J3383" t="str">
        <f t="shared" si="264"/>
        <v/>
      </c>
    </row>
    <row r="3384" spans="1:10" x14ac:dyDescent="0.2">
      <c r="A3384">
        <v>227262689704</v>
      </c>
      <c r="B3384" t="s">
        <v>7321</v>
      </c>
      <c r="C3384" t="s">
        <v>7322</v>
      </c>
      <c r="D3384">
        <v>3</v>
      </c>
      <c r="F3384" t="str">
        <f t="shared" si="260"/>
        <v>No</v>
      </c>
      <c r="G3384" t="str">
        <f t="shared" si="261"/>
        <v/>
      </c>
      <c r="H3384" t="str">
        <f t="shared" si="262"/>
        <v>—</v>
      </c>
      <c r="I3384" t="str">
        <f t="shared" si="263"/>
        <v>Below thresholds</v>
      </c>
      <c r="J3384" t="str">
        <f t="shared" si="264"/>
        <v/>
      </c>
    </row>
    <row r="3385" spans="1:10" x14ac:dyDescent="0.2">
      <c r="A3385">
        <v>227262689707</v>
      </c>
      <c r="B3385" t="s">
        <v>7323</v>
      </c>
      <c r="C3385" t="s">
        <v>7324</v>
      </c>
      <c r="D3385">
        <v>3.5</v>
      </c>
      <c r="F3385" t="str">
        <f t="shared" si="260"/>
        <v>No</v>
      </c>
      <c r="G3385" t="str">
        <f t="shared" si="261"/>
        <v/>
      </c>
      <c r="H3385" t="str">
        <f t="shared" si="262"/>
        <v>—</v>
      </c>
      <c r="I3385" t="str">
        <f t="shared" si="263"/>
        <v>Below thresholds</v>
      </c>
      <c r="J3385" t="str">
        <f t="shared" si="264"/>
        <v/>
      </c>
    </row>
    <row r="3386" spans="1:10" x14ac:dyDescent="0.2">
      <c r="A3386">
        <v>227262689716</v>
      </c>
      <c r="B3386" t="s">
        <v>7325</v>
      </c>
      <c r="C3386" t="s">
        <v>7326</v>
      </c>
      <c r="D3386">
        <v>1.99</v>
      </c>
      <c r="F3386" t="str">
        <f t="shared" si="260"/>
        <v>No</v>
      </c>
      <c r="G3386" t="str">
        <f t="shared" si="261"/>
        <v/>
      </c>
      <c r="H3386" t="str">
        <f t="shared" si="262"/>
        <v>—</v>
      </c>
      <c r="I3386" t="str">
        <f t="shared" si="263"/>
        <v>Below thresholds</v>
      </c>
      <c r="J3386" t="str">
        <f t="shared" si="264"/>
        <v/>
      </c>
    </row>
    <row r="3387" spans="1:10" x14ac:dyDescent="0.2">
      <c r="A3387">
        <v>227262921595</v>
      </c>
      <c r="B3387" t="s">
        <v>7327</v>
      </c>
      <c r="C3387" t="s">
        <v>7328</v>
      </c>
      <c r="D3387">
        <v>2</v>
      </c>
      <c r="F3387" t="str">
        <f t="shared" si="260"/>
        <v>No</v>
      </c>
      <c r="G3387" t="str">
        <f t="shared" si="261"/>
        <v/>
      </c>
      <c r="H3387" t="str">
        <f t="shared" si="262"/>
        <v>—</v>
      </c>
      <c r="I3387" t="str">
        <f t="shared" si="263"/>
        <v>Below thresholds</v>
      </c>
      <c r="J3387" t="str">
        <f t="shared" si="264"/>
        <v/>
      </c>
    </row>
    <row r="3388" spans="1:10" x14ac:dyDescent="0.2">
      <c r="A3388">
        <v>227262921613</v>
      </c>
      <c r="B3388" t="s">
        <v>7329</v>
      </c>
      <c r="C3388" t="s">
        <v>7330</v>
      </c>
      <c r="D3388">
        <v>1.99</v>
      </c>
      <c r="F3388" t="str">
        <f t="shared" si="260"/>
        <v>No</v>
      </c>
      <c r="G3388" t="str">
        <f t="shared" si="261"/>
        <v/>
      </c>
      <c r="H3388" t="str">
        <f t="shared" si="262"/>
        <v>—</v>
      </c>
      <c r="I3388" t="str">
        <f t="shared" si="263"/>
        <v>Below thresholds</v>
      </c>
      <c r="J3388" t="str">
        <f t="shared" si="264"/>
        <v/>
      </c>
    </row>
    <row r="3389" spans="1:10" x14ac:dyDescent="0.2">
      <c r="A3389">
        <v>227262921632</v>
      </c>
      <c r="B3389" t="s">
        <v>7331</v>
      </c>
      <c r="C3389" t="s">
        <v>7332</v>
      </c>
      <c r="D3389">
        <v>3.55</v>
      </c>
      <c r="F3389" t="str">
        <f t="shared" si="260"/>
        <v>No</v>
      </c>
      <c r="G3389" t="str">
        <f t="shared" si="261"/>
        <v/>
      </c>
      <c r="H3389" t="str">
        <f t="shared" si="262"/>
        <v>—</v>
      </c>
      <c r="I3389" t="str">
        <f t="shared" si="263"/>
        <v>Below thresholds</v>
      </c>
      <c r="J3389" t="str">
        <f t="shared" si="264"/>
        <v/>
      </c>
    </row>
    <row r="3390" spans="1:10" x14ac:dyDescent="0.2">
      <c r="A3390">
        <v>227262921712</v>
      </c>
      <c r="B3390" t="s">
        <v>7333</v>
      </c>
      <c r="C3390" t="s">
        <v>7334</v>
      </c>
      <c r="D3390">
        <v>1.99</v>
      </c>
      <c r="F3390" t="str">
        <f t="shared" si="260"/>
        <v>No</v>
      </c>
      <c r="G3390" t="str">
        <f t="shared" si="261"/>
        <v/>
      </c>
      <c r="H3390" t="str">
        <f t="shared" si="262"/>
        <v>—</v>
      </c>
      <c r="I3390" t="str">
        <f t="shared" si="263"/>
        <v>Below thresholds</v>
      </c>
      <c r="J3390" t="str">
        <f t="shared" si="264"/>
        <v/>
      </c>
    </row>
    <row r="3391" spans="1:10" x14ac:dyDescent="0.2">
      <c r="A3391">
        <v>227262921745</v>
      </c>
      <c r="B3391" t="s">
        <v>7335</v>
      </c>
      <c r="C3391" t="s">
        <v>7336</v>
      </c>
      <c r="D3391">
        <v>1.25</v>
      </c>
      <c r="F3391" t="str">
        <f t="shared" si="260"/>
        <v>No</v>
      </c>
      <c r="G3391" t="str">
        <f t="shared" si="261"/>
        <v/>
      </c>
      <c r="H3391" t="str">
        <f t="shared" si="262"/>
        <v>—</v>
      </c>
      <c r="I3391" t="str">
        <f t="shared" si="263"/>
        <v>Below thresholds</v>
      </c>
      <c r="J3391" t="str">
        <f t="shared" si="264"/>
        <v/>
      </c>
    </row>
    <row r="3392" spans="1:10" x14ac:dyDescent="0.2">
      <c r="A3392">
        <v>227262921841</v>
      </c>
      <c r="B3392" t="s">
        <v>7337</v>
      </c>
      <c r="C3392" t="s">
        <v>7338</v>
      </c>
      <c r="D3392">
        <v>2.5</v>
      </c>
      <c r="F3392" t="str">
        <f t="shared" si="260"/>
        <v>No</v>
      </c>
      <c r="G3392" t="str">
        <f t="shared" si="261"/>
        <v/>
      </c>
      <c r="H3392" t="str">
        <f t="shared" si="262"/>
        <v>—</v>
      </c>
      <c r="I3392" t="str">
        <f t="shared" si="263"/>
        <v>Below thresholds</v>
      </c>
      <c r="J3392" t="str">
        <f t="shared" si="264"/>
        <v/>
      </c>
    </row>
    <row r="3393" spans="1:10" x14ac:dyDescent="0.2">
      <c r="A3393">
        <v>227262921857</v>
      </c>
      <c r="B3393" t="s">
        <v>7339</v>
      </c>
      <c r="C3393" t="s">
        <v>7340</v>
      </c>
      <c r="D3393">
        <v>1.99</v>
      </c>
      <c r="F3393" t="str">
        <f t="shared" si="260"/>
        <v>No</v>
      </c>
      <c r="G3393" t="str">
        <f t="shared" si="261"/>
        <v/>
      </c>
      <c r="H3393" t="str">
        <f t="shared" si="262"/>
        <v>—</v>
      </c>
      <c r="I3393" t="str">
        <f t="shared" si="263"/>
        <v>Below thresholds</v>
      </c>
      <c r="J3393" t="str">
        <f t="shared" si="264"/>
        <v/>
      </c>
    </row>
    <row r="3394" spans="1:10" x14ac:dyDescent="0.2">
      <c r="A3394">
        <v>227262921882</v>
      </c>
      <c r="B3394" t="s">
        <v>7341</v>
      </c>
      <c r="C3394" t="s">
        <v>7342</v>
      </c>
      <c r="D3394">
        <v>1.5</v>
      </c>
      <c r="F3394" t="str">
        <f t="shared" si="260"/>
        <v>No</v>
      </c>
      <c r="G3394" t="str">
        <f t="shared" si="261"/>
        <v/>
      </c>
      <c r="H3394" t="str">
        <f t="shared" si="262"/>
        <v>—</v>
      </c>
      <c r="I3394" t="str">
        <f t="shared" si="263"/>
        <v>Below thresholds</v>
      </c>
      <c r="J3394" t="str">
        <f t="shared" si="264"/>
        <v/>
      </c>
    </row>
    <row r="3395" spans="1:10" x14ac:dyDescent="0.2">
      <c r="A3395">
        <v>227262921919</v>
      </c>
      <c r="B3395" t="s">
        <v>7343</v>
      </c>
      <c r="C3395" t="s">
        <v>7344</v>
      </c>
      <c r="D3395">
        <v>1.99</v>
      </c>
      <c r="F3395" t="str">
        <f t="shared" si="260"/>
        <v>No</v>
      </c>
      <c r="G3395" t="str">
        <f t="shared" si="261"/>
        <v/>
      </c>
      <c r="H3395" t="str">
        <f t="shared" si="262"/>
        <v>—</v>
      </c>
      <c r="I3395" t="str">
        <f t="shared" si="263"/>
        <v>Below thresholds</v>
      </c>
      <c r="J3395" t="str">
        <f t="shared" si="264"/>
        <v/>
      </c>
    </row>
    <row r="3396" spans="1:10" x14ac:dyDescent="0.2">
      <c r="A3396">
        <v>227262921945</v>
      </c>
      <c r="B3396" t="s">
        <v>7345</v>
      </c>
      <c r="C3396" t="s">
        <v>7346</v>
      </c>
      <c r="D3396">
        <v>1.79</v>
      </c>
      <c r="F3396" t="str">
        <f t="shared" si="260"/>
        <v>No</v>
      </c>
      <c r="G3396" t="str">
        <f t="shared" si="261"/>
        <v/>
      </c>
      <c r="H3396" t="str">
        <f t="shared" si="262"/>
        <v>—</v>
      </c>
      <c r="I3396" t="str">
        <f t="shared" si="263"/>
        <v>Below thresholds</v>
      </c>
      <c r="J3396" t="str">
        <f t="shared" si="264"/>
        <v/>
      </c>
    </row>
    <row r="3397" spans="1:10" x14ac:dyDescent="0.2">
      <c r="A3397">
        <v>227262922015</v>
      </c>
      <c r="B3397" t="s">
        <v>7347</v>
      </c>
      <c r="C3397" t="s">
        <v>7348</v>
      </c>
      <c r="D3397">
        <v>0.99</v>
      </c>
      <c r="F3397" t="str">
        <f t="shared" ref="F3397:F3460" si="265">IF($B3397="","",IF(ISNUMBER(SEARCH("PSA",$B3397)),"Yes","No"))</f>
        <v>No</v>
      </c>
      <c r="G3397" t="str">
        <f t="shared" ref="G3397:G3460" si="266">IF($B3397="","",IF(ISNUMBER(SEARCH("PSA 10",$B3397)),10,IF(ISNUMBER(SEARCH("PSA 9.5",$B3397)),9.5,IF(ISNUMBER(SEARCH("PSA 9",$B3397)),9,IF(ISNUMBER(SEARCH("PSA 8",$B3397)),8,IF(ISNUMBER(SEARCH("PSA",$B3397)),"&lt;9",""))))))</f>
        <v/>
      </c>
      <c r="H3397" t="str">
        <f t="shared" ref="H3397:H3460" si="267">IF($B3397="","",IF($D3397&gt;=100,"TIER 2",IF(OR(ISNUMBER(SEARCH("PSA 10",$B3397)),ISNUMBER(SEARCH("PSA 9.5",$B3397)),ISNUMBER(SEARCH("PSA 9",$B3397))),"TIER 3",IF(AND($D3397&gt;20,N($E3397)&gt;=15),"TIER 1","—"))))</f>
        <v>—</v>
      </c>
      <c r="I3397" t="str">
        <f t="shared" ref="I3397:I3460" si="268">IF($B3397="","",IF($D3397&gt;=100,"Premium $100+ (auto)",IF(OR(ISNUMBER(SEARCH("PSA 10",$B3397)),ISNUMBER(SEARCH("PSA 9.5",$B3397)),ISNUMBER(SEARCH("PSA 9",$B3397))),"Graded PSA 9+ (auto)",IF(AND($D3397&gt;20,N($E3397)&gt;=15),"Hot: $20+ &amp; "&amp;$E3397&amp;"/day",IF($D3397&gt;20,"$20+ — needs velocity check","Below thresholds")))))</f>
        <v>Below thresholds</v>
      </c>
      <c r="J3397" t="str">
        <f t="shared" ref="J3397:J3460" si="269">IF($B3397="","",IF(AND($D3397&gt;20,$D3397&lt;100,NOT(OR(ISNUMBER(SEARCH("PSA 10",$B3397)),ISNUMBER(SEARCH("PSA 9.5",$B3397)),ISNUMBER(SEARCH("PSA 9",$B3397)))),$E3397=""),"YES — pull CardHedger",""))</f>
        <v/>
      </c>
    </row>
    <row r="3398" spans="1:10" x14ac:dyDescent="0.2">
      <c r="A3398">
        <v>227262922024</v>
      </c>
      <c r="B3398" t="s">
        <v>7349</v>
      </c>
      <c r="C3398" t="s">
        <v>7350</v>
      </c>
      <c r="D3398">
        <v>1.99</v>
      </c>
      <c r="F3398" t="str">
        <f t="shared" si="265"/>
        <v>No</v>
      </c>
      <c r="G3398" t="str">
        <f t="shared" si="266"/>
        <v/>
      </c>
      <c r="H3398" t="str">
        <f t="shared" si="267"/>
        <v>—</v>
      </c>
      <c r="I3398" t="str">
        <f t="shared" si="268"/>
        <v>Below thresholds</v>
      </c>
      <c r="J3398" t="str">
        <f t="shared" si="269"/>
        <v/>
      </c>
    </row>
    <row r="3399" spans="1:10" x14ac:dyDescent="0.2">
      <c r="A3399">
        <v>227262922040</v>
      </c>
      <c r="B3399" t="s">
        <v>7351</v>
      </c>
      <c r="C3399" t="s">
        <v>7352</v>
      </c>
      <c r="D3399">
        <v>1.99</v>
      </c>
      <c r="F3399" t="str">
        <f t="shared" si="265"/>
        <v>No</v>
      </c>
      <c r="G3399" t="str">
        <f t="shared" si="266"/>
        <v/>
      </c>
      <c r="H3399" t="str">
        <f t="shared" si="267"/>
        <v>—</v>
      </c>
      <c r="I3399" t="str">
        <f t="shared" si="268"/>
        <v>Below thresholds</v>
      </c>
      <c r="J3399" t="str">
        <f t="shared" si="269"/>
        <v/>
      </c>
    </row>
    <row r="3400" spans="1:10" x14ac:dyDescent="0.2">
      <c r="A3400">
        <v>227262922056</v>
      </c>
      <c r="B3400" t="s">
        <v>7353</v>
      </c>
      <c r="C3400" t="s">
        <v>7354</v>
      </c>
      <c r="D3400">
        <v>1.99</v>
      </c>
      <c r="F3400" t="str">
        <f t="shared" si="265"/>
        <v>No</v>
      </c>
      <c r="G3400" t="str">
        <f t="shared" si="266"/>
        <v/>
      </c>
      <c r="H3400" t="str">
        <f t="shared" si="267"/>
        <v>—</v>
      </c>
      <c r="I3400" t="str">
        <f t="shared" si="268"/>
        <v>Below thresholds</v>
      </c>
      <c r="J3400" t="str">
        <f t="shared" si="269"/>
        <v/>
      </c>
    </row>
    <row r="3401" spans="1:10" x14ac:dyDescent="0.2">
      <c r="A3401">
        <v>227262922170</v>
      </c>
      <c r="B3401" t="s">
        <v>7355</v>
      </c>
      <c r="C3401" t="s">
        <v>7356</v>
      </c>
      <c r="D3401">
        <v>1.99</v>
      </c>
      <c r="F3401" t="str">
        <f t="shared" si="265"/>
        <v>No</v>
      </c>
      <c r="G3401" t="str">
        <f t="shared" si="266"/>
        <v/>
      </c>
      <c r="H3401" t="str">
        <f t="shared" si="267"/>
        <v>—</v>
      </c>
      <c r="I3401" t="str">
        <f t="shared" si="268"/>
        <v>Below thresholds</v>
      </c>
      <c r="J3401" t="str">
        <f t="shared" si="269"/>
        <v/>
      </c>
    </row>
    <row r="3402" spans="1:10" x14ac:dyDescent="0.2">
      <c r="A3402">
        <v>227262922177</v>
      </c>
      <c r="B3402" t="s">
        <v>7357</v>
      </c>
      <c r="C3402" t="s">
        <v>7358</v>
      </c>
      <c r="D3402">
        <v>1.99</v>
      </c>
      <c r="F3402" t="str">
        <f t="shared" si="265"/>
        <v>No</v>
      </c>
      <c r="G3402" t="str">
        <f t="shared" si="266"/>
        <v/>
      </c>
      <c r="H3402" t="str">
        <f t="shared" si="267"/>
        <v>—</v>
      </c>
      <c r="I3402" t="str">
        <f t="shared" si="268"/>
        <v>Below thresholds</v>
      </c>
      <c r="J3402" t="str">
        <f t="shared" si="269"/>
        <v/>
      </c>
    </row>
    <row r="3403" spans="1:10" x14ac:dyDescent="0.2">
      <c r="A3403">
        <v>227262922180</v>
      </c>
      <c r="B3403" t="s">
        <v>7359</v>
      </c>
      <c r="C3403" t="s">
        <v>7360</v>
      </c>
      <c r="D3403">
        <v>1.99</v>
      </c>
      <c r="F3403" t="str">
        <f t="shared" si="265"/>
        <v>No</v>
      </c>
      <c r="G3403" t="str">
        <f t="shared" si="266"/>
        <v/>
      </c>
      <c r="H3403" t="str">
        <f t="shared" si="267"/>
        <v>—</v>
      </c>
      <c r="I3403" t="str">
        <f t="shared" si="268"/>
        <v>Below thresholds</v>
      </c>
      <c r="J3403" t="str">
        <f t="shared" si="269"/>
        <v/>
      </c>
    </row>
    <row r="3404" spans="1:10" x14ac:dyDescent="0.2">
      <c r="A3404">
        <v>227262922195</v>
      </c>
      <c r="B3404" t="s">
        <v>7361</v>
      </c>
      <c r="C3404" t="s">
        <v>7362</v>
      </c>
      <c r="D3404">
        <v>0.99</v>
      </c>
      <c r="F3404" t="str">
        <f t="shared" si="265"/>
        <v>No</v>
      </c>
      <c r="G3404" t="str">
        <f t="shared" si="266"/>
        <v/>
      </c>
      <c r="H3404" t="str">
        <f t="shared" si="267"/>
        <v>—</v>
      </c>
      <c r="I3404" t="str">
        <f t="shared" si="268"/>
        <v>Below thresholds</v>
      </c>
      <c r="J3404" t="str">
        <f t="shared" si="269"/>
        <v/>
      </c>
    </row>
    <row r="3405" spans="1:10" x14ac:dyDescent="0.2">
      <c r="A3405">
        <v>227262922197</v>
      </c>
      <c r="B3405" t="s">
        <v>7363</v>
      </c>
      <c r="C3405" t="s">
        <v>7364</v>
      </c>
      <c r="D3405">
        <v>1.25</v>
      </c>
      <c r="F3405" t="str">
        <f t="shared" si="265"/>
        <v>No</v>
      </c>
      <c r="G3405" t="str">
        <f t="shared" si="266"/>
        <v/>
      </c>
      <c r="H3405" t="str">
        <f t="shared" si="267"/>
        <v>—</v>
      </c>
      <c r="I3405" t="str">
        <f t="shared" si="268"/>
        <v>Below thresholds</v>
      </c>
      <c r="J3405" t="str">
        <f t="shared" si="269"/>
        <v/>
      </c>
    </row>
    <row r="3406" spans="1:10" x14ac:dyDescent="0.2">
      <c r="A3406">
        <v>227262922216</v>
      </c>
      <c r="B3406" t="s">
        <v>7365</v>
      </c>
      <c r="C3406" t="s">
        <v>7366</v>
      </c>
      <c r="D3406">
        <v>1.59</v>
      </c>
      <c r="F3406" t="str">
        <f t="shared" si="265"/>
        <v>No</v>
      </c>
      <c r="G3406" t="str">
        <f t="shared" si="266"/>
        <v/>
      </c>
      <c r="H3406" t="str">
        <f t="shared" si="267"/>
        <v>—</v>
      </c>
      <c r="I3406" t="str">
        <f t="shared" si="268"/>
        <v>Below thresholds</v>
      </c>
      <c r="J3406" t="str">
        <f t="shared" si="269"/>
        <v/>
      </c>
    </row>
    <row r="3407" spans="1:10" x14ac:dyDescent="0.2">
      <c r="A3407">
        <v>227262922221</v>
      </c>
      <c r="B3407" t="s">
        <v>7367</v>
      </c>
      <c r="C3407" t="s">
        <v>7368</v>
      </c>
      <c r="D3407">
        <v>1.59</v>
      </c>
      <c r="F3407" t="str">
        <f t="shared" si="265"/>
        <v>No</v>
      </c>
      <c r="G3407" t="str">
        <f t="shared" si="266"/>
        <v/>
      </c>
      <c r="H3407" t="str">
        <f t="shared" si="267"/>
        <v>—</v>
      </c>
      <c r="I3407" t="str">
        <f t="shared" si="268"/>
        <v>Below thresholds</v>
      </c>
      <c r="J3407" t="str">
        <f t="shared" si="269"/>
        <v/>
      </c>
    </row>
    <row r="3408" spans="1:10" x14ac:dyDescent="0.2">
      <c r="A3408">
        <v>227262922271</v>
      </c>
      <c r="B3408" t="s">
        <v>7369</v>
      </c>
      <c r="C3408" t="s">
        <v>7370</v>
      </c>
      <c r="D3408">
        <v>1.29</v>
      </c>
      <c r="F3408" t="str">
        <f t="shared" si="265"/>
        <v>No</v>
      </c>
      <c r="G3408" t="str">
        <f t="shared" si="266"/>
        <v/>
      </c>
      <c r="H3408" t="str">
        <f t="shared" si="267"/>
        <v>—</v>
      </c>
      <c r="I3408" t="str">
        <f t="shared" si="268"/>
        <v>Below thresholds</v>
      </c>
      <c r="J3408" t="str">
        <f t="shared" si="269"/>
        <v/>
      </c>
    </row>
    <row r="3409" spans="1:10" x14ac:dyDescent="0.2">
      <c r="A3409">
        <v>227262922274</v>
      </c>
      <c r="B3409" t="s">
        <v>7371</v>
      </c>
      <c r="C3409" t="s">
        <v>7372</v>
      </c>
      <c r="D3409">
        <v>1.5</v>
      </c>
      <c r="F3409" t="str">
        <f t="shared" si="265"/>
        <v>No</v>
      </c>
      <c r="G3409" t="str">
        <f t="shared" si="266"/>
        <v/>
      </c>
      <c r="H3409" t="str">
        <f t="shared" si="267"/>
        <v>—</v>
      </c>
      <c r="I3409" t="str">
        <f t="shared" si="268"/>
        <v>Below thresholds</v>
      </c>
      <c r="J3409" t="str">
        <f t="shared" si="269"/>
        <v/>
      </c>
    </row>
    <row r="3410" spans="1:10" x14ac:dyDescent="0.2">
      <c r="A3410">
        <v>227262922277</v>
      </c>
      <c r="B3410" t="s">
        <v>7373</v>
      </c>
      <c r="C3410" t="s">
        <v>7374</v>
      </c>
      <c r="D3410">
        <v>1.29</v>
      </c>
      <c r="F3410" t="str">
        <f t="shared" si="265"/>
        <v>No</v>
      </c>
      <c r="G3410" t="str">
        <f t="shared" si="266"/>
        <v/>
      </c>
      <c r="H3410" t="str">
        <f t="shared" si="267"/>
        <v>—</v>
      </c>
      <c r="I3410" t="str">
        <f t="shared" si="268"/>
        <v>Below thresholds</v>
      </c>
      <c r="J3410" t="str">
        <f t="shared" si="269"/>
        <v/>
      </c>
    </row>
    <row r="3411" spans="1:10" x14ac:dyDescent="0.2">
      <c r="A3411">
        <v>227262922289</v>
      </c>
      <c r="B3411" t="s">
        <v>7375</v>
      </c>
      <c r="C3411" t="s">
        <v>7376</v>
      </c>
      <c r="D3411">
        <v>1.59</v>
      </c>
      <c r="F3411" t="str">
        <f t="shared" si="265"/>
        <v>No</v>
      </c>
      <c r="G3411" t="str">
        <f t="shared" si="266"/>
        <v/>
      </c>
      <c r="H3411" t="str">
        <f t="shared" si="267"/>
        <v>—</v>
      </c>
      <c r="I3411" t="str">
        <f t="shared" si="268"/>
        <v>Below thresholds</v>
      </c>
      <c r="J3411" t="str">
        <f t="shared" si="269"/>
        <v/>
      </c>
    </row>
    <row r="3412" spans="1:10" x14ac:dyDescent="0.2">
      <c r="A3412">
        <v>227262922294</v>
      </c>
      <c r="B3412" t="s">
        <v>7377</v>
      </c>
      <c r="C3412" t="s">
        <v>7378</v>
      </c>
      <c r="D3412">
        <v>1.59</v>
      </c>
      <c r="F3412" t="str">
        <f t="shared" si="265"/>
        <v>No</v>
      </c>
      <c r="G3412" t="str">
        <f t="shared" si="266"/>
        <v/>
      </c>
      <c r="H3412" t="str">
        <f t="shared" si="267"/>
        <v>—</v>
      </c>
      <c r="I3412" t="str">
        <f t="shared" si="268"/>
        <v>Below thresholds</v>
      </c>
      <c r="J3412" t="str">
        <f t="shared" si="269"/>
        <v/>
      </c>
    </row>
    <row r="3413" spans="1:10" x14ac:dyDescent="0.2">
      <c r="A3413">
        <v>227262922295</v>
      </c>
      <c r="B3413" t="s">
        <v>7379</v>
      </c>
      <c r="C3413" t="s">
        <v>7380</v>
      </c>
      <c r="D3413">
        <v>1.59</v>
      </c>
      <c r="F3413" t="str">
        <f t="shared" si="265"/>
        <v>No</v>
      </c>
      <c r="G3413" t="str">
        <f t="shared" si="266"/>
        <v/>
      </c>
      <c r="H3413" t="str">
        <f t="shared" si="267"/>
        <v>—</v>
      </c>
      <c r="I3413" t="str">
        <f t="shared" si="268"/>
        <v>Below thresholds</v>
      </c>
      <c r="J3413" t="str">
        <f t="shared" si="269"/>
        <v/>
      </c>
    </row>
    <row r="3414" spans="1:10" x14ac:dyDescent="0.2">
      <c r="A3414">
        <v>227262922301</v>
      </c>
      <c r="B3414" t="s">
        <v>7381</v>
      </c>
      <c r="C3414" t="s">
        <v>7382</v>
      </c>
      <c r="D3414">
        <v>1.59</v>
      </c>
      <c r="F3414" t="str">
        <f t="shared" si="265"/>
        <v>No</v>
      </c>
      <c r="G3414" t="str">
        <f t="shared" si="266"/>
        <v/>
      </c>
      <c r="H3414" t="str">
        <f t="shared" si="267"/>
        <v>—</v>
      </c>
      <c r="I3414" t="str">
        <f t="shared" si="268"/>
        <v>Below thresholds</v>
      </c>
      <c r="J3414" t="str">
        <f t="shared" si="269"/>
        <v/>
      </c>
    </row>
    <row r="3415" spans="1:10" x14ac:dyDescent="0.2">
      <c r="A3415">
        <v>227262922311</v>
      </c>
      <c r="B3415" t="s">
        <v>7383</v>
      </c>
      <c r="C3415" t="s">
        <v>7384</v>
      </c>
      <c r="D3415">
        <v>1.59</v>
      </c>
      <c r="F3415" t="str">
        <f t="shared" si="265"/>
        <v>No</v>
      </c>
      <c r="G3415" t="str">
        <f t="shared" si="266"/>
        <v/>
      </c>
      <c r="H3415" t="str">
        <f t="shared" si="267"/>
        <v>—</v>
      </c>
      <c r="I3415" t="str">
        <f t="shared" si="268"/>
        <v>Below thresholds</v>
      </c>
      <c r="J3415" t="str">
        <f t="shared" si="269"/>
        <v/>
      </c>
    </row>
    <row r="3416" spans="1:10" x14ac:dyDescent="0.2">
      <c r="A3416">
        <v>227262922312</v>
      </c>
      <c r="B3416" t="s">
        <v>7385</v>
      </c>
      <c r="C3416" t="s">
        <v>7386</v>
      </c>
      <c r="D3416">
        <v>1.59</v>
      </c>
      <c r="F3416" t="str">
        <f t="shared" si="265"/>
        <v>No</v>
      </c>
      <c r="G3416" t="str">
        <f t="shared" si="266"/>
        <v/>
      </c>
      <c r="H3416" t="str">
        <f t="shared" si="267"/>
        <v>—</v>
      </c>
      <c r="I3416" t="str">
        <f t="shared" si="268"/>
        <v>Below thresholds</v>
      </c>
      <c r="J3416" t="str">
        <f t="shared" si="269"/>
        <v/>
      </c>
    </row>
    <row r="3417" spans="1:10" x14ac:dyDescent="0.2">
      <c r="A3417">
        <v>227262922319</v>
      </c>
      <c r="B3417" t="s">
        <v>7387</v>
      </c>
      <c r="C3417" t="s">
        <v>7388</v>
      </c>
      <c r="D3417">
        <v>1.59</v>
      </c>
      <c r="F3417" t="str">
        <f t="shared" si="265"/>
        <v>No</v>
      </c>
      <c r="G3417" t="str">
        <f t="shared" si="266"/>
        <v/>
      </c>
      <c r="H3417" t="str">
        <f t="shared" si="267"/>
        <v>—</v>
      </c>
      <c r="I3417" t="str">
        <f t="shared" si="268"/>
        <v>Below thresholds</v>
      </c>
      <c r="J3417" t="str">
        <f t="shared" si="269"/>
        <v/>
      </c>
    </row>
    <row r="3418" spans="1:10" x14ac:dyDescent="0.2">
      <c r="A3418">
        <v>227262922320</v>
      </c>
      <c r="B3418" t="s">
        <v>7389</v>
      </c>
      <c r="C3418" t="s">
        <v>7390</v>
      </c>
      <c r="D3418">
        <v>1.59</v>
      </c>
      <c r="F3418" t="str">
        <f t="shared" si="265"/>
        <v>No</v>
      </c>
      <c r="G3418" t="str">
        <f t="shared" si="266"/>
        <v/>
      </c>
      <c r="H3418" t="str">
        <f t="shared" si="267"/>
        <v>—</v>
      </c>
      <c r="I3418" t="str">
        <f t="shared" si="268"/>
        <v>Below thresholds</v>
      </c>
      <c r="J3418" t="str">
        <f t="shared" si="269"/>
        <v/>
      </c>
    </row>
    <row r="3419" spans="1:10" x14ac:dyDescent="0.2">
      <c r="A3419">
        <v>227262922325</v>
      </c>
      <c r="B3419" t="s">
        <v>7391</v>
      </c>
      <c r="C3419" t="s">
        <v>7392</v>
      </c>
      <c r="D3419">
        <v>1.59</v>
      </c>
      <c r="F3419" t="str">
        <f t="shared" si="265"/>
        <v>No</v>
      </c>
      <c r="G3419" t="str">
        <f t="shared" si="266"/>
        <v/>
      </c>
      <c r="H3419" t="str">
        <f t="shared" si="267"/>
        <v>—</v>
      </c>
      <c r="I3419" t="str">
        <f t="shared" si="268"/>
        <v>Below thresholds</v>
      </c>
      <c r="J3419" t="str">
        <f t="shared" si="269"/>
        <v/>
      </c>
    </row>
    <row r="3420" spans="1:10" x14ac:dyDescent="0.2">
      <c r="A3420">
        <v>227262922326</v>
      </c>
      <c r="B3420" t="s">
        <v>7393</v>
      </c>
      <c r="C3420" t="s">
        <v>7394</v>
      </c>
      <c r="D3420">
        <v>2.99</v>
      </c>
      <c r="F3420" t="str">
        <f t="shared" si="265"/>
        <v>No</v>
      </c>
      <c r="G3420" t="str">
        <f t="shared" si="266"/>
        <v/>
      </c>
      <c r="H3420" t="str">
        <f t="shared" si="267"/>
        <v>—</v>
      </c>
      <c r="I3420" t="str">
        <f t="shared" si="268"/>
        <v>Below thresholds</v>
      </c>
      <c r="J3420" t="str">
        <f t="shared" si="269"/>
        <v/>
      </c>
    </row>
    <row r="3421" spans="1:10" x14ac:dyDescent="0.2">
      <c r="A3421">
        <v>227262922330</v>
      </c>
      <c r="B3421" t="s">
        <v>7395</v>
      </c>
      <c r="C3421" t="s">
        <v>7396</v>
      </c>
      <c r="D3421">
        <v>1.49</v>
      </c>
      <c r="F3421" t="str">
        <f t="shared" si="265"/>
        <v>No</v>
      </c>
      <c r="G3421" t="str">
        <f t="shared" si="266"/>
        <v/>
      </c>
      <c r="H3421" t="str">
        <f t="shared" si="267"/>
        <v>—</v>
      </c>
      <c r="I3421" t="str">
        <f t="shared" si="268"/>
        <v>Below thresholds</v>
      </c>
      <c r="J3421" t="str">
        <f t="shared" si="269"/>
        <v/>
      </c>
    </row>
    <row r="3422" spans="1:10" x14ac:dyDescent="0.2">
      <c r="A3422">
        <v>227262922335</v>
      </c>
      <c r="B3422" t="s">
        <v>7397</v>
      </c>
      <c r="C3422" t="s">
        <v>7398</v>
      </c>
      <c r="D3422">
        <v>1.99</v>
      </c>
      <c r="F3422" t="str">
        <f t="shared" si="265"/>
        <v>No</v>
      </c>
      <c r="G3422" t="str">
        <f t="shared" si="266"/>
        <v/>
      </c>
      <c r="H3422" t="str">
        <f t="shared" si="267"/>
        <v>—</v>
      </c>
      <c r="I3422" t="str">
        <f t="shared" si="268"/>
        <v>Below thresholds</v>
      </c>
      <c r="J3422" t="str">
        <f t="shared" si="269"/>
        <v/>
      </c>
    </row>
    <row r="3423" spans="1:10" x14ac:dyDescent="0.2">
      <c r="A3423">
        <v>227262922345</v>
      </c>
      <c r="B3423" t="s">
        <v>7399</v>
      </c>
      <c r="C3423" t="s">
        <v>7400</v>
      </c>
      <c r="D3423">
        <v>1.99</v>
      </c>
      <c r="F3423" t="str">
        <f t="shared" si="265"/>
        <v>No</v>
      </c>
      <c r="G3423" t="str">
        <f t="shared" si="266"/>
        <v/>
      </c>
      <c r="H3423" t="str">
        <f t="shared" si="267"/>
        <v>—</v>
      </c>
      <c r="I3423" t="str">
        <f t="shared" si="268"/>
        <v>Below thresholds</v>
      </c>
      <c r="J3423" t="str">
        <f t="shared" si="269"/>
        <v/>
      </c>
    </row>
    <row r="3424" spans="1:10" x14ac:dyDescent="0.2">
      <c r="A3424">
        <v>227262922350</v>
      </c>
      <c r="B3424" t="s">
        <v>7401</v>
      </c>
      <c r="C3424" t="s">
        <v>7402</v>
      </c>
      <c r="D3424">
        <v>1.79</v>
      </c>
      <c r="F3424" t="str">
        <f t="shared" si="265"/>
        <v>No</v>
      </c>
      <c r="G3424" t="str">
        <f t="shared" si="266"/>
        <v/>
      </c>
      <c r="H3424" t="str">
        <f t="shared" si="267"/>
        <v>—</v>
      </c>
      <c r="I3424" t="str">
        <f t="shared" si="268"/>
        <v>Below thresholds</v>
      </c>
      <c r="J3424" t="str">
        <f t="shared" si="269"/>
        <v/>
      </c>
    </row>
    <row r="3425" spans="1:10" x14ac:dyDescent="0.2">
      <c r="A3425">
        <v>227262922355</v>
      </c>
      <c r="B3425" t="s">
        <v>7403</v>
      </c>
      <c r="C3425" t="s">
        <v>7404</v>
      </c>
      <c r="D3425">
        <v>4</v>
      </c>
      <c r="F3425" t="str">
        <f t="shared" si="265"/>
        <v>No</v>
      </c>
      <c r="G3425" t="str">
        <f t="shared" si="266"/>
        <v/>
      </c>
      <c r="H3425" t="str">
        <f t="shared" si="267"/>
        <v>—</v>
      </c>
      <c r="I3425" t="str">
        <f t="shared" si="268"/>
        <v>Below thresholds</v>
      </c>
      <c r="J3425" t="str">
        <f t="shared" si="269"/>
        <v/>
      </c>
    </row>
    <row r="3426" spans="1:10" x14ac:dyDescent="0.2">
      <c r="A3426">
        <v>227262922356</v>
      </c>
      <c r="B3426" t="s">
        <v>7405</v>
      </c>
      <c r="C3426" t="s">
        <v>7406</v>
      </c>
      <c r="D3426">
        <v>1.25</v>
      </c>
      <c r="F3426" t="str">
        <f t="shared" si="265"/>
        <v>No</v>
      </c>
      <c r="G3426" t="str">
        <f t="shared" si="266"/>
        <v/>
      </c>
      <c r="H3426" t="str">
        <f t="shared" si="267"/>
        <v>—</v>
      </c>
      <c r="I3426" t="str">
        <f t="shared" si="268"/>
        <v>Below thresholds</v>
      </c>
      <c r="J3426" t="str">
        <f t="shared" si="269"/>
        <v/>
      </c>
    </row>
    <row r="3427" spans="1:10" x14ac:dyDescent="0.2">
      <c r="A3427">
        <v>227262922357</v>
      </c>
      <c r="B3427" t="s">
        <v>7407</v>
      </c>
      <c r="C3427" t="s">
        <v>7408</v>
      </c>
      <c r="D3427">
        <v>1.25</v>
      </c>
      <c r="F3427" t="str">
        <f t="shared" si="265"/>
        <v>No</v>
      </c>
      <c r="G3427" t="str">
        <f t="shared" si="266"/>
        <v/>
      </c>
      <c r="H3427" t="str">
        <f t="shared" si="267"/>
        <v>—</v>
      </c>
      <c r="I3427" t="str">
        <f t="shared" si="268"/>
        <v>Below thresholds</v>
      </c>
      <c r="J3427" t="str">
        <f t="shared" si="269"/>
        <v/>
      </c>
    </row>
    <row r="3428" spans="1:10" x14ac:dyDescent="0.2">
      <c r="A3428">
        <v>227262922360</v>
      </c>
      <c r="B3428" t="s">
        <v>7409</v>
      </c>
      <c r="C3428" t="s">
        <v>7410</v>
      </c>
      <c r="D3428">
        <v>1.59</v>
      </c>
      <c r="F3428" t="str">
        <f t="shared" si="265"/>
        <v>No</v>
      </c>
      <c r="G3428" t="str">
        <f t="shared" si="266"/>
        <v/>
      </c>
      <c r="H3428" t="str">
        <f t="shared" si="267"/>
        <v>—</v>
      </c>
      <c r="I3428" t="str">
        <f t="shared" si="268"/>
        <v>Below thresholds</v>
      </c>
      <c r="J3428" t="str">
        <f t="shared" si="269"/>
        <v/>
      </c>
    </row>
    <row r="3429" spans="1:10" x14ac:dyDescent="0.2">
      <c r="A3429">
        <v>227262922368</v>
      </c>
      <c r="B3429" t="s">
        <v>7411</v>
      </c>
      <c r="C3429" t="s">
        <v>7412</v>
      </c>
      <c r="D3429">
        <v>1.59</v>
      </c>
      <c r="F3429" t="str">
        <f t="shared" si="265"/>
        <v>No</v>
      </c>
      <c r="G3429" t="str">
        <f t="shared" si="266"/>
        <v/>
      </c>
      <c r="H3429" t="str">
        <f t="shared" si="267"/>
        <v>—</v>
      </c>
      <c r="I3429" t="str">
        <f t="shared" si="268"/>
        <v>Below thresholds</v>
      </c>
      <c r="J3429" t="str">
        <f t="shared" si="269"/>
        <v/>
      </c>
    </row>
    <row r="3430" spans="1:10" x14ac:dyDescent="0.2">
      <c r="A3430">
        <v>227262922376</v>
      </c>
      <c r="B3430" t="s">
        <v>7413</v>
      </c>
      <c r="C3430" t="s">
        <v>7414</v>
      </c>
      <c r="D3430">
        <v>9</v>
      </c>
      <c r="F3430" t="str">
        <f t="shared" si="265"/>
        <v>No</v>
      </c>
      <c r="G3430" t="str">
        <f t="shared" si="266"/>
        <v/>
      </c>
      <c r="H3430" t="str">
        <f t="shared" si="267"/>
        <v>—</v>
      </c>
      <c r="I3430" t="str">
        <f t="shared" si="268"/>
        <v>Below thresholds</v>
      </c>
      <c r="J3430" t="str">
        <f t="shared" si="269"/>
        <v/>
      </c>
    </row>
    <row r="3431" spans="1:10" x14ac:dyDescent="0.2">
      <c r="A3431">
        <v>227262922377</v>
      </c>
      <c r="B3431" t="s">
        <v>7415</v>
      </c>
      <c r="C3431" t="s">
        <v>7416</v>
      </c>
      <c r="D3431">
        <v>1.59</v>
      </c>
      <c r="F3431" t="str">
        <f t="shared" si="265"/>
        <v>No</v>
      </c>
      <c r="G3431" t="str">
        <f t="shared" si="266"/>
        <v/>
      </c>
      <c r="H3431" t="str">
        <f t="shared" si="267"/>
        <v>—</v>
      </c>
      <c r="I3431" t="str">
        <f t="shared" si="268"/>
        <v>Below thresholds</v>
      </c>
      <c r="J3431" t="str">
        <f t="shared" si="269"/>
        <v/>
      </c>
    </row>
    <row r="3432" spans="1:10" x14ac:dyDescent="0.2">
      <c r="A3432">
        <v>227262922388</v>
      </c>
      <c r="B3432" t="s">
        <v>7417</v>
      </c>
      <c r="C3432" t="s">
        <v>7418</v>
      </c>
      <c r="D3432">
        <v>9.59</v>
      </c>
      <c r="F3432" t="str">
        <f t="shared" si="265"/>
        <v>No</v>
      </c>
      <c r="G3432" t="str">
        <f t="shared" si="266"/>
        <v/>
      </c>
      <c r="H3432" t="str">
        <f t="shared" si="267"/>
        <v>—</v>
      </c>
      <c r="I3432" t="str">
        <f t="shared" si="268"/>
        <v>Below thresholds</v>
      </c>
      <c r="J3432" t="str">
        <f t="shared" si="269"/>
        <v/>
      </c>
    </row>
    <row r="3433" spans="1:10" x14ac:dyDescent="0.2">
      <c r="A3433">
        <v>227262922391</v>
      </c>
      <c r="B3433" t="s">
        <v>7419</v>
      </c>
      <c r="C3433" t="s">
        <v>7420</v>
      </c>
      <c r="D3433">
        <v>2.2200000000000002</v>
      </c>
      <c r="F3433" t="str">
        <f t="shared" si="265"/>
        <v>No</v>
      </c>
      <c r="G3433" t="str">
        <f t="shared" si="266"/>
        <v/>
      </c>
      <c r="H3433" t="str">
        <f t="shared" si="267"/>
        <v>—</v>
      </c>
      <c r="I3433" t="str">
        <f t="shared" si="268"/>
        <v>Below thresholds</v>
      </c>
      <c r="J3433" t="str">
        <f t="shared" si="269"/>
        <v/>
      </c>
    </row>
    <row r="3434" spans="1:10" x14ac:dyDescent="0.2">
      <c r="A3434">
        <v>227262922394</v>
      </c>
      <c r="B3434" t="s">
        <v>7421</v>
      </c>
      <c r="C3434" t="s">
        <v>7422</v>
      </c>
      <c r="D3434">
        <v>40</v>
      </c>
      <c r="F3434" t="str">
        <f t="shared" si="265"/>
        <v>No</v>
      </c>
      <c r="G3434" t="str">
        <f t="shared" si="266"/>
        <v/>
      </c>
      <c r="H3434" t="str">
        <f t="shared" si="267"/>
        <v>—</v>
      </c>
      <c r="I3434" t="str">
        <f t="shared" si="268"/>
        <v>$20+ — needs velocity check</v>
      </c>
      <c r="J3434" t="str">
        <f t="shared" si="269"/>
        <v>YES — pull CardHedger</v>
      </c>
    </row>
    <row r="3435" spans="1:10" x14ac:dyDescent="0.2">
      <c r="A3435">
        <v>227262922395</v>
      </c>
      <c r="B3435" t="s">
        <v>7423</v>
      </c>
      <c r="C3435" t="s">
        <v>7424</v>
      </c>
      <c r="D3435">
        <v>5.14</v>
      </c>
      <c r="F3435" t="str">
        <f t="shared" si="265"/>
        <v>No</v>
      </c>
      <c r="G3435" t="str">
        <f t="shared" si="266"/>
        <v/>
      </c>
      <c r="H3435" t="str">
        <f t="shared" si="267"/>
        <v>—</v>
      </c>
      <c r="I3435" t="str">
        <f t="shared" si="268"/>
        <v>Below thresholds</v>
      </c>
      <c r="J3435" t="str">
        <f t="shared" si="269"/>
        <v/>
      </c>
    </row>
    <row r="3436" spans="1:10" x14ac:dyDescent="0.2">
      <c r="A3436">
        <v>227262922399</v>
      </c>
      <c r="B3436" t="s">
        <v>7425</v>
      </c>
      <c r="C3436" t="s">
        <v>7426</v>
      </c>
      <c r="D3436">
        <v>22</v>
      </c>
      <c r="F3436" t="str">
        <f t="shared" si="265"/>
        <v>No</v>
      </c>
      <c r="G3436" t="str">
        <f t="shared" si="266"/>
        <v/>
      </c>
      <c r="H3436" t="str">
        <f t="shared" si="267"/>
        <v>—</v>
      </c>
      <c r="I3436" t="str">
        <f t="shared" si="268"/>
        <v>$20+ — needs velocity check</v>
      </c>
      <c r="J3436" t="str">
        <f t="shared" si="269"/>
        <v>YES — pull CardHedger</v>
      </c>
    </row>
    <row r="3437" spans="1:10" x14ac:dyDescent="0.2">
      <c r="A3437">
        <v>227262922487</v>
      </c>
      <c r="B3437" t="s">
        <v>7427</v>
      </c>
      <c r="C3437" t="s">
        <v>7428</v>
      </c>
      <c r="D3437">
        <v>3.99</v>
      </c>
      <c r="F3437" t="str">
        <f t="shared" si="265"/>
        <v>No</v>
      </c>
      <c r="G3437" t="str">
        <f t="shared" si="266"/>
        <v/>
      </c>
      <c r="H3437" t="str">
        <f t="shared" si="267"/>
        <v>—</v>
      </c>
      <c r="I3437" t="str">
        <f t="shared" si="268"/>
        <v>Below thresholds</v>
      </c>
      <c r="J3437" t="str">
        <f t="shared" si="269"/>
        <v/>
      </c>
    </row>
    <row r="3438" spans="1:10" x14ac:dyDescent="0.2">
      <c r="A3438">
        <v>227262922492</v>
      </c>
      <c r="B3438" t="s">
        <v>7429</v>
      </c>
      <c r="C3438" t="s">
        <v>7430</v>
      </c>
      <c r="D3438">
        <v>3.5</v>
      </c>
      <c r="F3438" t="str">
        <f t="shared" si="265"/>
        <v>No</v>
      </c>
      <c r="G3438" t="str">
        <f t="shared" si="266"/>
        <v/>
      </c>
      <c r="H3438" t="str">
        <f t="shared" si="267"/>
        <v>—</v>
      </c>
      <c r="I3438" t="str">
        <f t="shared" si="268"/>
        <v>Below thresholds</v>
      </c>
      <c r="J3438" t="str">
        <f t="shared" si="269"/>
        <v/>
      </c>
    </row>
    <row r="3439" spans="1:10" x14ac:dyDescent="0.2">
      <c r="A3439">
        <v>227262922493</v>
      </c>
      <c r="B3439" t="s">
        <v>7431</v>
      </c>
      <c r="C3439" t="s">
        <v>7432</v>
      </c>
      <c r="D3439">
        <v>5.99</v>
      </c>
      <c r="F3439" t="str">
        <f t="shared" si="265"/>
        <v>No</v>
      </c>
      <c r="G3439" t="str">
        <f t="shared" si="266"/>
        <v/>
      </c>
      <c r="H3439" t="str">
        <f t="shared" si="267"/>
        <v>—</v>
      </c>
      <c r="I3439" t="str">
        <f t="shared" si="268"/>
        <v>Below thresholds</v>
      </c>
      <c r="J3439" t="str">
        <f t="shared" si="269"/>
        <v/>
      </c>
    </row>
    <row r="3440" spans="1:10" x14ac:dyDescent="0.2">
      <c r="A3440">
        <v>227262955131</v>
      </c>
      <c r="B3440" t="s">
        <v>7433</v>
      </c>
      <c r="C3440" t="s">
        <v>7434</v>
      </c>
      <c r="D3440">
        <v>1.99</v>
      </c>
      <c r="F3440" t="str">
        <f t="shared" si="265"/>
        <v>No</v>
      </c>
      <c r="G3440" t="str">
        <f t="shared" si="266"/>
        <v/>
      </c>
      <c r="H3440" t="str">
        <f t="shared" si="267"/>
        <v>—</v>
      </c>
      <c r="I3440" t="str">
        <f t="shared" si="268"/>
        <v>Below thresholds</v>
      </c>
      <c r="J3440" t="str">
        <f t="shared" si="269"/>
        <v/>
      </c>
    </row>
    <row r="3441" spans="1:10" x14ac:dyDescent="0.2">
      <c r="A3441">
        <v>227262955132</v>
      </c>
      <c r="B3441" t="s">
        <v>7435</v>
      </c>
      <c r="C3441" t="s">
        <v>7436</v>
      </c>
      <c r="D3441">
        <v>1.99</v>
      </c>
      <c r="F3441" t="str">
        <f t="shared" si="265"/>
        <v>No</v>
      </c>
      <c r="G3441" t="str">
        <f t="shared" si="266"/>
        <v/>
      </c>
      <c r="H3441" t="str">
        <f t="shared" si="267"/>
        <v>—</v>
      </c>
      <c r="I3441" t="str">
        <f t="shared" si="268"/>
        <v>Below thresholds</v>
      </c>
      <c r="J3441" t="str">
        <f t="shared" si="269"/>
        <v/>
      </c>
    </row>
    <row r="3442" spans="1:10" x14ac:dyDescent="0.2">
      <c r="A3442">
        <v>227262955133</v>
      </c>
      <c r="B3442" t="s">
        <v>7437</v>
      </c>
      <c r="C3442" t="s">
        <v>7438</v>
      </c>
      <c r="D3442">
        <v>1.99</v>
      </c>
      <c r="F3442" t="str">
        <f t="shared" si="265"/>
        <v>No</v>
      </c>
      <c r="G3442" t="str">
        <f t="shared" si="266"/>
        <v/>
      </c>
      <c r="H3442" t="str">
        <f t="shared" si="267"/>
        <v>—</v>
      </c>
      <c r="I3442" t="str">
        <f t="shared" si="268"/>
        <v>Below thresholds</v>
      </c>
      <c r="J3442" t="str">
        <f t="shared" si="269"/>
        <v/>
      </c>
    </row>
    <row r="3443" spans="1:10" x14ac:dyDescent="0.2">
      <c r="A3443">
        <v>227262955135</v>
      </c>
      <c r="B3443" t="s">
        <v>7439</v>
      </c>
      <c r="C3443" t="s">
        <v>7440</v>
      </c>
      <c r="D3443">
        <v>1.99</v>
      </c>
      <c r="F3443" t="str">
        <f t="shared" si="265"/>
        <v>No</v>
      </c>
      <c r="G3443" t="str">
        <f t="shared" si="266"/>
        <v/>
      </c>
      <c r="H3443" t="str">
        <f t="shared" si="267"/>
        <v>—</v>
      </c>
      <c r="I3443" t="str">
        <f t="shared" si="268"/>
        <v>Below thresholds</v>
      </c>
      <c r="J3443" t="str">
        <f t="shared" si="269"/>
        <v/>
      </c>
    </row>
    <row r="3444" spans="1:10" x14ac:dyDescent="0.2">
      <c r="A3444">
        <v>227262955136</v>
      </c>
      <c r="B3444" t="s">
        <v>7441</v>
      </c>
      <c r="C3444" t="s">
        <v>7442</v>
      </c>
      <c r="D3444">
        <v>1.99</v>
      </c>
      <c r="F3444" t="str">
        <f t="shared" si="265"/>
        <v>No</v>
      </c>
      <c r="G3444" t="str">
        <f t="shared" si="266"/>
        <v/>
      </c>
      <c r="H3444" t="str">
        <f t="shared" si="267"/>
        <v>—</v>
      </c>
      <c r="I3444" t="str">
        <f t="shared" si="268"/>
        <v>Below thresholds</v>
      </c>
      <c r="J3444" t="str">
        <f t="shared" si="269"/>
        <v/>
      </c>
    </row>
    <row r="3445" spans="1:10" x14ac:dyDescent="0.2">
      <c r="A3445">
        <v>227262955137</v>
      </c>
      <c r="B3445" t="s">
        <v>7443</v>
      </c>
      <c r="C3445" t="s">
        <v>7444</v>
      </c>
      <c r="D3445">
        <v>1.99</v>
      </c>
      <c r="F3445" t="str">
        <f t="shared" si="265"/>
        <v>No</v>
      </c>
      <c r="G3445" t="str">
        <f t="shared" si="266"/>
        <v/>
      </c>
      <c r="H3445" t="str">
        <f t="shared" si="267"/>
        <v>—</v>
      </c>
      <c r="I3445" t="str">
        <f t="shared" si="268"/>
        <v>Below thresholds</v>
      </c>
      <c r="J3445" t="str">
        <f t="shared" si="269"/>
        <v/>
      </c>
    </row>
    <row r="3446" spans="1:10" x14ac:dyDescent="0.2">
      <c r="A3446">
        <v>227262955139</v>
      </c>
      <c r="B3446" t="s">
        <v>7445</v>
      </c>
      <c r="C3446" t="s">
        <v>7446</v>
      </c>
      <c r="D3446">
        <v>1.99</v>
      </c>
      <c r="F3446" t="str">
        <f t="shared" si="265"/>
        <v>No</v>
      </c>
      <c r="G3446" t="str">
        <f t="shared" si="266"/>
        <v/>
      </c>
      <c r="H3446" t="str">
        <f t="shared" si="267"/>
        <v>—</v>
      </c>
      <c r="I3446" t="str">
        <f t="shared" si="268"/>
        <v>Below thresholds</v>
      </c>
      <c r="J3446" t="str">
        <f t="shared" si="269"/>
        <v/>
      </c>
    </row>
    <row r="3447" spans="1:10" x14ac:dyDescent="0.2">
      <c r="A3447">
        <v>227262955140</v>
      </c>
      <c r="B3447" t="s">
        <v>7447</v>
      </c>
      <c r="C3447" t="s">
        <v>7448</v>
      </c>
      <c r="D3447">
        <v>1.99</v>
      </c>
      <c r="F3447" t="str">
        <f t="shared" si="265"/>
        <v>No</v>
      </c>
      <c r="G3447" t="str">
        <f t="shared" si="266"/>
        <v/>
      </c>
      <c r="H3447" t="str">
        <f t="shared" si="267"/>
        <v>—</v>
      </c>
      <c r="I3447" t="str">
        <f t="shared" si="268"/>
        <v>Below thresholds</v>
      </c>
      <c r="J3447" t="str">
        <f t="shared" si="269"/>
        <v/>
      </c>
    </row>
    <row r="3448" spans="1:10" x14ac:dyDescent="0.2">
      <c r="A3448">
        <v>227262955141</v>
      </c>
      <c r="B3448" t="s">
        <v>7449</v>
      </c>
      <c r="C3448" t="s">
        <v>7450</v>
      </c>
      <c r="D3448">
        <v>1.99</v>
      </c>
      <c r="F3448" t="str">
        <f t="shared" si="265"/>
        <v>No</v>
      </c>
      <c r="G3448" t="str">
        <f t="shared" si="266"/>
        <v/>
      </c>
      <c r="H3448" t="str">
        <f t="shared" si="267"/>
        <v>—</v>
      </c>
      <c r="I3448" t="str">
        <f t="shared" si="268"/>
        <v>Below thresholds</v>
      </c>
      <c r="J3448" t="str">
        <f t="shared" si="269"/>
        <v/>
      </c>
    </row>
    <row r="3449" spans="1:10" x14ac:dyDescent="0.2">
      <c r="A3449">
        <v>227262955143</v>
      </c>
      <c r="B3449" t="s">
        <v>7451</v>
      </c>
      <c r="C3449" t="s">
        <v>7452</v>
      </c>
      <c r="D3449">
        <v>1.99</v>
      </c>
      <c r="F3449" t="str">
        <f t="shared" si="265"/>
        <v>No</v>
      </c>
      <c r="G3449" t="str">
        <f t="shared" si="266"/>
        <v/>
      </c>
      <c r="H3449" t="str">
        <f t="shared" si="267"/>
        <v>—</v>
      </c>
      <c r="I3449" t="str">
        <f t="shared" si="268"/>
        <v>Below thresholds</v>
      </c>
      <c r="J3449" t="str">
        <f t="shared" si="269"/>
        <v/>
      </c>
    </row>
    <row r="3450" spans="1:10" x14ac:dyDescent="0.2">
      <c r="A3450">
        <v>227262955168</v>
      </c>
      <c r="B3450" t="s">
        <v>7453</v>
      </c>
      <c r="C3450" t="s">
        <v>7454</v>
      </c>
      <c r="D3450">
        <v>1.99</v>
      </c>
      <c r="F3450" t="str">
        <f t="shared" si="265"/>
        <v>No</v>
      </c>
      <c r="G3450" t="str">
        <f t="shared" si="266"/>
        <v/>
      </c>
      <c r="H3450" t="str">
        <f t="shared" si="267"/>
        <v>—</v>
      </c>
      <c r="I3450" t="str">
        <f t="shared" si="268"/>
        <v>Below thresholds</v>
      </c>
      <c r="J3450" t="str">
        <f t="shared" si="269"/>
        <v/>
      </c>
    </row>
    <row r="3451" spans="1:10" x14ac:dyDescent="0.2">
      <c r="A3451">
        <v>227262955169</v>
      </c>
      <c r="B3451" t="s">
        <v>7455</v>
      </c>
      <c r="C3451" t="s">
        <v>7456</v>
      </c>
      <c r="D3451">
        <v>1.99</v>
      </c>
      <c r="F3451" t="str">
        <f t="shared" si="265"/>
        <v>No</v>
      </c>
      <c r="G3451" t="str">
        <f t="shared" si="266"/>
        <v/>
      </c>
      <c r="H3451" t="str">
        <f t="shared" si="267"/>
        <v>—</v>
      </c>
      <c r="I3451" t="str">
        <f t="shared" si="268"/>
        <v>Below thresholds</v>
      </c>
      <c r="J3451" t="str">
        <f t="shared" si="269"/>
        <v/>
      </c>
    </row>
    <row r="3452" spans="1:10" x14ac:dyDescent="0.2">
      <c r="A3452">
        <v>227262955176</v>
      </c>
      <c r="B3452" t="s">
        <v>7457</v>
      </c>
      <c r="C3452" t="s">
        <v>7458</v>
      </c>
      <c r="D3452">
        <v>1.99</v>
      </c>
      <c r="F3452" t="str">
        <f t="shared" si="265"/>
        <v>No</v>
      </c>
      <c r="G3452" t="str">
        <f t="shared" si="266"/>
        <v/>
      </c>
      <c r="H3452" t="str">
        <f t="shared" si="267"/>
        <v>—</v>
      </c>
      <c r="I3452" t="str">
        <f t="shared" si="268"/>
        <v>Below thresholds</v>
      </c>
      <c r="J3452" t="str">
        <f t="shared" si="269"/>
        <v/>
      </c>
    </row>
    <row r="3453" spans="1:10" x14ac:dyDescent="0.2">
      <c r="A3453">
        <v>227262955186</v>
      </c>
      <c r="B3453" t="s">
        <v>7459</v>
      </c>
      <c r="C3453" t="s">
        <v>7460</v>
      </c>
      <c r="D3453">
        <v>1.99</v>
      </c>
      <c r="F3453" t="str">
        <f t="shared" si="265"/>
        <v>No</v>
      </c>
      <c r="G3453" t="str">
        <f t="shared" si="266"/>
        <v/>
      </c>
      <c r="H3453" t="str">
        <f t="shared" si="267"/>
        <v>—</v>
      </c>
      <c r="I3453" t="str">
        <f t="shared" si="268"/>
        <v>Below thresholds</v>
      </c>
      <c r="J3453" t="str">
        <f t="shared" si="269"/>
        <v/>
      </c>
    </row>
    <row r="3454" spans="1:10" x14ac:dyDescent="0.2">
      <c r="A3454">
        <v>227262955191</v>
      </c>
      <c r="B3454" t="s">
        <v>7461</v>
      </c>
      <c r="C3454" t="s">
        <v>7462</v>
      </c>
      <c r="D3454">
        <v>1.99</v>
      </c>
      <c r="F3454" t="str">
        <f t="shared" si="265"/>
        <v>No</v>
      </c>
      <c r="G3454" t="str">
        <f t="shared" si="266"/>
        <v/>
      </c>
      <c r="H3454" t="str">
        <f t="shared" si="267"/>
        <v>—</v>
      </c>
      <c r="I3454" t="str">
        <f t="shared" si="268"/>
        <v>Below thresholds</v>
      </c>
      <c r="J3454" t="str">
        <f t="shared" si="269"/>
        <v/>
      </c>
    </row>
    <row r="3455" spans="1:10" x14ac:dyDescent="0.2">
      <c r="A3455">
        <v>227262955203</v>
      </c>
      <c r="B3455" t="s">
        <v>7463</v>
      </c>
      <c r="C3455" t="s">
        <v>7464</v>
      </c>
      <c r="D3455">
        <v>1.99</v>
      </c>
      <c r="F3455" t="str">
        <f t="shared" si="265"/>
        <v>No</v>
      </c>
      <c r="G3455" t="str">
        <f t="shared" si="266"/>
        <v/>
      </c>
      <c r="H3455" t="str">
        <f t="shared" si="267"/>
        <v>—</v>
      </c>
      <c r="I3455" t="str">
        <f t="shared" si="268"/>
        <v>Below thresholds</v>
      </c>
      <c r="J3455" t="str">
        <f t="shared" si="269"/>
        <v/>
      </c>
    </row>
    <row r="3456" spans="1:10" x14ac:dyDescent="0.2">
      <c r="A3456">
        <v>227262955207</v>
      </c>
      <c r="B3456" t="s">
        <v>7465</v>
      </c>
      <c r="C3456" t="s">
        <v>7466</v>
      </c>
      <c r="D3456">
        <v>1.99</v>
      </c>
      <c r="F3456" t="str">
        <f t="shared" si="265"/>
        <v>No</v>
      </c>
      <c r="G3456" t="str">
        <f t="shared" si="266"/>
        <v/>
      </c>
      <c r="H3456" t="str">
        <f t="shared" si="267"/>
        <v>—</v>
      </c>
      <c r="I3456" t="str">
        <f t="shared" si="268"/>
        <v>Below thresholds</v>
      </c>
      <c r="J3456" t="str">
        <f t="shared" si="269"/>
        <v/>
      </c>
    </row>
    <row r="3457" spans="1:10" x14ac:dyDescent="0.2">
      <c r="A3457">
        <v>227262955208</v>
      </c>
      <c r="B3457" t="s">
        <v>7467</v>
      </c>
      <c r="C3457" t="s">
        <v>7468</v>
      </c>
      <c r="D3457">
        <v>1.99</v>
      </c>
      <c r="F3457" t="str">
        <f t="shared" si="265"/>
        <v>No</v>
      </c>
      <c r="G3457" t="str">
        <f t="shared" si="266"/>
        <v/>
      </c>
      <c r="H3457" t="str">
        <f t="shared" si="267"/>
        <v>—</v>
      </c>
      <c r="I3457" t="str">
        <f t="shared" si="268"/>
        <v>Below thresholds</v>
      </c>
      <c r="J3457" t="str">
        <f t="shared" si="269"/>
        <v/>
      </c>
    </row>
    <row r="3458" spans="1:10" x14ac:dyDescent="0.2">
      <c r="A3458">
        <v>227262955210</v>
      </c>
      <c r="B3458" t="s">
        <v>7469</v>
      </c>
      <c r="C3458" t="s">
        <v>7470</v>
      </c>
      <c r="D3458">
        <v>1.99</v>
      </c>
      <c r="F3458" t="str">
        <f t="shared" si="265"/>
        <v>No</v>
      </c>
      <c r="G3458" t="str">
        <f t="shared" si="266"/>
        <v/>
      </c>
      <c r="H3458" t="str">
        <f t="shared" si="267"/>
        <v>—</v>
      </c>
      <c r="I3458" t="str">
        <f t="shared" si="268"/>
        <v>Below thresholds</v>
      </c>
      <c r="J3458" t="str">
        <f t="shared" si="269"/>
        <v/>
      </c>
    </row>
    <row r="3459" spans="1:10" x14ac:dyDescent="0.2">
      <c r="A3459">
        <v>227262955213</v>
      </c>
      <c r="B3459" t="s">
        <v>7471</v>
      </c>
      <c r="C3459" t="s">
        <v>7472</v>
      </c>
      <c r="D3459">
        <v>1.99</v>
      </c>
      <c r="F3459" t="str">
        <f t="shared" si="265"/>
        <v>No</v>
      </c>
      <c r="G3459" t="str">
        <f t="shared" si="266"/>
        <v/>
      </c>
      <c r="H3459" t="str">
        <f t="shared" si="267"/>
        <v>—</v>
      </c>
      <c r="I3459" t="str">
        <f t="shared" si="268"/>
        <v>Below thresholds</v>
      </c>
      <c r="J3459" t="str">
        <f t="shared" si="269"/>
        <v/>
      </c>
    </row>
    <row r="3460" spans="1:10" x14ac:dyDescent="0.2">
      <c r="A3460">
        <v>227262955214</v>
      </c>
      <c r="B3460" t="s">
        <v>7473</v>
      </c>
      <c r="C3460" t="s">
        <v>7474</v>
      </c>
      <c r="D3460">
        <v>1.99</v>
      </c>
      <c r="F3460" t="str">
        <f t="shared" si="265"/>
        <v>No</v>
      </c>
      <c r="G3460" t="str">
        <f t="shared" si="266"/>
        <v/>
      </c>
      <c r="H3460" t="str">
        <f t="shared" si="267"/>
        <v>—</v>
      </c>
      <c r="I3460" t="str">
        <f t="shared" si="268"/>
        <v>Below thresholds</v>
      </c>
      <c r="J3460" t="str">
        <f t="shared" si="269"/>
        <v/>
      </c>
    </row>
    <row r="3461" spans="1:10" x14ac:dyDescent="0.2">
      <c r="A3461">
        <v>227262955216</v>
      </c>
      <c r="B3461" t="s">
        <v>7475</v>
      </c>
      <c r="C3461" t="s">
        <v>7476</v>
      </c>
      <c r="D3461">
        <v>1.99</v>
      </c>
      <c r="F3461" t="str">
        <f t="shared" ref="F3461:F3524" si="270">IF($B3461="","",IF(ISNUMBER(SEARCH("PSA",$B3461)),"Yes","No"))</f>
        <v>No</v>
      </c>
      <c r="G3461" t="str">
        <f t="shared" ref="G3461:G3524" si="271">IF($B3461="","",IF(ISNUMBER(SEARCH("PSA 10",$B3461)),10,IF(ISNUMBER(SEARCH("PSA 9.5",$B3461)),9.5,IF(ISNUMBER(SEARCH("PSA 9",$B3461)),9,IF(ISNUMBER(SEARCH("PSA 8",$B3461)),8,IF(ISNUMBER(SEARCH("PSA",$B3461)),"&lt;9",""))))))</f>
        <v/>
      </c>
      <c r="H3461" t="str">
        <f t="shared" ref="H3461:H3524" si="272">IF($B3461="","",IF($D3461&gt;=100,"TIER 2",IF(OR(ISNUMBER(SEARCH("PSA 10",$B3461)),ISNUMBER(SEARCH("PSA 9.5",$B3461)),ISNUMBER(SEARCH("PSA 9",$B3461))),"TIER 3",IF(AND($D3461&gt;20,N($E3461)&gt;=15),"TIER 1","—"))))</f>
        <v>—</v>
      </c>
      <c r="I3461" t="str">
        <f t="shared" ref="I3461:I3524" si="273">IF($B3461="","",IF($D3461&gt;=100,"Premium $100+ (auto)",IF(OR(ISNUMBER(SEARCH("PSA 10",$B3461)),ISNUMBER(SEARCH("PSA 9.5",$B3461)),ISNUMBER(SEARCH("PSA 9",$B3461))),"Graded PSA 9+ (auto)",IF(AND($D3461&gt;20,N($E3461)&gt;=15),"Hot: $20+ &amp; "&amp;$E3461&amp;"/day",IF($D3461&gt;20,"$20+ — needs velocity check","Below thresholds")))))</f>
        <v>Below thresholds</v>
      </c>
      <c r="J3461" t="str">
        <f t="shared" ref="J3461:J3524" si="274">IF($B3461="","",IF(AND($D3461&gt;20,$D3461&lt;100,NOT(OR(ISNUMBER(SEARCH("PSA 10",$B3461)),ISNUMBER(SEARCH("PSA 9.5",$B3461)),ISNUMBER(SEARCH("PSA 9",$B3461)))),$E3461=""),"YES — pull CardHedger",""))</f>
        <v/>
      </c>
    </row>
    <row r="3462" spans="1:10" x14ac:dyDescent="0.2">
      <c r="A3462">
        <v>227262955219</v>
      </c>
      <c r="B3462" t="s">
        <v>7477</v>
      </c>
      <c r="C3462" t="s">
        <v>7478</v>
      </c>
      <c r="D3462">
        <v>1.99</v>
      </c>
      <c r="F3462" t="str">
        <f t="shared" si="270"/>
        <v>No</v>
      </c>
      <c r="G3462" t="str">
        <f t="shared" si="271"/>
        <v/>
      </c>
      <c r="H3462" t="str">
        <f t="shared" si="272"/>
        <v>—</v>
      </c>
      <c r="I3462" t="str">
        <f t="shared" si="273"/>
        <v>Below thresholds</v>
      </c>
      <c r="J3462" t="str">
        <f t="shared" si="274"/>
        <v/>
      </c>
    </row>
    <row r="3463" spans="1:10" x14ac:dyDescent="0.2">
      <c r="A3463">
        <v>227262955222</v>
      </c>
      <c r="B3463" t="s">
        <v>7479</v>
      </c>
      <c r="C3463" t="s">
        <v>7480</v>
      </c>
      <c r="D3463">
        <v>1.99</v>
      </c>
      <c r="F3463" t="str">
        <f t="shared" si="270"/>
        <v>No</v>
      </c>
      <c r="G3463" t="str">
        <f t="shared" si="271"/>
        <v/>
      </c>
      <c r="H3463" t="str">
        <f t="shared" si="272"/>
        <v>—</v>
      </c>
      <c r="I3463" t="str">
        <f t="shared" si="273"/>
        <v>Below thresholds</v>
      </c>
      <c r="J3463" t="str">
        <f t="shared" si="274"/>
        <v/>
      </c>
    </row>
    <row r="3464" spans="1:10" x14ac:dyDescent="0.2">
      <c r="A3464">
        <v>227262955228</v>
      </c>
      <c r="B3464" t="s">
        <v>7481</v>
      </c>
      <c r="C3464" t="s">
        <v>7482</v>
      </c>
      <c r="D3464">
        <v>1.99</v>
      </c>
      <c r="F3464" t="str">
        <f t="shared" si="270"/>
        <v>No</v>
      </c>
      <c r="G3464" t="str">
        <f t="shared" si="271"/>
        <v/>
      </c>
      <c r="H3464" t="str">
        <f t="shared" si="272"/>
        <v>—</v>
      </c>
      <c r="I3464" t="str">
        <f t="shared" si="273"/>
        <v>Below thresholds</v>
      </c>
      <c r="J3464" t="str">
        <f t="shared" si="274"/>
        <v/>
      </c>
    </row>
    <row r="3465" spans="1:10" x14ac:dyDescent="0.2">
      <c r="A3465">
        <v>227262955229</v>
      </c>
      <c r="B3465" t="s">
        <v>7483</v>
      </c>
      <c r="C3465" t="s">
        <v>7484</v>
      </c>
      <c r="D3465">
        <v>1.99</v>
      </c>
      <c r="F3465" t="str">
        <f t="shared" si="270"/>
        <v>No</v>
      </c>
      <c r="G3465" t="str">
        <f t="shared" si="271"/>
        <v/>
      </c>
      <c r="H3465" t="str">
        <f t="shared" si="272"/>
        <v>—</v>
      </c>
      <c r="I3465" t="str">
        <f t="shared" si="273"/>
        <v>Below thresholds</v>
      </c>
      <c r="J3465" t="str">
        <f t="shared" si="274"/>
        <v/>
      </c>
    </row>
    <row r="3466" spans="1:10" x14ac:dyDescent="0.2">
      <c r="A3466">
        <v>227262955230</v>
      </c>
      <c r="B3466" t="s">
        <v>7485</v>
      </c>
      <c r="C3466" t="s">
        <v>7486</v>
      </c>
      <c r="D3466">
        <v>1.99</v>
      </c>
      <c r="F3466" t="str">
        <f t="shared" si="270"/>
        <v>No</v>
      </c>
      <c r="G3466" t="str">
        <f t="shared" si="271"/>
        <v/>
      </c>
      <c r="H3466" t="str">
        <f t="shared" si="272"/>
        <v>—</v>
      </c>
      <c r="I3466" t="str">
        <f t="shared" si="273"/>
        <v>Below thresholds</v>
      </c>
      <c r="J3466" t="str">
        <f t="shared" si="274"/>
        <v/>
      </c>
    </row>
    <row r="3467" spans="1:10" x14ac:dyDescent="0.2">
      <c r="A3467">
        <v>227262955234</v>
      </c>
      <c r="B3467" t="s">
        <v>7487</v>
      </c>
      <c r="C3467" t="s">
        <v>7488</v>
      </c>
      <c r="D3467">
        <v>1.99</v>
      </c>
      <c r="F3467" t="str">
        <f t="shared" si="270"/>
        <v>No</v>
      </c>
      <c r="G3467" t="str">
        <f t="shared" si="271"/>
        <v/>
      </c>
      <c r="H3467" t="str">
        <f t="shared" si="272"/>
        <v>—</v>
      </c>
      <c r="I3467" t="str">
        <f t="shared" si="273"/>
        <v>Below thresholds</v>
      </c>
      <c r="J3467" t="str">
        <f t="shared" si="274"/>
        <v/>
      </c>
    </row>
    <row r="3468" spans="1:10" x14ac:dyDescent="0.2">
      <c r="A3468">
        <v>227262955236</v>
      </c>
      <c r="B3468" t="s">
        <v>7489</v>
      </c>
      <c r="C3468" t="s">
        <v>7490</v>
      </c>
      <c r="D3468">
        <v>1.99</v>
      </c>
      <c r="F3468" t="str">
        <f t="shared" si="270"/>
        <v>No</v>
      </c>
      <c r="G3468" t="str">
        <f t="shared" si="271"/>
        <v/>
      </c>
      <c r="H3468" t="str">
        <f t="shared" si="272"/>
        <v>—</v>
      </c>
      <c r="I3468" t="str">
        <f t="shared" si="273"/>
        <v>Below thresholds</v>
      </c>
      <c r="J3468" t="str">
        <f t="shared" si="274"/>
        <v/>
      </c>
    </row>
    <row r="3469" spans="1:10" x14ac:dyDescent="0.2">
      <c r="A3469">
        <v>227262955261</v>
      </c>
      <c r="B3469" t="s">
        <v>7491</v>
      </c>
      <c r="C3469" t="s">
        <v>7492</v>
      </c>
      <c r="D3469">
        <v>1.99</v>
      </c>
      <c r="F3469" t="str">
        <f t="shared" si="270"/>
        <v>No</v>
      </c>
      <c r="G3469" t="str">
        <f t="shared" si="271"/>
        <v/>
      </c>
      <c r="H3469" t="str">
        <f t="shared" si="272"/>
        <v>—</v>
      </c>
      <c r="I3469" t="str">
        <f t="shared" si="273"/>
        <v>Below thresholds</v>
      </c>
      <c r="J3469" t="str">
        <f t="shared" si="274"/>
        <v/>
      </c>
    </row>
    <row r="3470" spans="1:10" x14ac:dyDescent="0.2">
      <c r="A3470">
        <v>227262955263</v>
      </c>
      <c r="B3470" t="s">
        <v>7493</v>
      </c>
      <c r="C3470" t="s">
        <v>7494</v>
      </c>
      <c r="D3470">
        <v>1.99</v>
      </c>
      <c r="F3470" t="str">
        <f t="shared" si="270"/>
        <v>No</v>
      </c>
      <c r="G3470" t="str">
        <f t="shared" si="271"/>
        <v/>
      </c>
      <c r="H3470" t="str">
        <f t="shared" si="272"/>
        <v>—</v>
      </c>
      <c r="I3470" t="str">
        <f t="shared" si="273"/>
        <v>Below thresholds</v>
      </c>
      <c r="J3470" t="str">
        <f t="shared" si="274"/>
        <v/>
      </c>
    </row>
    <row r="3471" spans="1:10" x14ac:dyDescent="0.2">
      <c r="A3471">
        <v>227262955275</v>
      </c>
      <c r="B3471" t="s">
        <v>7495</v>
      </c>
      <c r="C3471" t="s">
        <v>7496</v>
      </c>
      <c r="D3471">
        <v>1.99</v>
      </c>
      <c r="F3471" t="str">
        <f t="shared" si="270"/>
        <v>No</v>
      </c>
      <c r="G3471" t="str">
        <f t="shared" si="271"/>
        <v/>
      </c>
      <c r="H3471" t="str">
        <f t="shared" si="272"/>
        <v>—</v>
      </c>
      <c r="I3471" t="str">
        <f t="shared" si="273"/>
        <v>Below thresholds</v>
      </c>
      <c r="J3471" t="str">
        <f t="shared" si="274"/>
        <v/>
      </c>
    </row>
    <row r="3472" spans="1:10" x14ac:dyDescent="0.2">
      <c r="A3472">
        <v>227262955282</v>
      </c>
      <c r="B3472" t="s">
        <v>7497</v>
      </c>
      <c r="C3472" t="s">
        <v>7498</v>
      </c>
      <c r="D3472">
        <v>1.99</v>
      </c>
      <c r="F3472" t="str">
        <f t="shared" si="270"/>
        <v>No</v>
      </c>
      <c r="G3472" t="str">
        <f t="shared" si="271"/>
        <v/>
      </c>
      <c r="H3472" t="str">
        <f t="shared" si="272"/>
        <v>—</v>
      </c>
      <c r="I3472" t="str">
        <f t="shared" si="273"/>
        <v>Below thresholds</v>
      </c>
      <c r="J3472" t="str">
        <f t="shared" si="274"/>
        <v/>
      </c>
    </row>
    <row r="3473" spans="1:10" x14ac:dyDescent="0.2">
      <c r="A3473">
        <v>227262955291</v>
      </c>
      <c r="B3473" t="s">
        <v>7499</v>
      </c>
      <c r="C3473" t="s">
        <v>7500</v>
      </c>
      <c r="D3473">
        <v>1.99</v>
      </c>
      <c r="F3473" t="str">
        <f t="shared" si="270"/>
        <v>No</v>
      </c>
      <c r="G3473" t="str">
        <f t="shared" si="271"/>
        <v/>
      </c>
      <c r="H3473" t="str">
        <f t="shared" si="272"/>
        <v>—</v>
      </c>
      <c r="I3473" t="str">
        <f t="shared" si="273"/>
        <v>Below thresholds</v>
      </c>
      <c r="J3473" t="str">
        <f t="shared" si="274"/>
        <v/>
      </c>
    </row>
    <row r="3474" spans="1:10" x14ac:dyDescent="0.2">
      <c r="A3474">
        <v>227262955299</v>
      </c>
      <c r="B3474" t="s">
        <v>7501</v>
      </c>
      <c r="C3474" t="s">
        <v>7502</v>
      </c>
      <c r="D3474">
        <v>1.99</v>
      </c>
      <c r="F3474" t="str">
        <f t="shared" si="270"/>
        <v>No</v>
      </c>
      <c r="G3474" t="str">
        <f t="shared" si="271"/>
        <v/>
      </c>
      <c r="H3474" t="str">
        <f t="shared" si="272"/>
        <v>—</v>
      </c>
      <c r="I3474" t="str">
        <f t="shared" si="273"/>
        <v>Below thresholds</v>
      </c>
      <c r="J3474" t="str">
        <f t="shared" si="274"/>
        <v/>
      </c>
    </row>
    <row r="3475" spans="1:10" x14ac:dyDescent="0.2">
      <c r="A3475">
        <v>227262955307</v>
      </c>
      <c r="B3475" t="s">
        <v>7503</v>
      </c>
      <c r="C3475" t="s">
        <v>7504</v>
      </c>
      <c r="D3475">
        <v>1.99</v>
      </c>
      <c r="F3475" t="str">
        <f t="shared" si="270"/>
        <v>No</v>
      </c>
      <c r="G3475" t="str">
        <f t="shared" si="271"/>
        <v/>
      </c>
      <c r="H3475" t="str">
        <f t="shared" si="272"/>
        <v>—</v>
      </c>
      <c r="I3475" t="str">
        <f t="shared" si="273"/>
        <v>Below thresholds</v>
      </c>
      <c r="J3475" t="str">
        <f t="shared" si="274"/>
        <v/>
      </c>
    </row>
    <row r="3476" spans="1:10" x14ac:dyDescent="0.2">
      <c r="A3476">
        <v>227262955324</v>
      </c>
      <c r="B3476" t="s">
        <v>7505</v>
      </c>
      <c r="C3476" t="s">
        <v>7506</v>
      </c>
      <c r="D3476">
        <v>1.99</v>
      </c>
      <c r="F3476" t="str">
        <f t="shared" si="270"/>
        <v>No</v>
      </c>
      <c r="G3476" t="str">
        <f t="shared" si="271"/>
        <v/>
      </c>
      <c r="H3476" t="str">
        <f t="shared" si="272"/>
        <v>—</v>
      </c>
      <c r="I3476" t="str">
        <f t="shared" si="273"/>
        <v>Below thresholds</v>
      </c>
      <c r="J3476" t="str">
        <f t="shared" si="274"/>
        <v/>
      </c>
    </row>
    <row r="3477" spans="1:10" x14ac:dyDescent="0.2">
      <c r="A3477">
        <v>227262955326</v>
      </c>
      <c r="B3477" t="s">
        <v>7507</v>
      </c>
      <c r="C3477" t="s">
        <v>7508</v>
      </c>
      <c r="D3477">
        <v>1.99</v>
      </c>
      <c r="F3477" t="str">
        <f t="shared" si="270"/>
        <v>No</v>
      </c>
      <c r="G3477" t="str">
        <f t="shared" si="271"/>
        <v/>
      </c>
      <c r="H3477" t="str">
        <f t="shared" si="272"/>
        <v>—</v>
      </c>
      <c r="I3477" t="str">
        <f t="shared" si="273"/>
        <v>Below thresholds</v>
      </c>
      <c r="J3477" t="str">
        <f t="shared" si="274"/>
        <v/>
      </c>
    </row>
    <row r="3478" spans="1:10" x14ac:dyDescent="0.2">
      <c r="A3478">
        <v>227262955327</v>
      </c>
      <c r="B3478" t="s">
        <v>7509</v>
      </c>
      <c r="C3478" t="s">
        <v>7510</v>
      </c>
      <c r="D3478">
        <v>1.99</v>
      </c>
      <c r="F3478" t="str">
        <f t="shared" si="270"/>
        <v>No</v>
      </c>
      <c r="G3478" t="str">
        <f t="shared" si="271"/>
        <v/>
      </c>
      <c r="H3478" t="str">
        <f t="shared" si="272"/>
        <v>—</v>
      </c>
      <c r="I3478" t="str">
        <f t="shared" si="273"/>
        <v>Below thresholds</v>
      </c>
      <c r="J3478" t="str">
        <f t="shared" si="274"/>
        <v/>
      </c>
    </row>
    <row r="3479" spans="1:10" x14ac:dyDescent="0.2">
      <c r="A3479">
        <v>227262955329</v>
      </c>
      <c r="B3479" t="s">
        <v>7511</v>
      </c>
      <c r="C3479" t="s">
        <v>7512</v>
      </c>
      <c r="D3479">
        <v>1.99</v>
      </c>
      <c r="F3479" t="str">
        <f t="shared" si="270"/>
        <v>No</v>
      </c>
      <c r="G3479" t="str">
        <f t="shared" si="271"/>
        <v/>
      </c>
      <c r="H3479" t="str">
        <f t="shared" si="272"/>
        <v>—</v>
      </c>
      <c r="I3479" t="str">
        <f t="shared" si="273"/>
        <v>Below thresholds</v>
      </c>
      <c r="J3479" t="str">
        <f t="shared" si="274"/>
        <v/>
      </c>
    </row>
    <row r="3480" spans="1:10" x14ac:dyDescent="0.2">
      <c r="A3480">
        <v>227262955333</v>
      </c>
      <c r="B3480" t="s">
        <v>7513</v>
      </c>
      <c r="C3480" t="s">
        <v>7514</v>
      </c>
      <c r="D3480">
        <v>1.99</v>
      </c>
      <c r="F3480" t="str">
        <f t="shared" si="270"/>
        <v>No</v>
      </c>
      <c r="G3480" t="str">
        <f t="shared" si="271"/>
        <v/>
      </c>
      <c r="H3480" t="str">
        <f t="shared" si="272"/>
        <v>—</v>
      </c>
      <c r="I3480" t="str">
        <f t="shared" si="273"/>
        <v>Below thresholds</v>
      </c>
      <c r="J3480" t="str">
        <f t="shared" si="274"/>
        <v/>
      </c>
    </row>
    <row r="3481" spans="1:10" x14ac:dyDescent="0.2">
      <c r="A3481">
        <v>227262955337</v>
      </c>
      <c r="B3481" t="s">
        <v>7515</v>
      </c>
      <c r="C3481" t="s">
        <v>7516</v>
      </c>
      <c r="D3481">
        <v>1.99</v>
      </c>
      <c r="F3481" t="str">
        <f t="shared" si="270"/>
        <v>No</v>
      </c>
      <c r="G3481" t="str">
        <f t="shared" si="271"/>
        <v/>
      </c>
      <c r="H3481" t="str">
        <f t="shared" si="272"/>
        <v>—</v>
      </c>
      <c r="I3481" t="str">
        <f t="shared" si="273"/>
        <v>Below thresholds</v>
      </c>
      <c r="J3481" t="str">
        <f t="shared" si="274"/>
        <v/>
      </c>
    </row>
    <row r="3482" spans="1:10" x14ac:dyDescent="0.2">
      <c r="A3482">
        <v>227262955338</v>
      </c>
      <c r="B3482" t="s">
        <v>7517</v>
      </c>
      <c r="C3482" t="s">
        <v>7518</v>
      </c>
      <c r="D3482">
        <v>1.99</v>
      </c>
      <c r="F3482" t="str">
        <f t="shared" si="270"/>
        <v>No</v>
      </c>
      <c r="G3482" t="str">
        <f t="shared" si="271"/>
        <v/>
      </c>
      <c r="H3482" t="str">
        <f t="shared" si="272"/>
        <v>—</v>
      </c>
      <c r="I3482" t="str">
        <f t="shared" si="273"/>
        <v>Below thresholds</v>
      </c>
      <c r="J3482" t="str">
        <f t="shared" si="274"/>
        <v/>
      </c>
    </row>
    <row r="3483" spans="1:10" x14ac:dyDescent="0.2">
      <c r="A3483">
        <v>227262955340</v>
      </c>
      <c r="B3483" t="s">
        <v>7519</v>
      </c>
      <c r="C3483" t="s">
        <v>7520</v>
      </c>
      <c r="D3483">
        <v>1.99</v>
      </c>
      <c r="F3483" t="str">
        <f t="shared" si="270"/>
        <v>No</v>
      </c>
      <c r="G3483" t="str">
        <f t="shared" si="271"/>
        <v/>
      </c>
      <c r="H3483" t="str">
        <f t="shared" si="272"/>
        <v>—</v>
      </c>
      <c r="I3483" t="str">
        <f t="shared" si="273"/>
        <v>Below thresholds</v>
      </c>
      <c r="J3483" t="str">
        <f t="shared" si="274"/>
        <v/>
      </c>
    </row>
    <row r="3484" spans="1:10" x14ac:dyDescent="0.2">
      <c r="A3484">
        <v>227262955342</v>
      </c>
      <c r="B3484" t="s">
        <v>7521</v>
      </c>
      <c r="C3484" t="s">
        <v>7522</v>
      </c>
      <c r="D3484">
        <v>1.99</v>
      </c>
      <c r="F3484" t="str">
        <f t="shared" si="270"/>
        <v>No</v>
      </c>
      <c r="G3484" t="str">
        <f t="shared" si="271"/>
        <v/>
      </c>
      <c r="H3484" t="str">
        <f t="shared" si="272"/>
        <v>—</v>
      </c>
      <c r="I3484" t="str">
        <f t="shared" si="273"/>
        <v>Below thresholds</v>
      </c>
      <c r="J3484" t="str">
        <f t="shared" si="274"/>
        <v/>
      </c>
    </row>
    <row r="3485" spans="1:10" x14ac:dyDescent="0.2">
      <c r="A3485">
        <v>227262955346</v>
      </c>
      <c r="B3485" t="s">
        <v>7523</v>
      </c>
      <c r="C3485" t="s">
        <v>7524</v>
      </c>
      <c r="D3485">
        <v>1.99</v>
      </c>
      <c r="F3485" t="str">
        <f t="shared" si="270"/>
        <v>No</v>
      </c>
      <c r="G3485" t="str">
        <f t="shared" si="271"/>
        <v/>
      </c>
      <c r="H3485" t="str">
        <f t="shared" si="272"/>
        <v>—</v>
      </c>
      <c r="I3485" t="str">
        <f t="shared" si="273"/>
        <v>Below thresholds</v>
      </c>
      <c r="J3485" t="str">
        <f t="shared" si="274"/>
        <v/>
      </c>
    </row>
    <row r="3486" spans="1:10" x14ac:dyDescent="0.2">
      <c r="A3486">
        <v>227262955349</v>
      </c>
      <c r="B3486" t="s">
        <v>7525</v>
      </c>
      <c r="C3486" t="s">
        <v>7526</v>
      </c>
      <c r="D3486">
        <v>1.99</v>
      </c>
      <c r="F3486" t="str">
        <f t="shared" si="270"/>
        <v>No</v>
      </c>
      <c r="G3486" t="str">
        <f t="shared" si="271"/>
        <v/>
      </c>
      <c r="H3486" t="str">
        <f t="shared" si="272"/>
        <v>—</v>
      </c>
      <c r="I3486" t="str">
        <f t="shared" si="273"/>
        <v>Below thresholds</v>
      </c>
      <c r="J3486" t="str">
        <f t="shared" si="274"/>
        <v/>
      </c>
    </row>
    <row r="3487" spans="1:10" x14ac:dyDescent="0.2">
      <c r="A3487">
        <v>227262955352</v>
      </c>
      <c r="B3487" t="s">
        <v>7527</v>
      </c>
      <c r="C3487" t="s">
        <v>7528</v>
      </c>
      <c r="D3487">
        <v>1.99</v>
      </c>
      <c r="F3487" t="str">
        <f t="shared" si="270"/>
        <v>No</v>
      </c>
      <c r="G3487" t="str">
        <f t="shared" si="271"/>
        <v/>
      </c>
      <c r="H3487" t="str">
        <f t="shared" si="272"/>
        <v>—</v>
      </c>
      <c r="I3487" t="str">
        <f t="shared" si="273"/>
        <v>Below thresholds</v>
      </c>
      <c r="J3487" t="str">
        <f t="shared" si="274"/>
        <v/>
      </c>
    </row>
    <row r="3488" spans="1:10" x14ac:dyDescent="0.2">
      <c r="A3488">
        <v>227262955361</v>
      </c>
      <c r="B3488" t="s">
        <v>7529</v>
      </c>
      <c r="C3488" t="s">
        <v>7530</v>
      </c>
      <c r="D3488">
        <v>1.99</v>
      </c>
      <c r="F3488" t="str">
        <f t="shared" si="270"/>
        <v>No</v>
      </c>
      <c r="G3488" t="str">
        <f t="shared" si="271"/>
        <v/>
      </c>
      <c r="H3488" t="str">
        <f t="shared" si="272"/>
        <v>—</v>
      </c>
      <c r="I3488" t="str">
        <f t="shared" si="273"/>
        <v>Below thresholds</v>
      </c>
      <c r="J3488" t="str">
        <f t="shared" si="274"/>
        <v/>
      </c>
    </row>
    <row r="3489" spans="1:10" x14ac:dyDescent="0.2">
      <c r="A3489">
        <v>227262955366</v>
      </c>
      <c r="B3489" t="s">
        <v>7531</v>
      </c>
      <c r="C3489" t="s">
        <v>7532</v>
      </c>
      <c r="D3489">
        <v>1.99</v>
      </c>
      <c r="F3489" t="str">
        <f t="shared" si="270"/>
        <v>No</v>
      </c>
      <c r="G3489" t="str">
        <f t="shared" si="271"/>
        <v/>
      </c>
      <c r="H3489" t="str">
        <f t="shared" si="272"/>
        <v>—</v>
      </c>
      <c r="I3489" t="str">
        <f t="shared" si="273"/>
        <v>Below thresholds</v>
      </c>
      <c r="J3489" t="str">
        <f t="shared" si="274"/>
        <v/>
      </c>
    </row>
    <row r="3490" spans="1:10" x14ac:dyDescent="0.2">
      <c r="A3490">
        <v>227262955368</v>
      </c>
      <c r="B3490" t="s">
        <v>7533</v>
      </c>
      <c r="C3490" t="s">
        <v>7534</v>
      </c>
      <c r="D3490">
        <v>1.99</v>
      </c>
      <c r="F3490" t="str">
        <f t="shared" si="270"/>
        <v>No</v>
      </c>
      <c r="G3490" t="str">
        <f t="shared" si="271"/>
        <v/>
      </c>
      <c r="H3490" t="str">
        <f t="shared" si="272"/>
        <v>—</v>
      </c>
      <c r="I3490" t="str">
        <f t="shared" si="273"/>
        <v>Below thresholds</v>
      </c>
      <c r="J3490" t="str">
        <f t="shared" si="274"/>
        <v/>
      </c>
    </row>
    <row r="3491" spans="1:10" x14ac:dyDescent="0.2">
      <c r="A3491">
        <v>227262955371</v>
      </c>
      <c r="B3491" t="s">
        <v>7535</v>
      </c>
      <c r="C3491" t="s">
        <v>7536</v>
      </c>
      <c r="D3491">
        <v>1.99</v>
      </c>
      <c r="F3491" t="str">
        <f t="shared" si="270"/>
        <v>No</v>
      </c>
      <c r="G3491" t="str">
        <f t="shared" si="271"/>
        <v/>
      </c>
      <c r="H3491" t="str">
        <f t="shared" si="272"/>
        <v>—</v>
      </c>
      <c r="I3491" t="str">
        <f t="shared" si="273"/>
        <v>Below thresholds</v>
      </c>
      <c r="J3491" t="str">
        <f t="shared" si="274"/>
        <v/>
      </c>
    </row>
    <row r="3492" spans="1:10" x14ac:dyDescent="0.2">
      <c r="A3492">
        <v>227262955391</v>
      </c>
      <c r="B3492" t="s">
        <v>7537</v>
      </c>
      <c r="C3492" t="s">
        <v>7538</v>
      </c>
      <c r="D3492">
        <v>1.99</v>
      </c>
      <c r="F3492" t="str">
        <f t="shared" si="270"/>
        <v>No</v>
      </c>
      <c r="G3492" t="str">
        <f t="shared" si="271"/>
        <v/>
      </c>
      <c r="H3492" t="str">
        <f t="shared" si="272"/>
        <v>—</v>
      </c>
      <c r="I3492" t="str">
        <f t="shared" si="273"/>
        <v>Below thresholds</v>
      </c>
      <c r="J3492" t="str">
        <f t="shared" si="274"/>
        <v/>
      </c>
    </row>
    <row r="3493" spans="1:10" x14ac:dyDescent="0.2">
      <c r="A3493">
        <v>227262955393</v>
      </c>
      <c r="B3493" t="s">
        <v>7539</v>
      </c>
      <c r="C3493" t="s">
        <v>7540</v>
      </c>
      <c r="D3493">
        <v>1.99</v>
      </c>
      <c r="F3493" t="str">
        <f t="shared" si="270"/>
        <v>No</v>
      </c>
      <c r="G3493" t="str">
        <f t="shared" si="271"/>
        <v/>
      </c>
      <c r="H3493" t="str">
        <f t="shared" si="272"/>
        <v>—</v>
      </c>
      <c r="I3493" t="str">
        <f t="shared" si="273"/>
        <v>Below thresholds</v>
      </c>
      <c r="J3493" t="str">
        <f t="shared" si="274"/>
        <v/>
      </c>
    </row>
    <row r="3494" spans="1:10" x14ac:dyDescent="0.2">
      <c r="A3494">
        <v>227262955394</v>
      </c>
      <c r="B3494" t="s">
        <v>7541</v>
      </c>
      <c r="C3494" t="s">
        <v>7542</v>
      </c>
      <c r="D3494">
        <v>1.99</v>
      </c>
      <c r="F3494" t="str">
        <f t="shared" si="270"/>
        <v>No</v>
      </c>
      <c r="G3494" t="str">
        <f t="shared" si="271"/>
        <v/>
      </c>
      <c r="H3494" t="str">
        <f t="shared" si="272"/>
        <v>—</v>
      </c>
      <c r="I3494" t="str">
        <f t="shared" si="273"/>
        <v>Below thresholds</v>
      </c>
      <c r="J3494" t="str">
        <f t="shared" si="274"/>
        <v/>
      </c>
    </row>
    <row r="3495" spans="1:10" x14ac:dyDescent="0.2">
      <c r="A3495">
        <v>227262955396</v>
      </c>
      <c r="B3495" t="s">
        <v>7543</v>
      </c>
      <c r="C3495" t="s">
        <v>7544</v>
      </c>
      <c r="D3495">
        <v>1.99</v>
      </c>
      <c r="F3495" t="str">
        <f t="shared" si="270"/>
        <v>No</v>
      </c>
      <c r="G3495" t="str">
        <f t="shared" si="271"/>
        <v/>
      </c>
      <c r="H3495" t="str">
        <f t="shared" si="272"/>
        <v>—</v>
      </c>
      <c r="I3495" t="str">
        <f t="shared" si="273"/>
        <v>Below thresholds</v>
      </c>
      <c r="J3495" t="str">
        <f t="shared" si="274"/>
        <v/>
      </c>
    </row>
    <row r="3496" spans="1:10" x14ac:dyDescent="0.2">
      <c r="A3496">
        <v>227265607354</v>
      </c>
      <c r="B3496" t="s">
        <v>7545</v>
      </c>
      <c r="C3496" t="s">
        <v>7546</v>
      </c>
      <c r="D3496">
        <v>1.99</v>
      </c>
      <c r="F3496" t="str">
        <f t="shared" si="270"/>
        <v>No</v>
      </c>
      <c r="G3496" t="str">
        <f t="shared" si="271"/>
        <v/>
      </c>
      <c r="H3496" t="str">
        <f t="shared" si="272"/>
        <v>—</v>
      </c>
      <c r="I3496" t="str">
        <f t="shared" si="273"/>
        <v>Below thresholds</v>
      </c>
      <c r="J3496" t="str">
        <f t="shared" si="274"/>
        <v/>
      </c>
    </row>
    <row r="3497" spans="1:10" x14ac:dyDescent="0.2">
      <c r="A3497">
        <v>227265607382</v>
      </c>
      <c r="B3497" t="s">
        <v>7547</v>
      </c>
      <c r="C3497" t="s">
        <v>7548</v>
      </c>
      <c r="D3497">
        <v>2.69</v>
      </c>
      <c r="F3497" t="str">
        <f t="shared" si="270"/>
        <v>No</v>
      </c>
      <c r="G3497" t="str">
        <f t="shared" si="271"/>
        <v/>
      </c>
      <c r="H3497" t="str">
        <f t="shared" si="272"/>
        <v>—</v>
      </c>
      <c r="I3497" t="str">
        <f t="shared" si="273"/>
        <v>Below thresholds</v>
      </c>
      <c r="J3497" t="str">
        <f t="shared" si="274"/>
        <v/>
      </c>
    </row>
    <row r="3498" spans="1:10" x14ac:dyDescent="0.2">
      <c r="A3498">
        <v>227265607411</v>
      </c>
      <c r="B3498" t="s">
        <v>7549</v>
      </c>
      <c r="C3498" t="s">
        <v>7550</v>
      </c>
      <c r="D3498">
        <v>1.99</v>
      </c>
      <c r="F3498" t="str">
        <f t="shared" si="270"/>
        <v>No</v>
      </c>
      <c r="G3498" t="str">
        <f t="shared" si="271"/>
        <v/>
      </c>
      <c r="H3498" t="str">
        <f t="shared" si="272"/>
        <v>—</v>
      </c>
      <c r="I3498" t="str">
        <f t="shared" si="273"/>
        <v>Below thresholds</v>
      </c>
      <c r="J3498" t="str">
        <f t="shared" si="274"/>
        <v/>
      </c>
    </row>
    <row r="3499" spans="1:10" x14ac:dyDescent="0.2">
      <c r="A3499">
        <v>227265607460</v>
      </c>
      <c r="B3499" t="s">
        <v>7551</v>
      </c>
      <c r="C3499" t="s">
        <v>7552</v>
      </c>
      <c r="D3499">
        <v>1.99</v>
      </c>
      <c r="F3499" t="str">
        <f t="shared" si="270"/>
        <v>No</v>
      </c>
      <c r="G3499" t="str">
        <f t="shared" si="271"/>
        <v/>
      </c>
      <c r="H3499" t="str">
        <f t="shared" si="272"/>
        <v>—</v>
      </c>
      <c r="I3499" t="str">
        <f t="shared" si="273"/>
        <v>Below thresholds</v>
      </c>
      <c r="J3499" t="str">
        <f t="shared" si="274"/>
        <v/>
      </c>
    </row>
    <row r="3500" spans="1:10" x14ac:dyDescent="0.2">
      <c r="A3500">
        <v>227265607477</v>
      </c>
      <c r="B3500" t="s">
        <v>7553</v>
      </c>
      <c r="C3500" t="s">
        <v>7554</v>
      </c>
      <c r="D3500">
        <v>1.99</v>
      </c>
      <c r="F3500" t="str">
        <f t="shared" si="270"/>
        <v>No</v>
      </c>
      <c r="G3500" t="str">
        <f t="shared" si="271"/>
        <v/>
      </c>
      <c r="H3500" t="str">
        <f t="shared" si="272"/>
        <v>—</v>
      </c>
      <c r="I3500" t="str">
        <f t="shared" si="273"/>
        <v>Below thresholds</v>
      </c>
      <c r="J3500" t="str">
        <f t="shared" si="274"/>
        <v/>
      </c>
    </row>
    <row r="3501" spans="1:10" x14ac:dyDescent="0.2">
      <c r="A3501">
        <v>227265607533</v>
      </c>
      <c r="B3501" t="s">
        <v>7555</v>
      </c>
      <c r="C3501" t="s">
        <v>7556</v>
      </c>
      <c r="D3501">
        <v>2.19</v>
      </c>
      <c r="F3501" t="str">
        <f t="shared" si="270"/>
        <v>No</v>
      </c>
      <c r="G3501" t="str">
        <f t="shared" si="271"/>
        <v/>
      </c>
      <c r="H3501" t="str">
        <f t="shared" si="272"/>
        <v>—</v>
      </c>
      <c r="I3501" t="str">
        <f t="shared" si="273"/>
        <v>Below thresholds</v>
      </c>
      <c r="J3501" t="str">
        <f t="shared" si="274"/>
        <v/>
      </c>
    </row>
    <row r="3502" spans="1:10" x14ac:dyDescent="0.2">
      <c r="A3502">
        <v>227265607542</v>
      </c>
      <c r="B3502" t="s">
        <v>7557</v>
      </c>
      <c r="C3502" t="s">
        <v>7558</v>
      </c>
      <c r="D3502">
        <v>2.09</v>
      </c>
      <c r="F3502" t="str">
        <f t="shared" si="270"/>
        <v>No</v>
      </c>
      <c r="G3502" t="str">
        <f t="shared" si="271"/>
        <v/>
      </c>
      <c r="H3502" t="str">
        <f t="shared" si="272"/>
        <v>—</v>
      </c>
      <c r="I3502" t="str">
        <f t="shared" si="273"/>
        <v>Below thresholds</v>
      </c>
      <c r="J3502" t="str">
        <f t="shared" si="274"/>
        <v/>
      </c>
    </row>
    <row r="3503" spans="1:10" x14ac:dyDescent="0.2">
      <c r="A3503">
        <v>227265607604</v>
      </c>
      <c r="B3503" t="s">
        <v>7559</v>
      </c>
      <c r="C3503" t="s">
        <v>7560</v>
      </c>
      <c r="D3503">
        <v>1.99</v>
      </c>
      <c r="F3503" t="str">
        <f t="shared" si="270"/>
        <v>No</v>
      </c>
      <c r="G3503" t="str">
        <f t="shared" si="271"/>
        <v/>
      </c>
      <c r="H3503" t="str">
        <f t="shared" si="272"/>
        <v>—</v>
      </c>
      <c r="I3503" t="str">
        <f t="shared" si="273"/>
        <v>Below thresholds</v>
      </c>
      <c r="J3503" t="str">
        <f t="shared" si="274"/>
        <v/>
      </c>
    </row>
    <row r="3504" spans="1:10" x14ac:dyDescent="0.2">
      <c r="A3504">
        <v>227265607663</v>
      </c>
      <c r="B3504" t="s">
        <v>7561</v>
      </c>
      <c r="C3504" t="s">
        <v>7562</v>
      </c>
      <c r="D3504">
        <v>1.99</v>
      </c>
      <c r="F3504" t="str">
        <f t="shared" si="270"/>
        <v>No</v>
      </c>
      <c r="G3504" t="str">
        <f t="shared" si="271"/>
        <v/>
      </c>
      <c r="H3504" t="str">
        <f t="shared" si="272"/>
        <v>—</v>
      </c>
      <c r="I3504" t="str">
        <f t="shared" si="273"/>
        <v>Below thresholds</v>
      </c>
      <c r="J3504" t="str">
        <f t="shared" si="274"/>
        <v/>
      </c>
    </row>
    <row r="3505" spans="1:10" x14ac:dyDescent="0.2">
      <c r="A3505">
        <v>227265607680</v>
      </c>
      <c r="B3505" t="s">
        <v>7563</v>
      </c>
      <c r="C3505" t="s">
        <v>7564</v>
      </c>
      <c r="D3505">
        <v>4.1900000000000004</v>
      </c>
      <c r="F3505" t="str">
        <f t="shared" si="270"/>
        <v>No</v>
      </c>
      <c r="G3505" t="str">
        <f t="shared" si="271"/>
        <v/>
      </c>
      <c r="H3505" t="str">
        <f t="shared" si="272"/>
        <v>—</v>
      </c>
      <c r="I3505" t="str">
        <f t="shared" si="273"/>
        <v>Below thresholds</v>
      </c>
      <c r="J3505" t="str">
        <f t="shared" si="274"/>
        <v/>
      </c>
    </row>
    <row r="3506" spans="1:10" x14ac:dyDescent="0.2">
      <c r="A3506">
        <v>227265607712</v>
      </c>
      <c r="B3506" t="s">
        <v>7565</v>
      </c>
      <c r="C3506" t="s">
        <v>7566</v>
      </c>
      <c r="D3506">
        <v>1.99</v>
      </c>
      <c r="F3506" t="str">
        <f t="shared" si="270"/>
        <v>No</v>
      </c>
      <c r="G3506" t="str">
        <f t="shared" si="271"/>
        <v/>
      </c>
      <c r="H3506" t="str">
        <f t="shared" si="272"/>
        <v>—</v>
      </c>
      <c r="I3506" t="str">
        <f t="shared" si="273"/>
        <v>Below thresholds</v>
      </c>
      <c r="J3506" t="str">
        <f t="shared" si="274"/>
        <v/>
      </c>
    </row>
    <row r="3507" spans="1:10" x14ac:dyDescent="0.2">
      <c r="A3507">
        <v>227265607730</v>
      </c>
      <c r="B3507" t="s">
        <v>7567</v>
      </c>
      <c r="C3507" t="s">
        <v>7568</v>
      </c>
      <c r="D3507">
        <v>1.99</v>
      </c>
      <c r="F3507" t="str">
        <f t="shared" si="270"/>
        <v>No</v>
      </c>
      <c r="G3507" t="str">
        <f t="shared" si="271"/>
        <v/>
      </c>
      <c r="H3507" t="str">
        <f t="shared" si="272"/>
        <v>—</v>
      </c>
      <c r="I3507" t="str">
        <f t="shared" si="273"/>
        <v>Below thresholds</v>
      </c>
      <c r="J3507" t="str">
        <f t="shared" si="274"/>
        <v/>
      </c>
    </row>
    <row r="3508" spans="1:10" x14ac:dyDescent="0.2">
      <c r="A3508">
        <v>227265607771</v>
      </c>
      <c r="B3508" t="s">
        <v>7569</v>
      </c>
      <c r="C3508" t="s">
        <v>7570</v>
      </c>
      <c r="D3508">
        <v>1.99</v>
      </c>
      <c r="F3508" t="str">
        <f t="shared" si="270"/>
        <v>No</v>
      </c>
      <c r="G3508" t="str">
        <f t="shared" si="271"/>
        <v/>
      </c>
      <c r="H3508" t="str">
        <f t="shared" si="272"/>
        <v>—</v>
      </c>
      <c r="I3508" t="str">
        <f t="shared" si="273"/>
        <v>Below thresholds</v>
      </c>
      <c r="J3508" t="str">
        <f t="shared" si="274"/>
        <v/>
      </c>
    </row>
    <row r="3509" spans="1:10" x14ac:dyDescent="0.2">
      <c r="A3509">
        <v>227265607794</v>
      </c>
      <c r="B3509" t="s">
        <v>7571</v>
      </c>
      <c r="C3509" t="s">
        <v>7572</v>
      </c>
      <c r="D3509">
        <v>1.99</v>
      </c>
      <c r="F3509" t="str">
        <f t="shared" si="270"/>
        <v>No</v>
      </c>
      <c r="G3509" t="str">
        <f t="shared" si="271"/>
        <v/>
      </c>
      <c r="H3509" t="str">
        <f t="shared" si="272"/>
        <v>—</v>
      </c>
      <c r="I3509" t="str">
        <f t="shared" si="273"/>
        <v>Below thresholds</v>
      </c>
      <c r="J3509" t="str">
        <f t="shared" si="274"/>
        <v/>
      </c>
    </row>
    <row r="3510" spans="1:10" x14ac:dyDescent="0.2">
      <c r="A3510">
        <v>227265607835</v>
      </c>
      <c r="B3510" t="s">
        <v>7573</v>
      </c>
      <c r="C3510" t="s">
        <v>7574</v>
      </c>
      <c r="D3510">
        <v>1.99</v>
      </c>
      <c r="F3510" t="str">
        <f t="shared" si="270"/>
        <v>No</v>
      </c>
      <c r="G3510" t="str">
        <f t="shared" si="271"/>
        <v/>
      </c>
      <c r="H3510" t="str">
        <f t="shared" si="272"/>
        <v>—</v>
      </c>
      <c r="I3510" t="str">
        <f t="shared" si="273"/>
        <v>Below thresholds</v>
      </c>
      <c r="J3510" t="str">
        <f t="shared" si="274"/>
        <v/>
      </c>
    </row>
    <row r="3511" spans="1:10" x14ac:dyDescent="0.2">
      <c r="A3511">
        <v>227265607859</v>
      </c>
      <c r="B3511" t="s">
        <v>7575</v>
      </c>
      <c r="C3511" t="s">
        <v>7576</v>
      </c>
      <c r="D3511">
        <v>1.99</v>
      </c>
      <c r="F3511" t="str">
        <f t="shared" si="270"/>
        <v>No</v>
      </c>
      <c r="G3511" t="str">
        <f t="shared" si="271"/>
        <v/>
      </c>
      <c r="H3511" t="str">
        <f t="shared" si="272"/>
        <v>—</v>
      </c>
      <c r="I3511" t="str">
        <f t="shared" si="273"/>
        <v>Below thresholds</v>
      </c>
      <c r="J3511" t="str">
        <f t="shared" si="274"/>
        <v/>
      </c>
    </row>
    <row r="3512" spans="1:10" x14ac:dyDescent="0.2">
      <c r="A3512">
        <v>227265888663</v>
      </c>
      <c r="B3512" t="s">
        <v>7577</v>
      </c>
      <c r="C3512" t="s">
        <v>7578</v>
      </c>
      <c r="D3512">
        <v>1.99</v>
      </c>
      <c r="F3512" t="str">
        <f t="shared" si="270"/>
        <v>No</v>
      </c>
      <c r="G3512" t="str">
        <f t="shared" si="271"/>
        <v/>
      </c>
      <c r="H3512" t="str">
        <f t="shared" si="272"/>
        <v>—</v>
      </c>
      <c r="I3512" t="str">
        <f t="shared" si="273"/>
        <v>Below thresholds</v>
      </c>
      <c r="J3512" t="str">
        <f t="shared" si="274"/>
        <v/>
      </c>
    </row>
    <row r="3513" spans="1:10" x14ac:dyDescent="0.2">
      <c r="A3513">
        <v>227265888724</v>
      </c>
      <c r="B3513" t="s">
        <v>7579</v>
      </c>
      <c r="C3513" t="s">
        <v>7580</v>
      </c>
      <c r="D3513">
        <v>1.99</v>
      </c>
      <c r="F3513" t="str">
        <f t="shared" si="270"/>
        <v>No</v>
      </c>
      <c r="G3513" t="str">
        <f t="shared" si="271"/>
        <v/>
      </c>
      <c r="H3513" t="str">
        <f t="shared" si="272"/>
        <v>—</v>
      </c>
      <c r="I3513" t="str">
        <f t="shared" si="273"/>
        <v>Below thresholds</v>
      </c>
      <c r="J3513" t="str">
        <f t="shared" si="274"/>
        <v/>
      </c>
    </row>
    <row r="3514" spans="1:10" x14ac:dyDescent="0.2">
      <c r="A3514">
        <v>227265888737</v>
      </c>
      <c r="B3514" t="s">
        <v>7581</v>
      </c>
      <c r="C3514" t="s">
        <v>7582</v>
      </c>
      <c r="D3514">
        <v>1.99</v>
      </c>
      <c r="F3514" t="str">
        <f t="shared" si="270"/>
        <v>No</v>
      </c>
      <c r="G3514" t="str">
        <f t="shared" si="271"/>
        <v/>
      </c>
      <c r="H3514" t="str">
        <f t="shared" si="272"/>
        <v>—</v>
      </c>
      <c r="I3514" t="str">
        <f t="shared" si="273"/>
        <v>Below thresholds</v>
      </c>
      <c r="J3514" t="str">
        <f t="shared" si="274"/>
        <v/>
      </c>
    </row>
    <row r="3515" spans="1:10" x14ac:dyDescent="0.2">
      <c r="A3515">
        <v>227265888807</v>
      </c>
      <c r="B3515" t="s">
        <v>7583</v>
      </c>
      <c r="C3515" t="s">
        <v>7584</v>
      </c>
      <c r="D3515">
        <v>1.99</v>
      </c>
      <c r="F3515" t="str">
        <f t="shared" si="270"/>
        <v>No</v>
      </c>
      <c r="G3515" t="str">
        <f t="shared" si="271"/>
        <v/>
      </c>
      <c r="H3515" t="str">
        <f t="shared" si="272"/>
        <v>—</v>
      </c>
      <c r="I3515" t="str">
        <f t="shared" si="273"/>
        <v>Below thresholds</v>
      </c>
      <c r="J3515" t="str">
        <f t="shared" si="274"/>
        <v/>
      </c>
    </row>
    <row r="3516" spans="1:10" x14ac:dyDescent="0.2">
      <c r="A3516">
        <v>227265888818</v>
      </c>
      <c r="B3516" t="s">
        <v>7585</v>
      </c>
      <c r="C3516" t="s">
        <v>7586</v>
      </c>
      <c r="D3516">
        <v>1.99</v>
      </c>
      <c r="F3516" t="str">
        <f t="shared" si="270"/>
        <v>No</v>
      </c>
      <c r="G3516" t="str">
        <f t="shared" si="271"/>
        <v/>
      </c>
      <c r="H3516" t="str">
        <f t="shared" si="272"/>
        <v>—</v>
      </c>
      <c r="I3516" t="str">
        <f t="shared" si="273"/>
        <v>Below thresholds</v>
      </c>
      <c r="J3516" t="str">
        <f t="shared" si="274"/>
        <v/>
      </c>
    </row>
    <row r="3517" spans="1:10" x14ac:dyDescent="0.2">
      <c r="A3517">
        <v>227265889035</v>
      </c>
      <c r="B3517" t="s">
        <v>7587</v>
      </c>
      <c r="C3517" t="s">
        <v>7588</v>
      </c>
      <c r="D3517">
        <v>1.99</v>
      </c>
      <c r="F3517" t="str">
        <f t="shared" si="270"/>
        <v>No</v>
      </c>
      <c r="G3517" t="str">
        <f t="shared" si="271"/>
        <v/>
      </c>
      <c r="H3517" t="str">
        <f t="shared" si="272"/>
        <v>—</v>
      </c>
      <c r="I3517" t="str">
        <f t="shared" si="273"/>
        <v>Below thresholds</v>
      </c>
      <c r="J3517" t="str">
        <f t="shared" si="274"/>
        <v/>
      </c>
    </row>
    <row r="3518" spans="1:10" x14ac:dyDescent="0.2">
      <c r="A3518">
        <v>227265889066</v>
      </c>
      <c r="B3518" t="s">
        <v>7589</v>
      </c>
      <c r="C3518" t="s">
        <v>7590</v>
      </c>
      <c r="D3518">
        <v>1.99</v>
      </c>
      <c r="F3518" t="str">
        <f t="shared" si="270"/>
        <v>No</v>
      </c>
      <c r="G3518" t="str">
        <f t="shared" si="271"/>
        <v/>
      </c>
      <c r="H3518" t="str">
        <f t="shared" si="272"/>
        <v>—</v>
      </c>
      <c r="I3518" t="str">
        <f t="shared" si="273"/>
        <v>Below thresholds</v>
      </c>
      <c r="J3518" t="str">
        <f t="shared" si="274"/>
        <v/>
      </c>
    </row>
    <row r="3519" spans="1:10" x14ac:dyDescent="0.2">
      <c r="A3519">
        <v>227265889160</v>
      </c>
      <c r="B3519" t="s">
        <v>7591</v>
      </c>
      <c r="C3519" t="s">
        <v>7592</v>
      </c>
      <c r="D3519">
        <v>1.99</v>
      </c>
      <c r="F3519" t="str">
        <f t="shared" si="270"/>
        <v>No</v>
      </c>
      <c r="G3519" t="str">
        <f t="shared" si="271"/>
        <v/>
      </c>
      <c r="H3519" t="str">
        <f t="shared" si="272"/>
        <v>—</v>
      </c>
      <c r="I3519" t="str">
        <f t="shared" si="273"/>
        <v>Below thresholds</v>
      </c>
      <c r="J3519" t="str">
        <f t="shared" si="274"/>
        <v/>
      </c>
    </row>
    <row r="3520" spans="1:10" x14ac:dyDescent="0.2">
      <c r="A3520">
        <v>227265889196</v>
      </c>
      <c r="B3520" t="s">
        <v>7593</v>
      </c>
      <c r="C3520" t="s">
        <v>7594</v>
      </c>
      <c r="D3520">
        <v>1.99</v>
      </c>
      <c r="F3520" t="str">
        <f t="shared" si="270"/>
        <v>No</v>
      </c>
      <c r="G3520" t="str">
        <f t="shared" si="271"/>
        <v/>
      </c>
      <c r="H3520" t="str">
        <f t="shared" si="272"/>
        <v>—</v>
      </c>
      <c r="I3520" t="str">
        <f t="shared" si="273"/>
        <v>Below thresholds</v>
      </c>
      <c r="J3520" t="str">
        <f t="shared" si="274"/>
        <v/>
      </c>
    </row>
    <row r="3521" spans="1:10" x14ac:dyDescent="0.2">
      <c r="A3521">
        <v>227265889281</v>
      </c>
      <c r="B3521" t="s">
        <v>7595</v>
      </c>
      <c r="C3521" t="s">
        <v>7596</v>
      </c>
      <c r="D3521">
        <v>1.99</v>
      </c>
      <c r="F3521" t="str">
        <f t="shared" si="270"/>
        <v>No</v>
      </c>
      <c r="G3521" t="str">
        <f t="shared" si="271"/>
        <v/>
      </c>
      <c r="H3521" t="str">
        <f t="shared" si="272"/>
        <v>—</v>
      </c>
      <c r="I3521" t="str">
        <f t="shared" si="273"/>
        <v>Below thresholds</v>
      </c>
      <c r="J3521" t="str">
        <f t="shared" si="274"/>
        <v/>
      </c>
    </row>
    <row r="3522" spans="1:10" x14ac:dyDescent="0.2">
      <c r="A3522">
        <v>227265889293</v>
      </c>
      <c r="B3522" t="s">
        <v>7597</v>
      </c>
      <c r="C3522" t="s">
        <v>7598</v>
      </c>
      <c r="D3522">
        <v>1.99</v>
      </c>
      <c r="F3522" t="str">
        <f t="shared" si="270"/>
        <v>No</v>
      </c>
      <c r="G3522" t="str">
        <f t="shared" si="271"/>
        <v/>
      </c>
      <c r="H3522" t="str">
        <f t="shared" si="272"/>
        <v>—</v>
      </c>
      <c r="I3522" t="str">
        <f t="shared" si="273"/>
        <v>Below thresholds</v>
      </c>
      <c r="J3522" t="str">
        <f t="shared" si="274"/>
        <v/>
      </c>
    </row>
    <row r="3523" spans="1:10" x14ac:dyDescent="0.2">
      <c r="A3523">
        <v>227265889358</v>
      </c>
      <c r="B3523" t="s">
        <v>7599</v>
      </c>
      <c r="C3523" t="s">
        <v>7600</v>
      </c>
      <c r="D3523">
        <v>1.99</v>
      </c>
      <c r="F3523" t="str">
        <f t="shared" si="270"/>
        <v>No</v>
      </c>
      <c r="G3523" t="str">
        <f t="shared" si="271"/>
        <v/>
      </c>
      <c r="H3523" t="str">
        <f t="shared" si="272"/>
        <v>—</v>
      </c>
      <c r="I3523" t="str">
        <f t="shared" si="273"/>
        <v>Below thresholds</v>
      </c>
      <c r="J3523" t="str">
        <f t="shared" si="274"/>
        <v/>
      </c>
    </row>
    <row r="3524" spans="1:10" x14ac:dyDescent="0.2">
      <c r="A3524">
        <v>227265889369</v>
      </c>
      <c r="B3524" t="s">
        <v>7601</v>
      </c>
      <c r="C3524" t="s">
        <v>7602</v>
      </c>
      <c r="D3524">
        <v>1.99</v>
      </c>
      <c r="F3524" t="str">
        <f t="shared" si="270"/>
        <v>No</v>
      </c>
      <c r="G3524" t="str">
        <f t="shared" si="271"/>
        <v/>
      </c>
      <c r="H3524" t="str">
        <f t="shared" si="272"/>
        <v>—</v>
      </c>
      <c r="I3524" t="str">
        <f t="shared" si="273"/>
        <v>Below thresholds</v>
      </c>
      <c r="J3524" t="str">
        <f t="shared" si="274"/>
        <v/>
      </c>
    </row>
    <row r="3525" spans="1:10" x14ac:dyDescent="0.2">
      <c r="A3525">
        <v>227265889385</v>
      </c>
      <c r="B3525" t="s">
        <v>7603</v>
      </c>
      <c r="C3525" t="s">
        <v>7604</v>
      </c>
      <c r="D3525">
        <v>1.99</v>
      </c>
      <c r="F3525" t="str">
        <f t="shared" ref="F3525:F3588" si="275">IF($B3525="","",IF(ISNUMBER(SEARCH("PSA",$B3525)),"Yes","No"))</f>
        <v>No</v>
      </c>
      <c r="G3525" t="str">
        <f t="shared" ref="G3525:G3588" si="276">IF($B3525="","",IF(ISNUMBER(SEARCH("PSA 10",$B3525)),10,IF(ISNUMBER(SEARCH("PSA 9.5",$B3525)),9.5,IF(ISNUMBER(SEARCH("PSA 9",$B3525)),9,IF(ISNUMBER(SEARCH("PSA 8",$B3525)),8,IF(ISNUMBER(SEARCH("PSA",$B3525)),"&lt;9",""))))))</f>
        <v/>
      </c>
      <c r="H3525" t="str">
        <f t="shared" ref="H3525:H3588" si="277">IF($B3525="","",IF($D3525&gt;=100,"TIER 2",IF(OR(ISNUMBER(SEARCH("PSA 10",$B3525)),ISNUMBER(SEARCH("PSA 9.5",$B3525)),ISNUMBER(SEARCH("PSA 9",$B3525))),"TIER 3",IF(AND($D3525&gt;20,N($E3525)&gt;=15),"TIER 1","—"))))</f>
        <v>—</v>
      </c>
      <c r="I3525" t="str">
        <f t="shared" ref="I3525:I3588" si="278">IF($B3525="","",IF($D3525&gt;=100,"Premium $100+ (auto)",IF(OR(ISNUMBER(SEARCH("PSA 10",$B3525)),ISNUMBER(SEARCH("PSA 9.5",$B3525)),ISNUMBER(SEARCH("PSA 9",$B3525))),"Graded PSA 9+ (auto)",IF(AND($D3525&gt;20,N($E3525)&gt;=15),"Hot: $20+ &amp; "&amp;$E3525&amp;"/day",IF($D3525&gt;20,"$20+ — needs velocity check","Below thresholds")))))</f>
        <v>Below thresholds</v>
      </c>
      <c r="J3525" t="str">
        <f t="shared" ref="J3525:J3588" si="279">IF($B3525="","",IF(AND($D3525&gt;20,$D3525&lt;100,NOT(OR(ISNUMBER(SEARCH("PSA 10",$B3525)),ISNUMBER(SEARCH("PSA 9.5",$B3525)),ISNUMBER(SEARCH("PSA 9",$B3525)))),$E3525=""),"YES — pull CardHedger",""))</f>
        <v/>
      </c>
    </row>
    <row r="3526" spans="1:10" x14ac:dyDescent="0.2">
      <c r="A3526">
        <v>227265889538</v>
      </c>
      <c r="B3526" t="s">
        <v>7605</v>
      </c>
      <c r="C3526" t="s">
        <v>7606</v>
      </c>
      <c r="D3526">
        <v>1.99</v>
      </c>
      <c r="F3526" t="str">
        <f t="shared" si="275"/>
        <v>No</v>
      </c>
      <c r="G3526" t="str">
        <f t="shared" si="276"/>
        <v/>
      </c>
      <c r="H3526" t="str">
        <f t="shared" si="277"/>
        <v>—</v>
      </c>
      <c r="I3526" t="str">
        <f t="shared" si="278"/>
        <v>Below thresholds</v>
      </c>
      <c r="J3526" t="str">
        <f t="shared" si="279"/>
        <v/>
      </c>
    </row>
    <row r="3527" spans="1:10" x14ac:dyDescent="0.2">
      <c r="A3527">
        <v>227265889552</v>
      </c>
      <c r="B3527" t="s">
        <v>7607</v>
      </c>
      <c r="C3527" t="s">
        <v>7608</v>
      </c>
      <c r="D3527">
        <v>1.99</v>
      </c>
      <c r="F3527" t="str">
        <f t="shared" si="275"/>
        <v>No</v>
      </c>
      <c r="G3527" t="str">
        <f t="shared" si="276"/>
        <v/>
      </c>
      <c r="H3527" t="str">
        <f t="shared" si="277"/>
        <v>—</v>
      </c>
      <c r="I3527" t="str">
        <f t="shared" si="278"/>
        <v>Below thresholds</v>
      </c>
      <c r="J3527" t="str">
        <f t="shared" si="279"/>
        <v/>
      </c>
    </row>
    <row r="3528" spans="1:10" x14ac:dyDescent="0.2">
      <c r="A3528">
        <v>227265889626</v>
      </c>
      <c r="B3528" t="s">
        <v>7609</v>
      </c>
      <c r="C3528" t="s">
        <v>7610</v>
      </c>
      <c r="D3528">
        <v>1.99</v>
      </c>
      <c r="F3528" t="str">
        <f t="shared" si="275"/>
        <v>No</v>
      </c>
      <c r="G3528" t="str">
        <f t="shared" si="276"/>
        <v/>
      </c>
      <c r="H3528" t="str">
        <f t="shared" si="277"/>
        <v>—</v>
      </c>
      <c r="I3528" t="str">
        <f t="shared" si="278"/>
        <v>Below thresholds</v>
      </c>
      <c r="J3528" t="str">
        <f t="shared" si="279"/>
        <v/>
      </c>
    </row>
    <row r="3529" spans="1:10" x14ac:dyDescent="0.2">
      <c r="A3529">
        <v>227265889682</v>
      </c>
      <c r="B3529" t="s">
        <v>7611</v>
      </c>
      <c r="C3529" t="s">
        <v>7612</v>
      </c>
      <c r="D3529">
        <v>1.99</v>
      </c>
      <c r="F3529" t="str">
        <f t="shared" si="275"/>
        <v>No</v>
      </c>
      <c r="G3529" t="str">
        <f t="shared" si="276"/>
        <v/>
      </c>
      <c r="H3529" t="str">
        <f t="shared" si="277"/>
        <v>—</v>
      </c>
      <c r="I3529" t="str">
        <f t="shared" si="278"/>
        <v>Below thresholds</v>
      </c>
      <c r="J3529" t="str">
        <f t="shared" si="279"/>
        <v/>
      </c>
    </row>
    <row r="3530" spans="1:10" x14ac:dyDescent="0.2">
      <c r="A3530">
        <v>227265889719</v>
      </c>
      <c r="B3530" t="s">
        <v>7613</v>
      </c>
      <c r="C3530" t="s">
        <v>7614</v>
      </c>
      <c r="D3530">
        <v>1.99</v>
      </c>
      <c r="F3530" t="str">
        <f t="shared" si="275"/>
        <v>No</v>
      </c>
      <c r="G3530" t="str">
        <f t="shared" si="276"/>
        <v/>
      </c>
      <c r="H3530" t="str">
        <f t="shared" si="277"/>
        <v>—</v>
      </c>
      <c r="I3530" t="str">
        <f t="shared" si="278"/>
        <v>Below thresholds</v>
      </c>
      <c r="J3530" t="str">
        <f t="shared" si="279"/>
        <v/>
      </c>
    </row>
    <row r="3531" spans="1:10" x14ac:dyDescent="0.2">
      <c r="A3531">
        <v>227265889761</v>
      </c>
      <c r="B3531" t="s">
        <v>7615</v>
      </c>
      <c r="C3531" t="s">
        <v>7616</v>
      </c>
      <c r="D3531">
        <v>1.99</v>
      </c>
      <c r="F3531" t="str">
        <f t="shared" si="275"/>
        <v>No</v>
      </c>
      <c r="G3531" t="str">
        <f t="shared" si="276"/>
        <v/>
      </c>
      <c r="H3531" t="str">
        <f t="shared" si="277"/>
        <v>—</v>
      </c>
      <c r="I3531" t="str">
        <f t="shared" si="278"/>
        <v>Below thresholds</v>
      </c>
      <c r="J3531" t="str">
        <f t="shared" si="279"/>
        <v/>
      </c>
    </row>
    <row r="3532" spans="1:10" x14ac:dyDescent="0.2">
      <c r="A3532">
        <v>227265889785</v>
      </c>
      <c r="B3532" t="s">
        <v>7617</v>
      </c>
      <c r="C3532" t="s">
        <v>7618</v>
      </c>
      <c r="D3532">
        <v>1.99</v>
      </c>
      <c r="F3532" t="str">
        <f t="shared" si="275"/>
        <v>No</v>
      </c>
      <c r="G3532" t="str">
        <f t="shared" si="276"/>
        <v/>
      </c>
      <c r="H3532" t="str">
        <f t="shared" si="277"/>
        <v>—</v>
      </c>
      <c r="I3532" t="str">
        <f t="shared" si="278"/>
        <v>Below thresholds</v>
      </c>
      <c r="J3532" t="str">
        <f t="shared" si="279"/>
        <v/>
      </c>
    </row>
    <row r="3533" spans="1:10" x14ac:dyDescent="0.2">
      <c r="A3533">
        <v>227265889808</v>
      </c>
      <c r="B3533" t="s">
        <v>7619</v>
      </c>
      <c r="C3533" t="s">
        <v>7620</v>
      </c>
      <c r="D3533">
        <v>1.99</v>
      </c>
      <c r="F3533" t="str">
        <f t="shared" si="275"/>
        <v>No</v>
      </c>
      <c r="G3533" t="str">
        <f t="shared" si="276"/>
        <v/>
      </c>
      <c r="H3533" t="str">
        <f t="shared" si="277"/>
        <v>—</v>
      </c>
      <c r="I3533" t="str">
        <f t="shared" si="278"/>
        <v>Below thresholds</v>
      </c>
      <c r="J3533" t="str">
        <f t="shared" si="279"/>
        <v/>
      </c>
    </row>
    <row r="3534" spans="1:10" x14ac:dyDescent="0.2">
      <c r="A3534">
        <v>227265889870</v>
      </c>
      <c r="B3534" t="s">
        <v>7621</v>
      </c>
      <c r="C3534" t="s">
        <v>7622</v>
      </c>
      <c r="D3534">
        <v>1.99</v>
      </c>
      <c r="F3534" t="str">
        <f t="shared" si="275"/>
        <v>No</v>
      </c>
      <c r="G3534" t="str">
        <f t="shared" si="276"/>
        <v/>
      </c>
      <c r="H3534" t="str">
        <f t="shared" si="277"/>
        <v>—</v>
      </c>
      <c r="I3534" t="str">
        <f t="shared" si="278"/>
        <v>Below thresholds</v>
      </c>
      <c r="J3534" t="str">
        <f t="shared" si="279"/>
        <v/>
      </c>
    </row>
    <row r="3535" spans="1:10" x14ac:dyDescent="0.2">
      <c r="A3535">
        <v>227265889879</v>
      </c>
      <c r="B3535" t="s">
        <v>7623</v>
      </c>
      <c r="C3535" t="s">
        <v>7624</v>
      </c>
      <c r="D3535">
        <v>1.99</v>
      </c>
      <c r="F3535" t="str">
        <f t="shared" si="275"/>
        <v>No</v>
      </c>
      <c r="G3535" t="str">
        <f t="shared" si="276"/>
        <v/>
      </c>
      <c r="H3535" t="str">
        <f t="shared" si="277"/>
        <v>—</v>
      </c>
      <c r="I3535" t="str">
        <f t="shared" si="278"/>
        <v>Below thresholds</v>
      </c>
      <c r="J3535" t="str">
        <f t="shared" si="279"/>
        <v/>
      </c>
    </row>
    <row r="3536" spans="1:10" x14ac:dyDescent="0.2">
      <c r="A3536">
        <v>227265889895</v>
      </c>
      <c r="B3536" t="s">
        <v>7625</v>
      </c>
      <c r="C3536" t="s">
        <v>7626</v>
      </c>
      <c r="D3536">
        <v>1.99</v>
      </c>
      <c r="F3536" t="str">
        <f t="shared" si="275"/>
        <v>No</v>
      </c>
      <c r="G3536" t="str">
        <f t="shared" si="276"/>
        <v/>
      </c>
      <c r="H3536" t="str">
        <f t="shared" si="277"/>
        <v>—</v>
      </c>
      <c r="I3536" t="str">
        <f t="shared" si="278"/>
        <v>Below thresholds</v>
      </c>
      <c r="J3536" t="str">
        <f t="shared" si="279"/>
        <v/>
      </c>
    </row>
    <row r="3537" spans="1:10" x14ac:dyDescent="0.2">
      <c r="A3537">
        <v>227265890026</v>
      </c>
      <c r="B3537" t="s">
        <v>7627</v>
      </c>
      <c r="C3537" t="s">
        <v>7628</v>
      </c>
      <c r="D3537">
        <v>1.99</v>
      </c>
      <c r="F3537" t="str">
        <f t="shared" si="275"/>
        <v>No</v>
      </c>
      <c r="G3537" t="str">
        <f t="shared" si="276"/>
        <v/>
      </c>
      <c r="H3537" t="str">
        <f t="shared" si="277"/>
        <v>—</v>
      </c>
      <c r="I3537" t="str">
        <f t="shared" si="278"/>
        <v>Below thresholds</v>
      </c>
      <c r="J3537" t="str">
        <f t="shared" si="279"/>
        <v/>
      </c>
    </row>
    <row r="3538" spans="1:10" x14ac:dyDescent="0.2">
      <c r="A3538">
        <v>227265890031</v>
      </c>
      <c r="B3538" t="s">
        <v>7629</v>
      </c>
      <c r="C3538" t="s">
        <v>7630</v>
      </c>
      <c r="D3538">
        <v>1.99</v>
      </c>
      <c r="F3538" t="str">
        <f t="shared" si="275"/>
        <v>No</v>
      </c>
      <c r="G3538" t="str">
        <f t="shared" si="276"/>
        <v/>
      </c>
      <c r="H3538" t="str">
        <f t="shared" si="277"/>
        <v>—</v>
      </c>
      <c r="I3538" t="str">
        <f t="shared" si="278"/>
        <v>Below thresholds</v>
      </c>
      <c r="J3538" t="str">
        <f t="shared" si="279"/>
        <v/>
      </c>
    </row>
    <row r="3539" spans="1:10" x14ac:dyDescent="0.2">
      <c r="A3539">
        <v>227265890037</v>
      </c>
      <c r="B3539" t="s">
        <v>7631</v>
      </c>
      <c r="C3539" t="s">
        <v>7632</v>
      </c>
      <c r="D3539">
        <v>1.99</v>
      </c>
      <c r="F3539" t="str">
        <f t="shared" si="275"/>
        <v>No</v>
      </c>
      <c r="G3539" t="str">
        <f t="shared" si="276"/>
        <v/>
      </c>
      <c r="H3539" t="str">
        <f t="shared" si="277"/>
        <v>—</v>
      </c>
      <c r="I3539" t="str">
        <f t="shared" si="278"/>
        <v>Below thresholds</v>
      </c>
      <c r="J3539" t="str">
        <f t="shared" si="279"/>
        <v/>
      </c>
    </row>
    <row r="3540" spans="1:10" x14ac:dyDescent="0.2">
      <c r="A3540">
        <v>227265890137</v>
      </c>
      <c r="B3540" t="s">
        <v>7633</v>
      </c>
      <c r="C3540" t="s">
        <v>7634</v>
      </c>
      <c r="D3540">
        <v>1.99</v>
      </c>
      <c r="F3540" t="str">
        <f t="shared" si="275"/>
        <v>No</v>
      </c>
      <c r="G3540" t="str">
        <f t="shared" si="276"/>
        <v/>
      </c>
      <c r="H3540" t="str">
        <f t="shared" si="277"/>
        <v>—</v>
      </c>
      <c r="I3540" t="str">
        <f t="shared" si="278"/>
        <v>Below thresholds</v>
      </c>
      <c r="J3540" t="str">
        <f t="shared" si="279"/>
        <v/>
      </c>
    </row>
    <row r="3541" spans="1:10" x14ac:dyDescent="0.2">
      <c r="A3541">
        <v>227265890148</v>
      </c>
      <c r="B3541" t="s">
        <v>7635</v>
      </c>
      <c r="C3541" t="s">
        <v>7636</v>
      </c>
      <c r="D3541">
        <v>1.99</v>
      </c>
      <c r="F3541" t="str">
        <f t="shared" si="275"/>
        <v>No</v>
      </c>
      <c r="G3541" t="str">
        <f t="shared" si="276"/>
        <v/>
      </c>
      <c r="H3541" t="str">
        <f t="shared" si="277"/>
        <v>—</v>
      </c>
      <c r="I3541" t="str">
        <f t="shared" si="278"/>
        <v>Below thresholds</v>
      </c>
      <c r="J3541" t="str">
        <f t="shared" si="279"/>
        <v/>
      </c>
    </row>
    <row r="3542" spans="1:10" x14ac:dyDescent="0.2">
      <c r="A3542">
        <v>227265890169</v>
      </c>
      <c r="B3542" t="s">
        <v>7637</v>
      </c>
      <c r="C3542" t="s">
        <v>7638</v>
      </c>
      <c r="D3542">
        <v>1.99</v>
      </c>
      <c r="F3542" t="str">
        <f t="shared" si="275"/>
        <v>No</v>
      </c>
      <c r="G3542" t="str">
        <f t="shared" si="276"/>
        <v/>
      </c>
      <c r="H3542" t="str">
        <f t="shared" si="277"/>
        <v>—</v>
      </c>
      <c r="I3542" t="str">
        <f t="shared" si="278"/>
        <v>Below thresholds</v>
      </c>
      <c r="J3542" t="str">
        <f t="shared" si="279"/>
        <v/>
      </c>
    </row>
    <row r="3543" spans="1:10" x14ac:dyDescent="0.2">
      <c r="A3543">
        <v>227265890234</v>
      </c>
      <c r="B3543" t="s">
        <v>7639</v>
      </c>
      <c r="C3543" t="s">
        <v>7640</v>
      </c>
      <c r="D3543">
        <v>1.99</v>
      </c>
      <c r="F3543" t="str">
        <f t="shared" si="275"/>
        <v>No</v>
      </c>
      <c r="G3543" t="str">
        <f t="shared" si="276"/>
        <v/>
      </c>
      <c r="H3543" t="str">
        <f t="shared" si="277"/>
        <v>—</v>
      </c>
      <c r="I3543" t="str">
        <f t="shared" si="278"/>
        <v>Below thresholds</v>
      </c>
      <c r="J3543" t="str">
        <f t="shared" si="279"/>
        <v/>
      </c>
    </row>
    <row r="3544" spans="1:10" x14ac:dyDescent="0.2">
      <c r="A3544">
        <v>227265890235</v>
      </c>
      <c r="B3544" t="s">
        <v>7641</v>
      </c>
      <c r="C3544" t="s">
        <v>7642</v>
      </c>
      <c r="D3544">
        <v>1.99</v>
      </c>
      <c r="F3544" t="str">
        <f t="shared" si="275"/>
        <v>No</v>
      </c>
      <c r="G3544" t="str">
        <f t="shared" si="276"/>
        <v/>
      </c>
      <c r="H3544" t="str">
        <f t="shared" si="277"/>
        <v>—</v>
      </c>
      <c r="I3544" t="str">
        <f t="shared" si="278"/>
        <v>Below thresholds</v>
      </c>
      <c r="J3544" t="str">
        <f t="shared" si="279"/>
        <v/>
      </c>
    </row>
    <row r="3545" spans="1:10" x14ac:dyDescent="0.2">
      <c r="A3545">
        <v>227265938235</v>
      </c>
      <c r="B3545" t="s">
        <v>7643</v>
      </c>
      <c r="C3545" t="s">
        <v>7644</v>
      </c>
      <c r="D3545">
        <v>2.29</v>
      </c>
      <c r="F3545" t="str">
        <f t="shared" si="275"/>
        <v>No</v>
      </c>
      <c r="G3545" t="str">
        <f t="shared" si="276"/>
        <v/>
      </c>
      <c r="H3545" t="str">
        <f t="shared" si="277"/>
        <v>—</v>
      </c>
      <c r="I3545" t="str">
        <f t="shared" si="278"/>
        <v>Below thresholds</v>
      </c>
      <c r="J3545" t="str">
        <f t="shared" si="279"/>
        <v/>
      </c>
    </row>
    <row r="3546" spans="1:10" x14ac:dyDescent="0.2">
      <c r="A3546">
        <v>227265938271</v>
      </c>
      <c r="B3546" t="s">
        <v>7645</v>
      </c>
      <c r="C3546" t="s">
        <v>7646</v>
      </c>
      <c r="D3546">
        <v>1.99</v>
      </c>
      <c r="F3546" t="str">
        <f t="shared" si="275"/>
        <v>No</v>
      </c>
      <c r="G3546" t="str">
        <f t="shared" si="276"/>
        <v/>
      </c>
      <c r="H3546" t="str">
        <f t="shared" si="277"/>
        <v>—</v>
      </c>
      <c r="I3546" t="str">
        <f t="shared" si="278"/>
        <v>Below thresholds</v>
      </c>
      <c r="J3546" t="str">
        <f t="shared" si="279"/>
        <v/>
      </c>
    </row>
    <row r="3547" spans="1:10" x14ac:dyDescent="0.2">
      <c r="A3547">
        <v>227265938300</v>
      </c>
      <c r="B3547" t="s">
        <v>7647</v>
      </c>
      <c r="C3547" t="s">
        <v>7648</v>
      </c>
      <c r="D3547">
        <v>2.09</v>
      </c>
      <c r="F3547" t="str">
        <f t="shared" si="275"/>
        <v>No</v>
      </c>
      <c r="G3547" t="str">
        <f t="shared" si="276"/>
        <v/>
      </c>
      <c r="H3547" t="str">
        <f t="shared" si="277"/>
        <v>—</v>
      </c>
      <c r="I3547" t="str">
        <f t="shared" si="278"/>
        <v>Below thresholds</v>
      </c>
      <c r="J3547" t="str">
        <f t="shared" si="279"/>
        <v/>
      </c>
    </row>
    <row r="3548" spans="1:10" x14ac:dyDescent="0.2">
      <c r="A3548">
        <v>227265938324</v>
      </c>
      <c r="B3548" t="s">
        <v>7649</v>
      </c>
      <c r="C3548" t="s">
        <v>7650</v>
      </c>
      <c r="D3548">
        <v>1.99</v>
      </c>
      <c r="F3548" t="str">
        <f t="shared" si="275"/>
        <v>No</v>
      </c>
      <c r="G3548" t="str">
        <f t="shared" si="276"/>
        <v/>
      </c>
      <c r="H3548" t="str">
        <f t="shared" si="277"/>
        <v>—</v>
      </c>
      <c r="I3548" t="str">
        <f t="shared" si="278"/>
        <v>Below thresholds</v>
      </c>
      <c r="J3548" t="str">
        <f t="shared" si="279"/>
        <v/>
      </c>
    </row>
    <row r="3549" spans="1:10" x14ac:dyDescent="0.2">
      <c r="A3549">
        <v>227265938349</v>
      </c>
      <c r="B3549" t="s">
        <v>7651</v>
      </c>
      <c r="C3549" t="s">
        <v>7652</v>
      </c>
      <c r="D3549">
        <v>1.99</v>
      </c>
      <c r="F3549" t="str">
        <f t="shared" si="275"/>
        <v>No</v>
      </c>
      <c r="G3549" t="str">
        <f t="shared" si="276"/>
        <v/>
      </c>
      <c r="H3549" t="str">
        <f t="shared" si="277"/>
        <v>—</v>
      </c>
      <c r="I3549" t="str">
        <f t="shared" si="278"/>
        <v>Below thresholds</v>
      </c>
      <c r="J3549" t="str">
        <f t="shared" si="279"/>
        <v/>
      </c>
    </row>
    <row r="3550" spans="1:10" x14ac:dyDescent="0.2">
      <c r="A3550">
        <v>227265938356</v>
      </c>
      <c r="B3550" t="s">
        <v>7653</v>
      </c>
      <c r="C3550" t="s">
        <v>7654</v>
      </c>
      <c r="D3550">
        <v>2.4900000000000002</v>
      </c>
      <c r="F3550" t="str">
        <f t="shared" si="275"/>
        <v>No</v>
      </c>
      <c r="G3550" t="str">
        <f t="shared" si="276"/>
        <v/>
      </c>
      <c r="H3550" t="str">
        <f t="shared" si="277"/>
        <v>—</v>
      </c>
      <c r="I3550" t="str">
        <f t="shared" si="278"/>
        <v>Below thresholds</v>
      </c>
      <c r="J3550" t="str">
        <f t="shared" si="279"/>
        <v/>
      </c>
    </row>
    <row r="3551" spans="1:10" x14ac:dyDescent="0.2">
      <c r="A3551">
        <v>227265938391</v>
      </c>
      <c r="B3551" t="s">
        <v>7655</v>
      </c>
      <c r="C3551" t="s">
        <v>7656</v>
      </c>
      <c r="D3551">
        <v>1.99</v>
      </c>
      <c r="F3551" t="str">
        <f t="shared" si="275"/>
        <v>No</v>
      </c>
      <c r="G3551" t="str">
        <f t="shared" si="276"/>
        <v/>
      </c>
      <c r="H3551" t="str">
        <f t="shared" si="277"/>
        <v>—</v>
      </c>
      <c r="I3551" t="str">
        <f t="shared" si="278"/>
        <v>Below thresholds</v>
      </c>
      <c r="J3551" t="str">
        <f t="shared" si="279"/>
        <v/>
      </c>
    </row>
    <row r="3552" spans="1:10" x14ac:dyDescent="0.2">
      <c r="A3552">
        <v>227265938395</v>
      </c>
      <c r="B3552" t="s">
        <v>7657</v>
      </c>
      <c r="C3552" t="s">
        <v>7658</v>
      </c>
      <c r="D3552">
        <v>1.99</v>
      </c>
      <c r="F3552" t="str">
        <f t="shared" si="275"/>
        <v>No</v>
      </c>
      <c r="G3552" t="str">
        <f t="shared" si="276"/>
        <v/>
      </c>
      <c r="H3552" t="str">
        <f t="shared" si="277"/>
        <v>—</v>
      </c>
      <c r="I3552" t="str">
        <f t="shared" si="278"/>
        <v>Below thresholds</v>
      </c>
      <c r="J3552" t="str">
        <f t="shared" si="279"/>
        <v/>
      </c>
    </row>
    <row r="3553" spans="1:10" x14ac:dyDescent="0.2">
      <c r="A3553">
        <v>227265938437</v>
      </c>
      <c r="B3553" t="s">
        <v>7659</v>
      </c>
      <c r="C3553" t="s">
        <v>7660</v>
      </c>
      <c r="D3553">
        <v>1.99</v>
      </c>
      <c r="F3553" t="str">
        <f t="shared" si="275"/>
        <v>No</v>
      </c>
      <c r="G3553" t="str">
        <f t="shared" si="276"/>
        <v/>
      </c>
      <c r="H3553" t="str">
        <f t="shared" si="277"/>
        <v>—</v>
      </c>
      <c r="I3553" t="str">
        <f t="shared" si="278"/>
        <v>Below thresholds</v>
      </c>
      <c r="J3553" t="str">
        <f t="shared" si="279"/>
        <v/>
      </c>
    </row>
    <row r="3554" spans="1:10" x14ac:dyDescent="0.2">
      <c r="A3554">
        <v>227265938439</v>
      </c>
      <c r="B3554" t="s">
        <v>7661</v>
      </c>
      <c r="C3554" t="s">
        <v>7662</v>
      </c>
      <c r="D3554">
        <v>1.99</v>
      </c>
      <c r="F3554" t="str">
        <f t="shared" si="275"/>
        <v>No</v>
      </c>
      <c r="G3554" t="str">
        <f t="shared" si="276"/>
        <v/>
      </c>
      <c r="H3554" t="str">
        <f t="shared" si="277"/>
        <v>—</v>
      </c>
      <c r="I3554" t="str">
        <f t="shared" si="278"/>
        <v>Below thresholds</v>
      </c>
      <c r="J3554" t="str">
        <f t="shared" si="279"/>
        <v/>
      </c>
    </row>
    <row r="3555" spans="1:10" x14ac:dyDescent="0.2">
      <c r="A3555">
        <v>227265938446</v>
      </c>
      <c r="B3555" t="s">
        <v>7663</v>
      </c>
      <c r="C3555" t="s">
        <v>7664</v>
      </c>
      <c r="D3555">
        <v>1.99</v>
      </c>
      <c r="F3555" t="str">
        <f t="shared" si="275"/>
        <v>No</v>
      </c>
      <c r="G3555" t="str">
        <f t="shared" si="276"/>
        <v/>
      </c>
      <c r="H3555" t="str">
        <f t="shared" si="277"/>
        <v>—</v>
      </c>
      <c r="I3555" t="str">
        <f t="shared" si="278"/>
        <v>Below thresholds</v>
      </c>
      <c r="J3555" t="str">
        <f t="shared" si="279"/>
        <v/>
      </c>
    </row>
    <row r="3556" spans="1:10" x14ac:dyDescent="0.2">
      <c r="A3556">
        <v>227265938458</v>
      </c>
      <c r="B3556" t="s">
        <v>7665</v>
      </c>
      <c r="C3556" t="s">
        <v>7666</v>
      </c>
      <c r="D3556">
        <v>1.99</v>
      </c>
      <c r="F3556" t="str">
        <f t="shared" si="275"/>
        <v>No</v>
      </c>
      <c r="G3556" t="str">
        <f t="shared" si="276"/>
        <v/>
      </c>
      <c r="H3556" t="str">
        <f t="shared" si="277"/>
        <v>—</v>
      </c>
      <c r="I3556" t="str">
        <f t="shared" si="278"/>
        <v>Below thresholds</v>
      </c>
      <c r="J3556" t="str">
        <f t="shared" si="279"/>
        <v/>
      </c>
    </row>
    <row r="3557" spans="1:10" x14ac:dyDescent="0.2">
      <c r="A3557">
        <v>227265938477</v>
      </c>
      <c r="B3557" t="s">
        <v>7667</v>
      </c>
      <c r="C3557" t="s">
        <v>7668</v>
      </c>
      <c r="D3557">
        <v>1.99</v>
      </c>
      <c r="F3557" t="str">
        <f t="shared" si="275"/>
        <v>No</v>
      </c>
      <c r="G3557" t="str">
        <f t="shared" si="276"/>
        <v/>
      </c>
      <c r="H3557" t="str">
        <f t="shared" si="277"/>
        <v>—</v>
      </c>
      <c r="I3557" t="str">
        <f t="shared" si="278"/>
        <v>Below thresholds</v>
      </c>
      <c r="J3557" t="str">
        <f t="shared" si="279"/>
        <v/>
      </c>
    </row>
    <row r="3558" spans="1:10" x14ac:dyDescent="0.2">
      <c r="A3558">
        <v>227265938481</v>
      </c>
      <c r="B3558" t="s">
        <v>7669</v>
      </c>
      <c r="C3558" t="s">
        <v>7670</v>
      </c>
      <c r="D3558">
        <v>1.99</v>
      </c>
      <c r="F3558" t="str">
        <f t="shared" si="275"/>
        <v>No</v>
      </c>
      <c r="G3558" t="str">
        <f t="shared" si="276"/>
        <v/>
      </c>
      <c r="H3558" t="str">
        <f t="shared" si="277"/>
        <v>—</v>
      </c>
      <c r="I3558" t="str">
        <f t="shared" si="278"/>
        <v>Below thresholds</v>
      </c>
      <c r="J3558" t="str">
        <f t="shared" si="279"/>
        <v/>
      </c>
    </row>
    <row r="3559" spans="1:10" x14ac:dyDescent="0.2">
      <c r="A3559">
        <v>227265938486</v>
      </c>
      <c r="B3559" t="s">
        <v>7671</v>
      </c>
      <c r="C3559" t="s">
        <v>7672</v>
      </c>
      <c r="D3559">
        <v>1.99</v>
      </c>
      <c r="F3559" t="str">
        <f t="shared" si="275"/>
        <v>No</v>
      </c>
      <c r="G3559" t="str">
        <f t="shared" si="276"/>
        <v/>
      </c>
      <c r="H3559" t="str">
        <f t="shared" si="277"/>
        <v>—</v>
      </c>
      <c r="I3559" t="str">
        <f t="shared" si="278"/>
        <v>Below thresholds</v>
      </c>
      <c r="J3559" t="str">
        <f t="shared" si="279"/>
        <v/>
      </c>
    </row>
    <row r="3560" spans="1:10" x14ac:dyDescent="0.2">
      <c r="A3560">
        <v>227265938491</v>
      </c>
      <c r="B3560" t="s">
        <v>7673</v>
      </c>
      <c r="C3560" t="s">
        <v>7674</v>
      </c>
      <c r="D3560">
        <v>1.99</v>
      </c>
      <c r="F3560" t="str">
        <f t="shared" si="275"/>
        <v>No</v>
      </c>
      <c r="G3560" t="str">
        <f t="shared" si="276"/>
        <v/>
      </c>
      <c r="H3560" t="str">
        <f t="shared" si="277"/>
        <v>—</v>
      </c>
      <c r="I3560" t="str">
        <f t="shared" si="278"/>
        <v>Below thresholds</v>
      </c>
      <c r="J3560" t="str">
        <f t="shared" si="279"/>
        <v/>
      </c>
    </row>
    <row r="3561" spans="1:10" x14ac:dyDescent="0.2">
      <c r="A3561">
        <v>227265938509</v>
      </c>
      <c r="B3561" t="s">
        <v>7675</v>
      </c>
      <c r="C3561" t="s">
        <v>7676</v>
      </c>
      <c r="D3561">
        <v>1.99</v>
      </c>
      <c r="F3561" t="str">
        <f t="shared" si="275"/>
        <v>No</v>
      </c>
      <c r="G3561" t="str">
        <f t="shared" si="276"/>
        <v/>
      </c>
      <c r="H3561" t="str">
        <f t="shared" si="277"/>
        <v>—</v>
      </c>
      <c r="I3561" t="str">
        <f t="shared" si="278"/>
        <v>Below thresholds</v>
      </c>
      <c r="J3561" t="str">
        <f t="shared" si="279"/>
        <v/>
      </c>
    </row>
    <row r="3562" spans="1:10" x14ac:dyDescent="0.2">
      <c r="A3562">
        <v>227265938525</v>
      </c>
      <c r="B3562" t="s">
        <v>7677</v>
      </c>
      <c r="C3562" t="s">
        <v>7678</v>
      </c>
      <c r="D3562">
        <v>1.99</v>
      </c>
      <c r="F3562" t="str">
        <f t="shared" si="275"/>
        <v>No</v>
      </c>
      <c r="G3562" t="str">
        <f t="shared" si="276"/>
        <v/>
      </c>
      <c r="H3562" t="str">
        <f t="shared" si="277"/>
        <v>—</v>
      </c>
      <c r="I3562" t="str">
        <f t="shared" si="278"/>
        <v>Below thresholds</v>
      </c>
      <c r="J3562" t="str">
        <f t="shared" si="279"/>
        <v/>
      </c>
    </row>
    <row r="3563" spans="1:10" x14ac:dyDescent="0.2">
      <c r="A3563">
        <v>227265938530</v>
      </c>
      <c r="B3563" t="s">
        <v>7675</v>
      </c>
      <c r="C3563" t="s">
        <v>7679</v>
      </c>
      <c r="D3563">
        <v>1.99</v>
      </c>
      <c r="F3563" t="str">
        <f t="shared" si="275"/>
        <v>No</v>
      </c>
      <c r="G3563" t="str">
        <f t="shared" si="276"/>
        <v/>
      </c>
      <c r="H3563" t="str">
        <f t="shared" si="277"/>
        <v>—</v>
      </c>
      <c r="I3563" t="str">
        <f t="shared" si="278"/>
        <v>Below thresholds</v>
      </c>
      <c r="J3563" t="str">
        <f t="shared" si="279"/>
        <v/>
      </c>
    </row>
    <row r="3564" spans="1:10" x14ac:dyDescent="0.2">
      <c r="A3564">
        <v>227265938532</v>
      </c>
      <c r="B3564" t="s">
        <v>7680</v>
      </c>
      <c r="C3564" t="s">
        <v>7681</v>
      </c>
      <c r="D3564">
        <v>1.99</v>
      </c>
      <c r="F3564" t="str">
        <f t="shared" si="275"/>
        <v>No</v>
      </c>
      <c r="G3564" t="str">
        <f t="shared" si="276"/>
        <v/>
      </c>
      <c r="H3564" t="str">
        <f t="shared" si="277"/>
        <v>—</v>
      </c>
      <c r="I3564" t="str">
        <f t="shared" si="278"/>
        <v>Below thresholds</v>
      </c>
      <c r="J3564" t="str">
        <f t="shared" si="279"/>
        <v/>
      </c>
    </row>
    <row r="3565" spans="1:10" x14ac:dyDescent="0.2">
      <c r="A3565">
        <v>227265938552</v>
      </c>
      <c r="B3565" t="s">
        <v>7682</v>
      </c>
      <c r="C3565" t="s">
        <v>7683</v>
      </c>
      <c r="D3565">
        <v>1.99</v>
      </c>
      <c r="F3565" t="str">
        <f t="shared" si="275"/>
        <v>No</v>
      </c>
      <c r="G3565" t="str">
        <f t="shared" si="276"/>
        <v/>
      </c>
      <c r="H3565" t="str">
        <f t="shared" si="277"/>
        <v>—</v>
      </c>
      <c r="I3565" t="str">
        <f t="shared" si="278"/>
        <v>Below thresholds</v>
      </c>
      <c r="J3565" t="str">
        <f t="shared" si="279"/>
        <v/>
      </c>
    </row>
    <row r="3566" spans="1:10" x14ac:dyDescent="0.2">
      <c r="A3566">
        <v>227265938568</v>
      </c>
      <c r="B3566" t="s">
        <v>7684</v>
      </c>
      <c r="C3566" t="s">
        <v>7685</v>
      </c>
      <c r="D3566">
        <v>1.99</v>
      </c>
      <c r="F3566" t="str">
        <f t="shared" si="275"/>
        <v>No</v>
      </c>
      <c r="G3566" t="str">
        <f t="shared" si="276"/>
        <v/>
      </c>
      <c r="H3566" t="str">
        <f t="shared" si="277"/>
        <v>—</v>
      </c>
      <c r="I3566" t="str">
        <f t="shared" si="278"/>
        <v>Below thresholds</v>
      </c>
      <c r="J3566" t="str">
        <f t="shared" si="279"/>
        <v/>
      </c>
    </row>
    <row r="3567" spans="1:10" x14ac:dyDescent="0.2">
      <c r="A3567">
        <v>227265938666</v>
      </c>
      <c r="B3567" t="s">
        <v>7686</v>
      </c>
      <c r="C3567" t="s">
        <v>7687</v>
      </c>
      <c r="D3567">
        <v>2.59</v>
      </c>
      <c r="F3567" t="str">
        <f t="shared" si="275"/>
        <v>No</v>
      </c>
      <c r="G3567" t="str">
        <f t="shared" si="276"/>
        <v/>
      </c>
      <c r="H3567" t="str">
        <f t="shared" si="277"/>
        <v>—</v>
      </c>
      <c r="I3567" t="str">
        <f t="shared" si="278"/>
        <v>Below thresholds</v>
      </c>
      <c r="J3567" t="str">
        <f t="shared" si="279"/>
        <v/>
      </c>
    </row>
    <row r="3568" spans="1:10" x14ac:dyDescent="0.2">
      <c r="A3568">
        <v>227265938807</v>
      </c>
      <c r="B3568" t="s">
        <v>7688</v>
      </c>
      <c r="C3568" t="s">
        <v>7689</v>
      </c>
      <c r="D3568">
        <v>1.99</v>
      </c>
      <c r="F3568" t="str">
        <f t="shared" si="275"/>
        <v>No</v>
      </c>
      <c r="G3568" t="str">
        <f t="shared" si="276"/>
        <v/>
      </c>
      <c r="H3568" t="str">
        <f t="shared" si="277"/>
        <v>—</v>
      </c>
      <c r="I3568" t="str">
        <f t="shared" si="278"/>
        <v>Below thresholds</v>
      </c>
      <c r="J3568" t="str">
        <f t="shared" si="279"/>
        <v/>
      </c>
    </row>
    <row r="3569" spans="1:10" x14ac:dyDescent="0.2">
      <c r="A3569">
        <v>227265938831</v>
      </c>
      <c r="B3569" t="s">
        <v>7690</v>
      </c>
      <c r="C3569" t="s">
        <v>7691</v>
      </c>
      <c r="D3569">
        <v>1.99</v>
      </c>
      <c r="F3569" t="str">
        <f t="shared" si="275"/>
        <v>No</v>
      </c>
      <c r="G3569" t="str">
        <f t="shared" si="276"/>
        <v/>
      </c>
      <c r="H3569" t="str">
        <f t="shared" si="277"/>
        <v>—</v>
      </c>
      <c r="I3569" t="str">
        <f t="shared" si="278"/>
        <v>Below thresholds</v>
      </c>
      <c r="J3569" t="str">
        <f t="shared" si="279"/>
        <v/>
      </c>
    </row>
    <row r="3570" spans="1:10" x14ac:dyDescent="0.2">
      <c r="A3570">
        <v>227265938843</v>
      </c>
      <c r="B3570" t="s">
        <v>7692</v>
      </c>
      <c r="C3570" t="s">
        <v>7693</v>
      </c>
      <c r="D3570">
        <v>1.99</v>
      </c>
      <c r="F3570" t="str">
        <f t="shared" si="275"/>
        <v>No</v>
      </c>
      <c r="G3570" t="str">
        <f t="shared" si="276"/>
        <v/>
      </c>
      <c r="H3570" t="str">
        <f t="shared" si="277"/>
        <v>—</v>
      </c>
      <c r="I3570" t="str">
        <f t="shared" si="278"/>
        <v>Below thresholds</v>
      </c>
      <c r="J3570" t="str">
        <f t="shared" si="279"/>
        <v/>
      </c>
    </row>
    <row r="3571" spans="1:10" x14ac:dyDescent="0.2">
      <c r="A3571">
        <v>227265938863</v>
      </c>
      <c r="B3571" t="s">
        <v>7694</v>
      </c>
      <c r="C3571" t="s">
        <v>7695</v>
      </c>
      <c r="D3571">
        <v>1.99</v>
      </c>
      <c r="F3571" t="str">
        <f t="shared" si="275"/>
        <v>No</v>
      </c>
      <c r="G3571" t="str">
        <f t="shared" si="276"/>
        <v/>
      </c>
      <c r="H3571" t="str">
        <f t="shared" si="277"/>
        <v>—</v>
      </c>
      <c r="I3571" t="str">
        <f t="shared" si="278"/>
        <v>Below thresholds</v>
      </c>
      <c r="J3571" t="str">
        <f t="shared" si="279"/>
        <v/>
      </c>
    </row>
    <row r="3572" spans="1:10" x14ac:dyDescent="0.2">
      <c r="A3572">
        <v>227265938880</v>
      </c>
      <c r="B3572" t="s">
        <v>7696</v>
      </c>
      <c r="C3572" t="s">
        <v>7697</v>
      </c>
      <c r="D3572">
        <v>1.99</v>
      </c>
      <c r="F3572" t="str">
        <f t="shared" si="275"/>
        <v>No</v>
      </c>
      <c r="G3572" t="str">
        <f t="shared" si="276"/>
        <v/>
      </c>
      <c r="H3572" t="str">
        <f t="shared" si="277"/>
        <v>—</v>
      </c>
      <c r="I3572" t="str">
        <f t="shared" si="278"/>
        <v>Below thresholds</v>
      </c>
      <c r="J3572" t="str">
        <f t="shared" si="279"/>
        <v/>
      </c>
    </row>
    <row r="3573" spans="1:10" x14ac:dyDescent="0.2">
      <c r="A3573">
        <v>227265938903</v>
      </c>
      <c r="B3573" t="s">
        <v>7698</v>
      </c>
      <c r="C3573" t="s">
        <v>7699</v>
      </c>
      <c r="D3573">
        <v>1.99</v>
      </c>
      <c r="F3573" t="str">
        <f t="shared" si="275"/>
        <v>No</v>
      </c>
      <c r="G3573" t="str">
        <f t="shared" si="276"/>
        <v/>
      </c>
      <c r="H3573" t="str">
        <f t="shared" si="277"/>
        <v>—</v>
      </c>
      <c r="I3573" t="str">
        <f t="shared" si="278"/>
        <v>Below thresholds</v>
      </c>
      <c r="J3573" t="str">
        <f t="shared" si="279"/>
        <v/>
      </c>
    </row>
    <row r="3574" spans="1:10" x14ac:dyDescent="0.2">
      <c r="A3574">
        <v>227265938906</v>
      </c>
      <c r="B3574" t="s">
        <v>7700</v>
      </c>
      <c r="C3574" t="s">
        <v>7701</v>
      </c>
      <c r="D3574">
        <v>1.99</v>
      </c>
      <c r="F3574" t="str">
        <f t="shared" si="275"/>
        <v>No</v>
      </c>
      <c r="G3574" t="str">
        <f t="shared" si="276"/>
        <v/>
      </c>
      <c r="H3574" t="str">
        <f t="shared" si="277"/>
        <v>—</v>
      </c>
      <c r="I3574" t="str">
        <f t="shared" si="278"/>
        <v>Below thresholds</v>
      </c>
      <c r="J3574" t="str">
        <f t="shared" si="279"/>
        <v/>
      </c>
    </row>
    <row r="3575" spans="1:10" x14ac:dyDescent="0.2">
      <c r="A3575">
        <v>227265938914</v>
      </c>
      <c r="B3575" t="s">
        <v>7702</v>
      </c>
      <c r="C3575" t="s">
        <v>7703</v>
      </c>
      <c r="D3575">
        <v>1.99</v>
      </c>
      <c r="F3575" t="str">
        <f t="shared" si="275"/>
        <v>No</v>
      </c>
      <c r="G3575" t="str">
        <f t="shared" si="276"/>
        <v/>
      </c>
      <c r="H3575" t="str">
        <f t="shared" si="277"/>
        <v>—</v>
      </c>
      <c r="I3575" t="str">
        <f t="shared" si="278"/>
        <v>Below thresholds</v>
      </c>
      <c r="J3575" t="str">
        <f t="shared" si="279"/>
        <v/>
      </c>
    </row>
    <row r="3576" spans="1:10" x14ac:dyDescent="0.2">
      <c r="A3576">
        <v>227265938936</v>
      </c>
      <c r="B3576" t="s">
        <v>7704</v>
      </c>
      <c r="C3576" t="s">
        <v>7705</v>
      </c>
      <c r="D3576">
        <v>1.99</v>
      </c>
      <c r="F3576" t="str">
        <f t="shared" si="275"/>
        <v>No</v>
      </c>
      <c r="G3576" t="str">
        <f t="shared" si="276"/>
        <v/>
      </c>
      <c r="H3576" t="str">
        <f t="shared" si="277"/>
        <v>—</v>
      </c>
      <c r="I3576" t="str">
        <f t="shared" si="278"/>
        <v>Below thresholds</v>
      </c>
      <c r="J3576" t="str">
        <f t="shared" si="279"/>
        <v/>
      </c>
    </row>
    <row r="3577" spans="1:10" x14ac:dyDescent="0.2">
      <c r="A3577">
        <v>227265938947</v>
      </c>
      <c r="B3577" t="s">
        <v>7706</v>
      </c>
      <c r="C3577" t="s">
        <v>7707</v>
      </c>
      <c r="D3577">
        <v>1.99</v>
      </c>
      <c r="F3577" t="str">
        <f t="shared" si="275"/>
        <v>No</v>
      </c>
      <c r="G3577" t="str">
        <f t="shared" si="276"/>
        <v/>
      </c>
      <c r="H3577" t="str">
        <f t="shared" si="277"/>
        <v>—</v>
      </c>
      <c r="I3577" t="str">
        <f t="shared" si="278"/>
        <v>Below thresholds</v>
      </c>
      <c r="J3577" t="str">
        <f t="shared" si="279"/>
        <v/>
      </c>
    </row>
    <row r="3578" spans="1:10" x14ac:dyDescent="0.2">
      <c r="A3578">
        <v>227265938958</v>
      </c>
      <c r="B3578" t="s">
        <v>7708</v>
      </c>
      <c r="C3578" t="s">
        <v>7709</v>
      </c>
      <c r="D3578">
        <v>1.99</v>
      </c>
      <c r="F3578" t="str">
        <f t="shared" si="275"/>
        <v>No</v>
      </c>
      <c r="G3578" t="str">
        <f t="shared" si="276"/>
        <v/>
      </c>
      <c r="H3578" t="str">
        <f t="shared" si="277"/>
        <v>—</v>
      </c>
      <c r="I3578" t="str">
        <f t="shared" si="278"/>
        <v>Below thresholds</v>
      </c>
      <c r="J3578" t="str">
        <f t="shared" si="279"/>
        <v/>
      </c>
    </row>
    <row r="3579" spans="1:10" x14ac:dyDescent="0.2">
      <c r="A3579">
        <v>227265938969</v>
      </c>
      <c r="B3579" t="s">
        <v>7710</v>
      </c>
      <c r="C3579" t="s">
        <v>7711</v>
      </c>
      <c r="D3579">
        <v>1.99</v>
      </c>
      <c r="F3579" t="str">
        <f t="shared" si="275"/>
        <v>No</v>
      </c>
      <c r="G3579" t="str">
        <f t="shared" si="276"/>
        <v/>
      </c>
      <c r="H3579" t="str">
        <f t="shared" si="277"/>
        <v>—</v>
      </c>
      <c r="I3579" t="str">
        <f t="shared" si="278"/>
        <v>Below thresholds</v>
      </c>
      <c r="J3579" t="str">
        <f t="shared" si="279"/>
        <v/>
      </c>
    </row>
    <row r="3580" spans="1:10" x14ac:dyDescent="0.2">
      <c r="A3580">
        <v>227265938980</v>
      </c>
      <c r="B3580" t="s">
        <v>7712</v>
      </c>
      <c r="C3580" t="s">
        <v>7713</v>
      </c>
      <c r="D3580">
        <v>1.99</v>
      </c>
      <c r="F3580" t="str">
        <f t="shared" si="275"/>
        <v>No</v>
      </c>
      <c r="G3580" t="str">
        <f t="shared" si="276"/>
        <v/>
      </c>
      <c r="H3580" t="str">
        <f t="shared" si="277"/>
        <v>—</v>
      </c>
      <c r="I3580" t="str">
        <f t="shared" si="278"/>
        <v>Below thresholds</v>
      </c>
      <c r="J3580" t="str">
        <f t="shared" si="279"/>
        <v/>
      </c>
    </row>
    <row r="3581" spans="1:10" x14ac:dyDescent="0.2">
      <c r="A3581">
        <v>227265938982</v>
      </c>
      <c r="B3581" t="s">
        <v>7714</v>
      </c>
      <c r="C3581" t="s">
        <v>7715</v>
      </c>
      <c r="D3581">
        <v>1.99</v>
      </c>
      <c r="F3581" t="str">
        <f t="shared" si="275"/>
        <v>No</v>
      </c>
      <c r="G3581" t="str">
        <f t="shared" si="276"/>
        <v/>
      </c>
      <c r="H3581" t="str">
        <f t="shared" si="277"/>
        <v>—</v>
      </c>
      <c r="I3581" t="str">
        <f t="shared" si="278"/>
        <v>Below thresholds</v>
      </c>
      <c r="J3581" t="str">
        <f t="shared" si="279"/>
        <v/>
      </c>
    </row>
    <row r="3582" spans="1:10" x14ac:dyDescent="0.2">
      <c r="A3582">
        <v>227265938995</v>
      </c>
      <c r="B3582" t="s">
        <v>7716</v>
      </c>
      <c r="C3582" t="s">
        <v>7717</v>
      </c>
      <c r="D3582">
        <v>2.4900000000000002</v>
      </c>
      <c r="F3582" t="str">
        <f t="shared" si="275"/>
        <v>No</v>
      </c>
      <c r="G3582" t="str">
        <f t="shared" si="276"/>
        <v/>
      </c>
      <c r="H3582" t="str">
        <f t="shared" si="277"/>
        <v>—</v>
      </c>
      <c r="I3582" t="str">
        <f t="shared" si="278"/>
        <v>Below thresholds</v>
      </c>
      <c r="J3582" t="str">
        <f t="shared" si="279"/>
        <v/>
      </c>
    </row>
    <row r="3583" spans="1:10" x14ac:dyDescent="0.2">
      <c r="A3583">
        <v>227265938999</v>
      </c>
      <c r="B3583" t="s">
        <v>7718</v>
      </c>
      <c r="C3583" t="s">
        <v>7719</v>
      </c>
      <c r="D3583">
        <v>1.99</v>
      </c>
      <c r="F3583" t="str">
        <f t="shared" si="275"/>
        <v>No</v>
      </c>
      <c r="G3583" t="str">
        <f t="shared" si="276"/>
        <v/>
      </c>
      <c r="H3583" t="str">
        <f t="shared" si="277"/>
        <v>—</v>
      </c>
      <c r="I3583" t="str">
        <f t="shared" si="278"/>
        <v>Below thresholds</v>
      </c>
      <c r="J3583" t="str">
        <f t="shared" si="279"/>
        <v/>
      </c>
    </row>
    <row r="3584" spans="1:10" x14ac:dyDescent="0.2">
      <c r="A3584">
        <v>227267110906</v>
      </c>
      <c r="B3584" t="s">
        <v>7720</v>
      </c>
      <c r="C3584" t="s">
        <v>7721</v>
      </c>
      <c r="D3584">
        <v>1.99</v>
      </c>
      <c r="F3584" t="str">
        <f t="shared" si="275"/>
        <v>No</v>
      </c>
      <c r="G3584" t="str">
        <f t="shared" si="276"/>
        <v/>
      </c>
      <c r="H3584" t="str">
        <f t="shared" si="277"/>
        <v>—</v>
      </c>
      <c r="I3584" t="str">
        <f t="shared" si="278"/>
        <v>Below thresholds</v>
      </c>
      <c r="J3584" t="str">
        <f t="shared" si="279"/>
        <v/>
      </c>
    </row>
    <row r="3585" spans="1:10" x14ac:dyDescent="0.2">
      <c r="A3585">
        <v>227267110944</v>
      </c>
      <c r="B3585" t="s">
        <v>7722</v>
      </c>
      <c r="C3585" t="s">
        <v>7723</v>
      </c>
      <c r="D3585">
        <v>1.99</v>
      </c>
      <c r="F3585" t="str">
        <f t="shared" si="275"/>
        <v>No</v>
      </c>
      <c r="G3585" t="str">
        <f t="shared" si="276"/>
        <v/>
      </c>
      <c r="H3585" t="str">
        <f t="shared" si="277"/>
        <v>—</v>
      </c>
      <c r="I3585" t="str">
        <f t="shared" si="278"/>
        <v>Below thresholds</v>
      </c>
      <c r="J3585" t="str">
        <f t="shared" si="279"/>
        <v/>
      </c>
    </row>
    <row r="3586" spans="1:10" x14ac:dyDescent="0.2">
      <c r="A3586">
        <v>227270544691</v>
      </c>
      <c r="B3586" t="s">
        <v>7306</v>
      </c>
      <c r="C3586" t="s">
        <v>7724</v>
      </c>
      <c r="D3586">
        <v>1.59</v>
      </c>
      <c r="F3586" t="str">
        <f t="shared" si="275"/>
        <v>No</v>
      </c>
      <c r="G3586" t="str">
        <f t="shared" si="276"/>
        <v/>
      </c>
      <c r="H3586" t="str">
        <f t="shared" si="277"/>
        <v>—</v>
      </c>
      <c r="I3586" t="str">
        <f t="shared" si="278"/>
        <v>Below thresholds</v>
      </c>
      <c r="J3586" t="str">
        <f t="shared" si="279"/>
        <v/>
      </c>
    </row>
    <row r="3587" spans="1:10" x14ac:dyDescent="0.2">
      <c r="A3587">
        <v>227270544723</v>
      </c>
      <c r="B3587" t="s">
        <v>7725</v>
      </c>
      <c r="C3587" t="s">
        <v>7726</v>
      </c>
      <c r="D3587">
        <v>12</v>
      </c>
      <c r="F3587" t="str">
        <f t="shared" si="275"/>
        <v>No</v>
      </c>
      <c r="G3587" t="str">
        <f t="shared" si="276"/>
        <v/>
      </c>
      <c r="H3587" t="str">
        <f t="shared" si="277"/>
        <v>—</v>
      </c>
      <c r="I3587" t="str">
        <f t="shared" si="278"/>
        <v>Below thresholds</v>
      </c>
      <c r="J3587" t="str">
        <f t="shared" si="279"/>
        <v/>
      </c>
    </row>
    <row r="3588" spans="1:10" x14ac:dyDescent="0.2">
      <c r="A3588">
        <v>227270544753</v>
      </c>
      <c r="B3588" t="s">
        <v>7727</v>
      </c>
      <c r="C3588" t="s">
        <v>7728</v>
      </c>
      <c r="D3588">
        <v>2.69</v>
      </c>
      <c r="F3588" t="str">
        <f t="shared" si="275"/>
        <v>No</v>
      </c>
      <c r="G3588" t="str">
        <f t="shared" si="276"/>
        <v/>
      </c>
      <c r="H3588" t="str">
        <f t="shared" si="277"/>
        <v>—</v>
      </c>
      <c r="I3588" t="str">
        <f t="shared" si="278"/>
        <v>Below thresholds</v>
      </c>
      <c r="J3588" t="str">
        <f t="shared" si="279"/>
        <v/>
      </c>
    </row>
    <row r="3589" spans="1:10" x14ac:dyDescent="0.2">
      <c r="A3589">
        <v>227270544765</v>
      </c>
      <c r="B3589" t="s">
        <v>7729</v>
      </c>
      <c r="C3589" t="s">
        <v>7730</v>
      </c>
      <c r="D3589">
        <v>2</v>
      </c>
      <c r="F3589" t="str">
        <f t="shared" ref="F3589:F3652" si="280">IF($B3589="","",IF(ISNUMBER(SEARCH("PSA",$B3589)),"Yes","No"))</f>
        <v>No</v>
      </c>
      <c r="G3589" t="str">
        <f t="shared" ref="G3589:G3652" si="281">IF($B3589="","",IF(ISNUMBER(SEARCH("PSA 10",$B3589)),10,IF(ISNUMBER(SEARCH("PSA 9.5",$B3589)),9.5,IF(ISNUMBER(SEARCH("PSA 9",$B3589)),9,IF(ISNUMBER(SEARCH("PSA 8",$B3589)),8,IF(ISNUMBER(SEARCH("PSA",$B3589)),"&lt;9",""))))))</f>
        <v/>
      </c>
      <c r="H3589" t="str">
        <f t="shared" ref="H3589:H3652" si="282">IF($B3589="","",IF($D3589&gt;=100,"TIER 2",IF(OR(ISNUMBER(SEARCH("PSA 10",$B3589)),ISNUMBER(SEARCH("PSA 9.5",$B3589)),ISNUMBER(SEARCH("PSA 9",$B3589))),"TIER 3",IF(AND($D3589&gt;20,N($E3589)&gt;=15),"TIER 1","—"))))</f>
        <v>—</v>
      </c>
      <c r="I3589" t="str">
        <f t="shared" ref="I3589:I3652" si="283">IF($B3589="","",IF($D3589&gt;=100,"Premium $100+ (auto)",IF(OR(ISNUMBER(SEARCH("PSA 10",$B3589)),ISNUMBER(SEARCH("PSA 9.5",$B3589)),ISNUMBER(SEARCH("PSA 9",$B3589))),"Graded PSA 9+ (auto)",IF(AND($D3589&gt;20,N($E3589)&gt;=15),"Hot: $20+ &amp; "&amp;$E3589&amp;"/day",IF($D3589&gt;20,"$20+ — needs velocity check","Below thresholds")))))</f>
        <v>Below thresholds</v>
      </c>
      <c r="J3589" t="str">
        <f t="shared" ref="J3589:J3652" si="284">IF($B3589="","",IF(AND($D3589&gt;20,$D3589&lt;100,NOT(OR(ISNUMBER(SEARCH("PSA 10",$B3589)),ISNUMBER(SEARCH("PSA 9.5",$B3589)),ISNUMBER(SEARCH("PSA 9",$B3589)))),$E3589=""),"YES — pull CardHedger",""))</f>
        <v/>
      </c>
    </row>
    <row r="3590" spans="1:10" x14ac:dyDescent="0.2">
      <c r="A3590">
        <v>227270544783</v>
      </c>
      <c r="B3590" t="s">
        <v>7731</v>
      </c>
      <c r="C3590" t="s">
        <v>7732</v>
      </c>
      <c r="D3590">
        <v>2.4900000000000002</v>
      </c>
      <c r="F3590" t="str">
        <f t="shared" si="280"/>
        <v>No</v>
      </c>
      <c r="G3590" t="str">
        <f t="shared" si="281"/>
        <v/>
      </c>
      <c r="H3590" t="str">
        <f t="shared" si="282"/>
        <v>—</v>
      </c>
      <c r="I3590" t="str">
        <f t="shared" si="283"/>
        <v>Below thresholds</v>
      </c>
      <c r="J3590" t="str">
        <f t="shared" si="284"/>
        <v/>
      </c>
    </row>
    <row r="3591" spans="1:10" x14ac:dyDescent="0.2">
      <c r="A3591">
        <v>227270548916</v>
      </c>
      <c r="B3591" t="s">
        <v>7733</v>
      </c>
      <c r="C3591" t="s">
        <v>7734</v>
      </c>
      <c r="D3591">
        <v>4.5</v>
      </c>
      <c r="F3591" t="str">
        <f t="shared" si="280"/>
        <v>No</v>
      </c>
      <c r="G3591" t="str">
        <f t="shared" si="281"/>
        <v/>
      </c>
      <c r="H3591" t="str">
        <f t="shared" si="282"/>
        <v>—</v>
      </c>
      <c r="I3591" t="str">
        <f t="shared" si="283"/>
        <v>Below thresholds</v>
      </c>
      <c r="J3591" t="str">
        <f t="shared" si="284"/>
        <v/>
      </c>
    </row>
    <row r="3592" spans="1:10" x14ac:dyDescent="0.2">
      <c r="A3592">
        <v>227270571117</v>
      </c>
      <c r="B3592" t="s">
        <v>7735</v>
      </c>
      <c r="C3592" t="s">
        <v>7736</v>
      </c>
      <c r="D3592">
        <v>1.99</v>
      </c>
      <c r="F3592" t="str">
        <f t="shared" si="280"/>
        <v>No</v>
      </c>
      <c r="G3592" t="str">
        <f t="shared" si="281"/>
        <v/>
      </c>
      <c r="H3592" t="str">
        <f t="shared" si="282"/>
        <v>—</v>
      </c>
      <c r="I3592" t="str">
        <f t="shared" si="283"/>
        <v>Below thresholds</v>
      </c>
      <c r="J3592" t="str">
        <f t="shared" si="284"/>
        <v/>
      </c>
    </row>
    <row r="3593" spans="1:10" x14ac:dyDescent="0.2">
      <c r="A3593">
        <v>227270573840</v>
      </c>
      <c r="B3593" t="s">
        <v>7737</v>
      </c>
      <c r="C3593" t="s">
        <v>7738</v>
      </c>
      <c r="D3593">
        <v>3.99</v>
      </c>
      <c r="F3593" t="str">
        <f t="shared" si="280"/>
        <v>No</v>
      </c>
      <c r="G3593" t="str">
        <f t="shared" si="281"/>
        <v/>
      </c>
      <c r="H3593" t="str">
        <f t="shared" si="282"/>
        <v>—</v>
      </c>
      <c r="I3593" t="str">
        <f t="shared" si="283"/>
        <v>Below thresholds</v>
      </c>
      <c r="J3593" t="str">
        <f t="shared" si="284"/>
        <v/>
      </c>
    </row>
    <row r="3594" spans="1:10" x14ac:dyDescent="0.2">
      <c r="A3594">
        <v>227270580832</v>
      </c>
      <c r="B3594" t="s">
        <v>7739</v>
      </c>
      <c r="C3594" t="s">
        <v>7740</v>
      </c>
      <c r="D3594">
        <v>2.99</v>
      </c>
      <c r="F3594" t="str">
        <f t="shared" si="280"/>
        <v>No</v>
      </c>
      <c r="G3594" t="str">
        <f t="shared" si="281"/>
        <v/>
      </c>
      <c r="H3594" t="str">
        <f t="shared" si="282"/>
        <v>—</v>
      </c>
      <c r="I3594" t="str">
        <f t="shared" si="283"/>
        <v>Below thresholds</v>
      </c>
      <c r="J3594" t="str">
        <f t="shared" si="284"/>
        <v/>
      </c>
    </row>
    <row r="3595" spans="1:10" x14ac:dyDescent="0.2">
      <c r="A3595">
        <v>227277521719</v>
      </c>
      <c r="B3595" t="s">
        <v>7741</v>
      </c>
      <c r="C3595" t="s">
        <v>7742</v>
      </c>
      <c r="D3595">
        <v>1.5</v>
      </c>
      <c r="F3595" t="str">
        <f t="shared" si="280"/>
        <v>No</v>
      </c>
      <c r="G3595" t="str">
        <f t="shared" si="281"/>
        <v/>
      </c>
      <c r="H3595" t="str">
        <f t="shared" si="282"/>
        <v>—</v>
      </c>
      <c r="I3595" t="str">
        <f t="shared" si="283"/>
        <v>Below thresholds</v>
      </c>
      <c r="J3595" t="str">
        <f t="shared" si="284"/>
        <v/>
      </c>
    </row>
    <row r="3596" spans="1:10" x14ac:dyDescent="0.2">
      <c r="A3596">
        <v>227277521735</v>
      </c>
      <c r="B3596" t="s">
        <v>7743</v>
      </c>
      <c r="C3596" t="s">
        <v>7744</v>
      </c>
      <c r="D3596">
        <v>0.99</v>
      </c>
      <c r="F3596" t="str">
        <f t="shared" si="280"/>
        <v>No</v>
      </c>
      <c r="G3596" t="str">
        <f t="shared" si="281"/>
        <v/>
      </c>
      <c r="H3596" t="str">
        <f t="shared" si="282"/>
        <v>—</v>
      </c>
      <c r="I3596" t="str">
        <f t="shared" si="283"/>
        <v>Below thresholds</v>
      </c>
      <c r="J3596" t="str">
        <f t="shared" si="284"/>
        <v/>
      </c>
    </row>
    <row r="3597" spans="1:10" x14ac:dyDescent="0.2">
      <c r="A3597">
        <v>227277521772</v>
      </c>
      <c r="B3597" t="s">
        <v>7745</v>
      </c>
      <c r="C3597" t="s">
        <v>7746</v>
      </c>
      <c r="D3597">
        <v>3.99</v>
      </c>
      <c r="F3597" t="str">
        <f t="shared" si="280"/>
        <v>No</v>
      </c>
      <c r="G3597" t="str">
        <f t="shared" si="281"/>
        <v/>
      </c>
      <c r="H3597" t="str">
        <f t="shared" si="282"/>
        <v>—</v>
      </c>
      <c r="I3597" t="str">
        <f t="shared" si="283"/>
        <v>Below thresholds</v>
      </c>
      <c r="J3597" t="str">
        <f t="shared" si="284"/>
        <v/>
      </c>
    </row>
    <row r="3598" spans="1:10" x14ac:dyDescent="0.2">
      <c r="A3598">
        <v>227277521779</v>
      </c>
      <c r="B3598" t="s">
        <v>7747</v>
      </c>
      <c r="C3598" t="s">
        <v>7748</v>
      </c>
      <c r="D3598">
        <v>2.4900000000000002</v>
      </c>
      <c r="F3598" t="str">
        <f t="shared" si="280"/>
        <v>No</v>
      </c>
      <c r="G3598" t="str">
        <f t="shared" si="281"/>
        <v/>
      </c>
      <c r="H3598" t="str">
        <f t="shared" si="282"/>
        <v>—</v>
      </c>
      <c r="I3598" t="str">
        <f t="shared" si="283"/>
        <v>Below thresholds</v>
      </c>
      <c r="J3598" t="str">
        <f t="shared" si="284"/>
        <v/>
      </c>
    </row>
    <row r="3599" spans="1:10" x14ac:dyDescent="0.2">
      <c r="A3599">
        <v>227277521784</v>
      </c>
      <c r="B3599" t="s">
        <v>7749</v>
      </c>
      <c r="C3599" t="s">
        <v>7750</v>
      </c>
      <c r="D3599">
        <v>2.99</v>
      </c>
      <c r="F3599" t="str">
        <f t="shared" si="280"/>
        <v>No</v>
      </c>
      <c r="G3599" t="str">
        <f t="shared" si="281"/>
        <v/>
      </c>
      <c r="H3599" t="str">
        <f t="shared" si="282"/>
        <v>—</v>
      </c>
      <c r="I3599" t="str">
        <f t="shared" si="283"/>
        <v>Below thresholds</v>
      </c>
      <c r="J3599" t="str">
        <f t="shared" si="284"/>
        <v/>
      </c>
    </row>
    <row r="3600" spans="1:10" x14ac:dyDescent="0.2">
      <c r="A3600">
        <v>227277521786</v>
      </c>
      <c r="B3600" t="s">
        <v>7751</v>
      </c>
      <c r="C3600" t="s">
        <v>7752</v>
      </c>
      <c r="D3600">
        <v>1.99</v>
      </c>
      <c r="F3600" t="str">
        <f t="shared" si="280"/>
        <v>No</v>
      </c>
      <c r="G3600" t="str">
        <f t="shared" si="281"/>
        <v/>
      </c>
      <c r="H3600" t="str">
        <f t="shared" si="282"/>
        <v>—</v>
      </c>
      <c r="I3600" t="str">
        <f t="shared" si="283"/>
        <v>Below thresholds</v>
      </c>
      <c r="J3600" t="str">
        <f t="shared" si="284"/>
        <v/>
      </c>
    </row>
    <row r="3601" spans="1:10" x14ac:dyDescent="0.2">
      <c r="A3601">
        <v>227277521795</v>
      </c>
      <c r="B3601" t="s">
        <v>7753</v>
      </c>
      <c r="C3601" t="s">
        <v>7754</v>
      </c>
      <c r="D3601">
        <v>1.5</v>
      </c>
      <c r="F3601" t="str">
        <f t="shared" si="280"/>
        <v>No</v>
      </c>
      <c r="G3601" t="str">
        <f t="shared" si="281"/>
        <v/>
      </c>
      <c r="H3601" t="str">
        <f t="shared" si="282"/>
        <v>—</v>
      </c>
      <c r="I3601" t="str">
        <f t="shared" si="283"/>
        <v>Below thresholds</v>
      </c>
      <c r="J3601" t="str">
        <f t="shared" si="284"/>
        <v/>
      </c>
    </row>
    <row r="3602" spans="1:10" x14ac:dyDescent="0.2">
      <c r="A3602">
        <v>227277521798</v>
      </c>
      <c r="B3602" t="s">
        <v>7755</v>
      </c>
      <c r="C3602" t="s">
        <v>7756</v>
      </c>
      <c r="D3602">
        <v>1.69</v>
      </c>
      <c r="F3602" t="str">
        <f t="shared" si="280"/>
        <v>No</v>
      </c>
      <c r="G3602" t="str">
        <f t="shared" si="281"/>
        <v/>
      </c>
      <c r="H3602" t="str">
        <f t="shared" si="282"/>
        <v>—</v>
      </c>
      <c r="I3602" t="str">
        <f t="shared" si="283"/>
        <v>Below thresholds</v>
      </c>
      <c r="J3602" t="str">
        <f t="shared" si="284"/>
        <v/>
      </c>
    </row>
    <row r="3603" spans="1:10" x14ac:dyDescent="0.2">
      <c r="A3603">
        <v>227277521807</v>
      </c>
      <c r="B3603" t="s">
        <v>7757</v>
      </c>
      <c r="C3603" t="s">
        <v>7758</v>
      </c>
      <c r="D3603">
        <v>3</v>
      </c>
      <c r="F3603" t="str">
        <f t="shared" si="280"/>
        <v>No</v>
      </c>
      <c r="G3603" t="str">
        <f t="shared" si="281"/>
        <v/>
      </c>
      <c r="H3603" t="str">
        <f t="shared" si="282"/>
        <v>—</v>
      </c>
      <c r="I3603" t="str">
        <f t="shared" si="283"/>
        <v>Below thresholds</v>
      </c>
      <c r="J3603" t="str">
        <f t="shared" si="284"/>
        <v/>
      </c>
    </row>
    <row r="3604" spans="1:10" x14ac:dyDescent="0.2">
      <c r="A3604">
        <v>227277521808</v>
      </c>
      <c r="B3604" t="s">
        <v>7759</v>
      </c>
      <c r="C3604" t="s">
        <v>7760</v>
      </c>
      <c r="D3604">
        <v>1.99</v>
      </c>
      <c r="F3604" t="str">
        <f t="shared" si="280"/>
        <v>No</v>
      </c>
      <c r="G3604" t="str">
        <f t="shared" si="281"/>
        <v/>
      </c>
      <c r="H3604" t="str">
        <f t="shared" si="282"/>
        <v>—</v>
      </c>
      <c r="I3604" t="str">
        <f t="shared" si="283"/>
        <v>Below thresholds</v>
      </c>
      <c r="J3604" t="str">
        <f t="shared" si="284"/>
        <v/>
      </c>
    </row>
    <row r="3605" spans="1:10" x14ac:dyDescent="0.2">
      <c r="A3605">
        <v>227277521830</v>
      </c>
      <c r="B3605" t="s">
        <v>7761</v>
      </c>
      <c r="C3605" t="s">
        <v>7762</v>
      </c>
      <c r="D3605">
        <v>5</v>
      </c>
      <c r="F3605" t="str">
        <f t="shared" si="280"/>
        <v>No</v>
      </c>
      <c r="G3605" t="str">
        <f t="shared" si="281"/>
        <v/>
      </c>
      <c r="H3605" t="str">
        <f t="shared" si="282"/>
        <v>—</v>
      </c>
      <c r="I3605" t="str">
        <f t="shared" si="283"/>
        <v>Below thresholds</v>
      </c>
      <c r="J3605" t="str">
        <f t="shared" si="284"/>
        <v/>
      </c>
    </row>
    <row r="3606" spans="1:10" x14ac:dyDescent="0.2">
      <c r="A3606">
        <v>227277521831</v>
      </c>
      <c r="B3606" t="s">
        <v>7763</v>
      </c>
      <c r="C3606" t="s">
        <v>7764</v>
      </c>
      <c r="D3606">
        <v>2.99</v>
      </c>
      <c r="F3606" t="str">
        <f t="shared" si="280"/>
        <v>No</v>
      </c>
      <c r="G3606" t="str">
        <f t="shared" si="281"/>
        <v/>
      </c>
      <c r="H3606" t="str">
        <f t="shared" si="282"/>
        <v>—</v>
      </c>
      <c r="I3606" t="str">
        <f t="shared" si="283"/>
        <v>Below thresholds</v>
      </c>
      <c r="J3606" t="str">
        <f t="shared" si="284"/>
        <v/>
      </c>
    </row>
    <row r="3607" spans="1:10" x14ac:dyDescent="0.2">
      <c r="A3607">
        <v>227277521850</v>
      </c>
      <c r="B3607" t="s">
        <v>7765</v>
      </c>
      <c r="C3607" t="s">
        <v>7766</v>
      </c>
      <c r="D3607">
        <v>1.17</v>
      </c>
      <c r="F3607" t="str">
        <f t="shared" si="280"/>
        <v>No</v>
      </c>
      <c r="G3607" t="str">
        <f t="shared" si="281"/>
        <v/>
      </c>
      <c r="H3607" t="str">
        <f t="shared" si="282"/>
        <v>—</v>
      </c>
      <c r="I3607" t="str">
        <f t="shared" si="283"/>
        <v>Below thresholds</v>
      </c>
      <c r="J3607" t="str">
        <f t="shared" si="284"/>
        <v/>
      </c>
    </row>
    <row r="3608" spans="1:10" x14ac:dyDescent="0.2">
      <c r="A3608">
        <v>227277521851</v>
      </c>
      <c r="B3608" t="s">
        <v>7767</v>
      </c>
      <c r="C3608" t="s">
        <v>7768</v>
      </c>
      <c r="D3608">
        <v>2.25</v>
      </c>
      <c r="F3608" t="str">
        <f t="shared" si="280"/>
        <v>No</v>
      </c>
      <c r="G3608" t="str">
        <f t="shared" si="281"/>
        <v/>
      </c>
      <c r="H3608" t="str">
        <f t="shared" si="282"/>
        <v>—</v>
      </c>
      <c r="I3608" t="str">
        <f t="shared" si="283"/>
        <v>Below thresholds</v>
      </c>
      <c r="J3608" t="str">
        <f t="shared" si="284"/>
        <v/>
      </c>
    </row>
    <row r="3609" spans="1:10" x14ac:dyDescent="0.2">
      <c r="A3609">
        <v>227277521863</v>
      </c>
      <c r="B3609" t="s">
        <v>7769</v>
      </c>
      <c r="C3609" t="s">
        <v>7770</v>
      </c>
      <c r="D3609">
        <v>1.48</v>
      </c>
      <c r="F3609" t="str">
        <f t="shared" si="280"/>
        <v>No</v>
      </c>
      <c r="G3609" t="str">
        <f t="shared" si="281"/>
        <v/>
      </c>
      <c r="H3609" t="str">
        <f t="shared" si="282"/>
        <v>—</v>
      </c>
      <c r="I3609" t="str">
        <f t="shared" si="283"/>
        <v>Below thresholds</v>
      </c>
      <c r="J3609" t="str">
        <f t="shared" si="284"/>
        <v/>
      </c>
    </row>
    <row r="3610" spans="1:10" x14ac:dyDescent="0.2">
      <c r="A3610">
        <v>227277521874</v>
      </c>
      <c r="B3610" t="s">
        <v>7771</v>
      </c>
      <c r="C3610" t="s">
        <v>7772</v>
      </c>
      <c r="D3610">
        <v>11.99</v>
      </c>
      <c r="F3610" t="str">
        <f t="shared" si="280"/>
        <v>No</v>
      </c>
      <c r="G3610" t="str">
        <f t="shared" si="281"/>
        <v/>
      </c>
      <c r="H3610" t="str">
        <f t="shared" si="282"/>
        <v>—</v>
      </c>
      <c r="I3610" t="str">
        <f t="shared" si="283"/>
        <v>Below thresholds</v>
      </c>
      <c r="J3610" t="str">
        <f t="shared" si="284"/>
        <v/>
      </c>
    </row>
    <row r="3611" spans="1:10" x14ac:dyDescent="0.2">
      <c r="A3611">
        <v>227277521883</v>
      </c>
      <c r="B3611" t="s">
        <v>7773</v>
      </c>
      <c r="C3611" t="s">
        <v>7774</v>
      </c>
      <c r="D3611">
        <v>1.75</v>
      </c>
      <c r="F3611" t="str">
        <f t="shared" si="280"/>
        <v>No</v>
      </c>
      <c r="G3611" t="str">
        <f t="shared" si="281"/>
        <v/>
      </c>
      <c r="H3611" t="str">
        <f t="shared" si="282"/>
        <v>—</v>
      </c>
      <c r="I3611" t="str">
        <f t="shared" si="283"/>
        <v>Below thresholds</v>
      </c>
      <c r="J3611" t="str">
        <f t="shared" si="284"/>
        <v/>
      </c>
    </row>
    <row r="3612" spans="1:10" x14ac:dyDescent="0.2">
      <c r="A3612">
        <v>227277521889</v>
      </c>
      <c r="B3612" t="s">
        <v>7775</v>
      </c>
      <c r="C3612" t="s">
        <v>7776</v>
      </c>
      <c r="D3612">
        <v>2.5</v>
      </c>
      <c r="F3612" t="str">
        <f t="shared" si="280"/>
        <v>No</v>
      </c>
      <c r="G3612" t="str">
        <f t="shared" si="281"/>
        <v/>
      </c>
      <c r="H3612" t="str">
        <f t="shared" si="282"/>
        <v>—</v>
      </c>
      <c r="I3612" t="str">
        <f t="shared" si="283"/>
        <v>Below thresholds</v>
      </c>
      <c r="J3612" t="str">
        <f t="shared" si="284"/>
        <v/>
      </c>
    </row>
    <row r="3613" spans="1:10" x14ac:dyDescent="0.2">
      <c r="A3613">
        <v>227277521890</v>
      </c>
      <c r="B3613" t="s">
        <v>6715</v>
      </c>
      <c r="C3613" t="s">
        <v>7777</v>
      </c>
      <c r="D3613">
        <v>1.35</v>
      </c>
      <c r="F3613" t="str">
        <f t="shared" si="280"/>
        <v>No</v>
      </c>
      <c r="G3613" t="str">
        <f t="shared" si="281"/>
        <v/>
      </c>
      <c r="H3613" t="str">
        <f t="shared" si="282"/>
        <v>—</v>
      </c>
      <c r="I3613" t="str">
        <f t="shared" si="283"/>
        <v>Below thresholds</v>
      </c>
      <c r="J3613" t="str">
        <f t="shared" si="284"/>
        <v/>
      </c>
    </row>
    <row r="3614" spans="1:10" x14ac:dyDescent="0.2">
      <c r="A3614">
        <v>227277521894</v>
      </c>
      <c r="B3614" t="s">
        <v>7778</v>
      </c>
      <c r="C3614" t="s">
        <v>7779</v>
      </c>
      <c r="D3614">
        <v>10</v>
      </c>
      <c r="F3614" t="str">
        <f t="shared" si="280"/>
        <v>No</v>
      </c>
      <c r="G3614" t="str">
        <f t="shared" si="281"/>
        <v/>
      </c>
      <c r="H3614" t="str">
        <f t="shared" si="282"/>
        <v>—</v>
      </c>
      <c r="I3614" t="str">
        <f t="shared" si="283"/>
        <v>Below thresholds</v>
      </c>
      <c r="J3614" t="str">
        <f t="shared" si="284"/>
        <v/>
      </c>
    </row>
    <row r="3615" spans="1:10" x14ac:dyDescent="0.2">
      <c r="A3615">
        <v>227277521895</v>
      </c>
      <c r="B3615" t="s">
        <v>7780</v>
      </c>
      <c r="C3615" t="s">
        <v>7781</v>
      </c>
      <c r="D3615">
        <v>1.49</v>
      </c>
      <c r="F3615" t="str">
        <f t="shared" si="280"/>
        <v>No</v>
      </c>
      <c r="G3615" t="str">
        <f t="shared" si="281"/>
        <v/>
      </c>
      <c r="H3615" t="str">
        <f t="shared" si="282"/>
        <v>—</v>
      </c>
      <c r="I3615" t="str">
        <f t="shared" si="283"/>
        <v>Below thresholds</v>
      </c>
      <c r="J3615" t="str">
        <f t="shared" si="284"/>
        <v/>
      </c>
    </row>
    <row r="3616" spans="1:10" x14ac:dyDescent="0.2">
      <c r="A3616">
        <v>227277521899</v>
      </c>
      <c r="B3616" t="s">
        <v>4066</v>
      </c>
      <c r="C3616" t="s">
        <v>7782</v>
      </c>
      <c r="D3616">
        <v>4</v>
      </c>
      <c r="F3616" t="str">
        <f t="shared" si="280"/>
        <v>No</v>
      </c>
      <c r="G3616" t="str">
        <f t="shared" si="281"/>
        <v/>
      </c>
      <c r="H3616" t="str">
        <f t="shared" si="282"/>
        <v>—</v>
      </c>
      <c r="I3616" t="str">
        <f t="shared" si="283"/>
        <v>Below thresholds</v>
      </c>
      <c r="J3616" t="str">
        <f t="shared" si="284"/>
        <v/>
      </c>
    </row>
    <row r="3617" spans="1:10" x14ac:dyDescent="0.2">
      <c r="A3617">
        <v>227277521907</v>
      </c>
      <c r="B3617" t="s">
        <v>7783</v>
      </c>
      <c r="C3617" t="s">
        <v>7784</v>
      </c>
      <c r="D3617">
        <v>3.99</v>
      </c>
      <c r="F3617" t="str">
        <f t="shared" si="280"/>
        <v>No</v>
      </c>
      <c r="G3617" t="str">
        <f t="shared" si="281"/>
        <v/>
      </c>
      <c r="H3617" t="str">
        <f t="shared" si="282"/>
        <v>—</v>
      </c>
      <c r="I3617" t="str">
        <f t="shared" si="283"/>
        <v>Below thresholds</v>
      </c>
      <c r="J3617" t="str">
        <f t="shared" si="284"/>
        <v/>
      </c>
    </row>
    <row r="3618" spans="1:10" x14ac:dyDescent="0.2">
      <c r="A3618">
        <v>227277521915</v>
      </c>
      <c r="B3618" t="s">
        <v>7785</v>
      </c>
      <c r="C3618" t="s">
        <v>7786</v>
      </c>
      <c r="D3618">
        <v>1.99</v>
      </c>
      <c r="F3618" t="str">
        <f t="shared" si="280"/>
        <v>No</v>
      </c>
      <c r="G3618" t="str">
        <f t="shared" si="281"/>
        <v/>
      </c>
      <c r="H3618" t="str">
        <f t="shared" si="282"/>
        <v>—</v>
      </c>
      <c r="I3618" t="str">
        <f t="shared" si="283"/>
        <v>Below thresholds</v>
      </c>
      <c r="J3618" t="str">
        <f t="shared" si="284"/>
        <v/>
      </c>
    </row>
    <row r="3619" spans="1:10" x14ac:dyDescent="0.2">
      <c r="A3619">
        <v>227277521923</v>
      </c>
      <c r="B3619" t="s">
        <v>7787</v>
      </c>
      <c r="C3619" t="s">
        <v>7788</v>
      </c>
      <c r="D3619">
        <v>2.99</v>
      </c>
      <c r="F3619" t="str">
        <f t="shared" si="280"/>
        <v>No</v>
      </c>
      <c r="G3619" t="str">
        <f t="shared" si="281"/>
        <v/>
      </c>
      <c r="H3619" t="str">
        <f t="shared" si="282"/>
        <v>—</v>
      </c>
      <c r="I3619" t="str">
        <f t="shared" si="283"/>
        <v>Below thresholds</v>
      </c>
      <c r="J3619" t="str">
        <f t="shared" si="284"/>
        <v/>
      </c>
    </row>
    <row r="3620" spans="1:10" x14ac:dyDescent="0.2">
      <c r="A3620">
        <v>227277521924</v>
      </c>
      <c r="B3620" t="s">
        <v>7789</v>
      </c>
      <c r="C3620" t="s">
        <v>7790</v>
      </c>
      <c r="D3620">
        <v>1.74</v>
      </c>
      <c r="F3620" t="str">
        <f t="shared" si="280"/>
        <v>No</v>
      </c>
      <c r="G3620" t="str">
        <f t="shared" si="281"/>
        <v/>
      </c>
      <c r="H3620" t="str">
        <f t="shared" si="282"/>
        <v>—</v>
      </c>
      <c r="I3620" t="str">
        <f t="shared" si="283"/>
        <v>Below thresholds</v>
      </c>
      <c r="J3620" t="str">
        <f t="shared" si="284"/>
        <v/>
      </c>
    </row>
    <row r="3621" spans="1:10" x14ac:dyDescent="0.2">
      <c r="A3621">
        <v>227277521928</v>
      </c>
      <c r="B3621" t="s">
        <v>7791</v>
      </c>
      <c r="C3621" t="s">
        <v>7792</v>
      </c>
      <c r="D3621">
        <v>1.42</v>
      </c>
      <c r="F3621" t="str">
        <f t="shared" si="280"/>
        <v>No</v>
      </c>
      <c r="G3621" t="str">
        <f t="shared" si="281"/>
        <v/>
      </c>
      <c r="H3621" t="str">
        <f t="shared" si="282"/>
        <v>—</v>
      </c>
      <c r="I3621" t="str">
        <f t="shared" si="283"/>
        <v>Below thresholds</v>
      </c>
      <c r="J3621" t="str">
        <f t="shared" si="284"/>
        <v/>
      </c>
    </row>
    <row r="3622" spans="1:10" x14ac:dyDescent="0.2">
      <c r="A3622">
        <v>227277521930</v>
      </c>
      <c r="B3622" t="s">
        <v>7793</v>
      </c>
      <c r="C3622" t="s">
        <v>7794</v>
      </c>
      <c r="D3622">
        <v>2</v>
      </c>
      <c r="F3622" t="str">
        <f t="shared" si="280"/>
        <v>No</v>
      </c>
      <c r="G3622" t="str">
        <f t="shared" si="281"/>
        <v/>
      </c>
      <c r="H3622" t="str">
        <f t="shared" si="282"/>
        <v>—</v>
      </c>
      <c r="I3622" t="str">
        <f t="shared" si="283"/>
        <v>Below thresholds</v>
      </c>
      <c r="J3622" t="str">
        <f t="shared" si="284"/>
        <v/>
      </c>
    </row>
    <row r="3623" spans="1:10" x14ac:dyDescent="0.2">
      <c r="A3623">
        <v>227277521936</v>
      </c>
      <c r="B3623" t="s">
        <v>6713</v>
      </c>
      <c r="C3623" t="s">
        <v>7795</v>
      </c>
      <c r="D3623">
        <v>2</v>
      </c>
      <c r="F3623" t="str">
        <f t="shared" si="280"/>
        <v>No</v>
      </c>
      <c r="G3623" t="str">
        <f t="shared" si="281"/>
        <v/>
      </c>
      <c r="H3623" t="str">
        <f t="shared" si="282"/>
        <v>—</v>
      </c>
      <c r="I3623" t="str">
        <f t="shared" si="283"/>
        <v>Below thresholds</v>
      </c>
      <c r="J3623" t="str">
        <f t="shared" si="284"/>
        <v/>
      </c>
    </row>
    <row r="3624" spans="1:10" x14ac:dyDescent="0.2">
      <c r="A3624">
        <v>227277521938</v>
      </c>
      <c r="B3624" t="s">
        <v>6695</v>
      </c>
      <c r="C3624" t="s">
        <v>7796</v>
      </c>
      <c r="D3624">
        <v>1.39</v>
      </c>
      <c r="F3624" t="str">
        <f t="shared" si="280"/>
        <v>No</v>
      </c>
      <c r="G3624" t="str">
        <f t="shared" si="281"/>
        <v/>
      </c>
      <c r="H3624" t="str">
        <f t="shared" si="282"/>
        <v>—</v>
      </c>
      <c r="I3624" t="str">
        <f t="shared" si="283"/>
        <v>Below thresholds</v>
      </c>
      <c r="J3624" t="str">
        <f t="shared" si="284"/>
        <v/>
      </c>
    </row>
    <row r="3625" spans="1:10" x14ac:dyDescent="0.2">
      <c r="A3625">
        <v>227277521947</v>
      </c>
      <c r="B3625" t="s">
        <v>7797</v>
      </c>
      <c r="C3625" t="s">
        <v>7798</v>
      </c>
      <c r="D3625">
        <v>0.99</v>
      </c>
      <c r="F3625" t="str">
        <f t="shared" si="280"/>
        <v>No</v>
      </c>
      <c r="G3625" t="str">
        <f t="shared" si="281"/>
        <v/>
      </c>
      <c r="H3625" t="str">
        <f t="shared" si="282"/>
        <v>—</v>
      </c>
      <c r="I3625" t="str">
        <f t="shared" si="283"/>
        <v>Below thresholds</v>
      </c>
      <c r="J3625" t="str">
        <f t="shared" si="284"/>
        <v/>
      </c>
    </row>
    <row r="3626" spans="1:10" x14ac:dyDescent="0.2">
      <c r="A3626">
        <v>227277521954</v>
      </c>
      <c r="B3626" t="s">
        <v>7799</v>
      </c>
      <c r="C3626" t="s">
        <v>7800</v>
      </c>
      <c r="D3626">
        <v>1.02</v>
      </c>
      <c r="F3626" t="str">
        <f t="shared" si="280"/>
        <v>No</v>
      </c>
      <c r="G3626" t="str">
        <f t="shared" si="281"/>
        <v/>
      </c>
      <c r="H3626" t="str">
        <f t="shared" si="282"/>
        <v>—</v>
      </c>
      <c r="I3626" t="str">
        <f t="shared" si="283"/>
        <v>Below thresholds</v>
      </c>
      <c r="J3626" t="str">
        <f t="shared" si="284"/>
        <v/>
      </c>
    </row>
    <row r="3627" spans="1:10" x14ac:dyDescent="0.2">
      <c r="A3627">
        <v>227277521957</v>
      </c>
      <c r="B3627" t="s">
        <v>7801</v>
      </c>
      <c r="C3627" t="s">
        <v>7802</v>
      </c>
      <c r="D3627">
        <v>1.75</v>
      </c>
      <c r="F3627" t="str">
        <f t="shared" si="280"/>
        <v>No</v>
      </c>
      <c r="G3627" t="str">
        <f t="shared" si="281"/>
        <v/>
      </c>
      <c r="H3627" t="str">
        <f t="shared" si="282"/>
        <v>—</v>
      </c>
      <c r="I3627" t="str">
        <f t="shared" si="283"/>
        <v>Below thresholds</v>
      </c>
      <c r="J3627" t="str">
        <f t="shared" si="284"/>
        <v/>
      </c>
    </row>
    <row r="3628" spans="1:10" x14ac:dyDescent="0.2">
      <c r="A3628">
        <v>227277521964</v>
      </c>
      <c r="B3628" t="s">
        <v>7803</v>
      </c>
      <c r="C3628" t="s">
        <v>7804</v>
      </c>
      <c r="D3628">
        <v>1.5</v>
      </c>
      <c r="F3628" t="str">
        <f t="shared" si="280"/>
        <v>No</v>
      </c>
      <c r="G3628" t="str">
        <f t="shared" si="281"/>
        <v/>
      </c>
      <c r="H3628" t="str">
        <f t="shared" si="282"/>
        <v>—</v>
      </c>
      <c r="I3628" t="str">
        <f t="shared" si="283"/>
        <v>Below thresholds</v>
      </c>
      <c r="J3628" t="str">
        <f t="shared" si="284"/>
        <v/>
      </c>
    </row>
    <row r="3629" spans="1:10" x14ac:dyDescent="0.2">
      <c r="A3629">
        <v>227277521972</v>
      </c>
      <c r="B3629" t="s">
        <v>7805</v>
      </c>
      <c r="C3629" t="s">
        <v>7806</v>
      </c>
      <c r="D3629">
        <v>2.99</v>
      </c>
      <c r="F3629" t="str">
        <f t="shared" si="280"/>
        <v>No</v>
      </c>
      <c r="G3629" t="str">
        <f t="shared" si="281"/>
        <v/>
      </c>
      <c r="H3629" t="str">
        <f t="shared" si="282"/>
        <v>—</v>
      </c>
      <c r="I3629" t="str">
        <f t="shared" si="283"/>
        <v>Below thresholds</v>
      </c>
      <c r="J3629" t="str">
        <f t="shared" si="284"/>
        <v/>
      </c>
    </row>
    <row r="3630" spans="1:10" x14ac:dyDescent="0.2">
      <c r="A3630">
        <v>227277521988</v>
      </c>
      <c r="B3630" t="s">
        <v>7807</v>
      </c>
      <c r="C3630" t="s">
        <v>7808</v>
      </c>
      <c r="D3630">
        <v>2.38</v>
      </c>
      <c r="F3630" t="str">
        <f t="shared" si="280"/>
        <v>No</v>
      </c>
      <c r="G3630" t="str">
        <f t="shared" si="281"/>
        <v/>
      </c>
      <c r="H3630" t="str">
        <f t="shared" si="282"/>
        <v>—</v>
      </c>
      <c r="I3630" t="str">
        <f t="shared" si="283"/>
        <v>Below thresholds</v>
      </c>
      <c r="J3630" t="str">
        <f t="shared" si="284"/>
        <v/>
      </c>
    </row>
    <row r="3631" spans="1:10" x14ac:dyDescent="0.2">
      <c r="A3631">
        <v>227277521991</v>
      </c>
      <c r="B3631" t="s">
        <v>7809</v>
      </c>
      <c r="C3631" t="s">
        <v>7810</v>
      </c>
      <c r="D3631">
        <v>1.69</v>
      </c>
      <c r="F3631" t="str">
        <f t="shared" si="280"/>
        <v>No</v>
      </c>
      <c r="G3631" t="str">
        <f t="shared" si="281"/>
        <v/>
      </c>
      <c r="H3631" t="str">
        <f t="shared" si="282"/>
        <v>—</v>
      </c>
      <c r="I3631" t="str">
        <f t="shared" si="283"/>
        <v>Below thresholds</v>
      </c>
      <c r="J3631" t="str">
        <f t="shared" si="284"/>
        <v/>
      </c>
    </row>
    <row r="3632" spans="1:10" x14ac:dyDescent="0.2">
      <c r="A3632">
        <v>227277521998</v>
      </c>
      <c r="B3632" t="s">
        <v>7811</v>
      </c>
      <c r="C3632" t="s">
        <v>7812</v>
      </c>
      <c r="D3632">
        <v>3.19</v>
      </c>
      <c r="F3632" t="str">
        <f t="shared" si="280"/>
        <v>No</v>
      </c>
      <c r="G3632" t="str">
        <f t="shared" si="281"/>
        <v/>
      </c>
      <c r="H3632" t="str">
        <f t="shared" si="282"/>
        <v>—</v>
      </c>
      <c r="I3632" t="str">
        <f t="shared" si="283"/>
        <v>Below thresholds</v>
      </c>
      <c r="J3632" t="str">
        <f t="shared" si="284"/>
        <v/>
      </c>
    </row>
    <row r="3633" spans="1:10" x14ac:dyDescent="0.2">
      <c r="A3633">
        <v>227277521999</v>
      </c>
      <c r="B3633" t="s">
        <v>7813</v>
      </c>
      <c r="C3633" t="s">
        <v>7814</v>
      </c>
      <c r="D3633">
        <v>1.49</v>
      </c>
      <c r="F3633" t="str">
        <f t="shared" si="280"/>
        <v>No</v>
      </c>
      <c r="G3633" t="str">
        <f t="shared" si="281"/>
        <v/>
      </c>
      <c r="H3633" t="str">
        <f t="shared" si="282"/>
        <v>—</v>
      </c>
      <c r="I3633" t="str">
        <f t="shared" si="283"/>
        <v>Below thresholds</v>
      </c>
      <c r="J3633" t="str">
        <f t="shared" si="284"/>
        <v/>
      </c>
    </row>
    <row r="3634" spans="1:10" x14ac:dyDescent="0.2">
      <c r="A3634">
        <v>227277523305</v>
      </c>
      <c r="B3634" t="s">
        <v>7815</v>
      </c>
      <c r="C3634" t="s">
        <v>7816</v>
      </c>
      <c r="D3634">
        <v>4.99</v>
      </c>
      <c r="F3634" t="str">
        <f t="shared" si="280"/>
        <v>No</v>
      </c>
      <c r="G3634" t="str">
        <f t="shared" si="281"/>
        <v/>
      </c>
      <c r="H3634" t="str">
        <f t="shared" si="282"/>
        <v>—</v>
      </c>
      <c r="I3634" t="str">
        <f t="shared" si="283"/>
        <v>Below thresholds</v>
      </c>
      <c r="J3634" t="str">
        <f t="shared" si="284"/>
        <v/>
      </c>
    </row>
    <row r="3635" spans="1:10" x14ac:dyDescent="0.2">
      <c r="A3635">
        <v>227277523309</v>
      </c>
      <c r="B3635" t="s">
        <v>7817</v>
      </c>
      <c r="C3635" t="s">
        <v>7818</v>
      </c>
      <c r="D3635">
        <v>2.75</v>
      </c>
      <c r="F3635" t="str">
        <f t="shared" si="280"/>
        <v>No</v>
      </c>
      <c r="G3635" t="str">
        <f t="shared" si="281"/>
        <v/>
      </c>
      <c r="H3635" t="str">
        <f t="shared" si="282"/>
        <v>—</v>
      </c>
      <c r="I3635" t="str">
        <f t="shared" si="283"/>
        <v>Below thresholds</v>
      </c>
      <c r="J3635" t="str">
        <f t="shared" si="284"/>
        <v/>
      </c>
    </row>
    <row r="3636" spans="1:10" x14ac:dyDescent="0.2">
      <c r="A3636">
        <v>227277523874</v>
      </c>
      <c r="B3636" t="s">
        <v>7819</v>
      </c>
      <c r="C3636" t="s">
        <v>7820</v>
      </c>
      <c r="D3636">
        <v>1.99</v>
      </c>
      <c r="F3636" t="str">
        <f t="shared" si="280"/>
        <v>No</v>
      </c>
      <c r="G3636" t="str">
        <f t="shared" si="281"/>
        <v/>
      </c>
      <c r="H3636" t="str">
        <f t="shared" si="282"/>
        <v>—</v>
      </c>
      <c r="I3636" t="str">
        <f t="shared" si="283"/>
        <v>Below thresholds</v>
      </c>
      <c r="J3636" t="str">
        <f t="shared" si="284"/>
        <v/>
      </c>
    </row>
    <row r="3637" spans="1:10" x14ac:dyDescent="0.2">
      <c r="A3637">
        <v>227277525918</v>
      </c>
      <c r="B3637" t="s">
        <v>7821</v>
      </c>
      <c r="C3637" t="s">
        <v>7822</v>
      </c>
      <c r="D3637">
        <v>10.49</v>
      </c>
      <c r="F3637" t="str">
        <f t="shared" si="280"/>
        <v>No</v>
      </c>
      <c r="G3637" t="str">
        <f t="shared" si="281"/>
        <v/>
      </c>
      <c r="H3637" t="str">
        <f t="shared" si="282"/>
        <v>—</v>
      </c>
      <c r="I3637" t="str">
        <f t="shared" si="283"/>
        <v>Below thresholds</v>
      </c>
      <c r="J3637" t="str">
        <f t="shared" si="284"/>
        <v/>
      </c>
    </row>
    <row r="3638" spans="1:10" x14ac:dyDescent="0.2">
      <c r="A3638">
        <v>227277525927</v>
      </c>
      <c r="B3638" t="s">
        <v>7823</v>
      </c>
      <c r="C3638" t="s">
        <v>7824</v>
      </c>
      <c r="D3638">
        <v>13.99</v>
      </c>
      <c r="F3638" t="str">
        <f t="shared" si="280"/>
        <v>No</v>
      </c>
      <c r="G3638" t="str">
        <f t="shared" si="281"/>
        <v/>
      </c>
      <c r="H3638" t="str">
        <f t="shared" si="282"/>
        <v>—</v>
      </c>
      <c r="I3638" t="str">
        <f t="shared" si="283"/>
        <v>Below thresholds</v>
      </c>
      <c r="J3638" t="str">
        <f t="shared" si="284"/>
        <v/>
      </c>
    </row>
    <row r="3639" spans="1:10" x14ac:dyDescent="0.2">
      <c r="A3639">
        <v>227278783911</v>
      </c>
      <c r="B3639" t="s">
        <v>7825</v>
      </c>
      <c r="C3639" t="s">
        <v>7826</v>
      </c>
      <c r="D3639">
        <v>25</v>
      </c>
      <c r="F3639" t="str">
        <f t="shared" si="280"/>
        <v>No</v>
      </c>
      <c r="G3639" t="str">
        <f t="shared" si="281"/>
        <v/>
      </c>
      <c r="H3639" t="str">
        <f t="shared" si="282"/>
        <v>—</v>
      </c>
      <c r="I3639" t="str">
        <f t="shared" si="283"/>
        <v>$20+ — needs velocity check</v>
      </c>
      <c r="J3639" t="str">
        <f t="shared" si="284"/>
        <v>YES — pull CardHedger</v>
      </c>
    </row>
    <row r="3640" spans="1:10" x14ac:dyDescent="0.2">
      <c r="A3640">
        <v>227278827213</v>
      </c>
      <c r="B3640" t="s">
        <v>7827</v>
      </c>
      <c r="C3640" t="s">
        <v>7828</v>
      </c>
      <c r="D3640">
        <v>2.2599999999999998</v>
      </c>
      <c r="F3640" t="str">
        <f t="shared" si="280"/>
        <v>No</v>
      </c>
      <c r="G3640" t="str">
        <f t="shared" si="281"/>
        <v/>
      </c>
      <c r="H3640" t="str">
        <f t="shared" si="282"/>
        <v>—</v>
      </c>
      <c r="I3640" t="str">
        <f t="shared" si="283"/>
        <v>Below thresholds</v>
      </c>
      <c r="J3640" t="str">
        <f t="shared" si="284"/>
        <v/>
      </c>
    </row>
    <row r="3641" spans="1:10" x14ac:dyDescent="0.2">
      <c r="A3641">
        <v>227278827214</v>
      </c>
      <c r="B3641" t="s">
        <v>7829</v>
      </c>
      <c r="C3641" t="s">
        <v>7830</v>
      </c>
      <c r="D3641">
        <v>1.99</v>
      </c>
      <c r="F3641" t="str">
        <f t="shared" si="280"/>
        <v>No</v>
      </c>
      <c r="G3641" t="str">
        <f t="shared" si="281"/>
        <v/>
      </c>
      <c r="H3641" t="str">
        <f t="shared" si="282"/>
        <v>—</v>
      </c>
      <c r="I3641" t="str">
        <f t="shared" si="283"/>
        <v>Below thresholds</v>
      </c>
      <c r="J3641" t="str">
        <f t="shared" si="284"/>
        <v/>
      </c>
    </row>
    <row r="3642" spans="1:10" x14ac:dyDescent="0.2">
      <c r="A3642">
        <v>227278827221</v>
      </c>
      <c r="B3642" t="s">
        <v>7831</v>
      </c>
      <c r="C3642" t="s">
        <v>7832</v>
      </c>
      <c r="D3642">
        <v>1.99</v>
      </c>
      <c r="F3642" t="str">
        <f t="shared" si="280"/>
        <v>No</v>
      </c>
      <c r="G3642" t="str">
        <f t="shared" si="281"/>
        <v/>
      </c>
      <c r="H3642" t="str">
        <f t="shared" si="282"/>
        <v>—</v>
      </c>
      <c r="I3642" t="str">
        <f t="shared" si="283"/>
        <v>Below thresholds</v>
      </c>
      <c r="J3642" t="str">
        <f t="shared" si="284"/>
        <v/>
      </c>
    </row>
    <row r="3643" spans="1:10" x14ac:dyDescent="0.2">
      <c r="A3643">
        <v>227278827222</v>
      </c>
      <c r="B3643" t="s">
        <v>7833</v>
      </c>
      <c r="C3643" t="s">
        <v>7834</v>
      </c>
      <c r="D3643">
        <v>1.99</v>
      </c>
      <c r="F3643" t="str">
        <f t="shared" si="280"/>
        <v>No</v>
      </c>
      <c r="G3643" t="str">
        <f t="shared" si="281"/>
        <v/>
      </c>
      <c r="H3643" t="str">
        <f t="shared" si="282"/>
        <v>—</v>
      </c>
      <c r="I3643" t="str">
        <f t="shared" si="283"/>
        <v>Below thresholds</v>
      </c>
      <c r="J3643" t="str">
        <f t="shared" si="284"/>
        <v/>
      </c>
    </row>
    <row r="3644" spans="1:10" x14ac:dyDescent="0.2">
      <c r="A3644">
        <v>227278827243</v>
      </c>
      <c r="B3644" t="s">
        <v>7835</v>
      </c>
      <c r="C3644" t="s">
        <v>7836</v>
      </c>
      <c r="D3644">
        <v>2.99</v>
      </c>
      <c r="F3644" t="str">
        <f t="shared" si="280"/>
        <v>No</v>
      </c>
      <c r="G3644" t="str">
        <f t="shared" si="281"/>
        <v/>
      </c>
      <c r="H3644" t="str">
        <f t="shared" si="282"/>
        <v>—</v>
      </c>
      <c r="I3644" t="str">
        <f t="shared" si="283"/>
        <v>Below thresholds</v>
      </c>
      <c r="J3644" t="str">
        <f t="shared" si="284"/>
        <v/>
      </c>
    </row>
    <row r="3645" spans="1:10" x14ac:dyDescent="0.2">
      <c r="A3645">
        <v>227278827286</v>
      </c>
      <c r="B3645" t="s">
        <v>7837</v>
      </c>
      <c r="C3645" t="s">
        <v>7838</v>
      </c>
      <c r="D3645">
        <v>3.99</v>
      </c>
      <c r="F3645" t="str">
        <f t="shared" si="280"/>
        <v>No</v>
      </c>
      <c r="G3645" t="str">
        <f t="shared" si="281"/>
        <v/>
      </c>
      <c r="H3645" t="str">
        <f t="shared" si="282"/>
        <v>—</v>
      </c>
      <c r="I3645" t="str">
        <f t="shared" si="283"/>
        <v>Below thresholds</v>
      </c>
      <c r="J3645" t="str">
        <f t="shared" si="284"/>
        <v/>
      </c>
    </row>
    <row r="3646" spans="1:10" x14ac:dyDescent="0.2">
      <c r="A3646">
        <v>227278827297</v>
      </c>
      <c r="B3646" t="s">
        <v>7839</v>
      </c>
      <c r="C3646" t="s">
        <v>7840</v>
      </c>
      <c r="D3646">
        <v>4.5</v>
      </c>
      <c r="F3646" t="str">
        <f t="shared" si="280"/>
        <v>No</v>
      </c>
      <c r="G3646" t="str">
        <f t="shared" si="281"/>
        <v/>
      </c>
      <c r="H3646" t="str">
        <f t="shared" si="282"/>
        <v>—</v>
      </c>
      <c r="I3646" t="str">
        <f t="shared" si="283"/>
        <v>Below thresholds</v>
      </c>
      <c r="J3646" t="str">
        <f t="shared" si="284"/>
        <v/>
      </c>
    </row>
    <row r="3647" spans="1:10" x14ac:dyDescent="0.2">
      <c r="A3647">
        <v>227278827299</v>
      </c>
      <c r="B3647" t="s">
        <v>7841</v>
      </c>
      <c r="C3647" t="s">
        <v>7842</v>
      </c>
      <c r="D3647">
        <v>17.989999999999998</v>
      </c>
      <c r="F3647" t="str">
        <f t="shared" si="280"/>
        <v>No</v>
      </c>
      <c r="G3647" t="str">
        <f t="shared" si="281"/>
        <v/>
      </c>
      <c r="H3647" t="str">
        <f t="shared" si="282"/>
        <v>—</v>
      </c>
      <c r="I3647" t="str">
        <f t="shared" si="283"/>
        <v>Below thresholds</v>
      </c>
      <c r="J3647" t="str">
        <f t="shared" si="284"/>
        <v/>
      </c>
    </row>
    <row r="3648" spans="1:10" x14ac:dyDescent="0.2">
      <c r="A3648">
        <v>227278827301</v>
      </c>
      <c r="B3648" t="s">
        <v>7843</v>
      </c>
      <c r="C3648" t="s">
        <v>7844</v>
      </c>
      <c r="D3648">
        <v>5</v>
      </c>
      <c r="F3648" t="str">
        <f t="shared" si="280"/>
        <v>No</v>
      </c>
      <c r="G3648" t="str">
        <f t="shared" si="281"/>
        <v/>
      </c>
      <c r="H3648" t="str">
        <f t="shared" si="282"/>
        <v>—</v>
      </c>
      <c r="I3648" t="str">
        <f t="shared" si="283"/>
        <v>Below thresholds</v>
      </c>
      <c r="J3648" t="str">
        <f t="shared" si="284"/>
        <v/>
      </c>
    </row>
    <row r="3649" spans="1:10" x14ac:dyDescent="0.2">
      <c r="A3649">
        <v>227278827302</v>
      </c>
      <c r="B3649" t="s">
        <v>7845</v>
      </c>
      <c r="C3649" t="s">
        <v>7846</v>
      </c>
      <c r="D3649">
        <v>2</v>
      </c>
      <c r="F3649" t="str">
        <f t="shared" si="280"/>
        <v>No</v>
      </c>
      <c r="G3649" t="str">
        <f t="shared" si="281"/>
        <v/>
      </c>
      <c r="H3649" t="str">
        <f t="shared" si="282"/>
        <v>—</v>
      </c>
      <c r="I3649" t="str">
        <f t="shared" si="283"/>
        <v>Below thresholds</v>
      </c>
      <c r="J3649" t="str">
        <f t="shared" si="284"/>
        <v/>
      </c>
    </row>
    <row r="3650" spans="1:10" x14ac:dyDescent="0.2">
      <c r="A3650">
        <v>227278827310</v>
      </c>
      <c r="B3650" t="s">
        <v>7847</v>
      </c>
      <c r="C3650" t="s">
        <v>7848</v>
      </c>
      <c r="D3650">
        <v>4.5</v>
      </c>
      <c r="F3650" t="str">
        <f t="shared" si="280"/>
        <v>No</v>
      </c>
      <c r="G3650" t="str">
        <f t="shared" si="281"/>
        <v/>
      </c>
      <c r="H3650" t="str">
        <f t="shared" si="282"/>
        <v>—</v>
      </c>
      <c r="I3650" t="str">
        <f t="shared" si="283"/>
        <v>Below thresholds</v>
      </c>
      <c r="J3650" t="str">
        <f t="shared" si="284"/>
        <v/>
      </c>
    </row>
    <row r="3651" spans="1:10" x14ac:dyDescent="0.2">
      <c r="A3651">
        <v>227278827316</v>
      </c>
      <c r="B3651" t="s">
        <v>7849</v>
      </c>
      <c r="C3651" t="s">
        <v>7850</v>
      </c>
      <c r="D3651">
        <v>2</v>
      </c>
      <c r="F3651" t="str">
        <f t="shared" si="280"/>
        <v>No</v>
      </c>
      <c r="G3651" t="str">
        <f t="shared" si="281"/>
        <v/>
      </c>
      <c r="H3651" t="str">
        <f t="shared" si="282"/>
        <v>—</v>
      </c>
      <c r="I3651" t="str">
        <f t="shared" si="283"/>
        <v>Below thresholds</v>
      </c>
      <c r="J3651" t="str">
        <f t="shared" si="284"/>
        <v/>
      </c>
    </row>
    <row r="3652" spans="1:10" x14ac:dyDescent="0.2">
      <c r="A3652">
        <v>227279715633</v>
      </c>
      <c r="B3652" t="s">
        <v>7851</v>
      </c>
      <c r="C3652" t="s">
        <v>7852</v>
      </c>
      <c r="D3652">
        <v>6.99</v>
      </c>
      <c r="F3652" t="str">
        <f t="shared" si="280"/>
        <v>No</v>
      </c>
      <c r="G3652" t="str">
        <f t="shared" si="281"/>
        <v/>
      </c>
      <c r="H3652" t="str">
        <f t="shared" si="282"/>
        <v>—</v>
      </c>
      <c r="I3652" t="str">
        <f t="shared" si="283"/>
        <v>Below thresholds</v>
      </c>
      <c r="J3652" t="str">
        <f t="shared" si="284"/>
        <v/>
      </c>
    </row>
    <row r="3653" spans="1:10" x14ac:dyDescent="0.2">
      <c r="A3653">
        <v>227279715716</v>
      </c>
      <c r="B3653" t="s">
        <v>7853</v>
      </c>
      <c r="C3653" t="s">
        <v>7854</v>
      </c>
      <c r="D3653">
        <v>1.99</v>
      </c>
      <c r="F3653" t="str">
        <f t="shared" ref="F3653:F3716" si="285">IF($B3653="","",IF(ISNUMBER(SEARCH("PSA",$B3653)),"Yes","No"))</f>
        <v>No</v>
      </c>
      <c r="G3653" t="str">
        <f t="shared" ref="G3653:G3716" si="286">IF($B3653="","",IF(ISNUMBER(SEARCH("PSA 10",$B3653)),10,IF(ISNUMBER(SEARCH("PSA 9.5",$B3653)),9.5,IF(ISNUMBER(SEARCH("PSA 9",$B3653)),9,IF(ISNUMBER(SEARCH("PSA 8",$B3653)),8,IF(ISNUMBER(SEARCH("PSA",$B3653)),"&lt;9",""))))))</f>
        <v/>
      </c>
      <c r="H3653" t="str">
        <f t="shared" ref="H3653:H3716" si="287">IF($B3653="","",IF($D3653&gt;=100,"TIER 2",IF(OR(ISNUMBER(SEARCH("PSA 10",$B3653)),ISNUMBER(SEARCH("PSA 9.5",$B3653)),ISNUMBER(SEARCH("PSA 9",$B3653))),"TIER 3",IF(AND($D3653&gt;20,N($E3653)&gt;=15),"TIER 1","—"))))</f>
        <v>—</v>
      </c>
      <c r="I3653" t="str">
        <f t="shared" ref="I3653:I3716" si="288">IF($B3653="","",IF($D3653&gt;=100,"Premium $100+ (auto)",IF(OR(ISNUMBER(SEARCH("PSA 10",$B3653)),ISNUMBER(SEARCH("PSA 9.5",$B3653)),ISNUMBER(SEARCH("PSA 9",$B3653))),"Graded PSA 9+ (auto)",IF(AND($D3653&gt;20,N($E3653)&gt;=15),"Hot: $20+ &amp; "&amp;$E3653&amp;"/day",IF($D3653&gt;20,"$20+ — needs velocity check","Below thresholds")))))</f>
        <v>Below thresholds</v>
      </c>
      <c r="J3653" t="str">
        <f t="shared" ref="J3653:J3716" si="289">IF($B3653="","",IF(AND($D3653&gt;20,$D3653&lt;100,NOT(OR(ISNUMBER(SEARCH("PSA 10",$B3653)),ISNUMBER(SEARCH("PSA 9.5",$B3653)),ISNUMBER(SEARCH("PSA 9",$B3653)))),$E3653=""),"YES — pull CardHedger",""))</f>
        <v/>
      </c>
    </row>
    <row r="3654" spans="1:10" x14ac:dyDescent="0.2">
      <c r="A3654">
        <v>227279715810</v>
      </c>
      <c r="B3654" t="s">
        <v>7739</v>
      </c>
      <c r="C3654" t="s">
        <v>7855</v>
      </c>
      <c r="D3654">
        <v>3.79</v>
      </c>
      <c r="F3654" t="str">
        <f t="shared" si="285"/>
        <v>No</v>
      </c>
      <c r="G3654" t="str">
        <f t="shared" si="286"/>
        <v/>
      </c>
      <c r="H3654" t="str">
        <f t="shared" si="287"/>
        <v>—</v>
      </c>
      <c r="I3654" t="str">
        <f t="shared" si="288"/>
        <v>Below thresholds</v>
      </c>
      <c r="J3654" t="str">
        <f t="shared" si="289"/>
        <v/>
      </c>
    </row>
    <row r="3655" spans="1:10" x14ac:dyDescent="0.2">
      <c r="A3655">
        <v>227279715812</v>
      </c>
      <c r="B3655" t="s">
        <v>7856</v>
      </c>
      <c r="C3655" t="s">
        <v>7857</v>
      </c>
      <c r="D3655">
        <v>1.99</v>
      </c>
      <c r="F3655" t="str">
        <f t="shared" si="285"/>
        <v>No</v>
      </c>
      <c r="G3655" t="str">
        <f t="shared" si="286"/>
        <v/>
      </c>
      <c r="H3655" t="str">
        <f t="shared" si="287"/>
        <v>—</v>
      </c>
      <c r="I3655" t="str">
        <f t="shared" si="288"/>
        <v>Below thresholds</v>
      </c>
      <c r="J3655" t="str">
        <f t="shared" si="289"/>
        <v/>
      </c>
    </row>
    <row r="3656" spans="1:10" x14ac:dyDescent="0.2">
      <c r="A3656">
        <v>227279715889</v>
      </c>
      <c r="B3656" t="s">
        <v>7858</v>
      </c>
      <c r="C3656" t="s">
        <v>7859</v>
      </c>
      <c r="D3656">
        <v>89.95</v>
      </c>
      <c r="F3656" t="str">
        <f t="shared" si="285"/>
        <v>No</v>
      </c>
      <c r="G3656" t="str">
        <f t="shared" si="286"/>
        <v/>
      </c>
      <c r="H3656" t="str">
        <f t="shared" si="287"/>
        <v>—</v>
      </c>
      <c r="I3656" t="str">
        <f t="shared" si="288"/>
        <v>$20+ — needs velocity check</v>
      </c>
      <c r="J3656" t="str">
        <f t="shared" si="289"/>
        <v>YES — pull CardHedger</v>
      </c>
    </row>
    <row r="3657" spans="1:10" x14ac:dyDescent="0.2">
      <c r="A3657">
        <v>227279716058</v>
      </c>
      <c r="B3657" t="s">
        <v>7860</v>
      </c>
      <c r="C3657" t="s">
        <v>7861</v>
      </c>
      <c r="D3657">
        <v>2.97</v>
      </c>
      <c r="F3657" t="str">
        <f t="shared" si="285"/>
        <v>No</v>
      </c>
      <c r="G3657" t="str">
        <f t="shared" si="286"/>
        <v/>
      </c>
      <c r="H3657" t="str">
        <f t="shared" si="287"/>
        <v>—</v>
      </c>
      <c r="I3657" t="str">
        <f t="shared" si="288"/>
        <v>Below thresholds</v>
      </c>
      <c r="J3657" t="str">
        <f t="shared" si="289"/>
        <v/>
      </c>
    </row>
    <row r="3658" spans="1:10" x14ac:dyDescent="0.2">
      <c r="A3658">
        <v>227279716124</v>
      </c>
      <c r="B3658" t="s">
        <v>7862</v>
      </c>
      <c r="C3658" t="s">
        <v>7863</v>
      </c>
      <c r="D3658">
        <v>1.99</v>
      </c>
      <c r="F3658" t="str">
        <f t="shared" si="285"/>
        <v>No</v>
      </c>
      <c r="G3658" t="str">
        <f t="shared" si="286"/>
        <v/>
      </c>
      <c r="H3658" t="str">
        <f t="shared" si="287"/>
        <v>—</v>
      </c>
      <c r="I3658" t="str">
        <f t="shared" si="288"/>
        <v>Below thresholds</v>
      </c>
      <c r="J3658" t="str">
        <f t="shared" si="289"/>
        <v/>
      </c>
    </row>
    <row r="3659" spans="1:10" x14ac:dyDescent="0.2">
      <c r="A3659">
        <v>227280044132</v>
      </c>
      <c r="B3659" t="s">
        <v>7864</v>
      </c>
      <c r="C3659" t="s">
        <v>7865</v>
      </c>
      <c r="D3659">
        <v>25</v>
      </c>
      <c r="F3659" t="str">
        <f t="shared" si="285"/>
        <v>No</v>
      </c>
      <c r="G3659" t="str">
        <f t="shared" si="286"/>
        <v/>
      </c>
      <c r="H3659" t="str">
        <f t="shared" si="287"/>
        <v>—</v>
      </c>
      <c r="I3659" t="str">
        <f t="shared" si="288"/>
        <v>$20+ — needs velocity check</v>
      </c>
      <c r="J3659" t="str">
        <f t="shared" si="289"/>
        <v>YES — pull CardHedger</v>
      </c>
    </row>
    <row r="3660" spans="1:10" x14ac:dyDescent="0.2">
      <c r="A3660">
        <v>227280153981</v>
      </c>
      <c r="B3660" t="s">
        <v>7866</v>
      </c>
      <c r="C3660" t="s">
        <v>7867</v>
      </c>
      <c r="D3660">
        <v>6.99</v>
      </c>
      <c r="F3660" t="str">
        <f t="shared" si="285"/>
        <v>No</v>
      </c>
      <c r="G3660" t="str">
        <f t="shared" si="286"/>
        <v/>
      </c>
      <c r="H3660" t="str">
        <f t="shared" si="287"/>
        <v>—</v>
      </c>
      <c r="I3660" t="str">
        <f t="shared" si="288"/>
        <v>Below thresholds</v>
      </c>
      <c r="J3660" t="str">
        <f t="shared" si="289"/>
        <v/>
      </c>
    </row>
    <row r="3661" spans="1:10" x14ac:dyDescent="0.2">
      <c r="A3661">
        <v>227280153987</v>
      </c>
      <c r="B3661" t="s">
        <v>7868</v>
      </c>
      <c r="C3661" t="s">
        <v>7869</v>
      </c>
      <c r="D3661">
        <v>1.99</v>
      </c>
      <c r="F3661" t="str">
        <f t="shared" si="285"/>
        <v>No</v>
      </c>
      <c r="G3661" t="str">
        <f t="shared" si="286"/>
        <v/>
      </c>
      <c r="H3661" t="str">
        <f t="shared" si="287"/>
        <v>—</v>
      </c>
      <c r="I3661" t="str">
        <f t="shared" si="288"/>
        <v>Below thresholds</v>
      </c>
      <c r="J3661" t="str">
        <f t="shared" si="289"/>
        <v/>
      </c>
    </row>
    <row r="3662" spans="1:10" x14ac:dyDescent="0.2">
      <c r="A3662">
        <v>227280154036</v>
      </c>
      <c r="B3662" t="s">
        <v>7870</v>
      </c>
      <c r="C3662" t="s">
        <v>7871</v>
      </c>
      <c r="D3662">
        <v>2.5099999999999998</v>
      </c>
      <c r="F3662" t="str">
        <f t="shared" si="285"/>
        <v>No</v>
      </c>
      <c r="G3662" t="str">
        <f t="shared" si="286"/>
        <v/>
      </c>
      <c r="H3662" t="str">
        <f t="shared" si="287"/>
        <v>—</v>
      </c>
      <c r="I3662" t="str">
        <f t="shared" si="288"/>
        <v>Below thresholds</v>
      </c>
      <c r="J3662" t="str">
        <f t="shared" si="289"/>
        <v/>
      </c>
    </row>
    <row r="3663" spans="1:10" x14ac:dyDescent="0.2">
      <c r="A3663">
        <v>227280154064</v>
      </c>
      <c r="B3663" t="s">
        <v>7872</v>
      </c>
      <c r="C3663" t="s">
        <v>7873</v>
      </c>
      <c r="D3663">
        <v>3.95</v>
      </c>
      <c r="F3663" t="str">
        <f t="shared" si="285"/>
        <v>No</v>
      </c>
      <c r="G3663" t="str">
        <f t="shared" si="286"/>
        <v/>
      </c>
      <c r="H3663" t="str">
        <f t="shared" si="287"/>
        <v>—</v>
      </c>
      <c r="I3663" t="str">
        <f t="shared" si="288"/>
        <v>Below thresholds</v>
      </c>
      <c r="J3663" t="str">
        <f t="shared" si="289"/>
        <v/>
      </c>
    </row>
    <row r="3664" spans="1:10" x14ac:dyDescent="0.2">
      <c r="A3664">
        <v>227280154076</v>
      </c>
      <c r="B3664" t="s">
        <v>7874</v>
      </c>
      <c r="C3664" t="s">
        <v>7875</v>
      </c>
      <c r="D3664">
        <v>1.99</v>
      </c>
      <c r="F3664" t="str">
        <f t="shared" si="285"/>
        <v>No</v>
      </c>
      <c r="G3664" t="str">
        <f t="shared" si="286"/>
        <v/>
      </c>
      <c r="H3664" t="str">
        <f t="shared" si="287"/>
        <v>—</v>
      </c>
      <c r="I3664" t="str">
        <f t="shared" si="288"/>
        <v>Below thresholds</v>
      </c>
      <c r="J3664" t="str">
        <f t="shared" si="289"/>
        <v/>
      </c>
    </row>
    <row r="3665" spans="1:10" x14ac:dyDescent="0.2">
      <c r="A3665">
        <v>227280154082</v>
      </c>
      <c r="B3665" t="s">
        <v>7876</v>
      </c>
      <c r="C3665" t="s">
        <v>7877</v>
      </c>
      <c r="D3665">
        <v>1.99</v>
      </c>
      <c r="F3665" t="str">
        <f t="shared" si="285"/>
        <v>No</v>
      </c>
      <c r="G3665" t="str">
        <f t="shared" si="286"/>
        <v/>
      </c>
      <c r="H3665" t="str">
        <f t="shared" si="287"/>
        <v>—</v>
      </c>
      <c r="I3665" t="str">
        <f t="shared" si="288"/>
        <v>Below thresholds</v>
      </c>
      <c r="J3665" t="str">
        <f t="shared" si="289"/>
        <v/>
      </c>
    </row>
    <row r="3666" spans="1:10" x14ac:dyDescent="0.2">
      <c r="A3666">
        <v>227280154094</v>
      </c>
      <c r="B3666" t="s">
        <v>7878</v>
      </c>
      <c r="C3666" t="s">
        <v>7879</v>
      </c>
      <c r="D3666">
        <v>2.25</v>
      </c>
      <c r="F3666" t="str">
        <f t="shared" si="285"/>
        <v>No</v>
      </c>
      <c r="G3666" t="str">
        <f t="shared" si="286"/>
        <v/>
      </c>
      <c r="H3666" t="str">
        <f t="shared" si="287"/>
        <v>—</v>
      </c>
      <c r="I3666" t="str">
        <f t="shared" si="288"/>
        <v>Below thresholds</v>
      </c>
      <c r="J3666" t="str">
        <f t="shared" si="289"/>
        <v/>
      </c>
    </row>
    <row r="3667" spans="1:10" x14ac:dyDescent="0.2">
      <c r="A3667">
        <v>227282698368</v>
      </c>
      <c r="B3667" t="s">
        <v>7880</v>
      </c>
      <c r="C3667" t="s">
        <v>7881</v>
      </c>
      <c r="D3667">
        <v>2</v>
      </c>
      <c r="F3667" t="str">
        <f t="shared" si="285"/>
        <v>No</v>
      </c>
      <c r="G3667" t="str">
        <f t="shared" si="286"/>
        <v/>
      </c>
      <c r="H3667" t="str">
        <f t="shared" si="287"/>
        <v>—</v>
      </c>
      <c r="I3667" t="str">
        <f t="shared" si="288"/>
        <v>Below thresholds</v>
      </c>
      <c r="J3667" t="str">
        <f t="shared" si="289"/>
        <v/>
      </c>
    </row>
    <row r="3668" spans="1:10" x14ac:dyDescent="0.2">
      <c r="A3668">
        <v>227282822271</v>
      </c>
      <c r="B3668" t="s">
        <v>7882</v>
      </c>
      <c r="C3668" t="s">
        <v>7883</v>
      </c>
      <c r="D3668">
        <v>3.79</v>
      </c>
      <c r="F3668" t="str">
        <f t="shared" si="285"/>
        <v>No</v>
      </c>
      <c r="G3668" t="str">
        <f t="shared" si="286"/>
        <v/>
      </c>
      <c r="H3668" t="str">
        <f t="shared" si="287"/>
        <v>—</v>
      </c>
      <c r="I3668" t="str">
        <f t="shared" si="288"/>
        <v>Below thresholds</v>
      </c>
      <c r="J3668" t="str">
        <f t="shared" si="289"/>
        <v/>
      </c>
    </row>
    <row r="3669" spans="1:10" x14ac:dyDescent="0.2">
      <c r="A3669">
        <v>227282822275</v>
      </c>
      <c r="B3669" t="s">
        <v>7884</v>
      </c>
      <c r="C3669" t="s">
        <v>7885</v>
      </c>
      <c r="D3669">
        <v>1.99</v>
      </c>
      <c r="F3669" t="str">
        <f t="shared" si="285"/>
        <v>No</v>
      </c>
      <c r="G3669" t="str">
        <f t="shared" si="286"/>
        <v/>
      </c>
      <c r="H3669" t="str">
        <f t="shared" si="287"/>
        <v>—</v>
      </c>
      <c r="I3669" t="str">
        <f t="shared" si="288"/>
        <v>Below thresholds</v>
      </c>
      <c r="J3669" t="str">
        <f t="shared" si="289"/>
        <v/>
      </c>
    </row>
    <row r="3670" spans="1:10" x14ac:dyDescent="0.2">
      <c r="A3670">
        <v>227282822329</v>
      </c>
      <c r="B3670" t="s">
        <v>7886</v>
      </c>
      <c r="C3670" t="s">
        <v>7887</v>
      </c>
      <c r="D3670">
        <v>5.99</v>
      </c>
      <c r="F3670" t="str">
        <f t="shared" si="285"/>
        <v>No</v>
      </c>
      <c r="G3670" t="str">
        <f t="shared" si="286"/>
        <v/>
      </c>
      <c r="H3670" t="str">
        <f t="shared" si="287"/>
        <v>—</v>
      </c>
      <c r="I3670" t="str">
        <f t="shared" si="288"/>
        <v>Below thresholds</v>
      </c>
      <c r="J3670" t="str">
        <f t="shared" si="289"/>
        <v/>
      </c>
    </row>
    <row r="3671" spans="1:10" x14ac:dyDescent="0.2">
      <c r="A3671">
        <v>227282822373</v>
      </c>
      <c r="B3671" t="s">
        <v>7888</v>
      </c>
      <c r="C3671" t="s">
        <v>7889</v>
      </c>
      <c r="D3671">
        <v>1.99</v>
      </c>
      <c r="F3671" t="str">
        <f t="shared" si="285"/>
        <v>No</v>
      </c>
      <c r="G3671" t="str">
        <f t="shared" si="286"/>
        <v/>
      </c>
      <c r="H3671" t="str">
        <f t="shared" si="287"/>
        <v>—</v>
      </c>
      <c r="I3671" t="str">
        <f t="shared" si="288"/>
        <v>Below thresholds</v>
      </c>
      <c r="J3671" t="str">
        <f t="shared" si="289"/>
        <v/>
      </c>
    </row>
    <row r="3672" spans="1:10" x14ac:dyDescent="0.2">
      <c r="A3672">
        <v>227282822467</v>
      </c>
      <c r="B3672" t="s">
        <v>7890</v>
      </c>
      <c r="C3672" t="s">
        <v>7891</v>
      </c>
      <c r="D3672">
        <v>55</v>
      </c>
      <c r="F3672" t="str">
        <f t="shared" si="285"/>
        <v>No</v>
      </c>
      <c r="G3672" t="str">
        <f t="shared" si="286"/>
        <v/>
      </c>
      <c r="H3672" t="str">
        <f t="shared" si="287"/>
        <v>—</v>
      </c>
      <c r="I3672" t="str">
        <f t="shared" si="288"/>
        <v>$20+ — needs velocity check</v>
      </c>
      <c r="J3672" t="str">
        <f t="shared" si="289"/>
        <v>YES — pull CardHedger</v>
      </c>
    </row>
    <row r="3673" spans="1:10" x14ac:dyDescent="0.2">
      <c r="A3673">
        <v>227282822919</v>
      </c>
      <c r="B3673" t="s">
        <v>7892</v>
      </c>
      <c r="C3673" t="s">
        <v>7893</v>
      </c>
      <c r="D3673">
        <v>1.99</v>
      </c>
      <c r="F3673" t="str">
        <f t="shared" si="285"/>
        <v>No</v>
      </c>
      <c r="G3673" t="str">
        <f t="shared" si="286"/>
        <v/>
      </c>
      <c r="H3673" t="str">
        <f t="shared" si="287"/>
        <v>—</v>
      </c>
      <c r="I3673" t="str">
        <f t="shared" si="288"/>
        <v>Below thresholds</v>
      </c>
      <c r="J3673" t="str">
        <f t="shared" si="289"/>
        <v/>
      </c>
    </row>
    <row r="3674" spans="1:10" x14ac:dyDescent="0.2">
      <c r="A3674">
        <v>227282822949</v>
      </c>
      <c r="B3674" t="s">
        <v>7894</v>
      </c>
      <c r="C3674" t="s">
        <v>7895</v>
      </c>
      <c r="D3674">
        <v>3.19</v>
      </c>
      <c r="F3674" t="str">
        <f t="shared" si="285"/>
        <v>No</v>
      </c>
      <c r="G3674" t="str">
        <f t="shared" si="286"/>
        <v/>
      </c>
      <c r="H3674" t="str">
        <f t="shared" si="287"/>
        <v>—</v>
      </c>
      <c r="I3674" t="str">
        <f t="shared" si="288"/>
        <v>Below thresholds</v>
      </c>
      <c r="J3674" t="str">
        <f t="shared" si="289"/>
        <v/>
      </c>
    </row>
    <row r="3675" spans="1:10" x14ac:dyDescent="0.2">
      <c r="A3675">
        <v>227282823101</v>
      </c>
      <c r="B3675" t="s">
        <v>7896</v>
      </c>
      <c r="C3675" t="s">
        <v>7897</v>
      </c>
      <c r="D3675">
        <v>5.99</v>
      </c>
      <c r="F3675" t="str">
        <f t="shared" si="285"/>
        <v>No</v>
      </c>
      <c r="G3675" t="str">
        <f t="shared" si="286"/>
        <v/>
      </c>
      <c r="H3675" t="str">
        <f t="shared" si="287"/>
        <v>—</v>
      </c>
      <c r="I3675" t="str">
        <f t="shared" si="288"/>
        <v>Below thresholds</v>
      </c>
      <c r="J3675" t="str">
        <f t="shared" si="289"/>
        <v/>
      </c>
    </row>
    <row r="3676" spans="1:10" x14ac:dyDescent="0.2">
      <c r="A3676">
        <v>227282823139</v>
      </c>
      <c r="B3676" t="s">
        <v>7898</v>
      </c>
      <c r="C3676" t="s">
        <v>7899</v>
      </c>
      <c r="D3676">
        <v>1.99</v>
      </c>
      <c r="F3676" t="str">
        <f t="shared" si="285"/>
        <v>No</v>
      </c>
      <c r="G3676" t="str">
        <f t="shared" si="286"/>
        <v/>
      </c>
      <c r="H3676" t="str">
        <f t="shared" si="287"/>
        <v>—</v>
      </c>
      <c r="I3676" t="str">
        <f t="shared" si="288"/>
        <v>Below thresholds</v>
      </c>
      <c r="J3676" t="str">
        <f t="shared" si="289"/>
        <v/>
      </c>
    </row>
    <row r="3677" spans="1:10" x14ac:dyDescent="0.2">
      <c r="A3677">
        <v>227282823206</v>
      </c>
      <c r="B3677" t="s">
        <v>7900</v>
      </c>
      <c r="C3677" t="s">
        <v>7901</v>
      </c>
      <c r="D3677">
        <v>1.99</v>
      </c>
      <c r="F3677" t="str">
        <f t="shared" si="285"/>
        <v>No</v>
      </c>
      <c r="G3677" t="str">
        <f t="shared" si="286"/>
        <v/>
      </c>
      <c r="H3677" t="str">
        <f t="shared" si="287"/>
        <v>—</v>
      </c>
      <c r="I3677" t="str">
        <f t="shared" si="288"/>
        <v>Below thresholds</v>
      </c>
      <c r="J3677" t="str">
        <f t="shared" si="289"/>
        <v/>
      </c>
    </row>
    <row r="3678" spans="1:10" x14ac:dyDescent="0.2">
      <c r="A3678">
        <v>227282823262</v>
      </c>
      <c r="B3678" t="s">
        <v>7902</v>
      </c>
      <c r="C3678" t="s">
        <v>7903</v>
      </c>
      <c r="D3678">
        <v>2.69</v>
      </c>
      <c r="F3678" t="str">
        <f t="shared" si="285"/>
        <v>No</v>
      </c>
      <c r="G3678" t="str">
        <f t="shared" si="286"/>
        <v/>
      </c>
      <c r="H3678" t="str">
        <f t="shared" si="287"/>
        <v>—</v>
      </c>
      <c r="I3678" t="str">
        <f t="shared" si="288"/>
        <v>Below thresholds</v>
      </c>
      <c r="J3678" t="str">
        <f t="shared" si="289"/>
        <v/>
      </c>
    </row>
    <row r="3679" spans="1:10" x14ac:dyDescent="0.2">
      <c r="A3679">
        <v>227283037684</v>
      </c>
      <c r="B3679" t="s">
        <v>7904</v>
      </c>
      <c r="C3679" t="s">
        <v>7905</v>
      </c>
      <c r="D3679">
        <v>10.69</v>
      </c>
      <c r="F3679" t="str">
        <f t="shared" si="285"/>
        <v>No</v>
      </c>
      <c r="G3679" t="str">
        <f t="shared" si="286"/>
        <v/>
      </c>
      <c r="H3679" t="str">
        <f t="shared" si="287"/>
        <v>—</v>
      </c>
      <c r="I3679" t="str">
        <f t="shared" si="288"/>
        <v>Below thresholds</v>
      </c>
      <c r="J3679" t="str">
        <f t="shared" si="289"/>
        <v/>
      </c>
    </row>
    <row r="3680" spans="1:10" x14ac:dyDescent="0.2">
      <c r="A3680">
        <v>227283037686</v>
      </c>
      <c r="B3680" t="s">
        <v>7906</v>
      </c>
      <c r="C3680" t="s">
        <v>7907</v>
      </c>
      <c r="D3680">
        <v>19.989999999999998</v>
      </c>
      <c r="F3680" t="str">
        <f t="shared" si="285"/>
        <v>No</v>
      </c>
      <c r="G3680" t="str">
        <f t="shared" si="286"/>
        <v/>
      </c>
      <c r="H3680" t="str">
        <f t="shared" si="287"/>
        <v>—</v>
      </c>
      <c r="I3680" t="str">
        <f t="shared" si="288"/>
        <v>Below thresholds</v>
      </c>
      <c r="J3680" t="str">
        <f t="shared" si="289"/>
        <v/>
      </c>
    </row>
    <row r="3681" spans="1:10" x14ac:dyDescent="0.2">
      <c r="A3681">
        <v>227283037714</v>
      </c>
      <c r="B3681" t="s">
        <v>7908</v>
      </c>
      <c r="C3681" t="s">
        <v>7909</v>
      </c>
      <c r="D3681">
        <v>15</v>
      </c>
      <c r="F3681" t="str">
        <f t="shared" si="285"/>
        <v>No</v>
      </c>
      <c r="G3681" t="str">
        <f t="shared" si="286"/>
        <v/>
      </c>
      <c r="H3681" t="str">
        <f t="shared" si="287"/>
        <v>—</v>
      </c>
      <c r="I3681" t="str">
        <f t="shared" si="288"/>
        <v>Below thresholds</v>
      </c>
      <c r="J3681" t="str">
        <f t="shared" si="289"/>
        <v/>
      </c>
    </row>
    <row r="3682" spans="1:10" x14ac:dyDescent="0.2">
      <c r="A3682">
        <v>227283037758</v>
      </c>
      <c r="B3682" t="s">
        <v>7910</v>
      </c>
      <c r="C3682" t="s">
        <v>7911</v>
      </c>
      <c r="D3682">
        <v>7.99</v>
      </c>
      <c r="F3682" t="str">
        <f t="shared" si="285"/>
        <v>No</v>
      </c>
      <c r="G3682" t="str">
        <f t="shared" si="286"/>
        <v/>
      </c>
      <c r="H3682" t="str">
        <f t="shared" si="287"/>
        <v>—</v>
      </c>
      <c r="I3682" t="str">
        <f t="shared" si="288"/>
        <v>Below thresholds</v>
      </c>
      <c r="J3682" t="str">
        <f t="shared" si="289"/>
        <v/>
      </c>
    </row>
    <row r="3683" spans="1:10" x14ac:dyDescent="0.2">
      <c r="A3683">
        <v>227283037813</v>
      </c>
      <c r="B3683" t="s">
        <v>7912</v>
      </c>
      <c r="C3683" t="s">
        <v>7913</v>
      </c>
      <c r="D3683">
        <v>11</v>
      </c>
      <c r="F3683" t="str">
        <f t="shared" si="285"/>
        <v>No</v>
      </c>
      <c r="G3683" t="str">
        <f t="shared" si="286"/>
        <v/>
      </c>
      <c r="H3683" t="str">
        <f t="shared" si="287"/>
        <v>—</v>
      </c>
      <c r="I3683" t="str">
        <f t="shared" si="288"/>
        <v>Below thresholds</v>
      </c>
      <c r="J3683" t="str">
        <f t="shared" si="289"/>
        <v/>
      </c>
    </row>
    <row r="3684" spans="1:10" x14ac:dyDescent="0.2">
      <c r="A3684">
        <v>227284268942</v>
      </c>
      <c r="B3684" t="s">
        <v>7914</v>
      </c>
      <c r="C3684" t="s">
        <v>7915</v>
      </c>
      <c r="D3684">
        <v>3</v>
      </c>
      <c r="F3684" t="str">
        <f t="shared" si="285"/>
        <v>No</v>
      </c>
      <c r="G3684" t="str">
        <f t="shared" si="286"/>
        <v/>
      </c>
      <c r="H3684" t="str">
        <f t="shared" si="287"/>
        <v>—</v>
      </c>
      <c r="I3684" t="str">
        <f t="shared" si="288"/>
        <v>Below thresholds</v>
      </c>
      <c r="J3684" t="str">
        <f t="shared" si="289"/>
        <v/>
      </c>
    </row>
    <row r="3685" spans="1:10" x14ac:dyDescent="0.2">
      <c r="A3685">
        <v>227284268995</v>
      </c>
      <c r="B3685" t="s">
        <v>7916</v>
      </c>
      <c r="C3685" t="s">
        <v>7917</v>
      </c>
      <c r="D3685">
        <v>13.99</v>
      </c>
      <c r="F3685" t="str">
        <f t="shared" si="285"/>
        <v>No</v>
      </c>
      <c r="G3685" t="str">
        <f t="shared" si="286"/>
        <v/>
      </c>
      <c r="H3685" t="str">
        <f t="shared" si="287"/>
        <v>—</v>
      </c>
      <c r="I3685" t="str">
        <f t="shared" si="288"/>
        <v>Below thresholds</v>
      </c>
      <c r="J3685" t="str">
        <f t="shared" si="289"/>
        <v/>
      </c>
    </row>
    <row r="3686" spans="1:10" x14ac:dyDescent="0.2">
      <c r="A3686">
        <v>227284485053</v>
      </c>
      <c r="B3686" t="s">
        <v>7918</v>
      </c>
      <c r="C3686" t="s">
        <v>7919</v>
      </c>
      <c r="D3686">
        <v>1.99</v>
      </c>
      <c r="F3686" t="str">
        <f t="shared" si="285"/>
        <v>No</v>
      </c>
      <c r="G3686" t="str">
        <f t="shared" si="286"/>
        <v/>
      </c>
      <c r="H3686" t="str">
        <f t="shared" si="287"/>
        <v>—</v>
      </c>
      <c r="I3686" t="str">
        <f t="shared" si="288"/>
        <v>Below thresholds</v>
      </c>
      <c r="J3686" t="str">
        <f t="shared" si="289"/>
        <v/>
      </c>
    </row>
    <row r="3687" spans="1:10" x14ac:dyDescent="0.2">
      <c r="A3687">
        <v>227284485062</v>
      </c>
      <c r="B3687" t="s">
        <v>7920</v>
      </c>
      <c r="C3687" t="s">
        <v>7921</v>
      </c>
      <c r="D3687">
        <v>5.39</v>
      </c>
      <c r="F3687" t="str">
        <f t="shared" si="285"/>
        <v>No</v>
      </c>
      <c r="G3687" t="str">
        <f t="shared" si="286"/>
        <v/>
      </c>
      <c r="H3687" t="str">
        <f t="shared" si="287"/>
        <v>—</v>
      </c>
      <c r="I3687" t="str">
        <f t="shared" si="288"/>
        <v>Below thresholds</v>
      </c>
      <c r="J3687" t="str">
        <f t="shared" si="289"/>
        <v/>
      </c>
    </row>
    <row r="3688" spans="1:10" x14ac:dyDescent="0.2">
      <c r="A3688">
        <v>227284485111</v>
      </c>
      <c r="B3688" t="s">
        <v>7922</v>
      </c>
      <c r="C3688" t="s">
        <v>7923</v>
      </c>
      <c r="D3688">
        <v>1.99</v>
      </c>
      <c r="F3688" t="str">
        <f t="shared" si="285"/>
        <v>No</v>
      </c>
      <c r="G3688" t="str">
        <f t="shared" si="286"/>
        <v/>
      </c>
      <c r="H3688" t="str">
        <f t="shared" si="287"/>
        <v>—</v>
      </c>
      <c r="I3688" t="str">
        <f t="shared" si="288"/>
        <v>Below thresholds</v>
      </c>
      <c r="J3688" t="str">
        <f t="shared" si="289"/>
        <v/>
      </c>
    </row>
    <row r="3689" spans="1:10" x14ac:dyDescent="0.2">
      <c r="A3689">
        <v>227284485187</v>
      </c>
      <c r="B3689" t="s">
        <v>7924</v>
      </c>
      <c r="C3689" t="s">
        <v>7925</v>
      </c>
      <c r="D3689">
        <v>1.99</v>
      </c>
      <c r="F3689" t="str">
        <f t="shared" si="285"/>
        <v>No</v>
      </c>
      <c r="G3689" t="str">
        <f t="shared" si="286"/>
        <v/>
      </c>
      <c r="H3689" t="str">
        <f t="shared" si="287"/>
        <v>—</v>
      </c>
      <c r="I3689" t="str">
        <f t="shared" si="288"/>
        <v>Below thresholds</v>
      </c>
      <c r="J3689" t="str">
        <f t="shared" si="289"/>
        <v/>
      </c>
    </row>
    <row r="3690" spans="1:10" x14ac:dyDescent="0.2">
      <c r="A3690">
        <v>227284485211</v>
      </c>
      <c r="B3690" t="s">
        <v>7926</v>
      </c>
      <c r="C3690" t="s">
        <v>7927</v>
      </c>
      <c r="D3690">
        <v>1.99</v>
      </c>
      <c r="F3690" t="str">
        <f t="shared" si="285"/>
        <v>No</v>
      </c>
      <c r="G3690" t="str">
        <f t="shared" si="286"/>
        <v/>
      </c>
      <c r="H3690" t="str">
        <f t="shared" si="287"/>
        <v>—</v>
      </c>
      <c r="I3690" t="str">
        <f t="shared" si="288"/>
        <v>Below thresholds</v>
      </c>
      <c r="J3690" t="str">
        <f t="shared" si="289"/>
        <v/>
      </c>
    </row>
    <row r="3691" spans="1:10" x14ac:dyDescent="0.2">
      <c r="A3691">
        <v>227284485245</v>
      </c>
      <c r="B3691" t="s">
        <v>7920</v>
      </c>
      <c r="C3691" t="s">
        <v>7928</v>
      </c>
      <c r="D3691">
        <v>5.39</v>
      </c>
      <c r="F3691" t="str">
        <f t="shared" si="285"/>
        <v>No</v>
      </c>
      <c r="G3691" t="str">
        <f t="shared" si="286"/>
        <v/>
      </c>
      <c r="H3691" t="str">
        <f t="shared" si="287"/>
        <v>—</v>
      </c>
      <c r="I3691" t="str">
        <f t="shared" si="288"/>
        <v>Below thresholds</v>
      </c>
      <c r="J3691" t="str">
        <f t="shared" si="289"/>
        <v/>
      </c>
    </row>
    <row r="3692" spans="1:10" x14ac:dyDescent="0.2">
      <c r="A3692">
        <v>227284485430</v>
      </c>
      <c r="B3692" t="s">
        <v>7929</v>
      </c>
      <c r="C3692" t="s">
        <v>7930</v>
      </c>
      <c r="D3692">
        <v>1.99</v>
      </c>
      <c r="F3692" t="str">
        <f t="shared" si="285"/>
        <v>No</v>
      </c>
      <c r="G3692" t="str">
        <f t="shared" si="286"/>
        <v/>
      </c>
      <c r="H3692" t="str">
        <f t="shared" si="287"/>
        <v>—</v>
      </c>
      <c r="I3692" t="str">
        <f t="shared" si="288"/>
        <v>Below thresholds</v>
      </c>
      <c r="J3692" t="str">
        <f t="shared" si="289"/>
        <v/>
      </c>
    </row>
    <row r="3693" spans="1:10" x14ac:dyDescent="0.2">
      <c r="A3693">
        <v>227284485441</v>
      </c>
      <c r="B3693" t="s">
        <v>7931</v>
      </c>
      <c r="C3693" t="s">
        <v>7932</v>
      </c>
      <c r="D3693">
        <v>12.49</v>
      </c>
      <c r="F3693" t="str">
        <f t="shared" si="285"/>
        <v>No</v>
      </c>
      <c r="G3693" t="str">
        <f t="shared" si="286"/>
        <v/>
      </c>
      <c r="H3693" t="str">
        <f t="shared" si="287"/>
        <v>—</v>
      </c>
      <c r="I3693" t="str">
        <f t="shared" si="288"/>
        <v>Below thresholds</v>
      </c>
      <c r="J3693" t="str">
        <f t="shared" si="289"/>
        <v/>
      </c>
    </row>
    <row r="3694" spans="1:10" x14ac:dyDescent="0.2">
      <c r="A3694">
        <v>227284485471</v>
      </c>
      <c r="B3694" t="s">
        <v>7933</v>
      </c>
      <c r="C3694" t="s">
        <v>7934</v>
      </c>
      <c r="D3694">
        <v>3.99</v>
      </c>
      <c r="F3694" t="str">
        <f t="shared" si="285"/>
        <v>No</v>
      </c>
      <c r="G3694" t="str">
        <f t="shared" si="286"/>
        <v/>
      </c>
      <c r="H3694" t="str">
        <f t="shared" si="287"/>
        <v>—</v>
      </c>
      <c r="I3694" t="str">
        <f t="shared" si="288"/>
        <v>Below thresholds</v>
      </c>
      <c r="J3694" t="str">
        <f t="shared" si="289"/>
        <v/>
      </c>
    </row>
    <row r="3695" spans="1:10" x14ac:dyDescent="0.2">
      <c r="A3695">
        <v>227284485751</v>
      </c>
      <c r="B3695" t="s">
        <v>7935</v>
      </c>
      <c r="C3695" t="s">
        <v>7936</v>
      </c>
      <c r="D3695">
        <v>1.99</v>
      </c>
      <c r="F3695" t="str">
        <f t="shared" si="285"/>
        <v>No</v>
      </c>
      <c r="G3695" t="str">
        <f t="shared" si="286"/>
        <v/>
      </c>
      <c r="H3695" t="str">
        <f t="shared" si="287"/>
        <v>—</v>
      </c>
      <c r="I3695" t="str">
        <f t="shared" si="288"/>
        <v>Below thresholds</v>
      </c>
      <c r="J3695" t="str">
        <f t="shared" si="289"/>
        <v/>
      </c>
    </row>
    <row r="3696" spans="1:10" x14ac:dyDescent="0.2">
      <c r="A3696">
        <v>227284485781</v>
      </c>
      <c r="B3696" t="s">
        <v>7937</v>
      </c>
      <c r="C3696" t="s">
        <v>7938</v>
      </c>
      <c r="D3696">
        <v>1.99</v>
      </c>
      <c r="F3696" t="str">
        <f t="shared" si="285"/>
        <v>No</v>
      </c>
      <c r="G3696" t="str">
        <f t="shared" si="286"/>
        <v/>
      </c>
      <c r="H3696" t="str">
        <f t="shared" si="287"/>
        <v>—</v>
      </c>
      <c r="I3696" t="str">
        <f t="shared" si="288"/>
        <v>Below thresholds</v>
      </c>
      <c r="J3696" t="str">
        <f t="shared" si="289"/>
        <v/>
      </c>
    </row>
    <row r="3697" spans="1:10" x14ac:dyDescent="0.2">
      <c r="A3697">
        <v>227284485805</v>
      </c>
      <c r="B3697" t="s">
        <v>7939</v>
      </c>
      <c r="C3697" t="s">
        <v>7940</v>
      </c>
      <c r="D3697">
        <v>1.99</v>
      </c>
      <c r="F3697" t="str">
        <f t="shared" si="285"/>
        <v>No</v>
      </c>
      <c r="G3697" t="str">
        <f t="shared" si="286"/>
        <v/>
      </c>
      <c r="H3697" t="str">
        <f t="shared" si="287"/>
        <v>—</v>
      </c>
      <c r="I3697" t="str">
        <f t="shared" si="288"/>
        <v>Below thresholds</v>
      </c>
      <c r="J3697" t="str">
        <f t="shared" si="289"/>
        <v/>
      </c>
    </row>
    <row r="3698" spans="1:10" x14ac:dyDescent="0.2">
      <c r="A3698">
        <v>227284485861</v>
      </c>
      <c r="B3698" t="s">
        <v>7941</v>
      </c>
      <c r="C3698" t="s">
        <v>7942</v>
      </c>
      <c r="D3698">
        <v>6.99</v>
      </c>
      <c r="F3698" t="str">
        <f t="shared" si="285"/>
        <v>No</v>
      </c>
      <c r="G3698" t="str">
        <f t="shared" si="286"/>
        <v/>
      </c>
      <c r="H3698" t="str">
        <f t="shared" si="287"/>
        <v>—</v>
      </c>
      <c r="I3698" t="str">
        <f t="shared" si="288"/>
        <v>Below thresholds</v>
      </c>
      <c r="J3698" t="str">
        <f t="shared" si="289"/>
        <v/>
      </c>
    </row>
    <row r="3699" spans="1:10" x14ac:dyDescent="0.2">
      <c r="A3699">
        <v>227284485894</v>
      </c>
      <c r="B3699" t="s">
        <v>7943</v>
      </c>
      <c r="C3699" t="s">
        <v>7944</v>
      </c>
      <c r="D3699">
        <v>7.99</v>
      </c>
      <c r="F3699" t="str">
        <f t="shared" si="285"/>
        <v>No</v>
      </c>
      <c r="G3699" t="str">
        <f t="shared" si="286"/>
        <v/>
      </c>
      <c r="H3699" t="str">
        <f t="shared" si="287"/>
        <v>—</v>
      </c>
      <c r="I3699" t="str">
        <f t="shared" si="288"/>
        <v>Below thresholds</v>
      </c>
      <c r="J3699" t="str">
        <f t="shared" si="289"/>
        <v/>
      </c>
    </row>
    <row r="3700" spans="1:10" x14ac:dyDescent="0.2">
      <c r="A3700">
        <v>227284485927</v>
      </c>
      <c r="B3700" t="s">
        <v>7945</v>
      </c>
      <c r="C3700" t="s">
        <v>7946</v>
      </c>
      <c r="D3700">
        <v>3.2</v>
      </c>
      <c r="F3700" t="str">
        <f t="shared" si="285"/>
        <v>No</v>
      </c>
      <c r="G3700" t="str">
        <f t="shared" si="286"/>
        <v/>
      </c>
      <c r="H3700" t="str">
        <f t="shared" si="287"/>
        <v>—</v>
      </c>
      <c r="I3700" t="str">
        <f t="shared" si="288"/>
        <v>Below thresholds</v>
      </c>
      <c r="J3700" t="str">
        <f t="shared" si="289"/>
        <v/>
      </c>
    </row>
    <row r="3701" spans="1:10" x14ac:dyDescent="0.2">
      <c r="A3701">
        <v>227284485994</v>
      </c>
      <c r="B3701" t="s">
        <v>7947</v>
      </c>
      <c r="C3701" t="s">
        <v>7948</v>
      </c>
      <c r="D3701">
        <v>1.99</v>
      </c>
      <c r="F3701" t="str">
        <f t="shared" si="285"/>
        <v>No</v>
      </c>
      <c r="G3701" t="str">
        <f t="shared" si="286"/>
        <v/>
      </c>
      <c r="H3701" t="str">
        <f t="shared" si="287"/>
        <v>—</v>
      </c>
      <c r="I3701" t="str">
        <f t="shared" si="288"/>
        <v>Below thresholds</v>
      </c>
      <c r="J3701" t="str">
        <f t="shared" si="289"/>
        <v/>
      </c>
    </row>
    <row r="3702" spans="1:10" x14ac:dyDescent="0.2">
      <c r="A3702">
        <v>227284486014</v>
      </c>
      <c r="B3702" t="s">
        <v>7949</v>
      </c>
      <c r="C3702" t="s">
        <v>7950</v>
      </c>
      <c r="D3702">
        <v>4.29</v>
      </c>
      <c r="F3702" t="str">
        <f t="shared" si="285"/>
        <v>No</v>
      </c>
      <c r="G3702" t="str">
        <f t="shared" si="286"/>
        <v/>
      </c>
      <c r="H3702" t="str">
        <f t="shared" si="287"/>
        <v>—</v>
      </c>
      <c r="I3702" t="str">
        <f t="shared" si="288"/>
        <v>Below thresholds</v>
      </c>
      <c r="J3702" t="str">
        <f t="shared" si="289"/>
        <v/>
      </c>
    </row>
    <row r="3703" spans="1:10" x14ac:dyDescent="0.2">
      <c r="A3703">
        <v>227284486088</v>
      </c>
      <c r="B3703" t="s">
        <v>7951</v>
      </c>
      <c r="C3703" t="s">
        <v>7952</v>
      </c>
      <c r="D3703">
        <v>1.99</v>
      </c>
      <c r="F3703" t="str">
        <f t="shared" si="285"/>
        <v>No</v>
      </c>
      <c r="G3703" t="str">
        <f t="shared" si="286"/>
        <v/>
      </c>
      <c r="H3703" t="str">
        <f t="shared" si="287"/>
        <v>—</v>
      </c>
      <c r="I3703" t="str">
        <f t="shared" si="288"/>
        <v>Below thresholds</v>
      </c>
      <c r="J3703" t="str">
        <f t="shared" si="289"/>
        <v/>
      </c>
    </row>
    <row r="3704" spans="1:10" x14ac:dyDescent="0.2">
      <c r="A3704">
        <v>227284486126</v>
      </c>
      <c r="B3704" t="s">
        <v>7953</v>
      </c>
      <c r="C3704" t="s">
        <v>7954</v>
      </c>
      <c r="D3704">
        <v>1.99</v>
      </c>
      <c r="F3704" t="str">
        <f t="shared" si="285"/>
        <v>No</v>
      </c>
      <c r="G3704" t="str">
        <f t="shared" si="286"/>
        <v/>
      </c>
      <c r="H3704" t="str">
        <f t="shared" si="287"/>
        <v>—</v>
      </c>
      <c r="I3704" t="str">
        <f t="shared" si="288"/>
        <v>Below thresholds</v>
      </c>
      <c r="J3704" t="str">
        <f t="shared" si="289"/>
        <v/>
      </c>
    </row>
    <row r="3705" spans="1:10" x14ac:dyDescent="0.2">
      <c r="A3705">
        <v>227284486226</v>
      </c>
      <c r="B3705" t="s">
        <v>7955</v>
      </c>
      <c r="C3705" t="s">
        <v>7956</v>
      </c>
      <c r="D3705">
        <v>1.99</v>
      </c>
      <c r="F3705" t="str">
        <f t="shared" si="285"/>
        <v>No</v>
      </c>
      <c r="G3705" t="str">
        <f t="shared" si="286"/>
        <v/>
      </c>
      <c r="H3705" t="str">
        <f t="shared" si="287"/>
        <v>—</v>
      </c>
      <c r="I3705" t="str">
        <f t="shared" si="288"/>
        <v>Below thresholds</v>
      </c>
      <c r="J3705" t="str">
        <f t="shared" si="289"/>
        <v/>
      </c>
    </row>
    <row r="3706" spans="1:10" x14ac:dyDescent="0.2">
      <c r="A3706">
        <v>227284486286</v>
      </c>
      <c r="B3706" t="s">
        <v>7957</v>
      </c>
      <c r="C3706" t="s">
        <v>7958</v>
      </c>
      <c r="D3706">
        <v>1.99</v>
      </c>
      <c r="F3706" t="str">
        <f t="shared" si="285"/>
        <v>No</v>
      </c>
      <c r="G3706" t="str">
        <f t="shared" si="286"/>
        <v/>
      </c>
      <c r="H3706" t="str">
        <f t="shared" si="287"/>
        <v>—</v>
      </c>
      <c r="I3706" t="str">
        <f t="shared" si="288"/>
        <v>Below thresholds</v>
      </c>
      <c r="J3706" t="str">
        <f t="shared" si="289"/>
        <v/>
      </c>
    </row>
    <row r="3707" spans="1:10" x14ac:dyDescent="0.2">
      <c r="A3707">
        <v>227284486366</v>
      </c>
      <c r="B3707" t="s">
        <v>7959</v>
      </c>
      <c r="C3707" t="s">
        <v>7960</v>
      </c>
      <c r="D3707">
        <v>1.99</v>
      </c>
      <c r="F3707" t="str">
        <f t="shared" si="285"/>
        <v>No</v>
      </c>
      <c r="G3707" t="str">
        <f t="shared" si="286"/>
        <v/>
      </c>
      <c r="H3707" t="str">
        <f t="shared" si="287"/>
        <v>—</v>
      </c>
      <c r="I3707" t="str">
        <f t="shared" si="288"/>
        <v>Below thresholds</v>
      </c>
      <c r="J3707" t="str">
        <f t="shared" si="289"/>
        <v/>
      </c>
    </row>
    <row r="3708" spans="1:10" x14ac:dyDescent="0.2">
      <c r="A3708">
        <v>227284486406</v>
      </c>
      <c r="B3708" t="s">
        <v>7961</v>
      </c>
      <c r="C3708" t="s">
        <v>7962</v>
      </c>
      <c r="D3708">
        <v>1.99</v>
      </c>
      <c r="F3708" t="str">
        <f t="shared" si="285"/>
        <v>No</v>
      </c>
      <c r="G3708" t="str">
        <f t="shared" si="286"/>
        <v/>
      </c>
      <c r="H3708" t="str">
        <f t="shared" si="287"/>
        <v>—</v>
      </c>
      <c r="I3708" t="str">
        <f t="shared" si="288"/>
        <v>Below thresholds</v>
      </c>
      <c r="J3708" t="str">
        <f t="shared" si="289"/>
        <v/>
      </c>
    </row>
    <row r="3709" spans="1:10" x14ac:dyDescent="0.2">
      <c r="A3709">
        <v>227284486414</v>
      </c>
      <c r="B3709" t="s">
        <v>7963</v>
      </c>
      <c r="C3709" t="s">
        <v>7964</v>
      </c>
      <c r="D3709">
        <v>1.99</v>
      </c>
      <c r="F3709" t="str">
        <f t="shared" si="285"/>
        <v>No</v>
      </c>
      <c r="G3709" t="str">
        <f t="shared" si="286"/>
        <v/>
      </c>
      <c r="H3709" t="str">
        <f t="shared" si="287"/>
        <v>—</v>
      </c>
      <c r="I3709" t="str">
        <f t="shared" si="288"/>
        <v>Below thresholds</v>
      </c>
      <c r="J3709" t="str">
        <f t="shared" si="289"/>
        <v/>
      </c>
    </row>
    <row r="3710" spans="1:10" x14ac:dyDescent="0.2">
      <c r="A3710">
        <v>227284486434</v>
      </c>
      <c r="B3710" t="s">
        <v>7965</v>
      </c>
      <c r="C3710" t="s">
        <v>7966</v>
      </c>
      <c r="D3710">
        <v>1.99</v>
      </c>
      <c r="F3710" t="str">
        <f t="shared" si="285"/>
        <v>No</v>
      </c>
      <c r="G3710" t="str">
        <f t="shared" si="286"/>
        <v/>
      </c>
      <c r="H3710" t="str">
        <f t="shared" si="287"/>
        <v>—</v>
      </c>
      <c r="I3710" t="str">
        <f t="shared" si="288"/>
        <v>Below thresholds</v>
      </c>
      <c r="J3710" t="str">
        <f t="shared" si="289"/>
        <v/>
      </c>
    </row>
    <row r="3711" spans="1:10" x14ac:dyDescent="0.2">
      <c r="A3711">
        <v>227284486454</v>
      </c>
      <c r="B3711" t="s">
        <v>7967</v>
      </c>
      <c r="C3711" t="s">
        <v>7968</v>
      </c>
      <c r="D3711">
        <v>1.99</v>
      </c>
      <c r="F3711" t="str">
        <f t="shared" si="285"/>
        <v>No</v>
      </c>
      <c r="G3711" t="str">
        <f t="shared" si="286"/>
        <v/>
      </c>
      <c r="H3711" t="str">
        <f t="shared" si="287"/>
        <v>—</v>
      </c>
      <c r="I3711" t="str">
        <f t="shared" si="288"/>
        <v>Below thresholds</v>
      </c>
      <c r="J3711" t="str">
        <f t="shared" si="289"/>
        <v/>
      </c>
    </row>
    <row r="3712" spans="1:10" x14ac:dyDescent="0.2">
      <c r="A3712">
        <v>227284486604</v>
      </c>
      <c r="B3712" t="s">
        <v>7969</v>
      </c>
      <c r="C3712" t="s">
        <v>7970</v>
      </c>
      <c r="D3712">
        <v>2.4900000000000002</v>
      </c>
      <c r="F3712" t="str">
        <f t="shared" si="285"/>
        <v>No</v>
      </c>
      <c r="G3712" t="str">
        <f t="shared" si="286"/>
        <v/>
      </c>
      <c r="H3712" t="str">
        <f t="shared" si="287"/>
        <v>—</v>
      </c>
      <c r="I3712" t="str">
        <f t="shared" si="288"/>
        <v>Below thresholds</v>
      </c>
      <c r="J3712" t="str">
        <f t="shared" si="289"/>
        <v/>
      </c>
    </row>
    <row r="3713" spans="1:10" x14ac:dyDescent="0.2">
      <c r="A3713">
        <v>227284486640</v>
      </c>
      <c r="B3713" t="s">
        <v>7296</v>
      </c>
      <c r="C3713" t="s">
        <v>7971</v>
      </c>
      <c r="D3713">
        <v>4.29</v>
      </c>
      <c r="F3713" t="str">
        <f t="shared" si="285"/>
        <v>No</v>
      </c>
      <c r="G3713" t="str">
        <f t="shared" si="286"/>
        <v/>
      </c>
      <c r="H3713" t="str">
        <f t="shared" si="287"/>
        <v>—</v>
      </c>
      <c r="I3713" t="str">
        <f t="shared" si="288"/>
        <v>Below thresholds</v>
      </c>
      <c r="J3713" t="str">
        <f t="shared" si="289"/>
        <v/>
      </c>
    </row>
    <row r="3714" spans="1:10" x14ac:dyDescent="0.2">
      <c r="A3714">
        <v>227284486761</v>
      </c>
      <c r="B3714" t="s">
        <v>7972</v>
      </c>
      <c r="C3714" t="s">
        <v>7973</v>
      </c>
      <c r="D3714">
        <v>14.99</v>
      </c>
      <c r="F3714" t="str">
        <f t="shared" si="285"/>
        <v>No</v>
      </c>
      <c r="G3714" t="str">
        <f t="shared" si="286"/>
        <v/>
      </c>
      <c r="H3714" t="str">
        <f t="shared" si="287"/>
        <v>—</v>
      </c>
      <c r="I3714" t="str">
        <f t="shared" si="288"/>
        <v>Below thresholds</v>
      </c>
      <c r="J3714" t="str">
        <f t="shared" si="289"/>
        <v/>
      </c>
    </row>
    <row r="3715" spans="1:10" x14ac:dyDescent="0.2">
      <c r="A3715">
        <v>227284486767</v>
      </c>
      <c r="B3715" t="s">
        <v>7974</v>
      </c>
      <c r="C3715" t="s">
        <v>7975</v>
      </c>
      <c r="D3715">
        <v>5.99</v>
      </c>
      <c r="F3715" t="str">
        <f t="shared" si="285"/>
        <v>No</v>
      </c>
      <c r="G3715" t="str">
        <f t="shared" si="286"/>
        <v/>
      </c>
      <c r="H3715" t="str">
        <f t="shared" si="287"/>
        <v>—</v>
      </c>
      <c r="I3715" t="str">
        <f t="shared" si="288"/>
        <v>Below thresholds</v>
      </c>
      <c r="J3715" t="str">
        <f t="shared" si="289"/>
        <v/>
      </c>
    </row>
    <row r="3716" spans="1:10" x14ac:dyDescent="0.2">
      <c r="A3716">
        <v>227284486782</v>
      </c>
      <c r="B3716" t="s">
        <v>7976</v>
      </c>
      <c r="C3716" t="s">
        <v>7977</v>
      </c>
      <c r="D3716">
        <v>2.89</v>
      </c>
      <c r="F3716" t="str">
        <f t="shared" si="285"/>
        <v>No</v>
      </c>
      <c r="G3716" t="str">
        <f t="shared" si="286"/>
        <v/>
      </c>
      <c r="H3716" t="str">
        <f t="shared" si="287"/>
        <v>—</v>
      </c>
      <c r="I3716" t="str">
        <f t="shared" si="288"/>
        <v>Below thresholds</v>
      </c>
      <c r="J3716" t="str">
        <f t="shared" si="289"/>
        <v/>
      </c>
    </row>
    <row r="3717" spans="1:10" x14ac:dyDescent="0.2">
      <c r="A3717">
        <v>227284486794</v>
      </c>
      <c r="B3717" t="s">
        <v>7978</v>
      </c>
      <c r="C3717" t="s">
        <v>7979</v>
      </c>
      <c r="D3717">
        <v>8.59</v>
      </c>
      <c r="F3717" t="str">
        <f t="shared" ref="F3717:F3780" si="290">IF($B3717="","",IF(ISNUMBER(SEARCH("PSA",$B3717)),"Yes","No"))</f>
        <v>No</v>
      </c>
      <c r="G3717" t="str">
        <f t="shared" ref="G3717:G3780" si="291">IF($B3717="","",IF(ISNUMBER(SEARCH("PSA 10",$B3717)),10,IF(ISNUMBER(SEARCH("PSA 9.5",$B3717)),9.5,IF(ISNUMBER(SEARCH("PSA 9",$B3717)),9,IF(ISNUMBER(SEARCH("PSA 8",$B3717)),8,IF(ISNUMBER(SEARCH("PSA",$B3717)),"&lt;9",""))))))</f>
        <v/>
      </c>
      <c r="H3717" t="str">
        <f t="shared" ref="H3717:H3780" si="292">IF($B3717="","",IF($D3717&gt;=100,"TIER 2",IF(OR(ISNUMBER(SEARCH("PSA 10",$B3717)),ISNUMBER(SEARCH("PSA 9.5",$B3717)),ISNUMBER(SEARCH("PSA 9",$B3717))),"TIER 3",IF(AND($D3717&gt;20,N($E3717)&gt;=15),"TIER 1","—"))))</f>
        <v>—</v>
      </c>
      <c r="I3717" t="str">
        <f t="shared" ref="I3717:I3780" si="293">IF($B3717="","",IF($D3717&gt;=100,"Premium $100+ (auto)",IF(OR(ISNUMBER(SEARCH("PSA 10",$B3717)),ISNUMBER(SEARCH("PSA 9.5",$B3717)),ISNUMBER(SEARCH("PSA 9",$B3717))),"Graded PSA 9+ (auto)",IF(AND($D3717&gt;20,N($E3717)&gt;=15),"Hot: $20+ &amp; "&amp;$E3717&amp;"/day",IF($D3717&gt;20,"$20+ — needs velocity check","Below thresholds")))))</f>
        <v>Below thresholds</v>
      </c>
      <c r="J3717" t="str">
        <f t="shared" ref="J3717:J3780" si="294">IF($B3717="","",IF(AND($D3717&gt;20,$D3717&lt;100,NOT(OR(ISNUMBER(SEARCH("PSA 10",$B3717)),ISNUMBER(SEARCH("PSA 9.5",$B3717)),ISNUMBER(SEARCH("PSA 9",$B3717)))),$E3717=""),"YES — pull CardHedger",""))</f>
        <v/>
      </c>
    </row>
    <row r="3718" spans="1:10" x14ac:dyDescent="0.2">
      <c r="A3718">
        <v>227284486795</v>
      </c>
      <c r="B3718" t="s">
        <v>7980</v>
      </c>
      <c r="C3718" t="s">
        <v>7981</v>
      </c>
      <c r="D3718">
        <v>1.99</v>
      </c>
      <c r="F3718" t="str">
        <f t="shared" si="290"/>
        <v>No</v>
      </c>
      <c r="G3718" t="str">
        <f t="shared" si="291"/>
        <v/>
      </c>
      <c r="H3718" t="str">
        <f t="shared" si="292"/>
        <v>—</v>
      </c>
      <c r="I3718" t="str">
        <f t="shared" si="293"/>
        <v>Below thresholds</v>
      </c>
      <c r="J3718" t="str">
        <f t="shared" si="294"/>
        <v/>
      </c>
    </row>
    <row r="3719" spans="1:10" x14ac:dyDescent="0.2">
      <c r="A3719">
        <v>227284486902</v>
      </c>
      <c r="B3719" t="s">
        <v>7982</v>
      </c>
      <c r="C3719" t="s">
        <v>7983</v>
      </c>
      <c r="D3719">
        <v>1.99</v>
      </c>
      <c r="F3719" t="str">
        <f t="shared" si="290"/>
        <v>No</v>
      </c>
      <c r="G3719" t="str">
        <f t="shared" si="291"/>
        <v/>
      </c>
      <c r="H3719" t="str">
        <f t="shared" si="292"/>
        <v>—</v>
      </c>
      <c r="I3719" t="str">
        <f t="shared" si="293"/>
        <v>Below thresholds</v>
      </c>
      <c r="J3719" t="str">
        <f t="shared" si="294"/>
        <v/>
      </c>
    </row>
    <row r="3720" spans="1:10" x14ac:dyDescent="0.2">
      <c r="A3720">
        <v>227284486954</v>
      </c>
      <c r="B3720" t="s">
        <v>7984</v>
      </c>
      <c r="C3720" t="s">
        <v>7985</v>
      </c>
      <c r="D3720">
        <v>2.69</v>
      </c>
      <c r="F3720" t="str">
        <f t="shared" si="290"/>
        <v>No</v>
      </c>
      <c r="G3720" t="str">
        <f t="shared" si="291"/>
        <v/>
      </c>
      <c r="H3720" t="str">
        <f t="shared" si="292"/>
        <v>—</v>
      </c>
      <c r="I3720" t="str">
        <f t="shared" si="293"/>
        <v>Below thresholds</v>
      </c>
      <c r="J3720" t="str">
        <f t="shared" si="294"/>
        <v/>
      </c>
    </row>
    <row r="3721" spans="1:10" x14ac:dyDescent="0.2">
      <c r="A3721">
        <v>227284486958</v>
      </c>
      <c r="B3721" t="s">
        <v>7986</v>
      </c>
      <c r="C3721" t="s">
        <v>7987</v>
      </c>
      <c r="D3721">
        <v>1.99</v>
      </c>
      <c r="F3721" t="str">
        <f t="shared" si="290"/>
        <v>No</v>
      </c>
      <c r="G3721" t="str">
        <f t="shared" si="291"/>
        <v/>
      </c>
      <c r="H3721" t="str">
        <f t="shared" si="292"/>
        <v>—</v>
      </c>
      <c r="I3721" t="str">
        <f t="shared" si="293"/>
        <v>Below thresholds</v>
      </c>
      <c r="J3721" t="str">
        <f t="shared" si="294"/>
        <v/>
      </c>
    </row>
    <row r="3722" spans="1:10" x14ac:dyDescent="0.2">
      <c r="A3722">
        <v>227284486972</v>
      </c>
      <c r="B3722" t="s">
        <v>7988</v>
      </c>
      <c r="C3722" t="s">
        <v>7989</v>
      </c>
      <c r="D3722">
        <v>1.99</v>
      </c>
      <c r="F3722" t="str">
        <f t="shared" si="290"/>
        <v>No</v>
      </c>
      <c r="G3722" t="str">
        <f t="shared" si="291"/>
        <v/>
      </c>
      <c r="H3722" t="str">
        <f t="shared" si="292"/>
        <v>—</v>
      </c>
      <c r="I3722" t="str">
        <f t="shared" si="293"/>
        <v>Below thresholds</v>
      </c>
      <c r="J3722" t="str">
        <f t="shared" si="294"/>
        <v/>
      </c>
    </row>
    <row r="3723" spans="1:10" x14ac:dyDescent="0.2">
      <c r="A3723">
        <v>227284486986</v>
      </c>
      <c r="B3723" t="s">
        <v>7990</v>
      </c>
      <c r="C3723" t="s">
        <v>7991</v>
      </c>
      <c r="D3723">
        <v>1.99</v>
      </c>
      <c r="F3723" t="str">
        <f t="shared" si="290"/>
        <v>No</v>
      </c>
      <c r="G3723" t="str">
        <f t="shared" si="291"/>
        <v/>
      </c>
      <c r="H3723" t="str">
        <f t="shared" si="292"/>
        <v>—</v>
      </c>
      <c r="I3723" t="str">
        <f t="shared" si="293"/>
        <v>Below thresholds</v>
      </c>
      <c r="J3723" t="str">
        <f t="shared" si="294"/>
        <v/>
      </c>
    </row>
    <row r="3724" spans="1:10" x14ac:dyDescent="0.2">
      <c r="A3724">
        <v>227284488204</v>
      </c>
      <c r="B3724" t="s">
        <v>7992</v>
      </c>
      <c r="C3724" t="s">
        <v>7993</v>
      </c>
      <c r="D3724">
        <v>1.99</v>
      </c>
      <c r="F3724" t="str">
        <f t="shared" si="290"/>
        <v>No</v>
      </c>
      <c r="G3724" t="str">
        <f t="shared" si="291"/>
        <v/>
      </c>
      <c r="H3724" t="str">
        <f t="shared" si="292"/>
        <v>—</v>
      </c>
      <c r="I3724" t="str">
        <f t="shared" si="293"/>
        <v>Below thresholds</v>
      </c>
      <c r="J3724" t="str">
        <f t="shared" si="294"/>
        <v/>
      </c>
    </row>
    <row r="3725" spans="1:10" x14ac:dyDescent="0.2">
      <c r="A3725">
        <v>227284488262</v>
      </c>
      <c r="B3725" t="s">
        <v>7994</v>
      </c>
      <c r="C3725" t="s">
        <v>7995</v>
      </c>
      <c r="D3725">
        <v>3.49</v>
      </c>
      <c r="F3725" t="str">
        <f t="shared" si="290"/>
        <v>No</v>
      </c>
      <c r="G3725" t="str">
        <f t="shared" si="291"/>
        <v/>
      </c>
      <c r="H3725" t="str">
        <f t="shared" si="292"/>
        <v>—</v>
      </c>
      <c r="I3725" t="str">
        <f t="shared" si="293"/>
        <v>Below thresholds</v>
      </c>
      <c r="J3725" t="str">
        <f t="shared" si="294"/>
        <v/>
      </c>
    </row>
    <row r="3726" spans="1:10" x14ac:dyDescent="0.2">
      <c r="A3726">
        <v>227284668789</v>
      </c>
      <c r="B3726" t="s">
        <v>7996</v>
      </c>
      <c r="C3726" t="s">
        <v>7997</v>
      </c>
      <c r="D3726">
        <v>1.99</v>
      </c>
      <c r="F3726" t="str">
        <f t="shared" si="290"/>
        <v>No</v>
      </c>
      <c r="G3726" t="str">
        <f t="shared" si="291"/>
        <v/>
      </c>
      <c r="H3726" t="str">
        <f t="shared" si="292"/>
        <v>—</v>
      </c>
      <c r="I3726" t="str">
        <f t="shared" si="293"/>
        <v>Below thresholds</v>
      </c>
      <c r="J3726" t="str">
        <f t="shared" si="294"/>
        <v/>
      </c>
    </row>
    <row r="3727" spans="1:10" x14ac:dyDescent="0.2">
      <c r="A3727">
        <v>227284668841</v>
      </c>
      <c r="B3727" t="s">
        <v>7998</v>
      </c>
      <c r="C3727" t="s">
        <v>7999</v>
      </c>
      <c r="D3727">
        <v>8.99</v>
      </c>
      <c r="F3727" t="str">
        <f t="shared" si="290"/>
        <v>No</v>
      </c>
      <c r="G3727" t="str">
        <f t="shared" si="291"/>
        <v/>
      </c>
      <c r="H3727" t="str">
        <f t="shared" si="292"/>
        <v>—</v>
      </c>
      <c r="I3727" t="str">
        <f t="shared" si="293"/>
        <v>Below thresholds</v>
      </c>
      <c r="J3727" t="str">
        <f t="shared" si="294"/>
        <v/>
      </c>
    </row>
    <row r="3728" spans="1:10" x14ac:dyDescent="0.2">
      <c r="A3728">
        <v>227284668863</v>
      </c>
      <c r="B3728" t="s">
        <v>8000</v>
      </c>
      <c r="C3728" t="s">
        <v>8001</v>
      </c>
      <c r="D3728">
        <v>1.99</v>
      </c>
      <c r="F3728" t="str">
        <f t="shared" si="290"/>
        <v>No</v>
      </c>
      <c r="G3728" t="str">
        <f t="shared" si="291"/>
        <v/>
      </c>
      <c r="H3728" t="str">
        <f t="shared" si="292"/>
        <v>—</v>
      </c>
      <c r="I3728" t="str">
        <f t="shared" si="293"/>
        <v>Below thresholds</v>
      </c>
      <c r="J3728" t="str">
        <f t="shared" si="294"/>
        <v/>
      </c>
    </row>
    <row r="3729" spans="1:10" x14ac:dyDescent="0.2">
      <c r="A3729">
        <v>227284668942</v>
      </c>
      <c r="B3729" t="s">
        <v>8002</v>
      </c>
      <c r="C3729" t="s">
        <v>8003</v>
      </c>
      <c r="D3729">
        <v>1.99</v>
      </c>
      <c r="F3729" t="str">
        <f t="shared" si="290"/>
        <v>No</v>
      </c>
      <c r="G3729" t="str">
        <f t="shared" si="291"/>
        <v/>
      </c>
      <c r="H3729" t="str">
        <f t="shared" si="292"/>
        <v>—</v>
      </c>
      <c r="I3729" t="str">
        <f t="shared" si="293"/>
        <v>Below thresholds</v>
      </c>
      <c r="J3729" t="str">
        <f t="shared" si="294"/>
        <v/>
      </c>
    </row>
    <row r="3730" spans="1:10" x14ac:dyDescent="0.2">
      <c r="A3730">
        <v>227284668944</v>
      </c>
      <c r="B3730" t="s">
        <v>8004</v>
      </c>
      <c r="C3730" t="s">
        <v>8005</v>
      </c>
      <c r="D3730">
        <v>1.99</v>
      </c>
      <c r="F3730" t="str">
        <f t="shared" si="290"/>
        <v>No</v>
      </c>
      <c r="G3730" t="str">
        <f t="shared" si="291"/>
        <v/>
      </c>
      <c r="H3730" t="str">
        <f t="shared" si="292"/>
        <v>—</v>
      </c>
      <c r="I3730" t="str">
        <f t="shared" si="293"/>
        <v>Below thresholds</v>
      </c>
      <c r="J3730" t="str">
        <f t="shared" si="294"/>
        <v/>
      </c>
    </row>
    <row r="3731" spans="1:10" x14ac:dyDescent="0.2">
      <c r="A3731">
        <v>227284669010</v>
      </c>
      <c r="B3731" t="s">
        <v>8006</v>
      </c>
      <c r="C3731" t="s">
        <v>8007</v>
      </c>
      <c r="D3731">
        <v>2.4900000000000002</v>
      </c>
      <c r="F3731" t="str">
        <f t="shared" si="290"/>
        <v>No</v>
      </c>
      <c r="G3731" t="str">
        <f t="shared" si="291"/>
        <v/>
      </c>
      <c r="H3731" t="str">
        <f t="shared" si="292"/>
        <v>—</v>
      </c>
      <c r="I3731" t="str">
        <f t="shared" si="293"/>
        <v>Below thresholds</v>
      </c>
      <c r="J3731" t="str">
        <f t="shared" si="294"/>
        <v/>
      </c>
    </row>
    <row r="3732" spans="1:10" x14ac:dyDescent="0.2">
      <c r="A3732">
        <v>227284669022</v>
      </c>
      <c r="B3732" t="s">
        <v>8008</v>
      </c>
      <c r="C3732" t="s">
        <v>8009</v>
      </c>
      <c r="D3732">
        <v>2.19</v>
      </c>
      <c r="F3732" t="str">
        <f t="shared" si="290"/>
        <v>No</v>
      </c>
      <c r="G3732" t="str">
        <f t="shared" si="291"/>
        <v/>
      </c>
      <c r="H3732" t="str">
        <f t="shared" si="292"/>
        <v>—</v>
      </c>
      <c r="I3732" t="str">
        <f t="shared" si="293"/>
        <v>Below thresholds</v>
      </c>
      <c r="J3732" t="str">
        <f t="shared" si="294"/>
        <v/>
      </c>
    </row>
    <row r="3733" spans="1:10" x14ac:dyDescent="0.2">
      <c r="A3733">
        <v>227284669065</v>
      </c>
      <c r="B3733" t="s">
        <v>8010</v>
      </c>
      <c r="C3733" t="s">
        <v>8011</v>
      </c>
      <c r="D3733">
        <v>10</v>
      </c>
      <c r="F3733" t="str">
        <f t="shared" si="290"/>
        <v>No</v>
      </c>
      <c r="G3733" t="str">
        <f t="shared" si="291"/>
        <v/>
      </c>
      <c r="H3733" t="str">
        <f t="shared" si="292"/>
        <v>—</v>
      </c>
      <c r="I3733" t="str">
        <f t="shared" si="293"/>
        <v>Below thresholds</v>
      </c>
      <c r="J3733" t="str">
        <f t="shared" si="294"/>
        <v/>
      </c>
    </row>
    <row r="3734" spans="1:10" x14ac:dyDescent="0.2">
      <c r="A3734">
        <v>227284669089</v>
      </c>
      <c r="B3734" t="s">
        <v>8012</v>
      </c>
      <c r="C3734" t="s">
        <v>8013</v>
      </c>
      <c r="D3734">
        <v>4.99</v>
      </c>
      <c r="F3734" t="str">
        <f t="shared" si="290"/>
        <v>No</v>
      </c>
      <c r="G3734" t="str">
        <f t="shared" si="291"/>
        <v/>
      </c>
      <c r="H3734" t="str">
        <f t="shared" si="292"/>
        <v>—</v>
      </c>
      <c r="I3734" t="str">
        <f t="shared" si="293"/>
        <v>Below thresholds</v>
      </c>
      <c r="J3734" t="str">
        <f t="shared" si="294"/>
        <v/>
      </c>
    </row>
    <row r="3735" spans="1:10" x14ac:dyDescent="0.2">
      <c r="A3735">
        <v>227284669177</v>
      </c>
      <c r="B3735" t="s">
        <v>8014</v>
      </c>
      <c r="C3735" t="s">
        <v>8015</v>
      </c>
      <c r="D3735">
        <v>1.99</v>
      </c>
      <c r="F3735" t="str">
        <f t="shared" si="290"/>
        <v>No</v>
      </c>
      <c r="G3735" t="str">
        <f t="shared" si="291"/>
        <v/>
      </c>
      <c r="H3735" t="str">
        <f t="shared" si="292"/>
        <v>—</v>
      </c>
      <c r="I3735" t="str">
        <f t="shared" si="293"/>
        <v>Below thresholds</v>
      </c>
      <c r="J3735" t="str">
        <f t="shared" si="294"/>
        <v/>
      </c>
    </row>
    <row r="3736" spans="1:10" x14ac:dyDescent="0.2">
      <c r="A3736">
        <v>227284669218</v>
      </c>
      <c r="B3736" t="s">
        <v>8016</v>
      </c>
      <c r="C3736" t="s">
        <v>8017</v>
      </c>
      <c r="D3736">
        <v>3.99</v>
      </c>
      <c r="F3736" t="str">
        <f t="shared" si="290"/>
        <v>No</v>
      </c>
      <c r="G3736" t="str">
        <f t="shared" si="291"/>
        <v/>
      </c>
      <c r="H3736" t="str">
        <f t="shared" si="292"/>
        <v>—</v>
      </c>
      <c r="I3736" t="str">
        <f t="shared" si="293"/>
        <v>Below thresholds</v>
      </c>
      <c r="J3736" t="str">
        <f t="shared" si="294"/>
        <v/>
      </c>
    </row>
    <row r="3737" spans="1:10" x14ac:dyDescent="0.2">
      <c r="A3737">
        <v>227284669275</v>
      </c>
      <c r="B3737" t="s">
        <v>8018</v>
      </c>
      <c r="C3737" t="s">
        <v>8019</v>
      </c>
      <c r="D3737">
        <v>1.99</v>
      </c>
      <c r="F3737" t="str">
        <f t="shared" si="290"/>
        <v>No</v>
      </c>
      <c r="G3737" t="str">
        <f t="shared" si="291"/>
        <v/>
      </c>
      <c r="H3737" t="str">
        <f t="shared" si="292"/>
        <v>—</v>
      </c>
      <c r="I3737" t="str">
        <f t="shared" si="293"/>
        <v>Below thresholds</v>
      </c>
      <c r="J3737" t="str">
        <f t="shared" si="294"/>
        <v/>
      </c>
    </row>
    <row r="3738" spans="1:10" x14ac:dyDescent="0.2">
      <c r="A3738">
        <v>227284669317</v>
      </c>
      <c r="B3738" t="s">
        <v>8020</v>
      </c>
      <c r="C3738" t="s">
        <v>8021</v>
      </c>
      <c r="D3738">
        <v>2.4900000000000002</v>
      </c>
      <c r="F3738" t="str">
        <f t="shared" si="290"/>
        <v>No</v>
      </c>
      <c r="G3738" t="str">
        <f t="shared" si="291"/>
        <v/>
      </c>
      <c r="H3738" t="str">
        <f t="shared" si="292"/>
        <v>—</v>
      </c>
      <c r="I3738" t="str">
        <f t="shared" si="293"/>
        <v>Below thresholds</v>
      </c>
      <c r="J3738" t="str">
        <f t="shared" si="294"/>
        <v/>
      </c>
    </row>
    <row r="3739" spans="1:10" x14ac:dyDescent="0.2">
      <c r="A3739">
        <v>227284669355</v>
      </c>
      <c r="B3739" t="s">
        <v>8022</v>
      </c>
      <c r="C3739" t="s">
        <v>8023</v>
      </c>
      <c r="D3739">
        <v>1.99</v>
      </c>
      <c r="F3739" t="str">
        <f t="shared" si="290"/>
        <v>No</v>
      </c>
      <c r="G3739" t="str">
        <f t="shared" si="291"/>
        <v/>
      </c>
      <c r="H3739" t="str">
        <f t="shared" si="292"/>
        <v>—</v>
      </c>
      <c r="I3739" t="str">
        <f t="shared" si="293"/>
        <v>Below thresholds</v>
      </c>
      <c r="J3739" t="str">
        <f t="shared" si="294"/>
        <v/>
      </c>
    </row>
    <row r="3740" spans="1:10" x14ac:dyDescent="0.2">
      <c r="A3740">
        <v>227284669405</v>
      </c>
      <c r="B3740" t="s">
        <v>8024</v>
      </c>
      <c r="C3740" t="s">
        <v>8025</v>
      </c>
      <c r="D3740">
        <v>4.99</v>
      </c>
      <c r="F3740" t="str">
        <f t="shared" si="290"/>
        <v>No</v>
      </c>
      <c r="G3740" t="str">
        <f t="shared" si="291"/>
        <v/>
      </c>
      <c r="H3740" t="str">
        <f t="shared" si="292"/>
        <v>—</v>
      </c>
      <c r="I3740" t="str">
        <f t="shared" si="293"/>
        <v>Below thresholds</v>
      </c>
      <c r="J3740" t="str">
        <f t="shared" si="294"/>
        <v/>
      </c>
    </row>
    <row r="3741" spans="1:10" x14ac:dyDescent="0.2">
      <c r="A3741">
        <v>227284669419</v>
      </c>
      <c r="B3741" t="s">
        <v>8026</v>
      </c>
      <c r="C3741" t="s">
        <v>8027</v>
      </c>
      <c r="D3741">
        <v>2.5</v>
      </c>
      <c r="F3741" t="str">
        <f t="shared" si="290"/>
        <v>No</v>
      </c>
      <c r="G3741" t="str">
        <f t="shared" si="291"/>
        <v/>
      </c>
      <c r="H3741" t="str">
        <f t="shared" si="292"/>
        <v>—</v>
      </c>
      <c r="I3741" t="str">
        <f t="shared" si="293"/>
        <v>Below thresholds</v>
      </c>
      <c r="J3741" t="str">
        <f t="shared" si="294"/>
        <v/>
      </c>
    </row>
    <row r="3742" spans="1:10" x14ac:dyDescent="0.2">
      <c r="A3742">
        <v>227284669429</v>
      </c>
      <c r="B3742" t="s">
        <v>8028</v>
      </c>
      <c r="C3742" t="s">
        <v>8029</v>
      </c>
      <c r="D3742">
        <v>1.99</v>
      </c>
      <c r="F3742" t="str">
        <f t="shared" si="290"/>
        <v>No</v>
      </c>
      <c r="G3742" t="str">
        <f t="shared" si="291"/>
        <v/>
      </c>
      <c r="H3742" t="str">
        <f t="shared" si="292"/>
        <v>—</v>
      </c>
      <c r="I3742" t="str">
        <f t="shared" si="293"/>
        <v>Below thresholds</v>
      </c>
      <c r="J3742" t="str">
        <f t="shared" si="294"/>
        <v/>
      </c>
    </row>
    <row r="3743" spans="1:10" x14ac:dyDescent="0.2">
      <c r="A3743">
        <v>227284669483</v>
      </c>
      <c r="B3743" t="s">
        <v>8030</v>
      </c>
      <c r="C3743" t="s">
        <v>8031</v>
      </c>
      <c r="D3743">
        <v>1.99</v>
      </c>
      <c r="F3743" t="str">
        <f t="shared" si="290"/>
        <v>No</v>
      </c>
      <c r="G3743" t="str">
        <f t="shared" si="291"/>
        <v/>
      </c>
      <c r="H3743" t="str">
        <f t="shared" si="292"/>
        <v>—</v>
      </c>
      <c r="I3743" t="str">
        <f t="shared" si="293"/>
        <v>Below thresholds</v>
      </c>
      <c r="J3743" t="str">
        <f t="shared" si="294"/>
        <v/>
      </c>
    </row>
    <row r="3744" spans="1:10" x14ac:dyDescent="0.2">
      <c r="A3744">
        <v>227284669493</v>
      </c>
      <c r="B3744" t="s">
        <v>8032</v>
      </c>
      <c r="C3744" t="s">
        <v>8033</v>
      </c>
      <c r="D3744">
        <v>3</v>
      </c>
      <c r="F3744" t="str">
        <f t="shared" si="290"/>
        <v>No</v>
      </c>
      <c r="G3744" t="str">
        <f t="shared" si="291"/>
        <v/>
      </c>
      <c r="H3744" t="str">
        <f t="shared" si="292"/>
        <v>—</v>
      </c>
      <c r="I3744" t="str">
        <f t="shared" si="293"/>
        <v>Below thresholds</v>
      </c>
      <c r="J3744" t="str">
        <f t="shared" si="294"/>
        <v/>
      </c>
    </row>
    <row r="3745" spans="1:10" x14ac:dyDescent="0.2">
      <c r="A3745">
        <v>227284669507</v>
      </c>
      <c r="B3745" t="s">
        <v>8034</v>
      </c>
      <c r="C3745" t="s">
        <v>8035</v>
      </c>
      <c r="D3745">
        <v>6.99</v>
      </c>
      <c r="F3745" t="str">
        <f t="shared" si="290"/>
        <v>No</v>
      </c>
      <c r="G3745" t="str">
        <f t="shared" si="291"/>
        <v/>
      </c>
      <c r="H3745" t="str">
        <f t="shared" si="292"/>
        <v>—</v>
      </c>
      <c r="I3745" t="str">
        <f t="shared" si="293"/>
        <v>Below thresholds</v>
      </c>
      <c r="J3745" t="str">
        <f t="shared" si="294"/>
        <v/>
      </c>
    </row>
    <row r="3746" spans="1:10" x14ac:dyDescent="0.2">
      <c r="A3746">
        <v>227284669625</v>
      </c>
      <c r="B3746" t="s">
        <v>8036</v>
      </c>
      <c r="C3746" t="s">
        <v>8037</v>
      </c>
      <c r="D3746">
        <v>3</v>
      </c>
      <c r="F3746" t="str">
        <f t="shared" si="290"/>
        <v>No</v>
      </c>
      <c r="G3746" t="str">
        <f t="shared" si="291"/>
        <v/>
      </c>
      <c r="H3746" t="str">
        <f t="shared" si="292"/>
        <v>—</v>
      </c>
      <c r="I3746" t="str">
        <f t="shared" si="293"/>
        <v>Below thresholds</v>
      </c>
      <c r="J3746" t="str">
        <f t="shared" si="294"/>
        <v/>
      </c>
    </row>
    <row r="3747" spans="1:10" x14ac:dyDescent="0.2">
      <c r="A3747">
        <v>227284669647</v>
      </c>
      <c r="B3747" t="s">
        <v>8038</v>
      </c>
      <c r="C3747" t="s">
        <v>8039</v>
      </c>
      <c r="D3747">
        <v>3.99</v>
      </c>
      <c r="F3747" t="str">
        <f t="shared" si="290"/>
        <v>No</v>
      </c>
      <c r="G3747" t="str">
        <f t="shared" si="291"/>
        <v/>
      </c>
      <c r="H3747" t="str">
        <f t="shared" si="292"/>
        <v>—</v>
      </c>
      <c r="I3747" t="str">
        <f t="shared" si="293"/>
        <v>Below thresholds</v>
      </c>
      <c r="J3747" t="str">
        <f t="shared" si="294"/>
        <v/>
      </c>
    </row>
    <row r="3748" spans="1:10" x14ac:dyDescent="0.2">
      <c r="A3748">
        <v>227284669680</v>
      </c>
      <c r="B3748" t="s">
        <v>8022</v>
      </c>
      <c r="C3748" t="s">
        <v>8040</v>
      </c>
      <c r="D3748">
        <v>1.99</v>
      </c>
      <c r="F3748" t="str">
        <f t="shared" si="290"/>
        <v>No</v>
      </c>
      <c r="G3748" t="str">
        <f t="shared" si="291"/>
        <v/>
      </c>
      <c r="H3748" t="str">
        <f t="shared" si="292"/>
        <v>—</v>
      </c>
      <c r="I3748" t="str">
        <f t="shared" si="293"/>
        <v>Below thresholds</v>
      </c>
      <c r="J3748" t="str">
        <f t="shared" si="294"/>
        <v/>
      </c>
    </row>
    <row r="3749" spans="1:10" x14ac:dyDescent="0.2">
      <c r="A3749">
        <v>227284669699</v>
      </c>
      <c r="B3749" t="s">
        <v>8041</v>
      </c>
      <c r="C3749" t="s">
        <v>8042</v>
      </c>
      <c r="D3749">
        <v>2.25</v>
      </c>
      <c r="F3749" t="str">
        <f t="shared" si="290"/>
        <v>No</v>
      </c>
      <c r="G3749" t="str">
        <f t="shared" si="291"/>
        <v/>
      </c>
      <c r="H3749" t="str">
        <f t="shared" si="292"/>
        <v>—</v>
      </c>
      <c r="I3749" t="str">
        <f t="shared" si="293"/>
        <v>Below thresholds</v>
      </c>
      <c r="J3749" t="str">
        <f t="shared" si="294"/>
        <v/>
      </c>
    </row>
    <row r="3750" spans="1:10" x14ac:dyDescent="0.2">
      <c r="A3750">
        <v>227284669724</v>
      </c>
      <c r="B3750" t="s">
        <v>8043</v>
      </c>
      <c r="C3750" t="s">
        <v>8044</v>
      </c>
      <c r="D3750">
        <v>3</v>
      </c>
      <c r="F3750" t="str">
        <f t="shared" si="290"/>
        <v>No</v>
      </c>
      <c r="G3750" t="str">
        <f t="shared" si="291"/>
        <v/>
      </c>
      <c r="H3750" t="str">
        <f t="shared" si="292"/>
        <v>—</v>
      </c>
      <c r="I3750" t="str">
        <f t="shared" si="293"/>
        <v>Below thresholds</v>
      </c>
      <c r="J3750" t="str">
        <f t="shared" si="294"/>
        <v/>
      </c>
    </row>
    <row r="3751" spans="1:10" x14ac:dyDescent="0.2">
      <c r="A3751">
        <v>227285867945</v>
      </c>
      <c r="B3751" t="s">
        <v>8045</v>
      </c>
      <c r="C3751" t="s">
        <v>8046</v>
      </c>
      <c r="D3751">
        <v>1.99</v>
      </c>
      <c r="F3751" t="str">
        <f t="shared" si="290"/>
        <v>No</v>
      </c>
      <c r="G3751" t="str">
        <f t="shared" si="291"/>
        <v/>
      </c>
      <c r="H3751" t="str">
        <f t="shared" si="292"/>
        <v>—</v>
      </c>
      <c r="I3751" t="str">
        <f t="shared" si="293"/>
        <v>Below thresholds</v>
      </c>
      <c r="J3751" t="str">
        <f t="shared" si="294"/>
        <v/>
      </c>
    </row>
    <row r="3752" spans="1:10" x14ac:dyDescent="0.2">
      <c r="A3752">
        <v>227285868088</v>
      </c>
      <c r="B3752" t="s">
        <v>8047</v>
      </c>
      <c r="C3752" t="s">
        <v>8048</v>
      </c>
      <c r="D3752">
        <v>1.99</v>
      </c>
      <c r="F3752" t="str">
        <f t="shared" si="290"/>
        <v>No</v>
      </c>
      <c r="G3752" t="str">
        <f t="shared" si="291"/>
        <v/>
      </c>
      <c r="H3752" t="str">
        <f t="shared" si="292"/>
        <v>—</v>
      </c>
      <c r="I3752" t="str">
        <f t="shared" si="293"/>
        <v>Below thresholds</v>
      </c>
      <c r="J3752" t="str">
        <f t="shared" si="294"/>
        <v/>
      </c>
    </row>
    <row r="3753" spans="1:10" x14ac:dyDescent="0.2">
      <c r="A3753">
        <v>227285868457</v>
      </c>
      <c r="B3753" t="s">
        <v>8047</v>
      </c>
      <c r="C3753" t="s">
        <v>8049</v>
      </c>
      <c r="D3753">
        <v>2.99</v>
      </c>
      <c r="F3753" t="str">
        <f t="shared" si="290"/>
        <v>No</v>
      </c>
      <c r="G3753" t="str">
        <f t="shared" si="291"/>
        <v/>
      </c>
      <c r="H3753" t="str">
        <f t="shared" si="292"/>
        <v>—</v>
      </c>
      <c r="I3753" t="str">
        <f t="shared" si="293"/>
        <v>Below thresholds</v>
      </c>
      <c r="J3753" t="str">
        <f t="shared" si="294"/>
        <v/>
      </c>
    </row>
    <row r="3754" spans="1:10" x14ac:dyDescent="0.2">
      <c r="A3754">
        <v>227285868486</v>
      </c>
      <c r="B3754" t="s">
        <v>8050</v>
      </c>
      <c r="C3754" t="s">
        <v>8051</v>
      </c>
      <c r="D3754">
        <v>1.99</v>
      </c>
      <c r="F3754" t="str">
        <f t="shared" si="290"/>
        <v>No</v>
      </c>
      <c r="G3754" t="str">
        <f t="shared" si="291"/>
        <v/>
      </c>
      <c r="H3754" t="str">
        <f t="shared" si="292"/>
        <v>—</v>
      </c>
      <c r="I3754" t="str">
        <f t="shared" si="293"/>
        <v>Below thresholds</v>
      </c>
      <c r="J3754" t="str">
        <f t="shared" si="294"/>
        <v/>
      </c>
    </row>
    <row r="3755" spans="1:10" x14ac:dyDescent="0.2">
      <c r="A3755">
        <v>227285868588</v>
      </c>
      <c r="B3755" t="s">
        <v>8052</v>
      </c>
      <c r="C3755" t="s">
        <v>8053</v>
      </c>
      <c r="D3755">
        <v>1.99</v>
      </c>
      <c r="F3755" t="str">
        <f t="shared" si="290"/>
        <v>No</v>
      </c>
      <c r="G3755" t="str">
        <f t="shared" si="291"/>
        <v/>
      </c>
      <c r="H3755" t="str">
        <f t="shared" si="292"/>
        <v>—</v>
      </c>
      <c r="I3755" t="str">
        <f t="shared" si="293"/>
        <v>Below thresholds</v>
      </c>
      <c r="J3755" t="str">
        <f t="shared" si="294"/>
        <v/>
      </c>
    </row>
    <row r="3756" spans="1:10" x14ac:dyDescent="0.2">
      <c r="A3756">
        <v>227285868748</v>
      </c>
      <c r="B3756" t="s">
        <v>8054</v>
      </c>
      <c r="C3756" t="s">
        <v>8055</v>
      </c>
      <c r="D3756">
        <v>2.99</v>
      </c>
      <c r="F3756" t="str">
        <f t="shared" si="290"/>
        <v>No</v>
      </c>
      <c r="G3756" t="str">
        <f t="shared" si="291"/>
        <v/>
      </c>
      <c r="H3756" t="str">
        <f t="shared" si="292"/>
        <v>—</v>
      </c>
      <c r="I3756" t="str">
        <f t="shared" si="293"/>
        <v>Below thresholds</v>
      </c>
      <c r="J3756" t="str">
        <f t="shared" si="294"/>
        <v/>
      </c>
    </row>
    <row r="3757" spans="1:10" x14ac:dyDescent="0.2">
      <c r="A3757">
        <v>227285869038</v>
      </c>
      <c r="B3757" t="s">
        <v>8056</v>
      </c>
      <c r="C3757" t="s">
        <v>8057</v>
      </c>
      <c r="D3757">
        <v>1.99</v>
      </c>
      <c r="F3757" t="str">
        <f t="shared" si="290"/>
        <v>No</v>
      </c>
      <c r="G3757" t="str">
        <f t="shared" si="291"/>
        <v/>
      </c>
      <c r="H3757" t="str">
        <f t="shared" si="292"/>
        <v>—</v>
      </c>
      <c r="I3757" t="str">
        <f t="shared" si="293"/>
        <v>Below thresholds</v>
      </c>
      <c r="J3757" t="str">
        <f t="shared" si="294"/>
        <v/>
      </c>
    </row>
    <row r="3758" spans="1:10" x14ac:dyDescent="0.2">
      <c r="A3758">
        <v>227285869215</v>
      </c>
      <c r="B3758" t="s">
        <v>8058</v>
      </c>
      <c r="C3758" t="s">
        <v>8059</v>
      </c>
      <c r="D3758">
        <v>2.25</v>
      </c>
      <c r="F3758" t="str">
        <f t="shared" si="290"/>
        <v>No</v>
      </c>
      <c r="G3758" t="str">
        <f t="shared" si="291"/>
        <v/>
      </c>
      <c r="H3758" t="str">
        <f t="shared" si="292"/>
        <v>—</v>
      </c>
      <c r="I3758" t="str">
        <f t="shared" si="293"/>
        <v>Below thresholds</v>
      </c>
      <c r="J3758" t="str">
        <f t="shared" si="294"/>
        <v/>
      </c>
    </row>
    <row r="3759" spans="1:10" x14ac:dyDescent="0.2">
      <c r="A3759">
        <v>227286242324</v>
      </c>
      <c r="B3759" t="s">
        <v>8060</v>
      </c>
      <c r="C3759" t="s">
        <v>8061</v>
      </c>
      <c r="D3759">
        <v>6</v>
      </c>
      <c r="F3759" t="str">
        <f t="shared" si="290"/>
        <v>No</v>
      </c>
      <c r="G3759" t="str">
        <f t="shared" si="291"/>
        <v/>
      </c>
      <c r="H3759" t="str">
        <f t="shared" si="292"/>
        <v>—</v>
      </c>
      <c r="I3759" t="str">
        <f t="shared" si="293"/>
        <v>Below thresholds</v>
      </c>
      <c r="J3759" t="str">
        <f t="shared" si="294"/>
        <v/>
      </c>
    </row>
    <row r="3760" spans="1:10" x14ac:dyDescent="0.2">
      <c r="A3760">
        <v>227286242343</v>
      </c>
      <c r="B3760" t="s">
        <v>8062</v>
      </c>
      <c r="C3760" t="s">
        <v>8063</v>
      </c>
      <c r="D3760">
        <v>11</v>
      </c>
      <c r="F3760" t="str">
        <f t="shared" si="290"/>
        <v>No</v>
      </c>
      <c r="G3760" t="str">
        <f t="shared" si="291"/>
        <v/>
      </c>
      <c r="H3760" t="str">
        <f t="shared" si="292"/>
        <v>—</v>
      </c>
      <c r="I3760" t="str">
        <f t="shared" si="293"/>
        <v>Below thresholds</v>
      </c>
      <c r="J3760" t="str">
        <f t="shared" si="294"/>
        <v/>
      </c>
    </row>
    <row r="3761" spans="1:10" x14ac:dyDescent="0.2">
      <c r="A3761">
        <v>227286242367</v>
      </c>
      <c r="B3761" t="s">
        <v>8064</v>
      </c>
      <c r="C3761" t="s">
        <v>8065</v>
      </c>
      <c r="D3761">
        <v>40</v>
      </c>
      <c r="F3761" t="str">
        <f t="shared" si="290"/>
        <v>No</v>
      </c>
      <c r="G3761" t="str">
        <f t="shared" si="291"/>
        <v/>
      </c>
      <c r="H3761" t="str">
        <f t="shared" si="292"/>
        <v>—</v>
      </c>
      <c r="I3761" t="str">
        <f t="shared" si="293"/>
        <v>$20+ — needs velocity check</v>
      </c>
      <c r="J3761" t="str">
        <f t="shared" si="294"/>
        <v>YES — pull CardHedger</v>
      </c>
    </row>
    <row r="3762" spans="1:10" x14ac:dyDescent="0.2">
      <c r="A3762">
        <v>227286406070</v>
      </c>
      <c r="B3762" t="s">
        <v>8066</v>
      </c>
      <c r="C3762" t="s">
        <v>8067</v>
      </c>
      <c r="D3762">
        <v>7.99</v>
      </c>
      <c r="F3762" t="str">
        <f t="shared" si="290"/>
        <v>No</v>
      </c>
      <c r="G3762" t="str">
        <f t="shared" si="291"/>
        <v/>
      </c>
      <c r="H3762" t="str">
        <f t="shared" si="292"/>
        <v>—</v>
      </c>
      <c r="I3762" t="str">
        <f t="shared" si="293"/>
        <v>Below thresholds</v>
      </c>
      <c r="J3762" t="str">
        <f t="shared" si="294"/>
        <v/>
      </c>
    </row>
    <row r="3763" spans="1:10" x14ac:dyDescent="0.2">
      <c r="A3763">
        <v>227286406168</v>
      </c>
      <c r="B3763" t="s">
        <v>8068</v>
      </c>
      <c r="C3763" t="s">
        <v>8069</v>
      </c>
      <c r="D3763">
        <v>30</v>
      </c>
      <c r="F3763" t="str">
        <f t="shared" si="290"/>
        <v>No</v>
      </c>
      <c r="G3763" t="str">
        <f t="shared" si="291"/>
        <v/>
      </c>
      <c r="H3763" t="str">
        <f t="shared" si="292"/>
        <v>—</v>
      </c>
      <c r="I3763" t="str">
        <f t="shared" si="293"/>
        <v>$20+ — needs velocity check</v>
      </c>
      <c r="J3763" t="str">
        <f t="shared" si="294"/>
        <v>YES — pull CardHedger</v>
      </c>
    </row>
    <row r="3764" spans="1:10" x14ac:dyDescent="0.2">
      <c r="A3764">
        <v>227286406494</v>
      </c>
      <c r="B3764" t="s">
        <v>8070</v>
      </c>
      <c r="C3764" t="s">
        <v>8071</v>
      </c>
      <c r="D3764">
        <v>3.99</v>
      </c>
      <c r="F3764" t="str">
        <f t="shared" si="290"/>
        <v>No</v>
      </c>
      <c r="G3764" t="str">
        <f t="shared" si="291"/>
        <v/>
      </c>
      <c r="H3764" t="str">
        <f t="shared" si="292"/>
        <v>—</v>
      </c>
      <c r="I3764" t="str">
        <f t="shared" si="293"/>
        <v>Below thresholds</v>
      </c>
      <c r="J3764" t="str">
        <f t="shared" si="294"/>
        <v/>
      </c>
    </row>
    <row r="3765" spans="1:10" x14ac:dyDescent="0.2">
      <c r="A3765">
        <v>227287483553</v>
      </c>
      <c r="B3765" t="s">
        <v>8072</v>
      </c>
      <c r="C3765" t="s">
        <v>8073</v>
      </c>
      <c r="D3765">
        <v>4.99</v>
      </c>
      <c r="F3765" t="str">
        <f t="shared" si="290"/>
        <v>No</v>
      </c>
      <c r="G3765" t="str">
        <f t="shared" si="291"/>
        <v/>
      </c>
      <c r="H3765" t="str">
        <f t="shared" si="292"/>
        <v>—</v>
      </c>
      <c r="I3765" t="str">
        <f t="shared" si="293"/>
        <v>Below thresholds</v>
      </c>
      <c r="J3765" t="str">
        <f t="shared" si="294"/>
        <v/>
      </c>
    </row>
    <row r="3766" spans="1:10" x14ac:dyDescent="0.2">
      <c r="A3766">
        <v>227287483555</v>
      </c>
      <c r="B3766" t="s">
        <v>8074</v>
      </c>
      <c r="C3766" t="s">
        <v>8075</v>
      </c>
      <c r="D3766">
        <v>4.99</v>
      </c>
      <c r="F3766" t="str">
        <f t="shared" si="290"/>
        <v>No</v>
      </c>
      <c r="G3766" t="str">
        <f t="shared" si="291"/>
        <v/>
      </c>
      <c r="H3766" t="str">
        <f t="shared" si="292"/>
        <v>—</v>
      </c>
      <c r="I3766" t="str">
        <f t="shared" si="293"/>
        <v>Below thresholds</v>
      </c>
      <c r="J3766" t="str">
        <f t="shared" si="294"/>
        <v/>
      </c>
    </row>
    <row r="3767" spans="1:10" x14ac:dyDescent="0.2">
      <c r="A3767">
        <v>227287483644</v>
      </c>
      <c r="B3767" t="s">
        <v>8076</v>
      </c>
      <c r="C3767" t="s">
        <v>8077</v>
      </c>
      <c r="D3767">
        <v>1.99</v>
      </c>
      <c r="F3767" t="str">
        <f t="shared" si="290"/>
        <v>No</v>
      </c>
      <c r="G3767" t="str">
        <f t="shared" si="291"/>
        <v/>
      </c>
      <c r="H3767" t="str">
        <f t="shared" si="292"/>
        <v>—</v>
      </c>
      <c r="I3767" t="str">
        <f t="shared" si="293"/>
        <v>Below thresholds</v>
      </c>
      <c r="J3767" t="str">
        <f t="shared" si="294"/>
        <v/>
      </c>
    </row>
    <row r="3768" spans="1:10" x14ac:dyDescent="0.2">
      <c r="A3768">
        <v>227287483690</v>
      </c>
      <c r="B3768" t="s">
        <v>8078</v>
      </c>
      <c r="C3768" t="s">
        <v>8079</v>
      </c>
      <c r="D3768">
        <v>4.99</v>
      </c>
      <c r="F3768" t="str">
        <f t="shared" si="290"/>
        <v>No</v>
      </c>
      <c r="G3768" t="str">
        <f t="shared" si="291"/>
        <v/>
      </c>
      <c r="H3768" t="str">
        <f t="shared" si="292"/>
        <v>—</v>
      </c>
      <c r="I3768" t="str">
        <f t="shared" si="293"/>
        <v>Below thresholds</v>
      </c>
      <c r="J3768" t="str">
        <f t="shared" si="294"/>
        <v/>
      </c>
    </row>
    <row r="3769" spans="1:10" x14ac:dyDescent="0.2">
      <c r="A3769">
        <v>227287483693</v>
      </c>
      <c r="B3769" t="s">
        <v>8080</v>
      </c>
      <c r="C3769" t="s">
        <v>8081</v>
      </c>
      <c r="D3769">
        <v>2.99</v>
      </c>
      <c r="F3769" t="str">
        <f t="shared" si="290"/>
        <v>No</v>
      </c>
      <c r="G3769" t="str">
        <f t="shared" si="291"/>
        <v/>
      </c>
      <c r="H3769" t="str">
        <f t="shared" si="292"/>
        <v>—</v>
      </c>
      <c r="I3769" t="str">
        <f t="shared" si="293"/>
        <v>Below thresholds</v>
      </c>
      <c r="J3769" t="str">
        <f t="shared" si="294"/>
        <v/>
      </c>
    </row>
    <row r="3770" spans="1:10" x14ac:dyDescent="0.2">
      <c r="A3770">
        <v>227287483795</v>
      </c>
      <c r="B3770" t="s">
        <v>8082</v>
      </c>
      <c r="C3770" t="s">
        <v>8083</v>
      </c>
      <c r="D3770">
        <v>2.4900000000000002</v>
      </c>
      <c r="F3770" t="str">
        <f t="shared" si="290"/>
        <v>No</v>
      </c>
      <c r="G3770" t="str">
        <f t="shared" si="291"/>
        <v/>
      </c>
      <c r="H3770" t="str">
        <f t="shared" si="292"/>
        <v>—</v>
      </c>
      <c r="I3770" t="str">
        <f t="shared" si="293"/>
        <v>Below thresholds</v>
      </c>
      <c r="J3770" t="str">
        <f t="shared" si="294"/>
        <v/>
      </c>
    </row>
    <row r="3771" spans="1:10" x14ac:dyDescent="0.2">
      <c r="A3771">
        <v>227287483976</v>
      </c>
      <c r="B3771" t="s">
        <v>8084</v>
      </c>
      <c r="C3771" t="s">
        <v>8085</v>
      </c>
      <c r="D3771">
        <v>3</v>
      </c>
      <c r="F3771" t="str">
        <f t="shared" si="290"/>
        <v>No</v>
      </c>
      <c r="G3771" t="str">
        <f t="shared" si="291"/>
        <v/>
      </c>
      <c r="H3771" t="str">
        <f t="shared" si="292"/>
        <v>—</v>
      </c>
      <c r="I3771" t="str">
        <f t="shared" si="293"/>
        <v>Below thresholds</v>
      </c>
      <c r="J3771" t="str">
        <f t="shared" si="294"/>
        <v/>
      </c>
    </row>
    <row r="3772" spans="1:10" x14ac:dyDescent="0.2">
      <c r="A3772">
        <v>227287484011</v>
      </c>
      <c r="B3772" t="s">
        <v>8086</v>
      </c>
      <c r="C3772" t="s">
        <v>8087</v>
      </c>
      <c r="D3772">
        <v>2.4900000000000002</v>
      </c>
      <c r="F3772" t="str">
        <f t="shared" si="290"/>
        <v>No</v>
      </c>
      <c r="G3772" t="str">
        <f t="shared" si="291"/>
        <v/>
      </c>
      <c r="H3772" t="str">
        <f t="shared" si="292"/>
        <v>—</v>
      </c>
      <c r="I3772" t="str">
        <f t="shared" si="293"/>
        <v>Below thresholds</v>
      </c>
      <c r="J3772" t="str">
        <f t="shared" si="294"/>
        <v/>
      </c>
    </row>
    <row r="3773" spans="1:10" x14ac:dyDescent="0.2">
      <c r="A3773">
        <v>227287484022</v>
      </c>
      <c r="B3773" t="s">
        <v>8088</v>
      </c>
      <c r="C3773" t="s">
        <v>8089</v>
      </c>
      <c r="D3773">
        <v>1.99</v>
      </c>
      <c r="F3773" t="str">
        <f t="shared" si="290"/>
        <v>No</v>
      </c>
      <c r="G3773" t="str">
        <f t="shared" si="291"/>
        <v/>
      </c>
      <c r="H3773" t="str">
        <f t="shared" si="292"/>
        <v>—</v>
      </c>
      <c r="I3773" t="str">
        <f t="shared" si="293"/>
        <v>Below thresholds</v>
      </c>
      <c r="J3773" t="str">
        <f t="shared" si="294"/>
        <v/>
      </c>
    </row>
    <row r="3774" spans="1:10" x14ac:dyDescent="0.2">
      <c r="A3774">
        <v>227287484069</v>
      </c>
      <c r="B3774" t="s">
        <v>8090</v>
      </c>
      <c r="C3774" t="s">
        <v>8091</v>
      </c>
      <c r="D3774">
        <v>11.99</v>
      </c>
      <c r="F3774" t="str">
        <f t="shared" si="290"/>
        <v>No</v>
      </c>
      <c r="G3774" t="str">
        <f t="shared" si="291"/>
        <v/>
      </c>
      <c r="H3774" t="str">
        <f t="shared" si="292"/>
        <v>—</v>
      </c>
      <c r="I3774" t="str">
        <f t="shared" si="293"/>
        <v>Below thresholds</v>
      </c>
      <c r="J3774" t="str">
        <f t="shared" si="294"/>
        <v/>
      </c>
    </row>
    <row r="3775" spans="1:10" x14ac:dyDescent="0.2">
      <c r="A3775">
        <v>227287484071</v>
      </c>
      <c r="B3775" t="s">
        <v>8092</v>
      </c>
      <c r="C3775" t="s">
        <v>8093</v>
      </c>
      <c r="D3775">
        <v>2.99</v>
      </c>
      <c r="F3775" t="str">
        <f t="shared" si="290"/>
        <v>No</v>
      </c>
      <c r="G3775" t="str">
        <f t="shared" si="291"/>
        <v/>
      </c>
      <c r="H3775" t="str">
        <f t="shared" si="292"/>
        <v>—</v>
      </c>
      <c r="I3775" t="str">
        <f t="shared" si="293"/>
        <v>Below thresholds</v>
      </c>
      <c r="J3775" t="str">
        <f t="shared" si="294"/>
        <v/>
      </c>
    </row>
    <row r="3776" spans="1:10" x14ac:dyDescent="0.2">
      <c r="A3776">
        <v>227288600762</v>
      </c>
      <c r="B3776" t="s">
        <v>8094</v>
      </c>
      <c r="C3776" t="s">
        <v>8095</v>
      </c>
      <c r="D3776">
        <v>19.989999999999998</v>
      </c>
      <c r="F3776" t="str">
        <f t="shared" si="290"/>
        <v>No</v>
      </c>
      <c r="G3776" t="str">
        <f t="shared" si="291"/>
        <v/>
      </c>
      <c r="H3776" t="str">
        <f t="shared" si="292"/>
        <v>—</v>
      </c>
      <c r="I3776" t="str">
        <f t="shared" si="293"/>
        <v>Below thresholds</v>
      </c>
      <c r="J3776" t="str">
        <f t="shared" si="294"/>
        <v/>
      </c>
    </row>
    <row r="3777" spans="1:10" x14ac:dyDescent="0.2">
      <c r="A3777">
        <v>227288600767</v>
      </c>
      <c r="B3777" t="s">
        <v>8096</v>
      </c>
      <c r="C3777" t="s">
        <v>8097</v>
      </c>
      <c r="D3777">
        <v>10</v>
      </c>
      <c r="F3777" t="str">
        <f t="shared" si="290"/>
        <v>No</v>
      </c>
      <c r="G3777" t="str">
        <f t="shared" si="291"/>
        <v/>
      </c>
      <c r="H3777" t="str">
        <f t="shared" si="292"/>
        <v>—</v>
      </c>
      <c r="I3777" t="str">
        <f t="shared" si="293"/>
        <v>Below thresholds</v>
      </c>
      <c r="J3777" t="str">
        <f t="shared" si="294"/>
        <v/>
      </c>
    </row>
    <row r="3778" spans="1:10" x14ac:dyDescent="0.2">
      <c r="A3778">
        <v>227288600818</v>
      </c>
      <c r="B3778" t="s">
        <v>8098</v>
      </c>
      <c r="C3778" t="s">
        <v>8099</v>
      </c>
      <c r="D3778">
        <v>3.99</v>
      </c>
      <c r="F3778" t="str">
        <f t="shared" si="290"/>
        <v>No</v>
      </c>
      <c r="G3778" t="str">
        <f t="shared" si="291"/>
        <v/>
      </c>
      <c r="H3778" t="str">
        <f t="shared" si="292"/>
        <v>—</v>
      </c>
      <c r="I3778" t="str">
        <f t="shared" si="293"/>
        <v>Below thresholds</v>
      </c>
      <c r="J3778" t="str">
        <f t="shared" si="294"/>
        <v/>
      </c>
    </row>
    <row r="3779" spans="1:10" x14ac:dyDescent="0.2">
      <c r="A3779">
        <v>227288600869</v>
      </c>
      <c r="B3779" t="s">
        <v>8100</v>
      </c>
      <c r="C3779" t="s">
        <v>8101</v>
      </c>
      <c r="D3779">
        <v>3.75</v>
      </c>
      <c r="F3779" t="str">
        <f t="shared" si="290"/>
        <v>No</v>
      </c>
      <c r="G3779" t="str">
        <f t="shared" si="291"/>
        <v/>
      </c>
      <c r="H3779" t="str">
        <f t="shared" si="292"/>
        <v>—</v>
      </c>
      <c r="I3779" t="str">
        <f t="shared" si="293"/>
        <v>Below thresholds</v>
      </c>
      <c r="J3779" t="str">
        <f t="shared" si="294"/>
        <v/>
      </c>
    </row>
    <row r="3780" spans="1:10" x14ac:dyDescent="0.2">
      <c r="A3780">
        <v>227288602700</v>
      </c>
      <c r="B3780" t="s">
        <v>8102</v>
      </c>
      <c r="C3780" t="s">
        <v>8103</v>
      </c>
      <c r="D3780">
        <v>2.99</v>
      </c>
      <c r="F3780" t="str">
        <f t="shared" si="290"/>
        <v>No</v>
      </c>
      <c r="G3780" t="str">
        <f t="shared" si="291"/>
        <v/>
      </c>
      <c r="H3780" t="str">
        <f t="shared" si="292"/>
        <v>—</v>
      </c>
      <c r="I3780" t="str">
        <f t="shared" si="293"/>
        <v>Below thresholds</v>
      </c>
      <c r="J3780" t="str">
        <f t="shared" si="294"/>
        <v/>
      </c>
    </row>
    <row r="3781" spans="1:10" x14ac:dyDescent="0.2">
      <c r="A3781">
        <v>227288635010</v>
      </c>
      <c r="B3781" t="s">
        <v>8104</v>
      </c>
      <c r="C3781" t="s">
        <v>8105</v>
      </c>
      <c r="D3781">
        <v>3.99</v>
      </c>
      <c r="F3781" t="str">
        <f t="shared" ref="F3781:F3844" si="295">IF($B3781="","",IF(ISNUMBER(SEARCH("PSA",$B3781)),"Yes","No"))</f>
        <v>No</v>
      </c>
      <c r="G3781" t="str">
        <f t="shared" ref="G3781:G3844" si="296">IF($B3781="","",IF(ISNUMBER(SEARCH("PSA 10",$B3781)),10,IF(ISNUMBER(SEARCH("PSA 9.5",$B3781)),9.5,IF(ISNUMBER(SEARCH("PSA 9",$B3781)),9,IF(ISNUMBER(SEARCH("PSA 8",$B3781)),8,IF(ISNUMBER(SEARCH("PSA",$B3781)),"&lt;9",""))))))</f>
        <v/>
      </c>
      <c r="H3781" t="str">
        <f t="shared" ref="H3781:H3844" si="297">IF($B3781="","",IF($D3781&gt;=100,"TIER 2",IF(OR(ISNUMBER(SEARCH("PSA 10",$B3781)),ISNUMBER(SEARCH("PSA 9.5",$B3781)),ISNUMBER(SEARCH("PSA 9",$B3781))),"TIER 3",IF(AND($D3781&gt;20,N($E3781)&gt;=15),"TIER 1","—"))))</f>
        <v>—</v>
      </c>
      <c r="I3781" t="str">
        <f t="shared" ref="I3781:I3844" si="298">IF($B3781="","",IF($D3781&gt;=100,"Premium $100+ (auto)",IF(OR(ISNUMBER(SEARCH("PSA 10",$B3781)),ISNUMBER(SEARCH("PSA 9.5",$B3781)),ISNUMBER(SEARCH("PSA 9",$B3781))),"Graded PSA 9+ (auto)",IF(AND($D3781&gt;20,N($E3781)&gt;=15),"Hot: $20+ &amp; "&amp;$E3781&amp;"/day",IF($D3781&gt;20,"$20+ — needs velocity check","Below thresholds")))))</f>
        <v>Below thresholds</v>
      </c>
      <c r="J3781" t="str">
        <f t="shared" ref="J3781:J3844" si="299">IF($B3781="","",IF(AND($D3781&gt;20,$D3781&lt;100,NOT(OR(ISNUMBER(SEARCH("PSA 10",$B3781)),ISNUMBER(SEARCH("PSA 9.5",$B3781)),ISNUMBER(SEARCH("PSA 9",$B3781)))),$E3781=""),"YES — pull CardHedger",""))</f>
        <v/>
      </c>
    </row>
    <row r="3782" spans="1:10" x14ac:dyDescent="0.2">
      <c r="A3782">
        <v>227288635167</v>
      </c>
      <c r="B3782" t="s">
        <v>8106</v>
      </c>
      <c r="C3782" t="s">
        <v>8107</v>
      </c>
      <c r="D3782">
        <v>39.99</v>
      </c>
      <c r="F3782" t="str">
        <f t="shared" si="295"/>
        <v>No</v>
      </c>
      <c r="G3782" t="str">
        <f t="shared" si="296"/>
        <v/>
      </c>
      <c r="H3782" t="str">
        <f t="shared" si="297"/>
        <v>—</v>
      </c>
      <c r="I3782" t="str">
        <f t="shared" si="298"/>
        <v>$20+ — needs velocity check</v>
      </c>
      <c r="J3782" t="str">
        <f t="shared" si="299"/>
        <v>YES — pull CardHedger</v>
      </c>
    </row>
    <row r="3783" spans="1:10" x14ac:dyDescent="0.2">
      <c r="A3783">
        <v>227288635183</v>
      </c>
      <c r="B3783" t="s">
        <v>8108</v>
      </c>
      <c r="C3783" t="s">
        <v>8109</v>
      </c>
      <c r="D3783">
        <v>1.99</v>
      </c>
      <c r="F3783" t="str">
        <f t="shared" si="295"/>
        <v>No</v>
      </c>
      <c r="G3783" t="str">
        <f t="shared" si="296"/>
        <v/>
      </c>
      <c r="H3783" t="str">
        <f t="shared" si="297"/>
        <v>—</v>
      </c>
      <c r="I3783" t="str">
        <f t="shared" si="298"/>
        <v>Below thresholds</v>
      </c>
      <c r="J3783" t="str">
        <f t="shared" si="299"/>
        <v/>
      </c>
    </row>
    <row r="3784" spans="1:10" x14ac:dyDescent="0.2">
      <c r="A3784">
        <v>227288635223</v>
      </c>
      <c r="B3784" t="s">
        <v>8110</v>
      </c>
      <c r="C3784" t="s">
        <v>8111</v>
      </c>
      <c r="D3784">
        <v>5.59</v>
      </c>
      <c r="F3784" t="str">
        <f t="shared" si="295"/>
        <v>No</v>
      </c>
      <c r="G3784" t="str">
        <f t="shared" si="296"/>
        <v/>
      </c>
      <c r="H3784" t="str">
        <f t="shared" si="297"/>
        <v>—</v>
      </c>
      <c r="I3784" t="str">
        <f t="shared" si="298"/>
        <v>Below thresholds</v>
      </c>
      <c r="J3784" t="str">
        <f t="shared" si="299"/>
        <v/>
      </c>
    </row>
    <row r="3785" spans="1:10" x14ac:dyDescent="0.2">
      <c r="A3785">
        <v>227288635239</v>
      </c>
      <c r="B3785" t="s">
        <v>8112</v>
      </c>
      <c r="C3785" t="s">
        <v>8113</v>
      </c>
      <c r="D3785">
        <v>6</v>
      </c>
      <c r="F3785" t="str">
        <f t="shared" si="295"/>
        <v>No</v>
      </c>
      <c r="G3785" t="str">
        <f t="shared" si="296"/>
        <v/>
      </c>
      <c r="H3785" t="str">
        <f t="shared" si="297"/>
        <v>—</v>
      </c>
      <c r="I3785" t="str">
        <f t="shared" si="298"/>
        <v>Below thresholds</v>
      </c>
      <c r="J3785" t="str">
        <f t="shared" si="299"/>
        <v/>
      </c>
    </row>
    <row r="3786" spans="1:10" x14ac:dyDescent="0.2">
      <c r="A3786">
        <v>227288635452</v>
      </c>
      <c r="B3786" t="s">
        <v>8114</v>
      </c>
      <c r="C3786" t="s">
        <v>8115</v>
      </c>
      <c r="D3786">
        <v>5.99</v>
      </c>
      <c r="F3786" t="str">
        <f t="shared" si="295"/>
        <v>No</v>
      </c>
      <c r="G3786" t="str">
        <f t="shared" si="296"/>
        <v/>
      </c>
      <c r="H3786" t="str">
        <f t="shared" si="297"/>
        <v>—</v>
      </c>
      <c r="I3786" t="str">
        <f t="shared" si="298"/>
        <v>Below thresholds</v>
      </c>
      <c r="J3786" t="str">
        <f t="shared" si="299"/>
        <v/>
      </c>
    </row>
    <row r="3787" spans="1:10" x14ac:dyDescent="0.2">
      <c r="A3787">
        <v>227288635461</v>
      </c>
      <c r="B3787" t="s">
        <v>8116</v>
      </c>
      <c r="C3787" t="s">
        <v>8117</v>
      </c>
      <c r="D3787">
        <v>2.99</v>
      </c>
      <c r="F3787" t="str">
        <f t="shared" si="295"/>
        <v>No</v>
      </c>
      <c r="G3787" t="str">
        <f t="shared" si="296"/>
        <v/>
      </c>
      <c r="H3787" t="str">
        <f t="shared" si="297"/>
        <v>—</v>
      </c>
      <c r="I3787" t="str">
        <f t="shared" si="298"/>
        <v>Below thresholds</v>
      </c>
      <c r="J3787" t="str">
        <f t="shared" si="299"/>
        <v/>
      </c>
    </row>
    <row r="3788" spans="1:10" x14ac:dyDescent="0.2">
      <c r="A3788">
        <v>227288927358</v>
      </c>
      <c r="B3788" t="s">
        <v>8118</v>
      </c>
      <c r="C3788" t="s">
        <v>8119</v>
      </c>
      <c r="D3788">
        <v>39.99</v>
      </c>
      <c r="F3788" t="str">
        <f t="shared" si="295"/>
        <v>No</v>
      </c>
      <c r="G3788" t="str">
        <f t="shared" si="296"/>
        <v/>
      </c>
      <c r="H3788" t="str">
        <f t="shared" si="297"/>
        <v>—</v>
      </c>
      <c r="I3788" t="str">
        <f t="shared" si="298"/>
        <v>$20+ — needs velocity check</v>
      </c>
      <c r="J3788" t="str">
        <f t="shared" si="299"/>
        <v>YES — pull CardHedger</v>
      </c>
    </row>
    <row r="3789" spans="1:10" x14ac:dyDescent="0.2">
      <c r="A3789">
        <v>227288927391</v>
      </c>
      <c r="B3789" t="s">
        <v>8120</v>
      </c>
      <c r="C3789" t="s">
        <v>8121</v>
      </c>
      <c r="D3789">
        <v>4.99</v>
      </c>
      <c r="F3789" t="str">
        <f t="shared" si="295"/>
        <v>No</v>
      </c>
      <c r="G3789" t="str">
        <f t="shared" si="296"/>
        <v/>
      </c>
      <c r="H3789" t="str">
        <f t="shared" si="297"/>
        <v>—</v>
      </c>
      <c r="I3789" t="str">
        <f t="shared" si="298"/>
        <v>Below thresholds</v>
      </c>
      <c r="J3789" t="str">
        <f t="shared" si="299"/>
        <v/>
      </c>
    </row>
    <row r="3790" spans="1:10" x14ac:dyDescent="0.2">
      <c r="A3790">
        <v>227288927431</v>
      </c>
      <c r="B3790" t="s">
        <v>8122</v>
      </c>
      <c r="C3790" t="s">
        <v>8123</v>
      </c>
      <c r="D3790">
        <v>4.99</v>
      </c>
      <c r="F3790" t="str">
        <f t="shared" si="295"/>
        <v>No</v>
      </c>
      <c r="G3790" t="str">
        <f t="shared" si="296"/>
        <v/>
      </c>
      <c r="H3790" t="str">
        <f t="shared" si="297"/>
        <v>—</v>
      </c>
      <c r="I3790" t="str">
        <f t="shared" si="298"/>
        <v>Below thresholds</v>
      </c>
      <c r="J3790" t="str">
        <f t="shared" si="299"/>
        <v/>
      </c>
    </row>
    <row r="3791" spans="1:10" x14ac:dyDescent="0.2">
      <c r="A3791">
        <v>227288927510</v>
      </c>
      <c r="B3791" t="s">
        <v>8124</v>
      </c>
      <c r="C3791" t="s">
        <v>8125</v>
      </c>
      <c r="D3791">
        <v>8.99</v>
      </c>
      <c r="F3791" t="str">
        <f t="shared" si="295"/>
        <v>No</v>
      </c>
      <c r="G3791" t="str">
        <f t="shared" si="296"/>
        <v/>
      </c>
      <c r="H3791" t="str">
        <f t="shared" si="297"/>
        <v>—</v>
      </c>
      <c r="I3791" t="str">
        <f t="shared" si="298"/>
        <v>Below thresholds</v>
      </c>
      <c r="J3791" t="str">
        <f t="shared" si="299"/>
        <v/>
      </c>
    </row>
    <row r="3792" spans="1:10" x14ac:dyDescent="0.2">
      <c r="A3792">
        <v>227288927544</v>
      </c>
      <c r="B3792" t="s">
        <v>8126</v>
      </c>
      <c r="C3792" t="s">
        <v>8127</v>
      </c>
      <c r="D3792">
        <v>1.49</v>
      </c>
      <c r="F3792" t="str">
        <f t="shared" si="295"/>
        <v>No</v>
      </c>
      <c r="G3792" t="str">
        <f t="shared" si="296"/>
        <v/>
      </c>
      <c r="H3792" t="str">
        <f t="shared" si="297"/>
        <v>—</v>
      </c>
      <c r="I3792" t="str">
        <f t="shared" si="298"/>
        <v>Below thresholds</v>
      </c>
      <c r="J3792" t="str">
        <f t="shared" si="299"/>
        <v/>
      </c>
    </row>
    <row r="3793" spans="1:10" x14ac:dyDescent="0.2">
      <c r="A3793">
        <v>227288927578</v>
      </c>
      <c r="B3793" t="s">
        <v>8128</v>
      </c>
      <c r="C3793" t="s">
        <v>8129</v>
      </c>
      <c r="D3793">
        <v>2.99</v>
      </c>
      <c r="F3793" t="str">
        <f t="shared" si="295"/>
        <v>No</v>
      </c>
      <c r="G3793" t="str">
        <f t="shared" si="296"/>
        <v/>
      </c>
      <c r="H3793" t="str">
        <f t="shared" si="297"/>
        <v>—</v>
      </c>
      <c r="I3793" t="str">
        <f t="shared" si="298"/>
        <v>Below thresholds</v>
      </c>
      <c r="J3793" t="str">
        <f t="shared" si="299"/>
        <v/>
      </c>
    </row>
    <row r="3794" spans="1:10" x14ac:dyDescent="0.2">
      <c r="A3794">
        <v>227288927613</v>
      </c>
      <c r="B3794" t="s">
        <v>8084</v>
      </c>
      <c r="C3794" t="s">
        <v>8130</v>
      </c>
      <c r="D3794">
        <v>2.4900000000000002</v>
      </c>
      <c r="F3794" t="str">
        <f t="shared" si="295"/>
        <v>No</v>
      </c>
      <c r="G3794" t="str">
        <f t="shared" si="296"/>
        <v/>
      </c>
      <c r="H3794" t="str">
        <f t="shared" si="297"/>
        <v>—</v>
      </c>
      <c r="I3794" t="str">
        <f t="shared" si="298"/>
        <v>Below thresholds</v>
      </c>
      <c r="J3794" t="str">
        <f t="shared" si="299"/>
        <v/>
      </c>
    </row>
    <row r="3795" spans="1:10" x14ac:dyDescent="0.2">
      <c r="A3795">
        <v>227288927624</v>
      </c>
      <c r="B3795" t="s">
        <v>8131</v>
      </c>
      <c r="C3795" t="s">
        <v>8132</v>
      </c>
      <c r="D3795">
        <v>1.99</v>
      </c>
      <c r="F3795" t="str">
        <f t="shared" si="295"/>
        <v>No</v>
      </c>
      <c r="G3795" t="str">
        <f t="shared" si="296"/>
        <v/>
      </c>
      <c r="H3795" t="str">
        <f t="shared" si="297"/>
        <v>—</v>
      </c>
      <c r="I3795" t="str">
        <f t="shared" si="298"/>
        <v>Below thresholds</v>
      </c>
      <c r="J3795" t="str">
        <f t="shared" si="299"/>
        <v/>
      </c>
    </row>
    <row r="3796" spans="1:10" x14ac:dyDescent="0.2">
      <c r="A3796">
        <v>227288927634</v>
      </c>
      <c r="B3796" t="s">
        <v>8133</v>
      </c>
      <c r="C3796" t="s">
        <v>8134</v>
      </c>
      <c r="D3796">
        <v>5.99</v>
      </c>
      <c r="F3796" t="str">
        <f t="shared" si="295"/>
        <v>No</v>
      </c>
      <c r="G3796" t="str">
        <f t="shared" si="296"/>
        <v/>
      </c>
      <c r="H3796" t="str">
        <f t="shared" si="297"/>
        <v>—</v>
      </c>
      <c r="I3796" t="str">
        <f t="shared" si="298"/>
        <v>Below thresholds</v>
      </c>
      <c r="J3796" t="str">
        <f t="shared" si="299"/>
        <v/>
      </c>
    </row>
    <row r="3797" spans="1:10" x14ac:dyDescent="0.2">
      <c r="A3797">
        <v>227288927660</v>
      </c>
      <c r="B3797" t="s">
        <v>7222</v>
      </c>
      <c r="C3797" t="s">
        <v>8135</v>
      </c>
      <c r="D3797">
        <v>1.99</v>
      </c>
      <c r="F3797" t="str">
        <f t="shared" si="295"/>
        <v>No</v>
      </c>
      <c r="G3797" t="str">
        <f t="shared" si="296"/>
        <v/>
      </c>
      <c r="H3797" t="str">
        <f t="shared" si="297"/>
        <v>—</v>
      </c>
      <c r="I3797" t="str">
        <f t="shared" si="298"/>
        <v>Below thresholds</v>
      </c>
      <c r="J3797" t="str">
        <f t="shared" si="299"/>
        <v/>
      </c>
    </row>
    <row r="3798" spans="1:10" x14ac:dyDescent="0.2">
      <c r="A3798">
        <v>227288927669</v>
      </c>
      <c r="B3798" t="s">
        <v>8136</v>
      </c>
      <c r="C3798" t="s">
        <v>8137</v>
      </c>
      <c r="D3798">
        <v>3.25</v>
      </c>
      <c r="F3798" t="str">
        <f t="shared" si="295"/>
        <v>No</v>
      </c>
      <c r="G3798" t="str">
        <f t="shared" si="296"/>
        <v/>
      </c>
      <c r="H3798" t="str">
        <f t="shared" si="297"/>
        <v>—</v>
      </c>
      <c r="I3798" t="str">
        <f t="shared" si="298"/>
        <v>Below thresholds</v>
      </c>
      <c r="J3798" t="str">
        <f t="shared" si="299"/>
        <v/>
      </c>
    </row>
    <row r="3799" spans="1:10" x14ac:dyDescent="0.2">
      <c r="A3799">
        <v>227288927679</v>
      </c>
      <c r="B3799" t="s">
        <v>8138</v>
      </c>
      <c r="C3799" t="s">
        <v>8139</v>
      </c>
      <c r="D3799">
        <v>9.99</v>
      </c>
      <c r="F3799" t="str">
        <f t="shared" si="295"/>
        <v>No</v>
      </c>
      <c r="G3799" t="str">
        <f t="shared" si="296"/>
        <v/>
      </c>
      <c r="H3799" t="str">
        <f t="shared" si="297"/>
        <v>—</v>
      </c>
      <c r="I3799" t="str">
        <f t="shared" si="298"/>
        <v>Below thresholds</v>
      </c>
      <c r="J3799" t="str">
        <f t="shared" si="299"/>
        <v/>
      </c>
    </row>
    <row r="3800" spans="1:10" x14ac:dyDescent="0.2">
      <c r="A3800">
        <v>227288927691</v>
      </c>
      <c r="B3800" t="s">
        <v>8140</v>
      </c>
      <c r="C3800" t="s">
        <v>8141</v>
      </c>
      <c r="D3800">
        <v>5.99</v>
      </c>
      <c r="F3800" t="str">
        <f t="shared" si="295"/>
        <v>No</v>
      </c>
      <c r="G3800" t="str">
        <f t="shared" si="296"/>
        <v/>
      </c>
      <c r="H3800" t="str">
        <f t="shared" si="297"/>
        <v>—</v>
      </c>
      <c r="I3800" t="str">
        <f t="shared" si="298"/>
        <v>Below thresholds</v>
      </c>
      <c r="J3800" t="str">
        <f t="shared" si="299"/>
        <v/>
      </c>
    </row>
    <row r="3801" spans="1:10" x14ac:dyDescent="0.2">
      <c r="A3801">
        <v>227288927709</v>
      </c>
      <c r="B3801" t="s">
        <v>8142</v>
      </c>
      <c r="C3801" t="s">
        <v>8143</v>
      </c>
      <c r="D3801">
        <v>2.99</v>
      </c>
      <c r="F3801" t="str">
        <f t="shared" si="295"/>
        <v>No</v>
      </c>
      <c r="G3801" t="str">
        <f t="shared" si="296"/>
        <v/>
      </c>
      <c r="H3801" t="str">
        <f t="shared" si="297"/>
        <v>—</v>
      </c>
      <c r="I3801" t="str">
        <f t="shared" si="298"/>
        <v>Below thresholds</v>
      </c>
      <c r="J3801" t="str">
        <f t="shared" si="299"/>
        <v/>
      </c>
    </row>
    <row r="3802" spans="1:10" x14ac:dyDescent="0.2">
      <c r="A3802">
        <v>227288927799</v>
      </c>
      <c r="B3802" t="s">
        <v>8144</v>
      </c>
      <c r="C3802" t="s">
        <v>8145</v>
      </c>
      <c r="D3802">
        <v>9.99</v>
      </c>
      <c r="F3802" t="str">
        <f t="shared" si="295"/>
        <v>No</v>
      </c>
      <c r="G3802" t="str">
        <f t="shared" si="296"/>
        <v/>
      </c>
      <c r="H3802" t="str">
        <f t="shared" si="297"/>
        <v>—</v>
      </c>
      <c r="I3802" t="str">
        <f t="shared" si="298"/>
        <v>Below thresholds</v>
      </c>
      <c r="J3802" t="str">
        <f t="shared" si="299"/>
        <v/>
      </c>
    </row>
    <row r="3803" spans="1:10" x14ac:dyDescent="0.2">
      <c r="A3803">
        <v>227288927897</v>
      </c>
      <c r="B3803" t="s">
        <v>8146</v>
      </c>
      <c r="C3803" t="s">
        <v>8147</v>
      </c>
      <c r="D3803">
        <v>2.4900000000000002</v>
      </c>
      <c r="F3803" t="str">
        <f t="shared" si="295"/>
        <v>No</v>
      </c>
      <c r="G3803" t="str">
        <f t="shared" si="296"/>
        <v/>
      </c>
      <c r="H3803" t="str">
        <f t="shared" si="297"/>
        <v>—</v>
      </c>
      <c r="I3803" t="str">
        <f t="shared" si="298"/>
        <v>Below thresholds</v>
      </c>
      <c r="J3803" t="str">
        <f t="shared" si="299"/>
        <v/>
      </c>
    </row>
    <row r="3804" spans="1:10" x14ac:dyDescent="0.2">
      <c r="A3804">
        <v>227288927913</v>
      </c>
      <c r="B3804" t="s">
        <v>8148</v>
      </c>
      <c r="C3804" t="s">
        <v>8149</v>
      </c>
      <c r="D3804">
        <v>4</v>
      </c>
      <c r="F3804" t="str">
        <f t="shared" si="295"/>
        <v>No</v>
      </c>
      <c r="G3804" t="str">
        <f t="shared" si="296"/>
        <v/>
      </c>
      <c r="H3804" t="str">
        <f t="shared" si="297"/>
        <v>—</v>
      </c>
      <c r="I3804" t="str">
        <f t="shared" si="298"/>
        <v>Below thresholds</v>
      </c>
      <c r="J3804" t="str">
        <f t="shared" si="299"/>
        <v/>
      </c>
    </row>
    <row r="3805" spans="1:10" x14ac:dyDescent="0.2">
      <c r="A3805">
        <v>227288927915</v>
      </c>
      <c r="B3805" t="s">
        <v>8150</v>
      </c>
      <c r="C3805" t="s">
        <v>8151</v>
      </c>
      <c r="D3805">
        <v>2.99</v>
      </c>
      <c r="F3805" t="str">
        <f t="shared" si="295"/>
        <v>No</v>
      </c>
      <c r="G3805" t="str">
        <f t="shared" si="296"/>
        <v/>
      </c>
      <c r="H3805" t="str">
        <f t="shared" si="297"/>
        <v>—</v>
      </c>
      <c r="I3805" t="str">
        <f t="shared" si="298"/>
        <v>Below thresholds</v>
      </c>
      <c r="J3805" t="str">
        <f t="shared" si="299"/>
        <v/>
      </c>
    </row>
    <row r="3806" spans="1:10" x14ac:dyDescent="0.2">
      <c r="A3806">
        <v>227288927916</v>
      </c>
      <c r="B3806" t="s">
        <v>8152</v>
      </c>
      <c r="C3806" t="s">
        <v>8153</v>
      </c>
      <c r="D3806">
        <v>2.4900000000000002</v>
      </c>
      <c r="F3806" t="str">
        <f t="shared" si="295"/>
        <v>No</v>
      </c>
      <c r="G3806" t="str">
        <f t="shared" si="296"/>
        <v/>
      </c>
      <c r="H3806" t="str">
        <f t="shared" si="297"/>
        <v>—</v>
      </c>
      <c r="I3806" t="str">
        <f t="shared" si="298"/>
        <v>Below thresholds</v>
      </c>
      <c r="J3806" t="str">
        <f t="shared" si="299"/>
        <v/>
      </c>
    </row>
    <row r="3807" spans="1:10" x14ac:dyDescent="0.2">
      <c r="A3807">
        <v>227288992429</v>
      </c>
      <c r="B3807" t="s">
        <v>8154</v>
      </c>
      <c r="C3807" t="s">
        <v>8155</v>
      </c>
      <c r="D3807">
        <v>15</v>
      </c>
      <c r="F3807" t="str">
        <f t="shared" si="295"/>
        <v>No</v>
      </c>
      <c r="G3807" t="str">
        <f t="shared" si="296"/>
        <v/>
      </c>
      <c r="H3807" t="str">
        <f t="shared" si="297"/>
        <v>—</v>
      </c>
      <c r="I3807" t="str">
        <f t="shared" si="298"/>
        <v>Below thresholds</v>
      </c>
      <c r="J3807" t="str">
        <f t="shared" si="299"/>
        <v/>
      </c>
    </row>
    <row r="3808" spans="1:10" x14ac:dyDescent="0.2">
      <c r="A3808">
        <v>227289656355</v>
      </c>
      <c r="B3808" t="s">
        <v>8156</v>
      </c>
      <c r="C3808" t="s">
        <v>8157</v>
      </c>
      <c r="D3808">
        <v>1.99</v>
      </c>
      <c r="F3808" t="str">
        <f t="shared" si="295"/>
        <v>No</v>
      </c>
      <c r="G3808" t="str">
        <f t="shared" si="296"/>
        <v/>
      </c>
      <c r="H3808" t="str">
        <f t="shared" si="297"/>
        <v>—</v>
      </c>
      <c r="I3808" t="str">
        <f t="shared" si="298"/>
        <v>Below thresholds</v>
      </c>
      <c r="J3808" t="str">
        <f t="shared" si="299"/>
        <v/>
      </c>
    </row>
    <row r="3809" spans="1:10" x14ac:dyDescent="0.2">
      <c r="A3809">
        <v>227289656424</v>
      </c>
      <c r="B3809" t="s">
        <v>8158</v>
      </c>
      <c r="C3809" t="s">
        <v>8159</v>
      </c>
      <c r="D3809">
        <v>3.99</v>
      </c>
      <c r="F3809" t="str">
        <f t="shared" si="295"/>
        <v>No</v>
      </c>
      <c r="G3809" t="str">
        <f t="shared" si="296"/>
        <v/>
      </c>
      <c r="H3809" t="str">
        <f t="shared" si="297"/>
        <v>—</v>
      </c>
      <c r="I3809" t="str">
        <f t="shared" si="298"/>
        <v>Below thresholds</v>
      </c>
      <c r="J3809" t="str">
        <f t="shared" si="299"/>
        <v/>
      </c>
    </row>
    <row r="3810" spans="1:10" x14ac:dyDescent="0.2">
      <c r="A3810">
        <v>227289656518</v>
      </c>
      <c r="B3810" t="s">
        <v>8160</v>
      </c>
      <c r="C3810" t="s">
        <v>8161</v>
      </c>
      <c r="D3810">
        <v>1.5</v>
      </c>
      <c r="F3810" t="str">
        <f t="shared" si="295"/>
        <v>No</v>
      </c>
      <c r="G3810" t="str">
        <f t="shared" si="296"/>
        <v/>
      </c>
      <c r="H3810" t="str">
        <f t="shared" si="297"/>
        <v>—</v>
      </c>
      <c r="I3810" t="str">
        <f t="shared" si="298"/>
        <v>Below thresholds</v>
      </c>
      <c r="J3810" t="str">
        <f t="shared" si="299"/>
        <v/>
      </c>
    </row>
    <row r="3811" spans="1:10" x14ac:dyDescent="0.2">
      <c r="A3811">
        <v>227289656557</v>
      </c>
      <c r="B3811" t="s">
        <v>8162</v>
      </c>
      <c r="C3811" t="s">
        <v>8163</v>
      </c>
      <c r="D3811">
        <v>1.99</v>
      </c>
      <c r="F3811" t="str">
        <f t="shared" si="295"/>
        <v>No</v>
      </c>
      <c r="G3811" t="str">
        <f t="shared" si="296"/>
        <v/>
      </c>
      <c r="H3811" t="str">
        <f t="shared" si="297"/>
        <v>—</v>
      </c>
      <c r="I3811" t="str">
        <f t="shared" si="298"/>
        <v>Below thresholds</v>
      </c>
      <c r="J3811" t="str">
        <f t="shared" si="299"/>
        <v/>
      </c>
    </row>
    <row r="3812" spans="1:10" x14ac:dyDescent="0.2">
      <c r="A3812">
        <v>227289656657</v>
      </c>
      <c r="B3812" t="s">
        <v>8164</v>
      </c>
      <c r="C3812" t="s">
        <v>8165</v>
      </c>
      <c r="D3812">
        <v>4</v>
      </c>
      <c r="F3812" t="str">
        <f t="shared" si="295"/>
        <v>No</v>
      </c>
      <c r="G3812" t="str">
        <f t="shared" si="296"/>
        <v/>
      </c>
      <c r="H3812" t="str">
        <f t="shared" si="297"/>
        <v>—</v>
      </c>
      <c r="I3812" t="str">
        <f t="shared" si="298"/>
        <v>Below thresholds</v>
      </c>
      <c r="J3812" t="str">
        <f t="shared" si="299"/>
        <v/>
      </c>
    </row>
    <row r="3813" spans="1:10" x14ac:dyDescent="0.2">
      <c r="A3813">
        <v>227289656658</v>
      </c>
      <c r="B3813" t="s">
        <v>8166</v>
      </c>
      <c r="C3813" t="s">
        <v>8167</v>
      </c>
      <c r="D3813">
        <v>17</v>
      </c>
      <c r="F3813" t="str">
        <f t="shared" si="295"/>
        <v>No</v>
      </c>
      <c r="G3813" t="str">
        <f t="shared" si="296"/>
        <v/>
      </c>
      <c r="H3813" t="str">
        <f t="shared" si="297"/>
        <v>—</v>
      </c>
      <c r="I3813" t="str">
        <f t="shared" si="298"/>
        <v>Below thresholds</v>
      </c>
      <c r="J3813" t="str">
        <f t="shared" si="299"/>
        <v/>
      </c>
    </row>
    <row r="3814" spans="1:10" x14ac:dyDescent="0.2">
      <c r="A3814">
        <v>227289656723</v>
      </c>
      <c r="B3814" t="s">
        <v>8168</v>
      </c>
      <c r="C3814" t="s">
        <v>8169</v>
      </c>
      <c r="D3814">
        <v>2.5499999999999998</v>
      </c>
      <c r="F3814" t="str">
        <f t="shared" si="295"/>
        <v>No</v>
      </c>
      <c r="G3814" t="str">
        <f t="shared" si="296"/>
        <v/>
      </c>
      <c r="H3814" t="str">
        <f t="shared" si="297"/>
        <v>—</v>
      </c>
      <c r="I3814" t="str">
        <f t="shared" si="298"/>
        <v>Below thresholds</v>
      </c>
      <c r="J3814" t="str">
        <f t="shared" si="299"/>
        <v/>
      </c>
    </row>
    <row r="3815" spans="1:10" x14ac:dyDescent="0.2">
      <c r="A3815">
        <v>227289656728</v>
      </c>
      <c r="B3815" t="s">
        <v>8170</v>
      </c>
      <c r="C3815" t="s">
        <v>8171</v>
      </c>
      <c r="D3815">
        <v>2.6</v>
      </c>
      <c r="F3815" t="str">
        <f t="shared" si="295"/>
        <v>No</v>
      </c>
      <c r="G3815" t="str">
        <f t="shared" si="296"/>
        <v/>
      </c>
      <c r="H3815" t="str">
        <f t="shared" si="297"/>
        <v>—</v>
      </c>
      <c r="I3815" t="str">
        <f t="shared" si="298"/>
        <v>Below thresholds</v>
      </c>
      <c r="J3815" t="str">
        <f t="shared" si="299"/>
        <v/>
      </c>
    </row>
    <row r="3816" spans="1:10" x14ac:dyDescent="0.2">
      <c r="A3816">
        <v>227289656821</v>
      </c>
      <c r="B3816" t="s">
        <v>8172</v>
      </c>
      <c r="C3816" t="s">
        <v>8173</v>
      </c>
      <c r="D3816">
        <v>2.95</v>
      </c>
      <c r="F3816" t="str">
        <f t="shared" si="295"/>
        <v>No</v>
      </c>
      <c r="G3816" t="str">
        <f t="shared" si="296"/>
        <v/>
      </c>
      <c r="H3816" t="str">
        <f t="shared" si="297"/>
        <v>—</v>
      </c>
      <c r="I3816" t="str">
        <f t="shared" si="298"/>
        <v>Below thresholds</v>
      </c>
      <c r="J3816" t="str">
        <f t="shared" si="299"/>
        <v/>
      </c>
    </row>
    <row r="3817" spans="1:10" x14ac:dyDescent="0.2">
      <c r="A3817">
        <v>227289656900</v>
      </c>
      <c r="B3817" t="s">
        <v>8174</v>
      </c>
      <c r="C3817" t="s">
        <v>8175</v>
      </c>
      <c r="D3817">
        <v>3.99</v>
      </c>
      <c r="F3817" t="str">
        <f t="shared" si="295"/>
        <v>No</v>
      </c>
      <c r="G3817" t="str">
        <f t="shared" si="296"/>
        <v/>
      </c>
      <c r="H3817" t="str">
        <f t="shared" si="297"/>
        <v>—</v>
      </c>
      <c r="I3817" t="str">
        <f t="shared" si="298"/>
        <v>Below thresholds</v>
      </c>
      <c r="J3817" t="str">
        <f t="shared" si="299"/>
        <v/>
      </c>
    </row>
    <row r="3818" spans="1:10" x14ac:dyDescent="0.2">
      <c r="A3818">
        <v>227289662232</v>
      </c>
      <c r="B3818" t="s">
        <v>8176</v>
      </c>
      <c r="C3818" t="s">
        <v>8177</v>
      </c>
      <c r="D3818">
        <v>1.99</v>
      </c>
      <c r="F3818" t="str">
        <f t="shared" si="295"/>
        <v>No</v>
      </c>
      <c r="G3818" t="str">
        <f t="shared" si="296"/>
        <v/>
      </c>
      <c r="H3818" t="str">
        <f t="shared" si="297"/>
        <v>—</v>
      </c>
      <c r="I3818" t="str">
        <f t="shared" si="298"/>
        <v>Below thresholds</v>
      </c>
      <c r="J3818" t="str">
        <f t="shared" si="299"/>
        <v/>
      </c>
    </row>
    <row r="3819" spans="1:10" x14ac:dyDescent="0.2">
      <c r="A3819">
        <v>227290174073</v>
      </c>
      <c r="B3819" t="s">
        <v>8178</v>
      </c>
      <c r="C3819" t="s">
        <v>8179</v>
      </c>
      <c r="D3819">
        <v>14.99</v>
      </c>
      <c r="F3819" t="str">
        <f t="shared" si="295"/>
        <v>No</v>
      </c>
      <c r="G3819" t="str">
        <f t="shared" si="296"/>
        <v/>
      </c>
      <c r="H3819" t="str">
        <f t="shared" si="297"/>
        <v>—</v>
      </c>
      <c r="I3819" t="str">
        <f t="shared" si="298"/>
        <v>Below thresholds</v>
      </c>
      <c r="J3819" t="str">
        <f t="shared" si="299"/>
        <v/>
      </c>
    </row>
    <row r="3820" spans="1:10" x14ac:dyDescent="0.2">
      <c r="A3820">
        <v>227290202132</v>
      </c>
      <c r="B3820" t="s">
        <v>8180</v>
      </c>
      <c r="C3820" t="s">
        <v>8181</v>
      </c>
      <c r="D3820">
        <v>1.25</v>
      </c>
      <c r="F3820" t="str">
        <f t="shared" si="295"/>
        <v>No</v>
      </c>
      <c r="G3820" t="str">
        <f t="shared" si="296"/>
        <v/>
      </c>
      <c r="H3820" t="str">
        <f t="shared" si="297"/>
        <v>—</v>
      </c>
      <c r="I3820" t="str">
        <f t="shared" si="298"/>
        <v>Below thresholds</v>
      </c>
      <c r="J3820" t="str">
        <f t="shared" si="299"/>
        <v/>
      </c>
    </row>
    <row r="3821" spans="1:10" x14ac:dyDescent="0.2">
      <c r="A3821">
        <v>227290202154</v>
      </c>
      <c r="B3821" t="s">
        <v>8182</v>
      </c>
      <c r="C3821" t="s">
        <v>8183</v>
      </c>
      <c r="D3821">
        <v>5</v>
      </c>
      <c r="F3821" t="str">
        <f t="shared" si="295"/>
        <v>No</v>
      </c>
      <c r="G3821" t="str">
        <f t="shared" si="296"/>
        <v/>
      </c>
      <c r="H3821" t="str">
        <f t="shared" si="297"/>
        <v>—</v>
      </c>
      <c r="I3821" t="str">
        <f t="shared" si="298"/>
        <v>Below thresholds</v>
      </c>
      <c r="J3821" t="str">
        <f t="shared" si="299"/>
        <v/>
      </c>
    </row>
    <row r="3822" spans="1:10" x14ac:dyDescent="0.2">
      <c r="A3822">
        <v>227290202194</v>
      </c>
      <c r="B3822" t="s">
        <v>8184</v>
      </c>
      <c r="C3822" t="s">
        <v>8185</v>
      </c>
      <c r="D3822">
        <v>5</v>
      </c>
      <c r="F3822" t="str">
        <f t="shared" si="295"/>
        <v>No</v>
      </c>
      <c r="G3822" t="str">
        <f t="shared" si="296"/>
        <v/>
      </c>
      <c r="H3822" t="str">
        <f t="shared" si="297"/>
        <v>—</v>
      </c>
      <c r="I3822" t="str">
        <f t="shared" si="298"/>
        <v>Below thresholds</v>
      </c>
      <c r="J3822" t="str">
        <f t="shared" si="299"/>
        <v/>
      </c>
    </row>
    <row r="3823" spans="1:10" x14ac:dyDescent="0.2">
      <c r="A3823">
        <v>227290202257</v>
      </c>
      <c r="B3823" t="s">
        <v>8186</v>
      </c>
      <c r="C3823" t="s">
        <v>8187</v>
      </c>
      <c r="D3823">
        <v>3.99</v>
      </c>
      <c r="F3823" t="str">
        <f t="shared" si="295"/>
        <v>No</v>
      </c>
      <c r="G3823" t="str">
        <f t="shared" si="296"/>
        <v/>
      </c>
      <c r="H3823" t="str">
        <f t="shared" si="297"/>
        <v>—</v>
      </c>
      <c r="I3823" t="str">
        <f t="shared" si="298"/>
        <v>Below thresholds</v>
      </c>
      <c r="J3823" t="str">
        <f t="shared" si="299"/>
        <v/>
      </c>
    </row>
    <row r="3824" spans="1:10" x14ac:dyDescent="0.2">
      <c r="A3824">
        <v>227290202287</v>
      </c>
      <c r="B3824" t="s">
        <v>8188</v>
      </c>
      <c r="C3824" t="s">
        <v>8189</v>
      </c>
      <c r="D3824">
        <v>4.99</v>
      </c>
      <c r="F3824" t="str">
        <f t="shared" si="295"/>
        <v>No</v>
      </c>
      <c r="G3824" t="str">
        <f t="shared" si="296"/>
        <v/>
      </c>
      <c r="H3824" t="str">
        <f t="shared" si="297"/>
        <v>—</v>
      </c>
      <c r="I3824" t="str">
        <f t="shared" si="298"/>
        <v>Below thresholds</v>
      </c>
      <c r="J3824" t="str">
        <f t="shared" si="299"/>
        <v/>
      </c>
    </row>
    <row r="3825" spans="1:10" x14ac:dyDescent="0.2">
      <c r="A3825">
        <v>227290202347</v>
      </c>
      <c r="B3825" t="s">
        <v>8190</v>
      </c>
      <c r="C3825" t="s">
        <v>8191</v>
      </c>
      <c r="D3825">
        <v>1.99</v>
      </c>
      <c r="F3825" t="str">
        <f t="shared" si="295"/>
        <v>No</v>
      </c>
      <c r="G3825" t="str">
        <f t="shared" si="296"/>
        <v/>
      </c>
      <c r="H3825" t="str">
        <f t="shared" si="297"/>
        <v>—</v>
      </c>
      <c r="I3825" t="str">
        <f t="shared" si="298"/>
        <v>Below thresholds</v>
      </c>
      <c r="J3825" t="str">
        <f t="shared" si="299"/>
        <v/>
      </c>
    </row>
    <row r="3826" spans="1:10" x14ac:dyDescent="0.2">
      <c r="A3826">
        <v>227290202355</v>
      </c>
      <c r="B3826" t="s">
        <v>8192</v>
      </c>
      <c r="C3826" t="s">
        <v>8193</v>
      </c>
      <c r="D3826">
        <v>10.99</v>
      </c>
      <c r="F3826" t="str">
        <f t="shared" si="295"/>
        <v>No</v>
      </c>
      <c r="G3826" t="str">
        <f t="shared" si="296"/>
        <v/>
      </c>
      <c r="H3826" t="str">
        <f t="shared" si="297"/>
        <v>—</v>
      </c>
      <c r="I3826" t="str">
        <f t="shared" si="298"/>
        <v>Below thresholds</v>
      </c>
      <c r="J3826" t="str">
        <f t="shared" si="299"/>
        <v/>
      </c>
    </row>
    <row r="3827" spans="1:10" x14ac:dyDescent="0.2">
      <c r="A3827">
        <v>227290202421</v>
      </c>
      <c r="B3827" t="s">
        <v>8194</v>
      </c>
      <c r="C3827" t="s">
        <v>8195</v>
      </c>
      <c r="D3827">
        <v>4.99</v>
      </c>
      <c r="F3827" t="str">
        <f t="shared" si="295"/>
        <v>No</v>
      </c>
      <c r="G3827" t="str">
        <f t="shared" si="296"/>
        <v/>
      </c>
      <c r="H3827" t="str">
        <f t="shared" si="297"/>
        <v>—</v>
      </c>
      <c r="I3827" t="str">
        <f t="shared" si="298"/>
        <v>Below thresholds</v>
      </c>
      <c r="J3827" t="str">
        <f t="shared" si="299"/>
        <v/>
      </c>
    </row>
    <row r="3828" spans="1:10" x14ac:dyDescent="0.2">
      <c r="A3828">
        <v>227290202427</v>
      </c>
      <c r="B3828" t="s">
        <v>8196</v>
      </c>
      <c r="C3828" t="s">
        <v>8197</v>
      </c>
      <c r="D3828">
        <v>1.99</v>
      </c>
      <c r="F3828" t="str">
        <f t="shared" si="295"/>
        <v>No</v>
      </c>
      <c r="G3828" t="str">
        <f t="shared" si="296"/>
        <v/>
      </c>
      <c r="H3828" t="str">
        <f t="shared" si="297"/>
        <v>—</v>
      </c>
      <c r="I3828" t="str">
        <f t="shared" si="298"/>
        <v>Below thresholds</v>
      </c>
      <c r="J3828" t="str">
        <f t="shared" si="299"/>
        <v/>
      </c>
    </row>
    <row r="3829" spans="1:10" x14ac:dyDescent="0.2">
      <c r="A3829">
        <v>227290873563</v>
      </c>
      <c r="B3829" t="s">
        <v>8198</v>
      </c>
      <c r="C3829" t="s">
        <v>8199</v>
      </c>
      <c r="D3829">
        <v>35</v>
      </c>
      <c r="F3829" t="str">
        <f t="shared" si="295"/>
        <v>No</v>
      </c>
      <c r="G3829" t="str">
        <f t="shared" si="296"/>
        <v/>
      </c>
      <c r="H3829" t="str">
        <f t="shared" si="297"/>
        <v>—</v>
      </c>
      <c r="I3829" t="str">
        <f t="shared" si="298"/>
        <v>$20+ — needs velocity check</v>
      </c>
      <c r="J3829" t="str">
        <f t="shared" si="299"/>
        <v>YES — pull CardHedger</v>
      </c>
    </row>
    <row r="3830" spans="1:10" x14ac:dyDescent="0.2">
      <c r="A3830">
        <v>227290873627</v>
      </c>
      <c r="B3830" t="s">
        <v>8200</v>
      </c>
      <c r="C3830" t="s">
        <v>8201</v>
      </c>
      <c r="D3830">
        <v>9.99</v>
      </c>
      <c r="F3830" t="str">
        <f t="shared" si="295"/>
        <v>No</v>
      </c>
      <c r="G3830" t="str">
        <f t="shared" si="296"/>
        <v/>
      </c>
      <c r="H3830" t="str">
        <f t="shared" si="297"/>
        <v>—</v>
      </c>
      <c r="I3830" t="str">
        <f t="shared" si="298"/>
        <v>Below thresholds</v>
      </c>
      <c r="J3830" t="str">
        <f t="shared" si="299"/>
        <v/>
      </c>
    </row>
    <row r="3831" spans="1:10" x14ac:dyDescent="0.2">
      <c r="A3831">
        <v>227291120311</v>
      </c>
      <c r="B3831" t="s">
        <v>8202</v>
      </c>
      <c r="C3831" t="s">
        <v>8203</v>
      </c>
      <c r="D3831">
        <v>17</v>
      </c>
      <c r="F3831" t="str">
        <f t="shared" si="295"/>
        <v>No</v>
      </c>
      <c r="G3831" t="str">
        <f t="shared" si="296"/>
        <v/>
      </c>
      <c r="H3831" t="str">
        <f t="shared" si="297"/>
        <v>—</v>
      </c>
      <c r="I3831" t="str">
        <f t="shared" si="298"/>
        <v>Below thresholds</v>
      </c>
      <c r="J3831" t="str">
        <f t="shared" si="299"/>
        <v/>
      </c>
    </row>
    <row r="3832" spans="1:10" x14ac:dyDescent="0.2">
      <c r="A3832">
        <v>227291294950</v>
      </c>
      <c r="B3832" t="s">
        <v>8204</v>
      </c>
      <c r="C3832" t="s">
        <v>8205</v>
      </c>
      <c r="D3832">
        <v>1.49</v>
      </c>
      <c r="F3832" t="str">
        <f t="shared" si="295"/>
        <v>No</v>
      </c>
      <c r="G3832" t="str">
        <f t="shared" si="296"/>
        <v/>
      </c>
      <c r="H3832" t="str">
        <f t="shared" si="297"/>
        <v>—</v>
      </c>
      <c r="I3832" t="str">
        <f t="shared" si="298"/>
        <v>Below thresholds</v>
      </c>
      <c r="J3832" t="str">
        <f t="shared" si="299"/>
        <v/>
      </c>
    </row>
    <row r="3833" spans="1:10" x14ac:dyDescent="0.2">
      <c r="A3833">
        <v>227291295062</v>
      </c>
      <c r="B3833" t="s">
        <v>8206</v>
      </c>
      <c r="C3833" t="s">
        <v>8207</v>
      </c>
      <c r="D3833">
        <v>1.79</v>
      </c>
      <c r="F3833" t="str">
        <f t="shared" si="295"/>
        <v>No</v>
      </c>
      <c r="G3833" t="str">
        <f t="shared" si="296"/>
        <v/>
      </c>
      <c r="H3833" t="str">
        <f t="shared" si="297"/>
        <v>—</v>
      </c>
      <c r="I3833" t="str">
        <f t="shared" si="298"/>
        <v>Below thresholds</v>
      </c>
      <c r="J3833" t="str">
        <f t="shared" si="299"/>
        <v/>
      </c>
    </row>
    <row r="3834" spans="1:10" x14ac:dyDescent="0.2">
      <c r="A3834">
        <v>227291295137</v>
      </c>
      <c r="B3834" t="s">
        <v>8208</v>
      </c>
      <c r="C3834" t="s">
        <v>8209</v>
      </c>
      <c r="D3834">
        <v>1.0900000000000001</v>
      </c>
      <c r="F3834" t="str">
        <f t="shared" si="295"/>
        <v>No</v>
      </c>
      <c r="G3834" t="str">
        <f t="shared" si="296"/>
        <v/>
      </c>
      <c r="H3834" t="str">
        <f t="shared" si="297"/>
        <v>—</v>
      </c>
      <c r="I3834" t="str">
        <f t="shared" si="298"/>
        <v>Below thresholds</v>
      </c>
      <c r="J3834" t="str">
        <f t="shared" si="299"/>
        <v/>
      </c>
    </row>
    <row r="3835" spans="1:10" x14ac:dyDescent="0.2">
      <c r="A3835">
        <v>227291295163</v>
      </c>
      <c r="B3835" t="s">
        <v>8210</v>
      </c>
      <c r="C3835" t="s">
        <v>8211</v>
      </c>
      <c r="D3835">
        <v>1.99</v>
      </c>
      <c r="F3835" t="str">
        <f t="shared" si="295"/>
        <v>No</v>
      </c>
      <c r="G3835" t="str">
        <f t="shared" si="296"/>
        <v/>
      </c>
      <c r="H3835" t="str">
        <f t="shared" si="297"/>
        <v>—</v>
      </c>
      <c r="I3835" t="str">
        <f t="shared" si="298"/>
        <v>Below thresholds</v>
      </c>
      <c r="J3835" t="str">
        <f t="shared" si="299"/>
        <v/>
      </c>
    </row>
    <row r="3836" spans="1:10" x14ac:dyDescent="0.2">
      <c r="A3836">
        <v>227291295314</v>
      </c>
      <c r="B3836" t="s">
        <v>8212</v>
      </c>
      <c r="C3836" t="s">
        <v>8213</v>
      </c>
      <c r="D3836">
        <v>1.5</v>
      </c>
      <c r="F3836" t="str">
        <f t="shared" si="295"/>
        <v>No</v>
      </c>
      <c r="G3836" t="str">
        <f t="shared" si="296"/>
        <v/>
      </c>
      <c r="H3836" t="str">
        <f t="shared" si="297"/>
        <v>—</v>
      </c>
      <c r="I3836" t="str">
        <f t="shared" si="298"/>
        <v>Below thresholds</v>
      </c>
      <c r="J3836" t="str">
        <f t="shared" si="299"/>
        <v/>
      </c>
    </row>
    <row r="3837" spans="1:10" x14ac:dyDescent="0.2">
      <c r="A3837">
        <v>227291295334</v>
      </c>
      <c r="B3837" t="s">
        <v>8214</v>
      </c>
      <c r="C3837" t="s">
        <v>8215</v>
      </c>
      <c r="D3837">
        <v>1.75</v>
      </c>
      <c r="F3837" t="str">
        <f t="shared" si="295"/>
        <v>No</v>
      </c>
      <c r="G3837" t="str">
        <f t="shared" si="296"/>
        <v/>
      </c>
      <c r="H3837" t="str">
        <f t="shared" si="297"/>
        <v>—</v>
      </c>
      <c r="I3837" t="str">
        <f t="shared" si="298"/>
        <v>Below thresholds</v>
      </c>
      <c r="J3837" t="str">
        <f t="shared" si="299"/>
        <v/>
      </c>
    </row>
    <row r="3838" spans="1:10" x14ac:dyDescent="0.2">
      <c r="A3838">
        <v>227291295376</v>
      </c>
      <c r="B3838" t="s">
        <v>8216</v>
      </c>
      <c r="C3838" t="s">
        <v>8217</v>
      </c>
      <c r="D3838">
        <v>1.49</v>
      </c>
      <c r="F3838" t="str">
        <f t="shared" si="295"/>
        <v>No</v>
      </c>
      <c r="G3838" t="str">
        <f t="shared" si="296"/>
        <v/>
      </c>
      <c r="H3838" t="str">
        <f t="shared" si="297"/>
        <v>—</v>
      </c>
      <c r="I3838" t="str">
        <f t="shared" si="298"/>
        <v>Below thresholds</v>
      </c>
      <c r="J3838" t="str">
        <f t="shared" si="299"/>
        <v/>
      </c>
    </row>
    <row r="3839" spans="1:10" x14ac:dyDescent="0.2">
      <c r="A3839">
        <v>227291295389</v>
      </c>
      <c r="B3839" t="s">
        <v>8218</v>
      </c>
      <c r="C3839" t="s">
        <v>8219</v>
      </c>
      <c r="D3839">
        <v>1.19</v>
      </c>
      <c r="F3839" t="str">
        <f t="shared" si="295"/>
        <v>No</v>
      </c>
      <c r="G3839" t="str">
        <f t="shared" si="296"/>
        <v/>
      </c>
      <c r="H3839" t="str">
        <f t="shared" si="297"/>
        <v>—</v>
      </c>
      <c r="I3839" t="str">
        <f t="shared" si="298"/>
        <v>Below thresholds</v>
      </c>
      <c r="J3839" t="str">
        <f t="shared" si="299"/>
        <v/>
      </c>
    </row>
    <row r="3840" spans="1:10" x14ac:dyDescent="0.2">
      <c r="A3840">
        <v>227291295408</v>
      </c>
      <c r="B3840" t="s">
        <v>8220</v>
      </c>
      <c r="C3840" t="s">
        <v>8221</v>
      </c>
      <c r="D3840">
        <v>1.89</v>
      </c>
      <c r="F3840" t="str">
        <f t="shared" si="295"/>
        <v>No</v>
      </c>
      <c r="G3840" t="str">
        <f t="shared" si="296"/>
        <v/>
      </c>
      <c r="H3840" t="str">
        <f t="shared" si="297"/>
        <v>—</v>
      </c>
      <c r="I3840" t="str">
        <f t="shared" si="298"/>
        <v>Below thresholds</v>
      </c>
      <c r="J3840" t="str">
        <f t="shared" si="299"/>
        <v/>
      </c>
    </row>
    <row r="3841" spans="1:10" x14ac:dyDescent="0.2">
      <c r="A3841">
        <v>227291295434</v>
      </c>
      <c r="B3841" t="s">
        <v>8222</v>
      </c>
      <c r="C3841" t="s">
        <v>8223</v>
      </c>
      <c r="D3841">
        <v>1.59</v>
      </c>
      <c r="F3841" t="str">
        <f t="shared" si="295"/>
        <v>No</v>
      </c>
      <c r="G3841" t="str">
        <f t="shared" si="296"/>
        <v/>
      </c>
      <c r="H3841" t="str">
        <f t="shared" si="297"/>
        <v>—</v>
      </c>
      <c r="I3841" t="str">
        <f t="shared" si="298"/>
        <v>Below thresholds</v>
      </c>
      <c r="J3841" t="str">
        <f t="shared" si="299"/>
        <v/>
      </c>
    </row>
    <row r="3842" spans="1:10" x14ac:dyDescent="0.2">
      <c r="A3842">
        <v>227291295460</v>
      </c>
      <c r="B3842" t="s">
        <v>8224</v>
      </c>
      <c r="C3842" t="s">
        <v>8225</v>
      </c>
      <c r="D3842">
        <v>1.0900000000000001</v>
      </c>
      <c r="F3842" t="str">
        <f t="shared" si="295"/>
        <v>No</v>
      </c>
      <c r="G3842" t="str">
        <f t="shared" si="296"/>
        <v/>
      </c>
      <c r="H3842" t="str">
        <f t="shared" si="297"/>
        <v>—</v>
      </c>
      <c r="I3842" t="str">
        <f t="shared" si="298"/>
        <v>Below thresholds</v>
      </c>
      <c r="J3842" t="str">
        <f t="shared" si="299"/>
        <v/>
      </c>
    </row>
    <row r="3843" spans="1:10" x14ac:dyDescent="0.2">
      <c r="A3843">
        <v>227291295485</v>
      </c>
      <c r="B3843" t="s">
        <v>8226</v>
      </c>
      <c r="C3843" t="s">
        <v>8227</v>
      </c>
      <c r="D3843">
        <v>1.59</v>
      </c>
      <c r="F3843" t="str">
        <f t="shared" si="295"/>
        <v>No</v>
      </c>
      <c r="G3843" t="str">
        <f t="shared" si="296"/>
        <v/>
      </c>
      <c r="H3843" t="str">
        <f t="shared" si="297"/>
        <v>—</v>
      </c>
      <c r="I3843" t="str">
        <f t="shared" si="298"/>
        <v>Below thresholds</v>
      </c>
      <c r="J3843" t="str">
        <f t="shared" si="299"/>
        <v/>
      </c>
    </row>
    <row r="3844" spans="1:10" x14ac:dyDescent="0.2">
      <c r="A3844">
        <v>227291295558</v>
      </c>
      <c r="B3844" t="s">
        <v>8228</v>
      </c>
      <c r="C3844" t="s">
        <v>8229</v>
      </c>
      <c r="D3844">
        <v>1.99</v>
      </c>
      <c r="F3844" t="str">
        <f t="shared" si="295"/>
        <v>No</v>
      </c>
      <c r="G3844" t="str">
        <f t="shared" si="296"/>
        <v/>
      </c>
      <c r="H3844" t="str">
        <f t="shared" si="297"/>
        <v>—</v>
      </c>
      <c r="I3844" t="str">
        <f t="shared" si="298"/>
        <v>Below thresholds</v>
      </c>
      <c r="J3844" t="str">
        <f t="shared" si="299"/>
        <v/>
      </c>
    </row>
    <row r="3845" spans="1:10" x14ac:dyDescent="0.2">
      <c r="A3845">
        <v>227291295568</v>
      </c>
      <c r="B3845" t="s">
        <v>8230</v>
      </c>
      <c r="C3845" t="s">
        <v>8231</v>
      </c>
      <c r="D3845">
        <v>1.49</v>
      </c>
      <c r="F3845" t="str">
        <f t="shared" ref="F3845:F3908" si="300">IF($B3845="","",IF(ISNUMBER(SEARCH("PSA",$B3845)),"Yes","No"))</f>
        <v>No</v>
      </c>
      <c r="G3845" t="str">
        <f t="shared" ref="G3845:G3908" si="301">IF($B3845="","",IF(ISNUMBER(SEARCH("PSA 10",$B3845)),10,IF(ISNUMBER(SEARCH("PSA 9.5",$B3845)),9.5,IF(ISNUMBER(SEARCH("PSA 9",$B3845)),9,IF(ISNUMBER(SEARCH("PSA 8",$B3845)),8,IF(ISNUMBER(SEARCH("PSA",$B3845)),"&lt;9",""))))))</f>
        <v/>
      </c>
      <c r="H3845" t="str">
        <f t="shared" ref="H3845:H3908" si="302">IF($B3845="","",IF($D3845&gt;=100,"TIER 2",IF(OR(ISNUMBER(SEARCH("PSA 10",$B3845)),ISNUMBER(SEARCH("PSA 9.5",$B3845)),ISNUMBER(SEARCH("PSA 9",$B3845))),"TIER 3",IF(AND($D3845&gt;20,N($E3845)&gt;=15),"TIER 1","—"))))</f>
        <v>—</v>
      </c>
      <c r="I3845" t="str">
        <f t="shared" ref="I3845:I3908" si="303">IF($B3845="","",IF($D3845&gt;=100,"Premium $100+ (auto)",IF(OR(ISNUMBER(SEARCH("PSA 10",$B3845)),ISNUMBER(SEARCH("PSA 9.5",$B3845)),ISNUMBER(SEARCH("PSA 9",$B3845))),"Graded PSA 9+ (auto)",IF(AND($D3845&gt;20,N($E3845)&gt;=15),"Hot: $20+ &amp; "&amp;$E3845&amp;"/day",IF($D3845&gt;20,"$20+ — needs velocity check","Below thresholds")))))</f>
        <v>Below thresholds</v>
      </c>
      <c r="J3845" t="str">
        <f t="shared" ref="J3845:J3908" si="304">IF($B3845="","",IF(AND($D3845&gt;20,$D3845&lt;100,NOT(OR(ISNUMBER(SEARCH("PSA 10",$B3845)),ISNUMBER(SEARCH("PSA 9.5",$B3845)),ISNUMBER(SEARCH("PSA 9",$B3845)))),$E3845=""),"YES — pull CardHedger",""))</f>
        <v/>
      </c>
    </row>
    <row r="3846" spans="1:10" x14ac:dyDescent="0.2">
      <c r="A3846">
        <v>227291295581</v>
      </c>
      <c r="B3846" t="s">
        <v>8232</v>
      </c>
      <c r="C3846" t="s">
        <v>8233</v>
      </c>
      <c r="D3846">
        <v>1.99</v>
      </c>
      <c r="F3846" t="str">
        <f t="shared" si="300"/>
        <v>No</v>
      </c>
      <c r="G3846" t="str">
        <f t="shared" si="301"/>
        <v/>
      </c>
      <c r="H3846" t="str">
        <f t="shared" si="302"/>
        <v>—</v>
      </c>
      <c r="I3846" t="str">
        <f t="shared" si="303"/>
        <v>Below thresholds</v>
      </c>
      <c r="J3846" t="str">
        <f t="shared" si="304"/>
        <v/>
      </c>
    </row>
    <row r="3847" spans="1:10" x14ac:dyDescent="0.2">
      <c r="A3847">
        <v>227291295658</v>
      </c>
      <c r="B3847" t="s">
        <v>8234</v>
      </c>
      <c r="C3847" t="s">
        <v>8235</v>
      </c>
      <c r="D3847">
        <v>2.25</v>
      </c>
      <c r="F3847" t="str">
        <f t="shared" si="300"/>
        <v>No</v>
      </c>
      <c r="G3847" t="str">
        <f t="shared" si="301"/>
        <v/>
      </c>
      <c r="H3847" t="str">
        <f t="shared" si="302"/>
        <v>—</v>
      </c>
      <c r="I3847" t="str">
        <f t="shared" si="303"/>
        <v>Below thresholds</v>
      </c>
      <c r="J3847" t="str">
        <f t="shared" si="304"/>
        <v/>
      </c>
    </row>
    <row r="3848" spans="1:10" x14ac:dyDescent="0.2">
      <c r="A3848">
        <v>227291295662</v>
      </c>
      <c r="B3848" t="s">
        <v>8236</v>
      </c>
      <c r="C3848" t="s">
        <v>8237</v>
      </c>
      <c r="D3848">
        <v>1.59</v>
      </c>
      <c r="F3848" t="str">
        <f t="shared" si="300"/>
        <v>No</v>
      </c>
      <c r="G3848" t="str">
        <f t="shared" si="301"/>
        <v/>
      </c>
      <c r="H3848" t="str">
        <f t="shared" si="302"/>
        <v>—</v>
      </c>
      <c r="I3848" t="str">
        <f t="shared" si="303"/>
        <v>Below thresholds</v>
      </c>
      <c r="J3848" t="str">
        <f t="shared" si="304"/>
        <v/>
      </c>
    </row>
    <row r="3849" spans="1:10" x14ac:dyDescent="0.2">
      <c r="A3849">
        <v>227291302550</v>
      </c>
      <c r="B3849" t="s">
        <v>8238</v>
      </c>
      <c r="C3849" t="s">
        <v>8239</v>
      </c>
      <c r="D3849">
        <v>2.99</v>
      </c>
      <c r="F3849" t="str">
        <f t="shared" si="300"/>
        <v>No</v>
      </c>
      <c r="G3849" t="str">
        <f t="shared" si="301"/>
        <v/>
      </c>
      <c r="H3849" t="str">
        <f t="shared" si="302"/>
        <v>—</v>
      </c>
      <c r="I3849" t="str">
        <f t="shared" si="303"/>
        <v>Below thresholds</v>
      </c>
      <c r="J3849" t="str">
        <f t="shared" si="304"/>
        <v/>
      </c>
    </row>
    <row r="3850" spans="1:10" x14ac:dyDescent="0.2">
      <c r="A3850">
        <v>227291302635</v>
      </c>
      <c r="B3850" t="s">
        <v>8240</v>
      </c>
      <c r="C3850" t="s">
        <v>8241</v>
      </c>
      <c r="D3850">
        <v>9.99</v>
      </c>
      <c r="F3850" t="str">
        <f t="shared" si="300"/>
        <v>No</v>
      </c>
      <c r="G3850" t="str">
        <f t="shared" si="301"/>
        <v/>
      </c>
      <c r="H3850" t="str">
        <f t="shared" si="302"/>
        <v>—</v>
      </c>
      <c r="I3850" t="str">
        <f t="shared" si="303"/>
        <v>Below thresholds</v>
      </c>
      <c r="J3850" t="str">
        <f t="shared" si="304"/>
        <v/>
      </c>
    </row>
    <row r="3851" spans="1:10" x14ac:dyDescent="0.2">
      <c r="A3851">
        <v>227291302655</v>
      </c>
      <c r="B3851" t="s">
        <v>8242</v>
      </c>
      <c r="C3851" t="s">
        <v>8243</v>
      </c>
      <c r="D3851">
        <v>2.99</v>
      </c>
      <c r="F3851" t="str">
        <f t="shared" si="300"/>
        <v>No</v>
      </c>
      <c r="G3851" t="str">
        <f t="shared" si="301"/>
        <v/>
      </c>
      <c r="H3851" t="str">
        <f t="shared" si="302"/>
        <v>—</v>
      </c>
      <c r="I3851" t="str">
        <f t="shared" si="303"/>
        <v>Below thresholds</v>
      </c>
      <c r="J3851" t="str">
        <f t="shared" si="304"/>
        <v/>
      </c>
    </row>
    <row r="3852" spans="1:10" x14ac:dyDescent="0.2">
      <c r="A3852">
        <v>227291302744</v>
      </c>
      <c r="B3852" t="s">
        <v>8244</v>
      </c>
      <c r="C3852" t="s">
        <v>8245</v>
      </c>
      <c r="D3852">
        <v>15</v>
      </c>
      <c r="F3852" t="str">
        <f t="shared" si="300"/>
        <v>No</v>
      </c>
      <c r="G3852" t="str">
        <f t="shared" si="301"/>
        <v/>
      </c>
      <c r="H3852" t="str">
        <f t="shared" si="302"/>
        <v>—</v>
      </c>
      <c r="I3852" t="str">
        <f t="shared" si="303"/>
        <v>Below thresholds</v>
      </c>
      <c r="J3852" t="str">
        <f t="shared" si="304"/>
        <v/>
      </c>
    </row>
    <row r="3853" spans="1:10" x14ac:dyDescent="0.2">
      <c r="A3853">
        <v>227292281828</v>
      </c>
      <c r="B3853" t="s">
        <v>8246</v>
      </c>
      <c r="C3853" t="s">
        <v>8247</v>
      </c>
      <c r="D3853">
        <v>75</v>
      </c>
      <c r="F3853" t="str">
        <f t="shared" si="300"/>
        <v>No</v>
      </c>
      <c r="G3853" t="str">
        <f t="shared" si="301"/>
        <v/>
      </c>
      <c r="H3853" t="str">
        <f t="shared" si="302"/>
        <v>—</v>
      </c>
      <c r="I3853" t="str">
        <f t="shared" si="303"/>
        <v>$20+ — needs velocity check</v>
      </c>
      <c r="J3853" t="str">
        <f t="shared" si="304"/>
        <v>YES — pull CardHedger</v>
      </c>
    </row>
    <row r="3854" spans="1:10" x14ac:dyDescent="0.2">
      <c r="A3854">
        <v>227292895724</v>
      </c>
      <c r="B3854" t="s">
        <v>8248</v>
      </c>
      <c r="C3854" t="s">
        <v>8249</v>
      </c>
      <c r="D3854">
        <v>40</v>
      </c>
      <c r="F3854" t="str">
        <f t="shared" si="300"/>
        <v>No</v>
      </c>
      <c r="G3854" t="str">
        <f t="shared" si="301"/>
        <v/>
      </c>
      <c r="H3854" t="str">
        <f t="shared" si="302"/>
        <v>—</v>
      </c>
      <c r="I3854" t="str">
        <f t="shared" si="303"/>
        <v>$20+ — needs velocity check</v>
      </c>
      <c r="J3854" t="str">
        <f t="shared" si="304"/>
        <v>YES — pull CardHedger</v>
      </c>
    </row>
    <row r="3855" spans="1:10" x14ac:dyDescent="0.2">
      <c r="A3855">
        <v>227292930793</v>
      </c>
      <c r="B3855" t="s">
        <v>8250</v>
      </c>
      <c r="C3855" t="s">
        <v>8251</v>
      </c>
      <c r="D3855">
        <v>2.09</v>
      </c>
      <c r="F3855" t="str">
        <f t="shared" si="300"/>
        <v>No</v>
      </c>
      <c r="G3855" t="str">
        <f t="shared" si="301"/>
        <v/>
      </c>
      <c r="H3855" t="str">
        <f t="shared" si="302"/>
        <v>—</v>
      </c>
      <c r="I3855" t="str">
        <f t="shared" si="303"/>
        <v>Below thresholds</v>
      </c>
      <c r="J3855" t="str">
        <f t="shared" si="304"/>
        <v/>
      </c>
    </row>
    <row r="3856" spans="1:10" x14ac:dyDescent="0.2">
      <c r="A3856">
        <v>227292930842</v>
      </c>
      <c r="B3856" t="s">
        <v>8252</v>
      </c>
      <c r="C3856" t="s">
        <v>8253</v>
      </c>
      <c r="D3856">
        <v>1.25</v>
      </c>
      <c r="F3856" t="str">
        <f t="shared" si="300"/>
        <v>No</v>
      </c>
      <c r="G3856" t="str">
        <f t="shared" si="301"/>
        <v/>
      </c>
      <c r="H3856" t="str">
        <f t="shared" si="302"/>
        <v>—</v>
      </c>
      <c r="I3856" t="str">
        <f t="shared" si="303"/>
        <v>Below thresholds</v>
      </c>
      <c r="J3856" t="str">
        <f t="shared" si="304"/>
        <v/>
      </c>
    </row>
    <row r="3857" spans="1:10" x14ac:dyDescent="0.2">
      <c r="A3857">
        <v>227292930847</v>
      </c>
      <c r="B3857" t="s">
        <v>8254</v>
      </c>
      <c r="C3857" t="s">
        <v>8255</v>
      </c>
      <c r="D3857">
        <v>1.99</v>
      </c>
      <c r="F3857" t="str">
        <f t="shared" si="300"/>
        <v>No</v>
      </c>
      <c r="G3857" t="str">
        <f t="shared" si="301"/>
        <v/>
      </c>
      <c r="H3857" t="str">
        <f t="shared" si="302"/>
        <v>—</v>
      </c>
      <c r="I3857" t="str">
        <f t="shared" si="303"/>
        <v>Below thresholds</v>
      </c>
      <c r="J3857" t="str">
        <f t="shared" si="304"/>
        <v/>
      </c>
    </row>
    <row r="3858" spans="1:10" x14ac:dyDescent="0.2">
      <c r="A3858">
        <v>227292930896</v>
      </c>
      <c r="B3858" t="s">
        <v>8256</v>
      </c>
      <c r="C3858" t="s">
        <v>8257</v>
      </c>
      <c r="D3858">
        <v>3.99</v>
      </c>
      <c r="F3858" t="str">
        <f t="shared" si="300"/>
        <v>No</v>
      </c>
      <c r="G3858" t="str">
        <f t="shared" si="301"/>
        <v/>
      </c>
      <c r="H3858" t="str">
        <f t="shared" si="302"/>
        <v>—</v>
      </c>
      <c r="I3858" t="str">
        <f t="shared" si="303"/>
        <v>Below thresholds</v>
      </c>
      <c r="J3858" t="str">
        <f t="shared" si="304"/>
        <v/>
      </c>
    </row>
    <row r="3859" spans="1:10" x14ac:dyDescent="0.2">
      <c r="A3859">
        <v>227292930936</v>
      </c>
      <c r="B3859" t="s">
        <v>8258</v>
      </c>
      <c r="C3859" t="s">
        <v>8259</v>
      </c>
      <c r="D3859">
        <v>1.99</v>
      </c>
      <c r="F3859" t="str">
        <f t="shared" si="300"/>
        <v>No</v>
      </c>
      <c r="G3859" t="str">
        <f t="shared" si="301"/>
        <v/>
      </c>
      <c r="H3859" t="str">
        <f t="shared" si="302"/>
        <v>—</v>
      </c>
      <c r="I3859" t="str">
        <f t="shared" si="303"/>
        <v>Below thresholds</v>
      </c>
      <c r="J3859" t="str">
        <f t="shared" si="304"/>
        <v/>
      </c>
    </row>
    <row r="3860" spans="1:10" x14ac:dyDescent="0.2">
      <c r="A3860">
        <v>227292930979</v>
      </c>
      <c r="B3860" t="s">
        <v>8260</v>
      </c>
      <c r="C3860" t="s">
        <v>8261</v>
      </c>
      <c r="D3860">
        <v>4.5</v>
      </c>
      <c r="F3860" t="str">
        <f t="shared" si="300"/>
        <v>No</v>
      </c>
      <c r="G3860" t="str">
        <f t="shared" si="301"/>
        <v/>
      </c>
      <c r="H3860" t="str">
        <f t="shared" si="302"/>
        <v>—</v>
      </c>
      <c r="I3860" t="str">
        <f t="shared" si="303"/>
        <v>Below thresholds</v>
      </c>
      <c r="J3860" t="str">
        <f t="shared" si="304"/>
        <v/>
      </c>
    </row>
    <row r="3861" spans="1:10" x14ac:dyDescent="0.2">
      <c r="A3861">
        <v>227292930993</v>
      </c>
      <c r="B3861" t="s">
        <v>8262</v>
      </c>
      <c r="C3861" t="s">
        <v>8263</v>
      </c>
      <c r="D3861">
        <v>1.1000000000000001</v>
      </c>
      <c r="F3861" t="str">
        <f t="shared" si="300"/>
        <v>No</v>
      </c>
      <c r="G3861" t="str">
        <f t="shared" si="301"/>
        <v/>
      </c>
      <c r="H3861" t="str">
        <f t="shared" si="302"/>
        <v>—</v>
      </c>
      <c r="I3861" t="str">
        <f t="shared" si="303"/>
        <v>Below thresholds</v>
      </c>
      <c r="J3861" t="str">
        <f t="shared" si="304"/>
        <v/>
      </c>
    </row>
    <row r="3862" spans="1:10" x14ac:dyDescent="0.2">
      <c r="A3862">
        <v>227292931032</v>
      </c>
      <c r="B3862" t="s">
        <v>8264</v>
      </c>
      <c r="C3862" t="s">
        <v>8265</v>
      </c>
      <c r="D3862">
        <v>5</v>
      </c>
      <c r="F3862" t="str">
        <f t="shared" si="300"/>
        <v>No</v>
      </c>
      <c r="G3862" t="str">
        <f t="shared" si="301"/>
        <v/>
      </c>
      <c r="H3862" t="str">
        <f t="shared" si="302"/>
        <v>—</v>
      </c>
      <c r="I3862" t="str">
        <f t="shared" si="303"/>
        <v>Below thresholds</v>
      </c>
      <c r="J3862" t="str">
        <f t="shared" si="304"/>
        <v/>
      </c>
    </row>
    <row r="3863" spans="1:10" x14ac:dyDescent="0.2">
      <c r="A3863">
        <v>227292931073</v>
      </c>
      <c r="B3863" t="s">
        <v>8266</v>
      </c>
      <c r="C3863" t="s">
        <v>8267</v>
      </c>
      <c r="D3863">
        <v>1.99</v>
      </c>
      <c r="F3863" t="str">
        <f t="shared" si="300"/>
        <v>No</v>
      </c>
      <c r="G3863" t="str">
        <f t="shared" si="301"/>
        <v/>
      </c>
      <c r="H3863" t="str">
        <f t="shared" si="302"/>
        <v>—</v>
      </c>
      <c r="I3863" t="str">
        <f t="shared" si="303"/>
        <v>Below thresholds</v>
      </c>
      <c r="J3863" t="str">
        <f t="shared" si="304"/>
        <v/>
      </c>
    </row>
    <row r="3864" spans="1:10" x14ac:dyDescent="0.2">
      <c r="A3864">
        <v>227292931087</v>
      </c>
      <c r="B3864" t="s">
        <v>8268</v>
      </c>
      <c r="C3864" t="s">
        <v>8269</v>
      </c>
      <c r="D3864">
        <v>2.4900000000000002</v>
      </c>
      <c r="F3864" t="str">
        <f t="shared" si="300"/>
        <v>No</v>
      </c>
      <c r="G3864" t="str">
        <f t="shared" si="301"/>
        <v/>
      </c>
      <c r="H3864" t="str">
        <f t="shared" si="302"/>
        <v>—</v>
      </c>
      <c r="I3864" t="str">
        <f t="shared" si="303"/>
        <v>Below thresholds</v>
      </c>
      <c r="J3864" t="str">
        <f t="shared" si="304"/>
        <v/>
      </c>
    </row>
    <row r="3865" spans="1:10" x14ac:dyDescent="0.2">
      <c r="A3865">
        <v>227292931120</v>
      </c>
      <c r="B3865" t="s">
        <v>8270</v>
      </c>
      <c r="C3865" t="s">
        <v>8271</v>
      </c>
      <c r="D3865">
        <v>2.99</v>
      </c>
      <c r="F3865" t="str">
        <f t="shared" si="300"/>
        <v>No</v>
      </c>
      <c r="G3865" t="str">
        <f t="shared" si="301"/>
        <v/>
      </c>
      <c r="H3865" t="str">
        <f t="shared" si="302"/>
        <v>—</v>
      </c>
      <c r="I3865" t="str">
        <f t="shared" si="303"/>
        <v>Below thresholds</v>
      </c>
      <c r="J3865" t="str">
        <f t="shared" si="304"/>
        <v/>
      </c>
    </row>
    <row r="3866" spans="1:10" x14ac:dyDescent="0.2">
      <c r="A3866">
        <v>227292931162</v>
      </c>
      <c r="B3866" t="s">
        <v>8272</v>
      </c>
      <c r="C3866" t="s">
        <v>8273</v>
      </c>
      <c r="D3866">
        <v>10</v>
      </c>
      <c r="F3866" t="str">
        <f t="shared" si="300"/>
        <v>No</v>
      </c>
      <c r="G3866" t="str">
        <f t="shared" si="301"/>
        <v/>
      </c>
      <c r="H3866" t="str">
        <f t="shared" si="302"/>
        <v>—</v>
      </c>
      <c r="I3866" t="str">
        <f t="shared" si="303"/>
        <v>Below thresholds</v>
      </c>
      <c r="J3866" t="str">
        <f t="shared" si="304"/>
        <v/>
      </c>
    </row>
    <row r="3867" spans="1:10" x14ac:dyDescent="0.2">
      <c r="A3867">
        <v>227292931269</v>
      </c>
      <c r="B3867" t="s">
        <v>8274</v>
      </c>
      <c r="C3867" t="s">
        <v>8275</v>
      </c>
      <c r="D3867">
        <v>1.99</v>
      </c>
      <c r="F3867" t="str">
        <f t="shared" si="300"/>
        <v>No</v>
      </c>
      <c r="G3867" t="str">
        <f t="shared" si="301"/>
        <v/>
      </c>
      <c r="H3867" t="str">
        <f t="shared" si="302"/>
        <v>—</v>
      </c>
      <c r="I3867" t="str">
        <f t="shared" si="303"/>
        <v>Below thresholds</v>
      </c>
      <c r="J3867" t="str">
        <f t="shared" si="304"/>
        <v/>
      </c>
    </row>
    <row r="3868" spans="1:10" x14ac:dyDescent="0.2">
      <c r="A3868">
        <v>227294096862</v>
      </c>
      <c r="B3868" t="s">
        <v>8276</v>
      </c>
      <c r="C3868" t="s">
        <v>8277</v>
      </c>
      <c r="D3868">
        <v>1.99</v>
      </c>
      <c r="F3868" t="str">
        <f t="shared" si="300"/>
        <v>No</v>
      </c>
      <c r="G3868" t="str">
        <f t="shared" si="301"/>
        <v/>
      </c>
      <c r="H3868" t="str">
        <f t="shared" si="302"/>
        <v>—</v>
      </c>
      <c r="I3868" t="str">
        <f t="shared" si="303"/>
        <v>Below thresholds</v>
      </c>
      <c r="J3868" t="str">
        <f t="shared" si="304"/>
        <v/>
      </c>
    </row>
    <row r="3869" spans="1:10" x14ac:dyDescent="0.2">
      <c r="A3869">
        <v>227294096892</v>
      </c>
      <c r="B3869" t="s">
        <v>8278</v>
      </c>
      <c r="C3869" t="s">
        <v>8279</v>
      </c>
      <c r="D3869">
        <v>1.99</v>
      </c>
      <c r="F3869" t="str">
        <f t="shared" si="300"/>
        <v>No</v>
      </c>
      <c r="G3869" t="str">
        <f t="shared" si="301"/>
        <v/>
      </c>
      <c r="H3869" t="str">
        <f t="shared" si="302"/>
        <v>—</v>
      </c>
      <c r="I3869" t="str">
        <f t="shared" si="303"/>
        <v>Below thresholds</v>
      </c>
      <c r="J3869" t="str">
        <f t="shared" si="304"/>
        <v/>
      </c>
    </row>
    <row r="3870" spans="1:10" x14ac:dyDescent="0.2">
      <c r="A3870">
        <v>227294096901</v>
      </c>
      <c r="B3870" t="s">
        <v>8280</v>
      </c>
      <c r="C3870" t="s">
        <v>8281</v>
      </c>
      <c r="D3870">
        <v>5</v>
      </c>
      <c r="F3870" t="str">
        <f t="shared" si="300"/>
        <v>No</v>
      </c>
      <c r="G3870" t="str">
        <f t="shared" si="301"/>
        <v/>
      </c>
      <c r="H3870" t="str">
        <f t="shared" si="302"/>
        <v>—</v>
      </c>
      <c r="I3870" t="str">
        <f t="shared" si="303"/>
        <v>Below thresholds</v>
      </c>
      <c r="J3870" t="str">
        <f t="shared" si="304"/>
        <v/>
      </c>
    </row>
    <row r="3871" spans="1:10" x14ac:dyDescent="0.2">
      <c r="A3871">
        <v>227294096902</v>
      </c>
      <c r="B3871" t="s">
        <v>8282</v>
      </c>
      <c r="C3871" t="s">
        <v>8283</v>
      </c>
      <c r="D3871">
        <v>2.99</v>
      </c>
      <c r="F3871" t="str">
        <f t="shared" si="300"/>
        <v>No</v>
      </c>
      <c r="G3871" t="str">
        <f t="shared" si="301"/>
        <v/>
      </c>
      <c r="H3871" t="str">
        <f t="shared" si="302"/>
        <v>—</v>
      </c>
      <c r="I3871" t="str">
        <f t="shared" si="303"/>
        <v>Below thresholds</v>
      </c>
      <c r="J3871" t="str">
        <f t="shared" si="304"/>
        <v/>
      </c>
    </row>
    <row r="3872" spans="1:10" x14ac:dyDescent="0.2">
      <c r="A3872">
        <v>227294096905</v>
      </c>
      <c r="B3872" t="s">
        <v>8284</v>
      </c>
      <c r="C3872" t="s">
        <v>8285</v>
      </c>
      <c r="D3872">
        <v>1.99</v>
      </c>
      <c r="F3872" t="str">
        <f t="shared" si="300"/>
        <v>No</v>
      </c>
      <c r="G3872" t="str">
        <f t="shared" si="301"/>
        <v/>
      </c>
      <c r="H3872" t="str">
        <f t="shared" si="302"/>
        <v>—</v>
      </c>
      <c r="I3872" t="str">
        <f t="shared" si="303"/>
        <v>Below thresholds</v>
      </c>
      <c r="J3872" t="str">
        <f t="shared" si="304"/>
        <v/>
      </c>
    </row>
    <row r="3873" spans="1:10" x14ac:dyDescent="0.2">
      <c r="A3873">
        <v>227294096936</v>
      </c>
      <c r="B3873" t="s">
        <v>8286</v>
      </c>
      <c r="C3873" t="s">
        <v>8287</v>
      </c>
      <c r="D3873">
        <v>2</v>
      </c>
      <c r="F3873" t="str">
        <f t="shared" si="300"/>
        <v>No</v>
      </c>
      <c r="G3873" t="str">
        <f t="shared" si="301"/>
        <v/>
      </c>
      <c r="H3873" t="str">
        <f t="shared" si="302"/>
        <v>—</v>
      </c>
      <c r="I3873" t="str">
        <f t="shared" si="303"/>
        <v>Below thresholds</v>
      </c>
      <c r="J3873" t="str">
        <f t="shared" si="304"/>
        <v/>
      </c>
    </row>
    <row r="3874" spans="1:10" x14ac:dyDescent="0.2">
      <c r="A3874">
        <v>227294096957</v>
      </c>
      <c r="B3874" t="s">
        <v>8288</v>
      </c>
      <c r="C3874" t="s">
        <v>8289</v>
      </c>
      <c r="D3874">
        <v>4</v>
      </c>
      <c r="F3874" t="str">
        <f t="shared" si="300"/>
        <v>No</v>
      </c>
      <c r="G3874" t="str">
        <f t="shared" si="301"/>
        <v/>
      </c>
      <c r="H3874" t="str">
        <f t="shared" si="302"/>
        <v>—</v>
      </c>
      <c r="I3874" t="str">
        <f t="shared" si="303"/>
        <v>Below thresholds</v>
      </c>
      <c r="J3874" t="str">
        <f t="shared" si="304"/>
        <v/>
      </c>
    </row>
    <row r="3875" spans="1:10" x14ac:dyDescent="0.2">
      <c r="A3875">
        <v>227294096990</v>
      </c>
      <c r="B3875" t="s">
        <v>8290</v>
      </c>
      <c r="C3875" t="s">
        <v>8291</v>
      </c>
      <c r="D3875">
        <v>1.99</v>
      </c>
      <c r="F3875" t="str">
        <f t="shared" si="300"/>
        <v>No</v>
      </c>
      <c r="G3875" t="str">
        <f t="shared" si="301"/>
        <v/>
      </c>
      <c r="H3875" t="str">
        <f t="shared" si="302"/>
        <v>—</v>
      </c>
      <c r="I3875" t="str">
        <f t="shared" si="303"/>
        <v>Below thresholds</v>
      </c>
      <c r="J3875" t="str">
        <f t="shared" si="304"/>
        <v/>
      </c>
    </row>
    <row r="3876" spans="1:10" x14ac:dyDescent="0.2">
      <c r="A3876">
        <v>227294096991</v>
      </c>
      <c r="B3876" t="s">
        <v>8292</v>
      </c>
      <c r="C3876" t="s">
        <v>8293</v>
      </c>
      <c r="D3876">
        <v>2.5</v>
      </c>
      <c r="F3876" t="str">
        <f t="shared" si="300"/>
        <v>No</v>
      </c>
      <c r="G3876" t="str">
        <f t="shared" si="301"/>
        <v/>
      </c>
      <c r="H3876" t="str">
        <f t="shared" si="302"/>
        <v>—</v>
      </c>
      <c r="I3876" t="str">
        <f t="shared" si="303"/>
        <v>Below thresholds</v>
      </c>
      <c r="J3876" t="str">
        <f t="shared" si="304"/>
        <v/>
      </c>
    </row>
    <row r="3877" spans="1:10" x14ac:dyDescent="0.2">
      <c r="A3877">
        <v>227294097002</v>
      </c>
      <c r="B3877" t="s">
        <v>8294</v>
      </c>
      <c r="C3877" t="s">
        <v>8295</v>
      </c>
      <c r="D3877">
        <v>1</v>
      </c>
      <c r="F3877" t="str">
        <f t="shared" si="300"/>
        <v>No</v>
      </c>
      <c r="G3877" t="str">
        <f t="shared" si="301"/>
        <v/>
      </c>
      <c r="H3877" t="str">
        <f t="shared" si="302"/>
        <v>—</v>
      </c>
      <c r="I3877" t="str">
        <f t="shared" si="303"/>
        <v>Below thresholds</v>
      </c>
      <c r="J3877" t="str">
        <f t="shared" si="304"/>
        <v/>
      </c>
    </row>
    <row r="3878" spans="1:10" x14ac:dyDescent="0.2">
      <c r="A3878">
        <v>227294097018</v>
      </c>
      <c r="B3878" t="s">
        <v>8296</v>
      </c>
      <c r="C3878" t="s">
        <v>8297</v>
      </c>
      <c r="D3878">
        <v>2.5</v>
      </c>
      <c r="F3878" t="str">
        <f t="shared" si="300"/>
        <v>No</v>
      </c>
      <c r="G3878" t="str">
        <f t="shared" si="301"/>
        <v/>
      </c>
      <c r="H3878" t="str">
        <f t="shared" si="302"/>
        <v>—</v>
      </c>
      <c r="I3878" t="str">
        <f t="shared" si="303"/>
        <v>Below thresholds</v>
      </c>
      <c r="J3878" t="str">
        <f t="shared" si="304"/>
        <v/>
      </c>
    </row>
    <row r="3879" spans="1:10" x14ac:dyDescent="0.2">
      <c r="A3879">
        <v>227294097060</v>
      </c>
      <c r="B3879" t="s">
        <v>8298</v>
      </c>
      <c r="C3879" t="s">
        <v>8299</v>
      </c>
      <c r="D3879">
        <v>1.5</v>
      </c>
      <c r="F3879" t="str">
        <f t="shared" si="300"/>
        <v>No</v>
      </c>
      <c r="G3879" t="str">
        <f t="shared" si="301"/>
        <v/>
      </c>
      <c r="H3879" t="str">
        <f t="shared" si="302"/>
        <v>—</v>
      </c>
      <c r="I3879" t="str">
        <f t="shared" si="303"/>
        <v>Below thresholds</v>
      </c>
      <c r="J3879" t="str">
        <f t="shared" si="304"/>
        <v/>
      </c>
    </row>
    <row r="3880" spans="1:10" x14ac:dyDescent="0.2">
      <c r="A3880">
        <v>227294097072</v>
      </c>
      <c r="B3880" t="s">
        <v>8300</v>
      </c>
      <c r="C3880" t="s">
        <v>8301</v>
      </c>
      <c r="D3880">
        <v>2.99</v>
      </c>
      <c r="F3880" t="str">
        <f t="shared" si="300"/>
        <v>No</v>
      </c>
      <c r="G3880" t="str">
        <f t="shared" si="301"/>
        <v/>
      </c>
      <c r="H3880" t="str">
        <f t="shared" si="302"/>
        <v>—</v>
      </c>
      <c r="I3880" t="str">
        <f t="shared" si="303"/>
        <v>Below thresholds</v>
      </c>
      <c r="J3880" t="str">
        <f t="shared" si="304"/>
        <v/>
      </c>
    </row>
    <row r="3881" spans="1:10" x14ac:dyDescent="0.2">
      <c r="A3881">
        <v>227294097111</v>
      </c>
      <c r="B3881" t="s">
        <v>8302</v>
      </c>
      <c r="C3881" t="s">
        <v>8303</v>
      </c>
      <c r="D3881">
        <v>2</v>
      </c>
      <c r="F3881" t="str">
        <f t="shared" si="300"/>
        <v>No</v>
      </c>
      <c r="G3881" t="str">
        <f t="shared" si="301"/>
        <v/>
      </c>
      <c r="H3881" t="str">
        <f t="shared" si="302"/>
        <v>—</v>
      </c>
      <c r="I3881" t="str">
        <f t="shared" si="303"/>
        <v>Below thresholds</v>
      </c>
      <c r="J3881" t="str">
        <f t="shared" si="304"/>
        <v/>
      </c>
    </row>
    <row r="3882" spans="1:10" x14ac:dyDescent="0.2">
      <c r="A3882">
        <v>227294097125</v>
      </c>
      <c r="B3882" t="s">
        <v>8304</v>
      </c>
      <c r="C3882" t="s">
        <v>8305</v>
      </c>
      <c r="D3882">
        <v>1</v>
      </c>
      <c r="F3882" t="str">
        <f t="shared" si="300"/>
        <v>No</v>
      </c>
      <c r="G3882" t="str">
        <f t="shared" si="301"/>
        <v/>
      </c>
      <c r="H3882" t="str">
        <f t="shared" si="302"/>
        <v>—</v>
      </c>
      <c r="I3882" t="str">
        <f t="shared" si="303"/>
        <v>Below thresholds</v>
      </c>
      <c r="J3882" t="str">
        <f t="shared" si="304"/>
        <v/>
      </c>
    </row>
    <row r="3883" spans="1:10" x14ac:dyDescent="0.2">
      <c r="A3883">
        <v>227294097129</v>
      </c>
      <c r="B3883" t="s">
        <v>8306</v>
      </c>
      <c r="C3883" t="s">
        <v>8307</v>
      </c>
      <c r="D3883">
        <v>1.5</v>
      </c>
      <c r="F3883" t="str">
        <f t="shared" si="300"/>
        <v>No</v>
      </c>
      <c r="G3883" t="str">
        <f t="shared" si="301"/>
        <v/>
      </c>
      <c r="H3883" t="str">
        <f t="shared" si="302"/>
        <v>—</v>
      </c>
      <c r="I3883" t="str">
        <f t="shared" si="303"/>
        <v>Below thresholds</v>
      </c>
      <c r="J3883" t="str">
        <f t="shared" si="304"/>
        <v/>
      </c>
    </row>
    <row r="3884" spans="1:10" x14ac:dyDescent="0.2">
      <c r="A3884">
        <v>227294097145</v>
      </c>
      <c r="B3884" t="s">
        <v>8308</v>
      </c>
      <c r="C3884" t="s">
        <v>8309</v>
      </c>
      <c r="D3884">
        <v>1.75</v>
      </c>
      <c r="F3884" t="str">
        <f t="shared" si="300"/>
        <v>No</v>
      </c>
      <c r="G3884" t="str">
        <f t="shared" si="301"/>
        <v/>
      </c>
      <c r="H3884" t="str">
        <f t="shared" si="302"/>
        <v>—</v>
      </c>
      <c r="I3884" t="str">
        <f t="shared" si="303"/>
        <v>Below thresholds</v>
      </c>
      <c r="J3884" t="str">
        <f t="shared" si="304"/>
        <v/>
      </c>
    </row>
    <row r="3885" spans="1:10" x14ac:dyDescent="0.2">
      <c r="A3885">
        <v>227294097150</v>
      </c>
      <c r="B3885" t="s">
        <v>8310</v>
      </c>
      <c r="C3885" t="s">
        <v>8311</v>
      </c>
      <c r="D3885">
        <v>1.5</v>
      </c>
      <c r="F3885" t="str">
        <f t="shared" si="300"/>
        <v>No</v>
      </c>
      <c r="G3885" t="str">
        <f t="shared" si="301"/>
        <v/>
      </c>
      <c r="H3885" t="str">
        <f t="shared" si="302"/>
        <v>—</v>
      </c>
      <c r="I3885" t="str">
        <f t="shared" si="303"/>
        <v>Below thresholds</v>
      </c>
      <c r="J3885" t="str">
        <f t="shared" si="304"/>
        <v/>
      </c>
    </row>
    <row r="3886" spans="1:10" x14ac:dyDescent="0.2">
      <c r="A3886">
        <v>227294097225</v>
      </c>
      <c r="B3886" t="s">
        <v>8312</v>
      </c>
      <c r="C3886" t="s">
        <v>8313</v>
      </c>
      <c r="D3886">
        <v>2.99</v>
      </c>
      <c r="F3886" t="str">
        <f t="shared" si="300"/>
        <v>No</v>
      </c>
      <c r="G3886" t="str">
        <f t="shared" si="301"/>
        <v/>
      </c>
      <c r="H3886" t="str">
        <f t="shared" si="302"/>
        <v>—</v>
      </c>
      <c r="I3886" t="str">
        <f t="shared" si="303"/>
        <v>Below thresholds</v>
      </c>
      <c r="J3886" t="str">
        <f t="shared" si="304"/>
        <v/>
      </c>
    </row>
    <row r="3887" spans="1:10" x14ac:dyDescent="0.2">
      <c r="A3887">
        <v>227294097230</v>
      </c>
      <c r="B3887" t="s">
        <v>8314</v>
      </c>
      <c r="C3887" t="s">
        <v>8315</v>
      </c>
      <c r="D3887">
        <v>1</v>
      </c>
      <c r="F3887" t="str">
        <f t="shared" si="300"/>
        <v>No</v>
      </c>
      <c r="G3887" t="str">
        <f t="shared" si="301"/>
        <v/>
      </c>
      <c r="H3887" t="str">
        <f t="shared" si="302"/>
        <v>—</v>
      </c>
      <c r="I3887" t="str">
        <f t="shared" si="303"/>
        <v>Below thresholds</v>
      </c>
      <c r="J3887" t="str">
        <f t="shared" si="304"/>
        <v/>
      </c>
    </row>
    <row r="3888" spans="1:10" x14ac:dyDescent="0.2">
      <c r="A3888">
        <v>227294097234</v>
      </c>
      <c r="B3888" t="s">
        <v>8316</v>
      </c>
      <c r="C3888" t="s">
        <v>8317</v>
      </c>
      <c r="D3888">
        <v>1.5</v>
      </c>
      <c r="F3888" t="str">
        <f t="shared" si="300"/>
        <v>No</v>
      </c>
      <c r="G3888" t="str">
        <f t="shared" si="301"/>
        <v/>
      </c>
      <c r="H3888" t="str">
        <f t="shared" si="302"/>
        <v>—</v>
      </c>
      <c r="I3888" t="str">
        <f t="shared" si="303"/>
        <v>Below thresholds</v>
      </c>
      <c r="J3888" t="str">
        <f t="shared" si="304"/>
        <v/>
      </c>
    </row>
    <row r="3889" spans="1:10" x14ac:dyDescent="0.2">
      <c r="A3889">
        <v>227294097240</v>
      </c>
      <c r="B3889" t="s">
        <v>8318</v>
      </c>
      <c r="C3889" t="s">
        <v>8319</v>
      </c>
      <c r="D3889">
        <v>4.25</v>
      </c>
      <c r="F3889" t="str">
        <f t="shared" si="300"/>
        <v>No</v>
      </c>
      <c r="G3889" t="str">
        <f t="shared" si="301"/>
        <v/>
      </c>
      <c r="H3889" t="str">
        <f t="shared" si="302"/>
        <v>—</v>
      </c>
      <c r="I3889" t="str">
        <f t="shared" si="303"/>
        <v>Below thresholds</v>
      </c>
      <c r="J3889" t="str">
        <f t="shared" si="304"/>
        <v/>
      </c>
    </row>
    <row r="3890" spans="1:10" x14ac:dyDescent="0.2">
      <c r="A3890">
        <v>227294097260</v>
      </c>
      <c r="B3890" t="s">
        <v>8320</v>
      </c>
      <c r="C3890" t="s">
        <v>8321</v>
      </c>
      <c r="D3890">
        <v>1.5</v>
      </c>
      <c r="F3890" t="str">
        <f t="shared" si="300"/>
        <v>No</v>
      </c>
      <c r="G3890" t="str">
        <f t="shared" si="301"/>
        <v/>
      </c>
      <c r="H3890" t="str">
        <f t="shared" si="302"/>
        <v>—</v>
      </c>
      <c r="I3890" t="str">
        <f t="shared" si="303"/>
        <v>Below thresholds</v>
      </c>
      <c r="J3890" t="str">
        <f t="shared" si="304"/>
        <v/>
      </c>
    </row>
    <row r="3891" spans="1:10" x14ac:dyDescent="0.2">
      <c r="A3891">
        <v>227294097261</v>
      </c>
      <c r="B3891" t="s">
        <v>8322</v>
      </c>
      <c r="C3891" t="s">
        <v>8323</v>
      </c>
      <c r="D3891">
        <v>1.45</v>
      </c>
      <c r="F3891" t="str">
        <f t="shared" si="300"/>
        <v>No</v>
      </c>
      <c r="G3891" t="str">
        <f t="shared" si="301"/>
        <v/>
      </c>
      <c r="H3891" t="str">
        <f t="shared" si="302"/>
        <v>—</v>
      </c>
      <c r="I3891" t="str">
        <f t="shared" si="303"/>
        <v>Below thresholds</v>
      </c>
      <c r="J3891" t="str">
        <f t="shared" si="304"/>
        <v/>
      </c>
    </row>
    <row r="3892" spans="1:10" x14ac:dyDescent="0.2">
      <c r="A3892">
        <v>227294097488</v>
      </c>
      <c r="B3892" t="s">
        <v>8324</v>
      </c>
      <c r="C3892" t="s">
        <v>8325</v>
      </c>
      <c r="D3892">
        <v>6</v>
      </c>
      <c r="F3892" t="str">
        <f t="shared" si="300"/>
        <v>No</v>
      </c>
      <c r="G3892" t="str">
        <f t="shared" si="301"/>
        <v/>
      </c>
      <c r="H3892" t="str">
        <f t="shared" si="302"/>
        <v>—</v>
      </c>
      <c r="I3892" t="str">
        <f t="shared" si="303"/>
        <v>Below thresholds</v>
      </c>
      <c r="J3892" t="str">
        <f t="shared" si="304"/>
        <v/>
      </c>
    </row>
    <row r="3893" spans="1:10" x14ac:dyDescent="0.2">
      <c r="A3893">
        <v>227294097513</v>
      </c>
      <c r="B3893" t="s">
        <v>8326</v>
      </c>
      <c r="C3893" t="s">
        <v>8327</v>
      </c>
      <c r="D3893">
        <v>2.25</v>
      </c>
      <c r="F3893" t="str">
        <f t="shared" si="300"/>
        <v>No</v>
      </c>
      <c r="G3893" t="str">
        <f t="shared" si="301"/>
        <v/>
      </c>
      <c r="H3893" t="str">
        <f t="shared" si="302"/>
        <v>—</v>
      </c>
      <c r="I3893" t="str">
        <f t="shared" si="303"/>
        <v>Below thresholds</v>
      </c>
      <c r="J3893" t="str">
        <f t="shared" si="304"/>
        <v/>
      </c>
    </row>
    <row r="3894" spans="1:10" x14ac:dyDescent="0.2">
      <c r="A3894">
        <v>227294097529</v>
      </c>
      <c r="B3894" t="s">
        <v>8328</v>
      </c>
      <c r="C3894" t="s">
        <v>8329</v>
      </c>
      <c r="D3894">
        <v>1.75</v>
      </c>
      <c r="F3894" t="str">
        <f t="shared" si="300"/>
        <v>No</v>
      </c>
      <c r="G3894" t="str">
        <f t="shared" si="301"/>
        <v/>
      </c>
      <c r="H3894" t="str">
        <f t="shared" si="302"/>
        <v>—</v>
      </c>
      <c r="I3894" t="str">
        <f t="shared" si="303"/>
        <v>Below thresholds</v>
      </c>
      <c r="J3894" t="str">
        <f t="shared" si="304"/>
        <v/>
      </c>
    </row>
    <row r="3895" spans="1:10" x14ac:dyDescent="0.2">
      <c r="A3895">
        <v>227294097569</v>
      </c>
      <c r="B3895" t="s">
        <v>8330</v>
      </c>
      <c r="C3895" t="s">
        <v>8331</v>
      </c>
      <c r="D3895">
        <v>1.99</v>
      </c>
      <c r="F3895" t="str">
        <f t="shared" si="300"/>
        <v>No</v>
      </c>
      <c r="G3895" t="str">
        <f t="shared" si="301"/>
        <v/>
      </c>
      <c r="H3895" t="str">
        <f t="shared" si="302"/>
        <v>—</v>
      </c>
      <c r="I3895" t="str">
        <f t="shared" si="303"/>
        <v>Below thresholds</v>
      </c>
      <c r="J3895" t="str">
        <f t="shared" si="304"/>
        <v/>
      </c>
    </row>
    <row r="3896" spans="1:10" x14ac:dyDescent="0.2">
      <c r="A3896">
        <v>227294097643</v>
      </c>
      <c r="B3896" t="s">
        <v>8332</v>
      </c>
      <c r="C3896" t="s">
        <v>8333</v>
      </c>
      <c r="D3896">
        <v>2.29</v>
      </c>
      <c r="F3896" t="str">
        <f t="shared" si="300"/>
        <v>No</v>
      </c>
      <c r="G3896" t="str">
        <f t="shared" si="301"/>
        <v/>
      </c>
      <c r="H3896" t="str">
        <f t="shared" si="302"/>
        <v>—</v>
      </c>
      <c r="I3896" t="str">
        <f t="shared" si="303"/>
        <v>Below thresholds</v>
      </c>
      <c r="J3896" t="str">
        <f t="shared" si="304"/>
        <v/>
      </c>
    </row>
    <row r="3897" spans="1:10" x14ac:dyDescent="0.2">
      <c r="A3897">
        <v>227294097769</v>
      </c>
      <c r="B3897" t="s">
        <v>8334</v>
      </c>
      <c r="C3897" t="s">
        <v>8335</v>
      </c>
      <c r="D3897">
        <v>2</v>
      </c>
      <c r="F3897" t="str">
        <f t="shared" si="300"/>
        <v>No</v>
      </c>
      <c r="G3897" t="str">
        <f t="shared" si="301"/>
        <v/>
      </c>
      <c r="H3897" t="str">
        <f t="shared" si="302"/>
        <v>—</v>
      </c>
      <c r="I3897" t="str">
        <f t="shared" si="303"/>
        <v>Below thresholds</v>
      </c>
      <c r="J3897" t="str">
        <f t="shared" si="304"/>
        <v/>
      </c>
    </row>
    <row r="3898" spans="1:10" x14ac:dyDescent="0.2">
      <c r="A3898">
        <v>227294097805</v>
      </c>
      <c r="B3898" t="s">
        <v>8336</v>
      </c>
      <c r="C3898" t="s">
        <v>8337</v>
      </c>
      <c r="D3898">
        <v>1.99</v>
      </c>
      <c r="F3898" t="str">
        <f t="shared" si="300"/>
        <v>No</v>
      </c>
      <c r="G3898" t="str">
        <f t="shared" si="301"/>
        <v/>
      </c>
      <c r="H3898" t="str">
        <f t="shared" si="302"/>
        <v>—</v>
      </c>
      <c r="I3898" t="str">
        <f t="shared" si="303"/>
        <v>Below thresholds</v>
      </c>
      <c r="J3898" t="str">
        <f t="shared" si="304"/>
        <v/>
      </c>
    </row>
    <row r="3899" spans="1:10" x14ac:dyDescent="0.2">
      <c r="A3899">
        <v>227294097810</v>
      </c>
      <c r="B3899" t="s">
        <v>8338</v>
      </c>
      <c r="C3899" t="s">
        <v>8339</v>
      </c>
      <c r="D3899">
        <v>1</v>
      </c>
      <c r="F3899" t="str">
        <f t="shared" si="300"/>
        <v>No</v>
      </c>
      <c r="G3899" t="str">
        <f t="shared" si="301"/>
        <v/>
      </c>
      <c r="H3899" t="str">
        <f t="shared" si="302"/>
        <v>—</v>
      </c>
      <c r="I3899" t="str">
        <f t="shared" si="303"/>
        <v>Below thresholds</v>
      </c>
      <c r="J3899" t="str">
        <f t="shared" si="304"/>
        <v/>
      </c>
    </row>
    <row r="3900" spans="1:10" x14ac:dyDescent="0.2">
      <c r="A3900">
        <v>227294097885</v>
      </c>
      <c r="B3900" t="s">
        <v>8340</v>
      </c>
      <c r="C3900" t="s">
        <v>8341</v>
      </c>
      <c r="D3900">
        <v>3</v>
      </c>
      <c r="F3900" t="str">
        <f t="shared" si="300"/>
        <v>No</v>
      </c>
      <c r="G3900" t="str">
        <f t="shared" si="301"/>
        <v/>
      </c>
      <c r="H3900" t="str">
        <f t="shared" si="302"/>
        <v>—</v>
      </c>
      <c r="I3900" t="str">
        <f t="shared" si="303"/>
        <v>Below thresholds</v>
      </c>
      <c r="J3900" t="str">
        <f t="shared" si="304"/>
        <v/>
      </c>
    </row>
    <row r="3901" spans="1:10" x14ac:dyDescent="0.2">
      <c r="A3901">
        <v>227294097890</v>
      </c>
      <c r="B3901" t="s">
        <v>8342</v>
      </c>
      <c r="C3901" t="s">
        <v>8343</v>
      </c>
      <c r="D3901">
        <v>1.49</v>
      </c>
      <c r="F3901" t="str">
        <f t="shared" si="300"/>
        <v>No</v>
      </c>
      <c r="G3901" t="str">
        <f t="shared" si="301"/>
        <v/>
      </c>
      <c r="H3901" t="str">
        <f t="shared" si="302"/>
        <v>—</v>
      </c>
      <c r="I3901" t="str">
        <f t="shared" si="303"/>
        <v>Below thresholds</v>
      </c>
      <c r="J3901" t="str">
        <f t="shared" si="304"/>
        <v/>
      </c>
    </row>
    <row r="3902" spans="1:10" x14ac:dyDescent="0.2">
      <c r="A3902">
        <v>227294098012</v>
      </c>
      <c r="B3902" t="s">
        <v>8344</v>
      </c>
      <c r="C3902" t="s">
        <v>8345</v>
      </c>
      <c r="D3902">
        <v>1.5</v>
      </c>
      <c r="F3902" t="str">
        <f t="shared" si="300"/>
        <v>No</v>
      </c>
      <c r="G3902" t="str">
        <f t="shared" si="301"/>
        <v/>
      </c>
      <c r="H3902" t="str">
        <f t="shared" si="302"/>
        <v>—</v>
      </c>
      <c r="I3902" t="str">
        <f t="shared" si="303"/>
        <v>Below thresholds</v>
      </c>
      <c r="J3902" t="str">
        <f t="shared" si="304"/>
        <v/>
      </c>
    </row>
    <row r="3903" spans="1:10" x14ac:dyDescent="0.2">
      <c r="A3903">
        <v>227294098105</v>
      </c>
      <c r="B3903" t="s">
        <v>8346</v>
      </c>
      <c r="C3903" t="s">
        <v>8347</v>
      </c>
      <c r="D3903">
        <v>1.99</v>
      </c>
      <c r="F3903" t="str">
        <f t="shared" si="300"/>
        <v>No</v>
      </c>
      <c r="G3903" t="str">
        <f t="shared" si="301"/>
        <v/>
      </c>
      <c r="H3903" t="str">
        <f t="shared" si="302"/>
        <v>—</v>
      </c>
      <c r="I3903" t="str">
        <f t="shared" si="303"/>
        <v>Below thresholds</v>
      </c>
      <c r="J3903" t="str">
        <f t="shared" si="304"/>
        <v/>
      </c>
    </row>
    <row r="3904" spans="1:10" x14ac:dyDescent="0.2">
      <c r="A3904">
        <v>227294098126</v>
      </c>
      <c r="B3904" t="s">
        <v>8348</v>
      </c>
      <c r="C3904" t="s">
        <v>8349</v>
      </c>
      <c r="D3904">
        <v>1.45</v>
      </c>
      <c r="F3904" t="str">
        <f t="shared" si="300"/>
        <v>No</v>
      </c>
      <c r="G3904" t="str">
        <f t="shared" si="301"/>
        <v/>
      </c>
      <c r="H3904" t="str">
        <f t="shared" si="302"/>
        <v>—</v>
      </c>
      <c r="I3904" t="str">
        <f t="shared" si="303"/>
        <v>Below thresholds</v>
      </c>
      <c r="J3904" t="str">
        <f t="shared" si="304"/>
        <v/>
      </c>
    </row>
    <row r="3905" spans="1:10" x14ac:dyDescent="0.2">
      <c r="A3905">
        <v>227294098160</v>
      </c>
      <c r="B3905" t="s">
        <v>8350</v>
      </c>
      <c r="C3905" t="s">
        <v>8351</v>
      </c>
      <c r="D3905">
        <v>1.99</v>
      </c>
      <c r="F3905" t="str">
        <f t="shared" si="300"/>
        <v>No</v>
      </c>
      <c r="G3905" t="str">
        <f t="shared" si="301"/>
        <v/>
      </c>
      <c r="H3905" t="str">
        <f t="shared" si="302"/>
        <v>—</v>
      </c>
      <c r="I3905" t="str">
        <f t="shared" si="303"/>
        <v>Below thresholds</v>
      </c>
      <c r="J3905" t="str">
        <f t="shared" si="304"/>
        <v/>
      </c>
    </row>
    <row r="3906" spans="1:10" x14ac:dyDescent="0.2">
      <c r="A3906">
        <v>227294098261</v>
      </c>
      <c r="B3906" t="s">
        <v>8352</v>
      </c>
      <c r="C3906" t="s">
        <v>8353</v>
      </c>
      <c r="D3906">
        <v>2</v>
      </c>
      <c r="F3906" t="str">
        <f t="shared" si="300"/>
        <v>No</v>
      </c>
      <c r="G3906" t="str">
        <f t="shared" si="301"/>
        <v/>
      </c>
      <c r="H3906" t="str">
        <f t="shared" si="302"/>
        <v>—</v>
      </c>
      <c r="I3906" t="str">
        <f t="shared" si="303"/>
        <v>Below thresholds</v>
      </c>
      <c r="J3906" t="str">
        <f t="shared" si="304"/>
        <v/>
      </c>
    </row>
    <row r="3907" spans="1:10" x14ac:dyDescent="0.2">
      <c r="A3907">
        <v>227294098266</v>
      </c>
      <c r="B3907" t="s">
        <v>8354</v>
      </c>
      <c r="C3907" t="s">
        <v>8355</v>
      </c>
      <c r="D3907">
        <v>1.5</v>
      </c>
      <c r="F3907" t="str">
        <f t="shared" si="300"/>
        <v>No</v>
      </c>
      <c r="G3907" t="str">
        <f t="shared" si="301"/>
        <v/>
      </c>
      <c r="H3907" t="str">
        <f t="shared" si="302"/>
        <v>—</v>
      </c>
      <c r="I3907" t="str">
        <f t="shared" si="303"/>
        <v>Below thresholds</v>
      </c>
      <c r="J3907" t="str">
        <f t="shared" si="304"/>
        <v/>
      </c>
    </row>
    <row r="3908" spans="1:10" x14ac:dyDescent="0.2">
      <c r="A3908">
        <v>227294098326</v>
      </c>
      <c r="B3908" t="s">
        <v>8356</v>
      </c>
      <c r="C3908" t="s">
        <v>8357</v>
      </c>
      <c r="D3908">
        <v>1.99</v>
      </c>
      <c r="F3908" t="str">
        <f t="shared" si="300"/>
        <v>No</v>
      </c>
      <c r="G3908" t="str">
        <f t="shared" si="301"/>
        <v/>
      </c>
      <c r="H3908" t="str">
        <f t="shared" si="302"/>
        <v>—</v>
      </c>
      <c r="I3908" t="str">
        <f t="shared" si="303"/>
        <v>Below thresholds</v>
      </c>
      <c r="J3908" t="str">
        <f t="shared" si="304"/>
        <v/>
      </c>
    </row>
    <row r="3909" spans="1:10" x14ac:dyDescent="0.2">
      <c r="A3909">
        <v>227294098410</v>
      </c>
      <c r="B3909" t="s">
        <v>8358</v>
      </c>
      <c r="C3909" t="s">
        <v>8359</v>
      </c>
      <c r="D3909">
        <v>1.79</v>
      </c>
      <c r="F3909" t="str">
        <f t="shared" ref="F3909:F3972" si="305">IF($B3909="","",IF(ISNUMBER(SEARCH("PSA",$B3909)),"Yes","No"))</f>
        <v>No</v>
      </c>
      <c r="G3909" t="str">
        <f t="shared" ref="G3909:G3972" si="306">IF($B3909="","",IF(ISNUMBER(SEARCH("PSA 10",$B3909)),10,IF(ISNUMBER(SEARCH("PSA 9.5",$B3909)),9.5,IF(ISNUMBER(SEARCH("PSA 9",$B3909)),9,IF(ISNUMBER(SEARCH("PSA 8",$B3909)),8,IF(ISNUMBER(SEARCH("PSA",$B3909)),"&lt;9",""))))))</f>
        <v/>
      </c>
      <c r="H3909" t="str">
        <f t="shared" ref="H3909:H3972" si="307">IF($B3909="","",IF($D3909&gt;=100,"TIER 2",IF(OR(ISNUMBER(SEARCH("PSA 10",$B3909)),ISNUMBER(SEARCH("PSA 9.5",$B3909)),ISNUMBER(SEARCH("PSA 9",$B3909))),"TIER 3",IF(AND($D3909&gt;20,N($E3909)&gt;=15),"TIER 1","—"))))</f>
        <v>—</v>
      </c>
      <c r="I3909" t="str">
        <f t="shared" ref="I3909:I3972" si="308">IF($B3909="","",IF($D3909&gt;=100,"Premium $100+ (auto)",IF(OR(ISNUMBER(SEARCH("PSA 10",$B3909)),ISNUMBER(SEARCH("PSA 9.5",$B3909)),ISNUMBER(SEARCH("PSA 9",$B3909))),"Graded PSA 9+ (auto)",IF(AND($D3909&gt;20,N($E3909)&gt;=15),"Hot: $20+ &amp; "&amp;$E3909&amp;"/day",IF($D3909&gt;20,"$20+ — needs velocity check","Below thresholds")))))</f>
        <v>Below thresholds</v>
      </c>
      <c r="J3909" t="str">
        <f t="shared" ref="J3909:J3972" si="309">IF($B3909="","",IF(AND($D3909&gt;20,$D3909&lt;100,NOT(OR(ISNUMBER(SEARCH("PSA 10",$B3909)),ISNUMBER(SEARCH("PSA 9.5",$B3909)),ISNUMBER(SEARCH("PSA 9",$B3909)))),$E3909=""),"YES — pull CardHedger",""))</f>
        <v/>
      </c>
    </row>
    <row r="3910" spans="1:10" x14ac:dyDescent="0.2">
      <c r="A3910">
        <v>227294098498</v>
      </c>
      <c r="B3910" t="s">
        <v>8360</v>
      </c>
      <c r="C3910" t="s">
        <v>8361</v>
      </c>
      <c r="D3910">
        <v>2.25</v>
      </c>
      <c r="F3910" t="str">
        <f t="shared" si="305"/>
        <v>No</v>
      </c>
      <c r="G3910" t="str">
        <f t="shared" si="306"/>
        <v/>
      </c>
      <c r="H3910" t="str">
        <f t="shared" si="307"/>
        <v>—</v>
      </c>
      <c r="I3910" t="str">
        <f t="shared" si="308"/>
        <v>Below thresholds</v>
      </c>
      <c r="J3910" t="str">
        <f t="shared" si="309"/>
        <v/>
      </c>
    </row>
    <row r="3911" spans="1:10" x14ac:dyDescent="0.2">
      <c r="A3911">
        <v>227294098548</v>
      </c>
      <c r="B3911" t="s">
        <v>8362</v>
      </c>
      <c r="C3911" t="s">
        <v>8363</v>
      </c>
      <c r="D3911">
        <v>2.25</v>
      </c>
      <c r="F3911" t="str">
        <f t="shared" si="305"/>
        <v>No</v>
      </c>
      <c r="G3911" t="str">
        <f t="shared" si="306"/>
        <v/>
      </c>
      <c r="H3911" t="str">
        <f t="shared" si="307"/>
        <v>—</v>
      </c>
      <c r="I3911" t="str">
        <f t="shared" si="308"/>
        <v>Below thresholds</v>
      </c>
      <c r="J3911" t="str">
        <f t="shared" si="309"/>
        <v/>
      </c>
    </row>
    <row r="3912" spans="1:10" x14ac:dyDescent="0.2">
      <c r="A3912">
        <v>227295677555</v>
      </c>
      <c r="B3912" t="s">
        <v>8364</v>
      </c>
      <c r="C3912" t="s">
        <v>8365</v>
      </c>
      <c r="D3912">
        <v>18</v>
      </c>
      <c r="F3912" t="str">
        <f t="shared" si="305"/>
        <v>No</v>
      </c>
      <c r="G3912" t="str">
        <f t="shared" si="306"/>
        <v/>
      </c>
      <c r="H3912" t="str">
        <f t="shared" si="307"/>
        <v>—</v>
      </c>
      <c r="I3912" t="str">
        <f t="shared" si="308"/>
        <v>Below thresholds</v>
      </c>
      <c r="J3912" t="str">
        <f t="shared" si="309"/>
        <v/>
      </c>
    </row>
    <row r="3913" spans="1:10" x14ac:dyDescent="0.2">
      <c r="A3913">
        <v>227295677605</v>
      </c>
      <c r="B3913" t="s">
        <v>8366</v>
      </c>
      <c r="C3913" t="s">
        <v>8367</v>
      </c>
      <c r="D3913">
        <v>15</v>
      </c>
      <c r="F3913" t="str">
        <f t="shared" si="305"/>
        <v>No</v>
      </c>
      <c r="G3913" t="str">
        <f t="shared" si="306"/>
        <v/>
      </c>
      <c r="H3913" t="str">
        <f t="shared" si="307"/>
        <v>—</v>
      </c>
      <c r="I3913" t="str">
        <f t="shared" si="308"/>
        <v>Below thresholds</v>
      </c>
      <c r="J3913" t="str">
        <f t="shared" si="309"/>
        <v/>
      </c>
    </row>
    <row r="3914" spans="1:10" x14ac:dyDescent="0.2">
      <c r="A3914">
        <v>227295705255</v>
      </c>
      <c r="B3914" t="s">
        <v>8368</v>
      </c>
      <c r="C3914" t="s">
        <v>8369</v>
      </c>
      <c r="D3914">
        <v>9.99</v>
      </c>
      <c r="F3914" t="str">
        <f t="shared" si="305"/>
        <v>No</v>
      </c>
      <c r="G3914" t="str">
        <f t="shared" si="306"/>
        <v/>
      </c>
      <c r="H3914" t="str">
        <f t="shared" si="307"/>
        <v>—</v>
      </c>
      <c r="I3914" t="str">
        <f t="shared" si="308"/>
        <v>Below thresholds</v>
      </c>
      <c r="J3914" t="str">
        <f t="shared" si="309"/>
        <v/>
      </c>
    </row>
    <row r="3915" spans="1:10" x14ac:dyDescent="0.2">
      <c r="A3915">
        <v>227295705274</v>
      </c>
      <c r="B3915" t="s">
        <v>8370</v>
      </c>
      <c r="C3915" t="s">
        <v>8371</v>
      </c>
      <c r="D3915">
        <v>15</v>
      </c>
      <c r="F3915" t="str">
        <f t="shared" si="305"/>
        <v>No</v>
      </c>
      <c r="G3915" t="str">
        <f t="shared" si="306"/>
        <v/>
      </c>
      <c r="H3915" t="str">
        <f t="shared" si="307"/>
        <v>—</v>
      </c>
      <c r="I3915" t="str">
        <f t="shared" si="308"/>
        <v>Below thresholds</v>
      </c>
      <c r="J3915" t="str">
        <f t="shared" si="309"/>
        <v/>
      </c>
    </row>
    <row r="3916" spans="1:10" x14ac:dyDescent="0.2">
      <c r="A3916">
        <v>227295705400</v>
      </c>
      <c r="B3916" t="s">
        <v>8372</v>
      </c>
      <c r="C3916" t="s">
        <v>8373</v>
      </c>
      <c r="D3916">
        <v>65</v>
      </c>
      <c r="F3916" t="str">
        <f t="shared" si="305"/>
        <v>No</v>
      </c>
      <c r="G3916" t="str">
        <f t="shared" si="306"/>
        <v/>
      </c>
      <c r="H3916" t="str">
        <f t="shared" si="307"/>
        <v>—</v>
      </c>
      <c r="I3916" t="str">
        <f t="shared" si="308"/>
        <v>$20+ — needs velocity check</v>
      </c>
      <c r="J3916" t="str">
        <f t="shared" si="309"/>
        <v>YES — pull CardHedger</v>
      </c>
    </row>
    <row r="3917" spans="1:10" x14ac:dyDescent="0.2">
      <c r="A3917">
        <v>227295732936</v>
      </c>
      <c r="B3917" t="s">
        <v>8374</v>
      </c>
      <c r="C3917" t="s">
        <v>8375</v>
      </c>
      <c r="D3917">
        <v>8</v>
      </c>
      <c r="F3917" t="str">
        <f t="shared" si="305"/>
        <v>No</v>
      </c>
      <c r="G3917" t="str">
        <f t="shared" si="306"/>
        <v/>
      </c>
      <c r="H3917" t="str">
        <f t="shared" si="307"/>
        <v>—</v>
      </c>
      <c r="I3917" t="str">
        <f t="shared" si="308"/>
        <v>Below thresholds</v>
      </c>
      <c r="J3917" t="str">
        <f t="shared" si="309"/>
        <v/>
      </c>
    </row>
    <row r="3918" spans="1:10" x14ac:dyDescent="0.2">
      <c r="A3918">
        <v>227295732976</v>
      </c>
      <c r="B3918" t="s">
        <v>8376</v>
      </c>
      <c r="C3918" t="s">
        <v>8377</v>
      </c>
      <c r="D3918">
        <v>6</v>
      </c>
      <c r="F3918" t="str">
        <f t="shared" si="305"/>
        <v>No</v>
      </c>
      <c r="G3918" t="str">
        <f t="shared" si="306"/>
        <v/>
      </c>
      <c r="H3918" t="str">
        <f t="shared" si="307"/>
        <v>—</v>
      </c>
      <c r="I3918" t="str">
        <f t="shared" si="308"/>
        <v>Below thresholds</v>
      </c>
      <c r="J3918" t="str">
        <f t="shared" si="309"/>
        <v/>
      </c>
    </row>
    <row r="3919" spans="1:10" x14ac:dyDescent="0.2">
      <c r="A3919">
        <v>227295732999</v>
      </c>
      <c r="B3919" t="s">
        <v>8378</v>
      </c>
      <c r="C3919" t="s">
        <v>8379</v>
      </c>
      <c r="D3919">
        <v>16</v>
      </c>
      <c r="F3919" t="str">
        <f t="shared" si="305"/>
        <v>No</v>
      </c>
      <c r="G3919" t="str">
        <f t="shared" si="306"/>
        <v/>
      </c>
      <c r="H3919" t="str">
        <f t="shared" si="307"/>
        <v>—</v>
      </c>
      <c r="I3919" t="str">
        <f t="shared" si="308"/>
        <v>Below thresholds</v>
      </c>
      <c r="J3919" t="str">
        <f t="shared" si="309"/>
        <v/>
      </c>
    </row>
    <row r="3920" spans="1:10" x14ac:dyDescent="0.2">
      <c r="A3920">
        <v>227295733103</v>
      </c>
      <c r="B3920" t="s">
        <v>8380</v>
      </c>
      <c r="C3920" t="s">
        <v>8381</v>
      </c>
      <c r="D3920">
        <v>9.99</v>
      </c>
      <c r="F3920" t="str">
        <f t="shared" si="305"/>
        <v>No</v>
      </c>
      <c r="G3920" t="str">
        <f t="shared" si="306"/>
        <v/>
      </c>
      <c r="H3920" t="str">
        <f t="shared" si="307"/>
        <v>—</v>
      </c>
      <c r="I3920" t="str">
        <f t="shared" si="308"/>
        <v>Below thresholds</v>
      </c>
      <c r="J3920" t="str">
        <f t="shared" si="309"/>
        <v/>
      </c>
    </row>
    <row r="3921" spans="1:10" x14ac:dyDescent="0.2">
      <c r="A3921">
        <v>227295733143</v>
      </c>
      <c r="B3921" t="s">
        <v>8382</v>
      </c>
      <c r="C3921" t="s">
        <v>8383</v>
      </c>
      <c r="D3921">
        <v>2.29</v>
      </c>
      <c r="F3921" t="str">
        <f t="shared" si="305"/>
        <v>No</v>
      </c>
      <c r="G3921" t="str">
        <f t="shared" si="306"/>
        <v/>
      </c>
      <c r="H3921" t="str">
        <f t="shared" si="307"/>
        <v>—</v>
      </c>
      <c r="I3921" t="str">
        <f t="shared" si="308"/>
        <v>Below thresholds</v>
      </c>
      <c r="J3921" t="str">
        <f t="shared" si="309"/>
        <v/>
      </c>
    </row>
    <row r="3922" spans="1:10" x14ac:dyDescent="0.2">
      <c r="A3922">
        <v>227295733361</v>
      </c>
      <c r="B3922" t="s">
        <v>8384</v>
      </c>
      <c r="C3922" t="s">
        <v>8385</v>
      </c>
      <c r="D3922">
        <v>6</v>
      </c>
      <c r="F3922" t="str">
        <f t="shared" si="305"/>
        <v>No</v>
      </c>
      <c r="G3922" t="str">
        <f t="shared" si="306"/>
        <v/>
      </c>
      <c r="H3922" t="str">
        <f t="shared" si="307"/>
        <v>—</v>
      </c>
      <c r="I3922" t="str">
        <f t="shared" si="308"/>
        <v>Below thresholds</v>
      </c>
      <c r="J3922" t="str">
        <f t="shared" si="309"/>
        <v/>
      </c>
    </row>
    <row r="3923" spans="1:10" x14ac:dyDescent="0.2">
      <c r="A3923">
        <v>227295733753</v>
      </c>
      <c r="B3923" t="s">
        <v>8386</v>
      </c>
      <c r="C3923" t="s">
        <v>8387</v>
      </c>
      <c r="D3923">
        <v>6.5</v>
      </c>
      <c r="F3923" t="str">
        <f t="shared" si="305"/>
        <v>No</v>
      </c>
      <c r="G3923" t="str">
        <f t="shared" si="306"/>
        <v/>
      </c>
      <c r="H3923" t="str">
        <f t="shared" si="307"/>
        <v>—</v>
      </c>
      <c r="I3923" t="str">
        <f t="shared" si="308"/>
        <v>Below thresholds</v>
      </c>
      <c r="J3923" t="str">
        <f t="shared" si="309"/>
        <v/>
      </c>
    </row>
    <row r="3924" spans="1:10" x14ac:dyDescent="0.2">
      <c r="A3924">
        <v>227295733838</v>
      </c>
      <c r="B3924" t="s">
        <v>8388</v>
      </c>
      <c r="C3924" t="s">
        <v>8389</v>
      </c>
      <c r="D3924">
        <v>45</v>
      </c>
      <c r="F3924" t="str">
        <f t="shared" si="305"/>
        <v>No</v>
      </c>
      <c r="G3924" t="str">
        <f t="shared" si="306"/>
        <v/>
      </c>
      <c r="H3924" t="str">
        <f t="shared" si="307"/>
        <v>—</v>
      </c>
      <c r="I3924" t="str">
        <f t="shared" si="308"/>
        <v>$20+ — needs velocity check</v>
      </c>
      <c r="J3924" t="str">
        <f t="shared" si="309"/>
        <v>YES — pull CardHedger</v>
      </c>
    </row>
    <row r="3925" spans="1:10" x14ac:dyDescent="0.2">
      <c r="A3925">
        <v>227295734373</v>
      </c>
      <c r="B3925" t="s">
        <v>8390</v>
      </c>
      <c r="C3925" t="s">
        <v>8391</v>
      </c>
      <c r="D3925">
        <v>5</v>
      </c>
      <c r="F3925" t="str">
        <f t="shared" si="305"/>
        <v>No</v>
      </c>
      <c r="G3925" t="str">
        <f t="shared" si="306"/>
        <v/>
      </c>
      <c r="H3925" t="str">
        <f t="shared" si="307"/>
        <v>—</v>
      </c>
      <c r="I3925" t="str">
        <f t="shared" si="308"/>
        <v>Below thresholds</v>
      </c>
      <c r="J3925" t="str">
        <f t="shared" si="309"/>
        <v/>
      </c>
    </row>
    <row r="3926" spans="1:10" x14ac:dyDescent="0.2">
      <c r="A3926">
        <v>227296921549</v>
      </c>
      <c r="B3926" t="s">
        <v>8392</v>
      </c>
      <c r="C3926" t="s">
        <v>8393</v>
      </c>
      <c r="D3926">
        <v>3.99</v>
      </c>
      <c r="F3926" t="str">
        <f t="shared" si="305"/>
        <v>No</v>
      </c>
      <c r="G3926" t="str">
        <f t="shared" si="306"/>
        <v/>
      </c>
      <c r="H3926" t="str">
        <f t="shared" si="307"/>
        <v>—</v>
      </c>
      <c r="I3926" t="str">
        <f t="shared" si="308"/>
        <v>Below thresholds</v>
      </c>
      <c r="J3926" t="str">
        <f t="shared" si="309"/>
        <v/>
      </c>
    </row>
    <row r="3927" spans="1:10" x14ac:dyDescent="0.2">
      <c r="A3927">
        <v>227296921560</v>
      </c>
      <c r="B3927" t="s">
        <v>8394</v>
      </c>
      <c r="C3927" t="s">
        <v>8395</v>
      </c>
      <c r="D3927">
        <v>2.4900000000000002</v>
      </c>
      <c r="F3927" t="str">
        <f t="shared" si="305"/>
        <v>No</v>
      </c>
      <c r="G3927" t="str">
        <f t="shared" si="306"/>
        <v/>
      </c>
      <c r="H3927" t="str">
        <f t="shared" si="307"/>
        <v>—</v>
      </c>
      <c r="I3927" t="str">
        <f t="shared" si="308"/>
        <v>Below thresholds</v>
      </c>
      <c r="J3927" t="str">
        <f t="shared" si="309"/>
        <v/>
      </c>
    </row>
    <row r="3928" spans="1:10" x14ac:dyDescent="0.2">
      <c r="A3928">
        <v>227296921643</v>
      </c>
      <c r="B3928" t="s">
        <v>8396</v>
      </c>
      <c r="C3928" t="s">
        <v>8397</v>
      </c>
      <c r="D3928">
        <v>1.99</v>
      </c>
      <c r="F3928" t="str">
        <f t="shared" si="305"/>
        <v>No</v>
      </c>
      <c r="G3928" t="str">
        <f t="shared" si="306"/>
        <v/>
      </c>
      <c r="H3928" t="str">
        <f t="shared" si="307"/>
        <v>—</v>
      </c>
      <c r="I3928" t="str">
        <f t="shared" si="308"/>
        <v>Below thresholds</v>
      </c>
      <c r="J3928" t="str">
        <f t="shared" si="309"/>
        <v/>
      </c>
    </row>
    <row r="3929" spans="1:10" x14ac:dyDescent="0.2">
      <c r="A3929">
        <v>227296921656</v>
      </c>
      <c r="B3929" t="s">
        <v>8398</v>
      </c>
      <c r="C3929" t="s">
        <v>8399</v>
      </c>
      <c r="D3929">
        <v>6.49</v>
      </c>
      <c r="F3929" t="str">
        <f t="shared" si="305"/>
        <v>No</v>
      </c>
      <c r="G3929" t="str">
        <f t="shared" si="306"/>
        <v/>
      </c>
      <c r="H3929" t="str">
        <f t="shared" si="307"/>
        <v>—</v>
      </c>
      <c r="I3929" t="str">
        <f t="shared" si="308"/>
        <v>Below thresholds</v>
      </c>
      <c r="J3929" t="str">
        <f t="shared" si="309"/>
        <v/>
      </c>
    </row>
    <row r="3930" spans="1:10" x14ac:dyDescent="0.2">
      <c r="A3930">
        <v>227296921713</v>
      </c>
      <c r="B3930" t="s">
        <v>8400</v>
      </c>
      <c r="C3930" t="s">
        <v>8401</v>
      </c>
      <c r="D3930">
        <v>14</v>
      </c>
      <c r="F3930" t="str">
        <f t="shared" si="305"/>
        <v>No</v>
      </c>
      <c r="G3930" t="str">
        <f t="shared" si="306"/>
        <v/>
      </c>
      <c r="H3930" t="str">
        <f t="shared" si="307"/>
        <v>—</v>
      </c>
      <c r="I3930" t="str">
        <f t="shared" si="308"/>
        <v>Below thresholds</v>
      </c>
      <c r="J3930" t="str">
        <f t="shared" si="309"/>
        <v/>
      </c>
    </row>
    <row r="3931" spans="1:10" x14ac:dyDescent="0.2">
      <c r="A3931">
        <v>227296921727</v>
      </c>
      <c r="B3931" t="s">
        <v>8402</v>
      </c>
      <c r="C3931" t="s">
        <v>8403</v>
      </c>
      <c r="D3931">
        <v>3.79</v>
      </c>
      <c r="F3931" t="str">
        <f t="shared" si="305"/>
        <v>No</v>
      </c>
      <c r="G3931" t="str">
        <f t="shared" si="306"/>
        <v/>
      </c>
      <c r="H3931" t="str">
        <f t="shared" si="307"/>
        <v>—</v>
      </c>
      <c r="I3931" t="str">
        <f t="shared" si="308"/>
        <v>Below thresholds</v>
      </c>
      <c r="J3931" t="str">
        <f t="shared" si="309"/>
        <v/>
      </c>
    </row>
    <row r="3932" spans="1:10" x14ac:dyDescent="0.2">
      <c r="A3932">
        <v>227296921778</v>
      </c>
      <c r="B3932" t="s">
        <v>8404</v>
      </c>
      <c r="C3932" t="s">
        <v>8405</v>
      </c>
      <c r="D3932">
        <v>2.79</v>
      </c>
      <c r="F3932" t="str">
        <f t="shared" si="305"/>
        <v>No</v>
      </c>
      <c r="G3932" t="str">
        <f t="shared" si="306"/>
        <v/>
      </c>
      <c r="H3932" t="str">
        <f t="shared" si="307"/>
        <v>—</v>
      </c>
      <c r="I3932" t="str">
        <f t="shared" si="308"/>
        <v>Below thresholds</v>
      </c>
      <c r="J3932" t="str">
        <f t="shared" si="309"/>
        <v/>
      </c>
    </row>
    <row r="3933" spans="1:10" x14ac:dyDescent="0.2">
      <c r="A3933">
        <v>227296921800</v>
      </c>
      <c r="B3933" t="s">
        <v>8406</v>
      </c>
      <c r="C3933" t="s">
        <v>8407</v>
      </c>
      <c r="D3933">
        <v>3.29</v>
      </c>
      <c r="F3933" t="str">
        <f t="shared" si="305"/>
        <v>No</v>
      </c>
      <c r="G3933" t="str">
        <f t="shared" si="306"/>
        <v/>
      </c>
      <c r="H3933" t="str">
        <f t="shared" si="307"/>
        <v>—</v>
      </c>
      <c r="I3933" t="str">
        <f t="shared" si="308"/>
        <v>Below thresholds</v>
      </c>
      <c r="J3933" t="str">
        <f t="shared" si="309"/>
        <v/>
      </c>
    </row>
    <row r="3934" spans="1:10" x14ac:dyDescent="0.2">
      <c r="A3934">
        <v>227296921848</v>
      </c>
      <c r="B3934" t="s">
        <v>8408</v>
      </c>
      <c r="C3934" t="s">
        <v>8409</v>
      </c>
      <c r="D3934">
        <v>13.99</v>
      </c>
      <c r="F3934" t="str">
        <f t="shared" si="305"/>
        <v>No</v>
      </c>
      <c r="G3934" t="str">
        <f t="shared" si="306"/>
        <v/>
      </c>
      <c r="H3934" t="str">
        <f t="shared" si="307"/>
        <v>—</v>
      </c>
      <c r="I3934" t="str">
        <f t="shared" si="308"/>
        <v>Below thresholds</v>
      </c>
      <c r="J3934" t="str">
        <f t="shared" si="309"/>
        <v/>
      </c>
    </row>
    <row r="3935" spans="1:10" x14ac:dyDescent="0.2">
      <c r="A3935">
        <v>227296921855</v>
      </c>
      <c r="B3935" t="s">
        <v>8410</v>
      </c>
      <c r="C3935" t="s">
        <v>8411</v>
      </c>
      <c r="D3935">
        <v>1.99</v>
      </c>
      <c r="F3935" t="str">
        <f t="shared" si="305"/>
        <v>No</v>
      </c>
      <c r="G3935" t="str">
        <f t="shared" si="306"/>
        <v/>
      </c>
      <c r="H3935" t="str">
        <f t="shared" si="307"/>
        <v>—</v>
      </c>
      <c r="I3935" t="str">
        <f t="shared" si="308"/>
        <v>Below thresholds</v>
      </c>
      <c r="J3935" t="str">
        <f t="shared" si="309"/>
        <v/>
      </c>
    </row>
    <row r="3936" spans="1:10" x14ac:dyDescent="0.2">
      <c r="A3936">
        <v>227296921880</v>
      </c>
      <c r="B3936" t="s">
        <v>8412</v>
      </c>
      <c r="C3936" t="s">
        <v>8413</v>
      </c>
      <c r="D3936">
        <v>2.4900000000000002</v>
      </c>
      <c r="F3936" t="str">
        <f t="shared" si="305"/>
        <v>No</v>
      </c>
      <c r="G3936" t="str">
        <f t="shared" si="306"/>
        <v/>
      </c>
      <c r="H3936" t="str">
        <f t="shared" si="307"/>
        <v>—</v>
      </c>
      <c r="I3936" t="str">
        <f t="shared" si="308"/>
        <v>Below thresholds</v>
      </c>
      <c r="J3936" t="str">
        <f t="shared" si="309"/>
        <v/>
      </c>
    </row>
    <row r="3937" spans="1:10" x14ac:dyDescent="0.2">
      <c r="A3937">
        <v>227296921904</v>
      </c>
      <c r="B3937" t="s">
        <v>8414</v>
      </c>
      <c r="C3937" t="s">
        <v>8415</v>
      </c>
      <c r="D3937">
        <v>6.79</v>
      </c>
      <c r="F3937" t="str">
        <f t="shared" si="305"/>
        <v>No</v>
      </c>
      <c r="G3937" t="str">
        <f t="shared" si="306"/>
        <v/>
      </c>
      <c r="H3937" t="str">
        <f t="shared" si="307"/>
        <v>—</v>
      </c>
      <c r="I3937" t="str">
        <f t="shared" si="308"/>
        <v>Below thresholds</v>
      </c>
      <c r="J3937" t="str">
        <f t="shared" si="309"/>
        <v/>
      </c>
    </row>
    <row r="3938" spans="1:10" x14ac:dyDescent="0.2">
      <c r="A3938">
        <v>227296921907</v>
      </c>
      <c r="B3938" t="s">
        <v>8416</v>
      </c>
      <c r="C3938" t="s">
        <v>8417</v>
      </c>
      <c r="D3938">
        <v>2.4900000000000002</v>
      </c>
      <c r="F3938" t="str">
        <f t="shared" si="305"/>
        <v>No</v>
      </c>
      <c r="G3938" t="str">
        <f t="shared" si="306"/>
        <v/>
      </c>
      <c r="H3938" t="str">
        <f t="shared" si="307"/>
        <v>—</v>
      </c>
      <c r="I3938" t="str">
        <f t="shared" si="308"/>
        <v>Below thresholds</v>
      </c>
      <c r="J3938" t="str">
        <f t="shared" si="309"/>
        <v/>
      </c>
    </row>
    <row r="3939" spans="1:10" x14ac:dyDescent="0.2">
      <c r="A3939">
        <v>227296921912</v>
      </c>
      <c r="B3939" t="s">
        <v>8418</v>
      </c>
      <c r="C3939" t="s">
        <v>8419</v>
      </c>
      <c r="D3939">
        <v>2.69</v>
      </c>
      <c r="F3939" t="str">
        <f t="shared" si="305"/>
        <v>No</v>
      </c>
      <c r="G3939" t="str">
        <f t="shared" si="306"/>
        <v/>
      </c>
      <c r="H3939" t="str">
        <f t="shared" si="307"/>
        <v>—</v>
      </c>
      <c r="I3939" t="str">
        <f t="shared" si="308"/>
        <v>Below thresholds</v>
      </c>
      <c r="J3939" t="str">
        <f t="shared" si="309"/>
        <v/>
      </c>
    </row>
    <row r="3940" spans="1:10" x14ac:dyDescent="0.2">
      <c r="A3940">
        <v>227296921917</v>
      </c>
      <c r="B3940" t="s">
        <v>8420</v>
      </c>
      <c r="C3940" t="s">
        <v>8421</v>
      </c>
      <c r="D3940">
        <v>1.99</v>
      </c>
      <c r="F3940" t="str">
        <f t="shared" si="305"/>
        <v>No</v>
      </c>
      <c r="G3940" t="str">
        <f t="shared" si="306"/>
        <v/>
      </c>
      <c r="H3940" t="str">
        <f t="shared" si="307"/>
        <v>—</v>
      </c>
      <c r="I3940" t="str">
        <f t="shared" si="308"/>
        <v>Below thresholds</v>
      </c>
      <c r="J3940" t="str">
        <f t="shared" si="309"/>
        <v/>
      </c>
    </row>
    <row r="3941" spans="1:10" x14ac:dyDescent="0.2">
      <c r="A3941">
        <v>227296921925</v>
      </c>
      <c r="B3941" t="s">
        <v>8422</v>
      </c>
      <c r="C3941" t="s">
        <v>8423</v>
      </c>
      <c r="D3941">
        <v>1.99</v>
      </c>
      <c r="F3941" t="str">
        <f t="shared" si="305"/>
        <v>No</v>
      </c>
      <c r="G3941" t="str">
        <f t="shared" si="306"/>
        <v/>
      </c>
      <c r="H3941" t="str">
        <f t="shared" si="307"/>
        <v>—</v>
      </c>
      <c r="I3941" t="str">
        <f t="shared" si="308"/>
        <v>Below thresholds</v>
      </c>
      <c r="J3941" t="str">
        <f t="shared" si="309"/>
        <v/>
      </c>
    </row>
    <row r="3942" spans="1:10" x14ac:dyDescent="0.2">
      <c r="A3942">
        <v>227296921929</v>
      </c>
      <c r="B3942" t="s">
        <v>8424</v>
      </c>
      <c r="C3942" t="s">
        <v>8425</v>
      </c>
      <c r="D3942">
        <v>5.99</v>
      </c>
      <c r="F3942" t="str">
        <f t="shared" si="305"/>
        <v>No</v>
      </c>
      <c r="G3942" t="str">
        <f t="shared" si="306"/>
        <v/>
      </c>
      <c r="H3942" t="str">
        <f t="shared" si="307"/>
        <v>—</v>
      </c>
      <c r="I3942" t="str">
        <f t="shared" si="308"/>
        <v>Below thresholds</v>
      </c>
      <c r="J3942" t="str">
        <f t="shared" si="309"/>
        <v/>
      </c>
    </row>
    <row r="3943" spans="1:10" x14ac:dyDescent="0.2">
      <c r="A3943">
        <v>227296921955</v>
      </c>
      <c r="B3943" t="s">
        <v>8426</v>
      </c>
      <c r="C3943" t="s">
        <v>8427</v>
      </c>
      <c r="D3943">
        <v>1.99</v>
      </c>
      <c r="F3943" t="str">
        <f t="shared" si="305"/>
        <v>No</v>
      </c>
      <c r="G3943" t="str">
        <f t="shared" si="306"/>
        <v/>
      </c>
      <c r="H3943" t="str">
        <f t="shared" si="307"/>
        <v>—</v>
      </c>
      <c r="I3943" t="str">
        <f t="shared" si="308"/>
        <v>Below thresholds</v>
      </c>
      <c r="J3943" t="str">
        <f t="shared" si="309"/>
        <v/>
      </c>
    </row>
    <row r="3944" spans="1:10" x14ac:dyDescent="0.2">
      <c r="A3944">
        <v>227296921957</v>
      </c>
      <c r="B3944" t="s">
        <v>8428</v>
      </c>
      <c r="C3944" t="s">
        <v>8429</v>
      </c>
      <c r="D3944">
        <v>4.6900000000000004</v>
      </c>
      <c r="F3944" t="str">
        <f t="shared" si="305"/>
        <v>No</v>
      </c>
      <c r="G3944" t="str">
        <f t="shared" si="306"/>
        <v/>
      </c>
      <c r="H3944" t="str">
        <f t="shared" si="307"/>
        <v>—</v>
      </c>
      <c r="I3944" t="str">
        <f t="shared" si="308"/>
        <v>Below thresholds</v>
      </c>
      <c r="J3944" t="str">
        <f t="shared" si="309"/>
        <v/>
      </c>
    </row>
    <row r="3945" spans="1:10" x14ac:dyDescent="0.2">
      <c r="A3945">
        <v>227296921974</v>
      </c>
      <c r="B3945" t="s">
        <v>8430</v>
      </c>
      <c r="C3945" t="s">
        <v>8431</v>
      </c>
      <c r="D3945">
        <v>3.49</v>
      </c>
      <c r="F3945" t="str">
        <f t="shared" si="305"/>
        <v>No</v>
      </c>
      <c r="G3945" t="str">
        <f t="shared" si="306"/>
        <v/>
      </c>
      <c r="H3945" t="str">
        <f t="shared" si="307"/>
        <v>—</v>
      </c>
      <c r="I3945" t="str">
        <f t="shared" si="308"/>
        <v>Below thresholds</v>
      </c>
      <c r="J3945" t="str">
        <f t="shared" si="309"/>
        <v/>
      </c>
    </row>
    <row r="3946" spans="1:10" x14ac:dyDescent="0.2">
      <c r="A3946">
        <v>227296922000</v>
      </c>
      <c r="B3946" t="s">
        <v>7949</v>
      </c>
      <c r="C3946" t="s">
        <v>8432</v>
      </c>
      <c r="D3946">
        <v>4.79</v>
      </c>
      <c r="F3946" t="str">
        <f t="shared" si="305"/>
        <v>No</v>
      </c>
      <c r="G3946" t="str">
        <f t="shared" si="306"/>
        <v/>
      </c>
      <c r="H3946" t="str">
        <f t="shared" si="307"/>
        <v>—</v>
      </c>
      <c r="I3946" t="str">
        <f t="shared" si="308"/>
        <v>Below thresholds</v>
      </c>
      <c r="J3946" t="str">
        <f t="shared" si="309"/>
        <v/>
      </c>
    </row>
    <row r="3947" spans="1:10" x14ac:dyDescent="0.2">
      <c r="A3947">
        <v>227296922006</v>
      </c>
      <c r="B3947" t="s">
        <v>8433</v>
      </c>
      <c r="C3947" t="s">
        <v>8434</v>
      </c>
      <c r="D3947">
        <v>1.99</v>
      </c>
      <c r="F3947" t="str">
        <f t="shared" si="305"/>
        <v>No</v>
      </c>
      <c r="G3947" t="str">
        <f t="shared" si="306"/>
        <v/>
      </c>
      <c r="H3947" t="str">
        <f t="shared" si="307"/>
        <v>—</v>
      </c>
      <c r="I3947" t="str">
        <f t="shared" si="308"/>
        <v>Below thresholds</v>
      </c>
      <c r="J3947" t="str">
        <f t="shared" si="309"/>
        <v/>
      </c>
    </row>
    <row r="3948" spans="1:10" x14ac:dyDescent="0.2">
      <c r="A3948">
        <v>227296922024</v>
      </c>
      <c r="B3948" t="s">
        <v>8435</v>
      </c>
      <c r="C3948" t="s">
        <v>8436</v>
      </c>
      <c r="D3948">
        <v>2.59</v>
      </c>
      <c r="F3948" t="str">
        <f t="shared" si="305"/>
        <v>No</v>
      </c>
      <c r="G3948" t="str">
        <f t="shared" si="306"/>
        <v/>
      </c>
      <c r="H3948" t="str">
        <f t="shared" si="307"/>
        <v>—</v>
      </c>
      <c r="I3948" t="str">
        <f t="shared" si="308"/>
        <v>Below thresholds</v>
      </c>
      <c r="J3948" t="str">
        <f t="shared" si="309"/>
        <v/>
      </c>
    </row>
    <row r="3949" spans="1:10" x14ac:dyDescent="0.2">
      <c r="A3949">
        <v>227296922034</v>
      </c>
      <c r="B3949" t="s">
        <v>8437</v>
      </c>
      <c r="C3949" t="s">
        <v>8438</v>
      </c>
      <c r="D3949">
        <v>2.29</v>
      </c>
      <c r="F3949" t="str">
        <f t="shared" si="305"/>
        <v>No</v>
      </c>
      <c r="G3949" t="str">
        <f t="shared" si="306"/>
        <v/>
      </c>
      <c r="H3949" t="str">
        <f t="shared" si="307"/>
        <v>—</v>
      </c>
      <c r="I3949" t="str">
        <f t="shared" si="308"/>
        <v>Below thresholds</v>
      </c>
      <c r="J3949" t="str">
        <f t="shared" si="309"/>
        <v/>
      </c>
    </row>
    <row r="3950" spans="1:10" x14ac:dyDescent="0.2">
      <c r="A3950">
        <v>227296922059</v>
      </c>
      <c r="B3950" t="s">
        <v>8439</v>
      </c>
      <c r="C3950" t="s">
        <v>8440</v>
      </c>
      <c r="D3950">
        <v>2.4900000000000002</v>
      </c>
      <c r="F3950" t="str">
        <f t="shared" si="305"/>
        <v>No</v>
      </c>
      <c r="G3950" t="str">
        <f t="shared" si="306"/>
        <v/>
      </c>
      <c r="H3950" t="str">
        <f t="shared" si="307"/>
        <v>—</v>
      </c>
      <c r="I3950" t="str">
        <f t="shared" si="308"/>
        <v>Below thresholds</v>
      </c>
      <c r="J3950" t="str">
        <f t="shared" si="309"/>
        <v/>
      </c>
    </row>
    <row r="3951" spans="1:10" x14ac:dyDescent="0.2">
      <c r="A3951">
        <v>227296922070</v>
      </c>
      <c r="B3951" t="s">
        <v>8441</v>
      </c>
      <c r="C3951" t="s">
        <v>8442</v>
      </c>
      <c r="D3951">
        <v>4.99</v>
      </c>
      <c r="F3951" t="str">
        <f t="shared" si="305"/>
        <v>No</v>
      </c>
      <c r="G3951" t="str">
        <f t="shared" si="306"/>
        <v/>
      </c>
      <c r="H3951" t="str">
        <f t="shared" si="307"/>
        <v>—</v>
      </c>
      <c r="I3951" t="str">
        <f t="shared" si="308"/>
        <v>Below thresholds</v>
      </c>
      <c r="J3951" t="str">
        <f t="shared" si="309"/>
        <v/>
      </c>
    </row>
    <row r="3952" spans="1:10" x14ac:dyDescent="0.2">
      <c r="A3952">
        <v>227296922072</v>
      </c>
      <c r="B3952" t="s">
        <v>8443</v>
      </c>
      <c r="C3952" t="s">
        <v>8444</v>
      </c>
      <c r="D3952">
        <v>10.99</v>
      </c>
      <c r="F3952" t="str">
        <f t="shared" si="305"/>
        <v>No</v>
      </c>
      <c r="G3952" t="str">
        <f t="shared" si="306"/>
        <v/>
      </c>
      <c r="H3952" t="str">
        <f t="shared" si="307"/>
        <v>—</v>
      </c>
      <c r="I3952" t="str">
        <f t="shared" si="308"/>
        <v>Below thresholds</v>
      </c>
      <c r="J3952" t="str">
        <f t="shared" si="309"/>
        <v/>
      </c>
    </row>
    <row r="3953" spans="1:10" x14ac:dyDescent="0.2">
      <c r="A3953">
        <v>227296922087</v>
      </c>
      <c r="B3953" t="s">
        <v>8445</v>
      </c>
      <c r="C3953" t="s">
        <v>8446</v>
      </c>
      <c r="D3953">
        <v>50.89</v>
      </c>
      <c r="F3953" t="str">
        <f t="shared" si="305"/>
        <v>No</v>
      </c>
      <c r="G3953" t="str">
        <f t="shared" si="306"/>
        <v/>
      </c>
      <c r="H3953" t="str">
        <f t="shared" si="307"/>
        <v>—</v>
      </c>
      <c r="I3953" t="str">
        <f t="shared" si="308"/>
        <v>$20+ — needs velocity check</v>
      </c>
      <c r="J3953" t="str">
        <f t="shared" si="309"/>
        <v>YES — pull CardHedger</v>
      </c>
    </row>
    <row r="3954" spans="1:10" x14ac:dyDescent="0.2">
      <c r="A3954">
        <v>227296922088</v>
      </c>
      <c r="B3954" t="s">
        <v>8447</v>
      </c>
      <c r="C3954" t="s">
        <v>8448</v>
      </c>
      <c r="D3954">
        <v>3.99</v>
      </c>
      <c r="F3954" t="str">
        <f t="shared" si="305"/>
        <v>No</v>
      </c>
      <c r="G3954" t="str">
        <f t="shared" si="306"/>
        <v/>
      </c>
      <c r="H3954" t="str">
        <f t="shared" si="307"/>
        <v>—</v>
      </c>
      <c r="I3954" t="str">
        <f t="shared" si="308"/>
        <v>Below thresholds</v>
      </c>
      <c r="J3954" t="str">
        <f t="shared" si="309"/>
        <v/>
      </c>
    </row>
    <row r="3955" spans="1:10" x14ac:dyDescent="0.2">
      <c r="A3955">
        <v>227296922097</v>
      </c>
      <c r="B3955" t="s">
        <v>8449</v>
      </c>
      <c r="C3955" t="s">
        <v>8450</v>
      </c>
      <c r="D3955">
        <v>3.19</v>
      </c>
      <c r="F3955" t="str">
        <f t="shared" si="305"/>
        <v>No</v>
      </c>
      <c r="G3955" t="str">
        <f t="shared" si="306"/>
        <v/>
      </c>
      <c r="H3955" t="str">
        <f t="shared" si="307"/>
        <v>—</v>
      </c>
      <c r="I3955" t="str">
        <f t="shared" si="308"/>
        <v>Below thresholds</v>
      </c>
      <c r="J3955" t="str">
        <f t="shared" si="309"/>
        <v/>
      </c>
    </row>
    <row r="3956" spans="1:10" x14ac:dyDescent="0.2">
      <c r="A3956">
        <v>227296922123</v>
      </c>
      <c r="B3956" t="s">
        <v>8451</v>
      </c>
      <c r="C3956" t="s">
        <v>8452</v>
      </c>
      <c r="D3956">
        <v>5.5</v>
      </c>
      <c r="F3956" t="str">
        <f t="shared" si="305"/>
        <v>No</v>
      </c>
      <c r="G3956" t="str">
        <f t="shared" si="306"/>
        <v/>
      </c>
      <c r="H3956" t="str">
        <f t="shared" si="307"/>
        <v>—</v>
      </c>
      <c r="I3956" t="str">
        <f t="shared" si="308"/>
        <v>Below thresholds</v>
      </c>
      <c r="J3956" t="str">
        <f t="shared" si="309"/>
        <v/>
      </c>
    </row>
    <row r="3957" spans="1:10" x14ac:dyDescent="0.2">
      <c r="A3957">
        <v>227296922127</v>
      </c>
      <c r="B3957" t="s">
        <v>8453</v>
      </c>
      <c r="C3957" t="s">
        <v>8454</v>
      </c>
      <c r="D3957">
        <v>9</v>
      </c>
      <c r="F3957" t="str">
        <f t="shared" si="305"/>
        <v>No</v>
      </c>
      <c r="G3957" t="str">
        <f t="shared" si="306"/>
        <v/>
      </c>
      <c r="H3957" t="str">
        <f t="shared" si="307"/>
        <v>—</v>
      </c>
      <c r="I3957" t="str">
        <f t="shared" si="308"/>
        <v>Below thresholds</v>
      </c>
      <c r="J3957" t="str">
        <f t="shared" si="309"/>
        <v/>
      </c>
    </row>
    <row r="3958" spans="1:10" x14ac:dyDescent="0.2">
      <c r="A3958">
        <v>227296922228</v>
      </c>
      <c r="B3958" t="s">
        <v>8455</v>
      </c>
      <c r="C3958" t="s">
        <v>8456</v>
      </c>
      <c r="D3958">
        <v>1.99</v>
      </c>
      <c r="F3958" t="str">
        <f t="shared" si="305"/>
        <v>No</v>
      </c>
      <c r="G3958" t="str">
        <f t="shared" si="306"/>
        <v/>
      </c>
      <c r="H3958" t="str">
        <f t="shared" si="307"/>
        <v>—</v>
      </c>
      <c r="I3958" t="str">
        <f t="shared" si="308"/>
        <v>Below thresholds</v>
      </c>
      <c r="J3958" t="str">
        <f t="shared" si="309"/>
        <v/>
      </c>
    </row>
    <row r="3959" spans="1:10" x14ac:dyDescent="0.2">
      <c r="A3959">
        <v>227296922230</v>
      </c>
      <c r="B3959" t="s">
        <v>8457</v>
      </c>
      <c r="C3959" t="s">
        <v>8458</v>
      </c>
      <c r="D3959">
        <v>4.49</v>
      </c>
      <c r="F3959" t="str">
        <f t="shared" si="305"/>
        <v>No</v>
      </c>
      <c r="G3959" t="str">
        <f t="shared" si="306"/>
        <v/>
      </c>
      <c r="H3959" t="str">
        <f t="shared" si="307"/>
        <v>—</v>
      </c>
      <c r="I3959" t="str">
        <f t="shared" si="308"/>
        <v>Below thresholds</v>
      </c>
      <c r="J3959" t="str">
        <f t="shared" si="309"/>
        <v/>
      </c>
    </row>
    <row r="3960" spans="1:10" x14ac:dyDescent="0.2">
      <c r="A3960">
        <v>227296922369</v>
      </c>
      <c r="B3960" t="s">
        <v>8058</v>
      </c>
      <c r="C3960" t="s">
        <v>8459</v>
      </c>
      <c r="D3960">
        <v>1.99</v>
      </c>
      <c r="F3960" t="str">
        <f t="shared" si="305"/>
        <v>No</v>
      </c>
      <c r="G3960" t="str">
        <f t="shared" si="306"/>
        <v/>
      </c>
      <c r="H3960" t="str">
        <f t="shared" si="307"/>
        <v>—</v>
      </c>
      <c r="I3960" t="str">
        <f t="shared" si="308"/>
        <v>Below thresholds</v>
      </c>
      <c r="J3960" t="str">
        <f t="shared" si="309"/>
        <v/>
      </c>
    </row>
    <row r="3961" spans="1:10" x14ac:dyDescent="0.2">
      <c r="A3961">
        <v>227296922401</v>
      </c>
      <c r="B3961" t="s">
        <v>8460</v>
      </c>
      <c r="C3961" t="s">
        <v>8461</v>
      </c>
      <c r="D3961">
        <v>2.99</v>
      </c>
      <c r="F3961" t="str">
        <f t="shared" si="305"/>
        <v>No</v>
      </c>
      <c r="G3961" t="str">
        <f t="shared" si="306"/>
        <v/>
      </c>
      <c r="H3961" t="str">
        <f t="shared" si="307"/>
        <v>—</v>
      </c>
      <c r="I3961" t="str">
        <f t="shared" si="308"/>
        <v>Below thresholds</v>
      </c>
      <c r="J3961" t="str">
        <f t="shared" si="309"/>
        <v/>
      </c>
    </row>
    <row r="3962" spans="1:10" x14ac:dyDescent="0.2">
      <c r="A3962">
        <v>227296922450</v>
      </c>
      <c r="B3962" t="s">
        <v>8462</v>
      </c>
      <c r="C3962" t="s">
        <v>8463</v>
      </c>
      <c r="D3962">
        <v>3.19</v>
      </c>
      <c r="F3962" t="str">
        <f t="shared" si="305"/>
        <v>No</v>
      </c>
      <c r="G3962" t="str">
        <f t="shared" si="306"/>
        <v/>
      </c>
      <c r="H3962" t="str">
        <f t="shared" si="307"/>
        <v>—</v>
      </c>
      <c r="I3962" t="str">
        <f t="shared" si="308"/>
        <v>Below thresholds</v>
      </c>
      <c r="J3962" t="str">
        <f t="shared" si="309"/>
        <v/>
      </c>
    </row>
    <row r="3963" spans="1:10" x14ac:dyDescent="0.2">
      <c r="A3963">
        <v>227296922526</v>
      </c>
      <c r="B3963" t="s">
        <v>8464</v>
      </c>
      <c r="C3963" t="s">
        <v>8465</v>
      </c>
      <c r="D3963">
        <v>3.29</v>
      </c>
      <c r="F3963" t="str">
        <f t="shared" si="305"/>
        <v>No</v>
      </c>
      <c r="G3963" t="str">
        <f t="shared" si="306"/>
        <v/>
      </c>
      <c r="H3963" t="str">
        <f t="shared" si="307"/>
        <v>—</v>
      </c>
      <c r="I3963" t="str">
        <f t="shared" si="308"/>
        <v>Below thresholds</v>
      </c>
      <c r="J3963" t="str">
        <f t="shared" si="309"/>
        <v/>
      </c>
    </row>
    <row r="3964" spans="1:10" x14ac:dyDescent="0.2">
      <c r="A3964">
        <v>227296922543</v>
      </c>
      <c r="B3964" t="s">
        <v>8466</v>
      </c>
      <c r="C3964" t="s">
        <v>8467</v>
      </c>
      <c r="D3964">
        <v>6.29</v>
      </c>
      <c r="F3964" t="str">
        <f t="shared" si="305"/>
        <v>No</v>
      </c>
      <c r="G3964" t="str">
        <f t="shared" si="306"/>
        <v/>
      </c>
      <c r="H3964" t="str">
        <f t="shared" si="307"/>
        <v>—</v>
      </c>
      <c r="I3964" t="str">
        <f t="shared" si="308"/>
        <v>Below thresholds</v>
      </c>
      <c r="J3964" t="str">
        <f t="shared" si="309"/>
        <v/>
      </c>
    </row>
    <row r="3965" spans="1:10" x14ac:dyDescent="0.2">
      <c r="A3965">
        <v>227296922654</v>
      </c>
      <c r="B3965" t="s">
        <v>8468</v>
      </c>
      <c r="C3965" t="s">
        <v>8469</v>
      </c>
      <c r="D3965">
        <v>2.39</v>
      </c>
      <c r="F3965" t="str">
        <f t="shared" si="305"/>
        <v>No</v>
      </c>
      <c r="G3965" t="str">
        <f t="shared" si="306"/>
        <v/>
      </c>
      <c r="H3965" t="str">
        <f t="shared" si="307"/>
        <v>—</v>
      </c>
      <c r="I3965" t="str">
        <f t="shared" si="308"/>
        <v>Below thresholds</v>
      </c>
      <c r="J3965" t="str">
        <f t="shared" si="309"/>
        <v/>
      </c>
    </row>
    <row r="3966" spans="1:10" x14ac:dyDescent="0.2">
      <c r="A3966">
        <v>227296922660</v>
      </c>
      <c r="B3966" t="s">
        <v>8470</v>
      </c>
      <c r="C3966" t="s">
        <v>8471</v>
      </c>
      <c r="D3966">
        <v>3.99</v>
      </c>
      <c r="F3966" t="str">
        <f t="shared" si="305"/>
        <v>No</v>
      </c>
      <c r="G3966" t="str">
        <f t="shared" si="306"/>
        <v/>
      </c>
      <c r="H3966" t="str">
        <f t="shared" si="307"/>
        <v>—</v>
      </c>
      <c r="I3966" t="str">
        <f t="shared" si="308"/>
        <v>Below thresholds</v>
      </c>
      <c r="J3966" t="str">
        <f t="shared" si="309"/>
        <v/>
      </c>
    </row>
    <row r="3967" spans="1:10" x14ac:dyDescent="0.2">
      <c r="A3967">
        <v>227296922760</v>
      </c>
      <c r="B3967" t="s">
        <v>8472</v>
      </c>
      <c r="C3967" t="s">
        <v>8473</v>
      </c>
      <c r="D3967">
        <v>2.69</v>
      </c>
      <c r="F3967" t="str">
        <f t="shared" si="305"/>
        <v>No</v>
      </c>
      <c r="G3967" t="str">
        <f t="shared" si="306"/>
        <v/>
      </c>
      <c r="H3967" t="str">
        <f t="shared" si="307"/>
        <v>—</v>
      </c>
      <c r="I3967" t="str">
        <f t="shared" si="308"/>
        <v>Below thresholds</v>
      </c>
      <c r="J3967" t="str">
        <f t="shared" si="309"/>
        <v/>
      </c>
    </row>
    <row r="3968" spans="1:10" x14ac:dyDescent="0.2">
      <c r="A3968">
        <v>227296922779</v>
      </c>
      <c r="B3968" t="s">
        <v>8474</v>
      </c>
      <c r="C3968" t="s">
        <v>8475</v>
      </c>
      <c r="D3968">
        <v>2.4900000000000002</v>
      </c>
      <c r="F3968" t="str">
        <f t="shared" si="305"/>
        <v>No</v>
      </c>
      <c r="G3968" t="str">
        <f t="shared" si="306"/>
        <v/>
      </c>
      <c r="H3968" t="str">
        <f t="shared" si="307"/>
        <v>—</v>
      </c>
      <c r="I3968" t="str">
        <f t="shared" si="308"/>
        <v>Below thresholds</v>
      </c>
      <c r="J3968" t="str">
        <f t="shared" si="309"/>
        <v/>
      </c>
    </row>
    <row r="3969" spans="1:10" x14ac:dyDescent="0.2">
      <c r="A3969">
        <v>227296922879</v>
      </c>
      <c r="B3969" t="s">
        <v>8047</v>
      </c>
      <c r="C3969" t="s">
        <v>8476</v>
      </c>
      <c r="D3969">
        <v>1.99</v>
      </c>
      <c r="F3969" t="str">
        <f t="shared" si="305"/>
        <v>No</v>
      </c>
      <c r="G3969" t="str">
        <f t="shared" si="306"/>
        <v/>
      </c>
      <c r="H3969" t="str">
        <f t="shared" si="307"/>
        <v>—</v>
      </c>
      <c r="I3969" t="str">
        <f t="shared" si="308"/>
        <v>Below thresholds</v>
      </c>
      <c r="J3969" t="str">
        <f t="shared" si="309"/>
        <v/>
      </c>
    </row>
    <row r="3970" spans="1:10" x14ac:dyDescent="0.2">
      <c r="A3970">
        <v>227296922942</v>
      </c>
      <c r="B3970" t="s">
        <v>8477</v>
      </c>
      <c r="C3970" t="s">
        <v>8478</v>
      </c>
      <c r="D3970">
        <v>1.99</v>
      </c>
      <c r="F3970" t="str">
        <f t="shared" si="305"/>
        <v>No</v>
      </c>
      <c r="G3970" t="str">
        <f t="shared" si="306"/>
        <v/>
      </c>
      <c r="H3970" t="str">
        <f t="shared" si="307"/>
        <v>—</v>
      </c>
      <c r="I3970" t="str">
        <f t="shared" si="308"/>
        <v>Below thresholds</v>
      </c>
      <c r="J3970" t="str">
        <f t="shared" si="309"/>
        <v/>
      </c>
    </row>
    <row r="3971" spans="1:10" x14ac:dyDescent="0.2">
      <c r="A3971">
        <v>227296923000</v>
      </c>
      <c r="B3971" t="s">
        <v>8479</v>
      </c>
      <c r="C3971" t="s">
        <v>8480</v>
      </c>
      <c r="D3971">
        <v>5.49</v>
      </c>
      <c r="F3971" t="str">
        <f t="shared" si="305"/>
        <v>No</v>
      </c>
      <c r="G3971" t="str">
        <f t="shared" si="306"/>
        <v/>
      </c>
      <c r="H3971" t="str">
        <f t="shared" si="307"/>
        <v>—</v>
      </c>
      <c r="I3971" t="str">
        <f t="shared" si="308"/>
        <v>Below thresholds</v>
      </c>
      <c r="J3971" t="str">
        <f t="shared" si="309"/>
        <v/>
      </c>
    </row>
    <row r="3972" spans="1:10" x14ac:dyDescent="0.2">
      <c r="A3972">
        <v>227298296696</v>
      </c>
      <c r="B3972" t="s">
        <v>8481</v>
      </c>
      <c r="C3972" t="s">
        <v>8482</v>
      </c>
      <c r="D3972">
        <v>2.39</v>
      </c>
      <c r="F3972" t="str">
        <f t="shared" si="305"/>
        <v>No</v>
      </c>
      <c r="G3972" t="str">
        <f t="shared" si="306"/>
        <v/>
      </c>
      <c r="H3972" t="str">
        <f t="shared" si="307"/>
        <v>—</v>
      </c>
      <c r="I3972" t="str">
        <f t="shared" si="308"/>
        <v>Below thresholds</v>
      </c>
      <c r="J3972" t="str">
        <f t="shared" si="309"/>
        <v/>
      </c>
    </row>
    <row r="3973" spans="1:10" x14ac:dyDescent="0.2">
      <c r="A3973">
        <v>227298296699</v>
      </c>
      <c r="B3973" t="s">
        <v>8483</v>
      </c>
      <c r="C3973" t="s">
        <v>8484</v>
      </c>
      <c r="D3973">
        <v>1.99</v>
      </c>
      <c r="F3973" t="str">
        <f t="shared" ref="F3973:F4036" si="310">IF($B3973="","",IF(ISNUMBER(SEARCH("PSA",$B3973)),"Yes","No"))</f>
        <v>No</v>
      </c>
      <c r="G3973" t="str">
        <f t="shared" ref="G3973:G4036" si="311">IF($B3973="","",IF(ISNUMBER(SEARCH("PSA 10",$B3973)),10,IF(ISNUMBER(SEARCH("PSA 9.5",$B3973)),9.5,IF(ISNUMBER(SEARCH("PSA 9",$B3973)),9,IF(ISNUMBER(SEARCH("PSA 8",$B3973)),8,IF(ISNUMBER(SEARCH("PSA",$B3973)),"&lt;9",""))))))</f>
        <v/>
      </c>
      <c r="H3973" t="str">
        <f t="shared" ref="H3973:H4036" si="312">IF($B3973="","",IF($D3973&gt;=100,"TIER 2",IF(OR(ISNUMBER(SEARCH("PSA 10",$B3973)),ISNUMBER(SEARCH("PSA 9.5",$B3973)),ISNUMBER(SEARCH("PSA 9",$B3973))),"TIER 3",IF(AND($D3973&gt;20,N($E3973)&gt;=15),"TIER 1","—"))))</f>
        <v>—</v>
      </c>
      <c r="I3973" t="str">
        <f t="shared" ref="I3973:I4036" si="313">IF($B3973="","",IF($D3973&gt;=100,"Premium $100+ (auto)",IF(OR(ISNUMBER(SEARCH("PSA 10",$B3973)),ISNUMBER(SEARCH("PSA 9.5",$B3973)),ISNUMBER(SEARCH("PSA 9",$B3973))),"Graded PSA 9+ (auto)",IF(AND($D3973&gt;20,N($E3973)&gt;=15),"Hot: $20+ &amp; "&amp;$E3973&amp;"/day",IF($D3973&gt;20,"$20+ — needs velocity check","Below thresholds")))))</f>
        <v>Below thresholds</v>
      </c>
      <c r="J3973" t="str">
        <f t="shared" ref="J3973:J4036" si="314">IF($B3973="","",IF(AND($D3973&gt;20,$D3973&lt;100,NOT(OR(ISNUMBER(SEARCH("PSA 10",$B3973)),ISNUMBER(SEARCH("PSA 9.5",$B3973)),ISNUMBER(SEARCH("PSA 9",$B3973)))),$E3973=""),"YES — pull CardHedger",""))</f>
        <v/>
      </c>
    </row>
    <row r="3974" spans="1:10" x14ac:dyDescent="0.2">
      <c r="A3974">
        <v>227298296713</v>
      </c>
      <c r="B3974" t="s">
        <v>8485</v>
      </c>
      <c r="C3974" t="s">
        <v>8486</v>
      </c>
      <c r="D3974">
        <v>1.99</v>
      </c>
      <c r="F3974" t="str">
        <f t="shared" si="310"/>
        <v>No</v>
      </c>
      <c r="G3974" t="str">
        <f t="shared" si="311"/>
        <v/>
      </c>
      <c r="H3974" t="str">
        <f t="shared" si="312"/>
        <v>—</v>
      </c>
      <c r="I3974" t="str">
        <f t="shared" si="313"/>
        <v>Below thresholds</v>
      </c>
      <c r="J3974" t="str">
        <f t="shared" si="314"/>
        <v/>
      </c>
    </row>
    <row r="3975" spans="1:10" x14ac:dyDescent="0.2">
      <c r="A3975">
        <v>227298296731</v>
      </c>
      <c r="B3975" t="s">
        <v>8487</v>
      </c>
      <c r="C3975" t="s">
        <v>8488</v>
      </c>
      <c r="D3975">
        <v>3.39</v>
      </c>
      <c r="F3975" t="str">
        <f t="shared" si="310"/>
        <v>No</v>
      </c>
      <c r="G3975" t="str">
        <f t="shared" si="311"/>
        <v/>
      </c>
      <c r="H3975" t="str">
        <f t="shared" si="312"/>
        <v>—</v>
      </c>
      <c r="I3975" t="str">
        <f t="shared" si="313"/>
        <v>Below thresholds</v>
      </c>
      <c r="J3975" t="str">
        <f t="shared" si="314"/>
        <v/>
      </c>
    </row>
    <row r="3976" spans="1:10" x14ac:dyDescent="0.2">
      <c r="A3976">
        <v>227298296750</v>
      </c>
      <c r="B3976" t="s">
        <v>8489</v>
      </c>
      <c r="C3976" t="s">
        <v>8490</v>
      </c>
      <c r="D3976">
        <v>2.59</v>
      </c>
      <c r="F3976" t="str">
        <f t="shared" si="310"/>
        <v>No</v>
      </c>
      <c r="G3976" t="str">
        <f t="shared" si="311"/>
        <v/>
      </c>
      <c r="H3976" t="str">
        <f t="shared" si="312"/>
        <v>—</v>
      </c>
      <c r="I3976" t="str">
        <f t="shared" si="313"/>
        <v>Below thresholds</v>
      </c>
      <c r="J3976" t="str">
        <f t="shared" si="314"/>
        <v/>
      </c>
    </row>
    <row r="3977" spans="1:10" x14ac:dyDescent="0.2">
      <c r="A3977">
        <v>227298296752</v>
      </c>
      <c r="B3977" t="s">
        <v>8491</v>
      </c>
      <c r="C3977" t="s">
        <v>8492</v>
      </c>
      <c r="D3977">
        <v>2.89</v>
      </c>
      <c r="F3977" t="str">
        <f t="shared" si="310"/>
        <v>No</v>
      </c>
      <c r="G3977" t="str">
        <f t="shared" si="311"/>
        <v/>
      </c>
      <c r="H3977" t="str">
        <f t="shared" si="312"/>
        <v>—</v>
      </c>
      <c r="I3977" t="str">
        <f t="shared" si="313"/>
        <v>Below thresholds</v>
      </c>
      <c r="J3977" t="str">
        <f t="shared" si="314"/>
        <v/>
      </c>
    </row>
    <row r="3978" spans="1:10" x14ac:dyDescent="0.2">
      <c r="A3978">
        <v>227298296753</v>
      </c>
      <c r="B3978" t="s">
        <v>8493</v>
      </c>
      <c r="C3978" t="s">
        <v>8494</v>
      </c>
      <c r="D3978">
        <v>4.1900000000000004</v>
      </c>
      <c r="F3978" t="str">
        <f t="shared" si="310"/>
        <v>No</v>
      </c>
      <c r="G3978" t="str">
        <f t="shared" si="311"/>
        <v/>
      </c>
      <c r="H3978" t="str">
        <f t="shared" si="312"/>
        <v>—</v>
      </c>
      <c r="I3978" t="str">
        <f t="shared" si="313"/>
        <v>Below thresholds</v>
      </c>
      <c r="J3978" t="str">
        <f t="shared" si="314"/>
        <v/>
      </c>
    </row>
    <row r="3979" spans="1:10" x14ac:dyDescent="0.2">
      <c r="A3979">
        <v>227298296773</v>
      </c>
      <c r="B3979" t="s">
        <v>8495</v>
      </c>
      <c r="C3979" t="s">
        <v>8496</v>
      </c>
      <c r="D3979">
        <v>3.59</v>
      </c>
      <c r="F3979" t="str">
        <f t="shared" si="310"/>
        <v>No</v>
      </c>
      <c r="G3979" t="str">
        <f t="shared" si="311"/>
        <v/>
      </c>
      <c r="H3979" t="str">
        <f t="shared" si="312"/>
        <v>—</v>
      </c>
      <c r="I3979" t="str">
        <f t="shared" si="313"/>
        <v>Below thresholds</v>
      </c>
      <c r="J3979" t="str">
        <f t="shared" si="314"/>
        <v/>
      </c>
    </row>
    <row r="3980" spans="1:10" x14ac:dyDescent="0.2">
      <c r="A3980">
        <v>227298296783</v>
      </c>
      <c r="B3980" t="s">
        <v>8497</v>
      </c>
      <c r="C3980" t="s">
        <v>8498</v>
      </c>
      <c r="D3980">
        <v>3.39</v>
      </c>
      <c r="F3980" t="str">
        <f t="shared" si="310"/>
        <v>No</v>
      </c>
      <c r="G3980" t="str">
        <f t="shared" si="311"/>
        <v/>
      </c>
      <c r="H3980" t="str">
        <f t="shared" si="312"/>
        <v>—</v>
      </c>
      <c r="I3980" t="str">
        <f t="shared" si="313"/>
        <v>Below thresholds</v>
      </c>
      <c r="J3980" t="str">
        <f t="shared" si="314"/>
        <v/>
      </c>
    </row>
    <row r="3981" spans="1:10" x14ac:dyDescent="0.2">
      <c r="A3981">
        <v>227298296789</v>
      </c>
      <c r="B3981" t="s">
        <v>8499</v>
      </c>
      <c r="C3981" t="s">
        <v>8500</v>
      </c>
      <c r="D3981">
        <v>54.29</v>
      </c>
      <c r="F3981" t="str">
        <f t="shared" si="310"/>
        <v>No</v>
      </c>
      <c r="G3981" t="str">
        <f t="shared" si="311"/>
        <v/>
      </c>
      <c r="H3981" t="str">
        <f t="shared" si="312"/>
        <v>—</v>
      </c>
      <c r="I3981" t="str">
        <f t="shared" si="313"/>
        <v>$20+ — needs velocity check</v>
      </c>
      <c r="J3981" t="str">
        <f t="shared" si="314"/>
        <v>YES — pull CardHedger</v>
      </c>
    </row>
    <row r="3982" spans="1:10" x14ac:dyDescent="0.2">
      <c r="A3982">
        <v>227298296811</v>
      </c>
      <c r="B3982" t="s">
        <v>8501</v>
      </c>
      <c r="C3982" t="s">
        <v>8502</v>
      </c>
      <c r="D3982">
        <v>2.29</v>
      </c>
      <c r="F3982" t="str">
        <f t="shared" si="310"/>
        <v>No</v>
      </c>
      <c r="G3982" t="str">
        <f t="shared" si="311"/>
        <v/>
      </c>
      <c r="H3982" t="str">
        <f t="shared" si="312"/>
        <v>—</v>
      </c>
      <c r="I3982" t="str">
        <f t="shared" si="313"/>
        <v>Below thresholds</v>
      </c>
      <c r="J3982" t="str">
        <f t="shared" si="314"/>
        <v/>
      </c>
    </row>
    <row r="3983" spans="1:10" x14ac:dyDescent="0.2">
      <c r="A3983">
        <v>227298296813</v>
      </c>
      <c r="B3983" t="s">
        <v>8503</v>
      </c>
      <c r="C3983" t="s">
        <v>8504</v>
      </c>
      <c r="D3983">
        <v>2.69</v>
      </c>
      <c r="F3983" t="str">
        <f t="shared" si="310"/>
        <v>No</v>
      </c>
      <c r="G3983" t="str">
        <f t="shared" si="311"/>
        <v/>
      </c>
      <c r="H3983" t="str">
        <f t="shared" si="312"/>
        <v>—</v>
      </c>
      <c r="I3983" t="str">
        <f t="shared" si="313"/>
        <v>Below thresholds</v>
      </c>
      <c r="J3983" t="str">
        <f t="shared" si="314"/>
        <v/>
      </c>
    </row>
    <row r="3984" spans="1:10" x14ac:dyDescent="0.2">
      <c r="A3984">
        <v>227298296815</v>
      </c>
      <c r="B3984" t="s">
        <v>8505</v>
      </c>
      <c r="C3984" t="s">
        <v>8506</v>
      </c>
      <c r="D3984">
        <v>2.89</v>
      </c>
      <c r="F3984" t="str">
        <f t="shared" si="310"/>
        <v>No</v>
      </c>
      <c r="G3984" t="str">
        <f t="shared" si="311"/>
        <v/>
      </c>
      <c r="H3984" t="str">
        <f t="shared" si="312"/>
        <v>—</v>
      </c>
      <c r="I3984" t="str">
        <f t="shared" si="313"/>
        <v>Below thresholds</v>
      </c>
      <c r="J3984" t="str">
        <f t="shared" si="314"/>
        <v/>
      </c>
    </row>
    <row r="3985" spans="1:10" x14ac:dyDescent="0.2">
      <c r="A3985">
        <v>227298296835</v>
      </c>
      <c r="B3985" t="s">
        <v>8507</v>
      </c>
      <c r="C3985" t="s">
        <v>8508</v>
      </c>
      <c r="D3985">
        <v>2.89</v>
      </c>
      <c r="F3985" t="str">
        <f t="shared" si="310"/>
        <v>No</v>
      </c>
      <c r="G3985" t="str">
        <f t="shared" si="311"/>
        <v/>
      </c>
      <c r="H3985" t="str">
        <f t="shared" si="312"/>
        <v>—</v>
      </c>
      <c r="I3985" t="str">
        <f t="shared" si="313"/>
        <v>Below thresholds</v>
      </c>
      <c r="J3985" t="str">
        <f t="shared" si="314"/>
        <v/>
      </c>
    </row>
    <row r="3986" spans="1:10" x14ac:dyDescent="0.2">
      <c r="A3986">
        <v>227298296853</v>
      </c>
      <c r="B3986" t="s">
        <v>8509</v>
      </c>
      <c r="C3986" t="s">
        <v>8510</v>
      </c>
      <c r="D3986">
        <v>4.3899999999999997</v>
      </c>
      <c r="F3986" t="str">
        <f t="shared" si="310"/>
        <v>No</v>
      </c>
      <c r="G3986" t="str">
        <f t="shared" si="311"/>
        <v/>
      </c>
      <c r="H3986" t="str">
        <f t="shared" si="312"/>
        <v>—</v>
      </c>
      <c r="I3986" t="str">
        <f t="shared" si="313"/>
        <v>Below thresholds</v>
      </c>
      <c r="J3986" t="str">
        <f t="shared" si="314"/>
        <v/>
      </c>
    </row>
    <row r="3987" spans="1:10" x14ac:dyDescent="0.2">
      <c r="A3987">
        <v>227298296857</v>
      </c>
      <c r="B3987" t="s">
        <v>8511</v>
      </c>
      <c r="C3987" t="s">
        <v>8512</v>
      </c>
      <c r="D3987">
        <v>1.99</v>
      </c>
      <c r="F3987" t="str">
        <f t="shared" si="310"/>
        <v>No</v>
      </c>
      <c r="G3987" t="str">
        <f t="shared" si="311"/>
        <v/>
      </c>
      <c r="H3987" t="str">
        <f t="shared" si="312"/>
        <v>—</v>
      </c>
      <c r="I3987" t="str">
        <f t="shared" si="313"/>
        <v>Below thresholds</v>
      </c>
      <c r="J3987" t="str">
        <f t="shared" si="314"/>
        <v/>
      </c>
    </row>
    <row r="3988" spans="1:10" x14ac:dyDescent="0.2">
      <c r="A3988">
        <v>227298296877</v>
      </c>
      <c r="B3988" t="s">
        <v>8513</v>
      </c>
      <c r="C3988" t="s">
        <v>8514</v>
      </c>
      <c r="D3988">
        <v>1.99</v>
      </c>
      <c r="F3988" t="str">
        <f t="shared" si="310"/>
        <v>No</v>
      </c>
      <c r="G3988" t="str">
        <f t="shared" si="311"/>
        <v/>
      </c>
      <c r="H3988" t="str">
        <f t="shared" si="312"/>
        <v>—</v>
      </c>
      <c r="I3988" t="str">
        <f t="shared" si="313"/>
        <v>Below thresholds</v>
      </c>
      <c r="J3988" t="str">
        <f t="shared" si="314"/>
        <v/>
      </c>
    </row>
    <row r="3989" spans="1:10" x14ac:dyDescent="0.2">
      <c r="A3989">
        <v>227298296878</v>
      </c>
      <c r="B3989" t="s">
        <v>8515</v>
      </c>
      <c r="C3989" t="s">
        <v>8516</v>
      </c>
      <c r="D3989">
        <v>1.99</v>
      </c>
      <c r="F3989" t="str">
        <f t="shared" si="310"/>
        <v>No</v>
      </c>
      <c r="G3989" t="str">
        <f t="shared" si="311"/>
        <v/>
      </c>
      <c r="H3989" t="str">
        <f t="shared" si="312"/>
        <v>—</v>
      </c>
      <c r="I3989" t="str">
        <f t="shared" si="313"/>
        <v>Below thresholds</v>
      </c>
      <c r="J3989" t="str">
        <f t="shared" si="314"/>
        <v/>
      </c>
    </row>
    <row r="3990" spans="1:10" x14ac:dyDescent="0.2">
      <c r="A3990">
        <v>227298296887</v>
      </c>
      <c r="B3990" t="s">
        <v>8517</v>
      </c>
      <c r="C3990" t="s">
        <v>8518</v>
      </c>
      <c r="D3990">
        <v>3.59</v>
      </c>
      <c r="F3990" t="str">
        <f t="shared" si="310"/>
        <v>No</v>
      </c>
      <c r="G3990" t="str">
        <f t="shared" si="311"/>
        <v/>
      </c>
      <c r="H3990" t="str">
        <f t="shared" si="312"/>
        <v>—</v>
      </c>
      <c r="I3990" t="str">
        <f t="shared" si="313"/>
        <v>Below thresholds</v>
      </c>
      <c r="J3990" t="str">
        <f t="shared" si="314"/>
        <v/>
      </c>
    </row>
    <row r="3991" spans="1:10" x14ac:dyDescent="0.2">
      <c r="A3991">
        <v>227298296888</v>
      </c>
      <c r="B3991" t="s">
        <v>8519</v>
      </c>
      <c r="C3991" t="s">
        <v>8520</v>
      </c>
      <c r="D3991">
        <v>1.99</v>
      </c>
      <c r="F3991" t="str">
        <f t="shared" si="310"/>
        <v>No</v>
      </c>
      <c r="G3991" t="str">
        <f t="shared" si="311"/>
        <v/>
      </c>
      <c r="H3991" t="str">
        <f t="shared" si="312"/>
        <v>—</v>
      </c>
      <c r="I3991" t="str">
        <f t="shared" si="313"/>
        <v>Below thresholds</v>
      </c>
      <c r="J3991" t="str">
        <f t="shared" si="314"/>
        <v/>
      </c>
    </row>
    <row r="3992" spans="1:10" x14ac:dyDescent="0.2">
      <c r="A3992">
        <v>227298296900</v>
      </c>
      <c r="B3992" t="s">
        <v>8521</v>
      </c>
      <c r="C3992" t="s">
        <v>8522</v>
      </c>
      <c r="D3992">
        <v>1.99</v>
      </c>
      <c r="F3992" t="str">
        <f t="shared" si="310"/>
        <v>No</v>
      </c>
      <c r="G3992" t="str">
        <f t="shared" si="311"/>
        <v/>
      </c>
      <c r="H3992" t="str">
        <f t="shared" si="312"/>
        <v>—</v>
      </c>
      <c r="I3992" t="str">
        <f t="shared" si="313"/>
        <v>Below thresholds</v>
      </c>
      <c r="J3992" t="str">
        <f t="shared" si="314"/>
        <v/>
      </c>
    </row>
    <row r="3993" spans="1:10" x14ac:dyDescent="0.2">
      <c r="A3993">
        <v>227298296901</v>
      </c>
      <c r="B3993" t="s">
        <v>8523</v>
      </c>
      <c r="C3993" t="s">
        <v>8524</v>
      </c>
      <c r="D3993">
        <v>1.99</v>
      </c>
      <c r="F3993" t="str">
        <f t="shared" si="310"/>
        <v>No</v>
      </c>
      <c r="G3993" t="str">
        <f t="shared" si="311"/>
        <v/>
      </c>
      <c r="H3993" t="str">
        <f t="shared" si="312"/>
        <v>—</v>
      </c>
      <c r="I3993" t="str">
        <f t="shared" si="313"/>
        <v>Below thresholds</v>
      </c>
      <c r="J3993" t="str">
        <f t="shared" si="314"/>
        <v/>
      </c>
    </row>
    <row r="3994" spans="1:10" x14ac:dyDescent="0.2">
      <c r="A3994">
        <v>227298296907</v>
      </c>
      <c r="B3994" t="s">
        <v>8525</v>
      </c>
      <c r="C3994" t="s">
        <v>8526</v>
      </c>
      <c r="D3994">
        <v>2.39</v>
      </c>
      <c r="F3994" t="str">
        <f t="shared" si="310"/>
        <v>No</v>
      </c>
      <c r="G3994" t="str">
        <f t="shared" si="311"/>
        <v/>
      </c>
      <c r="H3994" t="str">
        <f t="shared" si="312"/>
        <v>—</v>
      </c>
      <c r="I3994" t="str">
        <f t="shared" si="313"/>
        <v>Below thresholds</v>
      </c>
      <c r="J3994" t="str">
        <f t="shared" si="314"/>
        <v/>
      </c>
    </row>
    <row r="3995" spans="1:10" x14ac:dyDescent="0.2">
      <c r="A3995">
        <v>227298296908</v>
      </c>
      <c r="B3995" t="s">
        <v>8527</v>
      </c>
      <c r="C3995" t="s">
        <v>8528</v>
      </c>
      <c r="D3995">
        <v>1.99</v>
      </c>
      <c r="F3995" t="str">
        <f t="shared" si="310"/>
        <v>No</v>
      </c>
      <c r="G3995" t="str">
        <f t="shared" si="311"/>
        <v/>
      </c>
      <c r="H3995" t="str">
        <f t="shared" si="312"/>
        <v>—</v>
      </c>
      <c r="I3995" t="str">
        <f t="shared" si="313"/>
        <v>Below thresholds</v>
      </c>
      <c r="J3995" t="str">
        <f t="shared" si="314"/>
        <v/>
      </c>
    </row>
    <row r="3996" spans="1:10" x14ac:dyDescent="0.2">
      <c r="A3996">
        <v>227298296911</v>
      </c>
      <c r="B3996" t="s">
        <v>8529</v>
      </c>
      <c r="C3996" t="s">
        <v>8530</v>
      </c>
      <c r="D3996">
        <v>1.99</v>
      </c>
      <c r="F3996" t="str">
        <f t="shared" si="310"/>
        <v>No</v>
      </c>
      <c r="G3996" t="str">
        <f t="shared" si="311"/>
        <v/>
      </c>
      <c r="H3996" t="str">
        <f t="shared" si="312"/>
        <v>—</v>
      </c>
      <c r="I3996" t="str">
        <f t="shared" si="313"/>
        <v>Below thresholds</v>
      </c>
      <c r="J3996" t="str">
        <f t="shared" si="314"/>
        <v/>
      </c>
    </row>
    <row r="3997" spans="1:10" x14ac:dyDescent="0.2">
      <c r="A3997">
        <v>227298296932</v>
      </c>
      <c r="B3997" t="s">
        <v>8531</v>
      </c>
      <c r="C3997" t="s">
        <v>8532</v>
      </c>
      <c r="D3997">
        <v>1.99</v>
      </c>
      <c r="F3997" t="str">
        <f t="shared" si="310"/>
        <v>No</v>
      </c>
      <c r="G3997" t="str">
        <f t="shared" si="311"/>
        <v/>
      </c>
      <c r="H3997" t="str">
        <f t="shared" si="312"/>
        <v>—</v>
      </c>
      <c r="I3997" t="str">
        <f t="shared" si="313"/>
        <v>Below thresholds</v>
      </c>
      <c r="J3997" t="str">
        <f t="shared" si="314"/>
        <v/>
      </c>
    </row>
    <row r="3998" spans="1:10" x14ac:dyDescent="0.2">
      <c r="A3998">
        <v>227298296946</v>
      </c>
      <c r="B3998" t="s">
        <v>8533</v>
      </c>
      <c r="C3998" t="s">
        <v>8534</v>
      </c>
      <c r="D3998">
        <v>2.5</v>
      </c>
      <c r="F3998" t="str">
        <f t="shared" si="310"/>
        <v>No</v>
      </c>
      <c r="G3998" t="str">
        <f t="shared" si="311"/>
        <v/>
      </c>
      <c r="H3998" t="str">
        <f t="shared" si="312"/>
        <v>—</v>
      </c>
      <c r="I3998" t="str">
        <f t="shared" si="313"/>
        <v>Below thresholds</v>
      </c>
      <c r="J3998" t="str">
        <f t="shared" si="314"/>
        <v/>
      </c>
    </row>
    <row r="3999" spans="1:10" x14ac:dyDescent="0.2">
      <c r="A3999">
        <v>227298296958</v>
      </c>
      <c r="B3999" t="s">
        <v>8535</v>
      </c>
      <c r="C3999" t="s">
        <v>8536</v>
      </c>
      <c r="D3999">
        <v>2.39</v>
      </c>
      <c r="F3999" t="str">
        <f t="shared" si="310"/>
        <v>No</v>
      </c>
      <c r="G3999" t="str">
        <f t="shared" si="311"/>
        <v/>
      </c>
      <c r="H3999" t="str">
        <f t="shared" si="312"/>
        <v>—</v>
      </c>
      <c r="I3999" t="str">
        <f t="shared" si="313"/>
        <v>Below thresholds</v>
      </c>
      <c r="J3999" t="str">
        <f t="shared" si="314"/>
        <v/>
      </c>
    </row>
    <row r="4000" spans="1:10" x14ac:dyDescent="0.2">
      <c r="A4000">
        <v>227298296964</v>
      </c>
      <c r="B4000" t="s">
        <v>8537</v>
      </c>
      <c r="C4000" t="s">
        <v>8538</v>
      </c>
      <c r="D4000">
        <v>4.09</v>
      </c>
      <c r="F4000" t="str">
        <f t="shared" si="310"/>
        <v>No</v>
      </c>
      <c r="G4000" t="str">
        <f t="shared" si="311"/>
        <v/>
      </c>
      <c r="H4000" t="str">
        <f t="shared" si="312"/>
        <v>—</v>
      </c>
      <c r="I4000" t="str">
        <f t="shared" si="313"/>
        <v>Below thresholds</v>
      </c>
      <c r="J4000" t="str">
        <f t="shared" si="314"/>
        <v/>
      </c>
    </row>
    <row r="4001" spans="1:10" x14ac:dyDescent="0.2">
      <c r="A4001">
        <v>227300356958</v>
      </c>
      <c r="B4001" t="s">
        <v>8539</v>
      </c>
      <c r="C4001" t="s">
        <v>8540</v>
      </c>
      <c r="D4001">
        <v>4</v>
      </c>
      <c r="F4001" t="str">
        <f t="shared" si="310"/>
        <v>No</v>
      </c>
      <c r="G4001" t="str">
        <f t="shared" si="311"/>
        <v/>
      </c>
      <c r="H4001" t="str">
        <f t="shared" si="312"/>
        <v>—</v>
      </c>
      <c r="I4001" t="str">
        <f t="shared" si="313"/>
        <v>Below thresholds</v>
      </c>
      <c r="J4001" t="str">
        <f t="shared" si="314"/>
        <v/>
      </c>
    </row>
    <row r="4002" spans="1:10" x14ac:dyDescent="0.2">
      <c r="A4002">
        <v>227300361252</v>
      </c>
      <c r="B4002" t="s">
        <v>8541</v>
      </c>
      <c r="C4002" t="s">
        <v>8542</v>
      </c>
      <c r="D4002">
        <v>20</v>
      </c>
      <c r="F4002" t="str">
        <f t="shared" si="310"/>
        <v>No</v>
      </c>
      <c r="G4002" t="str">
        <f t="shared" si="311"/>
        <v/>
      </c>
      <c r="H4002" t="str">
        <f t="shared" si="312"/>
        <v>—</v>
      </c>
      <c r="I4002" t="str">
        <f t="shared" si="313"/>
        <v>Below thresholds</v>
      </c>
      <c r="J4002" t="str">
        <f t="shared" si="314"/>
        <v/>
      </c>
    </row>
    <row r="4003" spans="1:10" x14ac:dyDescent="0.2">
      <c r="A4003">
        <v>227300929807</v>
      </c>
      <c r="B4003" t="s">
        <v>8114</v>
      </c>
      <c r="C4003" t="s">
        <v>8543</v>
      </c>
      <c r="D4003">
        <v>6.99</v>
      </c>
      <c r="F4003" t="str">
        <f t="shared" si="310"/>
        <v>No</v>
      </c>
      <c r="G4003" t="str">
        <f t="shared" si="311"/>
        <v/>
      </c>
      <c r="H4003" t="str">
        <f t="shared" si="312"/>
        <v>—</v>
      </c>
      <c r="I4003" t="str">
        <f t="shared" si="313"/>
        <v>Below thresholds</v>
      </c>
      <c r="J4003" t="str">
        <f t="shared" si="314"/>
        <v/>
      </c>
    </row>
    <row r="4004" spans="1:10" x14ac:dyDescent="0.2">
      <c r="A4004">
        <v>227301192291</v>
      </c>
      <c r="B4004" t="s">
        <v>8544</v>
      </c>
      <c r="C4004" t="s">
        <v>8545</v>
      </c>
      <c r="D4004">
        <v>34.99</v>
      </c>
      <c r="F4004" t="str">
        <f t="shared" si="310"/>
        <v>No</v>
      </c>
      <c r="G4004" t="str">
        <f t="shared" si="311"/>
        <v/>
      </c>
      <c r="H4004" t="str">
        <f t="shared" si="312"/>
        <v>—</v>
      </c>
      <c r="I4004" t="str">
        <f t="shared" si="313"/>
        <v>$20+ — needs velocity check</v>
      </c>
      <c r="J4004" t="str">
        <f t="shared" si="314"/>
        <v>YES — pull CardHedger</v>
      </c>
    </row>
    <row r="4005" spans="1:10" x14ac:dyDescent="0.2">
      <c r="A4005">
        <v>227301302603</v>
      </c>
      <c r="B4005" t="s">
        <v>8546</v>
      </c>
      <c r="C4005" t="s">
        <v>8547</v>
      </c>
      <c r="D4005">
        <v>2</v>
      </c>
      <c r="F4005" t="str">
        <f t="shared" si="310"/>
        <v>No</v>
      </c>
      <c r="G4005" t="str">
        <f t="shared" si="311"/>
        <v/>
      </c>
      <c r="H4005" t="str">
        <f t="shared" si="312"/>
        <v>—</v>
      </c>
      <c r="I4005" t="str">
        <f t="shared" si="313"/>
        <v>Below thresholds</v>
      </c>
      <c r="J4005" t="str">
        <f t="shared" si="314"/>
        <v/>
      </c>
    </row>
    <row r="4006" spans="1:10" x14ac:dyDescent="0.2">
      <c r="A4006">
        <v>227302339520</v>
      </c>
      <c r="B4006" t="s">
        <v>8548</v>
      </c>
      <c r="C4006" t="s">
        <v>8549</v>
      </c>
      <c r="D4006">
        <v>5.99</v>
      </c>
      <c r="F4006" t="str">
        <f t="shared" si="310"/>
        <v>No</v>
      </c>
      <c r="G4006" t="str">
        <f t="shared" si="311"/>
        <v/>
      </c>
      <c r="H4006" t="str">
        <f t="shared" si="312"/>
        <v>—</v>
      </c>
      <c r="I4006" t="str">
        <f t="shared" si="313"/>
        <v>Below thresholds</v>
      </c>
      <c r="J4006" t="str">
        <f t="shared" si="314"/>
        <v/>
      </c>
    </row>
    <row r="4007" spans="1:10" x14ac:dyDescent="0.2">
      <c r="A4007">
        <v>227302339536</v>
      </c>
      <c r="B4007" t="s">
        <v>8550</v>
      </c>
      <c r="C4007" t="s">
        <v>8551</v>
      </c>
      <c r="D4007">
        <v>3.59</v>
      </c>
      <c r="F4007" t="str">
        <f t="shared" si="310"/>
        <v>No</v>
      </c>
      <c r="G4007" t="str">
        <f t="shared" si="311"/>
        <v/>
      </c>
      <c r="H4007" t="str">
        <f t="shared" si="312"/>
        <v>—</v>
      </c>
      <c r="I4007" t="str">
        <f t="shared" si="313"/>
        <v>Below thresholds</v>
      </c>
      <c r="J4007" t="str">
        <f t="shared" si="314"/>
        <v/>
      </c>
    </row>
    <row r="4008" spans="1:10" x14ac:dyDescent="0.2">
      <c r="A4008">
        <v>227302339553</v>
      </c>
      <c r="B4008" t="s">
        <v>8552</v>
      </c>
      <c r="C4008" t="s">
        <v>8553</v>
      </c>
      <c r="D4008">
        <v>5.95</v>
      </c>
      <c r="F4008" t="str">
        <f t="shared" si="310"/>
        <v>No</v>
      </c>
      <c r="G4008" t="str">
        <f t="shared" si="311"/>
        <v/>
      </c>
      <c r="H4008" t="str">
        <f t="shared" si="312"/>
        <v>—</v>
      </c>
      <c r="I4008" t="str">
        <f t="shared" si="313"/>
        <v>Below thresholds</v>
      </c>
      <c r="J4008" t="str">
        <f t="shared" si="314"/>
        <v/>
      </c>
    </row>
    <row r="4009" spans="1:10" x14ac:dyDescent="0.2">
      <c r="A4009">
        <v>227302339652</v>
      </c>
      <c r="B4009" t="s">
        <v>8554</v>
      </c>
      <c r="C4009" t="s">
        <v>8555</v>
      </c>
      <c r="D4009">
        <v>40</v>
      </c>
      <c r="F4009" t="str">
        <f t="shared" si="310"/>
        <v>No</v>
      </c>
      <c r="G4009" t="str">
        <f t="shared" si="311"/>
        <v/>
      </c>
      <c r="H4009" t="str">
        <f t="shared" si="312"/>
        <v>—</v>
      </c>
      <c r="I4009" t="str">
        <f t="shared" si="313"/>
        <v>$20+ — needs velocity check</v>
      </c>
      <c r="J4009" t="str">
        <f t="shared" si="314"/>
        <v>YES — pull CardHedger</v>
      </c>
    </row>
    <row r="4010" spans="1:10" x14ac:dyDescent="0.2">
      <c r="A4010">
        <v>227302741970</v>
      </c>
      <c r="B4010" t="s">
        <v>8556</v>
      </c>
      <c r="C4010" t="s">
        <v>8557</v>
      </c>
      <c r="D4010">
        <v>7</v>
      </c>
      <c r="F4010" t="str">
        <f t="shared" si="310"/>
        <v>No</v>
      </c>
      <c r="G4010" t="str">
        <f t="shared" si="311"/>
        <v/>
      </c>
      <c r="H4010" t="str">
        <f t="shared" si="312"/>
        <v>—</v>
      </c>
      <c r="I4010" t="str">
        <f t="shared" si="313"/>
        <v>Below thresholds</v>
      </c>
      <c r="J4010" t="str">
        <f t="shared" si="314"/>
        <v/>
      </c>
    </row>
    <row r="4011" spans="1:10" x14ac:dyDescent="0.2">
      <c r="A4011">
        <v>227302745349</v>
      </c>
      <c r="B4011" t="s">
        <v>8558</v>
      </c>
      <c r="C4011" t="s">
        <v>8559</v>
      </c>
      <c r="D4011">
        <v>1.25</v>
      </c>
      <c r="F4011" t="str">
        <f t="shared" si="310"/>
        <v>No</v>
      </c>
      <c r="G4011" t="str">
        <f t="shared" si="311"/>
        <v/>
      </c>
      <c r="H4011" t="str">
        <f t="shared" si="312"/>
        <v>—</v>
      </c>
      <c r="I4011" t="str">
        <f t="shared" si="313"/>
        <v>Below thresholds</v>
      </c>
      <c r="J4011" t="str">
        <f t="shared" si="314"/>
        <v/>
      </c>
    </row>
    <row r="4012" spans="1:10" x14ac:dyDescent="0.2">
      <c r="A4012">
        <v>227304139859</v>
      </c>
      <c r="B4012" t="s">
        <v>8560</v>
      </c>
      <c r="C4012" t="s">
        <v>8561</v>
      </c>
      <c r="D4012">
        <v>8.5</v>
      </c>
      <c r="F4012" t="str">
        <f t="shared" si="310"/>
        <v>No</v>
      </c>
      <c r="G4012" t="str">
        <f t="shared" si="311"/>
        <v/>
      </c>
      <c r="H4012" t="str">
        <f t="shared" si="312"/>
        <v>—</v>
      </c>
      <c r="I4012" t="str">
        <f t="shared" si="313"/>
        <v>Below thresholds</v>
      </c>
      <c r="J4012" t="str">
        <f t="shared" si="314"/>
        <v/>
      </c>
    </row>
    <row r="4013" spans="1:10" x14ac:dyDescent="0.2">
      <c r="A4013">
        <v>227304161444</v>
      </c>
      <c r="B4013" t="s">
        <v>8562</v>
      </c>
      <c r="C4013" t="s">
        <v>8563</v>
      </c>
      <c r="D4013">
        <v>48</v>
      </c>
      <c r="F4013" t="str">
        <f t="shared" si="310"/>
        <v>No</v>
      </c>
      <c r="G4013" t="str">
        <f t="shared" si="311"/>
        <v/>
      </c>
      <c r="H4013" t="str">
        <f t="shared" si="312"/>
        <v>—</v>
      </c>
      <c r="I4013" t="str">
        <f t="shared" si="313"/>
        <v>$20+ — needs velocity check</v>
      </c>
      <c r="J4013" t="str">
        <f t="shared" si="314"/>
        <v>YES — pull CardHedger</v>
      </c>
    </row>
    <row r="4014" spans="1:10" x14ac:dyDescent="0.2">
      <c r="A4014">
        <v>227304168299</v>
      </c>
      <c r="B4014" t="s">
        <v>8564</v>
      </c>
      <c r="C4014" t="s">
        <v>8565</v>
      </c>
      <c r="D4014">
        <v>6.99</v>
      </c>
      <c r="F4014" t="str">
        <f t="shared" si="310"/>
        <v>No</v>
      </c>
      <c r="G4014" t="str">
        <f t="shared" si="311"/>
        <v/>
      </c>
      <c r="H4014" t="str">
        <f t="shared" si="312"/>
        <v>—</v>
      </c>
      <c r="I4014" t="str">
        <f t="shared" si="313"/>
        <v>Below thresholds</v>
      </c>
      <c r="J4014" t="str">
        <f t="shared" si="314"/>
        <v/>
      </c>
    </row>
    <row r="4015" spans="1:10" x14ac:dyDescent="0.2">
      <c r="A4015">
        <v>227305129260</v>
      </c>
      <c r="B4015" t="s">
        <v>8566</v>
      </c>
      <c r="C4015" t="s">
        <v>8567</v>
      </c>
      <c r="D4015">
        <v>5.99</v>
      </c>
      <c r="F4015" t="str">
        <f t="shared" si="310"/>
        <v>No</v>
      </c>
      <c r="G4015" t="str">
        <f t="shared" si="311"/>
        <v/>
      </c>
      <c r="H4015" t="str">
        <f t="shared" si="312"/>
        <v>—</v>
      </c>
      <c r="I4015" t="str">
        <f t="shared" si="313"/>
        <v>Below thresholds</v>
      </c>
      <c r="J4015" t="str">
        <f t="shared" si="314"/>
        <v/>
      </c>
    </row>
    <row r="4016" spans="1:10" x14ac:dyDescent="0.2">
      <c r="A4016">
        <v>227305159536</v>
      </c>
      <c r="B4016" t="s">
        <v>8568</v>
      </c>
      <c r="C4016" t="s">
        <v>8569</v>
      </c>
      <c r="D4016">
        <v>200</v>
      </c>
      <c r="F4016" t="str">
        <f t="shared" si="310"/>
        <v>Yes</v>
      </c>
      <c r="G4016">
        <f t="shared" si="311"/>
        <v>10</v>
      </c>
      <c r="H4016" t="str">
        <f t="shared" si="312"/>
        <v>TIER 2</v>
      </c>
      <c r="I4016" t="str">
        <f t="shared" si="313"/>
        <v>Premium $100+ (auto)</v>
      </c>
      <c r="J4016" t="str">
        <f t="shared" si="314"/>
        <v/>
      </c>
    </row>
    <row r="4017" spans="1:10" x14ac:dyDescent="0.2">
      <c r="A4017">
        <v>227305159628</v>
      </c>
      <c r="B4017" t="s">
        <v>8570</v>
      </c>
      <c r="C4017" t="s">
        <v>8571</v>
      </c>
      <c r="D4017">
        <v>5.5</v>
      </c>
      <c r="F4017" t="str">
        <f t="shared" si="310"/>
        <v>No</v>
      </c>
      <c r="G4017" t="str">
        <f t="shared" si="311"/>
        <v/>
      </c>
      <c r="H4017" t="str">
        <f t="shared" si="312"/>
        <v>—</v>
      </c>
      <c r="I4017" t="str">
        <f t="shared" si="313"/>
        <v>Below thresholds</v>
      </c>
      <c r="J4017" t="str">
        <f t="shared" si="314"/>
        <v/>
      </c>
    </row>
    <row r="4018" spans="1:10" x14ac:dyDescent="0.2">
      <c r="A4018">
        <v>227305159698</v>
      </c>
      <c r="B4018" t="s">
        <v>8572</v>
      </c>
      <c r="C4018" t="s">
        <v>8573</v>
      </c>
      <c r="D4018">
        <v>105</v>
      </c>
      <c r="F4018" t="str">
        <f t="shared" si="310"/>
        <v>Yes</v>
      </c>
      <c r="G4018">
        <f t="shared" si="311"/>
        <v>9</v>
      </c>
      <c r="H4018" t="str">
        <f t="shared" si="312"/>
        <v>TIER 2</v>
      </c>
      <c r="I4018" t="str">
        <f t="shared" si="313"/>
        <v>Premium $100+ (auto)</v>
      </c>
      <c r="J4018" t="str">
        <f t="shared" si="314"/>
        <v/>
      </c>
    </row>
    <row r="4019" spans="1:10" x14ac:dyDescent="0.2">
      <c r="A4019">
        <v>227307171627</v>
      </c>
      <c r="B4019" t="s">
        <v>8430</v>
      </c>
      <c r="C4019" t="s">
        <v>8574</v>
      </c>
      <c r="D4019">
        <v>2.5</v>
      </c>
      <c r="F4019" t="str">
        <f t="shared" si="310"/>
        <v>No</v>
      </c>
      <c r="G4019" t="str">
        <f t="shared" si="311"/>
        <v/>
      </c>
      <c r="H4019" t="str">
        <f t="shared" si="312"/>
        <v>—</v>
      </c>
      <c r="I4019" t="str">
        <f t="shared" si="313"/>
        <v>Below thresholds</v>
      </c>
      <c r="J4019" t="str">
        <f t="shared" si="314"/>
        <v/>
      </c>
    </row>
    <row r="4020" spans="1:10" x14ac:dyDescent="0.2">
      <c r="A4020">
        <v>227307171671</v>
      </c>
      <c r="B4020" t="s">
        <v>8575</v>
      </c>
      <c r="C4020" t="s">
        <v>8576</v>
      </c>
      <c r="D4020">
        <v>15</v>
      </c>
      <c r="F4020" t="str">
        <f t="shared" si="310"/>
        <v>No</v>
      </c>
      <c r="G4020" t="str">
        <f t="shared" si="311"/>
        <v/>
      </c>
      <c r="H4020" t="str">
        <f t="shared" si="312"/>
        <v>—</v>
      </c>
      <c r="I4020" t="str">
        <f t="shared" si="313"/>
        <v>Below thresholds</v>
      </c>
      <c r="J4020" t="str">
        <f t="shared" si="314"/>
        <v/>
      </c>
    </row>
    <row r="4021" spans="1:10" x14ac:dyDescent="0.2">
      <c r="A4021">
        <v>227307171700</v>
      </c>
      <c r="B4021" t="s">
        <v>8577</v>
      </c>
      <c r="C4021" t="s">
        <v>8578</v>
      </c>
      <c r="D4021">
        <v>7</v>
      </c>
      <c r="F4021" t="str">
        <f t="shared" si="310"/>
        <v>No</v>
      </c>
      <c r="G4021" t="str">
        <f t="shared" si="311"/>
        <v/>
      </c>
      <c r="H4021" t="str">
        <f t="shared" si="312"/>
        <v>—</v>
      </c>
      <c r="I4021" t="str">
        <f t="shared" si="313"/>
        <v>Below thresholds</v>
      </c>
      <c r="J4021" t="str">
        <f t="shared" si="314"/>
        <v/>
      </c>
    </row>
    <row r="4022" spans="1:10" x14ac:dyDescent="0.2">
      <c r="A4022">
        <v>227307306880</v>
      </c>
      <c r="B4022" t="s">
        <v>8579</v>
      </c>
      <c r="D4022">
        <v>179.99</v>
      </c>
      <c r="F4022" t="str">
        <f t="shared" si="310"/>
        <v>No</v>
      </c>
      <c r="G4022" t="str">
        <f t="shared" si="311"/>
        <v/>
      </c>
      <c r="H4022" t="str">
        <f t="shared" si="312"/>
        <v>TIER 2</v>
      </c>
      <c r="I4022" t="str">
        <f t="shared" si="313"/>
        <v>Premium $100+ (auto)</v>
      </c>
      <c r="J4022" t="str">
        <f t="shared" si="314"/>
        <v/>
      </c>
    </row>
    <row r="4023" spans="1:10" x14ac:dyDescent="0.2">
      <c r="A4023">
        <v>227307310214</v>
      </c>
      <c r="B4023" t="s">
        <v>8580</v>
      </c>
      <c r="D4023">
        <v>25</v>
      </c>
      <c r="F4023" t="str">
        <f t="shared" si="310"/>
        <v>No</v>
      </c>
      <c r="G4023" t="str">
        <f t="shared" si="311"/>
        <v/>
      </c>
      <c r="H4023" t="str">
        <f t="shared" si="312"/>
        <v>—</v>
      </c>
      <c r="I4023" t="str">
        <f t="shared" si="313"/>
        <v>$20+ — needs velocity check</v>
      </c>
      <c r="J4023" t="str">
        <f t="shared" si="314"/>
        <v>YES — pull CardHedger</v>
      </c>
    </row>
    <row r="4024" spans="1:10" x14ac:dyDescent="0.2">
      <c r="A4024">
        <v>227308339104</v>
      </c>
      <c r="B4024" t="s">
        <v>8581</v>
      </c>
      <c r="C4024" t="s">
        <v>8582</v>
      </c>
      <c r="D4024">
        <v>1.99</v>
      </c>
      <c r="F4024" t="str">
        <f t="shared" si="310"/>
        <v>No</v>
      </c>
      <c r="G4024" t="str">
        <f t="shared" si="311"/>
        <v/>
      </c>
      <c r="H4024" t="str">
        <f t="shared" si="312"/>
        <v>—</v>
      </c>
      <c r="I4024" t="str">
        <f t="shared" si="313"/>
        <v>Below thresholds</v>
      </c>
      <c r="J4024" t="str">
        <f t="shared" si="314"/>
        <v/>
      </c>
    </row>
    <row r="4025" spans="1:10" x14ac:dyDescent="0.2">
      <c r="A4025">
        <v>227308339114</v>
      </c>
      <c r="B4025" t="s">
        <v>8583</v>
      </c>
      <c r="C4025" t="s">
        <v>8584</v>
      </c>
      <c r="D4025">
        <v>4.79</v>
      </c>
      <c r="F4025" t="str">
        <f t="shared" si="310"/>
        <v>No</v>
      </c>
      <c r="G4025" t="str">
        <f t="shared" si="311"/>
        <v/>
      </c>
      <c r="H4025" t="str">
        <f t="shared" si="312"/>
        <v>—</v>
      </c>
      <c r="I4025" t="str">
        <f t="shared" si="313"/>
        <v>Below thresholds</v>
      </c>
      <c r="J4025" t="str">
        <f t="shared" si="314"/>
        <v/>
      </c>
    </row>
    <row r="4026" spans="1:10" x14ac:dyDescent="0.2">
      <c r="A4026">
        <v>227308339137</v>
      </c>
      <c r="B4026" t="s">
        <v>8585</v>
      </c>
      <c r="C4026" t="s">
        <v>8586</v>
      </c>
      <c r="D4026">
        <v>1.99</v>
      </c>
      <c r="F4026" t="str">
        <f t="shared" si="310"/>
        <v>No</v>
      </c>
      <c r="G4026" t="str">
        <f t="shared" si="311"/>
        <v/>
      </c>
      <c r="H4026" t="str">
        <f t="shared" si="312"/>
        <v>—</v>
      </c>
      <c r="I4026" t="str">
        <f t="shared" si="313"/>
        <v>Below thresholds</v>
      </c>
      <c r="J4026" t="str">
        <f t="shared" si="314"/>
        <v/>
      </c>
    </row>
    <row r="4027" spans="1:10" x14ac:dyDescent="0.2">
      <c r="A4027">
        <v>227308339173</v>
      </c>
      <c r="B4027" t="s">
        <v>8587</v>
      </c>
      <c r="C4027" t="s">
        <v>8588</v>
      </c>
      <c r="D4027">
        <v>1.99</v>
      </c>
      <c r="F4027" t="str">
        <f t="shared" si="310"/>
        <v>No</v>
      </c>
      <c r="G4027" t="str">
        <f t="shared" si="311"/>
        <v/>
      </c>
      <c r="H4027" t="str">
        <f t="shared" si="312"/>
        <v>—</v>
      </c>
      <c r="I4027" t="str">
        <f t="shared" si="313"/>
        <v>Below thresholds</v>
      </c>
      <c r="J4027" t="str">
        <f t="shared" si="314"/>
        <v/>
      </c>
    </row>
    <row r="4028" spans="1:10" x14ac:dyDescent="0.2">
      <c r="A4028">
        <v>227308339348</v>
      </c>
      <c r="B4028" t="s">
        <v>8589</v>
      </c>
      <c r="C4028" t="s">
        <v>8590</v>
      </c>
      <c r="D4028">
        <v>1.99</v>
      </c>
      <c r="F4028" t="str">
        <f t="shared" si="310"/>
        <v>No</v>
      </c>
      <c r="G4028" t="str">
        <f t="shared" si="311"/>
        <v/>
      </c>
      <c r="H4028" t="str">
        <f t="shared" si="312"/>
        <v>—</v>
      </c>
      <c r="I4028" t="str">
        <f t="shared" si="313"/>
        <v>Below thresholds</v>
      </c>
      <c r="J4028" t="str">
        <f t="shared" si="314"/>
        <v/>
      </c>
    </row>
    <row r="4029" spans="1:10" x14ac:dyDescent="0.2">
      <c r="A4029">
        <v>227308339412</v>
      </c>
      <c r="B4029" t="s">
        <v>8591</v>
      </c>
      <c r="C4029" t="s">
        <v>8592</v>
      </c>
      <c r="D4029">
        <v>8.99</v>
      </c>
      <c r="F4029" t="str">
        <f t="shared" si="310"/>
        <v>No</v>
      </c>
      <c r="G4029" t="str">
        <f t="shared" si="311"/>
        <v/>
      </c>
      <c r="H4029" t="str">
        <f t="shared" si="312"/>
        <v>—</v>
      </c>
      <c r="I4029" t="str">
        <f t="shared" si="313"/>
        <v>Below thresholds</v>
      </c>
      <c r="J4029" t="str">
        <f t="shared" si="314"/>
        <v/>
      </c>
    </row>
    <row r="4030" spans="1:10" x14ac:dyDescent="0.2">
      <c r="A4030">
        <v>227308339424</v>
      </c>
      <c r="B4030" t="s">
        <v>8593</v>
      </c>
      <c r="C4030" t="s">
        <v>8594</v>
      </c>
      <c r="D4030">
        <v>2.4900000000000002</v>
      </c>
      <c r="F4030" t="str">
        <f t="shared" si="310"/>
        <v>No</v>
      </c>
      <c r="G4030" t="str">
        <f t="shared" si="311"/>
        <v/>
      </c>
      <c r="H4030" t="str">
        <f t="shared" si="312"/>
        <v>—</v>
      </c>
      <c r="I4030" t="str">
        <f t="shared" si="313"/>
        <v>Below thresholds</v>
      </c>
      <c r="J4030" t="str">
        <f t="shared" si="314"/>
        <v/>
      </c>
    </row>
    <row r="4031" spans="1:10" x14ac:dyDescent="0.2">
      <c r="A4031">
        <v>227308339457</v>
      </c>
      <c r="B4031" t="s">
        <v>8595</v>
      </c>
      <c r="C4031" t="s">
        <v>8596</v>
      </c>
      <c r="D4031">
        <v>1.99</v>
      </c>
      <c r="F4031" t="str">
        <f t="shared" si="310"/>
        <v>No</v>
      </c>
      <c r="G4031" t="str">
        <f t="shared" si="311"/>
        <v/>
      </c>
      <c r="H4031" t="str">
        <f t="shared" si="312"/>
        <v>—</v>
      </c>
      <c r="I4031" t="str">
        <f t="shared" si="313"/>
        <v>Below thresholds</v>
      </c>
      <c r="J4031" t="str">
        <f t="shared" si="314"/>
        <v/>
      </c>
    </row>
    <row r="4032" spans="1:10" x14ac:dyDescent="0.2">
      <c r="A4032">
        <v>227308339490</v>
      </c>
      <c r="B4032" t="s">
        <v>8597</v>
      </c>
      <c r="C4032" t="s">
        <v>8598</v>
      </c>
      <c r="D4032">
        <v>3.89</v>
      </c>
      <c r="F4032" t="str">
        <f t="shared" si="310"/>
        <v>No</v>
      </c>
      <c r="G4032" t="str">
        <f t="shared" si="311"/>
        <v/>
      </c>
      <c r="H4032" t="str">
        <f t="shared" si="312"/>
        <v>—</v>
      </c>
      <c r="I4032" t="str">
        <f t="shared" si="313"/>
        <v>Below thresholds</v>
      </c>
      <c r="J4032" t="str">
        <f t="shared" si="314"/>
        <v/>
      </c>
    </row>
    <row r="4033" spans="1:10" x14ac:dyDescent="0.2">
      <c r="A4033">
        <v>227308339492</v>
      </c>
      <c r="B4033" t="s">
        <v>8599</v>
      </c>
      <c r="C4033" t="s">
        <v>8600</v>
      </c>
      <c r="D4033">
        <v>5.59</v>
      </c>
      <c r="F4033" t="str">
        <f t="shared" si="310"/>
        <v>No</v>
      </c>
      <c r="G4033" t="str">
        <f t="shared" si="311"/>
        <v/>
      </c>
      <c r="H4033" t="str">
        <f t="shared" si="312"/>
        <v>—</v>
      </c>
      <c r="I4033" t="str">
        <f t="shared" si="313"/>
        <v>Below thresholds</v>
      </c>
      <c r="J4033" t="str">
        <f t="shared" si="314"/>
        <v/>
      </c>
    </row>
    <row r="4034" spans="1:10" x14ac:dyDescent="0.2">
      <c r="A4034">
        <v>227308676759</v>
      </c>
      <c r="B4034" t="s">
        <v>8601</v>
      </c>
      <c r="D4034">
        <v>175</v>
      </c>
      <c r="F4034" t="str">
        <f t="shared" si="310"/>
        <v>No</v>
      </c>
      <c r="G4034" t="str">
        <f t="shared" si="311"/>
        <v/>
      </c>
      <c r="H4034" t="str">
        <f t="shared" si="312"/>
        <v>TIER 2</v>
      </c>
      <c r="I4034" t="str">
        <f t="shared" si="313"/>
        <v>Premium $100+ (auto)</v>
      </c>
      <c r="J4034" t="str">
        <f t="shared" si="314"/>
        <v/>
      </c>
    </row>
    <row r="4035" spans="1:10" x14ac:dyDescent="0.2">
      <c r="A4035">
        <v>227311375207</v>
      </c>
      <c r="B4035" t="s">
        <v>8602</v>
      </c>
      <c r="C4035" t="s">
        <v>8603</v>
      </c>
      <c r="D4035">
        <v>2.99</v>
      </c>
      <c r="F4035" t="str">
        <f t="shared" si="310"/>
        <v>No</v>
      </c>
      <c r="G4035" t="str">
        <f t="shared" si="311"/>
        <v/>
      </c>
      <c r="H4035" t="str">
        <f t="shared" si="312"/>
        <v>—</v>
      </c>
      <c r="I4035" t="str">
        <f t="shared" si="313"/>
        <v>Below thresholds</v>
      </c>
      <c r="J4035" t="str">
        <f t="shared" si="314"/>
        <v/>
      </c>
    </row>
    <row r="4036" spans="1:10" x14ac:dyDescent="0.2">
      <c r="A4036">
        <v>227311465983</v>
      </c>
      <c r="B4036" t="s">
        <v>8146</v>
      </c>
      <c r="C4036" t="s">
        <v>8604</v>
      </c>
      <c r="D4036">
        <v>1.99</v>
      </c>
      <c r="F4036" t="str">
        <f t="shared" si="310"/>
        <v>No</v>
      </c>
      <c r="G4036" t="str">
        <f t="shared" si="311"/>
        <v/>
      </c>
      <c r="H4036" t="str">
        <f t="shared" si="312"/>
        <v>—</v>
      </c>
      <c r="I4036" t="str">
        <f t="shared" si="313"/>
        <v>Below thresholds</v>
      </c>
      <c r="J4036" t="str">
        <f t="shared" si="314"/>
        <v/>
      </c>
    </row>
    <row r="4037" spans="1:10" x14ac:dyDescent="0.2">
      <c r="A4037">
        <v>227311465990</v>
      </c>
      <c r="B4037" t="s">
        <v>8605</v>
      </c>
      <c r="C4037" t="s">
        <v>8606</v>
      </c>
      <c r="D4037">
        <v>1.59</v>
      </c>
      <c r="F4037" t="str">
        <f t="shared" ref="F4037:F4100" si="315">IF($B4037="","",IF(ISNUMBER(SEARCH("PSA",$B4037)),"Yes","No"))</f>
        <v>No</v>
      </c>
      <c r="G4037" t="str">
        <f t="shared" ref="G4037:G4100" si="316">IF($B4037="","",IF(ISNUMBER(SEARCH("PSA 10",$B4037)),10,IF(ISNUMBER(SEARCH("PSA 9.5",$B4037)),9.5,IF(ISNUMBER(SEARCH("PSA 9",$B4037)),9,IF(ISNUMBER(SEARCH("PSA 8",$B4037)),8,IF(ISNUMBER(SEARCH("PSA",$B4037)),"&lt;9",""))))))</f>
        <v/>
      </c>
      <c r="H4037" t="str">
        <f t="shared" ref="H4037:H4100" si="317">IF($B4037="","",IF($D4037&gt;=100,"TIER 2",IF(OR(ISNUMBER(SEARCH("PSA 10",$B4037)),ISNUMBER(SEARCH("PSA 9.5",$B4037)),ISNUMBER(SEARCH("PSA 9",$B4037))),"TIER 3",IF(AND($D4037&gt;20,N($E4037)&gt;=15),"TIER 1","—"))))</f>
        <v>—</v>
      </c>
      <c r="I4037" t="str">
        <f t="shared" ref="I4037:I4100" si="318">IF($B4037="","",IF($D4037&gt;=100,"Premium $100+ (auto)",IF(OR(ISNUMBER(SEARCH("PSA 10",$B4037)),ISNUMBER(SEARCH("PSA 9.5",$B4037)),ISNUMBER(SEARCH("PSA 9",$B4037))),"Graded PSA 9+ (auto)",IF(AND($D4037&gt;20,N($E4037)&gt;=15),"Hot: $20+ &amp; "&amp;$E4037&amp;"/day",IF($D4037&gt;20,"$20+ — needs velocity check","Below thresholds")))))</f>
        <v>Below thresholds</v>
      </c>
      <c r="J4037" t="str">
        <f t="shared" ref="J4037:J4100" si="319">IF($B4037="","",IF(AND($D4037&gt;20,$D4037&lt;100,NOT(OR(ISNUMBER(SEARCH("PSA 10",$B4037)),ISNUMBER(SEARCH("PSA 9.5",$B4037)),ISNUMBER(SEARCH("PSA 9",$B4037)))),$E4037=""),"YES — pull CardHedger",""))</f>
        <v/>
      </c>
    </row>
    <row r="4038" spans="1:10" x14ac:dyDescent="0.2">
      <c r="A4038">
        <v>227311465994</v>
      </c>
      <c r="B4038" t="s">
        <v>8607</v>
      </c>
      <c r="C4038" t="s">
        <v>8608</v>
      </c>
      <c r="D4038">
        <v>1</v>
      </c>
      <c r="F4038" t="str">
        <f t="shared" si="315"/>
        <v>No</v>
      </c>
      <c r="G4038" t="str">
        <f t="shared" si="316"/>
        <v/>
      </c>
      <c r="H4038" t="str">
        <f t="shared" si="317"/>
        <v>—</v>
      </c>
      <c r="I4038" t="str">
        <f t="shared" si="318"/>
        <v>Below thresholds</v>
      </c>
      <c r="J4038" t="str">
        <f t="shared" si="319"/>
        <v/>
      </c>
    </row>
    <row r="4039" spans="1:10" x14ac:dyDescent="0.2">
      <c r="A4039">
        <v>227311465997</v>
      </c>
      <c r="B4039" t="s">
        <v>8609</v>
      </c>
      <c r="C4039" t="s">
        <v>8610</v>
      </c>
      <c r="D4039">
        <v>4</v>
      </c>
      <c r="F4039" t="str">
        <f t="shared" si="315"/>
        <v>No</v>
      </c>
      <c r="G4039" t="str">
        <f t="shared" si="316"/>
        <v/>
      </c>
      <c r="H4039" t="str">
        <f t="shared" si="317"/>
        <v>—</v>
      </c>
      <c r="I4039" t="str">
        <f t="shared" si="318"/>
        <v>Below thresholds</v>
      </c>
      <c r="J4039" t="str">
        <f t="shared" si="319"/>
        <v/>
      </c>
    </row>
    <row r="4040" spans="1:10" x14ac:dyDescent="0.2">
      <c r="A4040">
        <v>227311466014</v>
      </c>
      <c r="B4040" t="s">
        <v>8611</v>
      </c>
      <c r="C4040" t="s">
        <v>8612</v>
      </c>
      <c r="D4040">
        <v>7.99</v>
      </c>
      <c r="F4040" t="str">
        <f t="shared" si="315"/>
        <v>No</v>
      </c>
      <c r="G4040" t="str">
        <f t="shared" si="316"/>
        <v/>
      </c>
      <c r="H4040" t="str">
        <f t="shared" si="317"/>
        <v>—</v>
      </c>
      <c r="I4040" t="str">
        <f t="shared" si="318"/>
        <v>Below thresholds</v>
      </c>
      <c r="J4040" t="str">
        <f t="shared" si="319"/>
        <v/>
      </c>
    </row>
    <row r="4041" spans="1:10" x14ac:dyDescent="0.2">
      <c r="A4041">
        <v>227311466043</v>
      </c>
      <c r="B4041" t="s">
        <v>8613</v>
      </c>
      <c r="C4041" t="s">
        <v>8614</v>
      </c>
      <c r="D4041">
        <v>4</v>
      </c>
      <c r="F4041" t="str">
        <f t="shared" si="315"/>
        <v>No</v>
      </c>
      <c r="G4041" t="str">
        <f t="shared" si="316"/>
        <v/>
      </c>
      <c r="H4041" t="str">
        <f t="shared" si="317"/>
        <v>—</v>
      </c>
      <c r="I4041" t="str">
        <f t="shared" si="318"/>
        <v>Below thresholds</v>
      </c>
      <c r="J4041" t="str">
        <f t="shared" si="319"/>
        <v/>
      </c>
    </row>
    <row r="4042" spans="1:10" x14ac:dyDescent="0.2">
      <c r="A4042">
        <v>227311466044</v>
      </c>
      <c r="B4042" t="s">
        <v>8615</v>
      </c>
      <c r="C4042" t="s">
        <v>8616</v>
      </c>
      <c r="D4042">
        <v>5</v>
      </c>
      <c r="F4042" t="str">
        <f t="shared" si="315"/>
        <v>No</v>
      </c>
      <c r="G4042" t="str">
        <f t="shared" si="316"/>
        <v/>
      </c>
      <c r="H4042" t="str">
        <f t="shared" si="317"/>
        <v>—</v>
      </c>
      <c r="I4042" t="str">
        <f t="shared" si="318"/>
        <v>Below thresholds</v>
      </c>
      <c r="J4042" t="str">
        <f t="shared" si="319"/>
        <v/>
      </c>
    </row>
    <row r="4043" spans="1:10" x14ac:dyDescent="0.2">
      <c r="A4043">
        <v>227311466047</v>
      </c>
      <c r="B4043" t="s">
        <v>8617</v>
      </c>
      <c r="C4043" t="s">
        <v>8618</v>
      </c>
      <c r="D4043">
        <v>1</v>
      </c>
      <c r="F4043" t="str">
        <f t="shared" si="315"/>
        <v>No</v>
      </c>
      <c r="G4043" t="str">
        <f t="shared" si="316"/>
        <v/>
      </c>
      <c r="H4043" t="str">
        <f t="shared" si="317"/>
        <v>—</v>
      </c>
      <c r="I4043" t="str">
        <f t="shared" si="318"/>
        <v>Below thresholds</v>
      </c>
      <c r="J4043" t="str">
        <f t="shared" si="319"/>
        <v/>
      </c>
    </row>
    <row r="4044" spans="1:10" x14ac:dyDescent="0.2">
      <c r="A4044">
        <v>227311466060</v>
      </c>
      <c r="B4044" t="s">
        <v>8619</v>
      </c>
      <c r="C4044" t="s">
        <v>8620</v>
      </c>
      <c r="D4044">
        <v>3</v>
      </c>
      <c r="F4044" t="str">
        <f t="shared" si="315"/>
        <v>No</v>
      </c>
      <c r="G4044" t="str">
        <f t="shared" si="316"/>
        <v/>
      </c>
      <c r="H4044" t="str">
        <f t="shared" si="317"/>
        <v>—</v>
      </c>
      <c r="I4044" t="str">
        <f t="shared" si="318"/>
        <v>Below thresholds</v>
      </c>
      <c r="J4044" t="str">
        <f t="shared" si="319"/>
        <v/>
      </c>
    </row>
    <row r="4045" spans="1:10" x14ac:dyDescent="0.2">
      <c r="A4045">
        <v>227311466074</v>
      </c>
      <c r="B4045" t="s">
        <v>8621</v>
      </c>
      <c r="C4045" t="s">
        <v>8622</v>
      </c>
      <c r="D4045">
        <v>1.99</v>
      </c>
      <c r="F4045" t="str">
        <f t="shared" si="315"/>
        <v>No</v>
      </c>
      <c r="G4045" t="str">
        <f t="shared" si="316"/>
        <v/>
      </c>
      <c r="H4045" t="str">
        <f t="shared" si="317"/>
        <v>—</v>
      </c>
      <c r="I4045" t="str">
        <f t="shared" si="318"/>
        <v>Below thresholds</v>
      </c>
      <c r="J4045" t="str">
        <f t="shared" si="319"/>
        <v/>
      </c>
    </row>
    <row r="4046" spans="1:10" x14ac:dyDescent="0.2">
      <c r="A4046">
        <v>227311466078</v>
      </c>
      <c r="B4046" t="s">
        <v>8623</v>
      </c>
      <c r="C4046" t="s">
        <v>8624</v>
      </c>
      <c r="D4046">
        <v>1.99</v>
      </c>
      <c r="F4046" t="str">
        <f t="shared" si="315"/>
        <v>No</v>
      </c>
      <c r="G4046" t="str">
        <f t="shared" si="316"/>
        <v/>
      </c>
      <c r="H4046" t="str">
        <f t="shared" si="317"/>
        <v>—</v>
      </c>
      <c r="I4046" t="str">
        <f t="shared" si="318"/>
        <v>Below thresholds</v>
      </c>
      <c r="J4046" t="str">
        <f t="shared" si="319"/>
        <v/>
      </c>
    </row>
    <row r="4047" spans="1:10" x14ac:dyDescent="0.2">
      <c r="A4047">
        <v>227311466086</v>
      </c>
      <c r="B4047" t="s">
        <v>8625</v>
      </c>
      <c r="C4047" t="s">
        <v>8626</v>
      </c>
      <c r="D4047">
        <v>7.99</v>
      </c>
      <c r="F4047" t="str">
        <f t="shared" si="315"/>
        <v>No</v>
      </c>
      <c r="G4047" t="str">
        <f t="shared" si="316"/>
        <v/>
      </c>
      <c r="H4047" t="str">
        <f t="shared" si="317"/>
        <v>—</v>
      </c>
      <c r="I4047" t="str">
        <f t="shared" si="318"/>
        <v>Below thresholds</v>
      </c>
      <c r="J4047" t="str">
        <f t="shared" si="319"/>
        <v/>
      </c>
    </row>
    <row r="4048" spans="1:10" x14ac:dyDescent="0.2">
      <c r="A4048">
        <v>227311466114</v>
      </c>
      <c r="B4048" t="s">
        <v>8627</v>
      </c>
      <c r="C4048" t="s">
        <v>8628</v>
      </c>
      <c r="D4048">
        <v>2.25</v>
      </c>
      <c r="F4048" t="str">
        <f t="shared" si="315"/>
        <v>No</v>
      </c>
      <c r="G4048" t="str">
        <f t="shared" si="316"/>
        <v/>
      </c>
      <c r="H4048" t="str">
        <f t="shared" si="317"/>
        <v>—</v>
      </c>
      <c r="I4048" t="str">
        <f t="shared" si="318"/>
        <v>Below thresholds</v>
      </c>
      <c r="J4048" t="str">
        <f t="shared" si="319"/>
        <v/>
      </c>
    </row>
    <row r="4049" spans="1:10" x14ac:dyDescent="0.2">
      <c r="A4049">
        <v>227311466117</v>
      </c>
      <c r="B4049" t="s">
        <v>8629</v>
      </c>
      <c r="C4049" t="s">
        <v>8630</v>
      </c>
      <c r="D4049">
        <v>9</v>
      </c>
      <c r="F4049" t="str">
        <f t="shared" si="315"/>
        <v>No</v>
      </c>
      <c r="G4049" t="str">
        <f t="shared" si="316"/>
        <v/>
      </c>
      <c r="H4049" t="str">
        <f t="shared" si="317"/>
        <v>—</v>
      </c>
      <c r="I4049" t="str">
        <f t="shared" si="318"/>
        <v>Below thresholds</v>
      </c>
      <c r="J4049" t="str">
        <f t="shared" si="319"/>
        <v/>
      </c>
    </row>
    <row r="4050" spans="1:10" x14ac:dyDescent="0.2">
      <c r="A4050">
        <v>227311466121</v>
      </c>
      <c r="B4050" t="s">
        <v>8631</v>
      </c>
      <c r="C4050" t="s">
        <v>8632</v>
      </c>
      <c r="D4050">
        <v>5.99</v>
      </c>
      <c r="F4050" t="str">
        <f t="shared" si="315"/>
        <v>No</v>
      </c>
      <c r="G4050" t="str">
        <f t="shared" si="316"/>
        <v/>
      </c>
      <c r="H4050" t="str">
        <f t="shared" si="317"/>
        <v>—</v>
      </c>
      <c r="I4050" t="str">
        <f t="shared" si="318"/>
        <v>Below thresholds</v>
      </c>
      <c r="J4050" t="str">
        <f t="shared" si="319"/>
        <v/>
      </c>
    </row>
    <row r="4051" spans="1:10" x14ac:dyDescent="0.2">
      <c r="A4051">
        <v>227311466138</v>
      </c>
      <c r="B4051" t="s">
        <v>8633</v>
      </c>
      <c r="C4051" t="s">
        <v>8634</v>
      </c>
      <c r="D4051">
        <v>3.99</v>
      </c>
      <c r="F4051" t="str">
        <f t="shared" si="315"/>
        <v>No</v>
      </c>
      <c r="G4051" t="str">
        <f t="shared" si="316"/>
        <v/>
      </c>
      <c r="H4051" t="str">
        <f t="shared" si="317"/>
        <v>—</v>
      </c>
      <c r="I4051" t="str">
        <f t="shared" si="318"/>
        <v>Below thresholds</v>
      </c>
      <c r="J4051" t="str">
        <f t="shared" si="319"/>
        <v/>
      </c>
    </row>
    <row r="4052" spans="1:10" x14ac:dyDescent="0.2">
      <c r="A4052">
        <v>227311466150</v>
      </c>
      <c r="B4052" t="s">
        <v>8635</v>
      </c>
      <c r="C4052" t="s">
        <v>8636</v>
      </c>
      <c r="D4052">
        <v>1.25</v>
      </c>
      <c r="F4052" t="str">
        <f t="shared" si="315"/>
        <v>No</v>
      </c>
      <c r="G4052" t="str">
        <f t="shared" si="316"/>
        <v/>
      </c>
      <c r="H4052" t="str">
        <f t="shared" si="317"/>
        <v>—</v>
      </c>
      <c r="I4052" t="str">
        <f t="shared" si="318"/>
        <v>Below thresholds</v>
      </c>
      <c r="J4052" t="str">
        <f t="shared" si="319"/>
        <v/>
      </c>
    </row>
    <row r="4053" spans="1:10" x14ac:dyDescent="0.2">
      <c r="A4053">
        <v>227311466172</v>
      </c>
      <c r="B4053" t="s">
        <v>8637</v>
      </c>
      <c r="C4053" t="s">
        <v>8638</v>
      </c>
      <c r="D4053">
        <v>1.5</v>
      </c>
      <c r="F4053" t="str">
        <f t="shared" si="315"/>
        <v>No</v>
      </c>
      <c r="G4053" t="str">
        <f t="shared" si="316"/>
        <v/>
      </c>
      <c r="H4053" t="str">
        <f t="shared" si="317"/>
        <v>—</v>
      </c>
      <c r="I4053" t="str">
        <f t="shared" si="318"/>
        <v>Below thresholds</v>
      </c>
      <c r="J4053" t="str">
        <f t="shared" si="319"/>
        <v/>
      </c>
    </row>
    <row r="4054" spans="1:10" x14ac:dyDescent="0.2">
      <c r="A4054">
        <v>227311466193</v>
      </c>
      <c r="B4054" t="s">
        <v>8639</v>
      </c>
      <c r="C4054" t="s">
        <v>8640</v>
      </c>
      <c r="D4054">
        <v>1.99</v>
      </c>
      <c r="F4054" t="str">
        <f t="shared" si="315"/>
        <v>No</v>
      </c>
      <c r="G4054" t="str">
        <f t="shared" si="316"/>
        <v/>
      </c>
      <c r="H4054" t="str">
        <f t="shared" si="317"/>
        <v>—</v>
      </c>
      <c r="I4054" t="str">
        <f t="shared" si="318"/>
        <v>Below thresholds</v>
      </c>
      <c r="J4054" t="str">
        <f t="shared" si="319"/>
        <v/>
      </c>
    </row>
    <row r="4055" spans="1:10" x14ac:dyDescent="0.2">
      <c r="A4055">
        <v>227311466215</v>
      </c>
      <c r="B4055" t="s">
        <v>8641</v>
      </c>
      <c r="C4055" t="s">
        <v>8642</v>
      </c>
      <c r="D4055">
        <v>2</v>
      </c>
      <c r="F4055" t="str">
        <f t="shared" si="315"/>
        <v>No</v>
      </c>
      <c r="G4055" t="str">
        <f t="shared" si="316"/>
        <v/>
      </c>
      <c r="H4055" t="str">
        <f t="shared" si="317"/>
        <v>—</v>
      </c>
      <c r="I4055" t="str">
        <f t="shared" si="318"/>
        <v>Below thresholds</v>
      </c>
      <c r="J4055" t="str">
        <f t="shared" si="319"/>
        <v/>
      </c>
    </row>
    <row r="4056" spans="1:10" x14ac:dyDescent="0.2">
      <c r="A4056">
        <v>227311466217</v>
      </c>
      <c r="B4056" t="s">
        <v>8643</v>
      </c>
      <c r="C4056" t="s">
        <v>8644</v>
      </c>
      <c r="D4056">
        <v>1.5</v>
      </c>
      <c r="F4056" t="str">
        <f t="shared" si="315"/>
        <v>No</v>
      </c>
      <c r="G4056" t="str">
        <f t="shared" si="316"/>
        <v/>
      </c>
      <c r="H4056" t="str">
        <f t="shared" si="317"/>
        <v>—</v>
      </c>
      <c r="I4056" t="str">
        <f t="shared" si="318"/>
        <v>Below thresholds</v>
      </c>
      <c r="J4056" t="str">
        <f t="shared" si="319"/>
        <v/>
      </c>
    </row>
    <row r="4057" spans="1:10" x14ac:dyDescent="0.2">
      <c r="A4057">
        <v>227311466223</v>
      </c>
      <c r="B4057" t="s">
        <v>8074</v>
      </c>
      <c r="C4057" t="s">
        <v>8645</v>
      </c>
      <c r="D4057">
        <v>1.75</v>
      </c>
      <c r="F4057" t="str">
        <f t="shared" si="315"/>
        <v>No</v>
      </c>
      <c r="G4057" t="str">
        <f t="shared" si="316"/>
        <v/>
      </c>
      <c r="H4057" t="str">
        <f t="shared" si="317"/>
        <v>—</v>
      </c>
      <c r="I4057" t="str">
        <f t="shared" si="318"/>
        <v>Below thresholds</v>
      </c>
      <c r="J4057" t="str">
        <f t="shared" si="319"/>
        <v/>
      </c>
    </row>
    <row r="4058" spans="1:10" x14ac:dyDescent="0.2">
      <c r="A4058">
        <v>227312430749</v>
      </c>
      <c r="B4058" t="s">
        <v>8646</v>
      </c>
      <c r="C4058" t="s">
        <v>8647</v>
      </c>
      <c r="D4058">
        <v>6.99</v>
      </c>
      <c r="F4058" t="str">
        <f t="shared" si="315"/>
        <v>No</v>
      </c>
      <c r="G4058" t="str">
        <f t="shared" si="316"/>
        <v/>
      </c>
      <c r="H4058" t="str">
        <f t="shared" si="317"/>
        <v>—</v>
      </c>
      <c r="I4058" t="str">
        <f t="shared" si="318"/>
        <v>Below thresholds</v>
      </c>
      <c r="J4058" t="str">
        <f t="shared" si="319"/>
        <v/>
      </c>
    </row>
    <row r="4059" spans="1:10" x14ac:dyDescent="0.2">
      <c r="A4059">
        <v>227312977287</v>
      </c>
      <c r="B4059" t="s">
        <v>8648</v>
      </c>
      <c r="C4059" t="s">
        <v>8649</v>
      </c>
      <c r="D4059">
        <v>1.99</v>
      </c>
      <c r="F4059" t="str">
        <f t="shared" si="315"/>
        <v>No</v>
      </c>
      <c r="G4059" t="str">
        <f t="shared" si="316"/>
        <v/>
      </c>
      <c r="H4059" t="str">
        <f t="shared" si="317"/>
        <v>—</v>
      </c>
      <c r="I4059" t="str">
        <f t="shared" si="318"/>
        <v>Below thresholds</v>
      </c>
      <c r="J4059" t="str">
        <f t="shared" si="319"/>
        <v/>
      </c>
    </row>
    <row r="4060" spans="1:10" x14ac:dyDescent="0.2">
      <c r="A4060">
        <v>227312977294</v>
      </c>
      <c r="B4060" t="s">
        <v>8650</v>
      </c>
      <c r="C4060" t="s">
        <v>8651</v>
      </c>
      <c r="D4060">
        <v>4.99</v>
      </c>
      <c r="F4060" t="str">
        <f t="shared" si="315"/>
        <v>No</v>
      </c>
      <c r="G4060" t="str">
        <f t="shared" si="316"/>
        <v/>
      </c>
      <c r="H4060" t="str">
        <f t="shared" si="317"/>
        <v>—</v>
      </c>
      <c r="I4060" t="str">
        <f t="shared" si="318"/>
        <v>Below thresholds</v>
      </c>
      <c r="J4060" t="str">
        <f t="shared" si="319"/>
        <v/>
      </c>
    </row>
    <row r="4061" spans="1:10" x14ac:dyDescent="0.2">
      <c r="A4061">
        <v>227312977299</v>
      </c>
      <c r="B4061" t="s">
        <v>8652</v>
      </c>
      <c r="C4061" t="s">
        <v>8653</v>
      </c>
      <c r="D4061">
        <v>12.49</v>
      </c>
      <c r="F4061" t="str">
        <f t="shared" si="315"/>
        <v>No</v>
      </c>
      <c r="G4061" t="str">
        <f t="shared" si="316"/>
        <v/>
      </c>
      <c r="H4061" t="str">
        <f t="shared" si="317"/>
        <v>—</v>
      </c>
      <c r="I4061" t="str">
        <f t="shared" si="318"/>
        <v>Below thresholds</v>
      </c>
      <c r="J4061" t="str">
        <f t="shared" si="319"/>
        <v/>
      </c>
    </row>
    <row r="4062" spans="1:10" x14ac:dyDescent="0.2">
      <c r="A4062">
        <v>227312977311</v>
      </c>
      <c r="B4062" t="s">
        <v>8654</v>
      </c>
      <c r="C4062" t="s">
        <v>8655</v>
      </c>
      <c r="D4062">
        <v>1.95</v>
      </c>
      <c r="F4062" t="str">
        <f t="shared" si="315"/>
        <v>No</v>
      </c>
      <c r="G4062" t="str">
        <f t="shared" si="316"/>
        <v/>
      </c>
      <c r="H4062" t="str">
        <f t="shared" si="317"/>
        <v>—</v>
      </c>
      <c r="I4062" t="str">
        <f t="shared" si="318"/>
        <v>Below thresholds</v>
      </c>
      <c r="J4062" t="str">
        <f t="shared" si="319"/>
        <v/>
      </c>
    </row>
    <row r="4063" spans="1:10" x14ac:dyDescent="0.2">
      <c r="A4063">
        <v>227312977317</v>
      </c>
      <c r="B4063" t="s">
        <v>8656</v>
      </c>
      <c r="C4063" t="s">
        <v>8657</v>
      </c>
      <c r="D4063">
        <v>1.75</v>
      </c>
      <c r="F4063" t="str">
        <f t="shared" si="315"/>
        <v>No</v>
      </c>
      <c r="G4063" t="str">
        <f t="shared" si="316"/>
        <v/>
      </c>
      <c r="H4063" t="str">
        <f t="shared" si="317"/>
        <v>—</v>
      </c>
      <c r="I4063" t="str">
        <f t="shared" si="318"/>
        <v>Below thresholds</v>
      </c>
      <c r="J4063" t="str">
        <f t="shared" si="319"/>
        <v/>
      </c>
    </row>
    <row r="4064" spans="1:10" x14ac:dyDescent="0.2">
      <c r="A4064">
        <v>227312977318</v>
      </c>
      <c r="B4064" t="s">
        <v>8658</v>
      </c>
      <c r="C4064" t="s">
        <v>8659</v>
      </c>
      <c r="D4064">
        <v>2.29</v>
      </c>
      <c r="F4064" t="str">
        <f t="shared" si="315"/>
        <v>No</v>
      </c>
      <c r="G4064" t="str">
        <f t="shared" si="316"/>
        <v/>
      </c>
      <c r="H4064" t="str">
        <f t="shared" si="317"/>
        <v>—</v>
      </c>
      <c r="I4064" t="str">
        <f t="shared" si="318"/>
        <v>Below thresholds</v>
      </c>
      <c r="J4064" t="str">
        <f t="shared" si="319"/>
        <v/>
      </c>
    </row>
    <row r="4065" spans="1:10" x14ac:dyDescent="0.2">
      <c r="A4065">
        <v>227312977325</v>
      </c>
      <c r="B4065" t="s">
        <v>8660</v>
      </c>
      <c r="C4065" t="s">
        <v>8661</v>
      </c>
      <c r="D4065">
        <v>1.99</v>
      </c>
      <c r="F4065" t="str">
        <f t="shared" si="315"/>
        <v>No</v>
      </c>
      <c r="G4065" t="str">
        <f t="shared" si="316"/>
        <v/>
      </c>
      <c r="H4065" t="str">
        <f t="shared" si="317"/>
        <v>—</v>
      </c>
      <c r="I4065" t="str">
        <f t="shared" si="318"/>
        <v>Below thresholds</v>
      </c>
      <c r="J4065" t="str">
        <f t="shared" si="319"/>
        <v/>
      </c>
    </row>
    <row r="4066" spans="1:10" x14ac:dyDescent="0.2">
      <c r="A4066">
        <v>227312977326</v>
      </c>
      <c r="B4066" t="s">
        <v>8662</v>
      </c>
      <c r="C4066" t="s">
        <v>8663</v>
      </c>
      <c r="D4066">
        <v>1.99</v>
      </c>
      <c r="F4066" t="str">
        <f t="shared" si="315"/>
        <v>No</v>
      </c>
      <c r="G4066" t="str">
        <f t="shared" si="316"/>
        <v/>
      </c>
      <c r="H4066" t="str">
        <f t="shared" si="317"/>
        <v>—</v>
      </c>
      <c r="I4066" t="str">
        <f t="shared" si="318"/>
        <v>Below thresholds</v>
      </c>
      <c r="J4066" t="str">
        <f t="shared" si="319"/>
        <v/>
      </c>
    </row>
    <row r="4067" spans="1:10" x14ac:dyDescent="0.2">
      <c r="A4067">
        <v>227313979757</v>
      </c>
      <c r="B4067" t="s">
        <v>8664</v>
      </c>
      <c r="C4067" t="s">
        <v>8665</v>
      </c>
      <c r="D4067">
        <v>5</v>
      </c>
      <c r="F4067" t="str">
        <f t="shared" si="315"/>
        <v>No</v>
      </c>
      <c r="G4067" t="str">
        <f t="shared" si="316"/>
        <v/>
      </c>
      <c r="H4067" t="str">
        <f t="shared" si="317"/>
        <v>—</v>
      </c>
      <c r="I4067" t="str">
        <f t="shared" si="318"/>
        <v>Below thresholds</v>
      </c>
      <c r="J4067" t="str">
        <f t="shared" si="319"/>
        <v/>
      </c>
    </row>
    <row r="4068" spans="1:10" x14ac:dyDescent="0.2">
      <c r="A4068">
        <v>227314159768</v>
      </c>
      <c r="B4068" t="s">
        <v>8666</v>
      </c>
      <c r="C4068" t="s">
        <v>8667</v>
      </c>
      <c r="D4068">
        <v>6</v>
      </c>
      <c r="F4068" t="str">
        <f t="shared" si="315"/>
        <v>No</v>
      </c>
      <c r="G4068" t="str">
        <f t="shared" si="316"/>
        <v/>
      </c>
      <c r="H4068" t="str">
        <f t="shared" si="317"/>
        <v>—</v>
      </c>
      <c r="I4068" t="str">
        <f t="shared" si="318"/>
        <v>Below thresholds</v>
      </c>
      <c r="J4068" t="str">
        <f t="shared" si="319"/>
        <v/>
      </c>
    </row>
    <row r="4069" spans="1:10" x14ac:dyDescent="0.2">
      <c r="A4069">
        <v>227314180215</v>
      </c>
      <c r="B4069" t="s">
        <v>8668</v>
      </c>
      <c r="C4069" t="s">
        <v>8669</v>
      </c>
      <c r="D4069">
        <v>1.25</v>
      </c>
      <c r="F4069" t="str">
        <f t="shared" si="315"/>
        <v>No</v>
      </c>
      <c r="G4069" t="str">
        <f t="shared" si="316"/>
        <v/>
      </c>
      <c r="H4069" t="str">
        <f t="shared" si="317"/>
        <v>—</v>
      </c>
      <c r="I4069" t="str">
        <f t="shared" si="318"/>
        <v>Below thresholds</v>
      </c>
      <c r="J4069" t="str">
        <f t="shared" si="319"/>
        <v/>
      </c>
    </row>
    <row r="4070" spans="1:10" x14ac:dyDescent="0.2">
      <c r="A4070">
        <v>227314180268</v>
      </c>
      <c r="B4070" t="s">
        <v>8670</v>
      </c>
      <c r="C4070" t="s">
        <v>8671</v>
      </c>
      <c r="D4070">
        <v>1.25</v>
      </c>
      <c r="F4070" t="str">
        <f t="shared" si="315"/>
        <v>No</v>
      </c>
      <c r="G4070" t="str">
        <f t="shared" si="316"/>
        <v/>
      </c>
      <c r="H4070" t="str">
        <f t="shared" si="317"/>
        <v>—</v>
      </c>
      <c r="I4070" t="str">
        <f t="shared" si="318"/>
        <v>Below thresholds</v>
      </c>
      <c r="J4070" t="str">
        <f t="shared" si="319"/>
        <v/>
      </c>
    </row>
    <row r="4071" spans="1:10" x14ac:dyDescent="0.2">
      <c r="A4071">
        <v>227314180312</v>
      </c>
      <c r="B4071" t="s">
        <v>8672</v>
      </c>
      <c r="C4071" t="s">
        <v>8673</v>
      </c>
      <c r="D4071">
        <v>1.75</v>
      </c>
      <c r="F4071" t="str">
        <f t="shared" si="315"/>
        <v>No</v>
      </c>
      <c r="G4071" t="str">
        <f t="shared" si="316"/>
        <v/>
      </c>
      <c r="H4071" t="str">
        <f t="shared" si="317"/>
        <v>—</v>
      </c>
      <c r="I4071" t="str">
        <f t="shared" si="318"/>
        <v>Below thresholds</v>
      </c>
      <c r="J4071" t="str">
        <f t="shared" si="319"/>
        <v/>
      </c>
    </row>
    <row r="4072" spans="1:10" x14ac:dyDescent="0.2">
      <c r="A4072">
        <v>227314180410</v>
      </c>
      <c r="B4072" t="s">
        <v>8674</v>
      </c>
      <c r="C4072" t="s">
        <v>8675</v>
      </c>
      <c r="D4072">
        <v>5</v>
      </c>
      <c r="F4072" t="str">
        <f t="shared" si="315"/>
        <v>No</v>
      </c>
      <c r="G4072" t="str">
        <f t="shared" si="316"/>
        <v/>
      </c>
      <c r="H4072" t="str">
        <f t="shared" si="317"/>
        <v>—</v>
      </c>
      <c r="I4072" t="str">
        <f t="shared" si="318"/>
        <v>Below thresholds</v>
      </c>
      <c r="J4072" t="str">
        <f t="shared" si="319"/>
        <v/>
      </c>
    </row>
    <row r="4073" spans="1:10" x14ac:dyDescent="0.2">
      <c r="A4073">
        <v>227314180436</v>
      </c>
      <c r="B4073" t="s">
        <v>8676</v>
      </c>
      <c r="C4073" t="s">
        <v>8677</v>
      </c>
      <c r="D4073">
        <v>1.5</v>
      </c>
      <c r="F4073" t="str">
        <f t="shared" si="315"/>
        <v>No</v>
      </c>
      <c r="G4073" t="str">
        <f t="shared" si="316"/>
        <v/>
      </c>
      <c r="H4073" t="str">
        <f t="shared" si="317"/>
        <v>—</v>
      </c>
      <c r="I4073" t="str">
        <f t="shared" si="318"/>
        <v>Below thresholds</v>
      </c>
      <c r="J4073" t="str">
        <f t="shared" si="319"/>
        <v/>
      </c>
    </row>
    <row r="4074" spans="1:10" x14ac:dyDescent="0.2">
      <c r="A4074">
        <v>227314180473</v>
      </c>
      <c r="B4074" t="s">
        <v>8678</v>
      </c>
      <c r="C4074" t="s">
        <v>8679</v>
      </c>
      <c r="D4074">
        <v>1.25</v>
      </c>
      <c r="F4074" t="str">
        <f t="shared" si="315"/>
        <v>No</v>
      </c>
      <c r="G4074" t="str">
        <f t="shared" si="316"/>
        <v/>
      </c>
      <c r="H4074" t="str">
        <f t="shared" si="317"/>
        <v>—</v>
      </c>
      <c r="I4074" t="str">
        <f t="shared" si="318"/>
        <v>Below thresholds</v>
      </c>
      <c r="J4074" t="str">
        <f t="shared" si="319"/>
        <v/>
      </c>
    </row>
    <row r="4075" spans="1:10" x14ac:dyDescent="0.2">
      <c r="A4075">
        <v>227314180558</v>
      </c>
      <c r="B4075" t="s">
        <v>8680</v>
      </c>
      <c r="C4075" t="s">
        <v>8681</v>
      </c>
      <c r="D4075">
        <v>1.25</v>
      </c>
      <c r="F4075" t="str">
        <f t="shared" si="315"/>
        <v>No</v>
      </c>
      <c r="G4075" t="str">
        <f t="shared" si="316"/>
        <v/>
      </c>
      <c r="H4075" t="str">
        <f t="shared" si="317"/>
        <v>—</v>
      </c>
      <c r="I4075" t="str">
        <f t="shared" si="318"/>
        <v>Below thresholds</v>
      </c>
      <c r="J4075" t="str">
        <f t="shared" si="319"/>
        <v/>
      </c>
    </row>
    <row r="4076" spans="1:10" x14ac:dyDescent="0.2">
      <c r="A4076">
        <v>227314180577</v>
      </c>
      <c r="B4076" t="s">
        <v>8682</v>
      </c>
      <c r="C4076" t="s">
        <v>8683</v>
      </c>
      <c r="D4076">
        <v>1.75</v>
      </c>
      <c r="F4076" t="str">
        <f t="shared" si="315"/>
        <v>No</v>
      </c>
      <c r="G4076" t="str">
        <f t="shared" si="316"/>
        <v/>
      </c>
      <c r="H4076" t="str">
        <f t="shared" si="317"/>
        <v>—</v>
      </c>
      <c r="I4076" t="str">
        <f t="shared" si="318"/>
        <v>Below thresholds</v>
      </c>
      <c r="J4076" t="str">
        <f t="shared" si="319"/>
        <v/>
      </c>
    </row>
    <row r="4077" spans="1:10" x14ac:dyDescent="0.2">
      <c r="A4077">
        <v>227314180594</v>
      </c>
      <c r="B4077" t="s">
        <v>8684</v>
      </c>
      <c r="C4077" t="s">
        <v>8685</v>
      </c>
      <c r="D4077">
        <v>1.5</v>
      </c>
      <c r="F4077" t="str">
        <f t="shared" si="315"/>
        <v>No</v>
      </c>
      <c r="G4077" t="str">
        <f t="shared" si="316"/>
        <v/>
      </c>
      <c r="H4077" t="str">
        <f t="shared" si="317"/>
        <v>—</v>
      </c>
      <c r="I4077" t="str">
        <f t="shared" si="318"/>
        <v>Below thresholds</v>
      </c>
      <c r="J4077" t="str">
        <f t="shared" si="319"/>
        <v/>
      </c>
    </row>
    <row r="4078" spans="1:10" x14ac:dyDescent="0.2">
      <c r="A4078">
        <v>227314180633</v>
      </c>
      <c r="B4078" t="s">
        <v>8686</v>
      </c>
      <c r="C4078" t="s">
        <v>8687</v>
      </c>
      <c r="D4078">
        <v>3</v>
      </c>
      <c r="F4078" t="str">
        <f t="shared" si="315"/>
        <v>No</v>
      </c>
      <c r="G4078" t="str">
        <f t="shared" si="316"/>
        <v/>
      </c>
      <c r="H4078" t="str">
        <f t="shared" si="317"/>
        <v>—</v>
      </c>
      <c r="I4078" t="str">
        <f t="shared" si="318"/>
        <v>Below thresholds</v>
      </c>
      <c r="J4078" t="str">
        <f t="shared" si="319"/>
        <v/>
      </c>
    </row>
    <row r="4079" spans="1:10" x14ac:dyDescent="0.2">
      <c r="A4079">
        <v>227314180643</v>
      </c>
      <c r="B4079" t="s">
        <v>8688</v>
      </c>
      <c r="C4079" t="s">
        <v>8689</v>
      </c>
      <c r="D4079">
        <v>1.25</v>
      </c>
      <c r="F4079" t="str">
        <f t="shared" si="315"/>
        <v>No</v>
      </c>
      <c r="G4079" t="str">
        <f t="shared" si="316"/>
        <v/>
      </c>
      <c r="H4079" t="str">
        <f t="shared" si="317"/>
        <v>—</v>
      </c>
      <c r="I4079" t="str">
        <f t="shared" si="318"/>
        <v>Below thresholds</v>
      </c>
      <c r="J4079" t="str">
        <f t="shared" si="319"/>
        <v/>
      </c>
    </row>
    <row r="4080" spans="1:10" x14ac:dyDescent="0.2">
      <c r="A4080">
        <v>227314180679</v>
      </c>
      <c r="B4080" t="s">
        <v>8690</v>
      </c>
      <c r="C4080" t="s">
        <v>8691</v>
      </c>
      <c r="D4080">
        <v>1.5</v>
      </c>
      <c r="F4080" t="str">
        <f t="shared" si="315"/>
        <v>No</v>
      </c>
      <c r="G4080" t="str">
        <f t="shared" si="316"/>
        <v/>
      </c>
      <c r="H4080" t="str">
        <f t="shared" si="317"/>
        <v>—</v>
      </c>
      <c r="I4080" t="str">
        <f t="shared" si="318"/>
        <v>Below thresholds</v>
      </c>
      <c r="J4080" t="str">
        <f t="shared" si="319"/>
        <v/>
      </c>
    </row>
    <row r="4081" spans="1:10" x14ac:dyDescent="0.2">
      <c r="A4081">
        <v>227314180700</v>
      </c>
      <c r="B4081" t="s">
        <v>8692</v>
      </c>
      <c r="C4081" t="s">
        <v>8693</v>
      </c>
      <c r="D4081">
        <v>1.99</v>
      </c>
      <c r="F4081" t="str">
        <f t="shared" si="315"/>
        <v>No</v>
      </c>
      <c r="G4081" t="str">
        <f t="shared" si="316"/>
        <v/>
      </c>
      <c r="H4081" t="str">
        <f t="shared" si="317"/>
        <v>—</v>
      </c>
      <c r="I4081" t="str">
        <f t="shared" si="318"/>
        <v>Below thresholds</v>
      </c>
      <c r="J4081" t="str">
        <f t="shared" si="319"/>
        <v/>
      </c>
    </row>
    <row r="4082" spans="1:10" x14ac:dyDescent="0.2">
      <c r="A4082">
        <v>227314180795</v>
      </c>
      <c r="B4082" t="s">
        <v>8694</v>
      </c>
      <c r="C4082" t="s">
        <v>8695</v>
      </c>
      <c r="D4082">
        <v>1.5</v>
      </c>
      <c r="F4082" t="str">
        <f t="shared" si="315"/>
        <v>No</v>
      </c>
      <c r="G4082" t="str">
        <f t="shared" si="316"/>
        <v/>
      </c>
      <c r="H4082" t="str">
        <f t="shared" si="317"/>
        <v>—</v>
      </c>
      <c r="I4082" t="str">
        <f t="shared" si="318"/>
        <v>Below thresholds</v>
      </c>
      <c r="J4082" t="str">
        <f t="shared" si="319"/>
        <v/>
      </c>
    </row>
    <row r="4083" spans="1:10" x14ac:dyDescent="0.2">
      <c r="A4083">
        <v>227314187943</v>
      </c>
      <c r="B4083" t="s">
        <v>8696</v>
      </c>
      <c r="C4083" t="s">
        <v>8697</v>
      </c>
      <c r="D4083">
        <v>11</v>
      </c>
      <c r="F4083" t="str">
        <f t="shared" si="315"/>
        <v>No</v>
      </c>
      <c r="G4083" t="str">
        <f t="shared" si="316"/>
        <v/>
      </c>
      <c r="H4083" t="str">
        <f t="shared" si="317"/>
        <v>—</v>
      </c>
      <c r="I4083" t="str">
        <f t="shared" si="318"/>
        <v>Below thresholds</v>
      </c>
      <c r="J4083" t="str">
        <f t="shared" si="319"/>
        <v/>
      </c>
    </row>
    <row r="4084" spans="1:10" x14ac:dyDescent="0.2">
      <c r="A4084">
        <v>227314187956</v>
      </c>
      <c r="B4084" t="s">
        <v>8698</v>
      </c>
      <c r="C4084" t="s">
        <v>8699</v>
      </c>
      <c r="D4084">
        <v>5</v>
      </c>
      <c r="F4084" t="str">
        <f t="shared" si="315"/>
        <v>No</v>
      </c>
      <c r="G4084" t="str">
        <f t="shared" si="316"/>
        <v/>
      </c>
      <c r="H4084" t="str">
        <f t="shared" si="317"/>
        <v>—</v>
      </c>
      <c r="I4084" t="str">
        <f t="shared" si="318"/>
        <v>Below thresholds</v>
      </c>
      <c r="J4084" t="str">
        <f t="shared" si="319"/>
        <v/>
      </c>
    </row>
    <row r="4085" spans="1:10" x14ac:dyDescent="0.2">
      <c r="A4085">
        <v>227314187989</v>
      </c>
      <c r="B4085" t="s">
        <v>8700</v>
      </c>
      <c r="C4085" t="s">
        <v>8701</v>
      </c>
      <c r="D4085">
        <v>15</v>
      </c>
      <c r="F4085" t="str">
        <f t="shared" si="315"/>
        <v>No</v>
      </c>
      <c r="G4085" t="str">
        <f t="shared" si="316"/>
        <v/>
      </c>
      <c r="H4085" t="str">
        <f t="shared" si="317"/>
        <v>—</v>
      </c>
      <c r="I4085" t="str">
        <f t="shared" si="318"/>
        <v>Below thresholds</v>
      </c>
      <c r="J4085" t="str">
        <f t="shared" si="319"/>
        <v/>
      </c>
    </row>
    <row r="4086" spans="1:10" x14ac:dyDescent="0.2">
      <c r="A4086">
        <v>227314187991</v>
      </c>
      <c r="B4086" t="s">
        <v>8702</v>
      </c>
      <c r="C4086" t="s">
        <v>8703</v>
      </c>
      <c r="D4086">
        <v>4</v>
      </c>
      <c r="F4086" t="str">
        <f t="shared" si="315"/>
        <v>No</v>
      </c>
      <c r="G4086" t="str">
        <f t="shared" si="316"/>
        <v/>
      </c>
      <c r="H4086" t="str">
        <f t="shared" si="317"/>
        <v>—</v>
      </c>
      <c r="I4086" t="str">
        <f t="shared" si="318"/>
        <v>Below thresholds</v>
      </c>
      <c r="J4086" t="str">
        <f t="shared" si="319"/>
        <v/>
      </c>
    </row>
    <row r="4087" spans="1:10" x14ac:dyDescent="0.2">
      <c r="A4087">
        <v>227314188017</v>
      </c>
      <c r="B4087" t="s">
        <v>8704</v>
      </c>
      <c r="C4087" t="s">
        <v>8705</v>
      </c>
      <c r="D4087">
        <v>12</v>
      </c>
      <c r="F4087" t="str">
        <f t="shared" si="315"/>
        <v>No</v>
      </c>
      <c r="G4087" t="str">
        <f t="shared" si="316"/>
        <v/>
      </c>
      <c r="H4087" t="str">
        <f t="shared" si="317"/>
        <v>—</v>
      </c>
      <c r="I4087" t="str">
        <f t="shared" si="318"/>
        <v>Below thresholds</v>
      </c>
      <c r="J4087" t="str">
        <f t="shared" si="319"/>
        <v/>
      </c>
    </row>
    <row r="4088" spans="1:10" x14ac:dyDescent="0.2">
      <c r="A4088">
        <v>227314188021</v>
      </c>
      <c r="B4088" t="s">
        <v>8706</v>
      </c>
      <c r="C4088" t="s">
        <v>8707</v>
      </c>
      <c r="D4088">
        <v>4</v>
      </c>
      <c r="F4088" t="str">
        <f t="shared" si="315"/>
        <v>No</v>
      </c>
      <c r="G4088" t="str">
        <f t="shared" si="316"/>
        <v/>
      </c>
      <c r="H4088" t="str">
        <f t="shared" si="317"/>
        <v>—</v>
      </c>
      <c r="I4088" t="str">
        <f t="shared" si="318"/>
        <v>Below thresholds</v>
      </c>
      <c r="J4088" t="str">
        <f t="shared" si="319"/>
        <v/>
      </c>
    </row>
    <row r="4089" spans="1:10" x14ac:dyDescent="0.2">
      <c r="A4089">
        <v>227316642608</v>
      </c>
      <c r="B4089" t="s">
        <v>8708</v>
      </c>
      <c r="C4089" t="s">
        <v>8709</v>
      </c>
      <c r="D4089">
        <v>2.99</v>
      </c>
      <c r="F4089" t="str">
        <f t="shared" si="315"/>
        <v>No</v>
      </c>
      <c r="G4089" t="str">
        <f t="shared" si="316"/>
        <v/>
      </c>
      <c r="H4089" t="str">
        <f t="shared" si="317"/>
        <v>—</v>
      </c>
      <c r="I4089" t="str">
        <f t="shared" si="318"/>
        <v>Below thresholds</v>
      </c>
      <c r="J4089" t="str">
        <f t="shared" si="319"/>
        <v/>
      </c>
    </row>
    <row r="4090" spans="1:10" x14ac:dyDescent="0.2">
      <c r="A4090">
        <v>227316642626</v>
      </c>
      <c r="B4090" t="s">
        <v>8710</v>
      </c>
      <c r="C4090" t="s">
        <v>8711</v>
      </c>
      <c r="D4090">
        <v>2.29</v>
      </c>
      <c r="F4090" t="str">
        <f t="shared" si="315"/>
        <v>No</v>
      </c>
      <c r="G4090" t="str">
        <f t="shared" si="316"/>
        <v/>
      </c>
      <c r="H4090" t="str">
        <f t="shared" si="317"/>
        <v>—</v>
      </c>
      <c r="I4090" t="str">
        <f t="shared" si="318"/>
        <v>Below thresholds</v>
      </c>
      <c r="J4090" t="str">
        <f t="shared" si="319"/>
        <v/>
      </c>
    </row>
    <row r="4091" spans="1:10" x14ac:dyDescent="0.2">
      <c r="A4091">
        <v>227316642671</v>
      </c>
      <c r="B4091" t="s">
        <v>8712</v>
      </c>
      <c r="C4091" t="s">
        <v>8713</v>
      </c>
      <c r="D4091">
        <v>1</v>
      </c>
      <c r="F4091" t="str">
        <f t="shared" si="315"/>
        <v>No</v>
      </c>
      <c r="G4091" t="str">
        <f t="shared" si="316"/>
        <v/>
      </c>
      <c r="H4091" t="str">
        <f t="shared" si="317"/>
        <v>—</v>
      </c>
      <c r="I4091" t="str">
        <f t="shared" si="318"/>
        <v>Below thresholds</v>
      </c>
      <c r="J4091" t="str">
        <f t="shared" si="319"/>
        <v/>
      </c>
    </row>
    <row r="4092" spans="1:10" x14ac:dyDescent="0.2">
      <c r="A4092">
        <v>227316642693</v>
      </c>
      <c r="B4092" t="s">
        <v>8714</v>
      </c>
      <c r="C4092" t="s">
        <v>8715</v>
      </c>
      <c r="D4092">
        <v>4.99</v>
      </c>
      <c r="F4092" t="str">
        <f t="shared" si="315"/>
        <v>No</v>
      </c>
      <c r="G4092" t="str">
        <f t="shared" si="316"/>
        <v/>
      </c>
      <c r="H4092" t="str">
        <f t="shared" si="317"/>
        <v>—</v>
      </c>
      <c r="I4092" t="str">
        <f t="shared" si="318"/>
        <v>Below thresholds</v>
      </c>
      <c r="J4092" t="str">
        <f t="shared" si="319"/>
        <v/>
      </c>
    </row>
    <row r="4093" spans="1:10" x14ac:dyDescent="0.2">
      <c r="A4093">
        <v>227316642739</v>
      </c>
      <c r="B4093" t="s">
        <v>8716</v>
      </c>
      <c r="C4093" t="s">
        <v>8717</v>
      </c>
      <c r="D4093">
        <v>1.5</v>
      </c>
      <c r="F4093" t="str">
        <f t="shared" si="315"/>
        <v>No</v>
      </c>
      <c r="G4093" t="str">
        <f t="shared" si="316"/>
        <v/>
      </c>
      <c r="H4093" t="str">
        <f t="shared" si="317"/>
        <v>—</v>
      </c>
      <c r="I4093" t="str">
        <f t="shared" si="318"/>
        <v>Below thresholds</v>
      </c>
      <c r="J4093" t="str">
        <f t="shared" si="319"/>
        <v/>
      </c>
    </row>
    <row r="4094" spans="1:10" x14ac:dyDescent="0.2">
      <c r="A4094">
        <v>227316642752</v>
      </c>
      <c r="B4094" t="s">
        <v>8718</v>
      </c>
      <c r="C4094" t="s">
        <v>8719</v>
      </c>
      <c r="D4094">
        <v>1.99</v>
      </c>
      <c r="F4094" t="str">
        <f t="shared" si="315"/>
        <v>No</v>
      </c>
      <c r="G4094" t="str">
        <f t="shared" si="316"/>
        <v/>
      </c>
      <c r="H4094" t="str">
        <f t="shared" si="317"/>
        <v>—</v>
      </c>
      <c r="I4094" t="str">
        <f t="shared" si="318"/>
        <v>Below thresholds</v>
      </c>
      <c r="J4094" t="str">
        <f t="shared" si="319"/>
        <v/>
      </c>
    </row>
    <row r="4095" spans="1:10" x14ac:dyDescent="0.2">
      <c r="A4095">
        <v>227316642796</v>
      </c>
      <c r="B4095" t="s">
        <v>8720</v>
      </c>
      <c r="C4095" t="s">
        <v>8721</v>
      </c>
      <c r="D4095">
        <v>3.5</v>
      </c>
      <c r="F4095" t="str">
        <f t="shared" si="315"/>
        <v>No</v>
      </c>
      <c r="G4095" t="str">
        <f t="shared" si="316"/>
        <v/>
      </c>
      <c r="H4095" t="str">
        <f t="shared" si="317"/>
        <v>—</v>
      </c>
      <c r="I4095" t="str">
        <f t="shared" si="318"/>
        <v>Below thresholds</v>
      </c>
      <c r="J4095" t="str">
        <f t="shared" si="319"/>
        <v/>
      </c>
    </row>
    <row r="4096" spans="1:10" x14ac:dyDescent="0.2">
      <c r="A4096">
        <v>227316642805</v>
      </c>
      <c r="B4096" t="s">
        <v>8722</v>
      </c>
      <c r="C4096" t="s">
        <v>8723</v>
      </c>
      <c r="D4096">
        <v>2.59</v>
      </c>
      <c r="F4096" t="str">
        <f t="shared" si="315"/>
        <v>No</v>
      </c>
      <c r="G4096" t="str">
        <f t="shared" si="316"/>
        <v/>
      </c>
      <c r="H4096" t="str">
        <f t="shared" si="317"/>
        <v>—</v>
      </c>
      <c r="I4096" t="str">
        <f t="shared" si="318"/>
        <v>Below thresholds</v>
      </c>
      <c r="J4096" t="str">
        <f t="shared" si="319"/>
        <v/>
      </c>
    </row>
    <row r="4097" spans="1:10" x14ac:dyDescent="0.2">
      <c r="A4097">
        <v>227316642842</v>
      </c>
      <c r="B4097" t="s">
        <v>8724</v>
      </c>
      <c r="C4097" t="s">
        <v>8725</v>
      </c>
      <c r="D4097">
        <v>4.99</v>
      </c>
      <c r="F4097" t="str">
        <f t="shared" si="315"/>
        <v>No</v>
      </c>
      <c r="G4097" t="str">
        <f t="shared" si="316"/>
        <v/>
      </c>
      <c r="H4097" t="str">
        <f t="shared" si="317"/>
        <v>—</v>
      </c>
      <c r="I4097" t="str">
        <f t="shared" si="318"/>
        <v>Below thresholds</v>
      </c>
      <c r="J4097" t="str">
        <f t="shared" si="319"/>
        <v/>
      </c>
    </row>
    <row r="4098" spans="1:10" x14ac:dyDescent="0.2">
      <c r="A4098">
        <v>227316642846</v>
      </c>
      <c r="B4098" t="s">
        <v>8726</v>
      </c>
      <c r="C4098" t="s">
        <v>8727</v>
      </c>
      <c r="D4098">
        <v>1.99</v>
      </c>
      <c r="F4098" t="str">
        <f t="shared" si="315"/>
        <v>No</v>
      </c>
      <c r="G4098" t="str">
        <f t="shared" si="316"/>
        <v/>
      </c>
      <c r="H4098" t="str">
        <f t="shared" si="317"/>
        <v>—</v>
      </c>
      <c r="I4098" t="str">
        <f t="shared" si="318"/>
        <v>Below thresholds</v>
      </c>
      <c r="J4098" t="str">
        <f t="shared" si="319"/>
        <v/>
      </c>
    </row>
    <row r="4099" spans="1:10" x14ac:dyDescent="0.2">
      <c r="A4099">
        <v>227316642894</v>
      </c>
      <c r="B4099" t="s">
        <v>8728</v>
      </c>
      <c r="C4099" t="s">
        <v>8729</v>
      </c>
      <c r="D4099">
        <v>3.99</v>
      </c>
      <c r="F4099" t="str">
        <f t="shared" si="315"/>
        <v>No</v>
      </c>
      <c r="G4099" t="str">
        <f t="shared" si="316"/>
        <v/>
      </c>
      <c r="H4099" t="str">
        <f t="shared" si="317"/>
        <v>—</v>
      </c>
      <c r="I4099" t="str">
        <f t="shared" si="318"/>
        <v>Below thresholds</v>
      </c>
      <c r="J4099" t="str">
        <f t="shared" si="319"/>
        <v/>
      </c>
    </row>
    <row r="4100" spans="1:10" x14ac:dyDescent="0.2">
      <c r="A4100">
        <v>227316642901</v>
      </c>
      <c r="B4100" t="s">
        <v>8730</v>
      </c>
      <c r="C4100" t="s">
        <v>8731</v>
      </c>
      <c r="D4100">
        <v>1.99</v>
      </c>
      <c r="F4100" t="str">
        <f t="shared" si="315"/>
        <v>No</v>
      </c>
      <c r="G4100" t="str">
        <f t="shared" si="316"/>
        <v/>
      </c>
      <c r="H4100" t="str">
        <f t="shared" si="317"/>
        <v>—</v>
      </c>
      <c r="I4100" t="str">
        <f t="shared" si="318"/>
        <v>Below thresholds</v>
      </c>
      <c r="J4100" t="str">
        <f t="shared" si="319"/>
        <v/>
      </c>
    </row>
    <row r="4101" spans="1:10" x14ac:dyDescent="0.2">
      <c r="A4101">
        <v>227316642967</v>
      </c>
      <c r="B4101" t="s">
        <v>8732</v>
      </c>
      <c r="C4101" t="s">
        <v>8733</v>
      </c>
      <c r="D4101">
        <v>10.99</v>
      </c>
      <c r="F4101" t="str">
        <f t="shared" ref="F4101:F4164" si="320">IF($B4101="","",IF(ISNUMBER(SEARCH("PSA",$B4101)),"Yes","No"))</f>
        <v>No</v>
      </c>
      <c r="G4101" t="str">
        <f t="shared" ref="G4101:G4164" si="321">IF($B4101="","",IF(ISNUMBER(SEARCH("PSA 10",$B4101)),10,IF(ISNUMBER(SEARCH("PSA 9.5",$B4101)),9.5,IF(ISNUMBER(SEARCH("PSA 9",$B4101)),9,IF(ISNUMBER(SEARCH("PSA 8",$B4101)),8,IF(ISNUMBER(SEARCH("PSA",$B4101)),"&lt;9",""))))))</f>
        <v/>
      </c>
      <c r="H4101" t="str">
        <f t="shared" ref="H4101:H4164" si="322">IF($B4101="","",IF($D4101&gt;=100,"TIER 2",IF(OR(ISNUMBER(SEARCH("PSA 10",$B4101)),ISNUMBER(SEARCH("PSA 9.5",$B4101)),ISNUMBER(SEARCH("PSA 9",$B4101))),"TIER 3",IF(AND($D4101&gt;20,N($E4101)&gt;=15),"TIER 1","—"))))</f>
        <v>—</v>
      </c>
      <c r="I4101" t="str">
        <f t="shared" ref="I4101:I4164" si="323">IF($B4101="","",IF($D4101&gt;=100,"Premium $100+ (auto)",IF(OR(ISNUMBER(SEARCH("PSA 10",$B4101)),ISNUMBER(SEARCH("PSA 9.5",$B4101)),ISNUMBER(SEARCH("PSA 9",$B4101))),"Graded PSA 9+ (auto)",IF(AND($D4101&gt;20,N($E4101)&gt;=15),"Hot: $20+ &amp; "&amp;$E4101&amp;"/day",IF($D4101&gt;20,"$20+ — needs velocity check","Below thresholds")))))</f>
        <v>Below thresholds</v>
      </c>
      <c r="J4101" t="str">
        <f t="shared" ref="J4101:J4164" si="324">IF($B4101="","",IF(AND($D4101&gt;20,$D4101&lt;100,NOT(OR(ISNUMBER(SEARCH("PSA 10",$B4101)),ISNUMBER(SEARCH("PSA 9.5",$B4101)),ISNUMBER(SEARCH("PSA 9",$B4101)))),$E4101=""),"YES — pull CardHedger",""))</f>
        <v/>
      </c>
    </row>
    <row r="4102" spans="1:10" x14ac:dyDescent="0.2">
      <c r="A4102">
        <v>227317101325</v>
      </c>
      <c r="B4102" t="s">
        <v>8734</v>
      </c>
      <c r="C4102" t="s">
        <v>8735</v>
      </c>
      <c r="D4102">
        <v>2.99</v>
      </c>
      <c r="F4102" t="str">
        <f t="shared" si="320"/>
        <v>No</v>
      </c>
      <c r="G4102" t="str">
        <f t="shared" si="321"/>
        <v/>
      </c>
      <c r="H4102" t="str">
        <f t="shared" si="322"/>
        <v>—</v>
      </c>
      <c r="I4102" t="str">
        <f t="shared" si="323"/>
        <v>Below thresholds</v>
      </c>
      <c r="J4102" t="str">
        <f t="shared" si="324"/>
        <v/>
      </c>
    </row>
    <row r="4103" spans="1:10" x14ac:dyDescent="0.2">
      <c r="A4103">
        <v>227317101578</v>
      </c>
      <c r="B4103" t="s">
        <v>8736</v>
      </c>
      <c r="C4103" t="s">
        <v>8737</v>
      </c>
      <c r="D4103">
        <v>2</v>
      </c>
      <c r="F4103" t="str">
        <f t="shared" si="320"/>
        <v>No</v>
      </c>
      <c r="G4103" t="str">
        <f t="shared" si="321"/>
        <v/>
      </c>
      <c r="H4103" t="str">
        <f t="shared" si="322"/>
        <v>—</v>
      </c>
      <c r="I4103" t="str">
        <f t="shared" si="323"/>
        <v>Below thresholds</v>
      </c>
      <c r="J4103" t="str">
        <f t="shared" si="324"/>
        <v/>
      </c>
    </row>
    <row r="4104" spans="1:10" x14ac:dyDescent="0.2">
      <c r="A4104">
        <v>227317101580</v>
      </c>
      <c r="B4104" t="s">
        <v>8738</v>
      </c>
      <c r="C4104" t="s">
        <v>8739</v>
      </c>
      <c r="D4104">
        <v>14</v>
      </c>
      <c r="F4104" t="str">
        <f t="shared" si="320"/>
        <v>No</v>
      </c>
      <c r="G4104" t="str">
        <f t="shared" si="321"/>
        <v/>
      </c>
      <c r="H4104" t="str">
        <f t="shared" si="322"/>
        <v>—</v>
      </c>
      <c r="I4104" t="str">
        <f t="shared" si="323"/>
        <v>Below thresholds</v>
      </c>
      <c r="J4104" t="str">
        <f t="shared" si="324"/>
        <v/>
      </c>
    </row>
    <row r="4105" spans="1:10" x14ac:dyDescent="0.2">
      <c r="A4105">
        <v>227317101581</v>
      </c>
      <c r="B4105" t="s">
        <v>8740</v>
      </c>
      <c r="C4105" t="s">
        <v>8741</v>
      </c>
      <c r="D4105">
        <v>1.99</v>
      </c>
      <c r="F4105" t="str">
        <f t="shared" si="320"/>
        <v>No</v>
      </c>
      <c r="G4105" t="str">
        <f t="shared" si="321"/>
        <v/>
      </c>
      <c r="H4105" t="str">
        <f t="shared" si="322"/>
        <v>—</v>
      </c>
      <c r="I4105" t="str">
        <f t="shared" si="323"/>
        <v>Below thresholds</v>
      </c>
      <c r="J4105" t="str">
        <f t="shared" si="324"/>
        <v/>
      </c>
    </row>
    <row r="4106" spans="1:10" x14ac:dyDescent="0.2">
      <c r="A4106">
        <v>227317101588</v>
      </c>
      <c r="B4106" t="s">
        <v>8742</v>
      </c>
      <c r="C4106" t="s">
        <v>8743</v>
      </c>
      <c r="D4106">
        <v>23</v>
      </c>
      <c r="F4106" t="str">
        <f t="shared" si="320"/>
        <v>No</v>
      </c>
      <c r="G4106" t="str">
        <f t="shared" si="321"/>
        <v/>
      </c>
      <c r="H4106" t="str">
        <f t="shared" si="322"/>
        <v>—</v>
      </c>
      <c r="I4106" t="str">
        <f t="shared" si="323"/>
        <v>$20+ — needs velocity check</v>
      </c>
      <c r="J4106" t="str">
        <f t="shared" si="324"/>
        <v>YES — pull CardHedger</v>
      </c>
    </row>
    <row r="4107" spans="1:10" x14ac:dyDescent="0.2">
      <c r="A4107">
        <v>227317101593</v>
      </c>
      <c r="B4107" t="s">
        <v>8744</v>
      </c>
      <c r="C4107" t="s">
        <v>8745</v>
      </c>
      <c r="D4107">
        <v>8.99</v>
      </c>
      <c r="F4107" t="str">
        <f t="shared" si="320"/>
        <v>No</v>
      </c>
      <c r="G4107" t="str">
        <f t="shared" si="321"/>
        <v/>
      </c>
      <c r="H4107" t="str">
        <f t="shared" si="322"/>
        <v>—</v>
      </c>
      <c r="I4107" t="str">
        <f t="shared" si="323"/>
        <v>Below thresholds</v>
      </c>
      <c r="J4107" t="str">
        <f t="shared" si="324"/>
        <v/>
      </c>
    </row>
    <row r="4108" spans="1:10" x14ac:dyDescent="0.2">
      <c r="A4108">
        <v>227317101604</v>
      </c>
      <c r="B4108" t="s">
        <v>8746</v>
      </c>
      <c r="C4108" t="s">
        <v>8747</v>
      </c>
      <c r="D4108">
        <v>3.99</v>
      </c>
      <c r="F4108" t="str">
        <f t="shared" si="320"/>
        <v>No</v>
      </c>
      <c r="G4108" t="str">
        <f t="shared" si="321"/>
        <v/>
      </c>
      <c r="H4108" t="str">
        <f t="shared" si="322"/>
        <v>—</v>
      </c>
      <c r="I4108" t="str">
        <f t="shared" si="323"/>
        <v>Below thresholds</v>
      </c>
      <c r="J4108" t="str">
        <f t="shared" si="324"/>
        <v/>
      </c>
    </row>
    <row r="4109" spans="1:10" x14ac:dyDescent="0.2">
      <c r="A4109">
        <v>227317101609</v>
      </c>
      <c r="B4109" t="s">
        <v>8748</v>
      </c>
      <c r="C4109" t="s">
        <v>8749</v>
      </c>
      <c r="D4109">
        <v>15</v>
      </c>
      <c r="F4109" t="str">
        <f t="shared" si="320"/>
        <v>No</v>
      </c>
      <c r="G4109" t="str">
        <f t="shared" si="321"/>
        <v/>
      </c>
      <c r="H4109" t="str">
        <f t="shared" si="322"/>
        <v>—</v>
      </c>
      <c r="I4109" t="str">
        <f t="shared" si="323"/>
        <v>Below thresholds</v>
      </c>
      <c r="J4109" t="str">
        <f t="shared" si="324"/>
        <v/>
      </c>
    </row>
    <row r="4110" spans="1:10" x14ac:dyDescent="0.2">
      <c r="A4110">
        <v>227317101639</v>
      </c>
      <c r="B4110" t="s">
        <v>8750</v>
      </c>
      <c r="C4110" t="s">
        <v>8751</v>
      </c>
      <c r="D4110">
        <v>2.99</v>
      </c>
      <c r="F4110" t="str">
        <f t="shared" si="320"/>
        <v>No</v>
      </c>
      <c r="G4110" t="str">
        <f t="shared" si="321"/>
        <v/>
      </c>
      <c r="H4110" t="str">
        <f t="shared" si="322"/>
        <v>—</v>
      </c>
      <c r="I4110" t="str">
        <f t="shared" si="323"/>
        <v>Below thresholds</v>
      </c>
      <c r="J4110" t="str">
        <f t="shared" si="324"/>
        <v/>
      </c>
    </row>
    <row r="4111" spans="1:10" x14ac:dyDescent="0.2">
      <c r="A4111">
        <v>227317101645</v>
      </c>
      <c r="B4111" t="s">
        <v>8752</v>
      </c>
      <c r="C4111" t="s">
        <v>8753</v>
      </c>
      <c r="D4111">
        <v>220</v>
      </c>
      <c r="F4111" t="str">
        <f t="shared" si="320"/>
        <v>No</v>
      </c>
      <c r="G4111" t="str">
        <f t="shared" si="321"/>
        <v/>
      </c>
      <c r="H4111" t="str">
        <f t="shared" si="322"/>
        <v>TIER 2</v>
      </c>
      <c r="I4111" t="str">
        <f t="shared" si="323"/>
        <v>Premium $100+ (auto)</v>
      </c>
      <c r="J4111" t="str">
        <f t="shared" si="324"/>
        <v/>
      </c>
    </row>
    <row r="4112" spans="1:10" x14ac:dyDescent="0.2">
      <c r="A4112">
        <v>227317101651</v>
      </c>
      <c r="B4112" t="s">
        <v>8754</v>
      </c>
      <c r="C4112" t="s">
        <v>8755</v>
      </c>
      <c r="D4112">
        <v>5</v>
      </c>
      <c r="F4112" t="str">
        <f t="shared" si="320"/>
        <v>No</v>
      </c>
      <c r="G4112" t="str">
        <f t="shared" si="321"/>
        <v/>
      </c>
      <c r="H4112" t="str">
        <f t="shared" si="322"/>
        <v>—</v>
      </c>
      <c r="I4112" t="str">
        <f t="shared" si="323"/>
        <v>Below thresholds</v>
      </c>
      <c r="J4112" t="str">
        <f t="shared" si="324"/>
        <v/>
      </c>
    </row>
    <row r="4113" spans="1:10" x14ac:dyDescent="0.2">
      <c r="A4113">
        <v>227317101653</v>
      </c>
      <c r="B4113" t="s">
        <v>8756</v>
      </c>
      <c r="C4113" t="s">
        <v>8757</v>
      </c>
      <c r="D4113">
        <v>8.99</v>
      </c>
      <c r="F4113" t="str">
        <f t="shared" si="320"/>
        <v>No</v>
      </c>
      <c r="G4113" t="str">
        <f t="shared" si="321"/>
        <v/>
      </c>
      <c r="H4113" t="str">
        <f t="shared" si="322"/>
        <v>—</v>
      </c>
      <c r="I4113" t="str">
        <f t="shared" si="323"/>
        <v>Below thresholds</v>
      </c>
      <c r="J4113" t="str">
        <f t="shared" si="324"/>
        <v/>
      </c>
    </row>
    <row r="4114" spans="1:10" x14ac:dyDescent="0.2">
      <c r="A4114">
        <v>227317101667</v>
      </c>
      <c r="B4114" t="s">
        <v>8758</v>
      </c>
      <c r="C4114" t="s">
        <v>8759</v>
      </c>
      <c r="D4114">
        <v>1.99</v>
      </c>
      <c r="F4114" t="str">
        <f t="shared" si="320"/>
        <v>No</v>
      </c>
      <c r="G4114" t="str">
        <f t="shared" si="321"/>
        <v/>
      </c>
      <c r="H4114" t="str">
        <f t="shared" si="322"/>
        <v>—</v>
      </c>
      <c r="I4114" t="str">
        <f t="shared" si="323"/>
        <v>Below thresholds</v>
      </c>
      <c r="J4114" t="str">
        <f t="shared" si="324"/>
        <v/>
      </c>
    </row>
    <row r="4115" spans="1:10" x14ac:dyDescent="0.2">
      <c r="A4115">
        <v>227317129603</v>
      </c>
      <c r="B4115" t="s">
        <v>8760</v>
      </c>
      <c r="D4115">
        <v>150</v>
      </c>
      <c r="F4115" t="str">
        <f t="shared" si="320"/>
        <v>Yes</v>
      </c>
      <c r="G4115" t="str">
        <f t="shared" si="321"/>
        <v>&lt;9</v>
      </c>
      <c r="H4115" t="str">
        <f t="shared" si="322"/>
        <v>TIER 2</v>
      </c>
      <c r="I4115" t="str">
        <f t="shared" si="323"/>
        <v>Premium $100+ (auto)</v>
      </c>
      <c r="J4115" t="str">
        <f t="shared" si="324"/>
        <v/>
      </c>
    </row>
    <row r="4116" spans="1:10" x14ac:dyDescent="0.2">
      <c r="A4116">
        <v>227318949277</v>
      </c>
      <c r="B4116" t="s">
        <v>8761</v>
      </c>
      <c r="C4116" t="s">
        <v>8762</v>
      </c>
      <c r="D4116">
        <v>8</v>
      </c>
      <c r="F4116" t="str">
        <f t="shared" si="320"/>
        <v>No</v>
      </c>
      <c r="G4116" t="str">
        <f t="shared" si="321"/>
        <v/>
      </c>
      <c r="H4116" t="str">
        <f t="shared" si="322"/>
        <v>—</v>
      </c>
      <c r="I4116" t="str">
        <f t="shared" si="323"/>
        <v>Below thresholds</v>
      </c>
      <c r="J4116" t="str">
        <f t="shared" si="324"/>
        <v/>
      </c>
    </row>
    <row r="4117" spans="1:10" x14ac:dyDescent="0.2">
      <c r="A4117">
        <v>227318949287</v>
      </c>
      <c r="B4117" t="s">
        <v>8763</v>
      </c>
      <c r="C4117" t="s">
        <v>8764</v>
      </c>
      <c r="D4117">
        <v>199</v>
      </c>
      <c r="F4117" t="str">
        <f t="shared" si="320"/>
        <v>No</v>
      </c>
      <c r="G4117" t="str">
        <f t="shared" si="321"/>
        <v/>
      </c>
      <c r="H4117" t="str">
        <f t="shared" si="322"/>
        <v>TIER 2</v>
      </c>
      <c r="I4117" t="str">
        <f t="shared" si="323"/>
        <v>Premium $100+ (auto)</v>
      </c>
      <c r="J4117" t="str">
        <f t="shared" si="324"/>
        <v/>
      </c>
    </row>
    <row r="4118" spans="1:10" x14ac:dyDescent="0.2">
      <c r="A4118">
        <v>227318949343</v>
      </c>
      <c r="B4118" t="s">
        <v>8765</v>
      </c>
      <c r="C4118" t="s">
        <v>8766</v>
      </c>
      <c r="D4118">
        <v>34</v>
      </c>
      <c r="F4118" t="str">
        <f t="shared" si="320"/>
        <v>No</v>
      </c>
      <c r="G4118" t="str">
        <f t="shared" si="321"/>
        <v/>
      </c>
      <c r="H4118" t="str">
        <f t="shared" si="322"/>
        <v>—</v>
      </c>
      <c r="I4118" t="str">
        <f t="shared" si="323"/>
        <v>$20+ — needs velocity check</v>
      </c>
      <c r="J4118" t="str">
        <f t="shared" si="324"/>
        <v>YES — pull CardHedger</v>
      </c>
    </row>
    <row r="4119" spans="1:10" x14ac:dyDescent="0.2">
      <c r="A4119">
        <v>227319141536</v>
      </c>
      <c r="B4119" t="s">
        <v>8767</v>
      </c>
      <c r="C4119" t="s">
        <v>8768</v>
      </c>
      <c r="D4119">
        <v>1.5</v>
      </c>
      <c r="F4119" t="str">
        <f t="shared" si="320"/>
        <v>No</v>
      </c>
      <c r="G4119" t="str">
        <f t="shared" si="321"/>
        <v/>
      </c>
      <c r="H4119" t="str">
        <f t="shared" si="322"/>
        <v>—</v>
      </c>
      <c r="I4119" t="str">
        <f t="shared" si="323"/>
        <v>Below thresholds</v>
      </c>
      <c r="J4119" t="str">
        <f t="shared" si="324"/>
        <v/>
      </c>
    </row>
    <row r="4120" spans="1:10" x14ac:dyDescent="0.2">
      <c r="A4120">
        <v>227319141546</v>
      </c>
      <c r="B4120" t="s">
        <v>8769</v>
      </c>
      <c r="C4120" t="s">
        <v>8770</v>
      </c>
      <c r="D4120">
        <v>1.5</v>
      </c>
      <c r="F4120" t="str">
        <f t="shared" si="320"/>
        <v>No</v>
      </c>
      <c r="G4120" t="str">
        <f t="shared" si="321"/>
        <v/>
      </c>
      <c r="H4120" t="str">
        <f t="shared" si="322"/>
        <v>—</v>
      </c>
      <c r="I4120" t="str">
        <f t="shared" si="323"/>
        <v>Below thresholds</v>
      </c>
      <c r="J4120" t="str">
        <f t="shared" si="324"/>
        <v/>
      </c>
    </row>
    <row r="4121" spans="1:10" x14ac:dyDescent="0.2">
      <c r="A4121">
        <v>227319141569</v>
      </c>
      <c r="B4121" t="s">
        <v>8771</v>
      </c>
      <c r="C4121" t="s">
        <v>8772</v>
      </c>
      <c r="D4121">
        <v>5.99</v>
      </c>
      <c r="F4121" t="str">
        <f t="shared" si="320"/>
        <v>No</v>
      </c>
      <c r="G4121" t="str">
        <f t="shared" si="321"/>
        <v/>
      </c>
      <c r="H4121" t="str">
        <f t="shared" si="322"/>
        <v>—</v>
      </c>
      <c r="I4121" t="str">
        <f t="shared" si="323"/>
        <v>Below thresholds</v>
      </c>
      <c r="J4121" t="str">
        <f t="shared" si="324"/>
        <v/>
      </c>
    </row>
    <row r="4122" spans="1:10" x14ac:dyDescent="0.2">
      <c r="A4122">
        <v>227319141589</v>
      </c>
      <c r="B4122" t="s">
        <v>8773</v>
      </c>
      <c r="C4122" t="s">
        <v>8774</v>
      </c>
      <c r="D4122">
        <v>2.99</v>
      </c>
      <c r="F4122" t="str">
        <f t="shared" si="320"/>
        <v>No</v>
      </c>
      <c r="G4122" t="str">
        <f t="shared" si="321"/>
        <v/>
      </c>
      <c r="H4122" t="str">
        <f t="shared" si="322"/>
        <v>—</v>
      </c>
      <c r="I4122" t="str">
        <f t="shared" si="323"/>
        <v>Below thresholds</v>
      </c>
      <c r="J4122" t="str">
        <f t="shared" si="324"/>
        <v/>
      </c>
    </row>
    <row r="4123" spans="1:10" x14ac:dyDescent="0.2">
      <c r="A4123">
        <v>227319141654</v>
      </c>
      <c r="B4123" t="s">
        <v>8775</v>
      </c>
      <c r="C4123" t="s">
        <v>8776</v>
      </c>
      <c r="D4123">
        <v>2.99</v>
      </c>
      <c r="F4123" t="str">
        <f t="shared" si="320"/>
        <v>No</v>
      </c>
      <c r="G4123" t="str">
        <f t="shared" si="321"/>
        <v/>
      </c>
      <c r="H4123" t="str">
        <f t="shared" si="322"/>
        <v>—</v>
      </c>
      <c r="I4123" t="str">
        <f t="shared" si="323"/>
        <v>Below thresholds</v>
      </c>
      <c r="J4123" t="str">
        <f t="shared" si="324"/>
        <v/>
      </c>
    </row>
    <row r="4124" spans="1:10" x14ac:dyDescent="0.2">
      <c r="A4124">
        <v>227319141679</v>
      </c>
      <c r="B4124" t="s">
        <v>8777</v>
      </c>
      <c r="C4124" t="s">
        <v>8778</v>
      </c>
      <c r="D4124">
        <v>4.49</v>
      </c>
      <c r="F4124" t="str">
        <f t="shared" si="320"/>
        <v>No</v>
      </c>
      <c r="G4124" t="str">
        <f t="shared" si="321"/>
        <v/>
      </c>
      <c r="H4124" t="str">
        <f t="shared" si="322"/>
        <v>—</v>
      </c>
      <c r="I4124" t="str">
        <f t="shared" si="323"/>
        <v>Below thresholds</v>
      </c>
      <c r="J4124" t="str">
        <f t="shared" si="324"/>
        <v/>
      </c>
    </row>
    <row r="4125" spans="1:10" x14ac:dyDescent="0.2">
      <c r="A4125">
        <v>227319141711</v>
      </c>
      <c r="B4125" t="s">
        <v>8779</v>
      </c>
      <c r="C4125" t="s">
        <v>8780</v>
      </c>
      <c r="D4125">
        <v>1.25</v>
      </c>
      <c r="F4125" t="str">
        <f t="shared" si="320"/>
        <v>No</v>
      </c>
      <c r="G4125" t="str">
        <f t="shared" si="321"/>
        <v/>
      </c>
      <c r="H4125" t="str">
        <f t="shared" si="322"/>
        <v>—</v>
      </c>
      <c r="I4125" t="str">
        <f t="shared" si="323"/>
        <v>Below thresholds</v>
      </c>
      <c r="J4125" t="str">
        <f t="shared" si="324"/>
        <v/>
      </c>
    </row>
    <row r="4126" spans="1:10" x14ac:dyDescent="0.2">
      <c r="A4126">
        <v>227319141760</v>
      </c>
      <c r="B4126" t="s">
        <v>8781</v>
      </c>
      <c r="C4126" t="s">
        <v>8782</v>
      </c>
      <c r="D4126">
        <v>2.5</v>
      </c>
      <c r="F4126" t="str">
        <f t="shared" si="320"/>
        <v>No</v>
      </c>
      <c r="G4126" t="str">
        <f t="shared" si="321"/>
        <v/>
      </c>
      <c r="H4126" t="str">
        <f t="shared" si="322"/>
        <v>—</v>
      </c>
      <c r="I4126" t="str">
        <f t="shared" si="323"/>
        <v>Below thresholds</v>
      </c>
      <c r="J4126" t="str">
        <f t="shared" si="324"/>
        <v/>
      </c>
    </row>
    <row r="4127" spans="1:10" x14ac:dyDescent="0.2">
      <c r="A4127">
        <v>227319141787</v>
      </c>
      <c r="B4127" t="s">
        <v>8783</v>
      </c>
      <c r="C4127" t="s">
        <v>8784</v>
      </c>
      <c r="D4127">
        <v>1.25</v>
      </c>
      <c r="F4127" t="str">
        <f t="shared" si="320"/>
        <v>No</v>
      </c>
      <c r="G4127" t="str">
        <f t="shared" si="321"/>
        <v/>
      </c>
      <c r="H4127" t="str">
        <f t="shared" si="322"/>
        <v>—</v>
      </c>
      <c r="I4127" t="str">
        <f t="shared" si="323"/>
        <v>Below thresholds</v>
      </c>
      <c r="J4127" t="str">
        <f t="shared" si="324"/>
        <v/>
      </c>
    </row>
    <row r="4128" spans="1:10" x14ac:dyDescent="0.2">
      <c r="A4128">
        <v>227319141810</v>
      </c>
      <c r="B4128" t="s">
        <v>8785</v>
      </c>
      <c r="C4128" t="s">
        <v>8786</v>
      </c>
      <c r="D4128">
        <v>1.5</v>
      </c>
      <c r="F4128" t="str">
        <f t="shared" si="320"/>
        <v>No</v>
      </c>
      <c r="G4128" t="str">
        <f t="shared" si="321"/>
        <v/>
      </c>
      <c r="H4128" t="str">
        <f t="shared" si="322"/>
        <v>—</v>
      </c>
      <c r="I4128" t="str">
        <f t="shared" si="323"/>
        <v>Below thresholds</v>
      </c>
      <c r="J4128" t="str">
        <f t="shared" si="324"/>
        <v/>
      </c>
    </row>
    <row r="4129" spans="1:10" x14ac:dyDescent="0.2">
      <c r="A4129">
        <v>227319141825</v>
      </c>
      <c r="B4129" t="s">
        <v>8787</v>
      </c>
      <c r="C4129" t="s">
        <v>8788</v>
      </c>
      <c r="D4129">
        <v>1</v>
      </c>
      <c r="F4129" t="str">
        <f t="shared" si="320"/>
        <v>No</v>
      </c>
      <c r="G4129" t="str">
        <f t="shared" si="321"/>
        <v/>
      </c>
      <c r="H4129" t="str">
        <f t="shared" si="322"/>
        <v>—</v>
      </c>
      <c r="I4129" t="str">
        <f t="shared" si="323"/>
        <v>Below thresholds</v>
      </c>
      <c r="J4129" t="str">
        <f t="shared" si="324"/>
        <v/>
      </c>
    </row>
    <row r="4130" spans="1:10" x14ac:dyDescent="0.2">
      <c r="A4130">
        <v>227319141866</v>
      </c>
      <c r="B4130" t="s">
        <v>8789</v>
      </c>
      <c r="C4130" t="s">
        <v>8790</v>
      </c>
      <c r="D4130">
        <v>1.99</v>
      </c>
      <c r="F4130" t="str">
        <f t="shared" si="320"/>
        <v>No</v>
      </c>
      <c r="G4130" t="str">
        <f t="shared" si="321"/>
        <v/>
      </c>
      <c r="H4130" t="str">
        <f t="shared" si="322"/>
        <v>—</v>
      </c>
      <c r="I4130" t="str">
        <f t="shared" si="323"/>
        <v>Below thresholds</v>
      </c>
      <c r="J4130" t="str">
        <f t="shared" si="324"/>
        <v/>
      </c>
    </row>
    <row r="4131" spans="1:10" x14ac:dyDescent="0.2">
      <c r="A4131">
        <v>227319141868</v>
      </c>
      <c r="B4131" t="s">
        <v>8791</v>
      </c>
      <c r="C4131" t="s">
        <v>8792</v>
      </c>
      <c r="D4131">
        <v>5.99</v>
      </c>
      <c r="F4131" t="str">
        <f t="shared" si="320"/>
        <v>No</v>
      </c>
      <c r="G4131" t="str">
        <f t="shared" si="321"/>
        <v/>
      </c>
      <c r="H4131" t="str">
        <f t="shared" si="322"/>
        <v>—</v>
      </c>
      <c r="I4131" t="str">
        <f t="shared" si="323"/>
        <v>Below thresholds</v>
      </c>
      <c r="J4131" t="str">
        <f t="shared" si="324"/>
        <v/>
      </c>
    </row>
    <row r="4132" spans="1:10" x14ac:dyDescent="0.2">
      <c r="A4132">
        <v>227319141887</v>
      </c>
      <c r="B4132" t="s">
        <v>8793</v>
      </c>
      <c r="C4132" t="s">
        <v>8794</v>
      </c>
      <c r="D4132">
        <v>1</v>
      </c>
      <c r="F4132" t="str">
        <f t="shared" si="320"/>
        <v>No</v>
      </c>
      <c r="G4132" t="str">
        <f t="shared" si="321"/>
        <v/>
      </c>
      <c r="H4132" t="str">
        <f t="shared" si="322"/>
        <v>—</v>
      </c>
      <c r="I4132" t="str">
        <f t="shared" si="323"/>
        <v>Below thresholds</v>
      </c>
      <c r="J4132" t="str">
        <f t="shared" si="324"/>
        <v/>
      </c>
    </row>
    <row r="4133" spans="1:10" x14ac:dyDescent="0.2">
      <c r="A4133">
        <v>227319141904</v>
      </c>
      <c r="B4133" t="s">
        <v>8795</v>
      </c>
      <c r="C4133" t="s">
        <v>8796</v>
      </c>
      <c r="D4133">
        <v>1</v>
      </c>
      <c r="F4133" t="str">
        <f t="shared" si="320"/>
        <v>No</v>
      </c>
      <c r="G4133" t="str">
        <f t="shared" si="321"/>
        <v/>
      </c>
      <c r="H4133" t="str">
        <f t="shared" si="322"/>
        <v>—</v>
      </c>
      <c r="I4133" t="str">
        <f t="shared" si="323"/>
        <v>Below thresholds</v>
      </c>
      <c r="J4133" t="str">
        <f t="shared" si="324"/>
        <v/>
      </c>
    </row>
    <row r="4134" spans="1:10" x14ac:dyDescent="0.2">
      <c r="A4134">
        <v>227319141919</v>
      </c>
      <c r="B4134" t="s">
        <v>8797</v>
      </c>
      <c r="C4134" t="s">
        <v>8798</v>
      </c>
      <c r="D4134">
        <v>8.99</v>
      </c>
      <c r="F4134" t="str">
        <f t="shared" si="320"/>
        <v>No</v>
      </c>
      <c r="G4134" t="str">
        <f t="shared" si="321"/>
        <v/>
      </c>
      <c r="H4134" t="str">
        <f t="shared" si="322"/>
        <v>—</v>
      </c>
      <c r="I4134" t="str">
        <f t="shared" si="323"/>
        <v>Below thresholds</v>
      </c>
      <c r="J4134" t="str">
        <f t="shared" si="324"/>
        <v/>
      </c>
    </row>
    <row r="4135" spans="1:10" x14ac:dyDescent="0.2">
      <c r="A4135">
        <v>227319141925</v>
      </c>
      <c r="B4135" t="s">
        <v>8799</v>
      </c>
      <c r="C4135" t="s">
        <v>8800</v>
      </c>
      <c r="D4135">
        <v>3</v>
      </c>
      <c r="F4135" t="str">
        <f t="shared" si="320"/>
        <v>No</v>
      </c>
      <c r="G4135" t="str">
        <f t="shared" si="321"/>
        <v/>
      </c>
      <c r="H4135" t="str">
        <f t="shared" si="322"/>
        <v>—</v>
      </c>
      <c r="I4135" t="str">
        <f t="shared" si="323"/>
        <v>Below thresholds</v>
      </c>
      <c r="J4135" t="str">
        <f t="shared" si="324"/>
        <v/>
      </c>
    </row>
    <row r="4136" spans="1:10" x14ac:dyDescent="0.2">
      <c r="A4136">
        <v>227319141960</v>
      </c>
      <c r="B4136" t="s">
        <v>8801</v>
      </c>
      <c r="C4136" t="s">
        <v>8802</v>
      </c>
      <c r="D4136">
        <v>2</v>
      </c>
      <c r="F4136" t="str">
        <f t="shared" si="320"/>
        <v>No</v>
      </c>
      <c r="G4136" t="str">
        <f t="shared" si="321"/>
        <v/>
      </c>
      <c r="H4136" t="str">
        <f t="shared" si="322"/>
        <v>—</v>
      </c>
      <c r="I4136" t="str">
        <f t="shared" si="323"/>
        <v>Below thresholds</v>
      </c>
      <c r="J4136" t="str">
        <f t="shared" si="324"/>
        <v/>
      </c>
    </row>
    <row r="4137" spans="1:10" x14ac:dyDescent="0.2">
      <c r="A4137">
        <v>227319141976</v>
      </c>
      <c r="B4137" t="s">
        <v>8803</v>
      </c>
      <c r="C4137" t="s">
        <v>8804</v>
      </c>
      <c r="D4137">
        <v>1.5</v>
      </c>
      <c r="F4137" t="str">
        <f t="shared" si="320"/>
        <v>No</v>
      </c>
      <c r="G4137" t="str">
        <f t="shared" si="321"/>
        <v/>
      </c>
      <c r="H4137" t="str">
        <f t="shared" si="322"/>
        <v>—</v>
      </c>
      <c r="I4137" t="str">
        <f t="shared" si="323"/>
        <v>Below thresholds</v>
      </c>
      <c r="J4137" t="str">
        <f t="shared" si="324"/>
        <v/>
      </c>
    </row>
    <row r="4138" spans="1:10" x14ac:dyDescent="0.2">
      <c r="A4138">
        <v>227319141992</v>
      </c>
      <c r="B4138" t="s">
        <v>8805</v>
      </c>
      <c r="C4138" t="s">
        <v>8806</v>
      </c>
      <c r="D4138">
        <v>1.99</v>
      </c>
      <c r="F4138" t="str">
        <f t="shared" si="320"/>
        <v>No</v>
      </c>
      <c r="G4138" t="str">
        <f t="shared" si="321"/>
        <v/>
      </c>
      <c r="H4138" t="str">
        <f t="shared" si="322"/>
        <v>—</v>
      </c>
      <c r="I4138" t="str">
        <f t="shared" si="323"/>
        <v>Below thresholds</v>
      </c>
      <c r="J4138" t="str">
        <f t="shared" si="324"/>
        <v/>
      </c>
    </row>
    <row r="4139" spans="1:10" x14ac:dyDescent="0.2">
      <c r="A4139">
        <v>227319142021</v>
      </c>
      <c r="B4139" t="s">
        <v>8807</v>
      </c>
      <c r="C4139" t="s">
        <v>8808</v>
      </c>
      <c r="D4139">
        <v>10</v>
      </c>
      <c r="F4139" t="str">
        <f t="shared" si="320"/>
        <v>No</v>
      </c>
      <c r="G4139" t="str">
        <f t="shared" si="321"/>
        <v/>
      </c>
      <c r="H4139" t="str">
        <f t="shared" si="322"/>
        <v>—</v>
      </c>
      <c r="I4139" t="str">
        <f t="shared" si="323"/>
        <v>Below thresholds</v>
      </c>
      <c r="J4139" t="str">
        <f t="shared" si="324"/>
        <v/>
      </c>
    </row>
    <row r="4140" spans="1:10" x14ac:dyDescent="0.2">
      <c r="A4140">
        <v>227319142025</v>
      </c>
      <c r="B4140" t="s">
        <v>8809</v>
      </c>
      <c r="C4140" t="s">
        <v>8810</v>
      </c>
      <c r="D4140">
        <v>12.99</v>
      </c>
      <c r="F4140" t="str">
        <f t="shared" si="320"/>
        <v>No</v>
      </c>
      <c r="G4140" t="str">
        <f t="shared" si="321"/>
        <v/>
      </c>
      <c r="H4140" t="str">
        <f t="shared" si="322"/>
        <v>—</v>
      </c>
      <c r="I4140" t="str">
        <f t="shared" si="323"/>
        <v>Below thresholds</v>
      </c>
      <c r="J4140" t="str">
        <f t="shared" si="324"/>
        <v/>
      </c>
    </row>
    <row r="4141" spans="1:10" x14ac:dyDescent="0.2">
      <c r="A4141">
        <v>227319142077</v>
      </c>
      <c r="B4141" t="s">
        <v>8811</v>
      </c>
      <c r="C4141" t="s">
        <v>8812</v>
      </c>
      <c r="D4141">
        <v>2.59</v>
      </c>
      <c r="F4141" t="str">
        <f t="shared" si="320"/>
        <v>No</v>
      </c>
      <c r="G4141" t="str">
        <f t="shared" si="321"/>
        <v/>
      </c>
      <c r="H4141" t="str">
        <f t="shared" si="322"/>
        <v>—</v>
      </c>
      <c r="I4141" t="str">
        <f t="shared" si="323"/>
        <v>Below thresholds</v>
      </c>
      <c r="J4141" t="str">
        <f t="shared" si="324"/>
        <v/>
      </c>
    </row>
    <row r="4142" spans="1:10" x14ac:dyDescent="0.2">
      <c r="A4142">
        <v>227319142104</v>
      </c>
      <c r="B4142" t="s">
        <v>8813</v>
      </c>
      <c r="C4142" t="s">
        <v>8814</v>
      </c>
      <c r="D4142">
        <v>50</v>
      </c>
      <c r="F4142" t="str">
        <f t="shared" si="320"/>
        <v>No</v>
      </c>
      <c r="G4142" t="str">
        <f t="shared" si="321"/>
        <v/>
      </c>
      <c r="H4142" t="str">
        <f t="shared" si="322"/>
        <v>—</v>
      </c>
      <c r="I4142" t="str">
        <f t="shared" si="323"/>
        <v>$20+ — needs velocity check</v>
      </c>
      <c r="J4142" t="str">
        <f t="shared" si="324"/>
        <v>YES — pull CardHedger</v>
      </c>
    </row>
    <row r="4143" spans="1:10" x14ac:dyDescent="0.2">
      <c r="A4143">
        <v>227319142644</v>
      </c>
      <c r="B4143" t="s">
        <v>8815</v>
      </c>
      <c r="C4143" t="s">
        <v>8816</v>
      </c>
      <c r="D4143">
        <v>2.99</v>
      </c>
      <c r="F4143" t="str">
        <f t="shared" si="320"/>
        <v>No</v>
      </c>
      <c r="G4143" t="str">
        <f t="shared" si="321"/>
        <v/>
      </c>
      <c r="H4143" t="str">
        <f t="shared" si="322"/>
        <v>—</v>
      </c>
      <c r="I4143" t="str">
        <f t="shared" si="323"/>
        <v>Below thresholds</v>
      </c>
      <c r="J4143" t="str">
        <f t="shared" si="324"/>
        <v/>
      </c>
    </row>
    <row r="4144" spans="1:10" x14ac:dyDescent="0.2">
      <c r="A4144">
        <v>227319249400</v>
      </c>
      <c r="B4144" t="s">
        <v>8817</v>
      </c>
      <c r="C4144" t="s">
        <v>8818</v>
      </c>
      <c r="D4144">
        <v>1.99</v>
      </c>
      <c r="F4144" t="str">
        <f t="shared" si="320"/>
        <v>No</v>
      </c>
      <c r="G4144" t="str">
        <f t="shared" si="321"/>
        <v/>
      </c>
      <c r="H4144" t="str">
        <f t="shared" si="322"/>
        <v>—</v>
      </c>
      <c r="I4144" t="str">
        <f t="shared" si="323"/>
        <v>Below thresholds</v>
      </c>
      <c r="J4144" t="str">
        <f t="shared" si="324"/>
        <v/>
      </c>
    </row>
    <row r="4145" spans="1:10" x14ac:dyDescent="0.2">
      <c r="A4145">
        <v>227319249409</v>
      </c>
      <c r="B4145" t="s">
        <v>8819</v>
      </c>
      <c r="C4145" t="s">
        <v>8820</v>
      </c>
      <c r="D4145">
        <v>1.99</v>
      </c>
      <c r="F4145" t="str">
        <f t="shared" si="320"/>
        <v>No</v>
      </c>
      <c r="G4145" t="str">
        <f t="shared" si="321"/>
        <v/>
      </c>
      <c r="H4145" t="str">
        <f t="shared" si="322"/>
        <v>—</v>
      </c>
      <c r="I4145" t="str">
        <f t="shared" si="323"/>
        <v>Below thresholds</v>
      </c>
      <c r="J4145" t="str">
        <f t="shared" si="324"/>
        <v/>
      </c>
    </row>
    <row r="4146" spans="1:10" x14ac:dyDescent="0.2">
      <c r="A4146">
        <v>227319249454</v>
      </c>
      <c r="B4146" t="s">
        <v>8821</v>
      </c>
      <c r="C4146" t="s">
        <v>8822</v>
      </c>
      <c r="D4146">
        <v>1.99</v>
      </c>
      <c r="F4146" t="str">
        <f t="shared" si="320"/>
        <v>No</v>
      </c>
      <c r="G4146" t="str">
        <f t="shared" si="321"/>
        <v/>
      </c>
      <c r="H4146" t="str">
        <f t="shared" si="322"/>
        <v>—</v>
      </c>
      <c r="I4146" t="str">
        <f t="shared" si="323"/>
        <v>Below thresholds</v>
      </c>
      <c r="J4146" t="str">
        <f t="shared" si="324"/>
        <v/>
      </c>
    </row>
    <row r="4147" spans="1:10" x14ac:dyDescent="0.2">
      <c r="A4147">
        <v>227319249460</v>
      </c>
      <c r="B4147" t="s">
        <v>8823</v>
      </c>
      <c r="C4147" t="s">
        <v>8824</v>
      </c>
      <c r="D4147">
        <v>3.59</v>
      </c>
      <c r="F4147" t="str">
        <f t="shared" si="320"/>
        <v>No</v>
      </c>
      <c r="G4147" t="str">
        <f t="shared" si="321"/>
        <v/>
      </c>
      <c r="H4147" t="str">
        <f t="shared" si="322"/>
        <v>—</v>
      </c>
      <c r="I4147" t="str">
        <f t="shared" si="323"/>
        <v>Below thresholds</v>
      </c>
      <c r="J4147" t="str">
        <f t="shared" si="324"/>
        <v/>
      </c>
    </row>
    <row r="4148" spans="1:10" x14ac:dyDescent="0.2">
      <c r="A4148">
        <v>227319249498</v>
      </c>
      <c r="B4148" t="s">
        <v>8825</v>
      </c>
      <c r="C4148" t="s">
        <v>8826</v>
      </c>
      <c r="D4148">
        <v>1.99</v>
      </c>
      <c r="F4148" t="str">
        <f t="shared" si="320"/>
        <v>No</v>
      </c>
      <c r="G4148" t="str">
        <f t="shared" si="321"/>
        <v/>
      </c>
      <c r="H4148" t="str">
        <f t="shared" si="322"/>
        <v>—</v>
      </c>
      <c r="I4148" t="str">
        <f t="shared" si="323"/>
        <v>Below thresholds</v>
      </c>
      <c r="J4148" t="str">
        <f t="shared" si="324"/>
        <v/>
      </c>
    </row>
    <row r="4149" spans="1:10" x14ac:dyDescent="0.2">
      <c r="A4149">
        <v>227319249508</v>
      </c>
      <c r="B4149" t="s">
        <v>8827</v>
      </c>
      <c r="C4149" t="s">
        <v>8828</v>
      </c>
      <c r="D4149">
        <v>15.99</v>
      </c>
      <c r="F4149" t="str">
        <f t="shared" si="320"/>
        <v>No</v>
      </c>
      <c r="G4149" t="str">
        <f t="shared" si="321"/>
        <v/>
      </c>
      <c r="H4149" t="str">
        <f t="shared" si="322"/>
        <v>—</v>
      </c>
      <c r="I4149" t="str">
        <f t="shared" si="323"/>
        <v>Below thresholds</v>
      </c>
      <c r="J4149" t="str">
        <f t="shared" si="324"/>
        <v/>
      </c>
    </row>
    <row r="4150" spans="1:10" x14ac:dyDescent="0.2">
      <c r="A4150">
        <v>227319249519</v>
      </c>
      <c r="B4150" t="s">
        <v>8829</v>
      </c>
      <c r="C4150" t="s">
        <v>8830</v>
      </c>
      <c r="D4150">
        <v>2.09</v>
      </c>
      <c r="F4150" t="str">
        <f t="shared" si="320"/>
        <v>No</v>
      </c>
      <c r="G4150" t="str">
        <f t="shared" si="321"/>
        <v/>
      </c>
      <c r="H4150" t="str">
        <f t="shared" si="322"/>
        <v>—</v>
      </c>
      <c r="I4150" t="str">
        <f t="shared" si="323"/>
        <v>Below thresholds</v>
      </c>
      <c r="J4150" t="str">
        <f t="shared" si="324"/>
        <v/>
      </c>
    </row>
    <row r="4151" spans="1:10" x14ac:dyDescent="0.2">
      <c r="A4151">
        <v>227319249525</v>
      </c>
      <c r="B4151" t="s">
        <v>8831</v>
      </c>
      <c r="C4151" t="s">
        <v>8832</v>
      </c>
      <c r="D4151">
        <v>1.99</v>
      </c>
      <c r="F4151" t="str">
        <f t="shared" si="320"/>
        <v>No</v>
      </c>
      <c r="G4151" t="str">
        <f t="shared" si="321"/>
        <v/>
      </c>
      <c r="H4151" t="str">
        <f t="shared" si="322"/>
        <v>—</v>
      </c>
      <c r="I4151" t="str">
        <f t="shared" si="323"/>
        <v>Below thresholds</v>
      </c>
      <c r="J4151" t="str">
        <f t="shared" si="324"/>
        <v/>
      </c>
    </row>
    <row r="4152" spans="1:10" x14ac:dyDescent="0.2">
      <c r="A4152">
        <v>227319249542</v>
      </c>
      <c r="B4152" t="s">
        <v>8833</v>
      </c>
      <c r="C4152" t="s">
        <v>8834</v>
      </c>
      <c r="D4152">
        <v>2.69</v>
      </c>
      <c r="F4152" t="str">
        <f t="shared" si="320"/>
        <v>No</v>
      </c>
      <c r="G4152" t="str">
        <f t="shared" si="321"/>
        <v/>
      </c>
      <c r="H4152" t="str">
        <f t="shared" si="322"/>
        <v>—</v>
      </c>
      <c r="I4152" t="str">
        <f t="shared" si="323"/>
        <v>Below thresholds</v>
      </c>
      <c r="J4152" t="str">
        <f t="shared" si="324"/>
        <v/>
      </c>
    </row>
    <row r="4153" spans="1:10" x14ac:dyDescent="0.2">
      <c r="A4153">
        <v>227319249593</v>
      </c>
      <c r="B4153" t="s">
        <v>8835</v>
      </c>
      <c r="C4153" t="s">
        <v>8836</v>
      </c>
      <c r="D4153">
        <v>2.59</v>
      </c>
      <c r="F4153" t="str">
        <f t="shared" si="320"/>
        <v>No</v>
      </c>
      <c r="G4153" t="str">
        <f t="shared" si="321"/>
        <v/>
      </c>
      <c r="H4153" t="str">
        <f t="shared" si="322"/>
        <v>—</v>
      </c>
      <c r="I4153" t="str">
        <f t="shared" si="323"/>
        <v>Below thresholds</v>
      </c>
      <c r="J4153" t="str">
        <f t="shared" si="324"/>
        <v/>
      </c>
    </row>
    <row r="4154" spans="1:10" x14ac:dyDescent="0.2">
      <c r="A4154">
        <v>227319249605</v>
      </c>
      <c r="B4154" t="s">
        <v>8837</v>
      </c>
      <c r="C4154" t="s">
        <v>8838</v>
      </c>
      <c r="D4154">
        <v>2.99</v>
      </c>
      <c r="F4154" t="str">
        <f t="shared" si="320"/>
        <v>No</v>
      </c>
      <c r="G4154" t="str">
        <f t="shared" si="321"/>
        <v/>
      </c>
      <c r="H4154" t="str">
        <f t="shared" si="322"/>
        <v>—</v>
      </c>
      <c r="I4154" t="str">
        <f t="shared" si="323"/>
        <v>Below thresholds</v>
      </c>
      <c r="J4154" t="str">
        <f t="shared" si="324"/>
        <v/>
      </c>
    </row>
    <row r="4155" spans="1:10" x14ac:dyDescent="0.2">
      <c r="A4155">
        <v>227319249608</v>
      </c>
      <c r="B4155" t="s">
        <v>8839</v>
      </c>
      <c r="C4155" t="s">
        <v>8840</v>
      </c>
      <c r="D4155">
        <v>3.19</v>
      </c>
      <c r="F4155" t="str">
        <f t="shared" si="320"/>
        <v>No</v>
      </c>
      <c r="G4155" t="str">
        <f t="shared" si="321"/>
        <v/>
      </c>
      <c r="H4155" t="str">
        <f t="shared" si="322"/>
        <v>—</v>
      </c>
      <c r="I4155" t="str">
        <f t="shared" si="323"/>
        <v>Below thresholds</v>
      </c>
      <c r="J4155" t="str">
        <f t="shared" si="324"/>
        <v/>
      </c>
    </row>
    <row r="4156" spans="1:10" x14ac:dyDescent="0.2">
      <c r="A4156">
        <v>227319249641</v>
      </c>
      <c r="B4156" t="s">
        <v>8841</v>
      </c>
      <c r="C4156" t="s">
        <v>8842</v>
      </c>
      <c r="D4156">
        <v>1.99</v>
      </c>
      <c r="F4156" t="str">
        <f t="shared" si="320"/>
        <v>No</v>
      </c>
      <c r="G4156" t="str">
        <f t="shared" si="321"/>
        <v/>
      </c>
      <c r="H4156" t="str">
        <f t="shared" si="322"/>
        <v>—</v>
      </c>
      <c r="I4156" t="str">
        <f t="shared" si="323"/>
        <v>Below thresholds</v>
      </c>
      <c r="J4156" t="str">
        <f t="shared" si="324"/>
        <v/>
      </c>
    </row>
    <row r="4157" spans="1:10" x14ac:dyDescent="0.2">
      <c r="A4157">
        <v>227319249674</v>
      </c>
      <c r="B4157" t="s">
        <v>8843</v>
      </c>
      <c r="C4157" t="s">
        <v>8844</v>
      </c>
      <c r="D4157">
        <v>2.25</v>
      </c>
      <c r="F4157" t="str">
        <f t="shared" si="320"/>
        <v>No</v>
      </c>
      <c r="G4157" t="str">
        <f t="shared" si="321"/>
        <v/>
      </c>
      <c r="H4157" t="str">
        <f t="shared" si="322"/>
        <v>—</v>
      </c>
      <c r="I4157" t="str">
        <f t="shared" si="323"/>
        <v>Below thresholds</v>
      </c>
      <c r="J4157" t="str">
        <f t="shared" si="324"/>
        <v/>
      </c>
    </row>
    <row r="4158" spans="1:10" x14ac:dyDescent="0.2">
      <c r="A4158">
        <v>227319249721</v>
      </c>
      <c r="B4158" t="s">
        <v>7862</v>
      </c>
      <c r="C4158" t="s">
        <v>8845</v>
      </c>
      <c r="D4158">
        <v>1.99</v>
      </c>
      <c r="F4158" t="str">
        <f t="shared" si="320"/>
        <v>No</v>
      </c>
      <c r="G4158" t="str">
        <f t="shared" si="321"/>
        <v/>
      </c>
      <c r="H4158" t="str">
        <f t="shared" si="322"/>
        <v>—</v>
      </c>
      <c r="I4158" t="str">
        <f t="shared" si="323"/>
        <v>Below thresholds</v>
      </c>
      <c r="J4158" t="str">
        <f t="shared" si="324"/>
        <v/>
      </c>
    </row>
    <row r="4159" spans="1:10" x14ac:dyDescent="0.2">
      <c r="A4159">
        <v>227319249739</v>
      </c>
      <c r="B4159" t="s">
        <v>8846</v>
      </c>
      <c r="C4159" t="s">
        <v>8847</v>
      </c>
      <c r="D4159">
        <v>1.99</v>
      </c>
      <c r="F4159" t="str">
        <f t="shared" si="320"/>
        <v>No</v>
      </c>
      <c r="G4159" t="str">
        <f t="shared" si="321"/>
        <v/>
      </c>
      <c r="H4159" t="str">
        <f t="shared" si="322"/>
        <v>—</v>
      </c>
      <c r="I4159" t="str">
        <f t="shared" si="323"/>
        <v>Below thresholds</v>
      </c>
      <c r="J4159" t="str">
        <f t="shared" si="324"/>
        <v/>
      </c>
    </row>
    <row r="4160" spans="1:10" x14ac:dyDescent="0.2">
      <c r="A4160">
        <v>227319249741</v>
      </c>
      <c r="B4160" t="s">
        <v>8848</v>
      </c>
      <c r="C4160" t="s">
        <v>8849</v>
      </c>
      <c r="D4160">
        <v>1.99</v>
      </c>
      <c r="F4160" t="str">
        <f t="shared" si="320"/>
        <v>No</v>
      </c>
      <c r="G4160" t="str">
        <f t="shared" si="321"/>
        <v/>
      </c>
      <c r="H4160" t="str">
        <f t="shared" si="322"/>
        <v>—</v>
      </c>
      <c r="I4160" t="str">
        <f t="shared" si="323"/>
        <v>Below thresholds</v>
      </c>
      <c r="J4160" t="str">
        <f t="shared" si="324"/>
        <v/>
      </c>
    </row>
    <row r="4161" spans="1:10" x14ac:dyDescent="0.2">
      <c r="A4161">
        <v>227319249789</v>
      </c>
      <c r="B4161" t="s">
        <v>8850</v>
      </c>
      <c r="C4161" t="s">
        <v>8851</v>
      </c>
      <c r="D4161">
        <v>1.99</v>
      </c>
      <c r="F4161" t="str">
        <f t="shared" si="320"/>
        <v>No</v>
      </c>
      <c r="G4161" t="str">
        <f t="shared" si="321"/>
        <v/>
      </c>
      <c r="H4161" t="str">
        <f t="shared" si="322"/>
        <v>—</v>
      </c>
      <c r="I4161" t="str">
        <f t="shared" si="323"/>
        <v>Below thresholds</v>
      </c>
      <c r="J4161" t="str">
        <f t="shared" si="324"/>
        <v/>
      </c>
    </row>
    <row r="4162" spans="1:10" x14ac:dyDescent="0.2">
      <c r="A4162">
        <v>227319249792</v>
      </c>
      <c r="B4162" t="s">
        <v>8852</v>
      </c>
      <c r="C4162" t="s">
        <v>8853</v>
      </c>
      <c r="D4162">
        <v>2.99</v>
      </c>
      <c r="F4162" t="str">
        <f t="shared" si="320"/>
        <v>No</v>
      </c>
      <c r="G4162" t="str">
        <f t="shared" si="321"/>
        <v/>
      </c>
      <c r="H4162" t="str">
        <f t="shared" si="322"/>
        <v>—</v>
      </c>
      <c r="I4162" t="str">
        <f t="shared" si="323"/>
        <v>Below thresholds</v>
      </c>
      <c r="J4162" t="str">
        <f t="shared" si="324"/>
        <v/>
      </c>
    </row>
    <row r="4163" spans="1:10" x14ac:dyDescent="0.2">
      <c r="A4163">
        <v>227319249802</v>
      </c>
      <c r="B4163" t="s">
        <v>8854</v>
      </c>
      <c r="C4163" t="s">
        <v>8855</v>
      </c>
      <c r="D4163">
        <v>9.89</v>
      </c>
      <c r="F4163" t="str">
        <f t="shared" si="320"/>
        <v>No</v>
      </c>
      <c r="G4163" t="str">
        <f t="shared" si="321"/>
        <v/>
      </c>
      <c r="H4163" t="str">
        <f t="shared" si="322"/>
        <v>—</v>
      </c>
      <c r="I4163" t="str">
        <f t="shared" si="323"/>
        <v>Below thresholds</v>
      </c>
      <c r="J4163" t="str">
        <f t="shared" si="324"/>
        <v/>
      </c>
    </row>
    <row r="4164" spans="1:10" x14ac:dyDescent="0.2">
      <c r="A4164">
        <v>227319249827</v>
      </c>
      <c r="B4164" t="s">
        <v>8856</v>
      </c>
      <c r="C4164" t="s">
        <v>8857</v>
      </c>
      <c r="D4164">
        <v>1.99</v>
      </c>
      <c r="F4164" t="str">
        <f t="shared" si="320"/>
        <v>No</v>
      </c>
      <c r="G4164" t="str">
        <f t="shared" si="321"/>
        <v/>
      </c>
      <c r="H4164" t="str">
        <f t="shared" si="322"/>
        <v>—</v>
      </c>
      <c r="I4164" t="str">
        <f t="shared" si="323"/>
        <v>Below thresholds</v>
      </c>
      <c r="J4164" t="str">
        <f t="shared" si="324"/>
        <v/>
      </c>
    </row>
    <row r="4165" spans="1:10" x14ac:dyDescent="0.2">
      <c r="A4165">
        <v>227319249853</v>
      </c>
      <c r="B4165" t="s">
        <v>8858</v>
      </c>
      <c r="C4165" t="s">
        <v>8859</v>
      </c>
      <c r="D4165">
        <v>1.99</v>
      </c>
      <c r="F4165" t="str">
        <f t="shared" ref="F4165:F4228" si="325">IF($B4165="","",IF(ISNUMBER(SEARCH("PSA",$B4165)),"Yes","No"))</f>
        <v>No</v>
      </c>
      <c r="G4165" t="str">
        <f t="shared" ref="G4165:G4228" si="326">IF($B4165="","",IF(ISNUMBER(SEARCH("PSA 10",$B4165)),10,IF(ISNUMBER(SEARCH("PSA 9.5",$B4165)),9.5,IF(ISNUMBER(SEARCH("PSA 9",$B4165)),9,IF(ISNUMBER(SEARCH("PSA 8",$B4165)),8,IF(ISNUMBER(SEARCH("PSA",$B4165)),"&lt;9",""))))))</f>
        <v/>
      </c>
      <c r="H4165" t="str">
        <f t="shared" ref="H4165:H4228" si="327">IF($B4165="","",IF($D4165&gt;=100,"TIER 2",IF(OR(ISNUMBER(SEARCH("PSA 10",$B4165)),ISNUMBER(SEARCH("PSA 9.5",$B4165)),ISNUMBER(SEARCH("PSA 9",$B4165))),"TIER 3",IF(AND($D4165&gt;20,N($E4165)&gt;=15),"TIER 1","—"))))</f>
        <v>—</v>
      </c>
      <c r="I4165" t="str">
        <f t="shared" ref="I4165:I4228" si="328">IF($B4165="","",IF($D4165&gt;=100,"Premium $100+ (auto)",IF(OR(ISNUMBER(SEARCH("PSA 10",$B4165)),ISNUMBER(SEARCH("PSA 9.5",$B4165)),ISNUMBER(SEARCH("PSA 9",$B4165))),"Graded PSA 9+ (auto)",IF(AND($D4165&gt;20,N($E4165)&gt;=15),"Hot: $20+ &amp; "&amp;$E4165&amp;"/day",IF($D4165&gt;20,"$20+ — needs velocity check","Below thresholds")))))</f>
        <v>Below thresholds</v>
      </c>
      <c r="J4165" t="str">
        <f t="shared" ref="J4165:J4228" si="329">IF($B4165="","",IF(AND($D4165&gt;20,$D4165&lt;100,NOT(OR(ISNUMBER(SEARCH("PSA 10",$B4165)),ISNUMBER(SEARCH("PSA 9.5",$B4165)),ISNUMBER(SEARCH("PSA 9",$B4165)))),$E4165=""),"YES — pull CardHedger",""))</f>
        <v/>
      </c>
    </row>
    <row r="4166" spans="1:10" x14ac:dyDescent="0.2">
      <c r="A4166">
        <v>227319249868</v>
      </c>
      <c r="B4166" t="s">
        <v>8860</v>
      </c>
      <c r="C4166" t="s">
        <v>8861</v>
      </c>
      <c r="D4166">
        <v>2.19</v>
      </c>
      <c r="F4166" t="str">
        <f t="shared" si="325"/>
        <v>No</v>
      </c>
      <c r="G4166" t="str">
        <f t="shared" si="326"/>
        <v/>
      </c>
      <c r="H4166" t="str">
        <f t="shared" si="327"/>
        <v>—</v>
      </c>
      <c r="I4166" t="str">
        <f t="shared" si="328"/>
        <v>Below thresholds</v>
      </c>
      <c r="J4166" t="str">
        <f t="shared" si="329"/>
        <v/>
      </c>
    </row>
    <row r="4167" spans="1:10" x14ac:dyDescent="0.2">
      <c r="A4167">
        <v>227319249879</v>
      </c>
      <c r="B4167" t="s">
        <v>8862</v>
      </c>
      <c r="C4167" t="s">
        <v>8863</v>
      </c>
      <c r="D4167">
        <v>4.79</v>
      </c>
      <c r="F4167" t="str">
        <f t="shared" si="325"/>
        <v>No</v>
      </c>
      <c r="G4167" t="str">
        <f t="shared" si="326"/>
        <v/>
      </c>
      <c r="H4167" t="str">
        <f t="shared" si="327"/>
        <v>—</v>
      </c>
      <c r="I4167" t="str">
        <f t="shared" si="328"/>
        <v>Below thresholds</v>
      </c>
      <c r="J4167" t="str">
        <f t="shared" si="329"/>
        <v/>
      </c>
    </row>
    <row r="4168" spans="1:10" x14ac:dyDescent="0.2">
      <c r="A4168">
        <v>227319249912</v>
      </c>
      <c r="B4168" t="s">
        <v>8817</v>
      </c>
      <c r="C4168" t="s">
        <v>8864</v>
      </c>
      <c r="D4168">
        <v>1.99</v>
      </c>
      <c r="F4168" t="str">
        <f t="shared" si="325"/>
        <v>No</v>
      </c>
      <c r="G4168" t="str">
        <f t="shared" si="326"/>
        <v/>
      </c>
      <c r="H4168" t="str">
        <f t="shared" si="327"/>
        <v>—</v>
      </c>
      <c r="I4168" t="str">
        <f t="shared" si="328"/>
        <v>Below thresholds</v>
      </c>
      <c r="J4168" t="str">
        <f t="shared" si="329"/>
        <v/>
      </c>
    </row>
    <row r="4169" spans="1:10" x14ac:dyDescent="0.2">
      <c r="A4169">
        <v>227319249923</v>
      </c>
      <c r="B4169" t="s">
        <v>8865</v>
      </c>
      <c r="C4169" t="s">
        <v>8866</v>
      </c>
      <c r="D4169">
        <v>1.99</v>
      </c>
      <c r="F4169" t="str">
        <f t="shared" si="325"/>
        <v>No</v>
      </c>
      <c r="G4169" t="str">
        <f t="shared" si="326"/>
        <v/>
      </c>
      <c r="H4169" t="str">
        <f t="shared" si="327"/>
        <v>—</v>
      </c>
      <c r="I4169" t="str">
        <f t="shared" si="328"/>
        <v>Below thresholds</v>
      </c>
      <c r="J4169" t="str">
        <f t="shared" si="329"/>
        <v/>
      </c>
    </row>
    <row r="4170" spans="1:10" x14ac:dyDescent="0.2">
      <c r="A4170">
        <v>227319249936</v>
      </c>
      <c r="B4170" t="s">
        <v>7210</v>
      </c>
      <c r="C4170" t="s">
        <v>8867</v>
      </c>
      <c r="D4170">
        <v>3.09</v>
      </c>
      <c r="F4170" t="str">
        <f t="shared" si="325"/>
        <v>No</v>
      </c>
      <c r="G4170" t="str">
        <f t="shared" si="326"/>
        <v/>
      </c>
      <c r="H4170" t="str">
        <f t="shared" si="327"/>
        <v>—</v>
      </c>
      <c r="I4170" t="str">
        <f t="shared" si="328"/>
        <v>Below thresholds</v>
      </c>
      <c r="J4170" t="str">
        <f t="shared" si="329"/>
        <v/>
      </c>
    </row>
    <row r="4171" spans="1:10" x14ac:dyDescent="0.2">
      <c r="A4171">
        <v>227319249938</v>
      </c>
      <c r="B4171" t="s">
        <v>8868</v>
      </c>
      <c r="C4171" t="s">
        <v>8869</v>
      </c>
      <c r="D4171">
        <v>2.99</v>
      </c>
      <c r="F4171" t="str">
        <f t="shared" si="325"/>
        <v>No</v>
      </c>
      <c r="G4171" t="str">
        <f t="shared" si="326"/>
        <v/>
      </c>
      <c r="H4171" t="str">
        <f t="shared" si="327"/>
        <v>—</v>
      </c>
      <c r="I4171" t="str">
        <f t="shared" si="328"/>
        <v>Below thresholds</v>
      </c>
      <c r="J4171" t="str">
        <f t="shared" si="329"/>
        <v/>
      </c>
    </row>
    <row r="4172" spans="1:10" x14ac:dyDescent="0.2">
      <c r="A4172">
        <v>227319249970</v>
      </c>
      <c r="B4172" t="s">
        <v>8870</v>
      </c>
      <c r="C4172" t="s">
        <v>8871</v>
      </c>
      <c r="D4172">
        <v>1.99</v>
      </c>
      <c r="F4172" t="str">
        <f t="shared" si="325"/>
        <v>No</v>
      </c>
      <c r="G4172" t="str">
        <f t="shared" si="326"/>
        <v/>
      </c>
      <c r="H4172" t="str">
        <f t="shared" si="327"/>
        <v>—</v>
      </c>
      <c r="I4172" t="str">
        <f t="shared" si="328"/>
        <v>Below thresholds</v>
      </c>
      <c r="J4172" t="str">
        <f t="shared" si="329"/>
        <v/>
      </c>
    </row>
    <row r="4173" spans="1:10" x14ac:dyDescent="0.2">
      <c r="A4173">
        <v>227319249977</v>
      </c>
      <c r="B4173" t="s">
        <v>8872</v>
      </c>
      <c r="C4173" t="s">
        <v>8873</v>
      </c>
      <c r="D4173">
        <v>1.99</v>
      </c>
      <c r="F4173" t="str">
        <f t="shared" si="325"/>
        <v>No</v>
      </c>
      <c r="G4173" t="str">
        <f t="shared" si="326"/>
        <v/>
      </c>
      <c r="H4173" t="str">
        <f t="shared" si="327"/>
        <v>—</v>
      </c>
      <c r="I4173" t="str">
        <f t="shared" si="328"/>
        <v>Below thresholds</v>
      </c>
      <c r="J4173" t="str">
        <f t="shared" si="329"/>
        <v/>
      </c>
    </row>
    <row r="4174" spans="1:10" x14ac:dyDescent="0.2">
      <c r="A4174">
        <v>227319249996</v>
      </c>
      <c r="B4174" t="s">
        <v>8874</v>
      </c>
      <c r="C4174" t="s">
        <v>8875</v>
      </c>
      <c r="D4174">
        <v>1.99</v>
      </c>
      <c r="F4174" t="str">
        <f t="shared" si="325"/>
        <v>No</v>
      </c>
      <c r="G4174" t="str">
        <f t="shared" si="326"/>
        <v/>
      </c>
      <c r="H4174" t="str">
        <f t="shared" si="327"/>
        <v>—</v>
      </c>
      <c r="I4174" t="str">
        <f t="shared" si="328"/>
        <v>Below thresholds</v>
      </c>
      <c r="J4174" t="str">
        <f t="shared" si="329"/>
        <v/>
      </c>
    </row>
    <row r="4175" spans="1:10" x14ac:dyDescent="0.2">
      <c r="A4175">
        <v>227319250001</v>
      </c>
      <c r="B4175" t="s">
        <v>8876</v>
      </c>
      <c r="C4175" t="s">
        <v>8877</v>
      </c>
      <c r="D4175">
        <v>1.99</v>
      </c>
      <c r="F4175" t="str">
        <f t="shared" si="325"/>
        <v>No</v>
      </c>
      <c r="G4175" t="str">
        <f t="shared" si="326"/>
        <v/>
      </c>
      <c r="H4175" t="str">
        <f t="shared" si="327"/>
        <v>—</v>
      </c>
      <c r="I4175" t="str">
        <f t="shared" si="328"/>
        <v>Below thresholds</v>
      </c>
      <c r="J4175" t="str">
        <f t="shared" si="329"/>
        <v/>
      </c>
    </row>
    <row r="4176" spans="1:10" x14ac:dyDescent="0.2">
      <c r="A4176">
        <v>227319250025</v>
      </c>
      <c r="B4176" t="s">
        <v>8878</v>
      </c>
      <c r="C4176" t="s">
        <v>8879</v>
      </c>
      <c r="D4176">
        <v>1.99</v>
      </c>
      <c r="F4176" t="str">
        <f t="shared" si="325"/>
        <v>No</v>
      </c>
      <c r="G4176" t="str">
        <f t="shared" si="326"/>
        <v/>
      </c>
      <c r="H4176" t="str">
        <f t="shared" si="327"/>
        <v>—</v>
      </c>
      <c r="I4176" t="str">
        <f t="shared" si="328"/>
        <v>Below thresholds</v>
      </c>
      <c r="J4176" t="str">
        <f t="shared" si="329"/>
        <v/>
      </c>
    </row>
    <row r="4177" spans="1:10" x14ac:dyDescent="0.2">
      <c r="A4177">
        <v>227319291347</v>
      </c>
      <c r="B4177" t="s">
        <v>8880</v>
      </c>
      <c r="D4177">
        <v>36</v>
      </c>
      <c r="F4177" t="str">
        <f t="shared" si="325"/>
        <v>No</v>
      </c>
      <c r="G4177" t="str">
        <f t="shared" si="326"/>
        <v/>
      </c>
      <c r="H4177" t="str">
        <f t="shared" si="327"/>
        <v>—</v>
      </c>
      <c r="I4177" t="str">
        <f t="shared" si="328"/>
        <v>$20+ — needs velocity check</v>
      </c>
      <c r="J4177" t="str">
        <f t="shared" si="329"/>
        <v>YES — pull CardHedger</v>
      </c>
    </row>
    <row r="4178" spans="1:10" x14ac:dyDescent="0.2">
      <c r="A4178">
        <v>227319343555</v>
      </c>
      <c r="B4178" t="s">
        <v>8881</v>
      </c>
      <c r="C4178" t="s">
        <v>8882</v>
      </c>
      <c r="D4178">
        <v>30</v>
      </c>
      <c r="F4178" t="str">
        <f t="shared" si="325"/>
        <v>No</v>
      </c>
      <c r="G4178" t="str">
        <f t="shared" si="326"/>
        <v/>
      </c>
      <c r="H4178" t="str">
        <f t="shared" si="327"/>
        <v>—</v>
      </c>
      <c r="I4178" t="str">
        <f t="shared" si="328"/>
        <v>$20+ — needs velocity check</v>
      </c>
      <c r="J4178" t="str">
        <f t="shared" si="329"/>
        <v>YES — pull CardHedger</v>
      </c>
    </row>
    <row r="4179" spans="1:10" x14ac:dyDescent="0.2">
      <c r="A4179">
        <v>227321059154</v>
      </c>
      <c r="B4179" t="s">
        <v>8883</v>
      </c>
      <c r="C4179" t="s">
        <v>8884</v>
      </c>
      <c r="D4179">
        <v>6.35</v>
      </c>
      <c r="F4179" t="str">
        <f t="shared" si="325"/>
        <v>No</v>
      </c>
      <c r="G4179" t="str">
        <f t="shared" si="326"/>
        <v/>
      </c>
      <c r="H4179" t="str">
        <f t="shared" si="327"/>
        <v>—</v>
      </c>
      <c r="I4179" t="str">
        <f t="shared" si="328"/>
        <v>Below thresholds</v>
      </c>
      <c r="J4179" t="str">
        <f t="shared" si="329"/>
        <v/>
      </c>
    </row>
    <row r="4180" spans="1:10" x14ac:dyDescent="0.2">
      <c r="A4180">
        <v>227321059169</v>
      </c>
      <c r="B4180" t="s">
        <v>8885</v>
      </c>
      <c r="C4180" t="s">
        <v>8886</v>
      </c>
      <c r="D4180">
        <v>4.99</v>
      </c>
      <c r="F4180" t="str">
        <f t="shared" si="325"/>
        <v>No</v>
      </c>
      <c r="G4180" t="str">
        <f t="shared" si="326"/>
        <v/>
      </c>
      <c r="H4180" t="str">
        <f t="shared" si="327"/>
        <v>—</v>
      </c>
      <c r="I4180" t="str">
        <f t="shared" si="328"/>
        <v>Below thresholds</v>
      </c>
      <c r="J4180" t="str">
        <f t="shared" si="329"/>
        <v/>
      </c>
    </row>
    <row r="4181" spans="1:10" x14ac:dyDescent="0.2">
      <c r="A4181">
        <v>227321059283</v>
      </c>
      <c r="B4181" t="s">
        <v>8887</v>
      </c>
      <c r="C4181" t="s">
        <v>8888</v>
      </c>
      <c r="D4181">
        <v>1.5</v>
      </c>
      <c r="F4181" t="str">
        <f t="shared" si="325"/>
        <v>No</v>
      </c>
      <c r="G4181" t="str">
        <f t="shared" si="326"/>
        <v/>
      </c>
      <c r="H4181" t="str">
        <f t="shared" si="327"/>
        <v>—</v>
      </c>
      <c r="I4181" t="str">
        <f t="shared" si="328"/>
        <v>Below thresholds</v>
      </c>
      <c r="J4181" t="str">
        <f t="shared" si="329"/>
        <v/>
      </c>
    </row>
    <row r="4182" spans="1:10" x14ac:dyDescent="0.2">
      <c r="A4182">
        <v>227321059384</v>
      </c>
      <c r="B4182" t="s">
        <v>8889</v>
      </c>
      <c r="C4182" t="s">
        <v>8890</v>
      </c>
      <c r="D4182">
        <v>3.99</v>
      </c>
      <c r="F4182" t="str">
        <f t="shared" si="325"/>
        <v>No</v>
      </c>
      <c r="G4182" t="str">
        <f t="shared" si="326"/>
        <v/>
      </c>
      <c r="H4182" t="str">
        <f t="shared" si="327"/>
        <v>—</v>
      </c>
      <c r="I4182" t="str">
        <f t="shared" si="328"/>
        <v>Below thresholds</v>
      </c>
      <c r="J4182" t="str">
        <f t="shared" si="329"/>
        <v/>
      </c>
    </row>
    <row r="4183" spans="1:10" x14ac:dyDescent="0.2">
      <c r="A4183">
        <v>227321059473</v>
      </c>
      <c r="B4183" t="s">
        <v>8891</v>
      </c>
      <c r="C4183" t="s">
        <v>8892</v>
      </c>
      <c r="D4183">
        <v>1</v>
      </c>
      <c r="F4183" t="str">
        <f t="shared" si="325"/>
        <v>No</v>
      </c>
      <c r="G4183" t="str">
        <f t="shared" si="326"/>
        <v/>
      </c>
      <c r="H4183" t="str">
        <f t="shared" si="327"/>
        <v>—</v>
      </c>
      <c r="I4183" t="str">
        <f t="shared" si="328"/>
        <v>Below thresholds</v>
      </c>
      <c r="J4183" t="str">
        <f t="shared" si="329"/>
        <v/>
      </c>
    </row>
    <row r="4184" spans="1:10" x14ac:dyDescent="0.2">
      <c r="A4184">
        <v>227321059575</v>
      </c>
      <c r="B4184" t="s">
        <v>8893</v>
      </c>
      <c r="C4184" t="s">
        <v>8894</v>
      </c>
      <c r="D4184">
        <v>4.95</v>
      </c>
      <c r="F4184" t="str">
        <f t="shared" si="325"/>
        <v>No</v>
      </c>
      <c r="G4184" t="str">
        <f t="shared" si="326"/>
        <v/>
      </c>
      <c r="H4184" t="str">
        <f t="shared" si="327"/>
        <v>—</v>
      </c>
      <c r="I4184" t="str">
        <f t="shared" si="328"/>
        <v>Below thresholds</v>
      </c>
      <c r="J4184" t="str">
        <f t="shared" si="329"/>
        <v/>
      </c>
    </row>
    <row r="4185" spans="1:10" x14ac:dyDescent="0.2">
      <c r="A4185">
        <v>227321059606</v>
      </c>
      <c r="B4185" t="s">
        <v>8895</v>
      </c>
      <c r="C4185" t="s">
        <v>8896</v>
      </c>
      <c r="D4185">
        <v>1.99</v>
      </c>
      <c r="F4185" t="str">
        <f t="shared" si="325"/>
        <v>No</v>
      </c>
      <c r="G4185" t="str">
        <f t="shared" si="326"/>
        <v/>
      </c>
      <c r="H4185" t="str">
        <f t="shared" si="327"/>
        <v>—</v>
      </c>
      <c r="I4185" t="str">
        <f t="shared" si="328"/>
        <v>Below thresholds</v>
      </c>
      <c r="J4185" t="str">
        <f t="shared" si="329"/>
        <v/>
      </c>
    </row>
    <row r="4186" spans="1:10" x14ac:dyDescent="0.2">
      <c r="A4186">
        <v>227321059662</v>
      </c>
      <c r="B4186" t="s">
        <v>8897</v>
      </c>
      <c r="C4186" t="s">
        <v>8898</v>
      </c>
      <c r="D4186">
        <v>1.25</v>
      </c>
      <c r="F4186" t="str">
        <f t="shared" si="325"/>
        <v>No</v>
      </c>
      <c r="G4186" t="str">
        <f t="shared" si="326"/>
        <v/>
      </c>
      <c r="H4186" t="str">
        <f t="shared" si="327"/>
        <v>—</v>
      </c>
      <c r="I4186" t="str">
        <f t="shared" si="328"/>
        <v>Below thresholds</v>
      </c>
      <c r="J4186" t="str">
        <f t="shared" si="329"/>
        <v/>
      </c>
    </row>
    <row r="4187" spans="1:10" x14ac:dyDescent="0.2">
      <c r="A4187">
        <v>227321059667</v>
      </c>
      <c r="B4187" t="s">
        <v>8899</v>
      </c>
      <c r="C4187" t="s">
        <v>8900</v>
      </c>
      <c r="D4187">
        <v>2</v>
      </c>
      <c r="F4187" t="str">
        <f t="shared" si="325"/>
        <v>No</v>
      </c>
      <c r="G4187" t="str">
        <f t="shared" si="326"/>
        <v/>
      </c>
      <c r="H4187" t="str">
        <f t="shared" si="327"/>
        <v>—</v>
      </c>
      <c r="I4187" t="str">
        <f t="shared" si="328"/>
        <v>Below thresholds</v>
      </c>
      <c r="J4187" t="str">
        <f t="shared" si="329"/>
        <v/>
      </c>
    </row>
    <row r="4188" spans="1:10" x14ac:dyDescent="0.2">
      <c r="A4188">
        <v>227321059725</v>
      </c>
      <c r="B4188" t="s">
        <v>8901</v>
      </c>
      <c r="C4188" t="s">
        <v>8902</v>
      </c>
      <c r="D4188">
        <v>3</v>
      </c>
      <c r="F4188" t="str">
        <f t="shared" si="325"/>
        <v>No</v>
      </c>
      <c r="G4188" t="str">
        <f t="shared" si="326"/>
        <v/>
      </c>
      <c r="H4188" t="str">
        <f t="shared" si="327"/>
        <v>—</v>
      </c>
      <c r="I4188" t="str">
        <f t="shared" si="328"/>
        <v>Below thresholds</v>
      </c>
      <c r="J4188" t="str">
        <f t="shared" si="329"/>
        <v/>
      </c>
    </row>
    <row r="4189" spans="1:10" x14ac:dyDescent="0.2">
      <c r="A4189">
        <v>227321059745</v>
      </c>
      <c r="B4189" t="s">
        <v>8903</v>
      </c>
      <c r="C4189" t="s">
        <v>8904</v>
      </c>
      <c r="D4189">
        <v>1.99</v>
      </c>
      <c r="F4189" t="str">
        <f t="shared" si="325"/>
        <v>No</v>
      </c>
      <c r="G4189" t="str">
        <f t="shared" si="326"/>
        <v/>
      </c>
      <c r="H4189" t="str">
        <f t="shared" si="327"/>
        <v>—</v>
      </c>
      <c r="I4189" t="str">
        <f t="shared" si="328"/>
        <v>Below thresholds</v>
      </c>
      <c r="J4189" t="str">
        <f t="shared" si="329"/>
        <v/>
      </c>
    </row>
    <row r="4190" spans="1:10" x14ac:dyDescent="0.2">
      <c r="A4190">
        <v>227321059871</v>
      </c>
      <c r="B4190" t="s">
        <v>8905</v>
      </c>
      <c r="C4190" t="s">
        <v>8906</v>
      </c>
      <c r="D4190">
        <v>1.99</v>
      </c>
      <c r="F4190" t="str">
        <f t="shared" si="325"/>
        <v>No</v>
      </c>
      <c r="G4190" t="str">
        <f t="shared" si="326"/>
        <v/>
      </c>
      <c r="H4190" t="str">
        <f t="shared" si="327"/>
        <v>—</v>
      </c>
      <c r="I4190" t="str">
        <f t="shared" si="328"/>
        <v>Below thresholds</v>
      </c>
      <c r="J4190" t="str">
        <f t="shared" si="329"/>
        <v/>
      </c>
    </row>
    <row r="4191" spans="1:10" x14ac:dyDescent="0.2">
      <c r="A4191">
        <v>227321085812</v>
      </c>
      <c r="B4191" t="s">
        <v>8907</v>
      </c>
      <c r="C4191" t="s">
        <v>8908</v>
      </c>
      <c r="D4191">
        <v>9</v>
      </c>
      <c r="F4191" t="str">
        <f t="shared" si="325"/>
        <v>No</v>
      </c>
      <c r="G4191" t="str">
        <f t="shared" si="326"/>
        <v/>
      </c>
      <c r="H4191" t="str">
        <f t="shared" si="327"/>
        <v>—</v>
      </c>
      <c r="I4191" t="str">
        <f t="shared" si="328"/>
        <v>Below thresholds</v>
      </c>
      <c r="J4191" t="str">
        <f t="shared" si="329"/>
        <v/>
      </c>
    </row>
    <row r="4192" spans="1:10" x14ac:dyDescent="0.2">
      <c r="A4192">
        <v>227321836118</v>
      </c>
      <c r="B4192" t="s">
        <v>8909</v>
      </c>
      <c r="C4192" t="s">
        <v>8910</v>
      </c>
      <c r="D4192">
        <v>4.5</v>
      </c>
      <c r="F4192" t="str">
        <f t="shared" si="325"/>
        <v>No</v>
      </c>
      <c r="G4192" t="str">
        <f t="shared" si="326"/>
        <v/>
      </c>
      <c r="H4192" t="str">
        <f t="shared" si="327"/>
        <v>—</v>
      </c>
      <c r="I4192" t="str">
        <f t="shared" si="328"/>
        <v>Below thresholds</v>
      </c>
      <c r="J4192" t="str">
        <f t="shared" si="329"/>
        <v/>
      </c>
    </row>
    <row r="4193" spans="1:10" x14ac:dyDescent="0.2">
      <c r="A4193">
        <v>227324087792</v>
      </c>
      <c r="B4193" t="s">
        <v>8911</v>
      </c>
      <c r="C4193" t="s">
        <v>8912</v>
      </c>
      <c r="D4193">
        <v>2</v>
      </c>
      <c r="F4193" t="str">
        <f t="shared" si="325"/>
        <v>No</v>
      </c>
      <c r="G4193" t="str">
        <f t="shared" si="326"/>
        <v/>
      </c>
      <c r="H4193" t="str">
        <f t="shared" si="327"/>
        <v>—</v>
      </c>
      <c r="I4193" t="str">
        <f t="shared" si="328"/>
        <v>Below thresholds</v>
      </c>
      <c r="J4193" t="str">
        <f t="shared" si="329"/>
        <v/>
      </c>
    </row>
    <row r="4194" spans="1:10" x14ac:dyDescent="0.2">
      <c r="A4194">
        <v>227324087794</v>
      </c>
      <c r="B4194" t="s">
        <v>8913</v>
      </c>
      <c r="C4194" t="s">
        <v>8914</v>
      </c>
      <c r="D4194">
        <v>2.4900000000000002</v>
      </c>
      <c r="F4194" t="str">
        <f t="shared" si="325"/>
        <v>No</v>
      </c>
      <c r="G4194" t="str">
        <f t="shared" si="326"/>
        <v/>
      </c>
      <c r="H4194" t="str">
        <f t="shared" si="327"/>
        <v>—</v>
      </c>
      <c r="I4194" t="str">
        <f t="shared" si="328"/>
        <v>Below thresholds</v>
      </c>
      <c r="J4194" t="str">
        <f t="shared" si="329"/>
        <v/>
      </c>
    </row>
    <row r="4195" spans="1:10" x14ac:dyDescent="0.2">
      <c r="A4195">
        <v>227324087827</v>
      </c>
      <c r="B4195" t="s">
        <v>8915</v>
      </c>
      <c r="C4195" t="s">
        <v>8916</v>
      </c>
      <c r="D4195">
        <v>1.99</v>
      </c>
      <c r="F4195" t="str">
        <f t="shared" si="325"/>
        <v>No</v>
      </c>
      <c r="G4195" t="str">
        <f t="shared" si="326"/>
        <v/>
      </c>
      <c r="H4195" t="str">
        <f t="shared" si="327"/>
        <v>—</v>
      </c>
      <c r="I4195" t="str">
        <f t="shared" si="328"/>
        <v>Below thresholds</v>
      </c>
      <c r="J4195" t="str">
        <f t="shared" si="329"/>
        <v/>
      </c>
    </row>
    <row r="4196" spans="1:10" x14ac:dyDescent="0.2">
      <c r="A4196">
        <v>227324087843</v>
      </c>
      <c r="B4196" t="s">
        <v>8917</v>
      </c>
      <c r="C4196" t="s">
        <v>8918</v>
      </c>
      <c r="D4196">
        <v>3.49</v>
      </c>
      <c r="F4196" t="str">
        <f t="shared" si="325"/>
        <v>No</v>
      </c>
      <c r="G4196" t="str">
        <f t="shared" si="326"/>
        <v/>
      </c>
      <c r="H4196" t="str">
        <f t="shared" si="327"/>
        <v>—</v>
      </c>
      <c r="I4196" t="str">
        <f t="shared" si="328"/>
        <v>Below thresholds</v>
      </c>
      <c r="J4196" t="str">
        <f t="shared" si="329"/>
        <v/>
      </c>
    </row>
    <row r="4197" spans="1:10" x14ac:dyDescent="0.2">
      <c r="A4197">
        <v>227324087884</v>
      </c>
      <c r="B4197" t="s">
        <v>8919</v>
      </c>
      <c r="C4197" t="s">
        <v>8920</v>
      </c>
      <c r="D4197">
        <v>1.5</v>
      </c>
      <c r="F4197" t="str">
        <f t="shared" si="325"/>
        <v>No</v>
      </c>
      <c r="G4197" t="str">
        <f t="shared" si="326"/>
        <v/>
      </c>
      <c r="H4197" t="str">
        <f t="shared" si="327"/>
        <v>—</v>
      </c>
      <c r="I4197" t="str">
        <f t="shared" si="328"/>
        <v>Below thresholds</v>
      </c>
      <c r="J4197" t="str">
        <f t="shared" si="329"/>
        <v/>
      </c>
    </row>
    <row r="4198" spans="1:10" x14ac:dyDescent="0.2">
      <c r="A4198">
        <v>227324087889</v>
      </c>
      <c r="B4198" t="s">
        <v>8921</v>
      </c>
      <c r="C4198" t="s">
        <v>8922</v>
      </c>
      <c r="D4198">
        <v>2.25</v>
      </c>
      <c r="F4198" t="str">
        <f t="shared" si="325"/>
        <v>No</v>
      </c>
      <c r="G4198" t="str">
        <f t="shared" si="326"/>
        <v/>
      </c>
      <c r="H4198" t="str">
        <f t="shared" si="327"/>
        <v>—</v>
      </c>
      <c r="I4198" t="str">
        <f t="shared" si="328"/>
        <v>Below thresholds</v>
      </c>
      <c r="J4198" t="str">
        <f t="shared" si="329"/>
        <v/>
      </c>
    </row>
    <row r="4199" spans="1:10" x14ac:dyDescent="0.2">
      <c r="A4199">
        <v>227324087949</v>
      </c>
      <c r="B4199" t="s">
        <v>8923</v>
      </c>
      <c r="C4199" t="s">
        <v>8924</v>
      </c>
      <c r="D4199">
        <v>1.5</v>
      </c>
      <c r="F4199" t="str">
        <f t="shared" si="325"/>
        <v>No</v>
      </c>
      <c r="G4199" t="str">
        <f t="shared" si="326"/>
        <v/>
      </c>
      <c r="H4199" t="str">
        <f t="shared" si="327"/>
        <v>—</v>
      </c>
      <c r="I4199" t="str">
        <f t="shared" si="328"/>
        <v>Below thresholds</v>
      </c>
      <c r="J4199" t="str">
        <f t="shared" si="329"/>
        <v/>
      </c>
    </row>
    <row r="4200" spans="1:10" x14ac:dyDescent="0.2">
      <c r="A4200">
        <v>227324087952</v>
      </c>
      <c r="B4200" t="s">
        <v>8925</v>
      </c>
      <c r="C4200" t="s">
        <v>8926</v>
      </c>
      <c r="D4200">
        <v>2.4900000000000002</v>
      </c>
      <c r="F4200" t="str">
        <f t="shared" si="325"/>
        <v>No</v>
      </c>
      <c r="G4200" t="str">
        <f t="shared" si="326"/>
        <v/>
      </c>
      <c r="H4200" t="str">
        <f t="shared" si="327"/>
        <v>—</v>
      </c>
      <c r="I4200" t="str">
        <f t="shared" si="328"/>
        <v>Below thresholds</v>
      </c>
      <c r="J4200" t="str">
        <f t="shared" si="329"/>
        <v/>
      </c>
    </row>
    <row r="4201" spans="1:10" x14ac:dyDescent="0.2">
      <c r="A4201">
        <v>227324087998</v>
      </c>
      <c r="B4201" t="s">
        <v>8927</v>
      </c>
      <c r="C4201" t="s">
        <v>8928</v>
      </c>
      <c r="D4201">
        <v>3</v>
      </c>
      <c r="F4201" t="str">
        <f t="shared" si="325"/>
        <v>No</v>
      </c>
      <c r="G4201" t="str">
        <f t="shared" si="326"/>
        <v/>
      </c>
      <c r="H4201" t="str">
        <f t="shared" si="327"/>
        <v>—</v>
      </c>
      <c r="I4201" t="str">
        <f t="shared" si="328"/>
        <v>Below thresholds</v>
      </c>
      <c r="J4201" t="str">
        <f t="shared" si="329"/>
        <v/>
      </c>
    </row>
    <row r="4202" spans="1:10" x14ac:dyDescent="0.2">
      <c r="A4202">
        <v>227324088004</v>
      </c>
      <c r="B4202" t="s">
        <v>8929</v>
      </c>
      <c r="C4202" t="s">
        <v>8930</v>
      </c>
      <c r="D4202">
        <v>1.25</v>
      </c>
      <c r="F4202" t="str">
        <f t="shared" si="325"/>
        <v>No</v>
      </c>
      <c r="G4202" t="str">
        <f t="shared" si="326"/>
        <v/>
      </c>
      <c r="H4202" t="str">
        <f t="shared" si="327"/>
        <v>—</v>
      </c>
      <c r="I4202" t="str">
        <f t="shared" si="328"/>
        <v>Below thresholds</v>
      </c>
      <c r="J4202" t="str">
        <f t="shared" si="329"/>
        <v/>
      </c>
    </row>
    <row r="4203" spans="1:10" x14ac:dyDescent="0.2">
      <c r="A4203">
        <v>227324088068</v>
      </c>
      <c r="B4203" t="s">
        <v>8931</v>
      </c>
      <c r="C4203" t="s">
        <v>8932</v>
      </c>
      <c r="D4203">
        <v>1.99</v>
      </c>
      <c r="F4203" t="str">
        <f t="shared" si="325"/>
        <v>No</v>
      </c>
      <c r="G4203" t="str">
        <f t="shared" si="326"/>
        <v/>
      </c>
      <c r="H4203" t="str">
        <f t="shared" si="327"/>
        <v>—</v>
      </c>
      <c r="I4203" t="str">
        <f t="shared" si="328"/>
        <v>Below thresholds</v>
      </c>
      <c r="J4203" t="str">
        <f t="shared" si="329"/>
        <v/>
      </c>
    </row>
    <row r="4204" spans="1:10" x14ac:dyDescent="0.2">
      <c r="A4204">
        <v>227324088080</v>
      </c>
      <c r="B4204" t="s">
        <v>8933</v>
      </c>
      <c r="C4204" t="s">
        <v>8934</v>
      </c>
      <c r="D4204">
        <v>3.99</v>
      </c>
      <c r="F4204" t="str">
        <f t="shared" si="325"/>
        <v>No</v>
      </c>
      <c r="G4204" t="str">
        <f t="shared" si="326"/>
        <v/>
      </c>
      <c r="H4204" t="str">
        <f t="shared" si="327"/>
        <v>—</v>
      </c>
      <c r="I4204" t="str">
        <f t="shared" si="328"/>
        <v>Below thresholds</v>
      </c>
      <c r="J4204" t="str">
        <f t="shared" si="329"/>
        <v/>
      </c>
    </row>
    <row r="4205" spans="1:10" x14ac:dyDescent="0.2">
      <c r="A4205">
        <v>227324088121</v>
      </c>
      <c r="B4205" t="s">
        <v>8935</v>
      </c>
      <c r="C4205" t="s">
        <v>8936</v>
      </c>
      <c r="D4205">
        <v>1.59</v>
      </c>
      <c r="F4205" t="str">
        <f t="shared" si="325"/>
        <v>No</v>
      </c>
      <c r="G4205" t="str">
        <f t="shared" si="326"/>
        <v/>
      </c>
      <c r="H4205" t="str">
        <f t="shared" si="327"/>
        <v>—</v>
      </c>
      <c r="I4205" t="str">
        <f t="shared" si="328"/>
        <v>Below thresholds</v>
      </c>
      <c r="J4205" t="str">
        <f t="shared" si="329"/>
        <v/>
      </c>
    </row>
    <row r="4206" spans="1:10" x14ac:dyDescent="0.2">
      <c r="A4206">
        <v>227324088196</v>
      </c>
      <c r="B4206" t="s">
        <v>8937</v>
      </c>
      <c r="C4206" t="s">
        <v>8938</v>
      </c>
      <c r="D4206">
        <v>2.5</v>
      </c>
      <c r="F4206" t="str">
        <f t="shared" si="325"/>
        <v>No</v>
      </c>
      <c r="G4206" t="str">
        <f t="shared" si="326"/>
        <v/>
      </c>
      <c r="H4206" t="str">
        <f t="shared" si="327"/>
        <v>—</v>
      </c>
      <c r="I4206" t="str">
        <f t="shared" si="328"/>
        <v>Below thresholds</v>
      </c>
      <c r="J4206" t="str">
        <f t="shared" si="329"/>
        <v/>
      </c>
    </row>
    <row r="4207" spans="1:10" x14ac:dyDescent="0.2">
      <c r="A4207">
        <v>227324088197</v>
      </c>
      <c r="B4207" t="s">
        <v>8939</v>
      </c>
      <c r="C4207" t="s">
        <v>8940</v>
      </c>
      <c r="D4207">
        <v>1.25</v>
      </c>
      <c r="F4207" t="str">
        <f t="shared" si="325"/>
        <v>No</v>
      </c>
      <c r="G4207" t="str">
        <f t="shared" si="326"/>
        <v/>
      </c>
      <c r="H4207" t="str">
        <f t="shared" si="327"/>
        <v>—</v>
      </c>
      <c r="I4207" t="str">
        <f t="shared" si="328"/>
        <v>Below thresholds</v>
      </c>
      <c r="J4207" t="str">
        <f t="shared" si="329"/>
        <v/>
      </c>
    </row>
    <row r="4208" spans="1:10" x14ac:dyDescent="0.2">
      <c r="A4208">
        <v>227324088214</v>
      </c>
      <c r="B4208" t="s">
        <v>8941</v>
      </c>
      <c r="C4208" t="s">
        <v>8942</v>
      </c>
      <c r="D4208">
        <v>1.99</v>
      </c>
      <c r="F4208" t="str">
        <f t="shared" si="325"/>
        <v>No</v>
      </c>
      <c r="G4208" t="str">
        <f t="shared" si="326"/>
        <v/>
      </c>
      <c r="H4208" t="str">
        <f t="shared" si="327"/>
        <v>—</v>
      </c>
      <c r="I4208" t="str">
        <f t="shared" si="328"/>
        <v>Below thresholds</v>
      </c>
      <c r="J4208" t="str">
        <f t="shared" si="329"/>
        <v/>
      </c>
    </row>
    <row r="4209" spans="1:10" x14ac:dyDescent="0.2">
      <c r="A4209">
        <v>227324088243</v>
      </c>
      <c r="B4209" t="s">
        <v>8943</v>
      </c>
      <c r="C4209" t="s">
        <v>8944</v>
      </c>
      <c r="D4209">
        <v>7.99</v>
      </c>
      <c r="F4209" t="str">
        <f t="shared" si="325"/>
        <v>No</v>
      </c>
      <c r="G4209" t="str">
        <f t="shared" si="326"/>
        <v/>
      </c>
      <c r="H4209" t="str">
        <f t="shared" si="327"/>
        <v>—</v>
      </c>
      <c r="I4209" t="str">
        <f t="shared" si="328"/>
        <v>Below thresholds</v>
      </c>
      <c r="J4209" t="str">
        <f t="shared" si="329"/>
        <v/>
      </c>
    </row>
    <row r="4210" spans="1:10" x14ac:dyDescent="0.2">
      <c r="A4210">
        <v>227324088244</v>
      </c>
      <c r="B4210" t="s">
        <v>8835</v>
      </c>
      <c r="C4210" t="s">
        <v>8945</v>
      </c>
      <c r="D4210">
        <v>1.5</v>
      </c>
      <c r="F4210" t="str">
        <f t="shared" si="325"/>
        <v>No</v>
      </c>
      <c r="G4210" t="str">
        <f t="shared" si="326"/>
        <v/>
      </c>
      <c r="H4210" t="str">
        <f t="shared" si="327"/>
        <v>—</v>
      </c>
      <c r="I4210" t="str">
        <f t="shared" si="328"/>
        <v>Below thresholds</v>
      </c>
      <c r="J4210" t="str">
        <f t="shared" si="329"/>
        <v/>
      </c>
    </row>
    <row r="4211" spans="1:10" x14ac:dyDescent="0.2">
      <c r="A4211">
        <v>227324088269</v>
      </c>
      <c r="B4211" t="s">
        <v>8946</v>
      </c>
      <c r="C4211" t="s">
        <v>8947</v>
      </c>
      <c r="D4211">
        <v>1.99</v>
      </c>
      <c r="F4211" t="str">
        <f t="shared" si="325"/>
        <v>No</v>
      </c>
      <c r="G4211" t="str">
        <f t="shared" si="326"/>
        <v/>
      </c>
      <c r="H4211" t="str">
        <f t="shared" si="327"/>
        <v>—</v>
      </c>
      <c r="I4211" t="str">
        <f t="shared" si="328"/>
        <v>Below thresholds</v>
      </c>
      <c r="J4211" t="str">
        <f t="shared" si="329"/>
        <v/>
      </c>
    </row>
    <row r="4212" spans="1:10" x14ac:dyDescent="0.2">
      <c r="A4212">
        <v>227324088297</v>
      </c>
      <c r="B4212" t="s">
        <v>8948</v>
      </c>
      <c r="C4212" t="s">
        <v>8949</v>
      </c>
      <c r="D4212">
        <v>1.99</v>
      </c>
      <c r="F4212" t="str">
        <f t="shared" si="325"/>
        <v>No</v>
      </c>
      <c r="G4212" t="str">
        <f t="shared" si="326"/>
        <v/>
      </c>
      <c r="H4212" t="str">
        <f t="shared" si="327"/>
        <v>—</v>
      </c>
      <c r="I4212" t="str">
        <f t="shared" si="328"/>
        <v>Below thresholds</v>
      </c>
      <c r="J4212" t="str">
        <f t="shared" si="329"/>
        <v/>
      </c>
    </row>
    <row r="4213" spans="1:10" x14ac:dyDescent="0.2">
      <c r="A4213">
        <v>227324088304</v>
      </c>
      <c r="B4213" t="s">
        <v>8950</v>
      </c>
      <c r="C4213" t="s">
        <v>8951</v>
      </c>
      <c r="D4213">
        <v>3</v>
      </c>
      <c r="F4213" t="str">
        <f t="shared" si="325"/>
        <v>No</v>
      </c>
      <c r="G4213" t="str">
        <f t="shared" si="326"/>
        <v/>
      </c>
      <c r="H4213" t="str">
        <f t="shared" si="327"/>
        <v>—</v>
      </c>
      <c r="I4213" t="str">
        <f t="shared" si="328"/>
        <v>Below thresholds</v>
      </c>
      <c r="J4213" t="str">
        <f t="shared" si="329"/>
        <v/>
      </c>
    </row>
    <row r="4214" spans="1:10" x14ac:dyDescent="0.2">
      <c r="A4214">
        <v>227324088328</v>
      </c>
      <c r="B4214" t="s">
        <v>8952</v>
      </c>
      <c r="C4214" t="s">
        <v>8953</v>
      </c>
      <c r="D4214">
        <v>2.99</v>
      </c>
      <c r="F4214" t="str">
        <f t="shared" si="325"/>
        <v>No</v>
      </c>
      <c r="G4214" t="str">
        <f t="shared" si="326"/>
        <v/>
      </c>
      <c r="H4214" t="str">
        <f t="shared" si="327"/>
        <v>—</v>
      </c>
      <c r="I4214" t="str">
        <f t="shared" si="328"/>
        <v>Below thresholds</v>
      </c>
      <c r="J4214" t="str">
        <f t="shared" si="329"/>
        <v/>
      </c>
    </row>
    <row r="4215" spans="1:10" x14ac:dyDescent="0.2">
      <c r="A4215">
        <v>227324088353</v>
      </c>
      <c r="B4215" t="s">
        <v>8954</v>
      </c>
      <c r="C4215" t="s">
        <v>8955</v>
      </c>
      <c r="D4215">
        <v>2.5</v>
      </c>
      <c r="F4215" t="str">
        <f t="shared" si="325"/>
        <v>No</v>
      </c>
      <c r="G4215" t="str">
        <f t="shared" si="326"/>
        <v/>
      </c>
      <c r="H4215" t="str">
        <f t="shared" si="327"/>
        <v>—</v>
      </c>
      <c r="I4215" t="str">
        <f t="shared" si="328"/>
        <v>Below thresholds</v>
      </c>
      <c r="J4215" t="str">
        <f t="shared" si="329"/>
        <v/>
      </c>
    </row>
    <row r="4216" spans="1:10" x14ac:dyDescent="0.2">
      <c r="A4216">
        <v>227324088363</v>
      </c>
      <c r="B4216" t="s">
        <v>8956</v>
      </c>
      <c r="C4216" t="s">
        <v>8957</v>
      </c>
      <c r="D4216">
        <v>1.99</v>
      </c>
      <c r="F4216" t="str">
        <f t="shared" si="325"/>
        <v>No</v>
      </c>
      <c r="G4216" t="str">
        <f t="shared" si="326"/>
        <v/>
      </c>
      <c r="H4216" t="str">
        <f t="shared" si="327"/>
        <v>—</v>
      </c>
      <c r="I4216" t="str">
        <f t="shared" si="328"/>
        <v>Below thresholds</v>
      </c>
      <c r="J4216" t="str">
        <f t="shared" si="329"/>
        <v/>
      </c>
    </row>
    <row r="4217" spans="1:10" x14ac:dyDescent="0.2">
      <c r="A4217">
        <v>227324088382</v>
      </c>
      <c r="B4217" t="s">
        <v>8958</v>
      </c>
      <c r="C4217" t="s">
        <v>8959</v>
      </c>
      <c r="D4217">
        <v>1.99</v>
      </c>
      <c r="F4217" t="str">
        <f t="shared" si="325"/>
        <v>No</v>
      </c>
      <c r="G4217" t="str">
        <f t="shared" si="326"/>
        <v/>
      </c>
      <c r="H4217" t="str">
        <f t="shared" si="327"/>
        <v>—</v>
      </c>
      <c r="I4217" t="str">
        <f t="shared" si="328"/>
        <v>Below thresholds</v>
      </c>
      <c r="J4217" t="str">
        <f t="shared" si="329"/>
        <v/>
      </c>
    </row>
    <row r="4218" spans="1:10" x14ac:dyDescent="0.2">
      <c r="A4218">
        <v>227324088422</v>
      </c>
      <c r="B4218" t="s">
        <v>8960</v>
      </c>
      <c r="C4218" t="s">
        <v>8961</v>
      </c>
      <c r="D4218">
        <v>1</v>
      </c>
      <c r="F4218" t="str">
        <f t="shared" si="325"/>
        <v>No</v>
      </c>
      <c r="G4218" t="str">
        <f t="shared" si="326"/>
        <v/>
      </c>
      <c r="H4218" t="str">
        <f t="shared" si="327"/>
        <v>—</v>
      </c>
      <c r="I4218" t="str">
        <f t="shared" si="328"/>
        <v>Below thresholds</v>
      </c>
      <c r="J4218" t="str">
        <f t="shared" si="329"/>
        <v/>
      </c>
    </row>
    <row r="4219" spans="1:10" x14ac:dyDescent="0.2">
      <c r="A4219">
        <v>227324088425</v>
      </c>
      <c r="B4219" t="s">
        <v>8962</v>
      </c>
      <c r="C4219" t="s">
        <v>8963</v>
      </c>
      <c r="D4219">
        <v>1.25</v>
      </c>
      <c r="F4219" t="str">
        <f t="shared" si="325"/>
        <v>No</v>
      </c>
      <c r="G4219" t="str">
        <f t="shared" si="326"/>
        <v/>
      </c>
      <c r="H4219" t="str">
        <f t="shared" si="327"/>
        <v>—</v>
      </c>
      <c r="I4219" t="str">
        <f t="shared" si="328"/>
        <v>Below thresholds</v>
      </c>
      <c r="J4219" t="str">
        <f t="shared" si="329"/>
        <v/>
      </c>
    </row>
    <row r="4220" spans="1:10" x14ac:dyDescent="0.2">
      <c r="A4220">
        <v>227326505045</v>
      </c>
      <c r="B4220" t="s">
        <v>8964</v>
      </c>
      <c r="C4220" t="s">
        <v>8965</v>
      </c>
      <c r="D4220">
        <v>5.5</v>
      </c>
      <c r="F4220" t="str">
        <f t="shared" si="325"/>
        <v>No</v>
      </c>
      <c r="G4220" t="str">
        <f t="shared" si="326"/>
        <v/>
      </c>
      <c r="H4220" t="str">
        <f t="shared" si="327"/>
        <v>—</v>
      </c>
      <c r="I4220" t="str">
        <f t="shared" si="328"/>
        <v>Below thresholds</v>
      </c>
      <c r="J4220" t="str">
        <f t="shared" si="329"/>
        <v/>
      </c>
    </row>
    <row r="4221" spans="1:10" x14ac:dyDescent="0.2">
      <c r="A4221">
        <v>227326512854</v>
      </c>
      <c r="B4221" t="s">
        <v>8966</v>
      </c>
      <c r="C4221" t="s">
        <v>8967</v>
      </c>
      <c r="D4221">
        <v>1.5</v>
      </c>
      <c r="F4221" t="str">
        <f t="shared" si="325"/>
        <v>No</v>
      </c>
      <c r="G4221" t="str">
        <f t="shared" si="326"/>
        <v/>
      </c>
      <c r="H4221" t="str">
        <f t="shared" si="327"/>
        <v>—</v>
      </c>
      <c r="I4221" t="str">
        <f t="shared" si="328"/>
        <v>Below thresholds</v>
      </c>
      <c r="J4221" t="str">
        <f t="shared" si="329"/>
        <v/>
      </c>
    </row>
    <row r="4222" spans="1:10" x14ac:dyDescent="0.2">
      <c r="A4222">
        <v>227326514068</v>
      </c>
      <c r="B4222" t="s">
        <v>8968</v>
      </c>
      <c r="C4222" t="s">
        <v>8969</v>
      </c>
      <c r="D4222">
        <v>1</v>
      </c>
      <c r="F4222" t="str">
        <f t="shared" si="325"/>
        <v>No</v>
      </c>
      <c r="G4222" t="str">
        <f t="shared" si="326"/>
        <v/>
      </c>
      <c r="H4222" t="str">
        <f t="shared" si="327"/>
        <v>—</v>
      </c>
      <c r="I4222" t="str">
        <f t="shared" si="328"/>
        <v>Below thresholds</v>
      </c>
      <c r="J4222" t="str">
        <f t="shared" si="329"/>
        <v/>
      </c>
    </row>
    <row r="4223" spans="1:10" x14ac:dyDescent="0.2">
      <c r="A4223">
        <v>227326515795</v>
      </c>
      <c r="B4223" t="s">
        <v>8970</v>
      </c>
      <c r="C4223" t="s">
        <v>8971</v>
      </c>
      <c r="D4223">
        <v>1.45</v>
      </c>
      <c r="F4223" t="str">
        <f t="shared" si="325"/>
        <v>No</v>
      </c>
      <c r="G4223" t="str">
        <f t="shared" si="326"/>
        <v/>
      </c>
      <c r="H4223" t="str">
        <f t="shared" si="327"/>
        <v>—</v>
      </c>
      <c r="I4223" t="str">
        <f t="shared" si="328"/>
        <v>Below thresholds</v>
      </c>
      <c r="J4223" t="str">
        <f t="shared" si="329"/>
        <v/>
      </c>
    </row>
    <row r="4224" spans="1:10" x14ac:dyDescent="0.2">
      <c r="A4224">
        <v>227328766658</v>
      </c>
      <c r="B4224" t="s">
        <v>8972</v>
      </c>
      <c r="C4224" t="s">
        <v>8973</v>
      </c>
      <c r="D4224">
        <v>4.99</v>
      </c>
      <c r="F4224" t="str">
        <f t="shared" si="325"/>
        <v>No</v>
      </c>
      <c r="G4224" t="str">
        <f t="shared" si="326"/>
        <v/>
      </c>
      <c r="H4224" t="str">
        <f t="shared" si="327"/>
        <v>—</v>
      </c>
      <c r="I4224" t="str">
        <f t="shared" si="328"/>
        <v>Below thresholds</v>
      </c>
      <c r="J4224" t="str">
        <f t="shared" si="329"/>
        <v/>
      </c>
    </row>
    <row r="4225" spans="1:10" x14ac:dyDescent="0.2">
      <c r="A4225">
        <v>227330183199</v>
      </c>
      <c r="B4225" t="s">
        <v>8974</v>
      </c>
      <c r="C4225" t="s">
        <v>8975</v>
      </c>
      <c r="D4225">
        <v>3.99</v>
      </c>
      <c r="F4225" t="str">
        <f t="shared" si="325"/>
        <v>No</v>
      </c>
      <c r="G4225" t="str">
        <f t="shared" si="326"/>
        <v/>
      </c>
      <c r="H4225" t="str">
        <f t="shared" si="327"/>
        <v>—</v>
      </c>
      <c r="I4225" t="str">
        <f t="shared" si="328"/>
        <v>Below thresholds</v>
      </c>
      <c r="J4225" t="str">
        <f t="shared" si="329"/>
        <v/>
      </c>
    </row>
    <row r="4226" spans="1:10" x14ac:dyDescent="0.2">
      <c r="A4226">
        <v>227330183218</v>
      </c>
      <c r="B4226" t="s">
        <v>8976</v>
      </c>
      <c r="C4226" t="s">
        <v>8977</v>
      </c>
      <c r="D4226">
        <v>1.5</v>
      </c>
      <c r="F4226" t="str">
        <f t="shared" si="325"/>
        <v>No</v>
      </c>
      <c r="G4226" t="str">
        <f t="shared" si="326"/>
        <v/>
      </c>
      <c r="H4226" t="str">
        <f t="shared" si="327"/>
        <v>—</v>
      </c>
      <c r="I4226" t="str">
        <f t="shared" si="328"/>
        <v>Below thresholds</v>
      </c>
      <c r="J4226" t="str">
        <f t="shared" si="329"/>
        <v/>
      </c>
    </row>
    <row r="4227" spans="1:10" x14ac:dyDescent="0.2">
      <c r="A4227">
        <v>227330183266</v>
      </c>
      <c r="B4227" t="s">
        <v>8978</v>
      </c>
      <c r="C4227" t="s">
        <v>8979</v>
      </c>
      <c r="D4227">
        <v>5.5</v>
      </c>
      <c r="F4227" t="str">
        <f t="shared" si="325"/>
        <v>No</v>
      </c>
      <c r="G4227" t="str">
        <f t="shared" si="326"/>
        <v/>
      </c>
      <c r="H4227" t="str">
        <f t="shared" si="327"/>
        <v>—</v>
      </c>
      <c r="I4227" t="str">
        <f t="shared" si="328"/>
        <v>Below thresholds</v>
      </c>
      <c r="J4227" t="str">
        <f t="shared" si="329"/>
        <v/>
      </c>
    </row>
    <row r="4228" spans="1:10" x14ac:dyDescent="0.2">
      <c r="A4228">
        <v>227330183292</v>
      </c>
      <c r="B4228" t="s">
        <v>8980</v>
      </c>
      <c r="C4228" t="s">
        <v>8981</v>
      </c>
      <c r="D4228">
        <v>3.99</v>
      </c>
      <c r="F4228" t="str">
        <f t="shared" si="325"/>
        <v>No</v>
      </c>
      <c r="G4228" t="str">
        <f t="shared" si="326"/>
        <v/>
      </c>
      <c r="H4228" t="str">
        <f t="shared" si="327"/>
        <v>—</v>
      </c>
      <c r="I4228" t="str">
        <f t="shared" si="328"/>
        <v>Below thresholds</v>
      </c>
      <c r="J4228" t="str">
        <f t="shared" si="329"/>
        <v/>
      </c>
    </row>
    <row r="4229" spans="1:10" x14ac:dyDescent="0.2">
      <c r="A4229">
        <v>227330183304</v>
      </c>
      <c r="B4229" t="s">
        <v>8982</v>
      </c>
      <c r="C4229" t="s">
        <v>8983</v>
      </c>
      <c r="D4229">
        <v>2</v>
      </c>
      <c r="F4229" t="str">
        <f t="shared" ref="F4229:F4292" si="330">IF($B4229="","",IF(ISNUMBER(SEARCH("PSA",$B4229)),"Yes","No"))</f>
        <v>No</v>
      </c>
      <c r="G4229" t="str">
        <f t="shared" ref="G4229:G4292" si="331">IF($B4229="","",IF(ISNUMBER(SEARCH("PSA 10",$B4229)),10,IF(ISNUMBER(SEARCH("PSA 9.5",$B4229)),9.5,IF(ISNUMBER(SEARCH("PSA 9",$B4229)),9,IF(ISNUMBER(SEARCH("PSA 8",$B4229)),8,IF(ISNUMBER(SEARCH("PSA",$B4229)),"&lt;9",""))))))</f>
        <v/>
      </c>
      <c r="H4229" t="str">
        <f t="shared" ref="H4229:H4292" si="332">IF($B4229="","",IF($D4229&gt;=100,"TIER 2",IF(OR(ISNUMBER(SEARCH("PSA 10",$B4229)),ISNUMBER(SEARCH("PSA 9.5",$B4229)),ISNUMBER(SEARCH("PSA 9",$B4229))),"TIER 3",IF(AND($D4229&gt;20,N($E4229)&gt;=15),"TIER 1","—"))))</f>
        <v>—</v>
      </c>
      <c r="I4229" t="str">
        <f t="shared" ref="I4229:I4292" si="333">IF($B4229="","",IF($D4229&gt;=100,"Premium $100+ (auto)",IF(OR(ISNUMBER(SEARCH("PSA 10",$B4229)),ISNUMBER(SEARCH("PSA 9.5",$B4229)),ISNUMBER(SEARCH("PSA 9",$B4229))),"Graded PSA 9+ (auto)",IF(AND($D4229&gt;20,N($E4229)&gt;=15),"Hot: $20+ &amp; "&amp;$E4229&amp;"/day",IF($D4229&gt;20,"$20+ — needs velocity check","Below thresholds")))))</f>
        <v>Below thresholds</v>
      </c>
      <c r="J4229" t="str">
        <f t="shared" ref="J4229:J4292" si="334">IF($B4229="","",IF(AND($D4229&gt;20,$D4229&lt;100,NOT(OR(ISNUMBER(SEARCH("PSA 10",$B4229)),ISNUMBER(SEARCH("PSA 9.5",$B4229)),ISNUMBER(SEARCH("PSA 9",$B4229)))),$E4229=""),"YES — pull CardHedger",""))</f>
        <v/>
      </c>
    </row>
    <row r="4230" spans="1:10" x14ac:dyDescent="0.2">
      <c r="A4230">
        <v>227330183354</v>
      </c>
      <c r="B4230" t="s">
        <v>8984</v>
      </c>
      <c r="C4230" t="s">
        <v>8985</v>
      </c>
      <c r="D4230">
        <v>4</v>
      </c>
      <c r="F4230" t="str">
        <f t="shared" si="330"/>
        <v>No</v>
      </c>
      <c r="G4230" t="str">
        <f t="shared" si="331"/>
        <v/>
      </c>
      <c r="H4230" t="str">
        <f t="shared" si="332"/>
        <v>—</v>
      </c>
      <c r="I4230" t="str">
        <f t="shared" si="333"/>
        <v>Below thresholds</v>
      </c>
      <c r="J4230" t="str">
        <f t="shared" si="334"/>
        <v/>
      </c>
    </row>
    <row r="4231" spans="1:10" x14ac:dyDescent="0.2">
      <c r="A4231">
        <v>227330183369</v>
      </c>
      <c r="B4231" t="s">
        <v>8986</v>
      </c>
      <c r="C4231" t="s">
        <v>8987</v>
      </c>
      <c r="D4231">
        <v>4.99</v>
      </c>
      <c r="F4231" t="str">
        <f t="shared" si="330"/>
        <v>No</v>
      </c>
      <c r="G4231" t="str">
        <f t="shared" si="331"/>
        <v/>
      </c>
      <c r="H4231" t="str">
        <f t="shared" si="332"/>
        <v>—</v>
      </c>
      <c r="I4231" t="str">
        <f t="shared" si="333"/>
        <v>Below thresholds</v>
      </c>
      <c r="J4231" t="str">
        <f t="shared" si="334"/>
        <v/>
      </c>
    </row>
    <row r="4232" spans="1:10" x14ac:dyDescent="0.2">
      <c r="A4232">
        <v>227330183381</v>
      </c>
      <c r="B4232" t="s">
        <v>8988</v>
      </c>
      <c r="C4232" t="s">
        <v>8989</v>
      </c>
      <c r="D4232">
        <v>1.99</v>
      </c>
      <c r="F4232" t="str">
        <f t="shared" si="330"/>
        <v>No</v>
      </c>
      <c r="G4232" t="str">
        <f t="shared" si="331"/>
        <v/>
      </c>
      <c r="H4232" t="str">
        <f t="shared" si="332"/>
        <v>—</v>
      </c>
      <c r="I4232" t="str">
        <f t="shared" si="333"/>
        <v>Below thresholds</v>
      </c>
      <c r="J4232" t="str">
        <f t="shared" si="334"/>
        <v/>
      </c>
    </row>
    <row r="4233" spans="1:10" x14ac:dyDescent="0.2">
      <c r="A4233">
        <v>227330183416</v>
      </c>
      <c r="B4233" t="s">
        <v>8990</v>
      </c>
      <c r="C4233" t="s">
        <v>8991</v>
      </c>
      <c r="D4233">
        <v>4.99</v>
      </c>
      <c r="F4233" t="str">
        <f t="shared" si="330"/>
        <v>No</v>
      </c>
      <c r="G4233" t="str">
        <f t="shared" si="331"/>
        <v/>
      </c>
      <c r="H4233" t="str">
        <f t="shared" si="332"/>
        <v>—</v>
      </c>
      <c r="I4233" t="str">
        <f t="shared" si="333"/>
        <v>Below thresholds</v>
      </c>
      <c r="J4233" t="str">
        <f t="shared" si="334"/>
        <v/>
      </c>
    </row>
    <row r="4234" spans="1:10" x14ac:dyDescent="0.2">
      <c r="A4234">
        <v>227330183418</v>
      </c>
      <c r="B4234" t="s">
        <v>8992</v>
      </c>
      <c r="C4234" t="s">
        <v>8993</v>
      </c>
      <c r="D4234">
        <v>1.25</v>
      </c>
      <c r="F4234" t="str">
        <f t="shared" si="330"/>
        <v>No</v>
      </c>
      <c r="G4234" t="str">
        <f t="shared" si="331"/>
        <v/>
      </c>
      <c r="H4234" t="str">
        <f t="shared" si="332"/>
        <v>—</v>
      </c>
      <c r="I4234" t="str">
        <f t="shared" si="333"/>
        <v>Below thresholds</v>
      </c>
      <c r="J4234" t="str">
        <f t="shared" si="334"/>
        <v/>
      </c>
    </row>
    <row r="4235" spans="1:10" x14ac:dyDescent="0.2">
      <c r="A4235">
        <v>227330183421</v>
      </c>
      <c r="B4235" t="s">
        <v>8994</v>
      </c>
      <c r="C4235" t="s">
        <v>8995</v>
      </c>
      <c r="D4235">
        <v>7.99</v>
      </c>
      <c r="F4235" t="str">
        <f t="shared" si="330"/>
        <v>No</v>
      </c>
      <c r="G4235" t="str">
        <f t="shared" si="331"/>
        <v/>
      </c>
      <c r="H4235" t="str">
        <f t="shared" si="332"/>
        <v>—</v>
      </c>
      <c r="I4235" t="str">
        <f t="shared" si="333"/>
        <v>Below thresholds</v>
      </c>
      <c r="J4235" t="str">
        <f t="shared" si="334"/>
        <v/>
      </c>
    </row>
    <row r="4236" spans="1:10" x14ac:dyDescent="0.2">
      <c r="A4236">
        <v>227330183457</v>
      </c>
      <c r="B4236" t="s">
        <v>8996</v>
      </c>
      <c r="C4236" t="s">
        <v>8997</v>
      </c>
      <c r="D4236">
        <v>2</v>
      </c>
      <c r="F4236" t="str">
        <f t="shared" si="330"/>
        <v>No</v>
      </c>
      <c r="G4236" t="str">
        <f t="shared" si="331"/>
        <v/>
      </c>
      <c r="H4236" t="str">
        <f t="shared" si="332"/>
        <v>—</v>
      </c>
      <c r="I4236" t="str">
        <f t="shared" si="333"/>
        <v>Below thresholds</v>
      </c>
      <c r="J4236" t="str">
        <f t="shared" si="334"/>
        <v/>
      </c>
    </row>
    <row r="4237" spans="1:10" x14ac:dyDescent="0.2">
      <c r="A4237">
        <v>227330183513</v>
      </c>
      <c r="B4237" t="s">
        <v>8998</v>
      </c>
      <c r="C4237" t="s">
        <v>8999</v>
      </c>
      <c r="D4237">
        <v>14.99</v>
      </c>
      <c r="F4237" t="str">
        <f t="shared" si="330"/>
        <v>No</v>
      </c>
      <c r="G4237" t="str">
        <f t="shared" si="331"/>
        <v/>
      </c>
      <c r="H4237" t="str">
        <f t="shared" si="332"/>
        <v>—</v>
      </c>
      <c r="I4237" t="str">
        <f t="shared" si="333"/>
        <v>Below thresholds</v>
      </c>
      <c r="J4237" t="str">
        <f t="shared" si="334"/>
        <v/>
      </c>
    </row>
    <row r="4238" spans="1:10" x14ac:dyDescent="0.2">
      <c r="A4238">
        <v>227330183537</v>
      </c>
      <c r="B4238" t="s">
        <v>9000</v>
      </c>
      <c r="C4238" t="s">
        <v>9001</v>
      </c>
      <c r="D4238">
        <v>1.25</v>
      </c>
      <c r="F4238" t="str">
        <f t="shared" si="330"/>
        <v>No</v>
      </c>
      <c r="G4238" t="str">
        <f t="shared" si="331"/>
        <v/>
      </c>
      <c r="H4238" t="str">
        <f t="shared" si="332"/>
        <v>—</v>
      </c>
      <c r="I4238" t="str">
        <f t="shared" si="333"/>
        <v>Below thresholds</v>
      </c>
      <c r="J4238" t="str">
        <f t="shared" si="334"/>
        <v/>
      </c>
    </row>
    <row r="4239" spans="1:10" x14ac:dyDescent="0.2">
      <c r="A4239">
        <v>227330183545</v>
      </c>
      <c r="B4239" t="s">
        <v>9002</v>
      </c>
      <c r="C4239" t="s">
        <v>9003</v>
      </c>
      <c r="D4239">
        <v>18.989999999999998</v>
      </c>
      <c r="F4239" t="str">
        <f t="shared" si="330"/>
        <v>No</v>
      </c>
      <c r="G4239" t="str">
        <f t="shared" si="331"/>
        <v/>
      </c>
      <c r="H4239" t="str">
        <f t="shared" si="332"/>
        <v>—</v>
      </c>
      <c r="I4239" t="str">
        <f t="shared" si="333"/>
        <v>Below thresholds</v>
      </c>
      <c r="J4239" t="str">
        <f t="shared" si="334"/>
        <v/>
      </c>
    </row>
    <row r="4240" spans="1:10" x14ac:dyDescent="0.2">
      <c r="A4240">
        <v>227330183572</v>
      </c>
      <c r="B4240" t="s">
        <v>9004</v>
      </c>
      <c r="C4240" t="s">
        <v>9005</v>
      </c>
      <c r="D4240">
        <v>1.5</v>
      </c>
      <c r="F4240" t="str">
        <f t="shared" si="330"/>
        <v>No</v>
      </c>
      <c r="G4240" t="str">
        <f t="shared" si="331"/>
        <v/>
      </c>
      <c r="H4240" t="str">
        <f t="shared" si="332"/>
        <v>—</v>
      </c>
      <c r="I4240" t="str">
        <f t="shared" si="333"/>
        <v>Below thresholds</v>
      </c>
      <c r="J4240" t="str">
        <f t="shared" si="334"/>
        <v/>
      </c>
    </row>
    <row r="4241" spans="1:10" x14ac:dyDescent="0.2">
      <c r="A4241">
        <v>227330183575</v>
      </c>
      <c r="B4241" t="s">
        <v>9006</v>
      </c>
      <c r="C4241" t="s">
        <v>9007</v>
      </c>
      <c r="D4241">
        <v>4.99</v>
      </c>
      <c r="F4241" t="str">
        <f t="shared" si="330"/>
        <v>No</v>
      </c>
      <c r="G4241" t="str">
        <f t="shared" si="331"/>
        <v/>
      </c>
      <c r="H4241" t="str">
        <f t="shared" si="332"/>
        <v>—</v>
      </c>
      <c r="I4241" t="str">
        <f t="shared" si="333"/>
        <v>Below thresholds</v>
      </c>
      <c r="J4241" t="str">
        <f t="shared" si="334"/>
        <v/>
      </c>
    </row>
    <row r="4242" spans="1:10" x14ac:dyDescent="0.2">
      <c r="A4242">
        <v>227330183581</v>
      </c>
      <c r="B4242" t="s">
        <v>9008</v>
      </c>
      <c r="C4242" t="s">
        <v>9009</v>
      </c>
      <c r="D4242">
        <v>1.59</v>
      </c>
      <c r="F4242" t="str">
        <f t="shared" si="330"/>
        <v>No</v>
      </c>
      <c r="G4242" t="str">
        <f t="shared" si="331"/>
        <v/>
      </c>
      <c r="H4242" t="str">
        <f t="shared" si="332"/>
        <v>—</v>
      </c>
      <c r="I4242" t="str">
        <f t="shared" si="333"/>
        <v>Below thresholds</v>
      </c>
      <c r="J4242" t="str">
        <f t="shared" si="334"/>
        <v/>
      </c>
    </row>
    <row r="4243" spans="1:10" x14ac:dyDescent="0.2">
      <c r="A4243">
        <v>227330183587</v>
      </c>
      <c r="B4243" t="s">
        <v>9010</v>
      </c>
      <c r="C4243" t="s">
        <v>9011</v>
      </c>
      <c r="D4243">
        <v>2.99</v>
      </c>
      <c r="F4243" t="str">
        <f t="shared" si="330"/>
        <v>No</v>
      </c>
      <c r="G4243" t="str">
        <f t="shared" si="331"/>
        <v/>
      </c>
      <c r="H4243" t="str">
        <f t="shared" si="332"/>
        <v>—</v>
      </c>
      <c r="I4243" t="str">
        <f t="shared" si="333"/>
        <v>Below thresholds</v>
      </c>
      <c r="J4243" t="str">
        <f t="shared" si="334"/>
        <v/>
      </c>
    </row>
    <row r="4244" spans="1:10" x14ac:dyDescent="0.2">
      <c r="A4244">
        <v>227330183601</v>
      </c>
      <c r="B4244" t="s">
        <v>9012</v>
      </c>
      <c r="C4244" t="s">
        <v>9013</v>
      </c>
      <c r="D4244">
        <v>1.25</v>
      </c>
      <c r="F4244" t="str">
        <f t="shared" si="330"/>
        <v>No</v>
      </c>
      <c r="G4244" t="str">
        <f t="shared" si="331"/>
        <v/>
      </c>
      <c r="H4244" t="str">
        <f t="shared" si="332"/>
        <v>—</v>
      </c>
      <c r="I4244" t="str">
        <f t="shared" si="333"/>
        <v>Below thresholds</v>
      </c>
      <c r="J4244" t="str">
        <f t="shared" si="334"/>
        <v/>
      </c>
    </row>
    <row r="4245" spans="1:10" x14ac:dyDescent="0.2">
      <c r="A4245">
        <v>227330183623</v>
      </c>
      <c r="B4245" t="s">
        <v>9014</v>
      </c>
      <c r="C4245" t="s">
        <v>9015</v>
      </c>
      <c r="D4245">
        <v>4</v>
      </c>
      <c r="F4245" t="str">
        <f t="shared" si="330"/>
        <v>No</v>
      </c>
      <c r="G4245" t="str">
        <f t="shared" si="331"/>
        <v/>
      </c>
      <c r="H4245" t="str">
        <f t="shared" si="332"/>
        <v>—</v>
      </c>
      <c r="I4245" t="str">
        <f t="shared" si="333"/>
        <v>Below thresholds</v>
      </c>
      <c r="J4245" t="str">
        <f t="shared" si="334"/>
        <v/>
      </c>
    </row>
    <row r="4246" spans="1:10" x14ac:dyDescent="0.2">
      <c r="A4246">
        <v>227330183640</v>
      </c>
      <c r="B4246" t="s">
        <v>9016</v>
      </c>
      <c r="C4246" t="s">
        <v>9017</v>
      </c>
      <c r="D4246">
        <v>1.99</v>
      </c>
      <c r="F4246" t="str">
        <f t="shared" si="330"/>
        <v>No</v>
      </c>
      <c r="G4246" t="str">
        <f t="shared" si="331"/>
        <v/>
      </c>
      <c r="H4246" t="str">
        <f t="shared" si="332"/>
        <v>—</v>
      </c>
      <c r="I4246" t="str">
        <f t="shared" si="333"/>
        <v>Below thresholds</v>
      </c>
      <c r="J4246" t="str">
        <f t="shared" si="334"/>
        <v/>
      </c>
    </row>
    <row r="4247" spans="1:10" x14ac:dyDescent="0.2">
      <c r="A4247">
        <v>227330220509</v>
      </c>
      <c r="B4247" t="s">
        <v>9018</v>
      </c>
      <c r="C4247" t="s">
        <v>9019</v>
      </c>
      <c r="D4247">
        <v>69</v>
      </c>
      <c r="F4247" t="str">
        <f t="shared" si="330"/>
        <v>No</v>
      </c>
      <c r="G4247" t="str">
        <f t="shared" si="331"/>
        <v/>
      </c>
      <c r="H4247" t="str">
        <f t="shared" si="332"/>
        <v>—</v>
      </c>
      <c r="I4247" t="str">
        <f t="shared" si="333"/>
        <v>$20+ — needs velocity check</v>
      </c>
      <c r="J4247" t="str">
        <f t="shared" si="334"/>
        <v>YES — pull CardHedger</v>
      </c>
    </row>
    <row r="4248" spans="1:10" x14ac:dyDescent="0.2">
      <c r="A4248">
        <v>227330972347</v>
      </c>
      <c r="B4248" t="s">
        <v>9020</v>
      </c>
      <c r="C4248" t="s">
        <v>9021</v>
      </c>
      <c r="D4248">
        <v>2.5</v>
      </c>
      <c r="F4248" t="str">
        <f t="shared" si="330"/>
        <v>No</v>
      </c>
      <c r="G4248" t="str">
        <f t="shared" si="331"/>
        <v/>
      </c>
      <c r="H4248" t="str">
        <f t="shared" si="332"/>
        <v>—</v>
      </c>
      <c r="I4248" t="str">
        <f t="shared" si="333"/>
        <v>Below thresholds</v>
      </c>
      <c r="J4248" t="str">
        <f t="shared" si="334"/>
        <v/>
      </c>
    </row>
    <row r="4249" spans="1:10" x14ac:dyDescent="0.2">
      <c r="A4249">
        <v>227331319636</v>
      </c>
      <c r="B4249" t="s">
        <v>9022</v>
      </c>
      <c r="C4249" t="s">
        <v>9023</v>
      </c>
      <c r="D4249">
        <v>9</v>
      </c>
      <c r="F4249" t="str">
        <f t="shared" si="330"/>
        <v>No</v>
      </c>
      <c r="G4249" t="str">
        <f t="shared" si="331"/>
        <v/>
      </c>
      <c r="H4249" t="str">
        <f t="shared" si="332"/>
        <v>—</v>
      </c>
      <c r="I4249" t="str">
        <f t="shared" si="333"/>
        <v>Below thresholds</v>
      </c>
      <c r="J4249" t="str">
        <f t="shared" si="334"/>
        <v/>
      </c>
    </row>
    <row r="4250" spans="1:10" x14ac:dyDescent="0.2">
      <c r="A4250">
        <v>227331327764</v>
      </c>
      <c r="B4250" t="s">
        <v>9024</v>
      </c>
      <c r="C4250" t="s">
        <v>9025</v>
      </c>
      <c r="D4250">
        <v>30</v>
      </c>
      <c r="F4250" t="str">
        <f t="shared" si="330"/>
        <v>No</v>
      </c>
      <c r="G4250" t="str">
        <f t="shared" si="331"/>
        <v/>
      </c>
      <c r="H4250" t="str">
        <f t="shared" si="332"/>
        <v>—</v>
      </c>
      <c r="I4250" t="str">
        <f t="shared" si="333"/>
        <v>$20+ — needs velocity check</v>
      </c>
      <c r="J4250" t="str">
        <f t="shared" si="334"/>
        <v>YES — pull CardHedger</v>
      </c>
    </row>
    <row r="4251" spans="1:10" x14ac:dyDescent="0.2">
      <c r="A4251">
        <v>227331368413</v>
      </c>
      <c r="B4251" t="s">
        <v>9026</v>
      </c>
      <c r="C4251" t="s">
        <v>9027</v>
      </c>
      <c r="D4251">
        <v>1.99</v>
      </c>
      <c r="F4251" t="str">
        <f t="shared" si="330"/>
        <v>No</v>
      </c>
      <c r="G4251" t="str">
        <f t="shared" si="331"/>
        <v/>
      </c>
      <c r="H4251" t="str">
        <f t="shared" si="332"/>
        <v>—</v>
      </c>
      <c r="I4251" t="str">
        <f t="shared" si="333"/>
        <v>Below thresholds</v>
      </c>
      <c r="J4251" t="str">
        <f t="shared" si="334"/>
        <v/>
      </c>
    </row>
    <row r="4252" spans="1:10" x14ac:dyDescent="0.2">
      <c r="A4252">
        <v>227331368442</v>
      </c>
      <c r="B4252" t="s">
        <v>9028</v>
      </c>
      <c r="C4252" t="s">
        <v>9029</v>
      </c>
      <c r="D4252">
        <v>1.5</v>
      </c>
      <c r="F4252" t="str">
        <f t="shared" si="330"/>
        <v>No</v>
      </c>
      <c r="G4252" t="str">
        <f t="shared" si="331"/>
        <v/>
      </c>
      <c r="H4252" t="str">
        <f t="shared" si="332"/>
        <v>—</v>
      </c>
      <c r="I4252" t="str">
        <f t="shared" si="333"/>
        <v>Below thresholds</v>
      </c>
      <c r="J4252" t="str">
        <f t="shared" si="334"/>
        <v/>
      </c>
    </row>
    <row r="4253" spans="1:10" x14ac:dyDescent="0.2">
      <c r="A4253">
        <v>227331368577</v>
      </c>
      <c r="B4253" t="s">
        <v>9030</v>
      </c>
      <c r="C4253" t="s">
        <v>9031</v>
      </c>
      <c r="D4253">
        <v>2.4900000000000002</v>
      </c>
      <c r="F4253" t="str">
        <f t="shared" si="330"/>
        <v>No</v>
      </c>
      <c r="G4253" t="str">
        <f t="shared" si="331"/>
        <v/>
      </c>
      <c r="H4253" t="str">
        <f t="shared" si="332"/>
        <v>—</v>
      </c>
      <c r="I4253" t="str">
        <f t="shared" si="333"/>
        <v>Below thresholds</v>
      </c>
      <c r="J4253" t="str">
        <f t="shared" si="334"/>
        <v/>
      </c>
    </row>
    <row r="4254" spans="1:10" x14ac:dyDescent="0.2">
      <c r="A4254">
        <v>227331368694</v>
      </c>
      <c r="B4254" t="s">
        <v>9032</v>
      </c>
      <c r="C4254" t="s">
        <v>9033</v>
      </c>
      <c r="D4254">
        <v>1.59</v>
      </c>
      <c r="F4254" t="str">
        <f t="shared" si="330"/>
        <v>No</v>
      </c>
      <c r="G4254" t="str">
        <f t="shared" si="331"/>
        <v/>
      </c>
      <c r="H4254" t="str">
        <f t="shared" si="332"/>
        <v>—</v>
      </c>
      <c r="I4254" t="str">
        <f t="shared" si="333"/>
        <v>Below thresholds</v>
      </c>
      <c r="J4254" t="str">
        <f t="shared" si="334"/>
        <v/>
      </c>
    </row>
    <row r="4255" spans="1:10" x14ac:dyDescent="0.2">
      <c r="A4255">
        <v>227331368751</v>
      </c>
      <c r="B4255" t="s">
        <v>9034</v>
      </c>
      <c r="C4255" t="s">
        <v>9035</v>
      </c>
      <c r="D4255">
        <v>2.99</v>
      </c>
      <c r="F4255" t="str">
        <f t="shared" si="330"/>
        <v>No</v>
      </c>
      <c r="G4255" t="str">
        <f t="shared" si="331"/>
        <v/>
      </c>
      <c r="H4255" t="str">
        <f t="shared" si="332"/>
        <v>—</v>
      </c>
      <c r="I4255" t="str">
        <f t="shared" si="333"/>
        <v>Below thresholds</v>
      </c>
      <c r="J4255" t="str">
        <f t="shared" si="334"/>
        <v/>
      </c>
    </row>
    <row r="4256" spans="1:10" x14ac:dyDescent="0.2">
      <c r="A4256">
        <v>227331368829</v>
      </c>
      <c r="B4256" t="s">
        <v>9036</v>
      </c>
      <c r="C4256" t="s">
        <v>9037</v>
      </c>
      <c r="D4256">
        <v>1.75</v>
      </c>
      <c r="F4256" t="str">
        <f t="shared" si="330"/>
        <v>No</v>
      </c>
      <c r="G4256" t="str">
        <f t="shared" si="331"/>
        <v/>
      </c>
      <c r="H4256" t="str">
        <f t="shared" si="332"/>
        <v>—</v>
      </c>
      <c r="I4256" t="str">
        <f t="shared" si="333"/>
        <v>Below thresholds</v>
      </c>
      <c r="J4256" t="str">
        <f t="shared" si="334"/>
        <v/>
      </c>
    </row>
    <row r="4257" spans="1:10" x14ac:dyDescent="0.2">
      <c r="A4257">
        <v>227331368883</v>
      </c>
      <c r="B4257" t="s">
        <v>9038</v>
      </c>
      <c r="C4257" t="s">
        <v>9039</v>
      </c>
      <c r="D4257">
        <v>1.49</v>
      </c>
      <c r="F4257" t="str">
        <f t="shared" si="330"/>
        <v>No</v>
      </c>
      <c r="G4257" t="str">
        <f t="shared" si="331"/>
        <v/>
      </c>
      <c r="H4257" t="str">
        <f t="shared" si="332"/>
        <v>—</v>
      </c>
      <c r="I4257" t="str">
        <f t="shared" si="333"/>
        <v>Below thresholds</v>
      </c>
      <c r="J4257" t="str">
        <f t="shared" si="334"/>
        <v/>
      </c>
    </row>
    <row r="4258" spans="1:10" x14ac:dyDescent="0.2">
      <c r="A4258">
        <v>227331369007</v>
      </c>
      <c r="B4258" t="s">
        <v>9040</v>
      </c>
      <c r="C4258" t="s">
        <v>9041</v>
      </c>
      <c r="D4258">
        <v>59</v>
      </c>
      <c r="F4258" t="str">
        <f t="shared" si="330"/>
        <v>No</v>
      </c>
      <c r="G4258" t="str">
        <f t="shared" si="331"/>
        <v/>
      </c>
      <c r="H4258" t="str">
        <f t="shared" si="332"/>
        <v>—</v>
      </c>
      <c r="I4258" t="str">
        <f t="shared" si="333"/>
        <v>$20+ — needs velocity check</v>
      </c>
      <c r="J4258" t="str">
        <f t="shared" si="334"/>
        <v>YES — pull CardHedger</v>
      </c>
    </row>
    <row r="4259" spans="1:10" x14ac:dyDescent="0.2">
      <c r="A4259">
        <v>227331369034</v>
      </c>
      <c r="B4259" t="s">
        <v>9042</v>
      </c>
      <c r="C4259" t="s">
        <v>9043</v>
      </c>
      <c r="D4259">
        <v>8.99</v>
      </c>
      <c r="F4259" t="str">
        <f t="shared" si="330"/>
        <v>No</v>
      </c>
      <c r="G4259" t="str">
        <f t="shared" si="331"/>
        <v/>
      </c>
      <c r="H4259" t="str">
        <f t="shared" si="332"/>
        <v>—</v>
      </c>
      <c r="I4259" t="str">
        <f t="shared" si="333"/>
        <v>Below thresholds</v>
      </c>
      <c r="J4259" t="str">
        <f t="shared" si="334"/>
        <v/>
      </c>
    </row>
    <row r="4260" spans="1:10" x14ac:dyDescent="0.2">
      <c r="A4260">
        <v>227331369178</v>
      </c>
      <c r="B4260" t="s">
        <v>9044</v>
      </c>
      <c r="C4260" t="s">
        <v>9045</v>
      </c>
      <c r="D4260">
        <v>1.99</v>
      </c>
      <c r="F4260" t="str">
        <f t="shared" si="330"/>
        <v>No</v>
      </c>
      <c r="G4260" t="str">
        <f t="shared" si="331"/>
        <v/>
      </c>
      <c r="H4260" t="str">
        <f t="shared" si="332"/>
        <v>—</v>
      </c>
      <c r="I4260" t="str">
        <f t="shared" si="333"/>
        <v>Below thresholds</v>
      </c>
      <c r="J4260" t="str">
        <f t="shared" si="334"/>
        <v/>
      </c>
    </row>
    <row r="4261" spans="1:10" x14ac:dyDescent="0.2">
      <c r="A4261">
        <v>227331369208</v>
      </c>
      <c r="B4261" t="s">
        <v>9046</v>
      </c>
      <c r="C4261" t="s">
        <v>9047</v>
      </c>
      <c r="D4261">
        <v>1.99</v>
      </c>
      <c r="F4261" t="str">
        <f t="shared" si="330"/>
        <v>No</v>
      </c>
      <c r="G4261" t="str">
        <f t="shared" si="331"/>
        <v/>
      </c>
      <c r="H4261" t="str">
        <f t="shared" si="332"/>
        <v>—</v>
      </c>
      <c r="I4261" t="str">
        <f t="shared" si="333"/>
        <v>Below thresholds</v>
      </c>
      <c r="J4261" t="str">
        <f t="shared" si="334"/>
        <v/>
      </c>
    </row>
    <row r="4262" spans="1:10" x14ac:dyDescent="0.2">
      <c r="A4262">
        <v>227331369298</v>
      </c>
      <c r="B4262" t="s">
        <v>9048</v>
      </c>
      <c r="C4262" t="s">
        <v>9049</v>
      </c>
      <c r="D4262">
        <v>2.99</v>
      </c>
      <c r="F4262" t="str">
        <f t="shared" si="330"/>
        <v>No</v>
      </c>
      <c r="G4262" t="str">
        <f t="shared" si="331"/>
        <v/>
      </c>
      <c r="H4262" t="str">
        <f t="shared" si="332"/>
        <v>—</v>
      </c>
      <c r="I4262" t="str">
        <f t="shared" si="333"/>
        <v>Below thresholds</v>
      </c>
      <c r="J4262" t="str">
        <f t="shared" si="334"/>
        <v/>
      </c>
    </row>
    <row r="4263" spans="1:10" x14ac:dyDescent="0.2">
      <c r="A4263">
        <v>227331369327</v>
      </c>
      <c r="B4263" t="s">
        <v>9050</v>
      </c>
      <c r="C4263" t="s">
        <v>9051</v>
      </c>
      <c r="D4263">
        <v>2.34</v>
      </c>
      <c r="F4263" t="str">
        <f t="shared" si="330"/>
        <v>No</v>
      </c>
      <c r="G4263" t="str">
        <f t="shared" si="331"/>
        <v/>
      </c>
      <c r="H4263" t="str">
        <f t="shared" si="332"/>
        <v>—</v>
      </c>
      <c r="I4263" t="str">
        <f t="shared" si="333"/>
        <v>Below thresholds</v>
      </c>
      <c r="J4263" t="str">
        <f t="shared" si="334"/>
        <v/>
      </c>
    </row>
    <row r="4264" spans="1:10" x14ac:dyDescent="0.2">
      <c r="A4264">
        <v>227331369328</v>
      </c>
      <c r="B4264" t="s">
        <v>9052</v>
      </c>
      <c r="C4264" t="s">
        <v>9053</v>
      </c>
      <c r="D4264">
        <v>4.99</v>
      </c>
      <c r="F4264" t="str">
        <f t="shared" si="330"/>
        <v>No</v>
      </c>
      <c r="G4264" t="str">
        <f t="shared" si="331"/>
        <v/>
      </c>
      <c r="H4264" t="str">
        <f t="shared" si="332"/>
        <v>—</v>
      </c>
      <c r="I4264" t="str">
        <f t="shared" si="333"/>
        <v>Below thresholds</v>
      </c>
      <c r="J4264" t="str">
        <f t="shared" si="334"/>
        <v/>
      </c>
    </row>
    <row r="4265" spans="1:10" x14ac:dyDescent="0.2">
      <c r="A4265">
        <v>227331369357</v>
      </c>
      <c r="B4265" t="s">
        <v>9054</v>
      </c>
      <c r="C4265" t="s">
        <v>9055</v>
      </c>
      <c r="D4265">
        <v>2.4900000000000002</v>
      </c>
      <c r="F4265" t="str">
        <f t="shared" si="330"/>
        <v>No</v>
      </c>
      <c r="G4265" t="str">
        <f t="shared" si="331"/>
        <v/>
      </c>
      <c r="H4265" t="str">
        <f t="shared" si="332"/>
        <v>—</v>
      </c>
      <c r="I4265" t="str">
        <f t="shared" si="333"/>
        <v>Below thresholds</v>
      </c>
      <c r="J4265" t="str">
        <f t="shared" si="334"/>
        <v/>
      </c>
    </row>
    <row r="4266" spans="1:10" x14ac:dyDescent="0.2">
      <c r="A4266">
        <v>227331369397</v>
      </c>
      <c r="B4266" t="s">
        <v>9056</v>
      </c>
      <c r="C4266" t="s">
        <v>9057</v>
      </c>
      <c r="D4266">
        <v>2.4900000000000002</v>
      </c>
      <c r="F4266" t="str">
        <f t="shared" si="330"/>
        <v>No</v>
      </c>
      <c r="G4266" t="str">
        <f t="shared" si="331"/>
        <v/>
      </c>
      <c r="H4266" t="str">
        <f t="shared" si="332"/>
        <v>—</v>
      </c>
      <c r="I4266" t="str">
        <f t="shared" si="333"/>
        <v>Below thresholds</v>
      </c>
      <c r="J4266" t="str">
        <f t="shared" si="334"/>
        <v/>
      </c>
    </row>
    <row r="4267" spans="1:10" x14ac:dyDescent="0.2">
      <c r="A4267">
        <v>227331369440</v>
      </c>
      <c r="B4267" t="s">
        <v>9058</v>
      </c>
      <c r="C4267" t="s">
        <v>9059</v>
      </c>
      <c r="D4267">
        <v>1.25</v>
      </c>
      <c r="F4267" t="str">
        <f t="shared" si="330"/>
        <v>No</v>
      </c>
      <c r="G4267" t="str">
        <f t="shared" si="331"/>
        <v/>
      </c>
      <c r="H4267" t="str">
        <f t="shared" si="332"/>
        <v>—</v>
      </c>
      <c r="I4267" t="str">
        <f t="shared" si="333"/>
        <v>Below thresholds</v>
      </c>
      <c r="J4267" t="str">
        <f t="shared" si="334"/>
        <v/>
      </c>
    </row>
    <row r="4268" spans="1:10" x14ac:dyDescent="0.2">
      <c r="A4268">
        <v>227331369486</v>
      </c>
      <c r="B4268" t="s">
        <v>9060</v>
      </c>
      <c r="C4268" t="s">
        <v>9061</v>
      </c>
      <c r="D4268">
        <v>8.99</v>
      </c>
      <c r="F4268" t="str">
        <f t="shared" si="330"/>
        <v>No</v>
      </c>
      <c r="G4268" t="str">
        <f t="shared" si="331"/>
        <v/>
      </c>
      <c r="H4268" t="str">
        <f t="shared" si="332"/>
        <v>—</v>
      </c>
      <c r="I4268" t="str">
        <f t="shared" si="333"/>
        <v>Below thresholds</v>
      </c>
      <c r="J4268" t="str">
        <f t="shared" si="334"/>
        <v/>
      </c>
    </row>
    <row r="4269" spans="1:10" x14ac:dyDescent="0.2">
      <c r="A4269">
        <v>227331369504</v>
      </c>
      <c r="B4269" t="s">
        <v>9062</v>
      </c>
      <c r="C4269" t="s">
        <v>9063</v>
      </c>
      <c r="D4269">
        <v>8.59</v>
      </c>
      <c r="F4269" t="str">
        <f t="shared" si="330"/>
        <v>No</v>
      </c>
      <c r="G4269" t="str">
        <f t="shared" si="331"/>
        <v/>
      </c>
      <c r="H4269" t="str">
        <f t="shared" si="332"/>
        <v>—</v>
      </c>
      <c r="I4269" t="str">
        <f t="shared" si="333"/>
        <v>Below thresholds</v>
      </c>
      <c r="J4269" t="str">
        <f t="shared" si="334"/>
        <v/>
      </c>
    </row>
    <row r="4270" spans="1:10" x14ac:dyDescent="0.2">
      <c r="A4270">
        <v>227331369518</v>
      </c>
      <c r="B4270" t="s">
        <v>9064</v>
      </c>
      <c r="C4270" t="s">
        <v>9065</v>
      </c>
      <c r="D4270">
        <v>3.99</v>
      </c>
      <c r="F4270" t="str">
        <f t="shared" si="330"/>
        <v>No</v>
      </c>
      <c r="G4270" t="str">
        <f t="shared" si="331"/>
        <v/>
      </c>
      <c r="H4270" t="str">
        <f t="shared" si="332"/>
        <v>—</v>
      </c>
      <c r="I4270" t="str">
        <f t="shared" si="333"/>
        <v>Below thresholds</v>
      </c>
      <c r="J4270" t="str">
        <f t="shared" si="334"/>
        <v/>
      </c>
    </row>
    <row r="4271" spans="1:10" x14ac:dyDescent="0.2">
      <c r="A4271">
        <v>227331369572</v>
      </c>
      <c r="B4271" t="s">
        <v>9066</v>
      </c>
      <c r="C4271" t="s">
        <v>9067</v>
      </c>
      <c r="D4271">
        <v>3.99</v>
      </c>
      <c r="F4271" t="str">
        <f t="shared" si="330"/>
        <v>No</v>
      </c>
      <c r="G4271" t="str">
        <f t="shared" si="331"/>
        <v/>
      </c>
      <c r="H4271" t="str">
        <f t="shared" si="332"/>
        <v>—</v>
      </c>
      <c r="I4271" t="str">
        <f t="shared" si="333"/>
        <v>Below thresholds</v>
      </c>
      <c r="J4271" t="str">
        <f t="shared" si="334"/>
        <v/>
      </c>
    </row>
    <row r="4272" spans="1:10" x14ac:dyDescent="0.2">
      <c r="A4272">
        <v>227331369638</v>
      </c>
      <c r="B4272" t="s">
        <v>9068</v>
      </c>
      <c r="C4272" t="s">
        <v>9069</v>
      </c>
      <c r="D4272">
        <v>1.99</v>
      </c>
      <c r="F4272" t="str">
        <f t="shared" si="330"/>
        <v>No</v>
      </c>
      <c r="G4272" t="str">
        <f t="shared" si="331"/>
        <v/>
      </c>
      <c r="H4272" t="str">
        <f t="shared" si="332"/>
        <v>—</v>
      </c>
      <c r="I4272" t="str">
        <f t="shared" si="333"/>
        <v>Below thresholds</v>
      </c>
      <c r="J4272" t="str">
        <f t="shared" si="334"/>
        <v/>
      </c>
    </row>
    <row r="4273" spans="1:10" x14ac:dyDescent="0.2">
      <c r="A4273">
        <v>227331369656</v>
      </c>
      <c r="B4273" t="s">
        <v>9070</v>
      </c>
      <c r="C4273" t="s">
        <v>9071</v>
      </c>
      <c r="D4273">
        <v>1.99</v>
      </c>
      <c r="F4273" t="str">
        <f t="shared" si="330"/>
        <v>No</v>
      </c>
      <c r="G4273" t="str">
        <f t="shared" si="331"/>
        <v/>
      </c>
      <c r="H4273" t="str">
        <f t="shared" si="332"/>
        <v>—</v>
      </c>
      <c r="I4273" t="str">
        <f t="shared" si="333"/>
        <v>Below thresholds</v>
      </c>
      <c r="J4273" t="str">
        <f t="shared" si="334"/>
        <v/>
      </c>
    </row>
    <row r="4274" spans="1:10" x14ac:dyDescent="0.2">
      <c r="A4274">
        <v>227331369826</v>
      </c>
      <c r="B4274" t="s">
        <v>9072</v>
      </c>
      <c r="C4274" t="s">
        <v>9073</v>
      </c>
      <c r="D4274">
        <v>1.99</v>
      </c>
      <c r="F4274" t="str">
        <f t="shared" si="330"/>
        <v>No</v>
      </c>
      <c r="G4274" t="str">
        <f t="shared" si="331"/>
        <v/>
      </c>
      <c r="H4274" t="str">
        <f t="shared" si="332"/>
        <v>—</v>
      </c>
      <c r="I4274" t="str">
        <f t="shared" si="333"/>
        <v>Below thresholds</v>
      </c>
      <c r="J4274" t="str">
        <f t="shared" si="334"/>
        <v/>
      </c>
    </row>
    <row r="4275" spans="1:10" x14ac:dyDescent="0.2">
      <c r="A4275">
        <v>227331369861</v>
      </c>
      <c r="B4275" t="s">
        <v>9074</v>
      </c>
      <c r="C4275" t="s">
        <v>9075</v>
      </c>
      <c r="D4275">
        <v>5.99</v>
      </c>
      <c r="F4275" t="str">
        <f t="shared" si="330"/>
        <v>No</v>
      </c>
      <c r="G4275" t="str">
        <f t="shared" si="331"/>
        <v/>
      </c>
      <c r="H4275" t="str">
        <f t="shared" si="332"/>
        <v>—</v>
      </c>
      <c r="I4275" t="str">
        <f t="shared" si="333"/>
        <v>Below thresholds</v>
      </c>
      <c r="J4275" t="str">
        <f t="shared" si="334"/>
        <v/>
      </c>
    </row>
    <row r="4276" spans="1:10" x14ac:dyDescent="0.2">
      <c r="A4276">
        <v>227331369941</v>
      </c>
      <c r="B4276" t="s">
        <v>9076</v>
      </c>
      <c r="C4276" t="s">
        <v>9077</v>
      </c>
      <c r="D4276">
        <v>2.99</v>
      </c>
      <c r="F4276" t="str">
        <f t="shared" si="330"/>
        <v>No</v>
      </c>
      <c r="G4276" t="str">
        <f t="shared" si="331"/>
        <v/>
      </c>
      <c r="H4276" t="str">
        <f t="shared" si="332"/>
        <v>—</v>
      </c>
      <c r="I4276" t="str">
        <f t="shared" si="333"/>
        <v>Below thresholds</v>
      </c>
      <c r="J4276" t="str">
        <f t="shared" si="334"/>
        <v/>
      </c>
    </row>
    <row r="4277" spans="1:10" x14ac:dyDescent="0.2">
      <c r="A4277">
        <v>227331369978</v>
      </c>
      <c r="B4277" t="s">
        <v>9078</v>
      </c>
      <c r="C4277" t="s">
        <v>9079</v>
      </c>
      <c r="D4277">
        <v>1.25</v>
      </c>
      <c r="F4277" t="str">
        <f t="shared" si="330"/>
        <v>No</v>
      </c>
      <c r="G4277" t="str">
        <f t="shared" si="331"/>
        <v/>
      </c>
      <c r="H4277" t="str">
        <f t="shared" si="332"/>
        <v>—</v>
      </c>
      <c r="I4277" t="str">
        <f t="shared" si="333"/>
        <v>Below thresholds</v>
      </c>
      <c r="J4277" t="str">
        <f t="shared" si="334"/>
        <v/>
      </c>
    </row>
    <row r="4278" spans="1:10" x14ac:dyDescent="0.2">
      <c r="A4278">
        <v>227331370035</v>
      </c>
      <c r="B4278" t="s">
        <v>9080</v>
      </c>
      <c r="C4278" t="s">
        <v>9081</v>
      </c>
      <c r="D4278">
        <v>2.99</v>
      </c>
      <c r="F4278" t="str">
        <f t="shared" si="330"/>
        <v>No</v>
      </c>
      <c r="G4278" t="str">
        <f t="shared" si="331"/>
        <v/>
      </c>
      <c r="H4278" t="str">
        <f t="shared" si="332"/>
        <v>—</v>
      </c>
      <c r="I4278" t="str">
        <f t="shared" si="333"/>
        <v>Below thresholds</v>
      </c>
      <c r="J4278" t="str">
        <f t="shared" si="334"/>
        <v/>
      </c>
    </row>
    <row r="4279" spans="1:10" x14ac:dyDescent="0.2">
      <c r="A4279">
        <v>227331370036</v>
      </c>
      <c r="B4279" t="s">
        <v>9082</v>
      </c>
      <c r="C4279" t="s">
        <v>9083</v>
      </c>
      <c r="D4279">
        <v>4.99</v>
      </c>
      <c r="F4279" t="str">
        <f t="shared" si="330"/>
        <v>No</v>
      </c>
      <c r="G4279" t="str">
        <f t="shared" si="331"/>
        <v/>
      </c>
      <c r="H4279" t="str">
        <f t="shared" si="332"/>
        <v>—</v>
      </c>
      <c r="I4279" t="str">
        <f t="shared" si="333"/>
        <v>Below thresholds</v>
      </c>
      <c r="J4279" t="str">
        <f t="shared" si="334"/>
        <v/>
      </c>
    </row>
    <row r="4280" spans="1:10" x14ac:dyDescent="0.2">
      <c r="A4280">
        <v>227331370085</v>
      </c>
      <c r="B4280" t="s">
        <v>9084</v>
      </c>
      <c r="C4280" t="s">
        <v>9085</v>
      </c>
      <c r="D4280">
        <v>2.89</v>
      </c>
      <c r="F4280" t="str">
        <f t="shared" si="330"/>
        <v>No</v>
      </c>
      <c r="G4280" t="str">
        <f t="shared" si="331"/>
        <v/>
      </c>
      <c r="H4280" t="str">
        <f t="shared" si="332"/>
        <v>—</v>
      </c>
      <c r="I4280" t="str">
        <f t="shared" si="333"/>
        <v>Below thresholds</v>
      </c>
      <c r="J4280" t="str">
        <f t="shared" si="334"/>
        <v/>
      </c>
    </row>
    <row r="4281" spans="1:10" x14ac:dyDescent="0.2">
      <c r="A4281">
        <v>227331370088</v>
      </c>
      <c r="B4281" t="s">
        <v>9086</v>
      </c>
      <c r="C4281" t="s">
        <v>9087</v>
      </c>
      <c r="D4281">
        <v>4.99</v>
      </c>
      <c r="F4281" t="str">
        <f t="shared" si="330"/>
        <v>No</v>
      </c>
      <c r="G4281" t="str">
        <f t="shared" si="331"/>
        <v/>
      </c>
      <c r="H4281" t="str">
        <f t="shared" si="332"/>
        <v>—</v>
      </c>
      <c r="I4281" t="str">
        <f t="shared" si="333"/>
        <v>Below thresholds</v>
      </c>
      <c r="J4281" t="str">
        <f t="shared" si="334"/>
        <v/>
      </c>
    </row>
    <row r="4282" spans="1:10" x14ac:dyDescent="0.2">
      <c r="A4282">
        <v>227331370173</v>
      </c>
      <c r="B4282" t="s">
        <v>9088</v>
      </c>
      <c r="C4282" t="s">
        <v>9089</v>
      </c>
      <c r="D4282">
        <v>1.75</v>
      </c>
      <c r="F4282" t="str">
        <f t="shared" si="330"/>
        <v>No</v>
      </c>
      <c r="G4282" t="str">
        <f t="shared" si="331"/>
        <v/>
      </c>
      <c r="H4282" t="str">
        <f t="shared" si="332"/>
        <v>—</v>
      </c>
      <c r="I4282" t="str">
        <f t="shared" si="333"/>
        <v>Below thresholds</v>
      </c>
      <c r="J4282" t="str">
        <f t="shared" si="334"/>
        <v/>
      </c>
    </row>
    <row r="4283" spans="1:10" x14ac:dyDescent="0.2">
      <c r="A4283">
        <v>227331370198</v>
      </c>
      <c r="B4283" t="s">
        <v>9090</v>
      </c>
      <c r="C4283" t="s">
        <v>9091</v>
      </c>
      <c r="D4283">
        <v>5.99</v>
      </c>
      <c r="F4283" t="str">
        <f t="shared" si="330"/>
        <v>No</v>
      </c>
      <c r="G4283" t="str">
        <f t="shared" si="331"/>
        <v/>
      </c>
      <c r="H4283" t="str">
        <f t="shared" si="332"/>
        <v>—</v>
      </c>
      <c r="I4283" t="str">
        <f t="shared" si="333"/>
        <v>Below thresholds</v>
      </c>
      <c r="J4283" t="str">
        <f t="shared" si="334"/>
        <v/>
      </c>
    </row>
    <row r="4284" spans="1:10" x14ac:dyDescent="0.2">
      <c r="A4284">
        <v>227331370255</v>
      </c>
      <c r="B4284" t="s">
        <v>9092</v>
      </c>
      <c r="C4284" t="s">
        <v>9093</v>
      </c>
      <c r="D4284">
        <v>2.99</v>
      </c>
      <c r="F4284" t="str">
        <f t="shared" si="330"/>
        <v>No</v>
      </c>
      <c r="G4284" t="str">
        <f t="shared" si="331"/>
        <v/>
      </c>
      <c r="H4284" t="str">
        <f t="shared" si="332"/>
        <v>—</v>
      </c>
      <c r="I4284" t="str">
        <f t="shared" si="333"/>
        <v>Below thresholds</v>
      </c>
      <c r="J4284" t="str">
        <f t="shared" si="334"/>
        <v/>
      </c>
    </row>
    <row r="4285" spans="1:10" x14ac:dyDescent="0.2">
      <c r="A4285">
        <v>227331370259</v>
      </c>
      <c r="B4285" t="s">
        <v>9094</v>
      </c>
      <c r="C4285" t="s">
        <v>9095</v>
      </c>
      <c r="D4285">
        <v>1.99</v>
      </c>
      <c r="F4285" t="str">
        <f t="shared" si="330"/>
        <v>No</v>
      </c>
      <c r="G4285" t="str">
        <f t="shared" si="331"/>
        <v/>
      </c>
      <c r="H4285" t="str">
        <f t="shared" si="332"/>
        <v>—</v>
      </c>
      <c r="I4285" t="str">
        <f t="shared" si="333"/>
        <v>Below thresholds</v>
      </c>
      <c r="J4285" t="str">
        <f t="shared" si="334"/>
        <v/>
      </c>
    </row>
    <row r="4286" spans="1:10" x14ac:dyDescent="0.2">
      <c r="A4286">
        <v>227331370372</v>
      </c>
      <c r="B4286" t="s">
        <v>9096</v>
      </c>
      <c r="C4286" t="s">
        <v>9097</v>
      </c>
      <c r="D4286">
        <v>2.99</v>
      </c>
      <c r="F4286" t="str">
        <f t="shared" si="330"/>
        <v>No</v>
      </c>
      <c r="G4286" t="str">
        <f t="shared" si="331"/>
        <v/>
      </c>
      <c r="H4286" t="str">
        <f t="shared" si="332"/>
        <v>—</v>
      </c>
      <c r="I4286" t="str">
        <f t="shared" si="333"/>
        <v>Below thresholds</v>
      </c>
      <c r="J4286" t="str">
        <f t="shared" si="334"/>
        <v/>
      </c>
    </row>
    <row r="4287" spans="1:10" x14ac:dyDescent="0.2">
      <c r="A4287">
        <v>227331713144</v>
      </c>
      <c r="B4287" t="s">
        <v>9098</v>
      </c>
      <c r="C4287" t="s">
        <v>9099</v>
      </c>
      <c r="D4287">
        <v>2.99</v>
      </c>
      <c r="F4287" t="str">
        <f t="shared" si="330"/>
        <v>No</v>
      </c>
      <c r="G4287" t="str">
        <f t="shared" si="331"/>
        <v/>
      </c>
      <c r="H4287" t="str">
        <f t="shared" si="332"/>
        <v>—</v>
      </c>
      <c r="I4287" t="str">
        <f t="shared" si="333"/>
        <v>Below thresholds</v>
      </c>
      <c r="J4287" t="str">
        <f t="shared" si="334"/>
        <v/>
      </c>
    </row>
    <row r="4288" spans="1:10" x14ac:dyDescent="0.2">
      <c r="A4288">
        <v>227331718592</v>
      </c>
      <c r="B4288" t="s">
        <v>9100</v>
      </c>
      <c r="C4288" t="s">
        <v>9101</v>
      </c>
      <c r="D4288">
        <v>2.5</v>
      </c>
      <c r="F4288" t="str">
        <f t="shared" si="330"/>
        <v>No</v>
      </c>
      <c r="G4288" t="str">
        <f t="shared" si="331"/>
        <v/>
      </c>
      <c r="H4288" t="str">
        <f t="shared" si="332"/>
        <v>—</v>
      </c>
      <c r="I4288" t="str">
        <f t="shared" si="333"/>
        <v>Below thresholds</v>
      </c>
      <c r="J4288" t="str">
        <f t="shared" si="334"/>
        <v/>
      </c>
    </row>
    <row r="4289" spans="1:10" x14ac:dyDescent="0.2">
      <c r="A4289">
        <v>227333148737</v>
      </c>
      <c r="B4289" t="s">
        <v>9102</v>
      </c>
      <c r="C4289" t="s">
        <v>9103</v>
      </c>
      <c r="D4289">
        <v>1.5</v>
      </c>
      <c r="F4289" t="str">
        <f t="shared" si="330"/>
        <v>No</v>
      </c>
      <c r="G4289" t="str">
        <f t="shared" si="331"/>
        <v/>
      </c>
      <c r="H4289" t="str">
        <f t="shared" si="332"/>
        <v>—</v>
      </c>
      <c r="I4289" t="str">
        <f t="shared" si="333"/>
        <v>Below thresholds</v>
      </c>
      <c r="J4289" t="str">
        <f t="shared" si="334"/>
        <v/>
      </c>
    </row>
    <row r="4290" spans="1:10" x14ac:dyDescent="0.2">
      <c r="A4290">
        <v>227333148762</v>
      </c>
      <c r="B4290" t="s">
        <v>9104</v>
      </c>
      <c r="C4290" t="s">
        <v>9105</v>
      </c>
      <c r="D4290">
        <v>1.5</v>
      </c>
      <c r="F4290" t="str">
        <f t="shared" si="330"/>
        <v>No</v>
      </c>
      <c r="G4290" t="str">
        <f t="shared" si="331"/>
        <v/>
      </c>
      <c r="H4290" t="str">
        <f t="shared" si="332"/>
        <v>—</v>
      </c>
      <c r="I4290" t="str">
        <f t="shared" si="333"/>
        <v>Below thresholds</v>
      </c>
      <c r="J4290" t="str">
        <f t="shared" si="334"/>
        <v/>
      </c>
    </row>
    <row r="4291" spans="1:10" x14ac:dyDescent="0.2">
      <c r="A4291">
        <v>227333148896</v>
      </c>
      <c r="B4291" t="s">
        <v>9106</v>
      </c>
      <c r="C4291" t="s">
        <v>9107</v>
      </c>
      <c r="D4291">
        <v>3.5</v>
      </c>
      <c r="F4291" t="str">
        <f t="shared" si="330"/>
        <v>No</v>
      </c>
      <c r="G4291" t="str">
        <f t="shared" si="331"/>
        <v/>
      </c>
      <c r="H4291" t="str">
        <f t="shared" si="332"/>
        <v>—</v>
      </c>
      <c r="I4291" t="str">
        <f t="shared" si="333"/>
        <v>Below thresholds</v>
      </c>
      <c r="J4291" t="str">
        <f t="shared" si="334"/>
        <v/>
      </c>
    </row>
    <row r="4292" spans="1:10" x14ac:dyDescent="0.2">
      <c r="A4292">
        <v>227333149013</v>
      </c>
      <c r="B4292" t="s">
        <v>9108</v>
      </c>
      <c r="C4292" t="s">
        <v>9109</v>
      </c>
      <c r="D4292">
        <v>1.5</v>
      </c>
      <c r="F4292" t="str">
        <f t="shared" si="330"/>
        <v>No</v>
      </c>
      <c r="G4292" t="str">
        <f t="shared" si="331"/>
        <v/>
      </c>
      <c r="H4292" t="str">
        <f t="shared" si="332"/>
        <v>—</v>
      </c>
      <c r="I4292" t="str">
        <f t="shared" si="333"/>
        <v>Below thresholds</v>
      </c>
      <c r="J4292" t="str">
        <f t="shared" si="334"/>
        <v/>
      </c>
    </row>
    <row r="4293" spans="1:10" x14ac:dyDescent="0.2">
      <c r="A4293">
        <v>227333149032</v>
      </c>
      <c r="B4293" t="s">
        <v>9110</v>
      </c>
      <c r="C4293" t="s">
        <v>9111</v>
      </c>
      <c r="D4293">
        <v>1.25</v>
      </c>
      <c r="F4293" t="str">
        <f t="shared" ref="F4293:F4356" si="335">IF($B4293="","",IF(ISNUMBER(SEARCH("PSA",$B4293)),"Yes","No"))</f>
        <v>No</v>
      </c>
      <c r="G4293" t="str">
        <f t="shared" ref="G4293:G4356" si="336">IF($B4293="","",IF(ISNUMBER(SEARCH("PSA 10",$B4293)),10,IF(ISNUMBER(SEARCH("PSA 9.5",$B4293)),9.5,IF(ISNUMBER(SEARCH("PSA 9",$B4293)),9,IF(ISNUMBER(SEARCH("PSA 8",$B4293)),8,IF(ISNUMBER(SEARCH("PSA",$B4293)),"&lt;9",""))))))</f>
        <v/>
      </c>
      <c r="H4293" t="str">
        <f t="shared" ref="H4293:H4356" si="337">IF($B4293="","",IF($D4293&gt;=100,"TIER 2",IF(OR(ISNUMBER(SEARCH("PSA 10",$B4293)),ISNUMBER(SEARCH("PSA 9.5",$B4293)),ISNUMBER(SEARCH("PSA 9",$B4293))),"TIER 3",IF(AND($D4293&gt;20,N($E4293)&gt;=15),"TIER 1","—"))))</f>
        <v>—</v>
      </c>
      <c r="I4293" t="str">
        <f t="shared" ref="I4293:I4356" si="338">IF($B4293="","",IF($D4293&gt;=100,"Premium $100+ (auto)",IF(OR(ISNUMBER(SEARCH("PSA 10",$B4293)),ISNUMBER(SEARCH("PSA 9.5",$B4293)),ISNUMBER(SEARCH("PSA 9",$B4293))),"Graded PSA 9+ (auto)",IF(AND($D4293&gt;20,N($E4293)&gt;=15),"Hot: $20+ &amp; "&amp;$E4293&amp;"/day",IF($D4293&gt;20,"$20+ — needs velocity check","Below thresholds")))))</f>
        <v>Below thresholds</v>
      </c>
      <c r="J4293" t="str">
        <f t="shared" ref="J4293:J4356" si="339">IF($B4293="","",IF(AND($D4293&gt;20,$D4293&lt;100,NOT(OR(ISNUMBER(SEARCH("PSA 10",$B4293)),ISNUMBER(SEARCH("PSA 9.5",$B4293)),ISNUMBER(SEARCH("PSA 9",$B4293)))),$E4293=""),"YES — pull CardHedger",""))</f>
        <v/>
      </c>
    </row>
    <row r="4294" spans="1:10" x14ac:dyDescent="0.2">
      <c r="A4294">
        <v>227333149197</v>
      </c>
      <c r="B4294" t="s">
        <v>9112</v>
      </c>
      <c r="C4294" t="s">
        <v>9113</v>
      </c>
      <c r="D4294">
        <v>1.25</v>
      </c>
      <c r="F4294" t="str">
        <f t="shared" si="335"/>
        <v>No</v>
      </c>
      <c r="G4294" t="str">
        <f t="shared" si="336"/>
        <v/>
      </c>
      <c r="H4294" t="str">
        <f t="shared" si="337"/>
        <v>—</v>
      </c>
      <c r="I4294" t="str">
        <f t="shared" si="338"/>
        <v>Below thresholds</v>
      </c>
      <c r="J4294" t="str">
        <f t="shared" si="339"/>
        <v/>
      </c>
    </row>
    <row r="4295" spans="1:10" x14ac:dyDescent="0.2">
      <c r="A4295">
        <v>227333149298</v>
      </c>
      <c r="B4295" t="s">
        <v>9114</v>
      </c>
      <c r="C4295" t="s">
        <v>9115</v>
      </c>
      <c r="D4295">
        <v>25</v>
      </c>
      <c r="F4295" t="str">
        <f t="shared" si="335"/>
        <v>No</v>
      </c>
      <c r="G4295" t="str">
        <f t="shared" si="336"/>
        <v/>
      </c>
      <c r="H4295" t="str">
        <f t="shared" si="337"/>
        <v>—</v>
      </c>
      <c r="I4295" t="str">
        <f t="shared" si="338"/>
        <v>$20+ — needs velocity check</v>
      </c>
      <c r="J4295" t="str">
        <f t="shared" si="339"/>
        <v>YES — pull CardHedger</v>
      </c>
    </row>
    <row r="4296" spans="1:10" x14ac:dyDescent="0.2">
      <c r="A4296">
        <v>227333149326</v>
      </c>
      <c r="B4296" t="s">
        <v>9116</v>
      </c>
      <c r="C4296" t="s">
        <v>9117</v>
      </c>
      <c r="D4296">
        <v>2</v>
      </c>
      <c r="F4296" t="str">
        <f t="shared" si="335"/>
        <v>No</v>
      </c>
      <c r="G4296" t="str">
        <f t="shared" si="336"/>
        <v/>
      </c>
      <c r="H4296" t="str">
        <f t="shared" si="337"/>
        <v>—</v>
      </c>
      <c r="I4296" t="str">
        <f t="shared" si="338"/>
        <v>Below thresholds</v>
      </c>
      <c r="J4296" t="str">
        <f t="shared" si="339"/>
        <v/>
      </c>
    </row>
    <row r="4297" spans="1:10" x14ac:dyDescent="0.2">
      <c r="A4297">
        <v>227333149347</v>
      </c>
      <c r="B4297" t="s">
        <v>9118</v>
      </c>
      <c r="C4297" t="s">
        <v>9119</v>
      </c>
      <c r="D4297">
        <v>6</v>
      </c>
      <c r="F4297" t="str">
        <f t="shared" si="335"/>
        <v>No</v>
      </c>
      <c r="G4297" t="str">
        <f t="shared" si="336"/>
        <v/>
      </c>
      <c r="H4297" t="str">
        <f t="shared" si="337"/>
        <v>—</v>
      </c>
      <c r="I4297" t="str">
        <f t="shared" si="338"/>
        <v>Below thresholds</v>
      </c>
      <c r="J4297" t="str">
        <f t="shared" si="339"/>
        <v/>
      </c>
    </row>
    <row r="4298" spans="1:10" x14ac:dyDescent="0.2">
      <c r="A4298">
        <v>227333149353</v>
      </c>
      <c r="B4298" t="s">
        <v>9120</v>
      </c>
      <c r="C4298" t="s">
        <v>9121</v>
      </c>
      <c r="D4298">
        <v>10</v>
      </c>
      <c r="F4298" t="str">
        <f t="shared" si="335"/>
        <v>No</v>
      </c>
      <c r="G4298" t="str">
        <f t="shared" si="336"/>
        <v/>
      </c>
      <c r="H4298" t="str">
        <f t="shared" si="337"/>
        <v>—</v>
      </c>
      <c r="I4298" t="str">
        <f t="shared" si="338"/>
        <v>Below thresholds</v>
      </c>
      <c r="J4298" t="str">
        <f t="shared" si="339"/>
        <v/>
      </c>
    </row>
    <row r="4299" spans="1:10" x14ac:dyDescent="0.2">
      <c r="A4299">
        <v>227333149366</v>
      </c>
      <c r="B4299" t="s">
        <v>9122</v>
      </c>
      <c r="C4299" t="s">
        <v>9123</v>
      </c>
      <c r="D4299">
        <v>3.5</v>
      </c>
      <c r="F4299" t="str">
        <f t="shared" si="335"/>
        <v>No</v>
      </c>
      <c r="G4299" t="str">
        <f t="shared" si="336"/>
        <v/>
      </c>
      <c r="H4299" t="str">
        <f t="shared" si="337"/>
        <v>—</v>
      </c>
      <c r="I4299" t="str">
        <f t="shared" si="338"/>
        <v>Below thresholds</v>
      </c>
      <c r="J4299" t="str">
        <f t="shared" si="339"/>
        <v/>
      </c>
    </row>
    <row r="4300" spans="1:10" x14ac:dyDescent="0.2">
      <c r="A4300">
        <v>227333149379</v>
      </c>
      <c r="B4300" t="s">
        <v>9124</v>
      </c>
      <c r="C4300" t="s">
        <v>9125</v>
      </c>
      <c r="D4300">
        <v>5</v>
      </c>
      <c r="F4300" t="str">
        <f t="shared" si="335"/>
        <v>No</v>
      </c>
      <c r="G4300" t="str">
        <f t="shared" si="336"/>
        <v/>
      </c>
      <c r="H4300" t="str">
        <f t="shared" si="337"/>
        <v>—</v>
      </c>
      <c r="I4300" t="str">
        <f t="shared" si="338"/>
        <v>Below thresholds</v>
      </c>
      <c r="J4300" t="str">
        <f t="shared" si="339"/>
        <v/>
      </c>
    </row>
    <row r="4301" spans="1:10" x14ac:dyDescent="0.2">
      <c r="A4301">
        <v>227333149380</v>
      </c>
      <c r="B4301" t="s">
        <v>9126</v>
      </c>
      <c r="C4301" t="s">
        <v>9127</v>
      </c>
      <c r="D4301">
        <v>2</v>
      </c>
      <c r="F4301" t="str">
        <f t="shared" si="335"/>
        <v>No</v>
      </c>
      <c r="G4301" t="str">
        <f t="shared" si="336"/>
        <v/>
      </c>
      <c r="H4301" t="str">
        <f t="shared" si="337"/>
        <v>—</v>
      </c>
      <c r="I4301" t="str">
        <f t="shared" si="338"/>
        <v>Below thresholds</v>
      </c>
      <c r="J4301" t="str">
        <f t="shared" si="339"/>
        <v/>
      </c>
    </row>
    <row r="4302" spans="1:10" x14ac:dyDescent="0.2">
      <c r="A4302">
        <v>227333149392</v>
      </c>
      <c r="B4302" t="s">
        <v>9128</v>
      </c>
      <c r="C4302" t="s">
        <v>9129</v>
      </c>
      <c r="D4302">
        <v>2</v>
      </c>
      <c r="F4302" t="str">
        <f t="shared" si="335"/>
        <v>No</v>
      </c>
      <c r="G4302" t="str">
        <f t="shared" si="336"/>
        <v/>
      </c>
      <c r="H4302" t="str">
        <f t="shared" si="337"/>
        <v>—</v>
      </c>
      <c r="I4302" t="str">
        <f t="shared" si="338"/>
        <v>Below thresholds</v>
      </c>
      <c r="J4302" t="str">
        <f t="shared" si="339"/>
        <v/>
      </c>
    </row>
    <row r="4303" spans="1:10" x14ac:dyDescent="0.2">
      <c r="A4303">
        <v>227333149397</v>
      </c>
      <c r="B4303" t="s">
        <v>9130</v>
      </c>
      <c r="C4303" t="s">
        <v>9131</v>
      </c>
      <c r="D4303">
        <v>2</v>
      </c>
      <c r="F4303" t="str">
        <f t="shared" si="335"/>
        <v>No</v>
      </c>
      <c r="G4303" t="str">
        <f t="shared" si="336"/>
        <v/>
      </c>
      <c r="H4303" t="str">
        <f t="shared" si="337"/>
        <v>—</v>
      </c>
      <c r="I4303" t="str">
        <f t="shared" si="338"/>
        <v>Below thresholds</v>
      </c>
      <c r="J4303" t="str">
        <f t="shared" si="339"/>
        <v/>
      </c>
    </row>
    <row r="4304" spans="1:10" x14ac:dyDescent="0.2">
      <c r="A4304">
        <v>227333149399</v>
      </c>
      <c r="B4304" t="s">
        <v>9132</v>
      </c>
      <c r="C4304" t="s">
        <v>9133</v>
      </c>
      <c r="D4304">
        <v>1.25</v>
      </c>
      <c r="F4304" t="str">
        <f t="shared" si="335"/>
        <v>No</v>
      </c>
      <c r="G4304" t="str">
        <f t="shared" si="336"/>
        <v/>
      </c>
      <c r="H4304" t="str">
        <f t="shared" si="337"/>
        <v>—</v>
      </c>
      <c r="I4304" t="str">
        <f t="shared" si="338"/>
        <v>Below thresholds</v>
      </c>
      <c r="J4304" t="str">
        <f t="shared" si="339"/>
        <v/>
      </c>
    </row>
    <row r="4305" spans="1:10" x14ac:dyDescent="0.2">
      <c r="A4305">
        <v>227333149420</v>
      </c>
      <c r="B4305" t="s">
        <v>9134</v>
      </c>
      <c r="C4305" t="s">
        <v>9135</v>
      </c>
      <c r="D4305">
        <v>2</v>
      </c>
      <c r="F4305" t="str">
        <f t="shared" si="335"/>
        <v>No</v>
      </c>
      <c r="G4305" t="str">
        <f t="shared" si="336"/>
        <v/>
      </c>
      <c r="H4305" t="str">
        <f t="shared" si="337"/>
        <v>—</v>
      </c>
      <c r="I4305" t="str">
        <f t="shared" si="338"/>
        <v>Below thresholds</v>
      </c>
      <c r="J4305" t="str">
        <f t="shared" si="339"/>
        <v/>
      </c>
    </row>
    <row r="4306" spans="1:10" x14ac:dyDescent="0.2">
      <c r="A4306">
        <v>227333149427</v>
      </c>
      <c r="B4306" t="s">
        <v>9136</v>
      </c>
      <c r="C4306" t="s">
        <v>9137</v>
      </c>
      <c r="D4306">
        <v>1.5</v>
      </c>
      <c r="F4306" t="str">
        <f t="shared" si="335"/>
        <v>No</v>
      </c>
      <c r="G4306" t="str">
        <f t="shared" si="336"/>
        <v/>
      </c>
      <c r="H4306" t="str">
        <f t="shared" si="337"/>
        <v>—</v>
      </c>
      <c r="I4306" t="str">
        <f t="shared" si="338"/>
        <v>Below thresholds</v>
      </c>
      <c r="J4306" t="str">
        <f t="shared" si="339"/>
        <v/>
      </c>
    </row>
    <row r="4307" spans="1:10" x14ac:dyDescent="0.2">
      <c r="A4307">
        <v>227333149429</v>
      </c>
      <c r="B4307" t="s">
        <v>9138</v>
      </c>
      <c r="C4307" t="s">
        <v>9139</v>
      </c>
      <c r="D4307">
        <v>2.5</v>
      </c>
      <c r="F4307" t="str">
        <f t="shared" si="335"/>
        <v>No</v>
      </c>
      <c r="G4307" t="str">
        <f t="shared" si="336"/>
        <v/>
      </c>
      <c r="H4307" t="str">
        <f t="shared" si="337"/>
        <v>—</v>
      </c>
      <c r="I4307" t="str">
        <f t="shared" si="338"/>
        <v>Below thresholds</v>
      </c>
      <c r="J4307" t="str">
        <f t="shared" si="339"/>
        <v/>
      </c>
    </row>
    <row r="4308" spans="1:10" x14ac:dyDescent="0.2">
      <c r="A4308">
        <v>227333149487</v>
      </c>
      <c r="B4308" t="s">
        <v>9140</v>
      </c>
      <c r="C4308" t="s">
        <v>9141</v>
      </c>
      <c r="D4308">
        <v>14</v>
      </c>
      <c r="F4308" t="str">
        <f t="shared" si="335"/>
        <v>No</v>
      </c>
      <c r="G4308" t="str">
        <f t="shared" si="336"/>
        <v/>
      </c>
      <c r="H4308" t="str">
        <f t="shared" si="337"/>
        <v>—</v>
      </c>
      <c r="I4308" t="str">
        <f t="shared" si="338"/>
        <v>Below thresholds</v>
      </c>
      <c r="J4308" t="str">
        <f t="shared" si="339"/>
        <v/>
      </c>
    </row>
    <row r="4309" spans="1:10" x14ac:dyDescent="0.2">
      <c r="A4309">
        <v>227333149496</v>
      </c>
      <c r="B4309" t="s">
        <v>9142</v>
      </c>
      <c r="C4309" t="s">
        <v>9143</v>
      </c>
      <c r="D4309">
        <v>2.5</v>
      </c>
      <c r="F4309" t="str">
        <f t="shared" si="335"/>
        <v>No</v>
      </c>
      <c r="G4309" t="str">
        <f t="shared" si="336"/>
        <v/>
      </c>
      <c r="H4309" t="str">
        <f t="shared" si="337"/>
        <v>—</v>
      </c>
      <c r="I4309" t="str">
        <f t="shared" si="338"/>
        <v>Below thresholds</v>
      </c>
      <c r="J4309" t="str">
        <f t="shared" si="339"/>
        <v/>
      </c>
    </row>
    <row r="4310" spans="1:10" x14ac:dyDescent="0.2">
      <c r="A4310">
        <v>227333149506</v>
      </c>
      <c r="B4310" t="s">
        <v>9144</v>
      </c>
      <c r="C4310" t="s">
        <v>9145</v>
      </c>
      <c r="D4310">
        <v>2</v>
      </c>
      <c r="F4310" t="str">
        <f t="shared" si="335"/>
        <v>No</v>
      </c>
      <c r="G4310" t="str">
        <f t="shared" si="336"/>
        <v/>
      </c>
      <c r="H4310" t="str">
        <f t="shared" si="337"/>
        <v>—</v>
      </c>
      <c r="I4310" t="str">
        <f t="shared" si="338"/>
        <v>Below thresholds</v>
      </c>
      <c r="J4310" t="str">
        <f t="shared" si="339"/>
        <v/>
      </c>
    </row>
    <row r="4311" spans="1:10" x14ac:dyDescent="0.2">
      <c r="A4311">
        <v>227333149509</v>
      </c>
      <c r="B4311" t="s">
        <v>9146</v>
      </c>
      <c r="C4311" t="s">
        <v>9147</v>
      </c>
      <c r="D4311">
        <v>2</v>
      </c>
      <c r="F4311" t="str">
        <f t="shared" si="335"/>
        <v>No</v>
      </c>
      <c r="G4311" t="str">
        <f t="shared" si="336"/>
        <v/>
      </c>
      <c r="H4311" t="str">
        <f t="shared" si="337"/>
        <v>—</v>
      </c>
      <c r="I4311" t="str">
        <f t="shared" si="338"/>
        <v>Below thresholds</v>
      </c>
      <c r="J4311" t="str">
        <f t="shared" si="339"/>
        <v/>
      </c>
    </row>
    <row r="4312" spans="1:10" x14ac:dyDescent="0.2">
      <c r="A4312">
        <v>227333149522</v>
      </c>
      <c r="B4312" t="s">
        <v>9148</v>
      </c>
      <c r="C4312" t="s">
        <v>9149</v>
      </c>
      <c r="D4312">
        <v>1.69</v>
      </c>
      <c r="F4312" t="str">
        <f t="shared" si="335"/>
        <v>No</v>
      </c>
      <c r="G4312" t="str">
        <f t="shared" si="336"/>
        <v/>
      </c>
      <c r="H4312" t="str">
        <f t="shared" si="337"/>
        <v>—</v>
      </c>
      <c r="I4312" t="str">
        <f t="shared" si="338"/>
        <v>Below thresholds</v>
      </c>
      <c r="J4312" t="str">
        <f t="shared" si="339"/>
        <v/>
      </c>
    </row>
    <row r="4313" spans="1:10" x14ac:dyDescent="0.2">
      <c r="A4313">
        <v>227333149524</v>
      </c>
      <c r="B4313" t="s">
        <v>9150</v>
      </c>
      <c r="C4313" t="s">
        <v>9151</v>
      </c>
      <c r="D4313">
        <v>1.25</v>
      </c>
      <c r="F4313" t="str">
        <f t="shared" si="335"/>
        <v>No</v>
      </c>
      <c r="G4313" t="str">
        <f t="shared" si="336"/>
        <v/>
      </c>
      <c r="H4313" t="str">
        <f t="shared" si="337"/>
        <v>—</v>
      </c>
      <c r="I4313" t="str">
        <f t="shared" si="338"/>
        <v>Below thresholds</v>
      </c>
      <c r="J4313" t="str">
        <f t="shared" si="339"/>
        <v/>
      </c>
    </row>
    <row r="4314" spans="1:10" x14ac:dyDescent="0.2">
      <c r="A4314">
        <v>227333149535</v>
      </c>
      <c r="B4314" t="s">
        <v>9152</v>
      </c>
      <c r="C4314" t="s">
        <v>9153</v>
      </c>
      <c r="D4314">
        <v>2</v>
      </c>
      <c r="F4314" t="str">
        <f t="shared" si="335"/>
        <v>No</v>
      </c>
      <c r="G4314" t="str">
        <f t="shared" si="336"/>
        <v/>
      </c>
      <c r="H4314" t="str">
        <f t="shared" si="337"/>
        <v>—</v>
      </c>
      <c r="I4314" t="str">
        <f t="shared" si="338"/>
        <v>Below thresholds</v>
      </c>
      <c r="J4314" t="str">
        <f t="shared" si="339"/>
        <v/>
      </c>
    </row>
    <row r="4315" spans="1:10" x14ac:dyDescent="0.2">
      <c r="A4315">
        <v>227333149550</v>
      </c>
      <c r="B4315" t="s">
        <v>9154</v>
      </c>
      <c r="C4315" t="s">
        <v>9155</v>
      </c>
      <c r="D4315">
        <v>1.75</v>
      </c>
      <c r="F4315" t="str">
        <f t="shared" si="335"/>
        <v>No</v>
      </c>
      <c r="G4315" t="str">
        <f t="shared" si="336"/>
        <v/>
      </c>
      <c r="H4315" t="str">
        <f t="shared" si="337"/>
        <v>—</v>
      </c>
      <c r="I4315" t="str">
        <f t="shared" si="338"/>
        <v>Below thresholds</v>
      </c>
      <c r="J4315" t="str">
        <f t="shared" si="339"/>
        <v/>
      </c>
    </row>
    <row r="4316" spans="1:10" x14ac:dyDescent="0.2">
      <c r="A4316">
        <v>227333149555</v>
      </c>
      <c r="B4316" t="s">
        <v>9156</v>
      </c>
      <c r="C4316" t="s">
        <v>9157</v>
      </c>
      <c r="D4316">
        <v>5</v>
      </c>
      <c r="F4316" t="str">
        <f t="shared" si="335"/>
        <v>No</v>
      </c>
      <c r="G4316" t="str">
        <f t="shared" si="336"/>
        <v/>
      </c>
      <c r="H4316" t="str">
        <f t="shared" si="337"/>
        <v>—</v>
      </c>
      <c r="I4316" t="str">
        <f t="shared" si="338"/>
        <v>Below thresholds</v>
      </c>
      <c r="J4316" t="str">
        <f t="shared" si="339"/>
        <v/>
      </c>
    </row>
    <row r="4317" spans="1:10" x14ac:dyDescent="0.2">
      <c r="A4317">
        <v>227333149578</v>
      </c>
      <c r="B4317" t="s">
        <v>9158</v>
      </c>
      <c r="C4317" t="s">
        <v>9159</v>
      </c>
      <c r="D4317">
        <v>2</v>
      </c>
      <c r="F4317" t="str">
        <f t="shared" si="335"/>
        <v>No</v>
      </c>
      <c r="G4317" t="str">
        <f t="shared" si="336"/>
        <v/>
      </c>
      <c r="H4317" t="str">
        <f t="shared" si="337"/>
        <v>—</v>
      </c>
      <c r="I4317" t="str">
        <f t="shared" si="338"/>
        <v>Below thresholds</v>
      </c>
      <c r="J4317" t="str">
        <f t="shared" si="339"/>
        <v/>
      </c>
    </row>
    <row r="4318" spans="1:10" x14ac:dyDescent="0.2">
      <c r="A4318">
        <v>227333149589</v>
      </c>
      <c r="B4318" t="s">
        <v>9160</v>
      </c>
      <c r="C4318" t="s">
        <v>9161</v>
      </c>
      <c r="D4318">
        <v>1.25</v>
      </c>
      <c r="F4318" t="str">
        <f t="shared" si="335"/>
        <v>No</v>
      </c>
      <c r="G4318" t="str">
        <f t="shared" si="336"/>
        <v/>
      </c>
      <c r="H4318" t="str">
        <f t="shared" si="337"/>
        <v>—</v>
      </c>
      <c r="I4318" t="str">
        <f t="shared" si="338"/>
        <v>Below thresholds</v>
      </c>
      <c r="J4318" t="str">
        <f t="shared" si="339"/>
        <v/>
      </c>
    </row>
    <row r="4319" spans="1:10" x14ac:dyDescent="0.2">
      <c r="A4319">
        <v>227333149591</v>
      </c>
      <c r="B4319" t="s">
        <v>9140</v>
      </c>
      <c r="C4319" t="s">
        <v>9162</v>
      </c>
      <c r="D4319">
        <v>13</v>
      </c>
      <c r="F4319" t="str">
        <f t="shared" si="335"/>
        <v>No</v>
      </c>
      <c r="G4319" t="str">
        <f t="shared" si="336"/>
        <v/>
      </c>
      <c r="H4319" t="str">
        <f t="shared" si="337"/>
        <v>—</v>
      </c>
      <c r="I4319" t="str">
        <f t="shared" si="338"/>
        <v>Below thresholds</v>
      </c>
      <c r="J4319" t="str">
        <f t="shared" si="339"/>
        <v/>
      </c>
    </row>
    <row r="4320" spans="1:10" x14ac:dyDescent="0.2">
      <c r="A4320">
        <v>227333149609</v>
      </c>
      <c r="B4320" t="s">
        <v>9163</v>
      </c>
      <c r="C4320" t="s">
        <v>9164</v>
      </c>
      <c r="D4320">
        <v>5</v>
      </c>
      <c r="F4320" t="str">
        <f t="shared" si="335"/>
        <v>No</v>
      </c>
      <c r="G4320" t="str">
        <f t="shared" si="336"/>
        <v/>
      </c>
      <c r="H4320" t="str">
        <f t="shared" si="337"/>
        <v>—</v>
      </c>
      <c r="I4320" t="str">
        <f t="shared" si="338"/>
        <v>Below thresholds</v>
      </c>
      <c r="J4320" t="str">
        <f t="shared" si="339"/>
        <v/>
      </c>
    </row>
    <row r="4321" spans="1:10" x14ac:dyDescent="0.2">
      <c r="A4321">
        <v>227333149611</v>
      </c>
      <c r="B4321" t="s">
        <v>9165</v>
      </c>
      <c r="C4321" t="s">
        <v>9166</v>
      </c>
      <c r="D4321">
        <v>1.25</v>
      </c>
      <c r="F4321" t="str">
        <f t="shared" si="335"/>
        <v>No</v>
      </c>
      <c r="G4321" t="str">
        <f t="shared" si="336"/>
        <v/>
      </c>
      <c r="H4321" t="str">
        <f t="shared" si="337"/>
        <v>—</v>
      </c>
      <c r="I4321" t="str">
        <f t="shared" si="338"/>
        <v>Below thresholds</v>
      </c>
      <c r="J4321" t="str">
        <f t="shared" si="339"/>
        <v/>
      </c>
    </row>
    <row r="4322" spans="1:10" x14ac:dyDescent="0.2">
      <c r="A4322">
        <v>227333149644</v>
      </c>
      <c r="B4322" t="s">
        <v>9167</v>
      </c>
      <c r="C4322" t="s">
        <v>9168</v>
      </c>
      <c r="D4322">
        <v>1.5</v>
      </c>
      <c r="F4322" t="str">
        <f t="shared" si="335"/>
        <v>No</v>
      </c>
      <c r="G4322" t="str">
        <f t="shared" si="336"/>
        <v/>
      </c>
      <c r="H4322" t="str">
        <f t="shared" si="337"/>
        <v>—</v>
      </c>
      <c r="I4322" t="str">
        <f t="shared" si="338"/>
        <v>Below thresholds</v>
      </c>
      <c r="J4322" t="str">
        <f t="shared" si="339"/>
        <v/>
      </c>
    </row>
    <row r="4323" spans="1:10" x14ac:dyDescent="0.2">
      <c r="A4323">
        <v>227333149677</v>
      </c>
      <c r="B4323" t="s">
        <v>9169</v>
      </c>
      <c r="C4323" t="s">
        <v>9170</v>
      </c>
      <c r="D4323">
        <v>2</v>
      </c>
      <c r="F4323" t="str">
        <f t="shared" si="335"/>
        <v>No</v>
      </c>
      <c r="G4323" t="str">
        <f t="shared" si="336"/>
        <v/>
      </c>
      <c r="H4323" t="str">
        <f t="shared" si="337"/>
        <v>—</v>
      </c>
      <c r="I4323" t="str">
        <f t="shared" si="338"/>
        <v>Below thresholds</v>
      </c>
      <c r="J4323" t="str">
        <f t="shared" si="339"/>
        <v/>
      </c>
    </row>
    <row r="4324" spans="1:10" x14ac:dyDescent="0.2">
      <c r="A4324">
        <v>227333149688</v>
      </c>
      <c r="B4324" t="s">
        <v>9171</v>
      </c>
      <c r="C4324" t="s">
        <v>9172</v>
      </c>
      <c r="D4324">
        <v>5</v>
      </c>
      <c r="F4324" t="str">
        <f t="shared" si="335"/>
        <v>No</v>
      </c>
      <c r="G4324" t="str">
        <f t="shared" si="336"/>
        <v/>
      </c>
      <c r="H4324" t="str">
        <f t="shared" si="337"/>
        <v>—</v>
      </c>
      <c r="I4324" t="str">
        <f t="shared" si="338"/>
        <v>Below thresholds</v>
      </c>
      <c r="J4324" t="str">
        <f t="shared" si="339"/>
        <v/>
      </c>
    </row>
    <row r="4325" spans="1:10" x14ac:dyDescent="0.2">
      <c r="A4325">
        <v>227333149703</v>
      </c>
      <c r="B4325" t="s">
        <v>9173</v>
      </c>
      <c r="C4325" t="s">
        <v>9174</v>
      </c>
      <c r="D4325">
        <v>1.5</v>
      </c>
      <c r="F4325" t="str">
        <f t="shared" si="335"/>
        <v>No</v>
      </c>
      <c r="G4325" t="str">
        <f t="shared" si="336"/>
        <v/>
      </c>
      <c r="H4325" t="str">
        <f t="shared" si="337"/>
        <v>—</v>
      </c>
      <c r="I4325" t="str">
        <f t="shared" si="338"/>
        <v>Below thresholds</v>
      </c>
      <c r="J4325" t="str">
        <f t="shared" si="339"/>
        <v/>
      </c>
    </row>
    <row r="4326" spans="1:10" x14ac:dyDescent="0.2">
      <c r="A4326">
        <v>227333149724</v>
      </c>
      <c r="B4326" t="s">
        <v>9175</v>
      </c>
      <c r="C4326" t="s">
        <v>9176</v>
      </c>
      <c r="D4326">
        <v>1.5</v>
      </c>
      <c r="F4326" t="str">
        <f t="shared" si="335"/>
        <v>No</v>
      </c>
      <c r="G4326" t="str">
        <f t="shared" si="336"/>
        <v/>
      </c>
      <c r="H4326" t="str">
        <f t="shared" si="337"/>
        <v>—</v>
      </c>
      <c r="I4326" t="str">
        <f t="shared" si="338"/>
        <v>Below thresholds</v>
      </c>
      <c r="J4326" t="str">
        <f t="shared" si="339"/>
        <v/>
      </c>
    </row>
    <row r="4327" spans="1:10" x14ac:dyDescent="0.2">
      <c r="A4327">
        <v>227333149774</v>
      </c>
      <c r="B4327" t="s">
        <v>9175</v>
      </c>
      <c r="C4327" t="s">
        <v>9177</v>
      </c>
      <c r="D4327">
        <v>1.25</v>
      </c>
      <c r="F4327" t="str">
        <f t="shared" si="335"/>
        <v>No</v>
      </c>
      <c r="G4327" t="str">
        <f t="shared" si="336"/>
        <v/>
      </c>
      <c r="H4327" t="str">
        <f t="shared" si="337"/>
        <v>—</v>
      </c>
      <c r="I4327" t="str">
        <f t="shared" si="338"/>
        <v>Below thresholds</v>
      </c>
      <c r="J4327" t="str">
        <f t="shared" si="339"/>
        <v/>
      </c>
    </row>
    <row r="4328" spans="1:10" x14ac:dyDescent="0.2">
      <c r="A4328">
        <v>227333149776</v>
      </c>
      <c r="B4328" t="s">
        <v>9178</v>
      </c>
      <c r="C4328" t="s">
        <v>9179</v>
      </c>
      <c r="D4328">
        <v>2</v>
      </c>
      <c r="F4328" t="str">
        <f t="shared" si="335"/>
        <v>No</v>
      </c>
      <c r="G4328" t="str">
        <f t="shared" si="336"/>
        <v/>
      </c>
      <c r="H4328" t="str">
        <f t="shared" si="337"/>
        <v>—</v>
      </c>
      <c r="I4328" t="str">
        <f t="shared" si="338"/>
        <v>Below thresholds</v>
      </c>
      <c r="J4328" t="str">
        <f t="shared" si="339"/>
        <v/>
      </c>
    </row>
    <row r="4329" spans="1:10" x14ac:dyDescent="0.2">
      <c r="A4329">
        <v>227333149780</v>
      </c>
      <c r="B4329" t="s">
        <v>9180</v>
      </c>
      <c r="C4329" t="s">
        <v>9181</v>
      </c>
      <c r="D4329">
        <v>1.25</v>
      </c>
      <c r="F4329" t="str">
        <f t="shared" si="335"/>
        <v>No</v>
      </c>
      <c r="G4329" t="str">
        <f t="shared" si="336"/>
        <v/>
      </c>
      <c r="H4329" t="str">
        <f t="shared" si="337"/>
        <v>—</v>
      </c>
      <c r="I4329" t="str">
        <f t="shared" si="338"/>
        <v>Below thresholds</v>
      </c>
      <c r="J4329" t="str">
        <f t="shared" si="339"/>
        <v/>
      </c>
    </row>
    <row r="4330" spans="1:10" x14ac:dyDescent="0.2">
      <c r="A4330">
        <v>227333271421</v>
      </c>
      <c r="B4330" t="s">
        <v>9182</v>
      </c>
      <c r="C4330" t="s">
        <v>9183</v>
      </c>
      <c r="D4330">
        <v>2.5</v>
      </c>
      <c r="F4330" t="str">
        <f t="shared" si="335"/>
        <v>No</v>
      </c>
      <c r="G4330" t="str">
        <f t="shared" si="336"/>
        <v/>
      </c>
      <c r="H4330" t="str">
        <f t="shared" si="337"/>
        <v>—</v>
      </c>
      <c r="I4330" t="str">
        <f t="shared" si="338"/>
        <v>Below thresholds</v>
      </c>
      <c r="J4330" t="str">
        <f t="shared" si="339"/>
        <v/>
      </c>
    </row>
    <row r="4331" spans="1:10" x14ac:dyDescent="0.2">
      <c r="A4331">
        <v>227334664022</v>
      </c>
      <c r="B4331" t="s">
        <v>9184</v>
      </c>
      <c r="C4331" t="s">
        <v>9185</v>
      </c>
      <c r="D4331">
        <v>3.99</v>
      </c>
      <c r="F4331" t="str">
        <f t="shared" si="335"/>
        <v>No</v>
      </c>
      <c r="G4331" t="str">
        <f t="shared" si="336"/>
        <v/>
      </c>
      <c r="H4331" t="str">
        <f t="shared" si="337"/>
        <v>—</v>
      </c>
      <c r="I4331" t="str">
        <f t="shared" si="338"/>
        <v>Below thresholds</v>
      </c>
      <c r="J4331" t="str">
        <f t="shared" si="339"/>
        <v/>
      </c>
    </row>
    <row r="4332" spans="1:10" x14ac:dyDescent="0.2">
      <c r="A4332">
        <v>227334664051</v>
      </c>
      <c r="B4332" t="s">
        <v>9186</v>
      </c>
      <c r="C4332" t="s">
        <v>9187</v>
      </c>
      <c r="D4332">
        <v>7.95</v>
      </c>
      <c r="F4332" t="str">
        <f t="shared" si="335"/>
        <v>No</v>
      </c>
      <c r="G4332" t="str">
        <f t="shared" si="336"/>
        <v/>
      </c>
      <c r="H4332" t="str">
        <f t="shared" si="337"/>
        <v>—</v>
      </c>
      <c r="I4332" t="str">
        <f t="shared" si="338"/>
        <v>Below thresholds</v>
      </c>
      <c r="J4332" t="str">
        <f t="shared" si="339"/>
        <v/>
      </c>
    </row>
    <row r="4333" spans="1:10" x14ac:dyDescent="0.2">
      <c r="A4333">
        <v>227334664198</v>
      </c>
      <c r="B4333" t="s">
        <v>9188</v>
      </c>
      <c r="C4333" t="s">
        <v>9189</v>
      </c>
      <c r="D4333">
        <v>1.99</v>
      </c>
      <c r="F4333" t="str">
        <f t="shared" si="335"/>
        <v>No</v>
      </c>
      <c r="G4333" t="str">
        <f t="shared" si="336"/>
        <v/>
      </c>
      <c r="H4333" t="str">
        <f t="shared" si="337"/>
        <v>—</v>
      </c>
      <c r="I4333" t="str">
        <f t="shared" si="338"/>
        <v>Below thresholds</v>
      </c>
      <c r="J4333" t="str">
        <f t="shared" si="339"/>
        <v/>
      </c>
    </row>
    <row r="4334" spans="1:10" x14ac:dyDescent="0.2">
      <c r="A4334">
        <v>227334664206</v>
      </c>
      <c r="B4334" t="s">
        <v>9190</v>
      </c>
      <c r="C4334" t="s">
        <v>9191</v>
      </c>
      <c r="D4334">
        <v>2.99</v>
      </c>
      <c r="F4334" t="str">
        <f t="shared" si="335"/>
        <v>No</v>
      </c>
      <c r="G4334" t="str">
        <f t="shared" si="336"/>
        <v/>
      </c>
      <c r="H4334" t="str">
        <f t="shared" si="337"/>
        <v>—</v>
      </c>
      <c r="I4334" t="str">
        <f t="shared" si="338"/>
        <v>Below thresholds</v>
      </c>
      <c r="J4334" t="str">
        <f t="shared" si="339"/>
        <v/>
      </c>
    </row>
    <row r="4335" spans="1:10" x14ac:dyDescent="0.2">
      <c r="A4335">
        <v>227334664327</v>
      </c>
      <c r="B4335" t="s">
        <v>9192</v>
      </c>
      <c r="C4335" t="s">
        <v>9193</v>
      </c>
      <c r="D4335">
        <v>3.25</v>
      </c>
      <c r="F4335" t="str">
        <f t="shared" si="335"/>
        <v>No</v>
      </c>
      <c r="G4335" t="str">
        <f t="shared" si="336"/>
        <v/>
      </c>
      <c r="H4335" t="str">
        <f t="shared" si="337"/>
        <v>—</v>
      </c>
      <c r="I4335" t="str">
        <f t="shared" si="338"/>
        <v>Below thresholds</v>
      </c>
      <c r="J4335" t="str">
        <f t="shared" si="339"/>
        <v/>
      </c>
    </row>
    <row r="4336" spans="1:10" x14ac:dyDescent="0.2">
      <c r="A4336">
        <v>227334664360</v>
      </c>
      <c r="B4336" t="s">
        <v>9194</v>
      </c>
      <c r="C4336" t="s">
        <v>9195</v>
      </c>
      <c r="D4336">
        <v>1.5</v>
      </c>
      <c r="F4336" t="str">
        <f t="shared" si="335"/>
        <v>No</v>
      </c>
      <c r="G4336" t="str">
        <f t="shared" si="336"/>
        <v/>
      </c>
      <c r="H4336" t="str">
        <f t="shared" si="337"/>
        <v>—</v>
      </c>
      <c r="I4336" t="str">
        <f t="shared" si="338"/>
        <v>Below thresholds</v>
      </c>
      <c r="J4336" t="str">
        <f t="shared" si="339"/>
        <v/>
      </c>
    </row>
    <row r="4337" spans="1:10" x14ac:dyDescent="0.2">
      <c r="A4337">
        <v>227334664455</v>
      </c>
      <c r="B4337" t="s">
        <v>9196</v>
      </c>
      <c r="C4337" t="s">
        <v>9197</v>
      </c>
      <c r="D4337">
        <v>6.99</v>
      </c>
      <c r="F4337" t="str">
        <f t="shared" si="335"/>
        <v>No</v>
      </c>
      <c r="G4337" t="str">
        <f t="shared" si="336"/>
        <v/>
      </c>
      <c r="H4337" t="str">
        <f t="shared" si="337"/>
        <v>—</v>
      </c>
      <c r="I4337" t="str">
        <f t="shared" si="338"/>
        <v>Below thresholds</v>
      </c>
      <c r="J4337" t="str">
        <f t="shared" si="339"/>
        <v/>
      </c>
    </row>
    <row r="4338" spans="1:10" x14ac:dyDescent="0.2">
      <c r="A4338">
        <v>227334664568</v>
      </c>
      <c r="B4338" t="s">
        <v>9198</v>
      </c>
      <c r="C4338" t="s">
        <v>9199</v>
      </c>
      <c r="D4338">
        <v>22</v>
      </c>
      <c r="F4338" t="str">
        <f t="shared" si="335"/>
        <v>No</v>
      </c>
      <c r="G4338" t="str">
        <f t="shared" si="336"/>
        <v/>
      </c>
      <c r="H4338" t="str">
        <f t="shared" si="337"/>
        <v>—</v>
      </c>
      <c r="I4338" t="str">
        <f t="shared" si="338"/>
        <v>$20+ — needs velocity check</v>
      </c>
      <c r="J4338" t="str">
        <f t="shared" si="339"/>
        <v>YES — pull CardHedger</v>
      </c>
    </row>
    <row r="4339" spans="1:10" x14ac:dyDescent="0.2">
      <c r="A4339">
        <v>227334664632</v>
      </c>
      <c r="B4339" t="s">
        <v>9200</v>
      </c>
      <c r="C4339" t="s">
        <v>9201</v>
      </c>
      <c r="D4339">
        <v>199</v>
      </c>
      <c r="F4339" t="str">
        <f t="shared" si="335"/>
        <v>No</v>
      </c>
      <c r="G4339" t="str">
        <f t="shared" si="336"/>
        <v/>
      </c>
      <c r="H4339" t="str">
        <f t="shared" si="337"/>
        <v>TIER 2</v>
      </c>
      <c r="I4339" t="str">
        <f t="shared" si="338"/>
        <v>Premium $100+ (auto)</v>
      </c>
      <c r="J4339" t="str">
        <f t="shared" si="339"/>
        <v/>
      </c>
    </row>
    <row r="4340" spans="1:10" x14ac:dyDescent="0.2">
      <c r="A4340">
        <v>227334664703</v>
      </c>
      <c r="B4340" t="s">
        <v>9202</v>
      </c>
      <c r="C4340" t="s">
        <v>9203</v>
      </c>
      <c r="D4340">
        <v>3.99</v>
      </c>
      <c r="F4340" t="str">
        <f t="shared" si="335"/>
        <v>No</v>
      </c>
      <c r="G4340" t="str">
        <f t="shared" si="336"/>
        <v/>
      </c>
      <c r="H4340" t="str">
        <f t="shared" si="337"/>
        <v>—</v>
      </c>
      <c r="I4340" t="str">
        <f t="shared" si="338"/>
        <v>Below thresholds</v>
      </c>
      <c r="J4340" t="str">
        <f t="shared" si="339"/>
        <v/>
      </c>
    </row>
    <row r="4341" spans="1:10" x14ac:dyDescent="0.2">
      <c r="A4341">
        <v>227334664721</v>
      </c>
      <c r="B4341" t="s">
        <v>9204</v>
      </c>
      <c r="C4341" t="s">
        <v>9205</v>
      </c>
      <c r="D4341">
        <v>1.75</v>
      </c>
      <c r="F4341" t="str">
        <f t="shared" si="335"/>
        <v>No</v>
      </c>
      <c r="G4341" t="str">
        <f t="shared" si="336"/>
        <v/>
      </c>
      <c r="H4341" t="str">
        <f t="shared" si="337"/>
        <v>—</v>
      </c>
      <c r="I4341" t="str">
        <f t="shared" si="338"/>
        <v>Below thresholds</v>
      </c>
      <c r="J4341" t="str">
        <f t="shared" si="339"/>
        <v/>
      </c>
    </row>
    <row r="4342" spans="1:10" x14ac:dyDescent="0.2">
      <c r="A4342">
        <v>227334664735</v>
      </c>
      <c r="B4342" t="s">
        <v>9206</v>
      </c>
      <c r="C4342" t="s">
        <v>9207</v>
      </c>
      <c r="D4342">
        <v>16.989999999999998</v>
      </c>
      <c r="F4342" t="str">
        <f t="shared" si="335"/>
        <v>No</v>
      </c>
      <c r="G4342" t="str">
        <f t="shared" si="336"/>
        <v/>
      </c>
      <c r="H4342" t="str">
        <f t="shared" si="337"/>
        <v>—</v>
      </c>
      <c r="I4342" t="str">
        <f t="shared" si="338"/>
        <v>Below thresholds</v>
      </c>
      <c r="J4342" t="str">
        <f t="shared" si="339"/>
        <v/>
      </c>
    </row>
    <row r="4343" spans="1:10" x14ac:dyDescent="0.2">
      <c r="A4343">
        <v>227334664804</v>
      </c>
      <c r="B4343" t="s">
        <v>9208</v>
      </c>
      <c r="C4343" t="s">
        <v>9209</v>
      </c>
      <c r="D4343">
        <v>9.99</v>
      </c>
      <c r="F4343" t="str">
        <f t="shared" si="335"/>
        <v>No</v>
      </c>
      <c r="G4343" t="str">
        <f t="shared" si="336"/>
        <v/>
      </c>
      <c r="H4343" t="str">
        <f t="shared" si="337"/>
        <v>—</v>
      </c>
      <c r="I4343" t="str">
        <f t="shared" si="338"/>
        <v>Below thresholds</v>
      </c>
      <c r="J4343" t="str">
        <f t="shared" si="339"/>
        <v/>
      </c>
    </row>
    <row r="4344" spans="1:10" x14ac:dyDescent="0.2">
      <c r="A4344">
        <v>227334664855</v>
      </c>
      <c r="B4344" t="s">
        <v>9210</v>
      </c>
      <c r="C4344" t="s">
        <v>9211</v>
      </c>
      <c r="D4344">
        <v>70</v>
      </c>
      <c r="F4344" t="str">
        <f t="shared" si="335"/>
        <v>No</v>
      </c>
      <c r="G4344" t="str">
        <f t="shared" si="336"/>
        <v/>
      </c>
      <c r="H4344" t="str">
        <f t="shared" si="337"/>
        <v>—</v>
      </c>
      <c r="I4344" t="str">
        <f t="shared" si="338"/>
        <v>$20+ — needs velocity check</v>
      </c>
      <c r="J4344" t="str">
        <f t="shared" si="339"/>
        <v>YES — pull CardHedger</v>
      </c>
    </row>
    <row r="4345" spans="1:10" x14ac:dyDescent="0.2">
      <c r="A4345">
        <v>227334664927</v>
      </c>
      <c r="B4345" t="s">
        <v>9212</v>
      </c>
      <c r="C4345" t="s">
        <v>9213</v>
      </c>
      <c r="D4345">
        <v>9.99</v>
      </c>
      <c r="F4345" t="str">
        <f t="shared" si="335"/>
        <v>No</v>
      </c>
      <c r="G4345" t="str">
        <f t="shared" si="336"/>
        <v/>
      </c>
      <c r="H4345" t="str">
        <f t="shared" si="337"/>
        <v>—</v>
      </c>
      <c r="I4345" t="str">
        <f t="shared" si="338"/>
        <v>Below thresholds</v>
      </c>
      <c r="J4345" t="str">
        <f t="shared" si="339"/>
        <v/>
      </c>
    </row>
    <row r="4346" spans="1:10" x14ac:dyDescent="0.2">
      <c r="A4346">
        <v>227334664972</v>
      </c>
      <c r="B4346" t="s">
        <v>9214</v>
      </c>
      <c r="C4346" t="s">
        <v>9215</v>
      </c>
      <c r="D4346">
        <v>19.989999999999998</v>
      </c>
      <c r="F4346" t="str">
        <f t="shared" si="335"/>
        <v>No</v>
      </c>
      <c r="G4346" t="str">
        <f t="shared" si="336"/>
        <v/>
      </c>
      <c r="H4346" t="str">
        <f t="shared" si="337"/>
        <v>—</v>
      </c>
      <c r="I4346" t="str">
        <f t="shared" si="338"/>
        <v>Below thresholds</v>
      </c>
      <c r="J4346" t="str">
        <f t="shared" si="339"/>
        <v/>
      </c>
    </row>
    <row r="4347" spans="1:10" x14ac:dyDescent="0.2">
      <c r="A4347">
        <v>227334665008</v>
      </c>
      <c r="B4347" t="s">
        <v>9216</v>
      </c>
      <c r="C4347" t="s">
        <v>9217</v>
      </c>
      <c r="D4347">
        <v>189</v>
      </c>
      <c r="F4347" t="str">
        <f t="shared" si="335"/>
        <v>No</v>
      </c>
      <c r="G4347" t="str">
        <f t="shared" si="336"/>
        <v/>
      </c>
      <c r="H4347" t="str">
        <f t="shared" si="337"/>
        <v>TIER 2</v>
      </c>
      <c r="I4347" t="str">
        <f t="shared" si="338"/>
        <v>Premium $100+ (auto)</v>
      </c>
      <c r="J4347" t="str">
        <f t="shared" si="339"/>
        <v/>
      </c>
    </row>
    <row r="4348" spans="1:10" x14ac:dyDescent="0.2">
      <c r="A4348">
        <v>227334665025</v>
      </c>
      <c r="B4348" t="s">
        <v>9218</v>
      </c>
      <c r="C4348" t="s">
        <v>9219</v>
      </c>
      <c r="D4348">
        <v>2.99</v>
      </c>
      <c r="F4348" t="str">
        <f t="shared" si="335"/>
        <v>No</v>
      </c>
      <c r="G4348" t="str">
        <f t="shared" si="336"/>
        <v/>
      </c>
      <c r="H4348" t="str">
        <f t="shared" si="337"/>
        <v>—</v>
      </c>
      <c r="I4348" t="str">
        <f t="shared" si="338"/>
        <v>Below thresholds</v>
      </c>
      <c r="J4348" t="str">
        <f t="shared" si="339"/>
        <v/>
      </c>
    </row>
    <row r="4349" spans="1:10" x14ac:dyDescent="0.2">
      <c r="A4349">
        <v>227334665114</v>
      </c>
      <c r="B4349" t="s">
        <v>9220</v>
      </c>
      <c r="C4349" t="s">
        <v>9221</v>
      </c>
      <c r="D4349">
        <v>2.4900000000000002</v>
      </c>
      <c r="F4349" t="str">
        <f t="shared" si="335"/>
        <v>No</v>
      </c>
      <c r="G4349" t="str">
        <f t="shared" si="336"/>
        <v/>
      </c>
      <c r="H4349" t="str">
        <f t="shared" si="337"/>
        <v>—</v>
      </c>
      <c r="I4349" t="str">
        <f t="shared" si="338"/>
        <v>Below thresholds</v>
      </c>
      <c r="J4349" t="str">
        <f t="shared" si="339"/>
        <v/>
      </c>
    </row>
    <row r="4350" spans="1:10" x14ac:dyDescent="0.2">
      <c r="A4350">
        <v>227334665266</v>
      </c>
      <c r="B4350" t="s">
        <v>9222</v>
      </c>
      <c r="C4350" t="s">
        <v>9223</v>
      </c>
      <c r="D4350">
        <v>2.4900000000000002</v>
      </c>
      <c r="F4350" t="str">
        <f t="shared" si="335"/>
        <v>No</v>
      </c>
      <c r="G4350" t="str">
        <f t="shared" si="336"/>
        <v/>
      </c>
      <c r="H4350" t="str">
        <f t="shared" si="337"/>
        <v>—</v>
      </c>
      <c r="I4350" t="str">
        <f t="shared" si="338"/>
        <v>Below thresholds</v>
      </c>
      <c r="J4350" t="str">
        <f t="shared" si="339"/>
        <v/>
      </c>
    </row>
    <row r="4351" spans="1:10" x14ac:dyDescent="0.2">
      <c r="A4351">
        <v>227334665301</v>
      </c>
      <c r="B4351" t="s">
        <v>9224</v>
      </c>
      <c r="C4351" t="s">
        <v>9225</v>
      </c>
      <c r="D4351">
        <v>2.99</v>
      </c>
      <c r="F4351" t="str">
        <f t="shared" si="335"/>
        <v>No</v>
      </c>
      <c r="G4351" t="str">
        <f t="shared" si="336"/>
        <v/>
      </c>
      <c r="H4351" t="str">
        <f t="shared" si="337"/>
        <v>—</v>
      </c>
      <c r="I4351" t="str">
        <f t="shared" si="338"/>
        <v>Below thresholds</v>
      </c>
      <c r="J4351" t="str">
        <f t="shared" si="339"/>
        <v/>
      </c>
    </row>
    <row r="4352" spans="1:10" x14ac:dyDescent="0.2">
      <c r="A4352">
        <v>227334665353</v>
      </c>
      <c r="B4352" t="s">
        <v>9226</v>
      </c>
      <c r="C4352" t="s">
        <v>9227</v>
      </c>
      <c r="D4352">
        <v>19.989999999999998</v>
      </c>
      <c r="F4352" t="str">
        <f t="shared" si="335"/>
        <v>No</v>
      </c>
      <c r="G4352" t="str">
        <f t="shared" si="336"/>
        <v/>
      </c>
      <c r="H4352" t="str">
        <f t="shared" si="337"/>
        <v>—</v>
      </c>
      <c r="I4352" t="str">
        <f t="shared" si="338"/>
        <v>Below thresholds</v>
      </c>
      <c r="J4352" t="str">
        <f t="shared" si="339"/>
        <v/>
      </c>
    </row>
    <row r="4353" spans="1:10" x14ac:dyDescent="0.2">
      <c r="A4353">
        <v>227334665393</v>
      </c>
      <c r="B4353" t="s">
        <v>9228</v>
      </c>
      <c r="C4353" t="s">
        <v>9229</v>
      </c>
      <c r="D4353">
        <v>24.99</v>
      </c>
      <c r="F4353" t="str">
        <f t="shared" si="335"/>
        <v>No</v>
      </c>
      <c r="G4353" t="str">
        <f t="shared" si="336"/>
        <v/>
      </c>
      <c r="H4353" t="str">
        <f t="shared" si="337"/>
        <v>—</v>
      </c>
      <c r="I4353" t="str">
        <f t="shared" si="338"/>
        <v>$20+ — needs velocity check</v>
      </c>
      <c r="J4353" t="str">
        <f t="shared" si="339"/>
        <v>YES — pull CardHedger</v>
      </c>
    </row>
    <row r="4354" spans="1:10" x14ac:dyDescent="0.2">
      <c r="A4354">
        <v>227334665516</v>
      </c>
      <c r="B4354" t="s">
        <v>9230</v>
      </c>
      <c r="C4354" t="s">
        <v>9231</v>
      </c>
      <c r="D4354">
        <v>1.99</v>
      </c>
      <c r="F4354" t="str">
        <f t="shared" si="335"/>
        <v>No</v>
      </c>
      <c r="G4354" t="str">
        <f t="shared" si="336"/>
        <v/>
      </c>
      <c r="H4354" t="str">
        <f t="shared" si="337"/>
        <v>—</v>
      </c>
      <c r="I4354" t="str">
        <f t="shared" si="338"/>
        <v>Below thresholds</v>
      </c>
      <c r="J4354" t="str">
        <f t="shared" si="339"/>
        <v/>
      </c>
    </row>
    <row r="4355" spans="1:10" x14ac:dyDescent="0.2">
      <c r="A4355">
        <v>227336198358</v>
      </c>
      <c r="B4355" t="s">
        <v>9232</v>
      </c>
      <c r="C4355" t="s">
        <v>9233</v>
      </c>
      <c r="D4355">
        <v>2.35</v>
      </c>
      <c r="F4355" t="str">
        <f t="shared" si="335"/>
        <v>No</v>
      </c>
      <c r="G4355" t="str">
        <f t="shared" si="336"/>
        <v/>
      </c>
      <c r="H4355" t="str">
        <f t="shared" si="337"/>
        <v>—</v>
      </c>
      <c r="I4355" t="str">
        <f t="shared" si="338"/>
        <v>Below thresholds</v>
      </c>
      <c r="J4355" t="str">
        <f t="shared" si="339"/>
        <v/>
      </c>
    </row>
    <row r="4356" spans="1:10" x14ac:dyDescent="0.2">
      <c r="A4356">
        <v>227336198443</v>
      </c>
      <c r="B4356" t="s">
        <v>9234</v>
      </c>
      <c r="C4356" t="s">
        <v>9235</v>
      </c>
      <c r="D4356">
        <v>1.75</v>
      </c>
      <c r="F4356" t="str">
        <f t="shared" si="335"/>
        <v>No</v>
      </c>
      <c r="G4356" t="str">
        <f t="shared" si="336"/>
        <v/>
      </c>
      <c r="H4356" t="str">
        <f t="shared" si="337"/>
        <v>—</v>
      </c>
      <c r="I4356" t="str">
        <f t="shared" si="338"/>
        <v>Below thresholds</v>
      </c>
      <c r="J4356" t="str">
        <f t="shared" si="339"/>
        <v/>
      </c>
    </row>
    <row r="4357" spans="1:10" x14ac:dyDescent="0.2">
      <c r="A4357">
        <v>227336198469</v>
      </c>
      <c r="B4357" t="s">
        <v>9236</v>
      </c>
      <c r="C4357" t="s">
        <v>9237</v>
      </c>
      <c r="D4357">
        <v>5.25</v>
      </c>
      <c r="F4357" t="str">
        <f t="shared" ref="F4357:F4420" si="340">IF($B4357="","",IF(ISNUMBER(SEARCH("PSA",$B4357)),"Yes","No"))</f>
        <v>No</v>
      </c>
      <c r="G4357" t="str">
        <f t="shared" ref="G4357:G4420" si="341">IF($B4357="","",IF(ISNUMBER(SEARCH("PSA 10",$B4357)),10,IF(ISNUMBER(SEARCH("PSA 9.5",$B4357)),9.5,IF(ISNUMBER(SEARCH("PSA 9",$B4357)),9,IF(ISNUMBER(SEARCH("PSA 8",$B4357)),8,IF(ISNUMBER(SEARCH("PSA",$B4357)),"&lt;9",""))))))</f>
        <v/>
      </c>
      <c r="H4357" t="str">
        <f t="shared" ref="H4357:H4420" si="342">IF($B4357="","",IF($D4357&gt;=100,"TIER 2",IF(OR(ISNUMBER(SEARCH("PSA 10",$B4357)),ISNUMBER(SEARCH("PSA 9.5",$B4357)),ISNUMBER(SEARCH("PSA 9",$B4357))),"TIER 3",IF(AND($D4357&gt;20,N($E4357)&gt;=15),"TIER 1","—"))))</f>
        <v>—</v>
      </c>
      <c r="I4357" t="str">
        <f t="shared" ref="I4357:I4420" si="343">IF($B4357="","",IF($D4357&gt;=100,"Premium $100+ (auto)",IF(OR(ISNUMBER(SEARCH("PSA 10",$B4357)),ISNUMBER(SEARCH("PSA 9.5",$B4357)),ISNUMBER(SEARCH("PSA 9",$B4357))),"Graded PSA 9+ (auto)",IF(AND($D4357&gt;20,N($E4357)&gt;=15),"Hot: $20+ &amp; "&amp;$E4357&amp;"/day",IF($D4357&gt;20,"$20+ — needs velocity check","Below thresholds")))))</f>
        <v>Below thresholds</v>
      </c>
      <c r="J4357" t="str">
        <f t="shared" ref="J4357:J4420" si="344">IF($B4357="","",IF(AND($D4357&gt;20,$D4357&lt;100,NOT(OR(ISNUMBER(SEARCH("PSA 10",$B4357)),ISNUMBER(SEARCH("PSA 9.5",$B4357)),ISNUMBER(SEARCH("PSA 9",$B4357)))),$E4357=""),"YES — pull CardHedger",""))</f>
        <v/>
      </c>
    </row>
    <row r="4358" spans="1:10" x14ac:dyDescent="0.2">
      <c r="A4358">
        <v>227336198531</v>
      </c>
      <c r="B4358" t="s">
        <v>9238</v>
      </c>
      <c r="C4358" t="s">
        <v>9239</v>
      </c>
      <c r="D4358">
        <v>2</v>
      </c>
      <c r="F4358" t="str">
        <f t="shared" si="340"/>
        <v>No</v>
      </c>
      <c r="G4358" t="str">
        <f t="shared" si="341"/>
        <v/>
      </c>
      <c r="H4358" t="str">
        <f t="shared" si="342"/>
        <v>—</v>
      </c>
      <c r="I4358" t="str">
        <f t="shared" si="343"/>
        <v>Below thresholds</v>
      </c>
      <c r="J4358" t="str">
        <f t="shared" si="344"/>
        <v/>
      </c>
    </row>
    <row r="4359" spans="1:10" x14ac:dyDescent="0.2">
      <c r="A4359">
        <v>227336198577</v>
      </c>
      <c r="B4359" t="s">
        <v>9240</v>
      </c>
      <c r="C4359" t="s">
        <v>9241</v>
      </c>
      <c r="D4359">
        <v>1.25</v>
      </c>
      <c r="F4359" t="str">
        <f t="shared" si="340"/>
        <v>No</v>
      </c>
      <c r="G4359" t="str">
        <f t="shared" si="341"/>
        <v/>
      </c>
      <c r="H4359" t="str">
        <f t="shared" si="342"/>
        <v>—</v>
      </c>
      <c r="I4359" t="str">
        <f t="shared" si="343"/>
        <v>Below thresholds</v>
      </c>
      <c r="J4359" t="str">
        <f t="shared" si="344"/>
        <v/>
      </c>
    </row>
    <row r="4360" spans="1:10" x14ac:dyDescent="0.2">
      <c r="A4360">
        <v>227336198903</v>
      </c>
      <c r="B4360" t="s">
        <v>9242</v>
      </c>
      <c r="C4360" t="s">
        <v>9243</v>
      </c>
      <c r="D4360">
        <v>4.95</v>
      </c>
      <c r="F4360" t="str">
        <f t="shared" si="340"/>
        <v>No</v>
      </c>
      <c r="G4360" t="str">
        <f t="shared" si="341"/>
        <v/>
      </c>
      <c r="H4360" t="str">
        <f t="shared" si="342"/>
        <v>—</v>
      </c>
      <c r="I4360" t="str">
        <f t="shared" si="343"/>
        <v>Below thresholds</v>
      </c>
      <c r="J4360" t="str">
        <f t="shared" si="344"/>
        <v/>
      </c>
    </row>
    <row r="4361" spans="1:10" x14ac:dyDescent="0.2">
      <c r="A4361">
        <v>227336198998</v>
      </c>
      <c r="B4361" t="s">
        <v>9244</v>
      </c>
      <c r="C4361" t="s">
        <v>9245</v>
      </c>
      <c r="D4361">
        <v>2.99</v>
      </c>
      <c r="F4361" t="str">
        <f t="shared" si="340"/>
        <v>No</v>
      </c>
      <c r="G4361" t="str">
        <f t="shared" si="341"/>
        <v/>
      </c>
      <c r="H4361" t="str">
        <f t="shared" si="342"/>
        <v>—</v>
      </c>
      <c r="I4361" t="str">
        <f t="shared" si="343"/>
        <v>Below thresholds</v>
      </c>
      <c r="J4361" t="str">
        <f t="shared" si="344"/>
        <v/>
      </c>
    </row>
    <row r="4362" spans="1:10" x14ac:dyDescent="0.2">
      <c r="A4362">
        <v>227336199078</v>
      </c>
      <c r="B4362" t="s">
        <v>9246</v>
      </c>
      <c r="C4362" t="s">
        <v>9247</v>
      </c>
      <c r="D4362">
        <v>2.99</v>
      </c>
      <c r="F4362" t="str">
        <f t="shared" si="340"/>
        <v>No</v>
      </c>
      <c r="G4362" t="str">
        <f t="shared" si="341"/>
        <v/>
      </c>
      <c r="H4362" t="str">
        <f t="shared" si="342"/>
        <v>—</v>
      </c>
      <c r="I4362" t="str">
        <f t="shared" si="343"/>
        <v>Below thresholds</v>
      </c>
      <c r="J4362" t="str">
        <f t="shared" si="344"/>
        <v/>
      </c>
    </row>
    <row r="4363" spans="1:10" x14ac:dyDescent="0.2">
      <c r="A4363">
        <v>227336199095</v>
      </c>
      <c r="B4363" t="s">
        <v>9248</v>
      </c>
      <c r="C4363" t="s">
        <v>9249</v>
      </c>
      <c r="D4363">
        <v>2</v>
      </c>
      <c r="F4363" t="str">
        <f t="shared" si="340"/>
        <v>No</v>
      </c>
      <c r="G4363" t="str">
        <f t="shared" si="341"/>
        <v/>
      </c>
      <c r="H4363" t="str">
        <f t="shared" si="342"/>
        <v>—</v>
      </c>
      <c r="I4363" t="str">
        <f t="shared" si="343"/>
        <v>Below thresholds</v>
      </c>
      <c r="J4363" t="str">
        <f t="shared" si="344"/>
        <v/>
      </c>
    </row>
    <row r="4364" spans="1:10" x14ac:dyDescent="0.2">
      <c r="A4364">
        <v>227336199108</v>
      </c>
      <c r="B4364" t="s">
        <v>9250</v>
      </c>
      <c r="C4364" t="s">
        <v>9251</v>
      </c>
      <c r="D4364">
        <v>5</v>
      </c>
      <c r="F4364" t="str">
        <f t="shared" si="340"/>
        <v>No</v>
      </c>
      <c r="G4364" t="str">
        <f t="shared" si="341"/>
        <v/>
      </c>
      <c r="H4364" t="str">
        <f t="shared" si="342"/>
        <v>—</v>
      </c>
      <c r="I4364" t="str">
        <f t="shared" si="343"/>
        <v>Below thresholds</v>
      </c>
      <c r="J4364" t="str">
        <f t="shared" si="344"/>
        <v/>
      </c>
    </row>
    <row r="4365" spans="1:10" x14ac:dyDescent="0.2">
      <c r="A4365">
        <v>227336199155</v>
      </c>
      <c r="B4365" t="s">
        <v>9252</v>
      </c>
      <c r="C4365" t="s">
        <v>9253</v>
      </c>
      <c r="D4365">
        <v>6.49</v>
      </c>
      <c r="F4365" t="str">
        <f t="shared" si="340"/>
        <v>No</v>
      </c>
      <c r="G4365" t="str">
        <f t="shared" si="341"/>
        <v/>
      </c>
      <c r="H4365" t="str">
        <f t="shared" si="342"/>
        <v>—</v>
      </c>
      <c r="I4365" t="str">
        <f t="shared" si="343"/>
        <v>Below thresholds</v>
      </c>
      <c r="J4365" t="str">
        <f t="shared" si="344"/>
        <v/>
      </c>
    </row>
    <row r="4366" spans="1:10" x14ac:dyDescent="0.2">
      <c r="A4366">
        <v>227336199159</v>
      </c>
      <c r="B4366" t="s">
        <v>9254</v>
      </c>
      <c r="C4366" t="s">
        <v>9255</v>
      </c>
      <c r="D4366">
        <v>3.95</v>
      </c>
      <c r="F4366" t="str">
        <f t="shared" si="340"/>
        <v>No</v>
      </c>
      <c r="G4366" t="str">
        <f t="shared" si="341"/>
        <v/>
      </c>
      <c r="H4366" t="str">
        <f t="shared" si="342"/>
        <v>—</v>
      </c>
      <c r="I4366" t="str">
        <f t="shared" si="343"/>
        <v>Below thresholds</v>
      </c>
      <c r="J4366" t="str">
        <f t="shared" si="344"/>
        <v/>
      </c>
    </row>
    <row r="4367" spans="1:10" x14ac:dyDescent="0.2">
      <c r="A4367">
        <v>227336199178</v>
      </c>
      <c r="B4367" t="s">
        <v>9256</v>
      </c>
      <c r="C4367" t="s">
        <v>9257</v>
      </c>
      <c r="D4367">
        <v>1.25</v>
      </c>
      <c r="F4367" t="str">
        <f t="shared" si="340"/>
        <v>No</v>
      </c>
      <c r="G4367" t="str">
        <f t="shared" si="341"/>
        <v/>
      </c>
      <c r="H4367" t="str">
        <f t="shared" si="342"/>
        <v>—</v>
      </c>
      <c r="I4367" t="str">
        <f t="shared" si="343"/>
        <v>Below thresholds</v>
      </c>
      <c r="J4367" t="str">
        <f t="shared" si="344"/>
        <v/>
      </c>
    </row>
    <row r="4368" spans="1:10" x14ac:dyDescent="0.2">
      <c r="A4368">
        <v>227336199261</v>
      </c>
      <c r="B4368" t="s">
        <v>9258</v>
      </c>
      <c r="C4368" t="s">
        <v>9259</v>
      </c>
      <c r="D4368">
        <v>8.99</v>
      </c>
      <c r="F4368" t="str">
        <f t="shared" si="340"/>
        <v>No</v>
      </c>
      <c r="G4368" t="str">
        <f t="shared" si="341"/>
        <v/>
      </c>
      <c r="H4368" t="str">
        <f t="shared" si="342"/>
        <v>—</v>
      </c>
      <c r="I4368" t="str">
        <f t="shared" si="343"/>
        <v>Below thresholds</v>
      </c>
      <c r="J4368" t="str">
        <f t="shared" si="344"/>
        <v/>
      </c>
    </row>
    <row r="4369" spans="1:10" x14ac:dyDescent="0.2">
      <c r="A4369">
        <v>227336199274</v>
      </c>
      <c r="B4369" t="s">
        <v>9260</v>
      </c>
      <c r="C4369" t="s">
        <v>9261</v>
      </c>
      <c r="D4369">
        <v>1.25</v>
      </c>
      <c r="F4369" t="str">
        <f t="shared" si="340"/>
        <v>No</v>
      </c>
      <c r="G4369" t="str">
        <f t="shared" si="341"/>
        <v/>
      </c>
      <c r="H4369" t="str">
        <f t="shared" si="342"/>
        <v>—</v>
      </c>
      <c r="I4369" t="str">
        <f t="shared" si="343"/>
        <v>Below thresholds</v>
      </c>
      <c r="J4369" t="str">
        <f t="shared" si="344"/>
        <v/>
      </c>
    </row>
    <row r="4370" spans="1:10" x14ac:dyDescent="0.2">
      <c r="A4370">
        <v>227336199278</v>
      </c>
      <c r="B4370" t="s">
        <v>9262</v>
      </c>
      <c r="C4370" t="s">
        <v>9263</v>
      </c>
      <c r="D4370">
        <v>13.99</v>
      </c>
      <c r="F4370" t="str">
        <f t="shared" si="340"/>
        <v>No</v>
      </c>
      <c r="G4370" t="str">
        <f t="shared" si="341"/>
        <v/>
      </c>
      <c r="H4370" t="str">
        <f t="shared" si="342"/>
        <v>—</v>
      </c>
      <c r="I4370" t="str">
        <f t="shared" si="343"/>
        <v>Below thresholds</v>
      </c>
      <c r="J4370" t="str">
        <f t="shared" si="344"/>
        <v/>
      </c>
    </row>
    <row r="4371" spans="1:10" x14ac:dyDescent="0.2">
      <c r="A4371">
        <v>227336199409</v>
      </c>
      <c r="B4371" t="s">
        <v>9264</v>
      </c>
      <c r="C4371" t="s">
        <v>9265</v>
      </c>
      <c r="D4371">
        <v>20</v>
      </c>
      <c r="F4371" t="str">
        <f t="shared" si="340"/>
        <v>No</v>
      </c>
      <c r="G4371" t="str">
        <f t="shared" si="341"/>
        <v/>
      </c>
      <c r="H4371" t="str">
        <f t="shared" si="342"/>
        <v>—</v>
      </c>
      <c r="I4371" t="str">
        <f t="shared" si="343"/>
        <v>Below thresholds</v>
      </c>
      <c r="J4371" t="str">
        <f t="shared" si="344"/>
        <v/>
      </c>
    </row>
    <row r="4372" spans="1:10" x14ac:dyDescent="0.2">
      <c r="A4372">
        <v>227336199417</v>
      </c>
      <c r="B4372" t="s">
        <v>9266</v>
      </c>
      <c r="C4372" t="s">
        <v>9267</v>
      </c>
      <c r="D4372">
        <v>2</v>
      </c>
      <c r="F4372" t="str">
        <f t="shared" si="340"/>
        <v>No</v>
      </c>
      <c r="G4372" t="str">
        <f t="shared" si="341"/>
        <v/>
      </c>
      <c r="H4372" t="str">
        <f t="shared" si="342"/>
        <v>—</v>
      </c>
      <c r="I4372" t="str">
        <f t="shared" si="343"/>
        <v>Below thresholds</v>
      </c>
      <c r="J4372" t="str">
        <f t="shared" si="344"/>
        <v/>
      </c>
    </row>
    <row r="4373" spans="1:10" x14ac:dyDescent="0.2">
      <c r="A4373">
        <v>227336199430</v>
      </c>
      <c r="B4373" t="s">
        <v>9268</v>
      </c>
      <c r="C4373" t="s">
        <v>9269</v>
      </c>
      <c r="D4373">
        <v>6.99</v>
      </c>
      <c r="F4373" t="str">
        <f t="shared" si="340"/>
        <v>No</v>
      </c>
      <c r="G4373" t="str">
        <f t="shared" si="341"/>
        <v/>
      </c>
      <c r="H4373" t="str">
        <f t="shared" si="342"/>
        <v>—</v>
      </c>
      <c r="I4373" t="str">
        <f t="shared" si="343"/>
        <v>Below thresholds</v>
      </c>
      <c r="J4373" t="str">
        <f t="shared" si="344"/>
        <v/>
      </c>
    </row>
    <row r="4374" spans="1:10" x14ac:dyDescent="0.2">
      <c r="A4374">
        <v>227336199486</v>
      </c>
      <c r="B4374" t="s">
        <v>9270</v>
      </c>
      <c r="C4374" t="s">
        <v>9271</v>
      </c>
      <c r="D4374">
        <v>3.49</v>
      </c>
      <c r="F4374" t="str">
        <f t="shared" si="340"/>
        <v>No</v>
      </c>
      <c r="G4374" t="str">
        <f t="shared" si="341"/>
        <v/>
      </c>
      <c r="H4374" t="str">
        <f t="shared" si="342"/>
        <v>—</v>
      </c>
      <c r="I4374" t="str">
        <f t="shared" si="343"/>
        <v>Below thresholds</v>
      </c>
      <c r="J4374" t="str">
        <f t="shared" si="344"/>
        <v/>
      </c>
    </row>
    <row r="4375" spans="1:10" x14ac:dyDescent="0.2">
      <c r="A4375">
        <v>227336199560</v>
      </c>
      <c r="B4375" t="s">
        <v>9272</v>
      </c>
      <c r="C4375" t="s">
        <v>9273</v>
      </c>
      <c r="D4375">
        <v>2.99</v>
      </c>
      <c r="F4375" t="str">
        <f t="shared" si="340"/>
        <v>No</v>
      </c>
      <c r="G4375" t="str">
        <f t="shared" si="341"/>
        <v/>
      </c>
      <c r="H4375" t="str">
        <f t="shared" si="342"/>
        <v>—</v>
      </c>
      <c r="I4375" t="str">
        <f t="shared" si="343"/>
        <v>Below thresholds</v>
      </c>
      <c r="J4375" t="str">
        <f t="shared" si="344"/>
        <v/>
      </c>
    </row>
    <row r="4376" spans="1:10" x14ac:dyDescent="0.2">
      <c r="A4376">
        <v>227337123759</v>
      </c>
      <c r="B4376" t="s">
        <v>9274</v>
      </c>
      <c r="C4376" t="s">
        <v>9275</v>
      </c>
      <c r="D4376">
        <v>15</v>
      </c>
      <c r="F4376" t="str">
        <f t="shared" si="340"/>
        <v>No</v>
      </c>
      <c r="G4376" t="str">
        <f t="shared" si="341"/>
        <v/>
      </c>
      <c r="H4376" t="str">
        <f t="shared" si="342"/>
        <v>—</v>
      </c>
      <c r="I4376" t="str">
        <f t="shared" si="343"/>
        <v>Below thresholds</v>
      </c>
      <c r="J4376" t="str">
        <f t="shared" si="344"/>
        <v/>
      </c>
    </row>
    <row r="4377" spans="1:10" x14ac:dyDescent="0.2">
      <c r="A4377">
        <v>227337123763</v>
      </c>
      <c r="B4377" t="s">
        <v>9276</v>
      </c>
      <c r="C4377" t="s">
        <v>9277</v>
      </c>
      <c r="D4377">
        <v>2.09</v>
      </c>
      <c r="F4377" t="str">
        <f t="shared" si="340"/>
        <v>No</v>
      </c>
      <c r="G4377" t="str">
        <f t="shared" si="341"/>
        <v/>
      </c>
      <c r="H4377" t="str">
        <f t="shared" si="342"/>
        <v>—</v>
      </c>
      <c r="I4377" t="str">
        <f t="shared" si="343"/>
        <v>Below thresholds</v>
      </c>
      <c r="J4377" t="str">
        <f t="shared" si="344"/>
        <v/>
      </c>
    </row>
    <row r="4378" spans="1:10" x14ac:dyDescent="0.2">
      <c r="A4378">
        <v>227337123837</v>
      </c>
      <c r="B4378" t="s">
        <v>9278</v>
      </c>
      <c r="C4378" t="s">
        <v>9279</v>
      </c>
      <c r="D4378">
        <v>1.25</v>
      </c>
      <c r="F4378" t="str">
        <f t="shared" si="340"/>
        <v>No</v>
      </c>
      <c r="G4378" t="str">
        <f t="shared" si="341"/>
        <v/>
      </c>
      <c r="H4378" t="str">
        <f t="shared" si="342"/>
        <v>—</v>
      </c>
      <c r="I4378" t="str">
        <f t="shared" si="343"/>
        <v>Below thresholds</v>
      </c>
      <c r="J4378" t="str">
        <f t="shared" si="344"/>
        <v/>
      </c>
    </row>
    <row r="4379" spans="1:10" x14ac:dyDescent="0.2">
      <c r="A4379">
        <v>227337123838</v>
      </c>
      <c r="B4379" t="s">
        <v>9280</v>
      </c>
      <c r="C4379" t="s">
        <v>9281</v>
      </c>
      <c r="D4379">
        <v>5</v>
      </c>
      <c r="F4379" t="str">
        <f t="shared" si="340"/>
        <v>No</v>
      </c>
      <c r="G4379" t="str">
        <f t="shared" si="341"/>
        <v/>
      </c>
      <c r="H4379" t="str">
        <f t="shared" si="342"/>
        <v>—</v>
      </c>
      <c r="I4379" t="str">
        <f t="shared" si="343"/>
        <v>Below thresholds</v>
      </c>
      <c r="J4379" t="str">
        <f t="shared" si="344"/>
        <v/>
      </c>
    </row>
    <row r="4380" spans="1:10" x14ac:dyDescent="0.2">
      <c r="A4380">
        <v>227337123868</v>
      </c>
      <c r="B4380" t="s">
        <v>9282</v>
      </c>
      <c r="C4380" t="s">
        <v>9283</v>
      </c>
      <c r="D4380">
        <v>5.99</v>
      </c>
      <c r="F4380" t="str">
        <f t="shared" si="340"/>
        <v>No</v>
      </c>
      <c r="G4380" t="str">
        <f t="shared" si="341"/>
        <v/>
      </c>
      <c r="H4380" t="str">
        <f t="shared" si="342"/>
        <v>—</v>
      </c>
      <c r="I4380" t="str">
        <f t="shared" si="343"/>
        <v>Below thresholds</v>
      </c>
      <c r="J4380" t="str">
        <f t="shared" si="344"/>
        <v/>
      </c>
    </row>
    <row r="4381" spans="1:10" x14ac:dyDescent="0.2">
      <c r="A4381">
        <v>227337123870</v>
      </c>
      <c r="B4381" t="s">
        <v>9284</v>
      </c>
      <c r="C4381" t="s">
        <v>9285</v>
      </c>
      <c r="D4381">
        <v>2.99</v>
      </c>
      <c r="F4381" t="str">
        <f t="shared" si="340"/>
        <v>No</v>
      </c>
      <c r="G4381" t="str">
        <f t="shared" si="341"/>
        <v/>
      </c>
      <c r="H4381" t="str">
        <f t="shared" si="342"/>
        <v>—</v>
      </c>
      <c r="I4381" t="str">
        <f t="shared" si="343"/>
        <v>Below thresholds</v>
      </c>
      <c r="J4381" t="str">
        <f t="shared" si="344"/>
        <v/>
      </c>
    </row>
    <row r="4382" spans="1:10" x14ac:dyDescent="0.2">
      <c r="A4382">
        <v>227337123893</v>
      </c>
      <c r="B4382" t="s">
        <v>9286</v>
      </c>
      <c r="C4382" t="s">
        <v>9287</v>
      </c>
      <c r="D4382">
        <v>1.5</v>
      </c>
      <c r="F4382" t="str">
        <f t="shared" si="340"/>
        <v>No</v>
      </c>
      <c r="G4382" t="str">
        <f t="shared" si="341"/>
        <v/>
      </c>
      <c r="H4382" t="str">
        <f t="shared" si="342"/>
        <v>—</v>
      </c>
      <c r="I4382" t="str">
        <f t="shared" si="343"/>
        <v>Below thresholds</v>
      </c>
      <c r="J4382" t="str">
        <f t="shared" si="344"/>
        <v/>
      </c>
    </row>
    <row r="4383" spans="1:10" x14ac:dyDescent="0.2">
      <c r="A4383">
        <v>227337123897</v>
      </c>
      <c r="B4383" t="s">
        <v>9288</v>
      </c>
      <c r="C4383" t="s">
        <v>9289</v>
      </c>
      <c r="D4383">
        <v>45</v>
      </c>
      <c r="F4383" t="str">
        <f t="shared" si="340"/>
        <v>No</v>
      </c>
      <c r="G4383" t="str">
        <f t="shared" si="341"/>
        <v/>
      </c>
      <c r="H4383" t="str">
        <f t="shared" si="342"/>
        <v>—</v>
      </c>
      <c r="I4383" t="str">
        <f t="shared" si="343"/>
        <v>$20+ — needs velocity check</v>
      </c>
      <c r="J4383" t="str">
        <f t="shared" si="344"/>
        <v>YES — pull CardHedger</v>
      </c>
    </row>
    <row r="4384" spans="1:10" x14ac:dyDescent="0.2">
      <c r="A4384">
        <v>227337123948</v>
      </c>
      <c r="B4384" t="s">
        <v>9290</v>
      </c>
      <c r="C4384" t="s">
        <v>9291</v>
      </c>
      <c r="D4384">
        <v>6.99</v>
      </c>
      <c r="F4384" t="str">
        <f t="shared" si="340"/>
        <v>No</v>
      </c>
      <c r="G4384" t="str">
        <f t="shared" si="341"/>
        <v/>
      </c>
      <c r="H4384" t="str">
        <f t="shared" si="342"/>
        <v>—</v>
      </c>
      <c r="I4384" t="str">
        <f t="shared" si="343"/>
        <v>Below thresholds</v>
      </c>
      <c r="J4384" t="str">
        <f t="shared" si="344"/>
        <v/>
      </c>
    </row>
    <row r="4385" spans="1:10" x14ac:dyDescent="0.2">
      <c r="A4385">
        <v>227337123985</v>
      </c>
      <c r="B4385" t="s">
        <v>9292</v>
      </c>
      <c r="C4385" t="s">
        <v>9293</v>
      </c>
      <c r="D4385">
        <v>2</v>
      </c>
      <c r="F4385" t="str">
        <f t="shared" si="340"/>
        <v>No</v>
      </c>
      <c r="G4385" t="str">
        <f t="shared" si="341"/>
        <v/>
      </c>
      <c r="H4385" t="str">
        <f t="shared" si="342"/>
        <v>—</v>
      </c>
      <c r="I4385" t="str">
        <f t="shared" si="343"/>
        <v>Below thresholds</v>
      </c>
      <c r="J4385" t="str">
        <f t="shared" si="344"/>
        <v/>
      </c>
    </row>
    <row r="4386" spans="1:10" x14ac:dyDescent="0.2">
      <c r="A4386">
        <v>227337124135</v>
      </c>
      <c r="B4386" t="s">
        <v>9294</v>
      </c>
      <c r="C4386" t="s">
        <v>9295</v>
      </c>
      <c r="D4386">
        <v>15</v>
      </c>
      <c r="F4386" t="str">
        <f t="shared" si="340"/>
        <v>No</v>
      </c>
      <c r="G4386" t="str">
        <f t="shared" si="341"/>
        <v/>
      </c>
      <c r="H4386" t="str">
        <f t="shared" si="342"/>
        <v>—</v>
      </c>
      <c r="I4386" t="str">
        <f t="shared" si="343"/>
        <v>Below thresholds</v>
      </c>
      <c r="J4386" t="str">
        <f t="shared" si="344"/>
        <v/>
      </c>
    </row>
    <row r="4387" spans="1:10" x14ac:dyDescent="0.2">
      <c r="A4387">
        <v>227337124150</v>
      </c>
      <c r="B4387" t="s">
        <v>9296</v>
      </c>
      <c r="C4387" t="s">
        <v>9297</v>
      </c>
      <c r="D4387">
        <v>6</v>
      </c>
      <c r="F4387" t="str">
        <f t="shared" si="340"/>
        <v>No</v>
      </c>
      <c r="G4387" t="str">
        <f t="shared" si="341"/>
        <v/>
      </c>
      <c r="H4387" t="str">
        <f t="shared" si="342"/>
        <v>—</v>
      </c>
      <c r="I4387" t="str">
        <f t="shared" si="343"/>
        <v>Below thresholds</v>
      </c>
      <c r="J4387" t="str">
        <f t="shared" si="344"/>
        <v/>
      </c>
    </row>
    <row r="4388" spans="1:10" x14ac:dyDescent="0.2">
      <c r="A4388">
        <v>227337124188</v>
      </c>
      <c r="B4388" t="s">
        <v>9298</v>
      </c>
      <c r="C4388" t="s">
        <v>9299</v>
      </c>
      <c r="D4388">
        <v>6</v>
      </c>
      <c r="F4388" t="str">
        <f t="shared" si="340"/>
        <v>No</v>
      </c>
      <c r="G4388" t="str">
        <f t="shared" si="341"/>
        <v/>
      </c>
      <c r="H4388" t="str">
        <f t="shared" si="342"/>
        <v>—</v>
      </c>
      <c r="I4388" t="str">
        <f t="shared" si="343"/>
        <v>Below thresholds</v>
      </c>
      <c r="J4388" t="str">
        <f t="shared" si="344"/>
        <v/>
      </c>
    </row>
    <row r="4389" spans="1:10" x14ac:dyDescent="0.2">
      <c r="A4389">
        <v>227337124221</v>
      </c>
      <c r="B4389" t="s">
        <v>9300</v>
      </c>
      <c r="C4389" t="s">
        <v>9301</v>
      </c>
      <c r="D4389">
        <v>5</v>
      </c>
      <c r="F4389" t="str">
        <f t="shared" si="340"/>
        <v>No</v>
      </c>
      <c r="G4389" t="str">
        <f t="shared" si="341"/>
        <v/>
      </c>
      <c r="H4389" t="str">
        <f t="shared" si="342"/>
        <v>—</v>
      </c>
      <c r="I4389" t="str">
        <f t="shared" si="343"/>
        <v>Below thresholds</v>
      </c>
      <c r="J4389" t="str">
        <f t="shared" si="344"/>
        <v/>
      </c>
    </row>
    <row r="4390" spans="1:10" x14ac:dyDescent="0.2">
      <c r="A4390">
        <v>227337124254</v>
      </c>
      <c r="B4390" t="s">
        <v>9302</v>
      </c>
      <c r="C4390" t="s">
        <v>9303</v>
      </c>
      <c r="D4390">
        <v>20</v>
      </c>
      <c r="F4390" t="str">
        <f t="shared" si="340"/>
        <v>No</v>
      </c>
      <c r="G4390" t="str">
        <f t="shared" si="341"/>
        <v/>
      </c>
      <c r="H4390" t="str">
        <f t="shared" si="342"/>
        <v>—</v>
      </c>
      <c r="I4390" t="str">
        <f t="shared" si="343"/>
        <v>Below thresholds</v>
      </c>
      <c r="J4390" t="str">
        <f t="shared" si="344"/>
        <v/>
      </c>
    </row>
    <row r="4391" spans="1:10" x14ac:dyDescent="0.2">
      <c r="A4391">
        <v>227337124278</v>
      </c>
      <c r="B4391" t="s">
        <v>9304</v>
      </c>
      <c r="C4391" t="s">
        <v>9305</v>
      </c>
      <c r="D4391">
        <v>50</v>
      </c>
      <c r="F4391" t="str">
        <f t="shared" si="340"/>
        <v>No</v>
      </c>
      <c r="G4391" t="str">
        <f t="shared" si="341"/>
        <v/>
      </c>
      <c r="H4391" t="str">
        <f t="shared" si="342"/>
        <v>—</v>
      </c>
      <c r="I4391" t="str">
        <f t="shared" si="343"/>
        <v>$20+ — needs velocity check</v>
      </c>
      <c r="J4391" t="str">
        <f t="shared" si="344"/>
        <v>YES — pull CardHedger</v>
      </c>
    </row>
    <row r="4392" spans="1:10" x14ac:dyDescent="0.2">
      <c r="A4392">
        <v>227337124304</v>
      </c>
      <c r="B4392" t="s">
        <v>9306</v>
      </c>
      <c r="C4392" t="s">
        <v>9307</v>
      </c>
      <c r="D4392">
        <v>3.99</v>
      </c>
      <c r="F4392" t="str">
        <f t="shared" si="340"/>
        <v>No</v>
      </c>
      <c r="G4392" t="str">
        <f t="shared" si="341"/>
        <v/>
      </c>
      <c r="H4392" t="str">
        <f t="shared" si="342"/>
        <v>—</v>
      </c>
      <c r="I4392" t="str">
        <f t="shared" si="343"/>
        <v>Below thresholds</v>
      </c>
      <c r="J4392" t="str">
        <f t="shared" si="344"/>
        <v/>
      </c>
    </row>
    <row r="4393" spans="1:10" x14ac:dyDescent="0.2">
      <c r="A4393">
        <v>227338559204</v>
      </c>
      <c r="B4393" t="s">
        <v>9308</v>
      </c>
      <c r="C4393" t="s">
        <v>9309</v>
      </c>
      <c r="D4393">
        <v>10.5</v>
      </c>
      <c r="F4393" t="str">
        <f t="shared" si="340"/>
        <v>No</v>
      </c>
      <c r="G4393" t="str">
        <f t="shared" si="341"/>
        <v/>
      </c>
      <c r="H4393" t="str">
        <f t="shared" si="342"/>
        <v>—</v>
      </c>
      <c r="I4393" t="str">
        <f t="shared" si="343"/>
        <v>Below thresholds</v>
      </c>
      <c r="J4393" t="str">
        <f t="shared" si="344"/>
        <v/>
      </c>
    </row>
    <row r="4394" spans="1:10" x14ac:dyDescent="0.2">
      <c r="A4394">
        <v>227338594592</v>
      </c>
      <c r="B4394" t="s">
        <v>9310</v>
      </c>
      <c r="C4394" t="s">
        <v>9311</v>
      </c>
      <c r="D4394">
        <v>16.989999999999998</v>
      </c>
      <c r="F4394" t="str">
        <f t="shared" si="340"/>
        <v>No</v>
      </c>
      <c r="G4394" t="str">
        <f t="shared" si="341"/>
        <v/>
      </c>
      <c r="H4394" t="str">
        <f t="shared" si="342"/>
        <v>—</v>
      </c>
      <c r="I4394" t="str">
        <f t="shared" si="343"/>
        <v>Below thresholds</v>
      </c>
      <c r="J4394" t="str">
        <f t="shared" si="344"/>
        <v/>
      </c>
    </row>
    <row r="4395" spans="1:10" x14ac:dyDescent="0.2">
      <c r="A4395">
        <v>227338674649</v>
      </c>
      <c r="B4395" t="s">
        <v>9312</v>
      </c>
      <c r="C4395" t="s">
        <v>9313</v>
      </c>
      <c r="D4395">
        <v>2</v>
      </c>
      <c r="F4395" t="str">
        <f t="shared" si="340"/>
        <v>No</v>
      </c>
      <c r="G4395" t="str">
        <f t="shared" si="341"/>
        <v/>
      </c>
      <c r="H4395" t="str">
        <f t="shared" si="342"/>
        <v>—</v>
      </c>
      <c r="I4395" t="str">
        <f t="shared" si="343"/>
        <v>Below thresholds</v>
      </c>
      <c r="J4395" t="str">
        <f t="shared" si="344"/>
        <v/>
      </c>
    </row>
    <row r="4396" spans="1:10" x14ac:dyDescent="0.2">
      <c r="A4396">
        <v>227338674744</v>
      </c>
      <c r="B4396" t="s">
        <v>9314</v>
      </c>
      <c r="C4396" t="s">
        <v>9315</v>
      </c>
      <c r="D4396">
        <v>2</v>
      </c>
      <c r="F4396" t="str">
        <f t="shared" si="340"/>
        <v>No</v>
      </c>
      <c r="G4396" t="str">
        <f t="shared" si="341"/>
        <v/>
      </c>
      <c r="H4396" t="str">
        <f t="shared" si="342"/>
        <v>—</v>
      </c>
      <c r="I4396" t="str">
        <f t="shared" si="343"/>
        <v>Below thresholds</v>
      </c>
      <c r="J4396" t="str">
        <f t="shared" si="344"/>
        <v/>
      </c>
    </row>
    <row r="4397" spans="1:10" x14ac:dyDescent="0.2">
      <c r="A4397">
        <v>227338674805</v>
      </c>
      <c r="B4397" t="s">
        <v>9316</v>
      </c>
      <c r="C4397" t="s">
        <v>9317</v>
      </c>
      <c r="D4397">
        <v>525</v>
      </c>
      <c r="F4397" t="str">
        <f t="shared" si="340"/>
        <v>No</v>
      </c>
      <c r="G4397" t="str">
        <f t="shared" si="341"/>
        <v/>
      </c>
      <c r="H4397" t="str">
        <f t="shared" si="342"/>
        <v>TIER 2</v>
      </c>
      <c r="I4397" t="str">
        <f t="shared" si="343"/>
        <v>Premium $100+ (auto)</v>
      </c>
      <c r="J4397" t="str">
        <f t="shared" si="344"/>
        <v/>
      </c>
    </row>
    <row r="4398" spans="1:10" x14ac:dyDescent="0.2">
      <c r="A4398">
        <v>227338674814</v>
      </c>
      <c r="B4398" t="s">
        <v>9318</v>
      </c>
      <c r="C4398" t="s">
        <v>9319</v>
      </c>
      <c r="D4398">
        <v>2.5</v>
      </c>
      <c r="F4398" t="str">
        <f t="shared" si="340"/>
        <v>No</v>
      </c>
      <c r="G4398" t="str">
        <f t="shared" si="341"/>
        <v/>
      </c>
      <c r="H4398" t="str">
        <f t="shared" si="342"/>
        <v>—</v>
      </c>
      <c r="I4398" t="str">
        <f t="shared" si="343"/>
        <v>Below thresholds</v>
      </c>
      <c r="J4398" t="str">
        <f t="shared" si="344"/>
        <v/>
      </c>
    </row>
    <row r="4399" spans="1:10" x14ac:dyDescent="0.2">
      <c r="A4399">
        <v>227338674849</v>
      </c>
      <c r="B4399" t="s">
        <v>9320</v>
      </c>
      <c r="C4399" t="s">
        <v>9321</v>
      </c>
      <c r="D4399">
        <v>11</v>
      </c>
      <c r="F4399" t="str">
        <f t="shared" si="340"/>
        <v>No</v>
      </c>
      <c r="G4399" t="str">
        <f t="shared" si="341"/>
        <v/>
      </c>
      <c r="H4399" t="str">
        <f t="shared" si="342"/>
        <v>—</v>
      </c>
      <c r="I4399" t="str">
        <f t="shared" si="343"/>
        <v>Below thresholds</v>
      </c>
      <c r="J4399" t="str">
        <f t="shared" si="344"/>
        <v/>
      </c>
    </row>
    <row r="4400" spans="1:10" x14ac:dyDescent="0.2">
      <c r="A4400">
        <v>227338674860</v>
      </c>
      <c r="B4400" t="s">
        <v>9322</v>
      </c>
      <c r="C4400" t="s">
        <v>9323</v>
      </c>
      <c r="D4400">
        <v>2</v>
      </c>
      <c r="F4400" t="str">
        <f t="shared" si="340"/>
        <v>No</v>
      </c>
      <c r="G4400" t="str">
        <f t="shared" si="341"/>
        <v/>
      </c>
      <c r="H4400" t="str">
        <f t="shared" si="342"/>
        <v>—</v>
      </c>
      <c r="I4400" t="str">
        <f t="shared" si="343"/>
        <v>Below thresholds</v>
      </c>
      <c r="J4400" t="str">
        <f t="shared" si="344"/>
        <v/>
      </c>
    </row>
    <row r="4401" spans="1:10" x14ac:dyDescent="0.2">
      <c r="A4401">
        <v>227338674954</v>
      </c>
      <c r="B4401" t="s">
        <v>9084</v>
      </c>
      <c r="C4401" t="s">
        <v>9324</v>
      </c>
      <c r="D4401">
        <v>2.99</v>
      </c>
      <c r="F4401" t="str">
        <f t="shared" si="340"/>
        <v>No</v>
      </c>
      <c r="G4401" t="str">
        <f t="shared" si="341"/>
        <v/>
      </c>
      <c r="H4401" t="str">
        <f t="shared" si="342"/>
        <v>—</v>
      </c>
      <c r="I4401" t="str">
        <f t="shared" si="343"/>
        <v>Below thresholds</v>
      </c>
      <c r="J4401" t="str">
        <f t="shared" si="344"/>
        <v/>
      </c>
    </row>
    <row r="4402" spans="1:10" x14ac:dyDescent="0.2">
      <c r="A4402">
        <v>227338675103</v>
      </c>
      <c r="B4402" t="s">
        <v>9325</v>
      </c>
      <c r="C4402" t="s">
        <v>9326</v>
      </c>
      <c r="D4402">
        <v>2.99</v>
      </c>
      <c r="F4402" t="str">
        <f t="shared" si="340"/>
        <v>No</v>
      </c>
      <c r="G4402" t="str">
        <f t="shared" si="341"/>
        <v/>
      </c>
      <c r="H4402" t="str">
        <f t="shared" si="342"/>
        <v>—</v>
      </c>
      <c r="I4402" t="str">
        <f t="shared" si="343"/>
        <v>Below thresholds</v>
      </c>
      <c r="J4402" t="str">
        <f t="shared" si="344"/>
        <v/>
      </c>
    </row>
    <row r="4403" spans="1:10" x14ac:dyDescent="0.2">
      <c r="A4403">
        <v>227338675112</v>
      </c>
      <c r="B4403" t="s">
        <v>9327</v>
      </c>
      <c r="C4403" t="s">
        <v>9328</v>
      </c>
      <c r="D4403">
        <v>1.75</v>
      </c>
      <c r="F4403" t="str">
        <f t="shared" si="340"/>
        <v>No</v>
      </c>
      <c r="G4403" t="str">
        <f t="shared" si="341"/>
        <v/>
      </c>
      <c r="H4403" t="str">
        <f t="shared" si="342"/>
        <v>—</v>
      </c>
      <c r="I4403" t="str">
        <f t="shared" si="343"/>
        <v>Below thresholds</v>
      </c>
      <c r="J4403" t="str">
        <f t="shared" si="344"/>
        <v/>
      </c>
    </row>
    <row r="4404" spans="1:10" x14ac:dyDescent="0.2">
      <c r="A4404">
        <v>227338675114</v>
      </c>
      <c r="B4404" t="s">
        <v>9329</v>
      </c>
      <c r="C4404" t="s">
        <v>9330</v>
      </c>
      <c r="D4404">
        <v>1.25</v>
      </c>
      <c r="F4404" t="str">
        <f t="shared" si="340"/>
        <v>No</v>
      </c>
      <c r="G4404" t="str">
        <f t="shared" si="341"/>
        <v/>
      </c>
      <c r="H4404" t="str">
        <f t="shared" si="342"/>
        <v>—</v>
      </c>
      <c r="I4404" t="str">
        <f t="shared" si="343"/>
        <v>Below thresholds</v>
      </c>
      <c r="J4404" t="str">
        <f t="shared" si="344"/>
        <v/>
      </c>
    </row>
    <row r="4405" spans="1:10" x14ac:dyDescent="0.2">
      <c r="A4405">
        <v>227338675199</v>
      </c>
      <c r="B4405" t="s">
        <v>9331</v>
      </c>
      <c r="C4405" t="s">
        <v>9332</v>
      </c>
      <c r="D4405">
        <v>5</v>
      </c>
      <c r="F4405" t="str">
        <f t="shared" si="340"/>
        <v>No</v>
      </c>
      <c r="G4405" t="str">
        <f t="shared" si="341"/>
        <v/>
      </c>
      <c r="H4405" t="str">
        <f t="shared" si="342"/>
        <v>—</v>
      </c>
      <c r="I4405" t="str">
        <f t="shared" si="343"/>
        <v>Below thresholds</v>
      </c>
      <c r="J4405" t="str">
        <f t="shared" si="344"/>
        <v/>
      </c>
    </row>
    <row r="4406" spans="1:10" x14ac:dyDescent="0.2">
      <c r="A4406">
        <v>227338675202</v>
      </c>
      <c r="B4406" t="s">
        <v>9333</v>
      </c>
      <c r="C4406" t="s">
        <v>9334</v>
      </c>
      <c r="D4406">
        <v>11</v>
      </c>
      <c r="F4406" t="str">
        <f t="shared" si="340"/>
        <v>No</v>
      </c>
      <c r="G4406" t="str">
        <f t="shared" si="341"/>
        <v/>
      </c>
      <c r="H4406" t="str">
        <f t="shared" si="342"/>
        <v>—</v>
      </c>
      <c r="I4406" t="str">
        <f t="shared" si="343"/>
        <v>Below thresholds</v>
      </c>
      <c r="J4406" t="str">
        <f t="shared" si="344"/>
        <v/>
      </c>
    </row>
    <row r="4407" spans="1:10" x14ac:dyDescent="0.2">
      <c r="A4407">
        <v>227338675217</v>
      </c>
      <c r="B4407" t="s">
        <v>9335</v>
      </c>
      <c r="C4407" t="s">
        <v>9336</v>
      </c>
      <c r="D4407">
        <v>3.5</v>
      </c>
      <c r="F4407" t="str">
        <f t="shared" si="340"/>
        <v>No</v>
      </c>
      <c r="G4407" t="str">
        <f t="shared" si="341"/>
        <v/>
      </c>
      <c r="H4407" t="str">
        <f t="shared" si="342"/>
        <v>—</v>
      </c>
      <c r="I4407" t="str">
        <f t="shared" si="343"/>
        <v>Below thresholds</v>
      </c>
      <c r="J4407" t="str">
        <f t="shared" si="344"/>
        <v/>
      </c>
    </row>
    <row r="4408" spans="1:10" x14ac:dyDescent="0.2">
      <c r="A4408">
        <v>227338675275</v>
      </c>
      <c r="B4408" t="s">
        <v>9337</v>
      </c>
      <c r="C4408" t="s">
        <v>9338</v>
      </c>
      <c r="D4408">
        <v>9.99</v>
      </c>
      <c r="F4408" t="str">
        <f t="shared" si="340"/>
        <v>No</v>
      </c>
      <c r="G4408" t="str">
        <f t="shared" si="341"/>
        <v/>
      </c>
      <c r="H4408" t="str">
        <f t="shared" si="342"/>
        <v>—</v>
      </c>
      <c r="I4408" t="str">
        <f t="shared" si="343"/>
        <v>Below thresholds</v>
      </c>
      <c r="J4408" t="str">
        <f t="shared" si="344"/>
        <v/>
      </c>
    </row>
    <row r="4409" spans="1:10" x14ac:dyDescent="0.2">
      <c r="A4409">
        <v>227338675284</v>
      </c>
      <c r="B4409" t="s">
        <v>9104</v>
      </c>
      <c r="C4409" t="s">
        <v>9339</v>
      </c>
      <c r="D4409">
        <v>2</v>
      </c>
      <c r="F4409" t="str">
        <f t="shared" si="340"/>
        <v>No</v>
      </c>
      <c r="G4409" t="str">
        <f t="shared" si="341"/>
        <v/>
      </c>
      <c r="H4409" t="str">
        <f t="shared" si="342"/>
        <v>—</v>
      </c>
      <c r="I4409" t="str">
        <f t="shared" si="343"/>
        <v>Below thresholds</v>
      </c>
      <c r="J4409" t="str">
        <f t="shared" si="344"/>
        <v/>
      </c>
    </row>
    <row r="4410" spans="1:10" x14ac:dyDescent="0.2">
      <c r="A4410">
        <v>227338675301</v>
      </c>
      <c r="B4410" t="s">
        <v>9340</v>
      </c>
      <c r="C4410" t="s">
        <v>9341</v>
      </c>
      <c r="D4410">
        <v>1.5</v>
      </c>
      <c r="F4410" t="str">
        <f t="shared" si="340"/>
        <v>No</v>
      </c>
      <c r="G4410" t="str">
        <f t="shared" si="341"/>
        <v/>
      </c>
      <c r="H4410" t="str">
        <f t="shared" si="342"/>
        <v>—</v>
      </c>
      <c r="I4410" t="str">
        <f t="shared" si="343"/>
        <v>Below thresholds</v>
      </c>
      <c r="J4410" t="str">
        <f t="shared" si="344"/>
        <v/>
      </c>
    </row>
    <row r="4411" spans="1:10" x14ac:dyDescent="0.2">
      <c r="A4411">
        <v>227338675351</v>
      </c>
      <c r="B4411" t="s">
        <v>9342</v>
      </c>
      <c r="C4411" t="s">
        <v>9343</v>
      </c>
      <c r="D4411">
        <v>2.4500000000000002</v>
      </c>
      <c r="F4411" t="str">
        <f t="shared" si="340"/>
        <v>No</v>
      </c>
      <c r="G4411" t="str">
        <f t="shared" si="341"/>
        <v/>
      </c>
      <c r="H4411" t="str">
        <f t="shared" si="342"/>
        <v>—</v>
      </c>
      <c r="I4411" t="str">
        <f t="shared" si="343"/>
        <v>Below thresholds</v>
      </c>
      <c r="J4411" t="str">
        <f t="shared" si="344"/>
        <v/>
      </c>
    </row>
    <row r="4412" spans="1:10" x14ac:dyDescent="0.2">
      <c r="A4412">
        <v>227338675367</v>
      </c>
      <c r="B4412" t="s">
        <v>9344</v>
      </c>
      <c r="C4412" t="s">
        <v>9345</v>
      </c>
      <c r="D4412">
        <v>7</v>
      </c>
      <c r="F4412" t="str">
        <f t="shared" si="340"/>
        <v>No</v>
      </c>
      <c r="G4412" t="str">
        <f t="shared" si="341"/>
        <v/>
      </c>
      <c r="H4412" t="str">
        <f t="shared" si="342"/>
        <v>—</v>
      </c>
      <c r="I4412" t="str">
        <f t="shared" si="343"/>
        <v>Below thresholds</v>
      </c>
      <c r="J4412" t="str">
        <f t="shared" si="344"/>
        <v/>
      </c>
    </row>
    <row r="4413" spans="1:10" x14ac:dyDescent="0.2">
      <c r="A4413">
        <v>227338675399</v>
      </c>
      <c r="B4413" t="s">
        <v>9346</v>
      </c>
      <c r="C4413" t="s">
        <v>9347</v>
      </c>
      <c r="D4413">
        <v>1.25</v>
      </c>
      <c r="F4413" t="str">
        <f t="shared" si="340"/>
        <v>No</v>
      </c>
      <c r="G4413" t="str">
        <f t="shared" si="341"/>
        <v/>
      </c>
      <c r="H4413" t="str">
        <f t="shared" si="342"/>
        <v>—</v>
      </c>
      <c r="I4413" t="str">
        <f t="shared" si="343"/>
        <v>Below thresholds</v>
      </c>
      <c r="J4413" t="str">
        <f t="shared" si="344"/>
        <v/>
      </c>
    </row>
    <row r="4414" spans="1:10" x14ac:dyDescent="0.2">
      <c r="A4414">
        <v>227338675450</v>
      </c>
      <c r="B4414" t="s">
        <v>9348</v>
      </c>
      <c r="C4414" t="s">
        <v>9349</v>
      </c>
      <c r="D4414">
        <v>2</v>
      </c>
      <c r="F4414" t="str">
        <f t="shared" si="340"/>
        <v>No</v>
      </c>
      <c r="G4414" t="str">
        <f t="shared" si="341"/>
        <v/>
      </c>
      <c r="H4414" t="str">
        <f t="shared" si="342"/>
        <v>—</v>
      </c>
      <c r="I4414" t="str">
        <f t="shared" si="343"/>
        <v>Below thresholds</v>
      </c>
      <c r="J4414" t="str">
        <f t="shared" si="344"/>
        <v/>
      </c>
    </row>
    <row r="4415" spans="1:10" x14ac:dyDescent="0.2">
      <c r="A4415">
        <v>227338675452</v>
      </c>
      <c r="B4415" t="s">
        <v>9350</v>
      </c>
      <c r="C4415" t="s">
        <v>9351</v>
      </c>
      <c r="D4415">
        <v>2</v>
      </c>
      <c r="F4415" t="str">
        <f t="shared" si="340"/>
        <v>No</v>
      </c>
      <c r="G4415" t="str">
        <f t="shared" si="341"/>
        <v/>
      </c>
      <c r="H4415" t="str">
        <f t="shared" si="342"/>
        <v>—</v>
      </c>
      <c r="I4415" t="str">
        <f t="shared" si="343"/>
        <v>Below thresholds</v>
      </c>
      <c r="J4415" t="str">
        <f t="shared" si="344"/>
        <v/>
      </c>
    </row>
    <row r="4416" spans="1:10" x14ac:dyDescent="0.2">
      <c r="A4416">
        <v>227338675478</v>
      </c>
      <c r="B4416" t="s">
        <v>9352</v>
      </c>
      <c r="C4416" t="s">
        <v>9353</v>
      </c>
      <c r="D4416">
        <v>1.25</v>
      </c>
      <c r="F4416" t="str">
        <f t="shared" si="340"/>
        <v>No</v>
      </c>
      <c r="G4416" t="str">
        <f t="shared" si="341"/>
        <v/>
      </c>
      <c r="H4416" t="str">
        <f t="shared" si="342"/>
        <v>—</v>
      </c>
      <c r="I4416" t="str">
        <f t="shared" si="343"/>
        <v>Below thresholds</v>
      </c>
      <c r="J4416" t="str">
        <f t="shared" si="344"/>
        <v/>
      </c>
    </row>
    <row r="4417" spans="1:10" x14ac:dyDescent="0.2">
      <c r="A4417">
        <v>227338675536</v>
      </c>
      <c r="B4417" t="s">
        <v>9354</v>
      </c>
      <c r="C4417" t="s">
        <v>9355</v>
      </c>
      <c r="D4417">
        <v>1.25</v>
      </c>
      <c r="F4417" t="str">
        <f t="shared" si="340"/>
        <v>No</v>
      </c>
      <c r="G4417" t="str">
        <f t="shared" si="341"/>
        <v/>
      </c>
      <c r="H4417" t="str">
        <f t="shared" si="342"/>
        <v>—</v>
      </c>
      <c r="I4417" t="str">
        <f t="shared" si="343"/>
        <v>Below thresholds</v>
      </c>
      <c r="J4417" t="str">
        <f t="shared" si="344"/>
        <v/>
      </c>
    </row>
    <row r="4418" spans="1:10" x14ac:dyDescent="0.2">
      <c r="A4418">
        <v>227343287383</v>
      </c>
      <c r="B4418" t="s">
        <v>9356</v>
      </c>
      <c r="C4418" t="s">
        <v>9357</v>
      </c>
      <c r="D4418">
        <v>2</v>
      </c>
      <c r="F4418" t="str">
        <f t="shared" si="340"/>
        <v>No</v>
      </c>
      <c r="G4418" t="str">
        <f t="shared" si="341"/>
        <v/>
      </c>
      <c r="H4418" t="str">
        <f t="shared" si="342"/>
        <v>—</v>
      </c>
      <c r="I4418" t="str">
        <f t="shared" si="343"/>
        <v>Below thresholds</v>
      </c>
      <c r="J4418" t="str">
        <f t="shared" si="344"/>
        <v/>
      </c>
    </row>
    <row r="4419" spans="1:10" x14ac:dyDescent="0.2">
      <c r="A4419">
        <v>227343290734</v>
      </c>
      <c r="B4419" t="s">
        <v>9358</v>
      </c>
      <c r="C4419" t="s">
        <v>9359</v>
      </c>
      <c r="D4419">
        <v>3.25</v>
      </c>
      <c r="F4419" t="str">
        <f t="shared" si="340"/>
        <v>No</v>
      </c>
      <c r="G4419" t="str">
        <f t="shared" si="341"/>
        <v/>
      </c>
      <c r="H4419" t="str">
        <f t="shared" si="342"/>
        <v>—</v>
      </c>
      <c r="I4419" t="str">
        <f t="shared" si="343"/>
        <v>Below thresholds</v>
      </c>
      <c r="J4419" t="str">
        <f t="shared" si="344"/>
        <v/>
      </c>
    </row>
    <row r="4420" spans="1:10" x14ac:dyDescent="0.2">
      <c r="A4420">
        <v>227345869326</v>
      </c>
      <c r="B4420" t="s">
        <v>9360</v>
      </c>
      <c r="C4420" t="s">
        <v>9361</v>
      </c>
      <c r="D4420">
        <v>10</v>
      </c>
      <c r="F4420" t="str">
        <f t="shared" si="340"/>
        <v>No</v>
      </c>
      <c r="G4420" t="str">
        <f t="shared" si="341"/>
        <v/>
      </c>
      <c r="H4420" t="str">
        <f t="shared" si="342"/>
        <v>—</v>
      </c>
      <c r="I4420" t="str">
        <f t="shared" si="343"/>
        <v>Below thresholds</v>
      </c>
      <c r="J4420" t="str">
        <f t="shared" si="344"/>
        <v/>
      </c>
    </row>
    <row r="4421" spans="1:10" x14ac:dyDescent="0.2">
      <c r="A4421">
        <v>227345870380</v>
      </c>
      <c r="B4421" t="s">
        <v>9362</v>
      </c>
      <c r="C4421" t="s">
        <v>9363</v>
      </c>
      <c r="D4421">
        <v>1.5</v>
      </c>
      <c r="F4421" t="str">
        <f t="shared" ref="F4421:F4484" si="345">IF($B4421="","",IF(ISNUMBER(SEARCH("PSA",$B4421)),"Yes","No"))</f>
        <v>No</v>
      </c>
      <c r="G4421" t="str">
        <f t="shared" ref="G4421:G4484" si="346">IF($B4421="","",IF(ISNUMBER(SEARCH("PSA 10",$B4421)),10,IF(ISNUMBER(SEARCH("PSA 9.5",$B4421)),9.5,IF(ISNUMBER(SEARCH("PSA 9",$B4421)),9,IF(ISNUMBER(SEARCH("PSA 8",$B4421)),8,IF(ISNUMBER(SEARCH("PSA",$B4421)),"&lt;9",""))))))</f>
        <v/>
      </c>
      <c r="H4421" t="str">
        <f t="shared" ref="H4421:H4484" si="347">IF($B4421="","",IF($D4421&gt;=100,"TIER 2",IF(OR(ISNUMBER(SEARCH("PSA 10",$B4421)),ISNUMBER(SEARCH("PSA 9.5",$B4421)),ISNUMBER(SEARCH("PSA 9",$B4421))),"TIER 3",IF(AND($D4421&gt;20,N($E4421)&gt;=15),"TIER 1","—"))))</f>
        <v>—</v>
      </c>
      <c r="I4421" t="str">
        <f t="shared" ref="I4421:I4484" si="348">IF($B4421="","",IF($D4421&gt;=100,"Premium $100+ (auto)",IF(OR(ISNUMBER(SEARCH("PSA 10",$B4421)),ISNUMBER(SEARCH("PSA 9.5",$B4421)),ISNUMBER(SEARCH("PSA 9",$B4421))),"Graded PSA 9+ (auto)",IF(AND($D4421&gt;20,N($E4421)&gt;=15),"Hot: $20+ &amp; "&amp;$E4421&amp;"/day",IF($D4421&gt;20,"$20+ — needs velocity check","Below thresholds")))))</f>
        <v>Below thresholds</v>
      </c>
      <c r="J4421" t="str">
        <f t="shared" ref="J4421:J4484" si="349">IF($B4421="","",IF(AND($D4421&gt;20,$D4421&lt;100,NOT(OR(ISNUMBER(SEARCH("PSA 10",$B4421)),ISNUMBER(SEARCH("PSA 9.5",$B4421)),ISNUMBER(SEARCH("PSA 9",$B4421)))),$E4421=""),"YES — pull CardHedger",""))</f>
        <v/>
      </c>
    </row>
    <row r="4422" spans="1:10" x14ac:dyDescent="0.2">
      <c r="A4422">
        <v>227346782972</v>
      </c>
      <c r="B4422" t="s">
        <v>9364</v>
      </c>
      <c r="D4422">
        <v>225</v>
      </c>
      <c r="F4422" t="str">
        <f t="shared" si="345"/>
        <v>Yes</v>
      </c>
      <c r="G4422">
        <f t="shared" si="346"/>
        <v>10</v>
      </c>
      <c r="H4422" t="str">
        <f t="shared" si="347"/>
        <v>TIER 2</v>
      </c>
      <c r="I4422" t="str">
        <f t="shared" si="348"/>
        <v>Premium $100+ (auto)</v>
      </c>
      <c r="J4422" t="str">
        <f t="shared" si="349"/>
        <v/>
      </c>
    </row>
    <row r="4423" spans="1:10" x14ac:dyDescent="0.2">
      <c r="A4423">
        <v>227346792685</v>
      </c>
      <c r="B4423" t="s">
        <v>9365</v>
      </c>
      <c r="D4423">
        <v>75</v>
      </c>
      <c r="F4423" t="str">
        <f t="shared" si="345"/>
        <v>Yes</v>
      </c>
      <c r="G4423">
        <f t="shared" si="346"/>
        <v>9</v>
      </c>
      <c r="H4423" t="str">
        <f t="shared" si="347"/>
        <v>TIER 3</v>
      </c>
      <c r="I4423" t="str">
        <f t="shared" si="348"/>
        <v>Graded PSA 9+ (auto)</v>
      </c>
      <c r="J4423" t="str">
        <f t="shared" si="349"/>
        <v/>
      </c>
    </row>
    <row r="4424" spans="1:10" x14ac:dyDescent="0.2">
      <c r="A4424">
        <v>227352908116</v>
      </c>
      <c r="B4424" t="s">
        <v>9366</v>
      </c>
      <c r="C4424" t="s">
        <v>9367</v>
      </c>
      <c r="D4424">
        <v>3.25</v>
      </c>
      <c r="F4424" t="str">
        <f t="shared" si="345"/>
        <v>No</v>
      </c>
      <c r="G4424" t="str">
        <f t="shared" si="346"/>
        <v/>
      </c>
      <c r="H4424" t="str">
        <f t="shared" si="347"/>
        <v>—</v>
      </c>
      <c r="I4424" t="str">
        <f t="shared" si="348"/>
        <v>Below thresholds</v>
      </c>
      <c r="J4424" t="str">
        <f t="shared" si="349"/>
        <v/>
      </c>
    </row>
    <row r="4425" spans="1:10" x14ac:dyDescent="0.2">
      <c r="A4425">
        <v>227354649411</v>
      </c>
      <c r="B4425" t="s">
        <v>9368</v>
      </c>
      <c r="C4425" t="s">
        <v>9369</v>
      </c>
      <c r="D4425">
        <v>2</v>
      </c>
      <c r="F4425" t="str">
        <f t="shared" si="345"/>
        <v>No</v>
      </c>
      <c r="G4425" t="str">
        <f t="shared" si="346"/>
        <v/>
      </c>
      <c r="H4425" t="str">
        <f t="shared" si="347"/>
        <v>—</v>
      </c>
      <c r="I4425" t="str">
        <f t="shared" si="348"/>
        <v>Below thresholds</v>
      </c>
      <c r="J4425" t="str">
        <f t="shared" si="349"/>
        <v/>
      </c>
    </row>
    <row r="4426" spans="1:10" x14ac:dyDescent="0.2">
      <c r="A4426">
        <v>227354649435</v>
      </c>
      <c r="B4426" t="s">
        <v>9370</v>
      </c>
      <c r="C4426" t="s">
        <v>9371</v>
      </c>
      <c r="D4426">
        <v>2.5</v>
      </c>
      <c r="F4426" t="str">
        <f t="shared" si="345"/>
        <v>No</v>
      </c>
      <c r="G4426" t="str">
        <f t="shared" si="346"/>
        <v/>
      </c>
      <c r="H4426" t="str">
        <f t="shared" si="347"/>
        <v>—</v>
      </c>
      <c r="I4426" t="str">
        <f t="shared" si="348"/>
        <v>Below thresholds</v>
      </c>
      <c r="J4426" t="str">
        <f t="shared" si="349"/>
        <v/>
      </c>
    </row>
    <row r="4427" spans="1:10" x14ac:dyDescent="0.2">
      <c r="A4427">
        <v>227354649546</v>
      </c>
      <c r="B4427" t="s">
        <v>9372</v>
      </c>
      <c r="C4427" t="s">
        <v>9373</v>
      </c>
      <c r="D4427">
        <v>5</v>
      </c>
      <c r="F4427" t="str">
        <f t="shared" si="345"/>
        <v>No</v>
      </c>
      <c r="G4427" t="str">
        <f t="shared" si="346"/>
        <v/>
      </c>
      <c r="H4427" t="str">
        <f t="shared" si="347"/>
        <v>—</v>
      </c>
      <c r="I4427" t="str">
        <f t="shared" si="348"/>
        <v>Below thresholds</v>
      </c>
      <c r="J4427" t="str">
        <f t="shared" si="349"/>
        <v/>
      </c>
    </row>
    <row r="4428" spans="1:10" x14ac:dyDescent="0.2">
      <c r="A4428">
        <v>227354649583</v>
      </c>
      <c r="B4428" t="s">
        <v>9374</v>
      </c>
      <c r="C4428" t="s">
        <v>9375</v>
      </c>
      <c r="D4428">
        <v>1</v>
      </c>
      <c r="F4428" t="str">
        <f t="shared" si="345"/>
        <v>No</v>
      </c>
      <c r="G4428" t="str">
        <f t="shared" si="346"/>
        <v/>
      </c>
      <c r="H4428" t="str">
        <f t="shared" si="347"/>
        <v>—</v>
      </c>
      <c r="I4428" t="str">
        <f t="shared" si="348"/>
        <v>Below thresholds</v>
      </c>
      <c r="J4428" t="str">
        <f t="shared" si="349"/>
        <v/>
      </c>
    </row>
    <row r="4429" spans="1:10" x14ac:dyDescent="0.2">
      <c r="A4429">
        <v>227354649638</v>
      </c>
      <c r="B4429" t="s">
        <v>9376</v>
      </c>
      <c r="C4429" t="s">
        <v>9377</v>
      </c>
      <c r="D4429">
        <v>3</v>
      </c>
      <c r="F4429" t="str">
        <f t="shared" si="345"/>
        <v>No</v>
      </c>
      <c r="G4429" t="str">
        <f t="shared" si="346"/>
        <v/>
      </c>
      <c r="H4429" t="str">
        <f t="shared" si="347"/>
        <v>—</v>
      </c>
      <c r="I4429" t="str">
        <f t="shared" si="348"/>
        <v>Below thresholds</v>
      </c>
      <c r="J4429" t="str">
        <f t="shared" si="349"/>
        <v/>
      </c>
    </row>
    <row r="4430" spans="1:10" x14ac:dyDescent="0.2">
      <c r="A4430">
        <v>227354649666</v>
      </c>
      <c r="B4430" t="s">
        <v>9378</v>
      </c>
      <c r="C4430" t="s">
        <v>9379</v>
      </c>
      <c r="D4430">
        <v>3</v>
      </c>
      <c r="F4430" t="str">
        <f t="shared" si="345"/>
        <v>No</v>
      </c>
      <c r="G4430" t="str">
        <f t="shared" si="346"/>
        <v/>
      </c>
      <c r="H4430" t="str">
        <f t="shared" si="347"/>
        <v>—</v>
      </c>
      <c r="I4430" t="str">
        <f t="shared" si="348"/>
        <v>Below thresholds</v>
      </c>
      <c r="J4430" t="str">
        <f t="shared" si="349"/>
        <v/>
      </c>
    </row>
    <row r="4431" spans="1:10" x14ac:dyDescent="0.2">
      <c r="A4431">
        <v>227354649733</v>
      </c>
      <c r="B4431" t="s">
        <v>9380</v>
      </c>
      <c r="C4431" t="s">
        <v>9381</v>
      </c>
      <c r="D4431">
        <v>5.5</v>
      </c>
      <c r="F4431" t="str">
        <f t="shared" si="345"/>
        <v>No</v>
      </c>
      <c r="G4431" t="str">
        <f t="shared" si="346"/>
        <v/>
      </c>
      <c r="H4431" t="str">
        <f t="shared" si="347"/>
        <v>—</v>
      </c>
      <c r="I4431" t="str">
        <f t="shared" si="348"/>
        <v>Below thresholds</v>
      </c>
      <c r="J4431" t="str">
        <f t="shared" si="349"/>
        <v/>
      </c>
    </row>
    <row r="4432" spans="1:10" x14ac:dyDescent="0.2">
      <c r="A4432">
        <v>227354649748</v>
      </c>
      <c r="B4432" t="s">
        <v>9382</v>
      </c>
      <c r="C4432" t="s">
        <v>9383</v>
      </c>
      <c r="D4432">
        <v>7</v>
      </c>
      <c r="F4432" t="str">
        <f t="shared" si="345"/>
        <v>No</v>
      </c>
      <c r="G4432" t="str">
        <f t="shared" si="346"/>
        <v/>
      </c>
      <c r="H4432" t="str">
        <f t="shared" si="347"/>
        <v>—</v>
      </c>
      <c r="I4432" t="str">
        <f t="shared" si="348"/>
        <v>Below thresholds</v>
      </c>
      <c r="J4432" t="str">
        <f t="shared" si="349"/>
        <v/>
      </c>
    </row>
    <row r="4433" spans="1:10" x14ac:dyDescent="0.2">
      <c r="A4433">
        <v>227354649836</v>
      </c>
      <c r="B4433" t="s">
        <v>9384</v>
      </c>
      <c r="C4433" t="s">
        <v>9385</v>
      </c>
      <c r="D4433">
        <v>2</v>
      </c>
      <c r="F4433" t="str">
        <f t="shared" si="345"/>
        <v>No</v>
      </c>
      <c r="G4433" t="str">
        <f t="shared" si="346"/>
        <v/>
      </c>
      <c r="H4433" t="str">
        <f t="shared" si="347"/>
        <v>—</v>
      </c>
      <c r="I4433" t="str">
        <f t="shared" si="348"/>
        <v>Below thresholds</v>
      </c>
      <c r="J4433" t="str">
        <f t="shared" si="349"/>
        <v/>
      </c>
    </row>
    <row r="4434" spans="1:10" x14ac:dyDescent="0.2">
      <c r="A4434">
        <v>227354649885</v>
      </c>
      <c r="B4434" t="s">
        <v>9386</v>
      </c>
      <c r="C4434" t="s">
        <v>9387</v>
      </c>
      <c r="D4434">
        <v>2</v>
      </c>
      <c r="F4434" t="str">
        <f t="shared" si="345"/>
        <v>No</v>
      </c>
      <c r="G4434" t="str">
        <f t="shared" si="346"/>
        <v/>
      </c>
      <c r="H4434" t="str">
        <f t="shared" si="347"/>
        <v>—</v>
      </c>
      <c r="I4434" t="str">
        <f t="shared" si="348"/>
        <v>Below thresholds</v>
      </c>
      <c r="J4434" t="str">
        <f t="shared" si="349"/>
        <v/>
      </c>
    </row>
    <row r="4435" spans="1:10" x14ac:dyDescent="0.2">
      <c r="A4435">
        <v>227354649903</v>
      </c>
      <c r="B4435" t="s">
        <v>9388</v>
      </c>
      <c r="C4435" t="s">
        <v>9389</v>
      </c>
      <c r="D4435">
        <v>2</v>
      </c>
      <c r="F4435" t="str">
        <f t="shared" si="345"/>
        <v>No</v>
      </c>
      <c r="G4435" t="str">
        <f t="shared" si="346"/>
        <v/>
      </c>
      <c r="H4435" t="str">
        <f t="shared" si="347"/>
        <v>—</v>
      </c>
      <c r="I4435" t="str">
        <f t="shared" si="348"/>
        <v>Below thresholds</v>
      </c>
      <c r="J4435" t="str">
        <f t="shared" si="349"/>
        <v/>
      </c>
    </row>
    <row r="4436" spans="1:10" x14ac:dyDescent="0.2">
      <c r="A4436">
        <v>227354649970</v>
      </c>
      <c r="B4436" t="s">
        <v>9390</v>
      </c>
      <c r="C4436" t="s">
        <v>9391</v>
      </c>
      <c r="D4436">
        <v>1.5</v>
      </c>
      <c r="F4436" t="str">
        <f t="shared" si="345"/>
        <v>No</v>
      </c>
      <c r="G4436" t="str">
        <f t="shared" si="346"/>
        <v/>
      </c>
      <c r="H4436" t="str">
        <f t="shared" si="347"/>
        <v>—</v>
      </c>
      <c r="I4436" t="str">
        <f t="shared" si="348"/>
        <v>Below thresholds</v>
      </c>
      <c r="J4436" t="str">
        <f t="shared" si="349"/>
        <v/>
      </c>
    </row>
    <row r="4437" spans="1:10" x14ac:dyDescent="0.2">
      <c r="A4437">
        <v>227354649987</v>
      </c>
      <c r="B4437" t="s">
        <v>9392</v>
      </c>
      <c r="C4437" t="s">
        <v>9393</v>
      </c>
      <c r="D4437">
        <v>2.4900000000000002</v>
      </c>
      <c r="F4437" t="str">
        <f t="shared" si="345"/>
        <v>No</v>
      </c>
      <c r="G4437" t="str">
        <f t="shared" si="346"/>
        <v/>
      </c>
      <c r="H4437" t="str">
        <f t="shared" si="347"/>
        <v>—</v>
      </c>
      <c r="I4437" t="str">
        <f t="shared" si="348"/>
        <v>Below thresholds</v>
      </c>
      <c r="J4437" t="str">
        <f t="shared" si="349"/>
        <v/>
      </c>
    </row>
    <row r="4438" spans="1:10" x14ac:dyDescent="0.2">
      <c r="A4438">
        <v>227354650040</v>
      </c>
      <c r="B4438" t="s">
        <v>9394</v>
      </c>
      <c r="C4438" t="s">
        <v>9395</v>
      </c>
      <c r="D4438">
        <v>3</v>
      </c>
      <c r="F4438" t="str">
        <f t="shared" si="345"/>
        <v>No</v>
      </c>
      <c r="G4438" t="str">
        <f t="shared" si="346"/>
        <v/>
      </c>
      <c r="H4438" t="str">
        <f t="shared" si="347"/>
        <v>—</v>
      </c>
      <c r="I4438" t="str">
        <f t="shared" si="348"/>
        <v>Below thresholds</v>
      </c>
      <c r="J4438" t="str">
        <f t="shared" si="349"/>
        <v/>
      </c>
    </row>
    <row r="4439" spans="1:10" x14ac:dyDescent="0.2">
      <c r="A4439">
        <v>227354650063</v>
      </c>
      <c r="B4439" t="s">
        <v>9396</v>
      </c>
      <c r="C4439" t="s">
        <v>9397</v>
      </c>
      <c r="D4439">
        <v>5</v>
      </c>
      <c r="F4439" t="str">
        <f t="shared" si="345"/>
        <v>No</v>
      </c>
      <c r="G4439" t="str">
        <f t="shared" si="346"/>
        <v/>
      </c>
      <c r="H4439" t="str">
        <f t="shared" si="347"/>
        <v>—</v>
      </c>
      <c r="I4439" t="str">
        <f t="shared" si="348"/>
        <v>Below thresholds</v>
      </c>
      <c r="J4439" t="str">
        <f t="shared" si="349"/>
        <v/>
      </c>
    </row>
    <row r="4440" spans="1:10" x14ac:dyDescent="0.2">
      <c r="A4440">
        <v>227354650070</v>
      </c>
      <c r="B4440" t="s">
        <v>9112</v>
      </c>
      <c r="C4440" t="s">
        <v>9398</v>
      </c>
      <c r="D4440">
        <v>2</v>
      </c>
      <c r="F4440" t="str">
        <f t="shared" si="345"/>
        <v>No</v>
      </c>
      <c r="G4440" t="str">
        <f t="shared" si="346"/>
        <v/>
      </c>
      <c r="H4440" t="str">
        <f t="shared" si="347"/>
        <v>—</v>
      </c>
      <c r="I4440" t="str">
        <f t="shared" si="348"/>
        <v>Below thresholds</v>
      </c>
      <c r="J4440" t="str">
        <f t="shared" si="349"/>
        <v/>
      </c>
    </row>
    <row r="4441" spans="1:10" x14ac:dyDescent="0.2">
      <c r="A4441">
        <v>227354650213</v>
      </c>
      <c r="B4441" t="s">
        <v>9399</v>
      </c>
      <c r="C4441" t="s">
        <v>9400</v>
      </c>
      <c r="D4441">
        <v>2.1</v>
      </c>
      <c r="F4441" t="str">
        <f t="shared" si="345"/>
        <v>No</v>
      </c>
      <c r="G4441" t="str">
        <f t="shared" si="346"/>
        <v/>
      </c>
      <c r="H4441" t="str">
        <f t="shared" si="347"/>
        <v>—</v>
      </c>
      <c r="I4441" t="str">
        <f t="shared" si="348"/>
        <v>Below thresholds</v>
      </c>
      <c r="J4441" t="str">
        <f t="shared" si="349"/>
        <v/>
      </c>
    </row>
    <row r="4442" spans="1:10" x14ac:dyDescent="0.2">
      <c r="A4442">
        <v>227354650302</v>
      </c>
      <c r="B4442" t="s">
        <v>9374</v>
      </c>
      <c r="C4442" t="s">
        <v>9401</v>
      </c>
      <c r="D4442">
        <v>1.25</v>
      </c>
      <c r="F4442" t="str">
        <f t="shared" si="345"/>
        <v>No</v>
      </c>
      <c r="G4442" t="str">
        <f t="shared" si="346"/>
        <v/>
      </c>
      <c r="H4442" t="str">
        <f t="shared" si="347"/>
        <v>—</v>
      </c>
      <c r="I4442" t="str">
        <f t="shared" si="348"/>
        <v>Below thresholds</v>
      </c>
      <c r="J4442" t="str">
        <f t="shared" si="349"/>
        <v/>
      </c>
    </row>
    <row r="4443" spans="1:10" x14ac:dyDescent="0.2">
      <c r="A4443">
        <v>227354650317</v>
      </c>
      <c r="B4443" t="s">
        <v>9402</v>
      </c>
      <c r="C4443" t="s">
        <v>9403</v>
      </c>
      <c r="D4443">
        <v>3.25</v>
      </c>
      <c r="F4443" t="str">
        <f t="shared" si="345"/>
        <v>No</v>
      </c>
      <c r="G4443" t="str">
        <f t="shared" si="346"/>
        <v/>
      </c>
      <c r="H4443" t="str">
        <f t="shared" si="347"/>
        <v>—</v>
      </c>
      <c r="I4443" t="str">
        <f t="shared" si="348"/>
        <v>Below thresholds</v>
      </c>
      <c r="J4443" t="str">
        <f t="shared" si="349"/>
        <v/>
      </c>
    </row>
    <row r="4444" spans="1:10" x14ac:dyDescent="0.2">
      <c r="A4444">
        <v>227354650428</v>
      </c>
      <c r="B4444" t="s">
        <v>9163</v>
      </c>
      <c r="C4444" t="s">
        <v>9404</v>
      </c>
      <c r="D4444">
        <v>1.25</v>
      </c>
      <c r="F4444" t="str">
        <f t="shared" si="345"/>
        <v>No</v>
      </c>
      <c r="G4444" t="str">
        <f t="shared" si="346"/>
        <v/>
      </c>
      <c r="H4444" t="str">
        <f t="shared" si="347"/>
        <v>—</v>
      </c>
      <c r="I4444" t="str">
        <f t="shared" si="348"/>
        <v>Below thresholds</v>
      </c>
      <c r="J4444" t="str">
        <f t="shared" si="349"/>
        <v/>
      </c>
    </row>
    <row r="4445" spans="1:10" x14ac:dyDescent="0.2">
      <c r="A4445">
        <v>227354651615</v>
      </c>
      <c r="B4445" t="s">
        <v>9405</v>
      </c>
      <c r="C4445" t="s">
        <v>9406</v>
      </c>
      <c r="D4445">
        <v>11</v>
      </c>
      <c r="F4445" t="str">
        <f t="shared" si="345"/>
        <v>No</v>
      </c>
      <c r="G4445" t="str">
        <f t="shared" si="346"/>
        <v/>
      </c>
      <c r="H4445" t="str">
        <f t="shared" si="347"/>
        <v>—</v>
      </c>
      <c r="I4445" t="str">
        <f t="shared" si="348"/>
        <v>Below thresholds</v>
      </c>
      <c r="J4445" t="str">
        <f t="shared" si="349"/>
        <v/>
      </c>
    </row>
    <row r="4446" spans="1:10" x14ac:dyDescent="0.2">
      <c r="A4446">
        <v>227354668716</v>
      </c>
      <c r="B4446" t="s">
        <v>9407</v>
      </c>
      <c r="C4446" t="s">
        <v>9408</v>
      </c>
      <c r="D4446">
        <v>2</v>
      </c>
      <c r="F4446" t="str">
        <f t="shared" si="345"/>
        <v>No</v>
      </c>
      <c r="G4446" t="str">
        <f t="shared" si="346"/>
        <v/>
      </c>
      <c r="H4446" t="str">
        <f t="shared" si="347"/>
        <v>—</v>
      </c>
      <c r="I4446" t="str">
        <f t="shared" si="348"/>
        <v>Below thresholds</v>
      </c>
      <c r="J4446" t="str">
        <f t="shared" si="349"/>
        <v/>
      </c>
    </row>
    <row r="4447" spans="1:10" x14ac:dyDescent="0.2">
      <c r="A4447">
        <v>227354668773</v>
      </c>
      <c r="B4447" t="s">
        <v>9409</v>
      </c>
      <c r="C4447" t="s">
        <v>9410</v>
      </c>
      <c r="D4447">
        <v>6</v>
      </c>
      <c r="F4447" t="str">
        <f t="shared" si="345"/>
        <v>No</v>
      </c>
      <c r="G4447" t="str">
        <f t="shared" si="346"/>
        <v/>
      </c>
      <c r="H4447" t="str">
        <f t="shared" si="347"/>
        <v>—</v>
      </c>
      <c r="I4447" t="str">
        <f t="shared" si="348"/>
        <v>Below thresholds</v>
      </c>
      <c r="J4447" t="str">
        <f t="shared" si="349"/>
        <v/>
      </c>
    </row>
    <row r="4448" spans="1:10" x14ac:dyDescent="0.2">
      <c r="A4448">
        <v>227354668831</v>
      </c>
      <c r="B4448" t="s">
        <v>9411</v>
      </c>
      <c r="C4448" t="s">
        <v>9412</v>
      </c>
      <c r="D4448">
        <v>2.5</v>
      </c>
      <c r="F4448" t="str">
        <f t="shared" si="345"/>
        <v>No</v>
      </c>
      <c r="G4448" t="str">
        <f t="shared" si="346"/>
        <v/>
      </c>
      <c r="H4448" t="str">
        <f t="shared" si="347"/>
        <v>—</v>
      </c>
      <c r="I4448" t="str">
        <f t="shared" si="348"/>
        <v>Below thresholds</v>
      </c>
      <c r="J4448" t="str">
        <f t="shared" si="349"/>
        <v/>
      </c>
    </row>
    <row r="4449" spans="1:10" x14ac:dyDescent="0.2">
      <c r="A4449">
        <v>227354668835</v>
      </c>
      <c r="B4449" t="s">
        <v>9413</v>
      </c>
      <c r="C4449" t="s">
        <v>9414</v>
      </c>
      <c r="D4449">
        <v>11</v>
      </c>
      <c r="F4449" t="str">
        <f t="shared" si="345"/>
        <v>No</v>
      </c>
      <c r="G4449" t="str">
        <f t="shared" si="346"/>
        <v/>
      </c>
      <c r="H4449" t="str">
        <f t="shared" si="347"/>
        <v>—</v>
      </c>
      <c r="I4449" t="str">
        <f t="shared" si="348"/>
        <v>Below thresholds</v>
      </c>
      <c r="J4449" t="str">
        <f t="shared" si="349"/>
        <v/>
      </c>
    </row>
    <row r="4450" spans="1:10" x14ac:dyDescent="0.2">
      <c r="A4450">
        <v>227354668915</v>
      </c>
      <c r="B4450" t="s">
        <v>9415</v>
      </c>
      <c r="C4450" t="s">
        <v>9416</v>
      </c>
      <c r="D4450">
        <v>1.4</v>
      </c>
      <c r="F4450" t="str">
        <f t="shared" si="345"/>
        <v>No</v>
      </c>
      <c r="G4450" t="str">
        <f t="shared" si="346"/>
        <v/>
      </c>
      <c r="H4450" t="str">
        <f t="shared" si="347"/>
        <v>—</v>
      </c>
      <c r="I4450" t="str">
        <f t="shared" si="348"/>
        <v>Below thresholds</v>
      </c>
      <c r="J4450" t="str">
        <f t="shared" si="349"/>
        <v/>
      </c>
    </row>
    <row r="4451" spans="1:10" x14ac:dyDescent="0.2">
      <c r="A4451">
        <v>227354668917</v>
      </c>
      <c r="B4451" t="s">
        <v>9417</v>
      </c>
      <c r="C4451" t="s">
        <v>9418</v>
      </c>
      <c r="D4451">
        <v>9</v>
      </c>
      <c r="F4451" t="str">
        <f t="shared" si="345"/>
        <v>No</v>
      </c>
      <c r="G4451" t="str">
        <f t="shared" si="346"/>
        <v/>
      </c>
      <c r="H4451" t="str">
        <f t="shared" si="347"/>
        <v>—</v>
      </c>
      <c r="I4451" t="str">
        <f t="shared" si="348"/>
        <v>Below thresholds</v>
      </c>
      <c r="J4451" t="str">
        <f t="shared" si="349"/>
        <v/>
      </c>
    </row>
    <row r="4452" spans="1:10" x14ac:dyDescent="0.2">
      <c r="A4452">
        <v>227355868609</v>
      </c>
      <c r="B4452" t="s">
        <v>9419</v>
      </c>
      <c r="C4452" t="s">
        <v>9420</v>
      </c>
      <c r="D4452">
        <v>1.89</v>
      </c>
      <c r="F4452" t="str">
        <f t="shared" si="345"/>
        <v>No</v>
      </c>
      <c r="G4452" t="str">
        <f t="shared" si="346"/>
        <v/>
      </c>
      <c r="H4452" t="str">
        <f t="shared" si="347"/>
        <v>—</v>
      </c>
      <c r="I4452" t="str">
        <f t="shared" si="348"/>
        <v>Below thresholds</v>
      </c>
      <c r="J4452" t="str">
        <f t="shared" si="349"/>
        <v/>
      </c>
    </row>
    <row r="4453" spans="1:10" x14ac:dyDescent="0.2">
      <c r="A4453">
        <v>227355868642</v>
      </c>
      <c r="B4453" t="s">
        <v>9421</v>
      </c>
      <c r="C4453" t="s">
        <v>9422</v>
      </c>
      <c r="D4453">
        <v>2</v>
      </c>
      <c r="F4453" t="str">
        <f t="shared" si="345"/>
        <v>No</v>
      </c>
      <c r="G4453" t="str">
        <f t="shared" si="346"/>
        <v/>
      </c>
      <c r="H4453" t="str">
        <f t="shared" si="347"/>
        <v>—</v>
      </c>
      <c r="I4453" t="str">
        <f t="shared" si="348"/>
        <v>Below thresholds</v>
      </c>
      <c r="J4453" t="str">
        <f t="shared" si="349"/>
        <v/>
      </c>
    </row>
    <row r="4454" spans="1:10" x14ac:dyDescent="0.2">
      <c r="A4454">
        <v>227355868718</v>
      </c>
      <c r="B4454" t="s">
        <v>9423</v>
      </c>
      <c r="C4454" t="s">
        <v>9424</v>
      </c>
      <c r="D4454">
        <v>2.99</v>
      </c>
      <c r="F4454" t="str">
        <f t="shared" si="345"/>
        <v>No</v>
      </c>
      <c r="G4454" t="str">
        <f t="shared" si="346"/>
        <v/>
      </c>
      <c r="H4454" t="str">
        <f t="shared" si="347"/>
        <v>—</v>
      </c>
      <c r="I4454" t="str">
        <f t="shared" si="348"/>
        <v>Below thresholds</v>
      </c>
      <c r="J4454" t="str">
        <f t="shared" si="349"/>
        <v/>
      </c>
    </row>
    <row r="4455" spans="1:10" x14ac:dyDescent="0.2">
      <c r="A4455">
        <v>227355868758</v>
      </c>
      <c r="B4455" t="s">
        <v>9425</v>
      </c>
      <c r="C4455" t="s">
        <v>9426</v>
      </c>
      <c r="D4455">
        <v>2</v>
      </c>
      <c r="F4455" t="str">
        <f t="shared" si="345"/>
        <v>No</v>
      </c>
      <c r="G4455" t="str">
        <f t="shared" si="346"/>
        <v/>
      </c>
      <c r="H4455" t="str">
        <f t="shared" si="347"/>
        <v>—</v>
      </c>
      <c r="I4455" t="str">
        <f t="shared" si="348"/>
        <v>Below thresholds</v>
      </c>
      <c r="J4455" t="str">
        <f t="shared" si="349"/>
        <v/>
      </c>
    </row>
    <row r="4456" spans="1:10" x14ac:dyDescent="0.2">
      <c r="A4456">
        <v>227355868777</v>
      </c>
      <c r="B4456" t="s">
        <v>9427</v>
      </c>
      <c r="C4456" t="s">
        <v>9428</v>
      </c>
      <c r="D4456">
        <v>14.99</v>
      </c>
      <c r="F4456" t="str">
        <f t="shared" si="345"/>
        <v>No</v>
      </c>
      <c r="G4456" t="str">
        <f t="shared" si="346"/>
        <v/>
      </c>
      <c r="H4456" t="str">
        <f t="shared" si="347"/>
        <v>—</v>
      </c>
      <c r="I4456" t="str">
        <f t="shared" si="348"/>
        <v>Below thresholds</v>
      </c>
      <c r="J4456" t="str">
        <f t="shared" si="349"/>
        <v/>
      </c>
    </row>
    <row r="4457" spans="1:10" x14ac:dyDescent="0.2">
      <c r="A4457">
        <v>227355868792</v>
      </c>
      <c r="B4457" t="s">
        <v>9429</v>
      </c>
      <c r="C4457" t="s">
        <v>9430</v>
      </c>
      <c r="D4457">
        <v>1.99</v>
      </c>
      <c r="F4457" t="str">
        <f t="shared" si="345"/>
        <v>No</v>
      </c>
      <c r="G4457" t="str">
        <f t="shared" si="346"/>
        <v/>
      </c>
      <c r="H4457" t="str">
        <f t="shared" si="347"/>
        <v>—</v>
      </c>
      <c r="I4457" t="str">
        <f t="shared" si="348"/>
        <v>Below thresholds</v>
      </c>
      <c r="J4457" t="str">
        <f t="shared" si="349"/>
        <v/>
      </c>
    </row>
    <row r="4458" spans="1:10" x14ac:dyDescent="0.2">
      <c r="A4458">
        <v>227355868804</v>
      </c>
      <c r="B4458" t="s">
        <v>9431</v>
      </c>
      <c r="C4458" t="s">
        <v>9432</v>
      </c>
      <c r="D4458">
        <v>145</v>
      </c>
      <c r="F4458" t="str">
        <f t="shared" si="345"/>
        <v>No</v>
      </c>
      <c r="G4458" t="str">
        <f t="shared" si="346"/>
        <v/>
      </c>
      <c r="H4458" t="str">
        <f t="shared" si="347"/>
        <v>TIER 2</v>
      </c>
      <c r="I4458" t="str">
        <f t="shared" si="348"/>
        <v>Premium $100+ (auto)</v>
      </c>
      <c r="J4458" t="str">
        <f t="shared" si="349"/>
        <v/>
      </c>
    </row>
    <row r="4459" spans="1:10" x14ac:dyDescent="0.2">
      <c r="A4459">
        <v>227355868828</v>
      </c>
      <c r="B4459" t="s">
        <v>9433</v>
      </c>
      <c r="C4459" t="s">
        <v>9434</v>
      </c>
      <c r="D4459">
        <v>1.49</v>
      </c>
      <c r="F4459" t="str">
        <f t="shared" si="345"/>
        <v>No</v>
      </c>
      <c r="G4459" t="str">
        <f t="shared" si="346"/>
        <v/>
      </c>
      <c r="H4459" t="str">
        <f t="shared" si="347"/>
        <v>—</v>
      </c>
      <c r="I4459" t="str">
        <f t="shared" si="348"/>
        <v>Below thresholds</v>
      </c>
      <c r="J4459" t="str">
        <f t="shared" si="349"/>
        <v/>
      </c>
    </row>
    <row r="4460" spans="1:10" x14ac:dyDescent="0.2">
      <c r="A4460">
        <v>227355868839</v>
      </c>
      <c r="B4460" t="s">
        <v>9435</v>
      </c>
      <c r="C4460" t="s">
        <v>9436</v>
      </c>
      <c r="D4460">
        <v>2</v>
      </c>
      <c r="F4460" t="str">
        <f t="shared" si="345"/>
        <v>No</v>
      </c>
      <c r="G4460" t="str">
        <f t="shared" si="346"/>
        <v/>
      </c>
      <c r="H4460" t="str">
        <f t="shared" si="347"/>
        <v>—</v>
      </c>
      <c r="I4460" t="str">
        <f t="shared" si="348"/>
        <v>Below thresholds</v>
      </c>
      <c r="J4460" t="str">
        <f t="shared" si="349"/>
        <v/>
      </c>
    </row>
    <row r="4461" spans="1:10" x14ac:dyDescent="0.2">
      <c r="A4461">
        <v>227355868875</v>
      </c>
      <c r="B4461" t="s">
        <v>9437</v>
      </c>
      <c r="C4461" t="s">
        <v>9438</v>
      </c>
      <c r="D4461">
        <v>2</v>
      </c>
      <c r="F4461" t="str">
        <f t="shared" si="345"/>
        <v>No</v>
      </c>
      <c r="G4461" t="str">
        <f t="shared" si="346"/>
        <v/>
      </c>
      <c r="H4461" t="str">
        <f t="shared" si="347"/>
        <v>—</v>
      </c>
      <c r="I4461" t="str">
        <f t="shared" si="348"/>
        <v>Below thresholds</v>
      </c>
      <c r="J4461" t="str">
        <f t="shared" si="349"/>
        <v/>
      </c>
    </row>
    <row r="4462" spans="1:10" x14ac:dyDescent="0.2">
      <c r="A4462">
        <v>227355868879</v>
      </c>
      <c r="B4462" t="s">
        <v>9439</v>
      </c>
      <c r="C4462" t="s">
        <v>9440</v>
      </c>
      <c r="D4462">
        <v>2.99</v>
      </c>
      <c r="F4462" t="str">
        <f t="shared" si="345"/>
        <v>No</v>
      </c>
      <c r="G4462" t="str">
        <f t="shared" si="346"/>
        <v/>
      </c>
      <c r="H4462" t="str">
        <f t="shared" si="347"/>
        <v>—</v>
      </c>
      <c r="I4462" t="str">
        <f t="shared" si="348"/>
        <v>Below thresholds</v>
      </c>
      <c r="J4462" t="str">
        <f t="shared" si="349"/>
        <v/>
      </c>
    </row>
    <row r="4463" spans="1:10" x14ac:dyDescent="0.2">
      <c r="A4463">
        <v>227355868895</v>
      </c>
      <c r="B4463" t="s">
        <v>9441</v>
      </c>
      <c r="C4463" t="s">
        <v>9442</v>
      </c>
      <c r="D4463">
        <v>1.49</v>
      </c>
      <c r="F4463" t="str">
        <f t="shared" si="345"/>
        <v>No</v>
      </c>
      <c r="G4463" t="str">
        <f t="shared" si="346"/>
        <v/>
      </c>
      <c r="H4463" t="str">
        <f t="shared" si="347"/>
        <v>—</v>
      </c>
      <c r="I4463" t="str">
        <f t="shared" si="348"/>
        <v>Below thresholds</v>
      </c>
      <c r="J4463" t="str">
        <f t="shared" si="349"/>
        <v/>
      </c>
    </row>
    <row r="4464" spans="1:10" x14ac:dyDescent="0.2">
      <c r="A4464">
        <v>227355868915</v>
      </c>
      <c r="B4464" t="s">
        <v>9443</v>
      </c>
      <c r="C4464" t="s">
        <v>9444</v>
      </c>
      <c r="D4464">
        <v>2.99</v>
      </c>
      <c r="F4464" t="str">
        <f t="shared" si="345"/>
        <v>No</v>
      </c>
      <c r="G4464" t="str">
        <f t="shared" si="346"/>
        <v/>
      </c>
      <c r="H4464" t="str">
        <f t="shared" si="347"/>
        <v>—</v>
      </c>
      <c r="I4464" t="str">
        <f t="shared" si="348"/>
        <v>Below thresholds</v>
      </c>
      <c r="J4464" t="str">
        <f t="shared" si="349"/>
        <v/>
      </c>
    </row>
    <row r="4465" spans="1:10" x14ac:dyDescent="0.2">
      <c r="A4465">
        <v>227355868916</v>
      </c>
      <c r="B4465" t="s">
        <v>9445</v>
      </c>
      <c r="C4465" t="s">
        <v>9446</v>
      </c>
      <c r="D4465">
        <v>1.99</v>
      </c>
      <c r="F4465" t="str">
        <f t="shared" si="345"/>
        <v>No</v>
      </c>
      <c r="G4465" t="str">
        <f t="shared" si="346"/>
        <v/>
      </c>
      <c r="H4465" t="str">
        <f t="shared" si="347"/>
        <v>—</v>
      </c>
      <c r="I4465" t="str">
        <f t="shared" si="348"/>
        <v>Below thresholds</v>
      </c>
      <c r="J4465" t="str">
        <f t="shared" si="349"/>
        <v/>
      </c>
    </row>
    <row r="4466" spans="1:10" x14ac:dyDescent="0.2">
      <c r="A4466">
        <v>227355868928</v>
      </c>
      <c r="B4466" t="s">
        <v>9447</v>
      </c>
      <c r="C4466" t="s">
        <v>9448</v>
      </c>
      <c r="D4466">
        <v>2.29</v>
      </c>
      <c r="F4466" t="str">
        <f t="shared" si="345"/>
        <v>No</v>
      </c>
      <c r="G4466" t="str">
        <f t="shared" si="346"/>
        <v/>
      </c>
      <c r="H4466" t="str">
        <f t="shared" si="347"/>
        <v>—</v>
      </c>
      <c r="I4466" t="str">
        <f t="shared" si="348"/>
        <v>Below thresholds</v>
      </c>
      <c r="J4466" t="str">
        <f t="shared" si="349"/>
        <v/>
      </c>
    </row>
    <row r="4467" spans="1:10" x14ac:dyDescent="0.2">
      <c r="A4467">
        <v>227355868929</v>
      </c>
      <c r="B4467" t="s">
        <v>9449</v>
      </c>
      <c r="C4467" t="s">
        <v>9450</v>
      </c>
      <c r="D4467">
        <v>1.59</v>
      </c>
      <c r="F4467" t="str">
        <f t="shared" si="345"/>
        <v>No</v>
      </c>
      <c r="G4467" t="str">
        <f t="shared" si="346"/>
        <v/>
      </c>
      <c r="H4467" t="str">
        <f t="shared" si="347"/>
        <v>—</v>
      </c>
      <c r="I4467" t="str">
        <f t="shared" si="348"/>
        <v>Below thresholds</v>
      </c>
      <c r="J4467" t="str">
        <f t="shared" si="349"/>
        <v/>
      </c>
    </row>
    <row r="4468" spans="1:10" x14ac:dyDescent="0.2">
      <c r="A4468">
        <v>227355868953</v>
      </c>
      <c r="B4468" t="s">
        <v>9451</v>
      </c>
      <c r="C4468" t="s">
        <v>9452</v>
      </c>
      <c r="D4468">
        <v>2.99</v>
      </c>
      <c r="F4468" t="str">
        <f t="shared" si="345"/>
        <v>No</v>
      </c>
      <c r="G4468" t="str">
        <f t="shared" si="346"/>
        <v/>
      </c>
      <c r="H4468" t="str">
        <f t="shared" si="347"/>
        <v>—</v>
      </c>
      <c r="I4468" t="str">
        <f t="shared" si="348"/>
        <v>Below thresholds</v>
      </c>
      <c r="J4468" t="str">
        <f t="shared" si="349"/>
        <v/>
      </c>
    </row>
    <row r="4469" spans="1:10" x14ac:dyDescent="0.2">
      <c r="A4469">
        <v>227355868982</v>
      </c>
      <c r="B4469" t="s">
        <v>9453</v>
      </c>
      <c r="C4469" t="s">
        <v>9454</v>
      </c>
      <c r="D4469">
        <v>3.99</v>
      </c>
      <c r="F4469" t="str">
        <f t="shared" si="345"/>
        <v>No</v>
      </c>
      <c r="G4469" t="str">
        <f t="shared" si="346"/>
        <v/>
      </c>
      <c r="H4469" t="str">
        <f t="shared" si="347"/>
        <v>—</v>
      </c>
      <c r="I4469" t="str">
        <f t="shared" si="348"/>
        <v>Below thresholds</v>
      </c>
      <c r="J4469" t="str">
        <f t="shared" si="349"/>
        <v/>
      </c>
    </row>
    <row r="4470" spans="1:10" x14ac:dyDescent="0.2">
      <c r="A4470">
        <v>227355868988</v>
      </c>
      <c r="B4470" t="s">
        <v>9455</v>
      </c>
      <c r="C4470" t="s">
        <v>9456</v>
      </c>
      <c r="D4470">
        <v>2</v>
      </c>
      <c r="F4470" t="str">
        <f t="shared" si="345"/>
        <v>No</v>
      </c>
      <c r="G4470" t="str">
        <f t="shared" si="346"/>
        <v/>
      </c>
      <c r="H4470" t="str">
        <f t="shared" si="347"/>
        <v>—</v>
      </c>
      <c r="I4470" t="str">
        <f t="shared" si="348"/>
        <v>Below thresholds</v>
      </c>
      <c r="J4470" t="str">
        <f t="shared" si="349"/>
        <v/>
      </c>
    </row>
    <row r="4471" spans="1:10" x14ac:dyDescent="0.2">
      <c r="A4471">
        <v>227355868991</v>
      </c>
      <c r="B4471" t="s">
        <v>9457</v>
      </c>
      <c r="C4471" t="s">
        <v>9458</v>
      </c>
      <c r="D4471">
        <v>1.99</v>
      </c>
      <c r="F4471" t="str">
        <f t="shared" si="345"/>
        <v>No</v>
      </c>
      <c r="G4471" t="str">
        <f t="shared" si="346"/>
        <v/>
      </c>
      <c r="H4471" t="str">
        <f t="shared" si="347"/>
        <v>—</v>
      </c>
      <c r="I4471" t="str">
        <f t="shared" si="348"/>
        <v>Below thresholds</v>
      </c>
      <c r="J4471" t="str">
        <f t="shared" si="349"/>
        <v/>
      </c>
    </row>
    <row r="4472" spans="1:10" x14ac:dyDescent="0.2">
      <c r="A4472">
        <v>227355869008</v>
      </c>
      <c r="B4472" t="s">
        <v>9459</v>
      </c>
      <c r="C4472" t="s">
        <v>9460</v>
      </c>
      <c r="D4472">
        <v>1.99</v>
      </c>
      <c r="F4472" t="str">
        <f t="shared" si="345"/>
        <v>No</v>
      </c>
      <c r="G4472" t="str">
        <f t="shared" si="346"/>
        <v/>
      </c>
      <c r="H4472" t="str">
        <f t="shared" si="347"/>
        <v>—</v>
      </c>
      <c r="I4472" t="str">
        <f t="shared" si="348"/>
        <v>Below thresholds</v>
      </c>
      <c r="J4472" t="str">
        <f t="shared" si="349"/>
        <v/>
      </c>
    </row>
    <row r="4473" spans="1:10" x14ac:dyDescent="0.2">
      <c r="A4473">
        <v>227355869011</v>
      </c>
      <c r="B4473" t="s">
        <v>9461</v>
      </c>
      <c r="C4473" t="s">
        <v>9462</v>
      </c>
      <c r="D4473">
        <v>1.99</v>
      </c>
      <c r="F4473" t="str">
        <f t="shared" si="345"/>
        <v>No</v>
      </c>
      <c r="G4473" t="str">
        <f t="shared" si="346"/>
        <v/>
      </c>
      <c r="H4473" t="str">
        <f t="shared" si="347"/>
        <v>—</v>
      </c>
      <c r="I4473" t="str">
        <f t="shared" si="348"/>
        <v>Below thresholds</v>
      </c>
      <c r="J4473" t="str">
        <f t="shared" si="349"/>
        <v/>
      </c>
    </row>
    <row r="4474" spans="1:10" x14ac:dyDescent="0.2">
      <c r="A4474">
        <v>227355869021</v>
      </c>
      <c r="B4474" t="s">
        <v>9463</v>
      </c>
      <c r="C4474" t="s">
        <v>9464</v>
      </c>
      <c r="D4474">
        <v>1.99</v>
      </c>
      <c r="F4474" t="str">
        <f t="shared" si="345"/>
        <v>No</v>
      </c>
      <c r="G4474" t="str">
        <f t="shared" si="346"/>
        <v/>
      </c>
      <c r="H4474" t="str">
        <f t="shared" si="347"/>
        <v>—</v>
      </c>
      <c r="I4474" t="str">
        <f t="shared" si="348"/>
        <v>Below thresholds</v>
      </c>
      <c r="J4474" t="str">
        <f t="shared" si="349"/>
        <v/>
      </c>
    </row>
    <row r="4475" spans="1:10" x14ac:dyDescent="0.2">
      <c r="A4475">
        <v>227355869026</v>
      </c>
      <c r="B4475" t="s">
        <v>9465</v>
      </c>
      <c r="C4475" t="s">
        <v>9466</v>
      </c>
      <c r="D4475">
        <v>2.99</v>
      </c>
      <c r="F4475" t="str">
        <f t="shared" si="345"/>
        <v>No</v>
      </c>
      <c r="G4475" t="str">
        <f t="shared" si="346"/>
        <v/>
      </c>
      <c r="H4475" t="str">
        <f t="shared" si="347"/>
        <v>—</v>
      </c>
      <c r="I4475" t="str">
        <f t="shared" si="348"/>
        <v>Below thresholds</v>
      </c>
      <c r="J4475" t="str">
        <f t="shared" si="349"/>
        <v/>
      </c>
    </row>
    <row r="4476" spans="1:10" x14ac:dyDescent="0.2">
      <c r="A4476">
        <v>227355869047</v>
      </c>
      <c r="B4476" t="s">
        <v>9467</v>
      </c>
      <c r="C4476" t="s">
        <v>9468</v>
      </c>
      <c r="D4476">
        <v>1.99</v>
      </c>
      <c r="F4476" t="str">
        <f t="shared" si="345"/>
        <v>No</v>
      </c>
      <c r="G4476" t="str">
        <f t="shared" si="346"/>
        <v/>
      </c>
      <c r="H4476" t="str">
        <f t="shared" si="347"/>
        <v>—</v>
      </c>
      <c r="I4476" t="str">
        <f t="shared" si="348"/>
        <v>Below thresholds</v>
      </c>
      <c r="J4476" t="str">
        <f t="shared" si="349"/>
        <v/>
      </c>
    </row>
    <row r="4477" spans="1:10" x14ac:dyDescent="0.2">
      <c r="A4477">
        <v>227355869053</v>
      </c>
      <c r="B4477" t="s">
        <v>9469</v>
      </c>
      <c r="C4477" t="s">
        <v>9470</v>
      </c>
      <c r="D4477">
        <v>1.99</v>
      </c>
      <c r="F4477" t="str">
        <f t="shared" si="345"/>
        <v>No</v>
      </c>
      <c r="G4477" t="str">
        <f t="shared" si="346"/>
        <v/>
      </c>
      <c r="H4477" t="str">
        <f t="shared" si="347"/>
        <v>—</v>
      </c>
      <c r="I4477" t="str">
        <f t="shared" si="348"/>
        <v>Below thresholds</v>
      </c>
      <c r="J4477" t="str">
        <f t="shared" si="349"/>
        <v/>
      </c>
    </row>
    <row r="4478" spans="1:10" x14ac:dyDescent="0.2">
      <c r="A4478">
        <v>227355869054</v>
      </c>
      <c r="B4478" t="s">
        <v>9471</v>
      </c>
      <c r="C4478" t="s">
        <v>9472</v>
      </c>
      <c r="D4478">
        <v>2</v>
      </c>
      <c r="F4478" t="str">
        <f t="shared" si="345"/>
        <v>No</v>
      </c>
      <c r="G4478" t="str">
        <f t="shared" si="346"/>
        <v/>
      </c>
      <c r="H4478" t="str">
        <f t="shared" si="347"/>
        <v>—</v>
      </c>
      <c r="I4478" t="str">
        <f t="shared" si="348"/>
        <v>Below thresholds</v>
      </c>
      <c r="J4478" t="str">
        <f t="shared" si="349"/>
        <v/>
      </c>
    </row>
    <row r="4479" spans="1:10" x14ac:dyDescent="0.2">
      <c r="A4479">
        <v>227355869058</v>
      </c>
      <c r="B4479" t="s">
        <v>9473</v>
      </c>
      <c r="C4479" t="s">
        <v>9474</v>
      </c>
      <c r="D4479">
        <v>1.25</v>
      </c>
      <c r="F4479" t="str">
        <f t="shared" si="345"/>
        <v>No</v>
      </c>
      <c r="G4479" t="str">
        <f t="shared" si="346"/>
        <v/>
      </c>
      <c r="H4479" t="str">
        <f t="shared" si="347"/>
        <v>—</v>
      </c>
      <c r="I4479" t="str">
        <f t="shared" si="348"/>
        <v>Below thresholds</v>
      </c>
      <c r="J4479" t="str">
        <f t="shared" si="349"/>
        <v/>
      </c>
    </row>
    <row r="4480" spans="1:10" x14ac:dyDescent="0.2">
      <c r="A4480">
        <v>227355869065</v>
      </c>
      <c r="B4480" t="s">
        <v>9475</v>
      </c>
      <c r="C4480" t="s">
        <v>9476</v>
      </c>
      <c r="D4480">
        <v>2</v>
      </c>
      <c r="F4480" t="str">
        <f t="shared" si="345"/>
        <v>No</v>
      </c>
      <c r="G4480" t="str">
        <f t="shared" si="346"/>
        <v/>
      </c>
      <c r="H4480" t="str">
        <f t="shared" si="347"/>
        <v>—</v>
      </c>
      <c r="I4480" t="str">
        <f t="shared" si="348"/>
        <v>Below thresholds</v>
      </c>
      <c r="J4480" t="str">
        <f t="shared" si="349"/>
        <v/>
      </c>
    </row>
    <row r="4481" spans="1:10" x14ac:dyDescent="0.2">
      <c r="A4481">
        <v>227355869070</v>
      </c>
      <c r="B4481" t="s">
        <v>9477</v>
      </c>
      <c r="C4481" t="s">
        <v>9478</v>
      </c>
      <c r="D4481">
        <v>7.99</v>
      </c>
      <c r="F4481" t="str">
        <f t="shared" si="345"/>
        <v>No</v>
      </c>
      <c r="G4481" t="str">
        <f t="shared" si="346"/>
        <v/>
      </c>
      <c r="H4481" t="str">
        <f t="shared" si="347"/>
        <v>—</v>
      </c>
      <c r="I4481" t="str">
        <f t="shared" si="348"/>
        <v>Below thresholds</v>
      </c>
      <c r="J4481" t="str">
        <f t="shared" si="349"/>
        <v/>
      </c>
    </row>
    <row r="4482" spans="1:10" x14ac:dyDescent="0.2">
      <c r="A4482">
        <v>227355869253</v>
      </c>
      <c r="B4482" t="s">
        <v>9479</v>
      </c>
      <c r="C4482" t="s">
        <v>9480</v>
      </c>
      <c r="D4482">
        <v>5</v>
      </c>
      <c r="F4482" t="str">
        <f t="shared" si="345"/>
        <v>No</v>
      </c>
      <c r="G4482" t="str">
        <f t="shared" si="346"/>
        <v/>
      </c>
      <c r="H4482" t="str">
        <f t="shared" si="347"/>
        <v>—</v>
      </c>
      <c r="I4482" t="str">
        <f t="shared" si="348"/>
        <v>Below thresholds</v>
      </c>
      <c r="J4482" t="str">
        <f t="shared" si="349"/>
        <v/>
      </c>
    </row>
    <row r="4483" spans="1:10" x14ac:dyDescent="0.2">
      <c r="A4483">
        <v>227355869296</v>
      </c>
      <c r="B4483" t="s">
        <v>9481</v>
      </c>
      <c r="C4483" t="s">
        <v>9482</v>
      </c>
      <c r="D4483">
        <v>1.99</v>
      </c>
      <c r="F4483" t="str">
        <f t="shared" si="345"/>
        <v>No</v>
      </c>
      <c r="G4483" t="str">
        <f t="shared" si="346"/>
        <v/>
      </c>
      <c r="H4483" t="str">
        <f t="shared" si="347"/>
        <v>—</v>
      </c>
      <c r="I4483" t="str">
        <f t="shared" si="348"/>
        <v>Below thresholds</v>
      </c>
      <c r="J4483" t="str">
        <f t="shared" si="349"/>
        <v/>
      </c>
    </row>
    <row r="4484" spans="1:10" x14ac:dyDescent="0.2">
      <c r="A4484">
        <v>227355873692</v>
      </c>
      <c r="B4484" t="s">
        <v>9483</v>
      </c>
      <c r="C4484" t="s">
        <v>9484</v>
      </c>
      <c r="D4484">
        <v>799.99</v>
      </c>
      <c r="F4484" t="str">
        <f t="shared" si="345"/>
        <v>No</v>
      </c>
      <c r="G4484" t="str">
        <f t="shared" si="346"/>
        <v/>
      </c>
      <c r="H4484" t="str">
        <f t="shared" si="347"/>
        <v>TIER 2</v>
      </c>
      <c r="I4484" t="str">
        <f t="shared" si="348"/>
        <v>Premium $100+ (auto)</v>
      </c>
      <c r="J4484" t="str">
        <f t="shared" si="349"/>
        <v/>
      </c>
    </row>
    <row r="4485" spans="1:10" x14ac:dyDescent="0.2">
      <c r="D4485" s="392"/>
      <c r="E4485" s="393"/>
      <c r="F4485" t="str">
        <f t="shared" ref="F4485:F4548" si="350">IF($B4485="","",IF(ISNUMBER(SEARCH("PSA",$B4485)),"Yes","No"))</f>
        <v/>
      </c>
      <c r="G4485" t="str">
        <f t="shared" ref="G4485:G4548" si="351">IF($B4485="","",IF(ISNUMBER(SEARCH("PSA 10",$B4485)),10,IF(ISNUMBER(SEARCH("PSA 9.5",$B4485)),9.5,IF(ISNUMBER(SEARCH("PSA 9",$B4485)),9,IF(ISNUMBER(SEARCH("PSA 8",$B4485)),8,IF(ISNUMBER(SEARCH("PSA",$B4485)),"&lt;9",""))))))</f>
        <v/>
      </c>
      <c r="H4485" t="str">
        <f t="shared" ref="H4485:H4548" si="352">IF($B4485="","",IF($D4485&gt;=100,"TIER 2",IF(OR(ISNUMBER(SEARCH("PSA 10",$B4485)),ISNUMBER(SEARCH("PSA 9.5",$B4485)),ISNUMBER(SEARCH("PSA 9",$B4485))),"TIER 3",IF(AND($D4485&gt;20,N($E4485)&gt;=15),"TIER 1","—"))))</f>
        <v/>
      </c>
      <c r="I4485" t="str">
        <f t="shared" ref="I4485:I4548" si="353">IF($B4485="","",IF($D4485&gt;=100,"Premium $100+ (auto)",IF(OR(ISNUMBER(SEARCH("PSA 10",$B4485)),ISNUMBER(SEARCH("PSA 9.5",$B4485)),ISNUMBER(SEARCH("PSA 9",$B4485))),"Graded PSA 9+ (auto)",IF(AND($D4485&gt;20,N($E4485)&gt;=15),"Hot: $20+ &amp; "&amp;$E4485&amp;"/day",IF($D4485&gt;20,"$20+ — needs velocity check","Below thresholds")))))</f>
        <v/>
      </c>
      <c r="J4485" t="str">
        <f t="shared" ref="J4485:J4548" si="354">IF($B4485="","",IF(AND($D4485&gt;20,$D4485&lt;100,NOT(OR(ISNUMBER(SEARCH("PSA 10",$B4485)),ISNUMBER(SEARCH("PSA 9.5",$B4485)),ISNUMBER(SEARCH("PSA 9",$B4485)))),$E4485=""),"YES — pull CardHedger",""))</f>
        <v/>
      </c>
    </row>
    <row r="4486" spans="1:10" x14ac:dyDescent="0.2">
      <c r="D4486" s="392"/>
      <c r="E4486" s="393"/>
      <c r="F4486" t="str">
        <f t="shared" si="350"/>
        <v/>
      </c>
      <c r="G4486" t="str">
        <f t="shared" si="351"/>
        <v/>
      </c>
      <c r="H4486" t="str">
        <f t="shared" si="352"/>
        <v/>
      </c>
      <c r="I4486" t="str">
        <f t="shared" si="353"/>
        <v/>
      </c>
      <c r="J4486" t="str">
        <f t="shared" si="354"/>
        <v/>
      </c>
    </row>
    <row r="4487" spans="1:10" x14ac:dyDescent="0.2">
      <c r="D4487" s="392"/>
      <c r="E4487" s="393"/>
      <c r="F4487" t="str">
        <f t="shared" si="350"/>
        <v/>
      </c>
      <c r="G4487" t="str">
        <f t="shared" si="351"/>
        <v/>
      </c>
      <c r="H4487" t="str">
        <f t="shared" si="352"/>
        <v/>
      </c>
      <c r="I4487" t="str">
        <f t="shared" si="353"/>
        <v/>
      </c>
      <c r="J4487" t="str">
        <f t="shared" si="354"/>
        <v/>
      </c>
    </row>
    <row r="4488" spans="1:10" x14ac:dyDescent="0.2">
      <c r="D4488" s="392"/>
      <c r="E4488" s="393"/>
      <c r="F4488" t="str">
        <f t="shared" si="350"/>
        <v/>
      </c>
      <c r="G4488" t="str">
        <f t="shared" si="351"/>
        <v/>
      </c>
      <c r="H4488" t="str">
        <f t="shared" si="352"/>
        <v/>
      </c>
      <c r="I4488" t="str">
        <f t="shared" si="353"/>
        <v/>
      </c>
      <c r="J4488" t="str">
        <f t="shared" si="354"/>
        <v/>
      </c>
    </row>
    <row r="4489" spans="1:10" x14ac:dyDescent="0.2">
      <c r="D4489" s="392"/>
      <c r="E4489" s="393"/>
      <c r="F4489" t="str">
        <f t="shared" si="350"/>
        <v/>
      </c>
      <c r="G4489" t="str">
        <f t="shared" si="351"/>
        <v/>
      </c>
      <c r="H4489" t="str">
        <f t="shared" si="352"/>
        <v/>
      </c>
      <c r="I4489" t="str">
        <f t="shared" si="353"/>
        <v/>
      </c>
      <c r="J4489" t="str">
        <f t="shared" si="354"/>
        <v/>
      </c>
    </row>
    <row r="4490" spans="1:10" x14ac:dyDescent="0.2">
      <c r="D4490" s="392"/>
      <c r="E4490" s="393"/>
      <c r="F4490" t="str">
        <f t="shared" si="350"/>
        <v/>
      </c>
      <c r="G4490" t="str">
        <f t="shared" si="351"/>
        <v/>
      </c>
      <c r="H4490" t="str">
        <f t="shared" si="352"/>
        <v/>
      </c>
      <c r="I4490" t="str">
        <f t="shared" si="353"/>
        <v/>
      </c>
      <c r="J4490" t="str">
        <f t="shared" si="354"/>
        <v/>
      </c>
    </row>
    <row r="4491" spans="1:10" x14ac:dyDescent="0.2">
      <c r="D4491" s="392"/>
      <c r="E4491" s="393"/>
      <c r="F4491" t="str">
        <f t="shared" si="350"/>
        <v/>
      </c>
      <c r="G4491" t="str">
        <f t="shared" si="351"/>
        <v/>
      </c>
      <c r="H4491" t="str">
        <f t="shared" si="352"/>
        <v/>
      </c>
      <c r="I4491" t="str">
        <f t="shared" si="353"/>
        <v/>
      </c>
      <c r="J4491" t="str">
        <f t="shared" si="354"/>
        <v/>
      </c>
    </row>
    <row r="4492" spans="1:10" x14ac:dyDescent="0.2">
      <c r="D4492" s="392"/>
      <c r="E4492" s="393"/>
      <c r="F4492" t="str">
        <f t="shared" si="350"/>
        <v/>
      </c>
      <c r="G4492" t="str">
        <f t="shared" si="351"/>
        <v/>
      </c>
      <c r="H4492" t="str">
        <f t="shared" si="352"/>
        <v/>
      </c>
      <c r="I4492" t="str">
        <f t="shared" si="353"/>
        <v/>
      </c>
      <c r="J4492" t="str">
        <f t="shared" si="354"/>
        <v/>
      </c>
    </row>
    <row r="4493" spans="1:10" x14ac:dyDescent="0.2">
      <c r="D4493" s="392"/>
      <c r="E4493" s="393"/>
      <c r="F4493" t="str">
        <f t="shared" si="350"/>
        <v/>
      </c>
      <c r="G4493" t="str">
        <f t="shared" si="351"/>
        <v/>
      </c>
      <c r="H4493" t="str">
        <f t="shared" si="352"/>
        <v/>
      </c>
      <c r="I4493" t="str">
        <f t="shared" si="353"/>
        <v/>
      </c>
      <c r="J4493" t="str">
        <f t="shared" si="354"/>
        <v/>
      </c>
    </row>
    <row r="4494" spans="1:10" x14ac:dyDescent="0.2">
      <c r="D4494" s="392"/>
      <c r="E4494" s="393"/>
      <c r="F4494" t="str">
        <f t="shared" si="350"/>
        <v/>
      </c>
      <c r="G4494" t="str">
        <f t="shared" si="351"/>
        <v/>
      </c>
      <c r="H4494" t="str">
        <f t="shared" si="352"/>
        <v/>
      </c>
      <c r="I4494" t="str">
        <f t="shared" si="353"/>
        <v/>
      </c>
      <c r="J4494" t="str">
        <f t="shared" si="354"/>
        <v/>
      </c>
    </row>
    <row r="4495" spans="1:10" x14ac:dyDescent="0.2">
      <c r="D4495" s="392"/>
      <c r="E4495" s="393"/>
      <c r="F4495" t="str">
        <f t="shared" si="350"/>
        <v/>
      </c>
      <c r="G4495" t="str">
        <f t="shared" si="351"/>
        <v/>
      </c>
      <c r="H4495" t="str">
        <f t="shared" si="352"/>
        <v/>
      </c>
      <c r="I4495" t="str">
        <f t="shared" si="353"/>
        <v/>
      </c>
      <c r="J4495" t="str">
        <f t="shared" si="354"/>
        <v/>
      </c>
    </row>
    <row r="4496" spans="1:10" x14ac:dyDescent="0.2">
      <c r="D4496" s="392"/>
      <c r="E4496" s="393"/>
      <c r="F4496" t="str">
        <f t="shared" si="350"/>
        <v/>
      </c>
      <c r="G4496" t="str">
        <f t="shared" si="351"/>
        <v/>
      </c>
      <c r="H4496" t="str">
        <f t="shared" si="352"/>
        <v/>
      </c>
      <c r="I4496" t="str">
        <f t="shared" si="353"/>
        <v/>
      </c>
      <c r="J4496" t="str">
        <f t="shared" si="354"/>
        <v/>
      </c>
    </row>
    <row r="4497" spans="4:10" x14ac:dyDescent="0.2">
      <c r="D4497" s="392"/>
      <c r="E4497" s="393"/>
      <c r="F4497" t="str">
        <f t="shared" si="350"/>
        <v/>
      </c>
      <c r="G4497" t="str">
        <f t="shared" si="351"/>
        <v/>
      </c>
      <c r="H4497" t="str">
        <f t="shared" si="352"/>
        <v/>
      </c>
      <c r="I4497" t="str">
        <f t="shared" si="353"/>
        <v/>
      </c>
      <c r="J4497" t="str">
        <f t="shared" si="354"/>
        <v/>
      </c>
    </row>
    <row r="4498" spans="4:10" x14ac:dyDescent="0.2">
      <c r="D4498" s="392"/>
      <c r="E4498" s="393"/>
      <c r="F4498" t="str">
        <f t="shared" si="350"/>
        <v/>
      </c>
      <c r="G4498" t="str">
        <f t="shared" si="351"/>
        <v/>
      </c>
      <c r="H4498" t="str">
        <f t="shared" si="352"/>
        <v/>
      </c>
      <c r="I4498" t="str">
        <f t="shared" si="353"/>
        <v/>
      </c>
      <c r="J4498" t="str">
        <f t="shared" si="354"/>
        <v/>
      </c>
    </row>
    <row r="4499" spans="4:10" x14ac:dyDescent="0.2">
      <c r="D4499" s="392"/>
      <c r="E4499" s="393"/>
      <c r="F4499" t="str">
        <f t="shared" si="350"/>
        <v/>
      </c>
      <c r="G4499" t="str">
        <f t="shared" si="351"/>
        <v/>
      </c>
      <c r="H4499" t="str">
        <f t="shared" si="352"/>
        <v/>
      </c>
      <c r="I4499" t="str">
        <f t="shared" si="353"/>
        <v/>
      </c>
      <c r="J4499" t="str">
        <f t="shared" si="354"/>
        <v/>
      </c>
    </row>
    <row r="4500" spans="4:10" x14ac:dyDescent="0.2">
      <c r="D4500" s="392"/>
      <c r="E4500" s="393"/>
      <c r="F4500" t="str">
        <f t="shared" si="350"/>
        <v/>
      </c>
      <c r="G4500" t="str">
        <f t="shared" si="351"/>
        <v/>
      </c>
      <c r="H4500" t="str">
        <f t="shared" si="352"/>
        <v/>
      </c>
      <c r="I4500" t="str">
        <f t="shared" si="353"/>
        <v/>
      </c>
      <c r="J4500" t="str">
        <f t="shared" si="354"/>
        <v/>
      </c>
    </row>
    <row r="4501" spans="4:10" x14ac:dyDescent="0.2">
      <c r="D4501" s="392"/>
      <c r="E4501" s="393"/>
      <c r="F4501" t="str">
        <f t="shared" si="350"/>
        <v/>
      </c>
      <c r="G4501" t="str">
        <f t="shared" si="351"/>
        <v/>
      </c>
      <c r="H4501" t="str">
        <f t="shared" si="352"/>
        <v/>
      </c>
      <c r="I4501" t="str">
        <f t="shared" si="353"/>
        <v/>
      </c>
      <c r="J4501" t="str">
        <f t="shared" si="354"/>
        <v/>
      </c>
    </row>
    <row r="4502" spans="4:10" x14ac:dyDescent="0.2">
      <c r="D4502" s="392"/>
      <c r="E4502" s="393"/>
      <c r="F4502" t="str">
        <f t="shared" si="350"/>
        <v/>
      </c>
      <c r="G4502" t="str">
        <f t="shared" si="351"/>
        <v/>
      </c>
      <c r="H4502" t="str">
        <f t="shared" si="352"/>
        <v/>
      </c>
      <c r="I4502" t="str">
        <f t="shared" si="353"/>
        <v/>
      </c>
      <c r="J4502" t="str">
        <f t="shared" si="354"/>
        <v/>
      </c>
    </row>
    <row r="4503" spans="4:10" x14ac:dyDescent="0.2">
      <c r="D4503" s="392"/>
      <c r="E4503" s="393"/>
      <c r="F4503" t="str">
        <f t="shared" si="350"/>
        <v/>
      </c>
      <c r="G4503" t="str">
        <f t="shared" si="351"/>
        <v/>
      </c>
      <c r="H4503" t="str">
        <f t="shared" si="352"/>
        <v/>
      </c>
      <c r="I4503" t="str">
        <f t="shared" si="353"/>
        <v/>
      </c>
      <c r="J4503" t="str">
        <f t="shared" si="354"/>
        <v/>
      </c>
    </row>
    <row r="4504" spans="4:10" x14ac:dyDescent="0.2">
      <c r="D4504" s="392"/>
      <c r="E4504" s="393"/>
      <c r="F4504" t="str">
        <f t="shared" si="350"/>
        <v/>
      </c>
      <c r="G4504" t="str">
        <f t="shared" si="351"/>
        <v/>
      </c>
      <c r="H4504" t="str">
        <f t="shared" si="352"/>
        <v/>
      </c>
      <c r="I4504" t="str">
        <f t="shared" si="353"/>
        <v/>
      </c>
      <c r="J4504" t="str">
        <f t="shared" si="354"/>
        <v/>
      </c>
    </row>
    <row r="4505" spans="4:10" x14ac:dyDescent="0.2">
      <c r="D4505" s="392"/>
      <c r="E4505" s="393"/>
      <c r="F4505" t="str">
        <f t="shared" si="350"/>
        <v/>
      </c>
      <c r="G4505" t="str">
        <f t="shared" si="351"/>
        <v/>
      </c>
      <c r="H4505" t="str">
        <f t="shared" si="352"/>
        <v/>
      </c>
      <c r="I4505" t="str">
        <f t="shared" si="353"/>
        <v/>
      </c>
      <c r="J4505" t="str">
        <f t="shared" si="354"/>
        <v/>
      </c>
    </row>
    <row r="4506" spans="4:10" x14ac:dyDescent="0.2">
      <c r="D4506" s="392"/>
      <c r="E4506" s="393"/>
      <c r="F4506" t="str">
        <f t="shared" si="350"/>
        <v/>
      </c>
      <c r="G4506" t="str">
        <f t="shared" si="351"/>
        <v/>
      </c>
      <c r="H4506" t="str">
        <f t="shared" si="352"/>
        <v/>
      </c>
      <c r="I4506" t="str">
        <f t="shared" si="353"/>
        <v/>
      </c>
      <c r="J4506" t="str">
        <f t="shared" si="354"/>
        <v/>
      </c>
    </row>
    <row r="4507" spans="4:10" x14ac:dyDescent="0.2">
      <c r="D4507" s="392"/>
      <c r="E4507" s="393"/>
      <c r="F4507" t="str">
        <f t="shared" si="350"/>
        <v/>
      </c>
      <c r="G4507" t="str">
        <f t="shared" si="351"/>
        <v/>
      </c>
      <c r="H4507" t="str">
        <f t="shared" si="352"/>
        <v/>
      </c>
      <c r="I4507" t="str">
        <f t="shared" si="353"/>
        <v/>
      </c>
      <c r="J4507" t="str">
        <f t="shared" si="354"/>
        <v/>
      </c>
    </row>
    <row r="4508" spans="4:10" x14ac:dyDescent="0.2">
      <c r="D4508" s="392"/>
      <c r="E4508" s="393"/>
      <c r="F4508" t="str">
        <f t="shared" si="350"/>
        <v/>
      </c>
      <c r="G4508" t="str">
        <f t="shared" si="351"/>
        <v/>
      </c>
      <c r="H4508" t="str">
        <f t="shared" si="352"/>
        <v/>
      </c>
      <c r="I4508" t="str">
        <f t="shared" si="353"/>
        <v/>
      </c>
      <c r="J4508" t="str">
        <f t="shared" si="354"/>
        <v/>
      </c>
    </row>
    <row r="4509" spans="4:10" x14ac:dyDescent="0.2">
      <c r="D4509" s="392"/>
      <c r="E4509" s="393"/>
      <c r="F4509" t="str">
        <f t="shared" si="350"/>
        <v/>
      </c>
      <c r="G4509" t="str">
        <f t="shared" si="351"/>
        <v/>
      </c>
      <c r="H4509" t="str">
        <f t="shared" si="352"/>
        <v/>
      </c>
      <c r="I4509" t="str">
        <f t="shared" si="353"/>
        <v/>
      </c>
      <c r="J4509" t="str">
        <f t="shared" si="354"/>
        <v/>
      </c>
    </row>
    <row r="4510" spans="4:10" x14ac:dyDescent="0.2">
      <c r="D4510" s="392"/>
      <c r="E4510" s="393"/>
      <c r="F4510" t="str">
        <f t="shared" si="350"/>
        <v/>
      </c>
      <c r="G4510" t="str">
        <f t="shared" si="351"/>
        <v/>
      </c>
      <c r="H4510" t="str">
        <f t="shared" si="352"/>
        <v/>
      </c>
      <c r="I4510" t="str">
        <f t="shared" si="353"/>
        <v/>
      </c>
      <c r="J4510" t="str">
        <f t="shared" si="354"/>
        <v/>
      </c>
    </row>
    <row r="4511" spans="4:10" x14ac:dyDescent="0.2">
      <c r="D4511" s="392"/>
      <c r="E4511" s="393"/>
      <c r="F4511" t="str">
        <f t="shared" si="350"/>
        <v/>
      </c>
      <c r="G4511" t="str">
        <f t="shared" si="351"/>
        <v/>
      </c>
      <c r="H4511" t="str">
        <f t="shared" si="352"/>
        <v/>
      </c>
      <c r="I4511" t="str">
        <f t="shared" si="353"/>
        <v/>
      </c>
      <c r="J4511" t="str">
        <f t="shared" si="354"/>
        <v/>
      </c>
    </row>
    <row r="4512" spans="4:10" x14ac:dyDescent="0.2">
      <c r="D4512" s="392"/>
      <c r="E4512" s="393"/>
      <c r="F4512" t="str">
        <f t="shared" si="350"/>
        <v/>
      </c>
      <c r="G4512" t="str">
        <f t="shared" si="351"/>
        <v/>
      </c>
      <c r="H4512" t="str">
        <f t="shared" si="352"/>
        <v/>
      </c>
      <c r="I4512" t="str">
        <f t="shared" si="353"/>
        <v/>
      </c>
      <c r="J4512" t="str">
        <f t="shared" si="354"/>
        <v/>
      </c>
    </row>
    <row r="4513" spans="4:10" x14ac:dyDescent="0.2">
      <c r="D4513" s="392"/>
      <c r="E4513" s="393"/>
      <c r="F4513" t="str">
        <f t="shared" si="350"/>
        <v/>
      </c>
      <c r="G4513" t="str">
        <f t="shared" si="351"/>
        <v/>
      </c>
      <c r="H4513" t="str">
        <f t="shared" si="352"/>
        <v/>
      </c>
      <c r="I4513" t="str">
        <f t="shared" si="353"/>
        <v/>
      </c>
      <c r="J4513" t="str">
        <f t="shared" si="354"/>
        <v/>
      </c>
    </row>
    <row r="4514" spans="4:10" x14ac:dyDescent="0.2">
      <c r="D4514" s="392"/>
      <c r="E4514" s="393"/>
      <c r="F4514" t="str">
        <f t="shared" si="350"/>
        <v/>
      </c>
      <c r="G4514" t="str">
        <f t="shared" si="351"/>
        <v/>
      </c>
      <c r="H4514" t="str">
        <f t="shared" si="352"/>
        <v/>
      </c>
      <c r="I4514" t="str">
        <f t="shared" si="353"/>
        <v/>
      </c>
      <c r="J4514" t="str">
        <f t="shared" si="354"/>
        <v/>
      </c>
    </row>
    <row r="4515" spans="4:10" x14ac:dyDescent="0.2">
      <c r="D4515" s="392"/>
      <c r="E4515" s="393"/>
      <c r="F4515" t="str">
        <f t="shared" si="350"/>
        <v/>
      </c>
      <c r="G4515" t="str">
        <f t="shared" si="351"/>
        <v/>
      </c>
      <c r="H4515" t="str">
        <f t="shared" si="352"/>
        <v/>
      </c>
      <c r="I4515" t="str">
        <f t="shared" si="353"/>
        <v/>
      </c>
      <c r="J4515" t="str">
        <f t="shared" si="354"/>
        <v/>
      </c>
    </row>
    <row r="4516" spans="4:10" x14ac:dyDescent="0.2">
      <c r="D4516" s="392"/>
      <c r="E4516" s="393"/>
      <c r="F4516" t="str">
        <f t="shared" si="350"/>
        <v/>
      </c>
      <c r="G4516" t="str">
        <f t="shared" si="351"/>
        <v/>
      </c>
      <c r="H4516" t="str">
        <f t="shared" si="352"/>
        <v/>
      </c>
      <c r="I4516" t="str">
        <f t="shared" si="353"/>
        <v/>
      </c>
      <c r="J4516" t="str">
        <f t="shared" si="354"/>
        <v/>
      </c>
    </row>
    <row r="4517" spans="4:10" x14ac:dyDescent="0.2">
      <c r="D4517" s="392"/>
      <c r="E4517" s="393"/>
      <c r="F4517" t="str">
        <f t="shared" si="350"/>
        <v/>
      </c>
      <c r="G4517" t="str">
        <f t="shared" si="351"/>
        <v/>
      </c>
      <c r="H4517" t="str">
        <f t="shared" si="352"/>
        <v/>
      </c>
      <c r="I4517" t="str">
        <f t="shared" si="353"/>
        <v/>
      </c>
      <c r="J4517" t="str">
        <f t="shared" si="354"/>
        <v/>
      </c>
    </row>
    <row r="4518" spans="4:10" x14ac:dyDescent="0.2">
      <c r="D4518" s="392"/>
      <c r="E4518" s="393"/>
      <c r="F4518" t="str">
        <f t="shared" si="350"/>
        <v/>
      </c>
      <c r="G4518" t="str">
        <f t="shared" si="351"/>
        <v/>
      </c>
      <c r="H4518" t="str">
        <f t="shared" si="352"/>
        <v/>
      </c>
      <c r="I4518" t="str">
        <f t="shared" si="353"/>
        <v/>
      </c>
      <c r="J4518" t="str">
        <f t="shared" si="354"/>
        <v/>
      </c>
    </row>
    <row r="4519" spans="4:10" x14ac:dyDescent="0.2">
      <c r="D4519" s="392"/>
      <c r="E4519" s="393"/>
      <c r="F4519" t="str">
        <f t="shared" si="350"/>
        <v/>
      </c>
      <c r="G4519" t="str">
        <f t="shared" si="351"/>
        <v/>
      </c>
      <c r="H4519" t="str">
        <f t="shared" si="352"/>
        <v/>
      </c>
      <c r="I4519" t="str">
        <f t="shared" si="353"/>
        <v/>
      </c>
      <c r="J4519" t="str">
        <f t="shared" si="354"/>
        <v/>
      </c>
    </row>
    <row r="4520" spans="4:10" x14ac:dyDescent="0.2">
      <c r="D4520" s="392"/>
      <c r="E4520" s="393"/>
      <c r="F4520" t="str">
        <f t="shared" si="350"/>
        <v/>
      </c>
      <c r="G4520" t="str">
        <f t="shared" si="351"/>
        <v/>
      </c>
      <c r="H4520" t="str">
        <f t="shared" si="352"/>
        <v/>
      </c>
      <c r="I4520" t="str">
        <f t="shared" si="353"/>
        <v/>
      </c>
      <c r="J4520" t="str">
        <f t="shared" si="354"/>
        <v/>
      </c>
    </row>
    <row r="4521" spans="4:10" x14ac:dyDescent="0.2">
      <c r="D4521" s="392"/>
      <c r="E4521" s="393"/>
      <c r="F4521" t="str">
        <f t="shared" si="350"/>
        <v/>
      </c>
      <c r="G4521" t="str">
        <f t="shared" si="351"/>
        <v/>
      </c>
      <c r="H4521" t="str">
        <f t="shared" si="352"/>
        <v/>
      </c>
      <c r="I4521" t="str">
        <f t="shared" si="353"/>
        <v/>
      </c>
      <c r="J4521" t="str">
        <f t="shared" si="354"/>
        <v/>
      </c>
    </row>
    <row r="4522" spans="4:10" x14ac:dyDescent="0.2">
      <c r="D4522" s="392"/>
      <c r="E4522" s="393"/>
      <c r="F4522" t="str">
        <f t="shared" si="350"/>
        <v/>
      </c>
      <c r="G4522" t="str">
        <f t="shared" si="351"/>
        <v/>
      </c>
      <c r="H4522" t="str">
        <f t="shared" si="352"/>
        <v/>
      </c>
      <c r="I4522" t="str">
        <f t="shared" si="353"/>
        <v/>
      </c>
      <c r="J4522" t="str">
        <f t="shared" si="354"/>
        <v/>
      </c>
    </row>
    <row r="4523" spans="4:10" x14ac:dyDescent="0.2">
      <c r="D4523" s="392"/>
      <c r="E4523" s="393"/>
      <c r="F4523" t="str">
        <f t="shared" si="350"/>
        <v/>
      </c>
      <c r="G4523" t="str">
        <f t="shared" si="351"/>
        <v/>
      </c>
      <c r="H4523" t="str">
        <f t="shared" si="352"/>
        <v/>
      </c>
      <c r="I4523" t="str">
        <f t="shared" si="353"/>
        <v/>
      </c>
      <c r="J4523" t="str">
        <f t="shared" si="354"/>
        <v/>
      </c>
    </row>
    <row r="4524" spans="4:10" x14ac:dyDescent="0.2">
      <c r="D4524" s="392"/>
      <c r="E4524" s="393"/>
      <c r="F4524" t="str">
        <f t="shared" si="350"/>
        <v/>
      </c>
      <c r="G4524" t="str">
        <f t="shared" si="351"/>
        <v/>
      </c>
      <c r="H4524" t="str">
        <f t="shared" si="352"/>
        <v/>
      </c>
      <c r="I4524" t="str">
        <f t="shared" si="353"/>
        <v/>
      </c>
      <c r="J4524" t="str">
        <f t="shared" si="354"/>
        <v/>
      </c>
    </row>
    <row r="4525" spans="4:10" x14ac:dyDescent="0.2">
      <c r="D4525" s="392"/>
      <c r="E4525" s="393"/>
      <c r="F4525" t="str">
        <f t="shared" si="350"/>
        <v/>
      </c>
      <c r="G4525" t="str">
        <f t="shared" si="351"/>
        <v/>
      </c>
      <c r="H4525" t="str">
        <f t="shared" si="352"/>
        <v/>
      </c>
      <c r="I4525" t="str">
        <f t="shared" si="353"/>
        <v/>
      </c>
      <c r="J4525" t="str">
        <f t="shared" si="354"/>
        <v/>
      </c>
    </row>
    <row r="4526" spans="4:10" x14ac:dyDescent="0.2">
      <c r="D4526" s="392"/>
      <c r="E4526" s="393"/>
      <c r="F4526" t="str">
        <f t="shared" si="350"/>
        <v/>
      </c>
      <c r="G4526" t="str">
        <f t="shared" si="351"/>
        <v/>
      </c>
      <c r="H4526" t="str">
        <f t="shared" si="352"/>
        <v/>
      </c>
      <c r="I4526" t="str">
        <f t="shared" si="353"/>
        <v/>
      </c>
      <c r="J4526" t="str">
        <f t="shared" si="354"/>
        <v/>
      </c>
    </row>
    <row r="4527" spans="4:10" x14ac:dyDescent="0.2">
      <c r="D4527" s="392"/>
      <c r="E4527" s="393"/>
      <c r="F4527" t="str">
        <f t="shared" si="350"/>
        <v/>
      </c>
      <c r="G4527" t="str">
        <f t="shared" si="351"/>
        <v/>
      </c>
      <c r="H4527" t="str">
        <f t="shared" si="352"/>
        <v/>
      </c>
      <c r="I4527" t="str">
        <f t="shared" si="353"/>
        <v/>
      </c>
      <c r="J4527" t="str">
        <f t="shared" si="354"/>
        <v/>
      </c>
    </row>
    <row r="4528" spans="4:10" x14ac:dyDescent="0.2">
      <c r="D4528" s="392"/>
      <c r="E4528" s="393"/>
      <c r="F4528" t="str">
        <f t="shared" si="350"/>
        <v/>
      </c>
      <c r="G4528" t="str">
        <f t="shared" si="351"/>
        <v/>
      </c>
      <c r="H4528" t="str">
        <f t="shared" si="352"/>
        <v/>
      </c>
      <c r="I4528" t="str">
        <f t="shared" si="353"/>
        <v/>
      </c>
      <c r="J4528" t="str">
        <f t="shared" si="354"/>
        <v/>
      </c>
    </row>
    <row r="4529" spans="4:10" x14ac:dyDescent="0.2">
      <c r="D4529" s="392"/>
      <c r="E4529" s="393"/>
      <c r="F4529" t="str">
        <f t="shared" si="350"/>
        <v/>
      </c>
      <c r="G4529" t="str">
        <f t="shared" si="351"/>
        <v/>
      </c>
      <c r="H4529" t="str">
        <f t="shared" si="352"/>
        <v/>
      </c>
      <c r="I4529" t="str">
        <f t="shared" si="353"/>
        <v/>
      </c>
      <c r="J4529" t="str">
        <f t="shared" si="354"/>
        <v/>
      </c>
    </row>
    <row r="4530" spans="4:10" x14ac:dyDescent="0.2">
      <c r="D4530" s="392"/>
      <c r="E4530" s="393"/>
      <c r="F4530" t="str">
        <f t="shared" si="350"/>
        <v/>
      </c>
      <c r="G4530" t="str">
        <f t="shared" si="351"/>
        <v/>
      </c>
      <c r="H4530" t="str">
        <f t="shared" si="352"/>
        <v/>
      </c>
      <c r="I4530" t="str">
        <f t="shared" si="353"/>
        <v/>
      </c>
      <c r="J4530" t="str">
        <f t="shared" si="354"/>
        <v/>
      </c>
    </row>
    <row r="4531" spans="4:10" x14ac:dyDescent="0.2">
      <c r="D4531" s="392"/>
      <c r="E4531" s="393"/>
      <c r="F4531" t="str">
        <f t="shared" si="350"/>
        <v/>
      </c>
      <c r="G4531" t="str">
        <f t="shared" si="351"/>
        <v/>
      </c>
      <c r="H4531" t="str">
        <f t="shared" si="352"/>
        <v/>
      </c>
      <c r="I4531" t="str">
        <f t="shared" si="353"/>
        <v/>
      </c>
      <c r="J4531" t="str">
        <f t="shared" si="354"/>
        <v/>
      </c>
    </row>
    <row r="4532" spans="4:10" x14ac:dyDescent="0.2">
      <c r="D4532" s="392"/>
      <c r="E4532" s="393"/>
      <c r="F4532" t="str">
        <f t="shared" si="350"/>
        <v/>
      </c>
      <c r="G4532" t="str">
        <f t="shared" si="351"/>
        <v/>
      </c>
      <c r="H4532" t="str">
        <f t="shared" si="352"/>
        <v/>
      </c>
      <c r="I4532" t="str">
        <f t="shared" si="353"/>
        <v/>
      </c>
      <c r="J4532" t="str">
        <f t="shared" si="354"/>
        <v/>
      </c>
    </row>
    <row r="4533" spans="4:10" x14ac:dyDescent="0.2">
      <c r="D4533" s="392"/>
      <c r="E4533" s="393"/>
      <c r="F4533" t="str">
        <f t="shared" si="350"/>
        <v/>
      </c>
      <c r="G4533" t="str">
        <f t="shared" si="351"/>
        <v/>
      </c>
      <c r="H4533" t="str">
        <f t="shared" si="352"/>
        <v/>
      </c>
      <c r="I4533" t="str">
        <f t="shared" si="353"/>
        <v/>
      </c>
      <c r="J4533" t="str">
        <f t="shared" si="354"/>
        <v/>
      </c>
    </row>
    <row r="4534" spans="4:10" x14ac:dyDescent="0.2">
      <c r="D4534" s="392"/>
      <c r="E4534" s="393"/>
      <c r="F4534" t="str">
        <f t="shared" si="350"/>
        <v/>
      </c>
      <c r="G4534" t="str">
        <f t="shared" si="351"/>
        <v/>
      </c>
      <c r="H4534" t="str">
        <f t="shared" si="352"/>
        <v/>
      </c>
      <c r="I4534" t="str">
        <f t="shared" si="353"/>
        <v/>
      </c>
      <c r="J4534" t="str">
        <f t="shared" si="354"/>
        <v/>
      </c>
    </row>
    <row r="4535" spans="4:10" x14ac:dyDescent="0.2">
      <c r="D4535" s="392"/>
      <c r="E4535" s="393"/>
      <c r="F4535" t="str">
        <f t="shared" si="350"/>
        <v/>
      </c>
      <c r="G4535" t="str">
        <f t="shared" si="351"/>
        <v/>
      </c>
      <c r="H4535" t="str">
        <f t="shared" si="352"/>
        <v/>
      </c>
      <c r="I4535" t="str">
        <f t="shared" si="353"/>
        <v/>
      </c>
      <c r="J4535" t="str">
        <f t="shared" si="354"/>
        <v/>
      </c>
    </row>
    <row r="4536" spans="4:10" x14ac:dyDescent="0.2">
      <c r="D4536" s="392"/>
      <c r="E4536" s="393"/>
      <c r="F4536" t="str">
        <f t="shared" si="350"/>
        <v/>
      </c>
      <c r="G4536" t="str">
        <f t="shared" si="351"/>
        <v/>
      </c>
      <c r="H4536" t="str">
        <f t="shared" si="352"/>
        <v/>
      </c>
      <c r="I4536" t="str">
        <f t="shared" si="353"/>
        <v/>
      </c>
      <c r="J4536" t="str">
        <f t="shared" si="354"/>
        <v/>
      </c>
    </row>
    <row r="4537" spans="4:10" x14ac:dyDescent="0.2">
      <c r="D4537" s="392"/>
      <c r="E4537" s="393"/>
      <c r="F4537" t="str">
        <f t="shared" si="350"/>
        <v/>
      </c>
      <c r="G4537" t="str">
        <f t="shared" si="351"/>
        <v/>
      </c>
      <c r="H4537" t="str">
        <f t="shared" si="352"/>
        <v/>
      </c>
      <c r="I4537" t="str">
        <f t="shared" si="353"/>
        <v/>
      </c>
      <c r="J4537" t="str">
        <f t="shared" si="354"/>
        <v/>
      </c>
    </row>
    <row r="4538" spans="4:10" x14ac:dyDescent="0.2">
      <c r="D4538" s="392"/>
      <c r="E4538" s="393"/>
      <c r="F4538" t="str">
        <f t="shared" si="350"/>
        <v/>
      </c>
      <c r="G4538" t="str">
        <f t="shared" si="351"/>
        <v/>
      </c>
      <c r="H4538" t="str">
        <f t="shared" si="352"/>
        <v/>
      </c>
      <c r="I4538" t="str">
        <f t="shared" si="353"/>
        <v/>
      </c>
      <c r="J4538" t="str">
        <f t="shared" si="354"/>
        <v/>
      </c>
    </row>
    <row r="4539" spans="4:10" x14ac:dyDescent="0.2">
      <c r="D4539" s="392"/>
      <c r="E4539" s="393"/>
      <c r="F4539" t="str">
        <f t="shared" si="350"/>
        <v/>
      </c>
      <c r="G4539" t="str">
        <f t="shared" si="351"/>
        <v/>
      </c>
      <c r="H4539" t="str">
        <f t="shared" si="352"/>
        <v/>
      </c>
      <c r="I4539" t="str">
        <f t="shared" si="353"/>
        <v/>
      </c>
      <c r="J4539" t="str">
        <f t="shared" si="354"/>
        <v/>
      </c>
    </row>
    <row r="4540" spans="4:10" x14ac:dyDescent="0.2">
      <c r="D4540" s="392"/>
      <c r="E4540" s="393"/>
      <c r="F4540" t="str">
        <f t="shared" si="350"/>
        <v/>
      </c>
      <c r="G4540" t="str">
        <f t="shared" si="351"/>
        <v/>
      </c>
      <c r="H4540" t="str">
        <f t="shared" si="352"/>
        <v/>
      </c>
      <c r="I4540" t="str">
        <f t="shared" si="353"/>
        <v/>
      </c>
      <c r="J4540" t="str">
        <f t="shared" si="354"/>
        <v/>
      </c>
    </row>
    <row r="4541" spans="4:10" x14ac:dyDescent="0.2">
      <c r="D4541" s="392"/>
      <c r="E4541" s="393"/>
      <c r="F4541" t="str">
        <f t="shared" si="350"/>
        <v/>
      </c>
      <c r="G4541" t="str">
        <f t="shared" si="351"/>
        <v/>
      </c>
      <c r="H4541" t="str">
        <f t="shared" si="352"/>
        <v/>
      </c>
      <c r="I4541" t="str">
        <f t="shared" si="353"/>
        <v/>
      </c>
      <c r="J4541" t="str">
        <f t="shared" si="354"/>
        <v/>
      </c>
    </row>
    <row r="4542" spans="4:10" x14ac:dyDescent="0.2">
      <c r="D4542" s="392"/>
      <c r="E4542" s="393"/>
      <c r="F4542" t="str">
        <f t="shared" si="350"/>
        <v/>
      </c>
      <c r="G4542" t="str">
        <f t="shared" si="351"/>
        <v/>
      </c>
      <c r="H4542" t="str">
        <f t="shared" si="352"/>
        <v/>
      </c>
      <c r="I4542" t="str">
        <f t="shared" si="353"/>
        <v/>
      </c>
      <c r="J4542" t="str">
        <f t="shared" si="354"/>
        <v/>
      </c>
    </row>
    <row r="4543" spans="4:10" x14ac:dyDescent="0.2">
      <c r="D4543" s="392"/>
      <c r="E4543" s="393"/>
      <c r="F4543" t="str">
        <f t="shared" si="350"/>
        <v/>
      </c>
      <c r="G4543" t="str">
        <f t="shared" si="351"/>
        <v/>
      </c>
      <c r="H4543" t="str">
        <f t="shared" si="352"/>
        <v/>
      </c>
      <c r="I4543" t="str">
        <f t="shared" si="353"/>
        <v/>
      </c>
      <c r="J4543" t="str">
        <f t="shared" si="354"/>
        <v/>
      </c>
    </row>
    <row r="4544" spans="4:10" x14ac:dyDescent="0.2">
      <c r="D4544" s="392"/>
      <c r="E4544" s="393"/>
      <c r="F4544" t="str">
        <f t="shared" si="350"/>
        <v/>
      </c>
      <c r="G4544" t="str">
        <f t="shared" si="351"/>
        <v/>
      </c>
      <c r="H4544" t="str">
        <f t="shared" si="352"/>
        <v/>
      </c>
      <c r="I4544" t="str">
        <f t="shared" si="353"/>
        <v/>
      </c>
      <c r="J4544" t="str">
        <f t="shared" si="354"/>
        <v/>
      </c>
    </row>
    <row r="4545" spans="4:10" x14ac:dyDescent="0.2">
      <c r="D4545" s="392"/>
      <c r="E4545" s="393"/>
      <c r="F4545" t="str">
        <f t="shared" si="350"/>
        <v/>
      </c>
      <c r="G4545" t="str">
        <f t="shared" si="351"/>
        <v/>
      </c>
      <c r="H4545" t="str">
        <f t="shared" si="352"/>
        <v/>
      </c>
      <c r="I4545" t="str">
        <f t="shared" si="353"/>
        <v/>
      </c>
      <c r="J4545" t="str">
        <f t="shared" si="354"/>
        <v/>
      </c>
    </row>
    <row r="4546" spans="4:10" x14ac:dyDescent="0.2">
      <c r="D4546" s="392"/>
      <c r="E4546" s="393"/>
      <c r="F4546" t="str">
        <f t="shared" si="350"/>
        <v/>
      </c>
      <c r="G4546" t="str">
        <f t="shared" si="351"/>
        <v/>
      </c>
      <c r="H4546" t="str">
        <f t="shared" si="352"/>
        <v/>
      </c>
      <c r="I4546" t="str">
        <f t="shared" si="353"/>
        <v/>
      </c>
      <c r="J4546" t="str">
        <f t="shared" si="354"/>
        <v/>
      </c>
    </row>
    <row r="4547" spans="4:10" x14ac:dyDescent="0.2">
      <c r="D4547" s="392"/>
      <c r="E4547" s="393"/>
      <c r="F4547" t="str">
        <f t="shared" si="350"/>
        <v/>
      </c>
      <c r="G4547" t="str">
        <f t="shared" si="351"/>
        <v/>
      </c>
      <c r="H4547" t="str">
        <f t="shared" si="352"/>
        <v/>
      </c>
      <c r="I4547" t="str">
        <f t="shared" si="353"/>
        <v/>
      </c>
      <c r="J4547" t="str">
        <f t="shared" si="354"/>
        <v/>
      </c>
    </row>
    <row r="4548" spans="4:10" x14ac:dyDescent="0.2">
      <c r="D4548" s="392"/>
      <c r="E4548" s="393"/>
      <c r="F4548" t="str">
        <f t="shared" si="350"/>
        <v/>
      </c>
      <c r="G4548" t="str">
        <f t="shared" si="351"/>
        <v/>
      </c>
      <c r="H4548" t="str">
        <f t="shared" si="352"/>
        <v/>
      </c>
      <c r="I4548" t="str">
        <f t="shared" si="353"/>
        <v/>
      </c>
      <c r="J4548" t="str">
        <f t="shared" si="354"/>
        <v/>
      </c>
    </row>
    <row r="4549" spans="4:10" x14ac:dyDescent="0.2">
      <c r="D4549" s="392"/>
      <c r="E4549" s="393"/>
      <c r="F4549" t="str">
        <f t="shared" ref="F4549:F4600" si="355">IF($B4549="","",IF(ISNUMBER(SEARCH("PSA",$B4549)),"Yes","No"))</f>
        <v/>
      </c>
      <c r="G4549" t="str">
        <f t="shared" ref="G4549:G4600" si="356">IF($B4549="","",IF(ISNUMBER(SEARCH("PSA 10",$B4549)),10,IF(ISNUMBER(SEARCH("PSA 9.5",$B4549)),9.5,IF(ISNUMBER(SEARCH("PSA 9",$B4549)),9,IF(ISNUMBER(SEARCH("PSA 8",$B4549)),8,IF(ISNUMBER(SEARCH("PSA",$B4549)),"&lt;9",""))))))</f>
        <v/>
      </c>
      <c r="H4549" t="str">
        <f t="shared" ref="H4549:H4600" si="357">IF($B4549="","",IF($D4549&gt;=100,"TIER 2",IF(OR(ISNUMBER(SEARCH("PSA 10",$B4549)),ISNUMBER(SEARCH("PSA 9.5",$B4549)),ISNUMBER(SEARCH("PSA 9",$B4549))),"TIER 3",IF(AND($D4549&gt;20,N($E4549)&gt;=15),"TIER 1","—"))))</f>
        <v/>
      </c>
      <c r="I4549" t="str">
        <f t="shared" ref="I4549:I4600" si="358">IF($B4549="","",IF($D4549&gt;=100,"Premium $100+ (auto)",IF(OR(ISNUMBER(SEARCH("PSA 10",$B4549)),ISNUMBER(SEARCH("PSA 9.5",$B4549)),ISNUMBER(SEARCH("PSA 9",$B4549))),"Graded PSA 9+ (auto)",IF(AND($D4549&gt;20,N($E4549)&gt;=15),"Hot: $20+ &amp; "&amp;$E4549&amp;"/day",IF($D4549&gt;20,"$20+ — needs velocity check","Below thresholds")))))</f>
        <v/>
      </c>
      <c r="J4549" t="str">
        <f t="shared" ref="J4549:J4600" si="359">IF($B4549="","",IF(AND($D4549&gt;20,$D4549&lt;100,NOT(OR(ISNUMBER(SEARCH("PSA 10",$B4549)),ISNUMBER(SEARCH("PSA 9.5",$B4549)),ISNUMBER(SEARCH("PSA 9",$B4549)))),$E4549=""),"YES — pull CardHedger",""))</f>
        <v/>
      </c>
    </row>
    <row r="4550" spans="4:10" x14ac:dyDescent="0.2">
      <c r="D4550" s="392"/>
      <c r="E4550" s="393"/>
      <c r="F4550" t="str">
        <f t="shared" si="355"/>
        <v/>
      </c>
      <c r="G4550" t="str">
        <f t="shared" si="356"/>
        <v/>
      </c>
      <c r="H4550" t="str">
        <f t="shared" si="357"/>
        <v/>
      </c>
      <c r="I4550" t="str">
        <f t="shared" si="358"/>
        <v/>
      </c>
      <c r="J4550" t="str">
        <f t="shared" si="359"/>
        <v/>
      </c>
    </row>
    <row r="4551" spans="4:10" x14ac:dyDescent="0.2">
      <c r="D4551" s="392"/>
      <c r="E4551" s="393"/>
      <c r="F4551" t="str">
        <f t="shared" si="355"/>
        <v/>
      </c>
      <c r="G4551" t="str">
        <f t="shared" si="356"/>
        <v/>
      </c>
      <c r="H4551" t="str">
        <f t="shared" si="357"/>
        <v/>
      </c>
      <c r="I4551" t="str">
        <f t="shared" si="358"/>
        <v/>
      </c>
      <c r="J4551" t="str">
        <f t="shared" si="359"/>
        <v/>
      </c>
    </row>
    <row r="4552" spans="4:10" x14ac:dyDescent="0.2">
      <c r="D4552" s="392"/>
      <c r="E4552" s="393"/>
      <c r="F4552" t="str">
        <f t="shared" si="355"/>
        <v/>
      </c>
      <c r="G4552" t="str">
        <f t="shared" si="356"/>
        <v/>
      </c>
      <c r="H4552" t="str">
        <f t="shared" si="357"/>
        <v/>
      </c>
      <c r="I4552" t="str">
        <f t="shared" si="358"/>
        <v/>
      </c>
      <c r="J4552" t="str">
        <f t="shared" si="359"/>
        <v/>
      </c>
    </row>
    <row r="4553" spans="4:10" x14ac:dyDescent="0.2">
      <c r="D4553" s="392"/>
      <c r="E4553" s="393"/>
      <c r="F4553" t="str">
        <f t="shared" si="355"/>
        <v/>
      </c>
      <c r="G4553" t="str">
        <f t="shared" si="356"/>
        <v/>
      </c>
      <c r="H4553" t="str">
        <f t="shared" si="357"/>
        <v/>
      </c>
      <c r="I4553" t="str">
        <f t="shared" si="358"/>
        <v/>
      </c>
      <c r="J4553" t="str">
        <f t="shared" si="359"/>
        <v/>
      </c>
    </row>
    <row r="4554" spans="4:10" x14ac:dyDescent="0.2">
      <c r="D4554" s="392"/>
      <c r="E4554" s="393"/>
      <c r="F4554" t="str">
        <f t="shared" si="355"/>
        <v/>
      </c>
      <c r="G4554" t="str">
        <f t="shared" si="356"/>
        <v/>
      </c>
      <c r="H4554" t="str">
        <f t="shared" si="357"/>
        <v/>
      </c>
      <c r="I4554" t="str">
        <f t="shared" si="358"/>
        <v/>
      </c>
      <c r="J4554" t="str">
        <f t="shared" si="359"/>
        <v/>
      </c>
    </row>
    <row r="4555" spans="4:10" x14ac:dyDescent="0.2">
      <c r="D4555" s="392"/>
      <c r="E4555" s="393"/>
      <c r="F4555" t="str">
        <f t="shared" si="355"/>
        <v/>
      </c>
      <c r="G4555" t="str">
        <f t="shared" si="356"/>
        <v/>
      </c>
      <c r="H4555" t="str">
        <f t="shared" si="357"/>
        <v/>
      </c>
      <c r="I4555" t="str">
        <f t="shared" si="358"/>
        <v/>
      </c>
      <c r="J4555" t="str">
        <f t="shared" si="359"/>
        <v/>
      </c>
    </row>
    <row r="4556" spans="4:10" x14ac:dyDescent="0.2">
      <c r="D4556" s="392"/>
      <c r="E4556" s="393"/>
      <c r="F4556" t="str">
        <f t="shared" si="355"/>
        <v/>
      </c>
      <c r="G4556" t="str">
        <f t="shared" si="356"/>
        <v/>
      </c>
      <c r="H4556" t="str">
        <f t="shared" si="357"/>
        <v/>
      </c>
      <c r="I4556" t="str">
        <f t="shared" si="358"/>
        <v/>
      </c>
      <c r="J4556" t="str">
        <f t="shared" si="359"/>
        <v/>
      </c>
    </row>
    <row r="4557" spans="4:10" x14ac:dyDescent="0.2">
      <c r="D4557" s="392"/>
      <c r="E4557" s="393"/>
      <c r="F4557" t="str">
        <f t="shared" si="355"/>
        <v/>
      </c>
      <c r="G4557" t="str">
        <f t="shared" si="356"/>
        <v/>
      </c>
      <c r="H4557" t="str">
        <f t="shared" si="357"/>
        <v/>
      </c>
      <c r="I4557" t="str">
        <f t="shared" si="358"/>
        <v/>
      </c>
      <c r="J4557" t="str">
        <f t="shared" si="359"/>
        <v/>
      </c>
    </row>
    <row r="4558" spans="4:10" x14ac:dyDescent="0.2">
      <c r="D4558" s="392"/>
      <c r="E4558" s="393"/>
      <c r="F4558" t="str">
        <f t="shared" si="355"/>
        <v/>
      </c>
      <c r="G4558" t="str">
        <f t="shared" si="356"/>
        <v/>
      </c>
      <c r="H4558" t="str">
        <f t="shared" si="357"/>
        <v/>
      </c>
      <c r="I4558" t="str">
        <f t="shared" si="358"/>
        <v/>
      </c>
      <c r="J4558" t="str">
        <f t="shared" si="359"/>
        <v/>
      </c>
    </row>
    <row r="4559" spans="4:10" x14ac:dyDescent="0.2">
      <c r="D4559" s="392"/>
      <c r="E4559" s="393"/>
      <c r="F4559" t="str">
        <f t="shared" si="355"/>
        <v/>
      </c>
      <c r="G4559" t="str">
        <f t="shared" si="356"/>
        <v/>
      </c>
      <c r="H4559" t="str">
        <f t="shared" si="357"/>
        <v/>
      </c>
      <c r="I4559" t="str">
        <f t="shared" si="358"/>
        <v/>
      </c>
      <c r="J4559" t="str">
        <f t="shared" si="359"/>
        <v/>
      </c>
    </row>
    <row r="4560" spans="4:10" x14ac:dyDescent="0.2">
      <c r="D4560" s="392"/>
      <c r="E4560" s="393"/>
      <c r="F4560" t="str">
        <f t="shared" si="355"/>
        <v/>
      </c>
      <c r="G4560" t="str">
        <f t="shared" si="356"/>
        <v/>
      </c>
      <c r="H4560" t="str">
        <f t="shared" si="357"/>
        <v/>
      </c>
      <c r="I4560" t="str">
        <f t="shared" si="358"/>
        <v/>
      </c>
      <c r="J4560" t="str">
        <f t="shared" si="359"/>
        <v/>
      </c>
    </row>
    <row r="4561" spans="4:10" x14ac:dyDescent="0.2">
      <c r="D4561" s="392"/>
      <c r="E4561" s="393"/>
      <c r="F4561" t="str">
        <f t="shared" si="355"/>
        <v/>
      </c>
      <c r="G4561" t="str">
        <f t="shared" si="356"/>
        <v/>
      </c>
      <c r="H4561" t="str">
        <f t="shared" si="357"/>
        <v/>
      </c>
      <c r="I4561" t="str">
        <f t="shared" si="358"/>
        <v/>
      </c>
      <c r="J4561" t="str">
        <f t="shared" si="359"/>
        <v/>
      </c>
    </row>
    <row r="4562" spans="4:10" x14ac:dyDescent="0.2">
      <c r="D4562" s="392"/>
      <c r="E4562" s="393"/>
      <c r="F4562" t="str">
        <f t="shared" si="355"/>
        <v/>
      </c>
      <c r="G4562" t="str">
        <f t="shared" si="356"/>
        <v/>
      </c>
      <c r="H4562" t="str">
        <f t="shared" si="357"/>
        <v/>
      </c>
      <c r="I4562" t="str">
        <f t="shared" si="358"/>
        <v/>
      </c>
      <c r="J4562" t="str">
        <f t="shared" si="359"/>
        <v/>
      </c>
    </row>
    <row r="4563" spans="4:10" x14ac:dyDescent="0.2">
      <c r="D4563" s="392"/>
      <c r="E4563" s="393"/>
      <c r="F4563" t="str">
        <f t="shared" si="355"/>
        <v/>
      </c>
      <c r="G4563" t="str">
        <f t="shared" si="356"/>
        <v/>
      </c>
      <c r="H4563" t="str">
        <f t="shared" si="357"/>
        <v/>
      </c>
      <c r="I4563" t="str">
        <f t="shared" si="358"/>
        <v/>
      </c>
      <c r="J4563" t="str">
        <f t="shared" si="359"/>
        <v/>
      </c>
    </row>
    <row r="4564" spans="4:10" x14ac:dyDescent="0.2">
      <c r="D4564" s="392"/>
      <c r="E4564" s="393"/>
      <c r="F4564" t="str">
        <f t="shared" si="355"/>
        <v/>
      </c>
      <c r="G4564" t="str">
        <f t="shared" si="356"/>
        <v/>
      </c>
      <c r="H4564" t="str">
        <f t="shared" si="357"/>
        <v/>
      </c>
      <c r="I4564" t="str">
        <f t="shared" si="358"/>
        <v/>
      </c>
      <c r="J4564" t="str">
        <f t="shared" si="359"/>
        <v/>
      </c>
    </row>
    <row r="4565" spans="4:10" x14ac:dyDescent="0.2">
      <c r="D4565" s="392"/>
      <c r="E4565" s="393"/>
      <c r="F4565" t="str">
        <f t="shared" si="355"/>
        <v/>
      </c>
      <c r="G4565" t="str">
        <f t="shared" si="356"/>
        <v/>
      </c>
      <c r="H4565" t="str">
        <f t="shared" si="357"/>
        <v/>
      </c>
      <c r="I4565" t="str">
        <f t="shared" si="358"/>
        <v/>
      </c>
      <c r="J4565" t="str">
        <f t="shared" si="359"/>
        <v/>
      </c>
    </row>
    <row r="4566" spans="4:10" x14ac:dyDescent="0.2">
      <c r="D4566" s="392"/>
      <c r="E4566" s="393"/>
      <c r="F4566" t="str">
        <f t="shared" si="355"/>
        <v/>
      </c>
      <c r="G4566" t="str">
        <f t="shared" si="356"/>
        <v/>
      </c>
      <c r="H4566" t="str">
        <f t="shared" si="357"/>
        <v/>
      </c>
      <c r="I4566" t="str">
        <f t="shared" si="358"/>
        <v/>
      </c>
      <c r="J4566" t="str">
        <f t="shared" si="359"/>
        <v/>
      </c>
    </row>
    <row r="4567" spans="4:10" x14ac:dyDescent="0.2">
      <c r="D4567" s="392"/>
      <c r="E4567" s="393"/>
      <c r="F4567" t="str">
        <f t="shared" si="355"/>
        <v/>
      </c>
      <c r="G4567" t="str">
        <f t="shared" si="356"/>
        <v/>
      </c>
      <c r="H4567" t="str">
        <f t="shared" si="357"/>
        <v/>
      </c>
      <c r="I4567" t="str">
        <f t="shared" si="358"/>
        <v/>
      </c>
      <c r="J4567" t="str">
        <f t="shared" si="359"/>
        <v/>
      </c>
    </row>
    <row r="4568" spans="4:10" x14ac:dyDescent="0.2">
      <c r="D4568" s="392"/>
      <c r="E4568" s="393"/>
      <c r="F4568" t="str">
        <f t="shared" si="355"/>
        <v/>
      </c>
      <c r="G4568" t="str">
        <f t="shared" si="356"/>
        <v/>
      </c>
      <c r="H4568" t="str">
        <f t="shared" si="357"/>
        <v/>
      </c>
      <c r="I4568" t="str">
        <f t="shared" si="358"/>
        <v/>
      </c>
      <c r="J4568" t="str">
        <f t="shared" si="359"/>
        <v/>
      </c>
    </row>
    <row r="4569" spans="4:10" x14ac:dyDescent="0.2">
      <c r="D4569" s="392"/>
      <c r="E4569" s="393"/>
      <c r="F4569" t="str">
        <f t="shared" si="355"/>
        <v/>
      </c>
      <c r="G4569" t="str">
        <f t="shared" si="356"/>
        <v/>
      </c>
      <c r="H4569" t="str">
        <f t="shared" si="357"/>
        <v/>
      </c>
      <c r="I4569" t="str">
        <f t="shared" si="358"/>
        <v/>
      </c>
      <c r="J4569" t="str">
        <f t="shared" si="359"/>
        <v/>
      </c>
    </row>
    <row r="4570" spans="4:10" x14ac:dyDescent="0.2">
      <c r="D4570" s="392"/>
      <c r="E4570" s="393"/>
      <c r="F4570" t="str">
        <f t="shared" si="355"/>
        <v/>
      </c>
      <c r="G4570" t="str">
        <f t="shared" si="356"/>
        <v/>
      </c>
      <c r="H4570" t="str">
        <f t="shared" si="357"/>
        <v/>
      </c>
      <c r="I4570" t="str">
        <f t="shared" si="358"/>
        <v/>
      </c>
      <c r="J4570" t="str">
        <f t="shared" si="359"/>
        <v/>
      </c>
    </row>
    <row r="4571" spans="4:10" x14ac:dyDescent="0.2">
      <c r="D4571" s="392"/>
      <c r="E4571" s="393"/>
      <c r="F4571" t="str">
        <f t="shared" si="355"/>
        <v/>
      </c>
      <c r="G4571" t="str">
        <f t="shared" si="356"/>
        <v/>
      </c>
      <c r="H4571" t="str">
        <f t="shared" si="357"/>
        <v/>
      </c>
      <c r="I4571" t="str">
        <f t="shared" si="358"/>
        <v/>
      </c>
      <c r="J4571" t="str">
        <f t="shared" si="359"/>
        <v/>
      </c>
    </row>
    <row r="4572" spans="4:10" x14ac:dyDescent="0.2">
      <c r="D4572" s="392"/>
      <c r="E4572" s="393"/>
      <c r="F4572" t="str">
        <f t="shared" si="355"/>
        <v/>
      </c>
      <c r="G4572" t="str">
        <f t="shared" si="356"/>
        <v/>
      </c>
      <c r="H4572" t="str">
        <f t="shared" si="357"/>
        <v/>
      </c>
      <c r="I4572" t="str">
        <f t="shared" si="358"/>
        <v/>
      </c>
      <c r="J4572" t="str">
        <f t="shared" si="359"/>
        <v/>
      </c>
    </row>
    <row r="4573" spans="4:10" x14ac:dyDescent="0.2">
      <c r="D4573" s="392"/>
      <c r="E4573" s="393"/>
      <c r="F4573" t="str">
        <f t="shared" si="355"/>
        <v/>
      </c>
      <c r="G4573" t="str">
        <f t="shared" si="356"/>
        <v/>
      </c>
      <c r="H4573" t="str">
        <f t="shared" si="357"/>
        <v/>
      </c>
      <c r="I4573" t="str">
        <f t="shared" si="358"/>
        <v/>
      </c>
      <c r="J4573" t="str">
        <f t="shared" si="359"/>
        <v/>
      </c>
    </row>
    <row r="4574" spans="4:10" x14ac:dyDescent="0.2">
      <c r="D4574" s="392"/>
      <c r="E4574" s="393"/>
      <c r="F4574" t="str">
        <f t="shared" si="355"/>
        <v/>
      </c>
      <c r="G4574" t="str">
        <f t="shared" si="356"/>
        <v/>
      </c>
      <c r="H4574" t="str">
        <f t="shared" si="357"/>
        <v/>
      </c>
      <c r="I4574" t="str">
        <f t="shared" si="358"/>
        <v/>
      </c>
      <c r="J4574" t="str">
        <f t="shared" si="359"/>
        <v/>
      </c>
    </row>
    <row r="4575" spans="4:10" x14ac:dyDescent="0.2">
      <c r="D4575" s="392"/>
      <c r="E4575" s="393"/>
      <c r="F4575" t="str">
        <f t="shared" si="355"/>
        <v/>
      </c>
      <c r="G4575" t="str">
        <f t="shared" si="356"/>
        <v/>
      </c>
      <c r="H4575" t="str">
        <f t="shared" si="357"/>
        <v/>
      </c>
      <c r="I4575" t="str">
        <f t="shared" si="358"/>
        <v/>
      </c>
      <c r="J4575" t="str">
        <f t="shared" si="359"/>
        <v/>
      </c>
    </row>
    <row r="4576" spans="4:10" x14ac:dyDescent="0.2">
      <c r="D4576" s="392"/>
      <c r="E4576" s="393"/>
      <c r="F4576" t="str">
        <f t="shared" si="355"/>
        <v/>
      </c>
      <c r="G4576" t="str">
        <f t="shared" si="356"/>
        <v/>
      </c>
      <c r="H4576" t="str">
        <f t="shared" si="357"/>
        <v/>
      </c>
      <c r="I4576" t="str">
        <f t="shared" si="358"/>
        <v/>
      </c>
      <c r="J4576" t="str">
        <f t="shared" si="359"/>
        <v/>
      </c>
    </row>
    <row r="4577" spans="4:10" x14ac:dyDescent="0.2">
      <c r="D4577" s="392"/>
      <c r="E4577" s="393"/>
      <c r="F4577" t="str">
        <f t="shared" si="355"/>
        <v/>
      </c>
      <c r="G4577" t="str">
        <f t="shared" si="356"/>
        <v/>
      </c>
      <c r="H4577" t="str">
        <f t="shared" si="357"/>
        <v/>
      </c>
      <c r="I4577" t="str">
        <f t="shared" si="358"/>
        <v/>
      </c>
      <c r="J4577" t="str">
        <f t="shared" si="359"/>
        <v/>
      </c>
    </row>
    <row r="4578" spans="4:10" x14ac:dyDescent="0.2">
      <c r="D4578" s="392"/>
      <c r="E4578" s="393"/>
      <c r="F4578" t="str">
        <f t="shared" si="355"/>
        <v/>
      </c>
      <c r="G4578" t="str">
        <f t="shared" si="356"/>
        <v/>
      </c>
      <c r="H4578" t="str">
        <f t="shared" si="357"/>
        <v/>
      </c>
      <c r="I4578" t="str">
        <f t="shared" si="358"/>
        <v/>
      </c>
      <c r="J4578" t="str">
        <f t="shared" si="359"/>
        <v/>
      </c>
    </row>
    <row r="4579" spans="4:10" x14ac:dyDescent="0.2">
      <c r="D4579" s="392"/>
      <c r="E4579" s="393"/>
      <c r="F4579" t="str">
        <f t="shared" si="355"/>
        <v/>
      </c>
      <c r="G4579" t="str">
        <f t="shared" si="356"/>
        <v/>
      </c>
      <c r="H4579" t="str">
        <f t="shared" si="357"/>
        <v/>
      </c>
      <c r="I4579" t="str">
        <f t="shared" si="358"/>
        <v/>
      </c>
      <c r="J4579" t="str">
        <f t="shared" si="359"/>
        <v/>
      </c>
    </row>
    <row r="4580" spans="4:10" x14ac:dyDescent="0.2">
      <c r="D4580" s="392"/>
      <c r="E4580" s="393"/>
      <c r="F4580" t="str">
        <f t="shared" si="355"/>
        <v/>
      </c>
      <c r="G4580" t="str">
        <f t="shared" si="356"/>
        <v/>
      </c>
      <c r="H4580" t="str">
        <f t="shared" si="357"/>
        <v/>
      </c>
      <c r="I4580" t="str">
        <f t="shared" si="358"/>
        <v/>
      </c>
      <c r="J4580" t="str">
        <f t="shared" si="359"/>
        <v/>
      </c>
    </row>
    <row r="4581" spans="4:10" x14ac:dyDescent="0.2">
      <c r="D4581" s="392"/>
      <c r="E4581" s="393"/>
      <c r="F4581" t="str">
        <f t="shared" si="355"/>
        <v/>
      </c>
      <c r="G4581" t="str">
        <f t="shared" si="356"/>
        <v/>
      </c>
      <c r="H4581" t="str">
        <f t="shared" si="357"/>
        <v/>
      </c>
      <c r="I4581" t="str">
        <f t="shared" si="358"/>
        <v/>
      </c>
      <c r="J4581" t="str">
        <f t="shared" si="359"/>
        <v/>
      </c>
    </row>
    <row r="4582" spans="4:10" x14ac:dyDescent="0.2">
      <c r="D4582" s="392"/>
      <c r="E4582" s="393"/>
      <c r="F4582" t="str">
        <f t="shared" si="355"/>
        <v/>
      </c>
      <c r="G4582" t="str">
        <f t="shared" si="356"/>
        <v/>
      </c>
      <c r="H4582" t="str">
        <f t="shared" si="357"/>
        <v/>
      </c>
      <c r="I4582" t="str">
        <f t="shared" si="358"/>
        <v/>
      </c>
      <c r="J4582" t="str">
        <f t="shared" si="359"/>
        <v/>
      </c>
    </row>
    <row r="4583" spans="4:10" x14ac:dyDescent="0.2">
      <c r="D4583" s="392"/>
      <c r="E4583" s="393"/>
      <c r="F4583" t="str">
        <f t="shared" si="355"/>
        <v/>
      </c>
      <c r="G4583" t="str">
        <f t="shared" si="356"/>
        <v/>
      </c>
      <c r="H4583" t="str">
        <f t="shared" si="357"/>
        <v/>
      </c>
      <c r="I4583" t="str">
        <f t="shared" si="358"/>
        <v/>
      </c>
      <c r="J4583" t="str">
        <f t="shared" si="359"/>
        <v/>
      </c>
    </row>
    <row r="4584" spans="4:10" x14ac:dyDescent="0.2">
      <c r="D4584" s="392"/>
      <c r="E4584" s="393"/>
      <c r="F4584" t="str">
        <f t="shared" si="355"/>
        <v/>
      </c>
      <c r="G4584" t="str">
        <f t="shared" si="356"/>
        <v/>
      </c>
      <c r="H4584" t="str">
        <f t="shared" si="357"/>
        <v/>
      </c>
      <c r="I4584" t="str">
        <f t="shared" si="358"/>
        <v/>
      </c>
      <c r="J4584" t="str">
        <f t="shared" si="359"/>
        <v/>
      </c>
    </row>
    <row r="4585" spans="4:10" x14ac:dyDescent="0.2">
      <c r="D4585" s="392"/>
      <c r="E4585" s="393"/>
      <c r="F4585" t="str">
        <f t="shared" si="355"/>
        <v/>
      </c>
      <c r="G4585" t="str">
        <f t="shared" si="356"/>
        <v/>
      </c>
      <c r="H4585" t="str">
        <f t="shared" si="357"/>
        <v/>
      </c>
      <c r="I4585" t="str">
        <f t="shared" si="358"/>
        <v/>
      </c>
      <c r="J4585" t="str">
        <f t="shared" si="359"/>
        <v/>
      </c>
    </row>
    <row r="4586" spans="4:10" x14ac:dyDescent="0.2">
      <c r="D4586" s="392"/>
      <c r="E4586" s="393"/>
      <c r="F4586" t="str">
        <f t="shared" si="355"/>
        <v/>
      </c>
      <c r="G4586" t="str">
        <f t="shared" si="356"/>
        <v/>
      </c>
      <c r="H4586" t="str">
        <f t="shared" si="357"/>
        <v/>
      </c>
      <c r="I4586" t="str">
        <f t="shared" si="358"/>
        <v/>
      </c>
      <c r="J4586" t="str">
        <f t="shared" si="359"/>
        <v/>
      </c>
    </row>
    <row r="4587" spans="4:10" x14ac:dyDescent="0.2">
      <c r="D4587" s="392"/>
      <c r="E4587" s="393"/>
      <c r="F4587" t="str">
        <f t="shared" si="355"/>
        <v/>
      </c>
      <c r="G4587" t="str">
        <f t="shared" si="356"/>
        <v/>
      </c>
      <c r="H4587" t="str">
        <f t="shared" si="357"/>
        <v/>
      </c>
      <c r="I4587" t="str">
        <f t="shared" si="358"/>
        <v/>
      </c>
      <c r="J4587" t="str">
        <f t="shared" si="359"/>
        <v/>
      </c>
    </row>
    <row r="4588" spans="4:10" x14ac:dyDescent="0.2">
      <c r="D4588" s="392"/>
      <c r="E4588" s="393"/>
      <c r="F4588" t="str">
        <f t="shared" si="355"/>
        <v/>
      </c>
      <c r="G4588" t="str">
        <f t="shared" si="356"/>
        <v/>
      </c>
      <c r="H4588" t="str">
        <f t="shared" si="357"/>
        <v/>
      </c>
      <c r="I4588" t="str">
        <f t="shared" si="358"/>
        <v/>
      </c>
      <c r="J4588" t="str">
        <f t="shared" si="359"/>
        <v/>
      </c>
    </row>
    <row r="4589" spans="4:10" x14ac:dyDescent="0.2">
      <c r="D4589" s="392"/>
      <c r="E4589" s="393"/>
      <c r="F4589" t="str">
        <f t="shared" si="355"/>
        <v/>
      </c>
      <c r="G4589" t="str">
        <f t="shared" si="356"/>
        <v/>
      </c>
      <c r="H4589" t="str">
        <f t="shared" si="357"/>
        <v/>
      </c>
      <c r="I4589" t="str">
        <f t="shared" si="358"/>
        <v/>
      </c>
      <c r="J4589" t="str">
        <f t="shared" si="359"/>
        <v/>
      </c>
    </row>
    <row r="4590" spans="4:10" x14ac:dyDescent="0.2">
      <c r="D4590" s="392"/>
      <c r="E4590" s="393"/>
      <c r="F4590" t="str">
        <f t="shared" si="355"/>
        <v/>
      </c>
      <c r="G4590" t="str">
        <f t="shared" si="356"/>
        <v/>
      </c>
      <c r="H4590" t="str">
        <f t="shared" si="357"/>
        <v/>
      </c>
      <c r="I4590" t="str">
        <f t="shared" si="358"/>
        <v/>
      </c>
      <c r="J4590" t="str">
        <f t="shared" si="359"/>
        <v/>
      </c>
    </row>
    <row r="4591" spans="4:10" x14ac:dyDescent="0.2">
      <c r="D4591" s="392"/>
      <c r="E4591" s="393"/>
      <c r="F4591" t="str">
        <f t="shared" si="355"/>
        <v/>
      </c>
      <c r="G4591" t="str">
        <f t="shared" si="356"/>
        <v/>
      </c>
      <c r="H4591" t="str">
        <f t="shared" si="357"/>
        <v/>
      </c>
      <c r="I4591" t="str">
        <f t="shared" si="358"/>
        <v/>
      </c>
      <c r="J4591" t="str">
        <f t="shared" si="359"/>
        <v/>
      </c>
    </row>
    <row r="4592" spans="4:10" x14ac:dyDescent="0.2">
      <c r="D4592" s="392"/>
      <c r="E4592" s="393"/>
      <c r="F4592" t="str">
        <f t="shared" si="355"/>
        <v/>
      </c>
      <c r="G4592" t="str">
        <f t="shared" si="356"/>
        <v/>
      </c>
      <c r="H4592" t="str">
        <f t="shared" si="357"/>
        <v/>
      </c>
      <c r="I4592" t="str">
        <f t="shared" si="358"/>
        <v/>
      </c>
      <c r="J4592" t="str">
        <f t="shared" si="359"/>
        <v/>
      </c>
    </row>
    <row r="4593" spans="4:10" x14ac:dyDescent="0.2">
      <c r="D4593" s="392"/>
      <c r="E4593" s="393"/>
      <c r="F4593" t="str">
        <f t="shared" si="355"/>
        <v/>
      </c>
      <c r="G4593" t="str">
        <f t="shared" si="356"/>
        <v/>
      </c>
      <c r="H4593" t="str">
        <f t="shared" si="357"/>
        <v/>
      </c>
      <c r="I4593" t="str">
        <f t="shared" si="358"/>
        <v/>
      </c>
      <c r="J4593" t="str">
        <f t="shared" si="359"/>
        <v/>
      </c>
    </row>
    <row r="4594" spans="4:10" x14ac:dyDescent="0.2">
      <c r="D4594" s="392"/>
      <c r="E4594" s="393"/>
      <c r="F4594" t="str">
        <f t="shared" si="355"/>
        <v/>
      </c>
      <c r="G4594" t="str">
        <f t="shared" si="356"/>
        <v/>
      </c>
      <c r="H4594" t="str">
        <f t="shared" si="357"/>
        <v/>
      </c>
      <c r="I4594" t="str">
        <f t="shared" si="358"/>
        <v/>
      </c>
      <c r="J4594" t="str">
        <f t="shared" si="359"/>
        <v/>
      </c>
    </row>
    <row r="4595" spans="4:10" x14ac:dyDescent="0.2">
      <c r="D4595" s="392"/>
      <c r="E4595" s="393"/>
      <c r="F4595" t="str">
        <f t="shared" si="355"/>
        <v/>
      </c>
      <c r="G4595" t="str">
        <f t="shared" si="356"/>
        <v/>
      </c>
      <c r="H4595" t="str">
        <f t="shared" si="357"/>
        <v/>
      </c>
      <c r="I4595" t="str">
        <f t="shared" si="358"/>
        <v/>
      </c>
      <c r="J4595" t="str">
        <f t="shared" si="359"/>
        <v/>
      </c>
    </row>
    <row r="4596" spans="4:10" x14ac:dyDescent="0.2">
      <c r="D4596" s="392"/>
      <c r="E4596" s="393"/>
      <c r="F4596" t="str">
        <f t="shared" si="355"/>
        <v/>
      </c>
      <c r="G4596" t="str">
        <f t="shared" si="356"/>
        <v/>
      </c>
      <c r="H4596" t="str">
        <f t="shared" si="357"/>
        <v/>
      </c>
      <c r="I4596" t="str">
        <f t="shared" si="358"/>
        <v/>
      </c>
      <c r="J4596" t="str">
        <f t="shared" si="359"/>
        <v/>
      </c>
    </row>
    <row r="4597" spans="4:10" x14ac:dyDescent="0.2">
      <c r="D4597" s="392"/>
      <c r="E4597" s="393"/>
      <c r="F4597" t="str">
        <f t="shared" si="355"/>
        <v/>
      </c>
      <c r="G4597" t="str">
        <f t="shared" si="356"/>
        <v/>
      </c>
      <c r="H4597" t="str">
        <f t="shared" si="357"/>
        <v/>
      </c>
      <c r="I4597" t="str">
        <f t="shared" si="358"/>
        <v/>
      </c>
      <c r="J4597" t="str">
        <f t="shared" si="359"/>
        <v/>
      </c>
    </row>
    <row r="4598" spans="4:10" x14ac:dyDescent="0.2">
      <c r="D4598" s="392"/>
      <c r="E4598" s="393"/>
      <c r="F4598" t="str">
        <f t="shared" si="355"/>
        <v/>
      </c>
      <c r="G4598" t="str">
        <f t="shared" si="356"/>
        <v/>
      </c>
      <c r="H4598" t="str">
        <f t="shared" si="357"/>
        <v/>
      </c>
      <c r="I4598" t="str">
        <f t="shared" si="358"/>
        <v/>
      </c>
      <c r="J4598" t="str">
        <f t="shared" si="359"/>
        <v/>
      </c>
    </row>
    <row r="4599" spans="4:10" x14ac:dyDescent="0.2">
      <c r="D4599" s="392"/>
      <c r="E4599" s="393"/>
      <c r="F4599" t="str">
        <f t="shared" si="355"/>
        <v/>
      </c>
      <c r="G4599" t="str">
        <f t="shared" si="356"/>
        <v/>
      </c>
      <c r="H4599" t="str">
        <f t="shared" si="357"/>
        <v/>
      </c>
      <c r="I4599" t="str">
        <f t="shared" si="358"/>
        <v/>
      </c>
      <c r="J4599" t="str">
        <f t="shared" si="359"/>
        <v/>
      </c>
    </row>
    <row r="4600" spans="4:10" x14ac:dyDescent="0.2">
      <c r="D4600" s="392"/>
      <c r="E4600" s="393"/>
      <c r="F4600" t="str">
        <f t="shared" si="355"/>
        <v/>
      </c>
      <c r="G4600" t="str">
        <f t="shared" si="356"/>
        <v/>
      </c>
      <c r="H4600" t="str">
        <f t="shared" si="357"/>
        <v/>
      </c>
      <c r="I4600" t="str">
        <f t="shared" si="358"/>
        <v/>
      </c>
      <c r="J4600" t="str">
        <f t="shared" si="359"/>
        <v/>
      </c>
    </row>
  </sheetData>
  <autoFilter ref="A4:J4600" xr:uid="{00000000-0009-0000-0000-00000B000000}"/>
  <mergeCells count="2">
    <mergeCell ref="H3:J3"/>
    <mergeCell ref="A2:J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8"/>
  <sheetViews>
    <sheetView showGridLines="0" zoomScaleNormal="100" workbookViewId="0">
      <selection sqref="A1:F1"/>
    </sheetView>
  </sheetViews>
  <sheetFormatPr baseColWidth="10" defaultColWidth="8.6640625" defaultRowHeight="15" x14ac:dyDescent="0.2"/>
  <cols>
    <col min="1" max="1" width="14" customWidth="1"/>
    <col min="2" max="2" width="36" customWidth="1"/>
    <col min="3" max="3" width="18" customWidth="1"/>
    <col min="4" max="4" width="4" customWidth="1"/>
    <col min="5" max="5" width="36" customWidth="1"/>
    <col min="6" max="6" width="18" customWidth="1"/>
  </cols>
  <sheetData>
    <row r="1" spans="1:6" ht="31.5" customHeight="1" x14ac:dyDescent="0.2">
      <c r="A1" s="417" t="s">
        <v>118</v>
      </c>
      <c r="B1" s="395"/>
      <c r="C1" s="395"/>
      <c r="D1" s="395"/>
      <c r="E1" s="395"/>
      <c r="F1" s="395"/>
    </row>
    <row r="2" spans="1:6" ht="18" customHeight="1" x14ac:dyDescent="0.2">
      <c r="A2" s="426" t="s">
        <v>524</v>
      </c>
      <c r="B2" s="395"/>
      <c r="C2" s="395"/>
      <c r="D2" s="395"/>
      <c r="E2" s="395"/>
      <c r="F2" s="395"/>
    </row>
    <row r="3" spans="1:6" x14ac:dyDescent="0.2">
      <c r="A3" s="35"/>
      <c r="B3" s="35"/>
      <c r="C3" s="35"/>
      <c r="D3" s="35"/>
      <c r="E3" s="35"/>
      <c r="F3" s="35"/>
    </row>
    <row r="4" spans="1:6" ht="21.75" customHeight="1" x14ac:dyDescent="0.2">
      <c r="A4" s="431" t="s">
        <v>525</v>
      </c>
      <c r="B4" s="395"/>
      <c r="C4" s="395"/>
      <c r="D4" s="395"/>
      <c r="E4" s="424" t="s">
        <v>526</v>
      </c>
      <c r="F4" s="395"/>
    </row>
    <row r="5" spans="1:6" ht="16" customHeight="1" x14ac:dyDescent="0.2">
      <c r="A5" s="35"/>
      <c r="B5" s="254" t="s">
        <v>527</v>
      </c>
      <c r="C5" s="255">
        <v>1000</v>
      </c>
      <c r="D5" s="35"/>
      <c r="E5" s="254" t="s">
        <v>528</v>
      </c>
      <c r="F5" s="256">
        <f>C5*C6</f>
        <v>750</v>
      </c>
    </row>
    <row r="6" spans="1:6" ht="16" customHeight="1" x14ac:dyDescent="0.2">
      <c r="A6" s="35"/>
      <c r="B6" s="254" t="s">
        <v>529</v>
      </c>
      <c r="C6" s="257">
        <v>0.75</v>
      </c>
      <c r="D6" s="35"/>
      <c r="E6" s="254" t="s">
        <v>530</v>
      </c>
      <c r="F6" s="256">
        <f>F5*C7</f>
        <v>101.25</v>
      </c>
    </row>
    <row r="7" spans="1:6" ht="16" customHeight="1" x14ac:dyDescent="0.2">
      <c r="A7" s="35"/>
      <c r="B7" s="254" t="s">
        <v>531</v>
      </c>
      <c r="C7" s="257">
        <v>0.13500000000000001</v>
      </c>
      <c r="D7" s="35"/>
      <c r="E7" s="254" t="s">
        <v>532</v>
      </c>
      <c r="F7" s="256">
        <f>C8*C10*C6</f>
        <v>84.375</v>
      </c>
    </row>
    <row r="8" spans="1:6" ht="16" customHeight="1" x14ac:dyDescent="0.2">
      <c r="A8" s="35"/>
      <c r="B8" s="254" t="s">
        <v>533</v>
      </c>
      <c r="C8" s="255">
        <v>4.5</v>
      </c>
      <c r="D8" s="35"/>
      <c r="E8" s="254" t="s">
        <v>534</v>
      </c>
      <c r="F8" s="256">
        <f>C9*C10</f>
        <v>18.75</v>
      </c>
    </row>
    <row r="9" spans="1:6" ht="16" customHeight="1" x14ac:dyDescent="0.2">
      <c r="A9" s="35"/>
      <c r="B9" s="254" t="s">
        <v>535</v>
      </c>
      <c r="C9" s="255">
        <v>0.75</v>
      </c>
      <c r="D9" s="35"/>
      <c r="E9" s="254" t="s">
        <v>536</v>
      </c>
      <c r="F9" s="256">
        <f>F5-F6-F7-F8</f>
        <v>545.625</v>
      </c>
    </row>
    <row r="10" spans="1:6" ht="16" customHeight="1" x14ac:dyDescent="0.2">
      <c r="A10" s="35"/>
      <c r="B10" s="254" t="s">
        <v>537</v>
      </c>
      <c r="C10" s="258">
        <v>25</v>
      </c>
      <c r="D10" s="35"/>
      <c r="E10" s="254" t="s">
        <v>538</v>
      </c>
      <c r="F10" s="256">
        <f>F9*C11</f>
        <v>190.96875</v>
      </c>
    </row>
    <row r="11" spans="1:6" ht="19" customHeight="1" x14ac:dyDescent="0.2">
      <c r="A11" s="35"/>
      <c r="B11" s="254" t="s">
        <v>539</v>
      </c>
      <c r="C11" s="259">
        <v>0.35</v>
      </c>
      <c r="D11" s="35"/>
      <c r="E11" s="260" t="s">
        <v>540</v>
      </c>
      <c r="F11" s="261">
        <f>F9-F10</f>
        <v>354.65625</v>
      </c>
    </row>
    <row r="12" spans="1:6" x14ac:dyDescent="0.2">
      <c r="A12" s="35"/>
      <c r="B12" s="35"/>
      <c r="C12" s="35"/>
      <c r="D12" s="35"/>
      <c r="E12" s="35"/>
      <c r="F12" s="35"/>
    </row>
    <row r="13" spans="1:6" x14ac:dyDescent="0.2">
      <c r="A13" s="35"/>
      <c r="B13" s="35"/>
      <c r="C13" s="35"/>
      <c r="D13" s="35"/>
      <c r="E13" s="35"/>
      <c r="F13" s="35"/>
    </row>
    <row r="14" spans="1:6" ht="16" customHeight="1" x14ac:dyDescent="0.2">
      <c r="A14" s="431" t="s">
        <v>541</v>
      </c>
      <c r="B14" s="395"/>
      <c r="C14" s="395"/>
      <c r="D14" s="395"/>
      <c r="E14" s="395"/>
      <c r="F14" s="395"/>
    </row>
    <row r="15" spans="1:6" ht="21.75" customHeight="1" x14ac:dyDescent="0.2">
      <c r="A15" s="473" t="s">
        <v>542</v>
      </c>
      <c r="B15" s="395"/>
      <c r="C15" s="395"/>
      <c r="D15" s="395"/>
      <c r="E15" s="395"/>
      <c r="F15" s="395"/>
    </row>
    <row r="16" spans="1:6" ht="21.75" customHeight="1" x14ac:dyDescent="0.2">
      <c r="A16" s="473" t="s">
        <v>543</v>
      </c>
      <c r="B16" s="395"/>
      <c r="C16" s="395"/>
      <c r="D16" s="395"/>
      <c r="E16" s="395"/>
      <c r="F16" s="395"/>
    </row>
    <row r="17" spans="1:6" ht="21.75" customHeight="1" x14ac:dyDescent="0.2">
      <c r="A17" s="473" t="s">
        <v>544</v>
      </c>
      <c r="B17" s="395"/>
      <c r="C17" s="395"/>
      <c r="D17" s="395"/>
      <c r="E17" s="395"/>
      <c r="F17" s="395"/>
    </row>
    <row r="18" spans="1:6" ht="21.75" customHeight="1" x14ac:dyDescent="0.2">
      <c r="A18" s="473" t="s">
        <v>545</v>
      </c>
      <c r="B18" s="395"/>
      <c r="C18" s="395"/>
      <c r="D18" s="395"/>
      <c r="E18" s="395"/>
      <c r="F18" s="395"/>
    </row>
  </sheetData>
  <mergeCells count="9">
    <mergeCell ref="A1:F1"/>
    <mergeCell ref="A17:F17"/>
    <mergeCell ref="A18:F18"/>
    <mergeCell ref="A15:F15"/>
    <mergeCell ref="A16:F16"/>
    <mergeCell ref="E4:F4"/>
    <mergeCell ref="A2:F2"/>
    <mergeCell ref="A14:F14"/>
    <mergeCell ref="A4:D4"/>
  </mergeCells>
  <hyperlinks>
    <hyperlink ref="A1" location="'Start Here'!A1" display="🏠 Start Here" xr:uid="{00000000-0004-0000-0C00-000000000000}"/>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1"/>
  <sheetViews>
    <sheetView showGridLines="0" zoomScaleNormal="100" workbookViewId="0">
      <selection sqref="A1:I1"/>
    </sheetView>
  </sheetViews>
  <sheetFormatPr baseColWidth="10" defaultColWidth="8.6640625" defaultRowHeight="15" x14ac:dyDescent="0.2"/>
  <cols>
    <col min="1" max="1" width="14" customWidth="1"/>
    <col min="2" max="2" width="28" customWidth="1"/>
    <col min="3" max="8" width="14" customWidth="1"/>
    <col min="9" max="9" width="22" customWidth="1"/>
  </cols>
  <sheetData>
    <row r="1" spans="1:9" ht="31.5" customHeight="1" x14ac:dyDescent="0.2">
      <c r="A1" s="435" t="s">
        <v>118</v>
      </c>
      <c r="B1" s="395"/>
      <c r="C1" s="395"/>
      <c r="D1" s="395"/>
      <c r="E1" s="395"/>
      <c r="F1" s="395"/>
      <c r="G1" s="395"/>
      <c r="H1" s="395"/>
      <c r="I1" s="395"/>
    </row>
    <row r="2" spans="1:9" x14ac:dyDescent="0.2">
      <c r="A2" s="478" t="s">
        <v>546</v>
      </c>
      <c r="B2" s="395"/>
      <c r="C2" s="395"/>
      <c r="D2" s="395"/>
      <c r="E2" s="395"/>
      <c r="F2" s="395"/>
      <c r="G2" s="395"/>
      <c r="H2" s="395"/>
      <c r="I2" s="395"/>
    </row>
    <row r="3" spans="1:9" x14ac:dyDescent="0.2">
      <c r="A3" s="35"/>
      <c r="B3" s="35"/>
      <c r="C3" s="35"/>
      <c r="D3" s="35"/>
      <c r="E3" s="35"/>
      <c r="F3" s="35"/>
      <c r="G3" s="35"/>
      <c r="H3" s="35"/>
      <c r="I3" s="35"/>
    </row>
    <row r="4" spans="1:9" ht="21.75" customHeight="1" x14ac:dyDescent="0.2">
      <c r="A4" s="478" t="s">
        <v>547</v>
      </c>
      <c r="B4" s="395"/>
      <c r="C4" s="395"/>
      <c r="D4" s="395"/>
      <c r="E4" s="395"/>
      <c r="F4" s="395"/>
      <c r="G4" s="395"/>
      <c r="H4" s="395"/>
      <c r="I4" s="395"/>
    </row>
    <row r="5" spans="1:9" ht="17.25" customHeight="1" x14ac:dyDescent="0.2">
      <c r="A5" s="35"/>
      <c r="B5" s="143" t="s">
        <v>548</v>
      </c>
      <c r="C5" s="262">
        <v>100</v>
      </c>
      <c r="D5" s="480" t="s">
        <v>549</v>
      </c>
      <c r="E5" s="395"/>
      <c r="F5" s="395"/>
      <c r="G5" s="395"/>
      <c r="H5" s="395"/>
      <c r="I5" s="395"/>
    </row>
    <row r="6" spans="1:9" x14ac:dyDescent="0.2">
      <c r="A6" s="35"/>
      <c r="B6" s="35"/>
      <c r="C6" s="35"/>
      <c r="D6" s="35"/>
      <c r="E6" s="35"/>
      <c r="F6" s="35"/>
      <c r="G6" s="35"/>
      <c r="H6" s="35"/>
      <c r="I6" s="35"/>
    </row>
    <row r="7" spans="1:9" ht="32" customHeight="1" x14ac:dyDescent="0.2">
      <c r="A7" s="41"/>
      <c r="B7" s="46" t="s">
        <v>460</v>
      </c>
      <c r="C7" s="46" t="s">
        <v>550</v>
      </c>
      <c r="D7" s="46" t="s">
        <v>551</v>
      </c>
      <c r="E7" s="46" t="s">
        <v>552</v>
      </c>
      <c r="F7" s="46" t="s">
        <v>553</v>
      </c>
      <c r="G7" s="46" t="s">
        <v>554</v>
      </c>
      <c r="H7" s="46" t="s">
        <v>555</v>
      </c>
      <c r="I7" s="35"/>
    </row>
    <row r="8" spans="1:9" ht="30" customHeight="1" x14ac:dyDescent="0.2">
      <c r="A8" s="263"/>
      <c r="B8" s="264" t="s">
        <v>556</v>
      </c>
      <c r="C8" s="265">
        <v>0.13600000000000001</v>
      </c>
      <c r="D8" s="265">
        <v>0.4</v>
      </c>
      <c r="E8" s="266">
        <v>0</v>
      </c>
      <c r="F8" s="267">
        <f t="shared" ref="F8:F16" si="0">$C$5*C8+D8+$C$5*E8</f>
        <v>14.000000000000002</v>
      </c>
      <c r="G8" s="268">
        <f t="shared" ref="G8:G16" si="1">$C$5-F8</f>
        <v>86</v>
      </c>
      <c r="H8" s="269">
        <f t="shared" ref="H8:H16" si="2">IFERROR(F8/$C$5,"")</f>
        <v>0.14000000000000001</v>
      </c>
      <c r="I8" s="270" t="s">
        <v>557</v>
      </c>
    </row>
    <row r="9" spans="1:9" ht="30" customHeight="1" x14ac:dyDescent="0.2">
      <c r="A9" s="263"/>
      <c r="B9" s="264" t="s">
        <v>558</v>
      </c>
      <c r="C9" s="265">
        <v>6.8000000000000005E-2</v>
      </c>
      <c r="D9" s="265">
        <v>0.4</v>
      </c>
      <c r="E9" s="266">
        <v>0</v>
      </c>
      <c r="F9" s="267">
        <f t="shared" si="0"/>
        <v>7.2000000000000011</v>
      </c>
      <c r="G9" s="268">
        <f t="shared" si="1"/>
        <v>92.8</v>
      </c>
      <c r="H9" s="269">
        <f t="shared" si="2"/>
        <v>7.2000000000000008E-2</v>
      </c>
      <c r="I9" s="270" t="s">
        <v>559</v>
      </c>
    </row>
    <row r="10" spans="1:9" ht="30" customHeight="1" x14ac:dyDescent="0.2">
      <c r="A10" s="271"/>
      <c r="B10" s="272" t="s">
        <v>474</v>
      </c>
      <c r="C10" s="273">
        <v>0.08</v>
      </c>
      <c r="D10" s="273">
        <v>0.3</v>
      </c>
      <c r="E10" s="274">
        <v>2.9000000000000001E-2</v>
      </c>
      <c r="F10" s="275">
        <f t="shared" si="0"/>
        <v>11.200000000000001</v>
      </c>
      <c r="G10" s="276">
        <f t="shared" si="1"/>
        <v>88.8</v>
      </c>
      <c r="H10" s="277">
        <f t="shared" si="2"/>
        <v>0.11200000000000002</v>
      </c>
      <c r="I10" s="278" t="s">
        <v>560</v>
      </c>
    </row>
    <row r="11" spans="1:9" ht="16" customHeight="1" x14ac:dyDescent="0.2">
      <c r="A11" s="35"/>
      <c r="B11" s="143" t="s">
        <v>561</v>
      </c>
      <c r="C11" s="279">
        <v>0.1</v>
      </c>
      <c r="D11" s="280">
        <v>0</v>
      </c>
      <c r="E11" s="281">
        <v>0</v>
      </c>
      <c r="F11" s="256">
        <f t="shared" si="0"/>
        <v>10</v>
      </c>
      <c r="G11" s="282">
        <f t="shared" si="1"/>
        <v>90</v>
      </c>
      <c r="H11" s="283">
        <f t="shared" si="2"/>
        <v>0.1</v>
      </c>
      <c r="I11" s="284" t="s">
        <v>562</v>
      </c>
    </row>
    <row r="12" spans="1:9" ht="30" customHeight="1" x14ac:dyDescent="0.2">
      <c r="A12" s="35"/>
      <c r="B12" s="143" t="s">
        <v>563</v>
      </c>
      <c r="C12" s="279">
        <v>0.05</v>
      </c>
      <c r="D12" s="280">
        <v>0</v>
      </c>
      <c r="E12" s="281">
        <v>0</v>
      </c>
      <c r="F12" s="256">
        <f t="shared" si="0"/>
        <v>5</v>
      </c>
      <c r="G12" s="282">
        <f t="shared" si="1"/>
        <v>95</v>
      </c>
      <c r="H12" s="283">
        <f t="shared" si="2"/>
        <v>0.05</v>
      </c>
      <c r="I12" s="284" t="s">
        <v>564</v>
      </c>
    </row>
    <row r="13" spans="1:9" ht="30" customHeight="1" x14ac:dyDescent="0.2">
      <c r="A13" s="35"/>
      <c r="B13" s="143" t="s">
        <v>565</v>
      </c>
      <c r="C13" s="279">
        <v>0</v>
      </c>
      <c r="D13" s="280">
        <v>0</v>
      </c>
      <c r="E13" s="281">
        <v>0</v>
      </c>
      <c r="F13" s="256">
        <f t="shared" si="0"/>
        <v>0</v>
      </c>
      <c r="G13" s="282">
        <f t="shared" si="1"/>
        <v>100</v>
      </c>
      <c r="H13" s="283">
        <f t="shared" si="2"/>
        <v>0</v>
      </c>
      <c r="I13" s="284" t="s">
        <v>566</v>
      </c>
    </row>
    <row r="14" spans="1:9" ht="30" customHeight="1" x14ac:dyDescent="0.2">
      <c r="A14" s="35"/>
      <c r="B14" s="143" t="s">
        <v>567</v>
      </c>
      <c r="C14" s="279">
        <v>0.18</v>
      </c>
      <c r="D14" s="280">
        <v>0</v>
      </c>
      <c r="E14" s="281">
        <v>0</v>
      </c>
      <c r="F14" s="256">
        <f t="shared" si="0"/>
        <v>18</v>
      </c>
      <c r="G14" s="282">
        <f t="shared" si="1"/>
        <v>82</v>
      </c>
      <c r="H14" s="283">
        <f t="shared" si="2"/>
        <v>0.18</v>
      </c>
      <c r="I14" s="284" t="s">
        <v>568</v>
      </c>
    </row>
    <row r="15" spans="1:9" ht="16" customHeight="1" x14ac:dyDescent="0.2">
      <c r="A15" s="35"/>
      <c r="B15" s="143" t="s">
        <v>569</v>
      </c>
      <c r="C15" s="279">
        <v>0.2</v>
      </c>
      <c r="D15" s="280">
        <v>0</v>
      </c>
      <c r="E15" s="281">
        <v>0</v>
      </c>
      <c r="F15" s="256">
        <f t="shared" si="0"/>
        <v>20</v>
      </c>
      <c r="G15" s="282">
        <f t="shared" si="1"/>
        <v>80</v>
      </c>
      <c r="H15" s="283">
        <f t="shared" si="2"/>
        <v>0.2</v>
      </c>
      <c r="I15" s="284" t="s">
        <v>570</v>
      </c>
    </row>
    <row r="16" spans="1:9" ht="16" customHeight="1" x14ac:dyDescent="0.2">
      <c r="A16" s="35"/>
      <c r="B16" s="143" t="s">
        <v>571</v>
      </c>
      <c r="C16" s="279">
        <v>0.2</v>
      </c>
      <c r="D16" s="280">
        <v>0</v>
      </c>
      <c r="E16" s="281">
        <v>0</v>
      </c>
      <c r="F16" s="256">
        <f t="shared" si="0"/>
        <v>20</v>
      </c>
      <c r="G16" s="282">
        <f t="shared" si="1"/>
        <v>80</v>
      </c>
      <c r="H16" s="283">
        <f t="shared" si="2"/>
        <v>0.2</v>
      </c>
      <c r="I16" s="284" t="s">
        <v>572</v>
      </c>
    </row>
    <row r="17" spans="1:9" x14ac:dyDescent="0.2">
      <c r="A17" s="35"/>
      <c r="B17" s="35"/>
      <c r="C17" s="35"/>
      <c r="D17" s="35"/>
      <c r="E17" s="35"/>
      <c r="F17" s="35"/>
      <c r="G17" s="35"/>
      <c r="H17" s="35"/>
      <c r="I17" s="35"/>
    </row>
    <row r="18" spans="1:9" x14ac:dyDescent="0.2">
      <c r="A18" s="35"/>
      <c r="B18" s="35"/>
      <c r="C18" s="35"/>
      <c r="D18" s="35"/>
      <c r="E18" s="35"/>
      <c r="F18" s="35"/>
      <c r="G18" s="35"/>
      <c r="H18" s="35"/>
      <c r="I18" s="35"/>
    </row>
    <row r="19" spans="1:9" ht="21.75" customHeight="1" x14ac:dyDescent="0.2">
      <c r="A19" s="424" t="s">
        <v>573</v>
      </c>
      <c r="B19" s="395"/>
      <c r="C19" s="395"/>
      <c r="D19" s="395"/>
      <c r="E19" s="395"/>
      <c r="F19" s="395"/>
      <c r="G19" s="395"/>
      <c r="H19" s="395"/>
      <c r="I19" s="395"/>
    </row>
    <row r="20" spans="1:9" x14ac:dyDescent="0.2">
      <c r="A20" s="35"/>
      <c r="B20" s="35"/>
      <c r="C20" s="35"/>
      <c r="D20" s="35"/>
      <c r="E20" s="35"/>
      <c r="F20" s="35"/>
      <c r="G20" s="35"/>
      <c r="H20" s="35"/>
      <c r="I20" s="35"/>
    </row>
    <row r="21" spans="1:9" ht="16" customHeight="1" x14ac:dyDescent="0.2">
      <c r="A21" s="41"/>
      <c r="B21" s="46" t="s">
        <v>460</v>
      </c>
      <c r="C21" s="46" t="s">
        <v>574</v>
      </c>
      <c r="D21" s="46" t="s">
        <v>575</v>
      </c>
      <c r="E21" s="46" t="s">
        <v>576</v>
      </c>
      <c r="F21" s="46" t="s">
        <v>577</v>
      </c>
      <c r="G21" s="46" t="s">
        <v>578</v>
      </c>
      <c r="H21" s="46" t="s">
        <v>579</v>
      </c>
      <c r="I21" s="46" t="s">
        <v>580</v>
      </c>
    </row>
    <row r="22" spans="1:9" ht="16" customHeight="1" x14ac:dyDescent="0.2">
      <c r="A22" s="263"/>
      <c r="B22" s="264" t="s">
        <v>556</v>
      </c>
      <c r="C22" s="285">
        <f>10-(10*$C$8+$D$8+10*$E$8)</f>
        <v>8.24</v>
      </c>
      <c r="D22" s="285">
        <f>25-(25*$C$8+$D$8+25*$E$8)</f>
        <v>21.2</v>
      </c>
      <c r="E22" s="285">
        <f>50-(50*$C$8+$D$8+50*$E$8)</f>
        <v>42.8</v>
      </c>
      <c r="F22" s="285">
        <f>100-(100*$C$8+$D$8+100*$E$8)</f>
        <v>86</v>
      </c>
      <c r="G22" s="285">
        <f>200-(200*$C$8+$D$8+200*$E$8)</f>
        <v>172.4</v>
      </c>
      <c r="H22" s="285">
        <f>500-(500*$C$8+$D$8+500*$E$8)</f>
        <v>431.6</v>
      </c>
      <c r="I22" s="285">
        <f>1000-(1000*$C$8+$D$8+1000*$E$8)</f>
        <v>863.6</v>
      </c>
    </row>
    <row r="23" spans="1:9" ht="16" customHeight="1" x14ac:dyDescent="0.2">
      <c r="A23" s="263"/>
      <c r="B23" s="264" t="s">
        <v>558</v>
      </c>
      <c r="C23" s="285">
        <f>10-(10*$C$9+$D$9+10*$E$9)</f>
        <v>8.92</v>
      </c>
      <c r="D23" s="285">
        <f>25-(25*$C$9+$D$9+25*$E$9)</f>
        <v>22.9</v>
      </c>
      <c r="E23" s="285">
        <f>50-(50*$C$9+$D$9+50*$E$9)</f>
        <v>46.2</v>
      </c>
      <c r="F23" s="285">
        <f>100-(100*$C$9+$D$9+100*$E$9)</f>
        <v>92.8</v>
      </c>
      <c r="G23" s="285">
        <f>200-(200*$C$9+$D$9+200*$E$9)</f>
        <v>186</v>
      </c>
      <c r="H23" s="285">
        <f>500-(500*$C$9+$D$9+500*$E$9)</f>
        <v>465.6</v>
      </c>
      <c r="I23" s="285">
        <f>1000-(1000*$C$9+$D$9+1000*$E$9)</f>
        <v>931.6</v>
      </c>
    </row>
    <row r="24" spans="1:9" ht="16" customHeight="1" x14ac:dyDescent="0.2">
      <c r="A24" s="271"/>
      <c r="B24" s="272" t="s">
        <v>474</v>
      </c>
      <c r="C24" s="286">
        <f>10-(10*$C$10+$D$10+10*$E$10)</f>
        <v>8.61</v>
      </c>
      <c r="D24" s="286">
        <f>25-(25*$C$10+$D$10+25*$E$10)</f>
        <v>21.975000000000001</v>
      </c>
      <c r="E24" s="286">
        <f>50-(50*$C$10+$D$10+50*$E$10)</f>
        <v>44.25</v>
      </c>
      <c r="F24" s="286">
        <f>100-(100*$C$10+$D$10+100*$E$10)</f>
        <v>88.8</v>
      </c>
      <c r="G24" s="286">
        <f>200-(200*$C$10+$D$10+200*$E$10)</f>
        <v>177.9</v>
      </c>
      <c r="H24" s="286">
        <f>500-(500*$C$10+$D$10+500*$E$10)</f>
        <v>445.2</v>
      </c>
      <c r="I24" s="286">
        <f>1000-(1000*$C$10+$D$10+1000*$E$10)</f>
        <v>890.7</v>
      </c>
    </row>
    <row r="25" spans="1:9" ht="16" customHeight="1" x14ac:dyDescent="0.2">
      <c r="A25" s="35"/>
      <c r="B25" s="143" t="s">
        <v>561</v>
      </c>
      <c r="C25" s="287">
        <f>10-(10*$C$11+$D$11+10*$E$11)</f>
        <v>9</v>
      </c>
      <c r="D25" s="287">
        <f>25-(25*$C$11+$D$11+25*$E$11)</f>
        <v>22.5</v>
      </c>
      <c r="E25" s="287">
        <f>50-(50*$C$11+$D$11+50*$E$11)</f>
        <v>45</v>
      </c>
      <c r="F25" s="287">
        <f>100-(100*$C$11+$D$11+100*$E$11)</f>
        <v>90</v>
      </c>
      <c r="G25" s="287">
        <f>200-(200*$C$11+$D$11+200*$E$11)</f>
        <v>180</v>
      </c>
      <c r="H25" s="287">
        <f>500-(500*$C$11+$D$11+500*$E$11)</f>
        <v>450</v>
      </c>
      <c r="I25" s="287">
        <f>1000-(1000*$C$11+$D$11+1000*$E$11)</f>
        <v>900</v>
      </c>
    </row>
    <row r="26" spans="1:9" ht="16" customHeight="1" x14ac:dyDescent="0.2">
      <c r="A26" s="35"/>
      <c r="B26" s="143" t="s">
        <v>563</v>
      </c>
      <c r="C26" s="287">
        <f>10-(10*$C$12+$D$12+10*$E$12)</f>
        <v>9.5</v>
      </c>
      <c r="D26" s="287">
        <f>25-(25*$C$12+$D$12+25*$E$12)</f>
        <v>23.75</v>
      </c>
      <c r="E26" s="287">
        <f>50-(50*$C$12+$D$12+50*$E$12)</f>
        <v>47.5</v>
      </c>
      <c r="F26" s="287">
        <f>100-(100*$C$12+$D$12+100*$E$12)</f>
        <v>95</v>
      </c>
      <c r="G26" s="287">
        <f>200-(200*$C$12+$D$12+200*$E$12)</f>
        <v>190</v>
      </c>
      <c r="H26" s="287">
        <f>500-(500*$C$12+$D$12+500*$E$12)</f>
        <v>475</v>
      </c>
      <c r="I26" s="287">
        <f>1000-(1000*$C$12+$D$12+1000*$E$12)</f>
        <v>950</v>
      </c>
    </row>
    <row r="27" spans="1:9" ht="16" customHeight="1" x14ac:dyDescent="0.2">
      <c r="A27" s="35"/>
      <c r="B27" s="143" t="s">
        <v>565</v>
      </c>
      <c r="C27" s="287">
        <f>10-(10*$C$13+$D$13+10*$E$13)</f>
        <v>10</v>
      </c>
      <c r="D27" s="287">
        <f>25-(25*$C$13+$D$13+25*$E$13)</f>
        <v>25</v>
      </c>
      <c r="E27" s="287">
        <f>50-(50*$C$13+$D$13+50*$E$13)</f>
        <v>50</v>
      </c>
      <c r="F27" s="287">
        <f>100-(100*$C$13+$D$13+100*$E$13)</f>
        <v>100</v>
      </c>
      <c r="G27" s="287">
        <f>200-(200*$C$13+$D$13+200*$E$13)</f>
        <v>200</v>
      </c>
      <c r="H27" s="287">
        <f>500-(500*$C$13+$D$13+500*$E$13)</f>
        <v>500</v>
      </c>
      <c r="I27" s="287">
        <f>1000-(1000*$C$13+$D$13+1000*$E$13)</f>
        <v>1000</v>
      </c>
    </row>
    <row r="28" spans="1:9" ht="16" customHeight="1" x14ac:dyDescent="0.2">
      <c r="A28" s="35"/>
      <c r="B28" s="143" t="s">
        <v>567</v>
      </c>
      <c r="C28" s="287">
        <f>10-(10*$C$14+$D$14+10*$E$14)</f>
        <v>8.1999999999999993</v>
      </c>
      <c r="D28" s="287">
        <f>25-(25*$C$14+$D$14+25*$E$14)</f>
        <v>20.5</v>
      </c>
      <c r="E28" s="287">
        <f>50-(50*$C$14+$D$14+50*$E$14)</f>
        <v>41</v>
      </c>
      <c r="F28" s="287">
        <f>100-(100*$C$14+$D$14+100*$E$14)</f>
        <v>82</v>
      </c>
      <c r="G28" s="287">
        <f>200-(200*$C$14+$D$14+200*$E$14)</f>
        <v>164</v>
      </c>
      <c r="H28" s="287">
        <f>500-(500*$C$14+$D$14+500*$E$14)</f>
        <v>410</v>
      </c>
      <c r="I28" s="287">
        <f>1000-(1000*$C$14+$D$14+1000*$E$14)</f>
        <v>820</v>
      </c>
    </row>
    <row r="29" spans="1:9" ht="16" customHeight="1" x14ac:dyDescent="0.2">
      <c r="A29" s="35"/>
      <c r="B29" s="143" t="s">
        <v>569</v>
      </c>
      <c r="C29" s="287">
        <f>10-(10*$C$15+$D$15+10*$E$15)</f>
        <v>8</v>
      </c>
      <c r="D29" s="287">
        <f>25-(25*$C$15+$D$15+25*$E$15)</f>
        <v>20</v>
      </c>
      <c r="E29" s="287">
        <f>50-(50*$C$15+$D$15+50*$E$15)</f>
        <v>40</v>
      </c>
      <c r="F29" s="287">
        <f>100-(100*$C$15+$D$15+100*$E$15)</f>
        <v>80</v>
      </c>
      <c r="G29" s="287">
        <f>200-(200*$C$15+$D$15+200*$E$15)</f>
        <v>160</v>
      </c>
      <c r="H29" s="287">
        <f>500-(500*$C$15+$D$15+500*$E$15)</f>
        <v>400</v>
      </c>
      <c r="I29" s="287">
        <f>1000-(1000*$C$15+$D$15+1000*$E$15)</f>
        <v>800</v>
      </c>
    </row>
    <row r="30" spans="1:9" ht="16" customHeight="1" x14ac:dyDescent="0.2">
      <c r="A30" s="35"/>
      <c r="B30" s="143" t="s">
        <v>571</v>
      </c>
      <c r="C30" s="287">
        <f>10-(10*$C$16+$D$16+10*$E$16)</f>
        <v>8</v>
      </c>
      <c r="D30" s="287">
        <f>25-(25*$C$16+$D$16+25*$E$16)</f>
        <v>20</v>
      </c>
      <c r="E30" s="287">
        <f>50-(50*$C$16+$D$16+50*$E$16)</f>
        <v>40</v>
      </c>
      <c r="F30" s="287">
        <f>100-(100*$C$16+$D$16+100*$E$16)</f>
        <v>80</v>
      </c>
      <c r="G30" s="287">
        <f>200-(200*$C$16+$D$16+200*$E$16)</f>
        <v>160</v>
      </c>
      <c r="H30" s="287">
        <f>500-(500*$C$16+$D$16+500*$E$16)</f>
        <v>400</v>
      </c>
      <c r="I30" s="287">
        <f>1000-(1000*$C$16+$D$16+1000*$E$16)</f>
        <v>800</v>
      </c>
    </row>
    <row r="31" spans="1:9" x14ac:dyDescent="0.2">
      <c r="A31" s="35"/>
      <c r="B31" s="35"/>
      <c r="C31" s="35"/>
      <c r="D31" s="35"/>
      <c r="E31" s="35"/>
      <c r="F31" s="35"/>
      <c r="G31" s="35"/>
      <c r="H31" s="35"/>
      <c r="I31" s="35"/>
    </row>
    <row r="32" spans="1:9" x14ac:dyDescent="0.2">
      <c r="A32" s="35"/>
      <c r="B32" s="35"/>
      <c r="C32" s="35"/>
      <c r="D32" s="35"/>
      <c r="E32" s="35"/>
      <c r="F32" s="35"/>
      <c r="G32" s="35"/>
      <c r="H32" s="35"/>
      <c r="I32" s="35"/>
    </row>
    <row r="33" spans="1:9" ht="21.75" customHeight="1" x14ac:dyDescent="0.2">
      <c r="A33" s="424" t="s">
        <v>581</v>
      </c>
      <c r="B33" s="395"/>
      <c r="C33" s="395"/>
      <c r="D33" s="395"/>
      <c r="E33" s="395"/>
      <c r="F33" s="395"/>
      <c r="G33" s="395"/>
      <c r="H33" s="395"/>
      <c r="I33" s="395"/>
    </row>
    <row r="34" spans="1:9" x14ac:dyDescent="0.2">
      <c r="A34" s="35"/>
      <c r="B34" s="35"/>
      <c r="C34" s="35"/>
      <c r="D34" s="35"/>
      <c r="E34" s="35"/>
      <c r="F34" s="35"/>
      <c r="G34" s="35"/>
      <c r="H34" s="35"/>
      <c r="I34" s="35"/>
    </row>
    <row r="35" spans="1:9" ht="21.75" customHeight="1" x14ac:dyDescent="0.2">
      <c r="A35" s="35"/>
      <c r="B35" s="448" t="s">
        <v>582</v>
      </c>
      <c r="C35" s="414"/>
      <c r="D35" s="415"/>
      <c r="E35" s="448" t="s">
        <v>583</v>
      </c>
      <c r="F35" s="415"/>
      <c r="G35" s="481" t="s">
        <v>584</v>
      </c>
      <c r="H35" s="415"/>
      <c r="I35" s="288" t="s">
        <v>585</v>
      </c>
    </row>
    <row r="36" spans="1:9" ht="36" customHeight="1" x14ac:dyDescent="0.2">
      <c r="A36" s="35"/>
      <c r="B36" s="475" t="s">
        <v>586</v>
      </c>
      <c r="C36" s="414"/>
      <c r="D36" s="415"/>
      <c r="E36" s="474" t="s">
        <v>469</v>
      </c>
      <c r="F36" s="415"/>
      <c r="G36" s="476" t="s">
        <v>587</v>
      </c>
      <c r="H36" s="415"/>
      <c r="I36" s="289" t="s">
        <v>588</v>
      </c>
    </row>
    <row r="37" spans="1:9" ht="36" customHeight="1" x14ac:dyDescent="0.2">
      <c r="A37" s="35"/>
      <c r="B37" s="475" t="s">
        <v>589</v>
      </c>
      <c r="C37" s="414"/>
      <c r="D37" s="415"/>
      <c r="E37" s="474" t="s">
        <v>590</v>
      </c>
      <c r="F37" s="415"/>
      <c r="G37" s="476" t="s">
        <v>591</v>
      </c>
      <c r="H37" s="415"/>
      <c r="I37" s="289" t="s">
        <v>592</v>
      </c>
    </row>
    <row r="38" spans="1:9" ht="36" customHeight="1" x14ac:dyDescent="0.2">
      <c r="A38" s="35"/>
      <c r="B38" s="475" t="s">
        <v>593</v>
      </c>
      <c r="C38" s="414"/>
      <c r="D38" s="415"/>
      <c r="E38" s="474" t="s">
        <v>594</v>
      </c>
      <c r="F38" s="415"/>
      <c r="G38" s="476" t="s">
        <v>595</v>
      </c>
      <c r="H38" s="415"/>
      <c r="I38" s="289" t="s">
        <v>596</v>
      </c>
    </row>
    <row r="39" spans="1:9" ht="36" customHeight="1" x14ac:dyDescent="0.2">
      <c r="A39" s="35"/>
      <c r="B39" s="475" t="s">
        <v>597</v>
      </c>
      <c r="C39" s="414"/>
      <c r="D39" s="415"/>
      <c r="E39" s="474" t="s">
        <v>598</v>
      </c>
      <c r="F39" s="415"/>
      <c r="G39" s="476" t="s">
        <v>599</v>
      </c>
      <c r="H39" s="415"/>
      <c r="I39" s="289" t="s">
        <v>600</v>
      </c>
    </row>
    <row r="40" spans="1:9" ht="36" customHeight="1" x14ac:dyDescent="0.2">
      <c r="A40" s="35"/>
      <c r="B40" s="475" t="s">
        <v>601</v>
      </c>
      <c r="C40" s="414"/>
      <c r="D40" s="415"/>
      <c r="E40" s="474" t="s">
        <v>602</v>
      </c>
      <c r="F40" s="415"/>
      <c r="G40" s="476" t="s">
        <v>603</v>
      </c>
      <c r="H40" s="415"/>
      <c r="I40" s="289" t="s">
        <v>604</v>
      </c>
    </row>
    <row r="41" spans="1:9" ht="36" customHeight="1" x14ac:dyDescent="0.2">
      <c r="A41" s="35"/>
      <c r="B41" s="475" t="s">
        <v>605</v>
      </c>
      <c r="C41" s="414"/>
      <c r="D41" s="415"/>
      <c r="E41" s="474" t="s">
        <v>606</v>
      </c>
      <c r="F41" s="415"/>
      <c r="G41" s="476" t="s">
        <v>607</v>
      </c>
      <c r="H41" s="415"/>
      <c r="I41" s="289" t="s">
        <v>608</v>
      </c>
    </row>
    <row r="42" spans="1:9" ht="36" customHeight="1" x14ac:dyDescent="0.2">
      <c r="A42" s="35"/>
      <c r="B42" s="475" t="s">
        <v>609</v>
      </c>
      <c r="C42" s="414"/>
      <c r="D42" s="415"/>
      <c r="E42" s="474" t="s">
        <v>610</v>
      </c>
      <c r="F42" s="415"/>
      <c r="G42" s="476" t="s">
        <v>611</v>
      </c>
      <c r="H42" s="415"/>
      <c r="I42" s="289" t="s">
        <v>612</v>
      </c>
    </row>
    <row r="43" spans="1:9" ht="36" customHeight="1" x14ac:dyDescent="0.2">
      <c r="A43" s="35"/>
      <c r="B43" s="475" t="s">
        <v>613</v>
      </c>
      <c r="C43" s="414"/>
      <c r="D43" s="415"/>
      <c r="E43" s="474" t="s">
        <v>614</v>
      </c>
      <c r="F43" s="415"/>
      <c r="G43" s="476" t="s">
        <v>615</v>
      </c>
      <c r="H43" s="415"/>
      <c r="I43" s="289" t="s">
        <v>616</v>
      </c>
    </row>
    <row r="44" spans="1:9" x14ac:dyDescent="0.2">
      <c r="A44" s="35"/>
      <c r="B44" s="35"/>
      <c r="C44" s="35"/>
      <c r="D44" s="35"/>
      <c r="E44" s="35"/>
      <c r="F44" s="35"/>
      <c r="G44" s="35"/>
      <c r="H44" s="35"/>
      <c r="I44" s="35"/>
    </row>
    <row r="45" spans="1:9" x14ac:dyDescent="0.2">
      <c r="A45" s="35"/>
      <c r="B45" s="35"/>
      <c r="C45" s="35"/>
      <c r="D45" s="35"/>
      <c r="E45" s="35"/>
      <c r="F45" s="35"/>
      <c r="G45" s="35"/>
      <c r="H45" s="35"/>
      <c r="I45" s="35"/>
    </row>
    <row r="46" spans="1:9" ht="16" customHeight="1" x14ac:dyDescent="0.2">
      <c r="A46" s="477" t="s">
        <v>617</v>
      </c>
      <c r="B46" s="395"/>
      <c r="C46" s="395"/>
      <c r="D46" s="395"/>
      <c r="E46" s="395"/>
      <c r="F46" s="395"/>
      <c r="G46" s="395"/>
      <c r="H46" s="395"/>
      <c r="I46" s="395"/>
    </row>
    <row r="47" spans="1:9" ht="30" customHeight="1" x14ac:dyDescent="0.2">
      <c r="A47" s="479" t="s">
        <v>618</v>
      </c>
      <c r="B47" s="395"/>
      <c r="C47" s="395"/>
      <c r="D47" s="395"/>
      <c r="E47" s="395"/>
      <c r="F47" s="395"/>
      <c r="G47" s="395"/>
      <c r="H47" s="395"/>
      <c r="I47" s="395"/>
    </row>
    <row r="48" spans="1:9" ht="30" customHeight="1" x14ac:dyDescent="0.2">
      <c r="A48" s="418" t="s">
        <v>619</v>
      </c>
      <c r="B48" s="395"/>
      <c r="C48" s="395"/>
      <c r="D48" s="395"/>
      <c r="E48" s="395"/>
      <c r="F48" s="395"/>
      <c r="G48" s="395"/>
      <c r="H48" s="395"/>
      <c r="I48" s="395"/>
    </row>
    <row r="49" spans="1:9" ht="30" customHeight="1" x14ac:dyDescent="0.2">
      <c r="A49" s="418" t="s">
        <v>620</v>
      </c>
      <c r="B49" s="395"/>
      <c r="C49" s="395"/>
      <c r="D49" s="395"/>
      <c r="E49" s="395"/>
      <c r="F49" s="395"/>
      <c r="G49" s="395"/>
      <c r="H49" s="395"/>
      <c r="I49" s="395"/>
    </row>
    <row r="50" spans="1:9" ht="30" customHeight="1" x14ac:dyDescent="0.2">
      <c r="A50" s="418" t="s">
        <v>621</v>
      </c>
      <c r="B50" s="395"/>
      <c r="C50" s="395"/>
      <c r="D50" s="395"/>
      <c r="E50" s="395"/>
      <c r="F50" s="395"/>
      <c r="G50" s="395"/>
      <c r="H50" s="395"/>
      <c r="I50" s="395"/>
    </row>
    <row r="51" spans="1:9" ht="30" customHeight="1" x14ac:dyDescent="0.2">
      <c r="A51" s="418" t="s">
        <v>622</v>
      </c>
      <c r="B51" s="395"/>
      <c r="C51" s="395"/>
      <c r="D51" s="395"/>
      <c r="E51" s="395"/>
      <c r="F51" s="395"/>
      <c r="G51" s="395"/>
      <c r="H51" s="395"/>
      <c r="I51" s="395"/>
    </row>
  </sheetData>
  <mergeCells count="39">
    <mergeCell ref="A51:I51"/>
    <mergeCell ref="A49:I49"/>
    <mergeCell ref="E41:F41"/>
    <mergeCell ref="G41:H41"/>
    <mergeCell ref="A1:I1"/>
    <mergeCell ref="E37:F37"/>
    <mergeCell ref="B43:D43"/>
    <mergeCell ref="G40:H40"/>
    <mergeCell ref="B39:D39"/>
    <mergeCell ref="E35:F35"/>
    <mergeCell ref="A2:I2"/>
    <mergeCell ref="A33:I33"/>
    <mergeCell ref="B37:D37"/>
    <mergeCell ref="E38:F38"/>
    <mergeCell ref="G38:H38"/>
    <mergeCell ref="G37:H37"/>
    <mergeCell ref="A4:I4"/>
    <mergeCell ref="B36:D36"/>
    <mergeCell ref="A19:I19"/>
    <mergeCell ref="D5:I5"/>
    <mergeCell ref="B35:D35"/>
    <mergeCell ref="E36:F36"/>
    <mergeCell ref="G35:H35"/>
    <mergeCell ref="G36:H36"/>
    <mergeCell ref="A50:I50"/>
    <mergeCell ref="E39:F39"/>
    <mergeCell ref="B38:D38"/>
    <mergeCell ref="G39:H39"/>
    <mergeCell ref="A47:I47"/>
    <mergeCell ref="B40:D40"/>
    <mergeCell ref="E40:F40"/>
    <mergeCell ref="B41:D41"/>
    <mergeCell ref="A48:I48"/>
    <mergeCell ref="E43:F43"/>
    <mergeCell ref="B42:D42"/>
    <mergeCell ref="G43:H43"/>
    <mergeCell ref="A46:I46"/>
    <mergeCell ref="G42:H42"/>
    <mergeCell ref="E42:F42"/>
  </mergeCells>
  <conditionalFormatting sqref="C22:C30">
    <cfRule type="colorScale" priority="3">
      <colorScale>
        <cfvo type="min"/>
        <cfvo type="percentile" val="50"/>
        <cfvo type="max"/>
        <color rgb="FFF5E8E8"/>
        <color rgb="FFFFF2CC"/>
        <color rgb="FFB6D7A8"/>
      </colorScale>
    </cfRule>
  </conditionalFormatting>
  <conditionalFormatting sqref="D22:D30">
    <cfRule type="colorScale" priority="4">
      <colorScale>
        <cfvo type="min"/>
        <cfvo type="percentile" val="50"/>
        <cfvo type="max"/>
        <color rgb="FFF5E8E8"/>
        <color rgb="FFFFF2CC"/>
        <color rgb="FFB6D7A8"/>
      </colorScale>
    </cfRule>
  </conditionalFormatting>
  <conditionalFormatting sqref="E22:E30">
    <cfRule type="colorScale" priority="5">
      <colorScale>
        <cfvo type="min"/>
        <cfvo type="percentile" val="50"/>
        <cfvo type="max"/>
        <color rgb="FFF5E8E8"/>
        <color rgb="FFFFF2CC"/>
        <color rgb="FFB6D7A8"/>
      </colorScale>
    </cfRule>
  </conditionalFormatting>
  <conditionalFormatting sqref="F22:F30">
    <cfRule type="colorScale" priority="6">
      <colorScale>
        <cfvo type="min"/>
        <cfvo type="percentile" val="50"/>
        <cfvo type="max"/>
        <color rgb="FFF5E8E8"/>
        <color rgb="FFFFF2CC"/>
        <color rgb="FFB6D7A8"/>
      </colorScale>
    </cfRule>
  </conditionalFormatting>
  <conditionalFormatting sqref="G8:G16">
    <cfRule type="colorScale" priority="2">
      <colorScale>
        <cfvo type="min"/>
        <cfvo type="percentile" val="50"/>
        <cfvo type="max"/>
        <color rgb="FFF5E8E8"/>
        <color rgb="FFFFF2CC"/>
        <color rgb="FFB6D7A8"/>
      </colorScale>
    </cfRule>
  </conditionalFormatting>
  <conditionalFormatting sqref="G22:G30">
    <cfRule type="colorScale" priority="7">
      <colorScale>
        <cfvo type="min"/>
        <cfvo type="percentile" val="50"/>
        <cfvo type="max"/>
        <color rgb="FFF5E8E8"/>
        <color rgb="FFFFF2CC"/>
        <color rgb="FFB6D7A8"/>
      </colorScale>
    </cfRule>
  </conditionalFormatting>
  <conditionalFormatting sqref="H22:H30">
    <cfRule type="colorScale" priority="8">
      <colorScale>
        <cfvo type="min"/>
        <cfvo type="percentile" val="50"/>
        <cfvo type="max"/>
        <color rgb="FFF5E8E8"/>
        <color rgb="FFFFF2CC"/>
        <color rgb="FFB6D7A8"/>
      </colorScale>
    </cfRule>
  </conditionalFormatting>
  <conditionalFormatting sqref="I22:I30">
    <cfRule type="colorScale" priority="9">
      <colorScale>
        <cfvo type="min"/>
        <cfvo type="percentile" val="50"/>
        <cfvo type="max"/>
        <color rgb="FFF5E8E8"/>
        <color rgb="FFFFF2CC"/>
        <color rgb="FFB6D7A8"/>
      </colorScale>
    </cfRule>
  </conditionalFormatting>
  <hyperlinks>
    <hyperlink ref="A1" location="'Start Here'!A1" display="🏠 Start Here" xr:uid="{00000000-0004-0000-0D00-000000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1"/>
  <sheetViews>
    <sheetView showGridLines="0" zoomScaleNormal="100" workbookViewId="0">
      <pane ySplit="1" topLeftCell="A2" activePane="bottomLeft" state="frozen"/>
      <selection pane="bottomLeft" sqref="A1:G1"/>
    </sheetView>
  </sheetViews>
  <sheetFormatPr baseColWidth="10" defaultColWidth="8.6640625" defaultRowHeight="15" x14ac:dyDescent="0.2"/>
  <cols>
    <col min="1" max="1" width="14" customWidth="1"/>
    <col min="2" max="2" width="32" customWidth="1"/>
    <col min="3" max="6" width="16" customWidth="1"/>
    <col min="7" max="7" width="22" customWidth="1"/>
  </cols>
  <sheetData>
    <row r="1" spans="1:7" ht="24" customHeight="1" x14ac:dyDescent="0.2">
      <c r="A1" s="435" t="s">
        <v>118</v>
      </c>
      <c r="B1" s="395"/>
      <c r="C1" s="395"/>
      <c r="D1" s="395"/>
      <c r="E1" s="395"/>
      <c r="F1" s="395"/>
      <c r="G1" s="395"/>
    </row>
    <row r="2" spans="1:7" ht="18" customHeight="1" x14ac:dyDescent="0.2">
      <c r="A2" s="478" t="s">
        <v>623</v>
      </c>
      <c r="B2" s="395"/>
      <c r="C2" s="395"/>
      <c r="D2" s="395"/>
      <c r="E2" s="395"/>
      <c r="F2" s="395"/>
      <c r="G2" s="395"/>
    </row>
    <row r="3" spans="1:7" x14ac:dyDescent="0.2">
      <c r="A3" s="35"/>
      <c r="B3" s="35"/>
      <c r="C3" s="35"/>
      <c r="D3" s="35"/>
      <c r="E3" s="35"/>
      <c r="F3" s="35"/>
      <c r="G3" s="35"/>
    </row>
    <row r="4" spans="1:7" ht="21.75" customHeight="1" x14ac:dyDescent="0.2">
      <c r="A4" s="478" t="s">
        <v>624</v>
      </c>
      <c r="B4" s="395"/>
      <c r="C4" s="395"/>
      <c r="D4" s="395"/>
      <c r="E4" s="395"/>
      <c r="F4" s="395"/>
      <c r="G4" s="395"/>
    </row>
    <row r="5" spans="1:7" x14ac:dyDescent="0.2">
      <c r="A5" s="35"/>
      <c r="B5" s="290" t="s">
        <v>625</v>
      </c>
      <c r="C5" s="291">
        <v>20000</v>
      </c>
      <c r="D5" s="35"/>
      <c r="E5" s="35"/>
      <c r="F5" s="35"/>
      <c r="G5" s="35"/>
    </row>
    <row r="6" spans="1:7" x14ac:dyDescent="0.2">
      <c r="A6" s="35"/>
      <c r="B6" s="290" t="s">
        <v>626</v>
      </c>
      <c r="C6" s="292">
        <v>0.3</v>
      </c>
      <c r="D6" s="35"/>
      <c r="E6" s="35"/>
      <c r="F6" s="35"/>
      <c r="G6" s="35"/>
    </row>
    <row r="7" spans="1:7" x14ac:dyDescent="0.2">
      <c r="A7" s="35"/>
      <c r="B7" s="290" t="s">
        <v>627</v>
      </c>
      <c r="C7" s="291">
        <v>2</v>
      </c>
      <c r="D7" s="35"/>
      <c r="E7" s="35"/>
      <c r="F7" s="35"/>
      <c r="G7" s="35"/>
    </row>
    <row r="8" spans="1:7" ht="16" customHeight="1" x14ac:dyDescent="0.2">
      <c r="A8" s="35"/>
      <c r="B8" s="290" t="s">
        <v>628</v>
      </c>
      <c r="C8" s="293">
        <f>C5*C7</f>
        <v>40000</v>
      </c>
      <c r="D8" s="35"/>
      <c r="E8" s="35"/>
      <c r="F8" s="35"/>
      <c r="G8" s="35"/>
    </row>
    <row r="9" spans="1:7" ht="16" customHeight="1" x14ac:dyDescent="0.2">
      <c r="A9" s="35"/>
      <c r="B9" s="294" t="s">
        <v>629</v>
      </c>
      <c r="C9" s="295">
        <f>C8*C6</f>
        <v>12000</v>
      </c>
      <c r="D9" s="35"/>
      <c r="E9" s="35"/>
      <c r="F9" s="35"/>
      <c r="G9" s="35"/>
    </row>
    <row r="10" spans="1:7" x14ac:dyDescent="0.2">
      <c r="A10" s="35"/>
      <c r="B10" s="35"/>
      <c r="C10" s="35"/>
      <c r="D10" s="35"/>
      <c r="E10" s="35"/>
      <c r="F10" s="35"/>
      <c r="G10" s="35"/>
    </row>
    <row r="11" spans="1:7" ht="21.75" customHeight="1" x14ac:dyDescent="0.2">
      <c r="A11" s="478" t="s">
        <v>630</v>
      </c>
      <c r="B11" s="395"/>
      <c r="C11" s="395"/>
      <c r="D11" s="395"/>
      <c r="E11" s="395"/>
      <c r="F11" s="395"/>
      <c r="G11" s="395"/>
    </row>
    <row r="12" spans="1:7" x14ac:dyDescent="0.2">
      <c r="A12" s="35"/>
      <c r="B12" s="296" t="s">
        <v>631</v>
      </c>
      <c r="C12" s="291">
        <v>1.5</v>
      </c>
      <c r="D12" s="297">
        <v>2</v>
      </c>
      <c r="E12" s="297">
        <v>2.5</v>
      </c>
      <c r="F12" s="297">
        <v>3</v>
      </c>
      <c r="G12" s="297">
        <v>3.5</v>
      </c>
    </row>
    <row r="13" spans="1:7" ht="16" customHeight="1" x14ac:dyDescent="0.2">
      <c r="A13" s="35"/>
      <c r="B13" s="298">
        <v>0.2</v>
      </c>
      <c r="C13" s="293">
        <f>$C$5*1.5*0.2</f>
        <v>6000</v>
      </c>
      <c r="D13" s="299">
        <f>$C$5*2*0.2</f>
        <v>8000</v>
      </c>
      <c r="E13" s="299">
        <f>$C$5*2.5*0.2</f>
        <v>10000</v>
      </c>
      <c r="F13" s="299">
        <f>$C$5*3*0.2</f>
        <v>12000</v>
      </c>
      <c r="G13" s="299">
        <f>$C$5*3.5*0.2</f>
        <v>14000</v>
      </c>
    </row>
    <row r="14" spans="1:7" ht="16" customHeight="1" x14ac:dyDescent="0.2">
      <c r="A14" s="35"/>
      <c r="B14" s="298">
        <v>0.25</v>
      </c>
      <c r="C14" s="293">
        <f>$C$5*1.5*0.25</f>
        <v>7500</v>
      </c>
      <c r="D14" s="299">
        <f>$C$5*2*0.25</f>
        <v>10000</v>
      </c>
      <c r="E14" s="299">
        <f>$C$5*2.5*0.25</f>
        <v>12500</v>
      </c>
      <c r="F14" s="299">
        <f>$C$5*3*0.25</f>
        <v>15000</v>
      </c>
      <c r="G14" s="299">
        <f>$C$5*3.5*0.25</f>
        <v>17500</v>
      </c>
    </row>
    <row r="15" spans="1:7" ht="16" customHeight="1" x14ac:dyDescent="0.2">
      <c r="A15" s="35"/>
      <c r="B15" s="298">
        <v>0.3</v>
      </c>
      <c r="C15" s="293">
        <f>$C$5*1.5*0.3</f>
        <v>9000</v>
      </c>
      <c r="D15" s="299">
        <f>$C$5*2*0.3</f>
        <v>12000</v>
      </c>
      <c r="E15" s="299">
        <f>$C$5*2.5*0.3</f>
        <v>15000</v>
      </c>
      <c r="F15" s="299">
        <f>$C$5*3*0.3</f>
        <v>18000</v>
      </c>
      <c r="G15" s="299">
        <f>$C$5*3.5*0.3</f>
        <v>21000</v>
      </c>
    </row>
    <row r="16" spans="1:7" ht="16" customHeight="1" x14ac:dyDescent="0.2">
      <c r="A16" s="35"/>
      <c r="B16" s="298">
        <v>0.35</v>
      </c>
      <c r="C16" s="293">
        <f>$C$5*1.5*0.35</f>
        <v>10500</v>
      </c>
      <c r="D16" s="299">
        <f>$C$5*2*0.35</f>
        <v>14000</v>
      </c>
      <c r="E16" s="299">
        <f>$C$5*2.5*0.35</f>
        <v>17500</v>
      </c>
      <c r="F16" s="299">
        <f>$C$5*3*0.35</f>
        <v>21000</v>
      </c>
      <c r="G16" s="299">
        <f>$C$5*3.5*0.35</f>
        <v>24500</v>
      </c>
    </row>
    <row r="17" spans="1:7" ht="16" customHeight="1" x14ac:dyDescent="0.2">
      <c r="A17" s="35"/>
      <c r="B17" s="298">
        <v>0.4</v>
      </c>
      <c r="C17" s="293">
        <f>$C$5*1.5*0.4</f>
        <v>12000</v>
      </c>
      <c r="D17" s="299">
        <f>$C$5*2*0.4</f>
        <v>16000</v>
      </c>
      <c r="E17" s="299">
        <f>$C$5*2.5*0.4</f>
        <v>20000</v>
      </c>
      <c r="F17" s="299">
        <f>$C$5*3*0.4</f>
        <v>24000</v>
      </c>
      <c r="G17" s="299">
        <f>$C$5*3.5*0.4</f>
        <v>28000</v>
      </c>
    </row>
    <row r="18" spans="1:7" ht="16" customHeight="1" x14ac:dyDescent="0.2">
      <c r="A18" s="35"/>
      <c r="B18" s="298">
        <v>0.45</v>
      </c>
      <c r="C18" s="293">
        <f>$C$5*1.5*0.45</f>
        <v>13500</v>
      </c>
      <c r="D18" s="299">
        <f>$C$5*2*0.45</f>
        <v>18000</v>
      </c>
      <c r="E18" s="299">
        <f>$C$5*2.5*0.45</f>
        <v>22500</v>
      </c>
      <c r="F18" s="299">
        <f>$C$5*3*0.45</f>
        <v>27000</v>
      </c>
      <c r="G18" s="299">
        <f>$C$5*3.5*0.45</f>
        <v>31500</v>
      </c>
    </row>
    <row r="19" spans="1:7" x14ac:dyDescent="0.2">
      <c r="A19" s="35"/>
      <c r="B19" s="35"/>
      <c r="C19" s="35"/>
      <c r="D19" s="35"/>
      <c r="E19" s="35"/>
      <c r="F19" s="35"/>
      <c r="G19" s="35"/>
    </row>
    <row r="20" spans="1:7" x14ac:dyDescent="0.2">
      <c r="A20" s="35"/>
      <c r="B20" s="35"/>
      <c r="C20" s="35"/>
      <c r="D20" s="35"/>
      <c r="E20" s="35"/>
      <c r="F20" s="35"/>
      <c r="G20" s="35"/>
    </row>
    <row r="21" spans="1:7" ht="36" customHeight="1" x14ac:dyDescent="0.2">
      <c r="A21" s="35"/>
      <c r="B21" s="482" t="s">
        <v>632</v>
      </c>
      <c r="C21" s="395"/>
      <c r="D21" s="395"/>
      <c r="E21" s="395"/>
      <c r="F21" s="395"/>
      <c r="G21" s="395"/>
    </row>
  </sheetData>
  <mergeCells count="5">
    <mergeCell ref="A1:G1"/>
    <mergeCell ref="A4:G4"/>
    <mergeCell ref="A2:G2"/>
    <mergeCell ref="B21:G21"/>
    <mergeCell ref="A11:G11"/>
  </mergeCells>
  <conditionalFormatting sqref="C13:G18">
    <cfRule type="colorScale" priority="2">
      <colorScale>
        <cfvo type="min"/>
        <cfvo type="percentile" val="50"/>
        <cfvo type="max"/>
        <color rgb="FFF5E8E8"/>
        <color rgb="FFFFF2CC"/>
        <color rgb="FFB6D7A8"/>
      </colorScale>
    </cfRule>
  </conditionalFormatting>
  <hyperlinks>
    <hyperlink ref="A1" location="'Start Here'!A1" display="🏠 Start Here" xr:uid="{00000000-0004-0000-0E00-000000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9"/>
  <sheetViews>
    <sheetView showGridLines="0" zoomScaleNormal="100" workbookViewId="0">
      <pane ySplit="1" topLeftCell="A2" activePane="bottomLeft" state="frozen"/>
      <selection pane="bottomLeft" sqref="A1:F1"/>
    </sheetView>
  </sheetViews>
  <sheetFormatPr baseColWidth="10" defaultColWidth="8.6640625" defaultRowHeight="15" x14ac:dyDescent="0.2"/>
  <cols>
    <col min="1" max="1" width="14" customWidth="1"/>
    <col min="2" max="2" width="36" customWidth="1"/>
    <col min="3" max="3" width="16" customWidth="1"/>
    <col min="4" max="4" width="4" customWidth="1"/>
    <col min="5" max="5" width="36" customWidth="1"/>
    <col min="6" max="6" width="16" customWidth="1"/>
  </cols>
  <sheetData>
    <row r="1" spans="1:6" ht="24" customHeight="1" x14ac:dyDescent="0.2">
      <c r="A1" s="435" t="s">
        <v>118</v>
      </c>
      <c r="B1" s="395"/>
      <c r="C1" s="395"/>
      <c r="D1" s="395"/>
      <c r="E1" s="395"/>
      <c r="F1" s="395"/>
    </row>
    <row r="2" spans="1:6" ht="18" customHeight="1" x14ac:dyDescent="0.2">
      <c r="A2" s="478" t="s">
        <v>633</v>
      </c>
      <c r="B2" s="395"/>
      <c r="C2" s="395"/>
      <c r="D2" s="395"/>
      <c r="E2" s="395"/>
      <c r="F2" s="395"/>
    </row>
    <row r="3" spans="1:6" x14ac:dyDescent="0.2">
      <c r="A3" s="35"/>
      <c r="B3" s="35"/>
      <c r="C3" s="35"/>
      <c r="D3" s="35"/>
      <c r="E3" s="35"/>
      <c r="F3" s="35"/>
    </row>
    <row r="4" spans="1:6" ht="21.75" customHeight="1" x14ac:dyDescent="0.2">
      <c r="A4" s="478" t="s">
        <v>634</v>
      </c>
      <c r="B4" s="395"/>
      <c r="C4" s="395"/>
      <c r="D4" s="41"/>
      <c r="E4" s="478" t="s">
        <v>10</v>
      </c>
      <c r="F4" s="395"/>
    </row>
    <row r="5" spans="1:6" ht="16" customHeight="1" x14ac:dyDescent="0.2">
      <c r="A5" s="35"/>
      <c r="B5" s="254" t="s">
        <v>635</v>
      </c>
      <c r="C5" s="291">
        <v>10</v>
      </c>
      <c r="D5" s="35"/>
      <c r="E5" s="254" t="s">
        <v>636</v>
      </c>
      <c r="F5" s="256">
        <f>C5*C6</f>
        <v>150</v>
      </c>
    </row>
    <row r="6" spans="1:6" ht="16" customHeight="1" x14ac:dyDescent="0.2">
      <c r="A6" s="35"/>
      <c r="B6" s="254" t="s">
        <v>637</v>
      </c>
      <c r="C6" s="291">
        <v>15</v>
      </c>
      <c r="D6" s="35"/>
      <c r="E6" s="254" t="s">
        <v>638</v>
      </c>
      <c r="F6" s="256">
        <f>F5*C10</f>
        <v>645</v>
      </c>
    </row>
    <row r="7" spans="1:6" ht="16" customHeight="1" x14ac:dyDescent="0.2">
      <c r="A7" s="35"/>
      <c r="B7" s="254" t="s">
        <v>639</v>
      </c>
      <c r="C7" s="291">
        <v>15</v>
      </c>
      <c r="D7" s="35"/>
      <c r="E7" s="254" t="s">
        <v>640</v>
      </c>
      <c r="F7" s="300">
        <f>C5*C7</f>
        <v>150</v>
      </c>
    </row>
    <row r="8" spans="1:6" ht="16" customHeight="1" x14ac:dyDescent="0.2">
      <c r="A8" s="35"/>
      <c r="B8" s="254" t="s">
        <v>641</v>
      </c>
      <c r="C8" s="291">
        <v>4</v>
      </c>
      <c r="D8" s="35"/>
      <c r="E8" s="254" t="s">
        <v>642</v>
      </c>
      <c r="F8" s="300">
        <f>F7*C10</f>
        <v>645</v>
      </c>
    </row>
    <row r="9" spans="1:6" ht="16" customHeight="1" x14ac:dyDescent="0.2">
      <c r="A9" s="35"/>
      <c r="B9" s="254" t="s">
        <v>643</v>
      </c>
      <c r="C9" s="292">
        <v>0.6</v>
      </c>
      <c r="D9" s="35"/>
      <c r="E9" s="254" t="s">
        <v>644</v>
      </c>
      <c r="F9" s="300">
        <f>F8*C9</f>
        <v>387</v>
      </c>
    </row>
    <row r="10" spans="1:6" ht="16" customHeight="1" x14ac:dyDescent="0.2">
      <c r="A10" s="35"/>
      <c r="B10" s="254" t="s">
        <v>645</v>
      </c>
      <c r="C10" s="291">
        <v>4.3</v>
      </c>
      <c r="D10" s="35"/>
      <c r="E10" s="254" t="s">
        <v>646</v>
      </c>
      <c r="F10" s="256">
        <f>F9*C8</f>
        <v>1548</v>
      </c>
    </row>
    <row r="11" spans="1:6" ht="17" customHeight="1" x14ac:dyDescent="0.2">
      <c r="A11" s="35"/>
      <c r="B11" s="254" t="s">
        <v>647</v>
      </c>
      <c r="C11" s="292">
        <v>0.6</v>
      </c>
      <c r="D11" s="35"/>
      <c r="E11" s="301" t="s">
        <v>648</v>
      </c>
      <c r="F11" s="302">
        <f>F10-F6</f>
        <v>903</v>
      </c>
    </row>
    <row r="12" spans="1:6" ht="17" customHeight="1" x14ac:dyDescent="0.2">
      <c r="A12" s="35"/>
      <c r="B12" s="35"/>
      <c r="C12" s="35"/>
      <c r="D12" s="35"/>
      <c r="E12" s="301" t="s">
        <v>649</v>
      </c>
      <c r="F12" s="302">
        <f>(F10*C11)-F6</f>
        <v>283.79999999999995</v>
      </c>
    </row>
    <row r="13" spans="1:6" ht="17" customHeight="1" x14ac:dyDescent="0.2">
      <c r="A13" s="35"/>
      <c r="B13" s="35"/>
      <c r="C13" s="35"/>
      <c r="D13" s="35"/>
      <c r="E13" s="301" t="s">
        <v>650</v>
      </c>
      <c r="F13" s="303">
        <f>IFERROR(F10/F6,"")</f>
        <v>2.4</v>
      </c>
    </row>
    <row r="14" spans="1:6" x14ac:dyDescent="0.2">
      <c r="A14" s="35"/>
      <c r="B14" s="35"/>
      <c r="C14" s="35"/>
      <c r="D14" s="35"/>
      <c r="E14" s="35"/>
      <c r="F14" s="35"/>
    </row>
    <row r="15" spans="1:6" ht="16" customHeight="1" x14ac:dyDescent="0.2">
      <c r="A15" s="431" t="s">
        <v>541</v>
      </c>
      <c r="B15" s="395"/>
      <c r="C15" s="395"/>
      <c r="D15" s="395"/>
      <c r="E15" s="395"/>
      <c r="F15" s="395"/>
    </row>
    <row r="16" spans="1:6" ht="21.75" customHeight="1" x14ac:dyDescent="0.2">
      <c r="A16" s="473" t="s">
        <v>651</v>
      </c>
      <c r="B16" s="395"/>
      <c r="C16" s="395"/>
      <c r="D16" s="395"/>
      <c r="E16" s="395"/>
      <c r="F16" s="395"/>
    </row>
    <row r="17" spans="1:6" ht="21.75" customHeight="1" x14ac:dyDescent="0.2">
      <c r="A17" s="473" t="s">
        <v>652</v>
      </c>
      <c r="B17" s="395"/>
      <c r="C17" s="395"/>
      <c r="D17" s="395"/>
      <c r="E17" s="395"/>
      <c r="F17" s="395"/>
    </row>
    <row r="18" spans="1:6" ht="21.75" customHeight="1" x14ac:dyDescent="0.2">
      <c r="A18" s="473" t="s">
        <v>653</v>
      </c>
      <c r="B18" s="395"/>
      <c r="C18" s="395"/>
      <c r="D18" s="395"/>
      <c r="E18" s="395"/>
      <c r="F18" s="395"/>
    </row>
    <row r="19" spans="1:6" ht="21.75" customHeight="1" x14ac:dyDescent="0.2">
      <c r="A19" s="473" t="s">
        <v>654</v>
      </c>
      <c r="B19" s="395"/>
      <c r="C19" s="395"/>
      <c r="D19" s="395"/>
      <c r="E19" s="395"/>
      <c r="F19" s="395"/>
    </row>
  </sheetData>
  <mergeCells count="9">
    <mergeCell ref="A16:F16"/>
    <mergeCell ref="E4:F4"/>
    <mergeCell ref="A2:F2"/>
    <mergeCell ref="A19:F19"/>
    <mergeCell ref="A1:F1"/>
    <mergeCell ref="A17:F17"/>
    <mergeCell ref="A18:F18"/>
    <mergeCell ref="A4:C4"/>
    <mergeCell ref="A15:F15"/>
  </mergeCells>
  <hyperlinks>
    <hyperlink ref="A1" location="'Start Here'!A1" display="🏠 Start Here" xr:uid="{00000000-0004-0000-0F00-000000000000}"/>
  </hyperlink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4"/>
  <sheetViews>
    <sheetView showGridLines="0" zoomScaleNormal="100" workbookViewId="0">
      <pane ySplit="1" topLeftCell="A2" activePane="bottomLeft" state="frozen"/>
      <selection pane="bottomLeft" sqref="A1:M1"/>
    </sheetView>
  </sheetViews>
  <sheetFormatPr baseColWidth="10" defaultColWidth="8.6640625" defaultRowHeight="15" x14ac:dyDescent="0.2"/>
  <cols>
    <col min="1" max="1" width="14" customWidth="1"/>
    <col min="2" max="2" width="34" customWidth="1"/>
    <col min="3" max="12" width="11" customWidth="1"/>
  </cols>
  <sheetData>
    <row r="1" spans="1:13" ht="24" customHeight="1" x14ac:dyDescent="0.2">
      <c r="A1" s="435" t="s">
        <v>118</v>
      </c>
      <c r="B1" s="395"/>
      <c r="C1" s="395"/>
      <c r="D1" s="395"/>
      <c r="E1" s="395"/>
      <c r="F1" s="395"/>
      <c r="G1" s="395"/>
      <c r="H1" s="395"/>
      <c r="I1" s="395"/>
      <c r="J1" s="395"/>
      <c r="K1" s="395"/>
      <c r="L1" s="395"/>
      <c r="M1" s="395"/>
    </row>
    <row r="2" spans="1:13" ht="18" customHeight="1" x14ac:dyDescent="0.2">
      <c r="A2" s="426" t="s">
        <v>655</v>
      </c>
      <c r="B2" s="395"/>
      <c r="C2" s="395"/>
      <c r="D2" s="395"/>
      <c r="E2" s="395"/>
      <c r="F2" s="395"/>
      <c r="G2" s="395"/>
      <c r="H2" s="395"/>
      <c r="I2" s="395"/>
      <c r="J2" s="395"/>
      <c r="K2" s="395"/>
      <c r="L2" s="395"/>
      <c r="M2" s="395"/>
    </row>
    <row r="3" spans="1:13" x14ac:dyDescent="0.2">
      <c r="A3" s="35"/>
      <c r="B3" s="110"/>
      <c r="C3" s="304"/>
      <c r="D3" s="110"/>
      <c r="E3" s="304"/>
      <c r="F3" s="110"/>
      <c r="G3" s="304"/>
      <c r="H3" s="110"/>
      <c r="I3" s="304"/>
      <c r="J3" s="110"/>
      <c r="K3" s="304"/>
      <c r="L3" s="110"/>
      <c r="M3" s="304"/>
    </row>
    <row r="4" spans="1:13" ht="24" customHeight="1" x14ac:dyDescent="0.2">
      <c r="A4" s="41"/>
      <c r="B4" s="305" t="s">
        <v>656</v>
      </c>
      <c r="C4" s="46" t="s">
        <v>657</v>
      </c>
      <c r="D4" s="46" t="s">
        <v>658</v>
      </c>
      <c r="E4" s="46" t="s">
        <v>659</v>
      </c>
      <c r="F4" s="46" t="s">
        <v>660</v>
      </c>
      <c r="G4" s="46" t="s">
        <v>661</v>
      </c>
      <c r="H4" s="46" t="s">
        <v>662</v>
      </c>
      <c r="I4" s="46" t="s">
        <v>663</v>
      </c>
      <c r="J4" s="46" t="s">
        <v>664</v>
      </c>
      <c r="K4" s="46" t="s">
        <v>665</v>
      </c>
      <c r="L4" s="41"/>
      <c r="M4" s="41"/>
    </row>
    <row r="5" spans="1:13" x14ac:dyDescent="0.2">
      <c r="A5" s="35"/>
      <c r="B5" s="39" t="s">
        <v>666</v>
      </c>
      <c r="C5" s="306">
        <v>20000</v>
      </c>
      <c r="D5" s="306">
        <v>22000</v>
      </c>
      <c r="E5" s="306">
        <v>25000</v>
      </c>
      <c r="F5" s="306">
        <v>29000</v>
      </c>
      <c r="G5" s="306">
        <v>33000</v>
      </c>
      <c r="H5" s="306">
        <v>37000</v>
      </c>
      <c r="I5" s="306">
        <v>41000</v>
      </c>
      <c r="J5" s="306">
        <v>45000</v>
      </c>
      <c r="K5" s="306">
        <v>48000</v>
      </c>
      <c r="L5" s="110"/>
      <c r="M5" s="304"/>
    </row>
    <row r="6" spans="1:13" x14ac:dyDescent="0.2">
      <c r="A6" s="35"/>
      <c r="B6" s="39" t="s">
        <v>667</v>
      </c>
      <c r="C6" s="307">
        <v>2</v>
      </c>
      <c r="D6" s="77">
        <v>2.2000000000000002</v>
      </c>
      <c r="E6" s="307">
        <v>2.5</v>
      </c>
      <c r="F6" s="77">
        <v>2.8</v>
      </c>
      <c r="G6" s="307">
        <v>3</v>
      </c>
      <c r="H6" s="77">
        <v>3.2</v>
      </c>
      <c r="I6" s="307">
        <v>3.3</v>
      </c>
      <c r="J6" s="77">
        <v>3.4</v>
      </c>
      <c r="K6" s="307">
        <v>3.5</v>
      </c>
      <c r="L6" s="110"/>
      <c r="M6" s="304"/>
    </row>
    <row r="7" spans="1:13" x14ac:dyDescent="0.2">
      <c r="A7" s="35"/>
      <c r="B7" s="39" t="s">
        <v>626</v>
      </c>
      <c r="C7" s="308">
        <v>0.3</v>
      </c>
      <c r="D7" s="309">
        <v>0.31</v>
      </c>
      <c r="E7" s="308">
        <v>0.32</v>
      </c>
      <c r="F7" s="309">
        <v>0.34</v>
      </c>
      <c r="G7" s="308">
        <v>0.36</v>
      </c>
      <c r="H7" s="309">
        <v>0.38</v>
      </c>
      <c r="I7" s="308">
        <v>0.39</v>
      </c>
      <c r="J7" s="309">
        <v>0.4</v>
      </c>
      <c r="K7" s="308">
        <v>0.4</v>
      </c>
      <c r="L7" s="110"/>
      <c r="M7" s="304"/>
    </row>
    <row r="8" spans="1:13" ht="16" customHeight="1" x14ac:dyDescent="0.2">
      <c r="A8" s="310"/>
      <c r="B8" s="311" t="s">
        <v>668</v>
      </c>
      <c r="C8" s="312">
        <f t="shared" ref="C8:K8" si="0">C5*C6</f>
        <v>40000</v>
      </c>
      <c r="D8" s="312">
        <f t="shared" si="0"/>
        <v>48400.000000000007</v>
      </c>
      <c r="E8" s="312">
        <f t="shared" si="0"/>
        <v>62500</v>
      </c>
      <c r="F8" s="312">
        <f t="shared" si="0"/>
        <v>81200</v>
      </c>
      <c r="G8" s="312">
        <f t="shared" si="0"/>
        <v>99000</v>
      </c>
      <c r="H8" s="312">
        <f t="shared" si="0"/>
        <v>118400</v>
      </c>
      <c r="I8" s="312">
        <f t="shared" si="0"/>
        <v>135300</v>
      </c>
      <c r="J8" s="312">
        <f t="shared" si="0"/>
        <v>153000</v>
      </c>
      <c r="K8" s="312">
        <f t="shared" si="0"/>
        <v>168000</v>
      </c>
      <c r="L8" s="310"/>
      <c r="M8" s="310"/>
    </row>
    <row r="9" spans="1:13" ht="16" customHeight="1" x14ac:dyDescent="0.2">
      <c r="A9" s="35"/>
      <c r="B9" s="313" t="s">
        <v>669</v>
      </c>
      <c r="C9" s="314">
        <f t="shared" ref="C9:K9" si="1">C8*C7</f>
        <v>12000</v>
      </c>
      <c r="D9" s="314">
        <f t="shared" si="1"/>
        <v>15004.000000000002</v>
      </c>
      <c r="E9" s="314">
        <f t="shared" si="1"/>
        <v>20000</v>
      </c>
      <c r="F9" s="314">
        <f t="shared" si="1"/>
        <v>27608.000000000004</v>
      </c>
      <c r="G9" s="314">
        <f t="shared" si="1"/>
        <v>35640</v>
      </c>
      <c r="H9" s="314">
        <f t="shared" si="1"/>
        <v>44992</v>
      </c>
      <c r="I9" s="314">
        <f t="shared" si="1"/>
        <v>52767</v>
      </c>
      <c r="J9" s="314">
        <f t="shared" si="1"/>
        <v>61200</v>
      </c>
      <c r="K9" s="314">
        <f t="shared" si="1"/>
        <v>67200</v>
      </c>
      <c r="L9" s="315"/>
      <c r="M9" s="315"/>
    </row>
    <row r="10" spans="1:13" ht="16" customHeight="1" x14ac:dyDescent="0.2">
      <c r="A10" s="316"/>
      <c r="B10" s="317" t="s">
        <v>670</v>
      </c>
      <c r="C10" s="318">
        <f t="shared" ref="C10:K10" si="2">40000-C9</f>
        <v>28000</v>
      </c>
      <c r="D10" s="318">
        <f t="shared" si="2"/>
        <v>24996</v>
      </c>
      <c r="E10" s="318">
        <f t="shared" si="2"/>
        <v>20000</v>
      </c>
      <c r="F10" s="318">
        <f t="shared" si="2"/>
        <v>12391.999999999996</v>
      </c>
      <c r="G10" s="318">
        <f t="shared" si="2"/>
        <v>4360</v>
      </c>
      <c r="H10" s="318">
        <f t="shared" si="2"/>
        <v>-4992</v>
      </c>
      <c r="I10" s="318">
        <f t="shared" si="2"/>
        <v>-12767</v>
      </c>
      <c r="J10" s="318">
        <f t="shared" si="2"/>
        <v>-21200</v>
      </c>
      <c r="K10" s="318">
        <f t="shared" si="2"/>
        <v>-27200</v>
      </c>
      <c r="L10" s="316"/>
      <c r="M10" s="316"/>
    </row>
    <row r="11" spans="1:13" ht="16" customHeight="1" x14ac:dyDescent="0.2">
      <c r="A11" s="316"/>
      <c r="B11" s="317" t="s">
        <v>671</v>
      </c>
      <c r="C11" s="319">
        <f t="shared" ref="C11:K11" si="3">C9/40000</f>
        <v>0.3</v>
      </c>
      <c r="D11" s="319">
        <f t="shared" si="3"/>
        <v>0.37510000000000004</v>
      </c>
      <c r="E11" s="319">
        <f t="shared" si="3"/>
        <v>0.5</v>
      </c>
      <c r="F11" s="319">
        <f t="shared" si="3"/>
        <v>0.69020000000000004</v>
      </c>
      <c r="G11" s="319">
        <f t="shared" si="3"/>
        <v>0.89100000000000001</v>
      </c>
      <c r="H11" s="319">
        <f t="shared" si="3"/>
        <v>1.1248</v>
      </c>
      <c r="I11" s="319">
        <f t="shared" si="3"/>
        <v>1.319175</v>
      </c>
      <c r="J11" s="319">
        <f t="shared" si="3"/>
        <v>1.53</v>
      </c>
      <c r="K11" s="319">
        <f t="shared" si="3"/>
        <v>1.68</v>
      </c>
      <c r="L11" s="316"/>
      <c r="M11" s="316"/>
    </row>
    <row r="12" spans="1:13" x14ac:dyDescent="0.2">
      <c r="A12" s="35"/>
      <c r="B12" s="110"/>
      <c r="C12" s="304"/>
      <c r="D12" s="110"/>
      <c r="E12" s="304"/>
      <c r="F12" s="110"/>
      <c r="G12" s="304"/>
      <c r="H12" s="110"/>
      <c r="I12" s="304"/>
      <c r="J12" s="110"/>
      <c r="K12" s="304"/>
      <c r="L12" s="110"/>
      <c r="M12" s="304"/>
    </row>
    <row r="13" spans="1:13" ht="21.75" customHeight="1" x14ac:dyDescent="0.2">
      <c r="A13" s="424" t="s">
        <v>672</v>
      </c>
      <c r="B13" s="395"/>
      <c r="C13" s="395"/>
      <c r="D13" s="395"/>
      <c r="E13" s="395"/>
      <c r="F13" s="395"/>
      <c r="G13" s="395"/>
      <c r="H13" s="395"/>
      <c r="I13" s="395"/>
      <c r="J13" s="395"/>
      <c r="K13" s="395"/>
      <c r="L13" s="395"/>
      <c r="M13" s="395"/>
    </row>
    <row r="14" spans="1:13" x14ac:dyDescent="0.2">
      <c r="A14" s="35"/>
      <c r="B14" s="39" t="s">
        <v>673</v>
      </c>
      <c r="C14" s="320">
        <v>200</v>
      </c>
      <c r="D14" s="78">
        <v>275</v>
      </c>
      <c r="E14" s="320">
        <v>350</v>
      </c>
      <c r="F14" s="78">
        <v>450</v>
      </c>
      <c r="G14" s="320">
        <v>525</v>
      </c>
      <c r="H14" s="78">
        <v>600</v>
      </c>
      <c r="I14" s="320">
        <v>700</v>
      </c>
      <c r="J14" s="78">
        <v>775</v>
      </c>
      <c r="K14" s="320">
        <v>850</v>
      </c>
      <c r="L14" s="110"/>
      <c r="M14" s="304"/>
    </row>
    <row r="15" spans="1:13" x14ac:dyDescent="0.2">
      <c r="A15" s="35"/>
      <c r="B15" s="39" t="s">
        <v>674</v>
      </c>
      <c r="C15" s="320">
        <v>25</v>
      </c>
      <c r="D15" s="78">
        <v>35</v>
      </c>
      <c r="E15" s="320">
        <v>45</v>
      </c>
      <c r="F15" s="78">
        <v>55</v>
      </c>
      <c r="G15" s="320">
        <v>65</v>
      </c>
      <c r="H15" s="78">
        <v>75</v>
      </c>
      <c r="I15" s="320">
        <v>85</v>
      </c>
      <c r="J15" s="78">
        <v>95</v>
      </c>
      <c r="K15" s="320">
        <v>100</v>
      </c>
      <c r="L15" s="110"/>
      <c r="M15" s="304"/>
    </row>
    <row r="16" spans="1:13" x14ac:dyDescent="0.2">
      <c r="A16" s="35"/>
      <c r="B16" s="39" t="s">
        <v>675</v>
      </c>
      <c r="C16" s="320">
        <v>8</v>
      </c>
      <c r="D16" s="78">
        <v>10</v>
      </c>
      <c r="E16" s="320">
        <v>13</v>
      </c>
      <c r="F16" s="78">
        <v>16</v>
      </c>
      <c r="G16" s="320">
        <v>18</v>
      </c>
      <c r="H16" s="78">
        <v>20</v>
      </c>
      <c r="I16" s="320">
        <v>22</v>
      </c>
      <c r="J16" s="78">
        <v>24</v>
      </c>
      <c r="K16" s="320">
        <v>25</v>
      </c>
      <c r="L16" s="110"/>
      <c r="M16" s="304"/>
    </row>
    <row r="17" spans="1:13" x14ac:dyDescent="0.2">
      <c r="A17" s="310"/>
      <c r="B17" s="311" t="s">
        <v>676</v>
      </c>
      <c r="C17" s="321">
        <v>0.2</v>
      </c>
      <c r="D17" s="321">
        <v>0.26</v>
      </c>
      <c r="E17" s="321">
        <v>0.33</v>
      </c>
      <c r="F17" s="321">
        <v>0.4</v>
      </c>
      <c r="G17" s="321">
        <v>0.45</v>
      </c>
      <c r="H17" s="321">
        <v>0.5</v>
      </c>
      <c r="I17" s="321">
        <v>0.53</v>
      </c>
      <c r="J17" s="321">
        <v>0.56000000000000005</v>
      </c>
      <c r="K17" s="321">
        <v>0.57999999999999996</v>
      </c>
      <c r="L17" s="310"/>
      <c r="M17" s="310"/>
    </row>
    <row r="18" spans="1:13" x14ac:dyDescent="0.2">
      <c r="A18" s="35"/>
      <c r="B18" s="110"/>
      <c r="C18" s="304"/>
      <c r="D18" s="110"/>
      <c r="E18" s="304"/>
      <c r="F18" s="110"/>
      <c r="G18" s="304"/>
      <c r="H18" s="110"/>
      <c r="I18" s="304"/>
      <c r="J18" s="110"/>
      <c r="K18" s="304"/>
      <c r="L18" s="110"/>
      <c r="M18" s="304"/>
    </row>
    <row r="19" spans="1:13" ht="16" customHeight="1" x14ac:dyDescent="0.2">
      <c r="A19" s="35"/>
      <c r="B19" s="477" t="s">
        <v>677</v>
      </c>
      <c r="C19" s="395"/>
      <c r="D19" s="395"/>
      <c r="E19" s="395"/>
      <c r="F19" s="395"/>
      <c r="G19" s="395"/>
      <c r="H19" s="395"/>
      <c r="I19" s="395"/>
      <c r="J19" s="395"/>
      <c r="K19" s="395"/>
      <c r="L19" s="395"/>
      <c r="M19" s="395"/>
    </row>
    <row r="20" spans="1:13" ht="21.75" customHeight="1" x14ac:dyDescent="0.2">
      <c r="A20" s="35"/>
      <c r="B20" s="483" t="s">
        <v>678</v>
      </c>
      <c r="C20" s="395"/>
      <c r="D20" s="395"/>
      <c r="E20" s="395"/>
      <c r="F20" s="395"/>
      <c r="G20" s="395"/>
      <c r="H20" s="395"/>
      <c r="I20" s="395"/>
      <c r="J20" s="395"/>
      <c r="K20" s="395"/>
      <c r="L20" s="395"/>
      <c r="M20" s="395"/>
    </row>
    <row r="21" spans="1:13" ht="21.75" customHeight="1" x14ac:dyDescent="0.2">
      <c r="A21" s="35"/>
      <c r="B21" s="483" t="s">
        <v>679</v>
      </c>
      <c r="C21" s="395"/>
      <c r="D21" s="395"/>
      <c r="E21" s="395"/>
      <c r="F21" s="395"/>
      <c r="G21" s="395"/>
      <c r="H21" s="395"/>
      <c r="I21" s="395"/>
      <c r="J21" s="395"/>
      <c r="K21" s="395"/>
      <c r="L21" s="395"/>
      <c r="M21" s="395"/>
    </row>
    <row r="22" spans="1:13" ht="21.75" customHeight="1" x14ac:dyDescent="0.2">
      <c r="A22" s="316"/>
      <c r="B22" s="484" t="s">
        <v>680</v>
      </c>
      <c r="C22" s="395"/>
      <c r="D22" s="395"/>
      <c r="E22" s="395"/>
      <c r="F22" s="395"/>
      <c r="G22" s="395"/>
      <c r="H22" s="395"/>
      <c r="I22" s="395"/>
      <c r="J22" s="395"/>
      <c r="K22" s="395"/>
      <c r="L22" s="395"/>
      <c r="M22" s="395"/>
    </row>
    <row r="23" spans="1:13" ht="21.75" customHeight="1" x14ac:dyDescent="0.2">
      <c r="A23" s="35"/>
      <c r="B23" s="483" t="s">
        <v>681</v>
      </c>
      <c r="C23" s="395"/>
      <c r="D23" s="395"/>
      <c r="E23" s="395"/>
      <c r="F23" s="395"/>
      <c r="G23" s="395"/>
      <c r="H23" s="395"/>
      <c r="I23" s="395"/>
      <c r="J23" s="395"/>
      <c r="K23" s="395"/>
      <c r="L23" s="395"/>
      <c r="M23" s="395"/>
    </row>
    <row r="24" spans="1:13" ht="21.75" customHeight="1" x14ac:dyDescent="0.2">
      <c r="A24" s="35"/>
      <c r="B24" s="483" t="s">
        <v>682</v>
      </c>
      <c r="C24" s="395"/>
      <c r="D24" s="395"/>
      <c r="E24" s="395"/>
      <c r="F24" s="395"/>
      <c r="G24" s="395"/>
      <c r="H24" s="395"/>
      <c r="I24" s="395"/>
      <c r="J24" s="395"/>
      <c r="K24" s="395"/>
      <c r="L24" s="395"/>
      <c r="M24" s="395"/>
    </row>
  </sheetData>
  <mergeCells count="9">
    <mergeCell ref="B24:M24"/>
    <mergeCell ref="A13:M13"/>
    <mergeCell ref="A1:M1"/>
    <mergeCell ref="B19:M19"/>
    <mergeCell ref="B20:M20"/>
    <mergeCell ref="B23:M23"/>
    <mergeCell ref="B22:M22"/>
    <mergeCell ref="B21:M21"/>
    <mergeCell ref="A2:M2"/>
  </mergeCells>
  <conditionalFormatting sqref="C11:K11">
    <cfRule type="colorScale" priority="2">
      <colorScale>
        <cfvo type="num" val="0"/>
        <cfvo type="num" val="0.5"/>
        <cfvo type="num" val="1"/>
        <color rgb="FFF5E8E8"/>
        <color rgb="FFFFF2CC"/>
        <color rgb="FFB6D7A8"/>
      </colorScale>
    </cfRule>
  </conditionalFormatting>
  <hyperlinks>
    <hyperlink ref="A1" location="'Start Here'!A1" display="🏠 Start Here" xr:uid="{00000000-0004-0000-1000-000000000000}"/>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1"/>
  <sheetViews>
    <sheetView workbookViewId="0">
      <pane ySplit="4" topLeftCell="A5" activePane="bottomLeft" state="frozen"/>
      <selection sqref="A1:D1"/>
      <selection pane="bottomLeft" sqref="A1:L1"/>
    </sheetView>
  </sheetViews>
  <sheetFormatPr baseColWidth="10" defaultColWidth="8.83203125" defaultRowHeight="15" x14ac:dyDescent="0.2"/>
  <cols>
    <col min="1" max="1" width="42" customWidth="1"/>
    <col min="2" max="2" width="10" customWidth="1"/>
    <col min="3" max="3" width="11" customWidth="1"/>
    <col min="4" max="4" width="32" customWidth="1"/>
    <col min="5" max="5" width="18" customWidth="1"/>
    <col min="6" max="7" width="14" customWidth="1"/>
    <col min="8" max="8" width="22" customWidth="1"/>
    <col min="9" max="9" width="16" customWidth="1"/>
    <col min="10" max="10" width="38" customWidth="1"/>
  </cols>
  <sheetData>
    <row r="1" spans="1:12" ht="24" customHeight="1" x14ac:dyDescent="0.2">
      <c r="A1" s="435" t="s">
        <v>118</v>
      </c>
      <c r="B1" s="395"/>
      <c r="C1" s="395"/>
      <c r="D1" s="395"/>
      <c r="E1" s="395"/>
      <c r="F1" s="395"/>
      <c r="G1" s="395"/>
      <c r="H1" s="395"/>
      <c r="I1" s="395"/>
      <c r="J1" s="395"/>
      <c r="K1" s="395"/>
      <c r="L1" s="395"/>
    </row>
    <row r="2" spans="1:12" ht="16" customHeight="1" x14ac:dyDescent="0.2">
      <c r="A2" s="488" t="s">
        <v>683</v>
      </c>
      <c r="B2" s="395"/>
      <c r="C2" s="395"/>
      <c r="D2" s="395"/>
      <c r="E2" s="395"/>
      <c r="F2" s="395"/>
      <c r="G2" s="395"/>
      <c r="H2" s="395"/>
      <c r="I2" s="395"/>
      <c r="J2" s="395"/>
      <c r="K2" s="395"/>
      <c r="L2" s="395"/>
    </row>
    <row r="3" spans="1:12" ht="18" customHeight="1" x14ac:dyDescent="0.2">
      <c r="A3" s="492" t="s">
        <v>684</v>
      </c>
      <c r="B3" s="395"/>
      <c r="C3" s="506" t="s">
        <v>685</v>
      </c>
      <c r="D3" s="395"/>
      <c r="E3" s="508" t="s">
        <v>686</v>
      </c>
      <c r="F3" s="395"/>
      <c r="G3" s="493" t="s">
        <v>687</v>
      </c>
      <c r="H3" s="395"/>
      <c r="I3" s="494" t="s">
        <v>688</v>
      </c>
      <c r="J3" s="395"/>
      <c r="K3" s="509" t="s">
        <v>689</v>
      </c>
      <c r="L3" s="395"/>
    </row>
    <row r="4" spans="1:12" ht="24" customHeight="1" x14ac:dyDescent="0.2">
      <c r="A4" s="322" t="s">
        <v>461</v>
      </c>
      <c r="B4" s="322" t="s">
        <v>690</v>
      </c>
      <c r="C4" s="322" t="s">
        <v>508</v>
      </c>
      <c r="D4" s="322" t="s">
        <v>691</v>
      </c>
      <c r="E4" s="322" t="s">
        <v>492</v>
      </c>
      <c r="F4" s="322" t="s">
        <v>155</v>
      </c>
      <c r="G4" s="322" t="s">
        <v>692</v>
      </c>
      <c r="H4" s="322" t="s">
        <v>460</v>
      </c>
      <c r="I4" s="322" t="s">
        <v>693</v>
      </c>
      <c r="J4" s="322" t="s">
        <v>395</v>
      </c>
      <c r="K4" s="41"/>
      <c r="L4" s="41"/>
    </row>
    <row r="5" spans="1:12" ht="52" customHeight="1" x14ac:dyDescent="0.2">
      <c r="A5" s="323"/>
      <c r="B5" s="324"/>
      <c r="C5" s="325"/>
      <c r="D5" s="325"/>
      <c r="E5" s="326"/>
      <c r="F5" s="327"/>
      <c r="G5" s="328"/>
      <c r="H5" s="325"/>
      <c r="I5" s="329"/>
      <c r="J5" s="325"/>
      <c r="K5" s="35"/>
      <c r="L5" s="35"/>
    </row>
    <row r="6" spans="1:12" ht="52" customHeight="1" x14ac:dyDescent="0.2">
      <c r="A6" s="330"/>
      <c r="B6" s="331"/>
      <c r="C6" s="332"/>
      <c r="D6" s="332"/>
      <c r="E6" s="333"/>
      <c r="F6" s="334"/>
      <c r="G6" s="335"/>
      <c r="H6" s="332"/>
      <c r="I6" s="336"/>
      <c r="J6" s="332"/>
      <c r="K6" s="35"/>
      <c r="L6" s="35"/>
    </row>
    <row r="7" spans="1:12" ht="52" customHeight="1" x14ac:dyDescent="0.2">
      <c r="A7" s="330"/>
      <c r="B7" s="331"/>
      <c r="C7" s="332"/>
      <c r="D7" s="332"/>
      <c r="E7" s="333"/>
      <c r="F7" s="334"/>
      <c r="G7" s="335"/>
      <c r="H7" s="332"/>
      <c r="I7" s="336"/>
      <c r="J7" s="332"/>
      <c r="K7" s="35"/>
      <c r="L7" s="35"/>
    </row>
    <row r="8" spans="1:12" ht="52" customHeight="1" x14ac:dyDescent="0.2">
      <c r="A8" s="337"/>
      <c r="B8" s="338"/>
      <c r="C8" s="339"/>
      <c r="D8" s="339"/>
      <c r="E8" s="340"/>
      <c r="F8" s="341"/>
      <c r="G8" s="342"/>
      <c r="H8" s="339"/>
      <c r="I8" s="343"/>
      <c r="J8" s="339"/>
      <c r="K8" s="35"/>
      <c r="L8" s="35"/>
    </row>
    <row r="9" spans="1:12" ht="52" customHeight="1" x14ac:dyDescent="0.2">
      <c r="A9" s="323"/>
      <c r="B9" s="324"/>
      <c r="C9" s="325"/>
      <c r="D9" s="325"/>
      <c r="E9" s="344"/>
      <c r="F9" s="345"/>
      <c r="G9" s="328"/>
      <c r="H9" s="325"/>
      <c r="I9" s="346"/>
      <c r="J9" s="325"/>
      <c r="K9" s="35"/>
      <c r="L9" s="35"/>
    </row>
    <row r="10" spans="1:12" ht="52" customHeight="1" x14ac:dyDescent="0.2">
      <c r="A10" s="347"/>
      <c r="B10" s="348"/>
      <c r="C10" s="349"/>
      <c r="D10" s="349"/>
      <c r="E10" s="350"/>
      <c r="F10" s="351"/>
      <c r="G10" s="352"/>
      <c r="H10" s="349"/>
      <c r="I10" s="353"/>
      <c r="J10" s="349"/>
      <c r="K10" s="35"/>
      <c r="L10" s="35"/>
    </row>
    <row r="11" spans="1:12" ht="52" customHeight="1" x14ac:dyDescent="0.2">
      <c r="A11" s="354"/>
      <c r="B11" s="355"/>
      <c r="C11" s="356"/>
      <c r="D11" s="356"/>
      <c r="E11" s="357"/>
      <c r="F11" s="358"/>
      <c r="G11" s="359"/>
      <c r="H11" s="356"/>
      <c r="I11" s="360"/>
      <c r="J11" s="356"/>
      <c r="K11" s="35"/>
      <c r="L11" s="35"/>
    </row>
    <row r="12" spans="1:12" ht="52" customHeight="1" x14ac:dyDescent="0.2">
      <c r="A12" s="354"/>
      <c r="B12" s="355"/>
      <c r="C12" s="356"/>
      <c r="D12" s="356"/>
      <c r="E12" s="357"/>
      <c r="F12" s="358"/>
      <c r="G12" s="359"/>
      <c r="H12" s="356"/>
      <c r="I12" s="360"/>
      <c r="J12" s="356"/>
      <c r="K12" s="35"/>
      <c r="L12" s="35"/>
    </row>
    <row r="13" spans="1:12" ht="52" customHeight="1" x14ac:dyDescent="0.2">
      <c r="A13" s="347"/>
      <c r="B13" s="348"/>
      <c r="C13" s="349"/>
      <c r="D13" s="349"/>
      <c r="E13" s="350"/>
      <c r="F13" s="351"/>
      <c r="G13" s="352"/>
      <c r="H13" s="349"/>
      <c r="I13" s="353"/>
      <c r="J13" s="349"/>
      <c r="K13" s="35"/>
      <c r="L13" s="35"/>
    </row>
    <row r="14" spans="1:12" ht="52" customHeight="1" x14ac:dyDescent="0.2">
      <c r="A14" s="354"/>
      <c r="B14" s="355"/>
      <c r="C14" s="356"/>
      <c r="D14" s="356"/>
      <c r="E14" s="357"/>
      <c r="F14" s="358"/>
      <c r="G14" s="359"/>
      <c r="H14" s="356"/>
      <c r="I14" s="360"/>
      <c r="J14" s="356"/>
      <c r="K14" s="35"/>
      <c r="L14" s="35"/>
    </row>
    <row r="15" spans="1:12" x14ac:dyDescent="0.2">
      <c r="A15" s="110"/>
      <c r="B15" s="112"/>
      <c r="C15" s="110"/>
      <c r="D15" s="110"/>
      <c r="E15" s="110"/>
      <c r="F15" s="110"/>
      <c r="G15" s="112"/>
      <c r="H15" s="110"/>
      <c r="I15" s="110"/>
      <c r="J15" s="110"/>
      <c r="K15" s="35"/>
      <c r="L15" s="35"/>
    </row>
    <row r="16" spans="1:12" ht="20" customHeight="1" x14ac:dyDescent="0.2">
      <c r="A16" s="499"/>
      <c r="B16" s="395"/>
      <c r="C16" s="395"/>
      <c r="D16" s="395"/>
      <c r="E16" s="395"/>
      <c r="F16" s="395"/>
      <c r="G16" s="395"/>
      <c r="H16" s="395"/>
      <c r="I16" s="395"/>
      <c r="J16" s="395"/>
      <c r="K16" s="35"/>
      <c r="L16" s="35"/>
    </row>
    <row r="17" spans="1:12" ht="28" customHeight="1" x14ac:dyDescent="0.2">
      <c r="A17" s="500"/>
      <c r="B17" s="487"/>
      <c r="C17" s="501"/>
      <c r="D17" s="486"/>
      <c r="E17" s="486"/>
      <c r="F17" s="486"/>
      <c r="G17" s="487"/>
      <c r="H17" s="485"/>
      <c r="I17" s="486"/>
      <c r="J17" s="487"/>
      <c r="K17" s="35"/>
      <c r="L17" s="35"/>
    </row>
    <row r="18" spans="1:12" ht="28" customHeight="1" x14ac:dyDescent="0.2">
      <c r="A18" s="491"/>
      <c r="B18" s="487"/>
      <c r="C18" s="507"/>
      <c r="D18" s="486"/>
      <c r="E18" s="486"/>
      <c r="F18" s="486"/>
      <c r="G18" s="487"/>
      <c r="H18" s="497"/>
      <c r="I18" s="486"/>
      <c r="J18" s="487"/>
      <c r="K18" s="35"/>
      <c r="L18" s="35"/>
    </row>
    <row r="19" spans="1:12" ht="28" customHeight="1" x14ac:dyDescent="0.2">
      <c r="A19" s="504"/>
      <c r="B19" s="487"/>
      <c r="C19" s="505"/>
      <c r="D19" s="486"/>
      <c r="E19" s="486"/>
      <c r="F19" s="486"/>
      <c r="G19" s="487"/>
      <c r="H19" s="490"/>
      <c r="I19" s="486"/>
      <c r="J19" s="487"/>
      <c r="K19" s="35"/>
      <c r="L19" s="35"/>
    </row>
    <row r="20" spans="1:12" ht="28" customHeight="1" x14ac:dyDescent="0.2">
      <c r="A20" s="503"/>
      <c r="B20" s="487"/>
      <c r="C20" s="489"/>
      <c r="D20" s="486"/>
      <c r="E20" s="486"/>
      <c r="F20" s="486"/>
      <c r="G20" s="487"/>
      <c r="H20" s="502"/>
      <c r="I20" s="486"/>
      <c r="J20" s="487"/>
      <c r="K20" s="35"/>
      <c r="L20" s="35"/>
    </row>
    <row r="21" spans="1:12" ht="28" customHeight="1" x14ac:dyDescent="0.2">
      <c r="A21" s="495"/>
      <c r="B21" s="487"/>
      <c r="C21" s="496"/>
      <c r="D21" s="486"/>
      <c r="E21" s="486"/>
      <c r="F21" s="486"/>
      <c r="G21" s="487"/>
      <c r="H21" s="498"/>
      <c r="I21" s="486"/>
      <c r="J21" s="487"/>
      <c r="K21" s="35"/>
      <c r="L21" s="35"/>
    </row>
  </sheetData>
  <mergeCells count="24">
    <mergeCell ref="A1:L1"/>
    <mergeCell ref="C19:G19"/>
    <mergeCell ref="C3:D3"/>
    <mergeCell ref="C18:G18"/>
    <mergeCell ref="E3:F3"/>
    <mergeCell ref="K3:L3"/>
    <mergeCell ref="A21:B21"/>
    <mergeCell ref="C21:G21"/>
    <mergeCell ref="H18:J18"/>
    <mergeCell ref="H21:J21"/>
    <mergeCell ref="A16:J16"/>
    <mergeCell ref="A17:B17"/>
    <mergeCell ref="C17:G17"/>
    <mergeCell ref="H20:J20"/>
    <mergeCell ref="A20:B20"/>
    <mergeCell ref="A19:B19"/>
    <mergeCell ref="H17:J17"/>
    <mergeCell ref="A2:L2"/>
    <mergeCell ref="C20:G20"/>
    <mergeCell ref="H19:J19"/>
    <mergeCell ref="A18:B18"/>
    <mergeCell ref="A3:B3"/>
    <mergeCell ref="G3:H3"/>
    <mergeCell ref="I3:J3"/>
  </mergeCells>
  <conditionalFormatting sqref="C5:C21">
    <cfRule type="cellIs" dxfId="9" priority="1" operator="greaterThanOrEqual">
      <formula>90</formula>
    </cfRule>
    <cfRule type="cellIs" dxfId="8" priority="2" operator="between">
      <formula>60</formula>
      <formula>89</formula>
    </cfRule>
    <cfRule type="cellIs" dxfId="7" priority="3" operator="between">
      <formula>30</formula>
      <formula>59</formula>
    </cfRule>
    <cfRule type="cellIs" dxfId="6" priority="4" operator="lessThan">
      <formula>30</formula>
    </cfRule>
  </conditionalFormatting>
  <hyperlinks>
    <hyperlink ref="A1" location="'Start Here'!A1" display="🏠 Start Here"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1"/>
  <sheetViews>
    <sheetView showGridLines="0" workbookViewId="0">
      <selection sqref="A1:E1"/>
    </sheetView>
  </sheetViews>
  <sheetFormatPr baseColWidth="10" defaultColWidth="8.83203125" defaultRowHeight="15" x14ac:dyDescent="0.2"/>
  <cols>
    <col min="1" max="1" width="18" customWidth="1"/>
    <col min="2" max="2" width="26" customWidth="1"/>
    <col min="3" max="3" width="12" customWidth="1"/>
    <col min="4" max="4" width="18" customWidth="1"/>
    <col min="5" max="5" width="20" customWidth="1"/>
  </cols>
  <sheetData>
    <row r="1" spans="1:5" ht="36" customHeight="1" x14ac:dyDescent="0.2">
      <c r="A1" s="394" t="s">
        <v>694</v>
      </c>
      <c r="B1" s="395"/>
      <c r="C1" s="395"/>
      <c r="D1" s="395"/>
      <c r="E1" s="395"/>
    </row>
    <row r="2" spans="1:5" ht="6" customHeight="1" x14ac:dyDescent="0.2">
      <c r="A2" s="35"/>
      <c r="B2" s="35"/>
      <c r="C2" s="35"/>
      <c r="D2" s="35"/>
      <c r="E2" s="35"/>
    </row>
    <row r="3" spans="1:5" ht="22" customHeight="1" x14ac:dyDescent="0.2">
      <c r="A3" s="13" t="s">
        <v>695</v>
      </c>
      <c r="B3" s="13" t="s">
        <v>696</v>
      </c>
      <c r="C3" s="13" t="s">
        <v>697</v>
      </c>
      <c r="D3" s="13" t="s">
        <v>698</v>
      </c>
      <c r="E3" s="13" t="s">
        <v>395</v>
      </c>
    </row>
    <row r="4" spans="1:5" ht="20" customHeight="1" x14ac:dyDescent="0.2">
      <c r="A4" s="14" t="s">
        <v>4</v>
      </c>
      <c r="B4" s="15" t="s">
        <v>699</v>
      </c>
      <c r="C4" s="16">
        <v>32.99</v>
      </c>
      <c r="D4" s="16">
        <f t="shared" ref="D4:D10" si="0">C4*0.1325</f>
        <v>4.3711750000000009</v>
      </c>
      <c r="E4" s="17" t="s">
        <v>700</v>
      </c>
    </row>
    <row r="5" spans="1:5" ht="20" customHeight="1" x14ac:dyDescent="0.2">
      <c r="A5" s="18" t="s">
        <v>701</v>
      </c>
      <c r="B5" s="19" t="s">
        <v>702</v>
      </c>
      <c r="C5" s="20">
        <v>49.99</v>
      </c>
      <c r="D5" s="20">
        <f t="shared" si="0"/>
        <v>6.6236750000000004</v>
      </c>
      <c r="E5" s="21" t="s">
        <v>700</v>
      </c>
    </row>
    <row r="6" spans="1:5" ht="20" customHeight="1" x14ac:dyDescent="0.2">
      <c r="A6" s="14" t="s">
        <v>703</v>
      </c>
      <c r="B6" s="15" t="s">
        <v>704</v>
      </c>
      <c r="C6" s="16">
        <v>64.989999999999995</v>
      </c>
      <c r="D6" s="16">
        <f t="shared" si="0"/>
        <v>8.6111749999999994</v>
      </c>
      <c r="E6" s="17" t="s">
        <v>700</v>
      </c>
    </row>
    <row r="7" spans="1:5" ht="20" customHeight="1" x14ac:dyDescent="0.2">
      <c r="A7" s="18" t="s">
        <v>705</v>
      </c>
      <c r="B7" s="19" t="s">
        <v>706</v>
      </c>
      <c r="C7" s="20">
        <v>79.989999999999995</v>
      </c>
      <c r="D7" s="20">
        <f t="shared" si="0"/>
        <v>10.598675</v>
      </c>
      <c r="E7" s="21" t="s">
        <v>700</v>
      </c>
    </row>
    <row r="8" spans="1:5" ht="20" customHeight="1" x14ac:dyDescent="0.2">
      <c r="A8" s="14" t="s">
        <v>707</v>
      </c>
      <c r="B8" s="15" t="s">
        <v>708</v>
      </c>
      <c r="C8" s="16">
        <v>149</v>
      </c>
      <c r="D8" s="16">
        <f t="shared" si="0"/>
        <v>19.7425</v>
      </c>
      <c r="E8" s="17" t="s">
        <v>700</v>
      </c>
    </row>
    <row r="9" spans="1:5" ht="20" customHeight="1" x14ac:dyDescent="0.2">
      <c r="A9" s="18" t="s">
        <v>709</v>
      </c>
      <c r="B9" s="19" t="s">
        <v>710</v>
      </c>
      <c r="C9" s="20">
        <v>299</v>
      </c>
      <c r="D9" s="20">
        <f t="shared" si="0"/>
        <v>39.6175</v>
      </c>
      <c r="E9" s="21" t="s">
        <v>700</v>
      </c>
    </row>
    <row r="10" spans="1:5" ht="20" customHeight="1" x14ac:dyDescent="0.2">
      <c r="A10" s="14" t="s">
        <v>711</v>
      </c>
      <c r="B10" s="15" t="s">
        <v>712</v>
      </c>
      <c r="C10" s="16">
        <v>599</v>
      </c>
      <c r="D10" s="16">
        <f t="shared" si="0"/>
        <v>79.367500000000007</v>
      </c>
      <c r="E10" s="17" t="s">
        <v>700</v>
      </c>
    </row>
    <row r="11" spans="1:5" x14ac:dyDescent="0.2">
      <c r="A11" s="510" t="s">
        <v>713</v>
      </c>
      <c r="B11" s="395"/>
      <c r="C11" s="395"/>
      <c r="D11" s="395"/>
      <c r="E11" s="395"/>
    </row>
  </sheetData>
  <mergeCells count="2">
    <mergeCell ref="A11:E11"/>
    <mergeCell ref="A1:E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8"/>
  <sheetViews>
    <sheetView showGridLines="0" workbookViewId="0">
      <selection sqref="A1:D1"/>
    </sheetView>
  </sheetViews>
  <sheetFormatPr baseColWidth="10" defaultColWidth="8.83203125" defaultRowHeight="15" x14ac:dyDescent="0.2"/>
  <cols>
    <col min="1" max="1" width="28" customWidth="1"/>
    <col min="2" max="2" width="22" customWidth="1"/>
    <col min="3" max="3" width="30" customWidth="1"/>
    <col min="4" max="4" width="14" customWidth="1"/>
  </cols>
  <sheetData>
    <row r="1" spans="1:4" ht="36" customHeight="1" x14ac:dyDescent="0.2">
      <c r="A1" s="394" t="s">
        <v>0</v>
      </c>
      <c r="B1" s="395"/>
      <c r="C1" s="395"/>
      <c r="D1" s="395"/>
    </row>
    <row r="2" spans="1:4" ht="20" customHeight="1" x14ac:dyDescent="0.2">
      <c r="A2" s="397" t="s">
        <v>1</v>
      </c>
      <c r="B2" s="395"/>
      <c r="C2" s="395"/>
      <c r="D2" s="395"/>
    </row>
    <row r="3" spans="1:4" x14ac:dyDescent="0.2">
      <c r="A3" s="35"/>
      <c r="B3" s="35"/>
      <c r="C3" s="35"/>
      <c r="D3" s="35"/>
    </row>
    <row r="4" spans="1:4" ht="20" customHeight="1" x14ac:dyDescent="0.2">
      <c r="A4" s="22" t="s">
        <v>2</v>
      </c>
      <c r="B4" s="23">
        <v>50</v>
      </c>
      <c r="C4" s="35"/>
      <c r="D4" s="35"/>
    </row>
    <row r="5" spans="1:4" ht="20" customHeight="1" x14ac:dyDescent="0.2">
      <c r="A5" s="22" t="s">
        <v>3</v>
      </c>
      <c r="B5" s="24" t="s">
        <v>4</v>
      </c>
      <c r="C5" s="35"/>
      <c r="D5" s="35"/>
    </row>
    <row r="6" spans="1:4" ht="20" customHeight="1" x14ac:dyDescent="0.2">
      <c r="A6" s="22" t="s">
        <v>5</v>
      </c>
      <c r="B6" s="23">
        <v>32.99</v>
      </c>
      <c r="C6" s="25" t="s">
        <v>6</v>
      </c>
      <c r="D6" s="35"/>
    </row>
    <row r="7" spans="1:4" ht="20" customHeight="1" x14ac:dyDescent="0.2">
      <c r="A7" s="22" t="s">
        <v>7</v>
      </c>
      <c r="B7" s="26">
        <v>50</v>
      </c>
      <c r="C7" s="35"/>
      <c r="D7" s="35"/>
    </row>
    <row r="8" spans="1:4" ht="20" customHeight="1" x14ac:dyDescent="0.2">
      <c r="A8" s="22" t="s">
        <v>8</v>
      </c>
      <c r="B8" s="23">
        <v>0</v>
      </c>
      <c r="C8" s="35"/>
      <c r="D8" s="35"/>
    </row>
    <row r="9" spans="1:4" ht="20" customHeight="1" x14ac:dyDescent="0.2">
      <c r="A9" s="22" t="s">
        <v>9</v>
      </c>
      <c r="B9" s="24">
        <v>4</v>
      </c>
      <c r="C9" s="35"/>
      <c r="D9" s="35"/>
    </row>
    <row r="10" spans="1:4" ht="8" customHeight="1" x14ac:dyDescent="0.2">
      <c r="A10" s="35"/>
      <c r="B10" s="35"/>
      <c r="C10" s="35"/>
      <c r="D10" s="35"/>
    </row>
    <row r="11" spans="1:4" ht="20" customHeight="1" x14ac:dyDescent="0.2">
      <c r="A11" s="397" t="s">
        <v>10</v>
      </c>
      <c r="B11" s="395"/>
      <c r="C11" s="395"/>
      <c r="D11" s="395"/>
    </row>
    <row r="12" spans="1:4" ht="22" customHeight="1" x14ac:dyDescent="0.2">
      <c r="A12" s="22" t="s">
        <v>11</v>
      </c>
      <c r="B12" s="27">
        <f>B8*0.1325</f>
        <v>0</v>
      </c>
      <c r="C12" s="35"/>
      <c r="D12" s="35"/>
    </row>
    <row r="13" spans="1:4" ht="22" customHeight="1" x14ac:dyDescent="0.2">
      <c r="A13" s="22" t="s">
        <v>12</v>
      </c>
      <c r="B13" s="27">
        <f>(B4*B9+B6)/(1-0.1325)</f>
        <v>268.57636887608072</v>
      </c>
      <c r="C13" s="35"/>
      <c r="D13" s="35"/>
    </row>
    <row r="14" spans="1:4" ht="22" customHeight="1" x14ac:dyDescent="0.2">
      <c r="A14" s="22" t="s">
        <v>13</v>
      </c>
      <c r="B14" s="27">
        <f>B8*(1-0.1325)-B6-B4</f>
        <v>-82.990000000000009</v>
      </c>
      <c r="C14" s="35"/>
      <c r="D14" s="35"/>
    </row>
    <row r="15" spans="1:4" ht="22" customHeight="1" x14ac:dyDescent="0.2">
      <c r="A15" s="22" t="s">
        <v>14</v>
      </c>
      <c r="B15" s="28">
        <f>IF(B4&gt;0,(B14/B4)*100,0)</f>
        <v>-165.98000000000002</v>
      </c>
      <c r="C15" s="35"/>
      <c r="D15" s="35"/>
    </row>
    <row r="16" spans="1:4" ht="28" customHeight="1" x14ac:dyDescent="0.2">
      <c r="A16" s="22" t="s">
        <v>15</v>
      </c>
      <c r="B16" s="398" t="str">
        <f>IF(B7&lt;40,"❌ NO-GO — Gem rate below 40% floor",IF(B8&gt;=B13,"✅ GO — Clears target price","❌ NO-GO — Price below target"))</f>
        <v>❌ NO-GO — Price below target</v>
      </c>
      <c r="C16" s="395"/>
      <c r="D16" s="395"/>
    </row>
    <row r="17" spans="1:4" ht="8" customHeight="1" x14ac:dyDescent="0.2">
      <c r="A17" s="35"/>
      <c r="B17" s="35"/>
      <c r="C17" s="35"/>
      <c r="D17" s="35"/>
    </row>
    <row r="18" spans="1:4" x14ac:dyDescent="0.2">
      <c r="A18" s="396" t="s">
        <v>16</v>
      </c>
      <c r="B18" s="395"/>
      <c r="C18" s="395"/>
      <c r="D18" s="395"/>
    </row>
  </sheetData>
  <mergeCells count="5">
    <mergeCell ref="A1:D1"/>
    <mergeCell ref="A18:D18"/>
    <mergeCell ref="A2:D2"/>
    <mergeCell ref="A11:D11"/>
    <mergeCell ref="B16:D16"/>
  </mergeCells>
  <dataValidations count="1">
    <dataValidation type="list" sqref="B5" xr:uid="{00000000-0002-0000-1300-000000000000}">
      <formula1>"Value Bulk,Value Plus,Value Max,Regular,Express,Super Express,Walk-Through"</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58"/>
  <sheetViews>
    <sheetView showGridLines="0" workbookViewId="0">
      <pane ySplit="2" topLeftCell="A3" activePane="bottomLeft" state="frozen"/>
      <selection pane="bottomLeft" sqref="A1:U1"/>
    </sheetView>
  </sheetViews>
  <sheetFormatPr baseColWidth="10" defaultColWidth="8.83203125" defaultRowHeight="15" x14ac:dyDescent="0.2"/>
  <cols>
    <col min="1" max="1" width="14" customWidth="1"/>
    <col min="2" max="2" width="40" customWidth="1"/>
    <col min="3" max="3" width="8" customWidth="1"/>
    <col min="4" max="4" width="18" customWidth="1"/>
    <col min="5" max="5" width="16" customWidth="1"/>
    <col min="6" max="6" width="12" customWidth="1"/>
    <col min="7" max="7" width="14" customWidth="1"/>
    <col min="8" max="8" width="12" customWidth="1"/>
    <col min="9" max="10" width="14" customWidth="1"/>
    <col min="11" max="11" width="12" customWidth="1"/>
    <col min="12" max="12" width="24" customWidth="1"/>
    <col min="13" max="14" width="12" customWidth="1"/>
    <col min="15" max="16" width="14" customWidth="1"/>
    <col min="17" max="17" width="16" customWidth="1"/>
    <col min="18" max="20" width="14" customWidth="1"/>
    <col min="21" max="21" width="22" customWidth="1"/>
  </cols>
  <sheetData>
    <row r="1" spans="1:21" ht="24" customHeight="1" x14ac:dyDescent="0.2">
      <c r="A1" s="512" t="s">
        <v>714</v>
      </c>
      <c r="B1" s="395"/>
      <c r="C1" s="395"/>
      <c r="D1" s="395"/>
      <c r="E1" s="395"/>
      <c r="F1" s="395"/>
      <c r="G1" s="395"/>
      <c r="H1" s="395"/>
      <c r="I1" s="395"/>
      <c r="J1" s="395"/>
      <c r="K1" s="395"/>
      <c r="L1" s="395"/>
      <c r="M1" s="395"/>
      <c r="N1" s="395"/>
      <c r="O1" s="395"/>
      <c r="P1" s="395"/>
      <c r="Q1" s="395"/>
      <c r="R1" s="395"/>
      <c r="S1" s="395"/>
      <c r="T1" s="395"/>
      <c r="U1" s="395"/>
    </row>
    <row r="2" spans="1:21" ht="24" customHeight="1" x14ac:dyDescent="0.2">
      <c r="A2" s="361" t="s">
        <v>715</v>
      </c>
      <c r="B2" s="361" t="s">
        <v>461</v>
      </c>
      <c r="C2" s="361" t="s">
        <v>716</v>
      </c>
      <c r="D2" s="361" t="s">
        <v>717</v>
      </c>
      <c r="E2" s="361" t="s">
        <v>718</v>
      </c>
      <c r="F2" s="361" t="s">
        <v>719</v>
      </c>
      <c r="G2" s="361" t="s">
        <v>3</v>
      </c>
      <c r="H2" s="361" t="s">
        <v>5</v>
      </c>
      <c r="I2" s="361" t="s">
        <v>720</v>
      </c>
      <c r="J2" s="361" t="s">
        <v>721</v>
      </c>
      <c r="K2" s="361" t="s">
        <v>7</v>
      </c>
      <c r="L2" s="361" t="s">
        <v>722</v>
      </c>
      <c r="M2" s="361" t="s">
        <v>149</v>
      </c>
      <c r="N2" s="361" t="s">
        <v>723</v>
      </c>
      <c r="O2" s="361" t="s">
        <v>724</v>
      </c>
      <c r="P2" s="361" t="s">
        <v>155</v>
      </c>
      <c r="Q2" s="361" t="s">
        <v>725</v>
      </c>
      <c r="R2" s="361" t="s">
        <v>726</v>
      </c>
      <c r="S2" s="361" t="s">
        <v>727</v>
      </c>
      <c r="T2" s="361" t="s">
        <v>728</v>
      </c>
      <c r="U2" s="361" t="s">
        <v>395</v>
      </c>
    </row>
    <row r="3" spans="1:21" x14ac:dyDescent="0.2">
      <c r="A3" s="362">
        <v>46113</v>
      </c>
      <c r="B3" s="363" t="s">
        <v>470</v>
      </c>
      <c r="C3" s="364">
        <v>2024</v>
      </c>
      <c r="D3" s="364" t="s">
        <v>729</v>
      </c>
      <c r="E3" s="364" t="s">
        <v>730</v>
      </c>
      <c r="F3" s="365">
        <v>18</v>
      </c>
      <c r="G3" s="364" t="s">
        <v>4</v>
      </c>
      <c r="H3" s="365">
        <v>32.99</v>
      </c>
      <c r="I3" s="365">
        <v>120</v>
      </c>
      <c r="J3" s="365" t="e">
        <f>(F3+G3*H3)/(1-0.1325)</f>
        <v>#VALUE!</v>
      </c>
      <c r="K3" s="366">
        <v>55</v>
      </c>
      <c r="L3" s="367" t="e">
        <f>IF(E3&lt;40,"❌ NO-GO",IF(I3&gt;=J3,"✅ GO","❌ NO-GO"))</f>
        <v>#VALUE!</v>
      </c>
      <c r="M3" s="365">
        <f>I3*(1-0.1325)-H3-F3</f>
        <v>53.109999999999985</v>
      </c>
      <c r="N3" s="366">
        <f>IF(F3&gt;0,(M3/F3)*100,0)</f>
        <v>295.05555555555549</v>
      </c>
      <c r="O3" s="368"/>
      <c r="P3" s="369" t="s">
        <v>731</v>
      </c>
      <c r="Q3" s="110"/>
      <c r="R3" s="112"/>
      <c r="S3" s="112"/>
      <c r="T3" s="113"/>
      <c r="U3" s="110"/>
    </row>
    <row r="4" spans="1:21" x14ac:dyDescent="0.2">
      <c r="A4" s="370">
        <v>46117</v>
      </c>
      <c r="B4" s="371" t="s">
        <v>732</v>
      </c>
      <c r="C4" s="372">
        <v>2023</v>
      </c>
      <c r="D4" s="372" t="s">
        <v>733</v>
      </c>
      <c r="E4" s="372" t="s">
        <v>734</v>
      </c>
      <c r="F4" s="373">
        <v>22</v>
      </c>
      <c r="G4" s="372" t="s">
        <v>4</v>
      </c>
      <c r="H4" s="373">
        <v>32.99</v>
      </c>
      <c r="I4" s="373">
        <v>95</v>
      </c>
      <c r="J4" s="373" t="e">
        <f>(F4+G4*H4)/(1-0.1325)</f>
        <v>#VALUE!</v>
      </c>
      <c r="K4" s="374">
        <v>48</v>
      </c>
      <c r="L4" s="367" t="e">
        <f>IF(E4&lt;40,"❌ NO-GO",IF(I4&gt;=J4,"✅ GO","❌ NO-GO"))</f>
        <v>#VALUE!</v>
      </c>
      <c r="M4" s="373">
        <f>I4*(1-0.1325)-H4-F4</f>
        <v>27.422499999999992</v>
      </c>
      <c r="N4" s="374">
        <f>IF(F4&gt;0,(M4/F4)*100,0)</f>
        <v>124.64772727272724</v>
      </c>
      <c r="O4" s="370"/>
      <c r="P4" s="369" t="s">
        <v>731</v>
      </c>
      <c r="Q4" s="94"/>
      <c r="R4" s="96"/>
      <c r="S4" s="96"/>
      <c r="T4" s="97"/>
      <c r="U4" s="94"/>
    </row>
    <row r="5" spans="1:21" x14ac:dyDescent="0.2">
      <c r="A5" s="368">
        <v>46122</v>
      </c>
      <c r="B5" s="363" t="s">
        <v>475</v>
      </c>
      <c r="C5" s="364">
        <v>2021</v>
      </c>
      <c r="D5" s="364" t="s">
        <v>729</v>
      </c>
      <c r="E5" s="364" t="s">
        <v>735</v>
      </c>
      <c r="F5" s="365">
        <v>25</v>
      </c>
      <c r="G5" s="364" t="s">
        <v>701</v>
      </c>
      <c r="H5" s="365">
        <v>49.99</v>
      </c>
      <c r="I5" s="365">
        <v>200</v>
      </c>
      <c r="J5" s="365" t="e">
        <f>(F5+G5*H5)/(1-0.1325)</f>
        <v>#VALUE!</v>
      </c>
      <c r="K5" s="366">
        <v>62</v>
      </c>
      <c r="L5" s="367" t="e">
        <f>IF(E5&lt;40,"❌ NO-GO",IF(I5&gt;=J5,"✅ GO","❌ NO-GO"))</f>
        <v>#VALUE!</v>
      </c>
      <c r="M5" s="365">
        <f>I5*(1-0.1325)-H5-F5</f>
        <v>98.509999999999991</v>
      </c>
      <c r="N5" s="366">
        <f>IF(F5&gt;0,(M5/F5)*100,0)</f>
        <v>394.03999999999996</v>
      </c>
      <c r="O5" s="368"/>
      <c r="P5" s="369" t="s">
        <v>731</v>
      </c>
      <c r="Q5" s="110"/>
      <c r="R5" s="112"/>
      <c r="S5" s="112"/>
      <c r="T5" s="113"/>
      <c r="U5" s="110"/>
    </row>
    <row r="6" spans="1:21" x14ac:dyDescent="0.2">
      <c r="A6" s="94"/>
      <c r="B6" s="95"/>
      <c r="C6" s="94"/>
      <c r="D6" s="94"/>
      <c r="E6" s="94"/>
      <c r="F6" s="96"/>
      <c r="G6" s="94"/>
      <c r="H6" s="96"/>
      <c r="I6" s="96"/>
      <c r="J6" s="96"/>
      <c r="K6" s="97"/>
      <c r="L6" s="94"/>
      <c r="M6" s="96"/>
      <c r="N6" s="97"/>
      <c r="O6" s="94"/>
      <c r="P6" s="94"/>
      <c r="Q6" s="94"/>
      <c r="R6" s="96"/>
      <c r="S6" s="96"/>
      <c r="T6" s="97"/>
      <c r="U6" s="94"/>
    </row>
    <row r="7" spans="1:21" x14ac:dyDescent="0.2">
      <c r="A7" s="110"/>
      <c r="B7" s="111"/>
      <c r="C7" s="110"/>
      <c r="D7" s="110"/>
      <c r="E7" s="110"/>
      <c r="F7" s="112"/>
      <c r="G7" s="110"/>
      <c r="H7" s="112"/>
      <c r="I7" s="112"/>
      <c r="J7" s="112"/>
      <c r="K7" s="113"/>
      <c r="L7" s="110"/>
      <c r="M7" s="112"/>
      <c r="N7" s="113"/>
      <c r="O7" s="110"/>
      <c r="P7" s="110"/>
      <c r="Q7" s="110"/>
      <c r="R7" s="112"/>
      <c r="S7" s="112"/>
      <c r="T7" s="113"/>
      <c r="U7" s="110"/>
    </row>
    <row r="8" spans="1:21" x14ac:dyDescent="0.2">
      <c r="A8" s="94"/>
      <c r="B8" s="95"/>
      <c r="C8" s="94"/>
      <c r="D8" s="94"/>
      <c r="E8" s="94"/>
      <c r="F8" s="96"/>
      <c r="G8" s="94"/>
      <c r="H8" s="96"/>
      <c r="I8" s="96"/>
      <c r="J8" s="96"/>
      <c r="K8" s="97"/>
      <c r="L8" s="94"/>
      <c r="M8" s="96"/>
      <c r="N8" s="97"/>
      <c r="O8" s="94"/>
      <c r="P8" s="94"/>
      <c r="Q8" s="94"/>
      <c r="R8" s="96"/>
      <c r="S8" s="96"/>
      <c r="T8" s="97"/>
      <c r="U8" s="94"/>
    </row>
    <row r="9" spans="1:21" x14ac:dyDescent="0.2">
      <c r="A9" s="110"/>
      <c r="B9" s="111"/>
      <c r="C9" s="110"/>
      <c r="D9" s="110"/>
      <c r="E9" s="110"/>
      <c r="F9" s="112"/>
      <c r="G9" s="110"/>
      <c r="H9" s="112"/>
      <c r="I9" s="112"/>
      <c r="J9" s="112"/>
      <c r="K9" s="113"/>
      <c r="L9" s="110"/>
      <c r="M9" s="112"/>
      <c r="N9" s="113"/>
      <c r="O9" s="110"/>
      <c r="P9" s="110"/>
      <c r="Q9" s="110"/>
      <c r="R9" s="112"/>
      <c r="S9" s="112"/>
      <c r="T9" s="113"/>
      <c r="U9" s="110"/>
    </row>
    <row r="10" spans="1:21" x14ac:dyDescent="0.2">
      <c r="A10" s="94"/>
      <c r="B10" s="95"/>
      <c r="C10" s="94"/>
      <c r="D10" s="94"/>
      <c r="E10" s="94"/>
      <c r="F10" s="96"/>
      <c r="G10" s="94"/>
      <c r="H10" s="96"/>
      <c r="I10" s="96"/>
      <c r="J10" s="96"/>
      <c r="K10" s="97"/>
      <c r="L10" s="94"/>
      <c r="M10" s="96"/>
      <c r="N10" s="97"/>
      <c r="O10" s="94"/>
      <c r="P10" s="94"/>
      <c r="Q10" s="94"/>
      <c r="R10" s="96"/>
      <c r="S10" s="96"/>
      <c r="T10" s="97"/>
      <c r="U10" s="94"/>
    </row>
    <row r="11" spans="1:21" x14ac:dyDescent="0.2">
      <c r="A11" s="110"/>
      <c r="B11" s="111"/>
      <c r="C11" s="110"/>
      <c r="D11" s="110"/>
      <c r="E11" s="110"/>
      <c r="F11" s="112"/>
      <c r="G11" s="110"/>
      <c r="H11" s="112"/>
      <c r="I11" s="112"/>
      <c r="J11" s="112"/>
      <c r="K11" s="113"/>
      <c r="L11" s="110"/>
      <c r="M11" s="112"/>
      <c r="N11" s="113"/>
      <c r="O11" s="110"/>
      <c r="P11" s="110"/>
      <c r="Q11" s="110"/>
      <c r="R11" s="112"/>
      <c r="S11" s="112"/>
      <c r="T11" s="113"/>
      <c r="U11" s="110"/>
    </row>
    <row r="12" spans="1:21" x14ac:dyDescent="0.2">
      <c r="A12" s="94"/>
      <c r="B12" s="95"/>
      <c r="C12" s="94"/>
      <c r="D12" s="94"/>
      <c r="E12" s="94"/>
      <c r="F12" s="96"/>
      <c r="G12" s="94"/>
      <c r="H12" s="96"/>
      <c r="I12" s="96"/>
      <c r="J12" s="96"/>
      <c r="K12" s="97"/>
      <c r="L12" s="94"/>
      <c r="M12" s="96"/>
      <c r="N12" s="97"/>
      <c r="O12" s="94"/>
      <c r="P12" s="94"/>
      <c r="Q12" s="94"/>
      <c r="R12" s="96"/>
      <c r="S12" s="96"/>
      <c r="T12" s="97"/>
      <c r="U12" s="94"/>
    </row>
    <row r="13" spans="1:21" x14ac:dyDescent="0.2">
      <c r="A13" s="110"/>
      <c r="B13" s="111"/>
      <c r="C13" s="110"/>
      <c r="D13" s="110"/>
      <c r="E13" s="110"/>
      <c r="F13" s="112"/>
      <c r="G13" s="110"/>
      <c r="H13" s="112"/>
      <c r="I13" s="112"/>
      <c r="J13" s="112"/>
      <c r="K13" s="113"/>
      <c r="L13" s="110"/>
      <c r="M13" s="112"/>
      <c r="N13" s="113"/>
      <c r="O13" s="110"/>
      <c r="P13" s="110"/>
      <c r="Q13" s="110"/>
      <c r="R13" s="112"/>
      <c r="S13" s="112"/>
      <c r="T13" s="113"/>
      <c r="U13" s="110"/>
    </row>
    <row r="14" spans="1:21" x14ac:dyDescent="0.2">
      <c r="A14" s="94"/>
      <c r="B14" s="95"/>
      <c r="C14" s="94"/>
      <c r="D14" s="94"/>
      <c r="E14" s="94"/>
      <c r="F14" s="96"/>
      <c r="G14" s="94"/>
      <c r="H14" s="96"/>
      <c r="I14" s="96"/>
      <c r="J14" s="96"/>
      <c r="K14" s="97"/>
      <c r="L14" s="94"/>
      <c r="M14" s="96"/>
      <c r="N14" s="97"/>
      <c r="O14" s="94"/>
      <c r="P14" s="94"/>
      <c r="Q14" s="94"/>
      <c r="R14" s="96"/>
      <c r="S14" s="96"/>
      <c r="T14" s="97"/>
      <c r="U14" s="94"/>
    </row>
    <row r="15" spans="1:21" x14ac:dyDescent="0.2">
      <c r="A15" s="110"/>
      <c r="B15" s="111"/>
      <c r="C15" s="110"/>
      <c r="D15" s="110"/>
      <c r="E15" s="110"/>
      <c r="F15" s="112"/>
      <c r="G15" s="110"/>
      <c r="H15" s="112"/>
      <c r="I15" s="112"/>
      <c r="J15" s="112"/>
      <c r="K15" s="113"/>
      <c r="L15" s="110"/>
      <c r="M15" s="112"/>
      <c r="N15" s="113"/>
      <c r="O15" s="110"/>
      <c r="P15" s="110"/>
      <c r="Q15" s="110"/>
      <c r="R15" s="112"/>
      <c r="S15" s="112"/>
      <c r="T15" s="113"/>
      <c r="U15" s="110"/>
    </row>
    <row r="16" spans="1:21" x14ac:dyDescent="0.2">
      <c r="A16" s="94"/>
      <c r="B16" s="95"/>
      <c r="C16" s="94"/>
      <c r="D16" s="94"/>
      <c r="E16" s="94"/>
      <c r="F16" s="96"/>
      <c r="G16" s="94"/>
      <c r="H16" s="96"/>
      <c r="I16" s="96"/>
      <c r="J16" s="96"/>
      <c r="K16" s="97"/>
      <c r="L16" s="94"/>
      <c r="M16" s="96"/>
      <c r="N16" s="97"/>
      <c r="O16" s="94"/>
      <c r="P16" s="94"/>
      <c r="Q16" s="94"/>
      <c r="R16" s="96"/>
      <c r="S16" s="96"/>
      <c r="T16" s="97"/>
      <c r="U16" s="94"/>
    </row>
    <row r="17" spans="1:21" x14ac:dyDescent="0.2">
      <c r="A17" s="110"/>
      <c r="B17" s="111"/>
      <c r="C17" s="110"/>
      <c r="D17" s="110"/>
      <c r="E17" s="110"/>
      <c r="F17" s="112"/>
      <c r="G17" s="110"/>
      <c r="H17" s="112"/>
      <c r="I17" s="112"/>
      <c r="J17" s="112"/>
      <c r="K17" s="113"/>
      <c r="L17" s="110"/>
      <c r="M17" s="112"/>
      <c r="N17" s="113"/>
      <c r="O17" s="110"/>
      <c r="P17" s="110"/>
      <c r="Q17" s="110"/>
      <c r="R17" s="112"/>
      <c r="S17" s="112"/>
      <c r="T17" s="113"/>
      <c r="U17" s="110"/>
    </row>
    <row r="18" spans="1:21" x14ac:dyDescent="0.2">
      <c r="A18" s="94"/>
      <c r="B18" s="95"/>
      <c r="C18" s="94"/>
      <c r="D18" s="94"/>
      <c r="E18" s="94"/>
      <c r="F18" s="96"/>
      <c r="G18" s="94"/>
      <c r="H18" s="96"/>
      <c r="I18" s="96"/>
      <c r="J18" s="96"/>
      <c r="K18" s="97"/>
      <c r="L18" s="94"/>
      <c r="M18" s="96"/>
      <c r="N18" s="97"/>
      <c r="O18" s="94"/>
      <c r="P18" s="94"/>
      <c r="Q18" s="94"/>
      <c r="R18" s="96"/>
      <c r="S18" s="96"/>
      <c r="T18" s="97"/>
      <c r="U18" s="94"/>
    </row>
    <row r="19" spans="1:21" x14ac:dyDescent="0.2">
      <c r="A19" s="110"/>
      <c r="B19" s="111"/>
      <c r="C19" s="110"/>
      <c r="D19" s="110"/>
      <c r="E19" s="110"/>
      <c r="F19" s="112"/>
      <c r="G19" s="110"/>
      <c r="H19" s="112"/>
      <c r="I19" s="112"/>
      <c r="J19" s="112"/>
      <c r="K19" s="113"/>
      <c r="L19" s="110"/>
      <c r="M19" s="112"/>
      <c r="N19" s="113"/>
      <c r="O19" s="110"/>
      <c r="P19" s="110"/>
      <c r="Q19" s="110"/>
      <c r="R19" s="112"/>
      <c r="S19" s="112"/>
      <c r="T19" s="113"/>
      <c r="U19" s="110"/>
    </row>
    <row r="20" spans="1:21" x14ac:dyDescent="0.2">
      <c r="A20" s="94"/>
      <c r="B20" s="95"/>
      <c r="C20" s="94"/>
      <c r="D20" s="94"/>
      <c r="E20" s="94"/>
      <c r="F20" s="96"/>
      <c r="G20" s="94"/>
      <c r="H20" s="96"/>
      <c r="I20" s="96"/>
      <c r="J20" s="96"/>
      <c r="K20" s="97"/>
      <c r="L20" s="94"/>
      <c r="M20" s="96"/>
      <c r="N20" s="97"/>
      <c r="O20" s="94"/>
      <c r="P20" s="94"/>
      <c r="Q20" s="94"/>
      <c r="R20" s="96"/>
      <c r="S20" s="96"/>
      <c r="T20" s="97"/>
      <c r="U20" s="94"/>
    </row>
    <row r="21" spans="1:21" x14ac:dyDescent="0.2">
      <c r="A21" s="110"/>
      <c r="B21" s="111"/>
      <c r="C21" s="110"/>
      <c r="D21" s="110"/>
      <c r="E21" s="110"/>
      <c r="F21" s="112"/>
      <c r="G21" s="110"/>
      <c r="H21" s="112"/>
      <c r="I21" s="112"/>
      <c r="J21" s="112"/>
      <c r="K21" s="113"/>
      <c r="L21" s="110"/>
      <c r="M21" s="112"/>
      <c r="N21" s="113"/>
      <c r="O21" s="110"/>
      <c r="P21" s="110"/>
      <c r="Q21" s="110"/>
      <c r="R21" s="112"/>
      <c r="S21" s="112"/>
      <c r="T21" s="113"/>
      <c r="U21" s="110"/>
    </row>
    <row r="22" spans="1:21" x14ac:dyDescent="0.2">
      <c r="A22" s="94"/>
      <c r="B22" s="95"/>
      <c r="C22" s="94"/>
      <c r="D22" s="94"/>
      <c r="E22" s="94"/>
      <c r="F22" s="96"/>
      <c r="G22" s="94"/>
      <c r="H22" s="96"/>
      <c r="I22" s="96"/>
      <c r="J22" s="96"/>
      <c r="K22" s="97"/>
      <c r="L22" s="94"/>
      <c r="M22" s="96"/>
      <c r="N22" s="97"/>
      <c r="O22" s="94"/>
      <c r="P22" s="94"/>
      <c r="Q22" s="94"/>
      <c r="R22" s="96"/>
      <c r="S22" s="96"/>
      <c r="T22" s="97"/>
      <c r="U22" s="94"/>
    </row>
    <row r="23" spans="1:21" x14ac:dyDescent="0.2">
      <c r="A23" s="110"/>
      <c r="B23" s="111"/>
      <c r="C23" s="110"/>
      <c r="D23" s="110"/>
      <c r="E23" s="110"/>
      <c r="F23" s="112"/>
      <c r="G23" s="110"/>
      <c r="H23" s="112"/>
      <c r="I23" s="112"/>
      <c r="J23" s="112"/>
      <c r="K23" s="113"/>
      <c r="L23" s="110"/>
      <c r="M23" s="112"/>
      <c r="N23" s="113"/>
      <c r="O23" s="110"/>
      <c r="P23" s="110"/>
      <c r="Q23" s="110"/>
      <c r="R23" s="112"/>
      <c r="S23" s="112"/>
      <c r="T23" s="113"/>
      <c r="U23" s="110"/>
    </row>
    <row r="24" spans="1:21" x14ac:dyDescent="0.2">
      <c r="A24" s="94"/>
      <c r="B24" s="95"/>
      <c r="C24" s="94"/>
      <c r="D24" s="94"/>
      <c r="E24" s="94"/>
      <c r="F24" s="96"/>
      <c r="G24" s="94"/>
      <c r="H24" s="96"/>
      <c r="I24" s="96"/>
      <c r="J24" s="96"/>
      <c r="K24" s="97"/>
      <c r="L24" s="94"/>
      <c r="M24" s="96"/>
      <c r="N24" s="97"/>
      <c r="O24" s="94"/>
      <c r="P24" s="94"/>
      <c r="Q24" s="94"/>
      <c r="R24" s="96"/>
      <c r="S24" s="96"/>
      <c r="T24" s="97"/>
      <c r="U24" s="94"/>
    </row>
    <row r="25" spans="1:21" x14ac:dyDescent="0.2">
      <c r="A25" s="110"/>
      <c r="B25" s="111"/>
      <c r="C25" s="110"/>
      <c r="D25" s="110"/>
      <c r="E25" s="110"/>
      <c r="F25" s="112"/>
      <c r="G25" s="110"/>
      <c r="H25" s="112"/>
      <c r="I25" s="112"/>
      <c r="J25" s="112"/>
      <c r="K25" s="113"/>
      <c r="L25" s="110"/>
      <c r="M25" s="112"/>
      <c r="N25" s="113"/>
      <c r="O25" s="110"/>
      <c r="P25" s="110"/>
      <c r="Q25" s="110"/>
      <c r="R25" s="112"/>
      <c r="S25" s="112"/>
      <c r="T25" s="113"/>
      <c r="U25" s="110"/>
    </row>
    <row r="26" spans="1:21" x14ac:dyDescent="0.2">
      <c r="A26" s="94"/>
      <c r="B26" s="95"/>
      <c r="C26" s="94"/>
      <c r="D26" s="94"/>
      <c r="E26" s="94"/>
      <c r="F26" s="96"/>
      <c r="G26" s="94"/>
      <c r="H26" s="96"/>
      <c r="I26" s="96"/>
      <c r="J26" s="96"/>
      <c r="K26" s="97"/>
      <c r="L26" s="94"/>
      <c r="M26" s="96"/>
      <c r="N26" s="97"/>
      <c r="O26" s="94"/>
      <c r="P26" s="94"/>
      <c r="Q26" s="94"/>
      <c r="R26" s="96"/>
      <c r="S26" s="96"/>
      <c r="T26" s="97"/>
      <c r="U26" s="94"/>
    </row>
    <row r="27" spans="1:21" x14ac:dyDescent="0.2">
      <c r="A27" s="110"/>
      <c r="B27" s="111"/>
      <c r="C27" s="110"/>
      <c r="D27" s="110"/>
      <c r="E27" s="110"/>
      <c r="F27" s="112"/>
      <c r="G27" s="110"/>
      <c r="H27" s="112"/>
      <c r="I27" s="112"/>
      <c r="J27" s="112"/>
      <c r="K27" s="113"/>
      <c r="L27" s="110"/>
      <c r="M27" s="112"/>
      <c r="N27" s="113"/>
      <c r="O27" s="110"/>
      <c r="P27" s="110"/>
      <c r="Q27" s="110"/>
      <c r="R27" s="112"/>
      <c r="S27" s="112"/>
      <c r="T27" s="113"/>
      <c r="U27" s="110"/>
    </row>
    <row r="28" spans="1:21" x14ac:dyDescent="0.2">
      <c r="A28" s="94"/>
      <c r="B28" s="95"/>
      <c r="C28" s="94"/>
      <c r="D28" s="94"/>
      <c r="E28" s="94"/>
      <c r="F28" s="96"/>
      <c r="G28" s="94"/>
      <c r="H28" s="96"/>
      <c r="I28" s="96"/>
      <c r="J28" s="96"/>
      <c r="K28" s="97"/>
      <c r="L28" s="94"/>
      <c r="M28" s="96"/>
      <c r="N28" s="97"/>
      <c r="O28" s="94"/>
      <c r="P28" s="94"/>
      <c r="Q28" s="94"/>
      <c r="R28" s="96"/>
      <c r="S28" s="96"/>
      <c r="T28" s="97"/>
      <c r="U28" s="94"/>
    </row>
    <row r="29" spans="1:21" x14ac:dyDescent="0.2">
      <c r="A29" s="110"/>
      <c r="B29" s="111"/>
      <c r="C29" s="110"/>
      <c r="D29" s="110"/>
      <c r="E29" s="110"/>
      <c r="F29" s="112"/>
      <c r="G29" s="110"/>
      <c r="H29" s="112"/>
      <c r="I29" s="112"/>
      <c r="J29" s="112"/>
      <c r="K29" s="113"/>
      <c r="L29" s="110"/>
      <c r="M29" s="112"/>
      <c r="N29" s="113"/>
      <c r="O29" s="110"/>
      <c r="P29" s="110"/>
      <c r="Q29" s="110"/>
      <c r="R29" s="112"/>
      <c r="S29" s="112"/>
      <c r="T29" s="113"/>
      <c r="U29" s="110"/>
    </row>
    <row r="30" spans="1:21" x14ac:dyDescent="0.2">
      <c r="A30" s="94"/>
      <c r="B30" s="95"/>
      <c r="C30" s="94"/>
      <c r="D30" s="94"/>
      <c r="E30" s="94"/>
      <c r="F30" s="96"/>
      <c r="G30" s="94"/>
      <c r="H30" s="96"/>
      <c r="I30" s="96"/>
      <c r="J30" s="96"/>
      <c r="K30" s="97"/>
      <c r="L30" s="94"/>
      <c r="M30" s="96"/>
      <c r="N30" s="97"/>
      <c r="O30" s="94"/>
      <c r="P30" s="94"/>
      <c r="Q30" s="94"/>
      <c r="R30" s="96"/>
      <c r="S30" s="96"/>
      <c r="T30" s="97"/>
      <c r="U30" s="94"/>
    </row>
    <row r="31" spans="1:21" x14ac:dyDescent="0.2">
      <c r="A31" s="110"/>
      <c r="B31" s="111"/>
      <c r="C31" s="110"/>
      <c r="D31" s="110"/>
      <c r="E31" s="110"/>
      <c r="F31" s="112"/>
      <c r="G31" s="110"/>
      <c r="H31" s="112"/>
      <c r="I31" s="112"/>
      <c r="J31" s="112"/>
      <c r="K31" s="113"/>
      <c r="L31" s="110"/>
      <c r="M31" s="112"/>
      <c r="N31" s="113"/>
      <c r="O31" s="110"/>
      <c r="P31" s="110"/>
      <c r="Q31" s="110"/>
      <c r="R31" s="112"/>
      <c r="S31" s="112"/>
      <c r="T31" s="113"/>
      <c r="U31" s="110"/>
    </row>
    <row r="32" spans="1:21" x14ac:dyDescent="0.2">
      <c r="A32" s="94"/>
      <c r="B32" s="95"/>
      <c r="C32" s="94"/>
      <c r="D32" s="94"/>
      <c r="E32" s="94"/>
      <c r="F32" s="96"/>
      <c r="G32" s="94"/>
      <c r="H32" s="96"/>
      <c r="I32" s="96"/>
      <c r="J32" s="96"/>
      <c r="K32" s="97"/>
      <c r="L32" s="94"/>
      <c r="M32" s="96"/>
      <c r="N32" s="97"/>
      <c r="O32" s="94"/>
      <c r="P32" s="94"/>
      <c r="Q32" s="94"/>
      <c r="R32" s="96"/>
      <c r="S32" s="96"/>
      <c r="T32" s="97"/>
      <c r="U32" s="94"/>
    </row>
    <row r="33" spans="1:21" x14ac:dyDescent="0.2">
      <c r="A33" s="110"/>
      <c r="B33" s="111"/>
      <c r="C33" s="110"/>
      <c r="D33" s="110"/>
      <c r="E33" s="110"/>
      <c r="F33" s="112"/>
      <c r="G33" s="110"/>
      <c r="H33" s="112"/>
      <c r="I33" s="112"/>
      <c r="J33" s="112"/>
      <c r="K33" s="113"/>
      <c r="L33" s="110"/>
      <c r="M33" s="112"/>
      <c r="N33" s="113"/>
      <c r="O33" s="110"/>
      <c r="P33" s="110"/>
      <c r="Q33" s="110"/>
      <c r="R33" s="112"/>
      <c r="S33" s="112"/>
      <c r="T33" s="113"/>
      <c r="U33" s="110"/>
    </row>
    <row r="34" spans="1:21" x14ac:dyDescent="0.2">
      <c r="A34" s="94"/>
      <c r="B34" s="95"/>
      <c r="C34" s="94"/>
      <c r="D34" s="94"/>
      <c r="E34" s="94"/>
      <c r="F34" s="96"/>
      <c r="G34" s="94"/>
      <c r="H34" s="96"/>
      <c r="I34" s="96"/>
      <c r="J34" s="96"/>
      <c r="K34" s="97"/>
      <c r="L34" s="94"/>
      <c r="M34" s="96"/>
      <c r="N34" s="97"/>
      <c r="O34" s="94"/>
      <c r="P34" s="94"/>
      <c r="Q34" s="94"/>
      <c r="R34" s="96"/>
      <c r="S34" s="96"/>
      <c r="T34" s="97"/>
      <c r="U34" s="94"/>
    </row>
    <row r="35" spans="1:21" x14ac:dyDescent="0.2">
      <c r="A35" s="110"/>
      <c r="B35" s="111"/>
      <c r="C35" s="110"/>
      <c r="D35" s="110"/>
      <c r="E35" s="110"/>
      <c r="F35" s="112"/>
      <c r="G35" s="110"/>
      <c r="H35" s="112"/>
      <c r="I35" s="112"/>
      <c r="J35" s="112"/>
      <c r="K35" s="113"/>
      <c r="L35" s="110"/>
      <c r="M35" s="112"/>
      <c r="N35" s="113"/>
      <c r="O35" s="110"/>
      <c r="P35" s="110"/>
      <c r="Q35" s="110"/>
      <c r="R35" s="112"/>
      <c r="S35" s="112"/>
      <c r="T35" s="113"/>
      <c r="U35" s="110"/>
    </row>
    <row r="36" spans="1:21" x14ac:dyDescent="0.2">
      <c r="A36" s="94"/>
      <c r="B36" s="95"/>
      <c r="C36" s="94"/>
      <c r="D36" s="94"/>
      <c r="E36" s="94"/>
      <c r="F36" s="96"/>
      <c r="G36" s="94"/>
      <c r="H36" s="96"/>
      <c r="I36" s="96"/>
      <c r="J36" s="96"/>
      <c r="K36" s="97"/>
      <c r="L36" s="94"/>
      <c r="M36" s="96"/>
      <c r="N36" s="97"/>
      <c r="O36" s="94"/>
      <c r="P36" s="94"/>
      <c r="Q36" s="94"/>
      <c r="R36" s="96"/>
      <c r="S36" s="96"/>
      <c r="T36" s="97"/>
      <c r="U36" s="94"/>
    </row>
    <row r="37" spans="1:21" x14ac:dyDescent="0.2">
      <c r="A37" s="110"/>
      <c r="B37" s="111"/>
      <c r="C37" s="110"/>
      <c r="D37" s="110"/>
      <c r="E37" s="110"/>
      <c r="F37" s="112"/>
      <c r="G37" s="110"/>
      <c r="H37" s="112"/>
      <c r="I37" s="112"/>
      <c r="J37" s="112"/>
      <c r="K37" s="113"/>
      <c r="L37" s="110"/>
      <c r="M37" s="112"/>
      <c r="N37" s="113"/>
      <c r="O37" s="110"/>
      <c r="P37" s="110"/>
      <c r="Q37" s="110"/>
      <c r="R37" s="112"/>
      <c r="S37" s="112"/>
      <c r="T37" s="113"/>
      <c r="U37" s="110"/>
    </row>
    <row r="38" spans="1:21" x14ac:dyDescent="0.2">
      <c r="A38" s="94"/>
      <c r="B38" s="95"/>
      <c r="C38" s="94"/>
      <c r="D38" s="94"/>
      <c r="E38" s="94"/>
      <c r="F38" s="96"/>
      <c r="G38" s="94"/>
      <c r="H38" s="96"/>
      <c r="I38" s="96"/>
      <c r="J38" s="96"/>
      <c r="K38" s="97"/>
      <c r="L38" s="94"/>
      <c r="M38" s="96"/>
      <c r="N38" s="97"/>
      <c r="O38" s="94"/>
      <c r="P38" s="94"/>
      <c r="Q38" s="94"/>
      <c r="R38" s="96"/>
      <c r="S38" s="96"/>
      <c r="T38" s="97"/>
      <c r="U38" s="94"/>
    </row>
    <row r="39" spans="1:21" x14ac:dyDescent="0.2">
      <c r="A39" s="110"/>
      <c r="B39" s="111"/>
      <c r="C39" s="110"/>
      <c r="D39" s="110"/>
      <c r="E39" s="110"/>
      <c r="F39" s="112"/>
      <c r="G39" s="110"/>
      <c r="H39" s="112"/>
      <c r="I39" s="112"/>
      <c r="J39" s="112"/>
      <c r="K39" s="113"/>
      <c r="L39" s="110"/>
      <c r="M39" s="112"/>
      <c r="N39" s="113"/>
      <c r="O39" s="110"/>
      <c r="P39" s="110"/>
      <c r="Q39" s="110"/>
      <c r="R39" s="112"/>
      <c r="S39" s="112"/>
      <c r="T39" s="113"/>
      <c r="U39" s="110"/>
    </row>
    <row r="40" spans="1:21" x14ac:dyDescent="0.2">
      <c r="A40" s="94"/>
      <c r="B40" s="95"/>
      <c r="C40" s="94"/>
      <c r="D40" s="94"/>
      <c r="E40" s="94"/>
      <c r="F40" s="96"/>
      <c r="G40" s="94"/>
      <c r="H40" s="96"/>
      <c r="I40" s="96"/>
      <c r="J40" s="96"/>
      <c r="K40" s="97"/>
      <c r="L40" s="94"/>
      <c r="M40" s="96"/>
      <c r="N40" s="97"/>
      <c r="O40" s="94"/>
      <c r="P40" s="94"/>
      <c r="Q40" s="94"/>
      <c r="R40" s="96"/>
      <c r="S40" s="96"/>
      <c r="T40" s="97"/>
      <c r="U40" s="94"/>
    </row>
    <row r="41" spans="1:21" x14ac:dyDescent="0.2">
      <c r="A41" s="110"/>
      <c r="B41" s="111"/>
      <c r="C41" s="110"/>
      <c r="D41" s="110"/>
      <c r="E41" s="110"/>
      <c r="F41" s="112"/>
      <c r="G41" s="110"/>
      <c r="H41" s="112"/>
      <c r="I41" s="112"/>
      <c r="J41" s="112"/>
      <c r="K41" s="113"/>
      <c r="L41" s="110"/>
      <c r="M41" s="112"/>
      <c r="N41" s="113"/>
      <c r="O41" s="110"/>
      <c r="P41" s="110"/>
      <c r="Q41" s="110"/>
      <c r="R41" s="112"/>
      <c r="S41" s="112"/>
      <c r="T41" s="113"/>
      <c r="U41" s="110"/>
    </row>
    <row r="42" spans="1:21" x14ac:dyDescent="0.2">
      <c r="A42" s="94"/>
      <c r="B42" s="95"/>
      <c r="C42" s="94"/>
      <c r="D42" s="94"/>
      <c r="E42" s="94"/>
      <c r="F42" s="96"/>
      <c r="G42" s="94"/>
      <c r="H42" s="96"/>
      <c r="I42" s="96"/>
      <c r="J42" s="96"/>
      <c r="K42" s="97"/>
      <c r="L42" s="94"/>
      <c r="M42" s="96"/>
      <c r="N42" s="97"/>
      <c r="O42" s="94"/>
      <c r="P42" s="94"/>
      <c r="Q42" s="94"/>
      <c r="R42" s="96"/>
      <c r="S42" s="96"/>
      <c r="T42" s="97"/>
      <c r="U42" s="94"/>
    </row>
    <row r="43" spans="1:21" x14ac:dyDescent="0.2">
      <c r="A43" s="110"/>
      <c r="B43" s="111"/>
      <c r="C43" s="110"/>
      <c r="D43" s="110"/>
      <c r="E43" s="110"/>
      <c r="F43" s="112"/>
      <c r="G43" s="110"/>
      <c r="H43" s="112"/>
      <c r="I43" s="112"/>
      <c r="J43" s="112"/>
      <c r="K43" s="113"/>
      <c r="L43" s="110"/>
      <c r="M43" s="112"/>
      <c r="N43" s="113"/>
      <c r="O43" s="110"/>
      <c r="P43" s="110"/>
      <c r="Q43" s="110"/>
      <c r="R43" s="112"/>
      <c r="S43" s="112"/>
      <c r="T43" s="113"/>
      <c r="U43" s="110"/>
    </row>
    <row r="44" spans="1:21" x14ac:dyDescent="0.2">
      <c r="A44" s="94"/>
      <c r="B44" s="95"/>
      <c r="C44" s="94"/>
      <c r="D44" s="94"/>
      <c r="E44" s="94"/>
      <c r="F44" s="96"/>
      <c r="G44" s="94"/>
      <c r="H44" s="96"/>
      <c r="I44" s="96"/>
      <c r="J44" s="96"/>
      <c r="K44" s="97"/>
      <c r="L44" s="94"/>
      <c r="M44" s="96"/>
      <c r="N44" s="97"/>
      <c r="O44" s="94"/>
      <c r="P44" s="94"/>
      <c r="Q44" s="94"/>
      <c r="R44" s="96"/>
      <c r="S44" s="96"/>
      <c r="T44" s="97"/>
      <c r="U44" s="94"/>
    </row>
    <row r="45" spans="1:21" x14ac:dyDescent="0.2">
      <c r="A45" s="110"/>
      <c r="B45" s="111"/>
      <c r="C45" s="110"/>
      <c r="D45" s="110"/>
      <c r="E45" s="110"/>
      <c r="F45" s="112"/>
      <c r="G45" s="110"/>
      <c r="H45" s="112"/>
      <c r="I45" s="112"/>
      <c r="J45" s="112"/>
      <c r="K45" s="113"/>
      <c r="L45" s="110"/>
      <c r="M45" s="112"/>
      <c r="N45" s="113"/>
      <c r="O45" s="110"/>
      <c r="P45" s="110"/>
      <c r="Q45" s="110"/>
      <c r="R45" s="112"/>
      <c r="S45" s="112"/>
      <c r="T45" s="113"/>
      <c r="U45" s="110"/>
    </row>
    <row r="46" spans="1:21" x14ac:dyDescent="0.2">
      <c r="A46" s="94"/>
      <c r="B46" s="95"/>
      <c r="C46" s="94"/>
      <c r="D46" s="94"/>
      <c r="E46" s="94"/>
      <c r="F46" s="96"/>
      <c r="G46" s="94"/>
      <c r="H46" s="96"/>
      <c r="I46" s="96"/>
      <c r="J46" s="96"/>
      <c r="K46" s="97"/>
      <c r="L46" s="94"/>
      <c r="M46" s="96"/>
      <c r="N46" s="97"/>
      <c r="O46" s="94"/>
      <c r="P46" s="94"/>
      <c r="Q46" s="94"/>
      <c r="R46" s="96"/>
      <c r="S46" s="96"/>
      <c r="T46" s="97"/>
      <c r="U46" s="94"/>
    </row>
    <row r="47" spans="1:21" x14ac:dyDescent="0.2">
      <c r="A47" s="110"/>
      <c r="B47" s="111"/>
      <c r="C47" s="110"/>
      <c r="D47" s="110"/>
      <c r="E47" s="110"/>
      <c r="F47" s="112"/>
      <c r="G47" s="110"/>
      <c r="H47" s="112"/>
      <c r="I47" s="112"/>
      <c r="J47" s="112"/>
      <c r="K47" s="113"/>
      <c r="L47" s="110"/>
      <c r="M47" s="112"/>
      <c r="N47" s="113"/>
      <c r="O47" s="110"/>
      <c r="P47" s="110"/>
      <c r="Q47" s="110"/>
      <c r="R47" s="112"/>
      <c r="S47" s="112"/>
      <c r="T47" s="113"/>
      <c r="U47" s="110"/>
    </row>
    <row r="48" spans="1:21" x14ac:dyDescent="0.2">
      <c r="A48" s="94"/>
      <c r="B48" s="95"/>
      <c r="C48" s="94"/>
      <c r="D48" s="94"/>
      <c r="E48" s="94"/>
      <c r="F48" s="96"/>
      <c r="G48" s="94"/>
      <c r="H48" s="96"/>
      <c r="I48" s="96"/>
      <c r="J48" s="96"/>
      <c r="K48" s="97"/>
      <c r="L48" s="94"/>
      <c r="M48" s="96"/>
      <c r="N48" s="97"/>
      <c r="O48" s="94"/>
      <c r="P48" s="94"/>
      <c r="Q48" s="94"/>
      <c r="R48" s="96"/>
      <c r="S48" s="96"/>
      <c r="T48" s="97"/>
      <c r="U48" s="94"/>
    </row>
    <row r="49" spans="1:21" x14ac:dyDescent="0.2">
      <c r="A49" s="110"/>
      <c r="B49" s="111"/>
      <c r="C49" s="110"/>
      <c r="D49" s="110"/>
      <c r="E49" s="110"/>
      <c r="F49" s="112"/>
      <c r="G49" s="110"/>
      <c r="H49" s="112"/>
      <c r="I49" s="112"/>
      <c r="J49" s="112"/>
      <c r="K49" s="113"/>
      <c r="L49" s="110"/>
      <c r="M49" s="112"/>
      <c r="N49" s="113"/>
      <c r="O49" s="110"/>
      <c r="P49" s="110"/>
      <c r="Q49" s="110"/>
      <c r="R49" s="112"/>
      <c r="S49" s="112"/>
      <c r="T49" s="113"/>
      <c r="U49" s="110"/>
    </row>
    <row r="50" spans="1:21" x14ac:dyDescent="0.2">
      <c r="A50" s="94"/>
      <c r="B50" s="95"/>
      <c r="C50" s="94"/>
      <c r="D50" s="94"/>
      <c r="E50" s="94"/>
      <c r="F50" s="96"/>
      <c r="G50" s="94"/>
      <c r="H50" s="96"/>
      <c r="I50" s="96"/>
      <c r="J50" s="96"/>
      <c r="K50" s="97"/>
      <c r="L50" s="94"/>
      <c r="M50" s="96"/>
      <c r="N50" s="97"/>
      <c r="O50" s="94"/>
      <c r="P50" s="94"/>
      <c r="Q50" s="94"/>
      <c r="R50" s="96"/>
      <c r="S50" s="96"/>
      <c r="T50" s="97"/>
      <c r="U50" s="94"/>
    </row>
    <row r="51" spans="1:21" x14ac:dyDescent="0.2">
      <c r="A51" s="110"/>
      <c r="B51" s="111"/>
      <c r="C51" s="110"/>
      <c r="D51" s="110"/>
      <c r="E51" s="110"/>
      <c r="F51" s="112"/>
      <c r="G51" s="110"/>
      <c r="H51" s="112"/>
      <c r="I51" s="112"/>
      <c r="J51" s="112"/>
      <c r="K51" s="113"/>
      <c r="L51" s="110"/>
      <c r="M51" s="112"/>
      <c r="N51" s="113"/>
      <c r="O51" s="110"/>
      <c r="P51" s="110"/>
      <c r="Q51" s="110"/>
      <c r="R51" s="112"/>
      <c r="S51" s="112"/>
      <c r="T51" s="113"/>
      <c r="U51" s="110"/>
    </row>
    <row r="52" spans="1:21" x14ac:dyDescent="0.2">
      <c r="A52" s="94"/>
      <c r="B52" s="95"/>
      <c r="C52" s="94"/>
      <c r="D52" s="94"/>
      <c r="E52" s="94"/>
      <c r="F52" s="96"/>
      <c r="G52" s="94"/>
      <c r="H52" s="96"/>
      <c r="I52" s="96"/>
      <c r="J52" s="96"/>
      <c r="K52" s="97"/>
      <c r="L52" s="94"/>
      <c r="M52" s="96"/>
      <c r="N52" s="97"/>
      <c r="O52" s="94"/>
      <c r="P52" s="94"/>
      <c r="Q52" s="94"/>
      <c r="R52" s="96"/>
      <c r="S52" s="96"/>
      <c r="T52" s="97"/>
      <c r="U52" s="94"/>
    </row>
    <row r="53" spans="1:21" ht="22" customHeight="1" x14ac:dyDescent="0.2">
      <c r="A53" s="511" t="s">
        <v>736</v>
      </c>
      <c r="B53" s="395"/>
      <c r="C53" s="395"/>
      <c r="D53" s="395"/>
      <c r="E53" s="395"/>
      <c r="F53" s="395"/>
      <c r="G53" s="395"/>
      <c r="H53" s="395"/>
      <c r="I53" s="395"/>
      <c r="J53" s="395"/>
      <c r="K53" s="395"/>
      <c r="L53" s="395"/>
      <c r="M53" s="395"/>
      <c r="N53" s="395"/>
      <c r="O53" s="395"/>
      <c r="P53" s="395"/>
      <c r="Q53" s="395"/>
      <c r="R53" s="395"/>
      <c r="S53" s="395"/>
      <c r="T53" s="395"/>
      <c r="U53" s="395"/>
    </row>
    <row r="54" spans="1:21" ht="18" customHeight="1" x14ac:dyDescent="0.2">
      <c r="A54" s="375" t="s">
        <v>737</v>
      </c>
      <c r="B54" s="376">
        <f>COUNTA(A3:A51)</f>
        <v>3</v>
      </c>
      <c r="C54" s="94"/>
      <c r="D54" s="94"/>
      <c r="E54" s="94"/>
      <c r="F54" s="96"/>
      <c r="G54" s="94"/>
      <c r="H54" s="96"/>
      <c r="I54" s="96"/>
      <c r="J54" s="96"/>
      <c r="K54" s="97"/>
      <c r="L54" s="94"/>
      <c r="M54" s="96"/>
      <c r="N54" s="97"/>
      <c r="O54" s="94"/>
      <c r="P54" s="94"/>
      <c r="Q54" s="94"/>
      <c r="R54" s="96"/>
      <c r="S54" s="96"/>
      <c r="T54" s="97"/>
      <c r="U54" s="94"/>
    </row>
    <row r="55" spans="1:21" ht="18" customHeight="1" x14ac:dyDescent="0.2">
      <c r="A55" s="377" t="s">
        <v>738</v>
      </c>
      <c r="B55" s="378">
        <f>SUM(F3:F51)</f>
        <v>65</v>
      </c>
      <c r="C55" s="110"/>
      <c r="D55" s="110"/>
      <c r="E55" s="110"/>
      <c r="F55" s="112"/>
      <c r="G55" s="110"/>
      <c r="H55" s="112"/>
      <c r="I55" s="112"/>
      <c r="J55" s="112"/>
      <c r="K55" s="113"/>
      <c r="L55" s="110"/>
      <c r="M55" s="112"/>
      <c r="N55" s="113"/>
      <c r="O55" s="110"/>
      <c r="P55" s="110"/>
      <c r="Q55" s="110"/>
      <c r="R55" s="112"/>
      <c r="S55" s="112"/>
      <c r="T55" s="113"/>
      <c r="U55" s="110"/>
    </row>
    <row r="56" spans="1:21" ht="18" customHeight="1" x14ac:dyDescent="0.2">
      <c r="A56" s="375" t="s">
        <v>739</v>
      </c>
      <c r="B56" s="376">
        <f>SUM(M3:M51)</f>
        <v>179.04249999999996</v>
      </c>
      <c r="C56" s="94"/>
      <c r="D56" s="94"/>
      <c r="E56" s="94"/>
      <c r="F56" s="96"/>
      <c r="G56" s="94"/>
      <c r="H56" s="96"/>
      <c r="I56" s="96"/>
      <c r="J56" s="96"/>
      <c r="K56" s="97"/>
      <c r="L56" s="94"/>
      <c r="M56" s="96"/>
      <c r="N56" s="97"/>
      <c r="O56" s="94"/>
      <c r="P56" s="94"/>
      <c r="Q56" s="94"/>
      <c r="R56" s="96"/>
      <c r="S56" s="96"/>
      <c r="T56" s="97"/>
      <c r="U56" s="94"/>
    </row>
    <row r="57" spans="1:21" ht="18" customHeight="1" x14ac:dyDescent="0.2">
      <c r="A57" s="377" t="s">
        <v>740</v>
      </c>
      <c r="B57" s="378">
        <f>SUM(S3:S51)</f>
        <v>0</v>
      </c>
      <c r="C57" s="110"/>
      <c r="D57" s="110"/>
      <c r="E57" s="110"/>
      <c r="F57" s="112"/>
      <c r="G57" s="110"/>
      <c r="H57" s="112"/>
      <c r="I57" s="112"/>
      <c r="J57" s="112"/>
      <c r="K57" s="113"/>
      <c r="L57" s="110"/>
      <c r="M57" s="112"/>
      <c r="N57" s="113"/>
      <c r="O57" s="110"/>
      <c r="P57" s="110"/>
      <c r="Q57" s="110"/>
      <c r="R57" s="112"/>
      <c r="S57" s="112"/>
      <c r="T57" s="113"/>
      <c r="U57" s="110"/>
    </row>
    <row r="58" spans="1:21" ht="18" customHeight="1" x14ac:dyDescent="0.2">
      <c r="A58" s="375" t="s">
        <v>741</v>
      </c>
      <c r="B58" s="376">
        <f>COUNTIF(L3:L51,"*GO*")-COUNTIF(L3:L51,"*NO-GO*")</f>
        <v>0</v>
      </c>
      <c r="C58" s="94"/>
      <c r="D58" s="94"/>
      <c r="E58" s="94"/>
      <c r="F58" s="96"/>
      <c r="G58" s="94"/>
      <c r="H58" s="96"/>
      <c r="I58" s="96"/>
      <c r="J58" s="96"/>
      <c r="K58" s="97"/>
      <c r="L58" s="94"/>
      <c r="M58" s="96"/>
      <c r="N58" s="97"/>
      <c r="O58" s="94"/>
      <c r="P58" s="94"/>
      <c r="Q58" s="94"/>
      <c r="R58" s="96"/>
      <c r="S58" s="96"/>
      <c r="T58" s="97"/>
      <c r="U58" s="94"/>
    </row>
  </sheetData>
  <mergeCells count="2">
    <mergeCell ref="A53:U53"/>
    <mergeCell ref="A1:U1"/>
  </mergeCells>
  <conditionalFormatting sqref="K3:K58">
    <cfRule type="cellIs" dxfId="5" priority="1" operator="greaterThanOrEqual">
      <formula>60</formula>
    </cfRule>
    <cfRule type="cellIs" dxfId="4" priority="2" operator="between">
      <formula>40</formula>
      <formula>59.99</formula>
    </cfRule>
    <cfRule type="cellIs" dxfId="3" priority="3" operator="lessThan">
      <formula>40</formula>
    </cfRule>
  </conditionalFormatting>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24"/>
  <sheetViews>
    <sheetView showGridLines="0" workbookViewId="0">
      <pane ySplit="3" topLeftCell="A4" activePane="bottomLeft" state="frozen"/>
      <selection pane="bottomLeft" activeCell="F4" sqref="F4"/>
    </sheetView>
  </sheetViews>
  <sheetFormatPr baseColWidth="10" defaultColWidth="8.83203125" defaultRowHeight="15" x14ac:dyDescent="0.2"/>
  <cols>
    <col min="1" max="1" width="8" customWidth="1"/>
    <col min="2" max="2" width="38" customWidth="1"/>
    <col min="3" max="4" width="14" customWidth="1"/>
    <col min="5" max="5" width="12" customWidth="1"/>
    <col min="6" max="6" width="16" customWidth="1"/>
    <col min="7" max="7" width="14" customWidth="1"/>
    <col min="8" max="9" width="16" customWidth="1"/>
    <col min="10" max="11" width="12" customWidth="1"/>
    <col min="12" max="12" width="14" customWidth="1"/>
    <col min="13" max="13" width="22" customWidth="1"/>
  </cols>
  <sheetData>
    <row r="1" spans="1:13" ht="24" customHeight="1" x14ac:dyDescent="0.2">
      <c r="A1" s="512" t="s">
        <v>742</v>
      </c>
      <c r="B1" s="395"/>
      <c r="C1" s="395"/>
      <c r="D1" s="395"/>
      <c r="E1" s="395"/>
      <c r="F1" s="395"/>
      <c r="G1" s="395"/>
      <c r="H1" s="395"/>
      <c r="I1" s="395"/>
      <c r="J1" s="395"/>
      <c r="K1" s="395"/>
      <c r="L1" s="395"/>
      <c r="M1" s="395"/>
    </row>
    <row r="2" spans="1:13" ht="20" customHeight="1" x14ac:dyDescent="0.2">
      <c r="A2" s="513" t="s">
        <v>743</v>
      </c>
      <c r="B2" s="395"/>
      <c r="C2" s="395"/>
      <c r="D2" s="395"/>
      <c r="E2" s="395"/>
      <c r="F2" s="395"/>
      <c r="G2" s="395"/>
      <c r="H2" s="395"/>
      <c r="I2" s="395"/>
      <c r="J2" s="395"/>
      <c r="K2" s="395"/>
      <c r="L2" s="395"/>
      <c r="M2" s="395"/>
    </row>
    <row r="3" spans="1:13" ht="24" customHeight="1" x14ac:dyDescent="0.2">
      <c r="A3" s="361" t="s">
        <v>744</v>
      </c>
      <c r="B3" s="361" t="s">
        <v>461</v>
      </c>
      <c r="C3" s="361" t="s">
        <v>175</v>
      </c>
      <c r="D3" s="361" t="s">
        <v>462</v>
      </c>
      <c r="E3" s="361" t="s">
        <v>7</v>
      </c>
      <c r="F3" s="361" t="s">
        <v>745</v>
      </c>
      <c r="G3" s="361" t="s">
        <v>3</v>
      </c>
      <c r="H3" s="361" t="s">
        <v>721</v>
      </c>
      <c r="I3" s="361" t="s">
        <v>746</v>
      </c>
      <c r="J3" s="361" t="s">
        <v>149</v>
      </c>
      <c r="K3" s="361" t="s">
        <v>14</v>
      </c>
      <c r="L3" s="361" t="s">
        <v>747</v>
      </c>
      <c r="M3" s="361" t="s">
        <v>395</v>
      </c>
    </row>
    <row r="4" spans="1:13" ht="39" x14ac:dyDescent="0.2">
      <c r="A4" s="94"/>
      <c r="B4" s="94"/>
      <c r="C4" s="94"/>
      <c r="D4" s="96"/>
      <c r="E4" s="97"/>
      <c r="F4" s="379" t="s">
        <v>748</v>
      </c>
      <c r="G4" s="94"/>
      <c r="H4" s="96"/>
      <c r="I4" s="96"/>
      <c r="J4" s="96"/>
      <c r="K4" s="97"/>
      <c r="L4" s="380" t="s">
        <v>749</v>
      </c>
      <c r="M4" s="94"/>
    </row>
    <row r="5" spans="1:13" ht="18" customHeight="1" x14ac:dyDescent="0.2">
      <c r="A5" s="29"/>
      <c r="B5" s="381"/>
      <c r="C5" s="381"/>
      <c r="D5" s="382"/>
      <c r="E5" s="383"/>
      <c r="F5" s="381"/>
      <c r="G5" s="381"/>
      <c r="H5" s="382"/>
      <c r="I5" s="382"/>
      <c r="J5" s="382"/>
      <c r="K5" s="383"/>
      <c r="L5" s="381"/>
      <c r="M5" s="381"/>
    </row>
    <row r="6" spans="1:13" ht="18" customHeight="1" x14ac:dyDescent="0.2">
      <c r="A6" s="29"/>
      <c r="B6" s="384"/>
      <c r="C6" s="384"/>
      <c r="D6" s="385"/>
      <c r="E6" s="386"/>
      <c r="F6" s="384"/>
      <c r="G6" s="384"/>
      <c r="H6" s="385"/>
      <c r="I6" s="385"/>
      <c r="J6" s="385"/>
      <c r="K6" s="386"/>
      <c r="L6" s="384"/>
      <c r="M6" s="384"/>
    </row>
    <row r="7" spans="1:13" ht="18" customHeight="1" x14ac:dyDescent="0.2">
      <c r="A7" s="29"/>
      <c r="B7" s="381"/>
      <c r="C7" s="381"/>
      <c r="D7" s="382"/>
      <c r="E7" s="383"/>
      <c r="F7" s="381"/>
      <c r="G7" s="381"/>
      <c r="H7" s="382"/>
      <c r="I7" s="382"/>
      <c r="J7" s="382"/>
      <c r="K7" s="383"/>
      <c r="L7" s="381"/>
      <c r="M7" s="381"/>
    </row>
    <row r="8" spans="1:13" ht="18" customHeight="1" x14ac:dyDescent="0.2">
      <c r="A8" s="29"/>
      <c r="B8" s="384"/>
      <c r="C8" s="384"/>
      <c r="D8" s="385"/>
      <c r="E8" s="386"/>
      <c r="F8" s="384"/>
      <c r="G8" s="384"/>
      <c r="H8" s="385"/>
      <c r="I8" s="385"/>
      <c r="J8" s="385"/>
      <c r="K8" s="386"/>
      <c r="L8" s="384"/>
      <c r="M8" s="384"/>
    </row>
    <row r="9" spans="1:13" ht="18" customHeight="1" x14ac:dyDescent="0.2">
      <c r="A9" s="29"/>
      <c r="B9" s="381"/>
      <c r="C9" s="381"/>
      <c r="D9" s="382"/>
      <c r="E9" s="383"/>
      <c r="F9" s="381"/>
      <c r="G9" s="381"/>
      <c r="H9" s="382"/>
      <c r="I9" s="382"/>
      <c r="J9" s="382"/>
      <c r="K9" s="383"/>
      <c r="L9" s="381"/>
      <c r="M9" s="381"/>
    </row>
    <row r="10" spans="1:13" ht="18" customHeight="1" x14ac:dyDescent="0.2">
      <c r="A10" s="29"/>
      <c r="B10" s="384"/>
      <c r="C10" s="384"/>
      <c r="D10" s="385"/>
      <c r="E10" s="386"/>
      <c r="F10" s="384"/>
      <c r="G10" s="384"/>
      <c r="H10" s="385"/>
      <c r="I10" s="385"/>
      <c r="J10" s="385"/>
      <c r="K10" s="386"/>
      <c r="L10" s="384"/>
      <c r="M10" s="384"/>
    </row>
    <row r="11" spans="1:13" ht="18" customHeight="1" x14ac:dyDescent="0.2">
      <c r="A11" s="29"/>
      <c r="B11" s="381"/>
      <c r="C11" s="381"/>
      <c r="D11" s="382"/>
      <c r="E11" s="383"/>
      <c r="F11" s="381"/>
      <c r="G11" s="381"/>
      <c r="H11" s="382"/>
      <c r="I11" s="382"/>
      <c r="J11" s="382"/>
      <c r="K11" s="383"/>
      <c r="L11" s="381"/>
      <c r="M11" s="381"/>
    </row>
    <row r="12" spans="1:13" ht="18" customHeight="1" x14ac:dyDescent="0.2">
      <c r="A12" s="29"/>
      <c r="B12" s="384"/>
      <c r="C12" s="384"/>
      <c r="D12" s="385"/>
      <c r="E12" s="386"/>
      <c r="F12" s="384"/>
      <c r="G12" s="384"/>
      <c r="H12" s="385"/>
      <c r="I12" s="385"/>
      <c r="J12" s="385"/>
      <c r="K12" s="386"/>
      <c r="L12" s="384"/>
      <c r="M12" s="384"/>
    </row>
    <row r="13" spans="1:13" ht="18" customHeight="1" x14ac:dyDescent="0.2">
      <c r="A13" s="29"/>
      <c r="B13" s="381"/>
      <c r="C13" s="381"/>
      <c r="D13" s="382"/>
      <c r="E13" s="383"/>
      <c r="F13" s="381"/>
      <c r="G13" s="381"/>
      <c r="H13" s="382"/>
      <c r="I13" s="382"/>
      <c r="J13" s="382"/>
      <c r="K13" s="383"/>
      <c r="L13" s="381"/>
      <c r="M13" s="381"/>
    </row>
    <row r="14" spans="1:13" ht="18" customHeight="1" x14ac:dyDescent="0.2">
      <c r="A14" s="29"/>
      <c r="B14" s="384"/>
      <c r="C14" s="384"/>
      <c r="D14" s="385"/>
      <c r="E14" s="386"/>
      <c r="F14" s="384"/>
      <c r="G14" s="384"/>
      <c r="H14" s="385"/>
      <c r="I14" s="385"/>
      <c r="J14" s="385"/>
      <c r="K14" s="386"/>
      <c r="L14" s="384"/>
      <c r="M14" s="384"/>
    </row>
    <row r="15" spans="1:13" ht="18" customHeight="1" x14ac:dyDescent="0.2">
      <c r="A15" s="29"/>
      <c r="B15" s="381"/>
      <c r="C15" s="381"/>
      <c r="D15" s="382"/>
      <c r="E15" s="383"/>
      <c r="F15" s="381"/>
      <c r="G15" s="381"/>
      <c r="H15" s="382"/>
      <c r="I15" s="382"/>
      <c r="J15" s="382"/>
      <c r="K15" s="383"/>
      <c r="L15" s="381"/>
      <c r="M15" s="381"/>
    </row>
    <row r="16" spans="1:13" ht="18" customHeight="1" x14ac:dyDescent="0.2">
      <c r="A16" s="29"/>
      <c r="B16" s="384"/>
      <c r="C16" s="384"/>
      <c r="D16" s="385"/>
      <c r="E16" s="386"/>
      <c r="F16" s="384"/>
      <c r="G16" s="384"/>
      <c r="H16" s="385"/>
      <c r="I16" s="385"/>
      <c r="J16" s="385"/>
      <c r="K16" s="386"/>
      <c r="L16" s="384"/>
      <c r="M16" s="384"/>
    </row>
    <row r="17" spans="1:13" ht="18" customHeight="1" x14ac:dyDescent="0.2">
      <c r="A17" s="29"/>
      <c r="B17" s="381"/>
      <c r="C17" s="381"/>
      <c r="D17" s="382"/>
      <c r="E17" s="383"/>
      <c r="F17" s="381"/>
      <c r="G17" s="381"/>
      <c r="H17" s="382"/>
      <c r="I17" s="382"/>
      <c r="J17" s="382"/>
      <c r="K17" s="383"/>
      <c r="L17" s="381"/>
      <c r="M17" s="381"/>
    </row>
    <row r="18" spans="1:13" ht="18" customHeight="1" x14ac:dyDescent="0.2">
      <c r="A18" s="29"/>
      <c r="B18" s="384"/>
      <c r="C18" s="384"/>
      <c r="D18" s="385"/>
      <c r="E18" s="386"/>
      <c r="F18" s="384"/>
      <c r="G18" s="384"/>
      <c r="H18" s="385"/>
      <c r="I18" s="385"/>
      <c r="J18" s="385"/>
      <c r="K18" s="386"/>
      <c r="L18" s="384"/>
      <c r="M18" s="384"/>
    </row>
    <row r="19" spans="1:13" ht="18" customHeight="1" x14ac:dyDescent="0.2">
      <c r="A19" s="29"/>
      <c r="B19" s="381"/>
      <c r="C19" s="381"/>
      <c r="D19" s="382"/>
      <c r="E19" s="383"/>
      <c r="F19" s="381"/>
      <c r="G19" s="381"/>
      <c r="H19" s="382"/>
      <c r="I19" s="382"/>
      <c r="J19" s="382"/>
      <c r="K19" s="383"/>
      <c r="L19" s="381"/>
      <c r="M19" s="381"/>
    </row>
    <row r="20" spans="1:13" ht="18" customHeight="1" x14ac:dyDescent="0.2">
      <c r="A20" s="29"/>
      <c r="B20" s="384"/>
      <c r="C20" s="384"/>
      <c r="D20" s="385"/>
      <c r="E20" s="386"/>
      <c r="F20" s="384"/>
      <c r="G20" s="384"/>
      <c r="H20" s="385"/>
      <c r="I20" s="385"/>
      <c r="J20" s="385"/>
      <c r="K20" s="386"/>
      <c r="L20" s="384"/>
      <c r="M20" s="384"/>
    </row>
    <row r="21" spans="1:13" ht="18" customHeight="1" x14ac:dyDescent="0.2">
      <c r="A21" s="29"/>
      <c r="B21" s="381"/>
      <c r="C21" s="381"/>
      <c r="D21" s="382"/>
      <c r="E21" s="383"/>
      <c r="F21" s="381"/>
      <c r="G21" s="381"/>
      <c r="H21" s="382"/>
      <c r="I21" s="382"/>
      <c r="J21" s="382"/>
      <c r="K21" s="383"/>
      <c r="L21" s="381"/>
      <c r="M21" s="381"/>
    </row>
    <row r="22" spans="1:13" ht="18" customHeight="1" x14ac:dyDescent="0.2">
      <c r="A22" s="29"/>
      <c r="B22" s="384"/>
      <c r="C22" s="384"/>
      <c r="D22" s="385"/>
      <c r="E22" s="386"/>
      <c r="F22" s="384"/>
      <c r="G22" s="384"/>
      <c r="H22" s="385"/>
      <c r="I22" s="385"/>
      <c r="J22" s="385"/>
      <c r="K22" s="386"/>
      <c r="L22" s="384"/>
      <c r="M22" s="384"/>
    </row>
    <row r="23" spans="1:13" ht="18" customHeight="1" x14ac:dyDescent="0.2">
      <c r="A23" s="29"/>
      <c r="B23" s="381"/>
      <c r="C23" s="381"/>
      <c r="D23" s="382"/>
      <c r="E23" s="383"/>
      <c r="F23" s="381"/>
      <c r="G23" s="381"/>
      <c r="H23" s="382"/>
      <c r="I23" s="382"/>
      <c r="J23" s="382"/>
      <c r="K23" s="383"/>
      <c r="L23" s="381"/>
      <c r="M23" s="381"/>
    </row>
    <row r="24" spans="1:13" ht="18" customHeight="1" x14ac:dyDescent="0.2">
      <c r="A24" s="29"/>
      <c r="B24" s="384"/>
      <c r="C24" s="384"/>
      <c r="D24" s="385"/>
      <c r="E24" s="386"/>
      <c r="F24" s="384"/>
      <c r="G24" s="384"/>
      <c r="H24" s="385"/>
      <c r="I24" s="385"/>
      <c r="J24" s="385"/>
      <c r="K24" s="386"/>
      <c r="L24" s="384"/>
      <c r="M24" s="384"/>
    </row>
  </sheetData>
  <mergeCells count="2">
    <mergeCell ref="A2:M2"/>
    <mergeCell ref="A1:M1"/>
  </mergeCells>
  <conditionalFormatting sqref="E4:E24">
    <cfRule type="cellIs" dxfId="2" priority="1" operator="greaterThanOrEqual">
      <formula>0.6</formula>
    </cfRule>
    <cfRule type="cellIs" dxfId="1" priority="2" operator="between">
      <formula>0.4</formula>
      <formula>0.5999</formula>
    </cfRule>
    <cfRule type="cellIs" dxfId="0" priority="3" operator="lessThan">
      <formula>0.4</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Start Here</vt:lpstr>
      <vt:lpstr>Dashboard</vt:lpstr>
      <vt:lpstr>Target Card List</vt:lpstr>
      <vt:lpstr>Inventory Intel</vt:lpstr>
      <vt:lpstr>Stale Action Plan</vt:lpstr>
      <vt:lpstr>14-Day Volume Ramp</vt:lpstr>
      <vt:lpstr>Sales Log</vt:lpstr>
      <vt:lpstr>Consignment Tracker</vt:lpstr>
      <vt:lpstr>DcSports87 May 2026</vt:lpstr>
      <vt:lpstr>DcSports87 — Normal Batch</vt:lpstr>
      <vt:lpstr>Inventory &amp; Aging</vt:lpstr>
      <vt:lpstr>Reprice Queue</vt:lpstr>
      <vt:lpstr>Lot Evaluator</vt:lpstr>
      <vt:lpstr>Channel Fees</vt:lpstr>
      <vt:lpstr>Capital Velocity</vt:lpstr>
      <vt:lpstr>Helper ROI</vt:lpstr>
      <vt:lpstr>Path to $40k</vt:lpstr>
      <vt:lpstr>Stale Action — Market Comps</vt:lpstr>
      <vt:lpstr>PSA Fee Schedule</vt:lpstr>
      <vt:lpstr>Grading ROI Calculator</vt:lpstr>
      <vt:lpstr>Grading Tracker</vt:lpstr>
      <vt:lpstr>Grading Candidates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Duane Furlong</cp:lastModifiedBy>
  <cp:revision>0</cp:revision>
  <dcterms:created xsi:type="dcterms:W3CDTF">2026-04-22T02:32:20Z</dcterms:created>
  <dcterms:modified xsi:type="dcterms:W3CDTF">2026-06-18T22:01:51Z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0x01010027BE23F8EFDE734F9D42421F24E4D6C4</vt:lpwstr>
  </property>
</Properties>
</file>