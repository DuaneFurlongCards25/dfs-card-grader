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40" tabRatio="500" firstSheet="10" activeTab="19" autoFilterDateGrouping="1"/>
  </bookViews>
  <sheets>
    <sheet name="Start Here" sheetId="1" state="visible" r:id="rId1"/>
    <sheet name="Dashboard" sheetId="2" state="visible" r:id="rId2"/>
    <sheet name="Target Card List" sheetId="3" state="visible" r:id="rId3"/>
    <sheet name="14-Day Volume Ramp" sheetId="4" state="visible" r:id="rId4"/>
    <sheet name="Sales Log" sheetId="5" state="visible" r:id="rId5"/>
    <sheet name="Consignment Tracker" sheetId="6" state="visible" r:id="rId6"/>
    <sheet name="DcSports87 May 2026" sheetId="7" state="visible" r:id="rId7"/>
    <sheet name="DcSports87 — Normal Batch" sheetId="8" state="visible" r:id="rId8"/>
    <sheet name="Inventory &amp; Aging" sheetId="9" state="visible" r:id="rId9"/>
    <sheet name="FB Cards — HeyStack Priority" sheetId="10" state="visible" r:id="rId10"/>
    <sheet name="BB Cards — HeyStack Priority" sheetId="11" state="visible" r:id="rId11"/>
    <sheet name="BK Cards — HeyStack Priority" sheetId="12" state="visible" r:id="rId12"/>
    <sheet name="Lot Evaluator" sheetId="13" state="visible" r:id="rId13"/>
    <sheet name="Channel Fees" sheetId="14" state="visible" r:id="rId14"/>
    <sheet name="Capital Velocity" sheetId="15" state="visible" r:id="rId15"/>
    <sheet name="Helper ROI" sheetId="16" state="visible" r:id="rId16"/>
    <sheet name="Path to $40k" sheetId="17" state="visible" r:id="rId17"/>
    <sheet name="Stale Action — Market Comps" sheetId="18" state="visible" r:id="rId18"/>
    <sheet name="PSA Fee Schedule" sheetId="19" state="visible" r:id="rId19"/>
    <sheet name="Grading ROI Calculator" sheetId="20" state="visible" r:id="rId20"/>
    <sheet name="Grading Tracker" sheetId="21" state="visible" r:id="rId21"/>
    <sheet name="Grading Candidate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\$#,##0"/>
    <numFmt numFmtId="165" formatCode="0.0%"/>
    <numFmt numFmtId="166" formatCode="\$#,##0.00"/>
    <numFmt numFmtId="167" formatCode="0.0"/>
    <numFmt numFmtId="168" formatCode="\+0%;\-0%"/>
    <numFmt numFmtId="169" formatCode="\$#,##0.00;&quot;($&quot;#,##0.00\);\-"/>
    <numFmt numFmtId="170" formatCode="0.0%;\(0.0%\);\-"/>
    <numFmt numFmtId="171" formatCode="mm/dd/yyyy"/>
    <numFmt numFmtId="172" formatCode="0.0\x"/>
    <numFmt numFmtId="173" formatCode="\$#,##0;&quot;($&quot;#,##0\);\-"/>
    <numFmt numFmtId="174" formatCode="&quot;$&quot;#,##0.00"/>
    <numFmt numFmtId="175" formatCode="MM/DD/YYYY"/>
    <numFmt numFmtId="176" formatCode="$#,##0.00"/>
  </numFmts>
  <fonts count="101">
    <font>
      <name val="Calibri"/>
      <charset val="1"/>
      <family val="2"/>
      <color theme="1"/>
      <sz val="11"/>
    </font>
    <font>
      <name val="Calibri"/>
      <family val="2"/>
      <b val="1"/>
      <color rgb="FF0E2A47"/>
      <sz val="14"/>
    </font>
    <font>
      <name val="Calibri"/>
      <family val="2"/>
      <b val="1"/>
      <color rgb="FF0E2A47"/>
      <sz val="12"/>
    </font>
    <font>
      <name val="Calibri"/>
      <family val="2"/>
      <color rgb="FF333333"/>
      <sz val="10.5"/>
    </font>
    <font>
      <name val="Calibri"/>
      <family val="2"/>
      <b val="1"/>
      <color rgb="FF0000FF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i val="1"/>
      <color rgb="FF555555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333333"/>
      <sz val="10"/>
    </font>
    <font>
      <name val="Calibri"/>
      <family val="2"/>
      <b val="1"/>
      <color rgb="FF0E2A47"/>
      <sz val="18"/>
    </font>
    <font>
      <name val="Calibri"/>
      <family val="2"/>
      <b val="1"/>
      <color rgb="FF0E2A47"/>
      <sz val="11"/>
    </font>
    <font>
      <name val="Calibri"/>
      <family val="2"/>
      <b val="1"/>
      <color rgb="FFFFFFFF"/>
      <sz val="11"/>
    </font>
    <font>
      <name val="Cambria"/>
      <family val="1"/>
      <b val="1"/>
      <color rgb="FFFFFFFF"/>
      <sz val="11"/>
    </font>
    <font>
      <name val="Calibri"/>
      <family val="2"/>
      <i val="1"/>
      <color rgb="FF333333"/>
      <sz val="10"/>
    </font>
    <font>
      <name val="Calibri"/>
      <family val="2"/>
      <color rgb="FF000000"/>
      <sz val="10"/>
    </font>
    <font>
      <name val="Cambria"/>
      <family val="1"/>
      <sz val="11"/>
    </font>
    <font>
      <name val="Cambria"/>
      <family val="1"/>
      <b val="1"/>
      <color rgb="FFC00000"/>
      <sz val="11"/>
    </font>
    <font>
      <name val="Cambria"/>
      <family val="1"/>
      <b val="1"/>
      <sz val="11"/>
    </font>
    <font>
      <name val="Cambria"/>
      <family val="1"/>
      <b val="1"/>
      <color rgb="FFB85C00"/>
      <sz val="11"/>
    </font>
    <font>
      <name val="Cambria"/>
      <family val="1"/>
      <i val="1"/>
      <color rgb="FF555555"/>
      <sz val="11"/>
    </font>
    <font>
      <name val="Cambria"/>
      <family val="1"/>
      <b val="1"/>
      <color rgb="FFFFFFFF"/>
      <sz val="12"/>
    </font>
    <font>
      <name val="Cambria"/>
      <family val="1"/>
      <b val="1"/>
      <color rgb="FF856404"/>
      <sz val="11"/>
    </font>
    <font>
      <name val="Cambria"/>
      <family val="1"/>
      <b val="1"/>
      <color rgb="FF155724"/>
      <sz val="11"/>
    </font>
    <font>
      <name val="Cambria"/>
      <family val="1"/>
      <b val="1"/>
      <color rgb="FF0D47A1"/>
      <sz val="11"/>
    </font>
    <font>
      <name val="Cambria"/>
      <family val="1"/>
      <b val="1"/>
      <color rgb="FFFFFFFF"/>
      <sz val="13"/>
    </font>
    <font>
      <name val="Cambria"/>
      <family val="1"/>
      <b val="1"/>
      <i val="1"/>
      <color rgb="FFC89B3C"/>
      <sz val="11"/>
    </font>
    <font>
      <name val="Calibri"/>
      <family val="2"/>
      <color rgb="FF000000"/>
      <sz val="10.5"/>
    </font>
    <font>
      <name val="Calibri"/>
      <family val="2"/>
      <color rgb="FF0000FF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9C0006"/>
      <sz val="12"/>
    </font>
    <font>
      <name val="Calibri"/>
      <family val="2"/>
      <b val="1"/>
      <color rgb="FF0E2A47"/>
      <sz val="13"/>
    </font>
    <font>
      <name val="Calibri"/>
      <family val="2"/>
      <b val="1"/>
      <color rgb="FF9C0006"/>
      <sz val="11"/>
    </font>
    <font>
      <name val="Calibri"/>
      <family val="2"/>
      <b val="1"/>
      <color rgb="FF0000FF"/>
      <sz val="14"/>
    </font>
    <font>
      <name val="Calibri"/>
      <family val="2"/>
      <i val="1"/>
      <color rgb="FF555555"/>
      <sz val="11"/>
    </font>
    <font>
      <name val="Calibri"/>
      <family val="2"/>
      <b val="1"/>
      <color rgb="FFFFFFFF"/>
      <sz val="10"/>
    </font>
    <font>
      <name val="Calibri"/>
      <family val="2"/>
      <color rgb="FF333333"/>
      <sz val="10"/>
    </font>
    <font>
      <name val="Calibri"/>
      <family val="2"/>
      <i val="1"/>
      <color rgb="FF0E2A47"/>
      <sz val="10.5"/>
    </font>
    <font>
      <name val="Calibri"/>
      <family val="2"/>
      <i val="1"/>
      <sz val="10"/>
    </font>
    <font>
      <name val="Calibri"/>
      <family val="2"/>
      <b val="1"/>
      <color rgb="FFFFFFFF"/>
      <sz val="10"/>
    </font>
    <font>
      <name val="Calibri"/>
      <family val="2"/>
      <b val="1"/>
      <sz val="11"/>
    </font>
    <font>
      <name val="Calibri"/>
      <family val="2"/>
      <i val="1"/>
      <color rgb="FF666666"/>
      <sz val="9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i val="1"/>
      <color rgb="FF444444"/>
      <sz val="9"/>
    </font>
    <font>
      <name val="Calibri"/>
      <family val="2"/>
      <b val="1"/>
      <color rgb="FF1F3864"/>
      <sz val="10"/>
    </font>
    <font>
      <name val="Calibri"/>
      <family val="2"/>
      <b val="1"/>
      <color rgb="FF1F3864"/>
      <sz val="12"/>
    </font>
    <font>
      <name val="Calibri"/>
      <family val="2"/>
      <i val="1"/>
      <color rgb="FF555555"/>
      <sz val="9"/>
    </font>
    <font>
      <name val="Calibri"/>
      <family val="2"/>
      <b val="1"/>
      <sz val="9"/>
    </font>
    <font>
      <name val="Calibri"/>
      <family val="2"/>
      <b val="1"/>
      <color rgb="FFFFFFFF"/>
      <sz val="10"/>
    </font>
    <font>
      <name val="Calibri"/>
      <family val="2"/>
      <sz val="9"/>
    </font>
    <font>
      <name val="Calibri"/>
      <family val="2"/>
      <b val="1"/>
      <color rgb="FFC62828"/>
      <sz val="9"/>
    </font>
    <font>
      <name val="Calibri"/>
      <family val="2"/>
      <b val="1"/>
      <color rgb="FFC62828"/>
      <sz val="10"/>
    </font>
    <font>
      <name val="Calibri"/>
      <family val="2"/>
      <b val="1"/>
      <color rgb="FF1B5E20"/>
      <sz val="10"/>
    </font>
    <font>
      <name val="Calibri"/>
      <family val="2"/>
      <b val="1"/>
      <color rgb="FF1B5E20"/>
      <sz val="9"/>
    </font>
    <font>
      <name val="Calibri"/>
      <family val="2"/>
      <b val="1"/>
      <color rgb="FFE65100"/>
      <sz val="9"/>
    </font>
    <font>
      <name val="Calibri"/>
      <family val="2"/>
      <b val="1"/>
      <color rgb="FFE65100"/>
      <sz val="10"/>
    </font>
    <font>
      <name val="Calibri"/>
      <family val="2"/>
      <b val="1"/>
      <color rgb="FFF57F17"/>
      <sz val="9"/>
    </font>
    <font>
      <name val="Calibri"/>
      <family val="2"/>
      <b val="1"/>
      <color rgb="FFF57F17"/>
      <sz val="10"/>
    </font>
    <font>
      <name val="Calibri"/>
      <family val="2"/>
      <b val="1"/>
      <color rgb="FF0D47A1"/>
      <sz val="9"/>
    </font>
    <font>
      <name val="Calibri"/>
      <family val="2"/>
      <b val="1"/>
      <color rgb="FF0D47A1"/>
      <sz val="10"/>
    </font>
    <font>
      <name val="Calibri"/>
      <family val="2"/>
      <b val="1"/>
      <color rgb="FFFFFFFF"/>
      <sz val="11"/>
    </font>
    <font>
      <name val="Calibri"/>
      <family val="2"/>
      <i val="1"/>
      <sz val="9"/>
    </font>
    <font>
      <name val="Calibri"/>
      <family val="2"/>
      <sz val="11"/>
    </font>
    <font>
      <name val="Calibri"/>
      <family val="2"/>
      <b val="1"/>
      <color rgb="FFFFFFFF"/>
      <sz val="20"/>
    </font>
    <font>
      <name val="Calibri"/>
      <family val="2"/>
      <i val="1"/>
      <color rgb="FF555555"/>
      <sz val="11"/>
    </font>
    <font>
      <name val="Calibri"/>
      <family val="2"/>
      <b val="1"/>
      <color rgb="FF1F4E79"/>
      <sz val="12"/>
    </font>
    <font>
      <name val="Calibri"/>
      <family val="2"/>
      <color rgb="FF1155CC"/>
      <sz val="11"/>
      <u val="single"/>
    </font>
    <font>
      <name val="Calibri"/>
      <family val="2"/>
      <color rgb="FF444444"/>
      <sz val="10"/>
    </font>
    <font>
      <name val="Calibri"/>
      <family val="2"/>
      <b val="1"/>
      <color rgb="FFFFFFFF"/>
      <sz val="10"/>
      <u val="single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b val="1"/>
      <color rgb="00FFFFFF"/>
      <sz val="10"/>
      <u val="single"/>
    </font>
    <font>
      <name val="Calibri"/>
      <i val="1"/>
      <color rgb="00555555"/>
      <sz val="10"/>
    </font>
    <font>
      <name val="Calibri"/>
      <b val="1"/>
      <color rgb="001F4E79"/>
      <sz val="10"/>
    </font>
    <font>
      <name val="Calibri"/>
      <b val="1"/>
      <color rgb="00FFFFFF"/>
      <sz val="10"/>
    </font>
    <font>
      <name val="Calibri"/>
      <i val="1"/>
      <color rgb="00555555"/>
      <sz val="9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i val="1"/>
      <color rgb="00888888"/>
      <sz val="10"/>
    </font>
    <font>
      <name val="Arial"/>
      <b val="1"/>
      <color rgb="00FFFFFF"/>
      <sz val="12"/>
    </font>
    <font>
      <name val="Arial"/>
      <color rgb="001A56DB"/>
      <sz val="11"/>
    </font>
    <font>
      <name val="Arial"/>
      <i val="1"/>
      <color rgb="00888888"/>
      <sz val="9"/>
    </font>
    <font>
      <name val="Arial"/>
      <b val="1"/>
      <color rgb="00000000"/>
      <sz val="12"/>
    </font>
    <font>
      <name val="Arial"/>
      <i val="1"/>
      <color rgb="00555555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color rgb="00AAAAAA"/>
      <sz val="9"/>
    </font>
    <font>
      <name val="Arial"/>
      <i val="1"/>
      <color rgb="00AAAAAA"/>
      <sz val="10"/>
    </font>
    <font>
      <name val="Arial"/>
      <color rgb="00000000"/>
      <sz val="10"/>
    </font>
    <font>
      <name val="Arial"/>
      <b val="1"/>
      <color rgb="00FAFAFA"/>
      <sz val="18"/>
    </font>
    <font>
      <name val="Arial"/>
      <color rgb="009CA3AF"/>
      <sz val="10"/>
    </font>
    <font>
      <name val="Arial"/>
      <b val="1"/>
      <color rgb="00FAFAFA"/>
      <sz val="10"/>
    </font>
    <font>
      <name val="Arial"/>
      <b val="1"/>
      <color rgb="001A56DB"/>
      <sz val="10"/>
    </font>
    <font>
      <name val="Arial"/>
      <color rgb="00333333"/>
      <sz val="10"/>
    </font>
    <font>
      <name val="Arial"/>
      <color rgb="00222222"/>
      <sz val="10"/>
    </font>
    <font>
      <name val="Arial"/>
      <color rgb="00555555"/>
      <sz val="9"/>
    </font>
    <font>
      <name val="Arial"/>
      <i val="1"/>
      <color rgb="009CA3AF"/>
      <sz val="9"/>
    </font>
  </fonts>
  <fills count="61">
    <fill>
      <patternFill/>
    </fill>
    <fill>
      <patternFill patternType="gray125"/>
    </fill>
    <fill>
      <patternFill patternType="solid">
        <fgColor rgb="FFEADFB9"/>
        <bgColor rgb="FFF8D7DA"/>
      </patternFill>
    </fill>
    <fill>
      <patternFill patternType="solid">
        <fgColor rgb="FFE8EEF5"/>
        <bgColor rgb="FFEAF3EA"/>
      </patternFill>
    </fill>
    <fill>
      <patternFill patternType="solid">
        <fgColor rgb="FFFFFF00"/>
        <bgColor rgb="FFFFCC00"/>
      </patternFill>
    </fill>
    <fill>
      <patternFill patternType="solid">
        <fgColor rgb="FF0E2A47"/>
        <bgColor rgb="FF1B3E66"/>
      </patternFill>
    </fill>
    <fill>
      <patternFill patternType="solid">
        <fgColor rgb="FFEAF3EA"/>
        <bgColor rgb="FFE8EEF5"/>
      </patternFill>
    </fill>
    <fill>
      <patternFill patternType="solid">
        <fgColor rgb="FFF5E8E8"/>
        <bgColor rgb="FFF4EADA"/>
      </patternFill>
    </fill>
    <fill>
      <patternFill patternType="solid">
        <fgColor rgb="FF1B3E66"/>
        <bgColor rgb="FF0E2A47"/>
      </patternFill>
    </fill>
    <fill>
      <patternFill patternType="solid">
        <fgColor rgb="FFF7F5F0"/>
        <bgColor rgb="FFEAF3EA"/>
      </patternFill>
    </fill>
    <fill>
      <patternFill patternType="solid">
        <fgColor rgb="FFD6E7F5"/>
        <bgColor rgb="FFD4EDDA"/>
      </patternFill>
    </fill>
    <fill>
      <patternFill patternType="solid">
        <fgColor rgb="FFF4EADA"/>
        <bgColor rgb="FFF5E8E8"/>
      </patternFill>
    </fill>
    <fill>
      <patternFill patternType="solid">
        <fgColor rgb="FFC89B3C"/>
        <bgColor rgb="FF969696"/>
      </patternFill>
    </fill>
    <fill>
      <patternFill patternType="solid">
        <fgColor rgb="FFFFF3CD"/>
        <bgColor rgb="FFFFF2CC"/>
      </patternFill>
    </fill>
    <fill>
      <patternFill patternType="solid">
        <fgColor rgb="FFD4EDDA"/>
        <bgColor rgb="FFD6E7F5"/>
      </patternFill>
    </fill>
    <fill>
      <patternFill patternType="solid">
        <fgColor rgb="FFF8D7DA"/>
        <bgColor rgb="FFF5E8E8"/>
      </patternFill>
    </fill>
    <fill>
      <patternFill patternType="solid">
        <fgColor rgb="FFFFF2CC"/>
        <bgColor rgb="FFFFF3CD"/>
      </patternFill>
    </fill>
    <fill>
      <patternFill patternType="solid">
        <fgColor rgb="FFFFFFFF"/>
        <bgColor rgb="FFF7F5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7F7F7"/>
      </patternFill>
    </fill>
    <fill>
      <patternFill patternType="solid">
        <fgColor rgb="FFFFD700"/>
      </patternFill>
    </fill>
    <fill>
      <patternFill patternType="solid">
        <fgColor rgb="FFCCFFCC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E2D9F3"/>
      </patternFill>
    </fill>
    <fill>
      <patternFill patternType="solid">
        <fgColor rgb="FFCCE5FF"/>
      </patternFill>
    </fill>
    <fill>
      <patternFill patternType="solid">
        <fgColor rgb="FFF8D7DA"/>
      </patternFill>
    </fill>
    <fill>
      <patternFill patternType="solid">
        <fgColor rgb="FF2E4057"/>
      </patternFill>
    </fill>
    <fill>
      <patternFill patternType="solid">
        <fgColor rgb="FFFFE5B4"/>
      </patternFill>
    </fill>
    <fill>
      <patternFill patternType="solid">
        <fgColor rgb="FF1E3A5F"/>
      </patternFill>
    </fill>
    <fill>
      <patternFill patternType="solid">
        <fgColor rgb="FFFFC7CE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EEEEEE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1C5E1E"/>
      </patternFill>
    </fill>
    <fill>
      <patternFill patternType="solid">
        <fgColor rgb="FFEBF5EB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DE7"/>
      </patternFill>
    </fill>
    <fill>
      <patternFill patternType="solid">
        <fgColor rgb="001E2130"/>
      </patternFill>
    </fill>
    <fill>
      <patternFill patternType="solid">
        <fgColor rgb="000E2A47"/>
      </patternFill>
    </fill>
    <fill>
      <patternFill patternType="solid">
        <fgColor rgb="00F0F4FF"/>
      </patternFill>
    </fill>
    <fill>
      <patternFill patternType="solid">
        <fgColor rgb="002E3250"/>
      </patternFill>
    </fill>
    <fill>
      <patternFill patternType="solid">
        <fgColor rgb="00D6E4FF"/>
      </patternFill>
    </fill>
    <fill>
      <patternFill patternType="solid">
        <fgColor rgb="00FFF2CC"/>
      </patternFill>
    </fill>
    <fill>
      <patternFill patternType="solid">
        <fgColor rgb="00F8F8FF"/>
      </patternFill>
    </fill>
    <fill>
      <patternFill patternType="solid">
        <fgColor rgb="001A56DB"/>
      </patternFill>
    </fill>
    <fill>
      <patternFill patternType="solid">
        <fgColor rgb="00F8F9FF"/>
      </patternFill>
    </fill>
    <fill>
      <patternFill patternType="solid">
        <fgColor rgb="0000B050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374151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hair">
        <color rgb="FFDDDDDD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  <border>
      <left/>
      <right/>
      <top style="hair">
        <color rgb="00CCCCCC"/>
      </top>
      <bottom/>
      <diagonal/>
    </border>
    <border>
      <left/>
      <right style="hair">
        <color rgb="00CCCCCC"/>
      </right>
      <top style="hair">
        <color rgb="00CCCCCC"/>
      </top>
      <bottom/>
      <diagonal/>
    </border>
    <border>
      <left/>
      <right/>
      <top style="hair">
        <color rgb="00CCCCCC"/>
      </top>
      <bottom style="hair">
        <color rgb="00CCCCCC"/>
      </bottom>
      <diagonal/>
    </border>
    <border>
      <left/>
      <right style="hair">
        <color rgb="00CCCCCC"/>
      </right>
      <top style="hair">
        <color rgb="00CCCCCC"/>
      </top>
      <bottom style="hair">
        <color rgb="00CCCCCC"/>
      </bottom>
      <diagonal/>
    </border>
    <border>
      <left style="thin">
        <color rgb="002E3250"/>
      </left>
      <right style="thin">
        <color rgb="002E3250"/>
      </right>
      <top style="thin">
        <color rgb="002E3250"/>
      </top>
      <bottom style="thin">
        <color rgb="002E3250"/>
      </bottom>
    </border>
  </borders>
  <cellStyleXfs count="1">
    <xf numFmtId="0" fontId="0" fillId="0" borderId="0"/>
  </cellStyleXfs>
  <cellXfs count="408">
    <xf numFmtId="0" fontId="0" fillId="0" borderId="0" pivotButton="0" quotePrefix="0" xfId="0"/>
    <xf numFmtId="0" fontId="5" fillId="0" borderId="0" pivotButton="0" quotePrefix="0" xfId="0"/>
    <xf numFmtId="0" fontId="5" fillId="9" borderId="1" applyAlignment="1" pivotButton="0" quotePrefix="0" xfId="0">
      <alignment horizontal="left" indent="1"/>
    </xf>
    <xf numFmtId="164" fontId="4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/>
    </xf>
    <xf numFmtId="164" fontId="5" fillId="0" borderId="0" pivotButton="0" quotePrefix="0" xfId="0"/>
    <xf numFmtId="164" fontId="11" fillId="2" borderId="0" pivotButton="0" quotePrefix="0" xfId="0"/>
    <xf numFmtId="165" fontId="11" fillId="2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11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1"/>
    </xf>
    <xf numFmtId="0" fontId="1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0" fontId="17" fillId="0" borderId="1" pivotButton="0" quotePrefix="0" xfId="0"/>
    <xf numFmtId="0" fontId="22" fillId="0" borderId="1" pivotButton="0" quotePrefix="0" xfId="0"/>
    <xf numFmtId="0" fontId="23" fillId="0" borderId="1" pivotButton="0" quotePrefix="0" xfId="0"/>
    <xf numFmtId="0" fontId="24" fillId="0" borderId="1" pivotButton="0" quotePrefix="0" xfId="0"/>
    <xf numFmtId="0" fontId="18" fillId="0" borderId="1" pivotButton="0" quotePrefix="0" xfId="0"/>
    <xf numFmtId="1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6" fontId="18" fillId="0" borderId="1" applyAlignment="1" pivotButton="0" quotePrefix="0" xfId="0">
      <alignment horizontal="right"/>
    </xf>
    <xf numFmtId="0" fontId="18" fillId="0" borderId="1" applyAlignment="1" pivotButton="0" quotePrefix="0" xfId="0">
      <alignment vertical="top"/>
    </xf>
    <xf numFmtId="168" fontId="17" fillId="0" borderId="1" applyAlignment="1" pivotButton="0" quotePrefix="0" xfId="0">
      <alignment horizontal="center"/>
    </xf>
    <xf numFmtId="0" fontId="0" fillId="0" borderId="1" applyAlignment="1" pivotButton="0" quotePrefix="0" xfId="0">
      <alignment indent="1"/>
    </xf>
    <xf numFmtId="166" fontId="23" fillId="0" borderId="1" applyAlignment="1" pivotButton="0" quotePrefix="0" xfId="0">
      <alignment horizontal="right"/>
    </xf>
    <xf numFmtId="168" fontId="24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12" fillId="8" borderId="1" applyAlignment="1" pivotButton="0" quotePrefix="0" xfId="0">
      <alignment horizontal="left" vertical="center" wrapText="1" indent="1"/>
    </xf>
    <xf numFmtId="0" fontId="1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 indent="1"/>
    </xf>
    <xf numFmtId="0" fontId="11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28" fillId="0" borderId="1" pivotButton="0" quotePrefix="0" xfId="0"/>
    <xf numFmtId="0" fontId="29" fillId="16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169" fontId="5" fillId="0" borderId="0" pivotButton="0" quotePrefix="0" xfId="0"/>
    <xf numFmtId="169" fontId="11" fillId="2" borderId="0" pivotButton="0" quotePrefix="0" xfId="0"/>
    <xf numFmtId="170" fontId="5" fillId="2" borderId="0" pivotButton="0" quotePrefix="0" xfId="0"/>
    <xf numFmtId="171" fontId="28" fillId="0" borderId="1" applyAlignment="1" pivotButton="0" quotePrefix="0" xfId="0">
      <alignment horizontal="right" vertical="center"/>
    </xf>
    <xf numFmtId="0" fontId="28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169" fontId="28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70" fontId="6" fillId="0" borderId="1" applyAlignment="1" pivotButton="0" quotePrefix="0" xfId="0">
      <alignment horizontal="right" vertical="center"/>
    </xf>
    <xf numFmtId="1" fontId="28" fillId="0" borderId="1" applyAlignment="1" pivotButton="0" quotePrefix="0" xfId="0">
      <alignment horizontal="right" vertical="center"/>
    </xf>
    <xf numFmtId="171" fontId="28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 indent="1"/>
    </xf>
    <xf numFmtId="169" fontId="28" fillId="0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0">
      <alignment horizontal="center" vertical="center" wrapText="1"/>
    </xf>
    <xf numFmtId="1" fontId="28" fillId="0" borderId="1" applyAlignment="1" pivotButton="0" quotePrefix="0" xfId="0">
      <alignment horizontal="center" vertical="center" wrapText="1"/>
    </xf>
    <xf numFmtId="1" fontId="5" fillId="0" borderId="0" pivotButton="0" quotePrefix="0" xfId="0"/>
    <xf numFmtId="169" fontId="5" fillId="2" borderId="0" pivotButton="0" quotePrefix="0" xfId="0"/>
    <xf numFmtId="169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32" fillId="0" borderId="0" pivotButton="0" quotePrefix="0" xfId="0"/>
    <xf numFmtId="169" fontId="32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indent="1"/>
    </xf>
    <xf numFmtId="166" fontId="5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31" fillId="2" borderId="1" applyAlignment="1" pivotButton="0" quotePrefix="0" xfId="0">
      <alignment horizontal="left" vertical="center" indent="1"/>
    </xf>
    <xf numFmtId="166" fontId="1" fillId="2" borderId="1" applyAlignment="1" pivotButton="0" quotePrefix="0" xfId="0">
      <alignment horizontal="center" vertical="center" wrapText="1"/>
    </xf>
    <xf numFmtId="166" fontId="33" fillId="4" borderId="1" applyAlignment="1" pivotButton="0" quotePrefix="0" xfId="0">
      <alignment horizontal="center" vertical="center" wrapText="1"/>
    </xf>
    <xf numFmtId="165" fontId="28" fillId="0" borderId="1" applyAlignment="1" pivotButton="0" quotePrefix="0" xfId="0">
      <alignment horizontal="center" vertical="center" wrapText="1"/>
    </xf>
    <xf numFmtId="166" fontId="28" fillId="0" borderId="1" applyAlignment="1" pivotButton="0" quotePrefix="0" xfId="0">
      <alignment horizontal="center" vertical="center" wrapText="1"/>
    </xf>
    <xf numFmtId="10" fontId="28" fillId="0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 indent="1"/>
    </xf>
    <xf numFmtId="0" fontId="35" fillId="5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indent="1"/>
    </xf>
    <xf numFmtId="172" fontId="4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indent="1"/>
    </xf>
    <xf numFmtId="164" fontId="11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indent="1"/>
    </xf>
    <xf numFmtId="172" fontId="12" fillId="5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indent="1"/>
    </xf>
    <xf numFmtId="166" fontId="31" fillId="2" borderId="1" applyAlignment="1" pivotButton="0" quotePrefix="0" xfId="0">
      <alignment horizontal="center" vertical="center" wrapText="1"/>
    </xf>
    <xf numFmtId="172" fontId="3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indent="1"/>
    </xf>
    <xf numFmtId="172" fontId="4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indent="1"/>
    </xf>
    <xf numFmtId="164" fontId="2" fillId="2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left" indent="1"/>
    </xf>
    <xf numFmtId="173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indent="1"/>
    </xf>
    <xf numFmtId="165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 indent="1"/>
    </xf>
    <xf numFmtId="171" fontId="0" fillId="18" borderId="0" pivotButton="0" quotePrefix="0" xfId="0"/>
    <xf numFmtId="0" fontId="0" fillId="18" borderId="0" pivotButton="0" quotePrefix="0" xfId="0"/>
    <xf numFmtId="4" fontId="0" fillId="18" borderId="0" pivotButton="0" quotePrefix="0" xfId="0"/>
    <xf numFmtId="165" fontId="0" fillId="18" borderId="0" pivotButton="0" quotePrefix="0" xfId="0"/>
    <xf numFmtId="171" fontId="0" fillId="19" borderId="0" pivotButton="0" quotePrefix="0" xfId="0"/>
    <xf numFmtId="0" fontId="0" fillId="19" borderId="0" pivotButton="0" quotePrefix="0" xfId="0"/>
    <xf numFmtId="4" fontId="0" fillId="19" borderId="0" pivotButton="0" quotePrefix="0" xfId="0"/>
    <xf numFmtId="165" fontId="0" fillId="19" borderId="0" pivotButton="0" quotePrefix="0" xfId="0"/>
    <xf numFmtId="0" fontId="38" fillId="0" borderId="0" pivotButton="0" quotePrefix="0" xfId="0"/>
    <xf numFmtId="0" fontId="39" fillId="20" borderId="0" applyAlignment="1" pivotButton="0" quotePrefix="0" xfId="0">
      <alignment horizontal="center" wrapText="1"/>
    </xf>
    <xf numFmtId="0" fontId="0" fillId="21" borderId="0" pivotButton="0" quotePrefix="0" xfId="0"/>
    <xf numFmtId="0" fontId="0" fillId="22" borderId="0" pivotButton="0" quotePrefix="0" xfId="0"/>
    <xf numFmtId="4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40" fillId="0" borderId="0" pivotButton="0" quotePrefix="0" xfId="0"/>
    <xf numFmtId="4" fontId="40" fillId="0" borderId="0" pivotButton="0" quotePrefix="0" xfId="0"/>
    <xf numFmtId="171" fontId="28" fillId="18" borderId="1" applyAlignment="1" pivotButton="0" quotePrefix="0" xfId="0">
      <alignment horizontal="center" vertical="center" wrapText="1"/>
    </xf>
    <xf numFmtId="0" fontId="28" fillId="18" borderId="1" applyAlignment="1" pivotButton="0" quotePrefix="0" xfId="0">
      <alignment horizontal="center" vertical="center" wrapText="1"/>
    </xf>
    <xf numFmtId="0" fontId="28" fillId="18" borderId="1" applyAlignment="1" pivotButton="0" quotePrefix="0" xfId="0">
      <alignment horizontal="left" vertical="center" wrapText="1"/>
    </xf>
    <xf numFmtId="169" fontId="28" fillId="18" borderId="1" applyAlignment="1" pivotButton="0" quotePrefix="0" xfId="0">
      <alignment horizontal="center" vertical="center" wrapText="1"/>
    </xf>
    <xf numFmtId="4" fontId="28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171" fontId="28" fillId="19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left" vertical="center" wrapText="1"/>
    </xf>
    <xf numFmtId="169" fontId="28" fillId="19" borderId="1" applyAlignment="1" pivotButton="0" quotePrefix="0" xfId="0">
      <alignment horizontal="center" vertical="center" wrapText="1"/>
    </xf>
    <xf numFmtId="4" fontId="28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 indent="1"/>
    </xf>
    <xf numFmtId="0" fontId="6" fillId="19" borderId="0" applyAlignment="1" pivotButton="0" quotePrefix="0" xfId="0">
      <alignment horizontal="left" vertical="center" wrapText="1" indent="1"/>
    </xf>
    <xf numFmtId="0" fontId="6" fillId="18" borderId="0" applyAlignment="1" pivotButton="0" quotePrefix="0" xfId="0">
      <alignment horizontal="left" vertical="center" wrapText="1" indent="1"/>
    </xf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167" fontId="0" fillId="0" borderId="0" pivotButton="0" quotePrefix="0" xfId="0"/>
    <xf numFmtId="0" fontId="42" fillId="0" borderId="0" pivotButton="0" quotePrefix="0" xfId="0"/>
    <xf numFmtId="0" fontId="43" fillId="26" borderId="0" applyAlignment="1" pivotButton="0" quotePrefix="0" xfId="0">
      <alignment horizontal="center"/>
    </xf>
    <xf numFmtId="0" fontId="43" fillId="25" borderId="0" applyAlignment="1" pivotButton="0" quotePrefix="0" xfId="0">
      <alignment horizontal="center"/>
    </xf>
    <xf numFmtId="0" fontId="43" fillId="28" borderId="0" applyAlignment="1" pivotButton="0" quotePrefix="0" xfId="0">
      <alignment horizontal="center"/>
    </xf>
    <xf numFmtId="0" fontId="43" fillId="27" borderId="0" applyAlignment="1" pivotButton="0" quotePrefix="0" xfId="0">
      <alignment horizontal="center"/>
    </xf>
    <xf numFmtId="0" fontId="43" fillId="29" borderId="0" applyAlignment="1" pivotButton="0" quotePrefix="0" xfId="0">
      <alignment horizontal="center"/>
    </xf>
    <xf numFmtId="0" fontId="43" fillId="19" borderId="0" applyAlignment="1" pivotButton="0" quotePrefix="0" xfId="0">
      <alignment horizontal="center"/>
    </xf>
    <xf numFmtId="0" fontId="45" fillId="0" borderId="0" pivotButton="0" quotePrefix="0" xfId="0"/>
    <xf numFmtId="0" fontId="39" fillId="30" borderId="0" applyAlignment="1" pivotButton="0" quotePrefix="0" xfId="0">
      <alignment horizontal="center" wrapText="1"/>
    </xf>
    <xf numFmtId="0" fontId="0" fillId="31" borderId="0" pivotButton="0" quotePrefix="0" xfId="0"/>
    <xf numFmtId="0" fontId="49" fillId="32" borderId="5" applyAlignment="1" pivotButton="0" quotePrefix="0" xfId="0">
      <alignment horizontal="center" vertical="center"/>
    </xf>
    <xf numFmtId="0" fontId="48" fillId="34" borderId="5" applyAlignment="1" pivotButton="0" quotePrefix="0" xfId="0">
      <alignment horizontal="left" vertical="center" wrapText="1"/>
    </xf>
    <xf numFmtId="0" fontId="50" fillId="34" borderId="5" applyAlignment="1" pivotButton="0" quotePrefix="0" xfId="0">
      <alignment horizontal="left" vertical="center" wrapText="1"/>
    </xf>
    <xf numFmtId="0" fontId="51" fillId="34" borderId="5" applyAlignment="1" pivotButton="0" quotePrefix="0" xfId="0">
      <alignment horizontal="left" vertical="center" wrapText="1"/>
    </xf>
    <xf numFmtId="0" fontId="52" fillId="34" borderId="5" applyAlignment="1" pivotButton="0" quotePrefix="0" xfId="0">
      <alignment horizontal="center" vertical="center" wrapText="1"/>
    </xf>
    <xf numFmtId="0" fontId="53" fillId="34" borderId="5" applyAlignment="1" pivotButton="0" quotePrefix="0" xfId="0">
      <alignment horizontal="left" vertical="center" wrapText="1"/>
    </xf>
    <xf numFmtId="0" fontId="51" fillId="34" borderId="5" applyAlignment="1" pivotButton="0" quotePrefix="0" xfId="0">
      <alignment horizontal="center" vertical="center"/>
    </xf>
    <xf numFmtId="0" fontId="48" fillId="33" borderId="5" applyAlignment="1" pivotButton="0" quotePrefix="0" xfId="0">
      <alignment horizontal="left" vertical="center" wrapText="1"/>
    </xf>
    <xf numFmtId="0" fontId="50" fillId="33" borderId="5" applyAlignment="1" pivotButton="0" quotePrefix="0" xfId="0">
      <alignment horizontal="left" vertical="center" wrapText="1"/>
    </xf>
    <xf numFmtId="0" fontId="51" fillId="33" borderId="5" applyAlignment="1" pivotButton="0" quotePrefix="0" xfId="0">
      <alignment horizontal="left" vertical="center" wrapText="1"/>
    </xf>
    <xf numFmtId="0" fontId="52" fillId="33" borderId="5" applyAlignment="1" pivotButton="0" quotePrefix="0" xfId="0">
      <alignment horizontal="center" vertical="center" wrapText="1"/>
    </xf>
    <xf numFmtId="0" fontId="53" fillId="33" borderId="5" applyAlignment="1" pivotButton="0" quotePrefix="0" xfId="0">
      <alignment horizontal="left" vertical="center" wrapText="1"/>
    </xf>
    <xf numFmtId="0" fontId="51" fillId="33" borderId="5" applyAlignment="1" pivotButton="0" quotePrefix="0" xfId="0">
      <alignment horizontal="center" vertical="center"/>
    </xf>
    <xf numFmtId="0" fontId="48" fillId="36" borderId="5" applyAlignment="1" pivotButton="0" quotePrefix="0" xfId="0">
      <alignment horizontal="left" vertical="center" wrapText="1"/>
    </xf>
    <xf numFmtId="0" fontId="50" fillId="36" borderId="5" applyAlignment="1" pivotButton="0" quotePrefix="0" xfId="0">
      <alignment horizontal="left" vertical="center" wrapText="1"/>
    </xf>
    <xf numFmtId="0" fontId="54" fillId="36" borderId="5" applyAlignment="1" pivotButton="0" quotePrefix="0" xfId="0">
      <alignment horizontal="left" vertical="center" wrapText="1"/>
    </xf>
    <xf numFmtId="0" fontId="53" fillId="36" borderId="5" applyAlignment="1" pivotButton="0" quotePrefix="0" xfId="0">
      <alignment horizontal="center" vertical="center" wrapText="1"/>
    </xf>
    <xf numFmtId="0" fontId="53" fillId="36" borderId="5" applyAlignment="1" pivotButton="0" quotePrefix="0" xfId="0">
      <alignment horizontal="left" vertical="center" wrapText="1"/>
    </xf>
    <xf numFmtId="0" fontId="54" fillId="36" borderId="5" applyAlignment="1" pivotButton="0" quotePrefix="0" xfId="0">
      <alignment horizontal="center" vertical="center"/>
    </xf>
    <xf numFmtId="0" fontId="55" fillId="34" borderId="5" applyAlignment="1" pivotButton="0" quotePrefix="0" xfId="0">
      <alignment horizontal="left" vertical="center" wrapText="1"/>
    </xf>
    <xf numFmtId="0" fontId="56" fillId="34" borderId="5" applyAlignment="1" pivotButton="0" quotePrefix="0" xfId="0">
      <alignment horizontal="center" vertical="center" wrapText="1"/>
    </xf>
    <xf numFmtId="0" fontId="55" fillId="34" borderId="5" applyAlignment="1" pivotButton="0" quotePrefix="0" xfId="0">
      <alignment horizontal="center" vertical="center"/>
    </xf>
    <xf numFmtId="0" fontId="48" fillId="35" borderId="5" applyAlignment="1" pivotButton="0" quotePrefix="0" xfId="0">
      <alignment horizontal="left" vertical="center" wrapText="1"/>
    </xf>
    <xf numFmtId="0" fontId="50" fillId="35" borderId="5" applyAlignment="1" pivotButton="0" quotePrefix="0" xfId="0">
      <alignment horizontal="left" vertical="center" wrapText="1"/>
    </xf>
    <xf numFmtId="0" fontId="57" fillId="35" borderId="5" applyAlignment="1" pivotButton="0" quotePrefix="0" xfId="0">
      <alignment horizontal="left" vertical="center" wrapText="1"/>
    </xf>
    <xf numFmtId="0" fontId="58" fillId="35" borderId="5" applyAlignment="1" pivotButton="0" quotePrefix="0" xfId="0">
      <alignment horizontal="center" vertical="center" wrapText="1"/>
    </xf>
    <xf numFmtId="0" fontId="53" fillId="35" borderId="5" applyAlignment="1" pivotButton="0" quotePrefix="0" xfId="0">
      <alignment horizontal="left" vertical="center" wrapText="1"/>
    </xf>
    <xf numFmtId="0" fontId="57" fillId="35" borderId="5" applyAlignment="1" pivotButton="0" quotePrefix="0" xfId="0">
      <alignment horizontal="center" vertical="center"/>
    </xf>
    <xf numFmtId="0" fontId="48" fillId="37" borderId="5" applyAlignment="1" pivotButton="0" quotePrefix="0" xfId="0">
      <alignment horizontal="left" vertical="center" wrapText="1"/>
    </xf>
    <xf numFmtId="0" fontId="50" fillId="37" borderId="5" applyAlignment="1" pivotButton="0" quotePrefix="0" xfId="0">
      <alignment horizontal="left" vertical="center" wrapText="1"/>
    </xf>
    <xf numFmtId="0" fontId="59" fillId="37" borderId="5" applyAlignment="1" pivotButton="0" quotePrefix="0" xfId="0">
      <alignment horizontal="left" vertical="center" wrapText="1"/>
    </xf>
    <xf numFmtId="0" fontId="60" fillId="37" borderId="5" applyAlignment="1" pivotButton="0" quotePrefix="0" xfId="0">
      <alignment horizontal="center" vertical="center" wrapText="1"/>
    </xf>
    <xf numFmtId="0" fontId="53" fillId="37" borderId="5" applyAlignment="1" pivotButton="0" quotePrefix="0" xfId="0">
      <alignment horizontal="left" vertical="center" wrapText="1"/>
    </xf>
    <xf numFmtId="0" fontId="59" fillId="37" borderId="5" applyAlignment="1" pivotButton="0" quotePrefix="0" xfId="0">
      <alignment horizontal="center" vertical="center"/>
    </xf>
    <xf numFmtId="0" fontId="63" fillId="0" borderId="0" pivotButton="0" quotePrefix="0" xfId="0"/>
    <xf numFmtId="0" fontId="65" fillId="0" borderId="0" pivotButton="0" quotePrefix="0" xfId="0"/>
    <xf numFmtId="0" fontId="66" fillId="40" borderId="0" applyAlignment="1" pivotButton="0" quotePrefix="0" xfId="0">
      <alignment horizontal="left" vertical="center" indent="1"/>
    </xf>
    <xf numFmtId="0" fontId="63" fillId="40" borderId="0" pivotButton="0" quotePrefix="0" xfId="0"/>
    <xf numFmtId="0" fontId="67" fillId="0" borderId="8" applyAlignment="1" pivotButton="0" quotePrefix="0" xfId="0">
      <alignment horizontal="left" vertical="center"/>
    </xf>
    <xf numFmtId="0" fontId="68" fillId="0" borderId="8" applyAlignment="1" pivotButton="0" quotePrefix="0" xfId="0">
      <alignment horizontal="left" vertical="center"/>
    </xf>
    <xf numFmtId="0" fontId="69" fillId="39" borderId="0" applyAlignment="1" pivotButton="0" quotePrefix="0" xfId="0">
      <alignment horizontal="center" vertical="center"/>
    </xf>
    <xf numFmtId="0" fontId="0" fillId="42" borderId="9" applyAlignment="1" pivotButton="0" quotePrefix="0" xfId="0">
      <alignment horizontal="center" vertical="center"/>
    </xf>
    <xf numFmtId="0" fontId="0" fillId="18" borderId="9" applyAlignment="1" pivotButton="0" quotePrefix="0" xfId="0">
      <alignment horizontal="center" vertical="center"/>
    </xf>
    <xf numFmtId="0" fontId="0" fillId="42" borderId="9" applyAlignment="1" pivotButton="0" quotePrefix="0" xfId="0">
      <alignment horizontal="left" vertical="center"/>
    </xf>
    <xf numFmtId="0" fontId="71" fillId="42" borderId="9" applyAlignment="1" pivotButton="0" quotePrefix="0" xfId="0">
      <alignment horizontal="left" vertical="center"/>
    </xf>
    <xf numFmtId="174" fontId="0" fillId="42" borderId="9" applyAlignment="1" pivotButton="0" quotePrefix="0" xfId="0">
      <alignment horizontal="left" vertical="center"/>
    </xf>
    <xf numFmtId="0" fontId="0" fillId="42" borderId="9" applyAlignment="1" pivotButton="0" quotePrefix="0" xfId="0">
      <alignment horizontal="left" vertical="center" wrapText="1"/>
    </xf>
    <xf numFmtId="9" fontId="0" fillId="42" borderId="9" applyAlignment="1" pivotButton="0" quotePrefix="0" xfId="0">
      <alignment horizontal="left" vertical="center"/>
    </xf>
    <xf numFmtId="0" fontId="0" fillId="18" borderId="9" applyAlignment="1" pivotButton="0" quotePrefix="0" xfId="0">
      <alignment horizontal="left" vertical="center"/>
    </xf>
    <xf numFmtId="0" fontId="71" fillId="18" borderId="9" applyAlignment="1" pivotButton="0" quotePrefix="0" xfId="0">
      <alignment horizontal="left" vertical="center"/>
    </xf>
    <xf numFmtId="174" fontId="0" fillId="18" borderId="9" applyAlignment="1" pivotButton="0" quotePrefix="0" xfId="0">
      <alignment horizontal="left" vertical="center"/>
    </xf>
    <xf numFmtId="0" fontId="0" fillId="18" borderId="9" applyAlignment="1" pivotButton="0" quotePrefix="0" xfId="0">
      <alignment horizontal="left" vertical="center" wrapText="1"/>
    </xf>
    <xf numFmtId="9" fontId="0" fillId="18" borderId="9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indent="1"/>
    </xf>
    <xf numFmtId="0" fontId="0" fillId="0" borderId="4" pivotButton="0" quotePrefix="0" xfId="0"/>
    <xf numFmtId="0" fontId="0" fillId="0" borderId="3" pivotButton="0" quotePrefix="0" xfId="0"/>
    <xf numFmtId="164" fontId="10" fillId="3" borderId="1" applyAlignment="1" pivotButton="0" quotePrefix="0" xfId="0">
      <alignment horizontal="center" vertical="center"/>
    </xf>
    <xf numFmtId="0" fontId="69" fillId="39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 wrapText="1" indent="1"/>
    </xf>
    <xf numFmtId="164" fontId="10" fillId="7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indent="1"/>
    </xf>
    <xf numFmtId="164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10" fillId="3" borderId="1" applyAlignment="1" pivotButton="0" quotePrefix="0" xfId="0">
      <alignment horizontal="center" vertical="center"/>
    </xf>
    <xf numFmtId="166" fontId="10" fillId="3" borderId="1" applyAlignment="1" pivotButton="0" quotePrefix="0" xfId="0">
      <alignment horizontal="center" vertical="center"/>
    </xf>
    <xf numFmtId="1" fontId="10" fillId="7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0" fontId="64" fillId="39" borderId="0" applyAlignment="1" pivotButton="0" quotePrefix="0" xfId="0">
      <alignment horizontal="left" vertical="center"/>
    </xf>
    <xf numFmtId="0" fontId="70" fillId="41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21" fillId="12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vertical="top" wrapText="1" indent="1"/>
    </xf>
    <xf numFmtId="0" fontId="13" fillId="5" borderId="1" applyAlignment="1" pivotButton="0" quotePrefix="0" xfId="0">
      <alignment horizontal="center"/>
    </xf>
    <xf numFmtId="0" fontId="20" fillId="0" borderId="0" pivotButton="0" quotePrefix="0" xfId="0"/>
    <xf numFmtId="0" fontId="17" fillId="13" borderId="1" applyAlignment="1" pivotButton="0" quotePrefix="0" xfId="0">
      <alignment horizontal="left" wrapText="1" indent="1"/>
    </xf>
    <xf numFmtId="0" fontId="18" fillId="0" borderId="1" pivotButton="0" quotePrefix="0" xfId="0"/>
    <xf numFmtId="0" fontId="26" fillId="0" borderId="0" applyAlignment="1" pivotButton="0" quotePrefix="0" xfId="0">
      <alignment indent="1"/>
    </xf>
    <xf numFmtId="0" fontId="0" fillId="0" borderId="2" applyAlignment="1" pivotButton="0" quotePrefix="0" xfId="0">
      <alignment indent="1"/>
    </xf>
    <xf numFmtId="166" fontId="0" fillId="0" borderId="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0" fontId="13" fillId="5" borderId="1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/>
    </xf>
    <xf numFmtId="0" fontId="21" fillId="8" borderId="0" applyAlignment="1" pivotButton="0" quotePrefix="0" xfId="0">
      <alignment horizontal="left" vertical="center" indent="1"/>
    </xf>
    <xf numFmtId="0" fontId="18" fillId="0" borderId="2" applyAlignment="1" pivotButton="0" quotePrefix="0" xfId="0">
      <alignment horizontal="center"/>
    </xf>
    <xf numFmtId="0" fontId="22" fillId="13" borderId="2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vertical="top" wrapText="1" indent="1"/>
    </xf>
    <xf numFmtId="1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vertical="center" indent="1"/>
    </xf>
    <xf numFmtId="0" fontId="25" fillId="12" borderId="0" applyAlignment="1" pivotButton="0" quotePrefix="0" xfId="0">
      <alignment horizontal="left" vertical="center" indent="1"/>
    </xf>
    <xf numFmtId="0" fontId="17" fillId="13" borderId="2" applyAlignment="1" pivotButton="0" quotePrefix="0" xfId="0">
      <alignment horizontal="left" vertical="center" wrapText="1" indent="1"/>
    </xf>
    <xf numFmtId="0" fontId="17" fillId="15" borderId="2" applyAlignment="1" pivotButton="0" quotePrefix="0" xfId="0">
      <alignment horizontal="left" vertical="center" wrapText="1" indent="1"/>
    </xf>
    <xf numFmtId="165" fontId="0" fillId="0" borderId="1" applyAlignment="1" pivotButton="0" quotePrefix="0" xfId="0">
      <alignment horizontal="right"/>
    </xf>
    <xf numFmtId="0" fontId="23" fillId="14" borderId="2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top" wrapText="1" indent="1"/>
    </xf>
    <xf numFmtId="0" fontId="11" fillId="2" borderId="0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 indent="1"/>
    </xf>
    <xf numFmtId="0" fontId="30" fillId="7" borderId="0" applyAlignment="1" pivotButton="0" quotePrefix="0" xfId="0">
      <alignment horizontal="left" vertical="center" indent="1"/>
    </xf>
    <xf numFmtId="0" fontId="31" fillId="2" borderId="0" pivotButton="0" quotePrefix="0" xfId="0"/>
    <xf numFmtId="0" fontId="41" fillId="0" borderId="0" pivotButton="0" quotePrefix="0" xfId="0"/>
    <xf numFmtId="0" fontId="38" fillId="0" borderId="0" pivotButton="0" quotePrefix="0" xfId="0"/>
    <xf numFmtId="0" fontId="46" fillId="0" borderId="0" pivotButton="0" quotePrefix="0" xfId="0"/>
    <xf numFmtId="0" fontId="44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 indent="1"/>
    </xf>
    <xf numFmtId="0" fontId="36" fillId="17" borderId="1" applyAlignment="1" pivotButton="0" quotePrefix="0" xfId="0">
      <alignment horizontal="left" vertical="center" wrapText="1" indent="1"/>
    </xf>
    <xf numFmtId="0" fontId="2" fillId="2" borderId="0" applyAlignment="1" pivotButton="0" quotePrefix="0" xfId="0">
      <alignment horizontal="left" vertical="center" indent="1"/>
    </xf>
    <xf numFmtId="0" fontId="34" fillId="0" borderId="0" applyAlignment="1" pivotButton="0" quotePrefix="0" xfId="0">
      <alignment horizontal="left" vertical="center" wrapText="1" indent="1"/>
    </xf>
    <xf numFmtId="0" fontId="35" fillId="5" borderId="1" applyAlignment="1" pivotButton="0" quotePrefix="0" xfId="0">
      <alignment horizontal="center" vertical="center" wrapText="1"/>
    </xf>
    <xf numFmtId="0" fontId="37" fillId="2" borderId="0" applyAlignment="1" pivotButton="0" quotePrefix="0" xfId="0">
      <alignment horizontal="left" vertical="center" wrapText="1" indent="1"/>
    </xf>
    <xf numFmtId="0" fontId="27" fillId="0" borderId="0" applyAlignment="1" pivotButton="0" quotePrefix="0" xfId="0">
      <alignment horizontal="left" vertical="center" wrapText="1"/>
    </xf>
    <xf numFmtId="0" fontId="62" fillId="33" borderId="5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47" fillId="0" borderId="0" applyAlignment="1" pivotButton="0" quotePrefix="0" xfId="0">
      <alignment horizontal="center" vertical="center"/>
    </xf>
    <xf numFmtId="0" fontId="50" fillId="35" borderId="5" applyAlignment="1" pivotButton="0" quotePrefix="0" xfId="0">
      <alignment horizontal="left" vertical="center" wrapText="1"/>
    </xf>
    <xf numFmtId="0" fontId="62" fillId="34" borderId="5" applyAlignment="1" pivotButton="0" quotePrefix="0" xfId="0">
      <alignment horizontal="left" vertical="center" wrapText="1"/>
    </xf>
    <xf numFmtId="0" fontId="48" fillId="36" borderId="5" applyAlignment="1" pivotButton="0" quotePrefix="0" xfId="0">
      <alignment horizontal="center" vertical="center" wrapText="1"/>
    </xf>
    <xf numFmtId="0" fontId="48" fillId="33" borderId="0" applyAlignment="1" pivotButton="0" quotePrefix="0" xfId="0">
      <alignment horizontal="center" vertical="center"/>
    </xf>
    <xf numFmtId="0" fontId="48" fillId="36" borderId="0" applyAlignment="1" pivotButton="0" quotePrefix="0" xfId="0">
      <alignment horizontal="center" vertical="center"/>
    </xf>
    <xf numFmtId="0" fontId="48" fillId="37" borderId="0" applyAlignment="1" pivotButton="0" quotePrefix="0" xfId="0">
      <alignment horizontal="center" vertical="center"/>
    </xf>
    <xf numFmtId="0" fontId="48" fillId="37" borderId="5" applyAlignment="1" pivotButton="0" quotePrefix="0" xfId="0">
      <alignment horizontal="center" vertical="center" wrapText="1"/>
    </xf>
    <xf numFmtId="0" fontId="50" fillId="37" borderId="5" applyAlignment="1" pivotButton="0" quotePrefix="0" xfId="0">
      <alignment horizontal="left" vertical="center" wrapText="1"/>
    </xf>
    <xf numFmtId="0" fontId="62" fillId="36" borderId="5" applyAlignment="1" pivotButton="0" quotePrefix="0" xfId="0">
      <alignment horizontal="left" vertical="center" wrapText="1"/>
    </xf>
    <xf numFmtId="0" fontId="62" fillId="37" borderId="5" applyAlignment="1" pivotButton="0" quotePrefix="0" xfId="0">
      <alignment horizontal="left" vertical="center" wrapText="1"/>
    </xf>
    <xf numFmtId="0" fontId="61" fillId="32" borderId="0" applyAlignment="1" pivotButton="0" quotePrefix="0" xfId="0">
      <alignment horizontal="center" vertical="center"/>
    </xf>
    <xf numFmtId="0" fontId="48" fillId="33" borderId="5" applyAlignment="1" pivotButton="0" quotePrefix="0" xfId="0">
      <alignment horizontal="center" vertical="center" wrapText="1"/>
    </xf>
    <xf numFmtId="0" fontId="50" fillId="33" borderId="5" applyAlignment="1" pivotButton="0" quotePrefix="0" xfId="0">
      <alignment horizontal="left" vertical="center" wrapText="1"/>
    </xf>
    <xf numFmtId="0" fontId="62" fillId="35" borderId="5" applyAlignment="1" pivotButton="0" quotePrefix="0" xfId="0">
      <alignment horizontal="left" vertical="center" wrapText="1"/>
    </xf>
    <xf numFmtId="0" fontId="48" fillId="35" borderId="5" applyAlignment="1" pivotButton="0" quotePrefix="0" xfId="0">
      <alignment horizontal="center" vertical="center" wrapText="1"/>
    </xf>
    <xf numFmtId="0" fontId="48" fillId="34" borderId="5" applyAlignment="1" pivotButton="0" quotePrefix="0" xfId="0">
      <alignment horizontal="center" vertical="center" wrapText="1"/>
    </xf>
    <xf numFmtId="0" fontId="50" fillId="34" borderId="5" applyAlignment="1" pivotButton="0" quotePrefix="0" xfId="0">
      <alignment horizontal="left" vertical="center" wrapText="1"/>
    </xf>
    <xf numFmtId="0" fontId="48" fillId="34" borderId="0" applyAlignment="1" pivotButton="0" quotePrefix="0" xfId="0">
      <alignment horizontal="center" vertical="center"/>
    </xf>
    <xf numFmtId="0" fontId="50" fillId="36" borderId="5" applyAlignment="1" pivotButton="0" quotePrefix="0" xfId="0">
      <alignment horizontal="left" vertical="center" wrapText="1"/>
    </xf>
    <xf numFmtId="0" fontId="48" fillId="35" borderId="0" applyAlignment="1" pivotButton="0" quotePrefix="0" xfId="0">
      <alignment horizontal="center" vertical="center"/>
    </xf>
    <xf numFmtId="0" fontId="48" fillId="38" borderId="0" applyAlignment="1" pivotButton="0" quotePrefix="0" xfId="0">
      <alignment horizontal="center" vertical="center"/>
    </xf>
    <xf numFmtId="0" fontId="72" fillId="43" borderId="0" applyAlignment="1" pivotButton="0" quotePrefix="0" xfId="0">
      <alignment horizontal="center" vertical="center"/>
    </xf>
    <xf numFmtId="0" fontId="73" fillId="0" borderId="0" applyAlignment="1" pivotButton="0" quotePrefix="0" xfId="0">
      <alignment horizontal="left" vertical="center"/>
    </xf>
    <xf numFmtId="0" fontId="74" fillId="44" borderId="0" applyAlignment="1" pivotButton="0" quotePrefix="0" xfId="0">
      <alignment horizontal="left" vertical="center"/>
    </xf>
    <xf numFmtId="174" fontId="74" fillId="44" borderId="0" applyAlignment="1" pivotButton="0" quotePrefix="0" xfId="0">
      <alignment horizontal="left" vertical="center"/>
    </xf>
    <xf numFmtId="167" fontId="74" fillId="44" borderId="0" applyAlignment="1" pivotButton="0" quotePrefix="0" xfId="0">
      <alignment horizontal="left" vertical="center"/>
    </xf>
    <xf numFmtId="0" fontId="75" fillId="43" borderId="14" applyAlignment="1" pivotButton="0" quotePrefix="0" xfId="0">
      <alignment horizontal="center" vertical="center" wrapText="1"/>
    </xf>
    <xf numFmtId="175" fontId="0" fillId="45" borderId="15" applyAlignment="1" pivotButton="0" quotePrefix="0" xfId="0">
      <alignment horizontal="center" vertical="center"/>
    </xf>
    <xf numFmtId="0" fontId="0" fillId="45" borderId="15" applyAlignment="1" pivotButton="0" quotePrefix="0" xfId="0">
      <alignment vertical="center"/>
    </xf>
    <xf numFmtId="0" fontId="0" fillId="45" borderId="15" applyAlignment="1" pivotButton="0" quotePrefix="0" xfId="0">
      <alignment vertical="center" wrapText="1"/>
    </xf>
    <xf numFmtId="174" fontId="0" fillId="45" borderId="15" applyAlignment="1" pivotButton="0" quotePrefix="0" xfId="0">
      <alignment vertical="center"/>
    </xf>
    <xf numFmtId="1" fontId="0" fillId="45" borderId="15" applyAlignment="1" pivotButton="0" quotePrefix="0" xfId="0">
      <alignment horizontal="center" vertical="center"/>
    </xf>
    <xf numFmtId="0" fontId="0" fillId="45" borderId="15" applyAlignment="1" pivotButton="0" quotePrefix="0" xfId="0">
      <alignment horizontal="center" vertical="center"/>
    </xf>
    <xf numFmtId="0" fontId="0" fillId="45" borderId="15" applyAlignment="1" pivotButton="0" quotePrefix="0" xfId="0">
      <alignment horizontal="left" vertical="center" wrapText="1"/>
    </xf>
    <xf numFmtId="175" fontId="0" fillId="46" borderId="15" applyAlignment="1" pivotButton="0" quotePrefix="0" xfId="0">
      <alignment horizontal="center" vertical="center"/>
    </xf>
    <xf numFmtId="0" fontId="0" fillId="46" borderId="15" applyAlignment="1" pivotButton="0" quotePrefix="0" xfId="0">
      <alignment vertical="center"/>
    </xf>
    <xf numFmtId="0" fontId="0" fillId="46" borderId="15" applyAlignment="1" pivotButton="0" quotePrefix="0" xfId="0">
      <alignment vertical="center" wrapText="1"/>
    </xf>
    <xf numFmtId="174" fontId="0" fillId="46" borderId="15" applyAlignment="1" pivotButton="0" quotePrefix="0" xfId="0">
      <alignment vertical="center"/>
    </xf>
    <xf numFmtId="1" fontId="0" fillId="46" borderId="15" applyAlignment="1" pivotButton="0" quotePrefix="0" xfId="0">
      <alignment horizontal="center" vertical="center"/>
    </xf>
    <xf numFmtId="0" fontId="0" fillId="46" borderId="15" applyAlignment="1" pivotButton="0" quotePrefix="0" xfId="0">
      <alignment horizontal="center" vertical="center"/>
    </xf>
    <xf numFmtId="0" fontId="0" fillId="46" borderId="15" applyAlignment="1" pivotButton="0" quotePrefix="0" xfId="0">
      <alignment horizontal="left" vertical="center" wrapText="1"/>
    </xf>
    <xf numFmtId="175" fontId="76" fillId="47" borderId="15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77" fillId="0" borderId="1" applyAlignment="1" pivotButton="0" quotePrefix="0" xfId="0">
      <alignment horizontal="center" vertical="center" wrapText="1"/>
    </xf>
    <xf numFmtId="0" fontId="77" fillId="10" borderId="1" applyAlignment="1" pivotButton="0" quotePrefix="0" xfId="0">
      <alignment horizontal="center" vertical="center" wrapText="1"/>
    </xf>
    <xf numFmtId="0" fontId="77" fillId="0" borderId="1" applyAlignment="1" pivotButton="0" quotePrefix="0" xfId="0">
      <alignment horizontal="left" vertical="center" wrapText="1" indent="1"/>
    </xf>
    <xf numFmtId="166" fontId="77" fillId="0" borderId="1" applyAlignment="1" pivotButton="0" quotePrefix="0" xfId="0">
      <alignment horizontal="center" vertical="center" wrapText="1"/>
    </xf>
    <xf numFmtId="166" fontId="77" fillId="2" borderId="1" applyAlignment="1" pivotButton="0" quotePrefix="0" xfId="0">
      <alignment horizontal="center" vertical="center" wrapText="1"/>
    </xf>
    <xf numFmtId="175" fontId="77" fillId="18" borderId="0" pivotButton="0" quotePrefix="0" xfId="0"/>
    <xf numFmtId="0" fontId="77" fillId="18" borderId="0" pivotButton="0" quotePrefix="0" xfId="0"/>
    <xf numFmtId="4" fontId="77" fillId="18" borderId="0" pivotButton="0" quotePrefix="0" xfId="0"/>
    <xf numFmtId="175" fontId="77" fillId="19" borderId="0" pivotButton="0" quotePrefix="0" xfId="0"/>
    <xf numFmtId="0" fontId="77" fillId="19" borderId="0" pivotButton="0" quotePrefix="0" xfId="0"/>
    <xf numFmtId="4" fontId="77" fillId="19" borderId="0" pivotButton="0" quotePrefix="0" xfId="0"/>
    <xf numFmtId="175" fontId="77" fillId="45" borderId="15" applyAlignment="1" pivotButton="0" quotePrefix="0" xfId="0">
      <alignment horizontal="center" vertical="center"/>
    </xf>
    <xf numFmtId="0" fontId="77" fillId="45" borderId="15" applyAlignment="1" pivotButton="0" quotePrefix="0" xfId="0">
      <alignment vertical="center"/>
    </xf>
    <xf numFmtId="0" fontId="77" fillId="45" borderId="15" applyAlignment="1" pivotButton="0" quotePrefix="0" xfId="0">
      <alignment vertical="center" wrapText="1"/>
    </xf>
    <xf numFmtId="174" fontId="77" fillId="45" borderId="15" applyAlignment="1" pivotButton="0" quotePrefix="0" xfId="0">
      <alignment vertical="center"/>
    </xf>
    <xf numFmtId="175" fontId="77" fillId="46" borderId="15" applyAlignment="1" pivotButton="0" quotePrefix="0" xfId="0">
      <alignment horizontal="center" vertical="center"/>
    </xf>
    <xf numFmtId="0" fontId="77" fillId="46" borderId="15" applyAlignment="1" pivotButton="0" quotePrefix="0" xfId="0">
      <alignment vertical="center"/>
    </xf>
    <xf numFmtId="0" fontId="77" fillId="46" borderId="15" applyAlignment="1" pivotButton="0" quotePrefix="0" xfId="0">
      <alignment vertical="center" wrapText="1"/>
    </xf>
    <xf numFmtId="174" fontId="77" fillId="46" borderId="15" applyAlignment="1" pivotButton="0" quotePrefix="0" xfId="0">
      <alignment vertical="center"/>
    </xf>
    <xf numFmtId="0" fontId="78" fillId="48" borderId="0" applyAlignment="1" pivotButton="0" quotePrefix="0" xfId="0">
      <alignment horizontal="center" vertical="center" wrapText="1"/>
    </xf>
    <xf numFmtId="0" fontId="79" fillId="49" borderId="0" applyAlignment="1" pivotButton="0" quotePrefix="0" xfId="0">
      <alignment horizontal="center" vertical="center" wrapText="1"/>
    </xf>
    <xf numFmtId="0" fontId="80" fillId="50" borderId="0" applyAlignment="1" pivotButton="0" quotePrefix="0" xfId="0">
      <alignment horizontal="left" vertical="center"/>
    </xf>
    <xf numFmtId="0" fontId="81" fillId="50" borderId="0" applyAlignment="1" pivotButton="0" quotePrefix="0" xfId="0">
      <alignment horizontal="center" vertical="center" wrapText="1"/>
    </xf>
    <xf numFmtId="176" fontId="81" fillId="50" borderId="0" applyAlignment="1" pivotButton="0" quotePrefix="0" xfId="0">
      <alignment horizontal="center" vertical="center" wrapText="1"/>
    </xf>
    <xf numFmtId="0" fontId="81" fillId="50" borderId="0" applyAlignment="1" pivotButton="0" quotePrefix="0" xfId="0">
      <alignment horizontal="left" vertical="center"/>
    </xf>
    <xf numFmtId="0" fontId="80" fillId="45" borderId="0" applyAlignment="1" pivotButton="0" quotePrefix="0" xfId="0">
      <alignment horizontal="left" vertical="center"/>
    </xf>
    <xf numFmtId="0" fontId="81" fillId="45" borderId="0" applyAlignment="1" pivotButton="0" quotePrefix="0" xfId="0">
      <alignment horizontal="center" vertical="center" wrapText="1"/>
    </xf>
    <xf numFmtId="176" fontId="81" fillId="45" borderId="0" applyAlignment="1" pivotButton="0" quotePrefix="0" xfId="0">
      <alignment horizontal="center" vertical="center" wrapText="1"/>
    </xf>
    <xf numFmtId="0" fontId="81" fillId="45" borderId="0" applyAlignment="1" pivotButton="0" quotePrefix="0" xfId="0">
      <alignment horizontal="left" vertical="center"/>
    </xf>
    <xf numFmtId="0" fontId="82" fillId="0" borderId="0" applyAlignment="1" pivotButton="0" quotePrefix="0" xfId="0">
      <alignment horizontal="left" vertical="center"/>
    </xf>
    <xf numFmtId="0" fontId="83" fillId="51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left" vertical="center"/>
    </xf>
    <xf numFmtId="176" fontId="84" fillId="52" borderId="0" applyAlignment="1" pivotButton="0" quotePrefix="0" xfId="0">
      <alignment horizontal="center" vertical="center" wrapText="1"/>
    </xf>
    <xf numFmtId="0" fontId="84" fillId="52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left" vertical="center"/>
    </xf>
    <xf numFmtId="167" fontId="84" fillId="52" borderId="0" applyAlignment="1" pivotButton="0" quotePrefix="0" xfId="0">
      <alignment horizontal="center" vertical="center" wrapText="1"/>
    </xf>
    <xf numFmtId="176" fontId="81" fillId="0" borderId="0" applyAlignment="1" pivotButton="0" quotePrefix="0" xfId="0">
      <alignment horizontal="center" vertical="center" wrapText="1"/>
    </xf>
    <xf numFmtId="167" fontId="81" fillId="0" borderId="0" applyAlignment="1" pivotButton="0" quotePrefix="0" xfId="0">
      <alignment horizontal="center" vertical="center" wrapText="1"/>
    </xf>
    <xf numFmtId="0" fontId="86" fillId="53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left" vertical="center"/>
    </xf>
    <xf numFmtId="0" fontId="88" fillId="48" borderId="0" applyAlignment="1" pivotButton="0" quotePrefix="0" xfId="0">
      <alignment horizontal="center" vertical="center" wrapText="1"/>
    </xf>
    <xf numFmtId="0" fontId="89" fillId="49" borderId="0" applyAlignment="1" pivotButton="0" quotePrefix="0" xfId="0">
      <alignment horizontal="center" vertical="center" wrapText="1"/>
    </xf>
    <xf numFmtId="175" fontId="77" fillId="0" borderId="0" applyAlignment="1" pivotButton="0" quotePrefix="0" xfId="0">
      <alignment horizontal="left" vertical="center"/>
    </xf>
    <xf numFmtId="0" fontId="77" fillId="0" borderId="0" pivotButton="0" quotePrefix="0" xfId="0"/>
    <xf numFmtId="175" fontId="77" fillId="0" borderId="0" pivotButton="0" quotePrefix="0" xfId="0"/>
    <xf numFmtId="0" fontId="79" fillId="51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center" vertical="center" wrapText="1"/>
    </xf>
    <xf numFmtId="0" fontId="92" fillId="54" borderId="0" pivotButton="0" quotePrefix="0" xfId="0"/>
    <xf numFmtId="0" fontId="92" fillId="0" borderId="0" pivotButton="0" quotePrefix="0" xfId="0"/>
    <xf numFmtId="175" fontId="77" fillId="0" borderId="1" applyAlignment="1" pivotButton="0" quotePrefix="0" xfId="0">
      <alignment horizontal="right" vertical="center"/>
    </xf>
    <xf numFmtId="0" fontId="77" fillId="0" borderId="1" applyAlignment="1" pivotButton="0" quotePrefix="0" xfId="0">
      <alignment horizontal="left" vertical="center" wrapText="1"/>
    </xf>
    <xf numFmtId="176" fontId="77" fillId="0" borderId="1" applyAlignment="1" pivotButton="0" quotePrefix="0" xfId="0">
      <alignment horizontal="right" vertical="center"/>
    </xf>
    <xf numFmtId="0" fontId="93" fillId="48" borderId="0" applyAlignment="1" pivotButton="0" quotePrefix="0" xfId="0">
      <alignment horizontal="center" vertical="center" wrapText="1"/>
    </xf>
    <xf numFmtId="0" fontId="94" fillId="48" borderId="0" applyAlignment="1" pivotButton="0" quotePrefix="0" xfId="0">
      <alignment horizontal="center" vertical="center" wrapText="1"/>
    </xf>
    <xf numFmtId="0" fontId="95" fillId="55" borderId="0" applyAlignment="1" pivotButton="0" quotePrefix="0" xfId="0">
      <alignment horizontal="left" vertical="center" wrapText="1"/>
    </xf>
    <xf numFmtId="0" fontId="96" fillId="50" borderId="20" applyAlignment="1" pivotButton="0" quotePrefix="0" xfId="0">
      <alignment horizontal="left" vertical="center" wrapText="1"/>
    </xf>
    <xf numFmtId="0" fontId="97" fillId="56" borderId="20" applyAlignment="1" pivotButton="0" quotePrefix="0" xfId="0">
      <alignment horizontal="left" vertical="center" wrapText="1"/>
    </xf>
    <xf numFmtId="0" fontId="0" fillId="56" borderId="20" pivotButton="0" quotePrefix="0" xfId="0"/>
    <xf numFmtId="0" fontId="95" fillId="57" borderId="0" applyAlignment="1" pivotButton="0" quotePrefix="0" xfId="0">
      <alignment horizontal="left" vertical="center" wrapText="1"/>
    </xf>
    <xf numFmtId="0" fontId="98" fillId="58" borderId="20" applyAlignment="1" pivotButton="0" quotePrefix="0" xfId="0">
      <alignment horizontal="left" vertical="center" wrapText="1"/>
    </xf>
    <xf numFmtId="0" fontId="99" fillId="59" borderId="20" applyAlignment="1" pivotButton="0" quotePrefix="0" xfId="0">
      <alignment horizontal="left" vertical="center" wrapText="1"/>
    </xf>
    <xf numFmtId="0" fontId="95" fillId="51" borderId="0" applyAlignment="1" pivotButton="0" quotePrefix="0" xfId="0">
      <alignment horizontal="left" vertical="center" wrapText="1"/>
    </xf>
    <xf numFmtId="0" fontId="95" fillId="60" borderId="0" applyAlignment="1" pivotButton="0" quotePrefix="0" xfId="0">
      <alignment horizontal="left" vertical="center" wrapText="1"/>
    </xf>
    <xf numFmtId="0" fontId="95" fillId="48" borderId="0" applyAlignment="1" pivotButton="0" quotePrefix="0" xfId="0">
      <alignment horizontal="left" vertical="center" wrapText="1"/>
    </xf>
    <xf numFmtId="0" fontId="100" fillId="48" borderId="0" applyAlignment="1" pivotButton="0" quotePrefix="0" xfId="0">
      <alignment horizontal="center" vertical="center" wrapText="1"/>
    </xf>
  </cellXfs>
  <cellStyles count="1">
    <cellStyle name="Normal" xfId="0" builtinId="0"/>
  </cellStyles>
  <dxfs count="9">
    <dxf>
      <font>
        <name val="Calibri"/>
        <charset val="1"/>
        <color rgb="FF1F6E3A"/>
        <sz val="11"/>
      </font>
      <fill>
        <patternFill>
          <bgColor rgb="FFEAF3EA"/>
        </patternFill>
      </fill>
    </dxf>
    <dxf>
      <font>
        <name val="Calibri"/>
        <charset val="1"/>
        <color rgb="FF7F6000"/>
        <sz val="11"/>
      </font>
      <fill>
        <patternFill>
          <bgColor rgb="FFFFF2CC"/>
        </patternFill>
      </fill>
    </dxf>
    <dxf>
      <font>
        <name val="Calibri"/>
        <charset val="1"/>
        <b val="1"/>
        <color rgb="FF9C0006"/>
        <sz val="11"/>
      </font>
      <fill>
        <patternFill>
          <bgColor rgb="FFF5E8E8"/>
        </patternFill>
      </fill>
    </dxf>
    <dxf>
      <fill>
        <patternFill>
          <bgColor rgb="FFEAF3EA"/>
        </patternFill>
      </fill>
    </dxf>
    <dxf>
      <fill>
        <patternFill>
          <bgColor rgb="FFF5E8E8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EAF3EA"/>
        </patternFill>
      </fill>
    </dxf>
    <dxf>
      <fill>
        <patternFill>
          <bgColor rgb="FFF5E8E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56404"/>
      <rgbColor rgb="FF800080"/>
      <rgbColor rgb="FF1F6E3A"/>
      <rgbColor rgb="FFBFBFBF"/>
      <rgbColor rgb="FF7F6000"/>
      <rgbColor rgb="FF9999FF"/>
      <rgbColor rgb="FF993366"/>
      <rgbColor rgb="FFFFF3CD"/>
      <rgbColor rgb="FFD6E7F5"/>
      <rgbColor rgb="FF660066"/>
      <rgbColor rgb="FFFF8080"/>
      <rgbColor rgb="FF0D47A1"/>
      <rgbColor rgb="FFF8D7DA"/>
      <rgbColor rgb="FF000080"/>
      <rgbColor rgb="FFFF00FF"/>
      <rgbColor rgb="FFF7F5F0"/>
      <rgbColor rgb="FF00FFFF"/>
      <rgbColor rgb="FF800080"/>
      <rgbColor rgb="FF800000"/>
      <rgbColor rgb="FF008080"/>
      <rgbColor rgb="FF0000FF"/>
      <rgbColor rgb="FF00CCFF"/>
      <rgbColor rgb="FFEAF3EA"/>
      <rgbColor rgb="FFD4EDDA"/>
      <rgbColor rgb="FFFFF2CC"/>
      <rgbColor rgb="FFE8EEF5"/>
      <rgbColor rgb="FFF5E8E8"/>
      <rgbColor rgb="FFF4EADA"/>
      <rgbColor rgb="FFEADFB9"/>
      <rgbColor rgb="FF3366FF"/>
      <rgbColor rgb="FF33CCCC"/>
      <rgbColor rgb="FF99CC00"/>
      <rgbColor rgb="FFFFCC00"/>
      <rgbColor rgb="FFC89B3C"/>
      <rgbColor rgb="FFFF6600"/>
      <rgbColor rgb="FF555555"/>
      <rgbColor rgb="FF969696"/>
      <rgbColor rgb="FF0E2A47"/>
      <rgbColor rgb="FF339966"/>
      <rgbColor rgb="FF155724"/>
      <rgbColor rgb="FF333300"/>
      <rgbColor rgb="FFB85C00"/>
      <rgbColor rgb="FF993366"/>
      <rgbColor rgb="FF1B3E6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#'Start Here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zoomScaleNormal="100" workbookViewId="0">
      <selection activeCell="B6" sqref="B6"/>
    </sheetView>
  </sheetViews>
  <sheetFormatPr baseColWidth="10" defaultColWidth="8.6640625" defaultRowHeight="15"/>
  <cols>
    <col width="3" customWidth="1" style="230" min="1" max="1"/>
    <col width="32" customWidth="1" style="230" min="2" max="2"/>
    <col width="52" customWidth="1" style="230" min="3" max="3"/>
    <col width="22" customWidth="1" style="230" min="4" max="4"/>
    <col width="3" customWidth="1" style="230" min="5" max="5"/>
  </cols>
  <sheetData>
    <row r="1" ht="40" customHeight="1" s="230">
      <c r="B1" s="395" t="inlineStr">
        <is>
          <t>💎  DFS Card Grader — Operations Kit</t>
        </is>
      </c>
    </row>
    <row r="2" ht="22" customHeight="1" s="230">
      <c r="B2" s="396" t="inlineStr">
        <is>
          <t>Built to work alongside the DFS Card Grader app · dfscards.com</t>
        </is>
      </c>
    </row>
    <row r="3" ht="10" customHeight="1" s="230"/>
    <row r="4" ht="22" customHeight="1" s="230">
      <c r="B4" s="397" t="inlineStr">
        <is>
          <t>⚡  HOW THIS WORKBOOK WORKS</t>
        </is>
      </c>
    </row>
    <row r="5" ht="8" customHeight="1" s="230"/>
    <row r="6" ht="24" customHeight="1" s="230">
      <c r="B6" s="398" t="inlineStr">
        <is>
          <t xml:space="preserve">  1.  Use the DFS Card Grader app</t>
        </is>
      </c>
      <c r="C6" s="399" t="inlineStr">
        <is>
          <t xml:space="preserve">  Search any card → get the gem rate → calculate your GO/NO-GO decision</t>
        </is>
      </c>
      <c r="D6" s="400" t="inlineStr"/>
    </row>
    <row r="7" ht="24" customHeight="1" s="230">
      <c r="B7" s="398" t="inlineStr">
        <is>
          <t xml:space="preserve">  2.  Log grading candidates here</t>
        </is>
      </c>
      <c r="C7" s="399" t="inlineStr">
        <is>
          <t xml:space="preserve">  Add cards to the Grading Candidates tab as you find opportunities</t>
        </is>
      </c>
      <c r="D7" s="400" t="inlineStr"/>
    </row>
    <row r="8" ht="24" customHeight="1" s="230">
      <c r="B8" s="398" t="inlineStr">
        <is>
          <t xml:space="preserve">  3.  Run the ROI Calculator</t>
        </is>
      </c>
      <c r="C8" s="399" t="inlineStr">
        <is>
          <t xml:space="preserve">  Open the Grading ROI Calculator tab → enter raw price, gem rate, and PSA 10 avg → get instant GO/NO-GO</t>
        </is>
      </c>
      <c r="D8" s="400" t="inlineStr"/>
    </row>
    <row r="9" ht="24" customHeight="1" s="230">
      <c r="B9" s="398" t="inlineStr">
        <is>
          <t xml:space="preserve">  4.  Track your submissions</t>
        </is>
      </c>
      <c r="C9" s="399" t="inlineStr">
        <is>
          <t xml:space="preserve">  Once you send cards to PSA, log them in the Grading Tracker tab</t>
        </is>
      </c>
      <c r="D9" s="400" t="inlineStr"/>
    </row>
    <row r="10" ht="24" customHeight="1" s="230">
      <c r="B10" s="398" t="inlineStr">
        <is>
          <t xml:space="preserve">  5.  Update results when graded</t>
        </is>
      </c>
      <c r="C10" s="399" t="inlineStr">
        <is>
          <t xml:space="preserve">  When grades come back, update the Grade Returned and Actual Sell Price columns to track real ROI</t>
        </is>
      </c>
      <c r="D10" s="400" t="inlineStr"/>
    </row>
    <row r="11" ht="14" customHeight="1" s="230"/>
    <row r="12" ht="22" customHeight="1" s="230">
      <c r="B12" s="401" t="inlineStr">
        <is>
          <t xml:space="preserve">  💎  GRADING TOOLS</t>
        </is>
      </c>
    </row>
    <row r="13" ht="20" customHeight="1" s="230">
      <c r="B13" s="402" t="inlineStr">
        <is>
          <t xml:space="preserve">  ➤  PSA Fee Schedule</t>
        </is>
      </c>
      <c r="C13" s="403" t="inlineStr">
        <is>
          <t xml:space="preserve">  Reference sheet — all 7 PSA grading tiers with fees and eBay cost breakdown</t>
        </is>
      </c>
    </row>
    <row r="14" ht="20" customHeight="1" s="230">
      <c r="B14" s="402" t="inlineStr">
        <is>
          <t xml:space="preserve">  ➤  Grading ROI Calculator</t>
        </is>
      </c>
      <c r="C14" s="403" t="inlineStr">
        <is>
          <t xml:space="preserve">  Enter raw price + gem rate + PSA 10 value → instant GO/NO-GO decision</t>
        </is>
      </c>
    </row>
    <row r="15" ht="20" customHeight="1" s="230">
      <c r="B15" s="402" t="inlineStr">
        <is>
          <t xml:space="preserve">  ➤  Grading Tracker</t>
        </is>
      </c>
      <c r="C15" s="403" t="inlineStr">
        <is>
          <t xml:space="preserve">  Log every card sent to PSA — track status, grade returned, and actual ROI</t>
        </is>
      </c>
    </row>
    <row r="16" ht="20" customHeight="1" s="230">
      <c r="B16" s="402" t="inlineStr">
        <is>
          <t xml:space="preserve">  ➤  Grading Candidates</t>
        </is>
      </c>
      <c r="C16" s="403" t="inlineStr">
        <is>
          <t xml:space="preserve">  Shortlist of cards from your inventory being considered for PSA submission</t>
        </is>
      </c>
    </row>
    <row r="17" ht="8" customHeight="1" s="230"/>
    <row r="18" ht="22" customHeight="1" s="230">
      <c r="B18" s="397" t="inlineStr">
        <is>
          <t xml:space="preserve">  📋  OPERATIONS</t>
        </is>
      </c>
    </row>
    <row r="19" ht="20" customHeight="1" s="230">
      <c r="B19" s="402" t="inlineStr">
        <is>
          <t xml:space="preserve">  ➤  Dashboard</t>
        </is>
      </c>
      <c r="C19" s="403" t="inlineStr">
        <is>
          <t xml:space="preserve">  Live KPIs — revenue, margin, and sales volume at a glance</t>
        </is>
      </c>
    </row>
    <row r="20" ht="20" customHeight="1" s="230">
      <c r="B20" s="402" t="inlineStr">
        <is>
          <t xml:space="preserve">  ➤  Target Card List</t>
        </is>
      </c>
      <c r="C20" s="403" t="inlineStr">
        <is>
          <t xml:space="preserve">  Your buy list — cards to hunt with max buy price and target sell price</t>
        </is>
      </c>
    </row>
    <row r="21" ht="20" customHeight="1" s="230">
      <c r="B21" s="402" t="inlineStr">
        <is>
          <t xml:space="preserve">  ➤  14-Day Volume Ramp</t>
        </is>
      </c>
      <c r="C21" s="403" t="inlineStr">
        <is>
          <t xml:space="preserve">  Day-by-day tactical plan for ramping sales volume</t>
        </is>
      </c>
    </row>
    <row r="22" ht="20" customHeight="1" s="230">
      <c r="B22" s="402" t="inlineStr">
        <is>
          <t xml:space="preserve">  ➤  Sales Log</t>
        </is>
      </c>
      <c r="C22" s="403" t="inlineStr">
        <is>
          <t xml:space="preserve">  Every completed sale — date, price, channel, fees, and net margin</t>
        </is>
      </c>
    </row>
    <row r="23" ht="20" customHeight="1" s="230">
      <c r="B23" s="402" t="inlineStr">
        <is>
          <t xml:space="preserve">  ➤  Consignment Tracker</t>
        </is>
      </c>
      <c r="C23" s="403" t="inlineStr">
        <is>
          <t xml:space="preserve">  Cards sent to auction houses — DcSports87, PWCC, Probstein — status and payouts</t>
        </is>
      </c>
    </row>
    <row r="24" ht="8" customHeight="1" s="230"/>
    <row r="25" ht="22" customHeight="1" s="230">
      <c r="B25" s="404" t="inlineStr">
        <is>
          <t xml:space="preserve">  📦  INVENTORY</t>
        </is>
      </c>
    </row>
    <row r="26" ht="20" customHeight="1" s="230">
      <c r="B26" s="402" t="inlineStr">
        <is>
          <t xml:space="preserve">  ➤  Inventory &amp; Aging</t>
        </is>
      </c>
      <c r="C26" s="403" t="inlineStr">
        <is>
          <t xml:space="preserve">  Full inventory with cost basis, days listed, aging flags, and next action</t>
        </is>
      </c>
    </row>
    <row r="27" ht="20" customHeight="1" s="230">
      <c r="B27" s="402" t="inlineStr">
        <is>
          <t xml:space="preserve">  ➤  Lot Evaluator</t>
        </is>
      </c>
      <c r="C27" s="403" t="inlineStr">
        <is>
          <t xml:space="preserve">  Pre-buy decision tool — input comp total + target margin to calculate max offer</t>
        </is>
      </c>
    </row>
    <row r="28" ht="20" customHeight="1" s="230">
      <c r="B28" s="402" t="inlineStr">
        <is>
          <t xml:space="preserve">  ➤  DcSports87 May 2026</t>
        </is>
      </c>
      <c r="C28" s="403" t="inlineStr">
        <is>
          <t xml:space="preserve">  Top scored cards for DcSports87 consignment batch</t>
        </is>
      </c>
    </row>
    <row r="29" ht="20" customHeight="1" s="230">
      <c r="B29" s="402" t="inlineStr">
        <is>
          <t xml:space="preserve">  ➤  DcSports87 — Normal Batch</t>
        </is>
      </c>
      <c r="C29" s="403" t="inlineStr">
        <is>
          <t xml:space="preserve">  Standard DcSports87 consignment batch — $3–$25 range</t>
        </is>
      </c>
    </row>
    <row r="30" ht="8" customHeight="1" s="230"/>
    <row r="31" ht="22" customHeight="1" s="230">
      <c r="B31" s="405" t="inlineStr">
        <is>
          <t xml:space="preserve">  🏈⚾🏀  HEYSTACK PRIORITY</t>
        </is>
      </c>
    </row>
    <row r="32" ht="20" customHeight="1" s="230">
      <c r="B32" s="402" t="inlineStr">
        <is>
          <t xml:space="preserve">  ➤  FB Cards — HeyStack Priority</t>
        </is>
      </c>
      <c r="C32" s="403" t="inlineStr">
        <is>
          <t xml:space="preserve">  Top Football cards scored and ranked for HeyStack relisting</t>
        </is>
      </c>
    </row>
    <row r="33" ht="20" customHeight="1" s="230">
      <c r="B33" s="402" t="inlineStr">
        <is>
          <t xml:space="preserve">  ➤  BB Cards — HeyStack Priority</t>
        </is>
      </c>
      <c r="C33" s="403" t="inlineStr">
        <is>
          <t xml:space="preserve">  Top Baseball cards scored and ranked for HeyStack relisting</t>
        </is>
      </c>
    </row>
    <row r="34" ht="20" customHeight="1" s="230">
      <c r="B34" s="402" t="inlineStr">
        <is>
          <t xml:space="preserve">  ➤  BK Cards — HeyStack Priority</t>
        </is>
      </c>
      <c r="C34" s="403" t="inlineStr">
        <is>
          <t xml:space="preserve">  Top Basketball cards scored and ranked for HeyStack relisting</t>
        </is>
      </c>
    </row>
    <row r="35" ht="8" customHeight="1" s="230"/>
    <row r="36" ht="22" customHeight="1" s="230">
      <c r="B36" s="406" t="inlineStr">
        <is>
          <t xml:space="preserve">  💰  FINANCIAL MODELS</t>
        </is>
      </c>
    </row>
    <row r="37" ht="20" customHeight="1" s="230">
      <c r="B37" s="402" t="inlineStr">
        <is>
          <t xml:space="preserve">  ➤  Channel Fees</t>
        </is>
      </c>
      <c r="C37" s="403" t="inlineStr">
        <is>
          <t xml:space="preserve">  Live fee calculator — eBay vs HeyStack vs COMC vs consignment</t>
        </is>
      </c>
    </row>
    <row r="38" ht="20" customHeight="1" s="230">
      <c r="B38" s="402" t="inlineStr">
        <is>
          <t xml:space="preserve">  ➤  Capital Velocity</t>
        </is>
      </c>
      <c r="C38" s="403" t="inlineStr">
        <is>
          <t xml:space="preserve">  Tracks how fast your working capital is cycling and net profit implications</t>
        </is>
      </c>
    </row>
    <row r="39" ht="20" customHeight="1" s="230">
      <c r="B39" s="402" t="inlineStr">
        <is>
          <t xml:space="preserve">  ➤  Helper ROI</t>
        </is>
      </c>
      <c r="C39" s="403" t="inlineStr">
        <is>
          <t xml:space="preserve">  Hiring decision model — quantifies the ROI of bringing on an assistant</t>
        </is>
      </c>
    </row>
    <row r="40" ht="20" customHeight="1" s="230">
      <c r="B40" s="402" t="inlineStr">
        <is>
          <t xml:space="preserve">  ➤  Path to $40k</t>
        </is>
      </c>
      <c r="C40" s="403" t="inlineStr">
        <is>
          <t xml:space="preserve">  Month-by-month revenue projection toward your $40k goal</t>
        </is>
      </c>
    </row>
    <row r="41" ht="20" customHeight="1" s="230">
      <c r="B41" s="402" t="inlineStr">
        <is>
          <t xml:space="preserve">  ➤  Stale Action — Market Comps</t>
        </is>
      </c>
      <c r="C41" s="403" t="inlineStr">
        <is>
          <t xml:space="preserve">  Market comp research for aging inventory — action urgency by card</t>
        </is>
      </c>
    </row>
    <row r="42" ht="8" customHeight="1" s="230"/>
    <row r="43" ht="22" customHeight="1" s="230">
      <c r="B43" s="407" t="inlineStr">
        <is>
          <t>© 2025 DFS Cards LLC  ·  8601 E Palo Verde Dr, Scottsdale AZ 85250  ·  All rights reserved</t>
        </is>
      </c>
    </row>
    <row r="44" ht="18" customHeight="1" s="230"/>
    <row r="45" ht="18" customHeight="1" s="230"/>
    <row r="46" ht="18" customHeight="1" s="230"/>
    <row r="47" ht="18" customHeight="1" s="230"/>
    <row r="48" ht="18" customHeight="1" s="230"/>
    <row r="49" ht="18" customHeight="1" s="230"/>
    <row r="50" ht="18" customHeight="1" s="230"/>
    <row r="51" ht="18" customHeight="1" s="230"/>
    <row r="52" ht="18" customHeight="1" s="230"/>
    <row r="53" ht="18" customHeight="1" s="230"/>
    <row r="54" ht="18" customHeight="1" s="230"/>
    <row r="55" ht="18" customHeight="1" s="230"/>
    <row r="56" ht="18" customHeight="1" s="230"/>
    <row r="57" ht="18" customHeight="1" s="230"/>
    <row r="58" ht="18" customHeight="1" s="230"/>
    <row r="59" ht="18" customHeight="1" s="230"/>
    <row r="60" ht="18" customHeight="1" s="230"/>
    <row r="61" ht="18" customHeight="1" s="230"/>
    <row r="62" ht="18" customHeight="1" s="230"/>
    <row r="63" ht="18" customHeight="1" s="230"/>
    <row r="64" ht="18" customHeight="1" s="230"/>
    <row r="65" ht="18" customHeight="1" s="230"/>
    <row r="66" ht="18" customHeight="1" s="230"/>
    <row r="67" ht="18" customHeight="1" s="230"/>
    <row r="68" ht="18" customHeight="1" s="230"/>
    <row r="69" ht="18" customHeight="1" s="230"/>
    <row r="70" ht="18" customHeight="1" s="230"/>
    <row r="71" ht="18" customHeight="1" s="230"/>
    <row r="72" ht="18" customHeight="1" s="230"/>
    <row r="73" ht="18" customHeight="1" s="230"/>
    <row r="74" ht="18" customHeight="1" s="230"/>
    <row r="75" ht="18" customHeight="1" s="230"/>
    <row r="76" ht="18" customHeight="1" s="230"/>
    <row r="77" ht="18" customHeight="1" s="230"/>
    <row r="78" ht="18" customHeight="1" s="230"/>
    <row r="79" ht="18" customHeight="1" s="230"/>
  </sheetData>
  <mergeCells count="10">
    <mergeCell ref="B36:D36"/>
    <mergeCell ref="B31:D31"/>
    <mergeCell ref="B1:D1"/>
    <mergeCell ref="B4:D4"/>
    <mergeCell ref="B18:D18"/>
    <mergeCell ref="B43:D43"/>
    <mergeCell ref="B12:D12"/>
    <mergeCell ref="B1:C1"/>
    <mergeCell ref="B25:D25"/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zoomScaleNormal="100" workbookViewId="0">
      <selection activeCell="A1" sqref="A1:H1"/>
    </sheetView>
  </sheetViews>
  <sheetFormatPr baseColWidth="10" defaultColWidth="8.6640625" defaultRowHeight="15"/>
  <cols>
    <col width="14" customWidth="1" style="230" min="1" max="1"/>
    <col width="18" customWidth="1" style="230" min="2" max="8"/>
  </cols>
  <sheetData>
    <row r="1" ht="31.5" customHeight="1" s="230">
      <c r="A1" s="229" t="inlineStr">
        <is>
          <t>🏠 Start Here</t>
        </is>
      </c>
    </row>
    <row r="2" ht="18" customHeight="1" s="230">
      <c r="A2" s="239" t="inlineStr">
        <is>
          <t>Your weekly 60-second check-in. Numbers pull from the other tabs.</t>
        </is>
      </c>
    </row>
    <row r="4" ht="21.75" customHeight="1" s="230">
      <c r="A4" s="244" t="inlineStr">
        <is>
          <t>HEADLINE NUMBERS (from live data)</t>
        </is>
      </c>
    </row>
    <row r="5" ht="21.75" customHeight="1" s="230">
      <c r="B5" s="235" t="inlineStr">
        <is>
          <t>Direct Sales Gross</t>
        </is>
      </c>
      <c r="C5" s="227" t="n"/>
      <c r="D5" s="245" t="inlineStr">
        <is>
          <t>Direct Sales Net</t>
        </is>
      </c>
      <c r="E5" s="227" t="n"/>
      <c r="F5" s="235" t="inlineStr">
        <is>
          <t>Consignment Net</t>
        </is>
      </c>
      <c r="G5" s="227" t="n"/>
      <c r="H5" s="246" t="inlineStr">
        <is>
          <t>Total Net (all channels)</t>
        </is>
      </c>
      <c r="I5" s="227" t="n"/>
    </row>
    <row r="6" ht="43.5" customHeight="1" s="230">
      <c r="B6" s="228">
        <f>'Sales Log'!F3</f>
        <v/>
      </c>
      <c r="C6" s="227" t="n"/>
      <c r="D6" s="233">
        <f>'Sales Log'!J3</f>
        <v/>
      </c>
      <c r="E6" s="227" t="n"/>
      <c r="F6" s="228">
        <f>'Consignment Tracker'!I3</f>
        <v/>
      </c>
      <c r="G6" s="227" t="n"/>
      <c r="H6" s="234">
        <f>'Sales Log'!J3+'Consignment Tracker'!I3</f>
        <v/>
      </c>
      <c r="I6" s="227" t="n"/>
    </row>
    <row r="8" ht="21.75" customHeight="1" s="230">
      <c r="B8" s="235" t="inlineStr">
        <is>
          <t>Direct Margin %</t>
        </is>
      </c>
      <c r="C8" s="227" t="n"/>
      <c r="D8" s="235" t="inlineStr">
        <is>
          <t>Avg Net / Consigned Card</t>
        </is>
      </c>
      <c r="E8" s="227" t="n"/>
      <c r="F8" s="236" t="inlineStr">
        <is>
          <t>Stale Cards (≥60d)</t>
        </is>
      </c>
      <c r="G8" s="227" t="n"/>
      <c r="H8" s="236" t="inlineStr">
        <is>
          <t>Capital at Risk (stale)</t>
        </is>
      </c>
      <c r="I8" s="227" t="n"/>
    </row>
    <row r="9" ht="43.5" customHeight="1" s="230">
      <c r="B9" s="240">
        <f>IFERROR('Sales Log'!J3/'Sales Log'!F3,"")</f>
        <v/>
      </c>
      <c r="C9" s="227" t="n"/>
      <c r="D9" s="241">
        <f>IFERROR('Consignment Tracker'!I3/'Consignment Tracker'!C3,"")</f>
        <v/>
      </c>
      <c r="E9" s="227" t="n"/>
      <c r="F9" s="242">
        <f>'Inventory &amp; Aging'!E3</f>
        <v/>
      </c>
      <c r="G9" s="227" t="n"/>
      <c r="H9" s="232">
        <f>'Inventory &amp; Aging'!G3</f>
        <v/>
      </c>
      <c r="I9" s="227" t="n"/>
    </row>
    <row r="12" ht="21.75" customHeight="1" s="230">
      <c r="A12" s="237" t="inlineStr">
        <is>
          <t>PROGRESS vs TARGETS</t>
        </is>
      </c>
    </row>
    <row r="13">
      <c r="B13" s="225" t="inlineStr">
        <is>
          <t>Monthly Net Target (current phase)</t>
        </is>
      </c>
      <c r="C13" s="226" t="n"/>
      <c r="D13" s="227" t="n"/>
      <c r="E13" s="243" t="n">
        <v>8000</v>
      </c>
      <c r="F13" s="226" t="n"/>
      <c r="G13" s="226" t="n"/>
      <c r="H13" s="227" t="n"/>
    </row>
    <row r="14">
      <c r="B14" s="225" t="inlineStr">
        <is>
          <t>Actual Monthly Net (YTD-indicative)</t>
        </is>
      </c>
      <c r="C14" s="226" t="n"/>
      <c r="D14" s="227" t="n"/>
      <c r="E14" s="238">
        <f>'Sales Log'!J3+'Consignment Tracker'!I3</f>
        <v/>
      </c>
      <c r="F14" s="226" t="n"/>
      <c r="G14" s="226" t="n"/>
      <c r="H14" s="227" t="n"/>
    </row>
    <row r="15">
      <c r="B15" s="225" t="inlineStr">
        <is>
          <t>% of Phase Target</t>
        </is>
      </c>
      <c r="C15" s="226" t="n"/>
      <c r="D15" s="227" t="n"/>
      <c r="E15" s="247">
        <f>IFERROR(C14/C13,"")</f>
        <v/>
      </c>
      <c r="F15" s="226" t="n"/>
      <c r="G15" s="226" t="n"/>
      <c r="H15" s="227" t="n"/>
    </row>
    <row r="18" ht="21.75" customHeight="1" s="230">
      <c r="A18" s="237" t="inlineStr">
        <is>
          <t>QUICK ACTIONS</t>
        </is>
      </c>
    </row>
    <row r="19" ht="19.5" customHeight="1" s="230">
      <c r="B19" s="231" t="inlineStr">
        <is>
          <t>→ Sales Log: log any sales since last week.</t>
        </is>
      </c>
    </row>
    <row r="20" ht="19.5" customHeight="1" s="230">
      <c r="B20" s="231" t="inlineStr">
        <is>
          <t>→ Consignment Tracker: update any auctions that closed.</t>
        </is>
      </c>
    </row>
    <row r="21" ht="19.5" customHeight="1" s="230">
      <c r="B21" s="231" t="inlineStr">
        <is>
          <t>→ Inventory &amp; Aging: route all STALE-flagged cards to next consignment batch.</t>
        </is>
      </c>
    </row>
    <row r="22" ht="19.5" customHeight="1" s="230">
      <c r="B22" s="231" t="inlineStr">
        <is>
          <t>→ Path to $40k: compare actual net vs this month's milestone.</t>
        </is>
      </c>
    </row>
    <row r="23" ht="19.5" customHeight="1" s="230">
      <c r="B23" s="231" t="inlineStr">
        <is>
          <t>→ Helper ROI: if you haven't hired yet, re-run the calculator — it is the fastest win.</t>
        </is>
      </c>
    </row>
  </sheetData>
  <mergeCells count="32">
    <mergeCell ref="B14:D14"/>
    <mergeCell ref="B13:D13"/>
    <mergeCell ref="F6:G6"/>
    <mergeCell ref="A1:H1"/>
    <mergeCell ref="B20:H20"/>
    <mergeCell ref="H9:I9"/>
    <mergeCell ref="D6:E6"/>
    <mergeCell ref="H6:I6"/>
    <mergeCell ref="F5:G5"/>
    <mergeCell ref="B15:D15"/>
    <mergeCell ref="B8:C8"/>
    <mergeCell ref="F8:G8"/>
    <mergeCell ref="A12:H12"/>
    <mergeCell ref="B22:H22"/>
    <mergeCell ref="E14:H14"/>
    <mergeCell ref="A18:H18"/>
    <mergeCell ref="B21:H21"/>
    <mergeCell ref="A2:H2"/>
    <mergeCell ref="B9:C9"/>
    <mergeCell ref="D9:E9"/>
    <mergeCell ref="F9:G9"/>
    <mergeCell ref="E13:H13"/>
    <mergeCell ref="D8:E8"/>
    <mergeCell ref="A4:H4"/>
    <mergeCell ref="B6:C6"/>
    <mergeCell ref="B23:H23"/>
    <mergeCell ref="B5:C5"/>
    <mergeCell ref="D5:E5"/>
    <mergeCell ref="E15:H15"/>
    <mergeCell ref="H5:I5"/>
    <mergeCell ref="H8:I8"/>
    <mergeCell ref="B19:H19"/>
  </mergeCells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2"/>
  <sheetViews>
    <sheetView showGridLines="0" zoomScaleNormal="100" workbookViewId="0">
      <pane ySplit="4" topLeftCell="A44" activePane="bottomLeft" state="frozen"/>
      <selection pane="bottomLeft" activeCell="D54" sqref="D54"/>
    </sheetView>
  </sheetViews>
  <sheetFormatPr baseColWidth="10" defaultColWidth="8.6640625" defaultRowHeight="15"/>
  <cols>
    <col width="14" customWidth="1" style="230" min="1" max="1"/>
    <col width="10" customWidth="1" style="230" min="2" max="2"/>
    <col width="22" customWidth="1" style="230" min="3" max="3"/>
    <col width="40" customWidth="1" style="230" min="4" max="4"/>
    <col width="18" customWidth="1" style="230" min="5" max="5"/>
    <col width="12" customWidth="1" style="230" min="6" max="9"/>
    <col width="28" customWidth="1" style="230" min="10" max="10"/>
    <col width="14" customWidth="1" style="230" min="11" max="11"/>
    <col width="10" customWidth="1" style="230" min="12" max="13"/>
    <col width="12" customWidth="1" style="230" min="14" max="14"/>
    <col width="22" customWidth="1" style="230" min="15" max="15"/>
  </cols>
  <sheetData>
    <row r="1" ht="31.5" customHeight="1" s="230">
      <c r="A1" s="229" t="inlineStr">
        <is>
          <t>🏠 Start Here</t>
        </is>
      </c>
    </row>
    <row r="2">
      <c r="A2" s="239" t="inlineStr">
        <is>
          <t>25 NFL + 20 Soccer + 20 Baseball (liquid ≥10 sales/90d) — $8-155 band. WC 2026 LIVE in 6 weeks. 2025 MLB season catalyst active.</t>
        </is>
      </c>
    </row>
    <row r="3">
      <c r="E3" s="4" t="inlineStr">
        <is>
          <t>TOTALS →</t>
        </is>
      </c>
      <c r="F3" s="5">
        <f>SUM(F5:F55)</f>
        <v/>
      </c>
      <c r="G3" s="5">
        <f>SUM(G5:G55)</f>
        <v/>
      </c>
      <c r="H3" s="5">
        <f>SUM(H5:H55)</f>
        <v/>
      </c>
      <c r="I3" s="6">
        <f>SUM(I5:I55)</f>
        <v/>
      </c>
      <c r="L3" s="7">
        <f>IFERROR(I3/G3,"")</f>
        <v/>
      </c>
    </row>
    <row r="4" ht="31.5" customHeight="1" s="230">
      <c r="A4" s="276" t="inlineStr">
        <is>
          <t>#</t>
        </is>
      </c>
      <c r="B4" s="276" t="inlineStr">
        <is>
          <t>Sport</t>
        </is>
      </c>
      <c r="C4" s="276" t="inlineStr">
        <is>
          <t>Player</t>
        </is>
      </c>
      <c r="D4" s="276" t="inlineStr">
        <is>
          <t>Card / Variant</t>
        </is>
      </c>
      <c r="E4" s="276" t="inlineStr">
        <is>
          <t>Grade / Cond.</t>
        </is>
      </c>
      <c r="F4" s="276" t="inlineStr">
        <is>
          <t>Max Buy ($)</t>
        </is>
      </c>
      <c r="G4" s="276" t="inlineStr">
        <is>
          <t>Target Sell ($)</t>
        </is>
      </c>
      <c r="H4" s="276" t="inlineStr">
        <is>
          <t>Est. Fees ($)</t>
        </is>
      </c>
      <c r="I4" s="276" t="inlineStr">
        <is>
          <t>Est. Net ($)</t>
        </is>
      </c>
      <c r="J4" s="276" t="inlineStr">
        <is>
          <t>Catalyst / Why</t>
        </is>
      </c>
      <c r="K4" s="276" t="inlineStr">
        <is>
          <t>Best Channel</t>
        </is>
      </c>
      <c r="L4" s="276" t="inlineStr">
        <is>
          <t>Margin %</t>
        </is>
      </c>
      <c r="M4" s="261" t="inlineStr">
        <is>
          <t>In Stock</t>
        </is>
      </c>
      <c r="N4" s="261" t="inlineStr">
        <is>
          <t>Your Avg $</t>
        </is>
      </c>
      <c r="O4" s="261" t="inlineStr">
        <is>
          <t>Status</t>
        </is>
      </c>
    </row>
    <row r="5" ht="31.5" customHeight="1" s="230">
      <c r="A5" s="341" t="n">
        <v>1</v>
      </c>
      <c r="B5" s="342" t="inlineStr">
        <is>
          <t>NFL</t>
        </is>
      </c>
      <c r="C5" s="343" t="inlineStr">
        <is>
          <t>Patrick Mahomes</t>
        </is>
      </c>
      <c r="D5" s="343" t="inlineStr">
        <is>
          <t>2017 Panini Prizm #269 RC Silver</t>
        </is>
      </c>
      <c r="E5" s="341" t="inlineStr">
        <is>
          <t>Raw NM-M</t>
        </is>
      </c>
      <c r="F5" s="344" t="n">
        <v>35</v>
      </c>
      <c r="G5" s="344" t="n">
        <v>80</v>
      </c>
      <c r="H5" s="344">
        <f>G5*0.1325</f>
        <v/>
      </c>
      <c r="I5" s="345">
        <f>G5-H5-F5</f>
        <v/>
      </c>
      <c r="J5" s="343" t="inlineStr">
        <is>
          <t>SB contender, top QB</t>
        </is>
      </c>
      <c r="K5" s="341" t="inlineStr">
        <is>
          <t>eBay BIN</t>
        </is>
      </c>
      <c r="L5" s="20">
        <f>IFERROR(I5/G5,"")</f>
        <v/>
      </c>
      <c r="M5" s="21" t="n"/>
      <c r="N5" s="22" t="n"/>
      <c r="O5" s="23" t="n"/>
    </row>
    <row r="6" ht="31.5" customHeight="1" s="230">
      <c r="A6" s="341" t="n">
        <v>2</v>
      </c>
      <c r="B6" s="342" t="inlineStr">
        <is>
          <t>NFL</t>
        </is>
      </c>
      <c r="C6" s="343" t="inlineStr">
        <is>
          <t>Ja'Marr Chase</t>
        </is>
      </c>
      <c r="D6" s="343" t="inlineStr">
        <is>
          <t>2021 Panini Prizm #387 RC Silver</t>
        </is>
      </c>
      <c r="E6" s="341" t="inlineStr">
        <is>
          <t>Raw NM-M</t>
        </is>
      </c>
      <c r="F6" s="344" t="n">
        <v>20</v>
      </c>
      <c r="G6" s="344" t="n">
        <v>55</v>
      </c>
      <c r="H6" s="344">
        <f>G6*0.1325</f>
        <v/>
      </c>
      <c r="I6" s="345">
        <f>G6-H6-F6</f>
        <v/>
      </c>
      <c r="J6" s="343" t="inlineStr">
        <is>
          <t>WR1 threat</t>
        </is>
      </c>
      <c r="K6" s="341" t="inlineStr">
        <is>
          <t>eBay BIN</t>
        </is>
      </c>
      <c r="L6" s="20">
        <f>IFERROR(I6/G6,"")</f>
        <v/>
      </c>
      <c r="M6" s="21" t="n"/>
      <c r="N6" s="22" t="n"/>
      <c r="O6" s="23" t="n"/>
    </row>
    <row r="7" ht="31.5" customHeight="1" s="230">
      <c r="A7" s="341" t="n">
        <v>3</v>
      </c>
      <c r="B7" s="342" t="inlineStr">
        <is>
          <t>MLB</t>
        </is>
      </c>
      <c r="C7" s="343" t="inlineStr">
        <is>
          <t>Juan Soto</t>
        </is>
      </c>
      <c r="D7" s="343" t="inlineStr">
        <is>
          <t>2018 Topps Chrome #31 RC</t>
        </is>
      </c>
      <c r="E7" s="341" t="inlineStr">
        <is>
          <t>Raw NM-M</t>
        </is>
      </c>
      <c r="F7" s="344" t="n">
        <v>18</v>
      </c>
      <c r="G7" s="344" t="n">
        <v>45</v>
      </c>
      <c r="H7" s="344">
        <f>G7*0.1325</f>
        <v/>
      </c>
      <c r="I7" s="345">
        <f>G7-H7-F7</f>
        <v/>
      </c>
      <c r="J7" s="343" t="inlineStr">
        <is>
          <t>2025 season catalyst</t>
        </is>
      </c>
      <c r="K7" s="341" t="inlineStr">
        <is>
          <t>eBay Auction</t>
        </is>
      </c>
      <c r="L7" s="20">
        <f>IFERROR(I7/G7,"")</f>
        <v/>
      </c>
      <c r="M7" s="21" t="n"/>
      <c r="N7" s="22" t="n"/>
      <c r="O7" s="23" t="n"/>
    </row>
    <row r="8" ht="31.5" customHeight="1" s="230">
      <c r="A8" s="10" t="n"/>
      <c r="B8" s="11" t="n"/>
      <c r="C8" s="12" t="n"/>
      <c r="D8" s="13" t="n"/>
      <c r="E8" s="14" t="n"/>
      <c r="F8" s="15" t="n"/>
      <c r="G8" s="15" t="n"/>
      <c r="H8" s="16">
        <f>G8*0.136+0.4+4.5+0.75</f>
        <v/>
      </c>
      <c r="I8" s="17">
        <f>G8-F8-H8</f>
        <v/>
      </c>
      <c r="J8" s="18" t="n"/>
      <c r="K8" s="19" t="n"/>
      <c r="L8" s="20">
        <f>IFERROR(I8/G8,"")</f>
        <v/>
      </c>
      <c r="M8" s="21" t="n"/>
      <c r="N8" s="22" t="n"/>
      <c r="O8" s="23" t="n"/>
    </row>
    <row r="9" ht="31.5" customHeight="1" s="230">
      <c r="A9" s="10" t="n"/>
      <c r="B9" s="11" t="n"/>
      <c r="C9" s="12" t="n"/>
      <c r="D9" s="13" t="n"/>
      <c r="E9" s="14" t="n"/>
      <c r="F9" s="15" t="n"/>
      <c r="G9" s="15" t="n"/>
      <c r="H9" s="16">
        <f>G9*0.1+0+4.5+0.75</f>
        <v/>
      </c>
      <c r="I9" s="17">
        <f>G9-F9-H9</f>
        <v/>
      </c>
      <c r="J9" s="18" t="n"/>
      <c r="K9" s="19" t="n"/>
      <c r="L9" s="20">
        <f>IFERROR(I9/G9,"")</f>
        <v/>
      </c>
      <c r="M9" s="21" t="n"/>
      <c r="N9" s="22" t="n"/>
      <c r="O9" s="23" t="n"/>
    </row>
    <row r="10" ht="31.5" customHeight="1" s="230">
      <c r="A10" s="10" t="n"/>
      <c r="B10" s="11" t="n"/>
      <c r="C10" s="12" t="n"/>
      <c r="D10" s="13" t="n"/>
      <c r="E10" s="14" t="n"/>
      <c r="F10" s="15" t="n"/>
      <c r="G10" s="15" t="n"/>
      <c r="H10" s="16">
        <f>G10*0.136+0.4+4.5+0.75</f>
        <v/>
      </c>
      <c r="I10" s="17">
        <f>G10-F10-H10</f>
        <v/>
      </c>
      <c r="J10" s="18" t="n"/>
      <c r="K10" s="19" t="n"/>
      <c r="L10" s="20">
        <f>IFERROR(I10/G10,"")</f>
        <v/>
      </c>
      <c r="M10" s="21" t="n"/>
      <c r="N10" s="22" t="n"/>
      <c r="O10" s="23" t="n"/>
    </row>
    <row r="11" ht="31.5" customHeight="1" s="230">
      <c r="A11" s="10" t="n"/>
      <c r="B11" s="11" t="n"/>
      <c r="C11" s="12" t="n"/>
      <c r="D11" s="13" t="n"/>
      <c r="E11" s="14" t="n"/>
      <c r="F11" s="15" t="n"/>
      <c r="G11" s="15" t="n"/>
      <c r="H11" s="16">
        <f>G11*0.136+0.4+4.5+0.75</f>
        <v/>
      </c>
      <c r="I11" s="17">
        <f>G11-F11-H11</f>
        <v/>
      </c>
      <c r="J11" s="18" t="n"/>
      <c r="K11" s="19" t="n"/>
      <c r="L11" s="20">
        <f>IFERROR(I11/G11,"")</f>
        <v/>
      </c>
      <c r="M11" s="21" t="n"/>
      <c r="N11" s="22" t="n"/>
      <c r="O11" s="23" t="n"/>
    </row>
    <row r="12" ht="31.5" customHeight="1" s="230">
      <c r="A12" s="10" t="n"/>
      <c r="B12" s="11" t="n"/>
      <c r="C12" s="12" t="n"/>
      <c r="D12" s="13" t="n"/>
      <c r="E12" s="14" t="n"/>
      <c r="F12" s="15" t="n"/>
      <c r="G12" s="15" t="n"/>
      <c r="H12" s="16">
        <f>G12*0.136+0.4+4.5+0.75</f>
        <v/>
      </c>
      <c r="I12" s="17">
        <f>G12-F12-H12</f>
        <v/>
      </c>
      <c r="J12" s="18" t="n"/>
      <c r="K12" s="19" t="n"/>
      <c r="L12" s="20">
        <f>IFERROR(I12/G12,"")</f>
        <v/>
      </c>
      <c r="M12" s="21" t="n"/>
      <c r="N12" s="22" t="n"/>
      <c r="O12" s="23" t="n"/>
    </row>
    <row r="13" ht="31.5" customHeight="1" s="230">
      <c r="A13" s="10" t="n"/>
      <c r="B13" s="11" t="n"/>
      <c r="C13" s="12" t="n"/>
      <c r="D13" s="13" t="n"/>
      <c r="E13" s="14" t="n"/>
      <c r="F13" s="15" t="n"/>
      <c r="G13" s="15" t="n"/>
      <c r="H13" s="16">
        <f>G13*0.1+0+4.5+0.75</f>
        <v/>
      </c>
      <c r="I13" s="17">
        <f>G13-F13-H13</f>
        <v/>
      </c>
      <c r="J13" s="18" t="n"/>
      <c r="K13" s="19" t="n"/>
      <c r="L13" s="20">
        <f>IFERROR(I13/G13,"")</f>
        <v/>
      </c>
      <c r="M13" s="21" t="n"/>
      <c r="N13" s="22" t="n"/>
      <c r="O13" s="23" t="n"/>
    </row>
    <row r="14" ht="31.5" customHeight="1" s="230">
      <c r="A14" s="10" t="n"/>
      <c r="B14" s="11" t="n"/>
      <c r="C14" s="12" t="n"/>
      <c r="D14" s="13" t="n"/>
      <c r="E14" s="14" t="n"/>
      <c r="F14" s="15" t="n"/>
      <c r="G14" s="15" t="n"/>
      <c r="H14" s="16">
        <f>G14*0.136+0.4+4.5+0.75</f>
        <v/>
      </c>
      <c r="I14" s="17">
        <f>G14-F14-H14</f>
        <v/>
      </c>
      <c r="J14" s="18" t="n"/>
      <c r="K14" s="19" t="n"/>
      <c r="L14" s="20">
        <f>IFERROR(I14/G14,"")</f>
        <v/>
      </c>
      <c r="M14" s="21" t="n"/>
      <c r="N14" s="22" t="n"/>
      <c r="O14" s="23" t="n"/>
    </row>
    <row r="15" ht="31.5" customHeight="1" s="230">
      <c r="A15" s="10" t="n"/>
      <c r="B15" s="11" t="n"/>
      <c r="C15" s="12" t="n"/>
      <c r="D15" s="13" t="n"/>
      <c r="E15" s="14" t="n"/>
      <c r="F15" s="15" t="n"/>
      <c r="G15" s="15" t="n"/>
      <c r="H15" s="16">
        <f>G15*0.136+0.4+4.5+0.75</f>
        <v/>
      </c>
      <c r="I15" s="17">
        <f>G15-F15-H15</f>
        <v/>
      </c>
      <c r="J15" s="18" t="n"/>
      <c r="K15" s="19" t="n"/>
      <c r="L15" s="20">
        <f>IFERROR(I15/G15,"")</f>
        <v/>
      </c>
      <c r="M15" s="21" t="n"/>
      <c r="N15" s="22" t="n"/>
      <c r="O15" s="23" t="n"/>
    </row>
    <row r="16" ht="31.5" customHeight="1" s="230">
      <c r="A16" s="10" t="n"/>
      <c r="B16" s="11" t="n"/>
      <c r="C16" s="12" t="n"/>
      <c r="D16" s="13" t="n"/>
      <c r="E16" s="14" t="n"/>
      <c r="F16" s="15" t="n"/>
      <c r="G16" s="15" t="n"/>
      <c r="H16" s="16">
        <f>G16*0.136+0.4+4.5+0.75</f>
        <v/>
      </c>
      <c r="I16" s="17">
        <f>G16-F16-H16</f>
        <v/>
      </c>
      <c r="J16" s="18" t="n"/>
      <c r="K16" s="19" t="n"/>
      <c r="L16" s="20">
        <f>IFERROR(I16/G16,"")</f>
        <v/>
      </c>
      <c r="M16" s="21" t="n"/>
      <c r="N16" s="22" t="n"/>
      <c r="O16" s="23" t="n"/>
    </row>
    <row r="17" ht="31.5" customHeight="1" s="230">
      <c r="A17" s="10" t="n"/>
      <c r="B17" s="11" t="n"/>
      <c r="C17" s="12" t="n"/>
      <c r="D17" s="13" t="n"/>
      <c r="E17" s="14" t="n"/>
      <c r="F17" s="15" t="n"/>
      <c r="G17" s="15" t="n"/>
      <c r="H17" s="16">
        <f>G17*0.1+0+4.5+0.75</f>
        <v/>
      </c>
      <c r="I17" s="17">
        <f>G17-F17-H17</f>
        <v/>
      </c>
      <c r="J17" s="18" t="n"/>
      <c r="K17" s="19" t="n"/>
      <c r="L17" s="20">
        <f>IFERROR(I17/G17,"")</f>
        <v/>
      </c>
      <c r="M17" s="21" t="n"/>
      <c r="N17" s="22" t="n"/>
      <c r="O17" s="23" t="n"/>
    </row>
    <row r="18" ht="31.5" customHeight="1" s="230">
      <c r="A18" s="10" t="n"/>
      <c r="B18" s="11" t="n"/>
      <c r="C18" s="12" t="n"/>
      <c r="D18" s="13" t="n"/>
      <c r="E18" s="14" t="n"/>
      <c r="F18" s="15" t="n"/>
      <c r="G18" s="15" t="n"/>
      <c r="H18" s="16">
        <f>G18*0.1+0+4.5+0.75</f>
        <v/>
      </c>
      <c r="I18" s="17">
        <f>G18-F18-H18</f>
        <v/>
      </c>
      <c r="J18" s="18" t="n"/>
      <c r="K18" s="19" t="n"/>
      <c r="L18" s="20">
        <f>IFERROR(I18/G18,"")</f>
        <v/>
      </c>
      <c r="M18" s="21" t="n"/>
      <c r="N18" s="22" t="n"/>
      <c r="O18" s="23" t="n"/>
    </row>
    <row r="19" ht="31.5" customHeight="1" s="230">
      <c r="A19" s="10" t="n"/>
      <c r="B19" s="11" t="n"/>
      <c r="C19" s="12" t="n"/>
      <c r="D19" s="13" t="n"/>
      <c r="E19" s="14" t="n"/>
      <c r="F19" s="15" t="n"/>
      <c r="G19" s="15" t="n"/>
      <c r="H19" s="16">
        <f>G19*0.136+0.4+4.5+0.75</f>
        <v/>
      </c>
      <c r="I19" s="17">
        <f>G19-F19-H19</f>
        <v/>
      </c>
      <c r="J19" s="18" t="n"/>
      <c r="K19" s="19" t="n"/>
      <c r="L19" s="20">
        <f>IFERROR(I19/G19,"")</f>
        <v/>
      </c>
      <c r="M19" s="21" t="n"/>
      <c r="N19" s="22" t="n"/>
      <c r="O19" s="23" t="n"/>
    </row>
    <row r="20" ht="31.5" customHeight="1" s="230">
      <c r="A20" s="10" t="n"/>
      <c r="B20" s="11" t="n"/>
      <c r="C20" s="12" t="n"/>
      <c r="D20" s="13" t="n"/>
      <c r="E20" s="14" t="n"/>
      <c r="F20" s="15" t="n"/>
      <c r="G20" s="15" t="n"/>
      <c r="H20" s="16">
        <f>G20*0.1+0+4.5+0.75</f>
        <v/>
      </c>
      <c r="I20" s="17">
        <f>G20-F20-H20</f>
        <v/>
      </c>
      <c r="J20" s="18" t="n"/>
      <c r="K20" s="19" t="n"/>
      <c r="L20" s="20">
        <f>IFERROR(I20/G20,"")</f>
        <v/>
      </c>
      <c r="M20" s="21" t="n"/>
      <c r="N20" s="22" t="n"/>
      <c r="O20" s="23" t="n"/>
    </row>
    <row r="21" ht="31.5" customHeight="1" s="230">
      <c r="A21" s="10" t="n"/>
      <c r="B21" s="11" t="n"/>
      <c r="C21" s="12" t="n"/>
      <c r="D21" s="13" t="n"/>
      <c r="E21" s="14" t="n"/>
      <c r="F21" s="15" t="n"/>
      <c r="G21" s="15" t="n"/>
      <c r="H21" s="16">
        <f>G21*0.1+0+4.5+0.75</f>
        <v/>
      </c>
      <c r="I21" s="17">
        <f>G21-F21-H21</f>
        <v/>
      </c>
      <c r="J21" s="18" t="n"/>
      <c r="K21" s="19" t="n"/>
      <c r="L21" s="20">
        <f>IFERROR(I21/G21,"")</f>
        <v/>
      </c>
      <c r="M21" s="21" t="n"/>
      <c r="N21" s="22" t="n"/>
      <c r="O21" s="23" t="n"/>
    </row>
    <row r="22" ht="31.5" customHeight="1" s="230">
      <c r="A22" s="10" t="n"/>
      <c r="B22" s="11" t="n"/>
      <c r="C22" s="12" t="n"/>
      <c r="D22" s="13" t="n"/>
      <c r="E22" s="14" t="n"/>
      <c r="F22" s="15" t="n"/>
      <c r="G22" s="15" t="n"/>
      <c r="H22" s="16">
        <f>G22*0.1+0+4.5+0.75</f>
        <v/>
      </c>
      <c r="I22" s="17">
        <f>G22-F22-H22</f>
        <v/>
      </c>
      <c r="J22" s="18" t="n"/>
      <c r="K22" s="19" t="n"/>
      <c r="L22" s="20">
        <f>IFERROR(I22/G22,"")</f>
        <v/>
      </c>
      <c r="M22" s="21" t="n"/>
      <c r="N22" s="22" t="n"/>
      <c r="O22" s="23" t="n"/>
    </row>
    <row r="23" ht="31.5" customHeight="1" s="230">
      <c r="A23" s="10" t="n"/>
      <c r="B23" s="11" t="n"/>
      <c r="C23" s="12" t="n"/>
      <c r="D23" s="13" t="n"/>
      <c r="E23" s="14" t="n"/>
      <c r="F23" s="15" t="n"/>
      <c r="G23" s="15" t="n"/>
      <c r="H23" s="16">
        <f>G23*0.068+0.4+4.5+0.75</f>
        <v/>
      </c>
      <c r="I23" s="17">
        <f>G23-F23-H23</f>
        <v/>
      </c>
      <c r="J23" s="18" t="n"/>
      <c r="K23" s="19" t="n"/>
      <c r="L23" s="20">
        <f>IFERROR(I23/G23,"")</f>
        <v/>
      </c>
      <c r="M23" s="21" t="n"/>
      <c r="N23" s="22" t="n"/>
      <c r="O23" s="23" t="n"/>
    </row>
    <row r="24" ht="31.5" customHeight="1" s="230">
      <c r="A24" s="10" t="n"/>
      <c r="B24" s="11" t="n"/>
      <c r="C24" s="12" t="n"/>
      <c r="D24" s="13" t="n"/>
      <c r="E24" s="14" t="n"/>
      <c r="F24" s="15" t="n"/>
      <c r="G24" s="15" t="n"/>
      <c r="H24" s="16">
        <f>G24*0.136+0.4+4.5+0.75</f>
        <v/>
      </c>
      <c r="I24" s="17">
        <f>G24-F24-H24</f>
        <v/>
      </c>
      <c r="J24" s="18" t="n"/>
      <c r="K24" s="19" t="n"/>
      <c r="L24" s="20">
        <f>IFERROR(I24/G24,"")</f>
        <v/>
      </c>
      <c r="M24" s="21" t="n"/>
      <c r="N24" s="22" t="n"/>
      <c r="O24" s="23" t="n"/>
    </row>
    <row r="25" ht="31.5" customHeight="1" s="230">
      <c r="A25" s="10" t="n"/>
      <c r="B25" s="11" t="n"/>
      <c r="C25" s="12" t="n"/>
      <c r="D25" s="13" t="n"/>
      <c r="E25" s="14" t="n"/>
      <c r="F25" s="15" t="n"/>
      <c r="G25" s="15" t="n"/>
      <c r="H25" s="16">
        <f>G25*0.136+0.4+4.5+0.75</f>
        <v/>
      </c>
      <c r="I25" s="17">
        <f>G25-F25-H25</f>
        <v/>
      </c>
      <c r="J25" s="18" t="n"/>
      <c r="K25" s="19" t="n"/>
      <c r="L25" s="20">
        <f>IFERROR(I25/G25,"")</f>
        <v/>
      </c>
      <c r="M25" s="21" t="n"/>
      <c r="N25" s="22" t="n"/>
      <c r="O25" s="23" t="n"/>
    </row>
    <row r="26" ht="31.5" customHeight="1" s="230">
      <c r="A26" s="10" t="n"/>
      <c r="B26" s="11" t="n"/>
      <c r="C26" s="12" t="n"/>
      <c r="D26" s="13" t="n"/>
      <c r="E26" s="14" t="n"/>
      <c r="F26" s="15" t="n"/>
      <c r="G26" s="15" t="n"/>
      <c r="H26" s="16">
        <f>G26*0.068+0.4+4.5+0.75</f>
        <v/>
      </c>
      <c r="I26" s="17">
        <f>G26-F26-H26</f>
        <v/>
      </c>
      <c r="J26" s="18" t="n"/>
      <c r="K26" s="19" t="n"/>
      <c r="L26" s="20">
        <f>IFERROR(I26/G26,"")</f>
        <v/>
      </c>
      <c r="M26" s="21" t="n"/>
      <c r="N26" s="22" t="n"/>
      <c r="O26" s="23" t="n"/>
    </row>
    <row r="27" ht="31.5" customHeight="1" s="230">
      <c r="A27" s="10" t="n"/>
      <c r="B27" s="11" t="n"/>
      <c r="C27" s="12" t="n"/>
      <c r="D27" s="13" t="n"/>
      <c r="E27" s="14" t="n"/>
      <c r="F27" s="15" t="n"/>
      <c r="G27" s="15" t="n"/>
      <c r="H27" s="16">
        <f>G27*0.1+0+4.5+0.75</f>
        <v/>
      </c>
      <c r="I27" s="17">
        <f>G27-F27-H27</f>
        <v/>
      </c>
      <c r="J27" s="18" t="n"/>
      <c r="K27" s="19" t="n"/>
      <c r="L27" s="20">
        <f>IFERROR(I27/G27,"")</f>
        <v/>
      </c>
      <c r="M27" s="21" t="n"/>
      <c r="N27" s="22" t="n"/>
      <c r="O27" s="23" t="n"/>
    </row>
    <row r="28" ht="31.5" customHeight="1" s="230">
      <c r="A28" s="10" t="n"/>
      <c r="B28" s="11" t="n"/>
      <c r="C28" s="12" t="n"/>
      <c r="D28" s="13" t="n"/>
      <c r="E28" s="14" t="n"/>
      <c r="F28" s="15" t="n"/>
      <c r="G28" s="15" t="n"/>
      <c r="H28" s="16">
        <f>G28*0.136+0.4+4.5+0.75</f>
        <v/>
      </c>
      <c r="I28" s="17">
        <f>G28-F28-H28</f>
        <v/>
      </c>
      <c r="J28" s="18" t="n"/>
      <c r="K28" s="19" t="n"/>
      <c r="L28" s="20">
        <f>IFERROR(I28/G28,"")</f>
        <v/>
      </c>
      <c r="M28" s="24" t="n"/>
      <c r="N28" s="25" t="n"/>
      <c r="O28" s="26" t="n"/>
    </row>
    <row r="29" ht="31.5" customHeight="1" s="230">
      <c r="A29" s="10" t="n"/>
      <c r="B29" s="11" t="n"/>
      <c r="C29" s="12" t="n"/>
      <c r="D29" s="13" t="n"/>
      <c r="E29" s="14" t="n"/>
      <c r="F29" s="15" t="n"/>
      <c r="G29" s="15" t="n"/>
      <c r="H29" s="16">
        <f>G29*0.1+0+4.5+0.75</f>
        <v/>
      </c>
      <c r="I29" s="17">
        <f>G29-F29-H29</f>
        <v/>
      </c>
      <c r="J29" s="18" t="n"/>
      <c r="K29" s="19" t="n"/>
      <c r="L29" s="20">
        <f>IFERROR(I29/G29,"")</f>
        <v/>
      </c>
      <c r="M29" s="21" t="n"/>
      <c r="N29" s="22" t="n"/>
      <c r="O29" s="23" t="n"/>
    </row>
    <row r="30" ht="31.5" customHeight="1" s="230">
      <c r="A30" s="10" t="n"/>
      <c r="B30" s="27" t="n"/>
      <c r="C30" s="12" t="n"/>
      <c r="D30" s="13" t="n"/>
      <c r="E30" s="14" t="n"/>
      <c r="F30" s="15" t="n"/>
      <c r="G30" s="15" t="n"/>
      <c r="H30" s="16">
        <f>G30*0.136+0.4+4.5+0.75</f>
        <v/>
      </c>
      <c r="I30" s="17">
        <f>G30-F30-H30</f>
        <v/>
      </c>
      <c r="J30" s="18" t="n"/>
      <c r="K30" s="19" t="n"/>
      <c r="L30" s="20">
        <f>IFERROR(I30/G30,"")</f>
        <v/>
      </c>
      <c r="M30" s="21" t="n"/>
      <c r="N30" s="22" t="n"/>
      <c r="O30" s="23" t="n"/>
    </row>
    <row r="31" ht="31.5" customHeight="1" s="230">
      <c r="A31" s="10" t="n"/>
      <c r="B31" s="27" t="n"/>
      <c r="C31" s="12" t="n"/>
      <c r="D31" s="13" t="n"/>
      <c r="E31" s="14" t="n"/>
      <c r="F31" s="15" t="n"/>
      <c r="G31" s="15" t="n"/>
      <c r="H31" s="16">
        <f>G31*0.136+0.4+4.5+0.75</f>
        <v/>
      </c>
      <c r="I31" s="17">
        <f>G31-F31-H31</f>
        <v/>
      </c>
      <c r="J31" s="18" t="n"/>
      <c r="K31" s="19" t="n"/>
      <c r="L31" s="20">
        <f>IFERROR(I31/G31,"")</f>
        <v/>
      </c>
      <c r="M31" s="21" t="n"/>
      <c r="N31" s="22" t="n"/>
      <c r="O31" s="23" t="n"/>
    </row>
    <row r="32" ht="31.5" customHeight="1" s="230">
      <c r="A32" s="10" t="n"/>
      <c r="B32" s="27" t="n"/>
      <c r="C32" s="12" t="n"/>
      <c r="D32" s="13" t="n"/>
      <c r="E32" s="14" t="n"/>
      <c r="F32" s="15" t="n"/>
      <c r="G32" s="15" t="n"/>
      <c r="H32" s="16">
        <f>G32*0.136+0.4+4.5+0.75</f>
        <v/>
      </c>
      <c r="I32" s="17">
        <f>G32-F32-H32</f>
        <v/>
      </c>
      <c r="J32" s="18" t="n"/>
      <c r="K32" s="19" t="n"/>
      <c r="L32" s="20">
        <f>IFERROR(I32/G32,"")</f>
        <v/>
      </c>
      <c r="M32" s="21" t="n"/>
      <c r="N32" s="22" t="n"/>
      <c r="O32" s="23" t="n"/>
    </row>
    <row r="33" ht="31.5" customHeight="1" s="230">
      <c r="A33" s="10" t="n"/>
      <c r="B33" s="27" t="n"/>
      <c r="C33" s="12" t="n"/>
      <c r="D33" s="13" t="n"/>
      <c r="E33" s="14" t="n"/>
      <c r="F33" s="15" t="n"/>
      <c r="G33" s="15" t="n"/>
      <c r="H33" s="16">
        <f>G33*0.1+0+4.5+0.75</f>
        <v/>
      </c>
      <c r="I33" s="17">
        <f>G33-F33-H33</f>
        <v/>
      </c>
      <c r="J33" s="18" t="n"/>
      <c r="K33" s="19" t="n"/>
      <c r="L33" s="20">
        <f>IFERROR(I33/G33,"")</f>
        <v/>
      </c>
      <c r="M33" s="21" t="n"/>
      <c r="N33" s="22" t="n"/>
      <c r="O33" s="23" t="n"/>
    </row>
    <row r="34" ht="31.5" customHeight="1" s="230">
      <c r="A34" s="10" t="n"/>
      <c r="B34" s="27" t="n"/>
      <c r="C34" s="12" t="n"/>
      <c r="D34" s="13" t="n"/>
      <c r="E34" s="14" t="n"/>
      <c r="F34" s="15" t="n"/>
      <c r="G34" s="15" t="n"/>
      <c r="H34" s="16">
        <f>G34*0.136+0.4+4.5+0.75</f>
        <v/>
      </c>
      <c r="I34" s="17">
        <f>G34-F34-H34</f>
        <v/>
      </c>
      <c r="J34" s="18" t="n"/>
      <c r="K34" s="19" t="n"/>
      <c r="L34" s="20">
        <f>IFERROR(I34/G34,"")</f>
        <v/>
      </c>
      <c r="M34" s="21" t="n"/>
      <c r="N34" s="22" t="n"/>
      <c r="O34" s="23" t="n"/>
    </row>
    <row r="35" ht="31.5" customHeight="1" s="230">
      <c r="A35" s="10" t="n"/>
      <c r="B35" s="27" t="n"/>
      <c r="C35" s="12" t="n"/>
      <c r="D35" s="13" t="n"/>
      <c r="E35" s="14" t="n"/>
      <c r="F35" s="15" t="n"/>
      <c r="G35" s="15" t="n"/>
      <c r="H35" s="16">
        <f>G35*0.136+0.4+4.5+0.75</f>
        <v/>
      </c>
      <c r="I35" s="17">
        <f>G35-F35-H35</f>
        <v/>
      </c>
      <c r="J35" s="18" t="n"/>
      <c r="K35" s="19" t="n"/>
      <c r="L35" s="20">
        <f>IFERROR(I35/G35,"")</f>
        <v/>
      </c>
      <c r="M35" s="21" t="n"/>
      <c r="N35" s="22" t="n"/>
      <c r="O35" s="23" t="n"/>
    </row>
    <row r="36" ht="31.5" customHeight="1" s="230">
      <c r="A36" s="10" t="n"/>
      <c r="B36" s="27" t="n"/>
      <c r="C36" s="12" t="n"/>
      <c r="D36" s="13" t="n"/>
      <c r="E36" s="14" t="n"/>
      <c r="F36" s="15" t="n"/>
      <c r="G36" s="15" t="n"/>
      <c r="H36" s="16">
        <f>G36*0.136+0.4+4.5+0.75</f>
        <v/>
      </c>
      <c r="I36" s="17">
        <f>G36-F36-H36</f>
        <v/>
      </c>
      <c r="J36" s="18" t="n"/>
      <c r="K36" s="19" t="n"/>
      <c r="L36" s="20">
        <f>IFERROR(I36/G36,"")</f>
        <v/>
      </c>
      <c r="M36" s="21" t="n"/>
      <c r="N36" s="22" t="n"/>
      <c r="O36" s="23" t="n"/>
    </row>
    <row r="37" ht="31.5" customHeight="1" s="230">
      <c r="A37" s="10" t="n"/>
      <c r="B37" s="27" t="n"/>
      <c r="C37" s="12" t="n"/>
      <c r="D37" s="13" t="n"/>
      <c r="E37" s="14" t="n"/>
      <c r="F37" s="15" t="n"/>
      <c r="G37" s="15" t="n"/>
      <c r="H37" s="16">
        <f>G37*0.1+0+4.5+0.75</f>
        <v/>
      </c>
      <c r="I37" s="17">
        <f>G37-F37-H37</f>
        <v/>
      </c>
      <c r="J37" s="18" t="n"/>
      <c r="K37" s="19" t="n"/>
      <c r="L37" s="20">
        <f>IFERROR(I37/G37,"")</f>
        <v/>
      </c>
      <c r="M37" s="21" t="n"/>
      <c r="N37" s="22" t="n"/>
      <c r="O37" s="23" t="n"/>
    </row>
    <row r="38" ht="31.5" customHeight="1" s="230">
      <c r="A38" s="10" t="n"/>
      <c r="B38" s="27" t="n"/>
      <c r="C38" s="12" t="n"/>
      <c r="D38" s="13" t="n"/>
      <c r="E38" s="14" t="n"/>
      <c r="F38" s="15" t="n"/>
      <c r="G38" s="15" t="n"/>
      <c r="H38" s="16">
        <f>G38*0.136+0.4+4.5+0.75</f>
        <v/>
      </c>
      <c r="I38" s="17">
        <f>G38-F38-H38</f>
        <v/>
      </c>
      <c r="J38" s="18" t="n"/>
      <c r="K38" s="19" t="n"/>
      <c r="L38" s="20">
        <f>IFERROR(I38/G38,"")</f>
        <v/>
      </c>
      <c r="M38" s="21" t="n"/>
      <c r="N38" s="22" t="n"/>
      <c r="O38" s="23" t="n"/>
    </row>
    <row r="39" ht="31.5" customHeight="1" s="230">
      <c r="A39" s="10" t="n"/>
      <c r="B39" s="27" t="n"/>
      <c r="C39" s="12" t="n"/>
      <c r="D39" s="13" t="n"/>
      <c r="E39" s="14" t="n"/>
      <c r="F39" s="15" t="n"/>
      <c r="G39" s="15" t="n"/>
      <c r="H39" s="16">
        <f>G39*0.1+0+4.5+0.75</f>
        <v/>
      </c>
      <c r="I39" s="17">
        <f>G39-F39-H39</f>
        <v/>
      </c>
      <c r="J39" s="18" t="n"/>
      <c r="K39" s="19" t="n"/>
      <c r="L39" s="20">
        <f>IFERROR(I39/G39,"")</f>
        <v/>
      </c>
      <c r="M39" s="21" t="n"/>
      <c r="N39" s="22" t="n"/>
      <c r="O39" s="23" t="n"/>
    </row>
    <row r="40" ht="31.5" customHeight="1" s="230">
      <c r="A40" s="10" t="n"/>
      <c r="B40" s="27" t="n"/>
      <c r="C40" s="12" t="n"/>
      <c r="D40" s="13" t="n"/>
      <c r="E40" s="14" t="n"/>
      <c r="F40" s="15" t="n"/>
      <c r="G40" s="15" t="n"/>
      <c r="H40" s="16">
        <f>G40*0.136+0.4+4.5+0.75</f>
        <v/>
      </c>
      <c r="I40" s="17">
        <f>G40-F40-H40</f>
        <v/>
      </c>
      <c r="J40" s="18" t="n"/>
      <c r="K40" s="19" t="n"/>
      <c r="L40" s="20">
        <f>IFERROR(I40/G40,"")</f>
        <v/>
      </c>
      <c r="M40" s="21" t="n"/>
      <c r="N40" s="22" t="n"/>
      <c r="O40" s="23" t="n"/>
    </row>
    <row r="41" ht="31.5" customHeight="1" s="230">
      <c r="A41" s="10" t="n"/>
      <c r="B41" s="27" t="n"/>
      <c r="C41" s="12" t="n"/>
      <c r="D41" s="13" t="n"/>
      <c r="E41" s="14" t="n"/>
      <c r="F41" s="15" t="n"/>
      <c r="G41" s="15" t="n"/>
      <c r="H41" s="16">
        <f>G41*0.1+0+4.5+0.75</f>
        <v/>
      </c>
      <c r="I41" s="17">
        <f>G41-F41-H41</f>
        <v/>
      </c>
      <c r="J41" s="18" t="n"/>
      <c r="K41" s="19" t="n"/>
      <c r="L41" s="20">
        <f>IFERROR(I41/G41,"")</f>
        <v/>
      </c>
      <c r="M41" s="21" t="n"/>
      <c r="N41" s="22" t="n"/>
      <c r="O41" s="23" t="n"/>
    </row>
    <row r="42" ht="31.5" customHeight="1" s="230">
      <c r="A42" s="10" t="n"/>
      <c r="B42" s="27" t="n"/>
      <c r="C42" s="12" t="n"/>
      <c r="D42" s="13" t="n"/>
      <c r="E42" s="14" t="n"/>
      <c r="F42" s="15" t="n"/>
      <c r="G42" s="15" t="n"/>
      <c r="H42" s="16">
        <f>G42*0.1+0+4.5+0.75</f>
        <v/>
      </c>
      <c r="I42" s="17">
        <f>G42-F42-H42</f>
        <v/>
      </c>
      <c r="J42" s="18" t="n"/>
      <c r="K42" s="19" t="n"/>
      <c r="L42" s="20">
        <f>IFERROR(I42/G42,"")</f>
        <v/>
      </c>
      <c r="M42" s="21" t="n"/>
      <c r="N42" s="22" t="n"/>
      <c r="O42" s="23" t="n"/>
    </row>
    <row r="43" ht="31.5" customHeight="1" s="230">
      <c r="A43" s="10" t="n"/>
      <c r="B43" s="27" t="n"/>
      <c r="C43" s="12" t="n"/>
      <c r="D43" s="13" t="n"/>
      <c r="E43" s="14" t="n"/>
      <c r="F43" s="15" t="n"/>
      <c r="G43" s="15" t="n"/>
      <c r="H43" s="16">
        <f>G43*0.1+0+4.5+0.75</f>
        <v/>
      </c>
      <c r="I43" s="17">
        <f>G43-F43-H43</f>
        <v/>
      </c>
      <c r="J43" s="18" t="n"/>
      <c r="K43" s="19" t="n"/>
      <c r="L43" s="20">
        <f>IFERROR(I43/G43,"")</f>
        <v/>
      </c>
      <c r="M43" s="21" t="n"/>
      <c r="N43" s="22" t="n"/>
      <c r="O43" s="23" t="n"/>
    </row>
    <row r="44" ht="31.5" customHeight="1" s="230">
      <c r="A44" s="10" t="n"/>
      <c r="B44" s="27" t="n"/>
      <c r="C44" s="12" t="n"/>
      <c r="D44" s="13" t="n"/>
      <c r="E44" s="14" t="n"/>
      <c r="F44" s="15" t="n"/>
      <c r="G44" s="15" t="n"/>
      <c r="H44" s="16">
        <f>G44*0.1+0+4.5+0.75</f>
        <v/>
      </c>
      <c r="I44" s="17">
        <f>G44-F44-H44</f>
        <v/>
      </c>
      <c r="J44" s="18" t="n"/>
      <c r="K44" s="19" t="n"/>
      <c r="L44" s="20">
        <f>IFERROR(I44/G44,"")</f>
        <v/>
      </c>
      <c r="M44" s="21" t="n"/>
      <c r="N44" s="22" t="n"/>
      <c r="O44" s="23" t="n"/>
    </row>
    <row r="45" ht="31.5" customHeight="1" s="230">
      <c r="A45" s="10" t="n"/>
      <c r="B45" s="27" t="n"/>
      <c r="C45" s="12" t="n"/>
      <c r="D45" s="13" t="n"/>
      <c r="E45" s="14" t="n"/>
      <c r="F45" s="15" t="n"/>
      <c r="G45" s="15" t="n"/>
      <c r="H45" s="16">
        <f>G45*0.1+0+4.5+0.75</f>
        <v/>
      </c>
      <c r="I45" s="17">
        <f>G45-F45-H45</f>
        <v/>
      </c>
      <c r="J45" s="18" t="n"/>
      <c r="K45" s="19" t="n"/>
      <c r="L45" s="20">
        <f>IFERROR(I45/G45,"")</f>
        <v/>
      </c>
      <c r="M45" s="21" t="n"/>
      <c r="N45" s="22" t="n"/>
      <c r="O45" s="23" t="n"/>
    </row>
    <row r="46" ht="31.5" customHeight="1" s="230">
      <c r="A46" s="10" t="n"/>
      <c r="B46" s="27" t="n"/>
      <c r="C46" s="12" t="n"/>
      <c r="D46" s="13" t="n"/>
      <c r="E46" s="14" t="n"/>
      <c r="F46" s="15" t="n"/>
      <c r="G46" s="15" t="n"/>
      <c r="H46" s="16">
        <f>G46*0.1+0+4.5+0.75</f>
        <v/>
      </c>
      <c r="I46" s="17">
        <f>G46-F46-H46</f>
        <v/>
      </c>
      <c r="J46" s="18" t="n"/>
      <c r="K46" s="19" t="n"/>
      <c r="L46" s="20">
        <f>IFERROR(I46/G46,"")</f>
        <v/>
      </c>
      <c r="M46" s="21" t="n"/>
      <c r="N46" s="22" t="n"/>
      <c r="O46" s="23" t="n"/>
    </row>
    <row r="47" ht="31.5" customHeight="1" s="230">
      <c r="A47" s="10" t="n"/>
      <c r="B47" s="27" t="n"/>
      <c r="C47" s="12" t="n"/>
      <c r="D47" s="13" t="n"/>
      <c r="E47" s="14" t="n"/>
      <c r="F47" s="15" t="n"/>
      <c r="G47" s="15" t="n"/>
      <c r="H47" s="16">
        <f>G47*0.1+0+4.5+0.75</f>
        <v/>
      </c>
      <c r="I47" s="17">
        <f>G47-F47-H47</f>
        <v/>
      </c>
      <c r="J47" s="18" t="n"/>
      <c r="K47" s="19" t="n"/>
      <c r="L47" s="20">
        <f>IFERROR(I47/G47,"")</f>
        <v/>
      </c>
      <c r="M47" s="21" t="n"/>
      <c r="N47" s="22" t="n"/>
      <c r="O47" s="23" t="n"/>
    </row>
    <row r="48" ht="31.5" customHeight="1" s="230">
      <c r="A48" s="10" t="n"/>
      <c r="B48" s="27" t="n"/>
      <c r="C48" s="12" t="n"/>
      <c r="D48" s="13" t="n"/>
      <c r="E48" s="14" t="n"/>
      <c r="F48" s="15" t="n"/>
      <c r="G48" s="15" t="n"/>
      <c r="H48" s="16">
        <f>G48*0.136+0.4+4.5+0.75</f>
        <v/>
      </c>
      <c r="I48" s="17">
        <f>G48-F48-H48</f>
        <v/>
      </c>
      <c r="J48" s="18" t="n"/>
      <c r="K48" s="19" t="n"/>
      <c r="L48" s="20">
        <f>IFERROR(I48/G48,"")</f>
        <v/>
      </c>
      <c r="M48" s="21" t="n"/>
      <c r="N48" s="22" t="n"/>
      <c r="O48" s="23" t="n"/>
    </row>
    <row r="49" ht="31.5" customHeight="1" s="230">
      <c r="A49" s="10" t="n"/>
      <c r="B49" s="27" t="n"/>
      <c r="C49" s="12" t="n"/>
      <c r="D49" s="13" t="n"/>
      <c r="E49" s="14" t="n"/>
      <c r="F49" s="15" t="n"/>
      <c r="G49" s="15" t="n"/>
      <c r="H49" s="16">
        <f>G49*0.136+0.4+4.5+0.75</f>
        <v/>
      </c>
      <c r="I49" s="17">
        <f>G49-F49-H49</f>
        <v/>
      </c>
      <c r="J49" s="18" t="n"/>
      <c r="K49" s="19" t="n"/>
      <c r="L49" s="20">
        <f>IFERROR(I49/G49,"")</f>
        <v/>
      </c>
      <c r="M49" s="24" t="n"/>
      <c r="N49" s="25" t="n"/>
      <c r="O49" s="26" t="n"/>
    </row>
    <row r="50">
      <c r="A50" s="125" t="n"/>
      <c r="B50" s="125" t="n"/>
      <c r="C50" s="125" t="n"/>
      <c r="D50" s="125" t="n"/>
      <c r="E50" s="125" t="n"/>
      <c r="F50" s="125" t="n"/>
      <c r="G50" s="125" t="n"/>
      <c r="H50" s="125">
        <f>G50*0.136+0.4+4.5+0.75</f>
        <v/>
      </c>
      <c r="I50" s="125">
        <f>G50-F50-H50</f>
        <v/>
      </c>
      <c r="J50" s="125" t="n"/>
      <c r="K50" s="125" t="n"/>
      <c r="L50" s="125">
        <f>IFERROR(I50/G50,"")</f>
        <v/>
      </c>
      <c r="M50" s="125" t="n"/>
      <c r="N50" s="125" t="n"/>
      <c r="O50" s="125" t="n"/>
    </row>
    <row r="51">
      <c r="A51" s="129" t="n"/>
      <c r="B51" s="129" t="n"/>
      <c r="C51" s="129" t="n"/>
      <c r="D51" s="129" t="n"/>
      <c r="E51" s="129" t="n"/>
      <c r="F51" s="129" t="n"/>
      <c r="G51" s="129" t="n"/>
      <c r="H51" s="129">
        <f>G51*0.1+0+4.5+0.75</f>
        <v/>
      </c>
      <c r="I51" s="129">
        <f>G51-F51-H51</f>
        <v/>
      </c>
      <c r="J51" s="129" t="n"/>
      <c r="K51" s="129" t="n"/>
      <c r="L51" s="129">
        <f>IFERROR(I51/G51,"")</f>
        <v/>
      </c>
      <c r="M51" s="129" t="n"/>
      <c r="N51" s="129" t="n"/>
      <c r="O51" s="129" t="n"/>
    </row>
    <row r="52" ht="24" customHeight="1" s="230">
      <c r="A52" s="249" t="n"/>
    </row>
    <row r="53" ht="18" customHeight="1" s="230">
      <c r="A53" s="213" t="n"/>
      <c r="B53" s="215" t="n"/>
      <c r="C53" s="216" t="n"/>
      <c r="D53" s="215" t="n"/>
      <c r="E53" s="215" t="n"/>
      <c r="F53" s="217" t="n"/>
      <c r="G53" s="217" t="n"/>
      <c r="H53" s="217">
        <f>G53*0.136+0.4+4.5+0.75</f>
        <v/>
      </c>
      <c r="I53" s="217">
        <f>G53-F53-H53</f>
        <v/>
      </c>
      <c r="J53" s="218" t="n"/>
      <c r="K53" s="215" t="n"/>
      <c r="L53" s="219">
        <f>IFERROR(I53/G53,"")</f>
        <v/>
      </c>
      <c r="M53" s="215" t="n"/>
      <c r="N53" s="215" t="n"/>
      <c r="O53" s="215" t="n"/>
    </row>
    <row r="54" ht="48" customHeight="1" s="230">
      <c r="A54" s="214" t="n"/>
      <c r="B54" s="220" t="n"/>
      <c r="C54" s="221" t="n"/>
      <c r="D54" s="220" t="n"/>
      <c r="E54" s="220" t="n"/>
      <c r="F54" s="222" t="n"/>
      <c r="G54" s="222" t="n"/>
      <c r="H54" s="222">
        <f>G54*0.136+0.4+4.5+0.75</f>
        <v/>
      </c>
      <c r="I54" s="222">
        <f>G54-F54-H54</f>
        <v/>
      </c>
      <c r="J54" s="223" t="n"/>
      <c r="K54" s="220" t="n"/>
      <c r="L54" s="224">
        <f>IFERROR(I54/G54,"")</f>
        <v/>
      </c>
      <c r="M54" s="220" t="n"/>
      <c r="N54" s="220" t="n"/>
      <c r="O54" s="220" t="n"/>
    </row>
    <row r="55" ht="18" customHeight="1" s="230">
      <c r="A55" s="213" t="n"/>
      <c r="B55" s="215" t="n"/>
      <c r="C55" s="216" t="n"/>
      <c r="D55" s="215" t="n"/>
      <c r="E55" s="215" t="n"/>
      <c r="F55" s="217" t="n"/>
      <c r="G55" s="217" t="n"/>
      <c r="H55" s="217">
        <f>G55*0.136+0.4+4.5+0.75</f>
        <v/>
      </c>
      <c r="I55" s="217">
        <f>G55-F55-H55</f>
        <v/>
      </c>
      <c r="J55" s="218" t="n"/>
      <c r="K55" s="215" t="n"/>
      <c r="L55" s="219">
        <f>IFERROR(I55/G55,"")</f>
        <v/>
      </c>
      <c r="M55" s="215" t="n"/>
      <c r="N55" s="215" t="n"/>
      <c r="O55" s="215" t="n"/>
    </row>
    <row r="56" ht="18" customHeight="1" s="230">
      <c r="A56" s="214" t="n"/>
      <c r="B56" s="220" t="n"/>
      <c r="C56" s="221" t="n"/>
      <c r="D56" s="220" t="n"/>
      <c r="E56" s="220" t="n"/>
      <c r="F56" s="222" t="n"/>
      <c r="G56" s="222" t="n"/>
      <c r="H56" s="222">
        <f>G56*0.136+0.4+4.5+0.75</f>
        <v/>
      </c>
      <c r="I56" s="222">
        <f>G56-F56-H56</f>
        <v/>
      </c>
      <c r="J56" s="223" t="n"/>
      <c r="K56" s="220" t="n"/>
      <c r="L56" s="224">
        <f>IFERROR(I56/G56,"")</f>
        <v/>
      </c>
      <c r="M56" s="220" t="n"/>
      <c r="N56" s="220" t="n"/>
      <c r="O56" s="220" t="n"/>
    </row>
    <row r="57" ht="18" customHeight="1" s="230">
      <c r="A57" s="213" t="n"/>
      <c r="B57" s="215" t="n"/>
      <c r="C57" s="216" t="n"/>
      <c r="D57" s="215" t="n"/>
      <c r="E57" s="215" t="n"/>
      <c r="F57" s="217" t="n"/>
      <c r="G57" s="217" t="n"/>
      <c r="H57" s="217">
        <f>G57*0.136+0.4+4.5+0.75</f>
        <v/>
      </c>
      <c r="I57" s="217">
        <f>G57-F57-H57</f>
        <v/>
      </c>
      <c r="J57" s="218" t="n"/>
      <c r="K57" s="215" t="n"/>
      <c r="L57" s="219">
        <f>IFERROR(I57/G57,"")</f>
        <v/>
      </c>
      <c r="M57" s="215" t="n"/>
      <c r="N57" s="215" t="n"/>
      <c r="O57" s="215" t="n"/>
    </row>
    <row r="58" ht="18" customHeight="1" s="230">
      <c r="A58" s="214" t="n"/>
      <c r="B58" s="220" t="n"/>
      <c r="C58" s="221" t="n"/>
      <c r="D58" s="220" t="n"/>
      <c r="E58" s="220" t="n"/>
      <c r="F58" s="222" t="n"/>
      <c r="G58" s="222" t="n"/>
      <c r="H58" s="222">
        <f>G58*0.136+0.4+4.5+0.75</f>
        <v/>
      </c>
      <c r="I58" s="222">
        <f>G58-F58-H58</f>
        <v/>
      </c>
      <c r="J58" s="223" t="n"/>
      <c r="K58" s="220" t="n"/>
      <c r="L58" s="224">
        <f>IFERROR(I58/G58,"")</f>
        <v/>
      </c>
      <c r="M58" s="220" t="n"/>
      <c r="N58" s="220" t="n"/>
      <c r="O58" s="220" t="n"/>
    </row>
    <row r="59" ht="18" customHeight="1" s="230">
      <c r="A59" s="213" t="n"/>
      <c r="B59" s="215" t="n"/>
      <c r="C59" s="216" t="n"/>
      <c r="D59" s="215" t="n"/>
      <c r="E59" s="215" t="n"/>
      <c r="F59" s="217" t="n"/>
      <c r="G59" s="217" t="n"/>
      <c r="H59" s="217">
        <f>G59*0.1+0+4.5+0.75</f>
        <v/>
      </c>
      <c r="I59" s="217">
        <f>G59-F59-H59</f>
        <v/>
      </c>
      <c r="J59" s="218" t="n"/>
      <c r="K59" s="215" t="n"/>
      <c r="L59" s="219">
        <f>IFERROR(I59/G59,"")</f>
        <v/>
      </c>
      <c r="M59" s="215" t="n"/>
      <c r="N59" s="215" t="n"/>
      <c r="O59" s="215" t="n"/>
    </row>
    <row r="60" ht="18" customHeight="1" s="230">
      <c r="A60" s="214" t="n"/>
      <c r="B60" s="220" t="n"/>
      <c r="C60" s="221" t="n"/>
      <c r="D60" s="220" t="n"/>
      <c r="E60" s="220" t="n"/>
      <c r="F60" s="222" t="n"/>
      <c r="G60" s="222" t="n"/>
      <c r="H60" s="222">
        <f>G60*0.136+0.4+4.5+0.75</f>
        <v/>
      </c>
      <c r="I60" s="222">
        <f>G60-F60-H60</f>
        <v/>
      </c>
      <c r="J60" s="223" t="n"/>
      <c r="K60" s="220" t="n"/>
      <c r="L60" s="224">
        <f>IFERROR(I60/G60,"")</f>
        <v/>
      </c>
      <c r="M60" s="220" t="n"/>
      <c r="N60" s="220" t="n"/>
      <c r="O60" s="220" t="n"/>
    </row>
    <row r="61" ht="18" customHeight="1" s="230">
      <c r="A61" s="213" t="n"/>
      <c r="B61" s="215" t="n"/>
      <c r="C61" s="216" t="n"/>
      <c r="D61" s="215" t="n"/>
      <c r="E61" s="215" t="n"/>
      <c r="F61" s="217" t="n"/>
      <c r="G61" s="217" t="n"/>
      <c r="H61" s="217">
        <f>G61*0.136+0.4+4.5+0.75</f>
        <v/>
      </c>
      <c r="I61" s="217">
        <f>G61-F61-H61</f>
        <v/>
      </c>
      <c r="J61" s="218" t="n"/>
      <c r="K61" s="215" t="n"/>
      <c r="L61" s="219">
        <f>IFERROR(I61/G61,"")</f>
        <v/>
      </c>
      <c r="M61" s="215" t="n"/>
      <c r="N61" s="215" t="n"/>
      <c r="O61" s="215" t="n"/>
    </row>
    <row r="62" ht="18" customHeight="1" s="230">
      <c r="A62" s="214" t="n"/>
      <c r="B62" s="220" t="n"/>
      <c r="C62" s="221" t="n"/>
      <c r="D62" s="220" t="n"/>
      <c r="E62" s="220" t="n"/>
      <c r="F62" s="222" t="n"/>
      <c r="G62" s="222" t="n"/>
      <c r="H62" s="222">
        <f>G62*0.136+0.4+4.5+0.75</f>
        <v/>
      </c>
      <c r="I62" s="222">
        <f>G62-F62-H62</f>
        <v/>
      </c>
      <c r="J62" s="223" t="n"/>
      <c r="K62" s="220" t="n"/>
      <c r="L62" s="224">
        <f>IFERROR(I62/G62,"")</f>
        <v/>
      </c>
      <c r="M62" s="220" t="n"/>
      <c r="N62" s="220" t="n"/>
      <c r="O62" s="220" t="n"/>
    </row>
    <row r="63" ht="18" customHeight="1" s="230">
      <c r="A63" s="213" t="n"/>
      <c r="B63" s="215" t="n"/>
      <c r="C63" s="216" t="n"/>
      <c r="D63" s="215" t="n"/>
      <c r="E63" s="215" t="n"/>
      <c r="F63" s="217" t="n"/>
      <c r="G63" s="217" t="n"/>
      <c r="H63" s="217">
        <f>G63*0.136+0.4+4.5+0.75</f>
        <v/>
      </c>
      <c r="I63" s="217">
        <f>G63-F63-H63</f>
        <v/>
      </c>
      <c r="J63" s="218" t="n"/>
      <c r="K63" s="215" t="n"/>
      <c r="L63" s="219">
        <f>IFERROR(I63/G63,"")</f>
        <v/>
      </c>
      <c r="M63" s="215" t="n"/>
      <c r="N63" s="215" t="n"/>
      <c r="O63" s="215" t="n"/>
    </row>
    <row r="64" ht="18" customHeight="1" s="230">
      <c r="A64" s="214" t="n"/>
      <c r="B64" s="220" t="n"/>
      <c r="C64" s="221" t="n"/>
      <c r="D64" s="220" t="n"/>
      <c r="E64" s="220" t="n"/>
      <c r="F64" s="222" t="n"/>
      <c r="G64" s="222" t="n"/>
      <c r="H64" s="222">
        <f>G64*0.136+0.4+4.5+0.75</f>
        <v/>
      </c>
      <c r="I64" s="222">
        <f>G64-F64-H64</f>
        <v/>
      </c>
      <c r="J64" s="223" t="n"/>
      <c r="K64" s="220" t="n"/>
      <c r="L64" s="224">
        <f>IFERROR(I64/G64,"")</f>
        <v/>
      </c>
      <c r="M64" s="220" t="n"/>
      <c r="N64" s="220" t="n"/>
      <c r="O64" s="220" t="n"/>
    </row>
    <row r="65" ht="18" customHeight="1" s="230">
      <c r="A65" s="213" t="n"/>
      <c r="B65" s="215" t="n"/>
      <c r="C65" s="216" t="n"/>
      <c r="D65" s="215" t="n"/>
      <c r="E65" s="215" t="n"/>
      <c r="F65" s="217" t="n"/>
      <c r="G65" s="217" t="n"/>
      <c r="H65" s="217">
        <f>G65*0.1+0+4.5+0.75</f>
        <v/>
      </c>
      <c r="I65" s="217">
        <f>G65-F65-H65</f>
        <v/>
      </c>
      <c r="J65" s="218" t="n"/>
      <c r="K65" s="215" t="n"/>
      <c r="L65" s="219">
        <f>IFERROR(I65/G65,"")</f>
        <v/>
      </c>
      <c r="M65" s="215" t="n"/>
      <c r="N65" s="215" t="n"/>
      <c r="O65" s="215" t="n"/>
    </row>
    <row r="66" ht="18" customHeight="1" s="230">
      <c r="A66" s="214" t="n"/>
      <c r="B66" s="220" t="n"/>
      <c r="C66" s="221" t="n"/>
      <c r="D66" s="220" t="n"/>
      <c r="E66" s="220" t="n"/>
      <c r="F66" s="222" t="n"/>
      <c r="G66" s="222" t="n"/>
      <c r="H66" s="222">
        <f>G66*0.1+0+4.5+0.75</f>
        <v/>
      </c>
      <c r="I66" s="222">
        <f>G66-F66-H66</f>
        <v/>
      </c>
      <c r="J66" s="223" t="n"/>
      <c r="K66" s="220" t="n"/>
      <c r="L66" s="224">
        <f>IFERROR(I66/G66,"")</f>
        <v/>
      </c>
      <c r="M66" s="220" t="n"/>
      <c r="N66" s="220" t="n"/>
      <c r="O66" s="220" t="n"/>
    </row>
    <row r="67" ht="18" customHeight="1" s="230">
      <c r="A67" s="213" t="n"/>
      <c r="B67" s="215" t="n"/>
      <c r="C67" s="216" t="n"/>
      <c r="D67" s="215" t="n"/>
      <c r="E67" s="215" t="n"/>
      <c r="F67" s="217" t="n"/>
      <c r="G67" s="217" t="n"/>
      <c r="H67" s="217">
        <f>G67*0.136+0.4+4.5+0.75</f>
        <v/>
      </c>
      <c r="I67" s="217">
        <f>G67-F67-H67</f>
        <v/>
      </c>
      <c r="J67" s="218" t="n"/>
      <c r="K67" s="215" t="n"/>
      <c r="L67" s="219">
        <f>IFERROR(I67/G67,"")</f>
        <v/>
      </c>
      <c r="M67" s="215" t="n"/>
      <c r="N67" s="215" t="n"/>
      <c r="O67" s="215" t="n"/>
    </row>
    <row r="68" ht="18" customHeight="1" s="230">
      <c r="A68" s="214" t="n"/>
      <c r="B68" s="220" t="n"/>
      <c r="C68" s="221" t="n"/>
      <c r="D68" s="220" t="n"/>
      <c r="E68" s="220" t="n"/>
      <c r="F68" s="222" t="n"/>
      <c r="G68" s="222" t="n"/>
      <c r="H68" s="222">
        <f>G68*0.1+0+4.5+0.75</f>
        <v/>
      </c>
      <c r="I68" s="222">
        <f>G68-F68-H68</f>
        <v/>
      </c>
      <c r="J68" s="223" t="n"/>
      <c r="K68" s="220" t="n"/>
      <c r="L68" s="224">
        <f>IFERROR(I68/G68,"")</f>
        <v/>
      </c>
      <c r="M68" s="220" t="n"/>
      <c r="N68" s="220" t="n"/>
      <c r="O68" s="220" t="n"/>
    </row>
    <row r="69" ht="18" customHeight="1" s="230">
      <c r="A69" s="213" t="n"/>
      <c r="B69" s="215" t="n"/>
      <c r="C69" s="216" t="n"/>
      <c r="D69" s="215" t="n"/>
      <c r="E69" s="215" t="n"/>
      <c r="F69" s="217" t="n"/>
      <c r="G69" s="217" t="n"/>
      <c r="H69" s="217">
        <f>G69*0.136+0.4+4.5+0.75</f>
        <v/>
      </c>
      <c r="I69" s="217">
        <f>G69-F69-H69</f>
        <v/>
      </c>
      <c r="J69" s="218" t="n"/>
      <c r="K69" s="215" t="n"/>
      <c r="L69" s="219">
        <f>IFERROR(I69/G69,"")</f>
        <v/>
      </c>
      <c r="M69" s="215" t="n"/>
      <c r="N69" s="215" t="n"/>
      <c r="O69" s="215" t="n"/>
    </row>
    <row r="70" ht="18" customHeight="1" s="230">
      <c r="A70" s="214" t="n"/>
      <c r="B70" s="220" t="n"/>
      <c r="C70" s="221" t="n"/>
      <c r="D70" s="220" t="n"/>
      <c r="E70" s="220" t="n"/>
      <c r="F70" s="222" t="n"/>
      <c r="G70" s="222" t="n"/>
      <c r="H70" s="222">
        <f>G70*0.136+0.4+4.5+0.75</f>
        <v/>
      </c>
      <c r="I70" s="222">
        <f>G70-F70-H70</f>
        <v/>
      </c>
      <c r="J70" s="223" t="n"/>
      <c r="K70" s="220" t="n"/>
      <c r="L70" s="224">
        <f>IFERROR(I70/G70,"")</f>
        <v/>
      </c>
      <c r="M70" s="220" t="n"/>
      <c r="N70" s="220" t="n"/>
      <c r="O70" s="220" t="n"/>
    </row>
    <row r="71" ht="18" customHeight="1" s="230">
      <c r="A71" s="213" t="n"/>
      <c r="B71" s="215" t="n"/>
      <c r="C71" s="216" t="n"/>
      <c r="D71" s="215" t="n"/>
      <c r="E71" s="215" t="n"/>
      <c r="F71" s="217" t="n"/>
      <c r="G71" s="217" t="n"/>
      <c r="H71" s="217">
        <f>G71*0.136+0.4+4.5+0.75</f>
        <v/>
      </c>
      <c r="I71" s="217">
        <f>G71-F71-H71</f>
        <v/>
      </c>
      <c r="J71" s="218" t="n"/>
      <c r="K71" s="215" t="n"/>
      <c r="L71" s="219">
        <f>IFERROR(I71/G71,"")</f>
        <v/>
      </c>
      <c r="M71" s="215" t="n"/>
      <c r="N71" s="215" t="n"/>
      <c r="O71" s="215" t="n"/>
    </row>
    <row r="72" ht="18" customHeight="1" s="230">
      <c r="A72" s="214" t="n"/>
      <c r="B72" s="220" t="n"/>
      <c r="C72" s="221" t="n"/>
      <c r="D72" s="220" t="n"/>
      <c r="E72" s="220" t="n"/>
      <c r="F72" s="222" t="n"/>
      <c r="G72" s="222" t="n"/>
      <c r="H72" s="222">
        <f>G72*0.1+0+4.5+0.75</f>
        <v/>
      </c>
      <c r="I72" s="222">
        <f>G72-F72-H72</f>
        <v/>
      </c>
      <c r="J72" s="223" t="n"/>
      <c r="K72" s="220" t="n"/>
      <c r="L72" s="224">
        <f>IFERROR(I72/G72,"")</f>
        <v/>
      </c>
      <c r="M72" s="220" t="n"/>
      <c r="N72" s="220" t="n"/>
      <c r="O72" s="220" t="n"/>
    </row>
    <row r="74" ht="16" customHeight="1" s="230">
      <c r="A74" s="155" t="n"/>
      <c r="M74" s="125" t="n"/>
      <c r="N74" s="125" t="n"/>
      <c r="O74" s="125" t="n"/>
    </row>
    <row r="75">
      <c r="A75" s="156" t="n"/>
      <c r="M75" s="129" t="n"/>
      <c r="N75" s="129" t="n"/>
      <c r="O75" s="129" t="n"/>
    </row>
    <row r="76">
      <c r="A76" s="157" t="n"/>
      <c r="M76" s="125" t="n"/>
      <c r="N76" s="125" t="n"/>
      <c r="O76" s="125" t="n"/>
    </row>
    <row r="77" ht="160" customHeight="1" s="230">
      <c r="A77" s="231" t="n"/>
    </row>
    <row r="78" ht="128" customHeight="1" s="230">
      <c r="A78" s="231" t="n"/>
    </row>
    <row r="79" ht="144" customHeight="1" s="230">
      <c r="A79" s="231" t="n"/>
    </row>
    <row r="80" ht="160" customHeight="1" s="230">
      <c r="A80" s="231" t="n"/>
    </row>
    <row r="81" ht="144" customHeight="1" s="230">
      <c r="A81" s="231" t="n"/>
    </row>
    <row r="82" ht="160" customHeight="1" s="230">
      <c r="A82" s="231" t="n"/>
    </row>
  </sheetData>
  <mergeCells count="3">
    <mergeCell ref="A2:K2"/>
    <mergeCell ref="A1:K1"/>
    <mergeCell ref="A52:L52"/>
  </mergeCells>
  <conditionalFormatting sqref="L5:L49">
    <cfRule type="cellIs" priority="2" operator="lessThan" dxfId="4">
      <formula>0.3</formula>
    </cfRule>
    <cfRule type="cellIs" priority="3" operator="greaterThanOrEqual" dxfId="3">
      <formula>0.37</formula>
    </cfRule>
  </conditionalFormatting>
  <conditionalFormatting sqref="M5:M49">
    <cfRule type="cellIs" priority="4" operator="equal" dxfId="6">
      <formula>0</formula>
    </cfRule>
    <cfRule type="cellIs" priority="5" operator="greaterThan" dxfId="5">
      <formula>0</formula>
    </cfRule>
  </conditionalFormatting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topLeftCell="A10" zoomScaleNormal="100" workbookViewId="0">
      <selection activeCell="A1" sqref="A1:J1"/>
    </sheetView>
  </sheetViews>
  <sheetFormatPr baseColWidth="10" defaultColWidth="8.6640625" defaultRowHeight="15"/>
  <cols>
    <col width="14" customWidth="1" style="230" min="1" max="1"/>
    <col width="8" customWidth="1" style="230" min="2" max="2"/>
    <col width="12" customWidth="1" style="230" min="3" max="3"/>
    <col width="38" customWidth="1" style="230" min="4" max="4"/>
    <col width="14" customWidth="1" style="230" min="5" max="9"/>
    <col width="18" customWidth="1" style="230" min="10" max="10"/>
  </cols>
  <sheetData>
    <row r="1" ht="31.5" customHeight="1" s="230">
      <c r="A1" s="229" t="inlineStr">
        <is>
          <t>🏠 Start Here</t>
        </is>
      </c>
    </row>
    <row r="2">
      <c r="A2" s="239" t="inlineStr">
        <is>
          <t>Tactical day-by-day plan. Volume comes from listing throughput + pricing discipline + Whatnot pushes.</t>
        </is>
      </c>
    </row>
    <row r="4" ht="21.75" customHeight="1" s="230">
      <c r="A4" s="244" t="inlineStr">
        <is>
          <t>THE MATH — what has to happen</t>
        </is>
      </c>
    </row>
    <row r="5" ht="16" customHeight="1" s="230">
      <c r="B5" s="47" t="inlineStr">
        <is>
          <t>Metric</t>
        </is>
      </c>
      <c r="C5" s="48" t="inlineStr">
        <is>
          <t>Current</t>
        </is>
      </c>
      <c r="D5" s="48" t="inlineStr">
        <is>
          <t>Week 1 Target</t>
        </is>
      </c>
      <c r="E5" s="48" t="inlineStr">
        <is>
          <t>Week 2 Target</t>
        </is>
      </c>
      <c r="F5" s="48" t="inlineStr">
        <is>
          <t>End-State</t>
        </is>
      </c>
    </row>
    <row r="6" ht="48" customHeight="1" s="230">
      <c r="B6" s="286" t="inlineStr">
        <is>
          <t>Cards listed / day</t>
        </is>
      </c>
      <c r="C6" s="14" t="inlineStr">
        <is>
          <t>50</t>
        </is>
      </c>
      <c r="D6" s="14" t="inlineStr">
        <is>
          <t>70 (+helper)</t>
        </is>
      </c>
      <c r="E6" s="14" t="inlineStr">
        <is>
          <t>90-100</t>
        </is>
      </c>
      <c r="F6" s="285" t="inlineStr">
        <is>
          <t>100</t>
        </is>
      </c>
    </row>
    <row r="7" ht="64" customHeight="1" s="230">
      <c r="B7" s="286" t="inlineStr">
        <is>
          <t>30-day sell-through rate</t>
        </is>
      </c>
      <c r="C7" s="14" t="inlineStr">
        <is>
          <t>60%</t>
        </is>
      </c>
      <c r="D7" s="14" t="inlineStr">
        <is>
          <t>65%</t>
        </is>
      </c>
      <c r="E7" s="14" t="inlineStr">
        <is>
          <t>68%</t>
        </is>
      </c>
      <c r="F7" s="285" t="inlineStr">
        <is>
          <t>70%</t>
        </is>
      </c>
    </row>
    <row r="8" ht="80" customHeight="1" s="230">
      <c r="B8" s="286" t="inlineStr">
        <is>
          <t>Cards sold / day (implied)</t>
        </is>
      </c>
      <c r="C8" s="14" t="inlineStr">
        <is>
          <t>30</t>
        </is>
      </c>
      <c r="D8" s="14" t="inlineStr">
        <is>
          <t>40</t>
        </is>
      </c>
      <c r="E8" s="14" t="inlineStr">
        <is>
          <t>55</t>
        </is>
      </c>
      <c r="F8" s="285" t="inlineStr">
        <is>
          <t>65+</t>
        </is>
      </c>
    </row>
    <row r="9" ht="96" customHeight="1" s="230">
      <c r="B9" s="286" t="inlineStr">
        <is>
          <t>Pricing discipline (% of median)</t>
        </is>
      </c>
      <c r="C9" s="14" t="inlineStr">
        <is>
          <t>92%</t>
        </is>
      </c>
      <c r="D9" s="14" t="inlineStr">
        <is>
          <t>90%</t>
        </is>
      </c>
      <c r="E9" s="14" t="inlineStr">
        <is>
          <t>88%</t>
        </is>
      </c>
      <c r="F9" s="285" t="inlineStr">
        <is>
          <t>88%</t>
        </is>
      </c>
    </row>
    <row r="10" ht="96" customHeight="1" s="230">
      <c r="B10" s="286" t="inlineStr">
        <is>
          <t>Whatnot auction streams / week</t>
        </is>
      </c>
      <c r="C10" s="14" t="inlineStr">
        <is>
          <t>0</t>
        </is>
      </c>
      <c r="D10" s="14" t="inlineStr">
        <is>
          <t>1 (50-80 cards)</t>
        </is>
      </c>
      <c r="E10" s="14" t="inlineStr">
        <is>
          <t>2 (100+ cards)</t>
        </is>
      </c>
      <c r="F10" s="285" t="inlineStr">
        <is>
          <t>2-3</t>
        </is>
      </c>
    </row>
    <row r="11" ht="80" customHeight="1" s="230">
      <c r="B11" s="286" t="inlineStr">
        <is>
          <t>eBay 7-day auction listings / wk</t>
        </is>
      </c>
      <c r="C11" s="14" t="inlineStr">
        <is>
          <t>0</t>
        </is>
      </c>
      <c r="D11" s="14" t="inlineStr">
        <is>
          <t>30 (aged inv.)</t>
        </is>
      </c>
      <c r="E11" s="14" t="inlineStr">
        <is>
          <t>50+</t>
        </is>
      </c>
      <c r="F11" s="285" t="inlineStr">
        <is>
          <t>50+</t>
        </is>
      </c>
    </row>
    <row r="15" ht="21.75" customHeight="1" s="230">
      <c r="A15" s="244" t="inlineStr">
        <is>
          <t>DAY-BY-DAY TACTICAL PLAN</t>
        </is>
      </c>
    </row>
    <row r="17" ht="27.75" customHeight="1" s="230">
      <c r="B17" s="48" t="inlineStr">
        <is>
          <t>Day</t>
        </is>
      </c>
      <c r="C17" s="48" t="inlineStr">
        <is>
          <t>Focus</t>
        </is>
      </c>
      <c r="D17" s="48" t="inlineStr">
        <is>
          <t>Tactical Actions</t>
        </is>
      </c>
      <c r="E17" s="48" t="inlineStr">
        <is>
          <t>List Target</t>
        </is>
      </c>
      <c r="F17" s="48" t="inlineStr">
        <is>
          <t>Sold Target</t>
        </is>
      </c>
      <c r="G17" s="48" t="inlineStr">
        <is>
          <t>Whatnot?</t>
        </is>
      </c>
      <c r="H17" s="48" t="inlineStr">
        <is>
          <t>Price Rule</t>
        </is>
      </c>
      <c r="I17" s="48" t="inlineStr">
        <is>
          <t>Notes</t>
        </is>
      </c>
    </row>
    <row r="18" ht="48" customHeight="1" s="230">
      <c r="B18" s="51" t="inlineStr">
        <is>
          <t>1 (Mon)</t>
        </is>
      </c>
      <c r="C18" s="12" t="inlineStr">
        <is>
          <t>Helper onboarding</t>
        </is>
      </c>
      <c r="D18" s="52" t="inlineStr">
        <is>
          <t>Hire helper (10 hrs/wk). Write photo SOP. You list 50, helper observes + lists 10 trial.</t>
        </is>
      </c>
      <c r="E18" s="53" t="n">
        <v>60</v>
      </c>
      <c r="F18" s="285" t="n">
        <v>30</v>
      </c>
      <c r="G18" s="14" t="inlineStr">
        <is>
          <t>No</t>
        </is>
      </c>
      <c r="H18" s="19" t="inlineStr">
        <is>
          <t>92% median</t>
        </is>
      </c>
      <c r="I18" s="54" t="n"/>
    </row>
    <row r="19" ht="48" customHeight="1" s="230">
      <c r="B19" s="51" t="inlineStr">
        <is>
          <t>2 (Tue)</t>
        </is>
      </c>
      <c r="C19" s="12" t="inlineStr">
        <is>
          <t>Helper solo listing</t>
        </is>
      </c>
      <c r="D19" s="52" t="inlineStr">
        <is>
          <t>Helper lists 25 (QA every one). You list 50 + 30 Whatnot auction prep.</t>
        </is>
      </c>
      <c r="E19" s="53" t="n">
        <v>75</v>
      </c>
      <c r="F19" s="285" t="n">
        <v>35</v>
      </c>
      <c r="G19" s="14" t="inlineStr">
        <is>
          <t>Prep</t>
        </is>
      </c>
      <c r="H19" s="19" t="inlineStr">
        <is>
          <t>92%</t>
        </is>
      </c>
      <c r="I19" s="54" t="n"/>
    </row>
    <row r="20" ht="48" customHeight="1" s="230">
      <c r="B20" s="51" t="inlineStr">
        <is>
          <t>3 (Wed)</t>
        </is>
      </c>
      <c r="C20" s="12" t="inlineStr">
        <is>
          <t>Whatnot stream #1</t>
        </is>
      </c>
      <c r="D20" s="52" t="inlineStr">
        <is>
          <t>Helper lists 30. You prep Whatnot (50 cards). 7-10pm live stream — clear aged inventory.</t>
        </is>
      </c>
      <c r="E20" s="53" t="n">
        <v>80</v>
      </c>
      <c r="F20" s="285" t="n">
        <v>45</v>
      </c>
      <c r="G20" s="55" t="inlineStr">
        <is>
          <t>YES</t>
        </is>
      </c>
      <c r="H20" s="19" t="inlineStr">
        <is>
          <t>Auction</t>
        </is>
      </c>
      <c r="I20" s="54" t="n"/>
    </row>
    <row r="21" ht="48" customHeight="1" s="230">
      <c r="B21" s="51" t="inlineStr">
        <is>
          <t>4 (Thu)</t>
        </is>
      </c>
      <c r="C21" s="12" t="inlineStr">
        <is>
          <t>Recovery + list</t>
        </is>
      </c>
      <c r="D21" s="52" t="inlineStr">
        <is>
          <t>Helper lists 35. You list 45 + ship from Whatnot stream.</t>
        </is>
      </c>
      <c r="E21" s="53" t="n">
        <v>80</v>
      </c>
      <c r="F21" s="285" t="n">
        <v>40</v>
      </c>
      <c r="G21" s="14" t="inlineStr">
        <is>
          <t>No</t>
        </is>
      </c>
      <c r="H21" s="19" t="inlineStr">
        <is>
          <t>92%</t>
        </is>
      </c>
      <c r="I21" s="54" t="n"/>
    </row>
    <row r="22" ht="48" customHeight="1" s="230">
      <c r="B22" s="51" t="inlineStr">
        <is>
          <t>5 (Fri)</t>
        </is>
      </c>
      <c r="C22" s="12" t="inlineStr">
        <is>
          <t>eBay 7-day auctions</t>
        </is>
      </c>
      <c r="D22" s="52" t="inlineStr">
        <is>
          <t>Helper lists 40. You post 30 eBay auctions of aged 30+ day inventory at $0.99 start.</t>
        </is>
      </c>
      <c r="E22" s="53" t="n">
        <v>70</v>
      </c>
      <c r="F22" s="285" t="n">
        <v>42</v>
      </c>
      <c r="G22" s="14" t="inlineStr">
        <is>
          <t>No</t>
        </is>
      </c>
      <c r="H22" s="19" t="inlineStr">
        <is>
          <t>Auction</t>
        </is>
      </c>
      <c r="I22" s="54" t="n"/>
    </row>
    <row r="23" ht="48" customHeight="1" s="230">
      <c r="B23" s="51" t="inlineStr">
        <is>
          <t>6 (Sat)</t>
        </is>
      </c>
      <c r="C23" s="12" t="inlineStr">
        <is>
          <t>Source day</t>
        </is>
      </c>
      <c r="D23" s="52" t="inlineStr">
        <is>
          <t>Helper off. You list 25 AM then hunt FB/eBay lots 3 hrs (use Lot Evaluator). List buys same day.</t>
        </is>
      </c>
      <c r="E23" s="53" t="n">
        <v>50</v>
      </c>
      <c r="F23" s="285" t="n">
        <v>40</v>
      </c>
      <c r="G23" s="14" t="inlineStr">
        <is>
          <t>No</t>
        </is>
      </c>
      <c r="H23" s="19" t="inlineStr">
        <is>
          <t>90%</t>
        </is>
      </c>
      <c r="I23" s="54" t="n"/>
    </row>
    <row r="24" ht="48" customHeight="1" s="230">
      <c r="B24" s="51" t="inlineStr">
        <is>
          <t>7 (Sun)</t>
        </is>
      </c>
      <c r="C24" s="12" t="inlineStr">
        <is>
          <t>Whatnot stream #2</t>
        </is>
      </c>
      <c r="D24" s="52" t="inlineStr">
        <is>
          <t>You prep 60 cards. 6-9pm Whatnot stream — mix mid-tier + bulk.</t>
        </is>
      </c>
      <c r="E24" s="53" t="n">
        <v>60</v>
      </c>
      <c r="F24" s="285" t="n">
        <v>55</v>
      </c>
      <c r="G24" s="55" t="inlineStr">
        <is>
          <t>YES</t>
        </is>
      </c>
      <c r="H24" s="19" t="inlineStr">
        <is>
          <t>Auction</t>
        </is>
      </c>
      <c r="I24" s="54" t="n"/>
    </row>
    <row r="25" ht="48" customHeight="1" s="230">
      <c r="B25" s="56" t="inlineStr">
        <is>
          <t>8 (Mon)</t>
        </is>
      </c>
      <c r="C25" s="12" t="inlineStr">
        <is>
          <t>Price cuts + re-list</t>
        </is>
      </c>
      <c r="D25" s="52" t="inlineStr">
        <is>
          <t>Helper 40. You re-price everything listed 30+ days: drop to 88%. List 40 new.</t>
        </is>
      </c>
      <c r="E25" s="53" t="n">
        <v>80</v>
      </c>
      <c r="F25" s="285" t="n">
        <v>45</v>
      </c>
      <c r="G25" s="14" t="inlineStr">
        <is>
          <t>No</t>
        </is>
      </c>
      <c r="H25" s="19" t="inlineStr">
        <is>
          <t>88% on aged</t>
        </is>
      </c>
      <c r="I25" s="54" t="n"/>
    </row>
    <row r="26" ht="48" customHeight="1" s="230">
      <c r="B26" s="56" t="inlineStr">
        <is>
          <t>9 (Tue)</t>
        </is>
      </c>
      <c r="C26" s="12" t="inlineStr">
        <is>
          <t>Helper at full speed</t>
        </is>
      </c>
      <c r="D26" s="52" t="inlineStr">
        <is>
          <t>Helper lists 50 (SOP dialed). You list 40. Total output: 90/day.</t>
        </is>
      </c>
      <c r="E26" s="53" t="n">
        <v>90</v>
      </c>
      <c r="F26" s="285" t="n">
        <v>50</v>
      </c>
      <c r="G26" s="14" t="inlineStr">
        <is>
          <t>No</t>
        </is>
      </c>
      <c r="H26" s="19" t="inlineStr">
        <is>
          <t>88%</t>
        </is>
      </c>
      <c r="I26" s="54" t="n"/>
    </row>
    <row r="27" ht="48" customHeight="1" s="230">
      <c r="B27" s="56" t="inlineStr">
        <is>
          <t>10 (Wed)</t>
        </is>
      </c>
      <c r="C27" s="12" t="inlineStr">
        <is>
          <t>Whatnot + aged cleanup</t>
        </is>
      </c>
      <c r="D27" s="52" t="inlineStr">
        <is>
          <t>Helper lists 45. You prep Whatnot (80 cards) — push aged + new. 7-10pm stream.</t>
        </is>
      </c>
      <c r="E27" s="53" t="n">
        <v>80</v>
      </c>
      <c r="F27" s="285" t="n">
        <v>60</v>
      </c>
      <c r="G27" s="55" t="inlineStr">
        <is>
          <t>YES</t>
        </is>
      </c>
      <c r="H27" s="19" t="inlineStr">
        <is>
          <t>Auction</t>
        </is>
      </c>
      <c r="I27" s="54" t="n"/>
    </row>
    <row r="28" ht="48" customHeight="1" s="230">
      <c r="B28" s="56" t="inlineStr">
        <is>
          <t>11 (Thu)</t>
        </is>
      </c>
      <c r="C28" s="12" t="inlineStr">
        <is>
          <t>Consignment batch</t>
        </is>
      </c>
      <c r="D28" s="52" t="inlineStr">
        <is>
          <t>Helper lists 45. You pack 40 cards to DcSports87 + 30 to Probstein. List 35.</t>
        </is>
      </c>
      <c r="E28" s="53" t="n">
        <v>80</v>
      </c>
      <c r="F28" s="285" t="n">
        <v>50</v>
      </c>
      <c r="G28" s="14" t="inlineStr">
        <is>
          <t>No</t>
        </is>
      </c>
      <c r="H28" s="19" t="inlineStr">
        <is>
          <t>88%</t>
        </is>
      </c>
      <c r="I28" s="54" t="n"/>
    </row>
    <row r="29" ht="48" customHeight="1" s="230">
      <c r="B29" s="56" t="inlineStr">
        <is>
          <t>12 (Fri)</t>
        </is>
      </c>
      <c r="C29" s="12" t="inlineStr">
        <is>
          <t>eBay auctions + FB lot push</t>
        </is>
      </c>
      <c r="D29" s="52" t="inlineStr">
        <is>
          <t>Helper lists 50. You list 35 + post FB Marketplace bulk lot. Daily shipping.</t>
        </is>
      </c>
      <c r="E29" s="53" t="n">
        <v>85</v>
      </c>
      <c r="F29" s="285" t="n">
        <v>50</v>
      </c>
      <c r="G29" s="14" t="inlineStr">
        <is>
          <t>No</t>
        </is>
      </c>
      <c r="H29" s="19" t="inlineStr">
        <is>
          <t>88%</t>
        </is>
      </c>
      <c r="I29" s="54" t="n"/>
    </row>
    <row r="30" ht="48" customHeight="1" s="230">
      <c r="B30" s="56" t="inlineStr">
        <is>
          <t>13 (Sat)</t>
        </is>
      </c>
      <c r="C30" s="12" t="inlineStr">
        <is>
          <t>Source + list</t>
        </is>
      </c>
      <c r="D30" s="52" t="inlineStr">
        <is>
          <t>Helper lists 40. You list 30 + hunt new inventory. Keep Saturday sourcing a ritual.</t>
        </is>
      </c>
      <c r="E30" s="53" t="n">
        <v>70</v>
      </c>
      <c r="F30" s="285" t="n">
        <v>45</v>
      </c>
      <c r="G30" s="14" t="inlineStr">
        <is>
          <t>No</t>
        </is>
      </c>
      <c r="H30" s="19" t="inlineStr">
        <is>
          <t>88%</t>
        </is>
      </c>
      <c r="I30" s="54" t="n"/>
    </row>
    <row r="31" ht="48" customHeight="1" s="230">
      <c r="B31" s="56" t="inlineStr">
        <is>
          <t>14 (Sun)</t>
        </is>
      </c>
      <c r="C31" s="12" t="inlineStr">
        <is>
          <t>Whatnot stream #3 + review</t>
        </is>
      </c>
      <c r="D31" s="52" t="inlineStr">
        <is>
          <t>Prep 100-card stream. 6-10pm. Post-stream: review KPIs, set Week 3 targets.</t>
        </is>
      </c>
      <c r="E31" s="53" t="n">
        <v>100</v>
      </c>
      <c r="F31" s="285" t="n">
        <v>65</v>
      </c>
      <c r="G31" s="55" t="inlineStr">
        <is>
          <t>YES</t>
        </is>
      </c>
      <c r="H31" s="19" t="inlineStr">
        <is>
          <t>Auction</t>
        </is>
      </c>
      <c r="I31" s="54" t="n"/>
    </row>
    <row r="32" ht="15" customHeight="1" s="230">
      <c r="B32" s="276" t="inlineStr">
        <is>
          <t>14-DAY TOTAL</t>
        </is>
      </c>
      <c r="C32" s="226" t="n"/>
      <c r="D32" s="227" t="n"/>
      <c r="E32" s="57">
        <f>SUM(E18:E31)</f>
        <v/>
      </c>
      <c r="F32" s="58">
        <f>SUM(F18:F31)</f>
        <v/>
      </c>
      <c r="G32" s="250" t="n"/>
      <c r="H32" s="250" t="n"/>
      <c r="I32" s="250" t="n"/>
    </row>
    <row r="35" ht="21.75" customHeight="1" s="230">
      <c r="A35" s="244" t="inlineStr">
        <is>
          <t>THE FIVE LEVERS — ranked by impact</t>
        </is>
      </c>
    </row>
    <row r="37">
      <c r="B37" s="275" t="inlineStr">
        <is>
          <t>1. Helper hire (Day 1)</t>
        </is>
      </c>
    </row>
    <row r="38" ht="25.5" customHeight="1" s="230">
      <c r="B38" s="274" t="inlineStr">
        <is>
          <t>Moves listing capacity from 50 → 90+/day. Single biggest unlock. $600/mo cost for ~$9k revenue add.</t>
        </is>
      </c>
    </row>
    <row r="39">
      <c r="B39" s="275" t="inlineStr">
        <is>
          <t>2. Whatnot weekly streams</t>
        </is>
      </c>
    </row>
    <row r="40" ht="25.5" customHeight="1" s="230">
      <c r="B40" s="274" t="inlineStr">
        <is>
          <t>One 2-3 hour stream moves 50-100 cards. Live price discovery + impulse buying. 3 streams in 14 days = 300+ cards sold.</t>
        </is>
      </c>
    </row>
    <row r="41">
      <c r="B41" s="275" t="inlineStr">
        <is>
          <t>3. Pricing discipline</t>
        </is>
      </c>
    </row>
    <row r="42" ht="25.5" customHeight="1" s="230">
      <c r="B42" s="274" t="inlineStr">
        <is>
          <t>Drop from 92% to 88% of median comp on aged inventory. Accelerates 30-day sell-through by 5-8 pts. Worth more than you think.</t>
        </is>
      </c>
    </row>
    <row r="43">
      <c r="B43" s="275" t="inlineStr">
        <is>
          <t>4. eBay 7-day auctions</t>
        </is>
      </c>
    </row>
    <row r="44" ht="25.5" customHeight="1" s="230">
      <c r="B44" s="274" t="inlineStr">
        <is>
          <t>Auction-format listings with $0.99 start clear aged inventory hard. Run 30-50 aged cards per week as auctions.</t>
        </is>
      </c>
    </row>
    <row r="45">
      <c r="B45" s="275" t="inlineStr">
        <is>
          <t>5. Consignment batching</t>
        </is>
      </c>
    </row>
    <row r="46" ht="25.5" customHeight="1" s="230">
      <c r="B46" s="274" t="inlineStr">
        <is>
          <t>Day 11 send 70 cards out to DcSports87 + Probstein. Frees capital + moves volume while your hands do other things.</t>
        </is>
      </c>
    </row>
    <row r="49" ht="16" customHeight="1" s="230">
      <c r="A49" s="278" t="inlineStr">
        <is>
          <t>REALITY CAVEAT</t>
        </is>
      </c>
    </row>
    <row r="50" ht="49.5" customHeight="1" s="230">
      <c r="A50" s="277" t="inlineStr">
        <is>
          <t>Hitting 50 sold/day is aggressive from 30/day baseline. Day-by-day targets assume helper hire happens Day 1, Whatnot streams execute on schedule, and pricing discipline is enforced. Realistic completion rate is 80-90% of this plan. If you hit 42-45 sold/day by Day 14, you're still massively ahead of where you started — adjust expectations accordingly.</t>
        </is>
      </c>
    </row>
  </sheetData>
  <mergeCells count="18">
    <mergeCell ref="A1:J1"/>
    <mergeCell ref="B44:J44"/>
    <mergeCell ref="B37:J37"/>
    <mergeCell ref="B42:J42"/>
    <mergeCell ref="B46:J46"/>
    <mergeCell ref="B45:J45"/>
    <mergeCell ref="B32:D32"/>
    <mergeCell ref="B40:J40"/>
    <mergeCell ref="A50:J50"/>
    <mergeCell ref="B41:J41"/>
    <mergeCell ref="A15:J15"/>
    <mergeCell ref="A4:J4"/>
    <mergeCell ref="A35:J35"/>
    <mergeCell ref="A2:J2"/>
    <mergeCell ref="B43:J43"/>
    <mergeCell ref="B39:J39"/>
    <mergeCell ref="B38:J38"/>
    <mergeCell ref="A49:J49"/>
  </mergeCells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4"/>
  <sheetViews>
    <sheetView showGridLines="0" zoomScaleNormal="100" workbookViewId="0">
      <pane ySplit="4" topLeftCell="A5" activePane="bottomLeft" state="frozen"/>
      <selection pane="bottomLeft" activeCell="L5" sqref="L5:L10"/>
    </sheetView>
  </sheetViews>
  <sheetFormatPr baseColWidth="10" defaultColWidth="8.6640625" defaultRowHeight="15"/>
  <cols>
    <col width="14" customWidth="1" style="230" min="1" max="2"/>
    <col width="36" customWidth="1" style="230" min="3" max="3"/>
    <col width="16" customWidth="1" style="230" min="4" max="4"/>
    <col width="12" customWidth="1" style="230" min="5" max="6"/>
    <col width="10" customWidth="1" style="230" min="7" max="7"/>
    <col width="12" customWidth="1" style="230" min="8" max="8"/>
    <col width="10" customWidth="1" style="230" min="9" max="9"/>
    <col width="12" customWidth="1" style="230" min="10" max="10"/>
    <col width="10" customWidth="1" style="230" min="11" max="12"/>
  </cols>
  <sheetData>
    <row r="1" ht="31.5" customHeight="1" s="230">
      <c r="A1" s="229" t="inlineStr">
        <is>
          <t>🏠 Start Here</t>
        </is>
      </c>
    </row>
    <row r="2" ht="18" customHeight="1" s="230">
      <c r="A2" s="239" t="inlineStr">
        <is>
          <t>Every direct-sale transaction. Enter new rows at the bottom.</t>
        </is>
      </c>
    </row>
    <row r="3">
      <c r="A3" s="4" t="inlineStr">
        <is>
          <t>TOTALS →</t>
        </is>
      </c>
      <c r="E3" s="59">
        <f>SUM(E5:E734)</f>
        <v/>
      </c>
      <c r="F3" s="59">
        <f>SUM(F5:F734)</f>
        <v/>
      </c>
      <c r="G3" s="59">
        <f>SUM(G5:G734)</f>
        <v/>
      </c>
      <c r="H3" s="59">
        <f>SUM(H5:H734)</f>
        <v/>
      </c>
      <c r="I3" s="59">
        <f>SUM(I5:I734)</f>
        <v/>
      </c>
      <c r="J3" s="60">
        <f>SUM(J5:J734)</f>
        <v/>
      </c>
      <c r="K3" s="61">
        <f>IFERROR(J3/F3,"")</f>
        <v/>
      </c>
    </row>
    <row r="4" ht="27.75" customHeight="1" s="230">
      <c r="A4" s="276" t="inlineStr">
        <is>
          <t>Sale Date</t>
        </is>
      </c>
      <c r="B4" s="276" t="inlineStr">
        <is>
          <t>Channel</t>
        </is>
      </c>
      <c r="C4" s="276" t="inlineStr">
        <is>
          <t>Card Description</t>
        </is>
      </c>
      <c r="D4" s="276" t="inlineStr">
        <is>
          <t>Category</t>
        </is>
      </c>
      <c r="E4" s="276" t="inlineStr">
        <is>
          <t>Cost Basis ($)</t>
        </is>
      </c>
      <c r="F4" s="276" t="inlineStr">
        <is>
          <t>Sell Price ($)</t>
        </is>
      </c>
      <c r="G4" s="276" t="inlineStr">
        <is>
          <t>Fees ($)</t>
        </is>
      </c>
      <c r="H4" s="276" t="inlineStr">
        <is>
          <t>Shipping Cost ($)</t>
        </is>
      </c>
      <c r="I4" s="276" t="inlineStr">
        <is>
          <t>Supplies ($)</t>
        </is>
      </c>
      <c r="J4" s="276" t="inlineStr">
        <is>
          <t>Net ($)</t>
        </is>
      </c>
      <c r="K4" s="276" t="inlineStr">
        <is>
          <t>Margin %</t>
        </is>
      </c>
      <c r="L4" s="276" t="inlineStr">
        <is>
          <t>Days Held</t>
        </is>
      </c>
    </row>
    <row r="5" ht="16" customHeight="1" s="230">
      <c r="A5" s="392" t="n">
        <v>46037</v>
      </c>
      <c r="B5" s="341" t="inlineStr">
        <is>
          <t>eBay</t>
        </is>
      </c>
      <c r="C5" s="393" t="inlineStr">
        <is>
          <t>2024 Panini Prizm Patrick Mahomes RC Base #168</t>
        </is>
      </c>
      <c r="D5" s="393" t="inlineStr">
        <is>
          <t>Football</t>
        </is>
      </c>
      <c r="E5" s="394" t="n">
        <v>18</v>
      </c>
      <c r="F5" s="394" t="n">
        <v>42</v>
      </c>
      <c r="G5" s="394" t="n">
        <v>5.57</v>
      </c>
      <c r="H5" s="394" t="n">
        <v>4.5</v>
      </c>
      <c r="I5" s="394" t="n">
        <v>0.75</v>
      </c>
      <c r="J5" s="66">
        <f>IFERROR(F5-E5-G5-H5-I5,"")</f>
        <v/>
      </c>
      <c r="K5" s="67">
        <f>IFERROR(J5/F5,"")</f>
        <v/>
      </c>
      <c r="L5" s="68" t="n"/>
    </row>
    <row r="6" ht="16" customHeight="1" s="230">
      <c r="A6" s="392" t="n">
        <v>46054</v>
      </c>
      <c r="B6" s="341" t="inlineStr">
        <is>
          <t>eBay</t>
        </is>
      </c>
      <c r="C6" s="393" t="inlineStr">
        <is>
          <t>2023 Topps Chrome Corbin Carroll RC #150</t>
        </is>
      </c>
      <c r="D6" s="393" t="inlineStr">
        <is>
          <t>Baseball</t>
        </is>
      </c>
      <c r="E6" s="394" t="n">
        <v>12</v>
      </c>
      <c r="F6" s="394" t="n">
        <v>28</v>
      </c>
      <c r="G6" s="394" t="n">
        <v>3.71</v>
      </c>
      <c r="H6" s="394" t="n">
        <v>4.5</v>
      </c>
      <c r="I6" s="394" t="n">
        <v>0.75</v>
      </c>
      <c r="J6" s="66">
        <f>IFERROR(F6-E6-G6-H6-I6,"")</f>
        <v/>
      </c>
      <c r="K6" s="67">
        <f>IFERROR(J6/F6,"")</f>
        <v/>
      </c>
      <c r="L6" s="68" t="n"/>
    </row>
    <row r="7" ht="32" customHeight="1" s="230">
      <c r="A7" s="392" t="n">
        <v>46091</v>
      </c>
      <c r="B7" s="341" t="inlineStr">
        <is>
          <t>Whatnot</t>
        </is>
      </c>
      <c r="C7" s="393" t="inlineStr">
        <is>
          <t>2021 Panini Prizm LeBron James #129 Silver</t>
        </is>
      </c>
      <c r="D7" s="393" t="inlineStr">
        <is>
          <t>Basketball</t>
        </is>
      </c>
      <c r="E7" s="394" t="n">
        <v>25</v>
      </c>
      <c r="F7" s="394" t="n">
        <v>58</v>
      </c>
      <c r="G7" s="394" t="n">
        <v>7.69</v>
      </c>
      <c r="H7" s="394" t="n">
        <v>0</v>
      </c>
      <c r="I7" s="394" t="n">
        <v>0.75</v>
      </c>
      <c r="J7" s="66">
        <f>IFERROR(F7-E7-G7-H7-I7,"")</f>
        <v/>
      </c>
      <c r="K7" s="67">
        <f>IFERROR(J7/F7,"")</f>
        <v/>
      </c>
      <c r="L7" s="68" t="n"/>
    </row>
    <row r="8" ht="16" customHeight="1" s="230">
      <c r="A8" s="62" t="n"/>
      <c r="B8" s="63" t="n"/>
      <c r="C8" s="64" t="n"/>
      <c r="D8" s="64" t="n"/>
      <c r="E8" s="65" t="n"/>
      <c r="F8" s="65" t="n"/>
      <c r="G8" s="65" t="n"/>
      <c r="H8" s="65" t="n"/>
      <c r="I8" s="65" t="n"/>
      <c r="J8" s="66">
        <f>IFERROR(F8-E8-G8-H8-I8,"")</f>
        <v/>
      </c>
      <c r="K8" s="67">
        <f>IFERROR(J8/F8,"")</f>
        <v/>
      </c>
      <c r="L8" s="68" t="n"/>
    </row>
    <row r="9" ht="16" customHeight="1" s="230">
      <c r="A9" s="62" t="n"/>
      <c r="B9" s="63" t="n"/>
      <c r="C9" s="64" t="n"/>
      <c r="D9" s="64" t="n"/>
      <c r="E9" s="65" t="n"/>
      <c r="F9" s="65" t="n"/>
      <c r="G9" s="65" t="n"/>
      <c r="H9" s="65" t="n"/>
      <c r="I9" s="65" t="n"/>
      <c r="J9" s="66">
        <f>IFERROR(F9-E9-G9-H9-I9,"")</f>
        <v/>
      </c>
      <c r="K9" s="67">
        <f>IFERROR(J9/F9,"")</f>
        <v/>
      </c>
      <c r="L9" s="68" t="n"/>
    </row>
    <row r="10" ht="32" customHeight="1" s="230">
      <c r="A10" s="69" t="n"/>
      <c r="B10" s="63" t="n"/>
      <c r="C10" s="70" t="n"/>
      <c r="D10" s="70" t="n"/>
      <c r="E10" s="71" t="n"/>
      <c r="F10" s="71" t="n"/>
      <c r="G10" s="71" t="n"/>
      <c r="H10" s="71" t="n"/>
      <c r="I10" s="71" t="n"/>
      <c r="J10" s="72">
        <f>IFERROR(F10-E10-G10-H10-I10,"")</f>
        <v/>
      </c>
      <c r="K10" s="73">
        <f>IFERROR(J10/F10,"")</f>
        <v/>
      </c>
      <c r="L10" s="74" t="n"/>
    </row>
    <row r="11">
      <c r="A11" s="62" t="n"/>
      <c r="B11" s="63" t="n"/>
      <c r="C11" s="64" t="n"/>
      <c r="D11" s="64" t="n"/>
      <c r="E11" s="65" t="n"/>
      <c r="F11" s="65" t="n"/>
      <c r="G11" s="65" t="n"/>
      <c r="H11" s="65" t="n"/>
      <c r="I11" s="65" t="n"/>
      <c r="J11" s="66">
        <f>IFERROR(F11-E11-G11-H11-I11,"")</f>
        <v/>
      </c>
      <c r="K11" s="67">
        <f>IFERROR(J11/F11,"")</f>
        <v/>
      </c>
      <c r="L11" s="68" t="n"/>
    </row>
    <row r="12">
      <c r="A12" s="62" t="n"/>
      <c r="B12" s="63" t="n"/>
      <c r="C12" s="64" t="n"/>
      <c r="D12" s="64" t="n"/>
      <c r="E12" s="65" t="n"/>
      <c r="F12" s="65" t="n"/>
      <c r="G12" s="65" t="n"/>
      <c r="H12" s="65" t="n"/>
      <c r="I12" s="65" t="n"/>
      <c r="J12" s="66">
        <f>IFERROR(F12-E12-G12-H12-I12,"")</f>
        <v/>
      </c>
      <c r="K12" s="67">
        <f>IFERROR(J12/F12,"")</f>
        <v/>
      </c>
      <c r="L12" s="68" t="n"/>
    </row>
    <row r="13">
      <c r="A13" s="62" t="n"/>
      <c r="B13" s="63" t="n"/>
      <c r="C13" s="64" t="n"/>
      <c r="D13" s="64" t="n"/>
      <c r="E13" s="65" t="n"/>
      <c r="F13" s="65" t="n"/>
      <c r="G13" s="65" t="n"/>
      <c r="H13" s="65" t="n"/>
      <c r="I13" s="65" t="n"/>
      <c r="J13" s="66">
        <f>IFERROR(F13-E13-G13-H13-I13,"")</f>
        <v/>
      </c>
      <c r="K13" s="67">
        <f>IFERROR(J13/F13,"")</f>
        <v/>
      </c>
      <c r="L13" s="68" t="n"/>
    </row>
    <row r="14">
      <c r="A14" s="62" t="n"/>
      <c r="B14" s="63" t="n"/>
      <c r="C14" s="64" t="n"/>
      <c r="D14" s="64" t="n"/>
      <c r="E14" s="65" t="n"/>
      <c r="F14" s="65" t="n"/>
      <c r="G14" s="65" t="n"/>
      <c r="H14" s="65" t="n"/>
      <c r="I14" s="65" t="n"/>
      <c r="J14" s="66">
        <f>IFERROR(F14-E14-G14-H14-I14,"")</f>
        <v/>
      </c>
      <c r="K14" s="67">
        <f>IFERROR(J14/F14,"")</f>
        <v/>
      </c>
      <c r="L14" s="68" t="n"/>
    </row>
    <row r="15">
      <c r="A15" s="62" t="n"/>
      <c r="B15" s="63" t="n"/>
      <c r="C15" s="64" t="n"/>
      <c r="D15" s="64" t="n"/>
      <c r="E15" s="65" t="n"/>
      <c r="F15" s="65" t="n"/>
      <c r="G15" s="65" t="n"/>
      <c r="H15" s="65" t="n"/>
      <c r="I15" s="65" t="n"/>
      <c r="J15" s="66">
        <f>IFERROR(F15-E15-G15-H15-I15,"")</f>
        <v/>
      </c>
      <c r="K15" s="67">
        <f>IFERROR(J15/F15,"")</f>
        <v/>
      </c>
      <c r="L15" s="68" t="n"/>
    </row>
    <row r="16">
      <c r="A16" s="62" t="n"/>
      <c r="B16" s="63" t="n"/>
      <c r="C16" s="64" t="n"/>
      <c r="D16" s="64" t="n"/>
      <c r="E16" s="65" t="n"/>
      <c r="F16" s="65" t="n"/>
      <c r="G16" s="65" t="n"/>
      <c r="H16" s="65" t="n"/>
      <c r="I16" s="65" t="n"/>
      <c r="J16" s="66">
        <f>IFERROR(F16-E16-G16-H16-I16,"")</f>
        <v/>
      </c>
      <c r="K16" s="67">
        <f>IFERROR(J16/F16,"")</f>
        <v/>
      </c>
      <c r="L16" s="68" t="n"/>
    </row>
    <row r="17">
      <c r="A17" s="62" t="n"/>
      <c r="B17" s="63" t="n"/>
      <c r="C17" s="64" t="n"/>
      <c r="D17" s="64" t="n"/>
      <c r="E17" s="65" t="n"/>
      <c r="F17" s="65" t="n"/>
      <c r="G17" s="65" t="n"/>
      <c r="H17" s="65" t="n"/>
      <c r="I17" s="65" t="n"/>
      <c r="J17" s="66">
        <f>IFERROR(F17-E17-G17-H17-I17,"")</f>
        <v/>
      </c>
      <c r="K17" s="67">
        <f>IFERROR(J17/F17,"")</f>
        <v/>
      </c>
      <c r="L17" s="68" t="n"/>
    </row>
    <row r="18">
      <c r="A18" s="62" t="n"/>
      <c r="B18" s="63" t="n"/>
      <c r="C18" s="64" t="n"/>
      <c r="D18" s="64" t="n"/>
      <c r="E18" s="65" t="n"/>
      <c r="F18" s="65" t="n"/>
      <c r="G18" s="65" t="n"/>
      <c r="H18" s="65" t="n"/>
      <c r="I18" s="65" t="n"/>
      <c r="J18" s="66">
        <f>IFERROR(F18-E18-G18-H18-I18,"")</f>
        <v/>
      </c>
      <c r="K18" s="67">
        <f>IFERROR(J18/F18,"")</f>
        <v/>
      </c>
      <c r="L18" s="68" t="n"/>
    </row>
    <row r="19">
      <c r="A19" s="62" t="n"/>
      <c r="B19" s="63" t="n"/>
      <c r="C19" s="64" t="n"/>
      <c r="D19" s="64" t="n"/>
      <c r="E19" s="65" t="n"/>
      <c r="F19" s="65" t="n"/>
      <c r="G19" s="65" t="n"/>
      <c r="H19" s="65" t="n"/>
      <c r="I19" s="65" t="n"/>
      <c r="J19" s="66">
        <f>IFERROR(F19-E19-G19-H19-I19,"")</f>
        <v/>
      </c>
      <c r="K19" s="67">
        <f>IFERROR(J19/F19,"")</f>
        <v/>
      </c>
      <c r="L19" s="68" t="n"/>
    </row>
    <row r="20">
      <c r="A20" s="62" t="n"/>
      <c r="B20" s="63" t="n"/>
      <c r="C20" s="64" t="n"/>
      <c r="D20" s="64" t="n"/>
      <c r="E20" s="65" t="n"/>
      <c r="F20" s="65" t="n"/>
      <c r="G20" s="65" t="n"/>
      <c r="H20" s="65" t="n"/>
      <c r="I20" s="65" t="n"/>
      <c r="J20" s="66">
        <f>IFERROR(F20-E20-G20-H20-I20,"")</f>
        <v/>
      </c>
      <c r="K20" s="67">
        <f>IFERROR(J20/F20,"")</f>
        <v/>
      </c>
      <c r="L20" s="68" t="n"/>
    </row>
    <row r="21">
      <c r="A21" s="62" t="n"/>
      <c r="B21" s="63" t="n"/>
      <c r="C21" s="64" t="n"/>
      <c r="D21" s="64" t="n"/>
      <c r="E21" s="65" t="n"/>
      <c r="F21" s="65" t="n"/>
      <c r="G21" s="65" t="n"/>
      <c r="H21" s="65" t="n"/>
      <c r="I21" s="65" t="n"/>
      <c r="J21" s="66">
        <f>IFERROR(F21-E21-G21-H21-I21,"")</f>
        <v/>
      </c>
      <c r="K21" s="67">
        <f>IFERROR(J21/F21,"")</f>
        <v/>
      </c>
      <c r="L21" s="68" t="n"/>
    </row>
    <row r="22">
      <c r="A22" s="62" t="n"/>
      <c r="B22" s="63" t="n"/>
      <c r="C22" s="64" t="n"/>
      <c r="D22" s="64" t="n"/>
      <c r="E22" s="65" t="n"/>
      <c r="F22" s="65" t="n"/>
      <c r="G22" s="65" t="n"/>
      <c r="H22" s="65" t="n"/>
      <c r="I22" s="65" t="n"/>
      <c r="J22" s="66">
        <f>IFERROR(F22-E22-G22-H22-I22,"")</f>
        <v/>
      </c>
      <c r="K22" s="67">
        <f>IFERROR(J22/F22,"")</f>
        <v/>
      </c>
      <c r="L22" s="68" t="n"/>
    </row>
    <row r="23">
      <c r="A23" s="62" t="n"/>
      <c r="B23" s="63" t="n"/>
      <c r="C23" s="64" t="n"/>
      <c r="D23" s="64" t="n"/>
      <c r="E23" s="65" t="n"/>
      <c r="F23" s="65" t="n"/>
      <c r="G23" s="65" t="n"/>
      <c r="H23" s="65" t="n"/>
      <c r="I23" s="65" t="n"/>
      <c r="J23" s="66">
        <f>IFERROR(F23-E23-G23-H23-I23,"")</f>
        <v/>
      </c>
      <c r="K23" s="67">
        <f>IFERROR(J23/F23,"")</f>
        <v/>
      </c>
      <c r="L23" s="68" t="n"/>
    </row>
    <row r="24">
      <c r="A24" s="62" t="n"/>
      <c r="B24" s="63" t="n"/>
      <c r="C24" s="64" t="n"/>
      <c r="D24" s="64" t="n"/>
      <c r="E24" s="65" t="n"/>
      <c r="F24" s="65" t="n"/>
      <c r="G24" s="65" t="n"/>
      <c r="H24" s="65" t="n"/>
      <c r="I24" s="65" t="n"/>
      <c r="J24" s="66">
        <f>IFERROR(F24-E24-G24-H24-I24,"")</f>
        <v/>
      </c>
      <c r="K24" s="67">
        <f>IFERROR(J24/F24,"")</f>
        <v/>
      </c>
      <c r="L24" s="68" t="n"/>
    </row>
    <row r="25">
      <c r="A25" s="62" t="n"/>
      <c r="B25" s="63" t="n"/>
      <c r="C25" s="64" t="n"/>
      <c r="D25" s="64" t="n"/>
      <c r="E25" s="65" t="n"/>
      <c r="F25" s="65" t="n"/>
      <c r="G25" s="65" t="n"/>
      <c r="H25" s="65" t="n"/>
      <c r="I25" s="65" t="n"/>
      <c r="J25" s="66">
        <f>IFERROR(F25-E25-G25-H25-I25,"")</f>
        <v/>
      </c>
      <c r="K25" s="67">
        <f>IFERROR(J25/F25,"")</f>
        <v/>
      </c>
      <c r="L25" s="68" t="n"/>
    </row>
    <row r="26">
      <c r="A26" s="62" t="n"/>
      <c r="B26" s="63" t="n"/>
      <c r="C26" s="64" t="n"/>
      <c r="D26" s="64" t="n"/>
      <c r="E26" s="65" t="n"/>
      <c r="F26" s="65" t="n"/>
      <c r="G26" s="65" t="n"/>
      <c r="H26" s="65" t="n"/>
      <c r="I26" s="65" t="n"/>
      <c r="J26" s="66">
        <f>IFERROR(F26-E26-G26-H26-I26,"")</f>
        <v/>
      </c>
      <c r="K26" s="67">
        <f>IFERROR(J26/F26,"")</f>
        <v/>
      </c>
      <c r="L26" s="68" t="n"/>
    </row>
    <row r="27">
      <c r="A27" s="62" t="n"/>
      <c r="B27" s="63" t="n"/>
      <c r="C27" s="64" t="n"/>
      <c r="D27" s="64" t="n"/>
      <c r="E27" s="65" t="n"/>
      <c r="F27" s="65" t="n"/>
      <c r="G27" s="65" t="n"/>
      <c r="H27" s="65" t="n"/>
      <c r="I27" s="65" t="n"/>
      <c r="J27" s="66">
        <f>IFERROR(F27-E27-G27-H27-I27,"")</f>
        <v/>
      </c>
      <c r="K27" s="67">
        <f>IFERROR(J27/F27,"")</f>
        <v/>
      </c>
      <c r="L27" s="68" t="n"/>
    </row>
    <row r="28">
      <c r="A28" s="62" t="n"/>
      <c r="B28" s="63" t="n"/>
      <c r="C28" s="64" t="n"/>
      <c r="D28" s="64" t="n"/>
      <c r="E28" s="65" t="n"/>
      <c r="F28" s="65" t="n"/>
      <c r="G28" s="65" t="n"/>
      <c r="H28" s="65" t="n"/>
      <c r="I28" s="65" t="n"/>
      <c r="J28" s="66">
        <f>IFERROR(F28-E28-G28-H28-I28,"")</f>
        <v/>
      </c>
      <c r="K28" s="67">
        <f>IFERROR(J28/F28,"")</f>
        <v/>
      </c>
      <c r="L28" s="68" t="n"/>
    </row>
    <row r="29">
      <c r="A29" s="62" t="n"/>
      <c r="B29" s="63" t="n"/>
      <c r="C29" s="64" t="n"/>
      <c r="D29" s="64" t="n"/>
      <c r="E29" s="65" t="n"/>
      <c r="F29" s="65" t="n"/>
      <c r="G29" s="65" t="n"/>
      <c r="H29" s="65" t="n"/>
      <c r="I29" s="65" t="n"/>
      <c r="J29" s="66">
        <f>IFERROR(F29-E29-G29-H29-I29,"")</f>
        <v/>
      </c>
      <c r="K29" s="67">
        <f>IFERROR(J29/F29,"")</f>
        <v/>
      </c>
      <c r="L29" s="68" t="n"/>
    </row>
    <row r="30">
      <c r="A30" s="62" t="n"/>
      <c r="B30" s="63" t="n"/>
      <c r="C30" s="64" t="n"/>
      <c r="D30" s="64" t="n"/>
      <c r="E30" s="65" t="n"/>
      <c r="F30" s="65" t="n"/>
      <c r="G30" s="65" t="n"/>
      <c r="H30" s="65" t="n"/>
      <c r="I30" s="65" t="n"/>
      <c r="J30" s="66">
        <f>IFERROR(F30-E30-G30-H30-I30,"")</f>
        <v/>
      </c>
      <c r="K30" s="67">
        <f>IFERROR(J30/F30,"")</f>
        <v/>
      </c>
      <c r="L30" s="68" t="n"/>
    </row>
    <row r="31">
      <c r="A31" s="62" t="n"/>
      <c r="B31" s="63" t="n"/>
      <c r="C31" s="64" t="n"/>
      <c r="D31" s="64" t="n"/>
      <c r="E31" s="65" t="n"/>
      <c r="F31" s="65" t="n"/>
      <c r="G31" s="65" t="n"/>
      <c r="H31" s="65" t="n"/>
      <c r="I31" s="65" t="n"/>
      <c r="J31" s="66">
        <f>IFERROR(F31-E31-G31-H31-I31,"")</f>
        <v/>
      </c>
      <c r="K31" s="67">
        <f>IFERROR(J31/F31,"")</f>
        <v/>
      </c>
      <c r="L31" s="68" t="n"/>
    </row>
    <row r="32">
      <c r="A32" s="62" t="n"/>
      <c r="B32" s="63" t="n"/>
      <c r="C32" s="64" t="n"/>
      <c r="D32" s="64" t="n"/>
      <c r="E32" s="65" t="n"/>
      <c r="F32" s="65" t="n"/>
      <c r="G32" s="65" t="n"/>
      <c r="H32" s="65" t="n"/>
      <c r="I32" s="65" t="n"/>
      <c r="J32" s="66">
        <f>IFERROR(F32-E32-G32-H32-I32,"")</f>
        <v/>
      </c>
      <c r="K32" s="67">
        <f>IFERROR(J32/F32,"")</f>
        <v/>
      </c>
      <c r="L32" s="68" t="n"/>
    </row>
    <row r="33">
      <c r="A33" s="62" t="n"/>
      <c r="B33" s="63" t="n"/>
      <c r="C33" s="64" t="n"/>
      <c r="D33" s="64" t="n"/>
      <c r="E33" s="65" t="n"/>
      <c r="F33" s="65" t="n"/>
      <c r="G33" s="65" t="n"/>
      <c r="H33" s="65" t="n"/>
      <c r="I33" s="65" t="n"/>
      <c r="J33" s="66">
        <f>IFERROR(F33-E33-G33-H33-I33,"")</f>
        <v/>
      </c>
      <c r="K33" s="67">
        <f>IFERROR(J33/F33,"")</f>
        <v/>
      </c>
      <c r="L33" s="68" t="n"/>
    </row>
    <row r="34">
      <c r="A34" s="62" t="n"/>
      <c r="B34" s="63" t="n"/>
      <c r="C34" s="64" t="n"/>
      <c r="D34" s="64" t="n"/>
      <c r="E34" s="65" t="n"/>
      <c r="F34" s="65" t="n"/>
      <c r="G34" s="65" t="n"/>
      <c r="H34" s="65" t="n"/>
      <c r="I34" s="65" t="n"/>
      <c r="J34" s="66">
        <f>IFERROR(F34-E34-G34-H34-I34,"")</f>
        <v/>
      </c>
      <c r="K34" s="67">
        <f>IFERROR(J34/F34,"")</f>
        <v/>
      </c>
      <c r="L34" s="68" t="n"/>
    </row>
    <row r="35">
      <c r="A35" s="62" t="n"/>
      <c r="B35" s="63" t="n"/>
      <c r="C35" s="64" t="n"/>
      <c r="D35" s="64" t="n"/>
      <c r="E35" s="65" t="n"/>
      <c r="F35" s="65" t="n"/>
      <c r="G35" s="65" t="n"/>
      <c r="H35" s="65" t="n"/>
      <c r="I35" s="65" t="n"/>
      <c r="J35" s="66">
        <f>IFERROR(F35-E35-G35-H35-I35,"")</f>
        <v/>
      </c>
      <c r="K35" s="67">
        <f>IFERROR(J35/F35,"")</f>
        <v/>
      </c>
      <c r="L35" s="68" t="n"/>
    </row>
    <row r="36">
      <c r="A36" s="62" t="n"/>
      <c r="B36" s="63" t="n"/>
      <c r="C36" s="64" t="n"/>
      <c r="D36" s="64" t="n"/>
      <c r="E36" s="65" t="n"/>
      <c r="F36" s="65" t="n"/>
      <c r="G36" s="65" t="n"/>
      <c r="H36" s="65" t="n"/>
      <c r="I36" s="65" t="n"/>
      <c r="J36" s="66">
        <f>IFERROR(F36-E36-G36-H36-I36,"")</f>
        <v/>
      </c>
      <c r="K36" s="67">
        <f>IFERROR(J36/F36,"")</f>
        <v/>
      </c>
      <c r="L36" s="68" t="n"/>
    </row>
    <row r="37">
      <c r="A37" s="62" t="n"/>
      <c r="B37" s="63" t="n"/>
      <c r="C37" s="64" t="n"/>
      <c r="D37" s="64" t="n"/>
      <c r="E37" s="65" t="n"/>
      <c r="F37" s="65" t="n"/>
      <c r="G37" s="65" t="n"/>
      <c r="H37" s="65" t="n"/>
      <c r="I37" s="65" t="n"/>
      <c r="J37" s="66">
        <f>IFERROR(F37-E37-G37-H37-I37,"")</f>
        <v/>
      </c>
      <c r="K37" s="67">
        <f>IFERROR(J37/F37,"")</f>
        <v/>
      </c>
      <c r="L37" s="68" t="n"/>
    </row>
    <row r="38">
      <c r="A38" s="62" t="n"/>
      <c r="B38" s="63" t="n"/>
      <c r="C38" s="64" t="n"/>
      <c r="D38" s="64" t="n"/>
      <c r="E38" s="65" t="n"/>
      <c r="F38" s="65" t="n"/>
      <c r="G38" s="65" t="n"/>
      <c r="H38" s="65" t="n"/>
      <c r="I38" s="65" t="n"/>
      <c r="J38" s="66">
        <f>IFERROR(F38-E38-G38-H38-I38,"")</f>
        <v/>
      </c>
      <c r="K38" s="67">
        <f>IFERROR(J38/F38,"")</f>
        <v/>
      </c>
      <c r="L38" s="68" t="n"/>
    </row>
    <row r="39">
      <c r="A39" s="62" t="n"/>
      <c r="B39" s="63" t="n"/>
      <c r="C39" s="64" t="n"/>
      <c r="D39" s="64" t="n"/>
      <c r="E39" s="65" t="n"/>
      <c r="F39" s="65" t="n"/>
      <c r="G39" s="65" t="n"/>
      <c r="H39" s="65" t="n"/>
      <c r="I39" s="65" t="n"/>
      <c r="J39" s="66">
        <f>IFERROR(F39-E39-G39-H39-I39,"")</f>
        <v/>
      </c>
      <c r="K39" s="67">
        <f>IFERROR(J39/F39,"")</f>
        <v/>
      </c>
      <c r="L39" s="68" t="n"/>
    </row>
    <row r="40">
      <c r="A40" s="62" t="n"/>
      <c r="B40" s="63" t="n"/>
      <c r="C40" s="64" t="n"/>
      <c r="D40" s="64" t="n"/>
      <c r="E40" s="65" t="n"/>
      <c r="F40" s="65" t="n"/>
      <c r="G40" s="65" t="n"/>
      <c r="H40" s="65" t="n"/>
      <c r="I40" s="65" t="n"/>
      <c r="J40" s="66">
        <f>IFERROR(F40-E40-G40-H40-I40,"")</f>
        <v/>
      </c>
      <c r="K40" s="67">
        <f>IFERROR(J40/F40,"")</f>
        <v/>
      </c>
      <c r="L40" s="68" t="n"/>
    </row>
    <row r="41">
      <c r="A41" s="62" t="n"/>
      <c r="B41" s="63" t="n"/>
      <c r="C41" s="64" t="n"/>
      <c r="D41" s="64" t="n"/>
      <c r="E41" s="65" t="n"/>
      <c r="F41" s="65" t="n"/>
      <c r="G41" s="65" t="n"/>
      <c r="H41" s="65" t="n"/>
      <c r="I41" s="65" t="n"/>
      <c r="J41" s="66">
        <f>IFERROR(F41-E41-G41-H41-I41,"")</f>
        <v/>
      </c>
      <c r="K41" s="67">
        <f>IFERROR(J41/F41,"")</f>
        <v/>
      </c>
      <c r="L41" s="68" t="n"/>
    </row>
    <row r="42">
      <c r="A42" s="62" t="n"/>
      <c r="B42" s="63" t="n"/>
      <c r="C42" s="64" t="n"/>
      <c r="D42" s="64" t="n"/>
      <c r="E42" s="65" t="n"/>
      <c r="F42" s="65" t="n"/>
      <c r="G42" s="65" t="n"/>
      <c r="H42" s="65" t="n"/>
      <c r="I42" s="65" t="n"/>
      <c r="J42" s="66">
        <f>IFERROR(F42-E42-G42-H42-I42,"")</f>
        <v/>
      </c>
      <c r="K42" s="67">
        <f>IFERROR(J42/F42,"")</f>
        <v/>
      </c>
      <c r="L42" s="68" t="n"/>
    </row>
    <row r="43">
      <c r="A43" s="62" t="n"/>
      <c r="B43" s="63" t="n"/>
      <c r="C43" s="64" t="n"/>
      <c r="D43" s="64" t="n"/>
      <c r="E43" s="65" t="n"/>
      <c r="F43" s="65" t="n"/>
      <c r="G43" s="65" t="n"/>
      <c r="H43" s="65" t="n"/>
      <c r="I43" s="65" t="n"/>
      <c r="J43" s="66">
        <f>IFERROR(F43-E43-G43-H43-I43,"")</f>
        <v/>
      </c>
      <c r="K43" s="67">
        <f>IFERROR(J43/F43,"")</f>
        <v/>
      </c>
      <c r="L43" s="68" t="n"/>
    </row>
    <row r="44">
      <c r="A44" s="62" t="n"/>
      <c r="B44" s="63" t="n"/>
      <c r="C44" s="64" t="n"/>
      <c r="D44" s="64" t="n"/>
      <c r="E44" s="65" t="n"/>
      <c r="F44" s="65" t="n"/>
      <c r="G44" s="65" t="n"/>
      <c r="H44" s="65" t="n"/>
      <c r="I44" s="65" t="n"/>
      <c r="J44" s="66">
        <f>IFERROR(F44-E44-G44-H44-I44,"")</f>
        <v/>
      </c>
      <c r="K44" s="67">
        <f>IFERROR(J44/F44,"")</f>
        <v/>
      </c>
      <c r="L44" s="68" t="n"/>
    </row>
    <row r="45">
      <c r="A45" s="62" t="n"/>
      <c r="B45" s="63" t="n"/>
      <c r="C45" s="64" t="n"/>
      <c r="D45" s="64" t="n"/>
      <c r="E45" s="65" t="n"/>
      <c r="F45" s="65" t="n"/>
      <c r="G45" s="65" t="n"/>
      <c r="H45" s="65" t="n"/>
      <c r="I45" s="65" t="n"/>
      <c r="J45" s="66">
        <f>IFERROR(F45-E45-G45-H45-I45,"")</f>
        <v/>
      </c>
      <c r="K45" s="67">
        <f>IFERROR(J45/F45,"")</f>
        <v/>
      </c>
      <c r="L45" s="68" t="n"/>
    </row>
    <row r="46">
      <c r="A46" s="62" t="n"/>
      <c r="B46" s="63" t="n"/>
      <c r="C46" s="64" t="n"/>
      <c r="D46" s="64" t="n"/>
      <c r="E46" s="65" t="n"/>
      <c r="F46" s="65" t="n"/>
      <c r="G46" s="65" t="n"/>
      <c r="H46" s="65" t="n"/>
      <c r="I46" s="65" t="n"/>
      <c r="J46" s="66">
        <f>IFERROR(F46-E46-G46-H46-I46,"")</f>
        <v/>
      </c>
      <c r="K46" s="67">
        <f>IFERROR(J46/F46,"")</f>
        <v/>
      </c>
      <c r="L46" s="68" t="n"/>
    </row>
    <row r="47">
      <c r="A47" s="62" t="n"/>
      <c r="B47" s="63" t="n"/>
      <c r="C47" s="64" t="n"/>
      <c r="D47" s="64" t="n"/>
      <c r="E47" s="65" t="n"/>
      <c r="F47" s="65" t="n"/>
      <c r="G47" s="65" t="n"/>
      <c r="H47" s="65" t="n"/>
      <c r="I47" s="65" t="n"/>
      <c r="J47" s="66">
        <f>IFERROR(F47-E47-G47-H47-I47,"")</f>
        <v/>
      </c>
      <c r="K47" s="67">
        <f>IFERROR(J47/F47,"")</f>
        <v/>
      </c>
      <c r="L47" s="68" t="n"/>
    </row>
    <row r="48">
      <c r="A48" s="62" t="n"/>
      <c r="B48" s="63" t="n"/>
      <c r="C48" s="64" t="n"/>
      <c r="D48" s="64" t="n"/>
      <c r="E48" s="65" t="n"/>
      <c r="F48" s="65" t="n"/>
      <c r="G48" s="65" t="n"/>
      <c r="H48" s="65" t="n"/>
      <c r="I48" s="65" t="n"/>
      <c r="J48" s="66">
        <f>IFERROR(F48-E48-G48-H48-I48,"")</f>
        <v/>
      </c>
      <c r="K48" s="67">
        <f>IFERROR(J48/F48,"")</f>
        <v/>
      </c>
      <c r="L48" s="68" t="n"/>
    </row>
    <row r="49">
      <c r="A49" s="62" t="n"/>
      <c r="B49" s="63" t="n"/>
      <c r="C49" s="64" t="n"/>
      <c r="D49" s="64" t="n"/>
      <c r="E49" s="65" t="n"/>
      <c r="F49" s="65" t="n"/>
      <c r="G49" s="65" t="n"/>
      <c r="H49" s="65" t="n"/>
      <c r="I49" s="65" t="n"/>
      <c r="J49" s="66">
        <f>IFERROR(F49-E49-G49-H49-I49,"")</f>
        <v/>
      </c>
      <c r="K49" s="67">
        <f>IFERROR(J49/F49,"")</f>
        <v/>
      </c>
      <c r="L49" s="68" t="n"/>
    </row>
    <row r="50">
      <c r="A50" s="62" t="n"/>
      <c r="B50" s="63" t="n"/>
      <c r="C50" s="64" t="n"/>
      <c r="D50" s="64" t="n"/>
      <c r="E50" s="65" t="n"/>
      <c r="F50" s="65" t="n"/>
      <c r="G50" s="65" t="n"/>
      <c r="H50" s="65" t="n"/>
      <c r="I50" s="65" t="n"/>
      <c r="J50" s="66">
        <f>IFERROR(F50-E50-G50-H50-I50,"")</f>
        <v/>
      </c>
      <c r="K50" s="67">
        <f>IFERROR(J50/F50,"")</f>
        <v/>
      </c>
      <c r="L50" s="68" t="n"/>
    </row>
    <row r="51">
      <c r="A51" s="62" t="n"/>
      <c r="B51" s="63" t="n"/>
      <c r="C51" s="64" t="n"/>
      <c r="D51" s="64" t="n"/>
      <c r="E51" s="65" t="n"/>
      <c r="F51" s="65" t="n"/>
      <c r="G51" s="65" t="n"/>
      <c r="H51" s="65" t="n"/>
      <c r="I51" s="65" t="n"/>
      <c r="J51" s="66">
        <f>IFERROR(F51-E51-G51-H51-I51,"")</f>
        <v/>
      </c>
      <c r="K51" s="67">
        <f>IFERROR(J51/F51,"")</f>
        <v/>
      </c>
      <c r="L51" s="68" t="n"/>
    </row>
    <row r="52">
      <c r="A52" s="62" t="n"/>
      <c r="B52" s="63" t="n"/>
      <c r="C52" s="64" t="n"/>
      <c r="D52" s="64" t="n"/>
      <c r="E52" s="65" t="n"/>
      <c r="F52" s="65" t="n"/>
      <c r="G52" s="65" t="n"/>
      <c r="H52" s="65" t="n"/>
      <c r="I52" s="65" t="n"/>
      <c r="J52" s="66">
        <f>IFERROR(F52-E52-G52-H52-I52,"")</f>
        <v/>
      </c>
      <c r="K52" s="67">
        <f>IFERROR(J52/F52,"")</f>
        <v/>
      </c>
      <c r="L52" s="68" t="n"/>
    </row>
    <row r="53">
      <c r="A53" s="62" t="n"/>
      <c r="B53" s="63" t="n"/>
      <c r="C53" s="64" t="n"/>
      <c r="D53" s="64" t="n"/>
      <c r="E53" s="65" t="n"/>
      <c r="F53" s="65" t="n"/>
      <c r="G53" s="65" t="n"/>
      <c r="H53" s="65" t="n"/>
      <c r="I53" s="65" t="n"/>
      <c r="J53" s="66">
        <f>IFERROR(F53-E53-G53-H53-I53,"")</f>
        <v/>
      </c>
      <c r="K53" s="67">
        <f>IFERROR(J53/F53,"")</f>
        <v/>
      </c>
      <c r="L53" s="68" t="n"/>
    </row>
    <row r="54">
      <c r="A54" s="62" t="n"/>
      <c r="B54" s="63" t="n"/>
      <c r="C54" s="64" t="n"/>
      <c r="D54" s="64" t="n"/>
      <c r="E54" s="65" t="n"/>
      <c r="F54" s="65" t="n"/>
      <c r="G54" s="65" t="n"/>
      <c r="H54" s="65" t="n"/>
      <c r="I54" s="65" t="n"/>
      <c r="J54" s="66">
        <f>IFERROR(F54-E54-G54-H54-I54,"")</f>
        <v/>
      </c>
      <c r="K54" s="67">
        <f>IFERROR(J54/F54,"")</f>
        <v/>
      </c>
      <c r="L54" s="68" t="n"/>
    </row>
    <row r="55">
      <c r="A55" s="62" t="n"/>
      <c r="B55" s="63" t="n"/>
      <c r="C55" s="64" t="n"/>
      <c r="D55" s="64" t="n"/>
      <c r="E55" s="65" t="n"/>
      <c r="F55" s="65" t="n"/>
      <c r="G55" s="65" t="n"/>
      <c r="H55" s="65" t="n"/>
      <c r="I55" s="65" t="n"/>
      <c r="J55" s="66">
        <f>IFERROR(F55-E55-G55-H55-I55,"")</f>
        <v/>
      </c>
      <c r="K55" s="67">
        <f>IFERROR(J55/F55,"")</f>
        <v/>
      </c>
      <c r="L55" s="68" t="n"/>
    </row>
    <row r="56">
      <c r="A56" s="62" t="n"/>
      <c r="B56" s="63" t="n"/>
      <c r="C56" s="64" t="n"/>
      <c r="D56" s="64" t="n"/>
      <c r="E56" s="65" t="n"/>
      <c r="F56" s="65" t="n"/>
      <c r="G56" s="65" t="n"/>
      <c r="H56" s="65" t="n"/>
      <c r="I56" s="65" t="n"/>
      <c r="J56" s="66">
        <f>IFERROR(F56-E56-G56-H56-I56,"")</f>
        <v/>
      </c>
      <c r="K56" s="67">
        <f>IFERROR(J56/F56,"")</f>
        <v/>
      </c>
      <c r="L56" s="68" t="n"/>
    </row>
    <row r="57">
      <c r="A57" s="62" t="n"/>
      <c r="B57" s="63" t="n"/>
      <c r="C57" s="64" t="n"/>
      <c r="D57" s="64" t="n"/>
      <c r="E57" s="65" t="n"/>
      <c r="F57" s="65" t="n"/>
      <c r="G57" s="65" t="n"/>
      <c r="H57" s="65" t="n"/>
      <c r="I57" s="65" t="n"/>
      <c r="J57" s="66">
        <f>IFERROR(F57-E57-G57-H57-I57,"")</f>
        <v/>
      </c>
      <c r="K57" s="67">
        <f>IFERROR(J57/F57,"")</f>
        <v/>
      </c>
      <c r="L57" s="68" t="n"/>
    </row>
    <row r="58">
      <c r="A58" s="62" t="n"/>
      <c r="B58" s="63" t="n"/>
      <c r="C58" s="64" t="n"/>
      <c r="D58" s="64" t="n"/>
      <c r="E58" s="65" t="n"/>
      <c r="F58" s="65" t="n"/>
      <c r="G58" s="65" t="n"/>
      <c r="H58" s="65" t="n"/>
      <c r="I58" s="65" t="n"/>
      <c r="J58" s="66">
        <f>IFERROR(F58-E58-G58-H58-I58,"")</f>
        <v/>
      </c>
      <c r="K58" s="67">
        <f>IFERROR(J58/F58,"")</f>
        <v/>
      </c>
      <c r="L58" s="68" t="n"/>
    </row>
    <row r="59">
      <c r="A59" s="62" t="n"/>
      <c r="B59" s="63" t="n"/>
      <c r="C59" s="64" t="n"/>
      <c r="D59" s="64" t="n"/>
      <c r="E59" s="65" t="n"/>
      <c r="F59" s="65" t="n"/>
      <c r="G59" s="65" t="n"/>
      <c r="H59" s="65" t="n"/>
      <c r="I59" s="65" t="n"/>
      <c r="J59" s="66">
        <f>IFERROR(F59-E59-G59-H59-I59,"")</f>
        <v/>
      </c>
      <c r="K59" s="67">
        <f>IFERROR(J59/F59,"")</f>
        <v/>
      </c>
      <c r="L59" s="68" t="n"/>
    </row>
    <row r="60">
      <c r="A60" s="62" t="n"/>
      <c r="B60" s="63" t="n"/>
      <c r="C60" s="64" t="n"/>
      <c r="D60" s="64" t="n"/>
      <c r="E60" s="65" t="n"/>
      <c r="F60" s="65" t="n"/>
      <c r="G60" s="65" t="n"/>
      <c r="H60" s="65" t="n"/>
      <c r="I60" s="65" t="n"/>
      <c r="J60" s="66">
        <f>IFERROR(F60-E60-G60-H60-I60,"")</f>
        <v/>
      </c>
      <c r="K60" s="67">
        <f>IFERROR(J60/F60,"")</f>
        <v/>
      </c>
      <c r="L60" s="68" t="n"/>
    </row>
    <row r="61">
      <c r="A61" s="62" t="n"/>
      <c r="B61" s="63" t="n"/>
      <c r="C61" s="64" t="n"/>
      <c r="D61" s="64" t="n"/>
      <c r="E61" s="65" t="n"/>
      <c r="F61" s="65" t="n"/>
      <c r="G61" s="65" t="n"/>
      <c r="H61" s="65" t="n"/>
      <c r="I61" s="65" t="n"/>
      <c r="J61" s="66">
        <f>IFERROR(F61-E61-G61-H61-I61,"")</f>
        <v/>
      </c>
      <c r="K61" s="67">
        <f>IFERROR(J61/F61,"")</f>
        <v/>
      </c>
      <c r="L61" s="68" t="n"/>
    </row>
    <row r="62">
      <c r="A62" s="62" t="n"/>
      <c r="B62" s="63" t="n"/>
      <c r="C62" s="64" t="n"/>
      <c r="D62" s="64" t="n"/>
      <c r="E62" s="65" t="n"/>
      <c r="F62" s="65" t="n"/>
      <c r="G62" s="65" t="n"/>
      <c r="H62" s="65" t="n"/>
      <c r="I62" s="65" t="n"/>
      <c r="J62" s="66">
        <f>IFERROR(F62-E62-G62-H62-I62,"")</f>
        <v/>
      </c>
      <c r="K62" s="67">
        <f>IFERROR(J62/F62,"")</f>
        <v/>
      </c>
      <c r="L62" s="68" t="n"/>
    </row>
    <row r="63">
      <c r="A63" s="62" t="n"/>
      <c r="B63" s="63" t="n"/>
      <c r="C63" s="64" t="n"/>
      <c r="D63" s="64" t="n"/>
      <c r="E63" s="65" t="n"/>
      <c r="F63" s="65" t="n"/>
      <c r="G63" s="65" t="n"/>
      <c r="H63" s="65" t="n"/>
      <c r="I63" s="65" t="n"/>
      <c r="J63" s="66">
        <f>IFERROR(F63-E63-G63-H63-I63,"")</f>
        <v/>
      </c>
      <c r="K63" s="67">
        <f>IFERROR(J63/F63,"")</f>
        <v/>
      </c>
      <c r="L63" s="68" t="n"/>
    </row>
    <row r="64">
      <c r="A64" s="62" t="n"/>
      <c r="B64" s="63" t="n"/>
      <c r="C64" s="64" t="n"/>
      <c r="D64" s="64" t="n"/>
      <c r="E64" s="65" t="n"/>
      <c r="F64" s="65" t="n"/>
      <c r="G64" s="65" t="n"/>
      <c r="H64" s="65" t="n"/>
      <c r="I64" s="65" t="n"/>
      <c r="J64" s="66">
        <f>IFERROR(F64-E64-G64-H64-I64,"")</f>
        <v/>
      </c>
      <c r="K64" s="67">
        <f>IFERROR(J64/F64,"")</f>
        <v/>
      </c>
      <c r="L64" s="68" t="n"/>
    </row>
    <row r="65">
      <c r="A65" s="62" t="n"/>
      <c r="B65" s="63" t="n"/>
      <c r="C65" s="64" t="n"/>
      <c r="D65" s="64" t="n"/>
      <c r="E65" s="65" t="n"/>
      <c r="F65" s="65" t="n"/>
      <c r="G65" s="65" t="n"/>
      <c r="H65" s="65" t="n"/>
      <c r="I65" s="65" t="n"/>
      <c r="J65" s="66">
        <f>IFERROR(F65-E65-G65-H65-I65,"")</f>
        <v/>
      </c>
      <c r="K65" s="67">
        <f>IFERROR(J65/F65,"")</f>
        <v/>
      </c>
      <c r="L65" s="68" t="n"/>
    </row>
    <row r="66">
      <c r="A66" s="62" t="n"/>
      <c r="B66" s="63" t="n"/>
      <c r="C66" s="64" t="n"/>
      <c r="D66" s="64" t="n"/>
      <c r="E66" s="65" t="n"/>
      <c r="F66" s="65" t="n"/>
      <c r="G66" s="65" t="n"/>
      <c r="H66" s="65" t="n"/>
      <c r="I66" s="65" t="n"/>
      <c r="J66" s="66">
        <f>IFERROR(F66-E66-G66-H66-I66,"")</f>
        <v/>
      </c>
      <c r="K66" s="67">
        <f>IFERROR(J66/F66,"")</f>
        <v/>
      </c>
      <c r="L66" s="68" t="n"/>
    </row>
    <row r="67">
      <c r="A67" s="62" t="n"/>
      <c r="B67" s="63" t="n"/>
      <c r="C67" s="64" t="n"/>
      <c r="D67" s="64" t="n"/>
      <c r="E67" s="65" t="n"/>
      <c r="F67" s="65" t="n"/>
      <c r="G67" s="65" t="n"/>
      <c r="H67" s="65" t="n"/>
      <c r="I67" s="65" t="n"/>
      <c r="J67" s="66">
        <f>IFERROR(F67-E67-G67-H67-I67,"")</f>
        <v/>
      </c>
      <c r="K67" s="67">
        <f>IFERROR(J67/F67,"")</f>
        <v/>
      </c>
      <c r="L67" s="68" t="n"/>
    </row>
    <row r="68">
      <c r="A68" s="62" t="n"/>
      <c r="B68" s="63" t="n"/>
      <c r="C68" s="64" t="n"/>
      <c r="D68" s="64" t="n"/>
      <c r="E68" s="65" t="n"/>
      <c r="F68" s="65" t="n"/>
      <c r="G68" s="65" t="n"/>
      <c r="H68" s="65" t="n"/>
      <c r="I68" s="65" t="n"/>
      <c r="J68" s="66">
        <f>IFERROR(F68-E68-G68-H68-I68,"")</f>
        <v/>
      </c>
      <c r="K68" s="67">
        <f>IFERROR(J68/F68,"")</f>
        <v/>
      </c>
      <c r="L68" s="68" t="n"/>
    </row>
    <row r="69">
      <c r="A69" s="62" t="n"/>
      <c r="B69" s="63" t="n"/>
      <c r="C69" s="64" t="n"/>
      <c r="D69" s="64" t="n"/>
      <c r="E69" s="65" t="n"/>
      <c r="F69" s="65" t="n"/>
      <c r="G69" s="65" t="n"/>
      <c r="H69" s="65" t="n"/>
      <c r="I69" s="65" t="n"/>
      <c r="J69" s="66">
        <f>IFERROR(F69-E69-G69-H69-I69,"")</f>
        <v/>
      </c>
      <c r="K69" s="67">
        <f>IFERROR(J69/F69,"")</f>
        <v/>
      </c>
      <c r="L69" s="68" t="n"/>
    </row>
    <row r="70">
      <c r="A70" s="62" t="n"/>
      <c r="B70" s="63" t="n"/>
      <c r="C70" s="64" t="n"/>
      <c r="D70" s="64" t="n"/>
      <c r="E70" s="65" t="n"/>
      <c r="F70" s="65" t="n"/>
      <c r="G70" s="65" t="n"/>
      <c r="H70" s="65" t="n"/>
      <c r="I70" s="65" t="n"/>
      <c r="J70" s="66">
        <f>IFERROR(F70-E70-G70-H70-I70,"")</f>
        <v/>
      </c>
      <c r="K70" s="67">
        <f>IFERROR(J70/F70,"")</f>
        <v/>
      </c>
      <c r="L70" s="68" t="n"/>
    </row>
    <row r="71">
      <c r="A71" s="62" t="n"/>
      <c r="B71" s="63" t="n"/>
      <c r="C71" s="64" t="n"/>
      <c r="D71" s="64" t="n"/>
      <c r="E71" s="65" t="n"/>
      <c r="F71" s="65" t="n"/>
      <c r="G71" s="65" t="n"/>
      <c r="H71" s="65" t="n"/>
      <c r="I71" s="65" t="n"/>
      <c r="J71" s="66">
        <f>IFERROR(F71-E71-G71-H71-I71,"")</f>
        <v/>
      </c>
      <c r="K71" s="67">
        <f>IFERROR(J71/F71,"")</f>
        <v/>
      </c>
      <c r="L71" s="68" t="n"/>
    </row>
    <row r="72">
      <c r="A72" s="62" t="n"/>
      <c r="B72" s="63" t="n"/>
      <c r="C72" s="64" t="n"/>
      <c r="D72" s="64" t="n"/>
      <c r="E72" s="65" t="n"/>
      <c r="F72" s="65" t="n"/>
      <c r="G72" s="65" t="n"/>
      <c r="H72" s="65" t="n"/>
      <c r="I72" s="65" t="n"/>
      <c r="J72" s="66">
        <f>IFERROR(F72-E72-G72-H72-I72,"")</f>
        <v/>
      </c>
      <c r="K72" s="67">
        <f>IFERROR(J72/F72,"")</f>
        <v/>
      </c>
      <c r="L72" s="68" t="n"/>
    </row>
    <row r="73">
      <c r="A73" s="62" t="n"/>
      <c r="B73" s="63" t="n"/>
      <c r="C73" s="64" t="n"/>
      <c r="D73" s="64" t="n"/>
      <c r="E73" s="65" t="n"/>
      <c r="F73" s="65" t="n"/>
      <c r="G73" s="65" t="n"/>
      <c r="H73" s="65" t="n"/>
      <c r="I73" s="65" t="n"/>
      <c r="J73" s="66">
        <f>IFERROR(F73-E73-G73-H73-I73,"")</f>
        <v/>
      </c>
      <c r="K73" s="67">
        <f>IFERROR(J73/F73,"")</f>
        <v/>
      </c>
      <c r="L73" s="68" t="n"/>
    </row>
    <row r="74">
      <c r="A74" s="62" t="n"/>
      <c r="B74" s="63" t="n"/>
      <c r="C74" s="64" t="n"/>
      <c r="D74" s="64" t="n"/>
      <c r="E74" s="65" t="n"/>
      <c r="F74" s="65" t="n"/>
      <c r="G74" s="65" t="n"/>
      <c r="H74" s="65" t="n"/>
      <c r="I74" s="65" t="n"/>
      <c r="J74" s="66">
        <f>IFERROR(F74-E74-G74-H74-I74,"")</f>
        <v/>
      </c>
      <c r="K74" s="67">
        <f>IFERROR(J74/F74,"")</f>
        <v/>
      </c>
      <c r="L74" s="68" t="n"/>
    </row>
    <row r="75">
      <c r="A75" s="62" t="n"/>
      <c r="B75" s="63" t="n"/>
      <c r="C75" s="64" t="n"/>
      <c r="D75" s="64" t="n"/>
      <c r="E75" s="65" t="n"/>
      <c r="F75" s="65" t="n"/>
      <c r="G75" s="65" t="n"/>
      <c r="H75" s="65" t="n"/>
      <c r="I75" s="65" t="n"/>
      <c r="J75" s="66">
        <f>IFERROR(F75-E75-G75-H75-I75,"")</f>
        <v/>
      </c>
      <c r="K75" s="67">
        <f>IFERROR(J75/F75,"")</f>
        <v/>
      </c>
      <c r="L75" s="68" t="n"/>
    </row>
    <row r="76">
      <c r="A76" s="62" t="n"/>
      <c r="B76" s="63" t="n"/>
      <c r="C76" s="64" t="n"/>
      <c r="D76" s="64" t="n"/>
      <c r="E76" s="65" t="n"/>
      <c r="F76" s="65" t="n"/>
      <c r="G76" s="65" t="n"/>
      <c r="H76" s="65" t="n"/>
      <c r="I76" s="65" t="n"/>
      <c r="J76" s="66">
        <f>IFERROR(F76-E76-G76-H76-I76,"")</f>
        <v/>
      </c>
      <c r="K76" s="67">
        <f>IFERROR(J76/F76,"")</f>
        <v/>
      </c>
      <c r="L76" s="68" t="n"/>
    </row>
    <row r="77">
      <c r="A77" s="62" t="n"/>
      <c r="B77" s="63" t="n"/>
      <c r="C77" s="64" t="n"/>
      <c r="D77" s="64" t="n"/>
      <c r="E77" s="65" t="n"/>
      <c r="F77" s="65" t="n"/>
      <c r="G77" s="65" t="n"/>
      <c r="H77" s="65" t="n"/>
      <c r="I77" s="65" t="n"/>
      <c r="J77" s="66">
        <f>IFERROR(F77-E77-G77-H77-I77,"")</f>
        <v/>
      </c>
      <c r="K77" s="67">
        <f>IFERROR(J77/F77,"")</f>
        <v/>
      </c>
      <c r="L77" s="68" t="n"/>
    </row>
    <row r="78">
      <c r="A78" s="62" t="n"/>
      <c r="B78" s="63" t="n"/>
      <c r="C78" s="64" t="n"/>
      <c r="D78" s="64" t="n"/>
      <c r="E78" s="65" t="n"/>
      <c r="F78" s="65" t="n"/>
      <c r="G78" s="65" t="n"/>
      <c r="H78" s="65" t="n"/>
      <c r="I78" s="65" t="n"/>
      <c r="J78" s="66">
        <f>IFERROR(F78-E78-G78-H78-I78,"")</f>
        <v/>
      </c>
      <c r="K78" s="67">
        <f>IFERROR(J78/F78,"")</f>
        <v/>
      </c>
      <c r="L78" s="68" t="n"/>
    </row>
    <row r="79">
      <c r="A79" s="62" t="n"/>
      <c r="B79" s="63" t="n"/>
      <c r="C79" s="64" t="n"/>
      <c r="D79" s="64" t="n"/>
      <c r="E79" s="65" t="n"/>
      <c r="F79" s="65" t="n"/>
      <c r="G79" s="65" t="n"/>
      <c r="H79" s="65" t="n"/>
      <c r="I79" s="65" t="n"/>
      <c r="J79" s="66">
        <f>IFERROR(F79-E79-G79-H79-I79,"")</f>
        <v/>
      </c>
      <c r="K79" s="67">
        <f>IFERROR(J79/F79,"")</f>
        <v/>
      </c>
      <c r="L79" s="68" t="n"/>
    </row>
    <row r="80">
      <c r="A80" s="62" t="n"/>
      <c r="B80" s="63" t="n"/>
      <c r="C80" s="64" t="n"/>
      <c r="D80" s="64" t="n"/>
      <c r="E80" s="65" t="n"/>
      <c r="F80" s="65" t="n"/>
      <c r="G80" s="65" t="n"/>
      <c r="H80" s="65" t="n"/>
      <c r="I80" s="65" t="n"/>
      <c r="J80" s="66">
        <f>IFERROR(F80-E80-G80-H80-I80,"")</f>
        <v/>
      </c>
      <c r="K80" s="67">
        <f>IFERROR(J80/F80,"")</f>
        <v/>
      </c>
      <c r="L80" s="68" t="n"/>
    </row>
    <row r="81">
      <c r="A81" s="62" t="n"/>
      <c r="B81" s="63" t="n"/>
      <c r="C81" s="64" t="n"/>
      <c r="D81" s="64" t="n"/>
      <c r="E81" s="65" t="n"/>
      <c r="F81" s="65" t="n"/>
      <c r="G81" s="65" t="n"/>
      <c r="H81" s="65" t="n"/>
      <c r="I81" s="65" t="n"/>
      <c r="J81" s="66">
        <f>IFERROR(F81-E81-G81-H81-I81,"")</f>
        <v/>
      </c>
      <c r="K81" s="67">
        <f>IFERROR(J81/F81,"")</f>
        <v/>
      </c>
      <c r="L81" s="68" t="n"/>
    </row>
    <row r="82">
      <c r="A82" s="62" t="n"/>
      <c r="B82" s="63" t="n"/>
      <c r="C82" s="64" t="n"/>
      <c r="D82" s="64" t="n"/>
      <c r="E82" s="65" t="n"/>
      <c r="F82" s="65" t="n"/>
      <c r="G82" s="65" t="n"/>
      <c r="H82" s="65" t="n"/>
      <c r="I82" s="65" t="n"/>
      <c r="J82" s="66">
        <f>IFERROR(F82-E82-G82-H82-I82,"")</f>
        <v/>
      </c>
      <c r="K82" s="67">
        <f>IFERROR(J82/F82,"")</f>
        <v/>
      </c>
      <c r="L82" s="68" t="n"/>
    </row>
    <row r="83">
      <c r="A83" s="62" t="n"/>
      <c r="B83" s="63" t="n"/>
      <c r="C83" s="64" t="n"/>
      <c r="D83" s="64" t="n"/>
      <c r="E83" s="65" t="n"/>
      <c r="F83" s="65" t="n"/>
      <c r="G83" s="65" t="n"/>
      <c r="H83" s="65" t="n"/>
      <c r="I83" s="65" t="n"/>
      <c r="J83" s="66">
        <f>IFERROR(F83-E83-G83-H83-I83,"")</f>
        <v/>
      </c>
      <c r="K83" s="67">
        <f>IFERROR(J83/F83,"")</f>
        <v/>
      </c>
      <c r="L83" s="68" t="n"/>
    </row>
    <row r="84">
      <c r="A84" s="62" t="n"/>
      <c r="B84" s="63" t="n"/>
      <c r="C84" s="64" t="n"/>
      <c r="D84" s="64" t="n"/>
      <c r="E84" s="65" t="n"/>
      <c r="F84" s="65" t="n"/>
      <c r="G84" s="65" t="n"/>
      <c r="H84" s="65" t="n"/>
      <c r="I84" s="65" t="n"/>
      <c r="J84" s="66">
        <f>IFERROR(F84-E84-G84-H84-I84,"")</f>
        <v/>
      </c>
      <c r="K84" s="67">
        <f>IFERROR(J84/F84,"")</f>
        <v/>
      </c>
      <c r="L84" s="68" t="n"/>
    </row>
    <row r="85">
      <c r="A85" s="62" t="n"/>
      <c r="B85" s="63" t="n"/>
      <c r="C85" s="64" t="n"/>
      <c r="D85" s="64" t="n"/>
      <c r="E85" s="65" t="n"/>
      <c r="F85" s="65" t="n"/>
      <c r="G85" s="65" t="n"/>
      <c r="H85" s="65" t="n"/>
      <c r="I85" s="65" t="n"/>
      <c r="J85" s="66">
        <f>IFERROR(F85-E85-G85-H85-I85,"")</f>
        <v/>
      </c>
      <c r="K85" s="67">
        <f>IFERROR(J85/F85,"")</f>
        <v/>
      </c>
      <c r="L85" s="68" t="n"/>
    </row>
    <row r="86">
      <c r="A86" s="62" t="n"/>
      <c r="B86" s="63" t="n"/>
      <c r="C86" s="64" t="n"/>
      <c r="D86" s="64" t="n"/>
      <c r="E86" s="65" t="n"/>
      <c r="F86" s="65" t="n"/>
      <c r="G86" s="65" t="n"/>
      <c r="H86" s="65" t="n"/>
      <c r="I86" s="65" t="n"/>
      <c r="J86" s="66">
        <f>IFERROR(F86-E86-G86-H86-I86,"")</f>
        <v/>
      </c>
      <c r="K86" s="67">
        <f>IFERROR(J86/F86,"")</f>
        <v/>
      </c>
      <c r="L86" s="68" t="n"/>
    </row>
    <row r="87">
      <c r="A87" s="62" t="n"/>
      <c r="B87" s="63" t="n"/>
      <c r="C87" s="64" t="n"/>
      <c r="D87" s="64" t="n"/>
      <c r="E87" s="65" t="n"/>
      <c r="F87" s="65" t="n"/>
      <c r="G87" s="65" t="n"/>
      <c r="H87" s="65" t="n"/>
      <c r="I87" s="65" t="n"/>
      <c r="J87" s="66">
        <f>IFERROR(F87-E87-G87-H87-I87,"")</f>
        <v/>
      </c>
      <c r="K87" s="67">
        <f>IFERROR(J87/F87,"")</f>
        <v/>
      </c>
      <c r="L87" s="68" t="n"/>
    </row>
    <row r="88">
      <c r="A88" s="62" t="n"/>
      <c r="B88" s="63" t="n"/>
      <c r="C88" s="64" t="n"/>
      <c r="D88" s="64" t="n"/>
      <c r="E88" s="65" t="n"/>
      <c r="F88" s="65" t="n"/>
      <c r="G88" s="65" t="n"/>
      <c r="H88" s="65" t="n"/>
      <c r="I88" s="65" t="n"/>
      <c r="J88" s="66">
        <f>IFERROR(F88-E88-G88-H88-I88,"")</f>
        <v/>
      </c>
      <c r="K88" s="67">
        <f>IFERROR(J88/F88,"")</f>
        <v/>
      </c>
      <c r="L88" s="68" t="n"/>
    </row>
    <row r="89">
      <c r="A89" s="62" t="n"/>
      <c r="B89" s="63" t="n"/>
      <c r="C89" s="64" t="n"/>
      <c r="D89" s="64" t="n"/>
      <c r="E89" s="65" t="n"/>
      <c r="F89" s="65" t="n"/>
      <c r="G89" s="65" t="n"/>
      <c r="H89" s="65" t="n"/>
      <c r="I89" s="65" t="n"/>
      <c r="J89" s="66">
        <f>IFERROR(F89-E89-G89-H89-I89,"")</f>
        <v/>
      </c>
      <c r="K89" s="67">
        <f>IFERROR(J89/F89,"")</f>
        <v/>
      </c>
      <c r="L89" s="68" t="n"/>
    </row>
    <row r="90">
      <c r="A90" s="62" t="n"/>
      <c r="B90" s="63" t="n"/>
      <c r="C90" s="64" t="n"/>
      <c r="D90" s="64" t="n"/>
      <c r="E90" s="65" t="n"/>
      <c r="F90" s="65" t="n"/>
      <c r="G90" s="65" t="n"/>
      <c r="H90" s="65" t="n"/>
      <c r="I90" s="65" t="n"/>
      <c r="J90" s="66">
        <f>IFERROR(F90-E90-G90-H90-I90,"")</f>
        <v/>
      </c>
      <c r="K90" s="67">
        <f>IFERROR(J90/F90,"")</f>
        <v/>
      </c>
      <c r="L90" s="68" t="n"/>
    </row>
    <row r="91">
      <c r="A91" s="62" t="n"/>
      <c r="B91" s="63" t="n"/>
      <c r="C91" s="64" t="n"/>
      <c r="D91" s="64" t="n"/>
      <c r="E91" s="65" t="n"/>
      <c r="F91" s="65" t="n"/>
      <c r="G91" s="65" t="n"/>
      <c r="H91" s="65" t="n"/>
      <c r="I91" s="65" t="n"/>
      <c r="J91" s="66">
        <f>IFERROR(F91-E91-G91-H91-I91,"")</f>
        <v/>
      </c>
      <c r="K91" s="67">
        <f>IFERROR(J91/F91,"")</f>
        <v/>
      </c>
      <c r="L91" s="68" t="n"/>
    </row>
    <row r="92">
      <c r="A92" s="62" t="n"/>
      <c r="B92" s="63" t="n"/>
      <c r="C92" s="64" t="n"/>
      <c r="D92" s="64" t="n"/>
      <c r="E92" s="65" t="n"/>
      <c r="F92" s="65" t="n"/>
      <c r="G92" s="65" t="n"/>
      <c r="H92" s="65" t="n"/>
      <c r="I92" s="65" t="n"/>
      <c r="J92" s="66">
        <f>IFERROR(F92-E92-G92-H92-I92,"")</f>
        <v/>
      </c>
      <c r="K92" s="67">
        <f>IFERROR(J92/F92,"")</f>
        <v/>
      </c>
      <c r="L92" s="68" t="n"/>
    </row>
    <row r="93">
      <c r="A93" s="62" t="n"/>
      <c r="B93" s="63" t="n"/>
      <c r="C93" s="64" t="n"/>
      <c r="D93" s="64" t="n"/>
      <c r="E93" s="65" t="n"/>
      <c r="F93" s="65" t="n"/>
      <c r="G93" s="65" t="n"/>
      <c r="H93" s="65" t="n"/>
      <c r="I93" s="65" t="n"/>
      <c r="J93" s="66">
        <f>IFERROR(F93-E93-G93-H93-I93,"")</f>
        <v/>
      </c>
      <c r="K93" s="67">
        <f>IFERROR(J93/F93,"")</f>
        <v/>
      </c>
      <c r="L93" s="68" t="n"/>
    </row>
    <row r="94">
      <c r="A94" s="62" t="n"/>
      <c r="B94" s="63" t="n"/>
      <c r="C94" s="64" t="n"/>
      <c r="D94" s="64" t="n"/>
      <c r="E94" s="65" t="n"/>
      <c r="F94" s="65" t="n"/>
      <c r="G94" s="65" t="n"/>
      <c r="H94" s="65" t="n"/>
      <c r="I94" s="65" t="n"/>
      <c r="J94" s="66">
        <f>IFERROR(F94-E94-G94-H94-I94,"")</f>
        <v/>
      </c>
      <c r="K94" s="67">
        <f>IFERROR(J94/F94,"")</f>
        <v/>
      </c>
      <c r="L94" s="68" t="n"/>
    </row>
    <row r="95">
      <c r="A95" s="62" t="n"/>
      <c r="B95" s="63" t="n"/>
      <c r="C95" s="64" t="n"/>
      <c r="D95" s="64" t="n"/>
      <c r="E95" s="65" t="n"/>
      <c r="F95" s="65" t="n"/>
      <c r="G95" s="65" t="n"/>
      <c r="H95" s="65" t="n"/>
      <c r="I95" s="65" t="n"/>
      <c r="J95" s="66">
        <f>IFERROR(F95-E95-G95-H95-I95,"")</f>
        <v/>
      </c>
      <c r="K95" s="67">
        <f>IFERROR(J95/F95,"")</f>
        <v/>
      </c>
      <c r="L95" s="68" t="n"/>
    </row>
    <row r="96">
      <c r="A96" s="62" t="n"/>
      <c r="B96" s="63" t="n"/>
      <c r="C96" s="64" t="n"/>
      <c r="D96" s="64" t="n"/>
      <c r="E96" s="65" t="n"/>
      <c r="F96" s="65" t="n"/>
      <c r="G96" s="65" t="n"/>
      <c r="H96" s="65" t="n"/>
      <c r="I96" s="65" t="n"/>
      <c r="J96" s="66">
        <f>IFERROR(F96-E96-G96-H96-I96,"")</f>
        <v/>
      </c>
      <c r="K96" s="67">
        <f>IFERROR(J96/F96,"")</f>
        <v/>
      </c>
      <c r="L96" s="68" t="n"/>
    </row>
    <row r="97">
      <c r="A97" s="62" t="n"/>
      <c r="B97" s="63" t="n"/>
      <c r="C97" s="64" t="n"/>
      <c r="D97" s="64" t="n"/>
      <c r="E97" s="65" t="n"/>
      <c r="F97" s="65" t="n"/>
      <c r="G97" s="65" t="n"/>
      <c r="H97" s="65" t="n"/>
      <c r="I97" s="65" t="n"/>
      <c r="J97" s="66">
        <f>IFERROR(F97-E97-G97-H97-I97,"")</f>
        <v/>
      </c>
      <c r="K97" s="67">
        <f>IFERROR(J97/F97,"")</f>
        <v/>
      </c>
      <c r="L97" s="68" t="n"/>
    </row>
    <row r="98">
      <c r="A98" s="62" t="n"/>
      <c r="B98" s="63" t="n"/>
      <c r="C98" s="64" t="n"/>
      <c r="D98" s="64" t="n"/>
      <c r="E98" s="65" t="n"/>
      <c r="F98" s="65" t="n"/>
      <c r="G98" s="65" t="n"/>
      <c r="H98" s="65" t="n"/>
      <c r="I98" s="65" t="n"/>
      <c r="J98" s="66">
        <f>IFERROR(F98-E98-G98-H98-I98,"")</f>
        <v/>
      </c>
      <c r="K98" s="67">
        <f>IFERROR(J98/F98,"")</f>
        <v/>
      </c>
      <c r="L98" s="68" t="n"/>
    </row>
    <row r="99">
      <c r="A99" s="62" t="n"/>
      <c r="B99" s="63" t="n"/>
      <c r="C99" s="64" t="n"/>
      <c r="D99" s="64" t="n"/>
      <c r="E99" s="65" t="n"/>
      <c r="F99" s="65" t="n"/>
      <c r="G99" s="65" t="n"/>
      <c r="H99" s="65" t="n"/>
      <c r="I99" s="65" t="n"/>
      <c r="J99" s="66">
        <f>IFERROR(F99-E99-G99-H99-I99,"")</f>
        <v/>
      </c>
      <c r="K99" s="67">
        <f>IFERROR(J99/F99,"")</f>
        <v/>
      </c>
      <c r="L99" s="68" t="n"/>
    </row>
    <row r="100">
      <c r="A100" s="62" t="n"/>
      <c r="B100" s="63" t="n"/>
      <c r="C100" s="64" t="n"/>
      <c r="D100" s="64" t="n"/>
      <c r="E100" s="65" t="n"/>
      <c r="F100" s="65" t="n"/>
      <c r="G100" s="65" t="n"/>
      <c r="H100" s="65" t="n"/>
      <c r="I100" s="65" t="n"/>
      <c r="J100" s="66">
        <f>IFERROR(F100-E100-G100-H100-I100,"")</f>
        <v/>
      </c>
      <c r="K100" s="67">
        <f>IFERROR(J100/F100,"")</f>
        <v/>
      </c>
      <c r="L100" s="68" t="n"/>
    </row>
    <row r="101">
      <c r="A101" s="62" t="n"/>
      <c r="B101" s="63" t="n"/>
      <c r="C101" s="64" t="n"/>
      <c r="D101" s="64" t="n"/>
      <c r="E101" s="65" t="n"/>
      <c r="F101" s="65" t="n"/>
      <c r="G101" s="65" t="n"/>
      <c r="H101" s="65" t="n"/>
      <c r="I101" s="65" t="n"/>
      <c r="J101" s="66">
        <f>IFERROR(F101-E101-G101-H101-I101,"")</f>
        <v/>
      </c>
      <c r="K101" s="67">
        <f>IFERROR(J101/F101,"")</f>
        <v/>
      </c>
      <c r="L101" s="68" t="n"/>
    </row>
    <row r="102">
      <c r="A102" s="62" t="n"/>
      <c r="B102" s="63" t="n"/>
      <c r="C102" s="64" t="n"/>
      <c r="D102" s="64" t="n"/>
      <c r="E102" s="65" t="n"/>
      <c r="F102" s="65" t="n"/>
      <c r="G102" s="65" t="n"/>
      <c r="H102" s="65" t="n"/>
      <c r="I102" s="65" t="n"/>
      <c r="J102" s="66">
        <f>IFERROR(F102-E102-G102-H102-I102,"")</f>
        <v/>
      </c>
      <c r="K102" s="67">
        <f>IFERROR(J102/F102,"")</f>
        <v/>
      </c>
      <c r="L102" s="68" t="n"/>
    </row>
    <row r="103">
      <c r="A103" s="62" t="n"/>
      <c r="B103" s="63" t="n"/>
      <c r="C103" s="64" t="n"/>
      <c r="D103" s="64" t="n"/>
      <c r="E103" s="65" t="n"/>
      <c r="F103" s="65" t="n"/>
      <c r="G103" s="65" t="n"/>
      <c r="H103" s="65" t="n"/>
      <c r="I103" s="65" t="n"/>
      <c r="J103" s="66">
        <f>IFERROR(F103-E103-G103-H103-I103,"")</f>
        <v/>
      </c>
      <c r="K103" s="67">
        <f>IFERROR(J103/F103,"")</f>
        <v/>
      </c>
      <c r="L103" s="68" t="n"/>
    </row>
    <row r="104">
      <c r="A104" s="62" t="n"/>
      <c r="B104" s="63" t="n"/>
      <c r="C104" s="64" t="n"/>
      <c r="D104" s="64" t="n"/>
      <c r="E104" s="65" t="n"/>
      <c r="F104" s="65" t="n"/>
      <c r="G104" s="65" t="n"/>
      <c r="H104" s="65" t="n"/>
      <c r="I104" s="65" t="n"/>
      <c r="J104" s="66">
        <f>IFERROR(F104-E104-G104-H104-I104,"")</f>
        <v/>
      </c>
      <c r="K104" s="67">
        <f>IFERROR(J104/F104,"")</f>
        <v/>
      </c>
      <c r="L104" s="68" t="n"/>
    </row>
    <row r="105">
      <c r="A105" s="62" t="n"/>
      <c r="B105" s="63" t="n"/>
      <c r="C105" s="64" t="n"/>
      <c r="D105" s="64" t="n"/>
      <c r="E105" s="65" t="n"/>
      <c r="F105" s="65" t="n"/>
      <c r="G105" s="65" t="n"/>
      <c r="H105" s="65" t="n"/>
      <c r="I105" s="65" t="n"/>
      <c r="J105" s="66">
        <f>IFERROR(F105-E105-G105-H105-I105,"")</f>
        <v/>
      </c>
      <c r="K105" s="67">
        <f>IFERROR(J105/F105,"")</f>
        <v/>
      </c>
      <c r="L105" s="68" t="n"/>
    </row>
    <row r="106">
      <c r="A106" s="62" t="n"/>
      <c r="B106" s="63" t="n"/>
      <c r="C106" s="64" t="n"/>
      <c r="D106" s="64" t="n"/>
      <c r="E106" s="65" t="n"/>
      <c r="F106" s="65" t="n"/>
      <c r="G106" s="65" t="n"/>
      <c r="H106" s="65" t="n"/>
      <c r="I106" s="65" t="n"/>
      <c r="J106" s="66">
        <f>IFERROR(F106-E106-G106-H106-I106,"")</f>
        <v/>
      </c>
      <c r="K106" s="67">
        <f>IFERROR(J106/F106,"")</f>
        <v/>
      </c>
      <c r="L106" s="68" t="n"/>
    </row>
    <row r="107">
      <c r="A107" s="62" t="n"/>
      <c r="B107" s="63" t="n"/>
      <c r="C107" s="64" t="n"/>
      <c r="D107" s="64" t="n"/>
      <c r="E107" s="65" t="n"/>
      <c r="F107" s="65" t="n"/>
      <c r="G107" s="65" t="n"/>
      <c r="H107" s="65" t="n"/>
      <c r="I107" s="65" t="n"/>
      <c r="J107" s="66">
        <f>IFERROR(F107-E107-G107-H107-I107,"")</f>
        <v/>
      </c>
      <c r="K107" s="67">
        <f>IFERROR(J107/F107,"")</f>
        <v/>
      </c>
      <c r="L107" s="68" t="n"/>
    </row>
    <row r="108">
      <c r="A108" s="62" t="n"/>
      <c r="B108" s="63" t="n"/>
      <c r="C108" s="64" t="n"/>
      <c r="D108" s="64" t="n"/>
      <c r="E108" s="65" t="n"/>
      <c r="F108" s="65" t="n"/>
      <c r="G108" s="65" t="n"/>
      <c r="H108" s="65" t="n"/>
      <c r="I108" s="65" t="n"/>
      <c r="J108" s="66">
        <f>IFERROR(F108-E108-G108-H108-I108,"")</f>
        <v/>
      </c>
      <c r="K108" s="67">
        <f>IFERROR(J108/F108,"")</f>
        <v/>
      </c>
      <c r="L108" s="68" t="n"/>
    </row>
    <row r="109">
      <c r="A109" s="62" t="n"/>
      <c r="B109" s="63" t="n"/>
      <c r="C109" s="64" t="n"/>
      <c r="D109" s="64" t="n"/>
      <c r="E109" s="65" t="n"/>
      <c r="F109" s="65" t="n"/>
      <c r="G109" s="65" t="n"/>
      <c r="H109" s="65" t="n"/>
      <c r="I109" s="65" t="n"/>
      <c r="J109" s="66">
        <f>IFERROR(F109-E109-G109-H109-I109,"")</f>
        <v/>
      </c>
      <c r="K109" s="67">
        <f>IFERROR(J109/F109,"")</f>
        <v/>
      </c>
      <c r="L109" s="68" t="n"/>
    </row>
    <row r="110">
      <c r="A110" s="62" t="n"/>
      <c r="B110" s="63" t="n"/>
      <c r="C110" s="64" t="n"/>
      <c r="D110" s="64" t="n"/>
      <c r="E110" s="65" t="n"/>
      <c r="F110" s="65" t="n"/>
      <c r="G110" s="65" t="n"/>
      <c r="H110" s="65" t="n"/>
      <c r="I110" s="65" t="n"/>
      <c r="J110" s="66">
        <f>IFERROR(F110-E110-G110-H110-I110,"")</f>
        <v/>
      </c>
      <c r="K110" s="67">
        <f>IFERROR(J110/F110,"")</f>
        <v/>
      </c>
      <c r="L110" s="68" t="n"/>
    </row>
    <row r="111">
      <c r="A111" s="62" t="n"/>
      <c r="B111" s="63" t="n"/>
      <c r="C111" s="64" t="n"/>
      <c r="D111" s="64" t="n"/>
      <c r="E111" s="65" t="n"/>
      <c r="F111" s="65" t="n"/>
      <c r="G111" s="65" t="n"/>
      <c r="H111" s="65" t="n"/>
      <c r="I111" s="65" t="n"/>
      <c r="J111" s="66">
        <f>IFERROR(F111-E111-G111-H111-I111,"")</f>
        <v/>
      </c>
      <c r="K111" s="67">
        <f>IFERROR(J111/F111,"")</f>
        <v/>
      </c>
      <c r="L111" s="68" t="n"/>
    </row>
    <row r="112">
      <c r="A112" s="62" t="n"/>
      <c r="B112" s="63" t="n"/>
      <c r="C112" s="64" t="n"/>
      <c r="D112" s="64" t="n"/>
      <c r="E112" s="65" t="n"/>
      <c r="F112" s="65" t="n"/>
      <c r="G112" s="65" t="n"/>
      <c r="H112" s="65" t="n"/>
      <c r="I112" s="65" t="n"/>
      <c r="J112" s="66">
        <f>IFERROR(F112-E112-G112-H112-I112,"")</f>
        <v/>
      </c>
      <c r="K112" s="67">
        <f>IFERROR(J112/F112,"")</f>
        <v/>
      </c>
      <c r="L112" s="68" t="n"/>
    </row>
    <row r="113">
      <c r="A113" s="62" t="n"/>
      <c r="B113" s="63" t="n"/>
      <c r="C113" s="64" t="n"/>
      <c r="D113" s="64" t="n"/>
      <c r="E113" s="65" t="n"/>
      <c r="F113" s="65" t="n"/>
      <c r="G113" s="65" t="n"/>
      <c r="H113" s="65" t="n"/>
      <c r="I113" s="65" t="n"/>
      <c r="J113" s="66">
        <f>IFERROR(F113-E113-G113-H113-I113,"")</f>
        <v/>
      </c>
      <c r="K113" s="67">
        <f>IFERROR(J113/F113,"")</f>
        <v/>
      </c>
      <c r="L113" s="68" t="n"/>
    </row>
    <row r="114">
      <c r="A114" s="62" t="n"/>
      <c r="B114" s="63" t="n"/>
      <c r="C114" s="64" t="n"/>
      <c r="D114" s="64" t="n"/>
      <c r="E114" s="65" t="n"/>
      <c r="F114" s="65" t="n"/>
      <c r="G114" s="65" t="n"/>
      <c r="H114" s="65" t="n"/>
      <c r="I114" s="65" t="n"/>
      <c r="J114" s="66">
        <f>IFERROR(F114-E114-G114-H114-I114,"")</f>
        <v/>
      </c>
      <c r="K114" s="67">
        <f>IFERROR(J114/F114,"")</f>
        <v/>
      </c>
      <c r="L114" s="68" t="n"/>
    </row>
    <row r="115">
      <c r="A115" s="62" t="n"/>
      <c r="B115" s="63" t="n"/>
      <c r="C115" s="64" t="n"/>
      <c r="D115" s="64" t="n"/>
      <c r="E115" s="65" t="n"/>
      <c r="F115" s="65" t="n"/>
      <c r="G115" s="65" t="n"/>
      <c r="H115" s="65" t="n"/>
      <c r="I115" s="65" t="n"/>
      <c r="J115" s="66">
        <f>IFERROR(F115-E115-G115-H115-I115,"")</f>
        <v/>
      </c>
      <c r="K115" s="67">
        <f>IFERROR(J115/F115,"")</f>
        <v/>
      </c>
      <c r="L115" s="68" t="n"/>
    </row>
    <row r="116">
      <c r="A116" s="62" t="n"/>
      <c r="B116" s="63" t="n"/>
      <c r="C116" s="64" t="n"/>
      <c r="D116" s="64" t="n"/>
      <c r="E116" s="65" t="n"/>
      <c r="F116" s="65" t="n"/>
      <c r="G116" s="65" t="n"/>
      <c r="H116" s="65" t="n"/>
      <c r="I116" s="65" t="n"/>
      <c r="J116" s="66">
        <f>IFERROR(F116-E116-G116-H116-I116,"")</f>
        <v/>
      </c>
      <c r="K116" s="67">
        <f>IFERROR(J116/F116,"")</f>
        <v/>
      </c>
      <c r="L116" s="68" t="n"/>
    </row>
    <row r="117">
      <c r="A117" s="62" t="n"/>
      <c r="B117" s="63" t="n"/>
      <c r="C117" s="64" t="n"/>
      <c r="D117" s="64" t="n"/>
      <c r="E117" s="65" t="n"/>
      <c r="F117" s="65" t="n"/>
      <c r="G117" s="65" t="n"/>
      <c r="H117" s="65" t="n"/>
      <c r="I117" s="65" t="n"/>
      <c r="J117" s="66">
        <f>IFERROR(F117-E117-G117-H117-I117,"")</f>
        <v/>
      </c>
      <c r="K117" s="67">
        <f>IFERROR(J117/F117,"")</f>
        <v/>
      </c>
      <c r="L117" s="68" t="n"/>
    </row>
    <row r="118">
      <c r="A118" s="62" t="n"/>
      <c r="B118" s="63" t="n"/>
      <c r="C118" s="64" t="n"/>
      <c r="D118" s="64" t="n"/>
      <c r="E118" s="65" t="n"/>
      <c r="F118" s="65" t="n"/>
      <c r="G118" s="65" t="n"/>
      <c r="H118" s="65" t="n"/>
      <c r="I118" s="65" t="n"/>
      <c r="J118" s="66">
        <f>IFERROR(F118-E118-G118-H118-I118,"")</f>
        <v/>
      </c>
      <c r="K118" s="67">
        <f>IFERROR(J118/F118,"")</f>
        <v/>
      </c>
      <c r="L118" s="68" t="n"/>
    </row>
    <row r="119">
      <c r="A119" s="62" t="n"/>
      <c r="B119" s="63" t="n"/>
      <c r="C119" s="64" t="n"/>
      <c r="D119" s="64" t="n"/>
      <c r="E119" s="65" t="n"/>
      <c r="F119" s="65" t="n"/>
      <c r="G119" s="65" t="n"/>
      <c r="H119" s="65" t="n"/>
      <c r="I119" s="65" t="n"/>
      <c r="J119" s="66">
        <f>IFERROR(F119-E119-G119-H119-I119,"")</f>
        <v/>
      </c>
      <c r="K119" s="67">
        <f>IFERROR(J119/F119,"")</f>
        <v/>
      </c>
      <c r="L119" s="68" t="n"/>
    </row>
    <row r="120">
      <c r="A120" s="62" t="n"/>
      <c r="B120" s="63" t="n"/>
      <c r="C120" s="64" t="n"/>
      <c r="D120" s="64" t="n"/>
      <c r="E120" s="65" t="n"/>
      <c r="F120" s="65" t="n"/>
      <c r="G120" s="65" t="n"/>
      <c r="H120" s="65" t="n"/>
      <c r="I120" s="65" t="n"/>
      <c r="J120" s="66">
        <f>IFERROR(F120-E120-G120-H120-I120,"")</f>
        <v/>
      </c>
      <c r="K120" s="67">
        <f>IFERROR(J120/F120,"")</f>
        <v/>
      </c>
      <c r="L120" s="68" t="n"/>
    </row>
    <row r="121">
      <c r="A121" s="62" t="n"/>
      <c r="B121" s="63" t="n"/>
      <c r="C121" s="64" t="n"/>
      <c r="D121" s="64" t="n"/>
      <c r="E121" s="65" t="n"/>
      <c r="F121" s="65" t="n"/>
      <c r="G121" s="65" t="n"/>
      <c r="H121" s="65" t="n"/>
      <c r="I121" s="65" t="n"/>
      <c r="J121" s="66">
        <f>IFERROR(F121-E121-G121-H121-I121,"")</f>
        <v/>
      </c>
      <c r="K121" s="67">
        <f>IFERROR(J121/F121,"")</f>
        <v/>
      </c>
      <c r="L121" s="68" t="n"/>
    </row>
    <row r="122">
      <c r="A122" s="62" t="n"/>
      <c r="B122" s="63" t="n"/>
      <c r="C122" s="64" t="n"/>
      <c r="D122" s="64" t="n"/>
      <c r="E122" s="65" t="n"/>
      <c r="F122" s="65" t="n"/>
      <c r="G122" s="65" t="n"/>
      <c r="H122" s="65" t="n"/>
      <c r="I122" s="65" t="n"/>
      <c r="J122" s="66">
        <f>IFERROR(F122-E122-G122-H122-I122,"")</f>
        <v/>
      </c>
      <c r="K122" s="67">
        <f>IFERROR(J122/F122,"")</f>
        <v/>
      </c>
      <c r="L122" s="68" t="n"/>
    </row>
    <row r="123">
      <c r="A123" s="62" t="n"/>
      <c r="B123" s="63" t="n"/>
      <c r="C123" s="64" t="n"/>
      <c r="D123" s="64" t="n"/>
      <c r="E123" s="65" t="n"/>
      <c r="F123" s="65" t="n"/>
      <c r="G123" s="65" t="n"/>
      <c r="H123" s="65" t="n"/>
      <c r="I123" s="65" t="n"/>
      <c r="J123" s="66">
        <f>IFERROR(F123-E123-G123-H123-I123,"")</f>
        <v/>
      </c>
      <c r="K123" s="67">
        <f>IFERROR(J123/F123,"")</f>
        <v/>
      </c>
      <c r="L123" s="68" t="n"/>
    </row>
    <row r="124">
      <c r="A124" s="62" t="n"/>
      <c r="B124" s="63" t="n"/>
      <c r="C124" s="64" t="n"/>
      <c r="D124" s="64" t="n"/>
      <c r="E124" s="65" t="n"/>
      <c r="F124" s="65" t="n"/>
      <c r="G124" s="65" t="n"/>
      <c r="H124" s="65" t="n"/>
      <c r="I124" s="65" t="n"/>
      <c r="J124" s="66">
        <f>IFERROR(F124-E124-G124-H124-I124,"")</f>
        <v/>
      </c>
      <c r="K124" s="67">
        <f>IFERROR(J124/F124,"")</f>
        <v/>
      </c>
      <c r="L124" s="68" t="n"/>
    </row>
    <row r="125">
      <c r="A125" s="62" t="n"/>
      <c r="B125" s="63" t="n"/>
      <c r="C125" s="64" t="n"/>
      <c r="D125" s="64" t="n"/>
      <c r="E125" s="65" t="n"/>
      <c r="F125" s="65" t="n"/>
      <c r="G125" s="65" t="n"/>
      <c r="H125" s="65" t="n"/>
      <c r="I125" s="65" t="n"/>
      <c r="J125" s="66">
        <f>IFERROR(F125-E125-G125-H125-I125,"")</f>
        <v/>
      </c>
      <c r="K125" s="67">
        <f>IFERROR(J125/F125,"")</f>
        <v/>
      </c>
      <c r="L125" s="68" t="n"/>
    </row>
    <row r="126">
      <c r="A126" s="62" t="n"/>
      <c r="B126" s="63" t="n"/>
      <c r="C126" s="64" t="n"/>
      <c r="D126" s="64" t="n"/>
      <c r="E126" s="65" t="n"/>
      <c r="F126" s="65" t="n"/>
      <c r="G126" s="65" t="n"/>
      <c r="H126" s="65" t="n"/>
      <c r="I126" s="65" t="n"/>
      <c r="J126" s="66">
        <f>IFERROR(F126-E126-G126-H126-I126,"")</f>
        <v/>
      </c>
      <c r="K126" s="67">
        <f>IFERROR(J126/F126,"")</f>
        <v/>
      </c>
      <c r="L126" s="68" t="n"/>
    </row>
    <row r="127">
      <c r="A127" s="62" t="n"/>
      <c r="B127" s="63" t="n"/>
      <c r="C127" s="64" t="n"/>
      <c r="D127" s="64" t="n"/>
      <c r="E127" s="65" t="n"/>
      <c r="F127" s="65" t="n"/>
      <c r="G127" s="65" t="n"/>
      <c r="H127" s="65" t="n"/>
      <c r="I127" s="65" t="n"/>
      <c r="J127" s="66">
        <f>IFERROR(F127-E127-G127-H127-I127,"")</f>
        <v/>
      </c>
      <c r="K127" s="67">
        <f>IFERROR(J127/F127,"")</f>
        <v/>
      </c>
      <c r="L127" s="68" t="n"/>
    </row>
    <row r="128">
      <c r="A128" s="62" t="n"/>
      <c r="B128" s="63" t="n"/>
      <c r="C128" s="64" t="n"/>
      <c r="D128" s="64" t="n"/>
      <c r="E128" s="65" t="n"/>
      <c r="F128" s="65" t="n"/>
      <c r="G128" s="65" t="n"/>
      <c r="H128" s="65" t="n"/>
      <c r="I128" s="65" t="n"/>
      <c r="J128" s="66">
        <f>IFERROR(F128-E128-G128-H128-I128,"")</f>
        <v/>
      </c>
      <c r="K128" s="67">
        <f>IFERROR(J128/F128,"")</f>
        <v/>
      </c>
      <c r="L128" s="68" t="n"/>
    </row>
    <row r="129">
      <c r="A129" s="62" t="n"/>
      <c r="B129" s="63" t="n"/>
      <c r="C129" s="64" t="n"/>
      <c r="D129" s="64" t="n"/>
      <c r="E129" s="65" t="n"/>
      <c r="F129" s="65" t="n"/>
      <c r="G129" s="65" t="n"/>
      <c r="H129" s="65" t="n"/>
      <c r="I129" s="65" t="n"/>
      <c r="J129" s="66">
        <f>IFERROR(F129-E129-G129-H129-I129,"")</f>
        <v/>
      </c>
      <c r="K129" s="67">
        <f>IFERROR(J129/F129,"")</f>
        <v/>
      </c>
      <c r="L129" s="68" t="n"/>
    </row>
    <row r="130">
      <c r="A130" s="62" t="n"/>
      <c r="B130" s="63" t="n"/>
      <c r="C130" s="64" t="n"/>
      <c r="D130" s="64" t="n"/>
      <c r="E130" s="65" t="n"/>
      <c r="F130" s="65" t="n"/>
      <c r="G130" s="65" t="n"/>
      <c r="H130" s="65" t="n"/>
      <c r="I130" s="65" t="n"/>
      <c r="J130" s="66">
        <f>IFERROR(F130-E130-G130-H130-I130,"")</f>
        <v/>
      </c>
      <c r="K130" s="67">
        <f>IFERROR(J130/F130,"")</f>
        <v/>
      </c>
      <c r="L130" s="68" t="n"/>
    </row>
    <row r="131">
      <c r="A131" s="62" t="n"/>
      <c r="B131" s="63" t="n"/>
      <c r="C131" s="64" t="n"/>
      <c r="D131" s="64" t="n"/>
      <c r="E131" s="65" t="n"/>
      <c r="F131" s="65" t="n"/>
      <c r="G131" s="65" t="n"/>
      <c r="H131" s="65" t="n"/>
      <c r="I131" s="65" t="n"/>
      <c r="J131" s="66">
        <f>IFERROR(F131-E131-G131-H131-I131,"")</f>
        <v/>
      </c>
      <c r="K131" s="67">
        <f>IFERROR(J131/F131,"")</f>
        <v/>
      </c>
      <c r="L131" s="68" t="n"/>
    </row>
    <row r="132">
      <c r="A132" s="62" t="n"/>
      <c r="B132" s="63" t="n"/>
      <c r="C132" s="64" t="n"/>
      <c r="D132" s="64" t="n"/>
      <c r="E132" s="65" t="n"/>
      <c r="F132" s="65" t="n"/>
      <c r="G132" s="65" t="n"/>
      <c r="H132" s="65" t="n"/>
      <c r="I132" s="65" t="n"/>
      <c r="J132" s="66">
        <f>IFERROR(F132-E132-G132-H132-I132,"")</f>
        <v/>
      </c>
      <c r="K132" s="67">
        <f>IFERROR(J132/F132,"")</f>
        <v/>
      </c>
      <c r="L132" s="68" t="n"/>
    </row>
    <row r="133">
      <c r="A133" s="62" t="n"/>
      <c r="B133" s="63" t="n"/>
      <c r="C133" s="64" t="n"/>
      <c r="D133" s="64" t="n"/>
      <c r="E133" s="65" t="n"/>
      <c r="F133" s="65" t="n"/>
      <c r="G133" s="65" t="n"/>
      <c r="H133" s="65" t="n"/>
      <c r="I133" s="65" t="n"/>
      <c r="J133" s="66">
        <f>IFERROR(F133-E133-G133-H133-I133,"")</f>
        <v/>
      </c>
      <c r="K133" s="67">
        <f>IFERROR(J133/F133,"")</f>
        <v/>
      </c>
      <c r="L133" s="68" t="n"/>
    </row>
    <row r="134">
      <c r="A134" s="62" t="n"/>
      <c r="B134" s="63" t="n"/>
      <c r="C134" s="64" t="n"/>
      <c r="D134" s="64" t="n"/>
      <c r="E134" s="65" t="n"/>
      <c r="F134" s="65" t="n"/>
      <c r="G134" s="65" t="n"/>
      <c r="H134" s="65" t="n"/>
      <c r="I134" s="65" t="n"/>
      <c r="J134" s="66">
        <f>IFERROR(F134-E134-G134-H134-I134,"")</f>
        <v/>
      </c>
      <c r="K134" s="67">
        <f>IFERROR(J134/F134,"")</f>
        <v/>
      </c>
      <c r="L134" s="68" t="n"/>
    </row>
    <row r="135">
      <c r="A135" s="62" t="n"/>
      <c r="B135" s="63" t="n"/>
      <c r="C135" s="64" t="n"/>
      <c r="D135" s="64" t="n"/>
      <c r="E135" s="65" t="n"/>
      <c r="F135" s="65" t="n"/>
      <c r="G135" s="65" t="n"/>
      <c r="H135" s="65" t="n"/>
      <c r="I135" s="65" t="n"/>
      <c r="J135" s="66">
        <f>IFERROR(F135-E135-G135-H135-I135,"")</f>
        <v/>
      </c>
      <c r="K135" s="67">
        <f>IFERROR(J135/F135,"")</f>
        <v/>
      </c>
      <c r="L135" s="68" t="n"/>
    </row>
    <row r="136">
      <c r="A136" s="62" t="n"/>
      <c r="B136" s="63" t="n"/>
      <c r="C136" s="64" t="n"/>
      <c r="D136" s="64" t="n"/>
      <c r="E136" s="65" t="n"/>
      <c r="F136" s="65" t="n"/>
      <c r="G136" s="65" t="n"/>
      <c r="H136" s="65" t="n"/>
      <c r="I136" s="65" t="n"/>
      <c r="J136" s="66">
        <f>IFERROR(F136-E136-G136-H136-I136,"")</f>
        <v/>
      </c>
      <c r="K136" s="67">
        <f>IFERROR(J136/F136,"")</f>
        <v/>
      </c>
      <c r="L136" s="68" t="n"/>
    </row>
    <row r="137">
      <c r="A137" s="62" t="n"/>
      <c r="B137" s="63" t="n"/>
      <c r="C137" s="64" t="n"/>
      <c r="D137" s="64" t="n"/>
      <c r="E137" s="65" t="n"/>
      <c r="F137" s="65" t="n"/>
      <c r="G137" s="65" t="n"/>
      <c r="H137" s="65" t="n"/>
      <c r="I137" s="65" t="n"/>
      <c r="J137" s="66">
        <f>IFERROR(F137-E137-G137-H137-I137,"")</f>
        <v/>
      </c>
      <c r="K137" s="67">
        <f>IFERROR(J137/F137,"")</f>
        <v/>
      </c>
      <c r="L137" s="68" t="n"/>
    </row>
    <row r="138">
      <c r="A138" s="62" t="n"/>
      <c r="B138" s="63" t="n"/>
      <c r="C138" s="64" t="n"/>
      <c r="D138" s="64" t="n"/>
      <c r="E138" s="65" t="n"/>
      <c r="F138" s="65" t="n"/>
      <c r="G138" s="65" t="n"/>
      <c r="H138" s="65" t="n"/>
      <c r="I138" s="65" t="n"/>
      <c r="J138" s="66">
        <f>IFERROR(F138-E138-G138-H138-I138,"")</f>
        <v/>
      </c>
      <c r="K138" s="67">
        <f>IFERROR(J138/F138,"")</f>
        <v/>
      </c>
      <c r="L138" s="68" t="n"/>
    </row>
    <row r="139">
      <c r="A139" s="62" t="n"/>
      <c r="B139" s="63" t="n"/>
      <c r="C139" s="64" t="n"/>
      <c r="D139" s="64" t="n"/>
      <c r="E139" s="65" t="n"/>
      <c r="F139" s="65" t="n"/>
      <c r="G139" s="65" t="n"/>
      <c r="H139" s="65" t="n"/>
      <c r="I139" s="65" t="n"/>
      <c r="J139" s="66">
        <f>IFERROR(F139-E139-G139-H139-I139,"")</f>
        <v/>
      </c>
      <c r="K139" s="67">
        <f>IFERROR(J139/F139,"")</f>
        <v/>
      </c>
      <c r="L139" s="68" t="n"/>
    </row>
    <row r="140">
      <c r="A140" s="62" t="n"/>
      <c r="B140" s="63" t="n"/>
      <c r="C140" s="64" t="n"/>
      <c r="D140" s="64" t="n"/>
      <c r="E140" s="65" t="n"/>
      <c r="F140" s="65" t="n"/>
      <c r="G140" s="65" t="n"/>
      <c r="H140" s="65" t="n"/>
      <c r="I140" s="65" t="n"/>
      <c r="J140" s="66">
        <f>IFERROR(F140-E140-G140-H140-I140,"")</f>
        <v/>
      </c>
      <c r="K140" s="67">
        <f>IFERROR(J140/F140,"")</f>
        <v/>
      </c>
      <c r="L140" s="68" t="n"/>
    </row>
    <row r="141">
      <c r="A141" s="62" t="n"/>
      <c r="B141" s="63" t="n"/>
      <c r="C141" s="64" t="n"/>
      <c r="D141" s="64" t="n"/>
      <c r="E141" s="65" t="n"/>
      <c r="F141" s="65" t="n"/>
      <c r="G141" s="65" t="n"/>
      <c r="H141" s="65" t="n"/>
      <c r="I141" s="65" t="n"/>
      <c r="J141" s="66">
        <f>IFERROR(F141-E141-G141-H141-I141,"")</f>
        <v/>
      </c>
      <c r="K141" s="67">
        <f>IFERROR(J141/F141,"")</f>
        <v/>
      </c>
      <c r="L141" s="68" t="n"/>
    </row>
    <row r="142">
      <c r="A142" s="62" t="n"/>
      <c r="B142" s="63" t="n"/>
      <c r="C142" s="64" t="n"/>
      <c r="D142" s="64" t="n"/>
      <c r="E142" s="65" t="n"/>
      <c r="F142" s="65" t="n"/>
      <c r="G142" s="65" t="n"/>
      <c r="H142" s="65" t="n"/>
      <c r="I142" s="65" t="n"/>
      <c r="J142" s="66">
        <f>IFERROR(F142-E142-G142-H142-I142,"")</f>
        <v/>
      </c>
      <c r="K142" s="67">
        <f>IFERROR(J142/F142,"")</f>
        <v/>
      </c>
      <c r="L142" s="68" t="n"/>
    </row>
    <row r="143">
      <c r="A143" s="62" t="n"/>
      <c r="B143" s="63" t="n"/>
      <c r="C143" s="64" t="n"/>
      <c r="D143" s="64" t="n"/>
      <c r="E143" s="65" t="n"/>
      <c r="F143" s="65" t="n"/>
      <c r="G143" s="65" t="n"/>
      <c r="H143" s="65" t="n"/>
      <c r="I143" s="65" t="n"/>
      <c r="J143" s="66">
        <f>IFERROR(F143-E143-G143-H143-I143,"")</f>
        <v/>
      </c>
      <c r="K143" s="67">
        <f>IFERROR(J143/F143,"")</f>
        <v/>
      </c>
      <c r="L143" s="68" t="n"/>
    </row>
    <row r="144">
      <c r="A144" s="62" t="n"/>
      <c r="B144" s="63" t="n"/>
      <c r="C144" s="64" t="n"/>
      <c r="D144" s="64" t="n"/>
      <c r="E144" s="65" t="n"/>
      <c r="F144" s="65" t="n"/>
      <c r="G144" s="65" t="n"/>
      <c r="H144" s="65" t="n"/>
      <c r="I144" s="65" t="n"/>
      <c r="J144" s="66">
        <f>IFERROR(F144-E144-G144-H144-I144,"")</f>
        <v/>
      </c>
      <c r="K144" s="67">
        <f>IFERROR(J144/F144,"")</f>
        <v/>
      </c>
      <c r="L144" s="68" t="n"/>
    </row>
    <row r="145">
      <c r="A145" s="62" t="n"/>
      <c r="B145" s="63" t="n"/>
      <c r="C145" s="64" t="n"/>
      <c r="D145" s="64" t="n"/>
      <c r="E145" s="65" t="n"/>
      <c r="F145" s="65" t="n"/>
      <c r="G145" s="65" t="n"/>
      <c r="H145" s="65" t="n"/>
      <c r="I145" s="65" t="n"/>
      <c r="J145" s="66">
        <f>IFERROR(F145-E145-G145-H145-I145,"")</f>
        <v/>
      </c>
      <c r="K145" s="67">
        <f>IFERROR(J145/F145,"")</f>
        <v/>
      </c>
      <c r="L145" s="68" t="n"/>
    </row>
    <row r="146">
      <c r="A146" s="62" t="n"/>
      <c r="B146" s="63" t="n"/>
      <c r="C146" s="64" t="n"/>
      <c r="D146" s="64" t="n"/>
      <c r="E146" s="65" t="n"/>
      <c r="F146" s="65" t="n"/>
      <c r="G146" s="65" t="n"/>
      <c r="H146" s="65" t="n"/>
      <c r="I146" s="65" t="n"/>
      <c r="J146" s="66">
        <f>IFERROR(F146-E146-G146-H146-I146,"")</f>
        <v/>
      </c>
      <c r="K146" s="67">
        <f>IFERROR(J146/F146,"")</f>
        <v/>
      </c>
      <c r="L146" s="68" t="n"/>
    </row>
    <row r="147">
      <c r="A147" s="62" t="n"/>
      <c r="B147" s="63" t="n"/>
      <c r="C147" s="64" t="n"/>
      <c r="D147" s="64" t="n"/>
      <c r="E147" s="65" t="n"/>
      <c r="F147" s="65" t="n"/>
      <c r="G147" s="65" t="n"/>
      <c r="H147" s="65" t="n"/>
      <c r="I147" s="65" t="n"/>
      <c r="J147" s="66">
        <f>IFERROR(F147-E147-G147-H147-I147,"")</f>
        <v/>
      </c>
      <c r="K147" s="67">
        <f>IFERROR(J147/F147,"")</f>
        <v/>
      </c>
      <c r="L147" s="68" t="n"/>
    </row>
    <row r="148">
      <c r="A148" s="62" t="n"/>
      <c r="B148" s="63" t="n"/>
      <c r="C148" s="64" t="n"/>
      <c r="D148" s="64" t="n"/>
      <c r="E148" s="65" t="n"/>
      <c r="F148" s="65" t="n"/>
      <c r="G148" s="65" t="n"/>
      <c r="H148" s="65" t="n"/>
      <c r="I148" s="65" t="n"/>
      <c r="J148" s="66">
        <f>IFERROR(F148-E148-G148-H148-I148,"")</f>
        <v/>
      </c>
      <c r="K148" s="67">
        <f>IFERROR(J148/F148,"")</f>
        <v/>
      </c>
      <c r="L148" s="68" t="n"/>
    </row>
    <row r="149">
      <c r="A149" s="62" t="n"/>
      <c r="B149" s="63" t="n"/>
      <c r="C149" s="64" t="n"/>
      <c r="D149" s="64" t="n"/>
      <c r="E149" s="65" t="n"/>
      <c r="F149" s="65" t="n"/>
      <c r="G149" s="65" t="n"/>
      <c r="H149" s="65" t="n"/>
      <c r="I149" s="65" t="n"/>
      <c r="J149" s="66">
        <f>IFERROR(F149-E149-G149-H149-I149,"")</f>
        <v/>
      </c>
      <c r="K149" s="67">
        <f>IFERROR(J149/F149,"")</f>
        <v/>
      </c>
      <c r="L149" s="68" t="n"/>
    </row>
    <row r="150">
      <c r="A150" s="62" t="n"/>
      <c r="B150" s="63" t="n"/>
      <c r="C150" s="64" t="n"/>
      <c r="D150" s="64" t="n"/>
      <c r="E150" s="65" t="n"/>
      <c r="F150" s="65" t="n"/>
      <c r="G150" s="65" t="n"/>
      <c r="H150" s="65" t="n"/>
      <c r="I150" s="65" t="n"/>
      <c r="J150" s="66">
        <f>IFERROR(F150-E150-G150-H150-I150,"")</f>
        <v/>
      </c>
      <c r="K150" s="67">
        <f>IFERROR(J150/F150,"")</f>
        <v/>
      </c>
      <c r="L150" s="68" t="n"/>
    </row>
    <row r="151">
      <c r="A151" s="62" t="n"/>
      <c r="B151" s="63" t="n"/>
      <c r="C151" s="64" t="n"/>
      <c r="D151" s="64" t="n"/>
      <c r="E151" s="65" t="n"/>
      <c r="F151" s="65" t="n"/>
      <c r="G151" s="65" t="n"/>
      <c r="H151" s="65" t="n"/>
      <c r="I151" s="65" t="n"/>
      <c r="J151" s="66">
        <f>IFERROR(F151-E151-G151-H151-I151,"")</f>
        <v/>
      </c>
      <c r="K151" s="67">
        <f>IFERROR(J151/F151,"")</f>
        <v/>
      </c>
      <c r="L151" s="68" t="n"/>
    </row>
    <row r="152">
      <c r="A152" s="62" t="n"/>
      <c r="B152" s="63" t="n"/>
      <c r="C152" s="64" t="n"/>
      <c r="D152" s="64" t="n"/>
      <c r="E152" s="65" t="n"/>
      <c r="F152" s="65" t="n"/>
      <c r="G152" s="65" t="n"/>
      <c r="H152" s="65" t="n"/>
      <c r="I152" s="65" t="n"/>
      <c r="J152" s="66">
        <f>IFERROR(F152-E152-G152-H152-I152,"")</f>
        <v/>
      </c>
      <c r="K152" s="67">
        <f>IFERROR(J152/F152,"")</f>
        <v/>
      </c>
      <c r="L152" s="68" t="n"/>
    </row>
    <row r="153">
      <c r="A153" s="62" t="n"/>
      <c r="B153" s="63" t="n"/>
      <c r="C153" s="64" t="n"/>
      <c r="D153" s="64" t="n"/>
      <c r="E153" s="65" t="n"/>
      <c r="F153" s="65" t="n"/>
      <c r="G153" s="65" t="n"/>
      <c r="H153" s="65" t="n"/>
      <c r="I153" s="65" t="n"/>
      <c r="J153" s="66">
        <f>IFERROR(F153-E153-G153-H153-I153,"")</f>
        <v/>
      </c>
      <c r="K153" s="67">
        <f>IFERROR(J153/F153,"")</f>
        <v/>
      </c>
      <c r="L153" s="68" t="n"/>
    </row>
    <row r="154">
      <c r="A154" s="62" t="n"/>
      <c r="B154" s="63" t="n"/>
      <c r="C154" s="64" t="n"/>
      <c r="D154" s="64" t="n"/>
      <c r="E154" s="65" t="n"/>
      <c r="F154" s="65" t="n"/>
      <c r="G154" s="65" t="n"/>
      <c r="H154" s="65" t="n"/>
      <c r="I154" s="65" t="n"/>
      <c r="J154" s="66">
        <f>IFERROR(F154-E154-G154-H154-I154,"")</f>
        <v/>
      </c>
      <c r="K154" s="67">
        <f>IFERROR(J154/F154,"")</f>
        <v/>
      </c>
      <c r="L154" s="68" t="n"/>
    </row>
    <row r="155">
      <c r="A155" s="62" t="n"/>
      <c r="B155" s="63" t="n"/>
      <c r="C155" s="64" t="n"/>
      <c r="D155" s="64" t="n"/>
      <c r="E155" s="65" t="n"/>
      <c r="F155" s="65" t="n"/>
      <c r="G155" s="65" t="n"/>
      <c r="H155" s="65" t="n"/>
      <c r="I155" s="65" t="n"/>
      <c r="J155" s="66">
        <f>IFERROR(F155-E155-G155-H155-I155,"")</f>
        <v/>
      </c>
      <c r="K155" s="67">
        <f>IFERROR(J155/F155,"")</f>
        <v/>
      </c>
      <c r="L155" s="68" t="n"/>
    </row>
    <row r="156">
      <c r="A156" s="62" t="n"/>
      <c r="B156" s="63" t="n"/>
      <c r="C156" s="64" t="n"/>
      <c r="D156" s="64" t="n"/>
      <c r="E156" s="65" t="n"/>
      <c r="F156" s="65" t="n"/>
      <c r="G156" s="65" t="n"/>
      <c r="H156" s="65" t="n"/>
      <c r="I156" s="65" t="n"/>
      <c r="J156" s="66">
        <f>IFERROR(F156-E156-G156-H156-I156,"")</f>
        <v/>
      </c>
      <c r="K156" s="67">
        <f>IFERROR(J156/F156,"")</f>
        <v/>
      </c>
      <c r="L156" s="68" t="n"/>
    </row>
    <row r="157">
      <c r="A157" s="62" t="n"/>
      <c r="B157" s="63" t="n"/>
      <c r="C157" s="64" t="n"/>
      <c r="D157" s="64" t="n"/>
      <c r="E157" s="65" t="n"/>
      <c r="F157" s="65" t="n"/>
      <c r="G157" s="65" t="n"/>
      <c r="H157" s="65" t="n"/>
      <c r="I157" s="65" t="n"/>
      <c r="J157" s="66">
        <f>IFERROR(F157-E157-G157-H157-I157,"")</f>
        <v/>
      </c>
      <c r="K157" s="67">
        <f>IFERROR(J157/F157,"")</f>
        <v/>
      </c>
      <c r="L157" s="68" t="n"/>
    </row>
    <row r="158">
      <c r="A158" s="62" t="n"/>
      <c r="B158" s="63" t="n"/>
      <c r="C158" s="64" t="n"/>
      <c r="D158" s="64" t="n"/>
      <c r="E158" s="65" t="n"/>
      <c r="F158" s="65" t="n"/>
      <c r="G158" s="65" t="n"/>
      <c r="H158" s="65" t="n"/>
      <c r="I158" s="65" t="n"/>
      <c r="J158" s="66">
        <f>IFERROR(F158-E158-G158-H158-I158,"")</f>
        <v/>
      </c>
      <c r="K158" s="67">
        <f>IFERROR(J158/F158,"")</f>
        <v/>
      </c>
      <c r="L158" s="68" t="n"/>
    </row>
    <row r="159">
      <c r="A159" s="62" t="n"/>
      <c r="B159" s="63" t="n"/>
      <c r="C159" s="64" t="n"/>
      <c r="D159" s="64" t="n"/>
      <c r="E159" s="65" t="n"/>
      <c r="F159" s="65" t="n"/>
      <c r="G159" s="65" t="n"/>
      <c r="H159" s="65" t="n"/>
      <c r="I159" s="65" t="n"/>
      <c r="J159" s="66">
        <f>IFERROR(F159-E159-G159-H159-I159,"")</f>
        <v/>
      </c>
      <c r="K159" s="67">
        <f>IFERROR(J159/F159,"")</f>
        <v/>
      </c>
      <c r="L159" s="68" t="n"/>
    </row>
    <row r="160">
      <c r="A160" s="62" t="n"/>
      <c r="B160" s="63" t="n"/>
      <c r="C160" s="64" t="n"/>
      <c r="D160" s="64" t="n"/>
      <c r="E160" s="65" t="n"/>
      <c r="F160" s="65" t="n"/>
      <c r="G160" s="65" t="n"/>
      <c r="H160" s="65" t="n"/>
      <c r="I160" s="65" t="n"/>
      <c r="J160" s="66">
        <f>IFERROR(F160-E160-G160-H160-I160,"")</f>
        <v/>
      </c>
      <c r="K160" s="67">
        <f>IFERROR(J160/F160,"")</f>
        <v/>
      </c>
      <c r="L160" s="68" t="n"/>
    </row>
    <row r="161">
      <c r="A161" s="62" t="n"/>
      <c r="B161" s="63" t="n"/>
      <c r="C161" s="64" t="n"/>
      <c r="D161" s="64" t="n"/>
      <c r="E161" s="65" t="n"/>
      <c r="F161" s="65" t="n"/>
      <c r="G161" s="65" t="n"/>
      <c r="H161" s="65" t="n"/>
      <c r="I161" s="65" t="n"/>
      <c r="J161" s="66">
        <f>IFERROR(F161-E161-G161-H161-I161,"")</f>
        <v/>
      </c>
      <c r="K161" s="67">
        <f>IFERROR(J161/F161,"")</f>
        <v/>
      </c>
      <c r="L161" s="68" t="n"/>
    </row>
    <row r="162">
      <c r="A162" s="62" t="n"/>
      <c r="B162" s="63" t="n"/>
      <c r="C162" s="64" t="n"/>
      <c r="D162" s="64" t="n"/>
      <c r="E162" s="65" t="n"/>
      <c r="F162" s="65" t="n"/>
      <c r="G162" s="65" t="n"/>
      <c r="H162" s="65" t="n"/>
      <c r="I162" s="65" t="n"/>
      <c r="J162" s="66">
        <f>IFERROR(F162-E162-G162-H162-I162,"")</f>
        <v/>
      </c>
      <c r="K162" s="67">
        <f>IFERROR(J162/F162,"")</f>
        <v/>
      </c>
      <c r="L162" s="68" t="n"/>
    </row>
    <row r="163">
      <c r="A163" s="62" t="n"/>
      <c r="B163" s="63" t="n"/>
      <c r="C163" s="64" t="n"/>
      <c r="D163" s="64" t="n"/>
      <c r="E163" s="65" t="n"/>
      <c r="F163" s="65" t="n"/>
      <c r="G163" s="65" t="n"/>
      <c r="H163" s="65" t="n"/>
      <c r="I163" s="65" t="n"/>
      <c r="J163" s="66">
        <f>IFERROR(F163-E163-G163-H163-I163,"")</f>
        <v/>
      </c>
      <c r="K163" s="67">
        <f>IFERROR(J163/F163,"")</f>
        <v/>
      </c>
      <c r="L163" s="68" t="n"/>
    </row>
    <row r="164">
      <c r="A164" s="62" t="n"/>
      <c r="B164" s="63" t="n"/>
      <c r="C164" s="64" t="n"/>
      <c r="D164" s="64" t="n"/>
      <c r="E164" s="65" t="n"/>
      <c r="F164" s="65" t="n"/>
      <c r="G164" s="65" t="n"/>
      <c r="H164" s="65" t="n"/>
      <c r="I164" s="65" t="n"/>
      <c r="J164" s="66">
        <f>IFERROR(F164-E164-G164-H164-I164,"")</f>
        <v/>
      </c>
      <c r="K164" s="67">
        <f>IFERROR(J164/F164,"")</f>
        <v/>
      </c>
      <c r="L164" s="68" t="n"/>
    </row>
    <row r="165">
      <c r="A165" s="62" t="n"/>
      <c r="B165" s="63" t="n"/>
      <c r="C165" s="64" t="n"/>
      <c r="D165" s="64" t="n"/>
      <c r="E165" s="65" t="n"/>
      <c r="F165" s="65" t="n"/>
      <c r="G165" s="65" t="n"/>
      <c r="H165" s="65" t="n"/>
      <c r="I165" s="65" t="n"/>
      <c r="J165" s="66">
        <f>IFERROR(F165-E165-G165-H165-I165,"")</f>
        <v/>
      </c>
      <c r="K165" s="67">
        <f>IFERROR(J165/F165,"")</f>
        <v/>
      </c>
      <c r="L165" s="68" t="n"/>
    </row>
    <row r="166">
      <c r="A166" s="62" t="n"/>
      <c r="B166" s="63" t="n"/>
      <c r="C166" s="64" t="n"/>
      <c r="D166" s="64" t="n"/>
      <c r="E166" s="65" t="n"/>
      <c r="F166" s="65" t="n"/>
      <c r="G166" s="65" t="n"/>
      <c r="H166" s="65" t="n"/>
      <c r="I166" s="65" t="n"/>
      <c r="J166" s="66">
        <f>IFERROR(F166-E166-G166-H166-I166,"")</f>
        <v/>
      </c>
      <c r="K166" s="67">
        <f>IFERROR(J166/F166,"")</f>
        <v/>
      </c>
      <c r="L166" s="68" t="n"/>
    </row>
    <row r="167">
      <c r="A167" s="62" t="n"/>
      <c r="B167" s="63" t="n"/>
      <c r="C167" s="64" t="n"/>
      <c r="D167" s="64" t="n"/>
      <c r="E167" s="65" t="n"/>
      <c r="F167" s="65" t="n"/>
      <c r="G167" s="65" t="n"/>
      <c r="H167" s="65" t="n"/>
      <c r="I167" s="65" t="n"/>
      <c r="J167" s="66">
        <f>IFERROR(F167-E167-G167-H167-I167,"")</f>
        <v/>
      </c>
      <c r="K167" s="67">
        <f>IFERROR(J167/F167,"")</f>
        <v/>
      </c>
      <c r="L167" s="68" t="n"/>
    </row>
    <row r="168">
      <c r="A168" s="62" t="n"/>
      <c r="B168" s="63" t="n"/>
      <c r="C168" s="64" t="n"/>
      <c r="D168" s="64" t="n"/>
      <c r="E168" s="65" t="n"/>
      <c r="F168" s="65" t="n"/>
      <c r="G168" s="65" t="n"/>
      <c r="H168" s="65" t="n"/>
      <c r="I168" s="65" t="n"/>
      <c r="J168" s="66">
        <f>IFERROR(F168-E168-G168-H168-I168,"")</f>
        <v/>
      </c>
      <c r="K168" s="67">
        <f>IFERROR(J168/F168,"")</f>
        <v/>
      </c>
      <c r="L168" s="68" t="n"/>
    </row>
    <row r="169">
      <c r="A169" s="62" t="n"/>
      <c r="B169" s="63" t="n"/>
      <c r="C169" s="64" t="n"/>
      <c r="D169" s="64" t="n"/>
      <c r="E169" s="65" t="n"/>
      <c r="F169" s="65" t="n"/>
      <c r="G169" s="65" t="n"/>
      <c r="H169" s="65" t="n"/>
      <c r="I169" s="65" t="n"/>
      <c r="J169" s="66">
        <f>IFERROR(F169-E169-G169-H169-I169,"")</f>
        <v/>
      </c>
      <c r="K169" s="67">
        <f>IFERROR(J169/F169,"")</f>
        <v/>
      </c>
      <c r="L169" s="68" t="n"/>
    </row>
    <row r="170">
      <c r="A170" s="62" t="n"/>
      <c r="B170" s="63" t="n"/>
      <c r="C170" s="64" t="n"/>
      <c r="D170" s="64" t="n"/>
      <c r="E170" s="65" t="n"/>
      <c r="F170" s="65" t="n"/>
      <c r="G170" s="65" t="n"/>
      <c r="H170" s="65" t="n"/>
      <c r="I170" s="65" t="n"/>
      <c r="J170" s="66">
        <f>IFERROR(F170-E170-G170-H170-I170,"")</f>
        <v/>
      </c>
      <c r="K170" s="67">
        <f>IFERROR(J170/F170,"")</f>
        <v/>
      </c>
      <c r="L170" s="68" t="n"/>
    </row>
    <row r="171">
      <c r="A171" s="62" t="n"/>
      <c r="B171" s="63" t="n"/>
      <c r="C171" s="64" t="n"/>
      <c r="D171" s="64" t="n"/>
      <c r="E171" s="65" t="n"/>
      <c r="F171" s="65" t="n"/>
      <c r="G171" s="65" t="n"/>
      <c r="H171" s="65" t="n"/>
      <c r="I171" s="65" t="n"/>
      <c r="J171" s="66">
        <f>IFERROR(F171-E171-G171-H171-I171,"")</f>
        <v/>
      </c>
      <c r="K171" s="67">
        <f>IFERROR(J171/F171,"")</f>
        <v/>
      </c>
      <c r="L171" s="68" t="n"/>
    </row>
    <row r="172">
      <c r="A172" s="62" t="n"/>
      <c r="B172" s="63" t="n"/>
      <c r="C172" s="64" t="n"/>
      <c r="D172" s="64" t="n"/>
      <c r="E172" s="65" t="n"/>
      <c r="F172" s="65" t="n"/>
      <c r="G172" s="65" t="n"/>
      <c r="H172" s="65" t="n"/>
      <c r="I172" s="65" t="n"/>
      <c r="J172" s="66">
        <f>IFERROR(F172-E172-G172-H172-I172,"")</f>
        <v/>
      </c>
      <c r="K172" s="67">
        <f>IFERROR(J172/F172,"")</f>
        <v/>
      </c>
      <c r="L172" s="68" t="n"/>
    </row>
    <row r="173">
      <c r="A173" s="62" t="n"/>
      <c r="B173" s="63" t="n"/>
      <c r="C173" s="64" t="n"/>
      <c r="D173" s="64" t="n"/>
      <c r="E173" s="65" t="n"/>
      <c r="F173" s="65" t="n"/>
      <c r="G173" s="65" t="n"/>
      <c r="H173" s="65" t="n"/>
      <c r="I173" s="65" t="n"/>
      <c r="J173" s="66">
        <f>IFERROR(F173-E173-G173-H173-I173,"")</f>
        <v/>
      </c>
      <c r="K173" s="67">
        <f>IFERROR(J173/F173,"")</f>
        <v/>
      </c>
      <c r="L173" s="68" t="n"/>
    </row>
    <row r="174">
      <c r="A174" s="62" t="n"/>
      <c r="B174" s="63" t="n"/>
      <c r="C174" s="64" t="n"/>
      <c r="D174" s="64" t="n"/>
      <c r="E174" s="65" t="n"/>
      <c r="F174" s="65" t="n"/>
      <c r="G174" s="65" t="n"/>
      <c r="H174" s="65" t="n"/>
      <c r="I174" s="65" t="n"/>
      <c r="J174" s="66">
        <f>IFERROR(F174-E174-G174-H174-I174,"")</f>
        <v/>
      </c>
      <c r="K174" s="67">
        <f>IFERROR(J174/F174,"")</f>
        <v/>
      </c>
      <c r="L174" s="68" t="n"/>
    </row>
    <row r="175">
      <c r="A175" s="62" t="n"/>
      <c r="B175" s="63" t="n"/>
      <c r="C175" s="64" t="n"/>
      <c r="D175" s="64" t="n"/>
      <c r="E175" s="65" t="n"/>
      <c r="F175" s="65" t="n"/>
      <c r="G175" s="65" t="n"/>
      <c r="H175" s="65" t="n"/>
      <c r="I175" s="65" t="n"/>
      <c r="J175" s="66">
        <f>IFERROR(F175-E175-G175-H175-I175,"")</f>
        <v/>
      </c>
      <c r="K175" s="67">
        <f>IFERROR(J175/F175,"")</f>
        <v/>
      </c>
      <c r="L175" s="68" t="n"/>
    </row>
    <row r="176">
      <c r="A176" s="62" t="n"/>
      <c r="B176" s="63" t="n"/>
      <c r="C176" s="64" t="n"/>
      <c r="D176" s="64" t="n"/>
      <c r="E176" s="65" t="n"/>
      <c r="F176" s="65" t="n"/>
      <c r="G176" s="65" t="n"/>
      <c r="H176" s="65" t="n"/>
      <c r="I176" s="65" t="n"/>
      <c r="J176" s="66">
        <f>IFERROR(F176-E176-G176-H176-I176,"")</f>
        <v/>
      </c>
      <c r="K176" s="67">
        <f>IFERROR(J176/F176,"")</f>
        <v/>
      </c>
      <c r="L176" s="68" t="n"/>
    </row>
    <row r="177">
      <c r="A177" s="62" t="n"/>
      <c r="B177" s="63" t="n"/>
      <c r="C177" s="64" t="n"/>
      <c r="D177" s="64" t="n"/>
      <c r="E177" s="65" t="n"/>
      <c r="F177" s="65" t="n"/>
      <c r="G177" s="65" t="n"/>
      <c r="H177" s="65" t="n"/>
      <c r="I177" s="65" t="n"/>
      <c r="J177" s="66">
        <f>IFERROR(F177-E177-G177-H177-I177,"")</f>
        <v/>
      </c>
      <c r="K177" s="67">
        <f>IFERROR(J177/F177,"")</f>
        <v/>
      </c>
      <c r="L177" s="68" t="n"/>
    </row>
    <row r="178">
      <c r="A178" s="62" t="n"/>
      <c r="B178" s="63" t="n"/>
      <c r="C178" s="64" t="n"/>
      <c r="D178" s="64" t="n"/>
      <c r="E178" s="65" t="n"/>
      <c r="F178" s="65" t="n"/>
      <c r="G178" s="65" t="n"/>
      <c r="H178" s="65" t="n"/>
      <c r="I178" s="65" t="n"/>
      <c r="J178" s="66">
        <f>IFERROR(F178-E178-G178-H178-I178,"")</f>
        <v/>
      </c>
      <c r="K178" s="67">
        <f>IFERROR(J178/F178,"")</f>
        <v/>
      </c>
      <c r="L178" s="68" t="n"/>
    </row>
    <row r="179">
      <c r="A179" s="62" t="n"/>
      <c r="B179" s="63" t="n"/>
      <c r="C179" s="64" t="n"/>
      <c r="D179" s="64" t="n"/>
      <c r="E179" s="65" t="n"/>
      <c r="F179" s="65" t="n"/>
      <c r="G179" s="65" t="n"/>
      <c r="H179" s="65" t="n"/>
      <c r="I179" s="65" t="n"/>
      <c r="J179" s="66">
        <f>IFERROR(F179-E179-G179-H179-I179,"")</f>
        <v/>
      </c>
      <c r="K179" s="67">
        <f>IFERROR(J179/F179,"")</f>
        <v/>
      </c>
      <c r="L179" s="68" t="n"/>
    </row>
    <row r="180">
      <c r="A180" s="62" t="n"/>
      <c r="B180" s="63" t="n"/>
      <c r="C180" s="64" t="n"/>
      <c r="D180" s="64" t="n"/>
      <c r="E180" s="65" t="n"/>
      <c r="F180" s="65" t="n"/>
      <c r="G180" s="65" t="n"/>
      <c r="H180" s="65" t="n"/>
      <c r="I180" s="65" t="n"/>
      <c r="J180" s="66">
        <f>IFERROR(F180-E180-G180-H180-I180,"")</f>
        <v/>
      </c>
      <c r="K180" s="67">
        <f>IFERROR(J180/F180,"")</f>
        <v/>
      </c>
      <c r="L180" s="68" t="n"/>
    </row>
    <row r="181">
      <c r="A181" s="62" t="n"/>
      <c r="B181" s="63" t="n"/>
      <c r="C181" s="64" t="n"/>
      <c r="D181" s="64" t="n"/>
      <c r="E181" s="65" t="n"/>
      <c r="F181" s="65" t="n"/>
      <c r="G181" s="65" t="n"/>
      <c r="H181" s="65" t="n"/>
      <c r="I181" s="65" t="n"/>
      <c r="J181" s="66">
        <f>IFERROR(F181-E181-G181-H181-I181,"")</f>
        <v/>
      </c>
      <c r="K181" s="67">
        <f>IFERROR(J181/F181,"")</f>
        <v/>
      </c>
      <c r="L181" s="68" t="n"/>
    </row>
    <row r="182">
      <c r="A182" s="62" t="n"/>
      <c r="B182" s="63" t="n"/>
      <c r="C182" s="64" t="n"/>
      <c r="D182" s="64" t="n"/>
      <c r="E182" s="65" t="n"/>
      <c r="F182" s="65" t="n"/>
      <c r="G182" s="65" t="n"/>
      <c r="H182" s="65" t="n"/>
      <c r="I182" s="65" t="n"/>
      <c r="J182" s="66">
        <f>IFERROR(F182-E182-G182-H182-I182,"")</f>
        <v/>
      </c>
      <c r="K182" s="67">
        <f>IFERROR(J182/F182,"")</f>
        <v/>
      </c>
      <c r="L182" s="68" t="n"/>
    </row>
    <row r="183">
      <c r="A183" s="62" t="n"/>
      <c r="B183" s="63" t="n"/>
      <c r="C183" s="64" t="n"/>
      <c r="D183" s="64" t="n"/>
      <c r="E183" s="65" t="n"/>
      <c r="F183" s="65" t="n"/>
      <c r="G183" s="65" t="n"/>
      <c r="H183" s="65" t="n"/>
      <c r="I183" s="65" t="n"/>
      <c r="J183" s="66">
        <f>IFERROR(F183-E183-G183-H183-I183,"")</f>
        <v/>
      </c>
      <c r="K183" s="67">
        <f>IFERROR(J183/F183,"")</f>
        <v/>
      </c>
      <c r="L183" s="68" t="n"/>
    </row>
    <row r="184">
      <c r="A184" s="62" t="n"/>
      <c r="B184" s="63" t="n"/>
      <c r="C184" s="64" t="n"/>
      <c r="D184" s="64" t="n"/>
      <c r="E184" s="65" t="n"/>
      <c r="F184" s="65" t="n"/>
      <c r="G184" s="65" t="n"/>
      <c r="H184" s="65" t="n"/>
      <c r="I184" s="65" t="n"/>
      <c r="J184" s="66">
        <f>IFERROR(F184-E184-G184-H184-I184,"")</f>
        <v/>
      </c>
      <c r="K184" s="67">
        <f>IFERROR(J184/F184,"")</f>
        <v/>
      </c>
      <c r="L184" s="68" t="n"/>
    </row>
    <row r="185">
      <c r="A185" s="62" t="n"/>
      <c r="B185" s="63" t="n"/>
      <c r="C185" s="64" t="n"/>
      <c r="D185" s="64" t="n"/>
      <c r="E185" s="65" t="n"/>
      <c r="F185" s="65" t="n"/>
      <c r="G185" s="65" t="n"/>
      <c r="H185" s="65" t="n"/>
      <c r="I185" s="65" t="n"/>
      <c r="J185" s="66">
        <f>IFERROR(F185-E185-G185-H185-I185,"")</f>
        <v/>
      </c>
      <c r="K185" s="67">
        <f>IFERROR(J185/F185,"")</f>
        <v/>
      </c>
      <c r="L185" s="68" t="n"/>
    </row>
    <row r="186">
      <c r="A186" s="62" t="n"/>
      <c r="B186" s="63" t="n"/>
      <c r="C186" s="64" t="n"/>
      <c r="D186" s="64" t="n"/>
      <c r="E186" s="65" t="n"/>
      <c r="F186" s="65" t="n"/>
      <c r="G186" s="65" t="n"/>
      <c r="H186" s="65" t="n"/>
      <c r="I186" s="65" t="n"/>
      <c r="J186" s="66">
        <f>IFERROR(F186-E186-G186-H186-I186,"")</f>
        <v/>
      </c>
      <c r="K186" s="67">
        <f>IFERROR(J186/F186,"")</f>
        <v/>
      </c>
      <c r="L186" s="68" t="n"/>
    </row>
    <row r="187">
      <c r="A187" s="62" t="n"/>
      <c r="B187" s="63" t="n"/>
      <c r="C187" s="64" t="n"/>
      <c r="D187" s="64" t="n"/>
      <c r="E187" s="65" t="n"/>
      <c r="F187" s="65" t="n"/>
      <c r="G187" s="65" t="n"/>
      <c r="H187" s="65" t="n"/>
      <c r="I187" s="65" t="n"/>
      <c r="J187" s="66">
        <f>IFERROR(F187-E187-G187-H187-I187,"")</f>
        <v/>
      </c>
      <c r="K187" s="67">
        <f>IFERROR(J187/F187,"")</f>
        <v/>
      </c>
      <c r="L187" s="68" t="n"/>
    </row>
    <row r="188">
      <c r="A188" s="62" t="n"/>
      <c r="B188" s="63" t="n"/>
      <c r="C188" s="64" t="n"/>
      <c r="D188" s="64" t="n"/>
      <c r="E188" s="65" t="n"/>
      <c r="F188" s="65" t="n"/>
      <c r="G188" s="65" t="n"/>
      <c r="H188" s="65" t="n"/>
      <c r="I188" s="65" t="n"/>
      <c r="J188" s="66">
        <f>IFERROR(F188-E188-G188-H188-I188,"")</f>
        <v/>
      </c>
      <c r="K188" s="67">
        <f>IFERROR(J188/F188,"")</f>
        <v/>
      </c>
      <c r="L188" s="68" t="n"/>
    </row>
    <row r="189">
      <c r="A189" s="62" t="n"/>
      <c r="B189" s="63" t="n"/>
      <c r="C189" s="64" t="n"/>
      <c r="D189" s="64" t="n"/>
      <c r="E189" s="65" t="n"/>
      <c r="F189" s="65" t="n"/>
      <c r="G189" s="65" t="n"/>
      <c r="H189" s="65" t="n"/>
      <c r="I189" s="65" t="n"/>
      <c r="J189" s="66">
        <f>IFERROR(F189-E189-G189-H189-I189,"")</f>
        <v/>
      </c>
      <c r="K189" s="67">
        <f>IFERROR(J189/F189,"")</f>
        <v/>
      </c>
      <c r="L189" s="68" t="n"/>
    </row>
    <row r="190">
      <c r="A190" s="62" t="n"/>
      <c r="B190" s="63" t="n"/>
      <c r="C190" s="64" t="n"/>
      <c r="D190" s="64" t="n"/>
      <c r="E190" s="65" t="n"/>
      <c r="F190" s="65" t="n"/>
      <c r="G190" s="65" t="n"/>
      <c r="H190" s="65" t="n"/>
      <c r="I190" s="65" t="n"/>
      <c r="J190" s="66">
        <f>IFERROR(F190-E190-G190-H190-I190,"")</f>
        <v/>
      </c>
      <c r="K190" s="67">
        <f>IFERROR(J190/F190,"")</f>
        <v/>
      </c>
      <c r="L190" s="68" t="n"/>
    </row>
    <row r="191">
      <c r="A191" s="62" t="n"/>
      <c r="B191" s="63" t="n"/>
      <c r="C191" s="64" t="n"/>
      <c r="D191" s="64" t="n"/>
      <c r="E191" s="65" t="n"/>
      <c r="F191" s="65" t="n"/>
      <c r="G191" s="65" t="n"/>
      <c r="H191" s="65" t="n"/>
      <c r="I191" s="65" t="n"/>
      <c r="J191" s="66">
        <f>IFERROR(F191-E191-G191-H191-I191,"")</f>
        <v/>
      </c>
      <c r="K191" s="67">
        <f>IFERROR(J191/F191,"")</f>
        <v/>
      </c>
      <c r="L191" s="68" t="n"/>
    </row>
    <row r="192">
      <c r="A192" s="62" t="n"/>
      <c r="B192" s="63" t="n"/>
      <c r="C192" s="64" t="n"/>
      <c r="D192" s="64" t="n"/>
      <c r="E192" s="65" t="n"/>
      <c r="F192" s="65" t="n"/>
      <c r="G192" s="65" t="n"/>
      <c r="H192" s="65" t="n"/>
      <c r="I192" s="65" t="n"/>
      <c r="J192" s="66">
        <f>IFERROR(F192-E192-G192-H192-I192,"")</f>
        <v/>
      </c>
      <c r="K192" s="67">
        <f>IFERROR(J192/F192,"")</f>
        <v/>
      </c>
      <c r="L192" s="68" t="n"/>
    </row>
    <row r="193">
      <c r="A193" s="62" t="n"/>
      <c r="B193" s="63" t="n"/>
      <c r="C193" s="64" t="n"/>
      <c r="D193" s="64" t="n"/>
      <c r="E193" s="65" t="n"/>
      <c r="F193" s="65" t="n"/>
      <c r="G193" s="65" t="n"/>
      <c r="H193" s="65" t="n"/>
      <c r="I193" s="65" t="n"/>
      <c r="J193" s="66">
        <f>IFERROR(F193-E193-G193-H193-I193,"")</f>
        <v/>
      </c>
      <c r="K193" s="67">
        <f>IFERROR(J193/F193,"")</f>
        <v/>
      </c>
      <c r="L193" s="68" t="n"/>
    </row>
    <row r="194">
      <c r="A194" s="62" t="n"/>
      <c r="B194" s="63" t="n"/>
      <c r="C194" s="64" t="n"/>
      <c r="D194" s="64" t="n"/>
      <c r="E194" s="65" t="n"/>
      <c r="F194" s="65" t="n"/>
      <c r="G194" s="65" t="n"/>
      <c r="H194" s="65" t="n"/>
      <c r="I194" s="65" t="n"/>
      <c r="J194" s="66">
        <f>IFERROR(F194-E194-G194-H194-I194,"")</f>
        <v/>
      </c>
      <c r="K194" s="67">
        <f>IFERROR(J194/F194,"")</f>
        <v/>
      </c>
      <c r="L194" s="68" t="n"/>
    </row>
    <row r="195">
      <c r="A195" s="62" t="n"/>
      <c r="B195" s="63" t="n"/>
      <c r="C195" s="64" t="n"/>
      <c r="D195" s="64" t="n"/>
      <c r="E195" s="65" t="n"/>
      <c r="F195" s="65" t="n"/>
      <c r="G195" s="65" t="n"/>
      <c r="H195" s="65" t="n"/>
      <c r="I195" s="65" t="n"/>
      <c r="J195" s="66">
        <f>IFERROR(F195-E195-G195-H195-I195,"")</f>
        <v/>
      </c>
      <c r="K195" s="67">
        <f>IFERROR(J195/F195,"")</f>
        <v/>
      </c>
      <c r="L195" s="68" t="n"/>
    </row>
    <row r="196">
      <c r="A196" s="62" t="n"/>
      <c r="B196" s="63" t="n"/>
      <c r="C196" s="64" t="n"/>
      <c r="D196" s="64" t="n"/>
      <c r="E196" s="65" t="n"/>
      <c r="F196" s="65" t="n"/>
      <c r="G196" s="65" t="n"/>
      <c r="H196" s="65" t="n"/>
      <c r="I196" s="65" t="n"/>
      <c r="J196" s="66">
        <f>IFERROR(F196-E196-G196-H196-I196,"")</f>
        <v/>
      </c>
      <c r="K196" s="67">
        <f>IFERROR(J196/F196,"")</f>
        <v/>
      </c>
      <c r="L196" s="68" t="n"/>
    </row>
    <row r="197">
      <c r="A197" s="62" t="n"/>
      <c r="B197" s="63" t="n"/>
      <c r="C197" s="64" t="n"/>
      <c r="D197" s="64" t="n"/>
      <c r="E197" s="65" t="n"/>
      <c r="F197" s="65" t="n"/>
      <c r="G197" s="65" t="n"/>
      <c r="H197" s="65" t="n"/>
      <c r="I197" s="65" t="n"/>
      <c r="J197" s="66">
        <f>IFERROR(F197-E197-G197-H197-I197,"")</f>
        <v/>
      </c>
      <c r="K197" s="67">
        <f>IFERROR(J197/F197,"")</f>
        <v/>
      </c>
      <c r="L197" s="68" t="n"/>
    </row>
    <row r="198">
      <c r="A198" s="62" t="n"/>
      <c r="B198" s="63" t="n"/>
      <c r="C198" s="64" t="n"/>
      <c r="D198" s="64" t="n"/>
      <c r="E198" s="65" t="n"/>
      <c r="F198" s="65" t="n"/>
      <c r="G198" s="65" t="n"/>
      <c r="H198" s="65" t="n"/>
      <c r="I198" s="65" t="n"/>
      <c r="J198" s="66">
        <f>IFERROR(F198-E198-G198-H198-I198,"")</f>
        <v/>
      </c>
      <c r="K198" s="67">
        <f>IFERROR(J198/F198,"")</f>
        <v/>
      </c>
      <c r="L198" s="68" t="n"/>
    </row>
    <row r="199">
      <c r="A199" s="62" t="n"/>
      <c r="B199" s="63" t="n"/>
      <c r="C199" s="64" t="n"/>
      <c r="D199" s="64" t="n"/>
      <c r="E199" s="65" t="n"/>
      <c r="F199" s="65" t="n"/>
      <c r="G199" s="65" t="n"/>
      <c r="H199" s="65" t="n"/>
      <c r="I199" s="65" t="n"/>
      <c r="J199" s="66">
        <f>IFERROR(F199-E199-G199-H199-I199,"")</f>
        <v/>
      </c>
      <c r="K199" s="67">
        <f>IFERROR(J199/F199,"")</f>
        <v/>
      </c>
      <c r="L199" s="68" t="n"/>
    </row>
    <row r="200">
      <c r="A200" s="62" t="n"/>
      <c r="B200" s="63" t="n"/>
      <c r="C200" s="64" t="n"/>
      <c r="D200" s="64" t="n"/>
      <c r="E200" s="65" t="n"/>
      <c r="F200" s="65" t="n"/>
      <c r="G200" s="65" t="n"/>
      <c r="H200" s="65" t="n"/>
      <c r="I200" s="65" t="n"/>
      <c r="J200" s="66">
        <f>IFERROR(F200-E200-G200-H200-I200,"")</f>
        <v/>
      </c>
      <c r="K200" s="67">
        <f>IFERROR(J200/F200,"")</f>
        <v/>
      </c>
      <c r="L200" s="68" t="n"/>
    </row>
    <row r="201">
      <c r="A201" s="62" t="n"/>
      <c r="B201" s="63" t="n"/>
      <c r="C201" s="64" t="n"/>
      <c r="D201" s="64" t="n"/>
      <c r="E201" s="65" t="n"/>
      <c r="F201" s="65" t="n"/>
      <c r="G201" s="65" t="n"/>
      <c r="H201" s="65" t="n"/>
      <c r="I201" s="65" t="n"/>
      <c r="J201" s="66">
        <f>IFERROR(F201-E201-G201-H201-I201,"")</f>
        <v/>
      </c>
      <c r="K201" s="67">
        <f>IFERROR(J201/F201,"")</f>
        <v/>
      </c>
      <c r="L201" s="68" t="n"/>
    </row>
    <row r="202">
      <c r="A202" s="62" t="n"/>
      <c r="B202" s="63" t="n"/>
      <c r="C202" s="64" t="n"/>
      <c r="D202" s="64" t="n"/>
      <c r="E202" s="65" t="n"/>
      <c r="F202" s="65" t="n"/>
      <c r="G202" s="65" t="n"/>
      <c r="H202" s="65" t="n"/>
      <c r="I202" s="65" t="n"/>
      <c r="J202" s="66">
        <f>IFERROR(F202-E202-G202-H202-I202,"")</f>
        <v/>
      </c>
      <c r="K202" s="67">
        <f>IFERROR(J202/F202,"")</f>
        <v/>
      </c>
      <c r="L202" s="68" t="n"/>
    </row>
    <row r="203">
      <c r="A203" s="62" t="n"/>
      <c r="B203" s="63" t="n"/>
      <c r="C203" s="64" t="n"/>
      <c r="D203" s="64" t="n"/>
      <c r="E203" s="65" t="n"/>
      <c r="F203" s="65" t="n"/>
      <c r="G203" s="65" t="n"/>
      <c r="H203" s="65" t="n"/>
      <c r="I203" s="65" t="n"/>
      <c r="J203" s="66">
        <f>IFERROR(F203-E203-G203-H203-I203,"")</f>
        <v/>
      </c>
      <c r="K203" s="67">
        <f>IFERROR(J203/F203,"")</f>
        <v/>
      </c>
      <c r="L203" s="68" t="n"/>
    </row>
    <row r="204">
      <c r="A204" s="62" t="n"/>
      <c r="B204" s="63" t="n"/>
      <c r="C204" s="64" t="n"/>
      <c r="D204" s="64" t="n"/>
      <c r="E204" s="65" t="n"/>
      <c r="F204" s="65" t="n"/>
      <c r="G204" s="65" t="n"/>
      <c r="H204" s="65" t="n"/>
      <c r="I204" s="65" t="n"/>
      <c r="J204" s="66">
        <f>IFERROR(F204-E204-G204-H204-I204,"")</f>
        <v/>
      </c>
      <c r="K204" s="67">
        <f>IFERROR(J204/F204,"")</f>
        <v/>
      </c>
      <c r="L204" s="68" t="n"/>
    </row>
    <row r="205">
      <c r="A205" s="346" t="n"/>
      <c r="B205" s="347" t="n"/>
      <c r="C205" s="347" t="n"/>
      <c r="D205" s="347" t="n"/>
      <c r="E205" s="347" t="n"/>
      <c r="F205" s="348" t="n"/>
      <c r="G205" s="348" t="n"/>
      <c r="H205" s="347" t="n"/>
      <c r="I205" s="348" t="n"/>
      <c r="J205" s="125">
        <f>IFERROR(F205-E205-G205-H205-I205,"")</f>
        <v/>
      </c>
      <c r="K205" s="127">
        <f>IFERROR(J205/F205,"")</f>
        <v/>
      </c>
      <c r="L205" s="125" t="n"/>
    </row>
    <row r="206">
      <c r="A206" s="349" t="n"/>
      <c r="B206" s="350" t="n"/>
      <c r="C206" s="350" t="n"/>
      <c r="D206" s="350" t="n"/>
      <c r="E206" s="350" t="n"/>
      <c r="F206" s="351" t="n"/>
      <c r="G206" s="351" t="n"/>
      <c r="H206" s="350" t="n"/>
      <c r="I206" s="351" t="n"/>
      <c r="J206" s="129">
        <f>IFERROR(F206-E206-G206-H206-I206,"")</f>
        <v/>
      </c>
      <c r="K206" s="131">
        <f>IFERROR(J206/F206,"")</f>
        <v/>
      </c>
      <c r="L206" s="129" t="n"/>
    </row>
    <row r="207">
      <c r="A207" s="346" t="n"/>
      <c r="B207" s="347" t="n"/>
      <c r="C207" s="347" t="n"/>
      <c r="D207" s="347" t="n"/>
      <c r="E207" s="347" t="n"/>
      <c r="F207" s="348" t="n"/>
      <c r="G207" s="348" t="n"/>
      <c r="H207" s="347" t="n"/>
      <c r="I207" s="348" t="n"/>
      <c r="J207" s="125">
        <f>IFERROR(F207-E207-G207-H207-I207,"")</f>
        <v/>
      </c>
      <c r="K207" s="127">
        <f>IFERROR(J207/F207,"")</f>
        <v/>
      </c>
      <c r="L207" s="125" t="n"/>
    </row>
    <row r="208">
      <c r="A208" s="128" t="n"/>
      <c r="B208" s="129" t="n"/>
      <c r="C208" s="129" t="n"/>
      <c r="D208" s="129" t="n"/>
      <c r="E208" s="129" t="n"/>
      <c r="F208" s="130" t="n"/>
      <c r="G208" s="130" t="n"/>
      <c r="H208" s="129" t="n"/>
      <c r="I208" s="130" t="n"/>
      <c r="J208" s="129">
        <f>IFERROR(F208-E208-G208-H208-I208,"")</f>
        <v/>
      </c>
      <c r="K208" s="131">
        <f>IFERROR(J208/F208,"")</f>
        <v/>
      </c>
      <c r="L208" s="129" t="n"/>
    </row>
    <row r="209">
      <c r="A209" s="124" t="n"/>
      <c r="B209" s="125" t="n"/>
      <c r="C209" s="125" t="n"/>
      <c r="D209" s="125" t="n"/>
      <c r="E209" s="125" t="n"/>
      <c r="F209" s="126" t="n"/>
      <c r="G209" s="126" t="n"/>
      <c r="H209" s="125" t="n"/>
      <c r="I209" s="126" t="n"/>
      <c r="J209" s="125">
        <f>IFERROR(F209-E209-G209-H209-I209,"")</f>
        <v/>
      </c>
      <c r="K209" s="127">
        <f>IFERROR(J209/F209,"")</f>
        <v/>
      </c>
      <c r="L209" s="125" t="n"/>
    </row>
    <row r="210">
      <c r="A210" s="128" t="n"/>
      <c r="B210" s="129" t="n"/>
      <c r="C210" s="129" t="n"/>
      <c r="D210" s="129" t="n"/>
      <c r="E210" s="129" t="n"/>
      <c r="F210" s="130" t="n"/>
      <c r="G210" s="130" t="n"/>
      <c r="H210" s="129" t="n"/>
      <c r="I210" s="130" t="n"/>
      <c r="J210" s="129">
        <f>IFERROR(F210-E210-G210-H210-I210,"")</f>
        <v/>
      </c>
      <c r="K210" s="131">
        <f>IFERROR(J210/F210,"")</f>
        <v/>
      </c>
      <c r="L210" s="129" t="n"/>
    </row>
    <row r="211">
      <c r="A211" s="124" t="n"/>
      <c r="B211" s="125" t="n"/>
      <c r="C211" s="125" t="n"/>
      <c r="D211" s="125" t="n"/>
      <c r="E211" s="125" t="n"/>
      <c r="F211" s="126" t="n"/>
      <c r="G211" s="126" t="n"/>
      <c r="H211" s="125" t="n"/>
      <c r="I211" s="126" t="n"/>
      <c r="J211" s="125">
        <f>IFERROR(F211-E211-G211-H211-I211,"")</f>
        <v/>
      </c>
      <c r="K211" s="127">
        <f>IFERROR(J211/F211,"")</f>
        <v/>
      </c>
      <c r="L211" s="125" t="n"/>
    </row>
    <row r="212">
      <c r="A212" s="128" t="n"/>
      <c r="B212" s="129" t="n"/>
      <c r="C212" s="129" t="n"/>
      <c r="D212" s="129" t="n"/>
      <c r="E212" s="129" t="n"/>
      <c r="F212" s="130" t="n"/>
      <c r="G212" s="130" t="n"/>
      <c r="H212" s="129" t="n"/>
      <c r="I212" s="130" t="n"/>
      <c r="J212" s="129">
        <f>IFERROR(F212-E212-G212-H212-I212,"")</f>
        <v/>
      </c>
      <c r="K212" s="131">
        <f>IFERROR(J212/F212,"")</f>
        <v/>
      </c>
      <c r="L212" s="129" t="n"/>
    </row>
    <row r="213">
      <c r="A213" s="124" t="n"/>
      <c r="B213" s="125" t="n"/>
      <c r="C213" s="125" t="n"/>
      <c r="D213" s="125" t="n"/>
      <c r="E213" s="125" t="n"/>
      <c r="F213" s="126" t="n"/>
      <c r="G213" s="126" t="n"/>
      <c r="H213" s="125" t="n"/>
      <c r="I213" s="126" t="n"/>
      <c r="J213" s="125">
        <f>IFERROR(F213-E213-G213-H213-I213,"")</f>
        <v/>
      </c>
      <c r="K213" s="127">
        <f>IFERROR(J213/F213,"")</f>
        <v/>
      </c>
      <c r="L213" s="125" t="n"/>
    </row>
    <row r="214">
      <c r="A214" s="128" t="n"/>
      <c r="B214" s="129" t="n"/>
      <c r="C214" s="129" t="n"/>
      <c r="D214" s="129" t="n"/>
      <c r="E214" s="129" t="n"/>
      <c r="F214" s="130" t="n"/>
      <c r="G214" s="130" t="n"/>
      <c r="H214" s="129" t="n"/>
      <c r="I214" s="130" t="n"/>
      <c r="J214" s="129">
        <f>IFERROR(F214-E214-G214-H214-I214,"")</f>
        <v/>
      </c>
      <c r="K214" s="131">
        <f>IFERROR(J214/F214,"")</f>
        <v/>
      </c>
      <c r="L214" s="129" t="n"/>
    </row>
    <row r="215">
      <c r="A215" s="124" t="n"/>
      <c r="B215" s="125" t="n"/>
      <c r="C215" s="125" t="n"/>
      <c r="D215" s="125" t="n"/>
      <c r="E215" s="125" t="n"/>
      <c r="F215" s="126" t="n"/>
      <c r="G215" s="126" t="n"/>
      <c r="H215" s="125" t="n"/>
      <c r="I215" s="126" t="n"/>
      <c r="J215" s="125">
        <f>IFERROR(F215-E215-G215-H215-I215,"")</f>
        <v/>
      </c>
      <c r="K215" s="127">
        <f>IFERROR(J215/F215,"")</f>
        <v/>
      </c>
      <c r="L215" s="125" t="n"/>
    </row>
    <row r="216">
      <c r="A216" s="128" t="n"/>
      <c r="B216" s="129" t="n"/>
      <c r="C216" s="129" t="n"/>
      <c r="D216" s="129" t="n"/>
      <c r="E216" s="129" t="n"/>
      <c r="F216" s="130" t="n"/>
      <c r="G216" s="130" t="n"/>
      <c r="H216" s="129" t="n"/>
      <c r="I216" s="130" t="n"/>
      <c r="J216" s="129">
        <f>IFERROR(F216-E216-G216-H216-I216,"")</f>
        <v/>
      </c>
      <c r="K216" s="131">
        <f>IFERROR(J216/F216,"")</f>
        <v/>
      </c>
      <c r="L216" s="129" t="n"/>
    </row>
    <row r="217">
      <c r="A217" s="124" t="n"/>
      <c r="B217" s="125" t="n"/>
      <c r="C217" s="125" t="n"/>
      <c r="D217" s="125" t="n"/>
      <c r="E217" s="125" t="n"/>
      <c r="F217" s="126" t="n"/>
      <c r="G217" s="126" t="n"/>
      <c r="H217" s="125" t="n"/>
      <c r="I217" s="126" t="n"/>
      <c r="J217" s="125">
        <f>IFERROR(F217-E217-G217-H217-I217,"")</f>
        <v/>
      </c>
      <c r="K217" s="127">
        <f>IFERROR(J217/F217,"")</f>
        <v/>
      </c>
      <c r="L217" s="125" t="n"/>
    </row>
    <row r="218">
      <c r="A218" s="128" t="n"/>
      <c r="B218" s="129" t="n"/>
      <c r="C218" s="129" t="n"/>
      <c r="D218" s="129" t="n"/>
      <c r="E218" s="129" t="n"/>
      <c r="F218" s="130" t="n"/>
      <c r="G218" s="130" t="n"/>
      <c r="H218" s="129" t="n"/>
      <c r="I218" s="130" t="n"/>
      <c r="J218" s="129">
        <f>IFERROR(F218-E218-G218-H218-I218,"")</f>
        <v/>
      </c>
      <c r="K218" s="131">
        <f>IFERROR(J218/F218,"")</f>
        <v/>
      </c>
      <c r="L218" s="129" t="n"/>
    </row>
    <row r="219">
      <c r="A219" s="124" t="n"/>
      <c r="B219" s="125" t="n"/>
      <c r="C219" s="125" t="n"/>
      <c r="D219" s="125" t="n"/>
      <c r="E219" s="125" t="n"/>
      <c r="F219" s="126" t="n"/>
      <c r="G219" s="126" t="n"/>
      <c r="H219" s="125" t="n"/>
      <c r="I219" s="126" t="n"/>
      <c r="J219" s="125">
        <f>IFERROR(F219-E219-G219-H219-I219,"")</f>
        <v/>
      </c>
      <c r="K219" s="127">
        <f>IFERROR(J219/F219,"")</f>
        <v/>
      </c>
      <c r="L219" s="125" t="n"/>
    </row>
    <row r="220">
      <c r="A220" s="128" t="n"/>
      <c r="B220" s="129" t="n"/>
      <c r="C220" s="129" t="n"/>
      <c r="D220" s="129" t="n"/>
      <c r="E220" s="129" t="n"/>
      <c r="F220" s="130" t="n"/>
      <c r="G220" s="130" t="n"/>
      <c r="H220" s="129" t="n"/>
      <c r="I220" s="130" t="n"/>
      <c r="J220" s="129">
        <f>IFERROR(F220-E220-G220-H220-I220,"")</f>
        <v/>
      </c>
      <c r="K220" s="131">
        <f>IFERROR(J220/F220,"")</f>
        <v/>
      </c>
      <c r="L220" s="129" t="n"/>
    </row>
    <row r="221">
      <c r="A221" s="124" t="n"/>
      <c r="B221" s="125" t="n"/>
      <c r="C221" s="125" t="n"/>
      <c r="D221" s="125" t="n"/>
      <c r="E221" s="125" t="n"/>
      <c r="F221" s="126" t="n"/>
      <c r="G221" s="126" t="n"/>
      <c r="H221" s="125" t="n"/>
      <c r="I221" s="126" t="n"/>
      <c r="J221" s="125">
        <f>IFERROR(F221-E221-G221-H221-I221,"")</f>
        <v/>
      </c>
      <c r="K221" s="127">
        <f>IFERROR(J221/F221,"")</f>
        <v/>
      </c>
      <c r="L221" s="125" t="n"/>
    </row>
    <row r="222">
      <c r="A222" s="128" t="n"/>
      <c r="B222" s="129" t="n"/>
      <c r="C222" s="129" t="n"/>
      <c r="D222" s="129" t="n"/>
      <c r="E222" s="129" t="n"/>
      <c r="F222" s="130" t="n"/>
      <c r="G222" s="130" t="n"/>
      <c r="H222" s="129" t="n"/>
      <c r="I222" s="130" t="n"/>
      <c r="J222" s="129">
        <f>IFERROR(F222-E222-G222-H222-I222,"")</f>
        <v/>
      </c>
      <c r="K222" s="131">
        <f>IFERROR(J222/F222,"")</f>
        <v/>
      </c>
      <c r="L222" s="129" t="n"/>
    </row>
    <row r="223">
      <c r="A223" s="124" t="n"/>
      <c r="B223" s="125" t="n"/>
      <c r="C223" s="125" t="n"/>
      <c r="D223" s="125" t="n"/>
      <c r="E223" s="125" t="n"/>
      <c r="F223" s="126" t="n"/>
      <c r="G223" s="126" t="n"/>
      <c r="H223" s="125" t="n"/>
      <c r="I223" s="126" t="n"/>
      <c r="J223" s="125">
        <f>IFERROR(F223-E223-G223-H223-I223,"")</f>
        <v/>
      </c>
      <c r="K223" s="127">
        <f>IFERROR(J223/F223,"")</f>
        <v/>
      </c>
      <c r="L223" s="125" t="n"/>
    </row>
    <row r="224">
      <c r="A224" s="128" t="n"/>
      <c r="B224" s="129" t="n"/>
      <c r="C224" s="129" t="n"/>
      <c r="D224" s="129" t="n"/>
      <c r="E224" s="129" t="n"/>
      <c r="F224" s="130" t="n"/>
      <c r="G224" s="130" t="n"/>
      <c r="H224" s="129" t="n"/>
      <c r="I224" s="130" t="n"/>
      <c r="J224" s="129">
        <f>IFERROR(F224-E224-G224-H224-I224,"")</f>
        <v/>
      </c>
      <c r="K224" s="131">
        <f>IFERROR(J224/F224,"")</f>
        <v/>
      </c>
      <c r="L224" s="129" t="n"/>
    </row>
    <row r="225">
      <c r="A225" s="124" t="n"/>
      <c r="B225" s="125" t="n"/>
      <c r="C225" s="125" t="n"/>
      <c r="D225" s="125" t="n"/>
      <c r="E225" s="125" t="n"/>
      <c r="F225" s="126" t="n"/>
      <c r="G225" s="126" t="n"/>
      <c r="H225" s="125" t="n"/>
      <c r="I225" s="126" t="n"/>
      <c r="J225" s="125">
        <f>IFERROR(F225-E225-G225-H225-I225,"")</f>
        <v/>
      </c>
      <c r="K225" s="127">
        <f>IFERROR(J225/F225,"")</f>
        <v/>
      </c>
      <c r="L225" s="125" t="n"/>
    </row>
    <row r="226">
      <c r="A226" s="128" t="n"/>
      <c r="B226" s="129" t="n"/>
      <c r="C226" s="129" t="n"/>
      <c r="D226" s="129" t="n"/>
      <c r="E226" s="129" t="n"/>
      <c r="F226" s="130" t="n"/>
      <c r="G226" s="130" t="n"/>
      <c r="H226" s="129" t="n"/>
      <c r="I226" s="130" t="n"/>
      <c r="J226" s="129">
        <f>IFERROR(F226-E226-G226-H226-I226,"")</f>
        <v/>
      </c>
      <c r="K226" s="131">
        <f>IFERROR(J226/F226,"")</f>
        <v/>
      </c>
      <c r="L226" s="129" t="n"/>
    </row>
    <row r="227">
      <c r="A227" s="124" t="n"/>
      <c r="B227" s="125" t="n"/>
      <c r="C227" s="125" t="n"/>
      <c r="D227" s="125" t="n"/>
      <c r="E227" s="125" t="n"/>
      <c r="F227" s="126" t="n"/>
      <c r="G227" s="126" t="n"/>
      <c r="H227" s="125" t="n"/>
      <c r="I227" s="126" t="n"/>
      <c r="J227" s="125">
        <f>IFERROR(F227-E227-G227-H227-I227,"")</f>
        <v/>
      </c>
      <c r="K227" s="127">
        <f>IFERROR(J227/F227,"")</f>
        <v/>
      </c>
      <c r="L227" s="125" t="n"/>
    </row>
    <row r="228">
      <c r="A228" s="128" t="n"/>
      <c r="B228" s="129" t="n"/>
      <c r="C228" s="129" t="n"/>
      <c r="D228" s="129" t="n"/>
      <c r="E228" s="129" t="n"/>
      <c r="F228" s="130" t="n"/>
      <c r="G228" s="130" t="n"/>
      <c r="H228" s="129" t="n"/>
      <c r="I228" s="130" t="n"/>
      <c r="J228" s="129">
        <f>IFERROR(F228-E228-G228-H228-I228,"")</f>
        <v/>
      </c>
      <c r="K228" s="131">
        <f>IFERROR(J228/F228,"")</f>
        <v/>
      </c>
      <c r="L228" s="129" t="n"/>
    </row>
    <row r="229">
      <c r="A229" s="124" t="n"/>
      <c r="B229" s="125" t="n"/>
      <c r="C229" s="125" t="n"/>
      <c r="D229" s="125" t="n"/>
      <c r="E229" s="125" t="n"/>
      <c r="F229" s="126" t="n"/>
      <c r="G229" s="126" t="n"/>
      <c r="H229" s="125" t="n"/>
      <c r="I229" s="126" t="n"/>
      <c r="J229" s="125">
        <f>IFERROR(F229-E229-G229-H229-I229,"")</f>
        <v/>
      </c>
      <c r="K229" s="127">
        <f>IFERROR(J229/F229,"")</f>
        <v/>
      </c>
      <c r="L229" s="125" t="n"/>
    </row>
    <row r="230">
      <c r="A230" s="128" t="n"/>
      <c r="B230" s="129" t="n"/>
      <c r="C230" s="129" t="n"/>
      <c r="D230" s="129" t="n"/>
      <c r="E230" s="129" t="n"/>
      <c r="F230" s="130" t="n"/>
      <c r="G230" s="130" t="n"/>
      <c r="H230" s="129" t="n"/>
      <c r="I230" s="130" t="n"/>
      <c r="J230" s="129">
        <f>IFERROR(F230-E230-G230-H230-I230,"")</f>
        <v/>
      </c>
      <c r="K230" s="131">
        <f>IFERROR(J230/F230,"")</f>
        <v/>
      </c>
      <c r="L230" s="129" t="n"/>
    </row>
    <row r="231">
      <c r="A231" s="124" t="n"/>
      <c r="B231" s="125" t="n"/>
      <c r="C231" s="125" t="n"/>
      <c r="D231" s="125" t="n"/>
      <c r="E231" s="125" t="n"/>
      <c r="F231" s="126" t="n"/>
      <c r="G231" s="126" t="n"/>
      <c r="H231" s="125" t="n"/>
      <c r="I231" s="126" t="n"/>
      <c r="J231" s="125">
        <f>IFERROR(F231-E231-G231-H231-I231,"")</f>
        <v/>
      </c>
      <c r="K231" s="127">
        <f>IFERROR(J231/F231,"")</f>
        <v/>
      </c>
      <c r="L231" s="125" t="n"/>
    </row>
    <row r="232">
      <c r="A232" s="128" t="n"/>
      <c r="B232" s="129" t="n"/>
      <c r="C232" s="129" t="n"/>
      <c r="D232" s="129" t="n"/>
      <c r="E232" s="129" t="n"/>
      <c r="F232" s="130" t="n"/>
      <c r="G232" s="130" t="n"/>
      <c r="H232" s="129" t="n"/>
      <c r="I232" s="130" t="n"/>
      <c r="J232" s="129">
        <f>IFERROR(F232-E232-G232-H232-I232,"")</f>
        <v/>
      </c>
      <c r="K232" s="131">
        <f>IFERROR(J232/F232,"")</f>
        <v/>
      </c>
      <c r="L232" s="129" t="n"/>
    </row>
    <row r="233">
      <c r="A233" s="124" t="n"/>
      <c r="B233" s="125" t="n"/>
      <c r="C233" s="125" t="n"/>
      <c r="D233" s="125" t="n"/>
      <c r="E233" s="125" t="n"/>
      <c r="F233" s="126" t="n"/>
      <c r="G233" s="126" t="n"/>
      <c r="H233" s="125" t="n"/>
      <c r="I233" s="126" t="n"/>
      <c r="J233" s="125">
        <f>IFERROR(F233-E233-G233-H233-I233,"")</f>
        <v/>
      </c>
      <c r="K233" s="127">
        <f>IFERROR(J233/F233,"")</f>
        <v/>
      </c>
      <c r="L233" s="125" t="n"/>
    </row>
    <row r="234">
      <c r="A234" s="128" t="n"/>
      <c r="B234" s="129" t="n"/>
      <c r="C234" s="129" t="n"/>
      <c r="D234" s="129" t="n"/>
      <c r="E234" s="129" t="n"/>
      <c r="F234" s="130" t="n"/>
      <c r="G234" s="130" t="n"/>
      <c r="H234" s="129" t="n"/>
      <c r="I234" s="130" t="n"/>
      <c r="J234" s="129">
        <f>IFERROR(F234-E234-G234-H234-I234,"")</f>
        <v/>
      </c>
      <c r="K234" s="131">
        <f>IFERROR(J234/F234,"")</f>
        <v/>
      </c>
      <c r="L234" s="129" t="n"/>
    </row>
    <row r="235">
      <c r="A235" s="124" t="n"/>
      <c r="B235" s="125" t="n"/>
      <c r="C235" s="125" t="n"/>
      <c r="D235" s="125" t="n"/>
      <c r="E235" s="125" t="n"/>
      <c r="F235" s="126" t="n"/>
      <c r="G235" s="126" t="n"/>
      <c r="H235" s="125" t="n"/>
      <c r="I235" s="126" t="n"/>
      <c r="J235" s="125">
        <f>IFERROR(F235-E235-G235-H235-I235,"")</f>
        <v/>
      </c>
      <c r="K235" s="127">
        <f>IFERROR(J235/F235,"")</f>
        <v/>
      </c>
      <c r="L235" s="125" t="n"/>
    </row>
    <row r="236">
      <c r="A236" s="128" t="n"/>
      <c r="B236" s="129" t="n"/>
      <c r="C236" s="129" t="n"/>
      <c r="D236" s="129" t="n"/>
      <c r="E236" s="129" t="n"/>
      <c r="F236" s="130" t="n"/>
      <c r="G236" s="130" t="n"/>
      <c r="H236" s="129" t="n"/>
      <c r="I236" s="130" t="n"/>
      <c r="J236" s="129">
        <f>IFERROR(F236-E236-G236-H236-I236,"")</f>
        <v/>
      </c>
      <c r="K236" s="131">
        <f>IFERROR(J236/F236,"")</f>
        <v/>
      </c>
      <c r="L236" s="129" t="n"/>
    </row>
    <row r="237">
      <c r="A237" s="124" t="n"/>
      <c r="B237" s="125" t="n"/>
      <c r="C237" s="125" t="n"/>
      <c r="D237" s="125" t="n"/>
      <c r="E237" s="125" t="n"/>
      <c r="F237" s="126" t="n"/>
      <c r="G237" s="126" t="n"/>
      <c r="H237" s="125" t="n"/>
      <c r="I237" s="126" t="n"/>
      <c r="J237" s="125">
        <f>IFERROR(F237-E237-G237-H237-I237,"")</f>
        <v/>
      </c>
      <c r="K237" s="127">
        <f>IFERROR(J237/F237,"")</f>
        <v/>
      </c>
      <c r="L237" s="125" t="n"/>
    </row>
    <row r="238">
      <c r="A238" s="128" t="n"/>
      <c r="B238" s="129" t="n"/>
      <c r="C238" s="129" t="n"/>
      <c r="D238" s="129" t="n"/>
      <c r="E238" s="129" t="n"/>
      <c r="F238" s="130" t="n"/>
      <c r="G238" s="130" t="n"/>
      <c r="H238" s="129" t="n"/>
      <c r="I238" s="130" t="n"/>
      <c r="J238" s="129">
        <f>IFERROR(F238-E238-G238-H238-I238,"")</f>
        <v/>
      </c>
      <c r="K238" s="131">
        <f>IFERROR(J238/F238,"")</f>
        <v/>
      </c>
      <c r="L238" s="129" t="n"/>
    </row>
    <row r="239">
      <c r="A239" s="124" t="n"/>
      <c r="B239" s="125" t="n"/>
      <c r="C239" s="125" t="n"/>
      <c r="D239" s="125" t="n"/>
      <c r="E239" s="125" t="n"/>
      <c r="F239" s="126" t="n"/>
      <c r="G239" s="126" t="n"/>
      <c r="H239" s="125" t="n"/>
      <c r="I239" s="126" t="n"/>
      <c r="J239" s="125">
        <f>IFERROR(F239-E239-G239-H239-I239,"")</f>
        <v/>
      </c>
      <c r="K239" s="127">
        <f>IFERROR(J239/F239,"")</f>
        <v/>
      </c>
      <c r="L239" s="125" t="n"/>
    </row>
    <row r="240">
      <c r="A240" s="128" t="n"/>
      <c r="B240" s="129" t="n"/>
      <c r="C240" s="129" t="n"/>
      <c r="D240" s="129" t="n"/>
      <c r="E240" s="129" t="n"/>
      <c r="F240" s="130" t="n"/>
      <c r="G240" s="130" t="n"/>
      <c r="H240" s="129" t="n"/>
      <c r="I240" s="130" t="n"/>
      <c r="J240" s="129">
        <f>IFERROR(F240-E240-G240-H240-I240,"")</f>
        <v/>
      </c>
      <c r="K240" s="131">
        <f>IFERROR(J240/F240,"")</f>
        <v/>
      </c>
      <c r="L240" s="129" t="n"/>
    </row>
    <row r="241">
      <c r="A241" s="124" t="n"/>
      <c r="B241" s="125" t="n"/>
      <c r="C241" s="125" t="n"/>
      <c r="D241" s="125" t="n"/>
      <c r="E241" s="125" t="n"/>
      <c r="F241" s="126" t="n"/>
      <c r="G241" s="126" t="n"/>
      <c r="H241" s="125" t="n"/>
      <c r="I241" s="126" t="n"/>
      <c r="J241" s="125">
        <f>IFERROR(F241-E241-G241-H241-I241,"")</f>
        <v/>
      </c>
      <c r="K241" s="127">
        <f>IFERROR(J241/F241,"")</f>
        <v/>
      </c>
      <c r="L241" s="125" t="n"/>
    </row>
    <row r="242">
      <c r="A242" s="128" t="n"/>
      <c r="B242" s="129" t="n"/>
      <c r="C242" s="129" t="n"/>
      <c r="D242" s="129" t="n"/>
      <c r="E242" s="129" t="n"/>
      <c r="F242" s="130" t="n"/>
      <c r="G242" s="130" t="n"/>
      <c r="H242" s="129" t="n"/>
      <c r="I242" s="130" t="n"/>
      <c r="J242" s="129">
        <f>IFERROR(F242-E242-G242-H242-I242,"")</f>
        <v/>
      </c>
      <c r="K242" s="131">
        <f>IFERROR(J242/F242,"")</f>
        <v/>
      </c>
      <c r="L242" s="129" t="n"/>
    </row>
    <row r="243">
      <c r="A243" s="124" t="n"/>
      <c r="B243" s="125" t="n"/>
      <c r="C243" s="125" t="n"/>
      <c r="D243" s="125" t="n"/>
      <c r="E243" s="125" t="n"/>
      <c r="F243" s="126" t="n"/>
      <c r="G243" s="126" t="n"/>
      <c r="H243" s="125" t="n"/>
      <c r="I243" s="126" t="n"/>
      <c r="J243" s="125">
        <f>IFERROR(F243-E243-G243-H243-I243,"")</f>
        <v/>
      </c>
      <c r="K243" s="127">
        <f>IFERROR(J243/F243,"")</f>
        <v/>
      </c>
      <c r="L243" s="125" t="n"/>
    </row>
    <row r="244">
      <c r="A244" s="128" t="n"/>
      <c r="B244" s="129" t="n"/>
      <c r="C244" s="129" t="n"/>
      <c r="D244" s="129" t="n"/>
      <c r="E244" s="129" t="n"/>
      <c r="F244" s="130" t="n"/>
      <c r="G244" s="130" t="n"/>
      <c r="H244" s="129" t="n"/>
      <c r="I244" s="130" t="n"/>
      <c r="J244" s="129">
        <f>IFERROR(F244-E244-G244-H244-I244,"")</f>
        <v/>
      </c>
      <c r="K244" s="131">
        <f>IFERROR(J244/F244,"")</f>
        <v/>
      </c>
      <c r="L244" s="129" t="n"/>
    </row>
    <row r="245">
      <c r="A245" s="124" t="n"/>
      <c r="B245" s="125" t="n"/>
      <c r="C245" s="125" t="n"/>
      <c r="D245" s="125" t="n"/>
      <c r="E245" s="125" t="n"/>
      <c r="F245" s="126" t="n"/>
      <c r="G245" s="126" t="n"/>
      <c r="H245" s="125" t="n"/>
      <c r="I245" s="126" t="n"/>
      <c r="J245" s="125">
        <f>IFERROR(F245-E245-G245-H245-I245,"")</f>
        <v/>
      </c>
      <c r="K245" s="127">
        <f>IFERROR(J245/F245,"")</f>
        <v/>
      </c>
      <c r="L245" s="125" t="n"/>
    </row>
    <row r="246">
      <c r="A246" s="128" t="n"/>
      <c r="B246" s="129" t="n"/>
      <c r="C246" s="129" t="n"/>
      <c r="D246" s="129" t="n"/>
      <c r="E246" s="129" t="n"/>
      <c r="F246" s="130" t="n"/>
      <c r="G246" s="130" t="n"/>
      <c r="H246" s="129" t="n"/>
      <c r="I246" s="130" t="n"/>
      <c r="J246" s="129">
        <f>IFERROR(F246-E246-G246-H246-I246,"")</f>
        <v/>
      </c>
      <c r="K246" s="131">
        <f>IFERROR(J246/F246,"")</f>
        <v/>
      </c>
      <c r="L246" s="129" t="n"/>
    </row>
    <row r="247">
      <c r="A247" s="124" t="n"/>
      <c r="B247" s="125" t="n"/>
      <c r="C247" s="125" t="n"/>
      <c r="D247" s="125" t="n"/>
      <c r="E247" s="125" t="n"/>
      <c r="F247" s="126" t="n"/>
      <c r="G247" s="126" t="n"/>
      <c r="H247" s="125" t="n"/>
      <c r="I247" s="126" t="n"/>
      <c r="J247" s="125">
        <f>IFERROR(F247-E247-G247-H247-I247,"")</f>
        <v/>
      </c>
      <c r="K247" s="127">
        <f>IFERROR(J247/F247,"")</f>
        <v/>
      </c>
      <c r="L247" s="125" t="n"/>
    </row>
    <row r="248">
      <c r="A248" s="128" t="n"/>
      <c r="B248" s="129" t="n"/>
      <c r="C248" s="129" t="n"/>
      <c r="D248" s="129" t="n"/>
      <c r="E248" s="129" t="n"/>
      <c r="F248" s="130" t="n"/>
      <c r="G248" s="130" t="n"/>
      <c r="H248" s="129" t="n"/>
      <c r="I248" s="130" t="n"/>
      <c r="J248" s="129">
        <f>IFERROR(F248-E248-G248-H248-I248,"")</f>
        <v/>
      </c>
      <c r="K248" s="131">
        <f>IFERROR(J248/F248,"")</f>
        <v/>
      </c>
      <c r="L248" s="129" t="n"/>
    </row>
    <row r="249">
      <c r="A249" s="124" t="n"/>
      <c r="B249" s="125" t="n"/>
      <c r="C249" s="125" t="n"/>
      <c r="D249" s="125" t="n"/>
      <c r="E249" s="125" t="n"/>
      <c r="F249" s="126" t="n"/>
      <c r="G249" s="126" t="n"/>
      <c r="H249" s="125" t="n"/>
      <c r="I249" s="126" t="n"/>
      <c r="J249" s="125">
        <f>IFERROR(F249-E249-G249-H249-I249,"")</f>
        <v/>
      </c>
      <c r="K249" s="127">
        <f>IFERROR(J249/F249,"")</f>
        <v/>
      </c>
      <c r="L249" s="125" t="n"/>
    </row>
    <row r="250">
      <c r="A250" s="128" t="n"/>
      <c r="B250" s="129" t="n"/>
      <c r="C250" s="129" t="n"/>
      <c r="D250" s="129" t="n"/>
      <c r="E250" s="129" t="n"/>
      <c r="F250" s="130" t="n"/>
      <c r="G250" s="130" t="n"/>
      <c r="H250" s="129" t="n"/>
      <c r="I250" s="130" t="n"/>
      <c r="J250" s="129">
        <f>IFERROR(F250-E250-G250-H250-I250,"")</f>
        <v/>
      </c>
      <c r="K250" s="131">
        <f>IFERROR(J250/F250,"")</f>
        <v/>
      </c>
      <c r="L250" s="129" t="n"/>
    </row>
    <row r="251">
      <c r="A251" s="124" t="n"/>
      <c r="B251" s="125" t="n"/>
      <c r="C251" s="125" t="n"/>
      <c r="D251" s="125" t="n"/>
      <c r="E251" s="125" t="n"/>
      <c r="F251" s="126" t="n"/>
      <c r="G251" s="126" t="n"/>
      <c r="H251" s="125" t="n"/>
      <c r="I251" s="126" t="n"/>
      <c r="J251" s="125">
        <f>IFERROR(F251-E251-G251-H251-I251,"")</f>
        <v/>
      </c>
      <c r="K251" s="127">
        <f>IFERROR(J251/F251,"")</f>
        <v/>
      </c>
      <c r="L251" s="125" t="n"/>
    </row>
    <row r="252">
      <c r="A252" s="128" t="n"/>
      <c r="B252" s="129" t="n"/>
      <c r="C252" s="129" t="n"/>
      <c r="D252" s="129" t="n"/>
      <c r="E252" s="129" t="n"/>
      <c r="F252" s="130" t="n"/>
      <c r="G252" s="130" t="n"/>
      <c r="H252" s="129" t="n"/>
      <c r="I252" s="130" t="n"/>
      <c r="J252" s="129">
        <f>IFERROR(F252-E252-G252-H252-I252,"")</f>
        <v/>
      </c>
      <c r="K252" s="131">
        <f>IFERROR(J252/F252,"")</f>
        <v/>
      </c>
      <c r="L252" s="129" t="n"/>
    </row>
    <row r="253">
      <c r="A253" s="124" t="n"/>
      <c r="B253" s="125" t="n"/>
      <c r="C253" s="125" t="n"/>
      <c r="D253" s="125" t="n"/>
      <c r="E253" s="125" t="n"/>
      <c r="F253" s="126" t="n"/>
      <c r="G253" s="126" t="n"/>
      <c r="H253" s="125" t="n"/>
      <c r="I253" s="126" t="n"/>
      <c r="J253" s="125">
        <f>IFERROR(F253-E253-G253-H253-I253,"")</f>
        <v/>
      </c>
      <c r="K253" s="127">
        <f>IFERROR(J253/F253,"")</f>
        <v/>
      </c>
      <c r="L253" s="125" t="n"/>
    </row>
    <row r="254">
      <c r="A254" s="128" t="n"/>
      <c r="B254" s="129" t="n"/>
      <c r="C254" s="129" t="n"/>
      <c r="D254" s="129" t="n"/>
      <c r="E254" s="129" t="n"/>
      <c r="F254" s="130" t="n"/>
      <c r="G254" s="130" t="n"/>
      <c r="H254" s="129" t="n"/>
      <c r="I254" s="130" t="n"/>
      <c r="J254" s="129">
        <f>IFERROR(F254-E254-G254-H254-I254,"")</f>
        <v/>
      </c>
      <c r="K254" s="131">
        <f>IFERROR(J254/F254,"")</f>
        <v/>
      </c>
      <c r="L254" s="129" t="n"/>
    </row>
    <row r="255">
      <c r="A255" s="124" t="n"/>
      <c r="B255" s="125" t="n"/>
      <c r="C255" s="125" t="n"/>
      <c r="D255" s="125" t="n"/>
      <c r="E255" s="125" t="n"/>
      <c r="F255" s="126" t="n"/>
      <c r="G255" s="126" t="n"/>
      <c r="H255" s="125" t="n"/>
      <c r="I255" s="126" t="n"/>
      <c r="J255" s="125">
        <f>IFERROR(F255-E255-G255-H255-I255,"")</f>
        <v/>
      </c>
      <c r="K255" s="127">
        <f>IFERROR(J255/F255,"")</f>
        <v/>
      </c>
      <c r="L255" s="125" t="n"/>
    </row>
    <row r="256">
      <c r="A256" s="128" t="n"/>
      <c r="B256" s="129" t="n"/>
      <c r="C256" s="129" t="n"/>
      <c r="D256" s="129" t="n"/>
      <c r="E256" s="129" t="n"/>
      <c r="F256" s="130" t="n"/>
      <c r="G256" s="130" t="n"/>
      <c r="H256" s="129" t="n"/>
      <c r="I256" s="130" t="n"/>
      <c r="J256" s="129">
        <f>IFERROR(F256-E256-G256-H256-I256,"")</f>
        <v/>
      </c>
      <c r="K256" s="131">
        <f>IFERROR(J256/F256,"")</f>
        <v/>
      </c>
      <c r="L256" s="129" t="n"/>
    </row>
    <row r="257">
      <c r="A257" s="124" t="n"/>
      <c r="B257" s="125" t="n"/>
      <c r="C257" s="125" t="n"/>
      <c r="D257" s="125" t="n"/>
      <c r="E257" s="125" t="n"/>
      <c r="F257" s="126" t="n"/>
      <c r="G257" s="126" t="n"/>
      <c r="H257" s="125" t="n"/>
      <c r="I257" s="126" t="n"/>
      <c r="J257" s="125">
        <f>IFERROR(F257-E257-G257-H257-I257,"")</f>
        <v/>
      </c>
      <c r="K257" s="127">
        <f>IFERROR(J257/F257,"")</f>
        <v/>
      </c>
      <c r="L257" s="125" t="n"/>
    </row>
    <row r="258">
      <c r="A258" s="128" t="n"/>
      <c r="B258" s="129" t="n"/>
      <c r="C258" s="129" t="n"/>
      <c r="D258" s="129" t="n"/>
      <c r="E258" s="129" t="n"/>
      <c r="F258" s="130" t="n"/>
      <c r="G258" s="130" t="n"/>
      <c r="H258" s="129" t="n"/>
      <c r="I258" s="130" t="n"/>
      <c r="J258" s="129">
        <f>IFERROR(F258-E258-G258-H258-I258,"")</f>
        <v/>
      </c>
      <c r="K258" s="131">
        <f>IFERROR(J258/F258,"")</f>
        <v/>
      </c>
      <c r="L258" s="129" t="n"/>
    </row>
    <row r="259">
      <c r="A259" s="124" t="n"/>
      <c r="B259" s="125" t="n"/>
      <c r="C259" s="125" t="n"/>
      <c r="D259" s="125" t="n"/>
      <c r="E259" s="125" t="n"/>
      <c r="F259" s="126" t="n"/>
      <c r="G259" s="126" t="n"/>
      <c r="H259" s="125" t="n"/>
      <c r="I259" s="126" t="n"/>
      <c r="J259" s="125">
        <f>IFERROR(F259-E259-G259-H259-I259,"")</f>
        <v/>
      </c>
      <c r="K259" s="127">
        <f>IFERROR(J259/F259,"")</f>
        <v/>
      </c>
      <c r="L259" s="125" t="n"/>
    </row>
    <row r="260">
      <c r="A260" s="128" t="n"/>
      <c r="B260" s="129" t="n"/>
      <c r="C260" s="129" t="n"/>
      <c r="D260" s="129" t="n"/>
      <c r="E260" s="129" t="n"/>
      <c r="F260" s="130" t="n"/>
      <c r="G260" s="130" t="n"/>
      <c r="H260" s="129" t="n"/>
      <c r="I260" s="130" t="n"/>
      <c r="J260" s="129">
        <f>IFERROR(F260-E260-G260-H260-I260,"")</f>
        <v/>
      </c>
      <c r="K260" s="131">
        <f>IFERROR(J260/F260,"")</f>
        <v/>
      </c>
      <c r="L260" s="129" t="n"/>
    </row>
    <row r="261">
      <c r="A261" s="124" t="n"/>
      <c r="B261" s="125" t="n"/>
      <c r="C261" s="125" t="n"/>
      <c r="D261" s="125" t="n"/>
      <c r="E261" s="125" t="n"/>
      <c r="F261" s="126" t="n"/>
      <c r="G261" s="126" t="n"/>
      <c r="H261" s="125" t="n"/>
      <c r="I261" s="126" t="n"/>
      <c r="J261" s="125">
        <f>IFERROR(F261-E261-G261-H261-I261,"")</f>
        <v/>
      </c>
      <c r="K261" s="127">
        <f>IFERROR(J261/F261,"")</f>
        <v/>
      </c>
      <c r="L261" s="125" t="n"/>
    </row>
    <row r="262">
      <c r="A262" s="128" t="n"/>
      <c r="B262" s="129" t="n"/>
      <c r="C262" s="129" t="n"/>
      <c r="D262" s="129" t="n"/>
      <c r="E262" s="129" t="n"/>
      <c r="F262" s="130" t="n"/>
      <c r="G262" s="130" t="n"/>
      <c r="H262" s="129" t="n"/>
      <c r="I262" s="130" t="n"/>
      <c r="J262" s="129">
        <f>IFERROR(F262-E262-G262-H262-I262,"")</f>
        <v/>
      </c>
      <c r="K262" s="131">
        <f>IFERROR(J262/F262,"")</f>
        <v/>
      </c>
      <c r="L262" s="129" t="n"/>
    </row>
    <row r="263">
      <c r="A263" s="124" t="n"/>
      <c r="B263" s="125" t="n"/>
      <c r="C263" s="125" t="n"/>
      <c r="D263" s="125" t="n"/>
      <c r="E263" s="125" t="n"/>
      <c r="F263" s="126" t="n"/>
      <c r="G263" s="126" t="n"/>
      <c r="H263" s="125" t="n"/>
      <c r="I263" s="126" t="n"/>
      <c r="J263" s="125">
        <f>IFERROR(F263-E263-G263-H263-I263,"")</f>
        <v/>
      </c>
      <c r="K263" s="127">
        <f>IFERROR(J263/F263,"")</f>
        <v/>
      </c>
      <c r="L263" s="125" t="n"/>
    </row>
    <row r="264">
      <c r="A264" s="128" t="n"/>
      <c r="B264" s="129" t="n"/>
      <c r="C264" s="129" t="n"/>
      <c r="D264" s="129" t="n"/>
      <c r="E264" s="129" t="n"/>
      <c r="F264" s="130" t="n"/>
      <c r="G264" s="130" t="n"/>
      <c r="H264" s="129" t="n"/>
      <c r="I264" s="130" t="n"/>
      <c r="J264" s="129">
        <f>IFERROR(F264-E264-G264-H264-I264,"")</f>
        <v/>
      </c>
      <c r="K264" s="131">
        <f>IFERROR(J264/F264,"")</f>
        <v/>
      </c>
      <c r="L264" s="129" t="n"/>
    </row>
    <row r="265">
      <c r="A265" s="124" t="n"/>
      <c r="B265" s="125" t="n"/>
      <c r="C265" s="125" t="n"/>
      <c r="D265" s="125" t="n"/>
      <c r="E265" s="125" t="n"/>
      <c r="F265" s="126" t="n"/>
      <c r="G265" s="126" t="n"/>
      <c r="H265" s="125" t="n"/>
      <c r="I265" s="126" t="n"/>
      <c r="J265" s="125">
        <f>IFERROR(F265-E265-G265-H265-I265,"")</f>
        <v/>
      </c>
      <c r="K265" s="127">
        <f>IFERROR(J265/F265,"")</f>
        <v/>
      </c>
      <c r="L265" s="125" t="n"/>
    </row>
    <row r="266">
      <c r="A266" s="128" t="n"/>
      <c r="B266" s="129" t="n"/>
      <c r="C266" s="129" t="n"/>
      <c r="D266" s="129" t="n"/>
      <c r="E266" s="129" t="n"/>
      <c r="F266" s="130" t="n"/>
      <c r="G266" s="130" t="n"/>
      <c r="H266" s="129" t="n"/>
      <c r="I266" s="130" t="n"/>
      <c r="J266" s="129">
        <f>IFERROR(F266-E266-G266-H266-I266,"")</f>
        <v/>
      </c>
      <c r="K266" s="131">
        <f>IFERROR(J266/F266,"")</f>
        <v/>
      </c>
      <c r="L266" s="129" t="n"/>
    </row>
    <row r="267">
      <c r="A267" s="124" t="n"/>
      <c r="B267" s="125" t="n"/>
      <c r="C267" s="125" t="n"/>
      <c r="D267" s="125" t="n"/>
      <c r="E267" s="125" t="n"/>
      <c r="F267" s="126" t="n"/>
      <c r="G267" s="126" t="n"/>
      <c r="H267" s="125" t="n"/>
      <c r="I267" s="126" t="n"/>
      <c r="J267" s="125">
        <f>IFERROR(F267-E267-G267-H267-I267,"")</f>
        <v/>
      </c>
      <c r="K267" s="127">
        <f>IFERROR(J267/F267,"")</f>
        <v/>
      </c>
      <c r="L267" s="125" t="n"/>
    </row>
    <row r="268">
      <c r="A268" s="128" t="n"/>
      <c r="B268" s="129" t="n"/>
      <c r="C268" s="129" t="n"/>
      <c r="D268" s="129" t="n"/>
      <c r="E268" s="129" t="n"/>
      <c r="F268" s="130" t="n"/>
      <c r="G268" s="130" t="n"/>
      <c r="H268" s="129" t="n"/>
      <c r="I268" s="130" t="n"/>
      <c r="J268" s="129">
        <f>IFERROR(F268-E268-G268-H268-I268,"")</f>
        <v/>
      </c>
      <c r="K268" s="131">
        <f>IFERROR(J268/F268,"")</f>
        <v/>
      </c>
      <c r="L268" s="129" t="n"/>
    </row>
    <row r="269">
      <c r="A269" s="124" t="n"/>
      <c r="B269" s="125" t="n"/>
      <c r="C269" s="125" t="n"/>
      <c r="D269" s="125" t="n"/>
      <c r="E269" s="125" t="n"/>
      <c r="F269" s="126" t="n"/>
      <c r="G269" s="126" t="n"/>
      <c r="H269" s="125" t="n"/>
      <c r="I269" s="126" t="n"/>
      <c r="J269" s="125">
        <f>IFERROR(F269-E269-G269-H269-I269,"")</f>
        <v/>
      </c>
      <c r="K269" s="127">
        <f>IFERROR(J269/F269,"")</f>
        <v/>
      </c>
      <c r="L269" s="125" t="n"/>
    </row>
    <row r="270">
      <c r="A270" s="128" t="n"/>
      <c r="B270" s="129" t="n"/>
      <c r="C270" s="129" t="n"/>
      <c r="D270" s="129" t="n"/>
      <c r="E270" s="129" t="n"/>
      <c r="F270" s="130" t="n"/>
      <c r="G270" s="130" t="n"/>
      <c r="H270" s="129" t="n"/>
      <c r="I270" s="130" t="n"/>
      <c r="J270" s="129">
        <f>IFERROR(F270-E270-G270-H270-I270,"")</f>
        <v/>
      </c>
      <c r="K270" s="131">
        <f>IFERROR(J270/F270,"")</f>
        <v/>
      </c>
      <c r="L270" s="129" t="n"/>
    </row>
    <row r="271">
      <c r="A271" s="124" t="n"/>
      <c r="B271" s="125" t="n"/>
      <c r="C271" s="125" t="n"/>
      <c r="D271" s="125" t="n"/>
      <c r="E271" s="125" t="n"/>
      <c r="F271" s="126" t="n"/>
      <c r="G271" s="126" t="n"/>
      <c r="H271" s="125" t="n"/>
      <c r="I271" s="126" t="n"/>
      <c r="J271" s="125">
        <f>IFERROR(F271-E271-G271-H271-I271,"")</f>
        <v/>
      </c>
      <c r="K271" s="127">
        <f>IFERROR(J271/F271,"")</f>
        <v/>
      </c>
      <c r="L271" s="125" t="n"/>
    </row>
    <row r="272">
      <c r="A272" s="128" t="n"/>
      <c r="B272" s="129" t="n"/>
      <c r="C272" s="129" t="n"/>
      <c r="D272" s="129" t="n"/>
      <c r="E272" s="129" t="n"/>
      <c r="F272" s="130" t="n"/>
      <c r="G272" s="130" t="n"/>
      <c r="H272" s="129" t="n"/>
      <c r="I272" s="130" t="n"/>
      <c r="J272" s="129">
        <f>IFERROR(F272-E272-G272-H272-I272,"")</f>
        <v/>
      </c>
      <c r="K272" s="131">
        <f>IFERROR(J272/F272,"")</f>
        <v/>
      </c>
      <c r="L272" s="129" t="n"/>
    </row>
    <row r="273">
      <c r="A273" s="124" t="n"/>
      <c r="B273" s="125" t="n"/>
      <c r="C273" s="125" t="n"/>
      <c r="D273" s="125" t="n"/>
      <c r="E273" s="125" t="n"/>
      <c r="F273" s="126" t="n"/>
      <c r="G273" s="126" t="n"/>
      <c r="H273" s="125" t="n"/>
      <c r="I273" s="126" t="n"/>
      <c r="J273" s="125">
        <f>IFERROR(F273-E273-G273-H273-I273,"")</f>
        <v/>
      </c>
      <c r="K273" s="127">
        <f>IFERROR(J273/F273,"")</f>
        <v/>
      </c>
      <c r="L273" s="125" t="n"/>
    </row>
    <row r="274">
      <c r="A274" s="128" t="n"/>
      <c r="B274" s="129" t="n"/>
      <c r="C274" s="129" t="n"/>
      <c r="D274" s="129" t="n"/>
      <c r="E274" s="129" t="n"/>
      <c r="F274" s="130" t="n"/>
      <c r="G274" s="130" t="n"/>
      <c r="H274" s="129" t="n"/>
      <c r="I274" s="130" t="n"/>
      <c r="J274" s="129">
        <f>IFERROR(F274-E274-G274-H274-I274,"")</f>
        <v/>
      </c>
      <c r="K274" s="131">
        <f>IFERROR(J274/F274,"")</f>
        <v/>
      </c>
      <c r="L274" s="129" t="n"/>
    </row>
    <row r="275">
      <c r="A275" s="124" t="n"/>
      <c r="B275" s="125" t="n"/>
      <c r="C275" s="125" t="n"/>
      <c r="D275" s="125" t="n"/>
      <c r="E275" s="125" t="n"/>
      <c r="F275" s="126" t="n"/>
      <c r="G275" s="126" t="n"/>
      <c r="H275" s="125" t="n"/>
      <c r="I275" s="126" t="n"/>
      <c r="J275" s="125">
        <f>IFERROR(F275-E275-G275-H275-I275,"")</f>
        <v/>
      </c>
      <c r="K275" s="127">
        <f>IFERROR(J275/F275,"")</f>
        <v/>
      </c>
      <c r="L275" s="125" t="n"/>
    </row>
    <row r="276">
      <c r="A276" s="128" t="n"/>
      <c r="B276" s="129" t="n"/>
      <c r="C276" s="129" t="n"/>
      <c r="D276" s="129" t="n"/>
      <c r="E276" s="129" t="n"/>
      <c r="F276" s="130" t="n"/>
      <c r="G276" s="130" t="n"/>
      <c r="H276" s="129" t="n"/>
      <c r="I276" s="130" t="n"/>
      <c r="J276" s="129">
        <f>IFERROR(F276-E276-G276-H276-I276,"")</f>
        <v/>
      </c>
      <c r="K276" s="131">
        <f>IFERROR(J276/F276,"")</f>
        <v/>
      </c>
      <c r="L276" s="129" t="n"/>
    </row>
    <row r="277">
      <c r="A277" s="124" t="n"/>
      <c r="B277" s="125" t="n"/>
      <c r="C277" s="125" t="n"/>
      <c r="D277" s="125" t="n"/>
      <c r="E277" s="125" t="n"/>
      <c r="F277" s="126" t="n"/>
      <c r="G277" s="126" t="n"/>
      <c r="H277" s="125" t="n"/>
      <c r="I277" s="126" t="n"/>
      <c r="J277" s="125">
        <f>IFERROR(F277-E277-G277-H277-I277,"")</f>
        <v/>
      </c>
      <c r="K277" s="127">
        <f>IFERROR(J277/F277,"")</f>
        <v/>
      </c>
      <c r="L277" s="125" t="n"/>
    </row>
    <row r="278">
      <c r="A278" s="128" t="n"/>
      <c r="B278" s="129" t="n"/>
      <c r="C278" s="129" t="n"/>
      <c r="D278" s="129" t="n"/>
      <c r="E278" s="129" t="n"/>
      <c r="F278" s="130" t="n"/>
      <c r="G278" s="130" t="n"/>
      <c r="H278" s="129" t="n"/>
      <c r="I278" s="130" t="n"/>
      <c r="J278" s="129">
        <f>IFERROR(F278-E278-G278-H278-I278,"")</f>
        <v/>
      </c>
      <c r="K278" s="131">
        <f>IFERROR(J278/F278,"")</f>
        <v/>
      </c>
      <c r="L278" s="129" t="n"/>
    </row>
    <row r="279">
      <c r="A279" s="124" t="n"/>
      <c r="B279" s="125" t="n"/>
      <c r="C279" s="125" t="n"/>
      <c r="D279" s="125" t="n"/>
      <c r="E279" s="125" t="n"/>
      <c r="F279" s="126" t="n"/>
      <c r="G279" s="126" t="n"/>
      <c r="H279" s="125" t="n"/>
      <c r="I279" s="126" t="n"/>
      <c r="J279" s="125">
        <f>IFERROR(F279-E279-G279-H279-I279,"")</f>
        <v/>
      </c>
      <c r="K279" s="127">
        <f>IFERROR(J279/F279,"")</f>
        <v/>
      </c>
      <c r="L279" s="125" t="n"/>
    </row>
    <row r="280">
      <c r="A280" s="128" t="n"/>
      <c r="B280" s="129" t="n"/>
      <c r="C280" s="129" t="n"/>
      <c r="D280" s="129" t="n"/>
      <c r="E280" s="129" t="n"/>
      <c r="F280" s="130" t="n"/>
      <c r="G280" s="130" t="n"/>
      <c r="H280" s="129" t="n"/>
      <c r="I280" s="130" t="n"/>
      <c r="J280" s="129">
        <f>IFERROR(F280-E280-G280-H280-I280,"")</f>
        <v/>
      </c>
      <c r="K280" s="131">
        <f>IFERROR(J280/F280,"")</f>
        <v/>
      </c>
      <c r="L280" s="129" t="n"/>
    </row>
    <row r="281">
      <c r="A281" s="124" t="n"/>
      <c r="B281" s="125" t="n"/>
      <c r="C281" s="125" t="n"/>
      <c r="D281" s="125" t="n"/>
      <c r="E281" s="125" t="n"/>
      <c r="F281" s="126" t="n"/>
      <c r="G281" s="126" t="n"/>
      <c r="H281" s="125" t="n"/>
      <c r="I281" s="126" t="n"/>
      <c r="J281" s="125">
        <f>IFERROR(F281-E281-G281-H281-I281,"")</f>
        <v/>
      </c>
      <c r="K281" s="127">
        <f>IFERROR(J281/F281,"")</f>
        <v/>
      </c>
      <c r="L281" s="125" t="n"/>
    </row>
    <row r="282">
      <c r="A282" s="128" t="n"/>
      <c r="B282" s="129" t="n"/>
      <c r="C282" s="129" t="n"/>
      <c r="D282" s="129" t="n"/>
      <c r="E282" s="129" t="n"/>
      <c r="F282" s="130" t="n"/>
      <c r="G282" s="130" t="n"/>
      <c r="H282" s="129" t="n"/>
      <c r="I282" s="130" t="n"/>
      <c r="J282" s="129">
        <f>IFERROR(F282-E282-G282-H282-I282,"")</f>
        <v/>
      </c>
      <c r="K282" s="131">
        <f>IFERROR(J282/F282,"")</f>
        <v/>
      </c>
      <c r="L282" s="129" t="n"/>
    </row>
    <row r="283">
      <c r="A283" s="124" t="n"/>
      <c r="B283" s="125" t="n"/>
      <c r="C283" s="125" t="n"/>
      <c r="D283" s="125" t="n"/>
      <c r="E283" s="125" t="n"/>
      <c r="F283" s="126" t="n"/>
      <c r="G283" s="126" t="n"/>
      <c r="H283" s="125" t="n"/>
      <c r="I283" s="126" t="n"/>
      <c r="J283" s="125">
        <f>IFERROR(F283-E283-G283-H283-I283,"")</f>
        <v/>
      </c>
      <c r="K283" s="127">
        <f>IFERROR(J283/F283,"")</f>
        <v/>
      </c>
      <c r="L283" s="125" t="n"/>
    </row>
    <row r="284">
      <c r="A284" s="128" t="n"/>
      <c r="B284" s="129" t="n"/>
      <c r="C284" s="129" t="n"/>
      <c r="D284" s="129" t="n"/>
      <c r="E284" s="129" t="n"/>
      <c r="F284" s="130" t="n"/>
      <c r="G284" s="130" t="n"/>
      <c r="H284" s="129" t="n"/>
      <c r="I284" s="130" t="n"/>
      <c r="J284" s="129">
        <f>IFERROR(F284-E284-G284-H284-I284,"")</f>
        <v/>
      </c>
      <c r="K284" s="131">
        <f>IFERROR(J284/F284,"")</f>
        <v/>
      </c>
      <c r="L284" s="129" t="n"/>
    </row>
    <row r="285">
      <c r="A285" s="124" t="n"/>
      <c r="B285" s="125" t="n"/>
      <c r="C285" s="125" t="n"/>
      <c r="D285" s="125" t="n"/>
      <c r="E285" s="125" t="n"/>
      <c r="F285" s="126" t="n"/>
      <c r="G285" s="126" t="n"/>
      <c r="H285" s="125" t="n"/>
      <c r="I285" s="126" t="n"/>
      <c r="J285" s="125">
        <f>IFERROR(F285-E285-G285-H285-I285,"")</f>
        <v/>
      </c>
      <c r="K285" s="127">
        <f>IFERROR(J285/F285,"")</f>
        <v/>
      </c>
      <c r="L285" s="125" t="n"/>
    </row>
    <row r="286">
      <c r="A286" s="128" t="n"/>
      <c r="B286" s="129" t="n"/>
      <c r="C286" s="129" t="n"/>
      <c r="D286" s="129" t="n"/>
      <c r="E286" s="129" t="n"/>
      <c r="F286" s="130" t="n"/>
      <c r="G286" s="130" t="n"/>
      <c r="H286" s="129" t="n"/>
      <c r="I286" s="130" t="n"/>
      <c r="J286" s="129">
        <f>IFERROR(F286-E286-G286-H286-I286,"")</f>
        <v/>
      </c>
      <c r="K286" s="131">
        <f>IFERROR(J286/F286,"")</f>
        <v/>
      </c>
      <c r="L286" s="129" t="n"/>
    </row>
    <row r="287">
      <c r="A287" s="124" t="n"/>
      <c r="B287" s="125" t="n"/>
      <c r="C287" s="125" t="n"/>
      <c r="D287" s="125" t="n"/>
      <c r="E287" s="125" t="n"/>
      <c r="F287" s="126" t="n"/>
      <c r="G287" s="126" t="n"/>
      <c r="H287" s="125" t="n"/>
      <c r="I287" s="126" t="n"/>
      <c r="J287" s="125">
        <f>IFERROR(F287-E287-G287-H287-I287,"")</f>
        <v/>
      </c>
      <c r="K287" s="127">
        <f>IFERROR(J287/F287,"")</f>
        <v/>
      </c>
      <c r="L287" s="125" t="n"/>
    </row>
    <row r="288">
      <c r="A288" s="128" t="n"/>
      <c r="B288" s="129" t="n"/>
      <c r="C288" s="129" t="n"/>
      <c r="D288" s="129" t="n"/>
      <c r="E288" s="129" t="n"/>
      <c r="F288" s="130" t="n"/>
      <c r="G288" s="130" t="n"/>
      <c r="H288" s="129" t="n"/>
      <c r="I288" s="130" t="n"/>
      <c r="J288" s="129">
        <f>IFERROR(F288-E288-G288-H288-I288,"")</f>
        <v/>
      </c>
      <c r="K288" s="131">
        <f>IFERROR(J288/F288,"")</f>
        <v/>
      </c>
      <c r="L288" s="129" t="n"/>
    </row>
    <row r="289">
      <c r="A289" s="124" t="n"/>
      <c r="B289" s="125" t="n"/>
      <c r="C289" s="125" t="n"/>
      <c r="D289" s="125" t="n"/>
      <c r="E289" s="125" t="n"/>
      <c r="F289" s="126" t="n"/>
      <c r="G289" s="126" t="n"/>
      <c r="H289" s="125" t="n"/>
      <c r="I289" s="126" t="n"/>
      <c r="J289" s="125">
        <f>IFERROR(F289-E289-G289-H289-I289,"")</f>
        <v/>
      </c>
      <c r="K289" s="127">
        <f>IFERROR(J289/F289,"")</f>
        <v/>
      </c>
      <c r="L289" s="125" t="n"/>
    </row>
    <row r="290">
      <c r="A290" s="128" t="n"/>
      <c r="B290" s="129" t="n"/>
      <c r="C290" s="129" t="n"/>
      <c r="D290" s="129" t="n"/>
      <c r="E290" s="129" t="n"/>
      <c r="F290" s="130" t="n"/>
      <c r="G290" s="130" t="n"/>
      <c r="H290" s="129" t="n"/>
      <c r="I290" s="130" t="n"/>
      <c r="J290" s="129">
        <f>IFERROR(F290-E290-G290-H290-I290,"")</f>
        <v/>
      </c>
      <c r="K290" s="131">
        <f>IFERROR(J290/F290,"")</f>
        <v/>
      </c>
      <c r="L290" s="129" t="n"/>
    </row>
    <row r="291">
      <c r="A291" s="124" t="n"/>
      <c r="B291" s="125" t="n"/>
      <c r="C291" s="125" t="n"/>
      <c r="D291" s="125" t="n"/>
      <c r="E291" s="125" t="n"/>
      <c r="F291" s="126" t="n"/>
      <c r="G291" s="126" t="n"/>
      <c r="H291" s="125" t="n"/>
      <c r="I291" s="126" t="n"/>
      <c r="J291" s="125">
        <f>IFERROR(F291-E291-G291-H291-I291,"")</f>
        <v/>
      </c>
      <c r="K291" s="127">
        <f>IFERROR(J291/F291,"")</f>
        <v/>
      </c>
      <c r="L291" s="125" t="n"/>
    </row>
    <row r="292">
      <c r="A292" s="128" t="n"/>
      <c r="B292" s="129" t="n"/>
      <c r="C292" s="129" t="n"/>
      <c r="D292" s="129" t="n"/>
      <c r="E292" s="129" t="n"/>
      <c r="F292" s="130" t="n"/>
      <c r="G292" s="130" t="n"/>
      <c r="H292" s="129" t="n"/>
      <c r="I292" s="130" t="n"/>
      <c r="J292" s="129">
        <f>IFERROR(F292-E292-G292-H292-I292,"")</f>
        <v/>
      </c>
      <c r="K292" s="131">
        <f>IFERROR(J292/F292,"")</f>
        <v/>
      </c>
      <c r="L292" s="129" t="n"/>
    </row>
    <row r="293">
      <c r="A293" s="124" t="n"/>
      <c r="B293" s="125" t="n"/>
      <c r="C293" s="125" t="n"/>
      <c r="D293" s="125" t="n"/>
      <c r="E293" s="125" t="n"/>
      <c r="F293" s="126" t="n"/>
      <c r="G293" s="126" t="n"/>
      <c r="H293" s="125" t="n"/>
      <c r="I293" s="126" t="n"/>
      <c r="J293" s="125">
        <f>IFERROR(F293-E293-G293-H293-I293,"")</f>
        <v/>
      </c>
      <c r="K293" s="127">
        <f>IFERROR(J293/F293,"")</f>
        <v/>
      </c>
      <c r="L293" s="125" t="n"/>
    </row>
    <row r="294">
      <c r="A294" s="128" t="n"/>
      <c r="B294" s="129" t="n"/>
      <c r="C294" s="129" t="n"/>
      <c r="D294" s="129" t="n"/>
      <c r="E294" s="129" t="n"/>
      <c r="F294" s="130" t="n"/>
      <c r="G294" s="130" t="n"/>
      <c r="H294" s="129" t="n"/>
      <c r="I294" s="130" t="n"/>
      <c r="J294" s="129">
        <f>IFERROR(F294-E294-G294-H294-I294,"")</f>
        <v/>
      </c>
      <c r="K294" s="131">
        <f>IFERROR(J294/F294,"")</f>
        <v/>
      </c>
      <c r="L294" s="129" t="n"/>
    </row>
    <row r="295">
      <c r="A295" s="124" t="n"/>
      <c r="B295" s="125" t="n"/>
      <c r="C295" s="125" t="n"/>
      <c r="D295" s="125" t="n"/>
      <c r="E295" s="125" t="n"/>
      <c r="F295" s="126" t="n"/>
      <c r="G295" s="126" t="n"/>
      <c r="H295" s="125" t="n"/>
      <c r="I295" s="126" t="n"/>
      <c r="J295" s="125">
        <f>IFERROR(F295-E295-G295-H295-I295,"")</f>
        <v/>
      </c>
      <c r="K295" s="127">
        <f>IFERROR(J295/F295,"")</f>
        <v/>
      </c>
      <c r="L295" s="125" t="n"/>
    </row>
    <row r="296">
      <c r="A296" s="128" t="n"/>
      <c r="B296" s="129" t="n"/>
      <c r="C296" s="129" t="n"/>
      <c r="D296" s="129" t="n"/>
      <c r="E296" s="129" t="n"/>
      <c r="F296" s="130" t="n"/>
      <c r="G296" s="130" t="n"/>
      <c r="H296" s="129" t="n"/>
      <c r="I296" s="130" t="n"/>
      <c r="J296" s="129">
        <f>IFERROR(F296-E296-G296-H296-I296,"")</f>
        <v/>
      </c>
      <c r="K296" s="131">
        <f>IFERROR(J296/F296,"")</f>
        <v/>
      </c>
      <c r="L296" s="129" t="n"/>
    </row>
    <row r="297">
      <c r="A297" s="124" t="n"/>
      <c r="B297" s="125" t="n"/>
      <c r="C297" s="125" t="n"/>
      <c r="D297" s="125" t="n"/>
      <c r="E297" s="125" t="n"/>
      <c r="F297" s="126" t="n"/>
      <c r="G297" s="126" t="n"/>
      <c r="H297" s="125" t="n"/>
      <c r="I297" s="126" t="n"/>
      <c r="J297" s="125">
        <f>IFERROR(F297-E297-G297-H297-I297,"")</f>
        <v/>
      </c>
      <c r="K297" s="127">
        <f>IFERROR(J297/F297,"")</f>
        <v/>
      </c>
      <c r="L297" s="125" t="n"/>
    </row>
    <row r="298">
      <c r="A298" s="128" t="n"/>
      <c r="B298" s="129" t="n"/>
      <c r="C298" s="129" t="n"/>
      <c r="D298" s="129" t="n"/>
      <c r="E298" s="129" t="n"/>
      <c r="F298" s="130" t="n"/>
      <c r="G298" s="130" t="n"/>
      <c r="H298" s="129" t="n"/>
      <c r="I298" s="130" t="n"/>
      <c r="J298" s="129">
        <f>IFERROR(F298-E298-G298-H298-I298,"")</f>
        <v/>
      </c>
      <c r="K298" s="131">
        <f>IFERROR(J298/F298,"")</f>
        <v/>
      </c>
      <c r="L298" s="129" t="n"/>
    </row>
    <row r="299">
      <c r="A299" s="124" t="n"/>
      <c r="B299" s="125" t="n"/>
      <c r="C299" s="125" t="n"/>
      <c r="D299" s="125" t="n"/>
      <c r="E299" s="125" t="n"/>
      <c r="F299" s="126" t="n"/>
      <c r="G299" s="126" t="n"/>
      <c r="H299" s="125" t="n"/>
      <c r="I299" s="126" t="n"/>
      <c r="J299" s="125">
        <f>IFERROR(F299-E299-G299-H299-I299,"")</f>
        <v/>
      </c>
      <c r="K299" s="127">
        <f>IFERROR(J299/F299,"")</f>
        <v/>
      </c>
      <c r="L299" s="125" t="n"/>
    </row>
    <row r="300">
      <c r="A300" s="128" t="n"/>
      <c r="B300" s="129" t="n"/>
      <c r="C300" s="129" t="n"/>
      <c r="D300" s="129" t="n"/>
      <c r="E300" s="129" t="n"/>
      <c r="F300" s="130" t="n"/>
      <c r="G300" s="130" t="n"/>
      <c r="H300" s="129" t="n"/>
      <c r="I300" s="130" t="n"/>
      <c r="J300" s="129">
        <f>IFERROR(F300-E300-G300-H300-I300,"")</f>
        <v/>
      </c>
      <c r="K300" s="131">
        <f>IFERROR(J300/F300,"")</f>
        <v/>
      </c>
      <c r="L300" s="129" t="n"/>
    </row>
    <row r="301">
      <c r="A301" s="124" t="n"/>
      <c r="B301" s="125" t="n"/>
      <c r="C301" s="125" t="n"/>
      <c r="D301" s="125" t="n"/>
      <c r="E301" s="125" t="n"/>
      <c r="F301" s="126" t="n"/>
      <c r="G301" s="126" t="n"/>
      <c r="H301" s="125" t="n"/>
      <c r="I301" s="126" t="n"/>
      <c r="J301" s="125">
        <f>IFERROR(F301-E301-G301-H301-I301,"")</f>
        <v/>
      </c>
      <c r="K301" s="127">
        <f>IFERROR(J301/F301,"")</f>
        <v/>
      </c>
      <c r="L301" s="125" t="n"/>
    </row>
    <row r="302">
      <c r="A302" s="128" t="n"/>
      <c r="B302" s="129" t="n"/>
      <c r="C302" s="129" t="n"/>
      <c r="D302" s="129" t="n"/>
      <c r="E302" s="129" t="n"/>
      <c r="F302" s="130" t="n"/>
      <c r="G302" s="130" t="n"/>
      <c r="H302" s="129" t="n"/>
      <c r="I302" s="130" t="n"/>
      <c r="J302" s="129">
        <f>IFERROR(F302-E302-G302-H302-I302,"")</f>
        <v/>
      </c>
      <c r="K302" s="131">
        <f>IFERROR(J302/F302,"")</f>
        <v/>
      </c>
      <c r="L302" s="129" t="n"/>
    </row>
    <row r="303">
      <c r="A303" s="124" t="n"/>
      <c r="B303" s="125" t="n"/>
      <c r="C303" s="125" t="n"/>
      <c r="D303" s="125" t="n"/>
      <c r="E303" s="125" t="n"/>
      <c r="F303" s="126" t="n"/>
      <c r="G303" s="126" t="n"/>
      <c r="H303" s="125" t="n"/>
      <c r="I303" s="126" t="n"/>
      <c r="J303" s="125">
        <f>IFERROR(F303-E303-G303-H303-I303,"")</f>
        <v/>
      </c>
      <c r="K303" s="127">
        <f>IFERROR(J303/F303,"")</f>
        <v/>
      </c>
      <c r="L303" s="125" t="n"/>
    </row>
    <row r="304">
      <c r="A304" s="128" t="n"/>
      <c r="B304" s="129" t="n"/>
      <c r="C304" s="129" t="n"/>
      <c r="D304" s="129" t="n"/>
      <c r="E304" s="129" t="n"/>
      <c r="F304" s="130" t="n"/>
      <c r="G304" s="130" t="n"/>
      <c r="H304" s="129" t="n"/>
      <c r="I304" s="130" t="n"/>
      <c r="J304" s="129">
        <f>IFERROR(F304-E304-G304-H304-I304,"")</f>
        <v/>
      </c>
      <c r="K304" s="131">
        <f>IFERROR(J304/F304,"")</f>
        <v/>
      </c>
      <c r="L304" s="129" t="n"/>
    </row>
    <row r="305">
      <c r="A305" s="124" t="n"/>
      <c r="B305" s="125" t="n"/>
      <c r="C305" s="125" t="n"/>
      <c r="D305" s="125" t="n"/>
      <c r="E305" s="125" t="n"/>
      <c r="F305" s="126" t="n"/>
      <c r="G305" s="126" t="n"/>
      <c r="H305" s="125" t="n"/>
      <c r="I305" s="126" t="n"/>
      <c r="J305" s="125">
        <f>IFERROR(F305-E305-G305-H305-I305,"")</f>
        <v/>
      </c>
      <c r="K305" s="127">
        <f>IFERROR(J305/F305,"")</f>
        <v/>
      </c>
      <c r="L305" s="125" t="n"/>
    </row>
    <row r="306">
      <c r="A306" s="128" t="n"/>
      <c r="B306" s="129" t="n"/>
      <c r="C306" s="129" t="n"/>
      <c r="D306" s="129" t="n"/>
      <c r="E306" s="129" t="n"/>
      <c r="F306" s="130" t="n"/>
      <c r="G306" s="130" t="n"/>
      <c r="H306" s="129" t="n"/>
      <c r="I306" s="130" t="n"/>
      <c r="J306" s="129">
        <f>IFERROR(F306-E306-G306-H306-I306,"")</f>
        <v/>
      </c>
      <c r="K306" s="131">
        <f>IFERROR(J306/F306,"")</f>
        <v/>
      </c>
      <c r="L306" s="129" t="n"/>
    </row>
    <row r="307">
      <c r="A307" s="124" t="n"/>
      <c r="B307" s="125" t="n"/>
      <c r="C307" s="125" t="n"/>
      <c r="D307" s="125" t="n"/>
      <c r="E307" s="125" t="n"/>
      <c r="F307" s="126" t="n"/>
      <c r="G307" s="126" t="n"/>
      <c r="H307" s="125" t="n"/>
      <c r="I307" s="126" t="n"/>
      <c r="J307" s="125">
        <f>IFERROR(F307-E307-G307-H307-I307,"")</f>
        <v/>
      </c>
      <c r="K307" s="127">
        <f>IFERROR(J307/F307,"")</f>
        <v/>
      </c>
      <c r="L307" s="125" t="n"/>
    </row>
    <row r="308">
      <c r="A308" s="128" t="n"/>
      <c r="B308" s="129" t="n"/>
      <c r="C308" s="129" t="n"/>
      <c r="D308" s="129" t="n"/>
      <c r="E308" s="129" t="n"/>
      <c r="F308" s="130" t="n"/>
      <c r="G308" s="130" t="n"/>
      <c r="H308" s="129" t="n"/>
      <c r="I308" s="130" t="n"/>
      <c r="J308" s="129">
        <f>IFERROR(F308-E308-G308-H308-I308,"")</f>
        <v/>
      </c>
      <c r="K308" s="131">
        <f>IFERROR(J308/F308,"")</f>
        <v/>
      </c>
      <c r="L308" s="129" t="n"/>
    </row>
    <row r="309">
      <c r="A309" s="124" t="n"/>
      <c r="B309" s="125" t="n"/>
      <c r="C309" s="125" t="n"/>
      <c r="D309" s="125" t="n"/>
      <c r="E309" s="125" t="n"/>
      <c r="F309" s="126" t="n"/>
      <c r="G309" s="126" t="n"/>
      <c r="H309" s="125" t="n"/>
      <c r="I309" s="126" t="n"/>
      <c r="J309" s="125">
        <f>IFERROR(F309-E309-G309-H309-I309,"")</f>
        <v/>
      </c>
      <c r="K309" s="127">
        <f>IFERROR(J309/F309,"")</f>
        <v/>
      </c>
      <c r="L309" s="125" t="n"/>
    </row>
    <row r="310">
      <c r="A310" s="128" t="n"/>
      <c r="B310" s="129" t="n"/>
      <c r="C310" s="129" t="n"/>
      <c r="D310" s="129" t="n"/>
      <c r="E310" s="129" t="n"/>
      <c r="F310" s="130" t="n"/>
      <c r="G310" s="130" t="n"/>
      <c r="H310" s="129" t="n"/>
      <c r="I310" s="130" t="n"/>
      <c r="J310" s="129">
        <f>IFERROR(F310-E310-G310-H310-I310,"")</f>
        <v/>
      </c>
      <c r="K310" s="131">
        <f>IFERROR(J310/F310,"")</f>
        <v/>
      </c>
      <c r="L310" s="129" t="n"/>
    </row>
    <row r="311">
      <c r="A311" s="124" t="n"/>
      <c r="B311" s="125" t="n"/>
      <c r="C311" s="125" t="n"/>
      <c r="D311" s="125" t="n"/>
      <c r="E311" s="125" t="n"/>
      <c r="F311" s="126" t="n"/>
      <c r="G311" s="126" t="n"/>
      <c r="H311" s="125" t="n"/>
      <c r="I311" s="126" t="n"/>
      <c r="J311" s="125">
        <f>IFERROR(F311-E311-G311-H311-I311,"")</f>
        <v/>
      </c>
      <c r="K311" s="127">
        <f>IFERROR(J311/F311,"")</f>
        <v/>
      </c>
      <c r="L311" s="125" t="n"/>
    </row>
    <row r="312">
      <c r="A312" s="128" t="n"/>
      <c r="B312" s="129" t="n"/>
      <c r="C312" s="129" t="n"/>
      <c r="D312" s="129" t="n"/>
      <c r="E312" s="129" t="n"/>
      <c r="F312" s="130" t="n"/>
      <c r="G312" s="130" t="n"/>
      <c r="H312" s="129" t="n"/>
      <c r="I312" s="130" t="n"/>
      <c r="J312" s="129">
        <f>IFERROR(F312-E312-G312-H312-I312,"")</f>
        <v/>
      </c>
      <c r="K312" s="131">
        <f>IFERROR(J312/F312,"")</f>
        <v/>
      </c>
      <c r="L312" s="129" t="n"/>
    </row>
    <row r="313">
      <c r="A313" s="124" t="n"/>
      <c r="B313" s="125" t="n"/>
      <c r="C313" s="125" t="n"/>
      <c r="D313" s="125" t="n"/>
      <c r="E313" s="125" t="n"/>
      <c r="F313" s="126" t="n"/>
      <c r="G313" s="126" t="n"/>
      <c r="H313" s="125" t="n"/>
      <c r="I313" s="126" t="n"/>
      <c r="J313" s="125">
        <f>IFERROR(F313-E313-G313-H313-I313,"")</f>
        <v/>
      </c>
      <c r="K313" s="127">
        <f>IFERROR(J313/F313,"")</f>
        <v/>
      </c>
      <c r="L313" s="125" t="n"/>
    </row>
    <row r="314">
      <c r="A314" s="128" t="n"/>
      <c r="B314" s="129" t="n"/>
      <c r="C314" s="129" t="n"/>
      <c r="D314" s="129" t="n"/>
      <c r="E314" s="129" t="n"/>
      <c r="F314" s="130" t="n"/>
      <c r="G314" s="130" t="n"/>
      <c r="H314" s="129" t="n"/>
      <c r="I314" s="130" t="n"/>
      <c r="J314" s="129">
        <f>IFERROR(F314-E314-G314-H314-I314,"")</f>
        <v/>
      </c>
      <c r="K314" s="131">
        <f>IFERROR(J314/F314,"")</f>
        <v/>
      </c>
      <c r="L314" s="129" t="n"/>
    </row>
    <row r="315">
      <c r="A315" s="124" t="n"/>
      <c r="B315" s="125" t="n"/>
      <c r="C315" s="125" t="n"/>
      <c r="D315" s="125" t="n"/>
      <c r="E315" s="125" t="n"/>
      <c r="F315" s="126" t="n"/>
      <c r="G315" s="126" t="n"/>
      <c r="H315" s="125" t="n"/>
      <c r="I315" s="126" t="n"/>
      <c r="J315" s="125">
        <f>IFERROR(F315-E315-G315-H315-I315,"")</f>
        <v/>
      </c>
      <c r="K315" s="127">
        <f>IFERROR(J315/F315,"")</f>
        <v/>
      </c>
      <c r="L315" s="125" t="n"/>
    </row>
    <row r="316">
      <c r="A316" s="128" t="n"/>
      <c r="B316" s="129" t="n"/>
      <c r="C316" s="129" t="n"/>
      <c r="D316" s="129" t="n"/>
      <c r="E316" s="129" t="n"/>
      <c r="F316" s="130" t="n"/>
      <c r="G316" s="130" t="n"/>
      <c r="H316" s="129" t="n"/>
      <c r="I316" s="130" t="n"/>
      <c r="J316" s="129">
        <f>IFERROR(F316-E316-G316-H316-I316,"")</f>
        <v/>
      </c>
      <c r="K316" s="131">
        <f>IFERROR(J316/F316,"")</f>
        <v/>
      </c>
      <c r="L316" s="129" t="n"/>
    </row>
    <row r="317">
      <c r="A317" s="124" t="n"/>
      <c r="B317" s="125" t="n"/>
      <c r="C317" s="125" t="n"/>
      <c r="D317" s="125" t="n"/>
      <c r="E317" s="125" t="n"/>
      <c r="F317" s="126" t="n"/>
      <c r="G317" s="126" t="n"/>
      <c r="H317" s="125" t="n"/>
      <c r="I317" s="126" t="n"/>
      <c r="J317" s="125">
        <f>IFERROR(F317-E317-G317-H317-I317,"")</f>
        <v/>
      </c>
      <c r="K317" s="127">
        <f>IFERROR(J317/F317,"")</f>
        <v/>
      </c>
      <c r="L317" s="125" t="n"/>
    </row>
    <row r="318">
      <c r="A318" s="128" t="n"/>
      <c r="B318" s="129" t="n"/>
      <c r="C318" s="129" t="n"/>
      <c r="D318" s="129" t="n"/>
      <c r="E318" s="129" t="n"/>
      <c r="F318" s="130" t="n"/>
      <c r="G318" s="130" t="n"/>
      <c r="H318" s="129" t="n"/>
      <c r="I318" s="130" t="n"/>
      <c r="J318" s="129">
        <f>IFERROR(F318-E318-G318-H318-I318,"")</f>
        <v/>
      </c>
      <c r="K318" s="131">
        <f>IFERROR(J318/F318,"")</f>
        <v/>
      </c>
      <c r="L318" s="129" t="n"/>
    </row>
    <row r="319">
      <c r="A319" s="124" t="n"/>
      <c r="B319" s="125" t="n"/>
      <c r="C319" s="125" t="n"/>
      <c r="D319" s="125" t="n"/>
      <c r="E319" s="125" t="n"/>
      <c r="F319" s="126" t="n"/>
      <c r="G319" s="126" t="n"/>
      <c r="H319" s="125" t="n"/>
      <c r="I319" s="126" t="n"/>
      <c r="J319" s="125">
        <f>IFERROR(F319-E319-G319-H319-I319,"")</f>
        <v/>
      </c>
      <c r="K319" s="127">
        <f>IFERROR(J319/F319,"")</f>
        <v/>
      </c>
      <c r="L319" s="125" t="n"/>
    </row>
    <row r="320">
      <c r="A320" s="128" t="n"/>
      <c r="B320" s="129" t="n"/>
      <c r="C320" s="129" t="n"/>
      <c r="D320" s="129" t="n"/>
      <c r="E320" s="129" t="n"/>
      <c r="F320" s="130" t="n"/>
      <c r="G320" s="130" t="n"/>
      <c r="H320" s="129" t="n"/>
      <c r="I320" s="130" t="n"/>
      <c r="J320" s="129">
        <f>IFERROR(F320-E320-G320-H320-I320,"")</f>
        <v/>
      </c>
      <c r="K320" s="131">
        <f>IFERROR(J320/F320,"")</f>
        <v/>
      </c>
      <c r="L320" s="129" t="n"/>
    </row>
    <row r="321">
      <c r="A321" s="124" t="n"/>
      <c r="B321" s="125" t="n"/>
      <c r="C321" s="125" t="n"/>
      <c r="D321" s="125" t="n"/>
      <c r="E321" s="125" t="n"/>
      <c r="F321" s="126" t="n"/>
      <c r="G321" s="126" t="n"/>
      <c r="H321" s="125" t="n"/>
      <c r="I321" s="126" t="n"/>
      <c r="J321" s="125">
        <f>IFERROR(F321-E321-G321-H321-I321,"")</f>
        <v/>
      </c>
      <c r="K321" s="127">
        <f>IFERROR(J321/F321,"")</f>
        <v/>
      </c>
      <c r="L321" s="125" t="n"/>
    </row>
    <row r="322">
      <c r="A322" s="128" t="n"/>
      <c r="B322" s="129" t="n"/>
      <c r="C322" s="129" t="n"/>
      <c r="D322" s="129" t="n"/>
      <c r="E322" s="129" t="n"/>
      <c r="F322" s="130" t="n"/>
      <c r="G322" s="130" t="n"/>
      <c r="H322" s="129" t="n"/>
      <c r="I322" s="130" t="n"/>
      <c r="J322" s="129">
        <f>IFERROR(F322-E322-G322-H322-I322,"")</f>
        <v/>
      </c>
      <c r="K322" s="131">
        <f>IFERROR(J322/F322,"")</f>
        <v/>
      </c>
      <c r="L322" s="129" t="n"/>
    </row>
    <row r="323">
      <c r="A323" s="124" t="n"/>
      <c r="B323" s="125" t="n"/>
      <c r="C323" s="125" t="n"/>
      <c r="D323" s="125" t="n"/>
      <c r="E323" s="125" t="n"/>
      <c r="F323" s="126" t="n"/>
      <c r="G323" s="126" t="n"/>
      <c r="H323" s="125" t="n"/>
      <c r="I323" s="126" t="n"/>
      <c r="J323" s="125">
        <f>IFERROR(F323-E323-G323-H323-I323,"")</f>
        <v/>
      </c>
      <c r="K323" s="127">
        <f>IFERROR(J323/F323,"")</f>
        <v/>
      </c>
      <c r="L323" s="125" t="n"/>
    </row>
    <row r="324">
      <c r="A324" s="128" t="n"/>
      <c r="B324" s="129" t="n"/>
      <c r="C324" s="129" t="n"/>
      <c r="D324" s="129" t="n"/>
      <c r="E324" s="129" t="n"/>
      <c r="F324" s="130" t="n"/>
      <c r="G324" s="130" t="n"/>
      <c r="H324" s="129" t="n"/>
      <c r="I324" s="130" t="n"/>
      <c r="J324" s="129">
        <f>IFERROR(F324-E324-G324-H324-I324,"")</f>
        <v/>
      </c>
      <c r="K324" s="131">
        <f>IFERROR(J324/F324,"")</f>
        <v/>
      </c>
      <c r="L324" s="129" t="n"/>
    </row>
    <row r="325">
      <c r="A325" s="124" t="n"/>
      <c r="B325" s="125" t="n"/>
      <c r="C325" s="125" t="n"/>
      <c r="D325" s="125" t="n"/>
      <c r="E325" s="125" t="n"/>
      <c r="F325" s="126" t="n"/>
      <c r="G325" s="126" t="n"/>
      <c r="H325" s="125" t="n"/>
      <c r="I325" s="126" t="n"/>
      <c r="J325" s="125">
        <f>IFERROR(F325-E325-G325-H325-I325,"")</f>
        <v/>
      </c>
      <c r="K325" s="127">
        <f>IFERROR(J325/F325,"")</f>
        <v/>
      </c>
      <c r="L325" s="125" t="n"/>
    </row>
    <row r="326">
      <c r="A326" s="128" t="n"/>
      <c r="B326" s="129" t="n"/>
      <c r="C326" s="129" t="n"/>
      <c r="D326" s="129" t="n"/>
      <c r="E326" s="129" t="n"/>
      <c r="F326" s="130" t="n"/>
      <c r="G326" s="130" t="n"/>
      <c r="H326" s="129" t="n"/>
      <c r="I326" s="130" t="n"/>
      <c r="J326" s="129">
        <f>IFERROR(F326-E326-G326-H326-I326,"")</f>
        <v/>
      </c>
      <c r="K326" s="131">
        <f>IFERROR(J326/F326,"")</f>
        <v/>
      </c>
      <c r="L326" s="129" t="n"/>
    </row>
    <row r="327">
      <c r="A327" s="124" t="n"/>
      <c r="B327" s="125" t="n"/>
      <c r="C327" s="125" t="n"/>
      <c r="D327" s="125" t="n"/>
      <c r="E327" s="125" t="n"/>
      <c r="F327" s="126" t="n"/>
      <c r="G327" s="126" t="n"/>
      <c r="H327" s="125" t="n"/>
      <c r="I327" s="126" t="n"/>
      <c r="J327" s="125">
        <f>IFERROR(F327-E327-G327-H327-I327,"")</f>
        <v/>
      </c>
      <c r="K327" s="127">
        <f>IFERROR(J327/F327,"")</f>
        <v/>
      </c>
      <c r="L327" s="125" t="n"/>
    </row>
    <row r="328">
      <c r="A328" s="128" t="n"/>
      <c r="B328" s="129" t="n"/>
      <c r="C328" s="129" t="n"/>
      <c r="D328" s="129" t="n"/>
      <c r="E328" s="129" t="n"/>
      <c r="F328" s="130" t="n"/>
      <c r="G328" s="130" t="n"/>
      <c r="H328" s="129" t="n"/>
      <c r="I328" s="130" t="n"/>
      <c r="J328" s="129">
        <f>IFERROR(F328-E328-G328-H328-I328,"")</f>
        <v/>
      </c>
      <c r="K328" s="131">
        <f>IFERROR(J328/F328,"")</f>
        <v/>
      </c>
      <c r="L328" s="129" t="n"/>
    </row>
    <row r="329">
      <c r="A329" s="124" t="n"/>
      <c r="B329" s="125" t="n"/>
      <c r="C329" s="125" t="n"/>
      <c r="D329" s="125" t="n"/>
      <c r="E329" s="125" t="n"/>
      <c r="F329" s="126" t="n"/>
      <c r="G329" s="126" t="n"/>
      <c r="H329" s="125" t="n"/>
      <c r="I329" s="126" t="n"/>
      <c r="J329" s="125">
        <f>IFERROR(F329-E329-G329-H329-I329,"")</f>
        <v/>
      </c>
      <c r="K329" s="127">
        <f>IFERROR(J329/F329,"")</f>
        <v/>
      </c>
      <c r="L329" s="125" t="n"/>
    </row>
    <row r="330">
      <c r="A330" s="128" t="n"/>
      <c r="B330" s="129" t="n"/>
      <c r="C330" s="129" t="n"/>
      <c r="D330" s="129" t="n"/>
      <c r="E330" s="129" t="n"/>
      <c r="F330" s="130" t="n"/>
      <c r="G330" s="130" t="n"/>
      <c r="H330" s="129" t="n"/>
      <c r="I330" s="130" t="n"/>
      <c r="J330" s="129">
        <f>IFERROR(F330-E330-G330-H330-I330,"")</f>
        <v/>
      </c>
      <c r="K330" s="131">
        <f>IFERROR(J330/F330,"")</f>
        <v/>
      </c>
      <c r="L330" s="129" t="n"/>
    </row>
    <row r="331">
      <c r="A331" s="124" t="n"/>
      <c r="B331" s="125" t="n"/>
      <c r="C331" s="125" t="n"/>
      <c r="D331" s="125" t="n"/>
      <c r="E331" s="125" t="n"/>
      <c r="F331" s="126" t="n"/>
      <c r="G331" s="126" t="n"/>
      <c r="H331" s="125" t="n"/>
      <c r="I331" s="126" t="n"/>
      <c r="J331" s="125">
        <f>IFERROR(F331-E331-G331-H331-I331,"")</f>
        <v/>
      </c>
      <c r="K331" s="127">
        <f>IFERROR(J331/F331,"")</f>
        <v/>
      </c>
      <c r="L331" s="125" t="n"/>
    </row>
    <row r="332">
      <c r="A332" s="128" t="n"/>
      <c r="B332" s="129" t="n"/>
      <c r="C332" s="129" t="n"/>
      <c r="D332" s="129" t="n"/>
      <c r="E332" s="129" t="n"/>
      <c r="F332" s="130" t="n"/>
      <c r="G332" s="130" t="n"/>
      <c r="H332" s="129" t="n"/>
      <c r="I332" s="130" t="n"/>
      <c r="J332" s="129">
        <f>IFERROR(F332-E332-G332-H332-I332,"")</f>
        <v/>
      </c>
      <c r="K332" s="131">
        <f>IFERROR(J332/F332,"")</f>
        <v/>
      </c>
      <c r="L332" s="129" t="n"/>
    </row>
    <row r="333">
      <c r="A333" s="124" t="n"/>
      <c r="B333" s="125" t="n"/>
      <c r="C333" s="125" t="n"/>
      <c r="D333" s="125" t="n"/>
      <c r="E333" s="125" t="n"/>
      <c r="F333" s="126" t="n"/>
      <c r="G333" s="126" t="n"/>
      <c r="H333" s="125" t="n"/>
      <c r="I333" s="126" t="n"/>
      <c r="J333" s="125">
        <f>IFERROR(F333-E333-G333-H333-I333,"")</f>
        <v/>
      </c>
      <c r="K333" s="127">
        <f>IFERROR(J333/F333,"")</f>
        <v/>
      </c>
      <c r="L333" s="125" t="n"/>
    </row>
    <row r="334">
      <c r="A334" s="128" t="n"/>
      <c r="B334" s="129" t="n"/>
      <c r="C334" s="129" t="n"/>
      <c r="D334" s="129" t="n"/>
      <c r="E334" s="129" t="n"/>
      <c r="F334" s="130" t="n"/>
      <c r="G334" s="130" t="n"/>
      <c r="H334" s="129" t="n"/>
      <c r="I334" s="130" t="n"/>
      <c r="J334" s="129">
        <f>IFERROR(F334-E334-G334-H334-I334,"")</f>
        <v/>
      </c>
      <c r="K334" s="131">
        <f>IFERROR(J334/F334,"")</f>
        <v/>
      </c>
      <c r="L334" s="129" t="n"/>
    </row>
    <row r="335">
      <c r="A335" s="124" t="n"/>
      <c r="B335" s="125" t="n"/>
      <c r="C335" s="125" t="n"/>
      <c r="D335" s="125" t="n"/>
      <c r="E335" s="125" t="n"/>
      <c r="F335" s="126" t="n"/>
      <c r="G335" s="126" t="n"/>
      <c r="H335" s="125" t="n"/>
      <c r="I335" s="126" t="n"/>
      <c r="J335" s="125">
        <f>IFERROR(F335-E335-G335-H335-I335,"")</f>
        <v/>
      </c>
      <c r="K335" s="127">
        <f>IFERROR(J335/F335,"")</f>
        <v/>
      </c>
      <c r="L335" s="125" t="n"/>
    </row>
    <row r="336">
      <c r="A336" s="128" t="n"/>
      <c r="B336" s="129" t="n"/>
      <c r="C336" s="129" t="n"/>
      <c r="D336" s="129" t="n"/>
      <c r="E336" s="129" t="n"/>
      <c r="F336" s="130" t="n"/>
      <c r="G336" s="130" t="n"/>
      <c r="H336" s="129" t="n"/>
      <c r="I336" s="130" t="n"/>
      <c r="J336" s="129">
        <f>IFERROR(F336-E336-G336-H336-I336,"")</f>
        <v/>
      </c>
      <c r="K336" s="131">
        <f>IFERROR(J336/F336,"")</f>
        <v/>
      </c>
      <c r="L336" s="129" t="n"/>
    </row>
    <row r="337">
      <c r="A337" s="124" t="n"/>
      <c r="B337" s="125" t="n"/>
      <c r="C337" s="125" t="n"/>
      <c r="D337" s="125" t="n"/>
      <c r="E337" s="125" t="n"/>
      <c r="F337" s="126" t="n"/>
      <c r="G337" s="126" t="n"/>
      <c r="H337" s="125" t="n"/>
      <c r="I337" s="126" t="n"/>
      <c r="J337" s="125">
        <f>IFERROR(F337-E337-G337-H337-I337,"")</f>
        <v/>
      </c>
      <c r="K337" s="127">
        <f>IFERROR(J337/F337,"")</f>
        <v/>
      </c>
      <c r="L337" s="125" t="n"/>
    </row>
    <row r="338">
      <c r="A338" s="128" t="n"/>
      <c r="B338" s="129" t="n"/>
      <c r="C338" s="129" t="n"/>
      <c r="D338" s="129" t="n"/>
      <c r="E338" s="129" t="n"/>
      <c r="F338" s="130" t="n"/>
      <c r="G338" s="130" t="n"/>
      <c r="H338" s="129" t="n"/>
      <c r="I338" s="130" t="n"/>
      <c r="J338" s="129">
        <f>IFERROR(F338-E338-G338-H338-I338,"")</f>
        <v/>
      </c>
      <c r="K338" s="131">
        <f>IFERROR(J338/F338,"")</f>
        <v/>
      </c>
      <c r="L338" s="129" t="n"/>
    </row>
    <row r="339">
      <c r="A339" s="124" t="n"/>
      <c r="B339" s="125" t="n"/>
      <c r="C339" s="125" t="n"/>
      <c r="D339" s="125" t="n"/>
      <c r="E339" s="125" t="n"/>
      <c r="F339" s="126" t="n"/>
      <c r="G339" s="126" t="n"/>
      <c r="H339" s="125" t="n"/>
      <c r="I339" s="126" t="n"/>
      <c r="J339" s="125">
        <f>IFERROR(F339-E339-G339-H339-I339,"")</f>
        <v/>
      </c>
      <c r="K339" s="127">
        <f>IFERROR(J339/F339,"")</f>
        <v/>
      </c>
      <c r="L339" s="125" t="n"/>
    </row>
    <row r="340">
      <c r="A340" s="128" t="n"/>
      <c r="B340" s="129" t="n"/>
      <c r="C340" s="129" t="n"/>
      <c r="D340" s="129" t="n"/>
      <c r="E340" s="129" t="n"/>
      <c r="F340" s="130" t="n"/>
      <c r="G340" s="130" t="n"/>
      <c r="H340" s="129" t="n"/>
      <c r="I340" s="130" t="n"/>
      <c r="J340" s="129">
        <f>IFERROR(F340-E340-G340-H340-I340,"")</f>
        <v/>
      </c>
      <c r="K340" s="131">
        <f>IFERROR(J340/F340,"")</f>
        <v/>
      </c>
      <c r="L340" s="129" t="n"/>
    </row>
    <row r="341">
      <c r="A341" s="124" t="n"/>
      <c r="B341" s="125" t="n"/>
      <c r="C341" s="125" t="n"/>
      <c r="D341" s="125" t="n"/>
      <c r="E341" s="125" t="n"/>
      <c r="F341" s="126" t="n"/>
      <c r="G341" s="126" t="n"/>
      <c r="H341" s="125" t="n"/>
      <c r="I341" s="126" t="n"/>
      <c r="J341" s="125">
        <f>IFERROR(F341-E341-G341-H341-I341,"")</f>
        <v/>
      </c>
      <c r="K341" s="127">
        <f>IFERROR(J341/F341,"")</f>
        <v/>
      </c>
      <c r="L341" s="125" t="n"/>
    </row>
    <row r="342">
      <c r="A342" s="128" t="n"/>
      <c r="B342" s="129" t="n"/>
      <c r="C342" s="129" t="n"/>
      <c r="D342" s="129" t="n"/>
      <c r="E342" s="129" t="n"/>
      <c r="F342" s="130" t="n"/>
      <c r="G342" s="130" t="n"/>
      <c r="H342" s="129" t="n"/>
      <c r="I342" s="130" t="n"/>
      <c r="J342" s="129">
        <f>IFERROR(F342-E342-G342-H342-I342,"")</f>
        <v/>
      </c>
      <c r="K342" s="131">
        <f>IFERROR(J342/F342,"")</f>
        <v/>
      </c>
      <c r="L342" s="129" t="n"/>
    </row>
    <row r="343">
      <c r="A343" s="124" t="n"/>
      <c r="B343" s="125" t="n"/>
      <c r="C343" s="125" t="n"/>
      <c r="D343" s="125" t="n"/>
      <c r="E343" s="125" t="n"/>
      <c r="F343" s="126" t="n"/>
      <c r="G343" s="126" t="n"/>
      <c r="H343" s="125" t="n"/>
      <c r="I343" s="126" t="n"/>
      <c r="J343" s="125">
        <f>IFERROR(F343-E343-G343-H343-I343,"")</f>
        <v/>
      </c>
      <c r="K343" s="127">
        <f>IFERROR(J343/F343,"")</f>
        <v/>
      </c>
      <c r="L343" s="125" t="n"/>
    </row>
    <row r="344">
      <c r="A344" s="128" t="n"/>
      <c r="B344" s="129" t="n"/>
      <c r="C344" s="129" t="n"/>
      <c r="D344" s="129" t="n"/>
      <c r="E344" s="129" t="n"/>
      <c r="F344" s="130" t="n"/>
      <c r="G344" s="130" t="n"/>
      <c r="H344" s="129" t="n"/>
      <c r="I344" s="130" t="n"/>
      <c r="J344" s="129">
        <f>IFERROR(F344-E344-G344-H344-I344,"")</f>
        <v/>
      </c>
      <c r="K344" s="131">
        <f>IFERROR(J344/F344,"")</f>
        <v/>
      </c>
      <c r="L344" s="129" t="n"/>
    </row>
    <row r="345">
      <c r="A345" s="124" t="n"/>
      <c r="B345" s="125" t="n"/>
      <c r="C345" s="125" t="n"/>
      <c r="D345" s="125" t="n"/>
      <c r="E345" s="125" t="n"/>
      <c r="F345" s="126" t="n"/>
      <c r="G345" s="126" t="n"/>
      <c r="H345" s="125" t="n"/>
      <c r="I345" s="126" t="n"/>
      <c r="J345" s="125">
        <f>IFERROR(F345-E345-G345-H345-I345,"")</f>
        <v/>
      </c>
      <c r="K345" s="127">
        <f>IFERROR(J345/F345,"")</f>
        <v/>
      </c>
      <c r="L345" s="125" t="n"/>
    </row>
    <row r="346">
      <c r="A346" s="128" t="n"/>
      <c r="B346" s="129" t="n"/>
      <c r="C346" s="129" t="n"/>
      <c r="D346" s="129" t="n"/>
      <c r="E346" s="129" t="n"/>
      <c r="F346" s="130" t="n"/>
      <c r="G346" s="130" t="n"/>
      <c r="H346" s="129" t="n"/>
      <c r="I346" s="130" t="n"/>
      <c r="J346" s="129">
        <f>IFERROR(F346-E346-G346-H346-I346,"")</f>
        <v/>
      </c>
      <c r="K346" s="131">
        <f>IFERROR(J346/F346,"")</f>
        <v/>
      </c>
      <c r="L346" s="129" t="n"/>
    </row>
    <row r="347">
      <c r="A347" s="124" t="n"/>
      <c r="B347" s="125" t="n"/>
      <c r="C347" s="125" t="n"/>
      <c r="D347" s="125" t="n"/>
      <c r="E347" s="125" t="n"/>
      <c r="F347" s="126" t="n"/>
      <c r="G347" s="126" t="n"/>
      <c r="H347" s="125" t="n"/>
      <c r="I347" s="126" t="n"/>
      <c r="J347" s="125">
        <f>IFERROR(F347-E347-G347-H347-I347,"")</f>
        <v/>
      </c>
      <c r="K347" s="127">
        <f>IFERROR(J347/F347,"")</f>
        <v/>
      </c>
      <c r="L347" s="125" t="n"/>
    </row>
    <row r="348">
      <c r="A348" s="128" t="n"/>
      <c r="B348" s="129" t="n"/>
      <c r="C348" s="129" t="n"/>
      <c r="D348" s="129" t="n"/>
      <c r="E348" s="129" t="n"/>
      <c r="F348" s="130" t="n"/>
      <c r="G348" s="130" t="n"/>
      <c r="H348" s="129" t="n"/>
      <c r="I348" s="130" t="n"/>
      <c r="J348" s="129">
        <f>IFERROR(F348-E348-G348-H348-I348,"")</f>
        <v/>
      </c>
      <c r="K348" s="131">
        <f>IFERROR(J348/F348,"")</f>
        <v/>
      </c>
      <c r="L348" s="129" t="n"/>
    </row>
    <row r="349">
      <c r="A349" s="124" t="n"/>
      <c r="B349" s="125" t="n"/>
      <c r="C349" s="125" t="n"/>
      <c r="D349" s="125" t="n"/>
      <c r="E349" s="125" t="n"/>
      <c r="F349" s="126" t="n"/>
      <c r="G349" s="126" t="n"/>
      <c r="H349" s="125" t="n"/>
      <c r="I349" s="126" t="n"/>
      <c r="J349" s="125">
        <f>IFERROR(F349-E349-G349-H349-I349,"")</f>
        <v/>
      </c>
      <c r="K349" s="127">
        <f>IFERROR(J349/F349,"")</f>
        <v/>
      </c>
      <c r="L349" s="125" t="n"/>
    </row>
    <row r="350">
      <c r="A350" s="128" t="n"/>
      <c r="B350" s="129" t="n"/>
      <c r="C350" s="129" t="n"/>
      <c r="D350" s="129" t="n"/>
      <c r="E350" s="129" t="n"/>
      <c r="F350" s="130" t="n"/>
      <c r="G350" s="130" t="n"/>
      <c r="H350" s="129" t="n"/>
      <c r="I350" s="130" t="n"/>
      <c r="J350" s="129">
        <f>IFERROR(F350-E350-G350-H350-I350,"")</f>
        <v/>
      </c>
      <c r="K350" s="131">
        <f>IFERROR(J350/F350,"")</f>
        <v/>
      </c>
      <c r="L350" s="129" t="n"/>
    </row>
    <row r="351">
      <c r="A351" s="124" t="n"/>
      <c r="B351" s="125" t="n"/>
      <c r="C351" s="125" t="n"/>
      <c r="D351" s="125" t="n"/>
      <c r="E351" s="125" t="n"/>
      <c r="F351" s="126" t="n"/>
      <c r="G351" s="126" t="n"/>
      <c r="H351" s="125" t="n"/>
      <c r="I351" s="126" t="n"/>
      <c r="J351" s="125">
        <f>IFERROR(F351-E351-G351-H351-I351,"")</f>
        <v/>
      </c>
      <c r="K351" s="127">
        <f>IFERROR(J351/F351,"")</f>
        <v/>
      </c>
      <c r="L351" s="125" t="n"/>
    </row>
    <row r="352">
      <c r="A352" s="128" t="n"/>
      <c r="B352" s="129" t="n"/>
      <c r="C352" s="129" t="n"/>
      <c r="D352" s="129" t="n"/>
      <c r="E352" s="129" t="n"/>
      <c r="F352" s="130" t="n"/>
      <c r="G352" s="130" t="n"/>
      <c r="H352" s="129" t="n"/>
      <c r="I352" s="130" t="n"/>
      <c r="J352" s="129">
        <f>IFERROR(F352-E352-G352-H352-I352,"")</f>
        <v/>
      </c>
      <c r="K352" s="131">
        <f>IFERROR(J352/F352,"")</f>
        <v/>
      </c>
      <c r="L352" s="129" t="n"/>
    </row>
    <row r="353">
      <c r="A353" s="124" t="n"/>
      <c r="B353" s="125" t="n"/>
      <c r="C353" s="125" t="n"/>
      <c r="D353" s="125" t="n"/>
      <c r="E353" s="125" t="n"/>
      <c r="F353" s="126" t="n"/>
      <c r="G353" s="126" t="n"/>
      <c r="H353" s="125" t="n"/>
      <c r="I353" s="126" t="n"/>
      <c r="J353" s="125">
        <f>IFERROR(F353-E353-G353-H353-I353,"")</f>
        <v/>
      </c>
      <c r="K353" s="127">
        <f>IFERROR(J353/F353,"")</f>
        <v/>
      </c>
      <c r="L353" s="125" t="n"/>
    </row>
    <row r="354">
      <c r="A354" s="128" t="n"/>
      <c r="B354" s="129" t="n"/>
      <c r="C354" s="129" t="n"/>
      <c r="D354" s="129" t="n"/>
      <c r="E354" s="129" t="n"/>
      <c r="F354" s="130" t="n"/>
      <c r="G354" s="130" t="n"/>
      <c r="H354" s="129" t="n"/>
      <c r="I354" s="130" t="n"/>
      <c r="J354" s="129">
        <f>IFERROR(F354-E354-G354-H354-I354,"")</f>
        <v/>
      </c>
      <c r="K354" s="131">
        <f>IFERROR(J354/F354,"")</f>
        <v/>
      </c>
      <c r="L354" s="129" t="n"/>
    </row>
    <row r="355">
      <c r="A355" s="124" t="n"/>
      <c r="B355" s="125" t="n"/>
      <c r="C355" s="125" t="n"/>
      <c r="D355" s="125" t="n"/>
      <c r="E355" s="125" t="n"/>
      <c r="F355" s="126" t="n"/>
      <c r="G355" s="126" t="n"/>
      <c r="H355" s="125" t="n"/>
      <c r="I355" s="126" t="n"/>
      <c r="J355" s="125">
        <f>IFERROR(F355-E355-G355-H355-I355,"")</f>
        <v/>
      </c>
      <c r="K355" s="127">
        <f>IFERROR(J355/F355,"")</f>
        <v/>
      </c>
      <c r="L355" s="125" t="n"/>
    </row>
    <row r="356">
      <c r="A356" s="128" t="n"/>
      <c r="B356" s="129" t="n"/>
      <c r="C356" s="129" t="n"/>
      <c r="D356" s="129" t="n"/>
      <c r="E356" s="129" t="n"/>
      <c r="F356" s="130" t="n"/>
      <c r="G356" s="130" t="n"/>
      <c r="H356" s="129" t="n"/>
      <c r="I356" s="130" t="n"/>
      <c r="J356" s="129">
        <f>IFERROR(F356-E356-G356-H356-I356,"")</f>
        <v/>
      </c>
      <c r="K356" s="131">
        <f>IFERROR(J356/F356,"")</f>
        <v/>
      </c>
      <c r="L356" s="129" t="n"/>
    </row>
    <row r="357">
      <c r="A357" s="124" t="n"/>
      <c r="B357" s="125" t="n"/>
      <c r="C357" s="125" t="n"/>
      <c r="D357" s="125" t="n"/>
      <c r="E357" s="125" t="n"/>
      <c r="F357" s="126" t="n"/>
      <c r="G357" s="126" t="n"/>
      <c r="H357" s="125" t="n"/>
      <c r="I357" s="126" t="n"/>
      <c r="J357" s="125">
        <f>IFERROR(F357-E357-G357-H357-I357,"")</f>
        <v/>
      </c>
      <c r="K357" s="127">
        <f>IFERROR(J357/F357,"")</f>
        <v/>
      </c>
      <c r="L357" s="125" t="n"/>
    </row>
    <row r="358">
      <c r="A358" s="128" t="n"/>
      <c r="B358" s="129" t="n"/>
      <c r="C358" s="129" t="n"/>
      <c r="D358" s="129" t="n"/>
      <c r="E358" s="129" t="n"/>
      <c r="F358" s="130" t="n"/>
      <c r="G358" s="130" t="n"/>
      <c r="H358" s="129" t="n"/>
      <c r="I358" s="130" t="n"/>
      <c r="J358" s="129">
        <f>IFERROR(F358-E358-G358-H358-I358,"")</f>
        <v/>
      </c>
      <c r="K358" s="131">
        <f>IFERROR(J358/F358,"")</f>
        <v/>
      </c>
      <c r="L358" s="129" t="n"/>
    </row>
    <row r="359">
      <c r="A359" s="124" t="n"/>
      <c r="B359" s="125" t="n"/>
      <c r="C359" s="125" t="n"/>
      <c r="D359" s="125" t="n"/>
      <c r="E359" s="125" t="n"/>
      <c r="F359" s="126" t="n"/>
      <c r="G359" s="126" t="n"/>
      <c r="H359" s="125" t="n"/>
      <c r="I359" s="126" t="n"/>
      <c r="J359" s="125">
        <f>IFERROR(F359-E359-G359-H359-I359,"")</f>
        <v/>
      </c>
      <c r="K359" s="127">
        <f>IFERROR(J359/F359,"")</f>
        <v/>
      </c>
      <c r="L359" s="125" t="n"/>
    </row>
    <row r="360">
      <c r="A360" s="128" t="n"/>
      <c r="B360" s="129" t="n"/>
      <c r="C360" s="129" t="n"/>
      <c r="D360" s="129" t="n"/>
      <c r="E360" s="129" t="n"/>
      <c r="F360" s="130" t="n"/>
      <c r="G360" s="130" t="n"/>
      <c r="H360" s="129" t="n"/>
      <c r="I360" s="130" t="n"/>
      <c r="J360" s="129">
        <f>IFERROR(F360-E360-G360-H360-I360,"")</f>
        <v/>
      </c>
      <c r="K360" s="131">
        <f>IFERROR(J360/F360,"")</f>
        <v/>
      </c>
      <c r="L360" s="129" t="n"/>
    </row>
    <row r="361">
      <c r="A361" s="124" t="n"/>
      <c r="B361" s="125" t="n"/>
      <c r="C361" s="125" t="n"/>
      <c r="D361" s="125" t="n"/>
      <c r="E361" s="125" t="n"/>
      <c r="F361" s="126" t="n"/>
      <c r="G361" s="126" t="n"/>
      <c r="H361" s="125" t="n"/>
      <c r="I361" s="126" t="n"/>
      <c r="J361" s="125">
        <f>IFERROR(F361-E361-G361-H361-I361,"")</f>
        <v/>
      </c>
      <c r="K361" s="127">
        <f>IFERROR(J361/F361,"")</f>
        <v/>
      </c>
      <c r="L361" s="125" t="n"/>
    </row>
    <row r="362">
      <c r="A362" s="128" t="n"/>
      <c r="B362" s="129" t="n"/>
      <c r="C362" s="129" t="n"/>
      <c r="D362" s="129" t="n"/>
      <c r="E362" s="129" t="n"/>
      <c r="F362" s="130" t="n"/>
      <c r="G362" s="130" t="n"/>
      <c r="H362" s="129" t="n"/>
      <c r="I362" s="130" t="n"/>
      <c r="J362" s="129">
        <f>IFERROR(F362-E362-G362-H362-I362,"")</f>
        <v/>
      </c>
      <c r="K362" s="131">
        <f>IFERROR(J362/F362,"")</f>
        <v/>
      </c>
      <c r="L362" s="129" t="n"/>
    </row>
    <row r="363">
      <c r="A363" s="124" t="n"/>
      <c r="B363" s="125" t="n"/>
      <c r="C363" s="125" t="n"/>
      <c r="D363" s="125" t="n"/>
      <c r="E363" s="125" t="n"/>
      <c r="F363" s="126" t="n"/>
      <c r="G363" s="126" t="n"/>
      <c r="H363" s="125" t="n"/>
      <c r="I363" s="126" t="n"/>
      <c r="J363" s="125">
        <f>IFERROR(F363-E363-G363-H363-I363,"")</f>
        <v/>
      </c>
      <c r="K363" s="127">
        <f>IFERROR(J363/F363,"")</f>
        <v/>
      </c>
      <c r="L363" s="125" t="n"/>
    </row>
    <row r="364">
      <c r="A364" s="128" t="n"/>
      <c r="B364" s="129" t="n"/>
      <c r="C364" s="129" t="n"/>
      <c r="D364" s="129" t="n"/>
      <c r="E364" s="129" t="n"/>
      <c r="F364" s="130" t="n"/>
      <c r="G364" s="130" t="n"/>
      <c r="H364" s="129" t="n"/>
      <c r="I364" s="130" t="n"/>
      <c r="J364" s="129">
        <f>IFERROR(F364-E364-G364-H364-I364,"")</f>
        <v/>
      </c>
      <c r="K364" s="131">
        <f>IFERROR(J364/F364,"")</f>
        <v/>
      </c>
      <c r="L364" s="129" t="n"/>
    </row>
    <row r="365">
      <c r="A365" s="124" t="n"/>
      <c r="B365" s="125" t="n"/>
      <c r="C365" s="125" t="n"/>
      <c r="D365" s="125" t="n"/>
      <c r="E365" s="125" t="n"/>
      <c r="F365" s="126" t="n"/>
      <c r="G365" s="126" t="n"/>
      <c r="H365" s="125" t="n"/>
      <c r="I365" s="126" t="n"/>
      <c r="J365" s="125">
        <f>IFERROR(F365-E365-G365-H365-I365,"")</f>
        <v/>
      </c>
      <c r="K365" s="127">
        <f>IFERROR(J365/F365,"")</f>
        <v/>
      </c>
      <c r="L365" s="125" t="n"/>
    </row>
    <row r="366">
      <c r="A366" s="128" t="n"/>
      <c r="B366" s="129" t="n"/>
      <c r="C366" s="129" t="n"/>
      <c r="D366" s="129" t="n"/>
      <c r="E366" s="129" t="n"/>
      <c r="F366" s="130" t="n"/>
      <c r="G366" s="130" t="n"/>
      <c r="H366" s="129" t="n"/>
      <c r="I366" s="130" t="n"/>
      <c r="J366" s="129">
        <f>IFERROR(F366-E366-G366-H366-I366,"")</f>
        <v/>
      </c>
      <c r="K366" s="131">
        <f>IFERROR(J366/F366,"")</f>
        <v/>
      </c>
      <c r="L366" s="129" t="n"/>
    </row>
    <row r="367">
      <c r="A367" s="124" t="n"/>
      <c r="B367" s="125" t="n"/>
      <c r="C367" s="125" t="n"/>
      <c r="D367" s="125" t="n"/>
      <c r="E367" s="125" t="n"/>
      <c r="F367" s="126" t="n"/>
      <c r="G367" s="126" t="n"/>
      <c r="H367" s="125" t="n"/>
      <c r="I367" s="126" t="n"/>
      <c r="J367" s="125">
        <f>IFERROR(F367-E367-G367-H367-I367,"")</f>
        <v/>
      </c>
      <c r="K367" s="127">
        <f>IFERROR(J367/F367,"")</f>
        <v/>
      </c>
      <c r="L367" s="125" t="n"/>
    </row>
    <row r="368">
      <c r="A368" s="128" t="n"/>
      <c r="B368" s="129" t="n"/>
      <c r="C368" s="129" t="n"/>
      <c r="D368" s="129" t="n"/>
      <c r="E368" s="129" t="n"/>
      <c r="F368" s="130" t="n"/>
      <c r="G368" s="130" t="n"/>
      <c r="H368" s="129" t="n"/>
      <c r="I368" s="130" t="n"/>
      <c r="J368" s="129">
        <f>IFERROR(F368-E368-G368-H368-I368,"")</f>
        <v/>
      </c>
      <c r="K368" s="131">
        <f>IFERROR(J368/F368,"")</f>
        <v/>
      </c>
      <c r="L368" s="129" t="n"/>
    </row>
    <row r="369">
      <c r="A369" s="124" t="n"/>
      <c r="B369" s="125" t="n"/>
      <c r="C369" s="125" t="n"/>
      <c r="D369" s="125" t="n"/>
      <c r="E369" s="125" t="n"/>
      <c r="F369" s="126" t="n"/>
      <c r="G369" s="126" t="n"/>
      <c r="H369" s="125" t="n"/>
      <c r="I369" s="126" t="n"/>
      <c r="J369" s="125">
        <f>IFERROR(F369-E369-G369-H369-I369,"")</f>
        <v/>
      </c>
      <c r="K369" s="127">
        <f>IFERROR(J369/F369,"")</f>
        <v/>
      </c>
      <c r="L369" s="125" t="n"/>
    </row>
    <row r="370">
      <c r="A370" s="128" t="n"/>
      <c r="B370" s="129" t="n"/>
      <c r="C370" s="129" t="n"/>
      <c r="D370" s="129" t="n"/>
      <c r="E370" s="129" t="n"/>
      <c r="F370" s="130" t="n"/>
      <c r="G370" s="130" t="n"/>
      <c r="H370" s="129" t="n"/>
      <c r="I370" s="130" t="n"/>
      <c r="J370" s="129">
        <f>IFERROR(F370-E370-G370-H370-I370,"")</f>
        <v/>
      </c>
      <c r="K370" s="131">
        <f>IFERROR(J370/F370,"")</f>
        <v/>
      </c>
      <c r="L370" s="129" t="n"/>
    </row>
    <row r="371">
      <c r="A371" s="124" t="n"/>
      <c r="B371" s="125" t="n"/>
      <c r="C371" s="125" t="n"/>
      <c r="D371" s="125" t="n"/>
      <c r="E371" s="125" t="n"/>
      <c r="F371" s="126" t="n"/>
      <c r="G371" s="126" t="n"/>
      <c r="H371" s="125" t="n"/>
      <c r="I371" s="126" t="n"/>
      <c r="J371" s="125">
        <f>IFERROR(F371-E371-G371-H371-I371,"")</f>
        <v/>
      </c>
      <c r="K371" s="127">
        <f>IFERROR(J371/F371,"")</f>
        <v/>
      </c>
      <c r="L371" s="125" t="n"/>
    </row>
    <row r="372">
      <c r="A372" s="128" t="n"/>
      <c r="B372" s="129" t="n"/>
      <c r="C372" s="129" t="n"/>
      <c r="D372" s="129" t="n"/>
      <c r="E372" s="129" t="n"/>
      <c r="F372" s="130" t="n"/>
      <c r="G372" s="130" t="n"/>
      <c r="H372" s="129" t="n"/>
      <c r="I372" s="130" t="n"/>
      <c r="J372" s="129">
        <f>IFERROR(F372-E372-G372-H372-I372,"")</f>
        <v/>
      </c>
      <c r="K372" s="131">
        <f>IFERROR(J372/F372,"")</f>
        <v/>
      </c>
      <c r="L372" s="129" t="n"/>
    </row>
    <row r="373">
      <c r="A373" s="124" t="n"/>
      <c r="B373" s="125" t="n"/>
      <c r="C373" s="125" t="n"/>
      <c r="D373" s="125" t="n"/>
      <c r="E373" s="125" t="n"/>
      <c r="F373" s="126" t="n"/>
      <c r="G373" s="126" t="n"/>
      <c r="H373" s="125" t="n"/>
      <c r="I373" s="126" t="n"/>
      <c r="J373" s="125">
        <f>IFERROR(F373-E373-G373-H373-I373,"")</f>
        <v/>
      </c>
      <c r="K373" s="127">
        <f>IFERROR(J373/F373,"")</f>
        <v/>
      </c>
      <c r="L373" s="125" t="n"/>
    </row>
    <row r="374">
      <c r="A374" s="128" t="n"/>
      <c r="B374" s="129" t="n"/>
      <c r="C374" s="129" t="n"/>
      <c r="D374" s="129" t="n"/>
      <c r="E374" s="129" t="n"/>
      <c r="F374" s="130" t="n"/>
      <c r="G374" s="130" t="n"/>
      <c r="H374" s="129" t="n"/>
      <c r="I374" s="130" t="n"/>
      <c r="J374" s="129">
        <f>IFERROR(F374-E374-G374-H374-I374,"")</f>
        <v/>
      </c>
      <c r="K374" s="131">
        <f>IFERROR(J374/F374,"")</f>
        <v/>
      </c>
      <c r="L374" s="129" t="n"/>
    </row>
    <row r="375">
      <c r="A375" s="124" t="n"/>
      <c r="B375" s="125" t="n"/>
      <c r="C375" s="125" t="n"/>
      <c r="D375" s="125" t="n"/>
      <c r="E375" s="125" t="n"/>
      <c r="F375" s="126" t="n"/>
      <c r="G375" s="126" t="n"/>
      <c r="H375" s="125" t="n"/>
      <c r="I375" s="126" t="n"/>
      <c r="J375" s="125">
        <f>IFERROR(F375-E375-G375-H375-I375,"")</f>
        <v/>
      </c>
      <c r="K375" s="127">
        <f>IFERROR(J375/F375,"")</f>
        <v/>
      </c>
      <c r="L375" s="125" t="n"/>
    </row>
    <row r="376">
      <c r="A376" s="128" t="n"/>
      <c r="B376" s="129" t="n"/>
      <c r="C376" s="129" t="n"/>
      <c r="D376" s="129" t="n"/>
      <c r="E376" s="129" t="n"/>
      <c r="F376" s="130" t="n"/>
      <c r="G376" s="130" t="n"/>
      <c r="H376" s="129" t="n"/>
      <c r="I376" s="130" t="n"/>
      <c r="J376" s="129">
        <f>IFERROR(F376-E376-G376-H376-I376,"")</f>
        <v/>
      </c>
      <c r="K376" s="131">
        <f>IFERROR(J376/F376,"")</f>
        <v/>
      </c>
      <c r="L376" s="129" t="n"/>
    </row>
    <row r="377">
      <c r="A377" s="124" t="n"/>
      <c r="B377" s="125" t="n"/>
      <c r="C377" s="125" t="n"/>
      <c r="D377" s="125" t="n"/>
      <c r="E377" s="125" t="n"/>
      <c r="F377" s="126" t="n"/>
      <c r="G377" s="126" t="n"/>
      <c r="H377" s="125" t="n"/>
      <c r="I377" s="126" t="n"/>
      <c r="J377" s="125">
        <f>IFERROR(F377-E377-G377-H377-I377,"")</f>
        <v/>
      </c>
      <c r="K377" s="127">
        <f>IFERROR(J377/F377,"")</f>
        <v/>
      </c>
      <c r="L377" s="125" t="n"/>
    </row>
    <row r="378">
      <c r="A378" s="128" t="n"/>
      <c r="B378" s="129" t="n"/>
      <c r="C378" s="129" t="n"/>
      <c r="D378" s="129" t="n"/>
      <c r="E378" s="129" t="n"/>
      <c r="F378" s="130" t="n"/>
      <c r="G378" s="130" t="n"/>
      <c r="H378" s="129" t="n"/>
      <c r="I378" s="130" t="n"/>
      <c r="J378" s="129">
        <f>IFERROR(F378-E378-G378-H378-I378,"")</f>
        <v/>
      </c>
      <c r="K378" s="131">
        <f>IFERROR(J378/F378,"")</f>
        <v/>
      </c>
      <c r="L378" s="129" t="n"/>
    </row>
    <row r="379">
      <c r="A379" s="124" t="n"/>
      <c r="B379" s="125" t="n"/>
      <c r="C379" s="125" t="n"/>
      <c r="D379" s="125" t="n"/>
      <c r="E379" s="125" t="n"/>
      <c r="F379" s="126" t="n"/>
      <c r="G379" s="126" t="n"/>
      <c r="H379" s="125" t="n"/>
      <c r="I379" s="126" t="n"/>
      <c r="J379" s="125">
        <f>IFERROR(F379-E379-G379-H379-I379,"")</f>
        <v/>
      </c>
      <c r="K379" s="127">
        <f>IFERROR(J379/F379,"")</f>
        <v/>
      </c>
      <c r="L379" s="125" t="n"/>
    </row>
    <row r="380">
      <c r="A380" s="128" t="n"/>
      <c r="B380" s="129" t="n"/>
      <c r="C380" s="129" t="n"/>
      <c r="D380" s="129" t="n"/>
      <c r="E380" s="129" t="n"/>
      <c r="F380" s="130" t="n"/>
      <c r="G380" s="130" t="n"/>
      <c r="H380" s="129" t="n"/>
      <c r="I380" s="130" t="n"/>
      <c r="J380" s="129">
        <f>IFERROR(F380-E380-G380-H380-I380,"")</f>
        <v/>
      </c>
      <c r="K380" s="131">
        <f>IFERROR(J380/F380,"")</f>
        <v/>
      </c>
      <c r="L380" s="129" t="n"/>
    </row>
    <row r="381">
      <c r="A381" s="124" t="n"/>
      <c r="B381" s="125" t="n"/>
      <c r="C381" s="125" t="n"/>
      <c r="D381" s="125" t="n"/>
      <c r="E381" s="125" t="n"/>
      <c r="F381" s="126" t="n"/>
      <c r="G381" s="126" t="n"/>
      <c r="H381" s="125" t="n"/>
      <c r="I381" s="126" t="n"/>
      <c r="J381" s="125">
        <f>IFERROR(F381-E381-G381-H381-I381,"")</f>
        <v/>
      </c>
      <c r="K381" s="127">
        <f>IFERROR(J381/F381,"")</f>
        <v/>
      </c>
      <c r="L381" s="125" t="n"/>
    </row>
    <row r="382">
      <c r="A382" s="128" t="n"/>
      <c r="B382" s="129" t="n"/>
      <c r="C382" s="129" t="n"/>
      <c r="D382" s="129" t="n"/>
      <c r="E382" s="129" t="n"/>
      <c r="F382" s="130" t="n"/>
      <c r="G382" s="130" t="n"/>
      <c r="H382" s="129" t="n"/>
      <c r="I382" s="130" t="n"/>
      <c r="J382" s="129">
        <f>IFERROR(F382-E382-G382-H382-I382,"")</f>
        <v/>
      </c>
      <c r="K382" s="131">
        <f>IFERROR(J382/F382,"")</f>
        <v/>
      </c>
      <c r="L382" s="129" t="n"/>
    </row>
    <row r="383">
      <c r="A383" s="124" t="n"/>
      <c r="B383" s="125" t="n"/>
      <c r="C383" s="125" t="n"/>
      <c r="D383" s="125" t="n"/>
      <c r="E383" s="125" t="n"/>
      <c r="F383" s="126" t="n"/>
      <c r="G383" s="126" t="n"/>
      <c r="H383" s="125" t="n"/>
      <c r="I383" s="126" t="n"/>
      <c r="J383" s="125">
        <f>IFERROR(F383-E383-G383-H383-I383,"")</f>
        <v/>
      </c>
      <c r="K383" s="127">
        <f>IFERROR(J383/F383,"")</f>
        <v/>
      </c>
      <c r="L383" s="125" t="n"/>
    </row>
    <row r="384">
      <c r="A384" s="128" t="n"/>
      <c r="B384" s="129" t="n"/>
      <c r="C384" s="129" t="n"/>
      <c r="D384" s="129" t="n"/>
      <c r="E384" s="129" t="n"/>
      <c r="F384" s="130" t="n"/>
      <c r="G384" s="130" t="n"/>
      <c r="H384" s="129" t="n"/>
      <c r="I384" s="130" t="n"/>
      <c r="J384" s="129">
        <f>IFERROR(F384-E384-G384-H384-I384,"")</f>
        <v/>
      </c>
      <c r="K384" s="131">
        <f>IFERROR(J384/F384,"")</f>
        <v/>
      </c>
      <c r="L384" s="129" t="n"/>
    </row>
    <row r="385">
      <c r="A385" s="124" t="n"/>
      <c r="B385" s="125" t="n"/>
      <c r="C385" s="125" t="n"/>
      <c r="D385" s="125" t="n"/>
      <c r="E385" s="125" t="n"/>
      <c r="F385" s="126" t="n"/>
      <c r="G385" s="126" t="n"/>
      <c r="H385" s="125" t="n"/>
      <c r="I385" s="126" t="n"/>
      <c r="J385" s="125">
        <f>IFERROR(F385-E385-G385-H385-I385,"")</f>
        <v/>
      </c>
      <c r="K385" s="127">
        <f>IFERROR(J385/F385,"")</f>
        <v/>
      </c>
      <c r="L385" s="125" t="n"/>
    </row>
    <row r="386">
      <c r="A386" s="128" t="n"/>
      <c r="B386" s="129" t="n"/>
      <c r="C386" s="129" t="n"/>
      <c r="D386" s="129" t="n"/>
      <c r="E386" s="129" t="n"/>
      <c r="F386" s="130" t="n"/>
      <c r="G386" s="130" t="n"/>
      <c r="H386" s="129" t="n"/>
      <c r="I386" s="130" t="n"/>
      <c r="J386" s="129">
        <f>IFERROR(F386-E386-G386-H386-I386,"")</f>
        <v/>
      </c>
      <c r="K386" s="131">
        <f>IFERROR(J386/F386,"")</f>
        <v/>
      </c>
      <c r="L386" s="129" t="n"/>
    </row>
    <row r="387">
      <c r="A387" s="124" t="n"/>
      <c r="B387" s="125" t="n"/>
      <c r="C387" s="125" t="n"/>
      <c r="D387" s="125" t="n"/>
      <c r="E387" s="125" t="n"/>
      <c r="F387" s="126" t="n"/>
      <c r="G387" s="126" t="n"/>
      <c r="H387" s="125" t="n"/>
      <c r="I387" s="126" t="n"/>
      <c r="J387" s="125">
        <f>IFERROR(F387-E387-G387-H387-I387,"")</f>
        <v/>
      </c>
      <c r="K387" s="127">
        <f>IFERROR(J387/F387,"")</f>
        <v/>
      </c>
      <c r="L387" s="125" t="n"/>
    </row>
    <row r="388">
      <c r="A388" s="128" t="n"/>
      <c r="B388" s="129" t="n"/>
      <c r="C388" s="129" t="n"/>
      <c r="D388" s="129" t="n"/>
      <c r="E388" s="129" t="n"/>
      <c r="F388" s="130" t="n"/>
      <c r="G388" s="130" t="n"/>
      <c r="H388" s="129" t="n"/>
      <c r="I388" s="130" t="n"/>
      <c r="J388" s="129">
        <f>IFERROR(F388-E388-G388-H388-I388,"")</f>
        <v/>
      </c>
      <c r="K388" s="131">
        <f>IFERROR(J388/F388,"")</f>
        <v/>
      </c>
      <c r="L388" s="129" t="n"/>
    </row>
    <row r="389">
      <c r="A389" s="124" t="n"/>
      <c r="B389" s="125" t="n"/>
      <c r="C389" s="125" t="n"/>
      <c r="D389" s="125" t="n"/>
      <c r="E389" s="125" t="n"/>
      <c r="F389" s="126" t="n"/>
      <c r="G389" s="126" t="n"/>
      <c r="H389" s="125" t="n"/>
      <c r="I389" s="126" t="n"/>
      <c r="J389" s="125">
        <f>IFERROR(F389-E389-G389-H389-I389,"")</f>
        <v/>
      </c>
      <c r="K389" s="127">
        <f>IFERROR(J389/F389,"")</f>
        <v/>
      </c>
      <c r="L389" s="125" t="n"/>
    </row>
    <row r="390">
      <c r="A390" s="128" t="n"/>
      <c r="B390" s="129" t="n"/>
      <c r="C390" s="129" t="n"/>
      <c r="D390" s="129" t="n"/>
      <c r="E390" s="129" t="n"/>
      <c r="F390" s="130" t="n"/>
      <c r="G390" s="130" t="n"/>
      <c r="H390" s="129" t="n"/>
      <c r="I390" s="130" t="n"/>
      <c r="J390" s="129">
        <f>IFERROR(F390-E390-G390-H390-I390,"")</f>
        <v/>
      </c>
      <c r="K390" s="131">
        <f>IFERROR(J390/F390,"")</f>
        <v/>
      </c>
      <c r="L390" s="129" t="n"/>
    </row>
    <row r="391">
      <c r="A391" s="124" t="n"/>
      <c r="B391" s="125" t="n"/>
      <c r="C391" s="125" t="n"/>
      <c r="D391" s="125" t="n"/>
      <c r="E391" s="125" t="n"/>
      <c r="F391" s="126" t="n"/>
      <c r="G391" s="126" t="n"/>
      <c r="H391" s="125" t="n"/>
      <c r="I391" s="126" t="n"/>
      <c r="J391" s="125">
        <f>IFERROR(F391-E391-G391-H391-I391,"")</f>
        <v/>
      </c>
      <c r="K391" s="127">
        <f>IFERROR(J391/F391,"")</f>
        <v/>
      </c>
      <c r="L391" s="125" t="n"/>
    </row>
    <row r="392">
      <c r="A392" s="128" t="n"/>
      <c r="B392" s="129" t="n"/>
      <c r="C392" s="129" t="n"/>
      <c r="D392" s="129" t="n"/>
      <c r="E392" s="129" t="n"/>
      <c r="F392" s="130" t="n"/>
      <c r="G392" s="130" t="n"/>
      <c r="H392" s="129" t="n"/>
      <c r="I392" s="130" t="n"/>
      <c r="J392" s="129">
        <f>IFERROR(F392-E392-G392-H392-I392,"")</f>
        <v/>
      </c>
      <c r="K392" s="131">
        <f>IFERROR(J392/F392,"")</f>
        <v/>
      </c>
      <c r="L392" s="129" t="n"/>
    </row>
    <row r="393">
      <c r="A393" s="124" t="n"/>
      <c r="B393" s="125" t="n"/>
      <c r="C393" s="125" t="n"/>
      <c r="D393" s="125" t="n"/>
      <c r="E393" s="125" t="n"/>
      <c r="F393" s="126" t="n"/>
      <c r="G393" s="126" t="n"/>
      <c r="H393" s="125" t="n"/>
      <c r="I393" s="126" t="n"/>
      <c r="J393" s="125">
        <f>IFERROR(F393-E393-G393-H393-I393,"")</f>
        <v/>
      </c>
      <c r="K393" s="127">
        <f>IFERROR(J393/F393,"")</f>
        <v/>
      </c>
      <c r="L393" s="125" t="n"/>
    </row>
    <row r="394">
      <c r="A394" s="128" t="n"/>
      <c r="B394" s="129" t="n"/>
      <c r="C394" s="129" t="n"/>
      <c r="D394" s="129" t="n"/>
      <c r="E394" s="129" t="n"/>
      <c r="F394" s="130" t="n"/>
      <c r="G394" s="130" t="n"/>
      <c r="H394" s="129" t="n"/>
      <c r="I394" s="130" t="n"/>
      <c r="J394" s="129">
        <f>IFERROR(F394-E394-G394-H394-I394,"")</f>
        <v/>
      </c>
      <c r="K394" s="131">
        <f>IFERROR(J394/F394,"")</f>
        <v/>
      </c>
      <c r="L394" s="129" t="n"/>
    </row>
    <row r="395">
      <c r="A395" s="124" t="n"/>
      <c r="B395" s="125" t="n"/>
      <c r="C395" s="125" t="n"/>
      <c r="D395" s="125" t="n"/>
      <c r="E395" s="125" t="n"/>
      <c r="F395" s="126" t="n"/>
      <c r="G395" s="126" t="n"/>
      <c r="H395" s="125" t="n"/>
      <c r="I395" s="126" t="n"/>
      <c r="J395" s="125">
        <f>IFERROR(F395-E395-G395-H395-I395,"")</f>
        <v/>
      </c>
      <c r="K395" s="127">
        <f>IFERROR(J395/F395,"")</f>
        <v/>
      </c>
      <c r="L395" s="125" t="n"/>
    </row>
    <row r="396">
      <c r="A396" s="128" t="n"/>
      <c r="B396" s="129" t="n"/>
      <c r="C396" s="129" t="n"/>
      <c r="D396" s="129" t="n"/>
      <c r="E396" s="129" t="n"/>
      <c r="F396" s="130" t="n"/>
      <c r="G396" s="130" t="n"/>
      <c r="H396" s="129" t="n"/>
      <c r="I396" s="130" t="n"/>
      <c r="J396" s="129">
        <f>IFERROR(F396-E396-G396-H396-I396,"")</f>
        <v/>
      </c>
      <c r="K396" s="131">
        <f>IFERROR(J396/F396,"")</f>
        <v/>
      </c>
      <c r="L396" s="129" t="n"/>
    </row>
    <row r="397">
      <c r="A397" s="124" t="n"/>
      <c r="B397" s="125" t="n"/>
      <c r="C397" s="125" t="n"/>
      <c r="D397" s="125" t="n"/>
      <c r="E397" s="125" t="n"/>
      <c r="F397" s="126" t="n"/>
      <c r="G397" s="126" t="n"/>
      <c r="H397" s="125" t="n"/>
      <c r="I397" s="126" t="n"/>
      <c r="J397" s="125">
        <f>IFERROR(F397-E397-G397-H397-I397,"")</f>
        <v/>
      </c>
      <c r="K397" s="127">
        <f>IFERROR(J397/F397,"")</f>
        <v/>
      </c>
      <c r="L397" s="125" t="n"/>
    </row>
    <row r="398">
      <c r="A398" s="128" t="n"/>
      <c r="B398" s="129" t="n"/>
      <c r="C398" s="129" t="n"/>
      <c r="D398" s="129" t="n"/>
      <c r="E398" s="129" t="n"/>
      <c r="F398" s="130" t="n"/>
      <c r="G398" s="130" t="n"/>
      <c r="H398" s="129" t="n"/>
      <c r="I398" s="130" t="n"/>
      <c r="J398" s="129">
        <f>IFERROR(F398-E398-G398-H398-I398,"")</f>
        <v/>
      </c>
      <c r="K398" s="131">
        <f>IFERROR(J398/F398,"")</f>
        <v/>
      </c>
      <c r="L398" s="129" t="n"/>
    </row>
    <row r="399">
      <c r="A399" s="124" t="n"/>
      <c r="B399" s="125" t="n"/>
      <c r="C399" s="125" t="n"/>
      <c r="D399" s="125" t="n"/>
      <c r="E399" s="125" t="n"/>
      <c r="F399" s="126" t="n"/>
      <c r="G399" s="126" t="n"/>
      <c r="H399" s="125" t="n"/>
      <c r="I399" s="126" t="n"/>
      <c r="J399" s="125">
        <f>IFERROR(F399-E399-G399-H399-I399,"")</f>
        <v/>
      </c>
      <c r="K399" s="127">
        <f>IFERROR(J399/F399,"")</f>
        <v/>
      </c>
      <c r="L399" s="125" t="n"/>
    </row>
    <row r="400">
      <c r="A400" s="128" t="n"/>
      <c r="B400" s="129" t="n"/>
      <c r="C400" s="129" t="n"/>
      <c r="D400" s="129" t="n"/>
      <c r="E400" s="129" t="n"/>
      <c r="F400" s="130" t="n"/>
      <c r="G400" s="130" t="n"/>
      <c r="H400" s="129" t="n"/>
      <c r="I400" s="130" t="n"/>
      <c r="J400" s="129">
        <f>IFERROR(F400-E400-G400-H400-I400,"")</f>
        <v/>
      </c>
      <c r="K400" s="131">
        <f>IFERROR(J400/F400,"")</f>
        <v/>
      </c>
      <c r="L400" s="129" t="n"/>
    </row>
    <row r="401">
      <c r="A401" s="124" t="n"/>
      <c r="B401" s="125" t="n"/>
      <c r="C401" s="125" t="n"/>
      <c r="D401" s="125" t="n"/>
      <c r="E401" s="125" t="n"/>
      <c r="F401" s="126" t="n"/>
      <c r="G401" s="126" t="n"/>
      <c r="H401" s="125" t="n"/>
      <c r="I401" s="126" t="n"/>
      <c r="J401" s="125">
        <f>IFERROR(F401-E401-G401-H401-I401,"")</f>
        <v/>
      </c>
      <c r="K401" s="127">
        <f>IFERROR(J401/F401,"")</f>
        <v/>
      </c>
      <c r="L401" s="125" t="n"/>
    </row>
    <row r="402">
      <c r="A402" s="128" t="n"/>
      <c r="B402" s="129" t="n"/>
      <c r="C402" s="129" t="n"/>
      <c r="D402" s="129" t="n"/>
      <c r="E402" s="129" t="n"/>
      <c r="F402" s="130" t="n"/>
      <c r="G402" s="130" t="n"/>
      <c r="H402" s="129" t="n"/>
      <c r="I402" s="130" t="n"/>
      <c r="J402" s="129">
        <f>IFERROR(F402-E402-G402-H402-I402,"")</f>
        <v/>
      </c>
      <c r="K402" s="131">
        <f>IFERROR(J402/F402,"")</f>
        <v/>
      </c>
      <c r="L402" s="129" t="n"/>
    </row>
    <row r="403">
      <c r="A403" s="124" t="n"/>
      <c r="B403" s="125" t="n"/>
      <c r="C403" s="125" t="n"/>
      <c r="D403" s="125" t="n"/>
      <c r="E403" s="125" t="n"/>
      <c r="F403" s="126" t="n"/>
      <c r="G403" s="126" t="n"/>
      <c r="H403" s="125" t="n"/>
      <c r="I403" s="126" t="n"/>
      <c r="J403" s="125">
        <f>IFERROR(F403-E403-G403-H403-I403,"")</f>
        <v/>
      </c>
      <c r="K403" s="127">
        <f>IFERROR(J403/F403,"")</f>
        <v/>
      </c>
      <c r="L403" s="125" t="n"/>
    </row>
    <row r="404">
      <c r="A404" s="128" t="n"/>
      <c r="B404" s="129" t="n"/>
      <c r="C404" s="129" t="n"/>
      <c r="D404" s="129" t="n"/>
      <c r="E404" s="129" t="n"/>
      <c r="F404" s="130" t="n"/>
      <c r="G404" s="130" t="n"/>
      <c r="H404" s="129" t="n"/>
      <c r="I404" s="130" t="n"/>
      <c r="J404" s="129">
        <f>IFERROR(F404-E404-G404-H404-I404,"")</f>
        <v/>
      </c>
      <c r="K404" s="131">
        <f>IFERROR(J404/F404,"")</f>
        <v/>
      </c>
      <c r="L404" s="129" t="n"/>
    </row>
    <row r="405">
      <c r="A405" s="124" t="n"/>
      <c r="B405" s="125" t="n"/>
      <c r="C405" s="125" t="n"/>
      <c r="D405" s="125" t="n"/>
      <c r="E405" s="125" t="n"/>
      <c r="F405" s="126" t="n"/>
      <c r="G405" s="126" t="n"/>
      <c r="H405" s="125" t="n"/>
      <c r="I405" s="126" t="n"/>
      <c r="J405" s="125">
        <f>IFERROR(F405-E405-G405-H405-I405,"")</f>
        <v/>
      </c>
      <c r="K405" s="127">
        <f>IFERROR(J405/F405,"")</f>
        <v/>
      </c>
      <c r="L405" s="125" t="n"/>
    </row>
    <row r="406">
      <c r="A406" s="128" t="n"/>
      <c r="B406" s="129" t="n"/>
      <c r="C406" s="129" t="n"/>
      <c r="D406" s="129" t="n"/>
      <c r="E406" s="129" t="n"/>
      <c r="F406" s="130" t="n"/>
      <c r="G406" s="130" t="n"/>
      <c r="H406" s="129" t="n"/>
      <c r="I406" s="130" t="n"/>
      <c r="J406" s="129">
        <f>IFERROR(F406-E406-G406-H406-I406,"")</f>
        <v/>
      </c>
      <c r="K406" s="131">
        <f>IFERROR(J406/F406,"")</f>
        <v/>
      </c>
      <c r="L406" s="129" t="n"/>
    </row>
    <row r="407">
      <c r="A407" s="124" t="n"/>
      <c r="B407" s="125" t="n"/>
      <c r="C407" s="125" t="n"/>
      <c r="D407" s="125" t="n"/>
      <c r="E407" s="125" t="n"/>
      <c r="F407" s="126" t="n"/>
      <c r="G407" s="126" t="n"/>
      <c r="H407" s="125" t="n"/>
      <c r="I407" s="126" t="n"/>
      <c r="J407" s="125">
        <f>IFERROR(F407-E407-G407-H407-I407,"")</f>
        <v/>
      </c>
      <c r="K407" s="127">
        <f>IFERROR(J407/F407,"")</f>
        <v/>
      </c>
      <c r="L407" s="125" t="n"/>
    </row>
    <row r="408">
      <c r="A408" s="128" t="n"/>
      <c r="B408" s="129" t="n"/>
      <c r="C408" s="129" t="n"/>
      <c r="D408" s="129" t="n"/>
      <c r="E408" s="129" t="n"/>
      <c r="F408" s="130" t="n"/>
      <c r="G408" s="130" t="n"/>
      <c r="H408" s="129" t="n"/>
      <c r="I408" s="130" t="n"/>
      <c r="J408" s="129">
        <f>IFERROR(F408-E408-G408-H408-I408,"")</f>
        <v/>
      </c>
      <c r="K408" s="131">
        <f>IFERROR(J408/F408,"")</f>
        <v/>
      </c>
      <c r="L408" s="129" t="n"/>
    </row>
    <row r="409">
      <c r="A409" s="124" t="n"/>
      <c r="B409" s="125" t="n"/>
      <c r="C409" s="125" t="n"/>
      <c r="D409" s="125" t="n"/>
      <c r="E409" s="125" t="n"/>
      <c r="F409" s="126" t="n"/>
      <c r="G409" s="126" t="n"/>
      <c r="H409" s="125" t="n"/>
      <c r="I409" s="126" t="n"/>
      <c r="J409" s="125">
        <f>IFERROR(F409-E409-G409-H409-I409,"")</f>
        <v/>
      </c>
      <c r="K409" s="127">
        <f>IFERROR(J409/F409,"")</f>
        <v/>
      </c>
      <c r="L409" s="125" t="n"/>
    </row>
    <row r="410">
      <c r="A410" s="128" t="n"/>
      <c r="B410" s="129" t="n"/>
      <c r="C410" s="129" t="n"/>
      <c r="D410" s="129" t="n"/>
      <c r="E410" s="129" t="n"/>
      <c r="F410" s="130" t="n"/>
      <c r="G410" s="130" t="n"/>
      <c r="H410" s="129" t="n"/>
      <c r="I410" s="130" t="n"/>
      <c r="J410" s="129">
        <f>IFERROR(F410-E410-G410-H410-I410,"")</f>
        <v/>
      </c>
      <c r="K410" s="131">
        <f>IFERROR(J410/F410,"")</f>
        <v/>
      </c>
      <c r="L410" s="129" t="n"/>
    </row>
    <row r="411">
      <c r="A411" s="124" t="n"/>
      <c r="B411" s="125" t="n"/>
      <c r="C411" s="125" t="n"/>
      <c r="D411" s="125" t="n"/>
      <c r="E411" s="125" t="n"/>
      <c r="F411" s="126" t="n"/>
      <c r="G411" s="126" t="n"/>
      <c r="H411" s="125" t="n"/>
      <c r="I411" s="126" t="n"/>
      <c r="J411" s="125">
        <f>IFERROR(F411-E411-G411-H411-I411,"")</f>
        <v/>
      </c>
      <c r="K411" s="127">
        <f>IFERROR(J411/F411,"")</f>
        <v/>
      </c>
      <c r="L411" s="125" t="n"/>
    </row>
    <row r="412">
      <c r="A412" s="128" t="n"/>
      <c r="B412" s="129" t="n"/>
      <c r="C412" s="129" t="n"/>
      <c r="D412" s="129" t="n"/>
      <c r="E412" s="129" t="n"/>
      <c r="F412" s="130" t="n"/>
      <c r="G412" s="130" t="n"/>
      <c r="H412" s="129" t="n"/>
      <c r="I412" s="130" t="n"/>
      <c r="J412" s="129">
        <f>IFERROR(F412-E412-G412-H412-I412,"")</f>
        <v/>
      </c>
      <c r="K412" s="131">
        <f>IFERROR(J412/F412,"")</f>
        <v/>
      </c>
      <c r="L412" s="129" t="n"/>
    </row>
    <row r="413">
      <c r="A413" s="124" t="n"/>
      <c r="B413" s="125" t="n"/>
      <c r="C413" s="125" t="n"/>
      <c r="D413" s="125" t="n"/>
      <c r="E413" s="125" t="n"/>
      <c r="F413" s="126" t="n"/>
      <c r="G413" s="126" t="n"/>
      <c r="H413" s="125" t="n"/>
      <c r="I413" s="126" t="n"/>
      <c r="J413" s="125">
        <f>IFERROR(F413-E413-G413-H413-I413,"")</f>
        <v/>
      </c>
      <c r="K413" s="127">
        <f>IFERROR(J413/F413,"")</f>
        <v/>
      </c>
      <c r="L413" s="125" t="n"/>
    </row>
    <row r="414">
      <c r="A414" s="128" t="n"/>
      <c r="B414" s="129" t="n"/>
      <c r="C414" s="129" t="n"/>
      <c r="D414" s="129" t="n"/>
      <c r="E414" s="129" t="n"/>
      <c r="F414" s="130" t="n"/>
      <c r="G414" s="130" t="n"/>
      <c r="H414" s="129" t="n"/>
      <c r="I414" s="130" t="n"/>
      <c r="J414" s="129">
        <f>IFERROR(F414-E414-G414-H414-I414,"")</f>
        <v/>
      </c>
      <c r="K414" s="131">
        <f>IFERROR(J414/F414,"")</f>
        <v/>
      </c>
      <c r="L414" s="129" t="n"/>
    </row>
    <row r="415">
      <c r="A415" s="124" t="n"/>
      <c r="B415" s="125" t="n"/>
      <c r="C415" s="125" t="n"/>
      <c r="D415" s="125" t="n"/>
      <c r="E415" s="125" t="n"/>
      <c r="F415" s="126" t="n"/>
      <c r="G415" s="126" t="n"/>
      <c r="H415" s="125" t="n"/>
      <c r="I415" s="126" t="n"/>
      <c r="J415" s="125">
        <f>IFERROR(F415-E415-G415-H415-I415,"")</f>
        <v/>
      </c>
      <c r="K415" s="127">
        <f>IFERROR(J415/F415,"")</f>
        <v/>
      </c>
      <c r="L415" s="125" t="n"/>
    </row>
    <row r="416">
      <c r="A416" s="128" t="n"/>
      <c r="B416" s="129" t="n"/>
      <c r="C416" s="129" t="n"/>
      <c r="D416" s="129" t="n"/>
      <c r="E416" s="129" t="n"/>
      <c r="F416" s="130" t="n"/>
      <c r="G416" s="130" t="n"/>
      <c r="H416" s="129" t="n"/>
      <c r="I416" s="130" t="n"/>
      <c r="J416" s="129">
        <f>IFERROR(F416-E416-G416-H416-I416,"")</f>
        <v/>
      </c>
      <c r="K416" s="131">
        <f>IFERROR(J416/F416,"")</f>
        <v/>
      </c>
      <c r="L416" s="129" t="n"/>
    </row>
    <row r="417">
      <c r="A417" s="124" t="n"/>
      <c r="B417" s="125" t="n"/>
      <c r="C417" s="125" t="n"/>
      <c r="D417" s="125" t="n"/>
      <c r="E417" s="125" t="n"/>
      <c r="F417" s="126" t="n"/>
      <c r="G417" s="126" t="n"/>
      <c r="H417" s="125" t="n"/>
      <c r="I417" s="126" t="n"/>
      <c r="J417" s="125">
        <f>IFERROR(F417-E417-G417-H417-I417,"")</f>
        <v/>
      </c>
      <c r="K417" s="127">
        <f>IFERROR(J417/F417,"")</f>
        <v/>
      </c>
      <c r="L417" s="125" t="n"/>
    </row>
    <row r="418">
      <c r="A418" s="128" t="n"/>
      <c r="B418" s="129" t="n"/>
      <c r="C418" s="129" t="n"/>
      <c r="D418" s="129" t="n"/>
      <c r="E418" s="129" t="n"/>
      <c r="F418" s="130" t="n"/>
      <c r="G418" s="130" t="n"/>
      <c r="H418" s="129" t="n"/>
      <c r="I418" s="130" t="n"/>
      <c r="J418" s="129">
        <f>IFERROR(F418-E418-G418-H418-I418,"")</f>
        <v/>
      </c>
      <c r="K418" s="131">
        <f>IFERROR(J418/F418,"")</f>
        <v/>
      </c>
      <c r="L418" s="129" t="n"/>
    </row>
    <row r="419">
      <c r="A419" s="124" t="n"/>
      <c r="B419" s="125" t="n"/>
      <c r="C419" s="125" t="n"/>
      <c r="D419" s="125" t="n"/>
      <c r="E419" s="125" t="n"/>
      <c r="F419" s="126" t="n"/>
      <c r="G419" s="126" t="n"/>
      <c r="H419" s="125" t="n"/>
      <c r="I419" s="126" t="n"/>
      <c r="J419" s="125">
        <f>IFERROR(F419-E419-G419-H419-I419,"")</f>
        <v/>
      </c>
      <c r="K419" s="127">
        <f>IFERROR(J419/F419,"")</f>
        <v/>
      </c>
      <c r="L419" s="125" t="n"/>
    </row>
    <row r="420">
      <c r="A420" s="128" t="n"/>
      <c r="B420" s="129" t="n"/>
      <c r="C420" s="129" t="n"/>
      <c r="D420" s="129" t="n"/>
      <c r="E420" s="129" t="n"/>
      <c r="F420" s="130" t="n"/>
      <c r="G420" s="130" t="n"/>
      <c r="H420" s="129" t="n"/>
      <c r="I420" s="130" t="n"/>
      <c r="J420" s="129">
        <f>IFERROR(F420-E420-G420-H420-I420,"")</f>
        <v/>
      </c>
      <c r="K420" s="131">
        <f>IFERROR(J420/F420,"")</f>
        <v/>
      </c>
      <c r="L420" s="129" t="n"/>
    </row>
    <row r="421">
      <c r="A421" s="124" t="n"/>
      <c r="B421" s="125" t="n"/>
      <c r="C421" s="125" t="n"/>
      <c r="D421" s="125" t="n"/>
      <c r="E421" s="125" t="n"/>
      <c r="F421" s="126" t="n"/>
      <c r="G421" s="126" t="n"/>
      <c r="H421" s="125" t="n"/>
      <c r="I421" s="126" t="n"/>
      <c r="J421" s="125">
        <f>IFERROR(F421-E421-G421-H421-I421,"")</f>
        <v/>
      </c>
      <c r="K421" s="127">
        <f>IFERROR(J421/F421,"")</f>
        <v/>
      </c>
      <c r="L421" s="125" t="n"/>
    </row>
    <row r="422">
      <c r="A422" s="128" t="n"/>
      <c r="B422" s="129" t="n"/>
      <c r="C422" s="129" t="n"/>
      <c r="D422" s="129" t="n"/>
      <c r="E422" s="129" t="n"/>
      <c r="F422" s="130" t="n"/>
      <c r="G422" s="130" t="n"/>
      <c r="H422" s="129" t="n"/>
      <c r="I422" s="130" t="n"/>
      <c r="J422" s="129">
        <f>IFERROR(F422-E422-G422-H422-I422,"")</f>
        <v/>
      </c>
      <c r="K422" s="131">
        <f>IFERROR(J422/F422,"")</f>
        <v/>
      </c>
      <c r="L422" s="129" t="n"/>
    </row>
    <row r="423">
      <c r="A423" s="124" t="n"/>
      <c r="B423" s="125" t="n"/>
      <c r="C423" s="125" t="n"/>
      <c r="D423" s="125" t="n"/>
      <c r="E423" s="125" t="n"/>
      <c r="F423" s="126" t="n"/>
      <c r="G423" s="126" t="n"/>
      <c r="H423" s="125" t="n"/>
      <c r="I423" s="126" t="n"/>
      <c r="J423" s="125">
        <f>IFERROR(F423-E423-G423-H423-I423,"")</f>
        <v/>
      </c>
      <c r="K423" s="127">
        <f>IFERROR(J423/F423,"")</f>
        <v/>
      </c>
      <c r="L423" s="125" t="n"/>
    </row>
    <row r="424">
      <c r="A424" s="128" t="n"/>
      <c r="B424" s="129" t="n"/>
      <c r="C424" s="129" t="n"/>
      <c r="D424" s="129" t="n"/>
      <c r="E424" s="129" t="n"/>
      <c r="F424" s="130" t="n"/>
      <c r="G424" s="130" t="n"/>
      <c r="H424" s="129" t="n"/>
      <c r="I424" s="130" t="n"/>
      <c r="J424" s="129">
        <f>IFERROR(F424-E424-G424-H424-I424,"")</f>
        <v/>
      </c>
      <c r="K424" s="131">
        <f>IFERROR(J424/F424,"")</f>
        <v/>
      </c>
      <c r="L424" s="129" t="n"/>
    </row>
    <row r="425">
      <c r="A425" s="124" t="n"/>
      <c r="B425" s="125" t="n"/>
      <c r="C425" s="125" t="n"/>
      <c r="D425" s="125" t="n"/>
      <c r="E425" s="125" t="n"/>
      <c r="F425" s="126" t="n"/>
      <c r="G425" s="126" t="n"/>
      <c r="H425" s="125" t="n"/>
      <c r="I425" s="126" t="n"/>
      <c r="J425" s="125">
        <f>IFERROR(F425-E425-G425-H425-I425,"")</f>
        <v/>
      </c>
      <c r="K425" s="127">
        <f>IFERROR(J425/F425,"")</f>
        <v/>
      </c>
      <c r="L425" s="125" t="n"/>
    </row>
    <row r="426">
      <c r="A426" s="128" t="n"/>
      <c r="B426" s="129" t="n"/>
      <c r="C426" s="129" t="n"/>
      <c r="D426" s="129" t="n"/>
      <c r="E426" s="129" t="n"/>
      <c r="F426" s="130" t="n"/>
      <c r="G426" s="130" t="n"/>
      <c r="H426" s="129" t="n"/>
      <c r="I426" s="130" t="n"/>
      <c r="J426" s="129">
        <f>IFERROR(F426-E426-G426-H426-I426,"")</f>
        <v/>
      </c>
      <c r="K426" s="131">
        <f>IFERROR(J426/F426,"")</f>
        <v/>
      </c>
      <c r="L426" s="129" t="n"/>
    </row>
    <row r="427">
      <c r="A427" s="124" t="n"/>
      <c r="B427" s="125" t="n"/>
      <c r="C427" s="125" t="n"/>
      <c r="D427" s="125" t="n"/>
      <c r="E427" s="125" t="n"/>
      <c r="F427" s="126" t="n"/>
      <c r="G427" s="126" t="n"/>
      <c r="H427" s="125" t="n"/>
      <c r="I427" s="126" t="n"/>
      <c r="J427" s="125">
        <f>IFERROR(F427-E427-G427-H427-I427,"")</f>
        <v/>
      </c>
      <c r="K427" s="127">
        <f>IFERROR(J427/F427,"")</f>
        <v/>
      </c>
      <c r="L427" s="125" t="n"/>
    </row>
    <row r="428">
      <c r="A428" s="128" t="n"/>
      <c r="B428" s="129" t="n"/>
      <c r="C428" s="129" t="n"/>
      <c r="D428" s="129" t="n"/>
      <c r="E428" s="129" t="n"/>
      <c r="F428" s="130" t="n"/>
      <c r="G428" s="130" t="n"/>
      <c r="H428" s="129" t="n"/>
      <c r="I428" s="130" t="n"/>
      <c r="J428" s="129">
        <f>IFERROR(F428-E428-G428-H428-I428,"")</f>
        <v/>
      </c>
      <c r="K428" s="131">
        <f>IFERROR(J428/F428,"")</f>
        <v/>
      </c>
      <c r="L428" s="129" t="n"/>
    </row>
    <row r="429">
      <c r="A429" s="124" t="n"/>
      <c r="B429" s="125" t="n"/>
      <c r="C429" s="125" t="n"/>
      <c r="D429" s="125" t="n"/>
      <c r="E429" s="125" t="n"/>
      <c r="F429" s="126" t="n"/>
      <c r="G429" s="126" t="n"/>
      <c r="H429" s="125" t="n"/>
      <c r="I429" s="126" t="n"/>
      <c r="J429" s="125">
        <f>IFERROR(F429-E429-G429-H429-I429,"")</f>
        <v/>
      </c>
      <c r="K429" s="127">
        <f>IFERROR(J429/F429,"")</f>
        <v/>
      </c>
      <c r="L429" s="125" t="n"/>
    </row>
    <row r="430">
      <c r="A430" s="128" t="n"/>
      <c r="B430" s="129" t="n"/>
      <c r="C430" s="129" t="n"/>
      <c r="D430" s="129" t="n"/>
      <c r="E430" s="129" t="n"/>
      <c r="F430" s="130" t="n"/>
      <c r="G430" s="130" t="n"/>
      <c r="H430" s="129" t="n"/>
      <c r="I430" s="130" t="n"/>
      <c r="J430" s="129">
        <f>IFERROR(F430-E430-G430-H430-I430,"")</f>
        <v/>
      </c>
      <c r="K430" s="131">
        <f>IFERROR(J430/F430,"")</f>
        <v/>
      </c>
      <c r="L430" s="129" t="n"/>
    </row>
    <row r="431">
      <c r="A431" s="124" t="n"/>
      <c r="B431" s="125" t="n"/>
      <c r="C431" s="125" t="n"/>
      <c r="D431" s="125" t="n"/>
      <c r="E431" s="125" t="n"/>
      <c r="F431" s="126" t="n"/>
      <c r="G431" s="126" t="n"/>
      <c r="H431" s="125" t="n"/>
      <c r="I431" s="126" t="n"/>
      <c r="J431" s="125">
        <f>IFERROR(F431-E431-G431-H431-I431,"")</f>
        <v/>
      </c>
      <c r="K431" s="127">
        <f>IFERROR(J431/F431,"")</f>
        <v/>
      </c>
      <c r="L431" s="125" t="n"/>
    </row>
    <row r="432">
      <c r="A432" s="128" t="n"/>
      <c r="B432" s="129" t="n"/>
      <c r="C432" s="129" t="n"/>
      <c r="D432" s="129" t="n"/>
      <c r="E432" s="129" t="n"/>
      <c r="F432" s="130" t="n"/>
      <c r="G432" s="130" t="n"/>
      <c r="H432" s="129" t="n"/>
      <c r="I432" s="130" t="n"/>
      <c r="J432" s="129">
        <f>IFERROR(F432-E432-G432-H432-I432,"")</f>
        <v/>
      </c>
      <c r="K432" s="131">
        <f>IFERROR(J432/F432,"")</f>
        <v/>
      </c>
      <c r="L432" s="129" t="n"/>
    </row>
    <row r="433">
      <c r="A433" s="124" t="n"/>
      <c r="B433" s="125" t="n"/>
      <c r="C433" s="125" t="n"/>
      <c r="D433" s="125" t="n"/>
      <c r="E433" s="125" t="n"/>
      <c r="F433" s="126" t="n"/>
      <c r="G433" s="126" t="n"/>
      <c r="H433" s="125" t="n"/>
      <c r="I433" s="126" t="n"/>
      <c r="J433" s="125">
        <f>IFERROR(F433-E433-G433-H433-I433,"")</f>
        <v/>
      </c>
      <c r="K433" s="127">
        <f>IFERROR(J433/F433,"")</f>
        <v/>
      </c>
      <c r="L433" s="125" t="n"/>
    </row>
    <row r="434">
      <c r="A434" s="128" t="n"/>
      <c r="B434" s="129" t="n"/>
      <c r="C434" s="129" t="n"/>
      <c r="D434" s="129" t="n"/>
      <c r="E434" s="129" t="n"/>
      <c r="F434" s="130" t="n"/>
      <c r="G434" s="130" t="n"/>
      <c r="H434" s="129" t="n"/>
      <c r="I434" s="130" t="n"/>
      <c r="J434" s="129">
        <f>IFERROR(F434-E434-G434-H434-I434,"")</f>
        <v/>
      </c>
      <c r="K434" s="131">
        <f>IFERROR(J434/F434,"")</f>
        <v/>
      </c>
      <c r="L434" s="129" t="n"/>
    </row>
    <row r="435">
      <c r="A435" s="124" t="n"/>
      <c r="B435" s="125" t="n"/>
      <c r="C435" s="125" t="n"/>
      <c r="D435" s="125" t="n"/>
      <c r="E435" s="125" t="n"/>
      <c r="F435" s="126" t="n"/>
      <c r="G435" s="126" t="n"/>
      <c r="H435" s="125" t="n"/>
      <c r="I435" s="126" t="n"/>
      <c r="J435" s="125">
        <f>IFERROR(F435-E435-G435-H435-I435,"")</f>
        <v/>
      </c>
      <c r="K435" s="127">
        <f>IFERROR(J435/F435,"")</f>
        <v/>
      </c>
      <c r="L435" s="125" t="n"/>
    </row>
    <row r="436">
      <c r="A436" s="128" t="n"/>
      <c r="B436" s="129" t="n"/>
      <c r="C436" s="129" t="n"/>
      <c r="D436" s="129" t="n"/>
      <c r="E436" s="129" t="n"/>
      <c r="F436" s="130" t="n"/>
      <c r="G436" s="130" t="n"/>
      <c r="H436" s="129" t="n"/>
      <c r="I436" s="130" t="n"/>
      <c r="J436" s="129">
        <f>IFERROR(F436-E436-G436-H436-I436,"")</f>
        <v/>
      </c>
      <c r="K436" s="131">
        <f>IFERROR(J436/F436,"")</f>
        <v/>
      </c>
      <c r="L436" s="129" t="n"/>
    </row>
    <row r="437">
      <c r="A437" s="124" t="n"/>
      <c r="B437" s="125" t="n"/>
      <c r="C437" s="125" t="n"/>
      <c r="D437" s="125" t="n"/>
      <c r="E437" s="125" t="n"/>
      <c r="F437" s="126" t="n"/>
      <c r="G437" s="126" t="n"/>
      <c r="H437" s="125" t="n"/>
      <c r="I437" s="126" t="n"/>
      <c r="J437" s="125">
        <f>IFERROR(F437-E437-G437-H437-I437,"")</f>
        <v/>
      </c>
      <c r="K437" s="127">
        <f>IFERROR(J437/F437,"")</f>
        <v/>
      </c>
      <c r="L437" s="125" t="n"/>
    </row>
    <row r="438">
      <c r="A438" s="128" t="n"/>
      <c r="B438" s="129" t="n"/>
      <c r="C438" s="129" t="n"/>
      <c r="D438" s="129" t="n"/>
      <c r="E438" s="129" t="n"/>
      <c r="F438" s="130" t="n"/>
      <c r="G438" s="130" t="n"/>
      <c r="H438" s="129" t="n"/>
      <c r="I438" s="130" t="n"/>
      <c r="J438" s="129">
        <f>IFERROR(F438-E438-G438-H438-I438,"")</f>
        <v/>
      </c>
      <c r="K438" s="131">
        <f>IFERROR(J438/F438,"")</f>
        <v/>
      </c>
      <c r="L438" s="129" t="n"/>
    </row>
    <row r="439">
      <c r="A439" s="124" t="n"/>
      <c r="B439" s="125" t="n"/>
      <c r="C439" s="125" t="n"/>
      <c r="D439" s="125" t="n"/>
      <c r="E439" s="125" t="n"/>
      <c r="F439" s="126" t="n"/>
      <c r="G439" s="126" t="n"/>
      <c r="H439" s="125" t="n"/>
      <c r="I439" s="126" t="n"/>
      <c r="J439" s="125">
        <f>IFERROR(F439-E439-G439-H439-I439,"")</f>
        <v/>
      </c>
      <c r="K439" s="127">
        <f>IFERROR(J439/F439,"")</f>
        <v/>
      </c>
      <c r="L439" s="125" t="n"/>
    </row>
    <row r="440">
      <c r="A440" s="128" t="n"/>
      <c r="B440" s="129" t="n"/>
      <c r="C440" s="129" t="n"/>
      <c r="D440" s="129" t="n"/>
      <c r="E440" s="129" t="n"/>
      <c r="F440" s="130" t="n"/>
      <c r="G440" s="130" t="n"/>
      <c r="H440" s="129" t="n"/>
      <c r="I440" s="130" t="n"/>
      <c r="J440" s="129">
        <f>IFERROR(F440-E440-G440-H440-I440,"")</f>
        <v/>
      </c>
      <c r="K440" s="131">
        <f>IFERROR(J440/F440,"")</f>
        <v/>
      </c>
      <c r="L440" s="129" t="n"/>
    </row>
    <row r="441">
      <c r="A441" s="124" t="n"/>
      <c r="B441" s="125" t="n"/>
      <c r="C441" s="125" t="n"/>
      <c r="D441" s="125" t="n"/>
      <c r="E441" s="125" t="n"/>
      <c r="F441" s="126" t="n"/>
      <c r="G441" s="126" t="n"/>
      <c r="H441" s="125" t="n"/>
      <c r="I441" s="126" t="n"/>
      <c r="J441" s="125">
        <f>IFERROR(F441-E441-G441-H441-I441,"")</f>
        <v/>
      </c>
      <c r="K441" s="127">
        <f>IFERROR(J441/F441,"")</f>
        <v/>
      </c>
      <c r="L441" s="125" t="n"/>
    </row>
    <row r="442">
      <c r="A442" s="128" t="n"/>
      <c r="B442" s="129" t="n"/>
      <c r="C442" s="129" t="n"/>
      <c r="D442" s="129" t="n"/>
      <c r="E442" s="129" t="n"/>
      <c r="F442" s="130" t="n"/>
      <c r="G442" s="130" t="n"/>
      <c r="H442" s="129" t="n"/>
      <c r="I442" s="130" t="n"/>
      <c r="J442" s="129">
        <f>IFERROR(F442-E442-G442-H442-I442,"")</f>
        <v/>
      </c>
      <c r="K442" s="131">
        <f>IFERROR(J442/F442,"")</f>
        <v/>
      </c>
      <c r="L442" s="129" t="n"/>
    </row>
    <row r="443">
      <c r="A443" s="124" t="n"/>
      <c r="B443" s="125" t="n"/>
      <c r="C443" s="125" t="n"/>
      <c r="D443" s="125" t="n"/>
      <c r="E443" s="125" t="n"/>
      <c r="F443" s="126" t="n"/>
      <c r="G443" s="126" t="n"/>
      <c r="H443" s="125" t="n"/>
      <c r="I443" s="126" t="n"/>
      <c r="J443" s="125">
        <f>IFERROR(F443-E443-G443-H443-I443,"")</f>
        <v/>
      </c>
      <c r="K443" s="127">
        <f>IFERROR(J443/F443,"")</f>
        <v/>
      </c>
      <c r="L443" s="125" t="n"/>
    </row>
    <row r="444">
      <c r="A444" s="128" t="n"/>
      <c r="B444" s="129" t="n"/>
      <c r="C444" s="129" t="n"/>
      <c r="D444" s="129" t="n"/>
      <c r="E444" s="129" t="n"/>
      <c r="F444" s="130" t="n"/>
      <c r="G444" s="130" t="n"/>
      <c r="H444" s="129" t="n"/>
      <c r="I444" s="130" t="n"/>
      <c r="J444" s="129">
        <f>IFERROR(F444-E444-G444-H444-I444,"")</f>
        <v/>
      </c>
      <c r="K444" s="131">
        <f>IFERROR(J444/F444,"")</f>
        <v/>
      </c>
      <c r="L444" s="129" t="n"/>
    </row>
    <row r="445">
      <c r="A445" s="124" t="n"/>
      <c r="B445" s="125" t="n"/>
      <c r="C445" s="125" t="n"/>
      <c r="D445" s="125" t="n"/>
      <c r="E445" s="125" t="n"/>
      <c r="F445" s="126" t="n"/>
      <c r="G445" s="126" t="n"/>
      <c r="H445" s="125" t="n"/>
      <c r="I445" s="126" t="n"/>
      <c r="J445" s="125">
        <f>IFERROR(F445-E445-G445-H445-I445,"")</f>
        <v/>
      </c>
      <c r="K445" s="127">
        <f>IFERROR(J445/F445,"")</f>
        <v/>
      </c>
      <c r="L445" s="125" t="n"/>
    </row>
    <row r="446">
      <c r="A446" s="128" t="n"/>
      <c r="B446" s="129" t="n"/>
      <c r="C446" s="129" t="n"/>
      <c r="D446" s="129" t="n"/>
      <c r="E446" s="129" t="n"/>
      <c r="F446" s="130" t="n"/>
      <c r="G446" s="130" t="n"/>
      <c r="H446" s="129" t="n"/>
      <c r="I446" s="130" t="n"/>
      <c r="J446" s="129">
        <f>IFERROR(F446-E446-G446-H446-I446,"")</f>
        <v/>
      </c>
      <c r="K446" s="131">
        <f>IFERROR(J446/F446,"")</f>
        <v/>
      </c>
      <c r="L446" s="129" t="n"/>
    </row>
    <row r="447">
      <c r="A447" s="124" t="n"/>
      <c r="B447" s="125" t="n"/>
      <c r="C447" s="125" t="n"/>
      <c r="D447" s="125" t="n"/>
      <c r="E447" s="125" t="n"/>
      <c r="F447" s="126" t="n"/>
      <c r="G447" s="126" t="n"/>
      <c r="H447" s="125" t="n"/>
      <c r="I447" s="126" t="n"/>
      <c r="J447" s="125">
        <f>IFERROR(F447-E447-G447-H447-I447,"")</f>
        <v/>
      </c>
      <c r="K447" s="127">
        <f>IFERROR(J447/F447,"")</f>
        <v/>
      </c>
      <c r="L447" s="125" t="n"/>
    </row>
    <row r="448">
      <c r="A448" s="128" t="n"/>
      <c r="B448" s="129" t="n"/>
      <c r="C448" s="129" t="n"/>
      <c r="D448" s="129" t="n"/>
      <c r="E448" s="129" t="n"/>
      <c r="F448" s="130" t="n"/>
      <c r="G448" s="130" t="n"/>
      <c r="H448" s="129" t="n"/>
      <c r="I448" s="130" t="n"/>
      <c r="J448" s="129">
        <f>IFERROR(F448-E448-G448-H448-I448,"")</f>
        <v/>
      </c>
      <c r="K448" s="131">
        <f>IFERROR(J448/F448,"")</f>
        <v/>
      </c>
      <c r="L448" s="129" t="n"/>
    </row>
    <row r="449">
      <c r="A449" s="124" t="n"/>
      <c r="B449" s="125" t="n"/>
      <c r="C449" s="125" t="n"/>
      <c r="D449" s="125" t="n"/>
      <c r="E449" s="125" t="n"/>
      <c r="F449" s="126" t="n"/>
      <c r="G449" s="126" t="n"/>
      <c r="H449" s="125" t="n"/>
      <c r="I449" s="126" t="n"/>
      <c r="J449" s="125">
        <f>IFERROR(F449-E449-G449-H449-I449,"")</f>
        <v/>
      </c>
      <c r="K449" s="127">
        <f>IFERROR(J449/F449,"")</f>
        <v/>
      </c>
      <c r="L449" s="125" t="n"/>
    </row>
    <row r="450">
      <c r="A450" s="128" t="n"/>
      <c r="B450" s="129" t="n"/>
      <c r="C450" s="129" t="n"/>
      <c r="D450" s="129" t="n"/>
      <c r="E450" s="129" t="n"/>
      <c r="F450" s="130" t="n"/>
      <c r="G450" s="130" t="n"/>
      <c r="H450" s="129" t="n"/>
      <c r="I450" s="130" t="n"/>
      <c r="J450" s="129">
        <f>IFERROR(F450-E450-G450-H450-I450,"")</f>
        <v/>
      </c>
      <c r="K450" s="131">
        <f>IFERROR(J450/F450,"")</f>
        <v/>
      </c>
      <c r="L450" s="129" t="n"/>
    </row>
    <row r="451">
      <c r="A451" s="124" t="n"/>
      <c r="B451" s="125" t="n"/>
      <c r="C451" s="125" t="n"/>
      <c r="D451" s="125" t="n"/>
      <c r="E451" s="125" t="n"/>
      <c r="F451" s="126" t="n"/>
      <c r="G451" s="126" t="n"/>
      <c r="H451" s="125" t="n"/>
      <c r="I451" s="126" t="n"/>
      <c r="J451" s="125">
        <f>IFERROR(F451-E451-G451-H451-I451,"")</f>
        <v/>
      </c>
      <c r="K451" s="127">
        <f>IFERROR(J451/F451,"")</f>
        <v/>
      </c>
      <c r="L451" s="125" t="n"/>
    </row>
    <row r="452">
      <c r="A452" s="128" t="n"/>
      <c r="B452" s="129" t="n"/>
      <c r="C452" s="129" t="n"/>
      <c r="D452" s="129" t="n"/>
      <c r="E452" s="129" t="n"/>
      <c r="F452" s="130" t="n"/>
      <c r="G452" s="130" t="n"/>
      <c r="H452" s="129" t="n"/>
      <c r="I452" s="130" t="n"/>
      <c r="J452" s="129">
        <f>IFERROR(F452-E452-G452-H452-I452,"")</f>
        <v/>
      </c>
      <c r="K452" s="131">
        <f>IFERROR(J452/F452,"")</f>
        <v/>
      </c>
      <c r="L452" s="129" t="n"/>
    </row>
    <row r="453">
      <c r="A453" s="124" t="n"/>
      <c r="B453" s="125" t="n"/>
      <c r="C453" s="125" t="n"/>
      <c r="D453" s="125" t="n"/>
      <c r="E453" s="125" t="n"/>
      <c r="F453" s="126" t="n"/>
      <c r="G453" s="126" t="n"/>
      <c r="H453" s="125" t="n"/>
      <c r="I453" s="126" t="n"/>
      <c r="J453" s="125">
        <f>IFERROR(F453-E453-G453-H453-I453,"")</f>
        <v/>
      </c>
      <c r="K453" s="127">
        <f>IFERROR(J453/F453,"")</f>
        <v/>
      </c>
      <c r="L453" s="125" t="n"/>
    </row>
    <row r="454">
      <c r="A454" s="128" t="n"/>
      <c r="B454" s="129" t="n"/>
      <c r="C454" s="129" t="n"/>
      <c r="D454" s="129" t="n"/>
      <c r="E454" s="129" t="n"/>
      <c r="F454" s="130" t="n"/>
      <c r="G454" s="130" t="n"/>
      <c r="H454" s="129" t="n"/>
      <c r="I454" s="130" t="n"/>
      <c r="J454" s="129">
        <f>IFERROR(F454-E454-G454-H454-I454,"")</f>
        <v/>
      </c>
      <c r="K454" s="131">
        <f>IFERROR(J454/F454,"")</f>
        <v/>
      </c>
      <c r="L454" s="129" t="n"/>
    </row>
    <row r="455">
      <c r="A455" s="124" t="n"/>
      <c r="B455" s="125" t="n"/>
      <c r="C455" s="125" t="n"/>
      <c r="D455" s="125" t="n"/>
      <c r="E455" s="125" t="n"/>
      <c r="F455" s="126" t="n"/>
      <c r="G455" s="126" t="n"/>
      <c r="H455" s="125" t="n"/>
      <c r="I455" s="126" t="n"/>
      <c r="J455" s="125">
        <f>IFERROR(F455-E455-G455-H455-I455,"")</f>
        <v/>
      </c>
      <c r="K455" s="127">
        <f>IFERROR(J455/F455,"")</f>
        <v/>
      </c>
      <c r="L455" s="125" t="n"/>
    </row>
    <row r="456">
      <c r="A456" s="128" t="n"/>
      <c r="B456" s="129" t="n"/>
      <c r="C456" s="129" t="n"/>
      <c r="D456" s="129" t="n"/>
      <c r="E456" s="129" t="n"/>
      <c r="F456" s="130" t="n"/>
      <c r="G456" s="130" t="n"/>
      <c r="H456" s="129" t="n"/>
      <c r="I456" s="130" t="n"/>
      <c r="J456" s="129">
        <f>IFERROR(F456-E456-G456-H456-I456,"")</f>
        <v/>
      </c>
      <c r="K456" s="131">
        <f>IFERROR(J456/F456,"")</f>
        <v/>
      </c>
      <c r="L456" s="129" t="n"/>
    </row>
    <row r="457">
      <c r="A457" s="124" t="n"/>
      <c r="B457" s="125" t="n"/>
      <c r="C457" s="125" t="n"/>
      <c r="D457" s="125" t="n"/>
      <c r="E457" s="125" t="n"/>
      <c r="F457" s="126" t="n"/>
      <c r="G457" s="126" t="n"/>
      <c r="H457" s="125" t="n"/>
      <c r="I457" s="126" t="n"/>
      <c r="J457" s="125">
        <f>IFERROR(F457-E457-G457-H457-I457,"")</f>
        <v/>
      </c>
      <c r="K457" s="127">
        <f>IFERROR(J457/F457,"")</f>
        <v/>
      </c>
      <c r="L457" s="125" t="n"/>
    </row>
    <row r="458">
      <c r="A458" s="128" t="n"/>
      <c r="B458" s="129" t="n"/>
      <c r="C458" s="129" t="n"/>
      <c r="D458" s="129" t="n"/>
      <c r="E458" s="129" t="n"/>
      <c r="F458" s="130" t="n"/>
      <c r="G458" s="130" t="n"/>
      <c r="H458" s="129" t="n"/>
      <c r="I458" s="130" t="n"/>
      <c r="J458" s="129">
        <f>IFERROR(F458-E458-G458-H458-I458,"")</f>
        <v/>
      </c>
      <c r="K458" s="131">
        <f>IFERROR(J458/F458,"")</f>
        <v/>
      </c>
      <c r="L458" s="129" t="n"/>
    </row>
    <row r="459">
      <c r="A459" s="124" t="n"/>
      <c r="B459" s="125" t="n"/>
      <c r="C459" s="125" t="n"/>
      <c r="D459" s="125" t="n"/>
      <c r="E459" s="125" t="n"/>
      <c r="F459" s="126" t="n"/>
      <c r="G459" s="126" t="n"/>
      <c r="H459" s="125" t="n"/>
      <c r="I459" s="126" t="n"/>
      <c r="J459" s="125">
        <f>IFERROR(F459-E459-G459-H459-I459,"")</f>
        <v/>
      </c>
      <c r="K459" s="127">
        <f>IFERROR(J459/F459,"")</f>
        <v/>
      </c>
      <c r="L459" s="125" t="n"/>
    </row>
    <row r="460">
      <c r="A460" s="128" t="n"/>
      <c r="B460" s="129" t="n"/>
      <c r="C460" s="129" t="n"/>
      <c r="D460" s="129" t="n"/>
      <c r="E460" s="129" t="n"/>
      <c r="F460" s="130" t="n"/>
      <c r="G460" s="130" t="n"/>
      <c r="H460" s="129" t="n"/>
      <c r="I460" s="130" t="n"/>
      <c r="J460" s="129">
        <f>IFERROR(F460-E460-G460-H460-I460,"")</f>
        <v/>
      </c>
      <c r="K460" s="131">
        <f>IFERROR(J460/F460,"")</f>
        <v/>
      </c>
      <c r="L460" s="129" t="n"/>
    </row>
    <row r="461">
      <c r="A461" s="124" t="n"/>
      <c r="B461" s="125" t="n"/>
      <c r="C461" s="125" t="n"/>
      <c r="D461" s="125" t="n"/>
      <c r="E461" s="125" t="n"/>
      <c r="F461" s="126" t="n"/>
      <c r="G461" s="126" t="n"/>
      <c r="H461" s="125" t="n"/>
      <c r="I461" s="126" t="n"/>
      <c r="J461" s="125">
        <f>IFERROR(F461-E461-G461-H461-I461,"")</f>
        <v/>
      </c>
      <c r="K461" s="127">
        <f>IFERROR(J461/F461,"")</f>
        <v/>
      </c>
      <c r="L461" s="125" t="n"/>
    </row>
    <row r="462">
      <c r="A462" s="128" t="n"/>
      <c r="B462" s="129" t="n"/>
      <c r="C462" s="129" t="n"/>
      <c r="D462" s="129" t="n"/>
      <c r="E462" s="129" t="n"/>
      <c r="F462" s="130" t="n"/>
      <c r="G462" s="130" t="n"/>
      <c r="H462" s="129" t="n"/>
      <c r="I462" s="130" t="n"/>
      <c r="J462" s="129">
        <f>IFERROR(F462-E462-G462-H462-I462,"")</f>
        <v/>
      </c>
      <c r="K462" s="131">
        <f>IFERROR(J462/F462,"")</f>
        <v/>
      </c>
      <c r="L462" s="129" t="n"/>
    </row>
    <row r="463">
      <c r="A463" s="124" t="n"/>
      <c r="B463" s="125" t="n"/>
      <c r="C463" s="125" t="n"/>
      <c r="D463" s="125" t="n"/>
      <c r="E463" s="125" t="n"/>
      <c r="F463" s="126" t="n"/>
      <c r="G463" s="126" t="n"/>
      <c r="H463" s="125" t="n"/>
      <c r="I463" s="126" t="n"/>
      <c r="J463" s="125">
        <f>IFERROR(F463-E463-G463-H463-I463,"")</f>
        <v/>
      </c>
      <c r="K463" s="127">
        <f>IFERROR(J463/F463,"")</f>
        <v/>
      </c>
      <c r="L463" s="125" t="n"/>
    </row>
    <row r="464">
      <c r="A464" s="128" t="n"/>
      <c r="B464" s="129" t="n"/>
      <c r="C464" s="129" t="n"/>
      <c r="D464" s="129" t="n"/>
      <c r="E464" s="129" t="n"/>
      <c r="F464" s="130" t="n"/>
      <c r="G464" s="130" t="n"/>
      <c r="H464" s="129" t="n"/>
      <c r="I464" s="130" t="n"/>
      <c r="J464" s="129">
        <f>IFERROR(F464-E464-G464-H464-I464,"")</f>
        <v/>
      </c>
      <c r="K464" s="131">
        <f>IFERROR(J464/F464,"")</f>
        <v/>
      </c>
      <c r="L464" s="129" t="n"/>
    </row>
    <row r="465">
      <c r="A465" s="124" t="n"/>
      <c r="B465" s="125" t="n"/>
      <c r="C465" s="125" t="n"/>
      <c r="D465" s="125" t="n"/>
      <c r="E465" s="125" t="n"/>
      <c r="F465" s="126" t="n"/>
      <c r="G465" s="126" t="n"/>
      <c r="H465" s="125" t="n"/>
      <c r="I465" s="126" t="n"/>
      <c r="J465" s="125">
        <f>IFERROR(F465-E465-G465-H465-I465,"")</f>
        <v/>
      </c>
      <c r="K465" s="127">
        <f>IFERROR(J465/F465,"")</f>
        <v/>
      </c>
      <c r="L465" s="125" t="n"/>
    </row>
    <row r="466">
      <c r="A466" s="128" t="n"/>
      <c r="B466" s="129" t="n"/>
      <c r="C466" s="129" t="n"/>
      <c r="D466" s="129" t="n"/>
      <c r="E466" s="129" t="n"/>
      <c r="F466" s="130" t="n"/>
      <c r="G466" s="130" t="n"/>
      <c r="H466" s="129" t="n"/>
      <c r="I466" s="130" t="n"/>
      <c r="J466" s="129">
        <f>IFERROR(F466-E466-G466-H466-I466,"")</f>
        <v/>
      </c>
      <c r="K466" s="131">
        <f>IFERROR(J466/F466,"")</f>
        <v/>
      </c>
      <c r="L466" s="129" t="n"/>
    </row>
    <row r="467">
      <c r="A467" s="124" t="n"/>
      <c r="B467" s="125" t="n"/>
      <c r="C467" s="125" t="n"/>
      <c r="D467" s="125" t="n"/>
      <c r="E467" s="125" t="n"/>
      <c r="F467" s="126" t="n"/>
      <c r="G467" s="126" t="n"/>
      <c r="H467" s="125" t="n"/>
      <c r="I467" s="126" t="n"/>
      <c r="J467" s="125">
        <f>IFERROR(F467-E467-G467-H467-I467,"")</f>
        <v/>
      </c>
      <c r="K467" s="127">
        <f>IFERROR(J467/F467,"")</f>
        <v/>
      </c>
      <c r="L467" s="125" t="n"/>
    </row>
    <row r="468">
      <c r="A468" s="128" t="n"/>
      <c r="B468" s="129" t="n"/>
      <c r="C468" s="129" t="n"/>
      <c r="D468" s="129" t="n"/>
      <c r="E468" s="129" t="n"/>
      <c r="F468" s="130" t="n"/>
      <c r="G468" s="130" t="n"/>
      <c r="H468" s="129" t="n"/>
      <c r="I468" s="130" t="n"/>
      <c r="J468" s="129">
        <f>IFERROR(F468-E468-G468-H468-I468,"")</f>
        <v/>
      </c>
      <c r="K468" s="131">
        <f>IFERROR(J468/F468,"")</f>
        <v/>
      </c>
      <c r="L468" s="129" t="n"/>
    </row>
    <row r="469">
      <c r="A469" s="124" t="n"/>
      <c r="B469" s="125" t="n"/>
      <c r="C469" s="125" t="n"/>
      <c r="D469" s="125" t="n"/>
      <c r="E469" s="125" t="n"/>
      <c r="F469" s="126" t="n"/>
      <c r="G469" s="126" t="n"/>
      <c r="H469" s="125" t="n"/>
      <c r="I469" s="126" t="n"/>
      <c r="J469" s="125">
        <f>IFERROR(F469-E469-G469-H469-I469,"")</f>
        <v/>
      </c>
      <c r="K469" s="127">
        <f>IFERROR(J469/F469,"")</f>
        <v/>
      </c>
      <c r="L469" s="125" t="n"/>
    </row>
    <row r="470">
      <c r="A470" s="128" t="n"/>
      <c r="B470" s="129" t="n"/>
      <c r="C470" s="129" t="n"/>
      <c r="D470" s="129" t="n"/>
      <c r="E470" s="129" t="n"/>
      <c r="F470" s="130" t="n"/>
      <c r="G470" s="130" t="n"/>
      <c r="H470" s="129" t="n"/>
      <c r="I470" s="130" t="n"/>
      <c r="J470" s="129">
        <f>IFERROR(F470-E470-G470-H470-I470,"")</f>
        <v/>
      </c>
      <c r="K470" s="131">
        <f>IFERROR(J470/F470,"")</f>
        <v/>
      </c>
      <c r="L470" s="129" t="n"/>
    </row>
    <row r="471">
      <c r="A471" s="124" t="n"/>
      <c r="B471" s="125" t="n"/>
      <c r="C471" s="125" t="n"/>
      <c r="D471" s="125" t="n"/>
      <c r="E471" s="125" t="n"/>
      <c r="F471" s="126" t="n"/>
      <c r="G471" s="126" t="n"/>
      <c r="H471" s="125" t="n"/>
      <c r="I471" s="126" t="n"/>
      <c r="J471" s="125">
        <f>IFERROR(F471-E471-G471-H471-I471,"")</f>
        <v/>
      </c>
      <c r="K471" s="127">
        <f>IFERROR(J471/F471,"")</f>
        <v/>
      </c>
      <c r="L471" s="125" t="n"/>
    </row>
    <row r="472">
      <c r="A472" s="128" t="n"/>
      <c r="B472" s="129" t="n"/>
      <c r="C472" s="129" t="n"/>
      <c r="D472" s="129" t="n"/>
      <c r="E472" s="129" t="n"/>
      <c r="F472" s="130" t="n"/>
      <c r="G472" s="130" t="n"/>
      <c r="H472" s="129" t="n"/>
      <c r="I472" s="130" t="n"/>
      <c r="J472" s="129">
        <f>IFERROR(F472-E472-G472-H472-I472,"")</f>
        <v/>
      </c>
      <c r="K472" s="131">
        <f>IFERROR(J472/F472,"")</f>
        <v/>
      </c>
      <c r="L472" s="129" t="n"/>
    </row>
    <row r="473">
      <c r="A473" s="124" t="n"/>
      <c r="B473" s="125" t="n"/>
      <c r="C473" s="125" t="n"/>
      <c r="D473" s="125" t="n"/>
      <c r="E473" s="125" t="n"/>
      <c r="F473" s="126" t="n"/>
      <c r="G473" s="126" t="n"/>
      <c r="H473" s="125" t="n"/>
      <c r="I473" s="126" t="n"/>
      <c r="J473" s="125">
        <f>IFERROR(F473-E473-G473-H473-I473,"")</f>
        <v/>
      </c>
      <c r="K473" s="127">
        <f>IFERROR(J473/F473,"")</f>
        <v/>
      </c>
      <c r="L473" s="125" t="n"/>
    </row>
    <row r="474">
      <c r="A474" s="128" t="n"/>
      <c r="B474" s="129" t="n"/>
      <c r="C474" s="129" t="n"/>
      <c r="D474" s="129" t="n"/>
      <c r="E474" s="129" t="n"/>
      <c r="F474" s="130" t="n"/>
      <c r="G474" s="130" t="n"/>
      <c r="H474" s="129" t="n"/>
      <c r="I474" s="130" t="n"/>
      <c r="J474" s="129">
        <f>IFERROR(F474-E474-G474-H474-I474,"")</f>
        <v/>
      </c>
      <c r="K474" s="131">
        <f>IFERROR(J474/F474,"")</f>
        <v/>
      </c>
      <c r="L474" s="129" t="n"/>
    </row>
    <row r="475">
      <c r="A475" s="124" t="n"/>
      <c r="B475" s="125" t="n"/>
      <c r="C475" s="125" t="n"/>
      <c r="D475" s="125" t="n"/>
      <c r="E475" s="125" t="n"/>
      <c r="F475" s="126" t="n"/>
      <c r="G475" s="126" t="n"/>
      <c r="H475" s="125" t="n"/>
      <c r="I475" s="126" t="n"/>
      <c r="J475" s="125">
        <f>IFERROR(F475-E475-G475-H475-I475,"")</f>
        <v/>
      </c>
      <c r="K475" s="127">
        <f>IFERROR(J475/F475,"")</f>
        <v/>
      </c>
      <c r="L475" s="125" t="n"/>
    </row>
    <row r="476">
      <c r="A476" s="128" t="n"/>
      <c r="B476" s="129" t="n"/>
      <c r="C476" s="129" t="n"/>
      <c r="D476" s="129" t="n"/>
      <c r="E476" s="129" t="n"/>
      <c r="F476" s="130" t="n"/>
      <c r="G476" s="130" t="n"/>
      <c r="H476" s="129" t="n"/>
      <c r="I476" s="130" t="n"/>
      <c r="J476" s="129">
        <f>IFERROR(F476-E476-G476-H476-I476,"")</f>
        <v/>
      </c>
      <c r="K476" s="131">
        <f>IFERROR(J476/F476,"")</f>
        <v/>
      </c>
      <c r="L476" s="129" t="n"/>
    </row>
    <row r="477">
      <c r="A477" s="124" t="n"/>
      <c r="B477" s="125" t="n"/>
      <c r="C477" s="125" t="n"/>
      <c r="D477" s="125" t="n"/>
      <c r="E477" s="125" t="n"/>
      <c r="F477" s="126" t="n"/>
      <c r="G477" s="126" t="n"/>
      <c r="H477" s="125" t="n"/>
      <c r="I477" s="126" t="n"/>
      <c r="J477" s="125">
        <f>IFERROR(F477-E477-G477-H477-I477,"")</f>
        <v/>
      </c>
      <c r="K477" s="127">
        <f>IFERROR(J477/F477,"")</f>
        <v/>
      </c>
      <c r="L477" s="125" t="n"/>
    </row>
    <row r="478">
      <c r="A478" s="128" t="n"/>
      <c r="B478" s="129" t="n"/>
      <c r="C478" s="129" t="n"/>
      <c r="D478" s="129" t="n"/>
      <c r="E478" s="129" t="n"/>
      <c r="F478" s="130" t="n"/>
      <c r="G478" s="130" t="n"/>
      <c r="H478" s="129" t="n"/>
      <c r="I478" s="130" t="n"/>
      <c r="J478" s="129">
        <f>IFERROR(F478-E478-G478-H478-I478,"")</f>
        <v/>
      </c>
      <c r="K478" s="131">
        <f>IFERROR(J478/F478,"")</f>
        <v/>
      </c>
      <c r="L478" s="129" t="n"/>
    </row>
    <row r="479">
      <c r="A479" s="124" t="n"/>
      <c r="B479" s="125" t="n"/>
      <c r="C479" s="125" t="n"/>
      <c r="D479" s="125" t="n"/>
      <c r="E479" s="125" t="n"/>
      <c r="F479" s="126" t="n"/>
      <c r="G479" s="126" t="n"/>
      <c r="H479" s="125" t="n"/>
      <c r="I479" s="126" t="n"/>
      <c r="J479" s="125">
        <f>IFERROR(F479-E479-G479-H479-I479,"")</f>
        <v/>
      </c>
      <c r="K479" s="127">
        <f>IFERROR(J479/F479,"")</f>
        <v/>
      </c>
      <c r="L479" s="125" t="n"/>
    </row>
    <row r="480">
      <c r="A480" s="128" t="n"/>
      <c r="B480" s="129" t="n"/>
      <c r="C480" s="129" t="n"/>
      <c r="D480" s="129" t="n"/>
      <c r="E480" s="129" t="n"/>
      <c r="F480" s="130" t="n"/>
      <c r="G480" s="130" t="n"/>
      <c r="H480" s="129" t="n"/>
      <c r="I480" s="130" t="n"/>
      <c r="J480" s="129">
        <f>IFERROR(F480-E480-G480-H480-I480,"")</f>
        <v/>
      </c>
      <c r="K480" s="131">
        <f>IFERROR(J480/F480,"")</f>
        <v/>
      </c>
      <c r="L480" s="129" t="n"/>
    </row>
    <row r="481">
      <c r="A481" s="124" t="n"/>
      <c r="B481" s="125" t="n"/>
      <c r="C481" s="125" t="n"/>
      <c r="D481" s="125" t="n"/>
      <c r="E481" s="125" t="n"/>
      <c r="F481" s="126" t="n"/>
      <c r="G481" s="126" t="n"/>
      <c r="H481" s="125" t="n"/>
      <c r="I481" s="126" t="n"/>
      <c r="J481" s="125">
        <f>IFERROR(F481-E481-G481-H481-I481,"")</f>
        <v/>
      </c>
      <c r="K481" s="127">
        <f>IFERROR(J481/F481,"")</f>
        <v/>
      </c>
      <c r="L481" s="125" t="n"/>
    </row>
    <row r="482">
      <c r="A482" s="128" t="n"/>
      <c r="B482" s="129" t="n"/>
      <c r="C482" s="129" t="n"/>
      <c r="D482" s="129" t="n"/>
      <c r="E482" s="129" t="n"/>
      <c r="F482" s="130" t="n"/>
      <c r="G482" s="130" t="n"/>
      <c r="H482" s="129" t="n"/>
      <c r="I482" s="130" t="n"/>
      <c r="J482" s="129">
        <f>IFERROR(F482-E482-G482-H482-I482,"")</f>
        <v/>
      </c>
      <c r="K482" s="131">
        <f>IFERROR(J482/F482,"")</f>
        <v/>
      </c>
      <c r="L482" s="129" t="n"/>
    </row>
    <row r="483">
      <c r="A483" s="124" t="n"/>
      <c r="B483" s="125" t="n"/>
      <c r="C483" s="125" t="n"/>
      <c r="D483" s="125" t="n"/>
      <c r="E483" s="125" t="n"/>
      <c r="F483" s="126" t="n"/>
      <c r="G483" s="126" t="n"/>
      <c r="H483" s="125" t="n"/>
      <c r="I483" s="126" t="n"/>
      <c r="J483" s="125">
        <f>IFERROR(F483-E483-G483-H483-I483,"")</f>
        <v/>
      </c>
      <c r="K483" s="127">
        <f>IFERROR(J483/F483,"")</f>
        <v/>
      </c>
      <c r="L483" s="125" t="n"/>
    </row>
    <row r="484">
      <c r="A484" s="128" t="n"/>
      <c r="B484" s="129" t="n"/>
      <c r="C484" s="129" t="n"/>
      <c r="D484" s="129" t="n"/>
      <c r="E484" s="129" t="n"/>
      <c r="F484" s="130" t="n"/>
      <c r="G484" s="130" t="n"/>
      <c r="H484" s="129" t="n"/>
      <c r="I484" s="130" t="n"/>
      <c r="J484" s="129">
        <f>IFERROR(F484-E484-G484-H484-I484,"")</f>
        <v/>
      </c>
      <c r="K484" s="131">
        <f>IFERROR(J484/F484,"")</f>
        <v/>
      </c>
      <c r="L484" s="129" t="n"/>
    </row>
    <row r="485">
      <c r="A485" s="124" t="n"/>
      <c r="B485" s="125" t="n"/>
      <c r="C485" s="125" t="n"/>
      <c r="D485" s="125" t="n"/>
      <c r="E485" s="125" t="n"/>
      <c r="F485" s="126" t="n"/>
      <c r="G485" s="126" t="n"/>
      <c r="H485" s="125" t="n"/>
      <c r="I485" s="126" t="n"/>
      <c r="J485" s="125">
        <f>IFERROR(F485-E485-G485-H485-I485,"")</f>
        <v/>
      </c>
      <c r="K485" s="127">
        <f>IFERROR(J485/F485,"")</f>
        <v/>
      </c>
      <c r="L485" s="125" t="n"/>
    </row>
    <row r="486">
      <c r="A486" s="128" t="n"/>
      <c r="B486" s="129" t="n"/>
      <c r="C486" s="129" t="n"/>
      <c r="D486" s="129" t="n"/>
      <c r="E486" s="129" t="n"/>
      <c r="F486" s="130" t="n"/>
      <c r="G486" s="130" t="n"/>
      <c r="H486" s="129" t="n"/>
      <c r="I486" s="130" t="n"/>
      <c r="J486" s="129">
        <f>IFERROR(F486-E486-G486-H486-I486,"")</f>
        <v/>
      </c>
      <c r="K486" s="131">
        <f>IFERROR(J486/F486,"")</f>
        <v/>
      </c>
      <c r="L486" s="129" t="n"/>
    </row>
    <row r="487">
      <c r="A487" s="124" t="n"/>
      <c r="B487" s="125" t="n"/>
      <c r="C487" s="125" t="n"/>
      <c r="D487" s="125" t="n"/>
      <c r="E487" s="125" t="n"/>
      <c r="F487" s="126" t="n"/>
      <c r="G487" s="126" t="n"/>
      <c r="H487" s="125" t="n"/>
      <c r="I487" s="126" t="n"/>
      <c r="J487" s="125">
        <f>IFERROR(F487-E487-G487-H487-I487,"")</f>
        <v/>
      </c>
      <c r="K487" s="127">
        <f>IFERROR(J487/F487,"")</f>
        <v/>
      </c>
      <c r="L487" s="125" t="n"/>
    </row>
    <row r="488">
      <c r="A488" s="128" t="n"/>
      <c r="B488" s="129" t="n"/>
      <c r="C488" s="129" t="n"/>
      <c r="D488" s="129" t="n"/>
      <c r="E488" s="129" t="n"/>
      <c r="F488" s="130" t="n"/>
      <c r="G488" s="130" t="n"/>
      <c r="H488" s="129" t="n"/>
      <c r="I488" s="130" t="n"/>
      <c r="J488" s="129">
        <f>IFERROR(F488-E488-G488-H488-I488,"")</f>
        <v/>
      </c>
      <c r="K488" s="131">
        <f>IFERROR(J488/F488,"")</f>
        <v/>
      </c>
      <c r="L488" s="129" t="n"/>
    </row>
    <row r="489">
      <c r="A489" s="124" t="n"/>
      <c r="B489" s="125" t="n"/>
      <c r="C489" s="125" t="n"/>
      <c r="D489" s="125" t="n"/>
      <c r="E489" s="125" t="n"/>
      <c r="F489" s="126" t="n"/>
      <c r="G489" s="126" t="n"/>
      <c r="H489" s="125" t="n"/>
      <c r="I489" s="126" t="n"/>
      <c r="J489" s="125">
        <f>IFERROR(F489-E489-G489-H489-I489,"")</f>
        <v/>
      </c>
      <c r="K489" s="127">
        <f>IFERROR(J489/F489,"")</f>
        <v/>
      </c>
      <c r="L489" s="125" t="n"/>
    </row>
    <row r="490">
      <c r="A490" s="128" t="n"/>
      <c r="B490" s="129" t="n"/>
      <c r="C490" s="129" t="n"/>
      <c r="D490" s="129" t="n"/>
      <c r="E490" s="129" t="n"/>
      <c r="F490" s="130" t="n"/>
      <c r="G490" s="130" t="n"/>
      <c r="H490" s="129" t="n"/>
      <c r="I490" s="130" t="n"/>
      <c r="J490" s="129">
        <f>IFERROR(F490-E490-G490-H490-I490,"")</f>
        <v/>
      </c>
      <c r="K490" s="131">
        <f>IFERROR(J490/F490,"")</f>
        <v/>
      </c>
      <c r="L490" s="129" t="n"/>
    </row>
    <row r="491">
      <c r="A491" s="124" t="n"/>
      <c r="B491" s="125" t="n"/>
      <c r="C491" s="125" t="n"/>
      <c r="D491" s="125" t="n"/>
      <c r="E491" s="125" t="n"/>
      <c r="F491" s="126" t="n"/>
      <c r="G491" s="126" t="n"/>
      <c r="H491" s="125" t="n"/>
      <c r="I491" s="126" t="n"/>
      <c r="J491" s="125">
        <f>IFERROR(F491-E491-G491-H491-I491,"")</f>
        <v/>
      </c>
      <c r="K491" s="127">
        <f>IFERROR(J491/F491,"")</f>
        <v/>
      </c>
      <c r="L491" s="125" t="n"/>
    </row>
    <row r="492">
      <c r="A492" s="128" t="n"/>
      <c r="B492" s="129" t="n"/>
      <c r="C492" s="129" t="n"/>
      <c r="D492" s="129" t="n"/>
      <c r="E492" s="129" t="n"/>
      <c r="F492" s="130" t="n"/>
      <c r="G492" s="130" t="n"/>
      <c r="H492" s="129" t="n"/>
      <c r="I492" s="130" t="n"/>
      <c r="J492" s="129">
        <f>IFERROR(F492-E492-G492-H492-I492,"")</f>
        <v/>
      </c>
      <c r="K492" s="131">
        <f>IFERROR(J492/F492,"")</f>
        <v/>
      </c>
      <c r="L492" s="129" t="n"/>
    </row>
    <row r="493">
      <c r="A493" s="124" t="n"/>
      <c r="B493" s="125" t="n"/>
      <c r="C493" s="125" t="n"/>
      <c r="D493" s="125" t="n"/>
      <c r="E493" s="125" t="n"/>
      <c r="F493" s="126" t="n"/>
      <c r="G493" s="126" t="n"/>
      <c r="H493" s="125" t="n"/>
      <c r="I493" s="126" t="n"/>
      <c r="J493" s="125">
        <f>IFERROR(F493-E493-G493-H493-I493,"")</f>
        <v/>
      </c>
      <c r="K493" s="127">
        <f>IFERROR(J493/F493,"")</f>
        <v/>
      </c>
      <c r="L493" s="125" t="n"/>
    </row>
    <row r="494">
      <c r="A494" s="128" t="n"/>
      <c r="B494" s="129" t="n"/>
      <c r="C494" s="129" t="n"/>
      <c r="D494" s="129" t="n"/>
      <c r="E494" s="129" t="n"/>
      <c r="F494" s="130" t="n"/>
      <c r="G494" s="130" t="n"/>
      <c r="H494" s="129" t="n"/>
      <c r="I494" s="130" t="n"/>
      <c r="J494" s="129">
        <f>IFERROR(F494-E494-G494-H494-I494,"")</f>
        <v/>
      </c>
      <c r="K494" s="131">
        <f>IFERROR(J494/F494,"")</f>
        <v/>
      </c>
      <c r="L494" s="129" t="n"/>
    </row>
    <row r="495">
      <c r="A495" s="124" t="n"/>
      <c r="B495" s="125" t="n"/>
      <c r="C495" s="125" t="n"/>
      <c r="D495" s="125" t="n"/>
      <c r="E495" s="125" t="n"/>
      <c r="F495" s="126" t="n"/>
      <c r="G495" s="126" t="n"/>
      <c r="H495" s="125" t="n"/>
      <c r="I495" s="126" t="n"/>
      <c r="J495" s="125">
        <f>IFERROR(F495-E495-G495-H495-I495,"")</f>
        <v/>
      </c>
      <c r="K495" s="127">
        <f>IFERROR(J495/F495,"")</f>
        <v/>
      </c>
      <c r="L495" s="125" t="n"/>
    </row>
    <row r="496">
      <c r="A496" s="128" t="n"/>
      <c r="B496" s="129" t="n"/>
      <c r="C496" s="129" t="n"/>
      <c r="D496" s="129" t="n"/>
      <c r="E496" s="129" t="n"/>
      <c r="F496" s="130" t="n"/>
      <c r="G496" s="130" t="n"/>
      <c r="H496" s="129" t="n"/>
      <c r="I496" s="130" t="n"/>
      <c r="J496" s="129">
        <f>IFERROR(F496-E496-G496-H496-I496,"")</f>
        <v/>
      </c>
      <c r="K496" s="131">
        <f>IFERROR(J496/F496,"")</f>
        <v/>
      </c>
      <c r="L496" s="129" t="n"/>
    </row>
    <row r="497">
      <c r="A497" s="124" t="n"/>
      <c r="B497" s="125" t="n"/>
      <c r="C497" s="125" t="n"/>
      <c r="D497" s="125" t="n"/>
      <c r="E497" s="125" t="n"/>
      <c r="F497" s="126" t="n"/>
      <c r="G497" s="126" t="n"/>
      <c r="H497" s="125" t="n"/>
      <c r="I497" s="126" t="n"/>
      <c r="J497" s="125">
        <f>IFERROR(F497-E497-G497-H497-I497,"")</f>
        <v/>
      </c>
      <c r="K497" s="127">
        <f>IFERROR(J497/F497,"")</f>
        <v/>
      </c>
      <c r="L497" s="125" t="n"/>
    </row>
    <row r="498">
      <c r="A498" s="128" t="n"/>
      <c r="B498" s="129" t="n"/>
      <c r="C498" s="129" t="n"/>
      <c r="D498" s="129" t="n"/>
      <c r="E498" s="129" t="n"/>
      <c r="F498" s="130" t="n"/>
      <c r="G498" s="130" t="n"/>
      <c r="H498" s="129" t="n"/>
      <c r="I498" s="130" t="n"/>
      <c r="J498" s="129">
        <f>IFERROR(F498-E498-G498-H498-I498,"")</f>
        <v/>
      </c>
      <c r="K498" s="131">
        <f>IFERROR(J498/F498,"")</f>
        <v/>
      </c>
      <c r="L498" s="129" t="n"/>
    </row>
    <row r="499">
      <c r="A499" s="124" t="n"/>
      <c r="B499" s="125" t="n"/>
      <c r="C499" s="125" t="n"/>
      <c r="D499" s="125" t="n"/>
      <c r="E499" s="125" t="n"/>
      <c r="F499" s="126" t="n"/>
      <c r="G499" s="126" t="n"/>
      <c r="H499" s="125" t="n"/>
      <c r="I499" s="126" t="n"/>
      <c r="J499" s="125">
        <f>IFERROR(F499-E499-G499-H499-I499,"")</f>
        <v/>
      </c>
      <c r="K499" s="127">
        <f>IFERROR(J499/F499,"")</f>
        <v/>
      </c>
      <c r="L499" s="125" t="n"/>
    </row>
    <row r="500">
      <c r="A500" s="128" t="n"/>
      <c r="B500" s="129" t="n"/>
      <c r="C500" s="129" t="n"/>
      <c r="D500" s="129" t="n"/>
      <c r="E500" s="129" t="n"/>
      <c r="F500" s="130" t="n"/>
      <c r="G500" s="130" t="n"/>
      <c r="H500" s="129" t="n"/>
      <c r="I500" s="130" t="n"/>
      <c r="J500" s="129">
        <f>IFERROR(F500-E500-G500-H500-I500,"")</f>
        <v/>
      </c>
      <c r="K500" s="131">
        <f>IFERROR(J500/F500,"")</f>
        <v/>
      </c>
      <c r="L500" s="129" t="n"/>
    </row>
    <row r="501">
      <c r="A501" s="124" t="n"/>
      <c r="B501" s="125" t="n"/>
      <c r="C501" s="125" t="n"/>
      <c r="D501" s="125" t="n"/>
      <c r="E501" s="125" t="n"/>
      <c r="F501" s="126" t="n"/>
      <c r="G501" s="126" t="n"/>
      <c r="H501" s="125" t="n"/>
      <c r="I501" s="126" t="n"/>
      <c r="J501" s="125">
        <f>IFERROR(F501-E501-G501-H501-I501,"")</f>
        <v/>
      </c>
      <c r="K501" s="127">
        <f>IFERROR(J501/F501,"")</f>
        <v/>
      </c>
      <c r="L501" s="125" t="n"/>
    </row>
    <row r="502">
      <c r="A502" s="128" t="n"/>
      <c r="B502" s="129" t="n"/>
      <c r="C502" s="129" t="n"/>
      <c r="D502" s="129" t="n"/>
      <c r="E502" s="129" t="n"/>
      <c r="F502" s="130" t="n"/>
      <c r="G502" s="130" t="n"/>
      <c r="H502" s="129" t="n"/>
      <c r="I502" s="130" t="n"/>
      <c r="J502" s="129">
        <f>IFERROR(F502-E502-G502-H502-I502,"")</f>
        <v/>
      </c>
      <c r="K502" s="131">
        <f>IFERROR(J502/F502,"")</f>
        <v/>
      </c>
      <c r="L502" s="129" t="n"/>
    </row>
    <row r="503">
      <c r="A503" s="124" t="n"/>
      <c r="B503" s="125" t="n"/>
      <c r="C503" s="125" t="n"/>
      <c r="D503" s="125" t="n"/>
      <c r="E503" s="125" t="n"/>
      <c r="F503" s="126" t="n"/>
      <c r="G503" s="126" t="n"/>
      <c r="H503" s="125" t="n"/>
      <c r="I503" s="126" t="n"/>
      <c r="J503" s="125">
        <f>IFERROR(F503-E503-G503-H503-I503,"")</f>
        <v/>
      </c>
      <c r="K503" s="127">
        <f>IFERROR(J503/F503,"")</f>
        <v/>
      </c>
      <c r="L503" s="125" t="n"/>
    </row>
    <row r="504">
      <c r="A504" s="128" t="n"/>
      <c r="B504" s="129" t="n"/>
      <c r="C504" s="129" t="n"/>
      <c r="D504" s="129" t="n"/>
      <c r="E504" s="129" t="n"/>
      <c r="F504" s="130" t="n"/>
      <c r="G504" s="130" t="n"/>
      <c r="H504" s="129" t="n"/>
      <c r="I504" s="130" t="n"/>
      <c r="J504" s="129">
        <f>IFERROR(F504-E504-G504-H504-I504,"")</f>
        <v/>
      </c>
      <c r="K504" s="131">
        <f>IFERROR(J504/F504,"")</f>
        <v/>
      </c>
      <c r="L504" s="129" t="n"/>
    </row>
    <row r="505">
      <c r="A505" s="124" t="n"/>
      <c r="B505" s="125" t="n"/>
      <c r="C505" s="125" t="n"/>
      <c r="D505" s="125" t="n"/>
      <c r="E505" s="125" t="n"/>
      <c r="F505" s="126" t="n"/>
      <c r="G505" s="126" t="n"/>
      <c r="H505" s="125" t="n"/>
      <c r="I505" s="126" t="n"/>
      <c r="J505" s="125">
        <f>IFERROR(F505-E505-G505-H505-I505,"")</f>
        <v/>
      </c>
      <c r="K505" s="127">
        <f>IFERROR(J505/F505,"")</f>
        <v/>
      </c>
      <c r="L505" s="125" t="n"/>
    </row>
    <row r="506">
      <c r="A506" s="128" t="n"/>
      <c r="B506" s="129" t="n"/>
      <c r="C506" s="129" t="n"/>
      <c r="D506" s="129" t="n"/>
      <c r="E506" s="129" t="n"/>
      <c r="F506" s="130" t="n"/>
      <c r="G506" s="130" t="n"/>
      <c r="H506" s="129" t="n"/>
      <c r="I506" s="130" t="n"/>
      <c r="J506" s="129">
        <f>IFERROR(F506-E506-G506-H506-I506,"")</f>
        <v/>
      </c>
      <c r="K506" s="131">
        <f>IFERROR(J506/F506,"")</f>
        <v/>
      </c>
      <c r="L506" s="129" t="n"/>
    </row>
    <row r="507">
      <c r="A507" s="124" t="n"/>
      <c r="B507" s="125" t="n"/>
      <c r="C507" s="125" t="n"/>
      <c r="D507" s="125" t="n"/>
      <c r="E507" s="125" t="n"/>
      <c r="F507" s="126" t="n"/>
      <c r="G507" s="126" t="n"/>
      <c r="H507" s="125" t="n"/>
      <c r="I507" s="126" t="n"/>
      <c r="J507" s="125">
        <f>IFERROR(F507-E507-G507-H507-I507,"")</f>
        <v/>
      </c>
      <c r="K507" s="127">
        <f>IFERROR(J507/F507,"")</f>
        <v/>
      </c>
      <c r="L507" s="125" t="n"/>
    </row>
    <row r="508">
      <c r="A508" s="128" t="n"/>
      <c r="B508" s="129" t="n"/>
      <c r="C508" s="129" t="n"/>
      <c r="D508" s="129" t="n"/>
      <c r="E508" s="129" t="n"/>
      <c r="F508" s="130" t="n"/>
      <c r="G508" s="130" t="n"/>
      <c r="H508" s="129" t="n"/>
      <c r="I508" s="130" t="n"/>
      <c r="J508" s="129">
        <f>IFERROR(F508-E508-G508-H508-I508,"")</f>
        <v/>
      </c>
      <c r="K508" s="131">
        <f>IFERROR(J508/F508,"")</f>
        <v/>
      </c>
      <c r="L508" s="129" t="n"/>
    </row>
    <row r="509">
      <c r="A509" s="124" t="n"/>
      <c r="B509" s="125" t="n"/>
      <c r="C509" s="125" t="n"/>
      <c r="D509" s="125" t="n"/>
      <c r="E509" s="125" t="n"/>
      <c r="F509" s="126" t="n"/>
      <c r="G509" s="126" t="n"/>
      <c r="H509" s="125" t="n"/>
      <c r="I509" s="126" t="n"/>
      <c r="J509" s="125">
        <f>IFERROR(F509-E509-G509-H509-I509,"")</f>
        <v/>
      </c>
      <c r="K509" s="127">
        <f>IFERROR(J509/F509,"")</f>
        <v/>
      </c>
      <c r="L509" s="125" t="n"/>
    </row>
    <row r="510">
      <c r="A510" s="128" t="n"/>
      <c r="B510" s="129" t="n"/>
      <c r="C510" s="129" t="n"/>
      <c r="D510" s="129" t="n"/>
      <c r="E510" s="129" t="n"/>
      <c r="F510" s="130" t="n"/>
      <c r="G510" s="130" t="n"/>
      <c r="H510" s="129" t="n"/>
      <c r="I510" s="130" t="n"/>
      <c r="J510" s="129">
        <f>IFERROR(F510-E510-G510-H510-I510,"")</f>
        <v/>
      </c>
      <c r="K510" s="131">
        <f>IFERROR(J510/F510,"")</f>
        <v/>
      </c>
      <c r="L510" s="129" t="n"/>
    </row>
    <row r="511">
      <c r="A511" s="124" t="n"/>
      <c r="B511" s="125" t="n"/>
      <c r="C511" s="125" t="n"/>
      <c r="D511" s="125" t="n"/>
      <c r="E511" s="125" t="n"/>
      <c r="F511" s="126" t="n"/>
      <c r="G511" s="126" t="n"/>
      <c r="H511" s="125" t="n"/>
      <c r="I511" s="126" t="n"/>
      <c r="J511" s="125">
        <f>IFERROR(F511-E511-G511-H511-I511,"")</f>
        <v/>
      </c>
      <c r="K511" s="127">
        <f>IFERROR(J511/F511,"")</f>
        <v/>
      </c>
      <c r="L511" s="125" t="n"/>
    </row>
    <row r="512">
      <c r="A512" s="128" t="n"/>
      <c r="B512" s="129" t="n"/>
      <c r="C512" s="129" t="n"/>
      <c r="D512" s="129" t="n"/>
      <c r="E512" s="129" t="n"/>
      <c r="F512" s="130" t="n"/>
      <c r="G512" s="130" t="n"/>
      <c r="H512" s="129" t="n"/>
      <c r="I512" s="130" t="n"/>
      <c r="J512" s="129">
        <f>IFERROR(F512-E512-G512-H512-I512,"")</f>
        <v/>
      </c>
      <c r="K512" s="131">
        <f>IFERROR(J512/F512,"")</f>
        <v/>
      </c>
      <c r="L512" s="129" t="n"/>
    </row>
    <row r="513">
      <c r="A513" s="124" t="n"/>
      <c r="B513" s="125" t="n"/>
      <c r="C513" s="125" t="n"/>
      <c r="D513" s="125" t="n"/>
      <c r="E513" s="125" t="n"/>
      <c r="F513" s="126" t="n"/>
      <c r="G513" s="126" t="n"/>
      <c r="H513" s="125" t="n"/>
      <c r="I513" s="126" t="n"/>
      <c r="J513" s="125">
        <f>IFERROR(F513-E513-G513-H513-I513,"")</f>
        <v/>
      </c>
      <c r="K513" s="127">
        <f>IFERROR(J513/F513,"")</f>
        <v/>
      </c>
      <c r="L513" s="125" t="n"/>
    </row>
    <row r="514">
      <c r="A514" s="128" t="n"/>
      <c r="B514" s="129" t="n"/>
      <c r="C514" s="129" t="n"/>
      <c r="D514" s="129" t="n"/>
      <c r="E514" s="129" t="n"/>
      <c r="F514" s="130" t="n"/>
      <c r="G514" s="130" t="n"/>
      <c r="H514" s="129" t="n"/>
      <c r="I514" s="130" t="n"/>
      <c r="J514" s="129">
        <f>IFERROR(F514-E514-G514-H514-I514,"")</f>
        <v/>
      </c>
      <c r="K514" s="131">
        <f>IFERROR(J514/F514,"")</f>
        <v/>
      </c>
      <c r="L514" s="129" t="n"/>
    </row>
    <row r="515">
      <c r="A515" s="124" t="n"/>
      <c r="B515" s="125" t="n"/>
      <c r="C515" s="125" t="n"/>
      <c r="D515" s="125" t="n"/>
      <c r="E515" s="125" t="n"/>
      <c r="F515" s="126" t="n"/>
      <c r="G515" s="126" t="n"/>
      <c r="H515" s="125" t="n"/>
      <c r="I515" s="126" t="n"/>
      <c r="J515" s="125">
        <f>IFERROR(F515-E515-G515-H515-I515,"")</f>
        <v/>
      </c>
      <c r="K515" s="127">
        <f>IFERROR(J515/F515,"")</f>
        <v/>
      </c>
      <c r="L515" s="125" t="n"/>
    </row>
    <row r="516">
      <c r="A516" s="128" t="n"/>
      <c r="B516" s="129" t="n"/>
      <c r="C516" s="129" t="n"/>
      <c r="D516" s="129" t="n"/>
      <c r="E516" s="129" t="n"/>
      <c r="F516" s="130" t="n"/>
      <c r="G516" s="130" t="n"/>
      <c r="H516" s="129" t="n"/>
      <c r="I516" s="130" t="n"/>
      <c r="J516" s="129">
        <f>IFERROR(F516-E516-G516-H516-I516,"")</f>
        <v/>
      </c>
      <c r="K516" s="131">
        <f>IFERROR(J516/F516,"")</f>
        <v/>
      </c>
      <c r="L516" s="129" t="n"/>
    </row>
    <row r="517">
      <c r="A517" s="124" t="n"/>
      <c r="B517" s="125" t="n"/>
      <c r="C517" s="125" t="n"/>
      <c r="D517" s="125" t="n"/>
      <c r="E517" s="125" t="n"/>
      <c r="F517" s="126" t="n"/>
      <c r="G517" s="126" t="n"/>
      <c r="H517" s="125" t="n"/>
      <c r="I517" s="126" t="n"/>
      <c r="J517" s="125">
        <f>IFERROR(F517-E517-G517-H517-I517,"")</f>
        <v/>
      </c>
      <c r="K517" s="127">
        <f>IFERROR(J517/F517,"")</f>
        <v/>
      </c>
      <c r="L517" s="125" t="n"/>
    </row>
    <row r="518">
      <c r="A518" s="128" t="n"/>
      <c r="B518" s="129" t="n"/>
      <c r="C518" s="129" t="n"/>
      <c r="D518" s="129" t="n"/>
      <c r="E518" s="129" t="n"/>
      <c r="F518" s="130" t="n"/>
      <c r="G518" s="130" t="n"/>
      <c r="H518" s="129" t="n"/>
      <c r="I518" s="130" t="n"/>
      <c r="J518" s="129">
        <f>IFERROR(F518-E518-G518-H518-I518,"")</f>
        <v/>
      </c>
      <c r="K518" s="131">
        <f>IFERROR(J518/F518,"")</f>
        <v/>
      </c>
      <c r="L518" s="129" t="n"/>
    </row>
    <row r="519">
      <c r="A519" s="124" t="n"/>
      <c r="B519" s="125" t="n"/>
      <c r="C519" s="125" t="n"/>
      <c r="D519" s="125" t="n"/>
      <c r="E519" s="125" t="n"/>
      <c r="F519" s="126" t="n"/>
      <c r="G519" s="126" t="n"/>
      <c r="H519" s="125" t="n"/>
      <c r="I519" s="126" t="n"/>
      <c r="J519" s="125">
        <f>IFERROR(F519-E519-G519-H519-I519,"")</f>
        <v/>
      </c>
      <c r="K519" s="127">
        <f>IFERROR(J519/F519,"")</f>
        <v/>
      </c>
      <c r="L519" s="125" t="n"/>
    </row>
    <row r="520">
      <c r="A520" s="128" t="n"/>
      <c r="B520" s="129" t="n"/>
      <c r="C520" s="129" t="n"/>
      <c r="D520" s="129" t="n"/>
      <c r="E520" s="129" t="n"/>
      <c r="F520" s="130" t="n"/>
      <c r="G520" s="130" t="n"/>
      <c r="H520" s="129" t="n"/>
      <c r="I520" s="130" t="n"/>
      <c r="J520" s="129">
        <f>IFERROR(F520-E520-G520-H520-I520,"")</f>
        <v/>
      </c>
      <c r="K520" s="131">
        <f>IFERROR(J520/F520,"")</f>
        <v/>
      </c>
      <c r="L520" s="129" t="n"/>
    </row>
    <row r="521">
      <c r="A521" s="124" t="n"/>
      <c r="B521" s="125" t="n"/>
      <c r="C521" s="125" t="n"/>
      <c r="D521" s="125" t="n"/>
      <c r="E521" s="125" t="n"/>
      <c r="F521" s="126" t="n"/>
      <c r="G521" s="126" t="n"/>
      <c r="H521" s="125" t="n"/>
      <c r="I521" s="126" t="n"/>
      <c r="J521" s="125">
        <f>IFERROR(F521-E521-G521-H521-I521,"")</f>
        <v/>
      </c>
      <c r="K521" s="127">
        <f>IFERROR(J521/F521,"")</f>
        <v/>
      </c>
      <c r="L521" s="125" t="n"/>
    </row>
    <row r="522">
      <c r="A522" s="128" t="n"/>
      <c r="B522" s="129" t="n"/>
      <c r="C522" s="129" t="n"/>
      <c r="D522" s="129" t="n"/>
      <c r="E522" s="129" t="n"/>
      <c r="F522" s="130" t="n"/>
      <c r="G522" s="130" t="n"/>
      <c r="H522" s="129" t="n"/>
      <c r="I522" s="130" t="n"/>
      <c r="J522" s="129">
        <f>IFERROR(F522-E522-G522-H522-I522,"")</f>
        <v/>
      </c>
      <c r="K522" s="131">
        <f>IFERROR(J522/F522,"")</f>
        <v/>
      </c>
      <c r="L522" s="129" t="n"/>
    </row>
    <row r="523">
      <c r="A523" s="124" t="n"/>
      <c r="B523" s="125" t="n"/>
      <c r="C523" s="125" t="n"/>
      <c r="D523" s="125" t="n"/>
      <c r="E523" s="125" t="n"/>
      <c r="F523" s="126" t="n"/>
      <c r="G523" s="126" t="n"/>
      <c r="H523" s="125" t="n"/>
      <c r="I523" s="126" t="n"/>
      <c r="J523" s="125">
        <f>IFERROR(F523-E523-G523-H523-I523,"")</f>
        <v/>
      </c>
      <c r="K523" s="127">
        <f>IFERROR(J523/F523,"")</f>
        <v/>
      </c>
      <c r="L523" s="125" t="n"/>
    </row>
    <row r="524">
      <c r="A524" s="128" t="n"/>
      <c r="B524" s="129" t="n"/>
      <c r="C524" s="129" t="n"/>
      <c r="D524" s="129" t="n"/>
      <c r="E524" s="129" t="n"/>
      <c r="F524" s="130" t="n"/>
      <c r="G524" s="130" t="n"/>
      <c r="H524" s="129" t="n"/>
      <c r="I524" s="130" t="n"/>
      <c r="J524" s="129">
        <f>IFERROR(F524-E524-G524-H524-I524,"")</f>
        <v/>
      </c>
      <c r="K524" s="131">
        <f>IFERROR(J524/F524,"")</f>
        <v/>
      </c>
      <c r="L524" s="129" t="n"/>
    </row>
    <row r="525">
      <c r="A525" s="124" t="n"/>
      <c r="B525" s="125" t="n"/>
      <c r="C525" s="125" t="n"/>
      <c r="D525" s="125" t="n"/>
      <c r="E525" s="125" t="n"/>
      <c r="F525" s="126" t="n"/>
      <c r="G525" s="126" t="n"/>
      <c r="H525" s="125" t="n"/>
      <c r="I525" s="126" t="n"/>
      <c r="J525" s="125">
        <f>IFERROR(F525-E525-G525-H525-I525,"")</f>
        <v/>
      </c>
      <c r="K525" s="127">
        <f>IFERROR(J525/F525,"")</f>
        <v/>
      </c>
      <c r="L525" s="125" t="n"/>
    </row>
    <row r="526">
      <c r="A526" s="128" t="n"/>
      <c r="B526" s="129" t="n"/>
      <c r="C526" s="129" t="n"/>
      <c r="D526" s="129" t="n"/>
      <c r="E526" s="129" t="n"/>
      <c r="F526" s="130" t="n"/>
      <c r="G526" s="130" t="n"/>
      <c r="H526" s="129" t="n"/>
      <c r="I526" s="130" t="n"/>
      <c r="J526" s="129">
        <f>IFERROR(F526-E526-G526-H526-I526,"")</f>
        <v/>
      </c>
      <c r="K526" s="131">
        <f>IFERROR(J526/F526,"")</f>
        <v/>
      </c>
      <c r="L526" s="129" t="n"/>
    </row>
    <row r="527">
      <c r="A527" s="124" t="n"/>
      <c r="B527" s="125" t="n"/>
      <c r="C527" s="125" t="n"/>
      <c r="D527" s="125" t="n"/>
      <c r="E527" s="125" t="n"/>
      <c r="F527" s="126" t="n"/>
      <c r="G527" s="126" t="n"/>
      <c r="H527" s="125" t="n"/>
      <c r="I527" s="126" t="n"/>
      <c r="J527" s="125">
        <f>IFERROR(F527-E527-G527-H527-I527,"")</f>
        <v/>
      </c>
      <c r="K527" s="127">
        <f>IFERROR(J527/F527,"")</f>
        <v/>
      </c>
      <c r="L527" s="125" t="n"/>
    </row>
    <row r="528">
      <c r="A528" s="128" t="n"/>
      <c r="B528" s="129" t="n"/>
      <c r="C528" s="129" t="n"/>
      <c r="D528" s="129" t="n"/>
      <c r="E528" s="129" t="n"/>
      <c r="F528" s="130" t="n"/>
      <c r="G528" s="130" t="n"/>
      <c r="H528" s="129" t="n"/>
      <c r="I528" s="130" t="n"/>
      <c r="J528" s="129">
        <f>IFERROR(F528-E528-G528-H528-I528,"")</f>
        <v/>
      </c>
      <c r="K528" s="131">
        <f>IFERROR(J528/F528,"")</f>
        <v/>
      </c>
      <c r="L528" s="129" t="n"/>
    </row>
    <row r="529">
      <c r="A529" s="124" t="n"/>
      <c r="B529" s="125" t="n"/>
      <c r="C529" s="125" t="n"/>
      <c r="D529" s="125" t="n"/>
      <c r="E529" s="125" t="n"/>
      <c r="F529" s="126" t="n"/>
      <c r="G529" s="126" t="n"/>
      <c r="H529" s="125" t="n"/>
      <c r="I529" s="126" t="n"/>
      <c r="J529" s="125">
        <f>IFERROR(F529-E529-G529-H529-I529,"")</f>
        <v/>
      </c>
      <c r="K529" s="127">
        <f>IFERROR(J529/F529,"")</f>
        <v/>
      </c>
      <c r="L529" s="125" t="n"/>
    </row>
    <row r="530">
      <c r="A530" s="128" t="n"/>
      <c r="B530" s="129" t="n"/>
      <c r="C530" s="129" t="n"/>
      <c r="D530" s="129" t="n"/>
      <c r="E530" s="129" t="n"/>
      <c r="F530" s="130" t="n"/>
      <c r="G530" s="130" t="n"/>
      <c r="H530" s="129" t="n"/>
      <c r="I530" s="130" t="n"/>
      <c r="J530" s="129">
        <f>IFERROR(F530-E530-G530-H530-I530,"")</f>
        <v/>
      </c>
      <c r="K530" s="131">
        <f>IFERROR(J530/F530,"")</f>
        <v/>
      </c>
      <c r="L530" s="129" t="n"/>
    </row>
    <row r="531">
      <c r="A531" s="124" t="n"/>
      <c r="B531" s="125" t="n"/>
      <c r="C531" s="125" t="n"/>
      <c r="D531" s="125" t="n"/>
      <c r="E531" s="125" t="n"/>
      <c r="F531" s="126" t="n"/>
      <c r="G531" s="126" t="n"/>
      <c r="H531" s="125" t="n"/>
      <c r="I531" s="126" t="n"/>
      <c r="J531" s="125">
        <f>IFERROR(F531-E531-G531-H531-I531,"")</f>
        <v/>
      </c>
      <c r="K531" s="127">
        <f>IFERROR(J531/F531,"")</f>
        <v/>
      </c>
      <c r="L531" s="125" t="n"/>
    </row>
    <row r="532">
      <c r="A532" s="128" t="n"/>
      <c r="B532" s="129" t="n"/>
      <c r="C532" s="129" t="n"/>
      <c r="D532" s="129" t="n"/>
      <c r="E532" s="129" t="n"/>
      <c r="F532" s="130" t="n"/>
      <c r="G532" s="130" t="n"/>
      <c r="H532" s="129" t="n"/>
      <c r="I532" s="130" t="n"/>
      <c r="J532" s="129">
        <f>IFERROR(F532-E532-G532-H532-I532,"")</f>
        <v/>
      </c>
      <c r="K532" s="131">
        <f>IFERROR(J532/F532,"")</f>
        <v/>
      </c>
      <c r="L532" s="129" t="n"/>
    </row>
    <row r="533">
      <c r="A533" s="124" t="n"/>
      <c r="B533" s="125" t="n"/>
      <c r="C533" s="125" t="n"/>
      <c r="D533" s="125" t="n"/>
      <c r="E533" s="125" t="n"/>
      <c r="F533" s="126" t="n"/>
      <c r="G533" s="126" t="n"/>
      <c r="H533" s="125" t="n"/>
      <c r="I533" s="126" t="n"/>
      <c r="J533" s="125">
        <f>IFERROR(F533-E533-G533-H533-I533,"")</f>
        <v/>
      </c>
      <c r="K533" s="127">
        <f>IFERROR(J533/F533,"")</f>
        <v/>
      </c>
      <c r="L533" s="125" t="n"/>
    </row>
    <row r="534">
      <c r="A534" s="128" t="n"/>
      <c r="B534" s="129" t="n"/>
      <c r="C534" s="129" t="n"/>
      <c r="D534" s="129" t="n"/>
      <c r="E534" s="129" t="n"/>
      <c r="F534" s="130" t="n"/>
      <c r="G534" s="130" t="n"/>
      <c r="H534" s="129" t="n"/>
      <c r="I534" s="130" t="n"/>
      <c r="J534" s="129">
        <f>IFERROR(F534-E534-G534-H534-I534,"")</f>
        <v/>
      </c>
      <c r="K534" s="131">
        <f>IFERROR(J534/F534,"")</f>
        <v/>
      </c>
      <c r="L534" s="129" t="n"/>
    </row>
    <row r="535">
      <c r="A535" s="124" t="n"/>
      <c r="B535" s="125" t="n"/>
      <c r="C535" s="125" t="n"/>
      <c r="D535" s="125" t="n"/>
      <c r="E535" s="125" t="n"/>
      <c r="F535" s="126" t="n"/>
      <c r="G535" s="126" t="n"/>
      <c r="H535" s="125" t="n"/>
      <c r="I535" s="126" t="n"/>
      <c r="J535" s="125">
        <f>IFERROR(F535-E535-G535-H535-I535,"")</f>
        <v/>
      </c>
      <c r="K535" s="127">
        <f>IFERROR(J535/F535,"")</f>
        <v/>
      </c>
      <c r="L535" s="125" t="n"/>
    </row>
    <row r="536">
      <c r="A536" s="128" t="n"/>
      <c r="B536" s="129" t="n"/>
      <c r="C536" s="129" t="n"/>
      <c r="D536" s="129" t="n"/>
      <c r="E536" s="129" t="n"/>
      <c r="F536" s="130" t="n"/>
      <c r="G536" s="130" t="n"/>
      <c r="H536" s="129" t="n"/>
      <c r="I536" s="130" t="n"/>
      <c r="J536" s="129">
        <f>IFERROR(F536-E536-G536-H536-I536,"")</f>
        <v/>
      </c>
      <c r="K536" s="131">
        <f>IFERROR(J536/F536,"")</f>
        <v/>
      </c>
      <c r="L536" s="129" t="n"/>
    </row>
    <row r="537">
      <c r="A537" s="124" t="n"/>
      <c r="B537" s="125" t="n"/>
      <c r="C537" s="125" t="n"/>
      <c r="D537" s="125" t="n"/>
      <c r="E537" s="125" t="n"/>
      <c r="F537" s="126" t="n"/>
      <c r="G537" s="126" t="n"/>
      <c r="H537" s="125" t="n"/>
      <c r="I537" s="126" t="n"/>
      <c r="J537" s="125">
        <f>IFERROR(F537-E537-G537-H537-I537,"")</f>
        <v/>
      </c>
      <c r="K537" s="127">
        <f>IFERROR(J537/F537,"")</f>
        <v/>
      </c>
      <c r="L537" s="125" t="n"/>
    </row>
    <row r="538">
      <c r="A538" s="128" t="n"/>
      <c r="B538" s="129" t="n"/>
      <c r="C538" s="129" t="n"/>
      <c r="D538" s="129" t="n"/>
      <c r="E538" s="129" t="n"/>
      <c r="F538" s="130" t="n"/>
      <c r="G538" s="130" t="n"/>
      <c r="H538" s="129" t="n"/>
      <c r="I538" s="130" t="n"/>
      <c r="J538" s="129">
        <f>IFERROR(F538-E538-G538-H538-I538,"")</f>
        <v/>
      </c>
      <c r="K538" s="131">
        <f>IFERROR(J538/F538,"")</f>
        <v/>
      </c>
      <c r="L538" s="129" t="n"/>
    </row>
    <row r="539">
      <c r="A539" s="124" t="n"/>
      <c r="B539" s="125" t="n"/>
      <c r="C539" s="125" t="n"/>
      <c r="D539" s="125" t="n"/>
      <c r="E539" s="125" t="n"/>
      <c r="F539" s="126" t="n"/>
      <c r="G539" s="126" t="n"/>
      <c r="H539" s="125" t="n"/>
      <c r="I539" s="126" t="n"/>
      <c r="J539" s="125">
        <f>IFERROR(F539-E539-G539-H539-I539,"")</f>
        <v/>
      </c>
      <c r="K539" s="127">
        <f>IFERROR(J539/F539,"")</f>
        <v/>
      </c>
      <c r="L539" s="125" t="n"/>
    </row>
    <row r="540">
      <c r="A540" s="128" t="n"/>
      <c r="B540" s="129" t="n"/>
      <c r="C540" s="129" t="n"/>
      <c r="D540" s="129" t="n"/>
      <c r="E540" s="129" t="n"/>
      <c r="F540" s="130" t="n"/>
      <c r="G540" s="130" t="n"/>
      <c r="H540" s="129" t="n"/>
      <c r="I540" s="130" t="n"/>
      <c r="J540" s="129">
        <f>IFERROR(F540-E540-G540-H540-I540,"")</f>
        <v/>
      </c>
      <c r="K540" s="131">
        <f>IFERROR(J540/F540,"")</f>
        <v/>
      </c>
      <c r="L540" s="129" t="n"/>
    </row>
    <row r="541">
      <c r="A541" s="124" t="n"/>
      <c r="B541" s="125" t="n"/>
      <c r="C541" s="125" t="n"/>
      <c r="D541" s="125" t="n"/>
      <c r="E541" s="125" t="n"/>
      <c r="F541" s="126" t="n"/>
      <c r="G541" s="126" t="n"/>
      <c r="H541" s="125" t="n"/>
      <c r="I541" s="126" t="n"/>
      <c r="J541" s="125">
        <f>IFERROR(F541-E541-G541-H541-I541,"")</f>
        <v/>
      </c>
      <c r="K541" s="127">
        <f>IFERROR(J541/F541,"")</f>
        <v/>
      </c>
      <c r="L541" s="125" t="n"/>
    </row>
    <row r="542">
      <c r="A542" s="128" t="n"/>
      <c r="B542" s="129" t="n"/>
      <c r="C542" s="129" t="n"/>
      <c r="D542" s="129" t="n"/>
      <c r="E542" s="129" t="n"/>
      <c r="F542" s="130" t="n"/>
      <c r="G542" s="130" t="n"/>
      <c r="H542" s="129" t="n"/>
      <c r="I542" s="130" t="n"/>
      <c r="J542" s="129">
        <f>IFERROR(F542-E542-G542-H542-I542,"")</f>
        <v/>
      </c>
      <c r="K542" s="131">
        <f>IFERROR(J542/F542,"")</f>
        <v/>
      </c>
      <c r="L542" s="129" t="n"/>
    </row>
    <row r="543">
      <c r="A543" s="124" t="n"/>
      <c r="B543" s="125" t="n"/>
      <c r="C543" s="125" t="n"/>
      <c r="D543" s="125" t="n"/>
      <c r="E543" s="125" t="n"/>
      <c r="F543" s="126" t="n"/>
      <c r="G543" s="126" t="n"/>
      <c r="H543" s="125" t="n"/>
      <c r="I543" s="126" t="n"/>
      <c r="J543" s="125">
        <f>IFERROR(F543-E543-G543-H543-I543,"")</f>
        <v/>
      </c>
      <c r="K543" s="127">
        <f>IFERROR(J543/F543,"")</f>
        <v/>
      </c>
      <c r="L543" s="125" t="n"/>
    </row>
    <row r="544">
      <c r="A544" s="128" t="n"/>
      <c r="B544" s="129" t="n"/>
      <c r="C544" s="129" t="n"/>
      <c r="D544" s="129" t="n"/>
      <c r="E544" s="129" t="n"/>
      <c r="F544" s="130" t="n"/>
      <c r="G544" s="130" t="n"/>
      <c r="H544" s="129" t="n"/>
      <c r="I544" s="130" t="n"/>
      <c r="J544" s="129">
        <f>IFERROR(F544-E544-G544-H544-I544,"")</f>
        <v/>
      </c>
      <c r="K544" s="131">
        <f>IFERROR(J544/F544,"")</f>
        <v/>
      </c>
      <c r="L544" s="129" t="n"/>
    </row>
    <row r="545">
      <c r="A545" s="124" t="n"/>
      <c r="B545" s="125" t="n"/>
      <c r="C545" s="125" t="n"/>
      <c r="D545" s="125" t="n"/>
      <c r="E545" s="125" t="n"/>
      <c r="F545" s="126" t="n"/>
      <c r="G545" s="126" t="n"/>
      <c r="H545" s="125" t="n"/>
      <c r="I545" s="126" t="n"/>
      <c r="J545" s="125">
        <f>IFERROR(F545-E545-G545-H545-I545,"")</f>
        <v/>
      </c>
      <c r="K545" s="127">
        <f>IFERROR(J545/F545,"")</f>
        <v/>
      </c>
      <c r="L545" s="125" t="n"/>
    </row>
    <row r="546">
      <c r="A546" s="128" t="n"/>
      <c r="B546" s="129" t="n"/>
      <c r="C546" s="129" t="n"/>
      <c r="D546" s="129" t="n"/>
      <c r="E546" s="129" t="n"/>
      <c r="F546" s="130" t="n"/>
      <c r="G546" s="130" t="n"/>
      <c r="H546" s="129" t="n"/>
      <c r="I546" s="130" t="n"/>
      <c r="J546" s="129">
        <f>IFERROR(F546-E546-G546-H546-I546,"")</f>
        <v/>
      </c>
      <c r="K546" s="131">
        <f>IFERROR(J546/F546,"")</f>
        <v/>
      </c>
      <c r="L546" s="129" t="n"/>
    </row>
    <row r="547">
      <c r="A547" s="124" t="n"/>
      <c r="B547" s="125" t="n"/>
      <c r="C547" s="125" t="n"/>
      <c r="D547" s="125" t="n"/>
      <c r="E547" s="125" t="n"/>
      <c r="F547" s="126" t="n"/>
      <c r="G547" s="126" t="n"/>
      <c r="H547" s="125" t="n"/>
      <c r="I547" s="126" t="n"/>
      <c r="J547" s="125">
        <f>IFERROR(F547-E547-G547-H547-I547,"")</f>
        <v/>
      </c>
      <c r="K547" s="127">
        <f>IFERROR(J547/F547,"")</f>
        <v/>
      </c>
      <c r="L547" s="125" t="n"/>
    </row>
    <row r="548">
      <c r="A548" s="128" t="n"/>
      <c r="B548" s="129" t="n"/>
      <c r="C548" s="129" t="n"/>
      <c r="D548" s="129" t="n"/>
      <c r="E548" s="129" t="n"/>
      <c r="F548" s="130" t="n"/>
      <c r="G548" s="130" t="n"/>
      <c r="H548" s="129" t="n"/>
      <c r="I548" s="130" t="n"/>
      <c r="J548" s="129">
        <f>IFERROR(F548-E548-G548-H548-I548,"")</f>
        <v/>
      </c>
      <c r="K548" s="131">
        <f>IFERROR(J548/F548,"")</f>
        <v/>
      </c>
      <c r="L548" s="129" t="n"/>
    </row>
    <row r="549">
      <c r="A549" s="124" t="n"/>
      <c r="B549" s="125" t="n"/>
      <c r="C549" s="125" t="n"/>
      <c r="D549" s="125" t="n"/>
      <c r="E549" s="125" t="n"/>
      <c r="F549" s="126" t="n"/>
      <c r="G549" s="126" t="n"/>
      <c r="H549" s="125" t="n"/>
      <c r="I549" s="126" t="n"/>
      <c r="J549" s="125">
        <f>IFERROR(F549-E549-G549-H549-I549,"")</f>
        <v/>
      </c>
      <c r="K549" s="127">
        <f>IFERROR(J549/F549,"")</f>
        <v/>
      </c>
      <c r="L549" s="125" t="n"/>
    </row>
    <row r="550">
      <c r="A550" s="128" t="n"/>
      <c r="B550" s="129" t="n"/>
      <c r="C550" s="129" t="n"/>
      <c r="D550" s="129" t="n"/>
      <c r="E550" s="129" t="n"/>
      <c r="F550" s="130" t="n"/>
      <c r="G550" s="130" t="n"/>
      <c r="H550" s="129" t="n"/>
      <c r="I550" s="130" t="n"/>
      <c r="J550" s="129">
        <f>IFERROR(F550-E550-G550-H550-I550,"")</f>
        <v/>
      </c>
      <c r="K550" s="131">
        <f>IFERROR(J550/F550,"")</f>
        <v/>
      </c>
      <c r="L550" s="129" t="n"/>
    </row>
    <row r="551">
      <c r="A551" s="124" t="n"/>
      <c r="B551" s="125" t="n"/>
      <c r="C551" s="125" t="n"/>
      <c r="D551" s="125" t="n"/>
      <c r="E551" s="125" t="n"/>
      <c r="F551" s="126" t="n"/>
      <c r="G551" s="126" t="n"/>
      <c r="H551" s="125" t="n"/>
      <c r="I551" s="126" t="n"/>
      <c r="J551" s="125">
        <f>IFERROR(F551-E551-G551-H551-I551,"")</f>
        <v/>
      </c>
      <c r="K551" s="127">
        <f>IFERROR(J551/F551,"")</f>
        <v/>
      </c>
      <c r="L551" s="125" t="n"/>
    </row>
    <row r="552">
      <c r="A552" s="128" t="n"/>
      <c r="B552" s="129" t="n"/>
      <c r="C552" s="129" t="n"/>
      <c r="D552" s="129" t="n"/>
      <c r="E552" s="129" t="n"/>
      <c r="F552" s="130" t="n"/>
      <c r="G552" s="130" t="n"/>
      <c r="H552" s="129" t="n"/>
      <c r="I552" s="130" t="n"/>
      <c r="J552" s="129">
        <f>IFERROR(F552-E552-G552-H552-I552,"")</f>
        <v/>
      </c>
      <c r="K552" s="131">
        <f>IFERROR(J552/F552,"")</f>
        <v/>
      </c>
      <c r="L552" s="129" t="n"/>
    </row>
    <row r="553">
      <c r="A553" s="124" t="n"/>
      <c r="B553" s="125" t="n"/>
      <c r="C553" s="125" t="n"/>
      <c r="D553" s="125" t="n"/>
      <c r="E553" s="125" t="n"/>
      <c r="F553" s="126" t="n"/>
      <c r="G553" s="126" t="n"/>
      <c r="H553" s="125" t="n"/>
      <c r="I553" s="126" t="n"/>
      <c r="J553" s="125">
        <f>IFERROR(F553-E553-G553-H553-I553,"")</f>
        <v/>
      </c>
      <c r="K553" s="127">
        <f>IFERROR(J553/F553,"")</f>
        <v/>
      </c>
      <c r="L553" s="125" t="n"/>
    </row>
    <row r="554">
      <c r="A554" s="128" t="n"/>
      <c r="B554" s="129" t="n"/>
      <c r="C554" s="129" t="n"/>
      <c r="D554" s="129" t="n"/>
      <c r="E554" s="129" t="n"/>
      <c r="F554" s="130" t="n"/>
      <c r="G554" s="130" t="n"/>
      <c r="H554" s="129" t="n"/>
      <c r="I554" s="130" t="n"/>
      <c r="J554" s="129">
        <f>IFERROR(F554-E554-G554-H554-I554,"")</f>
        <v/>
      </c>
      <c r="K554" s="131">
        <f>IFERROR(J554/F554,"")</f>
        <v/>
      </c>
      <c r="L554" s="129" t="n"/>
    </row>
    <row r="555">
      <c r="A555" s="124" t="n"/>
      <c r="B555" s="125" t="n"/>
      <c r="C555" s="125" t="n"/>
      <c r="D555" s="125" t="n"/>
      <c r="E555" s="125" t="n"/>
      <c r="F555" s="126" t="n"/>
      <c r="G555" s="126" t="n"/>
      <c r="H555" s="125" t="n"/>
      <c r="I555" s="126" t="n"/>
      <c r="J555" s="125">
        <f>IFERROR(F555-E555-G555-H555-I555,"")</f>
        <v/>
      </c>
      <c r="K555" s="127">
        <f>IFERROR(J555/F555,"")</f>
        <v/>
      </c>
      <c r="L555" s="125" t="n"/>
    </row>
    <row r="556">
      <c r="A556" s="128" t="n"/>
      <c r="B556" s="129" t="n"/>
      <c r="C556" s="129" t="n"/>
      <c r="D556" s="129" t="n"/>
      <c r="E556" s="129" t="n"/>
      <c r="F556" s="130" t="n"/>
      <c r="G556" s="130" t="n"/>
      <c r="H556" s="129" t="n"/>
      <c r="I556" s="130" t="n"/>
      <c r="J556" s="129">
        <f>IFERROR(F556-E556-G556-H556-I556,"")</f>
        <v/>
      </c>
      <c r="K556" s="131">
        <f>IFERROR(J556/F556,"")</f>
        <v/>
      </c>
      <c r="L556" s="129" t="n"/>
    </row>
    <row r="557">
      <c r="A557" s="124" t="n"/>
      <c r="B557" s="125" t="n"/>
      <c r="C557" s="125" t="n"/>
      <c r="D557" s="125" t="n"/>
      <c r="E557" s="125" t="n"/>
      <c r="F557" s="126" t="n"/>
      <c r="G557" s="126" t="n"/>
      <c r="H557" s="125" t="n"/>
      <c r="I557" s="126" t="n"/>
      <c r="J557" s="125">
        <f>IFERROR(F557-E557-G557-H557-I557,"")</f>
        <v/>
      </c>
      <c r="K557" s="127">
        <f>IFERROR(J557/F557,"")</f>
        <v/>
      </c>
      <c r="L557" s="125" t="n"/>
    </row>
    <row r="558">
      <c r="A558" s="128" t="n"/>
      <c r="B558" s="129" t="n"/>
      <c r="C558" s="129" t="n"/>
      <c r="D558" s="129" t="n"/>
      <c r="E558" s="129" t="n"/>
      <c r="F558" s="130" t="n"/>
      <c r="G558" s="130" t="n"/>
      <c r="H558" s="129" t="n"/>
      <c r="I558" s="130" t="n"/>
      <c r="J558" s="129">
        <f>IFERROR(F558-E558-G558-H558-I558,"")</f>
        <v/>
      </c>
      <c r="K558" s="131">
        <f>IFERROR(J558/F558,"")</f>
        <v/>
      </c>
      <c r="L558" s="129" t="n"/>
    </row>
    <row r="559">
      <c r="A559" s="124" t="n"/>
      <c r="B559" s="125" t="n"/>
      <c r="C559" s="125" t="n"/>
      <c r="D559" s="125" t="n"/>
      <c r="E559" s="125" t="n"/>
      <c r="F559" s="126" t="n"/>
      <c r="G559" s="126" t="n"/>
      <c r="H559" s="125" t="n"/>
      <c r="I559" s="126" t="n"/>
      <c r="J559" s="125">
        <f>IFERROR(F559-E559-G559-H559-I559,"")</f>
        <v/>
      </c>
      <c r="K559" s="127">
        <f>IFERROR(J559/F559,"")</f>
        <v/>
      </c>
      <c r="L559" s="125" t="n"/>
    </row>
    <row r="560">
      <c r="A560" s="128" t="n"/>
      <c r="B560" s="129" t="n"/>
      <c r="C560" s="129" t="n"/>
      <c r="D560" s="129" t="n"/>
      <c r="E560" s="129" t="n"/>
      <c r="F560" s="130" t="n"/>
      <c r="G560" s="130" t="n"/>
      <c r="H560" s="129" t="n"/>
      <c r="I560" s="130" t="n"/>
      <c r="J560" s="129">
        <f>IFERROR(F560-E560-G560-H560-I560,"")</f>
        <v/>
      </c>
      <c r="K560" s="131">
        <f>IFERROR(J560/F560,"")</f>
        <v/>
      </c>
      <c r="L560" s="129" t="n"/>
    </row>
    <row r="561">
      <c r="A561" s="124" t="n"/>
      <c r="B561" s="125" t="n"/>
      <c r="C561" s="125" t="n"/>
      <c r="D561" s="125" t="n"/>
      <c r="E561" s="125" t="n"/>
      <c r="F561" s="126" t="n"/>
      <c r="G561" s="126" t="n"/>
      <c r="H561" s="125" t="n"/>
      <c r="I561" s="126" t="n"/>
      <c r="J561" s="125">
        <f>IFERROR(F561-E561-G561-H561-I561,"")</f>
        <v/>
      </c>
      <c r="K561" s="127">
        <f>IFERROR(J561/F561,"")</f>
        <v/>
      </c>
      <c r="L561" s="125" t="n"/>
    </row>
    <row r="562">
      <c r="A562" s="128" t="n"/>
      <c r="B562" s="129" t="n"/>
      <c r="C562" s="129" t="n"/>
      <c r="D562" s="129" t="n"/>
      <c r="E562" s="129" t="n"/>
      <c r="F562" s="130" t="n"/>
      <c r="G562" s="130" t="n"/>
      <c r="H562" s="129" t="n"/>
      <c r="I562" s="130" t="n"/>
      <c r="J562" s="129">
        <f>IFERROR(F562-E562-G562-H562-I562,"")</f>
        <v/>
      </c>
      <c r="K562" s="131">
        <f>IFERROR(J562/F562,"")</f>
        <v/>
      </c>
      <c r="L562" s="129" t="n"/>
    </row>
    <row r="563">
      <c r="A563" s="124" t="n"/>
      <c r="B563" s="125" t="n"/>
      <c r="C563" s="125" t="n"/>
      <c r="D563" s="125" t="n"/>
      <c r="E563" s="125" t="n"/>
      <c r="F563" s="126" t="n"/>
      <c r="G563" s="126" t="n"/>
      <c r="H563" s="125" t="n"/>
      <c r="I563" s="126" t="n"/>
      <c r="J563" s="125">
        <f>IFERROR(F563-E563-G563-H563-I563,"")</f>
        <v/>
      </c>
      <c r="K563" s="127">
        <f>IFERROR(J563/F563,"")</f>
        <v/>
      </c>
      <c r="L563" s="125" t="n"/>
    </row>
    <row r="564">
      <c r="A564" s="128" t="n"/>
      <c r="B564" s="129" t="n"/>
      <c r="C564" s="129" t="n"/>
      <c r="D564" s="129" t="n"/>
      <c r="E564" s="129" t="n"/>
      <c r="F564" s="130" t="n"/>
      <c r="G564" s="130" t="n"/>
      <c r="H564" s="129" t="n"/>
      <c r="I564" s="130" t="n"/>
      <c r="J564" s="129">
        <f>IFERROR(F564-E564-G564-H564-I564,"")</f>
        <v/>
      </c>
      <c r="K564" s="131">
        <f>IFERROR(J564/F564,"")</f>
        <v/>
      </c>
      <c r="L564" s="129" t="n"/>
    </row>
    <row r="565">
      <c r="A565" s="124" t="n"/>
      <c r="B565" s="125" t="n"/>
      <c r="C565" s="125" t="n"/>
      <c r="D565" s="125" t="n"/>
      <c r="E565" s="125" t="n"/>
      <c r="F565" s="126" t="n"/>
      <c r="G565" s="126" t="n"/>
      <c r="H565" s="125" t="n"/>
      <c r="I565" s="126" t="n"/>
      <c r="J565" s="125">
        <f>IFERROR(F565-E565-G565-H565-I565,"")</f>
        <v/>
      </c>
      <c r="K565" s="127">
        <f>IFERROR(J565/F565,"")</f>
        <v/>
      </c>
      <c r="L565" s="125" t="n"/>
    </row>
    <row r="566">
      <c r="A566" s="128" t="n"/>
      <c r="B566" s="129" t="n"/>
      <c r="C566" s="129" t="n"/>
      <c r="D566" s="129" t="n"/>
      <c r="E566" s="129" t="n"/>
      <c r="F566" s="130" t="n"/>
      <c r="G566" s="130" t="n"/>
      <c r="H566" s="129" t="n"/>
      <c r="I566" s="130" t="n"/>
      <c r="J566" s="129">
        <f>IFERROR(F566-E566-G566-H566-I566,"")</f>
        <v/>
      </c>
      <c r="K566" s="131">
        <f>IFERROR(J566/F566,"")</f>
        <v/>
      </c>
      <c r="L566" s="129" t="n"/>
    </row>
    <row r="567">
      <c r="A567" s="124" t="n"/>
      <c r="B567" s="125" t="n"/>
      <c r="C567" s="125" t="n"/>
      <c r="D567" s="125" t="n"/>
      <c r="E567" s="125" t="n"/>
      <c r="F567" s="126" t="n"/>
      <c r="G567" s="126" t="n"/>
      <c r="H567" s="125" t="n"/>
      <c r="I567" s="126" t="n"/>
      <c r="J567" s="125">
        <f>IFERROR(F567-E567-G567-H567-I567,"")</f>
        <v/>
      </c>
      <c r="K567" s="127">
        <f>IFERROR(J567/F567,"")</f>
        <v/>
      </c>
      <c r="L567" s="125" t="n"/>
    </row>
    <row r="568">
      <c r="A568" s="128" t="n"/>
      <c r="B568" s="129" t="n"/>
      <c r="C568" s="129" t="n"/>
      <c r="D568" s="129" t="n"/>
      <c r="E568" s="129" t="n"/>
      <c r="F568" s="130" t="n"/>
      <c r="G568" s="130" t="n"/>
      <c r="H568" s="129" t="n"/>
      <c r="I568" s="130" t="n"/>
      <c r="J568" s="129">
        <f>IFERROR(F568-E568-G568-H568-I568,"")</f>
        <v/>
      </c>
      <c r="K568" s="131">
        <f>IFERROR(J568/F568,"")</f>
        <v/>
      </c>
      <c r="L568" s="129" t="n"/>
    </row>
    <row r="569">
      <c r="A569" s="124" t="n"/>
      <c r="B569" s="125" t="n"/>
      <c r="C569" s="125" t="n"/>
      <c r="D569" s="125" t="n"/>
      <c r="E569" s="125" t="n"/>
      <c r="F569" s="126" t="n"/>
      <c r="G569" s="126" t="n"/>
      <c r="H569" s="125" t="n"/>
      <c r="I569" s="126" t="n"/>
      <c r="J569" s="125">
        <f>IFERROR(F569-E569-G569-H569-I569,"")</f>
        <v/>
      </c>
      <c r="K569" s="127">
        <f>IFERROR(J569/F569,"")</f>
        <v/>
      </c>
      <c r="L569" s="125" t="n"/>
    </row>
    <row r="570">
      <c r="A570" s="128" t="n"/>
      <c r="B570" s="129" t="n"/>
      <c r="C570" s="129" t="n"/>
      <c r="D570" s="129" t="n"/>
      <c r="E570" s="129" t="n"/>
      <c r="F570" s="130" t="n"/>
      <c r="G570" s="130" t="n"/>
      <c r="H570" s="129" t="n"/>
      <c r="I570" s="130" t="n"/>
      <c r="J570" s="129">
        <f>IFERROR(F570-E570-G570-H570-I570,"")</f>
        <v/>
      </c>
      <c r="K570" s="131">
        <f>IFERROR(J570/F570,"")</f>
        <v/>
      </c>
      <c r="L570" s="129" t="n"/>
    </row>
    <row r="571">
      <c r="A571" s="124" t="n"/>
      <c r="B571" s="125" t="n"/>
      <c r="C571" s="125" t="n"/>
      <c r="D571" s="125" t="n"/>
      <c r="E571" s="125" t="n"/>
      <c r="F571" s="126" t="n"/>
      <c r="G571" s="126" t="n"/>
      <c r="H571" s="125" t="n"/>
      <c r="I571" s="126" t="n"/>
      <c r="J571" s="125">
        <f>IFERROR(F571-E571-G571-H571-I571,"")</f>
        <v/>
      </c>
      <c r="K571" s="127">
        <f>IFERROR(J571/F571,"")</f>
        <v/>
      </c>
      <c r="L571" s="125" t="n"/>
    </row>
    <row r="572">
      <c r="A572" s="128" t="n"/>
      <c r="B572" s="129" t="n"/>
      <c r="C572" s="129" t="n"/>
      <c r="D572" s="129" t="n"/>
      <c r="E572" s="129" t="n"/>
      <c r="F572" s="130" t="n"/>
      <c r="G572" s="130" t="n"/>
      <c r="H572" s="129" t="n"/>
      <c r="I572" s="130" t="n"/>
      <c r="J572" s="129">
        <f>IFERROR(F572-E572-G572-H572-I572,"")</f>
        <v/>
      </c>
      <c r="K572" s="131">
        <f>IFERROR(J572/F572,"")</f>
        <v/>
      </c>
      <c r="L572" s="129" t="n"/>
    </row>
    <row r="573">
      <c r="A573" s="124" t="n"/>
      <c r="B573" s="125" t="n"/>
      <c r="C573" s="125" t="n"/>
      <c r="D573" s="125" t="n"/>
      <c r="E573" s="125" t="n"/>
      <c r="F573" s="126" t="n"/>
      <c r="G573" s="126" t="n"/>
      <c r="H573" s="125" t="n"/>
      <c r="I573" s="126" t="n"/>
      <c r="J573" s="125">
        <f>IFERROR(F573-E573-G573-H573-I573,"")</f>
        <v/>
      </c>
      <c r="K573" s="127">
        <f>IFERROR(J573/F573,"")</f>
        <v/>
      </c>
      <c r="L573" s="125" t="n"/>
    </row>
    <row r="574">
      <c r="A574" s="128" t="n"/>
      <c r="B574" s="129" t="n"/>
      <c r="C574" s="129" t="n"/>
      <c r="D574" s="129" t="n"/>
      <c r="E574" s="129" t="n"/>
      <c r="F574" s="130" t="n"/>
      <c r="G574" s="130" t="n"/>
      <c r="H574" s="129" t="n"/>
      <c r="I574" s="130" t="n"/>
      <c r="J574" s="129">
        <f>IFERROR(F574-E574-G574-H574-I574,"")</f>
        <v/>
      </c>
      <c r="K574" s="131">
        <f>IFERROR(J574/F574,"")</f>
        <v/>
      </c>
      <c r="L574" s="129" t="n"/>
    </row>
    <row r="575">
      <c r="A575" s="124" t="n"/>
      <c r="B575" s="125" t="n"/>
      <c r="C575" s="125" t="n"/>
      <c r="D575" s="125" t="n"/>
      <c r="E575" s="125" t="n"/>
      <c r="F575" s="126" t="n"/>
      <c r="G575" s="126" t="n"/>
      <c r="H575" s="125" t="n"/>
      <c r="I575" s="126" t="n"/>
      <c r="J575" s="125">
        <f>IFERROR(F575-E575-G575-H575-I575,"")</f>
        <v/>
      </c>
      <c r="K575" s="127">
        <f>IFERROR(J575/F575,"")</f>
        <v/>
      </c>
      <c r="L575" s="125" t="n"/>
    </row>
    <row r="576">
      <c r="A576" s="128" t="n"/>
      <c r="B576" s="129" t="n"/>
      <c r="C576" s="129" t="n"/>
      <c r="D576" s="129" t="n"/>
      <c r="E576" s="129" t="n"/>
      <c r="F576" s="130" t="n"/>
      <c r="G576" s="130" t="n"/>
      <c r="H576" s="129" t="n"/>
      <c r="I576" s="130" t="n"/>
      <c r="J576" s="129">
        <f>IFERROR(F576-E576-G576-H576-I576,"")</f>
        <v/>
      </c>
      <c r="K576" s="131">
        <f>IFERROR(J576/F576,"")</f>
        <v/>
      </c>
      <c r="L576" s="129" t="n"/>
    </row>
    <row r="577">
      <c r="A577" s="124" t="n"/>
      <c r="B577" s="125" t="n"/>
      <c r="C577" s="125" t="n"/>
      <c r="D577" s="125" t="n"/>
      <c r="E577" s="125" t="n"/>
      <c r="F577" s="126" t="n"/>
      <c r="G577" s="126" t="n"/>
      <c r="H577" s="125" t="n"/>
      <c r="I577" s="126" t="n"/>
      <c r="J577" s="125">
        <f>IFERROR(F577-E577-G577-H577-I577,"")</f>
        <v/>
      </c>
      <c r="K577" s="127">
        <f>IFERROR(J577/F577,"")</f>
        <v/>
      </c>
      <c r="L577" s="125" t="n"/>
    </row>
    <row r="578">
      <c r="A578" s="128" t="n"/>
      <c r="B578" s="129" t="n"/>
      <c r="C578" s="129" t="n"/>
      <c r="D578" s="129" t="n"/>
      <c r="E578" s="129" t="n"/>
      <c r="F578" s="130" t="n"/>
      <c r="G578" s="130" t="n"/>
      <c r="H578" s="129" t="n"/>
      <c r="I578" s="130" t="n"/>
      <c r="J578" s="129">
        <f>IFERROR(F578-E578-G578-H578-I578,"")</f>
        <v/>
      </c>
      <c r="K578" s="131">
        <f>IFERROR(J578/F578,"")</f>
        <v/>
      </c>
      <c r="L578" s="129" t="n"/>
    </row>
    <row r="579">
      <c r="A579" s="124" t="n"/>
      <c r="B579" s="125" t="n"/>
      <c r="C579" s="125" t="n"/>
      <c r="D579" s="125" t="n"/>
      <c r="E579" s="125" t="n"/>
      <c r="F579" s="126" t="n"/>
      <c r="G579" s="126" t="n"/>
      <c r="H579" s="125" t="n"/>
      <c r="I579" s="126" t="n"/>
      <c r="J579" s="125">
        <f>IFERROR(F579-E579-G579-H579-I579,"")</f>
        <v/>
      </c>
      <c r="K579" s="127">
        <f>IFERROR(J579/F579,"")</f>
        <v/>
      </c>
      <c r="L579" s="125" t="n"/>
    </row>
    <row r="580">
      <c r="A580" s="128" t="n"/>
      <c r="B580" s="129" t="n"/>
      <c r="C580" s="129" t="n"/>
      <c r="D580" s="129" t="n"/>
      <c r="E580" s="129" t="n"/>
      <c r="F580" s="130" t="n"/>
      <c r="G580" s="130" t="n"/>
      <c r="H580" s="129" t="n"/>
      <c r="I580" s="130" t="n"/>
      <c r="J580" s="129">
        <f>IFERROR(F580-E580-G580-H580-I580,"")</f>
        <v/>
      </c>
      <c r="K580" s="131">
        <f>IFERROR(J580/F580,"")</f>
        <v/>
      </c>
      <c r="L580" s="129" t="n"/>
    </row>
    <row r="581">
      <c r="A581" s="124" t="n"/>
      <c r="B581" s="125" t="n"/>
      <c r="C581" s="125" t="n"/>
      <c r="D581" s="125" t="n"/>
      <c r="E581" s="125" t="n"/>
      <c r="F581" s="126" t="n"/>
      <c r="G581" s="126" t="n"/>
      <c r="H581" s="125" t="n"/>
      <c r="I581" s="126" t="n"/>
      <c r="J581" s="125">
        <f>IFERROR(F581-E581-G581-H581-I581,"")</f>
        <v/>
      </c>
      <c r="K581" s="127">
        <f>IFERROR(J581/F581,"")</f>
        <v/>
      </c>
      <c r="L581" s="125" t="n"/>
    </row>
    <row r="582">
      <c r="A582" s="128" t="n"/>
      <c r="B582" s="129" t="n"/>
      <c r="C582" s="129" t="n"/>
      <c r="D582" s="129" t="n"/>
      <c r="E582" s="129" t="n"/>
      <c r="F582" s="130" t="n"/>
      <c r="G582" s="130" t="n"/>
      <c r="H582" s="129" t="n"/>
      <c r="I582" s="130" t="n"/>
      <c r="J582" s="129">
        <f>IFERROR(F582-E582-G582-H582-I582,"")</f>
        <v/>
      </c>
      <c r="K582" s="131">
        <f>IFERROR(J582/F582,"")</f>
        <v/>
      </c>
      <c r="L582" s="129" t="n"/>
    </row>
    <row r="583">
      <c r="A583" s="124" t="n"/>
      <c r="B583" s="125" t="n"/>
      <c r="C583" s="125" t="n"/>
      <c r="D583" s="125" t="n"/>
      <c r="E583" s="125" t="n"/>
      <c r="F583" s="126" t="n"/>
      <c r="G583" s="126" t="n"/>
      <c r="H583" s="125" t="n"/>
      <c r="I583" s="126" t="n"/>
      <c r="J583" s="125">
        <f>IFERROR(F583-E583-G583-H583-I583,"")</f>
        <v/>
      </c>
      <c r="K583" s="127">
        <f>IFERROR(J583/F583,"")</f>
        <v/>
      </c>
      <c r="L583" s="125" t="n"/>
    </row>
    <row r="584">
      <c r="A584" s="128" t="n"/>
      <c r="B584" s="129" t="n"/>
      <c r="C584" s="129" t="n"/>
      <c r="D584" s="129" t="n"/>
      <c r="E584" s="129" t="n"/>
      <c r="F584" s="130" t="n"/>
      <c r="G584" s="130" t="n"/>
      <c r="H584" s="129" t="n"/>
      <c r="I584" s="130" t="n"/>
      <c r="J584" s="129">
        <f>IFERROR(F584-E584-G584-H584-I584,"")</f>
        <v/>
      </c>
      <c r="K584" s="131">
        <f>IFERROR(J584/F584,"")</f>
        <v/>
      </c>
      <c r="L584" s="129" t="n"/>
    </row>
    <row r="585">
      <c r="A585" s="124" t="n"/>
      <c r="B585" s="125" t="n"/>
      <c r="C585" s="125" t="n"/>
      <c r="D585" s="125" t="n"/>
      <c r="E585" s="125" t="n"/>
      <c r="F585" s="126" t="n"/>
      <c r="G585" s="126" t="n"/>
      <c r="H585" s="125" t="n"/>
      <c r="I585" s="126" t="n"/>
      <c r="J585" s="125">
        <f>IFERROR(F585-E585-G585-H585-I585,"")</f>
        <v/>
      </c>
      <c r="K585" s="127">
        <f>IFERROR(J585/F585,"")</f>
        <v/>
      </c>
      <c r="L585" s="125" t="n"/>
    </row>
    <row r="586">
      <c r="A586" s="128" t="n"/>
      <c r="B586" s="129" t="n"/>
      <c r="C586" s="129" t="n"/>
      <c r="D586" s="129" t="n"/>
      <c r="E586" s="129" t="n"/>
      <c r="F586" s="130" t="n"/>
      <c r="G586" s="130" t="n"/>
      <c r="H586" s="129" t="n"/>
      <c r="I586" s="130" t="n"/>
      <c r="J586" s="129">
        <f>IFERROR(F586-E586-G586-H586-I586,"")</f>
        <v/>
      </c>
      <c r="K586" s="131">
        <f>IFERROR(J586/F586,"")</f>
        <v/>
      </c>
      <c r="L586" s="129" t="n"/>
    </row>
    <row r="587">
      <c r="A587" s="124" t="n"/>
      <c r="B587" s="125" t="n"/>
      <c r="C587" s="125" t="n"/>
      <c r="D587" s="125" t="n"/>
      <c r="E587" s="125" t="n"/>
      <c r="F587" s="126" t="n"/>
      <c r="G587" s="126" t="n"/>
      <c r="H587" s="125" t="n"/>
      <c r="I587" s="126" t="n"/>
      <c r="J587" s="125">
        <f>IFERROR(F587-E587-G587-H587-I587,"")</f>
        <v/>
      </c>
      <c r="K587" s="127">
        <f>IFERROR(J587/F587,"")</f>
        <v/>
      </c>
      <c r="L587" s="125" t="n"/>
    </row>
    <row r="588">
      <c r="A588" s="128" t="n"/>
      <c r="B588" s="129" t="n"/>
      <c r="C588" s="129" t="n"/>
      <c r="D588" s="129" t="n"/>
      <c r="E588" s="129" t="n"/>
      <c r="F588" s="130" t="n"/>
      <c r="G588" s="130" t="n"/>
      <c r="H588" s="129" t="n"/>
      <c r="I588" s="130" t="n"/>
      <c r="J588" s="129">
        <f>IFERROR(F588-E588-G588-H588-I588,"")</f>
        <v/>
      </c>
      <c r="K588" s="131">
        <f>IFERROR(J588/F588,"")</f>
        <v/>
      </c>
      <c r="L588" s="129" t="n"/>
    </row>
    <row r="589">
      <c r="A589" s="124" t="n"/>
      <c r="B589" s="125" t="n"/>
      <c r="C589" s="125" t="n"/>
      <c r="D589" s="125" t="n"/>
      <c r="E589" s="125" t="n"/>
      <c r="F589" s="126" t="n"/>
      <c r="G589" s="126" t="n"/>
      <c r="H589" s="125" t="n"/>
      <c r="I589" s="126" t="n"/>
      <c r="J589" s="125">
        <f>IFERROR(F589-E589-G589-H589-I589,"")</f>
        <v/>
      </c>
      <c r="K589" s="127">
        <f>IFERROR(J589/F589,"")</f>
        <v/>
      </c>
      <c r="L589" s="125" t="n"/>
    </row>
    <row r="590">
      <c r="A590" s="128" t="n"/>
      <c r="B590" s="129" t="n"/>
      <c r="C590" s="129" t="n"/>
      <c r="D590" s="129" t="n"/>
      <c r="E590" s="129" t="n"/>
      <c r="F590" s="130" t="n"/>
      <c r="G590" s="130" t="n"/>
      <c r="H590" s="129" t="n"/>
      <c r="I590" s="130" t="n"/>
      <c r="J590" s="129">
        <f>IFERROR(F590-E590-G590-H590-I590,"")</f>
        <v/>
      </c>
      <c r="K590" s="131">
        <f>IFERROR(J590/F590,"")</f>
        <v/>
      </c>
      <c r="L590" s="129" t="n"/>
    </row>
    <row r="591">
      <c r="A591" s="124" t="n"/>
      <c r="B591" s="125" t="n"/>
      <c r="C591" s="125" t="n"/>
      <c r="D591" s="125" t="n"/>
      <c r="E591" s="125" t="n"/>
      <c r="F591" s="126" t="n"/>
      <c r="G591" s="126" t="n"/>
      <c r="H591" s="125" t="n"/>
      <c r="I591" s="126" t="n"/>
      <c r="J591" s="125">
        <f>IFERROR(F591-E591-G591-H591-I591,"")</f>
        <v/>
      </c>
      <c r="K591" s="127">
        <f>IFERROR(J591/F591,"")</f>
        <v/>
      </c>
      <c r="L591" s="125" t="n"/>
    </row>
    <row r="592">
      <c r="A592" s="128" t="n"/>
      <c r="B592" s="129" t="n"/>
      <c r="C592" s="129" t="n"/>
      <c r="D592" s="129" t="n"/>
      <c r="E592" s="129" t="n"/>
      <c r="F592" s="130" t="n"/>
      <c r="G592" s="130" t="n"/>
      <c r="H592" s="129" t="n"/>
      <c r="I592" s="130" t="n"/>
      <c r="J592" s="129">
        <f>IFERROR(F592-E592-G592-H592-I592,"")</f>
        <v/>
      </c>
      <c r="K592" s="131">
        <f>IFERROR(J592/F592,"")</f>
        <v/>
      </c>
      <c r="L592" s="129" t="n"/>
    </row>
    <row r="593">
      <c r="A593" s="124" t="n"/>
      <c r="B593" s="125" t="n"/>
      <c r="C593" s="125" t="n"/>
      <c r="D593" s="125" t="n"/>
      <c r="E593" s="125" t="n"/>
      <c r="F593" s="126" t="n"/>
      <c r="G593" s="126" t="n"/>
      <c r="H593" s="125" t="n"/>
      <c r="I593" s="126" t="n"/>
      <c r="J593" s="125">
        <f>IFERROR(F593-E593-G593-H593-I593,"")</f>
        <v/>
      </c>
      <c r="K593" s="127">
        <f>IFERROR(J593/F593,"")</f>
        <v/>
      </c>
      <c r="L593" s="125" t="n"/>
    </row>
    <row r="594">
      <c r="A594" s="128" t="n"/>
      <c r="B594" s="129" t="n"/>
      <c r="C594" s="129" t="n"/>
      <c r="D594" s="129" t="n"/>
      <c r="E594" s="129" t="n"/>
      <c r="F594" s="130" t="n"/>
      <c r="G594" s="130" t="n"/>
      <c r="H594" s="129" t="n"/>
      <c r="I594" s="130" t="n"/>
      <c r="J594" s="129">
        <f>IFERROR(F594-E594-G594-H594-I594,"")</f>
        <v/>
      </c>
      <c r="K594" s="131">
        <f>IFERROR(J594/F594,"")</f>
        <v/>
      </c>
      <c r="L594" s="129" t="n"/>
    </row>
    <row r="595">
      <c r="A595" s="124" t="n"/>
      <c r="B595" s="125" t="n"/>
      <c r="C595" s="125" t="n"/>
      <c r="D595" s="125" t="n"/>
      <c r="E595" s="125" t="n"/>
      <c r="F595" s="126" t="n"/>
      <c r="G595" s="126" t="n"/>
      <c r="H595" s="125" t="n"/>
      <c r="I595" s="126" t="n"/>
      <c r="J595" s="125">
        <f>IFERROR(F595-E595-G595-H595-I595,"")</f>
        <v/>
      </c>
      <c r="K595" s="127">
        <f>IFERROR(J595/F595,"")</f>
        <v/>
      </c>
      <c r="L595" s="125" t="n"/>
    </row>
    <row r="596">
      <c r="A596" s="128" t="n"/>
      <c r="B596" s="129" t="n"/>
      <c r="C596" s="129" t="n"/>
      <c r="D596" s="129" t="n"/>
      <c r="E596" s="129" t="n"/>
      <c r="F596" s="130" t="n"/>
      <c r="G596" s="130" t="n"/>
      <c r="H596" s="129" t="n"/>
      <c r="I596" s="130" t="n"/>
      <c r="J596" s="129">
        <f>IFERROR(F596-E596-G596-H596-I596,"")</f>
        <v/>
      </c>
      <c r="K596" s="131">
        <f>IFERROR(J596/F596,"")</f>
        <v/>
      </c>
      <c r="L596" s="129" t="n"/>
    </row>
    <row r="597">
      <c r="A597" s="124" t="n"/>
      <c r="B597" s="125" t="n"/>
      <c r="C597" s="125" t="n"/>
      <c r="D597" s="125" t="n"/>
      <c r="E597" s="125" t="n"/>
      <c r="F597" s="126" t="n"/>
      <c r="G597" s="126" t="n"/>
      <c r="H597" s="125" t="n"/>
      <c r="I597" s="126" t="n"/>
      <c r="J597" s="125">
        <f>IFERROR(F597-E597-G597-H597-I597,"")</f>
        <v/>
      </c>
      <c r="K597" s="127">
        <f>IFERROR(J597/F597,"")</f>
        <v/>
      </c>
      <c r="L597" s="125" t="n"/>
    </row>
    <row r="598">
      <c r="A598" s="128" t="n"/>
      <c r="B598" s="129" t="n"/>
      <c r="C598" s="129" t="n"/>
      <c r="D598" s="129" t="n"/>
      <c r="E598" s="129" t="n"/>
      <c r="F598" s="130" t="n"/>
      <c r="G598" s="130" t="n"/>
      <c r="H598" s="129" t="n"/>
      <c r="I598" s="130" t="n"/>
      <c r="J598" s="129">
        <f>IFERROR(F598-E598-G598-H598-I598,"")</f>
        <v/>
      </c>
      <c r="K598" s="131">
        <f>IFERROR(J598/F598,"")</f>
        <v/>
      </c>
      <c r="L598" s="129" t="n"/>
    </row>
    <row r="599">
      <c r="A599" s="124" t="n"/>
      <c r="B599" s="125" t="n"/>
      <c r="C599" s="125" t="n"/>
      <c r="D599" s="125" t="n"/>
      <c r="E599" s="125" t="n"/>
      <c r="F599" s="126" t="n"/>
      <c r="G599" s="126" t="n"/>
      <c r="H599" s="125" t="n"/>
      <c r="I599" s="126" t="n"/>
      <c r="J599" s="125">
        <f>IFERROR(F599-E599-G599-H599-I599,"")</f>
        <v/>
      </c>
      <c r="K599" s="127">
        <f>IFERROR(J599/F599,"")</f>
        <v/>
      </c>
      <c r="L599" s="125" t="n"/>
    </row>
    <row r="600">
      <c r="A600" s="128" t="n"/>
      <c r="B600" s="129" t="n"/>
      <c r="C600" s="129" t="n"/>
      <c r="D600" s="129" t="n"/>
      <c r="E600" s="129" t="n"/>
      <c r="F600" s="130" t="n"/>
      <c r="G600" s="130" t="n"/>
      <c r="H600" s="129" t="n"/>
      <c r="I600" s="130" t="n"/>
      <c r="J600" s="129">
        <f>IFERROR(F600-E600-G600-H600-I600,"")</f>
        <v/>
      </c>
      <c r="K600" s="131">
        <f>IFERROR(J600/F600,"")</f>
        <v/>
      </c>
      <c r="L600" s="129" t="n"/>
    </row>
    <row r="601">
      <c r="A601" s="124" t="n"/>
      <c r="B601" s="125" t="n"/>
      <c r="C601" s="125" t="n"/>
      <c r="D601" s="125" t="n"/>
      <c r="E601" s="125" t="n"/>
      <c r="F601" s="126" t="n"/>
      <c r="G601" s="126" t="n"/>
      <c r="H601" s="125" t="n"/>
      <c r="I601" s="126" t="n"/>
      <c r="J601" s="125">
        <f>IFERROR(F601-E601-G601-H601-I601,"")</f>
        <v/>
      </c>
      <c r="K601" s="127">
        <f>IFERROR(J601/F601,"")</f>
        <v/>
      </c>
      <c r="L601" s="125" t="n"/>
    </row>
    <row r="602">
      <c r="A602" s="128" t="n"/>
      <c r="B602" s="129" t="n"/>
      <c r="C602" s="129" t="n"/>
      <c r="D602" s="129" t="n"/>
      <c r="E602" s="129" t="n"/>
      <c r="F602" s="130" t="n"/>
      <c r="G602" s="130" t="n"/>
      <c r="H602" s="129" t="n"/>
      <c r="I602" s="130" t="n"/>
      <c r="J602" s="129">
        <f>IFERROR(F602-E602-G602-H602-I602,"")</f>
        <v/>
      </c>
      <c r="K602" s="131">
        <f>IFERROR(J602/F602,"")</f>
        <v/>
      </c>
      <c r="L602" s="129" t="n"/>
    </row>
    <row r="603">
      <c r="A603" s="124" t="n"/>
      <c r="B603" s="125" t="n"/>
      <c r="C603" s="125" t="n"/>
      <c r="D603" s="125" t="n"/>
      <c r="E603" s="125" t="n"/>
      <c r="F603" s="126" t="n"/>
      <c r="G603" s="126" t="n"/>
      <c r="H603" s="125" t="n"/>
      <c r="I603" s="126" t="n"/>
      <c r="J603" s="125">
        <f>IFERROR(F603-E603-G603-H603-I603,"")</f>
        <v/>
      </c>
      <c r="K603" s="127">
        <f>IFERROR(J603/F603,"")</f>
        <v/>
      </c>
      <c r="L603" s="125" t="n"/>
    </row>
    <row r="604">
      <c r="A604" s="128" t="n"/>
      <c r="B604" s="129" t="n"/>
      <c r="C604" s="129" t="n"/>
      <c r="D604" s="129" t="n"/>
      <c r="E604" s="129" t="n"/>
      <c r="F604" s="130" t="n"/>
      <c r="G604" s="130" t="n"/>
      <c r="H604" s="129" t="n"/>
      <c r="I604" s="130" t="n"/>
      <c r="J604" s="129">
        <f>IFERROR(F604-E604-G604-H604-I604,"")</f>
        <v/>
      </c>
      <c r="K604" s="131">
        <f>IFERROR(J604/F604,"")</f>
        <v/>
      </c>
      <c r="L604" s="129" t="n"/>
    </row>
    <row r="605">
      <c r="A605" s="124" t="n"/>
      <c r="B605" s="125" t="n"/>
      <c r="C605" s="125" t="n"/>
      <c r="D605" s="125" t="n"/>
      <c r="E605" s="125" t="n"/>
      <c r="F605" s="126" t="n"/>
      <c r="G605" s="126" t="n"/>
      <c r="H605" s="125" t="n"/>
      <c r="I605" s="126" t="n"/>
      <c r="J605" s="125">
        <f>IFERROR(F605-E605-G605-H605-I605,"")</f>
        <v/>
      </c>
      <c r="K605" s="127">
        <f>IFERROR(J605/F605,"")</f>
        <v/>
      </c>
      <c r="L605" s="125" t="n"/>
    </row>
    <row r="606">
      <c r="A606" s="128" t="n"/>
      <c r="B606" s="129" t="n"/>
      <c r="C606" s="129" t="n"/>
      <c r="D606" s="129" t="n"/>
      <c r="E606" s="129" t="n"/>
      <c r="F606" s="130" t="n"/>
      <c r="G606" s="130" t="n"/>
      <c r="H606" s="129" t="n"/>
      <c r="I606" s="130" t="n"/>
      <c r="J606" s="129">
        <f>IFERROR(F606-E606-G606-H606-I606,"")</f>
        <v/>
      </c>
      <c r="K606" s="131">
        <f>IFERROR(J606/F606,"")</f>
        <v/>
      </c>
      <c r="L606" s="129" t="n"/>
    </row>
    <row r="607">
      <c r="A607" s="124" t="n"/>
      <c r="B607" s="125" t="n"/>
      <c r="C607" s="125" t="n"/>
      <c r="D607" s="125" t="n"/>
      <c r="E607" s="125" t="n"/>
      <c r="F607" s="126" t="n"/>
      <c r="G607" s="126" t="n"/>
      <c r="H607" s="125" t="n"/>
      <c r="I607" s="126" t="n"/>
      <c r="J607" s="125">
        <f>IFERROR(F607-E607-G607-H607-I607,"")</f>
        <v/>
      </c>
      <c r="K607" s="127">
        <f>IFERROR(J607/F607,"")</f>
        <v/>
      </c>
      <c r="L607" s="125" t="n"/>
    </row>
    <row r="608">
      <c r="A608" s="128" t="n"/>
      <c r="B608" s="129" t="n"/>
      <c r="C608" s="129" t="n"/>
      <c r="D608" s="129" t="n"/>
      <c r="E608" s="129" t="n"/>
      <c r="F608" s="130" t="n"/>
      <c r="G608" s="130" t="n"/>
      <c r="H608" s="129" t="n"/>
      <c r="I608" s="130" t="n"/>
      <c r="J608" s="129">
        <f>IFERROR(F608-E608-G608-H608-I608,"")</f>
        <v/>
      </c>
      <c r="K608" s="131">
        <f>IFERROR(J608/F608,"")</f>
        <v/>
      </c>
      <c r="L608" s="129" t="n"/>
    </row>
    <row r="609">
      <c r="A609" s="124" t="n"/>
      <c r="B609" s="125" t="n"/>
      <c r="C609" s="125" t="n"/>
      <c r="D609" s="125" t="n"/>
      <c r="E609" s="125" t="n"/>
      <c r="F609" s="126" t="n"/>
      <c r="G609" s="126" t="n"/>
      <c r="H609" s="125" t="n"/>
      <c r="I609" s="126" t="n"/>
      <c r="J609" s="125">
        <f>IFERROR(F609-E609-G609-H609-I609,"")</f>
        <v/>
      </c>
      <c r="K609" s="127">
        <f>IFERROR(J609/F609,"")</f>
        <v/>
      </c>
      <c r="L609" s="125" t="n"/>
    </row>
    <row r="610">
      <c r="A610" s="128" t="n"/>
      <c r="B610" s="129" t="n"/>
      <c r="C610" s="129" t="n"/>
      <c r="D610" s="129" t="n"/>
      <c r="E610" s="129" t="n"/>
      <c r="F610" s="130" t="n"/>
      <c r="G610" s="130" t="n"/>
      <c r="H610" s="129" t="n"/>
      <c r="I610" s="130" t="n"/>
      <c r="J610" s="129">
        <f>IFERROR(F610-E610-G610-H610-I610,"")</f>
        <v/>
      </c>
      <c r="K610" s="131">
        <f>IFERROR(J610/F610,"")</f>
        <v/>
      </c>
      <c r="L610" s="129" t="n"/>
    </row>
    <row r="611">
      <c r="A611" s="124" t="n"/>
      <c r="B611" s="125" t="n"/>
      <c r="C611" s="125" t="n"/>
      <c r="D611" s="125" t="n"/>
      <c r="E611" s="125" t="n"/>
      <c r="F611" s="126" t="n"/>
      <c r="G611" s="126" t="n"/>
      <c r="H611" s="125" t="n"/>
      <c r="I611" s="126" t="n"/>
      <c r="J611" s="125">
        <f>IFERROR(F611-E611-G611-H611-I611,"")</f>
        <v/>
      </c>
      <c r="K611" s="127">
        <f>IFERROR(J611/F611,"")</f>
        <v/>
      </c>
      <c r="L611" s="125" t="n"/>
    </row>
    <row r="612">
      <c r="A612" s="128" t="n"/>
      <c r="B612" s="129" t="n"/>
      <c r="C612" s="129" t="n"/>
      <c r="D612" s="129" t="n"/>
      <c r="E612" s="129" t="n"/>
      <c r="F612" s="130" t="n"/>
      <c r="G612" s="130" t="n"/>
      <c r="H612" s="129" t="n"/>
      <c r="I612" s="130" t="n"/>
      <c r="J612" s="129">
        <f>IFERROR(F612-E612-G612-H612-I612,"")</f>
        <v/>
      </c>
      <c r="K612" s="131">
        <f>IFERROR(J612/F612,"")</f>
        <v/>
      </c>
      <c r="L612" s="129" t="n"/>
    </row>
    <row r="613">
      <c r="A613" s="124" t="n"/>
      <c r="B613" s="125" t="n"/>
      <c r="C613" s="125" t="n"/>
      <c r="D613" s="125" t="n"/>
      <c r="E613" s="125" t="n"/>
      <c r="F613" s="126" t="n"/>
      <c r="G613" s="126" t="n"/>
      <c r="H613" s="125" t="n"/>
      <c r="I613" s="126" t="n"/>
      <c r="J613" s="125">
        <f>IFERROR(F613-E613-G613-H613-I613,"")</f>
        <v/>
      </c>
      <c r="K613" s="127">
        <f>IFERROR(J613/F613,"")</f>
        <v/>
      </c>
      <c r="L613" s="125" t="n"/>
    </row>
    <row r="614">
      <c r="A614" s="128" t="n"/>
      <c r="B614" s="129" t="n"/>
      <c r="C614" s="129" t="n"/>
      <c r="D614" s="129" t="n"/>
      <c r="E614" s="129" t="n"/>
      <c r="F614" s="130" t="n"/>
      <c r="G614" s="130" t="n"/>
      <c r="H614" s="129" t="n"/>
      <c r="I614" s="130" t="n"/>
      <c r="J614" s="129">
        <f>IFERROR(F614-E614-G614-H614-I614,"")</f>
        <v/>
      </c>
      <c r="K614" s="131">
        <f>IFERROR(J614/F614,"")</f>
        <v/>
      </c>
      <c r="L614" s="129" t="n"/>
    </row>
    <row r="615">
      <c r="A615" s="124" t="n"/>
      <c r="B615" s="125" t="n"/>
      <c r="C615" s="125" t="n"/>
      <c r="D615" s="125" t="n"/>
      <c r="E615" s="125" t="n"/>
      <c r="F615" s="126" t="n"/>
      <c r="G615" s="126" t="n"/>
      <c r="H615" s="125" t="n"/>
      <c r="I615" s="126" t="n"/>
      <c r="J615" s="125">
        <f>IFERROR(F615-E615-G615-H615-I615,"")</f>
        <v/>
      </c>
      <c r="K615" s="127">
        <f>IFERROR(J615/F615,"")</f>
        <v/>
      </c>
      <c r="L615" s="125" t="n"/>
    </row>
    <row r="616">
      <c r="A616" s="128" t="n"/>
      <c r="B616" s="129" t="n"/>
      <c r="C616" s="129" t="n"/>
      <c r="D616" s="129" t="n"/>
      <c r="E616" s="129" t="n"/>
      <c r="F616" s="130" t="n"/>
      <c r="G616" s="130" t="n"/>
      <c r="H616" s="129" t="n"/>
      <c r="I616" s="130" t="n"/>
      <c r="J616" s="129">
        <f>IFERROR(F616-E616-G616-H616-I616,"")</f>
        <v/>
      </c>
      <c r="K616" s="131">
        <f>IFERROR(J616/F616,"")</f>
        <v/>
      </c>
      <c r="L616" s="129" t="n"/>
    </row>
    <row r="617">
      <c r="A617" s="124" t="n"/>
      <c r="B617" s="125" t="n"/>
      <c r="C617" s="125" t="n"/>
      <c r="D617" s="125" t="n"/>
      <c r="E617" s="125" t="n"/>
      <c r="F617" s="126" t="n"/>
      <c r="G617" s="126" t="n"/>
      <c r="H617" s="125" t="n"/>
      <c r="I617" s="126" t="n"/>
      <c r="J617" s="125">
        <f>IFERROR(F617-E617-G617-H617-I617,"")</f>
        <v/>
      </c>
      <c r="K617" s="127">
        <f>IFERROR(J617/F617,"")</f>
        <v/>
      </c>
      <c r="L617" s="125" t="n"/>
    </row>
    <row r="618">
      <c r="A618" s="128" t="n"/>
      <c r="B618" s="129" t="n"/>
      <c r="C618" s="129" t="n"/>
      <c r="D618" s="129" t="n"/>
      <c r="E618" s="129" t="n"/>
      <c r="F618" s="130" t="n"/>
      <c r="G618" s="130" t="n"/>
      <c r="H618" s="129" t="n"/>
      <c r="I618" s="130" t="n"/>
      <c r="J618" s="129">
        <f>IFERROR(F618-E618-G618-H618-I618,"")</f>
        <v/>
      </c>
      <c r="K618" s="131">
        <f>IFERROR(J618/F618,"")</f>
        <v/>
      </c>
      <c r="L618" s="129" t="n"/>
    </row>
    <row r="619">
      <c r="A619" s="124" t="n"/>
      <c r="B619" s="125" t="n"/>
      <c r="C619" s="125" t="n"/>
      <c r="D619" s="125" t="n"/>
      <c r="E619" s="125" t="n"/>
      <c r="F619" s="126" t="n"/>
      <c r="G619" s="126" t="n"/>
      <c r="H619" s="125" t="n"/>
      <c r="I619" s="126" t="n"/>
      <c r="J619" s="125">
        <f>IFERROR(F619-E619-G619-H619-I619,"")</f>
        <v/>
      </c>
      <c r="K619" s="127">
        <f>IFERROR(J619/F619,"")</f>
        <v/>
      </c>
      <c r="L619" s="125" t="n"/>
    </row>
    <row r="620">
      <c r="A620" s="128" t="n"/>
      <c r="B620" s="129" t="n"/>
      <c r="C620" s="129" t="n"/>
      <c r="D620" s="129" t="n"/>
      <c r="E620" s="129" t="n"/>
      <c r="F620" s="130" t="n"/>
      <c r="G620" s="130" t="n"/>
      <c r="H620" s="129" t="n"/>
      <c r="I620" s="130" t="n"/>
      <c r="J620" s="129">
        <f>IFERROR(F620-E620-G620-H620-I620,"")</f>
        <v/>
      </c>
      <c r="K620" s="131">
        <f>IFERROR(J620/F620,"")</f>
        <v/>
      </c>
      <c r="L620" s="129" t="n"/>
    </row>
    <row r="621">
      <c r="A621" s="124" t="n"/>
      <c r="B621" s="125" t="n"/>
      <c r="C621" s="125" t="n"/>
      <c r="D621" s="125" t="n"/>
      <c r="E621" s="125" t="n"/>
      <c r="F621" s="126" t="n"/>
      <c r="G621" s="126" t="n"/>
      <c r="H621" s="125" t="n"/>
      <c r="I621" s="126" t="n"/>
      <c r="J621" s="125">
        <f>IFERROR(F621-E621-G621-H621-I621,"")</f>
        <v/>
      </c>
      <c r="K621" s="127">
        <f>IFERROR(J621/F621,"")</f>
        <v/>
      </c>
      <c r="L621" s="125" t="n"/>
    </row>
    <row r="622">
      <c r="A622" s="128" t="n"/>
      <c r="B622" s="129" t="n"/>
      <c r="C622" s="129" t="n"/>
      <c r="D622" s="129" t="n"/>
      <c r="E622" s="129" t="n"/>
      <c r="F622" s="130" t="n"/>
      <c r="G622" s="130" t="n"/>
      <c r="H622" s="129" t="n"/>
      <c r="I622" s="130" t="n"/>
      <c r="J622" s="129">
        <f>IFERROR(F622-E622-G622-H622-I622,"")</f>
        <v/>
      </c>
      <c r="K622" s="131">
        <f>IFERROR(J622/F622,"")</f>
        <v/>
      </c>
      <c r="L622" s="129" t="n"/>
    </row>
    <row r="623">
      <c r="A623" s="124" t="n"/>
      <c r="B623" s="125" t="n"/>
      <c r="C623" s="125" t="n"/>
      <c r="D623" s="125" t="n"/>
      <c r="E623" s="125" t="n"/>
      <c r="F623" s="126" t="n"/>
      <c r="G623" s="126" t="n"/>
      <c r="H623" s="125" t="n"/>
      <c r="I623" s="126" t="n"/>
      <c r="J623" s="125">
        <f>IFERROR(F623-E623-G623-H623-I623,"")</f>
        <v/>
      </c>
      <c r="K623" s="127">
        <f>IFERROR(J623/F623,"")</f>
        <v/>
      </c>
      <c r="L623" s="125" t="n"/>
    </row>
    <row r="624">
      <c r="A624" s="128" t="n"/>
      <c r="B624" s="129" t="n"/>
      <c r="C624" s="129" t="n"/>
      <c r="D624" s="129" t="n"/>
      <c r="E624" s="129" t="n"/>
      <c r="F624" s="130" t="n"/>
      <c r="G624" s="130" t="n"/>
      <c r="H624" s="129" t="n"/>
      <c r="I624" s="130" t="n"/>
      <c r="J624" s="129">
        <f>IFERROR(F624-E624-G624-H624-I624,"")</f>
        <v/>
      </c>
      <c r="K624" s="131">
        <f>IFERROR(J624/F624,"")</f>
        <v/>
      </c>
      <c r="L624" s="129" t="n"/>
    </row>
    <row r="625">
      <c r="A625" s="124" t="n"/>
      <c r="B625" s="125" t="n"/>
      <c r="C625" s="125" t="n"/>
      <c r="D625" s="125" t="n"/>
      <c r="E625" s="125" t="n"/>
      <c r="F625" s="126" t="n"/>
      <c r="G625" s="126" t="n"/>
      <c r="H625" s="125" t="n"/>
      <c r="I625" s="126" t="n"/>
      <c r="J625" s="125">
        <f>IFERROR(F625-E625-G625-H625-I625,"")</f>
        <v/>
      </c>
      <c r="K625" s="127">
        <f>IFERROR(J625/F625,"")</f>
        <v/>
      </c>
      <c r="L625" s="125" t="n"/>
    </row>
    <row r="626">
      <c r="A626" s="128" t="n"/>
      <c r="B626" s="129" t="n"/>
      <c r="C626" s="129" t="n"/>
      <c r="D626" s="129" t="n"/>
      <c r="E626" s="129" t="n"/>
      <c r="F626" s="130" t="n"/>
      <c r="G626" s="130" t="n"/>
      <c r="H626" s="129" t="n"/>
      <c r="I626" s="130" t="n"/>
      <c r="J626" s="129">
        <f>IFERROR(F626-E626-G626-H626-I626,"")</f>
        <v/>
      </c>
      <c r="K626" s="131">
        <f>IFERROR(J626/F626,"")</f>
        <v/>
      </c>
      <c r="L626" s="129" t="n"/>
    </row>
    <row r="627">
      <c r="A627" s="124" t="n"/>
      <c r="B627" s="125" t="n"/>
      <c r="C627" s="125" t="n"/>
      <c r="D627" s="125" t="n"/>
      <c r="E627" s="125" t="n"/>
      <c r="F627" s="126" t="n"/>
      <c r="G627" s="126" t="n"/>
      <c r="H627" s="125" t="n"/>
      <c r="I627" s="126" t="n"/>
      <c r="J627" s="125">
        <f>IFERROR(F627-E627-G627-H627-I627,"")</f>
        <v/>
      </c>
      <c r="K627" s="127">
        <f>IFERROR(J627/F627,"")</f>
        <v/>
      </c>
      <c r="L627" s="125" t="n"/>
    </row>
    <row r="628">
      <c r="A628" s="128" t="n"/>
      <c r="B628" s="129" t="n"/>
      <c r="C628" s="129" t="n"/>
      <c r="D628" s="129" t="n"/>
      <c r="E628" s="129" t="n"/>
      <c r="F628" s="130" t="n"/>
      <c r="G628" s="130" t="n"/>
      <c r="H628" s="129" t="n"/>
      <c r="I628" s="130" t="n"/>
      <c r="J628" s="129">
        <f>IFERROR(F628-E628-G628-H628-I628,"")</f>
        <v/>
      </c>
      <c r="K628" s="131">
        <f>IFERROR(J628/F628,"")</f>
        <v/>
      </c>
      <c r="L628" s="129" t="n"/>
    </row>
    <row r="629">
      <c r="A629" s="124" t="n"/>
      <c r="B629" s="125" t="n"/>
      <c r="C629" s="125" t="n"/>
      <c r="D629" s="125" t="n"/>
      <c r="E629" s="125" t="n"/>
      <c r="F629" s="126" t="n"/>
      <c r="G629" s="126" t="n"/>
      <c r="H629" s="125" t="n"/>
      <c r="I629" s="126" t="n"/>
      <c r="J629" s="125">
        <f>IFERROR(F629-E629-G629-H629-I629,"")</f>
        <v/>
      </c>
      <c r="K629" s="127">
        <f>IFERROR(J629/F629,"")</f>
        <v/>
      </c>
      <c r="L629" s="125" t="n"/>
    </row>
    <row r="630">
      <c r="A630" s="128" t="n"/>
      <c r="B630" s="129" t="n"/>
      <c r="C630" s="129" t="n"/>
      <c r="D630" s="129" t="n"/>
      <c r="E630" s="129" t="n"/>
      <c r="F630" s="130" t="n"/>
      <c r="G630" s="130" t="n"/>
      <c r="H630" s="129" t="n"/>
      <c r="I630" s="130" t="n"/>
      <c r="J630" s="129">
        <f>IFERROR(F630-E630-G630-H630-I630,"")</f>
        <v/>
      </c>
      <c r="K630" s="131">
        <f>IFERROR(J630/F630,"")</f>
        <v/>
      </c>
      <c r="L630" s="129" t="n"/>
    </row>
    <row r="631">
      <c r="A631" s="124" t="n"/>
      <c r="B631" s="125" t="n"/>
      <c r="C631" s="125" t="n"/>
      <c r="D631" s="125" t="n"/>
      <c r="E631" s="125" t="n"/>
      <c r="F631" s="126" t="n"/>
      <c r="G631" s="126" t="n"/>
      <c r="H631" s="125" t="n"/>
      <c r="I631" s="126" t="n"/>
      <c r="J631" s="125">
        <f>IFERROR(F631-E631-G631-H631-I631,"")</f>
        <v/>
      </c>
      <c r="K631" s="127">
        <f>IFERROR(J631/F631,"")</f>
        <v/>
      </c>
      <c r="L631" s="125" t="n"/>
    </row>
    <row r="632">
      <c r="A632" s="128" t="n"/>
      <c r="B632" s="129" t="n"/>
      <c r="C632" s="129" t="n"/>
      <c r="D632" s="129" t="n"/>
      <c r="E632" s="129" t="n"/>
      <c r="F632" s="130" t="n"/>
      <c r="G632" s="130" t="n"/>
      <c r="H632" s="129" t="n"/>
      <c r="I632" s="130" t="n"/>
      <c r="J632" s="129">
        <f>IFERROR(F632-E632-G632-H632-I632,"")</f>
        <v/>
      </c>
      <c r="K632" s="131">
        <f>IFERROR(J632/F632,"")</f>
        <v/>
      </c>
      <c r="L632" s="129" t="n"/>
    </row>
    <row r="633">
      <c r="A633" s="124" t="n"/>
      <c r="B633" s="125" t="n"/>
      <c r="C633" s="125" t="n"/>
      <c r="D633" s="125" t="n"/>
      <c r="E633" s="125" t="n"/>
      <c r="F633" s="126" t="n"/>
      <c r="G633" s="126" t="n"/>
      <c r="H633" s="125" t="n"/>
      <c r="I633" s="126" t="n"/>
      <c r="J633" s="125">
        <f>IFERROR(F633-E633-G633-H633-I633,"")</f>
        <v/>
      </c>
      <c r="K633" s="127">
        <f>IFERROR(J633/F633,"")</f>
        <v/>
      </c>
      <c r="L633" s="125" t="n"/>
    </row>
    <row r="634">
      <c r="A634" s="128" t="n"/>
      <c r="B634" s="129" t="n"/>
      <c r="C634" s="129" t="n"/>
      <c r="D634" s="129" t="n"/>
      <c r="E634" s="129" t="n"/>
      <c r="F634" s="130" t="n"/>
      <c r="G634" s="130" t="n"/>
      <c r="H634" s="129" t="n"/>
      <c r="I634" s="130" t="n"/>
      <c r="J634" s="129">
        <f>IFERROR(F634-E634-G634-H634-I634,"")</f>
        <v/>
      </c>
      <c r="K634" s="131">
        <f>IFERROR(J634/F634,"")</f>
        <v/>
      </c>
      <c r="L634" s="129" t="n"/>
    </row>
    <row r="635">
      <c r="A635" s="124" t="n"/>
      <c r="B635" s="125" t="n"/>
      <c r="C635" s="125" t="n"/>
      <c r="D635" s="125" t="n"/>
      <c r="E635" s="125" t="n"/>
      <c r="F635" s="126" t="n"/>
      <c r="G635" s="126" t="n"/>
      <c r="H635" s="125" t="n"/>
      <c r="I635" s="126" t="n"/>
      <c r="J635" s="125">
        <f>IFERROR(F635-E635-G635-H635-I635,"")</f>
        <v/>
      </c>
      <c r="K635" s="127">
        <f>IFERROR(J635/F635,"")</f>
        <v/>
      </c>
      <c r="L635" s="125" t="n"/>
    </row>
    <row r="636">
      <c r="A636" s="128" t="n"/>
      <c r="B636" s="129" t="n"/>
      <c r="C636" s="129" t="n"/>
      <c r="D636" s="129" t="n"/>
      <c r="E636" s="129" t="n"/>
      <c r="F636" s="130" t="n"/>
      <c r="G636" s="130" t="n"/>
      <c r="H636" s="129" t="n"/>
      <c r="I636" s="130" t="n"/>
      <c r="J636" s="129">
        <f>IFERROR(F636-E636-G636-H636-I636,"")</f>
        <v/>
      </c>
      <c r="K636" s="131">
        <f>IFERROR(J636/F636,"")</f>
        <v/>
      </c>
      <c r="L636" s="129" t="n"/>
    </row>
    <row r="637">
      <c r="A637" s="124" t="n"/>
      <c r="B637" s="125" t="n"/>
      <c r="C637" s="125" t="n"/>
      <c r="D637" s="125" t="n"/>
      <c r="E637" s="125" t="n"/>
      <c r="F637" s="126" t="n"/>
      <c r="G637" s="126" t="n"/>
      <c r="H637" s="125" t="n"/>
      <c r="I637" s="126" t="n"/>
      <c r="J637" s="125">
        <f>IFERROR(F637-E637-G637-H637-I637,"")</f>
        <v/>
      </c>
      <c r="K637" s="127">
        <f>IFERROR(J637/F637,"")</f>
        <v/>
      </c>
      <c r="L637" s="125" t="n"/>
    </row>
    <row r="638">
      <c r="A638" s="128" t="n"/>
      <c r="B638" s="129" t="n"/>
      <c r="C638" s="129" t="n"/>
      <c r="D638" s="129" t="n"/>
      <c r="E638" s="129" t="n"/>
      <c r="F638" s="130" t="n"/>
      <c r="G638" s="130" t="n"/>
      <c r="H638" s="129" t="n"/>
      <c r="I638" s="130" t="n"/>
      <c r="J638" s="129">
        <f>IFERROR(F638-E638-G638-H638-I638,"")</f>
        <v/>
      </c>
      <c r="K638" s="131">
        <f>IFERROR(J638/F638,"")</f>
        <v/>
      </c>
      <c r="L638" s="129" t="n"/>
    </row>
    <row r="639">
      <c r="A639" s="124" t="n"/>
      <c r="B639" s="125" t="n"/>
      <c r="C639" s="125" t="n"/>
      <c r="D639" s="125" t="n"/>
      <c r="E639" s="125" t="n"/>
      <c r="F639" s="126" t="n"/>
      <c r="G639" s="126" t="n"/>
      <c r="H639" s="125" t="n"/>
      <c r="I639" s="126" t="n"/>
      <c r="J639" s="125">
        <f>IFERROR(F639-E639-G639-H639-I639,"")</f>
        <v/>
      </c>
      <c r="K639" s="127">
        <f>IFERROR(J639/F639,"")</f>
        <v/>
      </c>
      <c r="L639" s="125" t="n"/>
    </row>
    <row r="640">
      <c r="A640" s="128" t="n"/>
      <c r="B640" s="129" t="n"/>
      <c r="C640" s="129" t="n"/>
      <c r="D640" s="129" t="n"/>
      <c r="E640" s="129" t="n"/>
      <c r="F640" s="130" t="n"/>
      <c r="G640" s="130" t="n"/>
      <c r="H640" s="129" t="n"/>
      <c r="I640" s="130" t="n"/>
      <c r="J640" s="129">
        <f>IFERROR(F640-E640-G640-H640-I640,"")</f>
        <v/>
      </c>
      <c r="K640" s="131">
        <f>IFERROR(J640/F640,"")</f>
        <v/>
      </c>
      <c r="L640" s="129" t="n"/>
    </row>
    <row r="641">
      <c r="A641" s="124" t="n"/>
      <c r="B641" s="125" t="n"/>
      <c r="C641" s="125" t="n"/>
      <c r="D641" s="125" t="n"/>
      <c r="E641" s="125" t="n"/>
      <c r="F641" s="126" t="n"/>
      <c r="G641" s="126" t="n"/>
      <c r="H641" s="125" t="n"/>
      <c r="I641" s="126" t="n"/>
      <c r="J641" s="125">
        <f>IFERROR(F641-E641-G641-H641-I641,"")</f>
        <v/>
      </c>
      <c r="K641" s="127">
        <f>IFERROR(J641/F641,"")</f>
        <v/>
      </c>
      <c r="L641" s="125" t="n"/>
    </row>
    <row r="642">
      <c r="A642" s="128" t="n"/>
      <c r="B642" s="129" t="n"/>
      <c r="C642" s="129" t="n"/>
      <c r="D642" s="129" t="n"/>
      <c r="E642" s="129" t="n"/>
      <c r="F642" s="130" t="n"/>
      <c r="G642" s="130" t="n"/>
      <c r="H642" s="129" t="n"/>
      <c r="I642" s="130" t="n"/>
      <c r="J642" s="129">
        <f>IFERROR(F642-E642-G642-H642-I642,"")</f>
        <v/>
      </c>
      <c r="K642" s="131">
        <f>IFERROR(J642/F642,"")</f>
        <v/>
      </c>
      <c r="L642" s="129" t="n"/>
    </row>
    <row r="643">
      <c r="A643" s="124" t="n"/>
      <c r="B643" s="125" t="n"/>
      <c r="C643" s="125" t="n"/>
      <c r="D643" s="125" t="n"/>
      <c r="E643" s="125" t="n"/>
      <c r="F643" s="126" t="n"/>
      <c r="G643" s="126" t="n"/>
      <c r="H643" s="125" t="n"/>
      <c r="I643" s="126" t="n"/>
      <c r="J643" s="125">
        <f>IFERROR(F643-E643-G643-H643-I643,"")</f>
        <v/>
      </c>
      <c r="K643" s="127">
        <f>IFERROR(J643/F643,"")</f>
        <v/>
      </c>
      <c r="L643" s="125" t="n"/>
    </row>
    <row r="644">
      <c r="A644" s="128" t="n"/>
      <c r="B644" s="129" t="n"/>
      <c r="C644" s="129" t="n"/>
      <c r="D644" s="129" t="n"/>
      <c r="E644" s="129" t="n"/>
      <c r="F644" s="130" t="n"/>
      <c r="G644" s="130" t="n"/>
      <c r="H644" s="129" t="n"/>
      <c r="I644" s="130" t="n"/>
      <c r="J644" s="129">
        <f>IFERROR(F644-E644-G644-H644-I644,"")</f>
        <v/>
      </c>
      <c r="K644" s="131">
        <f>IFERROR(J644/F644,"")</f>
        <v/>
      </c>
      <c r="L644" s="129" t="n"/>
    </row>
    <row r="645">
      <c r="A645" s="124" t="n"/>
      <c r="B645" s="125" t="n"/>
      <c r="C645" s="125" t="n"/>
      <c r="D645" s="125" t="n"/>
      <c r="E645" s="125" t="n"/>
      <c r="F645" s="126" t="n"/>
      <c r="G645" s="126" t="n"/>
      <c r="H645" s="125" t="n"/>
      <c r="I645" s="126" t="n"/>
      <c r="J645" s="125">
        <f>IFERROR(F645-E645-G645-H645-I645,"")</f>
        <v/>
      </c>
      <c r="K645" s="127">
        <f>IFERROR(J645/F645,"")</f>
        <v/>
      </c>
      <c r="L645" s="125" t="n"/>
    </row>
    <row r="646">
      <c r="A646" s="128" t="n"/>
      <c r="B646" s="129" t="n"/>
      <c r="C646" s="129" t="n"/>
      <c r="D646" s="129" t="n"/>
      <c r="E646" s="129" t="n"/>
      <c r="F646" s="130" t="n"/>
      <c r="G646" s="130" t="n"/>
      <c r="H646" s="129" t="n"/>
      <c r="I646" s="130" t="n"/>
      <c r="J646" s="129">
        <f>IFERROR(F646-E646-G646-H646-I646,"")</f>
        <v/>
      </c>
      <c r="K646" s="131">
        <f>IFERROR(J646/F646,"")</f>
        <v/>
      </c>
      <c r="L646" s="129" t="n"/>
    </row>
    <row r="647">
      <c r="A647" s="124" t="n"/>
      <c r="B647" s="125" t="n"/>
      <c r="C647" s="125" t="n"/>
      <c r="D647" s="125" t="n"/>
      <c r="E647" s="125" t="n"/>
      <c r="F647" s="126" t="n"/>
      <c r="G647" s="126" t="n"/>
      <c r="H647" s="125" t="n"/>
      <c r="I647" s="126" t="n"/>
      <c r="J647" s="125">
        <f>IFERROR(F647-E647-G647-H647-I647,"")</f>
        <v/>
      </c>
      <c r="K647" s="127">
        <f>IFERROR(J647/F647,"")</f>
        <v/>
      </c>
      <c r="L647" s="125" t="n"/>
    </row>
    <row r="648">
      <c r="A648" s="128" t="n"/>
      <c r="B648" s="129" t="n"/>
      <c r="C648" s="129" t="n"/>
      <c r="D648" s="129" t="n"/>
      <c r="E648" s="129" t="n"/>
      <c r="F648" s="130" t="n"/>
      <c r="G648" s="130" t="n"/>
      <c r="H648" s="129" t="n"/>
      <c r="I648" s="130" t="n"/>
      <c r="J648" s="129">
        <f>IFERROR(F648-E648-G648-H648-I648,"")</f>
        <v/>
      </c>
      <c r="K648" s="131">
        <f>IFERROR(J648/F648,"")</f>
        <v/>
      </c>
      <c r="L648" s="129" t="n"/>
    </row>
    <row r="649">
      <c r="A649" s="124" t="n"/>
      <c r="B649" s="125" t="n"/>
      <c r="C649" s="125" t="n"/>
      <c r="D649" s="125" t="n"/>
      <c r="E649" s="125" t="n"/>
      <c r="F649" s="126" t="n"/>
      <c r="G649" s="126" t="n"/>
      <c r="H649" s="125" t="n"/>
      <c r="I649" s="126" t="n"/>
      <c r="J649" s="125">
        <f>IFERROR(F649-E649-G649-H649-I649,"")</f>
        <v/>
      </c>
      <c r="K649" s="127">
        <f>IFERROR(J649/F649,"")</f>
        <v/>
      </c>
      <c r="L649" s="125" t="n"/>
    </row>
    <row r="650">
      <c r="A650" s="128" t="n"/>
      <c r="B650" s="129" t="n"/>
      <c r="C650" s="129" t="n"/>
      <c r="D650" s="129" t="n"/>
      <c r="E650" s="129" t="n"/>
      <c r="F650" s="130" t="n"/>
      <c r="G650" s="130" t="n"/>
      <c r="H650" s="129" t="n"/>
      <c r="I650" s="130" t="n"/>
      <c r="J650" s="129">
        <f>IFERROR(F650-E650-G650-H650-I650,"")</f>
        <v/>
      </c>
      <c r="K650" s="131">
        <f>IFERROR(J650/F650,"")</f>
        <v/>
      </c>
      <c r="L650" s="129" t="n"/>
    </row>
    <row r="651">
      <c r="A651" s="124" t="n"/>
      <c r="B651" s="125" t="n"/>
      <c r="C651" s="125" t="n"/>
      <c r="D651" s="125" t="n"/>
      <c r="E651" s="125" t="n"/>
      <c r="F651" s="126" t="n"/>
      <c r="G651" s="126" t="n"/>
      <c r="H651" s="125" t="n"/>
      <c r="I651" s="126" t="n"/>
      <c r="J651" s="125">
        <f>IFERROR(F651-E651-G651-H651-I651,"")</f>
        <v/>
      </c>
      <c r="K651" s="127">
        <f>IFERROR(J651/F651,"")</f>
        <v/>
      </c>
      <c r="L651" s="125" t="n"/>
    </row>
    <row r="652">
      <c r="A652" s="128" t="n"/>
      <c r="B652" s="129" t="n"/>
      <c r="C652" s="129" t="n"/>
      <c r="D652" s="129" t="n"/>
      <c r="E652" s="129" t="n"/>
      <c r="F652" s="130" t="n"/>
      <c r="G652" s="130" t="n"/>
      <c r="H652" s="129" t="n"/>
      <c r="I652" s="130" t="n"/>
      <c r="J652" s="129">
        <f>IFERROR(F652-E652-G652-H652-I652,"")</f>
        <v/>
      </c>
      <c r="K652" s="131">
        <f>IFERROR(J652/F652,"")</f>
        <v/>
      </c>
      <c r="L652" s="129" t="n"/>
    </row>
    <row r="653">
      <c r="A653" s="124" t="n"/>
      <c r="B653" s="125" t="n"/>
      <c r="C653" s="125" t="n"/>
      <c r="D653" s="125" t="n"/>
      <c r="E653" s="125" t="n"/>
      <c r="F653" s="126" t="n"/>
      <c r="G653" s="126" t="n"/>
      <c r="H653" s="125" t="n"/>
      <c r="I653" s="126" t="n"/>
      <c r="J653" s="125">
        <f>IFERROR(F653-E653-G653-H653-I653,"")</f>
        <v/>
      </c>
      <c r="K653" s="127">
        <f>IFERROR(J653/F653,"")</f>
        <v/>
      </c>
      <c r="L653" s="125" t="n"/>
    </row>
    <row r="654">
      <c r="A654" s="128" t="n"/>
      <c r="B654" s="129" t="n"/>
      <c r="C654" s="129" t="n"/>
      <c r="D654" s="129" t="n"/>
      <c r="E654" s="129" t="n"/>
      <c r="F654" s="130" t="n"/>
      <c r="G654" s="130" t="n"/>
      <c r="H654" s="129" t="n"/>
      <c r="I654" s="130" t="n"/>
      <c r="J654" s="129">
        <f>IFERROR(F654-E654-G654-H654-I654,"")</f>
        <v/>
      </c>
      <c r="K654" s="131">
        <f>IFERROR(J654/F654,"")</f>
        <v/>
      </c>
      <c r="L654" s="129" t="n"/>
    </row>
    <row r="655">
      <c r="A655" s="124" t="n"/>
      <c r="B655" s="125" t="n"/>
      <c r="C655" s="125" t="n"/>
      <c r="D655" s="125" t="n"/>
      <c r="E655" s="125" t="n"/>
      <c r="F655" s="126" t="n"/>
      <c r="G655" s="126" t="n"/>
      <c r="H655" s="125" t="n"/>
      <c r="I655" s="126" t="n"/>
      <c r="J655" s="125">
        <f>IFERROR(F655-E655-G655-H655-I655,"")</f>
        <v/>
      </c>
      <c r="K655" s="127">
        <f>IFERROR(J655/F655,"")</f>
        <v/>
      </c>
      <c r="L655" s="125" t="n"/>
    </row>
    <row r="656">
      <c r="A656" s="128" t="n"/>
      <c r="B656" s="129" t="n"/>
      <c r="C656" s="129" t="n"/>
      <c r="D656" s="129" t="n"/>
      <c r="E656" s="129" t="n"/>
      <c r="F656" s="130" t="n"/>
      <c r="G656" s="130" t="n"/>
      <c r="H656" s="129" t="n"/>
      <c r="I656" s="130" t="n"/>
      <c r="J656" s="129">
        <f>IFERROR(F656-E656-G656-H656-I656,"")</f>
        <v/>
      </c>
      <c r="K656" s="131">
        <f>IFERROR(J656/F656,"")</f>
        <v/>
      </c>
      <c r="L656" s="129" t="n"/>
    </row>
    <row r="657">
      <c r="A657" s="124" t="n"/>
      <c r="B657" s="125" t="n"/>
      <c r="C657" s="125" t="n"/>
      <c r="D657" s="125" t="n"/>
      <c r="E657" s="125" t="n"/>
      <c r="F657" s="126" t="n"/>
      <c r="G657" s="126" t="n"/>
      <c r="H657" s="125" t="n"/>
      <c r="I657" s="126" t="n"/>
      <c r="J657" s="125">
        <f>IFERROR(F657-E657-G657-H657-I657,"")</f>
        <v/>
      </c>
      <c r="K657" s="127">
        <f>IFERROR(J657/F657,"")</f>
        <v/>
      </c>
      <c r="L657" s="125" t="n"/>
    </row>
    <row r="658">
      <c r="A658" s="128" t="n"/>
      <c r="B658" s="129" t="n"/>
      <c r="C658" s="129" t="n"/>
      <c r="D658" s="129" t="n"/>
      <c r="E658" s="129" t="n"/>
      <c r="F658" s="130" t="n"/>
      <c r="G658" s="130" t="n"/>
      <c r="H658" s="129" t="n"/>
      <c r="I658" s="130" t="n"/>
      <c r="J658" s="129">
        <f>IFERROR(F658-E658-G658-H658-I658,"")</f>
        <v/>
      </c>
      <c r="K658" s="131">
        <f>IFERROR(J658/F658,"")</f>
        <v/>
      </c>
      <c r="L658" s="129" t="n"/>
    </row>
    <row r="659">
      <c r="A659" s="124" t="n"/>
      <c r="B659" s="125" t="n"/>
      <c r="C659" s="125" t="n"/>
      <c r="D659" s="125" t="n"/>
      <c r="E659" s="125" t="n"/>
      <c r="F659" s="126" t="n"/>
      <c r="G659" s="126" t="n"/>
      <c r="H659" s="125" t="n"/>
      <c r="I659" s="126" t="n"/>
      <c r="J659" s="125">
        <f>IFERROR(F659-E659-G659-H659-I659,"")</f>
        <v/>
      </c>
      <c r="K659" s="127">
        <f>IFERROR(J659/F659,"")</f>
        <v/>
      </c>
      <c r="L659" s="125" t="n"/>
    </row>
    <row r="660">
      <c r="A660" s="128" t="n"/>
      <c r="B660" s="129" t="n"/>
      <c r="C660" s="129" t="n"/>
      <c r="D660" s="129" t="n"/>
      <c r="E660" s="129" t="n"/>
      <c r="F660" s="130" t="n"/>
      <c r="G660" s="130" t="n"/>
      <c r="H660" s="129" t="n"/>
      <c r="I660" s="130" t="n"/>
      <c r="J660" s="129">
        <f>IFERROR(F660-E660-G660-H660-I660,"")</f>
        <v/>
      </c>
      <c r="K660" s="131">
        <f>IFERROR(J660/F660,"")</f>
        <v/>
      </c>
      <c r="L660" s="129" t="n"/>
    </row>
    <row r="661">
      <c r="A661" s="124" t="n"/>
      <c r="B661" s="125" t="n"/>
      <c r="C661" s="125" t="n"/>
      <c r="D661" s="125" t="n"/>
      <c r="E661" s="125" t="n"/>
      <c r="F661" s="126" t="n"/>
      <c r="G661" s="126" t="n"/>
      <c r="H661" s="125" t="n"/>
      <c r="I661" s="126" t="n"/>
      <c r="J661" s="125">
        <f>IFERROR(F661-E661-G661-H661-I661,"")</f>
        <v/>
      </c>
      <c r="K661" s="127">
        <f>IFERROR(J661/F661,"")</f>
        <v/>
      </c>
      <c r="L661" s="125" t="n"/>
    </row>
    <row r="662">
      <c r="A662" s="128" t="n"/>
      <c r="B662" s="129" t="n"/>
      <c r="C662" s="129" t="n"/>
      <c r="D662" s="129" t="n"/>
      <c r="E662" s="129" t="n"/>
      <c r="F662" s="130" t="n"/>
      <c r="G662" s="130" t="n"/>
      <c r="H662" s="129" t="n"/>
      <c r="I662" s="130" t="n"/>
      <c r="J662" s="129">
        <f>IFERROR(F662-E662-G662-H662-I662,"")</f>
        <v/>
      </c>
      <c r="K662" s="131">
        <f>IFERROR(J662/F662,"")</f>
        <v/>
      </c>
      <c r="L662" s="129" t="n"/>
    </row>
    <row r="663">
      <c r="A663" s="124" t="n"/>
      <c r="B663" s="125" t="n"/>
      <c r="C663" s="125" t="n"/>
      <c r="D663" s="125" t="n"/>
      <c r="E663" s="125" t="n"/>
      <c r="F663" s="126" t="n"/>
      <c r="G663" s="126" t="n"/>
      <c r="H663" s="125" t="n"/>
      <c r="I663" s="126" t="n"/>
      <c r="J663" s="125">
        <f>IFERROR(F663-E663-G663-H663-I663,"")</f>
        <v/>
      </c>
      <c r="K663" s="127">
        <f>IFERROR(J663/F663,"")</f>
        <v/>
      </c>
      <c r="L663" s="125" t="n"/>
    </row>
    <row r="664">
      <c r="A664" s="128" t="n"/>
      <c r="B664" s="129" t="n"/>
      <c r="C664" s="129" t="n"/>
      <c r="D664" s="129" t="n"/>
      <c r="E664" s="129" t="n"/>
      <c r="F664" s="130" t="n"/>
      <c r="G664" s="130" t="n"/>
      <c r="H664" s="129" t="n"/>
      <c r="I664" s="130" t="n"/>
      <c r="J664" s="129">
        <f>IFERROR(F664-E664-G664-H664-I664,"")</f>
        <v/>
      </c>
      <c r="K664" s="131">
        <f>IFERROR(J664/F664,"")</f>
        <v/>
      </c>
      <c r="L664" s="129" t="n"/>
    </row>
    <row r="665">
      <c r="A665" s="124" t="n"/>
      <c r="B665" s="125" t="n"/>
      <c r="C665" s="125" t="n"/>
      <c r="D665" s="125" t="n"/>
      <c r="E665" s="125" t="n"/>
      <c r="F665" s="126" t="n"/>
      <c r="G665" s="126" t="n"/>
      <c r="H665" s="125" t="n"/>
      <c r="I665" s="126" t="n"/>
      <c r="J665" s="125">
        <f>IFERROR(F665-E665-G665-H665-I665,"")</f>
        <v/>
      </c>
      <c r="K665" s="127">
        <f>IFERROR(J665/F665,"")</f>
        <v/>
      </c>
      <c r="L665" s="125" t="n"/>
    </row>
    <row r="666">
      <c r="A666" s="128" t="n"/>
      <c r="B666" s="129" t="n"/>
      <c r="C666" s="129" t="n"/>
      <c r="D666" s="129" t="n"/>
      <c r="E666" s="129" t="n"/>
      <c r="F666" s="130" t="n"/>
      <c r="G666" s="130" t="n"/>
      <c r="H666" s="129" t="n"/>
      <c r="I666" s="130" t="n"/>
      <c r="J666" s="129">
        <f>IFERROR(F666-E666-G666-H666-I666,"")</f>
        <v/>
      </c>
      <c r="K666" s="131">
        <f>IFERROR(J666/F666,"")</f>
        <v/>
      </c>
      <c r="L666" s="129" t="n"/>
    </row>
    <row r="667">
      <c r="A667" s="124" t="n"/>
      <c r="B667" s="125" t="n"/>
      <c r="C667" s="125" t="n"/>
      <c r="D667" s="125" t="n"/>
      <c r="E667" s="125" t="n"/>
      <c r="F667" s="126" t="n"/>
      <c r="G667" s="126" t="n"/>
      <c r="H667" s="125" t="n"/>
      <c r="I667" s="126" t="n"/>
      <c r="J667" s="125">
        <f>IFERROR(F667-E667-G667-H667-I667,"")</f>
        <v/>
      </c>
      <c r="K667" s="127">
        <f>IFERROR(J667/F667,"")</f>
        <v/>
      </c>
      <c r="L667" s="125" t="n"/>
    </row>
    <row r="668">
      <c r="A668" s="128" t="n"/>
      <c r="B668" s="129" t="n"/>
      <c r="C668" s="129" t="n"/>
      <c r="D668" s="129" t="n"/>
      <c r="E668" s="129" t="n"/>
      <c r="F668" s="130" t="n"/>
      <c r="G668" s="130" t="n"/>
      <c r="H668" s="129" t="n"/>
      <c r="I668" s="130" t="n"/>
      <c r="J668" s="129">
        <f>IFERROR(F668-E668-G668-H668-I668,"")</f>
        <v/>
      </c>
      <c r="K668" s="131">
        <f>IFERROR(J668/F668,"")</f>
        <v/>
      </c>
      <c r="L668" s="129" t="n"/>
    </row>
    <row r="669">
      <c r="A669" s="124" t="n"/>
      <c r="B669" s="125" t="n"/>
      <c r="C669" s="125" t="n"/>
      <c r="D669" s="125" t="n"/>
      <c r="E669" s="125" t="n"/>
      <c r="F669" s="126" t="n"/>
      <c r="G669" s="126" t="n"/>
      <c r="H669" s="125" t="n"/>
      <c r="I669" s="126" t="n"/>
      <c r="J669" s="125">
        <f>IFERROR(F669-E669-G669-H669-I669,"")</f>
        <v/>
      </c>
      <c r="K669" s="127">
        <f>IFERROR(J669/F669,"")</f>
        <v/>
      </c>
      <c r="L669" s="125" t="n"/>
    </row>
    <row r="670">
      <c r="A670" s="128" t="n"/>
      <c r="B670" s="129" t="n"/>
      <c r="C670" s="129" t="n"/>
      <c r="D670" s="129" t="n"/>
      <c r="E670" s="129" t="n"/>
      <c r="F670" s="130" t="n"/>
      <c r="G670" s="130" t="n"/>
      <c r="H670" s="129" t="n"/>
      <c r="I670" s="130" t="n"/>
      <c r="J670" s="129">
        <f>IFERROR(F670-E670-G670-H670-I670,"")</f>
        <v/>
      </c>
      <c r="K670" s="131">
        <f>IFERROR(J670/F670,"")</f>
        <v/>
      </c>
      <c r="L670" s="129" t="n"/>
    </row>
    <row r="671">
      <c r="A671" s="124" t="n"/>
      <c r="B671" s="125" t="n"/>
      <c r="C671" s="125" t="n"/>
      <c r="D671" s="125" t="n"/>
      <c r="E671" s="125" t="n"/>
      <c r="F671" s="126" t="n"/>
      <c r="G671" s="126" t="n"/>
      <c r="H671" s="125" t="n"/>
      <c r="I671" s="126" t="n"/>
      <c r="J671" s="125">
        <f>IFERROR(F671-E671-G671-H671-I671,"")</f>
        <v/>
      </c>
      <c r="K671" s="127">
        <f>IFERROR(J671/F671,"")</f>
        <v/>
      </c>
      <c r="L671" s="125" t="n"/>
    </row>
    <row r="672">
      <c r="A672" s="128" t="n"/>
      <c r="B672" s="129" t="n"/>
      <c r="C672" s="129" t="n"/>
      <c r="D672" s="129" t="n"/>
      <c r="E672" s="129" t="n"/>
      <c r="F672" s="130" t="n"/>
      <c r="G672" s="130" t="n"/>
      <c r="H672" s="129" t="n"/>
      <c r="I672" s="130" t="n"/>
      <c r="J672" s="129">
        <f>IFERROR(F672-E672-G672-H672-I672,"")</f>
        <v/>
      </c>
      <c r="K672" s="131">
        <f>IFERROR(J672/F672,"")</f>
        <v/>
      </c>
      <c r="L672" s="129" t="n"/>
    </row>
    <row r="673">
      <c r="A673" s="124" t="n"/>
      <c r="B673" s="125" t="n"/>
      <c r="C673" s="125" t="n"/>
      <c r="D673" s="125" t="n"/>
      <c r="E673" s="125" t="n"/>
      <c r="F673" s="126" t="n"/>
      <c r="G673" s="126" t="n"/>
      <c r="H673" s="125" t="n"/>
      <c r="I673" s="126" t="n"/>
      <c r="J673" s="125">
        <f>IFERROR(F673-E673-G673-H673-I673,"")</f>
        <v/>
      </c>
      <c r="K673" s="127">
        <f>IFERROR(J673/F673,"")</f>
        <v/>
      </c>
      <c r="L673" s="125" t="n"/>
    </row>
    <row r="674">
      <c r="A674" s="128" t="n"/>
      <c r="B674" s="129" t="n"/>
      <c r="C674" s="129" t="n"/>
      <c r="D674" s="129" t="n"/>
      <c r="E674" s="129" t="n"/>
      <c r="F674" s="130" t="n"/>
      <c r="G674" s="130" t="n"/>
      <c r="H674" s="129" t="n"/>
      <c r="I674" s="130" t="n"/>
      <c r="J674" s="129">
        <f>IFERROR(F674-E674-G674-H674-I674,"")</f>
        <v/>
      </c>
      <c r="K674" s="131">
        <f>IFERROR(J674/F674,"")</f>
        <v/>
      </c>
      <c r="L674" s="129" t="n"/>
    </row>
    <row r="675">
      <c r="A675" s="124" t="n"/>
      <c r="B675" s="125" t="n"/>
      <c r="C675" s="125" t="n"/>
      <c r="D675" s="125" t="n"/>
      <c r="E675" s="125" t="n"/>
      <c r="F675" s="126" t="n"/>
      <c r="G675" s="126" t="n"/>
      <c r="H675" s="125" t="n"/>
      <c r="I675" s="126" t="n"/>
      <c r="J675" s="125">
        <f>IFERROR(F675-E675-G675-H675-I675,"")</f>
        <v/>
      </c>
      <c r="K675" s="127">
        <f>IFERROR(J675/F675,"")</f>
        <v/>
      </c>
      <c r="L675" s="125" t="n"/>
    </row>
    <row r="676">
      <c r="A676" s="128" t="n"/>
      <c r="B676" s="129" t="n"/>
      <c r="C676" s="129" t="n"/>
      <c r="D676" s="129" t="n"/>
      <c r="E676" s="129" t="n"/>
      <c r="F676" s="130" t="n"/>
      <c r="G676" s="130" t="n"/>
      <c r="H676" s="129" t="n"/>
      <c r="I676" s="130" t="n"/>
      <c r="J676" s="129">
        <f>IFERROR(F676-E676-G676-H676-I676,"")</f>
        <v/>
      </c>
      <c r="K676" s="131">
        <f>IFERROR(J676/F676,"")</f>
        <v/>
      </c>
      <c r="L676" s="129" t="n"/>
    </row>
    <row r="677">
      <c r="A677" s="124" t="n"/>
      <c r="B677" s="125" t="n"/>
      <c r="C677" s="125" t="n"/>
      <c r="D677" s="125" t="n"/>
      <c r="E677" s="125" t="n"/>
      <c r="F677" s="126" t="n"/>
      <c r="G677" s="126" t="n"/>
      <c r="H677" s="125" t="n"/>
      <c r="I677" s="126" t="n"/>
      <c r="J677" s="125">
        <f>IFERROR(F677-E677-G677-H677-I677,"")</f>
        <v/>
      </c>
      <c r="K677" s="127">
        <f>IFERROR(J677/F677,"")</f>
        <v/>
      </c>
      <c r="L677" s="125" t="n"/>
    </row>
    <row r="678">
      <c r="A678" s="128" t="n"/>
      <c r="B678" s="129" t="n"/>
      <c r="C678" s="129" t="n"/>
      <c r="D678" s="129" t="n"/>
      <c r="E678" s="129" t="n"/>
      <c r="F678" s="130" t="n"/>
      <c r="G678" s="130" t="n"/>
      <c r="H678" s="129" t="n"/>
      <c r="I678" s="130" t="n"/>
      <c r="J678" s="129">
        <f>IFERROR(F678-E678-G678-H678-I678,"")</f>
        <v/>
      </c>
      <c r="K678" s="131">
        <f>IFERROR(J678/F678,"")</f>
        <v/>
      </c>
      <c r="L678" s="129" t="n"/>
    </row>
    <row r="679">
      <c r="A679" s="124" t="n"/>
      <c r="B679" s="125" t="n"/>
      <c r="C679" s="125" t="n"/>
      <c r="D679" s="125" t="n"/>
      <c r="E679" s="125" t="n"/>
      <c r="F679" s="126" t="n"/>
      <c r="G679" s="126" t="n"/>
      <c r="H679" s="125" t="n"/>
      <c r="I679" s="126" t="n"/>
      <c r="J679" s="125">
        <f>IFERROR(F679-E679-G679-H679-I679,"")</f>
        <v/>
      </c>
      <c r="K679" s="127">
        <f>IFERROR(J679/F679,"")</f>
        <v/>
      </c>
      <c r="L679" s="125" t="n"/>
    </row>
    <row r="680">
      <c r="A680" s="128" t="n"/>
      <c r="B680" s="129" t="n"/>
      <c r="C680" s="129" t="n"/>
      <c r="D680" s="129" t="n"/>
      <c r="E680" s="129" t="n"/>
      <c r="F680" s="130" t="n"/>
      <c r="G680" s="130" t="n"/>
      <c r="H680" s="129" t="n"/>
      <c r="I680" s="130" t="n"/>
      <c r="J680" s="129">
        <f>IFERROR(F680-E680-G680-H680-I680,"")</f>
        <v/>
      </c>
      <c r="K680" s="131">
        <f>IFERROR(J680/F680,"")</f>
        <v/>
      </c>
      <c r="L680" s="129" t="n"/>
    </row>
    <row r="681">
      <c r="A681" s="124" t="n"/>
      <c r="B681" s="125" t="n"/>
      <c r="C681" s="125" t="n"/>
      <c r="D681" s="125" t="n"/>
      <c r="E681" s="125" t="n"/>
      <c r="F681" s="126" t="n"/>
      <c r="G681" s="126" t="n"/>
      <c r="H681" s="125" t="n"/>
      <c r="I681" s="126" t="n"/>
      <c r="J681" s="125">
        <f>IFERROR(F681-E681-G681-H681-I681,"")</f>
        <v/>
      </c>
      <c r="K681" s="127">
        <f>IFERROR(J681/F681,"")</f>
        <v/>
      </c>
      <c r="L681" s="125" t="n"/>
    </row>
    <row r="682">
      <c r="A682" s="128" t="n"/>
      <c r="B682" s="129" t="n"/>
      <c r="C682" s="129" t="n"/>
      <c r="D682" s="129" t="n"/>
      <c r="E682" s="129" t="n"/>
      <c r="F682" s="130" t="n"/>
      <c r="G682" s="130" t="n"/>
      <c r="H682" s="129" t="n"/>
      <c r="I682" s="130" t="n"/>
      <c r="J682" s="129">
        <f>IFERROR(F682-E682-G682-H682-I682,"")</f>
        <v/>
      </c>
      <c r="K682" s="131">
        <f>IFERROR(J682/F682,"")</f>
        <v/>
      </c>
      <c r="L682" s="129" t="n"/>
    </row>
    <row r="683">
      <c r="A683" s="124" t="n"/>
      <c r="B683" s="125" t="n"/>
      <c r="C683" s="125" t="n"/>
      <c r="D683" s="125" t="n"/>
      <c r="E683" s="125" t="n"/>
      <c r="F683" s="126" t="n"/>
      <c r="G683" s="126" t="n"/>
      <c r="H683" s="125" t="n"/>
      <c r="I683" s="126" t="n"/>
      <c r="J683" s="125">
        <f>IFERROR(F683-E683-G683-H683-I683,"")</f>
        <v/>
      </c>
      <c r="K683" s="127">
        <f>IFERROR(J683/F683,"")</f>
        <v/>
      </c>
      <c r="L683" s="125" t="n"/>
    </row>
    <row r="684">
      <c r="A684" s="128" t="n"/>
      <c r="B684" s="129" t="n"/>
      <c r="C684" s="129" t="n"/>
      <c r="D684" s="129" t="n"/>
      <c r="E684" s="129" t="n"/>
      <c r="F684" s="130" t="n"/>
      <c r="G684" s="130" t="n"/>
      <c r="H684" s="129" t="n"/>
      <c r="I684" s="130" t="n"/>
      <c r="J684" s="129">
        <f>IFERROR(F684-E684-G684-H684-I684,"")</f>
        <v/>
      </c>
      <c r="K684" s="131">
        <f>IFERROR(J684/F684,"")</f>
        <v/>
      </c>
      <c r="L684" s="129" t="n"/>
    </row>
    <row r="685">
      <c r="A685" s="124" t="n"/>
      <c r="B685" s="125" t="n"/>
      <c r="C685" s="125" t="n"/>
      <c r="D685" s="125" t="n"/>
      <c r="E685" s="125" t="n"/>
      <c r="F685" s="126" t="n"/>
      <c r="G685" s="126" t="n"/>
      <c r="H685" s="125" t="n"/>
      <c r="I685" s="126" t="n"/>
      <c r="J685" s="125">
        <f>IFERROR(F685-E685-G685-H685-I685,"")</f>
        <v/>
      </c>
      <c r="K685" s="127">
        <f>IFERROR(J685/F685,"")</f>
        <v/>
      </c>
      <c r="L685" s="125" t="n"/>
    </row>
    <row r="686">
      <c r="A686" s="128" t="n"/>
      <c r="B686" s="129" t="n"/>
      <c r="C686" s="129" t="n"/>
      <c r="D686" s="129" t="n"/>
      <c r="E686" s="129" t="n"/>
      <c r="F686" s="130" t="n"/>
      <c r="G686" s="130" t="n"/>
      <c r="H686" s="129" t="n"/>
      <c r="I686" s="130" t="n"/>
      <c r="J686" s="129">
        <f>IFERROR(F686-E686-G686-H686-I686,"")</f>
        <v/>
      </c>
      <c r="K686" s="131">
        <f>IFERROR(J686/F686,"")</f>
        <v/>
      </c>
      <c r="L686" s="129" t="n"/>
    </row>
    <row r="687">
      <c r="A687" s="124" t="n"/>
      <c r="B687" s="125" t="n"/>
      <c r="C687" s="125" t="n"/>
      <c r="D687" s="125" t="n"/>
      <c r="E687" s="125" t="n"/>
      <c r="F687" s="126" t="n"/>
      <c r="G687" s="126" t="n"/>
      <c r="H687" s="125" t="n"/>
      <c r="I687" s="126" t="n"/>
      <c r="J687" s="125">
        <f>IFERROR(F687-E687-G687-H687-I687,"")</f>
        <v/>
      </c>
      <c r="K687" s="127">
        <f>IFERROR(J687/F687,"")</f>
        <v/>
      </c>
      <c r="L687" s="125" t="n"/>
    </row>
    <row r="688">
      <c r="A688" s="128" t="n"/>
      <c r="B688" s="129" t="n"/>
      <c r="C688" s="129" t="n"/>
      <c r="D688" s="129" t="n"/>
      <c r="E688" s="129" t="n"/>
      <c r="F688" s="130" t="n"/>
      <c r="G688" s="130" t="n"/>
      <c r="H688" s="129" t="n"/>
      <c r="I688" s="130" t="n"/>
      <c r="J688" s="129">
        <f>IFERROR(F688-E688-G688-H688-I688,"")</f>
        <v/>
      </c>
      <c r="K688" s="131">
        <f>IFERROR(J688/F688,"")</f>
        <v/>
      </c>
      <c r="L688" s="129" t="n"/>
    </row>
    <row r="689">
      <c r="A689" s="124" t="n"/>
      <c r="B689" s="125" t="n"/>
      <c r="C689" s="125" t="n"/>
      <c r="D689" s="125" t="n"/>
      <c r="E689" s="125" t="n"/>
      <c r="F689" s="126" t="n"/>
      <c r="G689" s="126" t="n"/>
      <c r="H689" s="125" t="n"/>
      <c r="I689" s="126" t="n"/>
      <c r="J689" s="125">
        <f>IFERROR(F689-E689-G689-H689-I689,"")</f>
        <v/>
      </c>
      <c r="K689" s="127">
        <f>IFERROR(J689/F689,"")</f>
        <v/>
      </c>
      <c r="L689" s="125" t="n"/>
    </row>
    <row r="690">
      <c r="A690" s="128" t="n"/>
      <c r="B690" s="129" t="n"/>
      <c r="C690" s="129" t="n"/>
      <c r="D690" s="129" t="n"/>
      <c r="E690" s="129" t="n"/>
      <c r="F690" s="130" t="n"/>
      <c r="G690" s="130" t="n"/>
      <c r="H690" s="129" t="n"/>
      <c r="I690" s="130" t="n"/>
      <c r="J690" s="129">
        <f>IFERROR(F690-E690-G690-H690-I690,"")</f>
        <v/>
      </c>
      <c r="K690" s="131">
        <f>IFERROR(J690/F690,"")</f>
        <v/>
      </c>
      <c r="L690" s="129" t="n"/>
    </row>
    <row r="691">
      <c r="A691" s="124" t="n"/>
      <c r="B691" s="125" t="n"/>
      <c r="C691" s="125" t="n"/>
      <c r="D691" s="125" t="n"/>
      <c r="E691" s="125" t="n"/>
      <c r="F691" s="126" t="n"/>
      <c r="G691" s="126" t="n"/>
      <c r="H691" s="125" t="n"/>
      <c r="I691" s="126" t="n"/>
      <c r="J691" s="125">
        <f>IFERROR(F691-E691-G691-H691-I691,"")</f>
        <v/>
      </c>
      <c r="K691" s="127">
        <f>IFERROR(J691/F691,"")</f>
        <v/>
      </c>
      <c r="L691" s="125" t="n"/>
    </row>
    <row r="692">
      <c r="A692" s="128" t="n"/>
      <c r="B692" s="129" t="n"/>
      <c r="C692" s="129" t="n"/>
      <c r="D692" s="129" t="n"/>
      <c r="E692" s="129" t="n"/>
      <c r="F692" s="130" t="n"/>
      <c r="G692" s="130" t="n"/>
      <c r="H692" s="129" t="n"/>
      <c r="I692" s="130" t="n"/>
      <c r="J692" s="129">
        <f>IFERROR(F692-E692-G692-H692-I692,"")</f>
        <v/>
      </c>
      <c r="K692" s="131">
        <f>IFERROR(J692/F692,"")</f>
        <v/>
      </c>
      <c r="L692" s="129" t="n"/>
    </row>
    <row r="693">
      <c r="A693" s="124" t="n"/>
      <c r="B693" s="125" t="n"/>
      <c r="C693" s="125" t="n"/>
      <c r="D693" s="125" t="n"/>
      <c r="E693" s="125" t="n"/>
      <c r="F693" s="126" t="n"/>
      <c r="G693" s="126" t="n"/>
      <c r="H693" s="125" t="n"/>
      <c r="I693" s="126" t="n"/>
      <c r="J693" s="125">
        <f>IFERROR(F693-E693-G693-H693-I693,"")</f>
        <v/>
      </c>
      <c r="K693" s="127">
        <f>IFERROR(J693/F693,"")</f>
        <v/>
      </c>
      <c r="L693" s="125" t="n"/>
    </row>
    <row r="694">
      <c r="A694" s="128" t="n"/>
      <c r="B694" s="129" t="n"/>
      <c r="C694" s="129" t="n"/>
      <c r="D694" s="129" t="n"/>
      <c r="E694" s="129" t="n"/>
      <c r="F694" s="130" t="n"/>
      <c r="G694" s="130" t="n"/>
      <c r="H694" s="129" t="n"/>
      <c r="I694" s="130" t="n"/>
      <c r="J694" s="129">
        <f>IFERROR(F694-E694-G694-H694-I694,"")</f>
        <v/>
      </c>
      <c r="K694" s="131">
        <f>IFERROR(J694/F694,"")</f>
        <v/>
      </c>
      <c r="L694" s="129" t="n"/>
    </row>
    <row r="695">
      <c r="A695" s="124" t="n"/>
      <c r="B695" s="125" t="n"/>
      <c r="C695" s="125" t="n"/>
      <c r="D695" s="125" t="n"/>
      <c r="E695" s="125" t="n"/>
      <c r="F695" s="126" t="n"/>
      <c r="G695" s="126" t="n"/>
      <c r="H695" s="125" t="n"/>
      <c r="I695" s="126" t="n"/>
      <c r="J695" s="125">
        <f>IFERROR(F695-E695-G695-H695-I695,"")</f>
        <v/>
      </c>
      <c r="K695" s="127">
        <f>IFERROR(J695/F695,"")</f>
        <v/>
      </c>
      <c r="L695" s="125" t="n"/>
    </row>
    <row r="696">
      <c r="A696" s="128" t="n"/>
      <c r="B696" s="129" t="n"/>
      <c r="C696" s="129" t="n"/>
      <c r="D696" s="129" t="n"/>
      <c r="E696" s="129" t="n"/>
      <c r="F696" s="130" t="n"/>
      <c r="G696" s="130" t="n"/>
      <c r="H696" s="129" t="n"/>
      <c r="I696" s="130" t="n"/>
      <c r="J696" s="129">
        <f>IFERROR(F696-E696-G696-H696-I696,"")</f>
        <v/>
      </c>
      <c r="K696" s="131">
        <f>IFERROR(J696/F696,"")</f>
        <v/>
      </c>
      <c r="L696" s="129" t="n"/>
    </row>
    <row r="697">
      <c r="A697" s="124" t="n"/>
      <c r="B697" s="125" t="n"/>
      <c r="C697" s="125" t="n"/>
      <c r="D697" s="125" t="n"/>
      <c r="E697" s="125" t="n"/>
      <c r="F697" s="126" t="n"/>
      <c r="G697" s="126" t="n"/>
      <c r="H697" s="125" t="n"/>
      <c r="I697" s="126" t="n"/>
      <c r="J697" s="125">
        <f>IFERROR(F697-E697-G697-H697-I697,"")</f>
        <v/>
      </c>
      <c r="K697" s="127">
        <f>IFERROR(J697/F697,"")</f>
        <v/>
      </c>
      <c r="L697" s="125" t="n"/>
    </row>
    <row r="698">
      <c r="A698" s="128" t="n"/>
      <c r="B698" s="129" t="n"/>
      <c r="C698" s="129" t="n"/>
      <c r="D698" s="129" t="n"/>
      <c r="E698" s="129" t="n"/>
      <c r="F698" s="130" t="n"/>
      <c r="G698" s="130" t="n"/>
      <c r="H698" s="129" t="n"/>
      <c r="I698" s="130" t="n"/>
      <c r="J698" s="129">
        <f>IFERROR(F698-E698-G698-H698-I698,"")</f>
        <v/>
      </c>
      <c r="K698" s="131">
        <f>IFERROR(J698/F698,"")</f>
        <v/>
      </c>
      <c r="L698" s="129" t="n"/>
    </row>
    <row r="699">
      <c r="A699" s="124" t="n"/>
      <c r="B699" s="125" t="n"/>
      <c r="C699" s="125" t="n"/>
      <c r="D699" s="125" t="n"/>
      <c r="E699" s="125" t="n"/>
      <c r="F699" s="126" t="n"/>
      <c r="G699" s="126" t="n"/>
      <c r="H699" s="125" t="n"/>
      <c r="I699" s="126" t="n"/>
      <c r="J699" s="125">
        <f>IFERROR(F699-E699-G699-H699-I699,"")</f>
        <v/>
      </c>
      <c r="K699" s="127">
        <f>IFERROR(J699/F699,"")</f>
        <v/>
      </c>
      <c r="L699" s="125" t="n"/>
    </row>
    <row r="700">
      <c r="A700" s="128" t="n"/>
      <c r="B700" s="129" t="n"/>
      <c r="C700" s="129" t="n"/>
      <c r="D700" s="129" t="n"/>
      <c r="E700" s="129" t="n"/>
      <c r="F700" s="130" t="n"/>
      <c r="G700" s="130" t="n"/>
      <c r="H700" s="129" t="n"/>
      <c r="I700" s="130" t="n"/>
      <c r="J700" s="129">
        <f>IFERROR(F700-E700-G700-H700-I700,"")</f>
        <v/>
      </c>
      <c r="K700" s="131">
        <f>IFERROR(J700/F700,"")</f>
        <v/>
      </c>
      <c r="L700" s="129" t="n"/>
    </row>
    <row r="701">
      <c r="A701" s="124" t="n"/>
      <c r="B701" s="125" t="n"/>
      <c r="C701" s="125" t="n"/>
      <c r="D701" s="125" t="n"/>
      <c r="E701" s="125" t="n"/>
      <c r="F701" s="126" t="n"/>
      <c r="G701" s="126" t="n"/>
      <c r="H701" s="125" t="n"/>
      <c r="I701" s="126" t="n"/>
      <c r="J701" s="125">
        <f>IFERROR(F701-E701-G701-H701-I701,"")</f>
        <v/>
      </c>
      <c r="K701" s="127">
        <f>IFERROR(J701/F701,"")</f>
        <v/>
      </c>
      <c r="L701" s="125" t="n"/>
    </row>
    <row r="702">
      <c r="A702" s="128" t="n"/>
      <c r="B702" s="129" t="n"/>
      <c r="C702" s="129" t="n"/>
      <c r="D702" s="129" t="n"/>
      <c r="E702" s="129" t="n"/>
      <c r="F702" s="130" t="n"/>
      <c r="G702" s="130" t="n"/>
      <c r="H702" s="129" t="n"/>
      <c r="I702" s="130" t="n"/>
      <c r="J702" s="129">
        <f>IFERROR(F702-E702-G702-H702-I702,"")</f>
        <v/>
      </c>
      <c r="K702" s="131">
        <f>IFERROR(J702/F702,"")</f>
        <v/>
      </c>
      <c r="L702" s="129" t="n"/>
    </row>
    <row r="703">
      <c r="A703" s="124" t="n"/>
      <c r="B703" s="125" t="n"/>
      <c r="C703" s="125" t="n"/>
      <c r="D703" s="125" t="n"/>
      <c r="E703" s="125" t="n"/>
      <c r="F703" s="126" t="n"/>
      <c r="G703" s="126" t="n"/>
      <c r="H703" s="125" t="n"/>
      <c r="I703" s="126" t="n"/>
      <c r="J703" s="125">
        <f>IFERROR(F703-E703-G703-H703-I703,"")</f>
        <v/>
      </c>
      <c r="K703" s="127">
        <f>IFERROR(J703/F703,"")</f>
        <v/>
      </c>
      <c r="L703" s="125" t="n"/>
    </row>
    <row r="704">
      <c r="A704" s="128" t="n"/>
      <c r="B704" s="129" t="n"/>
      <c r="C704" s="129" t="n"/>
      <c r="D704" s="129" t="n"/>
      <c r="E704" s="129" t="n"/>
      <c r="F704" s="130" t="n"/>
      <c r="G704" s="130" t="n"/>
      <c r="H704" s="129" t="n"/>
      <c r="I704" s="130" t="n"/>
      <c r="J704" s="129">
        <f>IFERROR(F704-E704-G704-H704-I704,"")</f>
        <v/>
      </c>
      <c r="K704" s="131">
        <f>IFERROR(J704/F704,"")</f>
        <v/>
      </c>
      <c r="L704" s="129" t="n"/>
    </row>
    <row r="705">
      <c r="A705" s="124" t="n"/>
      <c r="B705" s="125" t="n"/>
      <c r="C705" s="125" t="n"/>
      <c r="D705" s="125" t="n"/>
      <c r="E705" s="125" t="n"/>
      <c r="F705" s="126" t="n"/>
      <c r="G705" s="126" t="n"/>
      <c r="H705" s="125" t="n"/>
      <c r="I705" s="126" t="n"/>
      <c r="J705" s="125">
        <f>IFERROR(F705-E705-G705-H705-I705,"")</f>
        <v/>
      </c>
      <c r="K705" s="127">
        <f>IFERROR(J705/F705,"")</f>
        <v/>
      </c>
      <c r="L705" s="125" t="n"/>
    </row>
    <row r="706">
      <c r="A706" s="128" t="n"/>
      <c r="B706" s="129" t="n"/>
      <c r="C706" s="129" t="n"/>
      <c r="D706" s="129" t="n"/>
      <c r="E706" s="129" t="n"/>
      <c r="F706" s="130" t="n"/>
      <c r="G706" s="130" t="n"/>
      <c r="H706" s="129" t="n"/>
      <c r="I706" s="130" t="n"/>
      <c r="J706" s="129">
        <f>IFERROR(F706-E706-G706-H706-I706,"")</f>
        <v/>
      </c>
      <c r="K706" s="131">
        <f>IFERROR(J706/F706,"")</f>
        <v/>
      </c>
      <c r="L706" s="129" t="n"/>
    </row>
    <row r="707">
      <c r="A707" s="124" t="n"/>
      <c r="B707" s="125" t="n"/>
      <c r="C707" s="125" t="n"/>
      <c r="D707" s="125" t="n"/>
      <c r="E707" s="125" t="n"/>
      <c r="F707" s="126" t="n"/>
      <c r="G707" s="126" t="n"/>
      <c r="H707" s="125" t="n"/>
      <c r="I707" s="126" t="n"/>
      <c r="J707" s="125">
        <f>IFERROR(F707-E707-G707-H707-I707,"")</f>
        <v/>
      </c>
      <c r="K707" s="127">
        <f>IFERROR(J707/F707,"")</f>
        <v/>
      </c>
      <c r="L707" s="125" t="n"/>
    </row>
    <row r="708">
      <c r="A708" s="128" t="n"/>
      <c r="B708" s="129" t="n"/>
      <c r="C708" s="129" t="n"/>
      <c r="D708" s="129" t="n"/>
      <c r="E708" s="129" t="n"/>
      <c r="F708" s="130" t="n"/>
      <c r="G708" s="130" t="n"/>
      <c r="H708" s="129" t="n"/>
      <c r="I708" s="130" t="n"/>
      <c r="J708" s="129">
        <f>IFERROR(F708-E708-G708-H708-I708,"")</f>
        <v/>
      </c>
      <c r="K708" s="131">
        <f>IFERROR(J708/F708,"")</f>
        <v/>
      </c>
      <c r="L708" s="129" t="n"/>
    </row>
    <row r="709">
      <c r="A709" s="124" t="n"/>
      <c r="B709" s="125" t="n"/>
      <c r="C709" s="125" t="n"/>
      <c r="D709" s="125" t="n"/>
      <c r="E709" s="125" t="n"/>
      <c r="F709" s="126" t="n"/>
      <c r="G709" s="126" t="n"/>
      <c r="H709" s="125" t="n"/>
      <c r="I709" s="126" t="n"/>
      <c r="J709" s="125">
        <f>IFERROR(F709-E709-G709-H709-I709,"")</f>
        <v/>
      </c>
      <c r="K709" s="127">
        <f>IFERROR(J709/F709,"")</f>
        <v/>
      </c>
      <c r="L709" s="125" t="n"/>
    </row>
    <row r="710">
      <c r="A710" s="128" t="n"/>
      <c r="B710" s="129" t="n"/>
      <c r="C710" s="129" t="n"/>
      <c r="D710" s="129" t="n"/>
      <c r="E710" s="129" t="n"/>
      <c r="F710" s="130" t="n"/>
      <c r="G710" s="130" t="n"/>
      <c r="H710" s="129" t="n"/>
      <c r="I710" s="130" t="n"/>
      <c r="J710" s="129">
        <f>IFERROR(F710-E710-G710-H710-I710,"")</f>
        <v/>
      </c>
      <c r="K710" s="131">
        <f>IFERROR(J710/F710,"")</f>
        <v/>
      </c>
      <c r="L710" s="129" t="n"/>
    </row>
    <row r="711">
      <c r="A711" s="124" t="n"/>
      <c r="B711" s="125" t="n"/>
      <c r="C711" s="125" t="n"/>
      <c r="D711" s="125" t="n"/>
      <c r="E711" s="125" t="n"/>
      <c r="F711" s="126" t="n"/>
      <c r="G711" s="126" t="n"/>
      <c r="H711" s="125" t="n"/>
      <c r="I711" s="126" t="n"/>
      <c r="J711" s="125">
        <f>IFERROR(F711-E711-G711-H711-I711,"")</f>
        <v/>
      </c>
      <c r="K711" s="127">
        <f>IFERROR(J711/F711,"")</f>
        <v/>
      </c>
      <c r="L711" s="125" t="n"/>
    </row>
    <row r="712">
      <c r="A712" s="128" t="n"/>
      <c r="B712" s="129" t="n"/>
      <c r="C712" s="129" t="n"/>
      <c r="D712" s="129" t="n"/>
      <c r="E712" s="129" t="n"/>
      <c r="F712" s="130" t="n"/>
      <c r="G712" s="130" t="n"/>
      <c r="H712" s="129" t="n"/>
      <c r="I712" s="130" t="n"/>
      <c r="J712" s="129">
        <f>IFERROR(F712-E712-G712-H712-I712,"")</f>
        <v/>
      </c>
      <c r="K712" s="131">
        <f>IFERROR(J712/F712,"")</f>
        <v/>
      </c>
      <c r="L712" s="129" t="n"/>
    </row>
    <row r="713">
      <c r="A713" s="124" t="n"/>
      <c r="B713" s="125" t="n"/>
      <c r="C713" s="125" t="n"/>
      <c r="D713" s="125" t="n"/>
      <c r="E713" s="125" t="n"/>
      <c r="F713" s="126" t="n"/>
      <c r="G713" s="126" t="n"/>
      <c r="H713" s="125" t="n"/>
      <c r="I713" s="126" t="n"/>
      <c r="J713" s="125">
        <f>IFERROR(F713-E713-G713-H713-I713,"")</f>
        <v/>
      </c>
      <c r="K713" s="127">
        <f>IFERROR(J713/F713,"")</f>
        <v/>
      </c>
      <c r="L713" s="125" t="n"/>
    </row>
    <row r="714">
      <c r="A714" s="128" t="n"/>
      <c r="B714" s="129" t="n"/>
      <c r="C714" s="129" t="n"/>
      <c r="D714" s="129" t="n"/>
      <c r="E714" s="129" t="n"/>
      <c r="F714" s="130" t="n"/>
      <c r="G714" s="130" t="n"/>
      <c r="H714" s="129" t="n"/>
      <c r="I714" s="130" t="n"/>
      <c r="J714" s="129">
        <f>IFERROR(F714-E714-G714-H714-I714,"")</f>
        <v/>
      </c>
      <c r="K714" s="131">
        <f>IFERROR(J714/F714,"")</f>
        <v/>
      </c>
      <c r="L714" s="129" t="n"/>
    </row>
  </sheetData>
  <mergeCells count="2">
    <mergeCell ref="A2:L2"/>
    <mergeCell ref="A1:L1"/>
  </mergeCells>
  <conditionalFormatting sqref="K5:K204">
    <cfRule type="cellIs" priority="2" operator="lessThan" dxfId="4">
      <formula>0.15</formula>
    </cfRule>
    <cfRule type="cellIs" priority="3" operator="greaterThan" dxfId="3">
      <formula>0.35</formula>
    </cfRule>
  </conditionalFormatting>
  <dataValidations count="1">
    <dataValidation sqref="B5:B204" showDropDown="0" showInputMessage="0" showErrorMessage="0" allowBlank="1" type="list">
      <formula1>"eBay,Whatnot,COLLX,FB Marketplace,COMC,DcSports87 Direct,Other"</formula1>
      <formula2>0</formula2>
    </dataValidation>
  </dataValidations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4"/>
  <sheetViews>
    <sheetView showGridLines="0" zoomScaleNormal="100" workbookViewId="0">
      <pane ySplit="4" topLeftCell="A5" activePane="bottomLeft" state="frozen"/>
      <selection pane="bottomLeft" activeCell="C17" sqref="C17"/>
    </sheetView>
  </sheetViews>
  <sheetFormatPr baseColWidth="10" defaultColWidth="8.6640625" defaultRowHeight="15"/>
  <cols>
    <col width="14" customWidth="1" style="230" min="1" max="1"/>
    <col width="16" customWidth="1" style="230" min="2" max="2"/>
    <col width="10" customWidth="1" style="230" min="3" max="3"/>
    <col width="15" customWidth="1" style="230" min="4" max="4"/>
    <col width="22" customWidth="1" style="230" min="5" max="5"/>
    <col width="15" customWidth="1" style="230" min="6" max="6"/>
    <col width="16" customWidth="1" style="230" min="7" max="7"/>
    <col width="14" customWidth="1" style="230" min="8" max="8"/>
    <col width="16" customWidth="1" style="230" min="9" max="9"/>
    <col width="14" customWidth="1" style="230" min="10" max="10"/>
  </cols>
  <sheetData>
    <row r="1" ht="31.5" customHeight="1" s="230">
      <c r="A1" s="229" t="inlineStr">
        <is>
          <t>🏠 Start Here</t>
        </is>
      </c>
    </row>
    <row r="2" ht="18" customHeight="1" s="230">
      <c r="A2" s="239" t="inlineStr">
        <is>
          <t>DcSports87, Probstein, PWCC, MyBrick submissions and net payouts.</t>
        </is>
      </c>
    </row>
    <row r="3">
      <c r="A3" s="4" t="inlineStr">
        <is>
          <t>TOTALS →</t>
        </is>
      </c>
      <c r="C3" s="75">
        <f>SUM(C5:C104)</f>
        <v/>
      </c>
      <c r="G3" s="59">
        <f>SUM(G5:G104)</f>
        <v/>
      </c>
      <c r="H3" s="59">
        <f>SUM(H5:H104)</f>
        <v/>
      </c>
      <c r="I3" s="60">
        <f>SUM(I5:I104)</f>
        <v/>
      </c>
      <c r="J3" s="76">
        <f>IFERROR(I3/C3,"")</f>
        <v/>
      </c>
    </row>
    <row r="4" ht="27.75" customHeight="1" s="230">
      <c r="A4" s="276" t="inlineStr">
        <is>
          <t>Submission Date</t>
        </is>
      </c>
      <c r="B4" s="276" t="inlineStr">
        <is>
          <t>House</t>
        </is>
      </c>
      <c r="C4" s="276" t="inlineStr">
        <is>
          <t># Cards</t>
        </is>
      </c>
      <c r="D4" s="276" t="inlineStr">
        <is>
          <t>Your Est. Value ($)</t>
        </is>
      </c>
      <c r="E4" s="276" t="inlineStr">
        <is>
          <t>Card Type Focus</t>
        </is>
      </c>
      <c r="F4" s="276" t="inlineStr">
        <is>
          <t>Auction Close Date</t>
        </is>
      </c>
      <c r="G4" s="276" t="inlineStr">
        <is>
          <t>Gross Proceeds ($)</t>
        </is>
      </c>
      <c r="H4" s="276" t="inlineStr">
        <is>
          <t>House Fees ($)</t>
        </is>
      </c>
      <c r="I4" s="276" t="inlineStr">
        <is>
          <t>Net Received ($)</t>
        </is>
      </c>
      <c r="J4" s="276" t="inlineStr">
        <is>
          <t>Net / Card ($)</t>
        </is>
      </c>
    </row>
    <row r="5" ht="16" customHeight="1" s="230">
      <c r="A5" s="69" t="n"/>
      <c r="B5" s="63" t="n"/>
      <c r="C5" s="74" t="n"/>
      <c r="D5" s="71" t="n"/>
      <c r="E5" s="64" t="n"/>
      <c r="F5" s="69" t="n"/>
      <c r="G5" s="71" t="n"/>
      <c r="H5" s="71" t="n"/>
      <c r="I5" s="72">
        <f>IFERROR(G5-H5,"")</f>
        <v/>
      </c>
      <c r="J5" s="72">
        <f>IFERROR(I5/C5,"")</f>
        <v/>
      </c>
    </row>
    <row r="6" ht="16" customHeight="1" s="230">
      <c r="A6" s="69" t="n"/>
      <c r="B6" s="63" t="n"/>
      <c r="C6" s="74" t="n"/>
      <c r="D6" s="71" t="n"/>
      <c r="E6" s="64" t="n"/>
      <c r="F6" s="69" t="n"/>
      <c r="G6" s="71" t="n"/>
      <c r="H6" s="71" t="n"/>
      <c r="I6" s="72">
        <f>IFERROR(G6-H6,"")</f>
        <v/>
      </c>
      <c r="J6" s="72">
        <f>IFERROR(I6/C6,"")</f>
        <v/>
      </c>
    </row>
    <row r="7" ht="16" customHeight="1" s="230">
      <c r="A7" s="69" t="n"/>
      <c r="B7" s="63" t="n"/>
      <c r="C7" s="74" t="n"/>
      <c r="D7" s="71" t="n"/>
      <c r="E7" s="64" t="n"/>
      <c r="F7" s="69" t="n"/>
      <c r="G7" s="71" t="n"/>
      <c r="H7" s="71" t="n"/>
      <c r="I7" s="72">
        <f>IFERROR(G7-H7,"")</f>
        <v/>
      </c>
      <c r="J7" s="72">
        <f>IFERROR(I7/C7,"")</f>
        <v/>
      </c>
    </row>
    <row r="8" ht="16" customHeight="1" s="230">
      <c r="A8" s="69" t="n"/>
      <c r="B8" s="63" t="n"/>
      <c r="C8" s="74" t="n"/>
      <c r="D8" s="71" t="n"/>
      <c r="E8" s="64" t="n"/>
      <c r="F8" s="69" t="n"/>
      <c r="G8" s="71" t="n"/>
      <c r="H8" s="71" t="n"/>
      <c r="I8" s="72">
        <f>IFERROR(G8-H8,"")</f>
        <v/>
      </c>
      <c r="J8" s="72">
        <f>IFERROR(I8/C8,"")</f>
        <v/>
      </c>
    </row>
    <row r="9" ht="16" customHeight="1" s="230">
      <c r="A9" s="69" t="n"/>
      <c r="B9" s="63" t="n"/>
      <c r="C9" s="74" t="n"/>
      <c r="D9" s="71" t="n"/>
      <c r="E9" s="64" t="n"/>
      <c r="F9" s="69" t="n"/>
      <c r="G9" s="71" t="n"/>
      <c r="H9" s="71" t="n"/>
      <c r="I9" s="72">
        <f>IFERROR(G9-H9,"")</f>
        <v/>
      </c>
      <c r="J9" s="72">
        <f>IFERROR(I9/C9,"")</f>
        <v/>
      </c>
    </row>
    <row r="10" ht="16" customHeight="1" s="230">
      <c r="A10" s="69" t="n"/>
      <c r="B10" s="63" t="n"/>
      <c r="C10" s="74" t="n"/>
      <c r="D10" s="71" t="n"/>
      <c r="E10" s="64" t="n"/>
      <c r="F10" s="69" t="n"/>
      <c r="G10" s="71" t="n"/>
      <c r="H10" s="71" t="n"/>
      <c r="I10" s="72">
        <f>IFERROR(G10-H10,"")</f>
        <v/>
      </c>
      <c r="J10" s="72">
        <f>IFERROR(I10/C10,"")</f>
        <v/>
      </c>
    </row>
    <row r="11" ht="16" customHeight="1" s="230">
      <c r="A11" s="69" t="n"/>
      <c r="B11" s="63" t="n"/>
      <c r="C11" s="74" t="n"/>
      <c r="D11" s="71" t="n"/>
      <c r="E11" s="64" t="n"/>
      <c r="F11" s="69" t="n"/>
      <c r="G11" s="71" t="n"/>
      <c r="H11" s="71" t="n"/>
      <c r="I11" s="72">
        <f>IFERROR(G11-H11,"")</f>
        <v/>
      </c>
      <c r="J11" s="72">
        <f>IFERROR(I11/C11,"")</f>
        <v/>
      </c>
    </row>
    <row r="12" ht="16" customHeight="1" s="230">
      <c r="A12" s="69" t="n"/>
      <c r="B12" s="63" t="n"/>
      <c r="C12" s="74" t="n"/>
      <c r="D12" s="71" t="n"/>
      <c r="E12" s="64" t="n"/>
      <c r="F12" s="69" t="n"/>
      <c r="G12" s="71" t="n"/>
      <c r="H12" s="71" t="n"/>
      <c r="I12" s="72">
        <f>IFERROR(G12-H12,"")</f>
        <v/>
      </c>
      <c r="J12" s="72">
        <f>IFERROR(I12/C12,"")</f>
        <v/>
      </c>
    </row>
    <row r="13" ht="16" customHeight="1" s="230">
      <c r="A13" s="69" t="n"/>
      <c r="B13" s="63" t="n"/>
      <c r="C13" s="74" t="n"/>
      <c r="D13" s="71" t="n"/>
      <c r="E13" s="64" t="n"/>
      <c r="F13" s="69" t="n"/>
      <c r="G13" s="71" t="n"/>
      <c r="H13" s="71" t="n"/>
      <c r="I13" s="72">
        <f>IFERROR(G13-H13,"")</f>
        <v/>
      </c>
      <c r="J13" s="72">
        <f>IFERROR(I13/C13,"")</f>
        <v/>
      </c>
    </row>
    <row r="14" ht="16" customHeight="1" s="230">
      <c r="A14" s="69" t="n"/>
      <c r="B14" s="63" t="n"/>
      <c r="C14" s="74" t="n"/>
      <c r="D14" s="71" t="n"/>
      <c r="E14" s="64" t="n"/>
      <c r="F14" s="69" t="n"/>
      <c r="G14" s="71" t="n"/>
      <c r="H14" s="71" t="n"/>
      <c r="I14" s="72">
        <f>IFERROR(G14-H14,"")</f>
        <v/>
      </c>
      <c r="J14" s="72">
        <f>IFERROR(I14/C14,"")</f>
        <v/>
      </c>
    </row>
    <row r="15" ht="16" customHeight="1" s="230">
      <c r="A15" s="69" t="n"/>
      <c r="B15" s="63" t="n"/>
      <c r="C15" s="74" t="n"/>
      <c r="D15" s="71" t="n"/>
      <c r="E15" s="64" t="n"/>
      <c r="F15" s="69" t="n"/>
      <c r="G15" s="71" t="n"/>
      <c r="H15" s="71" t="n"/>
      <c r="I15" s="72">
        <f>IFERROR(G15-H15,"")</f>
        <v/>
      </c>
      <c r="J15" s="72">
        <f>IFERROR(I15/C15,"")</f>
        <v/>
      </c>
    </row>
    <row r="16" ht="16" customHeight="1" s="230">
      <c r="A16" s="69" t="n"/>
      <c r="B16" s="63" t="n"/>
      <c r="C16" s="74" t="n"/>
      <c r="D16" s="71" t="n"/>
      <c r="E16" s="64" t="n"/>
      <c r="F16" s="69" t="n"/>
      <c r="G16" s="71" t="n"/>
      <c r="H16" s="71" t="n"/>
      <c r="I16" s="72">
        <f>IFERROR(G16-H16,"")</f>
        <v/>
      </c>
      <c r="J16" s="72">
        <f>IFERROR(I16/C16,"")</f>
        <v/>
      </c>
    </row>
    <row r="17" ht="16" customHeight="1" s="230">
      <c r="A17" s="69" t="n"/>
      <c r="B17" s="63" t="n"/>
      <c r="C17" s="74" t="n"/>
      <c r="D17" s="71" t="n"/>
      <c r="E17" s="64" t="n"/>
      <c r="F17" s="69" t="n"/>
      <c r="G17" s="71" t="n"/>
      <c r="H17" s="71" t="n"/>
      <c r="I17" s="72">
        <f>IFERROR(G17-H17,"")</f>
        <v/>
      </c>
      <c r="J17" s="72">
        <f>IFERROR(I17/C17,"")</f>
        <v/>
      </c>
    </row>
    <row r="18" ht="16" customHeight="1" s="230">
      <c r="A18" s="69" t="n"/>
      <c r="B18" s="63" t="n"/>
      <c r="C18" s="74" t="n"/>
      <c r="D18" s="71" t="n"/>
      <c r="E18" s="64" t="n"/>
      <c r="F18" s="69" t="n"/>
      <c r="G18" s="71" t="n"/>
      <c r="H18" s="71" t="n"/>
      <c r="I18" s="72">
        <f>IFERROR(G18-H18,"")</f>
        <v/>
      </c>
      <c r="J18" s="72">
        <f>IFERROR(I18/C18,"")</f>
        <v/>
      </c>
    </row>
    <row r="19" ht="16" customHeight="1" s="230">
      <c r="A19" s="69" t="n"/>
      <c r="B19" s="63" t="n"/>
      <c r="C19" s="74" t="n"/>
      <c r="D19" s="71" t="n"/>
      <c r="E19" s="64" t="n"/>
      <c r="F19" s="69" t="n"/>
      <c r="G19" s="71" t="n"/>
      <c r="H19" s="71" t="n"/>
      <c r="I19" s="72">
        <f>IFERROR(G19-H19,"")</f>
        <v/>
      </c>
      <c r="J19" s="72">
        <f>IFERROR(I19/C19,"")</f>
        <v/>
      </c>
    </row>
    <row r="20" ht="16" customHeight="1" s="230">
      <c r="A20" s="69" t="n"/>
      <c r="B20" s="63" t="n"/>
      <c r="C20" s="74" t="n"/>
      <c r="D20" s="71" t="n"/>
      <c r="E20" s="64" t="n"/>
      <c r="F20" s="69" t="n"/>
      <c r="G20" s="71" t="n"/>
      <c r="H20" s="71" t="n"/>
      <c r="I20" s="72">
        <f>IFERROR(G20-H20,"")</f>
        <v/>
      </c>
      <c r="J20" s="72">
        <f>IFERROR(I20/C20,"")</f>
        <v/>
      </c>
    </row>
    <row r="21" ht="16" customHeight="1" s="230">
      <c r="A21" s="69" t="n"/>
      <c r="B21" s="63" t="n"/>
      <c r="C21" s="74" t="n"/>
      <c r="D21" s="71" t="n"/>
      <c r="E21" s="64" t="n"/>
      <c r="F21" s="69" t="n"/>
      <c r="G21" s="71" t="n"/>
      <c r="H21" s="71" t="n"/>
      <c r="I21" s="72">
        <f>IFERROR(G21-H21,"")</f>
        <v/>
      </c>
      <c r="J21" s="72">
        <f>IFERROR(I21/C21,"")</f>
        <v/>
      </c>
    </row>
    <row r="22" ht="16" customHeight="1" s="230">
      <c r="A22" s="69" t="n"/>
      <c r="B22" s="63" t="n"/>
      <c r="C22" s="74" t="n"/>
      <c r="D22" s="71" t="n"/>
      <c r="E22" s="64" t="n"/>
      <c r="F22" s="69" t="n"/>
      <c r="G22" s="71" t="n"/>
      <c r="H22" s="71" t="n"/>
      <c r="I22" s="72">
        <f>IFERROR(G22-H22,"")</f>
        <v/>
      </c>
      <c r="J22" s="72">
        <f>IFERROR(I22/C22,"")</f>
        <v/>
      </c>
    </row>
    <row r="23" ht="16" customHeight="1" s="230">
      <c r="A23" s="69" t="n"/>
      <c r="B23" s="63" t="n"/>
      <c r="C23" s="74" t="n"/>
      <c r="D23" s="71" t="n"/>
      <c r="E23" s="64" t="n"/>
      <c r="F23" s="69" t="n"/>
      <c r="G23" s="71" t="n"/>
      <c r="H23" s="71" t="n"/>
      <c r="I23" s="72">
        <f>IFERROR(G23-H23,"")</f>
        <v/>
      </c>
      <c r="J23" s="72">
        <f>IFERROR(I23/C23,"")</f>
        <v/>
      </c>
    </row>
    <row r="24" ht="16" customHeight="1" s="230">
      <c r="A24" s="69" t="n"/>
      <c r="B24" s="63" t="n"/>
      <c r="C24" s="74" t="n"/>
      <c r="D24" s="71" t="n"/>
      <c r="E24" s="64" t="n"/>
      <c r="F24" s="69" t="n"/>
      <c r="G24" s="71" t="n"/>
      <c r="H24" s="71" t="n"/>
      <c r="I24" s="72">
        <f>IFERROR(G24-H24,"")</f>
        <v/>
      </c>
      <c r="J24" s="72">
        <f>IFERROR(I24/C24,"")</f>
        <v/>
      </c>
    </row>
    <row r="25" ht="16" customHeight="1" s="230">
      <c r="A25" s="69" t="n"/>
      <c r="B25" s="63" t="n"/>
      <c r="C25" s="74" t="n"/>
      <c r="D25" s="71" t="n"/>
      <c r="E25" s="64" t="n"/>
      <c r="F25" s="69" t="n"/>
      <c r="G25" s="71" t="n"/>
      <c r="H25" s="71" t="n"/>
      <c r="I25" s="72">
        <f>IFERROR(G25-H25,"")</f>
        <v/>
      </c>
      <c r="J25" s="72">
        <f>IFERROR(I25/C25,"")</f>
        <v/>
      </c>
    </row>
    <row r="26" ht="16" customHeight="1" s="230">
      <c r="A26" s="69" t="n"/>
      <c r="B26" s="63" t="n"/>
      <c r="C26" s="74" t="n"/>
      <c r="D26" s="71" t="n"/>
      <c r="E26" s="64" t="n"/>
      <c r="F26" s="69" t="n"/>
      <c r="G26" s="71" t="n"/>
      <c r="H26" s="71" t="n"/>
      <c r="I26" s="72">
        <f>IFERROR(G26-H26,"")</f>
        <v/>
      </c>
      <c r="J26" s="72">
        <f>IFERROR(I26/C26,"")</f>
        <v/>
      </c>
    </row>
    <row r="27" ht="16" customHeight="1" s="230">
      <c r="A27" s="69" t="n"/>
      <c r="B27" s="63" t="n"/>
      <c r="C27" s="74" t="n"/>
      <c r="D27" s="71" t="n"/>
      <c r="E27" s="64" t="n"/>
      <c r="F27" s="69" t="n"/>
      <c r="G27" s="71" t="n"/>
      <c r="H27" s="71" t="n"/>
      <c r="I27" s="72">
        <f>IFERROR(G27-H27,"")</f>
        <v/>
      </c>
      <c r="J27" s="72">
        <f>IFERROR(I27/C27,"")</f>
        <v/>
      </c>
    </row>
    <row r="28" ht="16" customHeight="1" s="230">
      <c r="A28" s="69" t="n"/>
      <c r="B28" s="63" t="n"/>
      <c r="C28" s="74" t="n"/>
      <c r="D28" s="71" t="n"/>
      <c r="E28" s="64" t="n"/>
      <c r="F28" s="69" t="n"/>
      <c r="G28" s="71" t="n"/>
      <c r="H28" s="71" t="n"/>
      <c r="I28" s="72">
        <f>IFERROR(G28-H28,"")</f>
        <v/>
      </c>
      <c r="J28" s="72">
        <f>IFERROR(I28/C28,"")</f>
        <v/>
      </c>
    </row>
    <row r="29" ht="16" customHeight="1" s="230">
      <c r="A29" s="69" t="n"/>
      <c r="B29" s="63" t="n"/>
      <c r="C29" s="74" t="n"/>
      <c r="D29" s="71" t="n"/>
      <c r="E29" s="64" t="n"/>
      <c r="F29" s="69" t="n"/>
      <c r="G29" s="71" t="n"/>
      <c r="H29" s="71" t="n"/>
      <c r="I29" s="72">
        <f>IFERROR(G29-H29,"")</f>
        <v/>
      </c>
      <c r="J29" s="72">
        <f>IFERROR(I29/C29,"")</f>
        <v/>
      </c>
    </row>
    <row r="30" ht="16" customHeight="1" s="230">
      <c r="A30" s="69" t="n"/>
      <c r="B30" s="63" t="n"/>
      <c r="C30" s="74" t="n"/>
      <c r="D30" s="71" t="n"/>
      <c r="E30" s="64" t="n"/>
      <c r="F30" s="69" t="n"/>
      <c r="G30" s="71" t="n"/>
      <c r="H30" s="71" t="n"/>
      <c r="I30" s="72">
        <f>IFERROR(G30-H30,"")</f>
        <v/>
      </c>
      <c r="J30" s="72">
        <f>IFERROR(I30/C30,"")</f>
        <v/>
      </c>
    </row>
    <row r="31" ht="16" customHeight="1" s="230">
      <c r="A31" s="69" t="n"/>
      <c r="B31" s="63" t="n"/>
      <c r="C31" s="74" t="n"/>
      <c r="D31" s="71" t="n"/>
      <c r="E31" s="64" t="n"/>
      <c r="F31" s="69" t="n"/>
      <c r="G31" s="71" t="n"/>
      <c r="H31" s="71" t="n"/>
      <c r="I31" s="72">
        <f>IFERROR(G31-H31,"")</f>
        <v/>
      </c>
      <c r="J31" s="72">
        <f>IFERROR(I31/C31,"")</f>
        <v/>
      </c>
    </row>
    <row r="32" ht="16" customHeight="1" s="230">
      <c r="A32" s="69" t="n"/>
      <c r="B32" s="63" t="n"/>
      <c r="C32" s="74" t="n"/>
      <c r="D32" s="71" t="n"/>
      <c r="E32" s="64" t="n"/>
      <c r="F32" s="69" t="n"/>
      <c r="G32" s="71" t="n"/>
      <c r="H32" s="71" t="n"/>
      <c r="I32" s="72">
        <f>IFERROR(G32-H32,"")</f>
        <v/>
      </c>
      <c r="J32" s="72">
        <f>IFERROR(I32/C32,"")</f>
        <v/>
      </c>
    </row>
    <row r="33" ht="16" customHeight="1" s="230">
      <c r="A33" s="69" t="n"/>
      <c r="B33" s="63" t="n"/>
      <c r="C33" s="74" t="n"/>
      <c r="D33" s="71" t="n"/>
      <c r="E33" s="64" t="n"/>
      <c r="F33" s="69" t="n"/>
      <c r="G33" s="71" t="n"/>
      <c r="H33" s="71" t="n"/>
      <c r="I33" s="72">
        <f>IFERROR(G33-H33,"")</f>
        <v/>
      </c>
      <c r="J33" s="72">
        <f>IFERROR(I33/C33,"")</f>
        <v/>
      </c>
    </row>
    <row r="34" ht="16" customHeight="1" s="230">
      <c r="A34" s="69" t="n"/>
      <c r="B34" s="63" t="n"/>
      <c r="C34" s="74" t="n"/>
      <c r="D34" s="71" t="n"/>
      <c r="E34" s="64" t="n"/>
      <c r="F34" s="69" t="n"/>
      <c r="G34" s="71" t="n"/>
      <c r="H34" s="71" t="n"/>
      <c r="I34" s="72">
        <f>IFERROR(G34-H34,"")</f>
        <v/>
      </c>
      <c r="J34" s="72">
        <f>IFERROR(I34/C34,"")</f>
        <v/>
      </c>
    </row>
    <row r="35" ht="16" customHeight="1" s="230">
      <c r="A35" s="69" t="n"/>
      <c r="B35" s="63" t="n"/>
      <c r="C35" s="74" t="n"/>
      <c r="D35" s="71" t="n"/>
      <c r="E35" s="64" t="n"/>
      <c r="F35" s="69" t="n"/>
      <c r="G35" s="71" t="n"/>
      <c r="H35" s="71" t="n"/>
      <c r="I35" s="72">
        <f>IFERROR(G35-H35,"")</f>
        <v/>
      </c>
      <c r="J35" s="72">
        <f>IFERROR(I35/C35,"")</f>
        <v/>
      </c>
    </row>
    <row r="36" ht="16" customHeight="1" s="230">
      <c r="A36" s="69" t="n"/>
      <c r="B36" s="63" t="n"/>
      <c r="C36" s="74" t="n"/>
      <c r="D36" s="71" t="n"/>
      <c r="E36" s="64" t="n"/>
      <c r="F36" s="69" t="n"/>
      <c r="G36" s="71" t="n"/>
      <c r="H36" s="71" t="n"/>
      <c r="I36" s="72">
        <f>IFERROR(G36-H36,"")</f>
        <v/>
      </c>
      <c r="J36" s="72">
        <f>IFERROR(I36/C36,"")</f>
        <v/>
      </c>
    </row>
    <row r="37" ht="16" customHeight="1" s="230">
      <c r="A37" s="69" t="n"/>
      <c r="B37" s="63" t="n"/>
      <c r="C37" s="74" t="n"/>
      <c r="D37" s="71" t="n"/>
      <c r="E37" s="64" t="n"/>
      <c r="F37" s="69" t="n"/>
      <c r="G37" s="71" t="n"/>
      <c r="H37" s="71" t="n"/>
      <c r="I37" s="72">
        <f>IFERROR(G37-H37,"")</f>
        <v/>
      </c>
      <c r="J37" s="72">
        <f>IFERROR(I37/C37,"")</f>
        <v/>
      </c>
    </row>
    <row r="38" ht="16" customHeight="1" s="230">
      <c r="A38" s="69" t="n"/>
      <c r="B38" s="63" t="n"/>
      <c r="C38" s="74" t="n"/>
      <c r="D38" s="71" t="n"/>
      <c r="E38" s="64" t="n"/>
      <c r="F38" s="69" t="n"/>
      <c r="G38" s="71" t="n"/>
      <c r="H38" s="71" t="n"/>
      <c r="I38" s="72">
        <f>IFERROR(G38-H38,"")</f>
        <v/>
      </c>
      <c r="J38" s="72">
        <f>IFERROR(I38/C38,"")</f>
        <v/>
      </c>
    </row>
    <row r="39" ht="16" customHeight="1" s="230">
      <c r="A39" s="69" t="n"/>
      <c r="B39" s="63" t="n"/>
      <c r="C39" s="74" t="n"/>
      <c r="D39" s="71" t="n"/>
      <c r="E39" s="64" t="n"/>
      <c r="F39" s="69" t="n"/>
      <c r="G39" s="71" t="n"/>
      <c r="H39" s="71" t="n"/>
      <c r="I39" s="72">
        <f>IFERROR(G39-H39,"")</f>
        <v/>
      </c>
      <c r="J39" s="72">
        <f>IFERROR(I39/C39,"")</f>
        <v/>
      </c>
    </row>
    <row r="40" ht="16" customHeight="1" s="230">
      <c r="A40" s="69" t="n"/>
      <c r="B40" s="63" t="n"/>
      <c r="C40" s="74" t="n"/>
      <c r="D40" s="71" t="n"/>
      <c r="E40" s="64" t="n"/>
      <c r="F40" s="69" t="n"/>
      <c r="G40" s="71" t="n"/>
      <c r="H40" s="71" t="n"/>
      <c r="I40" s="72">
        <f>IFERROR(G40-H40,"")</f>
        <v/>
      </c>
      <c r="J40" s="72">
        <f>IFERROR(I40/C40,"")</f>
        <v/>
      </c>
    </row>
    <row r="41" ht="16" customHeight="1" s="230">
      <c r="A41" s="69" t="n"/>
      <c r="B41" s="63" t="n"/>
      <c r="C41" s="74" t="n"/>
      <c r="D41" s="71" t="n"/>
      <c r="E41" s="64" t="n"/>
      <c r="F41" s="69" t="n"/>
      <c r="G41" s="71" t="n"/>
      <c r="H41" s="71" t="n"/>
      <c r="I41" s="72">
        <f>IFERROR(G41-H41,"")</f>
        <v/>
      </c>
      <c r="J41" s="72">
        <f>IFERROR(I41/C41,"")</f>
        <v/>
      </c>
    </row>
    <row r="42" ht="16" customHeight="1" s="230">
      <c r="A42" s="69" t="n"/>
      <c r="B42" s="63" t="n"/>
      <c r="C42" s="74" t="n"/>
      <c r="D42" s="71" t="n"/>
      <c r="E42" s="64" t="n"/>
      <c r="F42" s="69" t="n"/>
      <c r="G42" s="71" t="n"/>
      <c r="H42" s="71" t="n"/>
      <c r="I42" s="72">
        <f>IFERROR(G42-H42,"")</f>
        <v/>
      </c>
      <c r="J42" s="72">
        <f>IFERROR(I42/C42,"")</f>
        <v/>
      </c>
    </row>
    <row r="43" ht="16" customHeight="1" s="230">
      <c r="A43" s="69" t="n"/>
      <c r="B43" s="63" t="n"/>
      <c r="C43" s="74" t="n"/>
      <c r="D43" s="71" t="n"/>
      <c r="E43" s="64" t="n"/>
      <c r="F43" s="69" t="n"/>
      <c r="G43" s="71" t="n"/>
      <c r="H43" s="71" t="n"/>
      <c r="I43" s="72">
        <f>IFERROR(G43-H43,"")</f>
        <v/>
      </c>
      <c r="J43" s="72">
        <f>IFERROR(I43/C43,"")</f>
        <v/>
      </c>
    </row>
    <row r="44" ht="16" customHeight="1" s="230">
      <c r="A44" s="69" t="n"/>
      <c r="B44" s="63" t="n"/>
      <c r="C44" s="74" t="n"/>
      <c r="D44" s="71" t="n"/>
      <c r="E44" s="64" t="n"/>
      <c r="F44" s="69" t="n"/>
      <c r="G44" s="71" t="n"/>
      <c r="H44" s="71" t="n"/>
      <c r="I44" s="72">
        <f>IFERROR(G44-H44,"")</f>
        <v/>
      </c>
      <c r="J44" s="72">
        <f>IFERROR(I44/C44,"")</f>
        <v/>
      </c>
    </row>
    <row r="45" ht="16" customHeight="1" s="230">
      <c r="A45" s="69" t="n"/>
      <c r="B45" s="63" t="n"/>
      <c r="C45" s="74" t="n"/>
      <c r="D45" s="71" t="n"/>
      <c r="E45" s="64" t="n"/>
      <c r="F45" s="69" t="n"/>
      <c r="G45" s="71" t="n"/>
      <c r="H45" s="71" t="n"/>
      <c r="I45" s="72">
        <f>IFERROR(G45-H45,"")</f>
        <v/>
      </c>
      <c r="J45" s="72">
        <f>IFERROR(I45/C45,"")</f>
        <v/>
      </c>
    </row>
    <row r="46" ht="16" customHeight="1" s="230">
      <c r="A46" s="69" t="n"/>
      <c r="B46" s="63" t="n"/>
      <c r="C46" s="74" t="n"/>
      <c r="D46" s="71" t="n"/>
      <c r="E46" s="64" t="n"/>
      <c r="F46" s="69" t="n"/>
      <c r="G46" s="71" t="n"/>
      <c r="H46" s="71" t="n"/>
      <c r="I46" s="72">
        <f>IFERROR(G46-H46,"")</f>
        <v/>
      </c>
      <c r="J46" s="72">
        <f>IFERROR(I46/C46,"")</f>
        <v/>
      </c>
    </row>
    <row r="47" ht="16" customHeight="1" s="230">
      <c r="A47" s="69" t="n"/>
      <c r="B47" s="63" t="n"/>
      <c r="C47" s="74" t="n"/>
      <c r="D47" s="71" t="n"/>
      <c r="E47" s="64" t="n"/>
      <c r="F47" s="69" t="n"/>
      <c r="G47" s="71" t="n"/>
      <c r="H47" s="71" t="n"/>
      <c r="I47" s="72">
        <f>IFERROR(G47-H47,"")</f>
        <v/>
      </c>
      <c r="J47" s="72">
        <f>IFERROR(I47/C47,"")</f>
        <v/>
      </c>
    </row>
    <row r="48" ht="16" customHeight="1" s="230">
      <c r="A48" s="69" t="n"/>
      <c r="B48" s="63" t="n"/>
      <c r="C48" s="74" t="n"/>
      <c r="D48" s="71" t="n"/>
      <c r="E48" s="64" t="n"/>
      <c r="F48" s="69" t="n"/>
      <c r="G48" s="71" t="n"/>
      <c r="H48" s="71" t="n"/>
      <c r="I48" s="72">
        <f>IFERROR(G48-H48,"")</f>
        <v/>
      </c>
      <c r="J48" s="72">
        <f>IFERROR(I48/C48,"")</f>
        <v/>
      </c>
    </row>
    <row r="49" ht="16" customHeight="1" s="230">
      <c r="A49" s="69" t="n"/>
      <c r="B49" s="63" t="n"/>
      <c r="C49" s="74" t="n"/>
      <c r="D49" s="71" t="n"/>
      <c r="E49" s="64" t="n"/>
      <c r="F49" s="69" t="n"/>
      <c r="G49" s="71" t="n"/>
      <c r="H49" s="71" t="n"/>
      <c r="I49" s="72">
        <f>IFERROR(G49-H49,"")</f>
        <v/>
      </c>
      <c r="J49" s="72">
        <f>IFERROR(I49/C49,"")</f>
        <v/>
      </c>
    </row>
    <row r="50" ht="16" customHeight="1" s="230">
      <c r="A50" s="69" t="n"/>
      <c r="B50" s="63" t="n"/>
      <c r="C50" s="74" t="n"/>
      <c r="D50" s="71" t="n"/>
      <c r="E50" s="64" t="n"/>
      <c r="F50" s="69" t="n"/>
      <c r="G50" s="71" t="n"/>
      <c r="H50" s="71" t="n"/>
      <c r="I50" s="72">
        <f>IFERROR(G50-H50,"")</f>
        <v/>
      </c>
      <c r="J50" s="72">
        <f>IFERROR(I50/C50,"")</f>
        <v/>
      </c>
    </row>
    <row r="51" ht="16" customHeight="1" s="230">
      <c r="A51" s="69" t="n"/>
      <c r="B51" s="63" t="n"/>
      <c r="C51" s="74" t="n"/>
      <c r="D51" s="71" t="n"/>
      <c r="E51" s="64" t="n"/>
      <c r="F51" s="69" t="n"/>
      <c r="G51" s="71" t="n"/>
      <c r="H51" s="71" t="n"/>
      <c r="I51" s="72">
        <f>IFERROR(G51-H51,"")</f>
        <v/>
      </c>
      <c r="J51" s="72">
        <f>IFERROR(I51/C51,"")</f>
        <v/>
      </c>
    </row>
    <row r="52" ht="16" customHeight="1" s="230">
      <c r="A52" s="69" t="n"/>
      <c r="B52" s="63" t="n"/>
      <c r="C52" s="74" t="n"/>
      <c r="D52" s="71" t="n"/>
      <c r="E52" s="64" t="n"/>
      <c r="F52" s="69" t="n"/>
      <c r="G52" s="71" t="n"/>
      <c r="H52" s="71" t="n"/>
      <c r="I52" s="72">
        <f>IFERROR(G52-H52,"")</f>
        <v/>
      </c>
      <c r="J52" s="72">
        <f>IFERROR(I52/C52,"")</f>
        <v/>
      </c>
    </row>
    <row r="53" ht="16" customHeight="1" s="230">
      <c r="A53" s="69" t="n"/>
      <c r="B53" s="63" t="n"/>
      <c r="C53" s="74" t="n"/>
      <c r="D53" s="71" t="n"/>
      <c r="E53" s="64" t="n"/>
      <c r="F53" s="69" t="n"/>
      <c r="G53" s="71" t="n"/>
      <c r="H53" s="71" t="n"/>
      <c r="I53" s="72">
        <f>IFERROR(G53-H53,"")</f>
        <v/>
      </c>
      <c r="J53" s="72">
        <f>IFERROR(I53/C53,"")</f>
        <v/>
      </c>
    </row>
    <row r="54" ht="16" customHeight="1" s="230">
      <c r="A54" s="69" t="n"/>
      <c r="B54" s="63" t="n"/>
      <c r="C54" s="74" t="n"/>
      <c r="D54" s="71" t="n"/>
      <c r="E54" s="64" t="n"/>
      <c r="F54" s="69" t="n"/>
      <c r="G54" s="71" t="n"/>
      <c r="H54" s="71" t="n"/>
      <c r="I54" s="72">
        <f>IFERROR(G54-H54,"")</f>
        <v/>
      </c>
      <c r="J54" s="72">
        <f>IFERROR(I54/C54,"")</f>
        <v/>
      </c>
    </row>
    <row r="55" ht="16" customHeight="1" s="230">
      <c r="A55" s="69" t="n"/>
      <c r="B55" s="63" t="n"/>
      <c r="C55" s="74" t="n"/>
      <c r="D55" s="71" t="n"/>
      <c r="E55" s="64" t="n"/>
      <c r="F55" s="69" t="n"/>
      <c r="G55" s="71" t="n"/>
      <c r="H55" s="71" t="n"/>
      <c r="I55" s="72">
        <f>IFERROR(G55-H55,"")</f>
        <v/>
      </c>
      <c r="J55" s="72">
        <f>IFERROR(I55/C55,"")</f>
        <v/>
      </c>
    </row>
    <row r="56" ht="16" customHeight="1" s="230">
      <c r="A56" s="69" t="n"/>
      <c r="B56" s="63" t="n"/>
      <c r="C56" s="74" t="n"/>
      <c r="D56" s="71" t="n"/>
      <c r="E56" s="64" t="n"/>
      <c r="F56" s="69" t="n"/>
      <c r="G56" s="71" t="n"/>
      <c r="H56" s="71" t="n"/>
      <c r="I56" s="72">
        <f>IFERROR(G56-H56,"")</f>
        <v/>
      </c>
      <c r="J56" s="72">
        <f>IFERROR(I56/C56,"")</f>
        <v/>
      </c>
    </row>
    <row r="57" ht="16" customHeight="1" s="230">
      <c r="A57" s="69" t="n"/>
      <c r="B57" s="63" t="n"/>
      <c r="C57" s="74" t="n"/>
      <c r="D57" s="71" t="n"/>
      <c r="E57" s="64" t="n"/>
      <c r="F57" s="69" t="n"/>
      <c r="G57" s="71" t="n"/>
      <c r="H57" s="71" t="n"/>
      <c r="I57" s="72">
        <f>IFERROR(G57-H57,"")</f>
        <v/>
      </c>
      <c r="J57" s="72">
        <f>IFERROR(I57/C57,"")</f>
        <v/>
      </c>
    </row>
    <row r="58" ht="16" customHeight="1" s="230">
      <c r="A58" s="69" t="n"/>
      <c r="B58" s="63" t="n"/>
      <c r="C58" s="74" t="n"/>
      <c r="D58" s="71" t="n"/>
      <c r="E58" s="64" t="n"/>
      <c r="F58" s="69" t="n"/>
      <c r="G58" s="71" t="n"/>
      <c r="H58" s="71" t="n"/>
      <c r="I58" s="72">
        <f>IFERROR(G58-H58,"")</f>
        <v/>
      </c>
      <c r="J58" s="72">
        <f>IFERROR(I58/C58,"")</f>
        <v/>
      </c>
    </row>
    <row r="59" ht="16" customHeight="1" s="230">
      <c r="A59" s="69" t="n"/>
      <c r="B59" s="63" t="n"/>
      <c r="C59" s="74" t="n"/>
      <c r="D59" s="71" t="n"/>
      <c r="E59" s="64" t="n"/>
      <c r="F59" s="69" t="n"/>
      <c r="G59" s="71" t="n"/>
      <c r="H59" s="71" t="n"/>
      <c r="I59" s="72">
        <f>IFERROR(G59-H59,"")</f>
        <v/>
      </c>
      <c r="J59" s="72">
        <f>IFERROR(I59/C59,"")</f>
        <v/>
      </c>
    </row>
    <row r="60" ht="16" customHeight="1" s="230">
      <c r="A60" s="69" t="n"/>
      <c r="B60" s="63" t="n"/>
      <c r="C60" s="74" t="n"/>
      <c r="D60" s="71" t="n"/>
      <c r="E60" s="64" t="n"/>
      <c r="F60" s="69" t="n"/>
      <c r="G60" s="71" t="n"/>
      <c r="H60" s="71" t="n"/>
      <c r="I60" s="72">
        <f>IFERROR(G60-H60,"")</f>
        <v/>
      </c>
      <c r="J60" s="72">
        <f>IFERROR(I60/C60,"")</f>
        <v/>
      </c>
    </row>
    <row r="61" ht="16" customHeight="1" s="230">
      <c r="A61" s="69" t="n"/>
      <c r="B61" s="63" t="n"/>
      <c r="C61" s="74" t="n"/>
      <c r="D61" s="71" t="n"/>
      <c r="E61" s="64" t="n"/>
      <c r="F61" s="69" t="n"/>
      <c r="G61" s="71" t="n"/>
      <c r="H61" s="71" t="n"/>
      <c r="I61" s="72">
        <f>IFERROR(G61-H61,"")</f>
        <v/>
      </c>
      <c r="J61" s="72">
        <f>IFERROR(I61/C61,"")</f>
        <v/>
      </c>
    </row>
    <row r="62" ht="16" customHeight="1" s="230">
      <c r="A62" s="69" t="n"/>
      <c r="B62" s="63" t="n"/>
      <c r="C62" s="74" t="n"/>
      <c r="D62" s="71" t="n"/>
      <c r="E62" s="64" t="n"/>
      <c r="F62" s="69" t="n"/>
      <c r="G62" s="71" t="n"/>
      <c r="H62" s="71" t="n"/>
      <c r="I62" s="72">
        <f>IFERROR(G62-H62,"")</f>
        <v/>
      </c>
      <c r="J62" s="72">
        <f>IFERROR(I62/C62,"")</f>
        <v/>
      </c>
    </row>
    <row r="63" ht="16" customHeight="1" s="230">
      <c r="A63" s="69" t="n"/>
      <c r="B63" s="63" t="n"/>
      <c r="C63" s="74" t="n"/>
      <c r="D63" s="71" t="n"/>
      <c r="E63" s="64" t="n"/>
      <c r="F63" s="69" t="n"/>
      <c r="G63" s="71" t="n"/>
      <c r="H63" s="71" t="n"/>
      <c r="I63" s="72">
        <f>IFERROR(G63-H63,"")</f>
        <v/>
      </c>
      <c r="J63" s="72">
        <f>IFERROR(I63/C63,"")</f>
        <v/>
      </c>
    </row>
    <row r="64" ht="16" customHeight="1" s="230">
      <c r="A64" s="69" t="n"/>
      <c r="B64" s="63" t="n"/>
      <c r="C64" s="74" t="n"/>
      <c r="D64" s="71" t="n"/>
      <c r="E64" s="64" t="n"/>
      <c r="F64" s="69" t="n"/>
      <c r="G64" s="71" t="n"/>
      <c r="H64" s="71" t="n"/>
      <c r="I64" s="72">
        <f>IFERROR(G64-H64,"")</f>
        <v/>
      </c>
      <c r="J64" s="72">
        <f>IFERROR(I64/C64,"")</f>
        <v/>
      </c>
    </row>
    <row r="65" ht="16" customHeight="1" s="230">
      <c r="A65" s="69" t="n"/>
      <c r="B65" s="63" t="n"/>
      <c r="C65" s="74" t="n"/>
      <c r="D65" s="71" t="n"/>
      <c r="E65" s="64" t="n"/>
      <c r="F65" s="69" t="n"/>
      <c r="G65" s="71" t="n"/>
      <c r="H65" s="71" t="n"/>
      <c r="I65" s="72">
        <f>IFERROR(G65-H65,"")</f>
        <v/>
      </c>
      <c r="J65" s="72">
        <f>IFERROR(I65/C65,"")</f>
        <v/>
      </c>
    </row>
    <row r="66" ht="16" customHeight="1" s="230">
      <c r="A66" s="69" t="n"/>
      <c r="B66" s="63" t="n"/>
      <c r="C66" s="74" t="n"/>
      <c r="D66" s="71" t="n"/>
      <c r="E66" s="64" t="n"/>
      <c r="F66" s="69" t="n"/>
      <c r="G66" s="71" t="n"/>
      <c r="H66" s="71" t="n"/>
      <c r="I66" s="72">
        <f>IFERROR(G66-H66,"")</f>
        <v/>
      </c>
      <c r="J66" s="72">
        <f>IFERROR(I66/C66,"")</f>
        <v/>
      </c>
    </row>
    <row r="67" ht="16" customHeight="1" s="230">
      <c r="A67" s="69" t="n"/>
      <c r="B67" s="63" t="n"/>
      <c r="C67" s="74" t="n"/>
      <c r="D67" s="71" t="n"/>
      <c r="E67" s="64" t="n"/>
      <c r="F67" s="69" t="n"/>
      <c r="G67" s="71" t="n"/>
      <c r="H67" s="71" t="n"/>
      <c r="I67" s="72">
        <f>IFERROR(G67-H67,"")</f>
        <v/>
      </c>
      <c r="J67" s="72">
        <f>IFERROR(I67/C67,"")</f>
        <v/>
      </c>
    </row>
    <row r="68" ht="16" customHeight="1" s="230">
      <c r="A68" s="69" t="n"/>
      <c r="B68" s="63" t="n"/>
      <c r="C68" s="74" t="n"/>
      <c r="D68" s="71" t="n"/>
      <c r="E68" s="64" t="n"/>
      <c r="F68" s="69" t="n"/>
      <c r="G68" s="71" t="n"/>
      <c r="H68" s="71" t="n"/>
      <c r="I68" s="72">
        <f>IFERROR(G68-H68,"")</f>
        <v/>
      </c>
      <c r="J68" s="72">
        <f>IFERROR(I68/C68,"")</f>
        <v/>
      </c>
    </row>
    <row r="69" ht="16" customHeight="1" s="230">
      <c r="A69" s="69" t="n"/>
      <c r="B69" s="63" t="n"/>
      <c r="C69" s="74" t="n"/>
      <c r="D69" s="71" t="n"/>
      <c r="E69" s="64" t="n"/>
      <c r="F69" s="69" t="n"/>
      <c r="G69" s="71" t="n"/>
      <c r="H69" s="71" t="n"/>
      <c r="I69" s="72">
        <f>IFERROR(G69-H69,"")</f>
        <v/>
      </c>
      <c r="J69" s="72">
        <f>IFERROR(I69/C69,"")</f>
        <v/>
      </c>
    </row>
    <row r="70" ht="16" customHeight="1" s="230">
      <c r="A70" s="69" t="n"/>
      <c r="B70" s="63" t="n"/>
      <c r="C70" s="74" t="n"/>
      <c r="D70" s="71" t="n"/>
      <c r="E70" s="64" t="n"/>
      <c r="F70" s="69" t="n"/>
      <c r="G70" s="71" t="n"/>
      <c r="H70" s="71" t="n"/>
      <c r="I70" s="72">
        <f>IFERROR(G70-H70,"")</f>
        <v/>
      </c>
      <c r="J70" s="72">
        <f>IFERROR(I70/C70,"")</f>
        <v/>
      </c>
    </row>
    <row r="71" ht="16" customHeight="1" s="230">
      <c r="A71" s="69" t="n"/>
      <c r="B71" s="63" t="n"/>
      <c r="C71" s="74" t="n"/>
      <c r="D71" s="71" t="n"/>
      <c r="E71" s="64" t="n"/>
      <c r="F71" s="69" t="n"/>
      <c r="G71" s="71" t="n"/>
      <c r="H71" s="71" t="n"/>
      <c r="I71" s="72">
        <f>IFERROR(G71-H71,"")</f>
        <v/>
      </c>
      <c r="J71" s="72">
        <f>IFERROR(I71/C71,"")</f>
        <v/>
      </c>
    </row>
    <row r="72" ht="16" customHeight="1" s="230">
      <c r="A72" s="69" t="n"/>
      <c r="B72" s="63" t="n"/>
      <c r="C72" s="74" t="n"/>
      <c r="D72" s="71" t="n"/>
      <c r="E72" s="64" t="n"/>
      <c r="F72" s="69" t="n"/>
      <c r="G72" s="71" t="n"/>
      <c r="H72" s="71" t="n"/>
      <c r="I72" s="72">
        <f>IFERROR(G72-H72,"")</f>
        <v/>
      </c>
      <c r="J72" s="72">
        <f>IFERROR(I72/C72,"")</f>
        <v/>
      </c>
    </row>
    <row r="73" ht="16" customHeight="1" s="230">
      <c r="A73" s="69" t="n"/>
      <c r="B73" s="63" t="n"/>
      <c r="C73" s="74" t="n"/>
      <c r="D73" s="71" t="n"/>
      <c r="E73" s="64" t="n"/>
      <c r="F73" s="69" t="n"/>
      <c r="G73" s="71" t="n"/>
      <c r="H73" s="71" t="n"/>
      <c r="I73" s="72">
        <f>IFERROR(G73-H73,"")</f>
        <v/>
      </c>
      <c r="J73" s="72">
        <f>IFERROR(I73/C73,"")</f>
        <v/>
      </c>
    </row>
    <row r="74" ht="16" customHeight="1" s="230">
      <c r="A74" s="69" t="n"/>
      <c r="B74" s="63" t="n"/>
      <c r="C74" s="74" t="n"/>
      <c r="D74" s="71" t="n"/>
      <c r="E74" s="64" t="n"/>
      <c r="F74" s="69" t="n"/>
      <c r="G74" s="71" t="n"/>
      <c r="H74" s="71" t="n"/>
      <c r="I74" s="72">
        <f>IFERROR(G74-H74,"")</f>
        <v/>
      </c>
      <c r="J74" s="72">
        <f>IFERROR(I74/C74,"")</f>
        <v/>
      </c>
    </row>
    <row r="75" ht="16" customHeight="1" s="230">
      <c r="A75" s="69" t="n"/>
      <c r="B75" s="63" t="n"/>
      <c r="C75" s="74" t="n"/>
      <c r="D75" s="71" t="n"/>
      <c r="E75" s="64" t="n"/>
      <c r="F75" s="69" t="n"/>
      <c r="G75" s="71" t="n"/>
      <c r="H75" s="71" t="n"/>
      <c r="I75" s="72">
        <f>IFERROR(G75-H75,"")</f>
        <v/>
      </c>
      <c r="J75" s="72">
        <f>IFERROR(I75/C75,"")</f>
        <v/>
      </c>
    </row>
    <row r="76" ht="16" customHeight="1" s="230">
      <c r="A76" s="69" t="n"/>
      <c r="B76" s="63" t="n"/>
      <c r="C76" s="74" t="n"/>
      <c r="D76" s="71" t="n"/>
      <c r="E76" s="64" t="n"/>
      <c r="F76" s="69" t="n"/>
      <c r="G76" s="71" t="n"/>
      <c r="H76" s="71" t="n"/>
      <c r="I76" s="72">
        <f>IFERROR(G76-H76,"")</f>
        <v/>
      </c>
      <c r="J76" s="72">
        <f>IFERROR(I76/C76,"")</f>
        <v/>
      </c>
    </row>
    <row r="77" ht="16" customHeight="1" s="230">
      <c r="A77" s="69" t="n"/>
      <c r="B77" s="63" t="n"/>
      <c r="C77" s="74" t="n"/>
      <c r="D77" s="71" t="n"/>
      <c r="E77" s="64" t="n"/>
      <c r="F77" s="69" t="n"/>
      <c r="G77" s="71" t="n"/>
      <c r="H77" s="71" t="n"/>
      <c r="I77" s="72">
        <f>IFERROR(G77-H77,"")</f>
        <v/>
      </c>
      <c r="J77" s="72">
        <f>IFERROR(I77/C77,"")</f>
        <v/>
      </c>
    </row>
    <row r="78" ht="16" customHeight="1" s="230">
      <c r="A78" s="69" t="n"/>
      <c r="B78" s="63" t="n"/>
      <c r="C78" s="74" t="n"/>
      <c r="D78" s="71" t="n"/>
      <c r="E78" s="64" t="n"/>
      <c r="F78" s="69" t="n"/>
      <c r="G78" s="71" t="n"/>
      <c r="H78" s="71" t="n"/>
      <c r="I78" s="72">
        <f>IFERROR(G78-H78,"")</f>
        <v/>
      </c>
      <c r="J78" s="72">
        <f>IFERROR(I78/C78,"")</f>
        <v/>
      </c>
    </row>
    <row r="79" ht="16" customHeight="1" s="230">
      <c r="A79" s="69" t="n"/>
      <c r="B79" s="63" t="n"/>
      <c r="C79" s="74" t="n"/>
      <c r="D79" s="71" t="n"/>
      <c r="E79" s="64" t="n"/>
      <c r="F79" s="69" t="n"/>
      <c r="G79" s="71" t="n"/>
      <c r="H79" s="71" t="n"/>
      <c r="I79" s="72">
        <f>IFERROR(G79-H79,"")</f>
        <v/>
      </c>
      <c r="J79" s="72">
        <f>IFERROR(I79/C79,"")</f>
        <v/>
      </c>
    </row>
    <row r="80" ht="16" customHeight="1" s="230">
      <c r="A80" s="69" t="n"/>
      <c r="B80" s="63" t="n"/>
      <c r="C80" s="74" t="n"/>
      <c r="D80" s="71" t="n"/>
      <c r="E80" s="64" t="n"/>
      <c r="F80" s="69" t="n"/>
      <c r="G80" s="71" t="n"/>
      <c r="H80" s="71" t="n"/>
      <c r="I80" s="72">
        <f>IFERROR(G80-H80,"")</f>
        <v/>
      </c>
      <c r="J80" s="72">
        <f>IFERROR(I80/C80,"")</f>
        <v/>
      </c>
    </row>
    <row r="81" ht="16" customHeight="1" s="230">
      <c r="A81" s="69" t="n"/>
      <c r="B81" s="63" t="n"/>
      <c r="C81" s="74" t="n"/>
      <c r="D81" s="71" t="n"/>
      <c r="E81" s="64" t="n"/>
      <c r="F81" s="69" t="n"/>
      <c r="G81" s="71" t="n"/>
      <c r="H81" s="71" t="n"/>
      <c r="I81" s="72">
        <f>IFERROR(G81-H81,"")</f>
        <v/>
      </c>
      <c r="J81" s="72">
        <f>IFERROR(I81/C81,"")</f>
        <v/>
      </c>
    </row>
    <row r="82" ht="16" customHeight="1" s="230">
      <c r="A82" s="69" t="n"/>
      <c r="B82" s="63" t="n"/>
      <c r="C82" s="74" t="n"/>
      <c r="D82" s="71" t="n"/>
      <c r="E82" s="64" t="n"/>
      <c r="F82" s="69" t="n"/>
      <c r="G82" s="71" t="n"/>
      <c r="H82" s="71" t="n"/>
      <c r="I82" s="72">
        <f>IFERROR(G82-H82,"")</f>
        <v/>
      </c>
      <c r="J82" s="72">
        <f>IFERROR(I82/C82,"")</f>
        <v/>
      </c>
    </row>
    <row r="83" ht="16" customHeight="1" s="230">
      <c r="A83" s="69" t="n"/>
      <c r="B83" s="63" t="n"/>
      <c r="C83" s="74" t="n"/>
      <c r="D83" s="71" t="n"/>
      <c r="E83" s="64" t="n"/>
      <c r="F83" s="69" t="n"/>
      <c r="G83" s="71" t="n"/>
      <c r="H83" s="71" t="n"/>
      <c r="I83" s="72">
        <f>IFERROR(G83-H83,"")</f>
        <v/>
      </c>
      <c r="J83" s="72">
        <f>IFERROR(I83/C83,"")</f>
        <v/>
      </c>
    </row>
    <row r="84" ht="16" customHeight="1" s="230">
      <c r="A84" s="69" t="n"/>
      <c r="B84" s="63" t="n"/>
      <c r="C84" s="74" t="n"/>
      <c r="D84" s="71" t="n"/>
      <c r="E84" s="64" t="n"/>
      <c r="F84" s="69" t="n"/>
      <c r="G84" s="71" t="n"/>
      <c r="H84" s="71" t="n"/>
      <c r="I84" s="72">
        <f>IFERROR(G84-H84,"")</f>
        <v/>
      </c>
      <c r="J84" s="72">
        <f>IFERROR(I84/C84,"")</f>
        <v/>
      </c>
    </row>
    <row r="85" ht="16" customHeight="1" s="230">
      <c r="A85" s="69" t="n"/>
      <c r="B85" s="63" t="n"/>
      <c r="C85" s="74" t="n"/>
      <c r="D85" s="71" t="n"/>
      <c r="E85" s="64" t="n"/>
      <c r="F85" s="69" t="n"/>
      <c r="G85" s="71" t="n"/>
      <c r="H85" s="71" t="n"/>
      <c r="I85" s="72">
        <f>IFERROR(G85-H85,"")</f>
        <v/>
      </c>
      <c r="J85" s="72">
        <f>IFERROR(I85/C85,"")</f>
        <v/>
      </c>
    </row>
    <row r="86" ht="16" customHeight="1" s="230">
      <c r="A86" s="69" t="n"/>
      <c r="B86" s="63" t="n"/>
      <c r="C86" s="74" t="n"/>
      <c r="D86" s="71" t="n"/>
      <c r="E86" s="64" t="n"/>
      <c r="F86" s="69" t="n"/>
      <c r="G86" s="71" t="n"/>
      <c r="H86" s="71" t="n"/>
      <c r="I86" s="72">
        <f>IFERROR(G86-H86,"")</f>
        <v/>
      </c>
      <c r="J86" s="72">
        <f>IFERROR(I86/C86,"")</f>
        <v/>
      </c>
    </row>
    <row r="87" ht="16" customHeight="1" s="230">
      <c r="A87" s="69" t="n"/>
      <c r="B87" s="63" t="n"/>
      <c r="C87" s="74" t="n"/>
      <c r="D87" s="71" t="n"/>
      <c r="E87" s="64" t="n"/>
      <c r="F87" s="69" t="n"/>
      <c r="G87" s="71" t="n"/>
      <c r="H87" s="71" t="n"/>
      <c r="I87" s="72">
        <f>IFERROR(G87-H87,"")</f>
        <v/>
      </c>
      <c r="J87" s="72">
        <f>IFERROR(I87/C87,"")</f>
        <v/>
      </c>
    </row>
    <row r="88" ht="16" customHeight="1" s="230">
      <c r="A88" s="69" t="n"/>
      <c r="B88" s="63" t="n"/>
      <c r="C88" s="74" t="n"/>
      <c r="D88" s="71" t="n"/>
      <c r="E88" s="64" t="n"/>
      <c r="F88" s="69" t="n"/>
      <c r="G88" s="71" t="n"/>
      <c r="H88" s="71" t="n"/>
      <c r="I88" s="72">
        <f>IFERROR(G88-H88,"")</f>
        <v/>
      </c>
      <c r="J88" s="72">
        <f>IFERROR(I88/C88,"")</f>
        <v/>
      </c>
    </row>
    <row r="89" ht="16" customHeight="1" s="230">
      <c r="A89" s="69" t="n"/>
      <c r="B89" s="63" t="n"/>
      <c r="C89" s="74" t="n"/>
      <c r="D89" s="71" t="n"/>
      <c r="E89" s="64" t="n"/>
      <c r="F89" s="69" t="n"/>
      <c r="G89" s="71" t="n"/>
      <c r="H89" s="71" t="n"/>
      <c r="I89" s="72">
        <f>IFERROR(G89-H89,"")</f>
        <v/>
      </c>
      <c r="J89" s="72">
        <f>IFERROR(I89/C89,"")</f>
        <v/>
      </c>
    </row>
    <row r="90" ht="16" customHeight="1" s="230">
      <c r="A90" s="69" t="n"/>
      <c r="B90" s="63" t="n"/>
      <c r="C90" s="74" t="n"/>
      <c r="D90" s="71" t="n"/>
      <c r="E90" s="64" t="n"/>
      <c r="F90" s="69" t="n"/>
      <c r="G90" s="71" t="n"/>
      <c r="H90" s="71" t="n"/>
      <c r="I90" s="72">
        <f>IFERROR(G90-H90,"")</f>
        <v/>
      </c>
      <c r="J90" s="72">
        <f>IFERROR(I90/C90,"")</f>
        <v/>
      </c>
    </row>
    <row r="91" ht="16" customHeight="1" s="230">
      <c r="A91" s="69" t="n"/>
      <c r="B91" s="63" t="n"/>
      <c r="C91" s="74" t="n"/>
      <c r="D91" s="71" t="n"/>
      <c r="E91" s="64" t="n"/>
      <c r="F91" s="69" t="n"/>
      <c r="G91" s="71" t="n"/>
      <c r="H91" s="71" t="n"/>
      <c r="I91" s="72">
        <f>IFERROR(G91-H91,"")</f>
        <v/>
      </c>
      <c r="J91" s="72">
        <f>IFERROR(I91/C91,"")</f>
        <v/>
      </c>
    </row>
    <row r="92" ht="16" customHeight="1" s="230">
      <c r="A92" s="69" t="n"/>
      <c r="B92" s="63" t="n"/>
      <c r="C92" s="74" t="n"/>
      <c r="D92" s="71" t="n"/>
      <c r="E92" s="64" t="n"/>
      <c r="F92" s="69" t="n"/>
      <c r="G92" s="71" t="n"/>
      <c r="H92" s="71" t="n"/>
      <c r="I92" s="72">
        <f>IFERROR(G92-H92,"")</f>
        <v/>
      </c>
      <c r="J92" s="72">
        <f>IFERROR(I92/C92,"")</f>
        <v/>
      </c>
    </row>
    <row r="93" ht="16" customHeight="1" s="230">
      <c r="A93" s="69" t="n"/>
      <c r="B93" s="63" t="n"/>
      <c r="C93" s="74" t="n"/>
      <c r="D93" s="71" t="n"/>
      <c r="E93" s="64" t="n"/>
      <c r="F93" s="69" t="n"/>
      <c r="G93" s="71" t="n"/>
      <c r="H93" s="71" t="n"/>
      <c r="I93" s="72">
        <f>IFERROR(G93-H93,"")</f>
        <v/>
      </c>
      <c r="J93" s="72">
        <f>IFERROR(I93/C93,"")</f>
        <v/>
      </c>
    </row>
    <row r="94" ht="16" customHeight="1" s="230">
      <c r="A94" s="69" t="n"/>
      <c r="B94" s="63" t="n"/>
      <c r="C94" s="74" t="n"/>
      <c r="D94" s="71" t="n"/>
      <c r="E94" s="64" t="n"/>
      <c r="F94" s="69" t="n"/>
      <c r="G94" s="71" t="n"/>
      <c r="H94" s="71" t="n"/>
      <c r="I94" s="72">
        <f>IFERROR(G94-H94,"")</f>
        <v/>
      </c>
      <c r="J94" s="72">
        <f>IFERROR(I94/C94,"")</f>
        <v/>
      </c>
    </row>
    <row r="95" ht="16" customHeight="1" s="230">
      <c r="A95" s="69" t="n"/>
      <c r="B95" s="63" t="n"/>
      <c r="C95" s="74" t="n"/>
      <c r="D95" s="71" t="n"/>
      <c r="E95" s="64" t="n"/>
      <c r="F95" s="69" t="n"/>
      <c r="G95" s="71" t="n"/>
      <c r="H95" s="71" t="n"/>
      <c r="I95" s="72">
        <f>IFERROR(G95-H95,"")</f>
        <v/>
      </c>
      <c r="J95" s="72">
        <f>IFERROR(I95/C95,"")</f>
        <v/>
      </c>
    </row>
    <row r="96" ht="16" customHeight="1" s="230">
      <c r="A96" s="69" t="n"/>
      <c r="B96" s="63" t="n"/>
      <c r="C96" s="74" t="n"/>
      <c r="D96" s="71" t="n"/>
      <c r="E96" s="64" t="n"/>
      <c r="F96" s="69" t="n"/>
      <c r="G96" s="71" t="n"/>
      <c r="H96" s="71" t="n"/>
      <c r="I96" s="72">
        <f>IFERROR(G96-H96,"")</f>
        <v/>
      </c>
      <c r="J96" s="72">
        <f>IFERROR(I96/C96,"")</f>
        <v/>
      </c>
    </row>
    <row r="97" ht="16" customHeight="1" s="230">
      <c r="A97" s="69" t="n"/>
      <c r="B97" s="63" t="n"/>
      <c r="C97" s="74" t="n"/>
      <c r="D97" s="71" t="n"/>
      <c r="E97" s="64" t="n"/>
      <c r="F97" s="69" t="n"/>
      <c r="G97" s="71" t="n"/>
      <c r="H97" s="71" t="n"/>
      <c r="I97" s="72">
        <f>IFERROR(G97-H97,"")</f>
        <v/>
      </c>
      <c r="J97" s="72">
        <f>IFERROR(I97/C97,"")</f>
        <v/>
      </c>
    </row>
    <row r="98" ht="16" customHeight="1" s="230">
      <c r="A98" s="69" t="n"/>
      <c r="B98" s="63" t="n"/>
      <c r="C98" s="74" t="n"/>
      <c r="D98" s="71" t="n"/>
      <c r="E98" s="64" t="n"/>
      <c r="F98" s="69" t="n"/>
      <c r="G98" s="71" t="n"/>
      <c r="H98" s="71" t="n"/>
      <c r="I98" s="72">
        <f>IFERROR(G98-H98,"")</f>
        <v/>
      </c>
      <c r="J98" s="72">
        <f>IFERROR(I98/C98,"")</f>
        <v/>
      </c>
    </row>
    <row r="99" ht="16" customHeight="1" s="230">
      <c r="A99" s="69" t="n"/>
      <c r="B99" s="63" t="n"/>
      <c r="C99" s="74" t="n"/>
      <c r="D99" s="71" t="n"/>
      <c r="E99" s="64" t="n"/>
      <c r="F99" s="69" t="n"/>
      <c r="G99" s="71" t="n"/>
      <c r="H99" s="71" t="n"/>
      <c r="I99" s="72">
        <f>IFERROR(G99-H99,"")</f>
        <v/>
      </c>
      <c r="J99" s="72">
        <f>IFERROR(I99/C99,"")</f>
        <v/>
      </c>
    </row>
    <row r="100" ht="16" customHeight="1" s="230">
      <c r="A100" s="69" t="n"/>
      <c r="B100" s="63" t="n"/>
      <c r="C100" s="74" t="n"/>
      <c r="D100" s="71" t="n"/>
      <c r="E100" s="64" t="n"/>
      <c r="F100" s="69" t="n"/>
      <c r="G100" s="71" t="n"/>
      <c r="H100" s="71" t="n"/>
      <c r="I100" s="72">
        <f>IFERROR(G100-H100,"")</f>
        <v/>
      </c>
      <c r="J100" s="72">
        <f>IFERROR(I100/C100,"")</f>
        <v/>
      </c>
    </row>
    <row r="101" ht="16" customHeight="1" s="230">
      <c r="A101" s="69" t="n"/>
      <c r="B101" s="63" t="n"/>
      <c r="C101" s="74" t="n"/>
      <c r="D101" s="71" t="n"/>
      <c r="E101" s="64" t="n"/>
      <c r="F101" s="69" t="n"/>
      <c r="G101" s="71" t="n"/>
      <c r="H101" s="71" t="n"/>
      <c r="I101" s="72">
        <f>IFERROR(G101-H101,"")</f>
        <v/>
      </c>
      <c r="J101" s="72">
        <f>IFERROR(I101/C101,"")</f>
        <v/>
      </c>
    </row>
    <row r="102" ht="16" customHeight="1" s="230">
      <c r="A102" s="69" t="n"/>
      <c r="B102" s="63" t="n"/>
      <c r="C102" s="74" t="n"/>
      <c r="D102" s="71" t="n"/>
      <c r="E102" s="64" t="n"/>
      <c r="F102" s="69" t="n"/>
      <c r="G102" s="71" t="n"/>
      <c r="H102" s="71" t="n"/>
      <c r="I102" s="72">
        <f>IFERROR(G102-H102,"")</f>
        <v/>
      </c>
      <c r="J102" s="72">
        <f>IFERROR(I102/C102,"")</f>
        <v/>
      </c>
    </row>
    <row r="103" ht="16" customHeight="1" s="230">
      <c r="A103" s="69" t="n"/>
      <c r="B103" s="63" t="n"/>
      <c r="C103" s="74" t="n"/>
      <c r="D103" s="71" t="n"/>
      <c r="E103" s="64" t="n"/>
      <c r="F103" s="69" t="n"/>
      <c r="G103" s="71" t="n"/>
      <c r="H103" s="71" t="n"/>
      <c r="I103" s="72">
        <f>IFERROR(G103-H103,"")</f>
        <v/>
      </c>
      <c r="J103" s="72">
        <f>IFERROR(I103/C103,"")</f>
        <v/>
      </c>
    </row>
    <row r="104" ht="16" customHeight="1" s="230">
      <c r="A104" s="69" t="n"/>
      <c r="B104" s="63" t="n"/>
      <c r="C104" s="74" t="n"/>
      <c r="D104" s="71" t="n"/>
      <c r="E104" s="64" t="n"/>
      <c r="F104" s="69" t="n"/>
      <c r="G104" s="71" t="n"/>
      <c r="H104" s="71" t="n"/>
      <c r="I104" s="72">
        <f>IFERROR(G104-H104,"")</f>
        <v/>
      </c>
      <c r="J104" s="72">
        <f>IFERROR(I104/C104,"")</f>
        <v/>
      </c>
    </row>
    <row r="107" ht="17" customHeight="1" s="230">
      <c r="A107" s="279" t="n"/>
    </row>
    <row r="109" ht="16" customHeight="1" s="230">
      <c r="A109" s="48" t="n"/>
      <c r="B109" s="48" t="n"/>
      <c r="C109" s="48" t="n"/>
      <c r="D109" s="48" t="n"/>
      <c r="E109" s="48" t="n"/>
      <c r="F109" s="48" t="n"/>
    </row>
    <row r="110" ht="45" customHeight="1" s="230">
      <c r="A110" s="53" t="n"/>
      <c r="B110" s="14">
        <f>COUNTIF(B5:B104,A110)</f>
        <v/>
      </c>
      <c r="C110" s="14">
        <f>SUMIF(B5:B104,A110,C5:C104)</f>
        <v/>
      </c>
      <c r="D110" s="77">
        <f>SUMIF(B5:B104,A110,I5:I104)</f>
        <v/>
      </c>
      <c r="E110" s="77">
        <f>IFERROR(D110/C110,"")</f>
        <v/>
      </c>
      <c r="F110" s="78" t="n"/>
    </row>
    <row r="111" ht="45" customHeight="1" s="230">
      <c r="A111" s="53" t="n"/>
      <c r="B111" s="14">
        <f>COUNTIF(B5:B104,A111)</f>
        <v/>
      </c>
      <c r="C111" s="14">
        <f>SUMIF(B5:B104,A111,C5:C104)</f>
        <v/>
      </c>
      <c r="D111" s="77">
        <f>SUMIF(B5:B104,A111,I5:I104)</f>
        <v/>
      </c>
      <c r="E111" s="77">
        <f>IFERROR(D111/C111,"")</f>
        <v/>
      </c>
      <c r="F111" s="78" t="n"/>
    </row>
    <row r="112" ht="60" customHeight="1" s="230">
      <c r="A112" s="53" t="n"/>
      <c r="B112" s="14">
        <f>COUNTIF(B5:B104,A112)</f>
        <v/>
      </c>
      <c r="C112" s="14">
        <f>SUMIF(B5:B104,A112,C5:C104)</f>
        <v/>
      </c>
      <c r="D112" s="77">
        <f>SUMIF(B5:B104,A112,I5:I104)</f>
        <v/>
      </c>
      <c r="E112" s="77">
        <f>IFERROR(D112/C112,"")</f>
        <v/>
      </c>
      <c r="F112" s="78" t="n"/>
    </row>
    <row r="113" ht="30" customHeight="1" s="230">
      <c r="A113" s="53" t="n"/>
      <c r="B113" s="14">
        <f>COUNTIF(B5:B104,A113)</f>
        <v/>
      </c>
      <c r="C113" s="14">
        <f>SUMIF(B5:B104,A113,C5:C104)</f>
        <v/>
      </c>
      <c r="D113" s="77">
        <f>SUMIF(B5:B104,A113,I5:I104)</f>
        <v/>
      </c>
      <c r="E113" s="77">
        <f>IFERROR(D113/C113,"")</f>
        <v/>
      </c>
      <c r="F113" s="78" t="n"/>
    </row>
    <row r="114" ht="30" customHeight="1" s="230">
      <c r="A114" s="53" t="n"/>
      <c r="B114" s="14">
        <f>COUNTIF(B5:B104,A114)</f>
        <v/>
      </c>
      <c r="C114" s="14">
        <f>SUMIF(B5:B104,A114,C5:C104)</f>
        <v/>
      </c>
      <c r="D114" s="77">
        <f>SUMIF(B5:B104,A114,I5:I104)</f>
        <v/>
      </c>
      <c r="E114" s="77">
        <f>IFERROR(D114/C114,"")</f>
        <v/>
      </c>
      <c r="F114" s="78" t="n"/>
    </row>
  </sheetData>
  <mergeCells count="3">
    <mergeCell ref="A1:J1"/>
    <mergeCell ref="A107:F107"/>
    <mergeCell ref="A2:J2"/>
  </mergeCells>
  <dataValidations count="1">
    <dataValidation sqref="B5:B104" showDropDown="0" showInputMessage="0" showErrorMessage="0" allowBlank="1" type="list">
      <formula1>"DcSports87,Probstein,PWCC,MyBrick,Goldin,Other"</formula1>
      <formula2>0</formula2>
    </dataValidation>
  </dataValidations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4" customWidth="1" style="230" min="1" max="1"/>
    <col width="60" customWidth="1" style="230" min="2" max="2"/>
    <col width="14" customWidth="1" style="230" min="3" max="4"/>
    <col width="8" customWidth="1" style="230" min="5" max="5"/>
    <col width="10" customWidth="1" style="230" min="6" max="6"/>
    <col width="24" customWidth="1" style="230" min="7" max="7"/>
    <col width="50" customWidth="1" style="230" min="8" max="8"/>
  </cols>
  <sheetData>
    <row r="1" ht="20" customHeight="1" s="230">
      <c r="A1" s="229" t="inlineStr">
        <is>
          <t>🏠 Start Here</t>
        </is>
      </c>
    </row>
    <row r="2">
      <c r="A2" s="281" t="inlineStr">
        <is>
          <t>Generated: May 03, 2026  |  Top 20 by score, all listed &gt; $25  |  Est. Total Value: $2,040.17</t>
        </is>
      </c>
    </row>
    <row r="4">
      <c r="A4" s="133" t="inlineStr">
        <is>
          <t>#</t>
        </is>
      </c>
      <c r="B4" s="133" t="inlineStr">
        <is>
          <t>Card Description</t>
        </is>
      </c>
      <c r="C4" s="133" t="inlineStr">
        <is>
          <t>Category</t>
        </is>
      </c>
      <c r="D4" s="133" t="inlineStr">
        <is>
          <t>Listed Price ($)</t>
        </is>
      </c>
      <c r="E4" s="133" t="inlineStr">
        <is>
          <t>Score</t>
        </is>
      </c>
      <c r="F4" s="133" t="inlineStr">
        <is>
          <t>Watchers</t>
        </is>
      </c>
      <c r="G4" s="133" t="inlineStr">
        <is>
          <t>Market Verdict</t>
        </is>
      </c>
      <c r="H4" s="133" t="inlineStr">
        <is>
          <t>DcSports87 Notes</t>
        </is>
      </c>
    </row>
    <row r="5">
      <c r="A5" s="125" t="n"/>
      <c r="B5" s="125" t="n"/>
      <c r="C5" s="125" t="n"/>
      <c r="D5" s="126" t="n"/>
      <c r="E5" s="125" t="n"/>
      <c r="F5" s="125" t="n"/>
      <c r="G5" s="134" t="n"/>
      <c r="H5" s="125" t="n"/>
    </row>
    <row r="6">
      <c r="A6" s="135" t="n"/>
      <c r="B6" s="135" t="n"/>
      <c r="C6" s="135" t="n"/>
      <c r="D6" s="136" t="n"/>
      <c r="E6" s="135" t="n"/>
      <c r="F6" s="135" t="n"/>
      <c r="G6" s="135" t="n"/>
      <c r="H6" s="135" t="n"/>
    </row>
    <row r="7">
      <c r="A7" s="125" t="n"/>
      <c r="B7" s="125" t="n"/>
      <c r="C7" s="125" t="n"/>
      <c r="D7" s="126" t="n"/>
      <c r="E7" s="125" t="n"/>
      <c r="F7" s="125" t="n"/>
      <c r="G7" s="125" t="n"/>
      <c r="H7" s="125" t="n"/>
    </row>
    <row r="8">
      <c r="A8" s="135" t="n"/>
      <c r="B8" s="135" t="n"/>
      <c r="C8" s="135" t="n"/>
      <c r="D8" s="136" t="n"/>
      <c r="E8" s="135" t="n"/>
      <c r="F8" s="135" t="n"/>
      <c r="G8" s="135" t="n"/>
      <c r="H8" s="135" t="n"/>
    </row>
    <row r="9">
      <c r="A9" s="125" t="n"/>
      <c r="B9" s="125" t="n"/>
      <c r="C9" s="125" t="n"/>
      <c r="D9" s="126" t="n"/>
      <c r="E9" s="125" t="n"/>
      <c r="F9" s="125" t="n"/>
      <c r="G9" s="134" t="n"/>
      <c r="H9" s="125" t="n"/>
    </row>
    <row r="10">
      <c r="A10" s="135" t="n"/>
      <c r="B10" s="135" t="n"/>
      <c r="C10" s="135" t="n"/>
      <c r="D10" s="136" t="n"/>
      <c r="E10" s="135" t="n"/>
      <c r="F10" s="135" t="n"/>
      <c r="G10" s="138" t="n"/>
      <c r="H10" s="135" t="n"/>
    </row>
    <row r="11">
      <c r="A11" s="125" t="n"/>
      <c r="B11" s="125" t="n"/>
      <c r="C11" s="125" t="n"/>
      <c r="D11" s="126" t="n"/>
      <c r="E11" s="125" t="n"/>
      <c r="F11" s="125" t="n"/>
      <c r="G11" s="125" t="n"/>
      <c r="H11" s="125" t="n"/>
    </row>
    <row r="12">
      <c r="A12" s="135" t="n"/>
      <c r="B12" s="135" t="n"/>
      <c r="C12" s="135" t="n"/>
      <c r="D12" s="136" t="n"/>
      <c r="E12" s="135" t="n"/>
      <c r="F12" s="135" t="n"/>
      <c r="G12" s="137" t="n"/>
      <c r="H12" s="135" t="n"/>
    </row>
    <row r="13">
      <c r="A13" s="125" t="n"/>
      <c r="B13" s="125" t="n"/>
      <c r="C13" s="125" t="n"/>
      <c r="D13" s="126" t="n"/>
      <c r="E13" s="125" t="n"/>
      <c r="F13" s="125" t="n"/>
      <c r="G13" s="125" t="n"/>
      <c r="H13" s="125" t="n"/>
    </row>
    <row r="14">
      <c r="A14" s="135" t="n"/>
      <c r="B14" s="135" t="n"/>
      <c r="C14" s="135" t="n"/>
      <c r="D14" s="136" t="n"/>
      <c r="E14" s="135" t="n"/>
      <c r="F14" s="135" t="n"/>
      <c r="G14" s="137" t="n"/>
      <c r="H14" s="135" t="n"/>
    </row>
    <row r="15">
      <c r="A15" s="125" t="n"/>
      <c r="B15" s="125" t="n"/>
      <c r="C15" s="125" t="n"/>
      <c r="D15" s="126" t="n"/>
      <c r="E15" s="125" t="n"/>
      <c r="F15" s="125" t="n"/>
      <c r="G15" s="137" t="n"/>
      <c r="H15" s="125" t="n"/>
    </row>
    <row r="16">
      <c r="A16" s="135" t="n"/>
      <c r="B16" s="135" t="n"/>
      <c r="C16" s="135" t="n"/>
      <c r="D16" s="136" t="n"/>
      <c r="E16" s="135" t="n"/>
      <c r="F16" s="135" t="n"/>
      <c r="G16" s="135" t="n"/>
      <c r="H16" s="135" t="n"/>
    </row>
    <row r="17">
      <c r="A17" s="125" t="n"/>
      <c r="B17" s="125" t="n"/>
      <c r="C17" s="125" t="n"/>
      <c r="D17" s="126" t="n"/>
      <c r="E17" s="125" t="n"/>
      <c r="F17" s="125" t="n"/>
      <c r="G17" s="137" t="n"/>
      <c r="H17" s="125" t="n"/>
    </row>
    <row r="18">
      <c r="A18" s="135" t="n"/>
      <c r="B18" s="135" t="n"/>
      <c r="C18" s="135" t="n"/>
      <c r="D18" s="136" t="n"/>
      <c r="E18" s="135" t="n"/>
      <c r="F18" s="135" t="n"/>
      <c r="G18" s="135" t="n"/>
      <c r="H18" s="135" t="n"/>
    </row>
    <row r="19">
      <c r="A19" s="125" t="n"/>
      <c r="B19" s="125" t="n"/>
      <c r="C19" s="125" t="n"/>
      <c r="D19" s="126" t="n"/>
      <c r="E19" s="125" t="n"/>
      <c r="F19" s="125" t="n"/>
      <c r="G19" s="125" t="n"/>
      <c r="H19" s="125" t="n"/>
    </row>
    <row r="20">
      <c r="A20" s="135" t="n"/>
      <c r="B20" s="135" t="n"/>
      <c r="C20" s="135" t="n"/>
      <c r="D20" s="136" t="n"/>
      <c r="E20" s="135" t="n"/>
      <c r="F20" s="135" t="n"/>
      <c r="G20" s="137" t="n"/>
      <c r="H20" s="135" t="n"/>
    </row>
    <row r="21">
      <c r="A21" s="125" t="n"/>
      <c r="B21" s="125" t="n"/>
      <c r="C21" s="125" t="n"/>
      <c r="D21" s="126" t="n"/>
      <c r="E21" s="125" t="n"/>
      <c r="F21" s="125" t="n"/>
      <c r="G21" s="125" t="n"/>
      <c r="H21" s="125" t="n"/>
    </row>
    <row r="22">
      <c r="A22" s="135" t="n"/>
      <c r="B22" s="135" t="n"/>
      <c r="C22" s="135" t="n"/>
      <c r="D22" s="136" t="n"/>
      <c r="E22" s="135" t="n"/>
      <c r="F22" s="135" t="n"/>
      <c r="G22" s="135" t="n"/>
      <c r="H22" s="135" t="n"/>
    </row>
    <row r="23">
      <c r="A23" s="125" t="n"/>
      <c r="B23" s="125" t="n"/>
      <c r="C23" s="125" t="n"/>
      <c r="D23" s="126" t="n"/>
      <c r="E23" s="125" t="n"/>
      <c r="F23" s="125" t="n"/>
      <c r="G23" s="125" t="n"/>
      <c r="H23" s="125" t="n"/>
    </row>
    <row r="24">
      <c r="A24" s="135" t="n"/>
      <c r="B24" s="135" t="n"/>
      <c r="C24" s="135" t="n"/>
      <c r="D24" s="136" t="n"/>
      <c r="E24" s="135" t="n"/>
      <c r="F24" s="135" t="n"/>
      <c r="G24" s="135" t="n"/>
      <c r="H24" s="135" t="n"/>
    </row>
    <row r="26">
      <c r="A26" s="139" t="n"/>
      <c r="D26" s="140">
        <f>SUM(D5:D24)</f>
        <v/>
      </c>
    </row>
  </sheetData>
  <hyperlinks>
    <hyperlink ref="A1" location="'Start Here'!A1" display="🏠 Start Here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5" topLeftCell="A6" activePane="bottomLeft" state="frozen"/>
      <selection pane="bottomLeft" activeCell="A1" sqref="A1:H1"/>
    </sheetView>
  </sheetViews>
  <sheetFormatPr baseColWidth="10" defaultColWidth="8.83203125" defaultRowHeight="15"/>
  <cols>
    <col width="14" customWidth="1" style="230" min="1" max="1"/>
    <col width="65" customWidth="1" style="230" min="2" max="2"/>
    <col width="12" customWidth="1" style="230" min="3" max="3"/>
    <col width="10" customWidth="1" style="230" min="4" max="4"/>
    <col width="7" customWidth="1" style="230" min="5" max="5"/>
    <col width="58" customWidth="1" style="230" min="6" max="6"/>
    <col width="9" customWidth="1" style="230" min="7" max="7"/>
    <col width="18" customWidth="1" style="230" min="8" max="8"/>
  </cols>
  <sheetData>
    <row r="1" ht="20" customHeight="1" s="230">
      <c r="A1" s="229" t="inlineStr">
        <is>
          <t>🏠 Start Here</t>
        </is>
      </c>
    </row>
    <row r="2">
      <c r="A2" s="281" t="inlineStr">
        <is>
          <t>75 cards | $3–$25 range | Total listed value: $829.38 | Avg: $11.06/card | All modern (no vintage) | Sorted by auction potential score (highest first)</t>
        </is>
      </c>
    </row>
    <row r="3" ht="28" customHeight="1" s="230">
      <c r="A3" s="280" t="inlineStr">
        <is>
          <t>SCORE = Auto +8 | RC/1st +3 | Chrome/Prizm +2 | Print run (/25=+6, /99=+4, /199=+3, /499=+2, higher=+1) | Patch/Swatch +3 | Jersey/Relic +2 | Price tier ($3-8=+1, $8-15=+2, $15-25=+3) | Watchers = +N each</t>
        </is>
      </c>
    </row>
    <row r="5" ht="22" customHeight="1" s="230">
      <c r="A5" s="133" t="inlineStr">
        <is>
          <t>#</t>
        </is>
      </c>
      <c r="B5" s="133" t="inlineStr">
        <is>
          <t>Card Description</t>
        </is>
      </c>
      <c r="C5" s="133" t="inlineStr">
        <is>
          <t>Category</t>
        </is>
      </c>
      <c r="D5" s="133" t="inlineStr">
        <is>
          <t>Listed ($)</t>
        </is>
      </c>
      <c r="E5" s="133" t="inlineStr">
        <is>
          <t>Score</t>
        </is>
      </c>
      <c r="F5" s="133" t="inlineStr">
        <is>
          <t>Score Breakdown</t>
        </is>
      </c>
      <c r="G5" s="133" t="inlineStr">
        <is>
          <t>Watchers</t>
        </is>
      </c>
      <c r="H5" s="133" t="inlineStr">
        <is>
          <t>SKU</t>
        </is>
      </c>
    </row>
    <row r="6">
      <c r="A6" s="125" t="n"/>
      <c r="B6" s="125" t="n"/>
      <c r="C6" s="158" t="n"/>
      <c r="D6" s="126" t="n"/>
      <c r="E6" s="125" t="n"/>
      <c r="F6" s="125" t="n"/>
      <c r="G6" s="125" t="n"/>
      <c r="H6" s="125" t="n"/>
    </row>
    <row r="7">
      <c r="A7" s="135" t="n"/>
      <c r="B7" s="135" t="n"/>
      <c r="C7" s="158" t="n"/>
      <c r="D7" s="136" t="n"/>
      <c r="E7" s="135" t="n"/>
      <c r="F7" s="135" t="n"/>
      <c r="G7" s="135" t="n"/>
      <c r="H7" s="135" t="n"/>
    </row>
    <row r="8">
      <c r="A8" s="125" t="n"/>
      <c r="B8" s="125" t="n"/>
      <c r="C8" s="158" t="n"/>
      <c r="D8" s="126" t="n"/>
      <c r="E8" s="125" t="n"/>
      <c r="F8" s="125" t="n"/>
      <c r="G8" s="125" t="n"/>
      <c r="H8" s="125" t="n"/>
    </row>
    <row r="9">
      <c r="A9" s="135" t="n"/>
      <c r="B9" s="135" t="n"/>
      <c r="C9" s="159" t="n"/>
      <c r="D9" s="136" t="n"/>
      <c r="E9" s="135" t="n"/>
      <c r="F9" s="135" t="n"/>
      <c r="G9" s="135" t="n"/>
      <c r="H9" s="135" t="n"/>
    </row>
    <row r="10">
      <c r="A10" s="125" t="n"/>
      <c r="B10" s="125" t="n"/>
      <c r="C10" s="129" t="n"/>
      <c r="D10" s="126" t="n"/>
      <c r="E10" s="125" t="n"/>
      <c r="F10" s="125" t="n"/>
      <c r="G10" s="125" t="n"/>
      <c r="H10" s="125" t="n"/>
    </row>
    <row r="11">
      <c r="A11" s="135" t="n"/>
      <c r="B11" s="135" t="n"/>
      <c r="C11" s="159" t="n"/>
      <c r="D11" s="136" t="n"/>
      <c r="E11" s="135" t="n"/>
      <c r="F11" s="135" t="n"/>
      <c r="G11" s="135" t="n"/>
      <c r="H11" s="135" t="n"/>
    </row>
    <row r="12">
      <c r="A12" s="125" t="n"/>
      <c r="B12" s="125" t="n"/>
      <c r="C12" s="129" t="n"/>
      <c r="D12" s="126" t="n"/>
      <c r="E12" s="125" t="n"/>
      <c r="F12" s="125" t="n"/>
      <c r="G12" s="125" t="n"/>
      <c r="H12" s="125" t="n"/>
    </row>
    <row r="13">
      <c r="A13" s="135" t="n"/>
      <c r="B13" s="135" t="n"/>
      <c r="C13" s="158" t="n"/>
      <c r="D13" s="136" t="n"/>
      <c r="E13" s="135" t="n"/>
      <c r="F13" s="135" t="n"/>
      <c r="G13" s="135" t="n"/>
      <c r="H13" s="135" t="n"/>
    </row>
    <row r="14">
      <c r="A14" s="125" t="n"/>
      <c r="B14" s="125" t="n"/>
      <c r="C14" s="129" t="n"/>
      <c r="D14" s="126" t="n"/>
      <c r="E14" s="125" t="n"/>
      <c r="F14" s="125" t="n"/>
      <c r="G14" s="125" t="n"/>
      <c r="H14" s="125" t="n"/>
    </row>
    <row r="15">
      <c r="A15" s="135" t="n"/>
      <c r="B15" s="135" t="n"/>
      <c r="C15" s="158" t="n"/>
      <c r="D15" s="136" t="n"/>
      <c r="E15" s="135" t="n"/>
      <c r="F15" s="135" t="n"/>
      <c r="G15" s="135" t="n"/>
      <c r="H15" s="135" t="n"/>
    </row>
    <row r="16">
      <c r="A16" s="125" t="n"/>
      <c r="B16" s="125" t="n"/>
      <c r="C16" s="129" t="n"/>
      <c r="D16" s="126" t="n"/>
      <c r="E16" s="125" t="n"/>
      <c r="F16" s="125" t="n"/>
      <c r="G16" s="125" t="n"/>
      <c r="H16" s="125" t="n"/>
    </row>
    <row r="17">
      <c r="A17" s="135" t="n"/>
      <c r="B17" s="135" t="n"/>
      <c r="C17" s="129" t="n"/>
      <c r="D17" s="136" t="n"/>
      <c r="E17" s="135" t="n"/>
      <c r="F17" s="135" t="n"/>
      <c r="G17" s="135" t="n"/>
      <c r="H17" s="135" t="n"/>
    </row>
    <row r="18">
      <c r="A18" s="125" t="n"/>
      <c r="B18" s="125" t="n"/>
      <c r="C18" s="158" t="n"/>
      <c r="D18" s="126" t="n"/>
      <c r="E18" s="125" t="n"/>
      <c r="F18" s="125" t="n"/>
      <c r="G18" s="125" t="n"/>
      <c r="H18" s="125" t="n"/>
    </row>
    <row r="19">
      <c r="A19" s="135" t="n"/>
      <c r="B19" s="135" t="n"/>
      <c r="C19" s="159" t="n"/>
      <c r="D19" s="136" t="n"/>
      <c r="E19" s="135" t="n"/>
      <c r="F19" s="135" t="n"/>
      <c r="G19" s="135" t="n"/>
      <c r="H19" s="135" t="n"/>
    </row>
    <row r="20">
      <c r="A20" s="125" t="n"/>
      <c r="B20" s="125" t="n"/>
      <c r="C20" s="159" t="n"/>
      <c r="D20" s="126" t="n"/>
      <c r="E20" s="125" t="n"/>
      <c r="F20" s="125" t="n"/>
      <c r="G20" s="125" t="n"/>
      <c r="H20" s="125" t="n"/>
    </row>
    <row r="21">
      <c r="A21" s="135" t="n"/>
      <c r="B21" s="135" t="n"/>
      <c r="C21" s="129" t="n"/>
      <c r="D21" s="136" t="n"/>
      <c r="E21" s="135" t="n"/>
      <c r="F21" s="135" t="n"/>
      <c r="G21" s="135" t="n"/>
      <c r="H21" s="135" t="n"/>
    </row>
    <row r="22">
      <c r="A22" s="125" t="n"/>
      <c r="B22" s="125" t="n"/>
      <c r="C22" s="158" t="n"/>
      <c r="D22" s="126" t="n"/>
      <c r="E22" s="125" t="n"/>
      <c r="F22" s="125" t="n"/>
      <c r="G22" s="125" t="n"/>
      <c r="H22" s="125" t="n"/>
    </row>
    <row r="23">
      <c r="A23" s="135" t="n"/>
      <c r="B23" s="135" t="n"/>
      <c r="C23" s="158" t="n"/>
      <c r="D23" s="136" t="n"/>
      <c r="E23" s="135" t="n"/>
      <c r="F23" s="135" t="n"/>
      <c r="G23" s="135" t="n"/>
      <c r="H23" s="135" t="n"/>
    </row>
    <row r="24">
      <c r="A24" s="125" t="n"/>
      <c r="B24" s="125" t="n"/>
      <c r="C24" s="129" t="n"/>
      <c r="D24" s="126" t="n"/>
      <c r="E24" s="125" t="n"/>
      <c r="F24" s="125" t="n"/>
      <c r="G24" s="125" t="n"/>
      <c r="H24" s="125" t="n"/>
    </row>
    <row r="25">
      <c r="A25" s="135" t="n"/>
      <c r="B25" s="135" t="n"/>
      <c r="C25" s="158" t="n"/>
      <c r="D25" s="136" t="n"/>
      <c r="E25" s="135" t="n"/>
      <c r="F25" s="135" t="n"/>
      <c r="G25" s="135" t="n"/>
      <c r="H25" s="135" t="n"/>
    </row>
    <row r="26">
      <c r="A26" s="125" t="n"/>
      <c r="B26" s="125" t="n"/>
      <c r="C26" s="158" t="n"/>
      <c r="D26" s="126" t="n"/>
      <c r="E26" s="125" t="n"/>
      <c r="F26" s="125" t="n"/>
      <c r="G26" s="125" t="n"/>
      <c r="H26" s="125" t="n"/>
    </row>
    <row r="27">
      <c r="A27" s="135" t="n"/>
      <c r="B27" s="135" t="n"/>
      <c r="C27" s="158" t="n"/>
      <c r="D27" s="136" t="n"/>
      <c r="E27" s="135" t="n"/>
      <c r="F27" s="135" t="n"/>
      <c r="G27" s="135" t="n"/>
      <c r="H27" s="135" t="n"/>
    </row>
    <row r="28">
      <c r="A28" s="125" t="n"/>
      <c r="B28" s="125" t="n"/>
      <c r="C28" s="129" t="n"/>
      <c r="D28" s="126" t="n"/>
      <c r="E28" s="125" t="n"/>
      <c r="F28" s="125" t="n"/>
      <c r="G28" s="125" t="n"/>
      <c r="H28" s="125" t="n"/>
    </row>
    <row r="29">
      <c r="A29" s="135" t="n"/>
      <c r="B29" s="135" t="n"/>
      <c r="C29" s="158" t="n"/>
      <c r="D29" s="136" t="n"/>
      <c r="E29" s="135" t="n"/>
      <c r="F29" s="135" t="n"/>
      <c r="G29" s="135" t="n"/>
      <c r="H29" s="135" t="n"/>
    </row>
    <row r="30">
      <c r="A30" s="125" t="n"/>
      <c r="B30" s="125" t="n"/>
      <c r="C30" s="158" t="n"/>
      <c r="D30" s="126" t="n"/>
      <c r="E30" s="125" t="n"/>
      <c r="F30" s="125" t="n"/>
      <c r="G30" s="125" t="n"/>
      <c r="H30" s="125" t="n"/>
    </row>
    <row r="31">
      <c r="A31" s="135" t="n"/>
      <c r="B31" s="135" t="n"/>
      <c r="C31" s="129" t="n"/>
      <c r="D31" s="136" t="n"/>
      <c r="E31" s="135" t="n"/>
      <c r="F31" s="135" t="n"/>
      <c r="G31" s="135" t="n"/>
      <c r="H31" s="135" t="n"/>
    </row>
    <row r="32">
      <c r="A32" s="125" t="n"/>
      <c r="B32" s="125" t="n"/>
      <c r="C32" s="129" t="n"/>
      <c r="D32" s="126" t="n"/>
      <c r="E32" s="125" t="n"/>
      <c r="F32" s="125" t="n"/>
      <c r="G32" s="125" t="n"/>
      <c r="H32" s="125" t="n"/>
    </row>
    <row r="33">
      <c r="A33" s="135" t="n"/>
      <c r="B33" s="135" t="n"/>
      <c r="C33" s="129" t="n"/>
      <c r="D33" s="136" t="n"/>
      <c r="E33" s="135" t="n"/>
      <c r="F33" s="135" t="n"/>
      <c r="G33" s="135" t="n"/>
      <c r="H33" s="135" t="n"/>
    </row>
    <row r="34">
      <c r="A34" s="125" t="n"/>
      <c r="B34" s="125" t="n"/>
      <c r="C34" s="129" t="n"/>
      <c r="D34" s="126" t="n"/>
      <c r="E34" s="125" t="n"/>
      <c r="F34" s="125" t="n"/>
      <c r="G34" s="125" t="n"/>
      <c r="H34" s="125" t="n"/>
    </row>
    <row r="35">
      <c r="A35" s="135" t="n"/>
      <c r="B35" s="135" t="n"/>
      <c r="C35" s="129" t="n"/>
      <c r="D35" s="136" t="n"/>
      <c r="E35" s="135" t="n"/>
      <c r="F35" s="135" t="n"/>
      <c r="G35" s="135" t="n"/>
      <c r="H35" s="135" t="n"/>
    </row>
    <row r="36">
      <c r="A36" s="125" t="n"/>
      <c r="B36" s="125" t="n"/>
      <c r="C36" s="158" t="n"/>
      <c r="D36" s="126" t="n"/>
      <c r="E36" s="125" t="n"/>
      <c r="F36" s="125" t="n"/>
      <c r="G36" s="125" t="n"/>
      <c r="H36" s="125" t="n"/>
    </row>
    <row r="37">
      <c r="A37" s="135" t="n"/>
      <c r="B37" s="135" t="n"/>
      <c r="C37" s="158" t="n"/>
      <c r="D37" s="136" t="n"/>
      <c r="E37" s="135" t="n"/>
      <c r="F37" s="135" t="n"/>
      <c r="G37" s="135" t="n"/>
      <c r="H37" s="135" t="n"/>
    </row>
    <row r="38">
      <c r="A38" s="125" t="n"/>
      <c r="B38" s="125" t="n"/>
      <c r="C38" s="158" t="n"/>
      <c r="D38" s="126" t="n"/>
      <c r="E38" s="125" t="n"/>
      <c r="F38" s="125" t="n"/>
      <c r="G38" s="125" t="n"/>
      <c r="H38" s="125" t="n"/>
    </row>
    <row r="39">
      <c r="A39" s="135" t="n"/>
      <c r="B39" s="135" t="n"/>
      <c r="C39" s="129" t="n"/>
      <c r="D39" s="136" t="n"/>
      <c r="E39" s="135" t="n"/>
      <c r="F39" s="135" t="n"/>
      <c r="G39" s="135" t="n"/>
      <c r="H39" s="135" t="n"/>
    </row>
    <row r="40">
      <c r="A40" s="125" t="n"/>
      <c r="B40" s="125" t="n"/>
      <c r="C40" s="129" t="n"/>
      <c r="D40" s="126" t="n"/>
      <c r="E40" s="125" t="n"/>
      <c r="F40" s="125" t="n"/>
      <c r="G40" s="125" t="n"/>
      <c r="H40" s="125" t="n"/>
    </row>
    <row r="41">
      <c r="A41" s="135" t="n"/>
      <c r="B41" s="135" t="n"/>
      <c r="C41" s="158" t="n"/>
      <c r="D41" s="136" t="n"/>
      <c r="E41" s="135" t="n"/>
      <c r="F41" s="135" t="n"/>
      <c r="G41" s="135" t="n"/>
      <c r="H41" s="135" t="n"/>
    </row>
    <row r="42">
      <c r="A42" s="125" t="n"/>
      <c r="B42" s="125" t="n"/>
      <c r="C42" s="159" t="n"/>
      <c r="D42" s="126" t="n"/>
      <c r="E42" s="125" t="n"/>
      <c r="F42" s="125" t="n"/>
      <c r="G42" s="125" t="n"/>
      <c r="H42" s="125" t="n"/>
    </row>
    <row r="43">
      <c r="A43" s="135" t="n"/>
      <c r="B43" s="135" t="n"/>
      <c r="C43" s="158" t="n"/>
      <c r="D43" s="136" t="n"/>
      <c r="E43" s="135" t="n"/>
      <c r="F43" s="135" t="n"/>
      <c r="G43" s="135" t="n"/>
      <c r="H43" s="135" t="n"/>
    </row>
    <row r="44">
      <c r="A44" s="125" t="n"/>
      <c r="B44" s="125" t="n"/>
      <c r="C44" s="158" t="n"/>
      <c r="D44" s="126" t="n"/>
      <c r="E44" s="125" t="n"/>
      <c r="F44" s="125" t="n"/>
      <c r="G44" s="125" t="n"/>
      <c r="H44" s="125" t="n"/>
    </row>
    <row r="45">
      <c r="A45" s="135" t="n"/>
      <c r="B45" s="135" t="n"/>
      <c r="C45" s="129" t="n"/>
      <c r="D45" s="136" t="n"/>
      <c r="E45" s="135" t="n"/>
      <c r="F45" s="135" t="n"/>
      <c r="G45" s="135" t="n"/>
      <c r="H45" s="135" t="n"/>
    </row>
    <row r="46">
      <c r="A46" s="125" t="n"/>
      <c r="B46" s="125" t="n"/>
      <c r="C46" s="129" t="n"/>
      <c r="D46" s="126" t="n"/>
      <c r="E46" s="125" t="n"/>
      <c r="F46" s="125" t="n"/>
      <c r="G46" s="125" t="n"/>
      <c r="H46" s="125" t="n"/>
    </row>
    <row r="47">
      <c r="A47" s="135" t="n"/>
      <c r="B47" s="135" t="n"/>
      <c r="C47" s="129" t="n"/>
      <c r="D47" s="136" t="n"/>
      <c r="E47" s="135" t="n"/>
      <c r="F47" s="135" t="n"/>
      <c r="G47" s="135" t="n"/>
      <c r="H47" s="135" t="n"/>
    </row>
    <row r="48">
      <c r="A48" s="125" t="n"/>
      <c r="B48" s="125" t="n"/>
      <c r="C48" s="129" t="n"/>
      <c r="D48" s="126" t="n"/>
      <c r="E48" s="125" t="n"/>
      <c r="F48" s="125" t="n"/>
      <c r="G48" s="125" t="n"/>
      <c r="H48" s="125" t="n"/>
    </row>
    <row r="49">
      <c r="A49" s="135" t="n"/>
      <c r="B49" s="135" t="n"/>
      <c r="C49" s="129" t="n"/>
      <c r="D49" s="136" t="n"/>
      <c r="E49" s="135" t="n"/>
      <c r="F49" s="135" t="n"/>
      <c r="G49" s="135" t="n"/>
      <c r="H49" s="135" t="n"/>
    </row>
    <row r="50">
      <c r="A50" s="125" t="n"/>
      <c r="B50" s="125" t="n"/>
      <c r="C50" s="129" t="n"/>
      <c r="D50" s="126" t="n"/>
      <c r="E50" s="125" t="n"/>
      <c r="F50" s="125" t="n"/>
      <c r="G50" s="125" t="n"/>
      <c r="H50" s="125" t="n"/>
    </row>
    <row r="51">
      <c r="A51" s="135" t="n"/>
      <c r="B51" s="135" t="n"/>
      <c r="C51" s="129" t="n"/>
      <c r="D51" s="136" t="n"/>
      <c r="E51" s="135" t="n"/>
      <c r="F51" s="135" t="n"/>
      <c r="G51" s="135" t="n"/>
      <c r="H51" s="135" t="n"/>
    </row>
    <row r="52">
      <c r="A52" s="125" t="n"/>
      <c r="B52" s="125" t="n"/>
      <c r="C52" s="158" t="n"/>
      <c r="D52" s="126" t="n"/>
      <c r="E52" s="125" t="n"/>
      <c r="F52" s="125" t="n"/>
      <c r="G52" s="125" t="n"/>
      <c r="H52" s="125" t="n"/>
    </row>
    <row r="53">
      <c r="A53" s="135" t="n"/>
      <c r="B53" s="135" t="n"/>
      <c r="C53" s="158" t="n"/>
      <c r="D53" s="136" t="n"/>
      <c r="E53" s="135" t="n"/>
      <c r="F53" s="135" t="n"/>
      <c r="G53" s="135" t="n"/>
      <c r="H53" s="135" t="n"/>
    </row>
    <row r="54">
      <c r="A54" s="125" t="n"/>
      <c r="B54" s="125" t="n"/>
      <c r="C54" s="129" t="n"/>
      <c r="D54" s="126" t="n"/>
      <c r="E54" s="125" t="n"/>
      <c r="F54" s="125" t="n"/>
      <c r="G54" s="125" t="n"/>
      <c r="H54" s="125" t="n"/>
    </row>
    <row r="55">
      <c r="A55" s="135" t="n"/>
      <c r="B55" s="135" t="n"/>
      <c r="C55" s="158" t="n"/>
      <c r="D55" s="136" t="n"/>
      <c r="E55" s="135" t="n"/>
      <c r="F55" s="135" t="n"/>
      <c r="G55" s="135" t="n"/>
      <c r="H55" s="135" t="n"/>
    </row>
    <row r="56">
      <c r="A56" s="125" t="n"/>
      <c r="B56" s="125" t="n"/>
      <c r="C56" s="158" t="n"/>
      <c r="D56" s="126" t="n"/>
      <c r="E56" s="125" t="n"/>
      <c r="F56" s="125" t="n"/>
      <c r="G56" s="125" t="n"/>
      <c r="H56" s="125" t="n"/>
    </row>
    <row r="57">
      <c r="A57" s="135" t="n"/>
      <c r="B57" s="135" t="n"/>
      <c r="C57" s="129" t="n"/>
      <c r="D57" s="136" t="n"/>
      <c r="E57" s="135" t="n"/>
      <c r="F57" s="135" t="n"/>
      <c r="G57" s="135" t="n"/>
      <c r="H57" s="135" t="n"/>
    </row>
    <row r="58">
      <c r="A58" s="125" t="n"/>
      <c r="B58" s="125" t="n"/>
      <c r="C58" s="159" t="n"/>
      <c r="D58" s="126" t="n"/>
      <c r="E58" s="125" t="n"/>
      <c r="F58" s="125" t="n"/>
      <c r="G58" s="125" t="n"/>
      <c r="H58" s="125" t="n"/>
    </row>
    <row r="59">
      <c r="A59" s="135" t="n"/>
      <c r="B59" s="135" t="n"/>
      <c r="C59" s="129" t="n"/>
      <c r="D59" s="136" t="n"/>
      <c r="E59" s="135" t="n"/>
      <c r="F59" s="135" t="n"/>
      <c r="G59" s="135" t="n"/>
      <c r="H59" s="135" t="n"/>
    </row>
    <row r="60">
      <c r="A60" s="125" t="n"/>
      <c r="B60" s="125" t="n"/>
      <c r="C60" s="129" t="n"/>
      <c r="D60" s="126" t="n"/>
      <c r="E60" s="125" t="n"/>
      <c r="F60" s="125" t="n"/>
      <c r="G60" s="125" t="n"/>
      <c r="H60" s="125" t="n"/>
    </row>
    <row r="61">
      <c r="A61" s="135" t="n"/>
      <c r="B61" s="135" t="n"/>
      <c r="C61" s="129" t="n"/>
      <c r="D61" s="136" t="n"/>
      <c r="E61" s="135" t="n"/>
      <c r="F61" s="135" t="n"/>
      <c r="G61" s="135" t="n"/>
      <c r="H61" s="135" t="n"/>
    </row>
    <row r="62">
      <c r="A62" s="125" t="n"/>
      <c r="B62" s="125" t="n"/>
      <c r="C62" s="129" t="n"/>
      <c r="D62" s="126" t="n"/>
      <c r="E62" s="125" t="n"/>
      <c r="F62" s="125" t="n"/>
      <c r="G62" s="125" t="n"/>
      <c r="H62" s="125" t="n"/>
    </row>
    <row r="63">
      <c r="A63" s="135" t="n"/>
      <c r="B63" s="135" t="n"/>
      <c r="C63" s="129" t="n"/>
      <c r="D63" s="136" t="n"/>
      <c r="E63" s="135" t="n"/>
      <c r="F63" s="135" t="n"/>
      <c r="G63" s="135" t="n"/>
      <c r="H63" s="135" t="n"/>
    </row>
    <row r="64">
      <c r="A64" s="125" t="n"/>
      <c r="B64" s="125" t="n"/>
      <c r="C64" s="129" t="n"/>
      <c r="D64" s="126" t="n"/>
      <c r="E64" s="125" t="n"/>
      <c r="F64" s="125" t="n"/>
      <c r="G64" s="125" t="n"/>
      <c r="H64" s="125" t="n"/>
    </row>
    <row r="65">
      <c r="A65" s="135" t="n"/>
      <c r="B65" s="135" t="n"/>
      <c r="C65" s="158" t="n"/>
      <c r="D65" s="136" t="n"/>
      <c r="E65" s="135" t="n"/>
      <c r="F65" s="135" t="n"/>
      <c r="G65" s="135" t="n"/>
      <c r="H65" s="135" t="n"/>
    </row>
    <row r="66">
      <c r="A66" s="125" t="n"/>
      <c r="B66" s="125" t="n"/>
      <c r="C66" s="158" t="n"/>
      <c r="D66" s="126" t="n"/>
      <c r="E66" s="125" t="n"/>
      <c r="F66" s="125" t="n"/>
      <c r="G66" s="125" t="n"/>
      <c r="H66" s="125" t="n"/>
    </row>
    <row r="67">
      <c r="A67" s="135" t="n"/>
      <c r="B67" s="135" t="n"/>
      <c r="C67" s="158" t="n"/>
      <c r="D67" s="136" t="n"/>
      <c r="E67" s="135" t="n"/>
      <c r="F67" s="135" t="n"/>
      <c r="G67" s="135" t="n"/>
      <c r="H67" s="135" t="n"/>
    </row>
    <row r="68">
      <c r="A68" s="125" t="n"/>
      <c r="B68" s="125" t="n"/>
      <c r="C68" s="129" t="n"/>
      <c r="D68" s="126" t="n"/>
      <c r="E68" s="125" t="n"/>
      <c r="F68" s="125" t="n"/>
      <c r="G68" s="125" t="n"/>
      <c r="H68" s="125" t="n"/>
    </row>
    <row r="69">
      <c r="A69" s="135" t="n"/>
      <c r="B69" s="135" t="n"/>
      <c r="C69" s="160" t="n"/>
      <c r="D69" s="136" t="n"/>
      <c r="E69" s="135" t="n"/>
      <c r="F69" s="135" t="n"/>
      <c r="G69" s="135" t="n"/>
      <c r="H69" s="135" t="n"/>
    </row>
    <row r="70">
      <c r="A70" s="125" t="n"/>
      <c r="B70" s="125" t="n"/>
      <c r="C70" s="129" t="n"/>
      <c r="D70" s="126" t="n"/>
      <c r="E70" s="125" t="n"/>
      <c r="F70" s="125" t="n"/>
      <c r="G70" s="125" t="n"/>
      <c r="H70" s="125" t="n"/>
    </row>
    <row r="71">
      <c r="A71" s="135" t="n"/>
      <c r="B71" s="135" t="n"/>
      <c r="C71" s="158" t="n"/>
      <c r="D71" s="136" t="n"/>
      <c r="E71" s="135" t="n"/>
      <c r="F71" s="135" t="n"/>
      <c r="G71" s="135" t="n"/>
      <c r="H71" s="135" t="n"/>
    </row>
    <row r="72">
      <c r="A72" s="125" t="n"/>
      <c r="B72" s="125" t="n"/>
      <c r="C72" s="158" t="n"/>
      <c r="D72" s="126" t="n"/>
      <c r="E72" s="125" t="n"/>
      <c r="F72" s="125" t="n"/>
      <c r="G72" s="125" t="n"/>
      <c r="H72" s="125" t="n"/>
    </row>
    <row r="73">
      <c r="A73" s="135" t="n"/>
      <c r="B73" s="135" t="n"/>
      <c r="C73" s="158" t="n"/>
      <c r="D73" s="136" t="n"/>
      <c r="E73" s="135" t="n"/>
      <c r="F73" s="135" t="n"/>
      <c r="G73" s="135" t="n"/>
      <c r="H73" s="135" t="n"/>
    </row>
    <row r="74">
      <c r="A74" s="125" t="n"/>
      <c r="B74" s="125" t="n"/>
      <c r="C74" s="129" t="n"/>
      <c r="D74" s="126" t="n"/>
      <c r="E74" s="125" t="n"/>
      <c r="F74" s="125" t="n"/>
      <c r="G74" s="125" t="n"/>
      <c r="H74" s="125" t="n"/>
    </row>
    <row r="75">
      <c r="A75" s="135" t="n"/>
      <c r="B75" s="135" t="n"/>
      <c r="C75" s="129" t="n"/>
      <c r="D75" s="136" t="n"/>
      <c r="E75" s="135" t="n"/>
      <c r="F75" s="135" t="n"/>
      <c r="G75" s="135" t="n"/>
      <c r="H75" s="135" t="n"/>
    </row>
    <row r="76">
      <c r="A76" s="125" t="n"/>
      <c r="B76" s="125" t="n"/>
      <c r="C76" s="158" t="n"/>
      <c r="D76" s="126" t="n"/>
      <c r="E76" s="125" t="n"/>
      <c r="F76" s="125" t="n"/>
      <c r="G76" s="125" t="n"/>
      <c r="H76" s="125" t="n"/>
    </row>
    <row r="77">
      <c r="A77" s="135" t="n"/>
      <c r="B77" s="135" t="n"/>
      <c r="C77" s="129" t="n"/>
      <c r="D77" s="136" t="n"/>
      <c r="E77" s="135" t="n"/>
      <c r="F77" s="135" t="n"/>
      <c r="G77" s="135" t="n"/>
      <c r="H77" s="135" t="n"/>
    </row>
    <row r="78">
      <c r="A78" s="125" t="n"/>
      <c r="B78" s="125" t="n"/>
      <c r="C78" s="158" t="n"/>
      <c r="D78" s="126" t="n"/>
      <c r="E78" s="125" t="n"/>
      <c r="F78" s="125" t="n"/>
      <c r="G78" s="125" t="n"/>
      <c r="H78" s="125" t="n"/>
    </row>
    <row r="79">
      <c r="A79" s="135" t="n"/>
      <c r="B79" s="135" t="n"/>
      <c r="C79" s="129" t="n"/>
      <c r="D79" s="136" t="n"/>
      <c r="E79" s="135" t="n"/>
      <c r="F79" s="135" t="n"/>
      <c r="G79" s="135" t="n"/>
      <c r="H79" s="135" t="n"/>
    </row>
    <row r="80">
      <c r="A80" s="125" t="n"/>
      <c r="B80" s="125" t="n"/>
      <c r="C80" s="158" t="n"/>
      <c r="D80" s="126" t="n"/>
      <c r="E80" s="125" t="n"/>
      <c r="F80" s="125" t="n"/>
      <c r="G80" s="125" t="n"/>
      <c r="H80" s="125" t="n"/>
    </row>
    <row r="82">
      <c r="A82" s="139" t="n"/>
      <c r="D82" s="140">
        <f>SUM(D6:D80)</f>
        <v/>
      </c>
      <c r="E82" s="161">
        <f>AVERAGE(E6:E80)</f>
        <v/>
      </c>
    </row>
    <row r="84">
      <c r="A84" s="162" t="n"/>
      <c r="B84" s="163" t="n"/>
      <c r="C84" s="164" t="n"/>
      <c r="D84" s="165" t="n"/>
      <c r="E84" s="166" t="n"/>
      <c r="F84" s="167" t="n"/>
      <c r="G84" s="168" t="n"/>
    </row>
  </sheetData>
  <mergeCells count="3">
    <mergeCell ref="A3:H3"/>
    <mergeCell ref="A2:H2"/>
    <mergeCell ref="A1:H1"/>
  </mergeCells>
  <hyperlinks>
    <hyperlink ref="A1" location="'Start Here'!A1" display="🏠 Start Here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4" customWidth="1" style="230" min="1" max="1"/>
    <col width="14" customWidth="1" style="230" min="2" max="2"/>
    <col width="14" customWidth="1" style="230" min="3" max="3"/>
    <col width="48" customWidth="1" style="230" min="4" max="4"/>
    <col width="16" customWidth="1" style="230" min="5" max="5"/>
    <col width="13" customWidth="1" style="230" min="6" max="6"/>
    <col width="13" customWidth="1" style="230" min="7" max="7"/>
    <col width="11" customWidth="1" style="230" min="8" max="8"/>
    <col width="12" customWidth="1" style="230" min="9" max="9"/>
    <col width="20" customWidth="1" style="230" min="10" max="10"/>
    <col width="32" customWidth="1" style="230" min="11" max="11"/>
  </cols>
  <sheetData>
    <row r="1" ht="28" customHeight="1" s="230">
      <c r="A1" s="318" t="inlineStr">
        <is>
          <t>🏠 Start Here</t>
        </is>
      </c>
    </row>
    <row r="2" ht="20" customHeight="1" s="230">
      <c r="B2" s="319" t="inlineStr">
        <is>
          <t>Track every card you own: when you bought it, when you listed it, and how long it's been sitting. Aging is based on Listed Date — the 60-day clock starts when it goes live.</t>
        </is>
      </c>
    </row>
    <row r="3" ht="22" customHeight="1" s="230">
      <c r="A3" s="320" t="inlineStr">
        <is>
          <t>SUMMARY →</t>
        </is>
      </c>
      <c r="B3" s="320" t="inlineStr">
        <is>
          <t>Active listings:</t>
        </is>
      </c>
      <c r="C3" s="320">
        <f>COUNTIF(H5:H504,"Listed")</f>
        <v/>
      </c>
      <c r="D3" s="320" t="inlineStr">
        <is>
          <t>Stale (≥60d):</t>
        </is>
      </c>
      <c r="E3" s="320">
        <f>COUNTIF(J5:J504,"STALE — route now")</f>
        <v/>
      </c>
      <c r="F3" s="320" t="inlineStr">
        <is>
          <t>Capital at risk ($):</t>
        </is>
      </c>
      <c r="G3" s="321">
        <f>SUMIFS(F5:F504,J5:J504,"STALE — route now")</f>
        <v/>
      </c>
      <c r="H3" s="320" t="inlineStr">
        <is>
          <t>Avg days listed:</t>
        </is>
      </c>
      <c r="I3" s="322">
        <f>IFERROR(AVERAGEIF(H5:H504,"Listed",I5:I504),"—")</f>
        <v/>
      </c>
    </row>
    <row r="4" ht="22" customHeight="1" s="230">
      <c r="A4" s="323" t="inlineStr">
        <is>
          <t>Acquired</t>
        </is>
      </c>
      <c r="B4" s="323" t="inlineStr">
        <is>
          <t>Listed Date</t>
        </is>
      </c>
      <c r="C4" s="323" t="inlineStr">
        <is>
          <t>Source</t>
        </is>
      </c>
      <c r="D4" s="323" t="inlineStr">
        <is>
          <t>Card Description</t>
        </is>
      </c>
      <c r="E4" s="323" t="inlineStr">
        <is>
          <t>Category</t>
        </is>
      </c>
      <c r="F4" s="323" t="inlineStr">
        <is>
          <t>Cost Basis ($)</t>
        </is>
      </c>
      <c r="G4" s="323" t="inlineStr">
        <is>
          <t>Listed Price ($)</t>
        </is>
      </c>
      <c r="H4" s="323" t="inlineStr">
        <is>
          <t>Status</t>
        </is>
      </c>
      <c r="I4" s="323" t="inlineStr">
        <is>
          <t>Days Listed</t>
        </is>
      </c>
      <c r="J4" s="323" t="inlineStr">
        <is>
          <t>Aging Flag</t>
        </is>
      </c>
      <c r="K4" s="323" t="inlineStr">
        <is>
          <t>Next Action</t>
        </is>
      </c>
    </row>
    <row r="5" ht="18" customHeight="1" s="230">
      <c r="A5" s="352" t="n">
        <v>46032</v>
      </c>
      <c r="B5" s="352" t="n">
        <v>46034</v>
      </c>
      <c r="C5" s="353" t="inlineStr">
        <is>
          <t>eBay</t>
        </is>
      </c>
      <c r="D5" s="354" t="inlineStr">
        <is>
          <t>2024 Panini Prizm Patrick Mahomes #168 RC Silver</t>
        </is>
      </c>
      <c r="E5" s="353" t="inlineStr">
        <is>
          <t>Football</t>
        </is>
      </c>
      <c r="F5" s="355" t="n">
        <v>18</v>
      </c>
      <c r="G5" s="355" t="n">
        <v>42</v>
      </c>
      <c r="H5" s="353" t="inlineStr">
        <is>
          <t>Listed</t>
        </is>
      </c>
      <c r="I5" s="328">
        <f>IF(OR(B5="",H5="Sold"),"—",TODAY()-B5)</f>
        <v/>
      </c>
      <c r="J5" s="329">
        <f>IF(OR(B5="",H5="Sold"),"",IF(I5="—","",IF(I5&gt;=60,"STALE — route now",IF(I5&gt;=30,"Aging — watch",IF(I5&gt;=0,"Fresh","")))))</f>
        <v/>
      </c>
      <c r="K5" s="330">
        <f>IF(J5="STALE — route now","→ Send to consignment batch",IF(J5="Aging — watch","→ Consider 10% price drop",IF(J5="Fresh","→ Hold &amp; monitor","")))</f>
        <v/>
      </c>
    </row>
    <row r="6" ht="18" customHeight="1" s="230">
      <c r="A6" s="356" t="n">
        <v>46058</v>
      </c>
      <c r="B6" s="356" t="n">
        <v>46061</v>
      </c>
      <c r="C6" s="357" t="inlineStr">
        <is>
          <t>FB Lot</t>
        </is>
      </c>
      <c r="D6" s="358" t="inlineStr">
        <is>
          <t>2023 Bowman Chrome Corbin Carroll Auto #CPA-CC RC</t>
        </is>
      </c>
      <c r="E6" s="357" t="inlineStr">
        <is>
          <t>Baseball</t>
        </is>
      </c>
      <c r="F6" s="359" t="n">
        <v>22</v>
      </c>
      <c r="G6" s="359" t="n">
        <v>55</v>
      </c>
      <c r="H6" s="357" t="inlineStr">
        <is>
          <t>Listed</t>
        </is>
      </c>
      <c r="I6" s="335">
        <f>IF(OR(B6="",H6="Sold"),"—",TODAY()-B6)</f>
        <v/>
      </c>
      <c r="J6" s="336">
        <f>IF(OR(B6="",H6="Sold"),"",IF(I6="—","",IF(I6&gt;=60,"STALE — route now",IF(I6&gt;=30,"Aging — watch",IF(I6&gt;=0,"Fresh","")))))</f>
        <v/>
      </c>
      <c r="K6" s="337">
        <f>IF(J6="STALE — route now","→ Send to consignment batch",IF(J6="Aging — watch","→ Consider 10% price drop",IF(J6="Fresh","→ Hold &amp; monitor","")))</f>
        <v/>
      </c>
    </row>
    <row r="7" ht="18" customHeight="1" s="230">
      <c r="A7" s="352" t="n">
        <v>46082</v>
      </c>
      <c r="B7" s="352" t="n">
        <v>46084</v>
      </c>
      <c r="C7" s="353" t="inlineStr">
        <is>
          <t>Whatnot</t>
        </is>
      </c>
      <c r="D7" s="354" t="inlineStr">
        <is>
          <t>2024 Topps Chrome Fernando Tatis Jr. #100 Gold Ref /50</t>
        </is>
      </c>
      <c r="E7" s="353" t="inlineStr">
        <is>
          <t>Baseball</t>
        </is>
      </c>
      <c r="F7" s="355" t="n">
        <v>30</v>
      </c>
      <c r="G7" s="355" t="n">
        <v>75</v>
      </c>
      <c r="H7" s="353" t="inlineStr">
        <is>
          <t>Listed</t>
        </is>
      </c>
      <c r="I7" s="328">
        <f>IF(OR(B7="",H7="Sold"),"—",TODAY()-B7)</f>
        <v/>
      </c>
      <c r="J7" s="329">
        <f>IF(OR(B7="",H7="Sold"),"",IF(I7="—","",IF(I7&gt;=60,"STALE — route now",IF(I7&gt;=30,"Aging — watch",IF(I7&gt;=0,"Fresh","")))))</f>
        <v/>
      </c>
      <c r="K7" s="330">
        <f>IF(J7="STALE — route now","→ Send to consignment batch",IF(J7="Aging — watch","→ Consider 10% price drop",IF(J7="Fresh","→ Hold &amp; monitor","")))</f>
        <v/>
      </c>
    </row>
    <row r="8" ht="18" customHeight="1" s="230">
      <c r="A8" s="331" t="n"/>
      <c r="B8" s="331" t="n"/>
      <c r="C8" s="332" t="n"/>
      <c r="D8" s="333" t="n"/>
      <c r="E8" s="332" t="n"/>
      <c r="F8" s="334" t="n"/>
      <c r="G8" s="334" t="n"/>
      <c r="H8" s="332" t="n"/>
      <c r="I8" s="335">
        <f>IF(OR(B8="",H8="Sold"),"—",TODAY()-B8)</f>
        <v/>
      </c>
      <c r="J8" s="336">
        <f>IF(OR(B8="",H8="Sold"),"",IF(I8="—","",IF(I8&gt;=60,"STALE — route now",IF(I8&gt;=30,"Aging — watch",IF(I8&gt;=0,"Fresh","")))))</f>
        <v/>
      </c>
      <c r="K8" s="337">
        <f>IF(J8="STALE — route now","→ Send to consignment batch",IF(J8="Aging — watch","→ Consider 10% price drop",IF(J8="Fresh","→ Hold &amp; monitor","")))</f>
        <v/>
      </c>
    </row>
    <row r="9" ht="18" customHeight="1" s="230">
      <c r="A9" s="324" t="n"/>
      <c r="B9" s="324" t="n"/>
      <c r="C9" s="325" t="n"/>
      <c r="D9" s="326" t="n"/>
      <c r="E9" s="325" t="n"/>
      <c r="F9" s="327" t="n"/>
      <c r="G9" s="327" t="n"/>
      <c r="H9" s="325" t="n"/>
      <c r="I9" s="328">
        <f>IF(OR(B9="",H9="Sold"),"—",TODAY()-B9)</f>
        <v/>
      </c>
      <c r="J9" s="329">
        <f>IF(OR(B9="",H9="Sold"),"",IF(I9="—","",IF(I9&gt;=60,"STALE — route now",IF(I9&gt;=30,"Aging — watch",IF(I9&gt;=0,"Fresh","")))))</f>
        <v/>
      </c>
      <c r="K9" s="330">
        <f>IF(J9="STALE — route now","→ Send to consignment batch",IF(J9="Aging — watch","→ Consider 10% price drop",IF(J9="Fresh","→ Hold &amp; monitor","")))</f>
        <v/>
      </c>
    </row>
    <row r="10" ht="36" customHeight="1" s="230">
      <c r="A10" s="338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40" t="n"/>
    </row>
    <row r="11" ht="18" customHeight="1" s="230">
      <c r="A11" s="324" t="n"/>
      <c r="B11" s="324" t="n"/>
      <c r="C11" s="325" t="n"/>
      <c r="D11" s="326" t="n"/>
      <c r="E11" s="325" t="n"/>
      <c r="F11" s="327" t="n"/>
      <c r="G11" s="327" t="n"/>
      <c r="H11" s="325" t="n"/>
      <c r="I11" s="328">
        <f>IF(OR(B11="",H11="Sold"),"—",TODAY()-B11)</f>
        <v/>
      </c>
      <c r="J11" s="329">
        <f>IF(OR(B11="",H11="Sold"),"",IF(I11="—","",IF(I11&gt;=60,"STALE — route now",IF(I11&gt;=30,"Aging — watch",IF(I11&gt;=0,"Fresh","")))))</f>
        <v/>
      </c>
      <c r="K11" s="330">
        <f>IF(J11="STALE — route now","→ Send to consignment batch",IF(J11="Aging — watch","→ Consider 10% price drop",IF(J11="Fresh","→ Hold &amp; monitor","")))</f>
        <v/>
      </c>
    </row>
    <row r="12" ht="18" customHeight="1" s="230">
      <c r="A12" s="331" t="n"/>
      <c r="B12" s="331" t="n"/>
      <c r="C12" s="332" t="n"/>
      <c r="D12" s="333" t="n"/>
      <c r="E12" s="332" t="n"/>
      <c r="F12" s="334" t="n"/>
      <c r="G12" s="334" t="n"/>
      <c r="H12" s="332" t="n"/>
      <c r="I12" s="335">
        <f>IF(OR(B12="",H12="Sold"),"—",TODAY()-B12)</f>
        <v/>
      </c>
      <c r="J12" s="336">
        <f>IF(OR(B12="",H12="Sold"),"",IF(I12="—","",IF(I12&gt;=60,"STALE — route now",IF(I12&gt;=30,"Aging — watch",IF(I12&gt;=0,"Fresh","")))))</f>
        <v/>
      </c>
      <c r="K12" s="337">
        <f>IF(J12="STALE — route now","→ Send to consignment batch",IF(J12="Aging — watch","→ Consider 10% price drop",IF(J12="Fresh","→ Hold &amp; monitor","")))</f>
        <v/>
      </c>
    </row>
    <row r="13" ht="18" customHeight="1" s="230">
      <c r="A13" s="324" t="n"/>
      <c r="B13" s="324" t="n"/>
      <c r="C13" s="325" t="n"/>
      <c r="D13" s="326" t="n"/>
      <c r="E13" s="325" t="n"/>
      <c r="F13" s="327" t="n"/>
      <c r="G13" s="327" t="n"/>
      <c r="H13" s="325" t="n"/>
      <c r="I13" s="328">
        <f>IF(OR(B13="",H13="Sold"),"—",TODAY()-B13)</f>
        <v/>
      </c>
      <c r="J13" s="329">
        <f>IF(OR(B13="",H13="Sold"),"",IF(I13="—","",IF(I13&gt;=60,"STALE — route now",IF(I13&gt;=30,"Aging — watch",IF(I13&gt;=0,"Fresh","")))))</f>
        <v/>
      </c>
      <c r="K13" s="330">
        <f>IF(J13="STALE — route now","→ Send to consignment batch",IF(J13="Aging — watch","→ Consider 10% price drop",IF(J13="Fresh","→ Hold &amp; monitor","")))</f>
        <v/>
      </c>
    </row>
    <row r="14" ht="18" customHeight="1" s="230">
      <c r="A14" s="331" t="n"/>
      <c r="B14" s="331" t="n"/>
      <c r="C14" s="332" t="n"/>
      <c r="D14" s="333" t="n"/>
      <c r="E14" s="332" t="n"/>
      <c r="F14" s="334" t="n"/>
      <c r="G14" s="334" t="n"/>
      <c r="H14" s="332" t="n"/>
      <c r="I14" s="335">
        <f>IF(OR(B14="",H14="Sold"),"—",TODAY()-B14)</f>
        <v/>
      </c>
      <c r="J14" s="336">
        <f>IF(OR(B14="",H14="Sold"),"",IF(I14="—","",IF(I14&gt;=60,"STALE — route now",IF(I14&gt;=30,"Aging — watch",IF(I14&gt;=0,"Fresh","")))))</f>
        <v/>
      </c>
      <c r="K14" s="337">
        <f>IF(J14="STALE — route now","→ Send to consignment batch",IF(J14="Aging — watch","→ Consider 10% price drop",IF(J14="Fresh","→ Hold &amp; monitor","")))</f>
        <v/>
      </c>
    </row>
    <row r="15" ht="18" customHeight="1" s="230">
      <c r="A15" s="324" t="n"/>
      <c r="B15" s="324" t="n"/>
      <c r="C15" s="325" t="n"/>
      <c r="D15" s="326" t="n"/>
      <c r="E15" s="325" t="n"/>
      <c r="F15" s="327" t="n"/>
      <c r="G15" s="327" t="n"/>
      <c r="H15" s="325" t="n"/>
      <c r="I15" s="328">
        <f>IF(OR(B15="",H15="Sold"),"—",TODAY()-B15)</f>
        <v/>
      </c>
      <c r="J15" s="329">
        <f>IF(OR(B15="",H15="Sold"),"",IF(I15="—","",IF(I15&gt;=60,"STALE — route now",IF(I15&gt;=30,"Aging — watch",IF(I15&gt;=0,"Fresh","")))))</f>
        <v/>
      </c>
      <c r="K15" s="330">
        <f>IF(J15="STALE — route now","→ Send to consignment batch",IF(J15="Aging — watch","→ Consider 10% price drop",IF(J15="Fresh","→ Hold &amp; monitor","")))</f>
        <v/>
      </c>
    </row>
    <row r="16" ht="18" customHeight="1" s="230">
      <c r="A16" s="331" t="n"/>
      <c r="B16" s="331" t="n"/>
      <c r="C16" s="332" t="n"/>
      <c r="D16" s="333" t="n"/>
      <c r="E16" s="332" t="n"/>
      <c r="F16" s="334" t="n"/>
      <c r="G16" s="334" t="n"/>
      <c r="H16" s="332" t="n"/>
      <c r="I16" s="335">
        <f>IF(OR(B16="",H16="Sold"),"—",TODAY()-B16)</f>
        <v/>
      </c>
      <c r="J16" s="336">
        <f>IF(OR(B16="",H16="Sold"),"",IF(I16="—","",IF(I16&gt;=60,"STALE — route now",IF(I16&gt;=30,"Aging — watch",IF(I16&gt;=0,"Fresh","")))))</f>
        <v/>
      </c>
      <c r="K16" s="337">
        <f>IF(J16="STALE — route now","→ Send to consignment batch",IF(J16="Aging — watch","→ Consider 10% price drop",IF(J16="Fresh","→ Hold &amp; monitor","")))</f>
        <v/>
      </c>
    </row>
    <row r="17" ht="18" customHeight="1" s="230">
      <c r="A17" s="324" t="n"/>
      <c r="B17" s="324" t="n"/>
      <c r="C17" s="325" t="n"/>
      <c r="D17" s="326" t="n"/>
      <c r="E17" s="325" t="n"/>
      <c r="F17" s="327" t="n"/>
      <c r="G17" s="327" t="n"/>
      <c r="H17" s="325" t="n"/>
      <c r="I17" s="328">
        <f>IF(OR(B17="",H17="Sold"),"—",TODAY()-B17)</f>
        <v/>
      </c>
      <c r="J17" s="329">
        <f>IF(OR(B17="",H17="Sold"),"",IF(I17="—","",IF(I17&gt;=60,"STALE — route now",IF(I17&gt;=30,"Aging — watch",IF(I17&gt;=0,"Fresh","")))))</f>
        <v/>
      </c>
      <c r="K17" s="330">
        <f>IF(J17="STALE — route now","→ Send to consignment batch",IF(J17="Aging — watch","→ Consider 10% price drop",IF(J17="Fresh","→ Hold &amp; monitor","")))</f>
        <v/>
      </c>
    </row>
    <row r="18" ht="18" customHeight="1" s="230">
      <c r="A18" s="331" t="n"/>
      <c r="B18" s="331" t="n"/>
      <c r="C18" s="332" t="n"/>
      <c r="D18" s="333" t="n"/>
      <c r="E18" s="332" t="n"/>
      <c r="F18" s="334" t="n"/>
      <c r="G18" s="334" t="n"/>
      <c r="H18" s="332" t="n"/>
      <c r="I18" s="335">
        <f>IF(OR(B18="",H18="Sold"),"—",TODAY()-B18)</f>
        <v/>
      </c>
      <c r="J18" s="336">
        <f>IF(OR(B18="",H18="Sold"),"",IF(I18="—","",IF(I18&gt;=60,"STALE — route now",IF(I18&gt;=30,"Aging — watch",IF(I18&gt;=0,"Fresh","")))))</f>
        <v/>
      </c>
      <c r="K18" s="337">
        <f>IF(J18="STALE — route now","→ Send to consignment batch",IF(J18="Aging — watch","→ Consider 10% price drop",IF(J18="Fresh","→ Hold &amp; monitor","")))</f>
        <v/>
      </c>
    </row>
    <row r="19" ht="18" customHeight="1" s="230">
      <c r="A19" s="324" t="n"/>
      <c r="B19" s="324" t="n"/>
      <c r="C19" s="325" t="n"/>
      <c r="D19" s="326" t="n"/>
      <c r="E19" s="325" t="n"/>
      <c r="F19" s="327" t="n"/>
      <c r="G19" s="327" t="n"/>
      <c r="H19" s="325" t="n"/>
      <c r="I19" s="328">
        <f>IF(OR(B19="",H19="Sold"),"—",TODAY()-B19)</f>
        <v/>
      </c>
      <c r="J19" s="329">
        <f>IF(OR(B19="",H19="Sold"),"",IF(I19="—","",IF(I19&gt;=60,"STALE — route now",IF(I19&gt;=30,"Aging — watch",IF(I19&gt;=0,"Fresh","")))))</f>
        <v/>
      </c>
      <c r="K19" s="330">
        <f>IF(J19="STALE — route now","→ Send to consignment batch",IF(J19="Aging — watch","→ Consider 10% price drop",IF(J19="Fresh","→ Hold &amp; monitor","")))</f>
        <v/>
      </c>
    </row>
    <row r="20" ht="18" customHeight="1" s="230">
      <c r="A20" s="331" t="n"/>
      <c r="B20" s="331" t="n"/>
      <c r="C20" s="332" t="n"/>
      <c r="D20" s="333" t="n"/>
      <c r="E20" s="332" t="n"/>
      <c r="F20" s="334" t="n"/>
      <c r="G20" s="334" t="n"/>
      <c r="H20" s="332" t="n"/>
      <c r="I20" s="335">
        <f>IF(OR(B20="",H20="Sold"),"—",TODAY()-B20)</f>
        <v/>
      </c>
      <c r="J20" s="336">
        <f>IF(OR(B20="",H20="Sold"),"",IF(I20="—","",IF(I20&gt;=60,"STALE — route now",IF(I20&gt;=30,"Aging — watch",IF(I20&gt;=0,"Fresh","")))))</f>
        <v/>
      </c>
      <c r="K20" s="337">
        <f>IF(J20="STALE — route now","→ Send to consignment batch",IF(J20="Aging — watch","→ Consider 10% price drop",IF(J20="Fresh","→ Hold &amp; monitor","")))</f>
        <v/>
      </c>
    </row>
    <row r="21" ht="18" customHeight="1" s="230">
      <c r="A21" s="324" t="n"/>
      <c r="B21" s="324" t="n"/>
      <c r="C21" s="325" t="n"/>
      <c r="D21" s="326" t="n"/>
      <c r="E21" s="325" t="n"/>
      <c r="F21" s="327" t="n"/>
      <c r="G21" s="327" t="n"/>
      <c r="H21" s="325" t="n"/>
      <c r="I21" s="328">
        <f>IF(OR(B21="",H21="Sold"),"—",TODAY()-B21)</f>
        <v/>
      </c>
      <c r="J21" s="329">
        <f>IF(OR(B21="",H21="Sold"),"",IF(I21="—","",IF(I21&gt;=60,"STALE — route now",IF(I21&gt;=30,"Aging — watch",IF(I21&gt;=0,"Fresh","")))))</f>
        <v/>
      </c>
      <c r="K21" s="330">
        <f>IF(J21="STALE — route now","→ Send to consignment batch",IF(J21="Aging — watch","→ Consider 10% price drop",IF(J21="Fresh","→ Hold &amp; monitor","")))</f>
        <v/>
      </c>
    </row>
    <row r="22" ht="18" customHeight="1" s="230">
      <c r="A22" s="331" t="n"/>
      <c r="B22" s="331" t="n"/>
      <c r="C22" s="332" t="n"/>
      <c r="D22" s="333" t="n"/>
      <c r="E22" s="332" t="n"/>
      <c r="F22" s="334" t="n"/>
      <c r="G22" s="334" t="n"/>
      <c r="H22" s="332" t="n"/>
      <c r="I22" s="335">
        <f>IF(OR(B22="",H22="Sold"),"—",TODAY()-B22)</f>
        <v/>
      </c>
      <c r="J22" s="336">
        <f>IF(OR(B22="",H22="Sold"),"",IF(I22="—","",IF(I22&gt;=60,"STALE — route now",IF(I22&gt;=30,"Aging — watch",IF(I22&gt;=0,"Fresh","")))))</f>
        <v/>
      </c>
      <c r="K22" s="337">
        <f>IF(J22="STALE — route now","→ Send to consignment batch",IF(J22="Aging — watch","→ Consider 10% price drop",IF(J22="Fresh","→ Hold &amp; monitor","")))</f>
        <v/>
      </c>
    </row>
    <row r="23" ht="18" customHeight="1" s="230">
      <c r="A23" s="324" t="n"/>
      <c r="B23" s="324" t="n"/>
      <c r="C23" s="325" t="n"/>
      <c r="D23" s="326" t="n"/>
      <c r="E23" s="325" t="n"/>
      <c r="F23" s="327" t="n"/>
      <c r="G23" s="327" t="n"/>
      <c r="H23" s="325" t="n"/>
      <c r="I23" s="328">
        <f>IF(OR(B23="",H23="Sold"),"—",TODAY()-B23)</f>
        <v/>
      </c>
      <c r="J23" s="329">
        <f>IF(OR(B23="",H23="Sold"),"",IF(I23="—","",IF(I23&gt;=60,"STALE — route now",IF(I23&gt;=30,"Aging — watch",IF(I23&gt;=0,"Fresh","")))))</f>
        <v/>
      </c>
      <c r="K23" s="330">
        <f>IF(J23="STALE — route now","→ Send to consignment batch",IF(J23="Aging — watch","→ Consider 10% price drop",IF(J23="Fresh","→ Hold &amp; monitor","")))</f>
        <v/>
      </c>
    </row>
    <row r="24" ht="18" customHeight="1" s="230">
      <c r="A24" s="331" t="n"/>
      <c r="B24" s="331" t="n"/>
      <c r="C24" s="332" t="n"/>
      <c r="D24" s="333" t="n"/>
      <c r="E24" s="332" t="n"/>
      <c r="F24" s="334" t="n"/>
      <c r="G24" s="334" t="n"/>
      <c r="H24" s="332" t="n"/>
      <c r="I24" s="335">
        <f>IF(OR(B24="",H24="Sold"),"—",TODAY()-B24)</f>
        <v/>
      </c>
      <c r="J24" s="336">
        <f>IF(OR(B24="",H24="Sold"),"",IF(I24="—","",IF(I24&gt;=60,"STALE — route now",IF(I24&gt;=30,"Aging — watch",IF(I24&gt;=0,"Fresh","")))))</f>
        <v/>
      </c>
      <c r="K24" s="337">
        <f>IF(J24="STALE — route now","→ Send to consignment batch",IF(J24="Aging — watch","→ Consider 10% price drop",IF(J24="Fresh","→ Hold &amp; monitor","")))</f>
        <v/>
      </c>
    </row>
    <row r="25" ht="18" customHeight="1" s="230">
      <c r="A25" s="324" t="n"/>
      <c r="B25" s="324" t="n"/>
      <c r="C25" s="325" t="n"/>
      <c r="D25" s="326" t="n"/>
      <c r="E25" s="325" t="n"/>
      <c r="F25" s="327" t="n"/>
      <c r="G25" s="327" t="n"/>
      <c r="H25" s="325" t="n"/>
      <c r="I25" s="328">
        <f>IF(OR(B25="",H25="Sold"),"—",TODAY()-B25)</f>
        <v/>
      </c>
      <c r="J25" s="329">
        <f>IF(OR(B25="",H25="Sold"),"",IF(I25="—","",IF(I25&gt;=60,"STALE — route now",IF(I25&gt;=30,"Aging — watch",IF(I25&gt;=0,"Fresh","")))))</f>
        <v/>
      </c>
      <c r="K25" s="330">
        <f>IF(J25="STALE — route now","→ Send to consignment batch",IF(J25="Aging — watch","→ Consider 10% price drop",IF(J25="Fresh","→ Hold &amp; monitor","")))</f>
        <v/>
      </c>
    </row>
    <row r="26" ht="18" customHeight="1" s="230">
      <c r="A26" s="331" t="n"/>
      <c r="B26" s="331" t="n"/>
      <c r="C26" s="332" t="n"/>
      <c r="D26" s="333" t="n"/>
      <c r="E26" s="332" t="n"/>
      <c r="F26" s="334" t="n"/>
      <c r="G26" s="334" t="n"/>
      <c r="H26" s="332" t="n"/>
      <c r="I26" s="335">
        <f>IF(OR(B26="",H26="Sold"),"—",TODAY()-B26)</f>
        <v/>
      </c>
      <c r="J26" s="336">
        <f>IF(OR(B26="",H26="Sold"),"",IF(I26="—","",IF(I26&gt;=60,"STALE — route now",IF(I26&gt;=30,"Aging — watch",IF(I26&gt;=0,"Fresh","")))))</f>
        <v/>
      </c>
      <c r="K26" s="337">
        <f>IF(J26="STALE — route now","→ Send to consignment batch",IF(J26="Aging — watch","→ Consider 10% price drop",IF(J26="Fresh","→ Hold &amp; monitor","")))</f>
        <v/>
      </c>
    </row>
    <row r="27" ht="18" customHeight="1" s="230">
      <c r="A27" s="324" t="n"/>
      <c r="B27" s="324" t="n"/>
      <c r="C27" s="325" t="n"/>
      <c r="D27" s="326" t="n"/>
      <c r="E27" s="325" t="n"/>
      <c r="F27" s="327" t="n"/>
      <c r="G27" s="327" t="n"/>
      <c r="H27" s="325" t="n"/>
      <c r="I27" s="328">
        <f>IF(OR(B27="",H27="Sold"),"—",TODAY()-B27)</f>
        <v/>
      </c>
      <c r="J27" s="329">
        <f>IF(OR(B27="",H27="Sold"),"",IF(I27="—","",IF(I27&gt;=60,"STALE — route now",IF(I27&gt;=30,"Aging — watch",IF(I27&gt;=0,"Fresh","")))))</f>
        <v/>
      </c>
      <c r="K27" s="330">
        <f>IF(J27="STALE — route now","→ Send to consignment batch",IF(J27="Aging — watch","→ Consider 10% price drop",IF(J27="Fresh","→ Hold &amp; monitor","")))</f>
        <v/>
      </c>
    </row>
    <row r="28" ht="18" customHeight="1" s="230">
      <c r="A28" s="331" t="n"/>
      <c r="B28" s="331" t="n"/>
      <c r="C28" s="332" t="n"/>
      <c r="D28" s="333" t="n"/>
      <c r="E28" s="332" t="n"/>
      <c r="F28" s="334" t="n"/>
      <c r="G28" s="334" t="n"/>
      <c r="H28" s="332" t="n"/>
      <c r="I28" s="335">
        <f>IF(OR(B28="",H28="Sold"),"—",TODAY()-B28)</f>
        <v/>
      </c>
      <c r="J28" s="336">
        <f>IF(OR(B28="",H28="Sold"),"",IF(I28="—","",IF(I28&gt;=60,"STALE — route now",IF(I28&gt;=30,"Aging — watch",IF(I28&gt;=0,"Fresh","")))))</f>
        <v/>
      </c>
      <c r="K28" s="337">
        <f>IF(J28="STALE — route now","→ Send to consignment batch",IF(J28="Aging — watch","→ Consider 10% price drop",IF(J28="Fresh","→ Hold &amp; monitor","")))</f>
        <v/>
      </c>
    </row>
    <row r="29" ht="18" customHeight="1" s="230">
      <c r="A29" s="324" t="n"/>
      <c r="B29" s="324" t="n"/>
      <c r="C29" s="325" t="n"/>
      <c r="D29" s="326" t="n"/>
      <c r="E29" s="325" t="n"/>
      <c r="F29" s="327" t="n"/>
      <c r="G29" s="327" t="n"/>
      <c r="H29" s="325" t="n"/>
      <c r="I29" s="328">
        <f>IF(OR(B29="",H29="Sold"),"—",TODAY()-B29)</f>
        <v/>
      </c>
      <c r="J29" s="329">
        <f>IF(OR(B29="",H29="Sold"),"",IF(I29="—","",IF(I29&gt;=60,"STALE — route now",IF(I29&gt;=30,"Aging — watch",IF(I29&gt;=0,"Fresh","")))))</f>
        <v/>
      </c>
      <c r="K29" s="330">
        <f>IF(J29="STALE — route now","→ Send to consignment batch",IF(J29="Aging — watch","→ Consider 10% price drop",IF(J29="Fresh","→ Hold &amp; monitor","")))</f>
        <v/>
      </c>
    </row>
    <row r="30" ht="18" customHeight="1" s="230">
      <c r="A30" s="331" t="n"/>
      <c r="B30" s="331" t="n"/>
      <c r="C30" s="332" t="n"/>
      <c r="D30" s="333" t="n"/>
      <c r="E30" s="332" t="n"/>
      <c r="F30" s="334" t="n"/>
      <c r="G30" s="334" t="n"/>
      <c r="H30" s="332" t="n"/>
      <c r="I30" s="335">
        <f>IF(OR(B30="",H30="Sold"),"—",TODAY()-B30)</f>
        <v/>
      </c>
      <c r="J30" s="336">
        <f>IF(OR(B30="",H30="Sold"),"",IF(I30="—","",IF(I30&gt;=60,"STALE — route now",IF(I30&gt;=30,"Aging — watch",IF(I30&gt;=0,"Fresh","")))))</f>
        <v/>
      </c>
      <c r="K30" s="337">
        <f>IF(J30="STALE — route now","→ Send to consignment batch",IF(J30="Aging — watch","→ Consider 10% price drop",IF(J30="Fresh","→ Hold &amp; monitor","")))</f>
        <v/>
      </c>
    </row>
    <row r="31" ht="18" customHeight="1" s="230">
      <c r="A31" s="324" t="n"/>
      <c r="B31" s="324" t="n"/>
      <c r="C31" s="325" t="n"/>
      <c r="D31" s="326" t="n"/>
      <c r="E31" s="325" t="n"/>
      <c r="F31" s="327" t="n"/>
      <c r="G31" s="327" t="n"/>
      <c r="H31" s="325" t="n"/>
      <c r="I31" s="328">
        <f>IF(OR(B31="",H31="Sold"),"—",TODAY()-B31)</f>
        <v/>
      </c>
      <c r="J31" s="329">
        <f>IF(OR(B31="",H31="Sold"),"",IF(I31="—","",IF(I31&gt;=60,"STALE — route now",IF(I31&gt;=30,"Aging — watch",IF(I31&gt;=0,"Fresh","")))))</f>
        <v/>
      </c>
      <c r="K31" s="330">
        <f>IF(J31="STALE — route now","→ Send to consignment batch",IF(J31="Aging — watch","→ Consider 10% price drop",IF(J31="Fresh","→ Hold &amp; monitor","")))</f>
        <v/>
      </c>
    </row>
    <row r="32" ht="18" customHeight="1" s="230">
      <c r="A32" s="331" t="n"/>
      <c r="B32" s="331" t="n"/>
      <c r="C32" s="332" t="n"/>
      <c r="D32" s="333" t="n"/>
      <c r="E32" s="332" t="n"/>
      <c r="F32" s="334" t="n"/>
      <c r="G32" s="334" t="n"/>
      <c r="H32" s="332" t="n"/>
      <c r="I32" s="335">
        <f>IF(OR(B32="",H32="Sold"),"—",TODAY()-B32)</f>
        <v/>
      </c>
      <c r="J32" s="336">
        <f>IF(OR(B32="",H32="Sold"),"",IF(I32="—","",IF(I32&gt;=60,"STALE — route now",IF(I32&gt;=30,"Aging — watch",IF(I32&gt;=0,"Fresh","")))))</f>
        <v/>
      </c>
      <c r="K32" s="337">
        <f>IF(J32="STALE — route now","→ Send to consignment batch",IF(J32="Aging — watch","→ Consider 10% price drop",IF(J32="Fresh","→ Hold &amp; monitor","")))</f>
        <v/>
      </c>
    </row>
    <row r="33" ht="18" customHeight="1" s="230">
      <c r="A33" s="324" t="n"/>
      <c r="B33" s="324" t="n"/>
      <c r="C33" s="325" t="n"/>
      <c r="D33" s="326" t="n"/>
      <c r="E33" s="325" t="n"/>
      <c r="F33" s="327" t="n"/>
      <c r="G33" s="327" t="n"/>
      <c r="H33" s="325" t="n"/>
      <c r="I33" s="328">
        <f>IF(OR(B33="",H33="Sold"),"—",TODAY()-B33)</f>
        <v/>
      </c>
      <c r="J33" s="329">
        <f>IF(OR(B33="",H33="Sold"),"",IF(I33="—","",IF(I33&gt;=60,"STALE — route now",IF(I33&gt;=30,"Aging — watch",IF(I33&gt;=0,"Fresh","")))))</f>
        <v/>
      </c>
      <c r="K33" s="330">
        <f>IF(J33="STALE — route now","→ Send to consignment batch",IF(J33="Aging — watch","→ Consider 10% price drop",IF(J33="Fresh","→ Hold &amp; monitor","")))</f>
        <v/>
      </c>
    </row>
    <row r="34" ht="18" customHeight="1" s="230">
      <c r="A34" s="331" t="n"/>
      <c r="B34" s="331" t="n"/>
      <c r="C34" s="332" t="n"/>
      <c r="D34" s="333" t="n"/>
      <c r="E34" s="332" t="n"/>
      <c r="F34" s="334" t="n"/>
      <c r="G34" s="334" t="n"/>
      <c r="H34" s="332" t="n"/>
      <c r="I34" s="335">
        <f>IF(OR(B34="",H34="Sold"),"—",TODAY()-B34)</f>
        <v/>
      </c>
      <c r="J34" s="336">
        <f>IF(OR(B34="",H34="Sold"),"",IF(I34="—","",IF(I34&gt;=60,"STALE — route now",IF(I34&gt;=30,"Aging — watch",IF(I34&gt;=0,"Fresh","")))))</f>
        <v/>
      </c>
      <c r="K34" s="337">
        <f>IF(J34="STALE — route now","→ Send to consignment batch",IF(J34="Aging — watch","→ Consider 10% price drop",IF(J34="Fresh","→ Hold &amp; monitor","")))</f>
        <v/>
      </c>
    </row>
    <row r="35" ht="18" customHeight="1" s="230">
      <c r="A35" s="324" t="n"/>
      <c r="B35" s="324" t="n"/>
      <c r="C35" s="325" t="n"/>
      <c r="D35" s="326" t="n"/>
      <c r="E35" s="325" t="n"/>
      <c r="F35" s="327" t="n"/>
      <c r="G35" s="327" t="n"/>
      <c r="H35" s="325" t="n"/>
      <c r="I35" s="328">
        <f>IF(OR(B35="",H35="Sold"),"—",TODAY()-B35)</f>
        <v/>
      </c>
      <c r="J35" s="329">
        <f>IF(OR(B35="",H35="Sold"),"",IF(I35="—","",IF(I35&gt;=60,"STALE — route now",IF(I35&gt;=30,"Aging — watch",IF(I35&gt;=0,"Fresh","")))))</f>
        <v/>
      </c>
      <c r="K35" s="330">
        <f>IF(J35="STALE — route now","→ Send to consignment batch",IF(J35="Aging — watch","→ Consider 10% price drop",IF(J35="Fresh","→ Hold &amp; monitor","")))</f>
        <v/>
      </c>
    </row>
    <row r="36" ht="18" customHeight="1" s="230">
      <c r="A36" s="331" t="n"/>
      <c r="B36" s="331" t="n"/>
      <c r="C36" s="332" t="n"/>
      <c r="D36" s="333" t="n"/>
      <c r="E36" s="332" t="n"/>
      <c r="F36" s="334" t="n"/>
      <c r="G36" s="334" t="n"/>
      <c r="H36" s="332" t="n"/>
      <c r="I36" s="335">
        <f>IF(OR(B36="",H36="Sold"),"—",TODAY()-B36)</f>
        <v/>
      </c>
      <c r="J36" s="336">
        <f>IF(OR(B36="",H36="Sold"),"",IF(I36="—","",IF(I36&gt;=60,"STALE — route now",IF(I36&gt;=30,"Aging — watch",IF(I36&gt;=0,"Fresh","")))))</f>
        <v/>
      </c>
      <c r="K36" s="337">
        <f>IF(J36="STALE — route now","→ Send to consignment batch",IF(J36="Aging — watch","→ Consider 10% price drop",IF(J36="Fresh","→ Hold &amp; monitor","")))</f>
        <v/>
      </c>
    </row>
    <row r="37" ht="18" customHeight="1" s="230">
      <c r="A37" s="324" t="n"/>
      <c r="B37" s="324" t="n"/>
      <c r="C37" s="325" t="n"/>
      <c r="D37" s="326" t="n"/>
      <c r="E37" s="325" t="n"/>
      <c r="F37" s="327" t="n"/>
      <c r="G37" s="327" t="n"/>
      <c r="H37" s="325" t="n"/>
      <c r="I37" s="328">
        <f>IF(OR(B37="",H37="Sold"),"—",TODAY()-B37)</f>
        <v/>
      </c>
      <c r="J37" s="329">
        <f>IF(OR(B37="",H37="Sold"),"",IF(I37="—","",IF(I37&gt;=60,"STALE — route now",IF(I37&gt;=30,"Aging — watch",IF(I37&gt;=0,"Fresh","")))))</f>
        <v/>
      </c>
      <c r="K37" s="330">
        <f>IF(J37="STALE — route now","→ Send to consignment batch",IF(J37="Aging — watch","→ Consider 10% price drop",IF(J37="Fresh","→ Hold &amp; monitor","")))</f>
        <v/>
      </c>
    </row>
    <row r="38" ht="18" customHeight="1" s="230">
      <c r="A38" s="331" t="n"/>
      <c r="B38" s="331" t="n"/>
      <c r="C38" s="332" t="n"/>
      <c r="D38" s="333" t="n"/>
      <c r="E38" s="332" t="n"/>
      <c r="F38" s="334" t="n"/>
      <c r="G38" s="334" t="n"/>
      <c r="H38" s="332" t="n"/>
      <c r="I38" s="335">
        <f>IF(OR(B38="",H38="Sold"),"—",TODAY()-B38)</f>
        <v/>
      </c>
      <c r="J38" s="336">
        <f>IF(OR(B38="",H38="Sold"),"",IF(I38="—","",IF(I38&gt;=60,"STALE — route now",IF(I38&gt;=30,"Aging — watch",IF(I38&gt;=0,"Fresh","")))))</f>
        <v/>
      </c>
      <c r="K38" s="337">
        <f>IF(J38="STALE — route now","→ Send to consignment batch",IF(J38="Aging — watch","→ Consider 10% price drop",IF(J38="Fresh","→ Hold &amp; monitor","")))</f>
        <v/>
      </c>
    </row>
    <row r="39" ht="18" customHeight="1" s="230">
      <c r="A39" s="324" t="n"/>
      <c r="B39" s="324" t="n"/>
      <c r="C39" s="325" t="n"/>
      <c r="D39" s="326" t="n"/>
      <c r="E39" s="325" t="n"/>
      <c r="F39" s="327" t="n"/>
      <c r="G39" s="327" t="n"/>
      <c r="H39" s="325" t="n"/>
      <c r="I39" s="328">
        <f>IF(OR(B39="",H39="Sold"),"—",TODAY()-B39)</f>
        <v/>
      </c>
      <c r="J39" s="329">
        <f>IF(OR(B39="",H39="Sold"),"",IF(I39="—","",IF(I39&gt;=60,"STALE — route now",IF(I39&gt;=30,"Aging — watch",IF(I39&gt;=0,"Fresh","")))))</f>
        <v/>
      </c>
      <c r="K39" s="330">
        <f>IF(J39="STALE — route now","→ Send to consignment batch",IF(J39="Aging — watch","→ Consider 10% price drop",IF(J39="Fresh","→ Hold &amp; monitor","")))</f>
        <v/>
      </c>
    </row>
    <row r="40" ht="18" customHeight="1" s="230">
      <c r="A40" s="331" t="n"/>
      <c r="B40" s="331" t="n"/>
      <c r="C40" s="332" t="n"/>
      <c r="D40" s="333" t="n"/>
      <c r="E40" s="332" t="n"/>
      <c r="F40" s="334" t="n"/>
      <c r="G40" s="334" t="n"/>
      <c r="H40" s="332" t="n"/>
      <c r="I40" s="335">
        <f>IF(OR(B40="",H40="Sold"),"—",TODAY()-B40)</f>
        <v/>
      </c>
      <c r="J40" s="336">
        <f>IF(OR(B40="",H40="Sold"),"",IF(I40="—","",IF(I40&gt;=60,"STALE — route now",IF(I40&gt;=30,"Aging — watch",IF(I40&gt;=0,"Fresh","")))))</f>
        <v/>
      </c>
      <c r="K40" s="337">
        <f>IF(J40="STALE — route now","→ Send to consignment batch",IF(J40="Aging — watch","→ Consider 10% price drop",IF(J40="Fresh","→ Hold &amp; monitor","")))</f>
        <v/>
      </c>
    </row>
    <row r="41" ht="18" customHeight="1" s="230">
      <c r="A41" s="324" t="n"/>
      <c r="B41" s="324" t="n"/>
      <c r="C41" s="325" t="n"/>
      <c r="D41" s="326" t="n"/>
      <c r="E41" s="325" t="n"/>
      <c r="F41" s="327" t="n"/>
      <c r="G41" s="327" t="n"/>
      <c r="H41" s="325" t="n"/>
      <c r="I41" s="328">
        <f>IF(OR(B41="",H41="Sold"),"—",TODAY()-B41)</f>
        <v/>
      </c>
      <c r="J41" s="329">
        <f>IF(OR(B41="",H41="Sold"),"",IF(I41="—","",IF(I41&gt;=60,"STALE — route now",IF(I41&gt;=30,"Aging — watch",IF(I41&gt;=0,"Fresh","")))))</f>
        <v/>
      </c>
      <c r="K41" s="330">
        <f>IF(J41="STALE — route now","→ Send to consignment batch",IF(J41="Aging — watch","→ Consider 10% price drop",IF(J41="Fresh","→ Hold &amp; monitor","")))</f>
        <v/>
      </c>
    </row>
    <row r="42" ht="18" customHeight="1" s="230">
      <c r="A42" s="331" t="n"/>
      <c r="B42" s="331" t="n"/>
      <c r="C42" s="332" t="n"/>
      <c r="D42" s="333" t="n"/>
      <c r="E42" s="332" t="n"/>
      <c r="F42" s="334" t="n"/>
      <c r="G42" s="334" t="n"/>
      <c r="H42" s="332" t="n"/>
      <c r="I42" s="335">
        <f>IF(OR(B42="",H42="Sold"),"—",TODAY()-B42)</f>
        <v/>
      </c>
      <c r="J42" s="336">
        <f>IF(OR(B42="",H42="Sold"),"",IF(I42="—","",IF(I42&gt;=60,"STALE — route now",IF(I42&gt;=30,"Aging — watch",IF(I42&gt;=0,"Fresh","")))))</f>
        <v/>
      </c>
      <c r="K42" s="337">
        <f>IF(J42="STALE — route now","→ Send to consignment batch",IF(J42="Aging — watch","→ Consider 10% price drop",IF(J42="Fresh","→ Hold &amp; monitor","")))</f>
        <v/>
      </c>
    </row>
    <row r="43" ht="18" customHeight="1" s="230">
      <c r="A43" s="324" t="n"/>
      <c r="B43" s="324" t="n"/>
      <c r="C43" s="325" t="n"/>
      <c r="D43" s="326" t="n"/>
      <c r="E43" s="325" t="n"/>
      <c r="F43" s="327" t="n"/>
      <c r="G43" s="327" t="n"/>
      <c r="H43" s="325" t="n"/>
      <c r="I43" s="328">
        <f>IF(OR(B43="",H43="Sold"),"—",TODAY()-B43)</f>
        <v/>
      </c>
      <c r="J43" s="329">
        <f>IF(OR(B43="",H43="Sold"),"",IF(I43="—","",IF(I43&gt;=60,"STALE — route now",IF(I43&gt;=30,"Aging — watch",IF(I43&gt;=0,"Fresh","")))))</f>
        <v/>
      </c>
      <c r="K43" s="330">
        <f>IF(J43="STALE — route now","→ Send to consignment batch",IF(J43="Aging — watch","→ Consider 10% price drop",IF(J43="Fresh","→ Hold &amp; monitor","")))</f>
        <v/>
      </c>
    </row>
    <row r="44" ht="18" customHeight="1" s="230">
      <c r="A44" s="331" t="n"/>
      <c r="B44" s="331" t="n"/>
      <c r="C44" s="332" t="n"/>
      <c r="D44" s="333" t="n"/>
      <c r="E44" s="332" t="n"/>
      <c r="F44" s="334" t="n"/>
      <c r="G44" s="334" t="n"/>
      <c r="H44" s="332" t="n"/>
      <c r="I44" s="335">
        <f>IF(OR(B44="",H44="Sold"),"—",TODAY()-B44)</f>
        <v/>
      </c>
      <c r="J44" s="336">
        <f>IF(OR(B44="",H44="Sold"),"",IF(I44="—","",IF(I44&gt;=60,"STALE — route now",IF(I44&gt;=30,"Aging — watch",IF(I44&gt;=0,"Fresh","")))))</f>
        <v/>
      </c>
      <c r="K44" s="337">
        <f>IF(J44="STALE — route now","→ Send to consignment batch",IF(J44="Aging — watch","→ Consider 10% price drop",IF(J44="Fresh","→ Hold &amp; monitor","")))</f>
        <v/>
      </c>
    </row>
    <row r="45" ht="18" customHeight="1" s="230">
      <c r="A45" s="324" t="n"/>
      <c r="B45" s="324" t="n"/>
      <c r="C45" s="325" t="n"/>
      <c r="D45" s="326" t="n"/>
      <c r="E45" s="325" t="n"/>
      <c r="F45" s="327" t="n"/>
      <c r="G45" s="327" t="n"/>
      <c r="H45" s="325" t="n"/>
      <c r="I45" s="328">
        <f>IF(OR(B45="",H45="Sold"),"—",TODAY()-B45)</f>
        <v/>
      </c>
      <c r="J45" s="329">
        <f>IF(OR(B45="",H45="Sold"),"",IF(I45="—","",IF(I45&gt;=60,"STALE — route now",IF(I45&gt;=30,"Aging — watch",IF(I45&gt;=0,"Fresh","")))))</f>
        <v/>
      </c>
      <c r="K45" s="330">
        <f>IF(J45="STALE — route now","→ Send to consignment batch",IF(J45="Aging — watch","→ Consider 10% price drop",IF(J45="Fresh","→ Hold &amp; monitor","")))</f>
        <v/>
      </c>
    </row>
    <row r="46" ht="18" customHeight="1" s="230">
      <c r="A46" s="331" t="n"/>
      <c r="B46" s="331" t="n"/>
      <c r="C46" s="332" t="n"/>
      <c r="D46" s="333" t="n"/>
      <c r="E46" s="332" t="n"/>
      <c r="F46" s="334" t="n"/>
      <c r="G46" s="334" t="n"/>
      <c r="H46" s="332" t="n"/>
      <c r="I46" s="335">
        <f>IF(OR(B46="",H46="Sold"),"—",TODAY()-B46)</f>
        <v/>
      </c>
      <c r="J46" s="336">
        <f>IF(OR(B46="",H46="Sold"),"",IF(I46="—","",IF(I46&gt;=60,"STALE — route now",IF(I46&gt;=30,"Aging — watch",IF(I46&gt;=0,"Fresh","")))))</f>
        <v/>
      </c>
      <c r="K46" s="337">
        <f>IF(J46="STALE — route now","→ Send to consignment batch",IF(J46="Aging — watch","→ Consider 10% price drop",IF(J46="Fresh","→ Hold &amp; monitor","")))</f>
        <v/>
      </c>
    </row>
    <row r="47" ht="18" customHeight="1" s="230">
      <c r="A47" s="324" t="n"/>
      <c r="B47" s="324" t="n"/>
      <c r="C47" s="325" t="n"/>
      <c r="D47" s="326" t="n"/>
      <c r="E47" s="325" t="n"/>
      <c r="F47" s="327" t="n"/>
      <c r="G47" s="327" t="n"/>
      <c r="H47" s="325" t="n"/>
      <c r="I47" s="328">
        <f>IF(OR(B47="",H47="Sold"),"—",TODAY()-B47)</f>
        <v/>
      </c>
      <c r="J47" s="329">
        <f>IF(OR(B47="",H47="Sold"),"",IF(I47="—","",IF(I47&gt;=60,"STALE — route now",IF(I47&gt;=30,"Aging — watch",IF(I47&gt;=0,"Fresh","")))))</f>
        <v/>
      </c>
      <c r="K47" s="330">
        <f>IF(J47="STALE — route now","→ Send to consignment batch",IF(J47="Aging — watch","→ Consider 10% price drop",IF(J47="Fresh","→ Hold &amp; monitor","")))</f>
        <v/>
      </c>
    </row>
    <row r="48" ht="18" customHeight="1" s="230">
      <c r="A48" s="331" t="n"/>
      <c r="B48" s="331" t="n"/>
      <c r="C48" s="332" t="n"/>
      <c r="D48" s="333" t="n"/>
      <c r="E48" s="332" t="n"/>
      <c r="F48" s="334" t="n"/>
      <c r="G48" s="334" t="n"/>
      <c r="H48" s="332" t="n"/>
      <c r="I48" s="335">
        <f>IF(OR(B48="",H48="Sold"),"—",TODAY()-B48)</f>
        <v/>
      </c>
      <c r="J48" s="336">
        <f>IF(OR(B48="",H48="Sold"),"",IF(I48="—","",IF(I48&gt;=60,"STALE — route now",IF(I48&gt;=30,"Aging — watch",IF(I48&gt;=0,"Fresh","")))))</f>
        <v/>
      </c>
      <c r="K48" s="337">
        <f>IF(J48="STALE — route now","→ Send to consignment batch",IF(J48="Aging — watch","→ Consider 10% price drop",IF(J48="Fresh","→ Hold &amp; monitor","")))</f>
        <v/>
      </c>
    </row>
    <row r="49" ht="18" customHeight="1" s="230">
      <c r="A49" s="324" t="n"/>
      <c r="B49" s="324" t="n"/>
      <c r="C49" s="325" t="n"/>
      <c r="D49" s="326" t="n"/>
      <c r="E49" s="325" t="n"/>
      <c r="F49" s="327" t="n"/>
      <c r="G49" s="327" t="n"/>
      <c r="H49" s="325" t="n"/>
      <c r="I49" s="328">
        <f>IF(OR(B49="",H49="Sold"),"—",TODAY()-B49)</f>
        <v/>
      </c>
      <c r="J49" s="329">
        <f>IF(OR(B49="",H49="Sold"),"",IF(I49="—","",IF(I49&gt;=60,"STALE — route now",IF(I49&gt;=30,"Aging — watch",IF(I49&gt;=0,"Fresh","")))))</f>
        <v/>
      </c>
      <c r="K49" s="330">
        <f>IF(J49="STALE — route now","→ Send to consignment batch",IF(J49="Aging — watch","→ Consider 10% price drop",IF(J49="Fresh","→ Hold &amp; monitor","")))</f>
        <v/>
      </c>
    </row>
    <row r="50" ht="18" customHeight="1" s="230">
      <c r="A50" s="331" t="n"/>
      <c r="B50" s="331" t="n"/>
      <c r="C50" s="332" t="n"/>
      <c r="D50" s="333" t="n"/>
      <c r="E50" s="332" t="n"/>
      <c r="F50" s="334" t="n"/>
      <c r="G50" s="334" t="n"/>
      <c r="H50" s="332" t="n"/>
      <c r="I50" s="335">
        <f>IF(OR(B50="",H50="Sold"),"—",TODAY()-B50)</f>
        <v/>
      </c>
      <c r="J50" s="336">
        <f>IF(OR(B50="",H50="Sold"),"",IF(I50="—","",IF(I50&gt;=60,"STALE — route now",IF(I50&gt;=30,"Aging — watch",IF(I50&gt;=0,"Fresh","")))))</f>
        <v/>
      </c>
      <c r="K50" s="337">
        <f>IF(J50="STALE — route now","→ Send to consignment batch",IF(J50="Aging — watch","→ Consider 10% price drop",IF(J50="Fresh","→ Hold &amp; monitor","")))</f>
        <v/>
      </c>
    </row>
    <row r="51" ht="18" customHeight="1" s="230">
      <c r="A51" s="324" t="n"/>
      <c r="B51" s="324" t="n"/>
      <c r="C51" s="325" t="n"/>
      <c r="D51" s="326" t="n"/>
      <c r="E51" s="325" t="n"/>
      <c r="F51" s="327" t="n"/>
      <c r="G51" s="327" t="n"/>
      <c r="H51" s="325" t="n"/>
      <c r="I51" s="328">
        <f>IF(OR(B51="",H51="Sold"),"—",TODAY()-B51)</f>
        <v/>
      </c>
      <c r="J51" s="329">
        <f>IF(OR(B51="",H51="Sold"),"",IF(I51="—","",IF(I51&gt;=60,"STALE — route now",IF(I51&gt;=30,"Aging — watch",IF(I51&gt;=0,"Fresh","")))))</f>
        <v/>
      </c>
      <c r="K51" s="330">
        <f>IF(J51="STALE — route now","→ Send to consignment batch",IF(J51="Aging — watch","→ Consider 10% price drop",IF(J51="Fresh","→ Hold &amp; monitor","")))</f>
        <v/>
      </c>
    </row>
    <row r="52" ht="18" customHeight="1" s="230">
      <c r="A52" s="331" t="n"/>
      <c r="B52" s="331" t="n"/>
      <c r="C52" s="332" t="n"/>
      <c r="D52" s="333" t="n"/>
      <c r="E52" s="332" t="n"/>
      <c r="F52" s="334" t="n"/>
      <c r="G52" s="334" t="n"/>
      <c r="H52" s="332" t="n"/>
      <c r="I52" s="335">
        <f>IF(OR(B52="",H52="Sold"),"—",TODAY()-B52)</f>
        <v/>
      </c>
      <c r="J52" s="336">
        <f>IF(OR(B52="",H52="Sold"),"",IF(I52="—","",IF(I52&gt;=60,"STALE — route now",IF(I52&gt;=30,"Aging — watch",IF(I52&gt;=0,"Fresh","")))))</f>
        <v/>
      </c>
      <c r="K52" s="337">
        <f>IF(J52="STALE — route now","→ Send to consignment batch",IF(J52="Aging — watch","→ Consider 10% price drop",IF(J52="Fresh","→ Hold &amp; monitor","")))</f>
        <v/>
      </c>
    </row>
    <row r="53" ht="18" customHeight="1" s="230">
      <c r="A53" s="324" t="n"/>
      <c r="B53" s="324" t="n"/>
      <c r="C53" s="325" t="n"/>
      <c r="D53" s="326" t="n"/>
      <c r="E53" s="325" t="n"/>
      <c r="F53" s="327" t="n"/>
      <c r="G53" s="327" t="n"/>
      <c r="H53" s="325" t="n"/>
      <c r="I53" s="328">
        <f>IF(OR(B53="",H53="Sold"),"—",TODAY()-B53)</f>
        <v/>
      </c>
      <c r="J53" s="329">
        <f>IF(OR(B53="",H53="Sold"),"",IF(I53="—","",IF(I53&gt;=60,"STALE — route now",IF(I53&gt;=30,"Aging — watch",IF(I53&gt;=0,"Fresh","")))))</f>
        <v/>
      </c>
      <c r="K53" s="330">
        <f>IF(J53="STALE — route now","→ Send to consignment batch",IF(J53="Aging — watch","→ Consider 10% price drop",IF(J53="Fresh","→ Hold &amp; monitor","")))</f>
        <v/>
      </c>
    </row>
    <row r="54" ht="18" customHeight="1" s="230">
      <c r="A54" s="331" t="n"/>
      <c r="B54" s="331" t="n"/>
      <c r="C54" s="332" t="n"/>
      <c r="D54" s="333" t="n"/>
      <c r="E54" s="332" t="n"/>
      <c r="F54" s="334" t="n"/>
      <c r="G54" s="334" t="n"/>
      <c r="H54" s="332" t="n"/>
      <c r="I54" s="335">
        <f>IF(OR(B54="",H54="Sold"),"—",TODAY()-B54)</f>
        <v/>
      </c>
      <c r="J54" s="336">
        <f>IF(OR(B54="",H54="Sold"),"",IF(I54="—","",IF(I54&gt;=60,"STALE — route now",IF(I54&gt;=30,"Aging — watch",IF(I54&gt;=0,"Fresh","")))))</f>
        <v/>
      </c>
      <c r="K54" s="337">
        <f>IF(J54="STALE — route now","→ Send to consignment batch",IF(J54="Aging — watch","→ Consider 10% price drop",IF(J54="Fresh","→ Hold &amp; monitor","")))</f>
        <v/>
      </c>
    </row>
    <row r="55" ht="18" customHeight="1" s="230">
      <c r="A55" s="324" t="n"/>
      <c r="B55" s="324" t="n"/>
      <c r="C55" s="325" t="n"/>
      <c r="D55" s="326" t="n"/>
      <c r="E55" s="325" t="n"/>
      <c r="F55" s="327" t="n"/>
      <c r="G55" s="327" t="n"/>
      <c r="H55" s="325" t="n"/>
      <c r="I55" s="328">
        <f>IF(OR(B55="",H55="Sold"),"—",TODAY()-B55)</f>
        <v/>
      </c>
      <c r="J55" s="329">
        <f>IF(OR(B55="",H55="Sold"),"",IF(I55="—","",IF(I55&gt;=60,"STALE — route now",IF(I55&gt;=30,"Aging — watch",IF(I55&gt;=0,"Fresh","")))))</f>
        <v/>
      </c>
      <c r="K55" s="330">
        <f>IF(J55="STALE — route now","→ Send to consignment batch",IF(J55="Aging — watch","→ Consider 10% price drop",IF(J55="Fresh","→ Hold &amp; monitor","")))</f>
        <v/>
      </c>
    </row>
    <row r="56" ht="18" customHeight="1" s="230">
      <c r="A56" s="331" t="n"/>
      <c r="B56" s="331" t="n"/>
      <c r="C56" s="332" t="n"/>
      <c r="D56" s="333" t="n"/>
      <c r="E56" s="332" t="n"/>
      <c r="F56" s="334" t="n"/>
      <c r="G56" s="334" t="n"/>
      <c r="H56" s="332" t="n"/>
      <c r="I56" s="335">
        <f>IF(OR(B56="",H56="Sold"),"—",TODAY()-B56)</f>
        <v/>
      </c>
      <c r="J56" s="336">
        <f>IF(OR(B56="",H56="Sold"),"",IF(I56="—","",IF(I56&gt;=60,"STALE — route now",IF(I56&gt;=30,"Aging — watch",IF(I56&gt;=0,"Fresh","")))))</f>
        <v/>
      </c>
      <c r="K56" s="337">
        <f>IF(J56="STALE — route now","→ Send to consignment batch",IF(J56="Aging — watch","→ Consider 10% price drop",IF(J56="Fresh","→ Hold &amp; monitor","")))</f>
        <v/>
      </c>
    </row>
    <row r="57" ht="18" customHeight="1" s="230">
      <c r="A57" s="324" t="n"/>
      <c r="B57" s="324" t="n"/>
      <c r="C57" s="325" t="n"/>
      <c r="D57" s="326" t="n"/>
      <c r="E57" s="325" t="n"/>
      <c r="F57" s="327" t="n"/>
      <c r="G57" s="327" t="n"/>
      <c r="H57" s="325" t="n"/>
      <c r="I57" s="328">
        <f>IF(OR(B57="",H57="Sold"),"—",TODAY()-B57)</f>
        <v/>
      </c>
      <c r="J57" s="329">
        <f>IF(OR(B57="",H57="Sold"),"",IF(I57="—","",IF(I57&gt;=60,"STALE — route now",IF(I57&gt;=30,"Aging — watch",IF(I57&gt;=0,"Fresh","")))))</f>
        <v/>
      </c>
      <c r="K57" s="330">
        <f>IF(J57="STALE — route now","→ Send to consignment batch",IF(J57="Aging — watch","→ Consider 10% price drop",IF(J57="Fresh","→ Hold &amp; monitor","")))</f>
        <v/>
      </c>
    </row>
    <row r="58" ht="18" customHeight="1" s="230">
      <c r="A58" s="331" t="n"/>
      <c r="B58" s="331" t="n"/>
      <c r="C58" s="332" t="n"/>
      <c r="D58" s="333" t="n"/>
      <c r="E58" s="332" t="n"/>
      <c r="F58" s="334" t="n"/>
      <c r="G58" s="334" t="n"/>
      <c r="H58" s="332" t="n"/>
      <c r="I58" s="335">
        <f>IF(OR(B58="",H58="Sold"),"—",TODAY()-B58)</f>
        <v/>
      </c>
      <c r="J58" s="336">
        <f>IF(OR(B58="",H58="Sold"),"",IF(I58="—","",IF(I58&gt;=60,"STALE — route now",IF(I58&gt;=30,"Aging — watch",IF(I58&gt;=0,"Fresh","")))))</f>
        <v/>
      </c>
      <c r="K58" s="337">
        <f>IF(J58="STALE — route now","→ Send to consignment batch",IF(J58="Aging — watch","→ Consider 10% price drop",IF(J58="Fresh","→ Hold &amp; monitor","")))</f>
        <v/>
      </c>
    </row>
    <row r="59" ht="18" customHeight="1" s="230">
      <c r="A59" s="324" t="n"/>
      <c r="B59" s="324" t="n"/>
      <c r="C59" s="325" t="n"/>
      <c r="D59" s="326" t="n"/>
      <c r="E59" s="325" t="n"/>
      <c r="F59" s="327" t="n"/>
      <c r="G59" s="327" t="n"/>
      <c r="H59" s="325" t="n"/>
      <c r="I59" s="328">
        <f>IF(OR(B59="",H59="Sold"),"—",TODAY()-B59)</f>
        <v/>
      </c>
      <c r="J59" s="329">
        <f>IF(OR(B59="",H59="Sold"),"",IF(I59="—","",IF(I59&gt;=60,"STALE — route now",IF(I59&gt;=30,"Aging — watch",IF(I59&gt;=0,"Fresh","")))))</f>
        <v/>
      </c>
      <c r="K59" s="330">
        <f>IF(J59="STALE — route now","→ Send to consignment batch",IF(J59="Aging — watch","→ Consider 10% price drop",IF(J59="Fresh","→ Hold &amp; monitor","")))</f>
        <v/>
      </c>
    </row>
    <row r="60" ht="18" customHeight="1" s="230">
      <c r="A60" s="331" t="n"/>
      <c r="B60" s="331" t="n"/>
      <c r="C60" s="332" t="n"/>
      <c r="D60" s="333" t="n"/>
      <c r="E60" s="332" t="n"/>
      <c r="F60" s="334" t="n"/>
      <c r="G60" s="334" t="n"/>
      <c r="H60" s="332" t="n"/>
      <c r="I60" s="335">
        <f>IF(OR(B60="",H60="Sold"),"—",TODAY()-B60)</f>
        <v/>
      </c>
      <c r="J60" s="336">
        <f>IF(OR(B60="",H60="Sold"),"",IF(I60="—","",IF(I60&gt;=60,"STALE — route now",IF(I60&gt;=30,"Aging — watch",IF(I60&gt;=0,"Fresh","")))))</f>
        <v/>
      </c>
      <c r="K60" s="337">
        <f>IF(J60="STALE — route now","→ Send to consignment batch",IF(J60="Aging — watch","→ Consider 10% price drop",IF(J60="Fresh","→ Hold &amp; monitor","")))</f>
        <v/>
      </c>
    </row>
    <row r="61" ht="18" customHeight="1" s="230">
      <c r="A61" s="324" t="n"/>
      <c r="B61" s="324" t="n"/>
      <c r="C61" s="325" t="n"/>
      <c r="D61" s="326" t="n"/>
      <c r="E61" s="325" t="n"/>
      <c r="F61" s="327" t="n"/>
      <c r="G61" s="327" t="n"/>
      <c r="H61" s="325" t="n"/>
      <c r="I61" s="328">
        <f>IF(OR(B61="",H61="Sold"),"—",TODAY()-B61)</f>
        <v/>
      </c>
      <c r="J61" s="329">
        <f>IF(OR(B61="",H61="Sold"),"",IF(I61="—","",IF(I61&gt;=60,"STALE — route now",IF(I61&gt;=30,"Aging — watch",IF(I61&gt;=0,"Fresh","")))))</f>
        <v/>
      </c>
      <c r="K61" s="330">
        <f>IF(J61="STALE — route now","→ Send to consignment batch",IF(J61="Aging — watch","→ Consider 10% price drop",IF(J61="Fresh","→ Hold &amp; monitor","")))</f>
        <v/>
      </c>
    </row>
    <row r="62" ht="18" customHeight="1" s="230">
      <c r="A62" s="331" t="n"/>
      <c r="B62" s="331" t="n"/>
      <c r="C62" s="332" t="n"/>
      <c r="D62" s="333" t="n"/>
      <c r="E62" s="332" t="n"/>
      <c r="F62" s="334" t="n"/>
      <c r="G62" s="334" t="n"/>
      <c r="H62" s="332" t="n"/>
      <c r="I62" s="335">
        <f>IF(OR(B62="",H62="Sold"),"—",TODAY()-B62)</f>
        <v/>
      </c>
      <c r="J62" s="336">
        <f>IF(OR(B62="",H62="Sold"),"",IF(I62="—","",IF(I62&gt;=60,"STALE — route now",IF(I62&gt;=30,"Aging — watch",IF(I62&gt;=0,"Fresh","")))))</f>
        <v/>
      </c>
      <c r="K62" s="337">
        <f>IF(J62="STALE — route now","→ Send to consignment batch",IF(J62="Aging — watch","→ Consider 10% price drop",IF(J62="Fresh","→ Hold &amp; monitor","")))</f>
        <v/>
      </c>
    </row>
    <row r="63" ht="18" customHeight="1" s="230">
      <c r="A63" s="324" t="n"/>
      <c r="B63" s="324" t="n"/>
      <c r="C63" s="325" t="n"/>
      <c r="D63" s="326" t="n"/>
      <c r="E63" s="325" t="n"/>
      <c r="F63" s="327" t="n"/>
      <c r="G63" s="327" t="n"/>
      <c r="H63" s="325" t="n"/>
      <c r="I63" s="328">
        <f>IF(OR(B63="",H63="Sold"),"—",TODAY()-B63)</f>
        <v/>
      </c>
      <c r="J63" s="329">
        <f>IF(OR(B63="",H63="Sold"),"",IF(I63="—","",IF(I63&gt;=60,"STALE — route now",IF(I63&gt;=30,"Aging — watch",IF(I63&gt;=0,"Fresh","")))))</f>
        <v/>
      </c>
      <c r="K63" s="330">
        <f>IF(J63="STALE — route now","→ Send to consignment batch",IF(J63="Aging — watch","→ Consider 10% price drop",IF(J63="Fresh","→ Hold &amp; monitor","")))</f>
        <v/>
      </c>
    </row>
    <row r="64" ht="18" customHeight="1" s="230">
      <c r="A64" s="331" t="n"/>
      <c r="B64" s="331" t="n"/>
      <c r="C64" s="332" t="n"/>
      <c r="D64" s="333" t="n"/>
      <c r="E64" s="332" t="n"/>
      <c r="F64" s="334" t="n"/>
      <c r="G64" s="334" t="n"/>
      <c r="H64" s="332" t="n"/>
      <c r="I64" s="335">
        <f>IF(OR(B64="",H64="Sold"),"—",TODAY()-B64)</f>
        <v/>
      </c>
      <c r="J64" s="336">
        <f>IF(OR(B64="",H64="Sold"),"",IF(I64="—","",IF(I64&gt;=60,"STALE — route now",IF(I64&gt;=30,"Aging — watch",IF(I64&gt;=0,"Fresh","")))))</f>
        <v/>
      </c>
      <c r="K64" s="337">
        <f>IF(J64="STALE — route now","→ Send to consignment batch",IF(J64="Aging — watch","→ Consider 10% price drop",IF(J64="Fresh","→ Hold &amp; monitor","")))</f>
        <v/>
      </c>
    </row>
    <row r="65" ht="18" customHeight="1" s="230">
      <c r="A65" s="324" t="n"/>
      <c r="B65" s="324" t="n"/>
      <c r="C65" s="325" t="n"/>
      <c r="D65" s="326" t="n"/>
      <c r="E65" s="325" t="n"/>
      <c r="F65" s="327" t="n"/>
      <c r="G65" s="327" t="n"/>
      <c r="H65" s="325" t="n"/>
      <c r="I65" s="328">
        <f>IF(OR(B65="",H65="Sold"),"—",TODAY()-B65)</f>
        <v/>
      </c>
      <c r="J65" s="329">
        <f>IF(OR(B65="",H65="Sold"),"",IF(I65="—","",IF(I65&gt;=60,"STALE — route now",IF(I65&gt;=30,"Aging — watch",IF(I65&gt;=0,"Fresh","")))))</f>
        <v/>
      </c>
      <c r="K65" s="330">
        <f>IF(J65="STALE — route now","→ Send to consignment batch",IF(J65="Aging — watch","→ Consider 10% price drop",IF(J65="Fresh","→ Hold &amp; monitor","")))</f>
        <v/>
      </c>
    </row>
    <row r="66" ht="18" customHeight="1" s="230">
      <c r="A66" s="331" t="n"/>
      <c r="B66" s="331" t="n"/>
      <c r="C66" s="332" t="n"/>
      <c r="D66" s="333" t="n"/>
      <c r="E66" s="332" t="n"/>
      <c r="F66" s="334" t="n"/>
      <c r="G66" s="334" t="n"/>
      <c r="H66" s="332" t="n"/>
      <c r="I66" s="335">
        <f>IF(OR(B66="",H66="Sold"),"—",TODAY()-B66)</f>
        <v/>
      </c>
      <c r="J66" s="336">
        <f>IF(OR(B66="",H66="Sold"),"",IF(I66="—","",IF(I66&gt;=60,"STALE — route now",IF(I66&gt;=30,"Aging — watch",IF(I66&gt;=0,"Fresh","")))))</f>
        <v/>
      </c>
      <c r="K66" s="337">
        <f>IF(J66="STALE — route now","→ Send to consignment batch",IF(J66="Aging — watch","→ Consider 10% price drop",IF(J66="Fresh","→ Hold &amp; monitor","")))</f>
        <v/>
      </c>
    </row>
    <row r="67" ht="18" customHeight="1" s="230">
      <c r="A67" s="324" t="n"/>
      <c r="B67" s="324" t="n"/>
      <c r="C67" s="325" t="n"/>
      <c r="D67" s="326" t="n"/>
      <c r="E67" s="325" t="n"/>
      <c r="F67" s="327" t="n"/>
      <c r="G67" s="327" t="n"/>
      <c r="H67" s="325" t="n"/>
      <c r="I67" s="328">
        <f>IF(OR(B67="",H67="Sold"),"—",TODAY()-B67)</f>
        <v/>
      </c>
      <c r="J67" s="329">
        <f>IF(OR(B67="",H67="Sold"),"",IF(I67="—","",IF(I67&gt;=60,"STALE — route now",IF(I67&gt;=30,"Aging — watch",IF(I67&gt;=0,"Fresh","")))))</f>
        <v/>
      </c>
      <c r="K67" s="330">
        <f>IF(J67="STALE — route now","→ Send to consignment batch",IF(J67="Aging — watch","→ Consider 10% price drop",IF(J67="Fresh","→ Hold &amp; monitor","")))</f>
        <v/>
      </c>
    </row>
    <row r="68" ht="18" customHeight="1" s="230">
      <c r="A68" s="331" t="n"/>
      <c r="B68" s="331" t="n"/>
      <c r="C68" s="332" t="n"/>
      <c r="D68" s="333" t="n"/>
      <c r="E68" s="332" t="n"/>
      <c r="F68" s="334" t="n"/>
      <c r="G68" s="334" t="n"/>
      <c r="H68" s="332" t="n"/>
      <c r="I68" s="335">
        <f>IF(OR(B68="",H68="Sold"),"—",TODAY()-B68)</f>
        <v/>
      </c>
      <c r="J68" s="336">
        <f>IF(OR(B68="",H68="Sold"),"",IF(I68="—","",IF(I68&gt;=60,"STALE — route now",IF(I68&gt;=30,"Aging — watch",IF(I68&gt;=0,"Fresh","")))))</f>
        <v/>
      </c>
      <c r="K68" s="337">
        <f>IF(J68="STALE — route now","→ Send to consignment batch",IF(J68="Aging — watch","→ Consider 10% price drop",IF(J68="Fresh","→ Hold &amp; monitor","")))</f>
        <v/>
      </c>
    </row>
    <row r="69" ht="18" customHeight="1" s="230">
      <c r="A69" s="324" t="n"/>
      <c r="B69" s="324" t="n"/>
      <c r="C69" s="325" t="n"/>
      <c r="D69" s="326" t="n"/>
      <c r="E69" s="325" t="n"/>
      <c r="F69" s="327" t="n"/>
      <c r="G69" s="327" t="n"/>
      <c r="H69" s="325" t="n"/>
      <c r="I69" s="328">
        <f>IF(OR(B69="",H69="Sold"),"—",TODAY()-B69)</f>
        <v/>
      </c>
      <c r="J69" s="329">
        <f>IF(OR(B69="",H69="Sold"),"",IF(I69="—","",IF(I69&gt;=60,"STALE — route now",IF(I69&gt;=30,"Aging — watch",IF(I69&gt;=0,"Fresh","")))))</f>
        <v/>
      </c>
      <c r="K69" s="330">
        <f>IF(J69="STALE — route now","→ Send to consignment batch",IF(J69="Aging — watch","→ Consider 10% price drop",IF(J69="Fresh","→ Hold &amp; monitor","")))</f>
        <v/>
      </c>
    </row>
    <row r="70" ht="18" customHeight="1" s="230">
      <c r="A70" s="331" t="n"/>
      <c r="B70" s="331" t="n"/>
      <c r="C70" s="332" t="n"/>
      <c r="D70" s="333" t="n"/>
      <c r="E70" s="332" t="n"/>
      <c r="F70" s="334" t="n"/>
      <c r="G70" s="334" t="n"/>
      <c r="H70" s="332" t="n"/>
      <c r="I70" s="335">
        <f>IF(OR(B70="",H70="Sold"),"—",TODAY()-B70)</f>
        <v/>
      </c>
      <c r="J70" s="336">
        <f>IF(OR(B70="",H70="Sold"),"",IF(I70="—","",IF(I70&gt;=60,"STALE — route now",IF(I70&gt;=30,"Aging — watch",IF(I70&gt;=0,"Fresh","")))))</f>
        <v/>
      </c>
      <c r="K70" s="337">
        <f>IF(J70="STALE — route now","→ Send to consignment batch",IF(J70="Aging — watch","→ Consider 10% price drop",IF(J70="Fresh","→ Hold &amp; monitor","")))</f>
        <v/>
      </c>
    </row>
    <row r="71" ht="18" customHeight="1" s="230">
      <c r="A71" s="324" t="n"/>
      <c r="B71" s="324" t="n"/>
      <c r="C71" s="325" t="n"/>
      <c r="D71" s="326" t="n"/>
      <c r="E71" s="325" t="n"/>
      <c r="F71" s="327" t="n"/>
      <c r="G71" s="327" t="n"/>
      <c r="H71" s="325" t="n"/>
      <c r="I71" s="328">
        <f>IF(OR(B71="",H71="Sold"),"—",TODAY()-B71)</f>
        <v/>
      </c>
      <c r="J71" s="329">
        <f>IF(OR(B71="",H71="Sold"),"",IF(I71="—","",IF(I71&gt;=60,"STALE — route now",IF(I71&gt;=30,"Aging — watch",IF(I71&gt;=0,"Fresh","")))))</f>
        <v/>
      </c>
      <c r="K71" s="330">
        <f>IF(J71="STALE — route now","→ Send to consignment batch",IF(J71="Aging — watch","→ Consider 10% price drop",IF(J71="Fresh","→ Hold &amp; monitor","")))</f>
        <v/>
      </c>
    </row>
    <row r="72" ht="18" customHeight="1" s="230">
      <c r="A72" s="331" t="n"/>
      <c r="B72" s="331" t="n"/>
      <c r="C72" s="332" t="n"/>
      <c r="D72" s="333" t="n"/>
      <c r="E72" s="332" t="n"/>
      <c r="F72" s="334" t="n"/>
      <c r="G72" s="334" t="n"/>
      <c r="H72" s="332" t="n"/>
      <c r="I72" s="335">
        <f>IF(OR(B72="",H72="Sold"),"—",TODAY()-B72)</f>
        <v/>
      </c>
      <c r="J72" s="336">
        <f>IF(OR(B72="",H72="Sold"),"",IF(I72="—","",IF(I72&gt;=60,"STALE — route now",IF(I72&gt;=30,"Aging — watch",IF(I72&gt;=0,"Fresh","")))))</f>
        <v/>
      </c>
      <c r="K72" s="337">
        <f>IF(J72="STALE — route now","→ Send to consignment batch",IF(J72="Aging — watch","→ Consider 10% price drop",IF(J72="Fresh","→ Hold &amp; monitor","")))</f>
        <v/>
      </c>
    </row>
    <row r="73" ht="18" customHeight="1" s="230">
      <c r="A73" s="324" t="n"/>
      <c r="B73" s="324" t="n"/>
      <c r="C73" s="325" t="n"/>
      <c r="D73" s="326" t="n"/>
      <c r="E73" s="325" t="n"/>
      <c r="F73" s="327" t="n"/>
      <c r="G73" s="327" t="n"/>
      <c r="H73" s="325" t="n"/>
      <c r="I73" s="328">
        <f>IF(OR(B73="",H73="Sold"),"—",TODAY()-B73)</f>
        <v/>
      </c>
      <c r="J73" s="329">
        <f>IF(OR(B73="",H73="Sold"),"",IF(I73="—","",IF(I73&gt;=60,"STALE — route now",IF(I73&gt;=30,"Aging — watch",IF(I73&gt;=0,"Fresh","")))))</f>
        <v/>
      </c>
      <c r="K73" s="330">
        <f>IF(J73="STALE — route now","→ Send to consignment batch",IF(J73="Aging — watch","→ Consider 10% price drop",IF(J73="Fresh","→ Hold &amp; monitor","")))</f>
        <v/>
      </c>
    </row>
    <row r="74" ht="18" customHeight="1" s="230">
      <c r="A74" s="331" t="n"/>
      <c r="B74" s="331" t="n"/>
      <c r="C74" s="332" t="n"/>
      <c r="D74" s="333" t="n"/>
      <c r="E74" s="332" t="n"/>
      <c r="F74" s="334" t="n"/>
      <c r="G74" s="334" t="n"/>
      <c r="H74" s="332" t="n"/>
      <c r="I74" s="335">
        <f>IF(OR(B74="",H74="Sold"),"—",TODAY()-B74)</f>
        <v/>
      </c>
      <c r="J74" s="336">
        <f>IF(OR(B74="",H74="Sold"),"",IF(I74="—","",IF(I74&gt;=60,"STALE — route now",IF(I74&gt;=30,"Aging — watch",IF(I74&gt;=0,"Fresh","")))))</f>
        <v/>
      </c>
      <c r="K74" s="337">
        <f>IF(J74="STALE — route now","→ Send to consignment batch",IF(J74="Aging — watch","→ Consider 10% price drop",IF(J74="Fresh","→ Hold &amp; monitor","")))</f>
        <v/>
      </c>
    </row>
    <row r="75" ht="18" customHeight="1" s="230">
      <c r="A75" s="324" t="n"/>
      <c r="B75" s="324" t="n"/>
      <c r="C75" s="325" t="n"/>
      <c r="D75" s="326" t="n"/>
      <c r="E75" s="325" t="n"/>
      <c r="F75" s="327" t="n"/>
      <c r="G75" s="327" t="n"/>
      <c r="H75" s="325" t="n"/>
      <c r="I75" s="328">
        <f>IF(OR(B75="",H75="Sold"),"—",TODAY()-B75)</f>
        <v/>
      </c>
      <c r="J75" s="329">
        <f>IF(OR(B75="",H75="Sold"),"",IF(I75="—","",IF(I75&gt;=60,"STALE — route now",IF(I75&gt;=30,"Aging — watch",IF(I75&gt;=0,"Fresh","")))))</f>
        <v/>
      </c>
      <c r="K75" s="330">
        <f>IF(J75="STALE — route now","→ Send to consignment batch",IF(J75="Aging — watch","→ Consider 10% price drop",IF(J75="Fresh","→ Hold &amp; monitor","")))</f>
        <v/>
      </c>
    </row>
    <row r="76" ht="18" customHeight="1" s="230">
      <c r="A76" s="331" t="n"/>
      <c r="B76" s="331" t="n"/>
      <c r="C76" s="332" t="n"/>
      <c r="D76" s="333" t="n"/>
      <c r="E76" s="332" t="n"/>
      <c r="F76" s="334" t="n"/>
      <c r="G76" s="334" t="n"/>
      <c r="H76" s="332" t="n"/>
      <c r="I76" s="335">
        <f>IF(OR(B76="",H76="Sold"),"—",TODAY()-B76)</f>
        <v/>
      </c>
      <c r="J76" s="336">
        <f>IF(OR(B76="",H76="Sold"),"",IF(I76="—","",IF(I76&gt;=60,"STALE — route now",IF(I76&gt;=30,"Aging — watch",IF(I76&gt;=0,"Fresh","")))))</f>
        <v/>
      </c>
      <c r="K76" s="337">
        <f>IF(J76="STALE — route now","→ Send to consignment batch",IF(J76="Aging — watch","→ Consider 10% price drop",IF(J76="Fresh","→ Hold &amp; monitor","")))</f>
        <v/>
      </c>
    </row>
    <row r="77" ht="18" customHeight="1" s="230">
      <c r="A77" s="324" t="n"/>
      <c r="B77" s="324" t="n"/>
      <c r="C77" s="325" t="n"/>
      <c r="D77" s="326" t="n"/>
      <c r="E77" s="325" t="n"/>
      <c r="F77" s="327" t="n"/>
      <c r="G77" s="327" t="n"/>
      <c r="H77" s="325" t="n"/>
      <c r="I77" s="328">
        <f>IF(OR(B77="",H77="Sold"),"—",TODAY()-B77)</f>
        <v/>
      </c>
      <c r="J77" s="329">
        <f>IF(OR(B77="",H77="Sold"),"",IF(I77="—","",IF(I77&gt;=60,"STALE — route now",IF(I77&gt;=30,"Aging — watch",IF(I77&gt;=0,"Fresh","")))))</f>
        <v/>
      </c>
      <c r="K77" s="330">
        <f>IF(J77="STALE — route now","→ Send to consignment batch",IF(J77="Aging — watch","→ Consider 10% price drop",IF(J77="Fresh","→ Hold &amp; monitor","")))</f>
        <v/>
      </c>
    </row>
    <row r="78" ht="18" customHeight="1" s="230">
      <c r="A78" s="331" t="n"/>
      <c r="B78" s="331" t="n"/>
      <c r="C78" s="332" t="n"/>
      <c r="D78" s="333" t="n"/>
      <c r="E78" s="332" t="n"/>
      <c r="F78" s="334" t="n"/>
      <c r="G78" s="334" t="n"/>
      <c r="H78" s="332" t="n"/>
      <c r="I78" s="335">
        <f>IF(OR(B78="",H78="Sold"),"—",TODAY()-B78)</f>
        <v/>
      </c>
      <c r="J78" s="336">
        <f>IF(OR(B78="",H78="Sold"),"",IF(I78="—","",IF(I78&gt;=60,"STALE — route now",IF(I78&gt;=30,"Aging — watch",IF(I78&gt;=0,"Fresh","")))))</f>
        <v/>
      </c>
      <c r="K78" s="337">
        <f>IF(J78="STALE — route now","→ Send to consignment batch",IF(J78="Aging — watch","→ Consider 10% price drop",IF(J78="Fresh","→ Hold &amp; monitor","")))</f>
        <v/>
      </c>
    </row>
    <row r="79" ht="18" customHeight="1" s="230">
      <c r="A79" s="324" t="n"/>
      <c r="B79" s="324" t="n"/>
      <c r="C79" s="325" t="n"/>
      <c r="D79" s="326" t="n"/>
      <c r="E79" s="325" t="n"/>
      <c r="F79" s="327" t="n"/>
      <c r="G79" s="327" t="n"/>
      <c r="H79" s="325" t="n"/>
      <c r="I79" s="328">
        <f>IF(OR(B79="",H79="Sold"),"—",TODAY()-B79)</f>
        <v/>
      </c>
      <c r="J79" s="329">
        <f>IF(OR(B79="",H79="Sold"),"",IF(I79="—","",IF(I79&gt;=60,"STALE — route now",IF(I79&gt;=30,"Aging — watch",IF(I79&gt;=0,"Fresh","")))))</f>
        <v/>
      </c>
      <c r="K79" s="330">
        <f>IF(J79="STALE — route now","→ Send to consignment batch",IF(J79="Aging — watch","→ Consider 10% price drop",IF(J79="Fresh","→ Hold &amp; monitor","")))</f>
        <v/>
      </c>
    </row>
    <row r="80" ht="18" customHeight="1" s="230">
      <c r="A80" s="331" t="n"/>
      <c r="B80" s="331" t="n"/>
      <c r="C80" s="332" t="n"/>
      <c r="D80" s="333" t="n"/>
      <c r="E80" s="332" t="n"/>
      <c r="F80" s="334" t="n"/>
      <c r="G80" s="334" t="n"/>
      <c r="H80" s="332" t="n"/>
      <c r="I80" s="335">
        <f>IF(OR(B80="",H80="Sold"),"—",TODAY()-B80)</f>
        <v/>
      </c>
      <c r="J80" s="336">
        <f>IF(OR(B80="",H80="Sold"),"",IF(I80="—","",IF(I80&gt;=60,"STALE — route now",IF(I80&gt;=30,"Aging — watch",IF(I80&gt;=0,"Fresh","")))))</f>
        <v/>
      </c>
      <c r="K80" s="337">
        <f>IF(J80="STALE — route now","→ Send to consignment batch",IF(J80="Aging — watch","→ Consider 10% price drop",IF(J80="Fresh","→ Hold &amp; monitor","")))</f>
        <v/>
      </c>
    </row>
    <row r="81" ht="18" customHeight="1" s="230">
      <c r="A81" s="324" t="n"/>
      <c r="B81" s="324" t="n"/>
      <c r="C81" s="325" t="n"/>
      <c r="D81" s="326" t="n"/>
      <c r="E81" s="325" t="n"/>
      <c r="F81" s="327" t="n"/>
      <c r="G81" s="327" t="n"/>
      <c r="H81" s="325" t="n"/>
      <c r="I81" s="328">
        <f>IF(OR(B81="",H81="Sold"),"—",TODAY()-B81)</f>
        <v/>
      </c>
      <c r="J81" s="329">
        <f>IF(OR(B81="",H81="Sold"),"",IF(I81="—","",IF(I81&gt;=60,"STALE — route now",IF(I81&gt;=30,"Aging — watch",IF(I81&gt;=0,"Fresh","")))))</f>
        <v/>
      </c>
      <c r="K81" s="330">
        <f>IF(J81="STALE — route now","→ Send to consignment batch",IF(J81="Aging — watch","→ Consider 10% price drop",IF(J81="Fresh","→ Hold &amp; monitor","")))</f>
        <v/>
      </c>
    </row>
    <row r="82" ht="18" customHeight="1" s="230">
      <c r="A82" s="331" t="n"/>
      <c r="B82" s="331" t="n"/>
      <c r="C82" s="332" t="n"/>
      <c r="D82" s="333" t="n"/>
      <c r="E82" s="332" t="n"/>
      <c r="F82" s="334" t="n"/>
      <c r="G82" s="334" t="n"/>
      <c r="H82" s="332" t="n"/>
      <c r="I82" s="335">
        <f>IF(OR(B82="",H82="Sold"),"—",TODAY()-B82)</f>
        <v/>
      </c>
      <c r="J82" s="336">
        <f>IF(OR(B82="",H82="Sold"),"",IF(I82="—","",IF(I82&gt;=60,"STALE — route now",IF(I82&gt;=30,"Aging — watch",IF(I82&gt;=0,"Fresh","")))))</f>
        <v/>
      </c>
      <c r="K82" s="337">
        <f>IF(J82="STALE — route now","→ Send to consignment batch",IF(J82="Aging — watch","→ Consider 10% price drop",IF(J82="Fresh","→ Hold &amp; monitor","")))</f>
        <v/>
      </c>
    </row>
    <row r="83" ht="18" customHeight="1" s="230">
      <c r="A83" s="324" t="n"/>
      <c r="B83" s="324" t="n"/>
      <c r="C83" s="325" t="n"/>
      <c r="D83" s="326" t="n"/>
      <c r="E83" s="325" t="n"/>
      <c r="F83" s="327" t="n"/>
      <c r="G83" s="327" t="n"/>
      <c r="H83" s="325" t="n"/>
      <c r="I83" s="328">
        <f>IF(OR(B83="",H83="Sold"),"—",TODAY()-B83)</f>
        <v/>
      </c>
      <c r="J83" s="329">
        <f>IF(OR(B83="",H83="Sold"),"",IF(I83="—","",IF(I83&gt;=60,"STALE — route now",IF(I83&gt;=30,"Aging — watch",IF(I83&gt;=0,"Fresh","")))))</f>
        <v/>
      </c>
      <c r="K83" s="330">
        <f>IF(J83="STALE — route now","→ Send to consignment batch",IF(J83="Aging — watch","→ Consider 10% price drop",IF(J83="Fresh","→ Hold &amp; monitor","")))</f>
        <v/>
      </c>
    </row>
    <row r="84" ht="18" customHeight="1" s="230">
      <c r="A84" s="331" t="n"/>
      <c r="B84" s="331" t="n"/>
      <c r="C84" s="332" t="n"/>
      <c r="D84" s="333" t="n"/>
      <c r="E84" s="332" t="n"/>
      <c r="F84" s="334" t="n"/>
      <c r="G84" s="334" t="n"/>
      <c r="H84" s="332" t="n"/>
      <c r="I84" s="335">
        <f>IF(OR(B84="",H84="Sold"),"—",TODAY()-B84)</f>
        <v/>
      </c>
      <c r="J84" s="336">
        <f>IF(OR(B84="",H84="Sold"),"",IF(I84="—","",IF(I84&gt;=60,"STALE — route now",IF(I84&gt;=30,"Aging — watch",IF(I84&gt;=0,"Fresh","")))))</f>
        <v/>
      </c>
      <c r="K84" s="337">
        <f>IF(J84="STALE — route now","→ Send to consignment batch",IF(J84="Aging — watch","→ Consider 10% price drop",IF(J84="Fresh","→ Hold &amp; monitor","")))</f>
        <v/>
      </c>
    </row>
    <row r="85" ht="18" customHeight="1" s="230">
      <c r="A85" s="324" t="n"/>
      <c r="B85" s="324" t="n"/>
      <c r="C85" s="325" t="n"/>
      <c r="D85" s="326" t="n"/>
      <c r="E85" s="325" t="n"/>
      <c r="F85" s="327" t="n"/>
      <c r="G85" s="327" t="n"/>
      <c r="H85" s="325" t="n"/>
      <c r="I85" s="328">
        <f>IF(OR(B85="",H85="Sold"),"—",TODAY()-B85)</f>
        <v/>
      </c>
      <c r="J85" s="329">
        <f>IF(OR(B85="",H85="Sold"),"",IF(I85="—","",IF(I85&gt;=60,"STALE — route now",IF(I85&gt;=30,"Aging — watch",IF(I85&gt;=0,"Fresh","")))))</f>
        <v/>
      </c>
      <c r="K85" s="330">
        <f>IF(J85="STALE — route now","→ Send to consignment batch",IF(J85="Aging — watch","→ Consider 10% price drop",IF(J85="Fresh","→ Hold &amp; monitor","")))</f>
        <v/>
      </c>
    </row>
    <row r="86" ht="18" customHeight="1" s="230">
      <c r="A86" s="331" t="n"/>
      <c r="B86" s="331" t="n"/>
      <c r="C86" s="332" t="n"/>
      <c r="D86" s="333" t="n"/>
      <c r="E86" s="332" t="n"/>
      <c r="F86" s="334" t="n"/>
      <c r="G86" s="334" t="n"/>
      <c r="H86" s="332" t="n"/>
      <c r="I86" s="335">
        <f>IF(OR(B86="",H86="Sold"),"—",TODAY()-B86)</f>
        <v/>
      </c>
      <c r="J86" s="336">
        <f>IF(OR(B86="",H86="Sold"),"",IF(I86="—","",IF(I86&gt;=60,"STALE — route now",IF(I86&gt;=30,"Aging — watch",IF(I86&gt;=0,"Fresh","")))))</f>
        <v/>
      </c>
      <c r="K86" s="337">
        <f>IF(J86="STALE — route now","→ Send to consignment batch",IF(J86="Aging — watch","→ Consider 10% price drop",IF(J86="Fresh","→ Hold &amp; monitor","")))</f>
        <v/>
      </c>
    </row>
    <row r="87" ht="18" customHeight="1" s="230">
      <c r="A87" s="324" t="n"/>
      <c r="B87" s="324" t="n"/>
      <c r="C87" s="325" t="n"/>
      <c r="D87" s="326" t="n"/>
      <c r="E87" s="325" t="n"/>
      <c r="F87" s="327" t="n"/>
      <c r="G87" s="327" t="n"/>
      <c r="H87" s="325" t="n"/>
      <c r="I87" s="328">
        <f>IF(OR(B87="",H87="Sold"),"—",TODAY()-B87)</f>
        <v/>
      </c>
      <c r="J87" s="329">
        <f>IF(OR(B87="",H87="Sold"),"",IF(I87="—","",IF(I87&gt;=60,"STALE — route now",IF(I87&gt;=30,"Aging — watch",IF(I87&gt;=0,"Fresh","")))))</f>
        <v/>
      </c>
      <c r="K87" s="330">
        <f>IF(J87="STALE — route now","→ Send to consignment batch",IF(J87="Aging — watch","→ Consider 10% price drop",IF(J87="Fresh","→ Hold &amp; monitor","")))</f>
        <v/>
      </c>
    </row>
    <row r="88" ht="18" customHeight="1" s="230">
      <c r="A88" s="331" t="n"/>
      <c r="B88" s="331" t="n"/>
      <c r="C88" s="332" t="n"/>
      <c r="D88" s="333" t="n"/>
      <c r="E88" s="332" t="n"/>
      <c r="F88" s="334" t="n"/>
      <c r="G88" s="334" t="n"/>
      <c r="H88" s="332" t="n"/>
      <c r="I88" s="335">
        <f>IF(OR(B88="",H88="Sold"),"—",TODAY()-B88)</f>
        <v/>
      </c>
      <c r="J88" s="336">
        <f>IF(OR(B88="",H88="Sold"),"",IF(I88="—","",IF(I88&gt;=60,"STALE — route now",IF(I88&gt;=30,"Aging — watch",IF(I88&gt;=0,"Fresh","")))))</f>
        <v/>
      </c>
      <c r="K88" s="337">
        <f>IF(J88="STALE — route now","→ Send to consignment batch",IF(J88="Aging — watch","→ Consider 10% price drop",IF(J88="Fresh","→ Hold &amp; monitor","")))</f>
        <v/>
      </c>
    </row>
    <row r="89" ht="18" customHeight="1" s="230">
      <c r="A89" s="324" t="n"/>
      <c r="B89" s="324" t="n"/>
      <c r="C89" s="325" t="n"/>
      <c r="D89" s="326" t="n"/>
      <c r="E89" s="325" t="n"/>
      <c r="F89" s="327" t="n"/>
      <c r="G89" s="327" t="n"/>
      <c r="H89" s="325" t="n"/>
      <c r="I89" s="328">
        <f>IF(OR(B89="",H89="Sold"),"—",TODAY()-B89)</f>
        <v/>
      </c>
      <c r="J89" s="329">
        <f>IF(OR(B89="",H89="Sold"),"",IF(I89="—","",IF(I89&gt;=60,"STALE — route now",IF(I89&gt;=30,"Aging — watch",IF(I89&gt;=0,"Fresh","")))))</f>
        <v/>
      </c>
      <c r="K89" s="330">
        <f>IF(J89="STALE — route now","→ Send to consignment batch",IF(J89="Aging — watch","→ Consider 10% price drop",IF(J89="Fresh","→ Hold &amp; monitor","")))</f>
        <v/>
      </c>
    </row>
    <row r="90" ht="18" customHeight="1" s="230">
      <c r="A90" s="331" t="n"/>
      <c r="B90" s="331" t="n"/>
      <c r="C90" s="332" t="n"/>
      <c r="D90" s="333" t="n"/>
      <c r="E90" s="332" t="n"/>
      <c r="F90" s="334" t="n"/>
      <c r="G90" s="334" t="n"/>
      <c r="H90" s="332" t="n"/>
      <c r="I90" s="335">
        <f>IF(OR(B90="",H90="Sold"),"—",TODAY()-B90)</f>
        <v/>
      </c>
      <c r="J90" s="336">
        <f>IF(OR(B90="",H90="Sold"),"",IF(I90="—","",IF(I90&gt;=60,"STALE — route now",IF(I90&gt;=30,"Aging — watch",IF(I90&gt;=0,"Fresh","")))))</f>
        <v/>
      </c>
      <c r="K90" s="337">
        <f>IF(J90="STALE — route now","→ Send to consignment batch",IF(J90="Aging — watch","→ Consider 10% price drop",IF(J90="Fresh","→ Hold &amp; monitor","")))</f>
        <v/>
      </c>
    </row>
    <row r="91" ht="18" customHeight="1" s="230">
      <c r="A91" s="324" t="n"/>
      <c r="B91" s="324" t="n"/>
      <c r="C91" s="325" t="n"/>
      <c r="D91" s="326" t="n"/>
      <c r="E91" s="325" t="n"/>
      <c r="F91" s="327" t="n"/>
      <c r="G91" s="327" t="n"/>
      <c r="H91" s="325" t="n"/>
      <c r="I91" s="328">
        <f>IF(OR(B91="",H91="Sold"),"—",TODAY()-B91)</f>
        <v/>
      </c>
      <c r="J91" s="329">
        <f>IF(OR(B91="",H91="Sold"),"",IF(I91="—","",IF(I91&gt;=60,"STALE — route now",IF(I91&gt;=30,"Aging — watch",IF(I91&gt;=0,"Fresh","")))))</f>
        <v/>
      </c>
      <c r="K91" s="330">
        <f>IF(J91="STALE — route now","→ Send to consignment batch",IF(J91="Aging — watch","→ Consider 10% price drop",IF(J91="Fresh","→ Hold &amp; monitor","")))</f>
        <v/>
      </c>
    </row>
    <row r="92" ht="18" customHeight="1" s="230">
      <c r="A92" s="331" t="n"/>
      <c r="B92" s="331" t="n"/>
      <c r="C92" s="332" t="n"/>
      <c r="D92" s="333" t="n"/>
      <c r="E92" s="332" t="n"/>
      <c r="F92" s="334" t="n"/>
      <c r="G92" s="334" t="n"/>
      <c r="H92" s="332" t="n"/>
      <c r="I92" s="335">
        <f>IF(OR(B92="",H92="Sold"),"—",TODAY()-B92)</f>
        <v/>
      </c>
      <c r="J92" s="336">
        <f>IF(OR(B92="",H92="Sold"),"",IF(I92="—","",IF(I92&gt;=60,"STALE — route now",IF(I92&gt;=30,"Aging — watch",IF(I92&gt;=0,"Fresh","")))))</f>
        <v/>
      </c>
      <c r="K92" s="337">
        <f>IF(J92="STALE — route now","→ Send to consignment batch",IF(J92="Aging — watch","→ Consider 10% price drop",IF(J92="Fresh","→ Hold &amp; monitor","")))</f>
        <v/>
      </c>
    </row>
    <row r="93" ht="18" customHeight="1" s="230">
      <c r="A93" s="324" t="n"/>
      <c r="B93" s="324" t="n"/>
      <c r="C93" s="325" t="n"/>
      <c r="D93" s="326" t="n"/>
      <c r="E93" s="325" t="n"/>
      <c r="F93" s="327" t="n"/>
      <c r="G93" s="327" t="n"/>
      <c r="H93" s="325" t="n"/>
      <c r="I93" s="328">
        <f>IF(OR(B93="",H93="Sold"),"—",TODAY()-B93)</f>
        <v/>
      </c>
      <c r="J93" s="329">
        <f>IF(OR(B93="",H93="Sold"),"",IF(I93="—","",IF(I93&gt;=60,"STALE — route now",IF(I93&gt;=30,"Aging — watch",IF(I93&gt;=0,"Fresh","")))))</f>
        <v/>
      </c>
      <c r="K93" s="330">
        <f>IF(J93="STALE — route now","→ Send to consignment batch",IF(J93="Aging — watch","→ Consider 10% price drop",IF(J93="Fresh","→ Hold &amp; monitor","")))</f>
        <v/>
      </c>
    </row>
    <row r="94" ht="18" customHeight="1" s="230">
      <c r="A94" s="331" t="n"/>
      <c r="B94" s="331" t="n"/>
      <c r="C94" s="332" t="n"/>
      <c r="D94" s="333" t="n"/>
      <c r="E94" s="332" t="n"/>
      <c r="F94" s="334" t="n"/>
      <c r="G94" s="334" t="n"/>
      <c r="H94" s="332" t="n"/>
      <c r="I94" s="335">
        <f>IF(OR(B94="",H94="Sold"),"—",TODAY()-B94)</f>
        <v/>
      </c>
      <c r="J94" s="336">
        <f>IF(OR(B94="",H94="Sold"),"",IF(I94="—","",IF(I94&gt;=60,"STALE — route now",IF(I94&gt;=30,"Aging — watch",IF(I94&gt;=0,"Fresh","")))))</f>
        <v/>
      </c>
      <c r="K94" s="337">
        <f>IF(J94="STALE — route now","→ Send to consignment batch",IF(J94="Aging — watch","→ Consider 10% price drop",IF(J94="Fresh","→ Hold &amp; monitor","")))</f>
        <v/>
      </c>
    </row>
    <row r="95" ht="18" customHeight="1" s="230">
      <c r="A95" s="324" t="n"/>
      <c r="B95" s="324" t="n"/>
      <c r="C95" s="325" t="n"/>
      <c r="D95" s="326" t="n"/>
      <c r="E95" s="325" t="n"/>
      <c r="F95" s="327" t="n"/>
      <c r="G95" s="327" t="n"/>
      <c r="H95" s="325" t="n"/>
      <c r="I95" s="328">
        <f>IF(OR(B95="",H95="Sold"),"—",TODAY()-B95)</f>
        <v/>
      </c>
      <c r="J95" s="329">
        <f>IF(OR(B95="",H95="Sold"),"",IF(I95="—","",IF(I95&gt;=60,"STALE — route now",IF(I95&gt;=30,"Aging — watch",IF(I95&gt;=0,"Fresh","")))))</f>
        <v/>
      </c>
      <c r="K95" s="330">
        <f>IF(J95="STALE — route now","→ Send to consignment batch",IF(J95="Aging — watch","→ Consider 10% price drop",IF(J95="Fresh","→ Hold &amp; monitor","")))</f>
        <v/>
      </c>
    </row>
    <row r="96" ht="18" customHeight="1" s="230">
      <c r="A96" s="331" t="n"/>
      <c r="B96" s="331" t="n"/>
      <c r="C96" s="332" t="n"/>
      <c r="D96" s="333" t="n"/>
      <c r="E96" s="332" t="n"/>
      <c r="F96" s="334" t="n"/>
      <c r="G96" s="334" t="n"/>
      <c r="H96" s="332" t="n"/>
      <c r="I96" s="335">
        <f>IF(OR(B96="",H96="Sold"),"—",TODAY()-B96)</f>
        <v/>
      </c>
      <c r="J96" s="336">
        <f>IF(OR(B96="",H96="Sold"),"",IF(I96="—","",IF(I96&gt;=60,"STALE — route now",IF(I96&gt;=30,"Aging — watch",IF(I96&gt;=0,"Fresh","")))))</f>
        <v/>
      </c>
      <c r="K96" s="337">
        <f>IF(J96="STALE — route now","→ Send to consignment batch",IF(J96="Aging — watch","→ Consider 10% price drop",IF(J96="Fresh","→ Hold &amp; monitor","")))</f>
        <v/>
      </c>
    </row>
    <row r="97" ht="18" customHeight="1" s="230">
      <c r="A97" s="324" t="n"/>
      <c r="B97" s="324" t="n"/>
      <c r="C97" s="325" t="n"/>
      <c r="D97" s="326" t="n"/>
      <c r="E97" s="325" t="n"/>
      <c r="F97" s="327" t="n"/>
      <c r="G97" s="327" t="n"/>
      <c r="H97" s="325" t="n"/>
      <c r="I97" s="328">
        <f>IF(OR(B97="",H97="Sold"),"—",TODAY()-B97)</f>
        <v/>
      </c>
      <c r="J97" s="329">
        <f>IF(OR(B97="",H97="Sold"),"",IF(I97="—","",IF(I97&gt;=60,"STALE — route now",IF(I97&gt;=30,"Aging — watch",IF(I97&gt;=0,"Fresh","")))))</f>
        <v/>
      </c>
      <c r="K97" s="330">
        <f>IF(J97="STALE — route now","→ Send to consignment batch",IF(J97="Aging — watch","→ Consider 10% price drop",IF(J97="Fresh","→ Hold &amp; monitor","")))</f>
        <v/>
      </c>
    </row>
    <row r="98" ht="18" customHeight="1" s="230">
      <c r="A98" s="331" t="n"/>
      <c r="B98" s="331" t="n"/>
      <c r="C98" s="332" t="n"/>
      <c r="D98" s="333" t="n"/>
      <c r="E98" s="332" t="n"/>
      <c r="F98" s="334" t="n"/>
      <c r="G98" s="334" t="n"/>
      <c r="H98" s="332" t="n"/>
      <c r="I98" s="335">
        <f>IF(OR(B98="",H98="Sold"),"—",TODAY()-B98)</f>
        <v/>
      </c>
      <c r="J98" s="336">
        <f>IF(OR(B98="",H98="Sold"),"",IF(I98="—","",IF(I98&gt;=60,"STALE — route now",IF(I98&gt;=30,"Aging — watch",IF(I98&gt;=0,"Fresh","")))))</f>
        <v/>
      </c>
      <c r="K98" s="337">
        <f>IF(J98="STALE — route now","→ Send to consignment batch",IF(J98="Aging — watch","→ Consider 10% price drop",IF(J98="Fresh","→ Hold &amp; monitor","")))</f>
        <v/>
      </c>
    </row>
    <row r="99" ht="18" customHeight="1" s="230">
      <c r="A99" s="324" t="n"/>
      <c r="B99" s="324" t="n"/>
      <c r="C99" s="325" t="n"/>
      <c r="D99" s="326" t="n"/>
      <c r="E99" s="325" t="n"/>
      <c r="F99" s="327" t="n"/>
      <c r="G99" s="327" t="n"/>
      <c r="H99" s="325" t="n"/>
      <c r="I99" s="328">
        <f>IF(OR(B99="",H99="Sold"),"—",TODAY()-B99)</f>
        <v/>
      </c>
      <c r="J99" s="329">
        <f>IF(OR(B99="",H99="Sold"),"",IF(I99="—","",IF(I99&gt;=60,"STALE — route now",IF(I99&gt;=30,"Aging — watch",IF(I99&gt;=0,"Fresh","")))))</f>
        <v/>
      </c>
      <c r="K99" s="330">
        <f>IF(J99="STALE — route now","→ Send to consignment batch",IF(J99="Aging — watch","→ Consider 10% price drop",IF(J99="Fresh","→ Hold &amp; monitor","")))</f>
        <v/>
      </c>
    </row>
    <row r="100" ht="18" customHeight="1" s="230">
      <c r="A100" s="331" t="n"/>
      <c r="B100" s="331" t="n"/>
      <c r="C100" s="332" t="n"/>
      <c r="D100" s="333" t="n"/>
      <c r="E100" s="332" t="n"/>
      <c r="F100" s="334" t="n"/>
      <c r="G100" s="334" t="n"/>
      <c r="H100" s="332" t="n"/>
      <c r="I100" s="335">
        <f>IF(OR(B100="",H100="Sold"),"—",TODAY()-B100)</f>
        <v/>
      </c>
      <c r="J100" s="336">
        <f>IF(OR(B100="",H100="Sold"),"",IF(I100="—","",IF(I100&gt;=60,"STALE — route now",IF(I100&gt;=30,"Aging — watch",IF(I100&gt;=0,"Fresh","")))))</f>
        <v/>
      </c>
      <c r="K100" s="337">
        <f>IF(J100="STALE — route now","→ Send to consignment batch",IF(J100="Aging — watch","→ Consider 10% price drop",IF(J100="Fresh","→ Hold &amp; monitor","")))</f>
        <v/>
      </c>
    </row>
    <row r="101" ht="18" customHeight="1" s="230">
      <c r="A101" s="324" t="n"/>
      <c r="B101" s="324" t="n"/>
      <c r="C101" s="325" t="n"/>
      <c r="D101" s="326" t="n"/>
      <c r="E101" s="325" t="n"/>
      <c r="F101" s="327" t="n"/>
      <c r="G101" s="327" t="n"/>
      <c r="H101" s="325" t="n"/>
      <c r="I101" s="328">
        <f>IF(OR(B101="",H101="Sold"),"—",TODAY()-B101)</f>
        <v/>
      </c>
      <c r="J101" s="329">
        <f>IF(OR(B101="",H101="Sold"),"",IF(I101="—","",IF(I101&gt;=60,"STALE — route now",IF(I101&gt;=30,"Aging — watch",IF(I101&gt;=0,"Fresh","")))))</f>
        <v/>
      </c>
      <c r="K101" s="330">
        <f>IF(J101="STALE — route now","→ Send to consignment batch",IF(J101="Aging — watch","→ Consider 10% price drop",IF(J101="Fresh","→ Hold &amp; monitor","")))</f>
        <v/>
      </c>
    </row>
    <row r="102" ht="18" customHeight="1" s="230">
      <c r="A102" s="331" t="n"/>
      <c r="B102" s="331" t="n"/>
      <c r="C102" s="332" t="n"/>
      <c r="D102" s="333" t="n"/>
      <c r="E102" s="332" t="n"/>
      <c r="F102" s="334" t="n"/>
      <c r="G102" s="334" t="n"/>
      <c r="H102" s="332" t="n"/>
      <c r="I102" s="335">
        <f>IF(OR(B102="",H102="Sold"),"—",TODAY()-B102)</f>
        <v/>
      </c>
      <c r="J102" s="336">
        <f>IF(OR(B102="",H102="Sold"),"",IF(I102="—","",IF(I102&gt;=60,"STALE — route now",IF(I102&gt;=30,"Aging — watch",IF(I102&gt;=0,"Fresh","")))))</f>
        <v/>
      </c>
      <c r="K102" s="337">
        <f>IF(J102="STALE — route now","→ Send to consignment batch",IF(J102="Aging — watch","→ Consider 10% price drop",IF(J102="Fresh","→ Hold &amp; monitor","")))</f>
        <v/>
      </c>
    </row>
    <row r="103" ht="18" customHeight="1" s="230">
      <c r="A103" s="324" t="n"/>
      <c r="B103" s="324" t="n"/>
      <c r="C103" s="325" t="n"/>
      <c r="D103" s="326" t="n"/>
      <c r="E103" s="325" t="n"/>
      <c r="F103" s="327" t="n"/>
      <c r="G103" s="327" t="n"/>
      <c r="H103" s="325" t="n"/>
      <c r="I103" s="328">
        <f>IF(OR(B103="",H103="Sold"),"—",TODAY()-B103)</f>
        <v/>
      </c>
      <c r="J103" s="329">
        <f>IF(OR(B103="",H103="Sold"),"",IF(I103="—","",IF(I103&gt;=60,"STALE — route now",IF(I103&gt;=30,"Aging — watch",IF(I103&gt;=0,"Fresh","")))))</f>
        <v/>
      </c>
      <c r="K103" s="330">
        <f>IF(J103="STALE — route now","→ Send to consignment batch",IF(J103="Aging — watch","→ Consider 10% price drop",IF(J103="Fresh","→ Hold &amp; monitor","")))</f>
        <v/>
      </c>
    </row>
    <row r="104" ht="18" customHeight="1" s="230">
      <c r="A104" s="331" t="n"/>
      <c r="B104" s="331" t="n"/>
      <c r="C104" s="332" t="n"/>
      <c r="D104" s="333" t="n"/>
      <c r="E104" s="332" t="n"/>
      <c r="F104" s="334" t="n"/>
      <c r="G104" s="334" t="n"/>
      <c r="H104" s="332" t="n"/>
      <c r="I104" s="335">
        <f>IF(OR(B104="",H104="Sold"),"—",TODAY()-B104)</f>
        <v/>
      </c>
      <c r="J104" s="336">
        <f>IF(OR(B104="",H104="Sold"),"",IF(I104="—","",IF(I104&gt;=60,"STALE — route now",IF(I104&gt;=30,"Aging — watch",IF(I104&gt;=0,"Fresh","")))))</f>
        <v/>
      </c>
      <c r="K104" s="337">
        <f>IF(J104="STALE — route now","→ Send to consignment batch",IF(J104="Aging — watch","→ Consider 10% price drop",IF(J104="Fresh","→ Hold &amp; monitor","")))</f>
        <v/>
      </c>
    </row>
    <row r="105" ht="18" customHeight="1" s="230">
      <c r="A105" s="324" t="n"/>
      <c r="B105" s="324" t="n"/>
      <c r="C105" s="325" t="n"/>
      <c r="D105" s="326" t="n"/>
      <c r="E105" s="325" t="n"/>
      <c r="F105" s="327" t="n"/>
      <c r="G105" s="327" t="n"/>
      <c r="H105" s="325" t="n"/>
      <c r="I105" s="328">
        <f>IF(OR(B105="",H105="Sold"),"—",TODAY()-B105)</f>
        <v/>
      </c>
      <c r="J105" s="329">
        <f>IF(OR(B105="",H105="Sold"),"",IF(I105="—","",IF(I105&gt;=60,"STALE — route now",IF(I105&gt;=30,"Aging — watch",IF(I105&gt;=0,"Fresh","")))))</f>
        <v/>
      </c>
      <c r="K105" s="330">
        <f>IF(J105="STALE — route now","→ Send to consignment batch",IF(J105="Aging — watch","→ Consider 10% price drop",IF(J105="Fresh","→ Hold &amp; monitor","")))</f>
        <v/>
      </c>
    </row>
    <row r="106" ht="18" customHeight="1" s="230">
      <c r="A106" s="331" t="n"/>
      <c r="B106" s="331" t="n"/>
      <c r="C106" s="332" t="n"/>
      <c r="D106" s="333" t="n"/>
      <c r="E106" s="332" t="n"/>
      <c r="F106" s="334" t="n"/>
      <c r="G106" s="334" t="n"/>
      <c r="H106" s="332" t="n"/>
      <c r="I106" s="335">
        <f>IF(OR(B106="",H106="Sold"),"—",TODAY()-B106)</f>
        <v/>
      </c>
      <c r="J106" s="336">
        <f>IF(OR(B106="",H106="Sold"),"",IF(I106="—","",IF(I106&gt;=60,"STALE — route now",IF(I106&gt;=30,"Aging — watch",IF(I106&gt;=0,"Fresh","")))))</f>
        <v/>
      </c>
      <c r="K106" s="337">
        <f>IF(J106="STALE — route now","→ Send to consignment batch",IF(J106="Aging — watch","→ Consider 10% price drop",IF(J106="Fresh","→ Hold &amp; monitor","")))</f>
        <v/>
      </c>
    </row>
    <row r="107" ht="18" customHeight="1" s="230">
      <c r="A107" s="324" t="n"/>
      <c r="B107" s="324" t="n"/>
      <c r="C107" s="325" t="n"/>
      <c r="D107" s="326" t="n"/>
      <c r="E107" s="325" t="n"/>
      <c r="F107" s="327" t="n"/>
      <c r="G107" s="327" t="n"/>
      <c r="H107" s="325" t="n"/>
      <c r="I107" s="328">
        <f>IF(OR(B107="",H107="Sold"),"—",TODAY()-B107)</f>
        <v/>
      </c>
      <c r="J107" s="329">
        <f>IF(OR(B107="",H107="Sold"),"",IF(I107="—","",IF(I107&gt;=60,"STALE — route now",IF(I107&gt;=30,"Aging — watch",IF(I107&gt;=0,"Fresh","")))))</f>
        <v/>
      </c>
      <c r="K107" s="330">
        <f>IF(J107="STALE — route now","→ Send to consignment batch",IF(J107="Aging — watch","→ Consider 10% price drop",IF(J107="Fresh","→ Hold &amp; monitor","")))</f>
        <v/>
      </c>
    </row>
    <row r="108" ht="18" customHeight="1" s="230">
      <c r="A108" s="331" t="n"/>
      <c r="B108" s="331" t="n"/>
      <c r="C108" s="332" t="n"/>
      <c r="D108" s="333" t="n"/>
      <c r="E108" s="332" t="n"/>
      <c r="F108" s="334" t="n"/>
      <c r="G108" s="334" t="n"/>
      <c r="H108" s="332" t="n"/>
      <c r="I108" s="335">
        <f>IF(OR(B108="",H108="Sold"),"—",TODAY()-B108)</f>
        <v/>
      </c>
      <c r="J108" s="336">
        <f>IF(OR(B108="",H108="Sold"),"",IF(I108="—","",IF(I108&gt;=60,"STALE — route now",IF(I108&gt;=30,"Aging — watch",IF(I108&gt;=0,"Fresh","")))))</f>
        <v/>
      </c>
      <c r="K108" s="337">
        <f>IF(J108="STALE — route now","→ Send to consignment batch",IF(J108="Aging — watch","→ Consider 10% price drop",IF(J108="Fresh","→ Hold &amp; monitor","")))</f>
        <v/>
      </c>
    </row>
    <row r="109" ht="18" customHeight="1" s="230">
      <c r="A109" s="324" t="n"/>
      <c r="B109" s="324" t="n"/>
      <c r="C109" s="325" t="n"/>
      <c r="D109" s="326" t="n"/>
      <c r="E109" s="325" t="n"/>
      <c r="F109" s="327" t="n"/>
      <c r="G109" s="327" t="n"/>
      <c r="H109" s="325" t="n"/>
      <c r="I109" s="328">
        <f>IF(OR(B109="",H109="Sold"),"—",TODAY()-B109)</f>
        <v/>
      </c>
      <c r="J109" s="329">
        <f>IF(OR(B109="",H109="Sold"),"",IF(I109="—","",IF(I109&gt;=60,"STALE — route now",IF(I109&gt;=30,"Aging — watch",IF(I109&gt;=0,"Fresh","")))))</f>
        <v/>
      </c>
      <c r="K109" s="330">
        <f>IF(J109="STALE — route now","→ Send to consignment batch",IF(J109="Aging — watch","→ Consider 10% price drop",IF(J109="Fresh","→ Hold &amp; monitor","")))</f>
        <v/>
      </c>
    </row>
    <row r="110" ht="18" customHeight="1" s="230">
      <c r="A110" s="331" t="n"/>
      <c r="B110" s="331" t="n"/>
      <c r="C110" s="332" t="n"/>
      <c r="D110" s="333" t="n"/>
      <c r="E110" s="332" t="n"/>
      <c r="F110" s="334" t="n"/>
      <c r="G110" s="334" t="n"/>
      <c r="H110" s="332" t="n"/>
      <c r="I110" s="335">
        <f>IF(OR(B110="",H110="Sold"),"—",TODAY()-B110)</f>
        <v/>
      </c>
      <c r="J110" s="336">
        <f>IF(OR(B110="",H110="Sold"),"",IF(I110="—","",IF(I110&gt;=60,"STALE — route now",IF(I110&gt;=30,"Aging — watch",IF(I110&gt;=0,"Fresh","")))))</f>
        <v/>
      </c>
      <c r="K110" s="337">
        <f>IF(J110="STALE — route now","→ Send to consignment batch",IF(J110="Aging — watch","→ Consider 10% price drop",IF(J110="Fresh","→ Hold &amp; monitor","")))</f>
        <v/>
      </c>
    </row>
    <row r="111" ht="18" customHeight="1" s="230">
      <c r="A111" s="324" t="n"/>
      <c r="B111" s="324" t="n"/>
      <c r="C111" s="325" t="n"/>
      <c r="D111" s="326" t="n"/>
      <c r="E111" s="325" t="n"/>
      <c r="F111" s="327" t="n"/>
      <c r="G111" s="327" t="n"/>
      <c r="H111" s="325" t="n"/>
      <c r="I111" s="328">
        <f>IF(OR(B111="",H111="Sold"),"—",TODAY()-B111)</f>
        <v/>
      </c>
      <c r="J111" s="329">
        <f>IF(OR(B111="",H111="Sold"),"",IF(I111="—","",IF(I111&gt;=60,"STALE — route now",IF(I111&gt;=30,"Aging — watch",IF(I111&gt;=0,"Fresh","")))))</f>
        <v/>
      </c>
      <c r="K111" s="330">
        <f>IF(J111="STALE — route now","→ Send to consignment batch",IF(J111="Aging — watch","→ Consider 10% price drop",IF(J111="Fresh","→ Hold &amp; monitor","")))</f>
        <v/>
      </c>
    </row>
    <row r="112" ht="18" customHeight="1" s="230">
      <c r="A112" s="331" t="n"/>
      <c r="B112" s="331" t="n"/>
      <c r="C112" s="332" t="n"/>
      <c r="D112" s="333" t="n"/>
      <c r="E112" s="332" t="n"/>
      <c r="F112" s="334" t="n"/>
      <c r="G112" s="334" t="n"/>
      <c r="H112" s="332" t="n"/>
      <c r="I112" s="335">
        <f>IF(OR(B112="",H112="Sold"),"—",TODAY()-B112)</f>
        <v/>
      </c>
      <c r="J112" s="336">
        <f>IF(OR(B112="",H112="Sold"),"",IF(I112="—","",IF(I112&gt;=60,"STALE — route now",IF(I112&gt;=30,"Aging — watch",IF(I112&gt;=0,"Fresh","")))))</f>
        <v/>
      </c>
      <c r="K112" s="337">
        <f>IF(J112="STALE — route now","→ Send to consignment batch",IF(J112="Aging — watch","→ Consider 10% price drop",IF(J112="Fresh","→ Hold &amp; monitor","")))</f>
        <v/>
      </c>
    </row>
    <row r="113" ht="18" customHeight="1" s="230">
      <c r="A113" s="324" t="n"/>
      <c r="B113" s="324" t="n"/>
      <c r="C113" s="325" t="n"/>
      <c r="D113" s="326" t="n"/>
      <c r="E113" s="325" t="n"/>
      <c r="F113" s="327" t="n"/>
      <c r="G113" s="327" t="n"/>
      <c r="H113" s="325" t="n"/>
      <c r="I113" s="328">
        <f>IF(OR(B113="",H113="Sold"),"—",TODAY()-B113)</f>
        <v/>
      </c>
      <c r="J113" s="329">
        <f>IF(OR(B113="",H113="Sold"),"",IF(I113="—","",IF(I113&gt;=60,"STALE — route now",IF(I113&gt;=30,"Aging — watch",IF(I113&gt;=0,"Fresh","")))))</f>
        <v/>
      </c>
      <c r="K113" s="330">
        <f>IF(J113="STALE — route now","→ Send to consignment batch",IF(J113="Aging — watch","→ Consider 10% price drop",IF(J113="Fresh","→ Hold &amp; monitor","")))</f>
        <v/>
      </c>
    </row>
    <row r="114" ht="18" customHeight="1" s="230">
      <c r="A114" s="331" t="n"/>
      <c r="B114" s="331" t="n"/>
      <c r="C114" s="332" t="n"/>
      <c r="D114" s="333" t="n"/>
      <c r="E114" s="332" t="n"/>
      <c r="F114" s="334" t="n"/>
      <c r="G114" s="334" t="n"/>
      <c r="H114" s="332" t="n"/>
      <c r="I114" s="335">
        <f>IF(OR(B114="",H114="Sold"),"—",TODAY()-B114)</f>
        <v/>
      </c>
      <c r="J114" s="336">
        <f>IF(OR(B114="",H114="Sold"),"",IF(I114="—","",IF(I114&gt;=60,"STALE — route now",IF(I114&gt;=30,"Aging — watch",IF(I114&gt;=0,"Fresh","")))))</f>
        <v/>
      </c>
      <c r="K114" s="337">
        <f>IF(J114="STALE — route now","→ Send to consignment batch",IF(J114="Aging — watch","→ Consider 10% price drop",IF(J114="Fresh","→ Hold &amp; monitor","")))</f>
        <v/>
      </c>
    </row>
    <row r="115" ht="18" customHeight="1" s="230">
      <c r="A115" s="324" t="n"/>
      <c r="B115" s="324" t="n"/>
      <c r="C115" s="325" t="n"/>
      <c r="D115" s="326" t="n"/>
      <c r="E115" s="325" t="n"/>
      <c r="F115" s="327" t="n"/>
      <c r="G115" s="327" t="n"/>
      <c r="H115" s="325" t="n"/>
      <c r="I115" s="328">
        <f>IF(OR(B115="",H115="Sold"),"—",TODAY()-B115)</f>
        <v/>
      </c>
      <c r="J115" s="329">
        <f>IF(OR(B115="",H115="Sold"),"",IF(I115="—","",IF(I115&gt;=60,"STALE — route now",IF(I115&gt;=30,"Aging — watch",IF(I115&gt;=0,"Fresh","")))))</f>
        <v/>
      </c>
      <c r="K115" s="330">
        <f>IF(J115="STALE — route now","→ Send to consignment batch",IF(J115="Aging — watch","→ Consider 10% price drop",IF(J115="Fresh","→ Hold &amp; monitor","")))</f>
        <v/>
      </c>
    </row>
    <row r="116" ht="18" customHeight="1" s="230">
      <c r="A116" s="331" t="n"/>
      <c r="B116" s="331" t="n"/>
      <c r="C116" s="332" t="n"/>
      <c r="D116" s="333" t="n"/>
      <c r="E116" s="332" t="n"/>
      <c r="F116" s="334" t="n"/>
      <c r="G116" s="334" t="n"/>
      <c r="H116" s="332" t="n"/>
      <c r="I116" s="335">
        <f>IF(OR(B116="",H116="Sold"),"—",TODAY()-B116)</f>
        <v/>
      </c>
      <c r="J116" s="336">
        <f>IF(OR(B116="",H116="Sold"),"",IF(I116="—","",IF(I116&gt;=60,"STALE — route now",IF(I116&gt;=30,"Aging — watch",IF(I116&gt;=0,"Fresh","")))))</f>
        <v/>
      </c>
      <c r="K116" s="337">
        <f>IF(J116="STALE — route now","→ Send to consignment batch",IF(J116="Aging — watch","→ Consider 10% price drop",IF(J116="Fresh","→ Hold &amp; monitor","")))</f>
        <v/>
      </c>
    </row>
    <row r="117" ht="18" customHeight="1" s="230">
      <c r="A117" s="324" t="n"/>
      <c r="B117" s="324" t="n"/>
      <c r="C117" s="325" t="n"/>
      <c r="D117" s="326" t="n"/>
      <c r="E117" s="325" t="n"/>
      <c r="F117" s="327" t="n"/>
      <c r="G117" s="327" t="n"/>
      <c r="H117" s="325" t="n"/>
      <c r="I117" s="328">
        <f>IF(OR(B117="",H117="Sold"),"—",TODAY()-B117)</f>
        <v/>
      </c>
      <c r="J117" s="329">
        <f>IF(OR(B117="",H117="Sold"),"",IF(I117="—","",IF(I117&gt;=60,"STALE — route now",IF(I117&gt;=30,"Aging — watch",IF(I117&gt;=0,"Fresh","")))))</f>
        <v/>
      </c>
      <c r="K117" s="330">
        <f>IF(J117="STALE — route now","→ Send to consignment batch",IF(J117="Aging — watch","→ Consider 10% price drop",IF(J117="Fresh","→ Hold &amp; monitor","")))</f>
        <v/>
      </c>
    </row>
    <row r="118" ht="18" customHeight="1" s="230">
      <c r="A118" s="331" t="n"/>
      <c r="B118" s="331" t="n"/>
      <c r="C118" s="332" t="n"/>
      <c r="D118" s="333" t="n"/>
      <c r="E118" s="332" t="n"/>
      <c r="F118" s="334" t="n"/>
      <c r="G118" s="334" t="n"/>
      <c r="H118" s="332" t="n"/>
      <c r="I118" s="335">
        <f>IF(OR(B118="",H118="Sold"),"—",TODAY()-B118)</f>
        <v/>
      </c>
      <c r="J118" s="336">
        <f>IF(OR(B118="",H118="Sold"),"",IF(I118="—","",IF(I118&gt;=60,"STALE — route now",IF(I118&gt;=30,"Aging — watch",IF(I118&gt;=0,"Fresh","")))))</f>
        <v/>
      </c>
      <c r="K118" s="337">
        <f>IF(J118="STALE — route now","→ Send to consignment batch",IF(J118="Aging — watch","→ Consider 10% price drop",IF(J118="Fresh","→ Hold &amp; monitor","")))</f>
        <v/>
      </c>
    </row>
    <row r="119" ht="18" customHeight="1" s="230">
      <c r="A119" s="324" t="n"/>
      <c r="B119" s="324" t="n"/>
      <c r="C119" s="325" t="n"/>
      <c r="D119" s="326" t="n"/>
      <c r="E119" s="325" t="n"/>
      <c r="F119" s="327" t="n"/>
      <c r="G119" s="327" t="n"/>
      <c r="H119" s="325" t="n"/>
      <c r="I119" s="328">
        <f>IF(OR(B119="",H119="Sold"),"—",TODAY()-B119)</f>
        <v/>
      </c>
      <c r="J119" s="329">
        <f>IF(OR(B119="",H119="Sold"),"",IF(I119="—","",IF(I119&gt;=60,"STALE — route now",IF(I119&gt;=30,"Aging — watch",IF(I119&gt;=0,"Fresh","")))))</f>
        <v/>
      </c>
      <c r="K119" s="330">
        <f>IF(J119="STALE — route now","→ Send to consignment batch",IF(J119="Aging — watch","→ Consider 10% price drop",IF(J119="Fresh","→ Hold &amp; monitor","")))</f>
        <v/>
      </c>
    </row>
    <row r="120" ht="18" customHeight="1" s="230">
      <c r="A120" s="331" t="n"/>
      <c r="B120" s="331" t="n"/>
      <c r="C120" s="332" t="n"/>
      <c r="D120" s="333" t="n"/>
      <c r="E120" s="332" t="n"/>
      <c r="F120" s="334" t="n"/>
      <c r="G120" s="334" t="n"/>
      <c r="H120" s="332" t="n"/>
      <c r="I120" s="335">
        <f>IF(OR(B120="",H120="Sold"),"—",TODAY()-B120)</f>
        <v/>
      </c>
      <c r="J120" s="336">
        <f>IF(OR(B120="",H120="Sold"),"",IF(I120="—","",IF(I120&gt;=60,"STALE — route now",IF(I120&gt;=30,"Aging — watch",IF(I120&gt;=0,"Fresh","")))))</f>
        <v/>
      </c>
      <c r="K120" s="337">
        <f>IF(J120="STALE — route now","→ Send to consignment batch",IF(J120="Aging — watch","→ Consider 10% price drop",IF(J120="Fresh","→ Hold &amp; monitor","")))</f>
        <v/>
      </c>
    </row>
    <row r="121" ht="18" customHeight="1" s="230">
      <c r="A121" s="324" t="n"/>
      <c r="B121" s="324" t="n"/>
      <c r="C121" s="325" t="n"/>
      <c r="D121" s="326" t="n"/>
      <c r="E121" s="325" t="n"/>
      <c r="F121" s="327" t="n"/>
      <c r="G121" s="327" t="n"/>
      <c r="H121" s="325" t="n"/>
      <c r="I121" s="328">
        <f>IF(OR(B121="",H121="Sold"),"—",TODAY()-B121)</f>
        <v/>
      </c>
      <c r="J121" s="329">
        <f>IF(OR(B121="",H121="Sold"),"",IF(I121="—","",IF(I121&gt;=60,"STALE — route now",IF(I121&gt;=30,"Aging — watch",IF(I121&gt;=0,"Fresh","")))))</f>
        <v/>
      </c>
      <c r="K121" s="330">
        <f>IF(J121="STALE — route now","→ Send to consignment batch",IF(J121="Aging — watch","→ Consider 10% price drop",IF(J121="Fresh","→ Hold &amp; monitor","")))</f>
        <v/>
      </c>
    </row>
    <row r="122" ht="18" customHeight="1" s="230">
      <c r="A122" s="331" t="n"/>
      <c r="B122" s="331" t="n"/>
      <c r="C122" s="332" t="n"/>
      <c r="D122" s="333" t="n"/>
      <c r="E122" s="332" t="n"/>
      <c r="F122" s="334" t="n"/>
      <c r="G122" s="334" t="n"/>
      <c r="H122" s="332" t="n"/>
      <c r="I122" s="335">
        <f>IF(OR(B122="",H122="Sold"),"—",TODAY()-B122)</f>
        <v/>
      </c>
      <c r="J122" s="336">
        <f>IF(OR(B122="",H122="Sold"),"",IF(I122="—","",IF(I122&gt;=60,"STALE — route now",IF(I122&gt;=30,"Aging — watch",IF(I122&gt;=0,"Fresh","")))))</f>
        <v/>
      </c>
      <c r="K122" s="337">
        <f>IF(J122="STALE — route now","→ Send to consignment batch",IF(J122="Aging — watch","→ Consider 10% price drop",IF(J122="Fresh","→ Hold &amp; monitor","")))</f>
        <v/>
      </c>
    </row>
    <row r="123" ht="18" customHeight="1" s="230">
      <c r="A123" s="324" t="n"/>
      <c r="B123" s="324" t="n"/>
      <c r="C123" s="325" t="n"/>
      <c r="D123" s="326" t="n"/>
      <c r="E123" s="325" t="n"/>
      <c r="F123" s="327" t="n"/>
      <c r="G123" s="327" t="n"/>
      <c r="H123" s="325" t="n"/>
      <c r="I123" s="328">
        <f>IF(OR(B123="",H123="Sold"),"—",TODAY()-B123)</f>
        <v/>
      </c>
      <c r="J123" s="329">
        <f>IF(OR(B123="",H123="Sold"),"",IF(I123="—","",IF(I123&gt;=60,"STALE — route now",IF(I123&gt;=30,"Aging — watch",IF(I123&gt;=0,"Fresh","")))))</f>
        <v/>
      </c>
      <c r="K123" s="330">
        <f>IF(J123="STALE — route now","→ Send to consignment batch",IF(J123="Aging — watch","→ Consider 10% price drop",IF(J123="Fresh","→ Hold &amp; monitor","")))</f>
        <v/>
      </c>
    </row>
    <row r="124" ht="18" customHeight="1" s="230">
      <c r="A124" s="331" t="n"/>
      <c r="B124" s="331" t="n"/>
      <c r="C124" s="332" t="n"/>
      <c r="D124" s="333" t="n"/>
      <c r="E124" s="332" t="n"/>
      <c r="F124" s="334" t="n"/>
      <c r="G124" s="334" t="n"/>
      <c r="H124" s="332" t="n"/>
      <c r="I124" s="335">
        <f>IF(OR(B124="",H124="Sold"),"—",TODAY()-B124)</f>
        <v/>
      </c>
      <c r="J124" s="336">
        <f>IF(OR(B124="",H124="Sold"),"",IF(I124="—","",IF(I124&gt;=60,"STALE — route now",IF(I124&gt;=30,"Aging — watch",IF(I124&gt;=0,"Fresh","")))))</f>
        <v/>
      </c>
      <c r="K124" s="337">
        <f>IF(J124="STALE — route now","→ Send to consignment batch",IF(J124="Aging — watch","→ Consider 10% price drop",IF(J124="Fresh","→ Hold &amp; monitor","")))</f>
        <v/>
      </c>
    </row>
    <row r="125" ht="18" customHeight="1" s="230">
      <c r="A125" s="324" t="n"/>
      <c r="B125" s="324" t="n"/>
      <c r="C125" s="325" t="n"/>
      <c r="D125" s="326" t="n"/>
      <c r="E125" s="325" t="n"/>
      <c r="F125" s="327" t="n"/>
      <c r="G125" s="327" t="n"/>
      <c r="H125" s="325" t="n"/>
      <c r="I125" s="328">
        <f>IF(OR(B125="",H125="Sold"),"—",TODAY()-B125)</f>
        <v/>
      </c>
      <c r="J125" s="329">
        <f>IF(OR(B125="",H125="Sold"),"",IF(I125="—","",IF(I125&gt;=60,"STALE — route now",IF(I125&gt;=30,"Aging — watch",IF(I125&gt;=0,"Fresh","")))))</f>
        <v/>
      </c>
      <c r="K125" s="330">
        <f>IF(J125="STALE — route now","→ Send to consignment batch",IF(J125="Aging — watch","→ Consider 10% price drop",IF(J125="Fresh","→ Hold &amp; monitor","")))</f>
        <v/>
      </c>
    </row>
    <row r="126" ht="18" customHeight="1" s="230">
      <c r="A126" s="331" t="n"/>
      <c r="B126" s="331" t="n"/>
      <c r="C126" s="332" t="n"/>
      <c r="D126" s="333" t="n"/>
      <c r="E126" s="332" t="n"/>
      <c r="F126" s="334" t="n"/>
      <c r="G126" s="334" t="n"/>
      <c r="H126" s="332" t="n"/>
      <c r="I126" s="335">
        <f>IF(OR(B126="",H126="Sold"),"—",TODAY()-B126)</f>
        <v/>
      </c>
      <c r="J126" s="336">
        <f>IF(OR(B126="",H126="Sold"),"",IF(I126="—","",IF(I126&gt;=60,"STALE — route now",IF(I126&gt;=30,"Aging — watch",IF(I126&gt;=0,"Fresh","")))))</f>
        <v/>
      </c>
      <c r="K126" s="337">
        <f>IF(J126="STALE — route now","→ Send to consignment batch",IF(J126="Aging — watch","→ Consider 10% price drop",IF(J126="Fresh","→ Hold &amp; monitor","")))</f>
        <v/>
      </c>
    </row>
    <row r="127" ht="18" customHeight="1" s="230">
      <c r="A127" s="324" t="n"/>
      <c r="B127" s="324" t="n"/>
      <c r="C127" s="325" t="n"/>
      <c r="D127" s="326" t="n"/>
      <c r="E127" s="325" t="n"/>
      <c r="F127" s="327" t="n"/>
      <c r="G127" s="327" t="n"/>
      <c r="H127" s="325" t="n"/>
      <c r="I127" s="328">
        <f>IF(OR(B127="",H127="Sold"),"—",TODAY()-B127)</f>
        <v/>
      </c>
      <c r="J127" s="329">
        <f>IF(OR(B127="",H127="Sold"),"",IF(I127="—","",IF(I127&gt;=60,"STALE — route now",IF(I127&gt;=30,"Aging — watch",IF(I127&gt;=0,"Fresh","")))))</f>
        <v/>
      </c>
      <c r="K127" s="330">
        <f>IF(J127="STALE — route now","→ Send to consignment batch",IF(J127="Aging — watch","→ Consider 10% price drop",IF(J127="Fresh","→ Hold &amp; monitor","")))</f>
        <v/>
      </c>
    </row>
    <row r="128" ht="18" customHeight="1" s="230">
      <c r="A128" s="331" t="n"/>
      <c r="B128" s="331" t="n"/>
      <c r="C128" s="332" t="n"/>
      <c r="D128" s="333" t="n"/>
      <c r="E128" s="332" t="n"/>
      <c r="F128" s="334" t="n"/>
      <c r="G128" s="334" t="n"/>
      <c r="H128" s="332" t="n"/>
      <c r="I128" s="335">
        <f>IF(OR(B128="",H128="Sold"),"—",TODAY()-B128)</f>
        <v/>
      </c>
      <c r="J128" s="336">
        <f>IF(OR(B128="",H128="Sold"),"",IF(I128="—","",IF(I128&gt;=60,"STALE — route now",IF(I128&gt;=30,"Aging — watch",IF(I128&gt;=0,"Fresh","")))))</f>
        <v/>
      </c>
      <c r="K128" s="337">
        <f>IF(J128="STALE — route now","→ Send to consignment batch",IF(J128="Aging — watch","→ Consider 10% price drop",IF(J128="Fresh","→ Hold &amp; monitor","")))</f>
        <v/>
      </c>
    </row>
    <row r="129" ht="18" customHeight="1" s="230">
      <c r="A129" s="324" t="n"/>
      <c r="B129" s="324" t="n"/>
      <c r="C129" s="325" t="n"/>
      <c r="D129" s="326" t="n"/>
      <c r="E129" s="325" t="n"/>
      <c r="F129" s="327" t="n"/>
      <c r="G129" s="327" t="n"/>
      <c r="H129" s="325" t="n"/>
      <c r="I129" s="328">
        <f>IF(OR(B129="",H129="Sold"),"—",TODAY()-B129)</f>
        <v/>
      </c>
      <c r="J129" s="329">
        <f>IF(OR(B129="",H129="Sold"),"",IF(I129="—","",IF(I129&gt;=60,"STALE — route now",IF(I129&gt;=30,"Aging — watch",IF(I129&gt;=0,"Fresh","")))))</f>
        <v/>
      </c>
      <c r="K129" s="330">
        <f>IF(J129="STALE — route now","→ Send to consignment batch",IF(J129="Aging — watch","→ Consider 10% price drop",IF(J129="Fresh","→ Hold &amp; monitor","")))</f>
        <v/>
      </c>
    </row>
    <row r="130" ht="18" customHeight="1" s="230">
      <c r="A130" s="331" t="n"/>
      <c r="B130" s="331" t="n"/>
      <c r="C130" s="332" t="n"/>
      <c r="D130" s="333" t="n"/>
      <c r="E130" s="332" t="n"/>
      <c r="F130" s="334" t="n"/>
      <c r="G130" s="334" t="n"/>
      <c r="H130" s="332" t="n"/>
      <c r="I130" s="335">
        <f>IF(OR(B130="",H130="Sold"),"—",TODAY()-B130)</f>
        <v/>
      </c>
      <c r="J130" s="336">
        <f>IF(OR(B130="",H130="Sold"),"",IF(I130="—","",IF(I130&gt;=60,"STALE — route now",IF(I130&gt;=30,"Aging — watch",IF(I130&gt;=0,"Fresh","")))))</f>
        <v/>
      </c>
      <c r="K130" s="337">
        <f>IF(J130="STALE — route now","→ Send to consignment batch",IF(J130="Aging — watch","→ Consider 10% price drop",IF(J130="Fresh","→ Hold &amp; monitor","")))</f>
        <v/>
      </c>
    </row>
    <row r="131" ht="18" customHeight="1" s="230">
      <c r="A131" s="324" t="n"/>
      <c r="B131" s="324" t="n"/>
      <c r="C131" s="325" t="n"/>
      <c r="D131" s="326" t="n"/>
      <c r="E131" s="325" t="n"/>
      <c r="F131" s="327" t="n"/>
      <c r="G131" s="327" t="n"/>
      <c r="H131" s="325" t="n"/>
      <c r="I131" s="328">
        <f>IF(OR(B131="",H131="Sold"),"—",TODAY()-B131)</f>
        <v/>
      </c>
      <c r="J131" s="329">
        <f>IF(OR(B131="",H131="Sold"),"",IF(I131="—","",IF(I131&gt;=60,"STALE — route now",IF(I131&gt;=30,"Aging — watch",IF(I131&gt;=0,"Fresh","")))))</f>
        <v/>
      </c>
      <c r="K131" s="330">
        <f>IF(J131="STALE — route now","→ Send to consignment batch",IF(J131="Aging — watch","→ Consider 10% price drop",IF(J131="Fresh","→ Hold &amp; monitor","")))</f>
        <v/>
      </c>
    </row>
    <row r="132" ht="18" customHeight="1" s="230">
      <c r="A132" s="331" t="n"/>
      <c r="B132" s="331" t="n"/>
      <c r="C132" s="332" t="n"/>
      <c r="D132" s="333" t="n"/>
      <c r="E132" s="332" t="n"/>
      <c r="F132" s="334" t="n"/>
      <c r="G132" s="334" t="n"/>
      <c r="H132" s="332" t="n"/>
      <c r="I132" s="335">
        <f>IF(OR(B132="",H132="Sold"),"—",TODAY()-B132)</f>
        <v/>
      </c>
      <c r="J132" s="336">
        <f>IF(OR(B132="",H132="Sold"),"",IF(I132="—","",IF(I132&gt;=60,"STALE — route now",IF(I132&gt;=30,"Aging — watch",IF(I132&gt;=0,"Fresh","")))))</f>
        <v/>
      </c>
      <c r="K132" s="337">
        <f>IF(J132="STALE — route now","→ Send to consignment batch",IF(J132="Aging — watch","→ Consider 10% price drop",IF(J132="Fresh","→ Hold &amp; monitor","")))</f>
        <v/>
      </c>
    </row>
    <row r="133" ht="18" customHeight="1" s="230">
      <c r="A133" s="324" t="n"/>
      <c r="B133" s="324" t="n"/>
      <c r="C133" s="325" t="n"/>
      <c r="D133" s="326" t="n"/>
      <c r="E133" s="325" t="n"/>
      <c r="F133" s="327" t="n"/>
      <c r="G133" s="327" t="n"/>
      <c r="H133" s="325" t="n"/>
      <c r="I133" s="328">
        <f>IF(OR(B133="",H133="Sold"),"—",TODAY()-B133)</f>
        <v/>
      </c>
      <c r="J133" s="329">
        <f>IF(OR(B133="",H133="Sold"),"",IF(I133="—","",IF(I133&gt;=60,"STALE — route now",IF(I133&gt;=30,"Aging — watch",IF(I133&gt;=0,"Fresh","")))))</f>
        <v/>
      </c>
      <c r="K133" s="330">
        <f>IF(J133="STALE — route now","→ Send to consignment batch",IF(J133="Aging — watch","→ Consider 10% price drop",IF(J133="Fresh","→ Hold &amp; monitor","")))</f>
        <v/>
      </c>
    </row>
    <row r="134" ht="18" customHeight="1" s="230">
      <c r="A134" s="331" t="n"/>
      <c r="B134" s="331" t="n"/>
      <c r="C134" s="332" t="n"/>
      <c r="D134" s="333" t="n"/>
      <c r="E134" s="332" t="n"/>
      <c r="F134" s="334" t="n"/>
      <c r="G134" s="334" t="n"/>
      <c r="H134" s="332" t="n"/>
      <c r="I134" s="335">
        <f>IF(OR(B134="",H134="Sold"),"—",TODAY()-B134)</f>
        <v/>
      </c>
      <c r="J134" s="336">
        <f>IF(OR(B134="",H134="Sold"),"",IF(I134="—","",IF(I134&gt;=60,"STALE — route now",IF(I134&gt;=30,"Aging — watch",IF(I134&gt;=0,"Fresh","")))))</f>
        <v/>
      </c>
      <c r="K134" s="337">
        <f>IF(J134="STALE — route now","→ Send to consignment batch",IF(J134="Aging — watch","→ Consider 10% price drop",IF(J134="Fresh","→ Hold &amp; monitor","")))</f>
        <v/>
      </c>
    </row>
    <row r="135" ht="18" customHeight="1" s="230">
      <c r="A135" s="324" t="n"/>
      <c r="B135" s="324" t="n"/>
      <c r="C135" s="325" t="n"/>
      <c r="D135" s="326" t="n"/>
      <c r="E135" s="325" t="n"/>
      <c r="F135" s="327" t="n"/>
      <c r="G135" s="327" t="n"/>
      <c r="H135" s="325" t="n"/>
      <c r="I135" s="328">
        <f>IF(OR(B135="",H135="Sold"),"—",TODAY()-B135)</f>
        <v/>
      </c>
      <c r="J135" s="329">
        <f>IF(OR(B135="",H135="Sold"),"",IF(I135="—","",IF(I135&gt;=60,"STALE — route now",IF(I135&gt;=30,"Aging — watch",IF(I135&gt;=0,"Fresh","")))))</f>
        <v/>
      </c>
      <c r="K135" s="330">
        <f>IF(J135="STALE — route now","→ Send to consignment batch",IF(J135="Aging — watch","→ Consider 10% price drop",IF(J135="Fresh","→ Hold &amp; monitor","")))</f>
        <v/>
      </c>
    </row>
    <row r="136" ht="18" customHeight="1" s="230">
      <c r="A136" s="331" t="n"/>
      <c r="B136" s="331" t="n"/>
      <c r="C136" s="332" t="n"/>
      <c r="D136" s="333" t="n"/>
      <c r="E136" s="332" t="n"/>
      <c r="F136" s="334" t="n"/>
      <c r="G136" s="334" t="n"/>
      <c r="H136" s="332" t="n"/>
      <c r="I136" s="335">
        <f>IF(OR(B136="",H136="Sold"),"—",TODAY()-B136)</f>
        <v/>
      </c>
      <c r="J136" s="336">
        <f>IF(OR(B136="",H136="Sold"),"",IF(I136="—","",IF(I136&gt;=60,"STALE — route now",IF(I136&gt;=30,"Aging — watch",IF(I136&gt;=0,"Fresh","")))))</f>
        <v/>
      </c>
      <c r="K136" s="337">
        <f>IF(J136="STALE — route now","→ Send to consignment batch",IF(J136="Aging — watch","→ Consider 10% price drop",IF(J136="Fresh","→ Hold &amp; monitor","")))</f>
        <v/>
      </c>
    </row>
    <row r="137" ht="18" customHeight="1" s="230">
      <c r="A137" s="324" t="n"/>
      <c r="B137" s="324" t="n"/>
      <c r="C137" s="325" t="n"/>
      <c r="D137" s="326" t="n"/>
      <c r="E137" s="325" t="n"/>
      <c r="F137" s="327" t="n"/>
      <c r="G137" s="327" t="n"/>
      <c r="H137" s="325" t="n"/>
      <c r="I137" s="328">
        <f>IF(OR(B137="",H137="Sold"),"—",TODAY()-B137)</f>
        <v/>
      </c>
      <c r="J137" s="329">
        <f>IF(OR(B137="",H137="Sold"),"",IF(I137="—","",IF(I137&gt;=60,"STALE — route now",IF(I137&gt;=30,"Aging — watch",IF(I137&gt;=0,"Fresh","")))))</f>
        <v/>
      </c>
      <c r="K137" s="330">
        <f>IF(J137="STALE — route now","→ Send to consignment batch",IF(J137="Aging — watch","→ Consider 10% price drop",IF(J137="Fresh","→ Hold &amp; monitor","")))</f>
        <v/>
      </c>
    </row>
    <row r="138" ht="18" customHeight="1" s="230">
      <c r="A138" s="331" t="n"/>
      <c r="B138" s="331" t="n"/>
      <c r="C138" s="332" t="n"/>
      <c r="D138" s="333" t="n"/>
      <c r="E138" s="332" t="n"/>
      <c r="F138" s="334" t="n"/>
      <c r="G138" s="334" t="n"/>
      <c r="H138" s="332" t="n"/>
      <c r="I138" s="335">
        <f>IF(OR(B138="",H138="Sold"),"—",TODAY()-B138)</f>
        <v/>
      </c>
      <c r="J138" s="336">
        <f>IF(OR(B138="",H138="Sold"),"",IF(I138="—","",IF(I138&gt;=60,"STALE — route now",IF(I138&gt;=30,"Aging — watch",IF(I138&gt;=0,"Fresh","")))))</f>
        <v/>
      </c>
      <c r="K138" s="337">
        <f>IF(J138="STALE — route now","→ Send to consignment batch",IF(J138="Aging — watch","→ Consider 10% price drop",IF(J138="Fresh","→ Hold &amp; monitor","")))</f>
        <v/>
      </c>
    </row>
    <row r="139" ht="18" customHeight="1" s="230">
      <c r="A139" s="324" t="n"/>
      <c r="B139" s="324" t="n"/>
      <c r="C139" s="325" t="n"/>
      <c r="D139" s="326" t="n"/>
      <c r="E139" s="325" t="n"/>
      <c r="F139" s="327" t="n"/>
      <c r="G139" s="327" t="n"/>
      <c r="H139" s="325" t="n"/>
      <c r="I139" s="328">
        <f>IF(OR(B139="",H139="Sold"),"—",TODAY()-B139)</f>
        <v/>
      </c>
      <c r="J139" s="329">
        <f>IF(OR(B139="",H139="Sold"),"",IF(I139="—","",IF(I139&gt;=60,"STALE — route now",IF(I139&gt;=30,"Aging — watch",IF(I139&gt;=0,"Fresh","")))))</f>
        <v/>
      </c>
      <c r="K139" s="330">
        <f>IF(J139="STALE — route now","→ Send to consignment batch",IF(J139="Aging — watch","→ Consider 10% price drop",IF(J139="Fresh","→ Hold &amp; monitor","")))</f>
        <v/>
      </c>
    </row>
    <row r="140" ht="18" customHeight="1" s="230">
      <c r="A140" s="331" t="n"/>
      <c r="B140" s="331" t="n"/>
      <c r="C140" s="332" t="n"/>
      <c r="D140" s="333" t="n"/>
      <c r="E140" s="332" t="n"/>
      <c r="F140" s="334" t="n"/>
      <c r="G140" s="334" t="n"/>
      <c r="H140" s="332" t="n"/>
      <c r="I140" s="335">
        <f>IF(OR(B140="",H140="Sold"),"—",TODAY()-B140)</f>
        <v/>
      </c>
      <c r="J140" s="336">
        <f>IF(OR(B140="",H140="Sold"),"",IF(I140="—","",IF(I140&gt;=60,"STALE — route now",IF(I140&gt;=30,"Aging — watch",IF(I140&gt;=0,"Fresh","")))))</f>
        <v/>
      </c>
      <c r="K140" s="337">
        <f>IF(J140="STALE — route now","→ Send to consignment batch",IF(J140="Aging — watch","→ Consider 10% price drop",IF(J140="Fresh","→ Hold &amp; monitor","")))</f>
        <v/>
      </c>
    </row>
    <row r="141" ht="18" customHeight="1" s="230">
      <c r="A141" s="324" t="n"/>
      <c r="B141" s="324" t="n"/>
      <c r="C141" s="325" t="n"/>
      <c r="D141" s="326" t="n"/>
      <c r="E141" s="325" t="n"/>
      <c r="F141" s="327" t="n"/>
      <c r="G141" s="327" t="n"/>
      <c r="H141" s="325" t="n"/>
      <c r="I141" s="328">
        <f>IF(OR(B141="",H141="Sold"),"—",TODAY()-B141)</f>
        <v/>
      </c>
      <c r="J141" s="329">
        <f>IF(OR(B141="",H141="Sold"),"",IF(I141="—","",IF(I141&gt;=60,"STALE — route now",IF(I141&gt;=30,"Aging — watch",IF(I141&gt;=0,"Fresh","")))))</f>
        <v/>
      </c>
      <c r="K141" s="330">
        <f>IF(J141="STALE — route now","→ Send to consignment batch",IF(J141="Aging — watch","→ Consider 10% price drop",IF(J141="Fresh","→ Hold &amp; monitor","")))</f>
        <v/>
      </c>
    </row>
    <row r="142" ht="18" customHeight="1" s="230">
      <c r="A142" s="331" t="n"/>
      <c r="B142" s="331" t="n"/>
      <c r="C142" s="332" t="n"/>
      <c r="D142" s="333" t="n"/>
      <c r="E142" s="332" t="n"/>
      <c r="F142" s="334" t="n"/>
      <c r="G142" s="334" t="n"/>
      <c r="H142" s="332" t="n"/>
      <c r="I142" s="335">
        <f>IF(OR(B142="",H142="Sold"),"—",TODAY()-B142)</f>
        <v/>
      </c>
      <c r="J142" s="336">
        <f>IF(OR(B142="",H142="Sold"),"",IF(I142="—","",IF(I142&gt;=60,"STALE — route now",IF(I142&gt;=30,"Aging — watch",IF(I142&gt;=0,"Fresh","")))))</f>
        <v/>
      </c>
      <c r="K142" s="337">
        <f>IF(J142="STALE — route now","→ Send to consignment batch",IF(J142="Aging — watch","→ Consider 10% price drop",IF(J142="Fresh","→ Hold &amp; monitor","")))</f>
        <v/>
      </c>
    </row>
    <row r="143" ht="18" customHeight="1" s="230">
      <c r="A143" s="324" t="n"/>
      <c r="B143" s="324" t="n"/>
      <c r="C143" s="325" t="n"/>
      <c r="D143" s="326" t="n"/>
      <c r="E143" s="325" t="n"/>
      <c r="F143" s="327" t="n"/>
      <c r="G143" s="327" t="n"/>
      <c r="H143" s="325" t="n"/>
      <c r="I143" s="328">
        <f>IF(OR(B143="",H143="Sold"),"—",TODAY()-B143)</f>
        <v/>
      </c>
      <c r="J143" s="329">
        <f>IF(OR(B143="",H143="Sold"),"",IF(I143="—","",IF(I143&gt;=60,"STALE — route now",IF(I143&gt;=30,"Aging — watch",IF(I143&gt;=0,"Fresh","")))))</f>
        <v/>
      </c>
      <c r="K143" s="330">
        <f>IF(J143="STALE — route now","→ Send to consignment batch",IF(J143="Aging — watch","→ Consider 10% price drop",IF(J143="Fresh","→ Hold &amp; monitor","")))</f>
        <v/>
      </c>
    </row>
    <row r="144" ht="18" customHeight="1" s="230">
      <c r="A144" s="331" t="n"/>
      <c r="B144" s="331" t="n"/>
      <c r="C144" s="332" t="n"/>
      <c r="D144" s="333" t="n"/>
      <c r="E144" s="332" t="n"/>
      <c r="F144" s="334" t="n"/>
      <c r="G144" s="334" t="n"/>
      <c r="H144" s="332" t="n"/>
      <c r="I144" s="335">
        <f>IF(OR(B144="",H144="Sold"),"—",TODAY()-B144)</f>
        <v/>
      </c>
      <c r="J144" s="336">
        <f>IF(OR(B144="",H144="Sold"),"",IF(I144="—","",IF(I144&gt;=60,"STALE — route now",IF(I144&gt;=30,"Aging — watch",IF(I144&gt;=0,"Fresh","")))))</f>
        <v/>
      </c>
      <c r="K144" s="337">
        <f>IF(J144="STALE — route now","→ Send to consignment batch",IF(J144="Aging — watch","→ Consider 10% price drop",IF(J144="Fresh","→ Hold &amp; monitor","")))</f>
        <v/>
      </c>
    </row>
    <row r="145" ht="18" customHeight="1" s="230">
      <c r="A145" s="324" t="n"/>
      <c r="B145" s="324" t="n"/>
      <c r="C145" s="325" t="n"/>
      <c r="D145" s="326" t="n"/>
      <c r="E145" s="325" t="n"/>
      <c r="F145" s="327" t="n"/>
      <c r="G145" s="327" t="n"/>
      <c r="H145" s="325" t="n"/>
      <c r="I145" s="328">
        <f>IF(OR(B145="",H145="Sold"),"—",TODAY()-B145)</f>
        <v/>
      </c>
      <c r="J145" s="329">
        <f>IF(OR(B145="",H145="Sold"),"",IF(I145="—","",IF(I145&gt;=60,"STALE — route now",IF(I145&gt;=30,"Aging — watch",IF(I145&gt;=0,"Fresh","")))))</f>
        <v/>
      </c>
      <c r="K145" s="330">
        <f>IF(J145="STALE — route now","→ Send to consignment batch",IF(J145="Aging — watch","→ Consider 10% price drop",IF(J145="Fresh","→ Hold &amp; monitor","")))</f>
        <v/>
      </c>
    </row>
    <row r="146" ht="18" customHeight="1" s="230">
      <c r="A146" s="331" t="n"/>
      <c r="B146" s="331" t="n"/>
      <c r="C146" s="332" t="n"/>
      <c r="D146" s="333" t="n"/>
      <c r="E146" s="332" t="n"/>
      <c r="F146" s="334" t="n"/>
      <c r="G146" s="334" t="n"/>
      <c r="H146" s="332" t="n"/>
      <c r="I146" s="335">
        <f>IF(OR(B146="",H146="Sold"),"—",TODAY()-B146)</f>
        <v/>
      </c>
      <c r="J146" s="336">
        <f>IF(OR(B146="",H146="Sold"),"",IF(I146="—","",IF(I146&gt;=60,"STALE — route now",IF(I146&gt;=30,"Aging — watch",IF(I146&gt;=0,"Fresh","")))))</f>
        <v/>
      </c>
      <c r="K146" s="337">
        <f>IF(J146="STALE — route now","→ Send to consignment batch",IF(J146="Aging — watch","→ Consider 10% price drop",IF(J146="Fresh","→ Hold &amp; monitor","")))</f>
        <v/>
      </c>
    </row>
    <row r="147" ht="18" customHeight="1" s="230">
      <c r="A147" s="324" t="n"/>
      <c r="B147" s="324" t="n"/>
      <c r="C147" s="325" t="n"/>
      <c r="D147" s="326" t="n"/>
      <c r="E147" s="325" t="n"/>
      <c r="F147" s="327" t="n"/>
      <c r="G147" s="327" t="n"/>
      <c r="H147" s="325" t="n"/>
      <c r="I147" s="328">
        <f>IF(OR(B147="",H147="Sold"),"—",TODAY()-B147)</f>
        <v/>
      </c>
      <c r="J147" s="329">
        <f>IF(OR(B147="",H147="Sold"),"",IF(I147="—","",IF(I147&gt;=60,"STALE — route now",IF(I147&gt;=30,"Aging — watch",IF(I147&gt;=0,"Fresh","")))))</f>
        <v/>
      </c>
      <c r="K147" s="330">
        <f>IF(J147="STALE — route now","→ Send to consignment batch",IF(J147="Aging — watch","→ Consider 10% price drop",IF(J147="Fresh","→ Hold &amp; monitor","")))</f>
        <v/>
      </c>
    </row>
    <row r="148" ht="18" customHeight="1" s="230">
      <c r="A148" s="331" t="n"/>
      <c r="B148" s="331" t="n"/>
      <c r="C148" s="332" t="n"/>
      <c r="D148" s="333" t="n"/>
      <c r="E148" s="332" t="n"/>
      <c r="F148" s="334" t="n"/>
      <c r="G148" s="334" t="n"/>
      <c r="H148" s="332" t="n"/>
      <c r="I148" s="335">
        <f>IF(OR(B148="",H148="Sold"),"—",TODAY()-B148)</f>
        <v/>
      </c>
      <c r="J148" s="336">
        <f>IF(OR(B148="",H148="Sold"),"",IF(I148="—","",IF(I148&gt;=60,"STALE — route now",IF(I148&gt;=30,"Aging — watch",IF(I148&gt;=0,"Fresh","")))))</f>
        <v/>
      </c>
      <c r="K148" s="337">
        <f>IF(J148="STALE — route now","→ Send to consignment batch",IF(J148="Aging — watch","→ Consider 10% price drop",IF(J148="Fresh","→ Hold &amp; monitor","")))</f>
        <v/>
      </c>
    </row>
    <row r="149" ht="18" customHeight="1" s="230">
      <c r="A149" s="324" t="n"/>
      <c r="B149" s="324" t="n"/>
      <c r="C149" s="325" t="n"/>
      <c r="D149" s="326" t="n"/>
      <c r="E149" s="325" t="n"/>
      <c r="F149" s="327" t="n"/>
      <c r="G149" s="327" t="n"/>
      <c r="H149" s="325" t="n"/>
      <c r="I149" s="328">
        <f>IF(OR(B149="",H149="Sold"),"—",TODAY()-B149)</f>
        <v/>
      </c>
      <c r="J149" s="329">
        <f>IF(OR(B149="",H149="Sold"),"",IF(I149="—","",IF(I149&gt;=60,"STALE — route now",IF(I149&gt;=30,"Aging — watch",IF(I149&gt;=0,"Fresh","")))))</f>
        <v/>
      </c>
      <c r="K149" s="330">
        <f>IF(J149="STALE — route now","→ Send to consignment batch",IF(J149="Aging — watch","→ Consider 10% price drop",IF(J149="Fresh","→ Hold &amp; monitor","")))</f>
        <v/>
      </c>
    </row>
    <row r="150" ht="18" customHeight="1" s="230">
      <c r="A150" s="331" t="n"/>
      <c r="B150" s="331" t="n"/>
      <c r="C150" s="332" t="n"/>
      <c r="D150" s="333" t="n"/>
      <c r="E150" s="332" t="n"/>
      <c r="F150" s="334" t="n"/>
      <c r="G150" s="334" t="n"/>
      <c r="H150" s="332" t="n"/>
      <c r="I150" s="335">
        <f>IF(OR(B150="",H150="Sold"),"—",TODAY()-B150)</f>
        <v/>
      </c>
      <c r="J150" s="336">
        <f>IF(OR(B150="",H150="Sold"),"",IF(I150="—","",IF(I150&gt;=60,"STALE — route now",IF(I150&gt;=30,"Aging — watch",IF(I150&gt;=0,"Fresh","")))))</f>
        <v/>
      </c>
      <c r="K150" s="337">
        <f>IF(J150="STALE — route now","→ Send to consignment batch",IF(J150="Aging — watch","→ Consider 10% price drop",IF(J150="Fresh","→ Hold &amp; monitor","")))</f>
        <v/>
      </c>
    </row>
    <row r="151" ht="18" customHeight="1" s="230">
      <c r="A151" s="324" t="n"/>
      <c r="B151" s="324" t="n"/>
      <c r="C151" s="325" t="n"/>
      <c r="D151" s="326" t="n"/>
      <c r="E151" s="325" t="n"/>
      <c r="F151" s="327" t="n"/>
      <c r="G151" s="327" t="n"/>
      <c r="H151" s="325" t="n"/>
      <c r="I151" s="328">
        <f>IF(OR(B151="",H151="Sold"),"—",TODAY()-B151)</f>
        <v/>
      </c>
      <c r="J151" s="329">
        <f>IF(OR(B151="",H151="Sold"),"",IF(I151="—","",IF(I151&gt;=60,"STALE — route now",IF(I151&gt;=30,"Aging — watch",IF(I151&gt;=0,"Fresh","")))))</f>
        <v/>
      </c>
      <c r="K151" s="330">
        <f>IF(J151="STALE — route now","→ Send to consignment batch",IF(J151="Aging — watch","→ Consider 10% price drop",IF(J151="Fresh","→ Hold &amp; monitor","")))</f>
        <v/>
      </c>
    </row>
    <row r="152" ht="18" customHeight="1" s="230">
      <c r="A152" s="331" t="n"/>
      <c r="B152" s="331" t="n"/>
      <c r="C152" s="332" t="n"/>
      <c r="D152" s="333" t="n"/>
      <c r="E152" s="332" t="n"/>
      <c r="F152" s="334" t="n"/>
      <c r="G152" s="334" t="n"/>
      <c r="H152" s="332" t="n"/>
      <c r="I152" s="335">
        <f>IF(OR(B152="",H152="Sold"),"—",TODAY()-B152)</f>
        <v/>
      </c>
      <c r="J152" s="336">
        <f>IF(OR(B152="",H152="Sold"),"",IF(I152="—","",IF(I152&gt;=60,"STALE — route now",IF(I152&gt;=30,"Aging — watch",IF(I152&gt;=0,"Fresh","")))))</f>
        <v/>
      </c>
      <c r="K152" s="337">
        <f>IF(J152="STALE — route now","→ Send to consignment batch",IF(J152="Aging — watch","→ Consider 10% price drop",IF(J152="Fresh","→ Hold &amp; monitor","")))</f>
        <v/>
      </c>
    </row>
    <row r="153" ht="18" customHeight="1" s="230">
      <c r="A153" s="324" t="n"/>
      <c r="B153" s="324" t="n"/>
      <c r="C153" s="325" t="n"/>
      <c r="D153" s="326" t="n"/>
      <c r="E153" s="325" t="n"/>
      <c r="F153" s="327" t="n"/>
      <c r="G153" s="327" t="n"/>
      <c r="H153" s="325" t="n"/>
      <c r="I153" s="328">
        <f>IF(OR(B153="",H153="Sold"),"—",TODAY()-B153)</f>
        <v/>
      </c>
      <c r="J153" s="329">
        <f>IF(OR(B153="",H153="Sold"),"",IF(I153="—","",IF(I153&gt;=60,"STALE — route now",IF(I153&gt;=30,"Aging — watch",IF(I153&gt;=0,"Fresh","")))))</f>
        <v/>
      </c>
      <c r="K153" s="330">
        <f>IF(J153="STALE — route now","→ Send to consignment batch",IF(J153="Aging — watch","→ Consider 10% price drop",IF(J153="Fresh","→ Hold &amp; monitor","")))</f>
        <v/>
      </c>
    </row>
    <row r="154" ht="18" customHeight="1" s="230">
      <c r="A154" s="331" t="n"/>
      <c r="B154" s="331" t="n"/>
      <c r="C154" s="332" t="n"/>
      <c r="D154" s="333" t="n"/>
      <c r="E154" s="332" t="n"/>
      <c r="F154" s="334" t="n"/>
      <c r="G154" s="334" t="n"/>
      <c r="H154" s="332" t="n"/>
      <c r="I154" s="335">
        <f>IF(OR(B154="",H154="Sold"),"—",TODAY()-B154)</f>
        <v/>
      </c>
      <c r="J154" s="336">
        <f>IF(OR(B154="",H154="Sold"),"",IF(I154="—","",IF(I154&gt;=60,"STALE — route now",IF(I154&gt;=30,"Aging — watch",IF(I154&gt;=0,"Fresh","")))))</f>
        <v/>
      </c>
      <c r="K154" s="337">
        <f>IF(J154="STALE — route now","→ Send to consignment batch",IF(J154="Aging — watch","→ Consider 10% price drop",IF(J154="Fresh","→ Hold &amp; monitor","")))</f>
        <v/>
      </c>
    </row>
    <row r="155" ht="18" customHeight="1" s="230">
      <c r="A155" s="324" t="n"/>
      <c r="B155" s="324" t="n"/>
      <c r="C155" s="325" t="n"/>
      <c r="D155" s="326" t="n"/>
      <c r="E155" s="325" t="n"/>
      <c r="F155" s="327" t="n"/>
      <c r="G155" s="327" t="n"/>
      <c r="H155" s="325" t="n"/>
      <c r="I155" s="328">
        <f>IF(OR(B155="",H155="Sold"),"—",TODAY()-B155)</f>
        <v/>
      </c>
      <c r="J155" s="329">
        <f>IF(OR(B155="",H155="Sold"),"",IF(I155="—","",IF(I155&gt;=60,"STALE — route now",IF(I155&gt;=30,"Aging — watch",IF(I155&gt;=0,"Fresh","")))))</f>
        <v/>
      </c>
      <c r="K155" s="330">
        <f>IF(J155="STALE — route now","→ Send to consignment batch",IF(J155="Aging — watch","→ Consider 10% price drop",IF(J155="Fresh","→ Hold &amp; monitor","")))</f>
        <v/>
      </c>
    </row>
    <row r="156" ht="18" customHeight="1" s="230">
      <c r="A156" s="331" t="n"/>
      <c r="B156" s="331" t="n"/>
      <c r="C156" s="332" t="n"/>
      <c r="D156" s="333" t="n"/>
      <c r="E156" s="332" t="n"/>
      <c r="F156" s="334" t="n"/>
      <c r="G156" s="334" t="n"/>
      <c r="H156" s="332" t="n"/>
      <c r="I156" s="335">
        <f>IF(OR(B156="",H156="Sold"),"—",TODAY()-B156)</f>
        <v/>
      </c>
      <c r="J156" s="336">
        <f>IF(OR(B156="",H156="Sold"),"",IF(I156="—","",IF(I156&gt;=60,"STALE — route now",IF(I156&gt;=30,"Aging — watch",IF(I156&gt;=0,"Fresh","")))))</f>
        <v/>
      </c>
      <c r="K156" s="337">
        <f>IF(J156="STALE — route now","→ Send to consignment batch",IF(J156="Aging — watch","→ Consider 10% price drop",IF(J156="Fresh","→ Hold &amp; monitor","")))</f>
        <v/>
      </c>
    </row>
    <row r="157" ht="18" customHeight="1" s="230">
      <c r="A157" s="324" t="n"/>
      <c r="B157" s="324" t="n"/>
      <c r="C157" s="325" t="n"/>
      <c r="D157" s="326" t="n"/>
      <c r="E157" s="325" t="n"/>
      <c r="F157" s="327" t="n"/>
      <c r="G157" s="327" t="n"/>
      <c r="H157" s="325" t="n"/>
      <c r="I157" s="328">
        <f>IF(OR(B157="",H157="Sold"),"—",TODAY()-B157)</f>
        <v/>
      </c>
      <c r="J157" s="329">
        <f>IF(OR(B157="",H157="Sold"),"",IF(I157="—","",IF(I157&gt;=60,"STALE — route now",IF(I157&gt;=30,"Aging — watch",IF(I157&gt;=0,"Fresh","")))))</f>
        <v/>
      </c>
      <c r="K157" s="330">
        <f>IF(J157="STALE — route now","→ Send to consignment batch",IF(J157="Aging — watch","→ Consider 10% price drop",IF(J157="Fresh","→ Hold &amp; monitor","")))</f>
        <v/>
      </c>
    </row>
    <row r="158" ht="18" customHeight="1" s="230">
      <c r="A158" s="331" t="n"/>
      <c r="B158" s="331" t="n"/>
      <c r="C158" s="332" t="n"/>
      <c r="D158" s="333" t="n"/>
      <c r="E158" s="332" t="n"/>
      <c r="F158" s="334" t="n"/>
      <c r="G158" s="334" t="n"/>
      <c r="H158" s="332" t="n"/>
      <c r="I158" s="335">
        <f>IF(OR(B158="",H158="Sold"),"—",TODAY()-B158)</f>
        <v/>
      </c>
      <c r="J158" s="336">
        <f>IF(OR(B158="",H158="Sold"),"",IF(I158="—","",IF(I158&gt;=60,"STALE — route now",IF(I158&gt;=30,"Aging — watch",IF(I158&gt;=0,"Fresh","")))))</f>
        <v/>
      </c>
      <c r="K158" s="337">
        <f>IF(J158="STALE — route now","→ Send to consignment batch",IF(J158="Aging — watch","→ Consider 10% price drop",IF(J158="Fresh","→ Hold &amp; monitor","")))</f>
        <v/>
      </c>
    </row>
    <row r="159" ht="18" customHeight="1" s="230">
      <c r="A159" s="324" t="n"/>
      <c r="B159" s="324" t="n"/>
      <c r="C159" s="325" t="n"/>
      <c r="D159" s="326" t="n"/>
      <c r="E159" s="325" t="n"/>
      <c r="F159" s="327" t="n"/>
      <c r="G159" s="327" t="n"/>
      <c r="H159" s="325" t="n"/>
      <c r="I159" s="328">
        <f>IF(OR(B159="",H159="Sold"),"—",TODAY()-B159)</f>
        <v/>
      </c>
      <c r="J159" s="329">
        <f>IF(OR(B159="",H159="Sold"),"",IF(I159="—","",IF(I159&gt;=60,"STALE — route now",IF(I159&gt;=30,"Aging — watch",IF(I159&gt;=0,"Fresh","")))))</f>
        <v/>
      </c>
      <c r="K159" s="330">
        <f>IF(J159="STALE — route now","→ Send to consignment batch",IF(J159="Aging — watch","→ Consider 10% price drop",IF(J159="Fresh","→ Hold &amp; monitor","")))</f>
        <v/>
      </c>
    </row>
    <row r="160" ht="18" customHeight="1" s="230">
      <c r="A160" s="331" t="n"/>
      <c r="B160" s="331" t="n"/>
      <c r="C160" s="332" t="n"/>
      <c r="D160" s="333" t="n"/>
      <c r="E160" s="332" t="n"/>
      <c r="F160" s="334" t="n"/>
      <c r="G160" s="334" t="n"/>
      <c r="H160" s="332" t="n"/>
      <c r="I160" s="335">
        <f>IF(OR(B160="",H160="Sold"),"—",TODAY()-B160)</f>
        <v/>
      </c>
      <c r="J160" s="336">
        <f>IF(OR(B160="",H160="Sold"),"",IF(I160="—","",IF(I160&gt;=60,"STALE — route now",IF(I160&gt;=30,"Aging — watch",IF(I160&gt;=0,"Fresh","")))))</f>
        <v/>
      </c>
      <c r="K160" s="337">
        <f>IF(J160="STALE — route now","→ Send to consignment batch",IF(J160="Aging — watch","→ Consider 10% price drop",IF(J160="Fresh","→ Hold &amp; monitor","")))</f>
        <v/>
      </c>
    </row>
    <row r="161" ht="18" customHeight="1" s="230">
      <c r="A161" s="324" t="n"/>
      <c r="B161" s="324" t="n"/>
      <c r="C161" s="325" t="n"/>
      <c r="D161" s="326" t="n"/>
      <c r="E161" s="325" t="n"/>
      <c r="F161" s="327" t="n"/>
      <c r="G161" s="327" t="n"/>
      <c r="H161" s="325" t="n"/>
      <c r="I161" s="328">
        <f>IF(OR(B161="",H161="Sold"),"—",TODAY()-B161)</f>
        <v/>
      </c>
      <c r="J161" s="329">
        <f>IF(OR(B161="",H161="Sold"),"",IF(I161="—","",IF(I161&gt;=60,"STALE — route now",IF(I161&gt;=30,"Aging — watch",IF(I161&gt;=0,"Fresh","")))))</f>
        <v/>
      </c>
      <c r="K161" s="330">
        <f>IF(J161="STALE — route now","→ Send to consignment batch",IF(J161="Aging — watch","→ Consider 10% price drop",IF(J161="Fresh","→ Hold &amp; monitor","")))</f>
        <v/>
      </c>
    </row>
    <row r="162" ht="18" customHeight="1" s="230">
      <c r="A162" s="331" t="n"/>
      <c r="B162" s="331" t="n"/>
      <c r="C162" s="332" t="n"/>
      <c r="D162" s="333" t="n"/>
      <c r="E162" s="332" t="n"/>
      <c r="F162" s="334" t="n"/>
      <c r="G162" s="334" t="n"/>
      <c r="H162" s="332" t="n"/>
      <c r="I162" s="335">
        <f>IF(OR(B162="",H162="Sold"),"—",TODAY()-B162)</f>
        <v/>
      </c>
      <c r="J162" s="336">
        <f>IF(OR(B162="",H162="Sold"),"",IF(I162="—","",IF(I162&gt;=60,"STALE — route now",IF(I162&gt;=30,"Aging — watch",IF(I162&gt;=0,"Fresh","")))))</f>
        <v/>
      </c>
      <c r="K162" s="337">
        <f>IF(J162="STALE — route now","→ Send to consignment batch",IF(J162="Aging — watch","→ Consider 10% price drop",IF(J162="Fresh","→ Hold &amp; monitor","")))</f>
        <v/>
      </c>
    </row>
    <row r="163" ht="18" customHeight="1" s="230">
      <c r="A163" s="324" t="n"/>
      <c r="B163" s="324" t="n"/>
      <c r="C163" s="325" t="n"/>
      <c r="D163" s="326" t="n"/>
      <c r="E163" s="325" t="n"/>
      <c r="F163" s="327" t="n"/>
      <c r="G163" s="327" t="n"/>
      <c r="H163" s="325" t="n"/>
      <c r="I163" s="328">
        <f>IF(OR(B163="",H163="Sold"),"—",TODAY()-B163)</f>
        <v/>
      </c>
      <c r="J163" s="329">
        <f>IF(OR(B163="",H163="Sold"),"",IF(I163="—","",IF(I163&gt;=60,"STALE — route now",IF(I163&gt;=30,"Aging — watch",IF(I163&gt;=0,"Fresh","")))))</f>
        <v/>
      </c>
      <c r="K163" s="330">
        <f>IF(J163="STALE — route now","→ Send to consignment batch",IF(J163="Aging — watch","→ Consider 10% price drop",IF(J163="Fresh","→ Hold &amp; monitor","")))</f>
        <v/>
      </c>
    </row>
    <row r="164" ht="18" customHeight="1" s="230">
      <c r="A164" s="331" t="n"/>
      <c r="B164" s="331" t="n"/>
      <c r="C164" s="332" t="n"/>
      <c r="D164" s="333" t="n"/>
      <c r="E164" s="332" t="n"/>
      <c r="F164" s="334" t="n"/>
      <c r="G164" s="334" t="n"/>
      <c r="H164" s="332" t="n"/>
      <c r="I164" s="335">
        <f>IF(OR(B164="",H164="Sold"),"—",TODAY()-B164)</f>
        <v/>
      </c>
      <c r="J164" s="336">
        <f>IF(OR(B164="",H164="Sold"),"",IF(I164="—","",IF(I164&gt;=60,"STALE — route now",IF(I164&gt;=30,"Aging — watch",IF(I164&gt;=0,"Fresh","")))))</f>
        <v/>
      </c>
      <c r="K164" s="337">
        <f>IF(J164="STALE — route now","→ Send to consignment batch",IF(J164="Aging — watch","→ Consider 10% price drop",IF(J164="Fresh","→ Hold &amp; monitor","")))</f>
        <v/>
      </c>
    </row>
    <row r="165" ht="18" customHeight="1" s="230">
      <c r="A165" s="324" t="n"/>
      <c r="B165" s="324" t="n"/>
      <c r="C165" s="325" t="n"/>
      <c r="D165" s="326" t="n"/>
      <c r="E165" s="325" t="n"/>
      <c r="F165" s="327" t="n"/>
      <c r="G165" s="327" t="n"/>
      <c r="H165" s="325" t="n"/>
      <c r="I165" s="328">
        <f>IF(OR(B165="",H165="Sold"),"—",TODAY()-B165)</f>
        <v/>
      </c>
      <c r="J165" s="329">
        <f>IF(OR(B165="",H165="Sold"),"",IF(I165="—","",IF(I165&gt;=60,"STALE — route now",IF(I165&gt;=30,"Aging — watch",IF(I165&gt;=0,"Fresh","")))))</f>
        <v/>
      </c>
      <c r="K165" s="330">
        <f>IF(J165="STALE — route now","→ Send to consignment batch",IF(J165="Aging — watch","→ Consider 10% price drop",IF(J165="Fresh","→ Hold &amp; monitor","")))</f>
        <v/>
      </c>
    </row>
    <row r="166" ht="18" customHeight="1" s="230">
      <c r="A166" s="331" t="n"/>
      <c r="B166" s="331" t="n"/>
      <c r="C166" s="332" t="n"/>
      <c r="D166" s="333" t="n"/>
      <c r="E166" s="332" t="n"/>
      <c r="F166" s="334" t="n"/>
      <c r="G166" s="334" t="n"/>
      <c r="H166" s="332" t="n"/>
      <c r="I166" s="335">
        <f>IF(OR(B166="",H166="Sold"),"—",TODAY()-B166)</f>
        <v/>
      </c>
      <c r="J166" s="336">
        <f>IF(OR(B166="",H166="Sold"),"",IF(I166="—","",IF(I166&gt;=60,"STALE — route now",IF(I166&gt;=30,"Aging — watch",IF(I166&gt;=0,"Fresh","")))))</f>
        <v/>
      </c>
      <c r="K166" s="337">
        <f>IF(J166="STALE — route now","→ Send to consignment batch",IF(J166="Aging — watch","→ Consider 10% price drop",IF(J166="Fresh","→ Hold &amp; monitor","")))</f>
        <v/>
      </c>
    </row>
    <row r="167" ht="18" customHeight="1" s="230">
      <c r="A167" s="324" t="n"/>
      <c r="B167" s="324" t="n"/>
      <c r="C167" s="325" t="n"/>
      <c r="D167" s="326" t="n"/>
      <c r="E167" s="325" t="n"/>
      <c r="F167" s="327" t="n"/>
      <c r="G167" s="327" t="n"/>
      <c r="H167" s="325" t="n"/>
      <c r="I167" s="328">
        <f>IF(OR(B167="",H167="Sold"),"—",TODAY()-B167)</f>
        <v/>
      </c>
      <c r="J167" s="329">
        <f>IF(OR(B167="",H167="Sold"),"",IF(I167="—","",IF(I167&gt;=60,"STALE — route now",IF(I167&gt;=30,"Aging — watch",IF(I167&gt;=0,"Fresh","")))))</f>
        <v/>
      </c>
      <c r="K167" s="330">
        <f>IF(J167="STALE — route now","→ Send to consignment batch",IF(J167="Aging — watch","→ Consider 10% price drop",IF(J167="Fresh","→ Hold &amp; monitor","")))</f>
        <v/>
      </c>
    </row>
    <row r="168" ht="18" customHeight="1" s="230">
      <c r="A168" s="331" t="n"/>
      <c r="B168" s="331" t="n"/>
      <c r="C168" s="332" t="n"/>
      <c r="D168" s="333" t="n"/>
      <c r="E168" s="332" t="n"/>
      <c r="F168" s="334" t="n"/>
      <c r="G168" s="334" t="n"/>
      <c r="H168" s="332" t="n"/>
      <c r="I168" s="335">
        <f>IF(OR(B168="",H168="Sold"),"—",TODAY()-B168)</f>
        <v/>
      </c>
      <c r="J168" s="336">
        <f>IF(OR(B168="",H168="Sold"),"",IF(I168="—","",IF(I168&gt;=60,"STALE — route now",IF(I168&gt;=30,"Aging — watch",IF(I168&gt;=0,"Fresh","")))))</f>
        <v/>
      </c>
      <c r="K168" s="337">
        <f>IF(J168="STALE — route now","→ Send to consignment batch",IF(J168="Aging — watch","→ Consider 10% price drop",IF(J168="Fresh","→ Hold &amp; monitor","")))</f>
        <v/>
      </c>
    </row>
    <row r="169" ht="18" customHeight="1" s="230">
      <c r="A169" s="324" t="n"/>
      <c r="B169" s="324" t="n"/>
      <c r="C169" s="325" t="n"/>
      <c r="D169" s="326" t="n"/>
      <c r="E169" s="325" t="n"/>
      <c r="F169" s="327" t="n"/>
      <c r="G169" s="327" t="n"/>
      <c r="H169" s="325" t="n"/>
      <c r="I169" s="328">
        <f>IF(OR(B169="",H169="Sold"),"—",TODAY()-B169)</f>
        <v/>
      </c>
      <c r="J169" s="329">
        <f>IF(OR(B169="",H169="Sold"),"",IF(I169="—","",IF(I169&gt;=60,"STALE — route now",IF(I169&gt;=30,"Aging — watch",IF(I169&gt;=0,"Fresh","")))))</f>
        <v/>
      </c>
      <c r="K169" s="330">
        <f>IF(J169="STALE — route now","→ Send to consignment batch",IF(J169="Aging — watch","→ Consider 10% price drop",IF(J169="Fresh","→ Hold &amp; monitor","")))</f>
        <v/>
      </c>
    </row>
    <row r="170" ht="18" customHeight="1" s="230">
      <c r="A170" s="331" t="n"/>
      <c r="B170" s="331" t="n"/>
      <c r="C170" s="332" t="n"/>
      <c r="D170" s="333" t="n"/>
      <c r="E170" s="332" t="n"/>
      <c r="F170" s="334" t="n"/>
      <c r="G170" s="334" t="n"/>
      <c r="H170" s="332" t="n"/>
      <c r="I170" s="335">
        <f>IF(OR(B170="",H170="Sold"),"—",TODAY()-B170)</f>
        <v/>
      </c>
      <c r="J170" s="336">
        <f>IF(OR(B170="",H170="Sold"),"",IF(I170="—","",IF(I170&gt;=60,"STALE — route now",IF(I170&gt;=30,"Aging — watch",IF(I170&gt;=0,"Fresh","")))))</f>
        <v/>
      </c>
      <c r="K170" s="337">
        <f>IF(J170="STALE — route now","→ Send to consignment batch",IF(J170="Aging — watch","→ Consider 10% price drop",IF(J170="Fresh","→ Hold &amp; monitor","")))</f>
        <v/>
      </c>
    </row>
    <row r="171" ht="18" customHeight="1" s="230">
      <c r="A171" s="324" t="n"/>
      <c r="B171" s="324" t="n"/>
      <c r="C171" s="325" t="n"/>
      <c r="D171" s="326" t="n"/>
      <c r="E171" s="325" t="n"/>
      <c r="F171" s="327" t="n"/>
      <c r="G171" s="327" t="n"/>
      <c r="H171" s="325" t="n"/>
      <c r="I171" s="328">
        <f>IF(OR(B171="",H171="Sold"),"—",TODAY()-B171)</f>
        <v/>
      </c>
      <c r="J171" s="329">
        <f>IF(OR(B171="",H171="Sold"),"",IF(I171="—","",IF(I171&gt;=60,"STALE — route now",IF(I171&gt;=30,"Aging — watch",IF(I171&gt;=0,"Fresh","")))))</f>
        <v/>
      </c>
      <c r="K171" s="330">
        <f>IF(J171="STALE — route now","→ Send to consignment batch",IF(J171="Aging — watch","→ Consider 10% price drop",IF(J171="Fresh","→ Hold &amp; monitor","")))</f>
        <v/>
      </c>
    </row>
    <row r="172" ht="18" customHeight="1" s="230">
      <c r="A172" s="331" t="n"/>
      <c r="B172" s="331" t="n"/>
      <c r="C172" s="332" t="n"/>
      <c r="D172" s="333" t="n"/>
      <c r="E172" s="332" t="n"/>
      <c r="F172" s="334" t="n"/>
      <c r="G172" s="334" t="n"/>
      <c r="H172" s="332" t="n"/>
      <c r="I172" s="335">
        <f>IF(OR(B172="",H172="Sold"),"—",TODAY()-B172)</f>
        <v/>
      </c>
      <c r="J172" s="336">
        <f>IF(OR(B172="",H172="Sold"),"",IF(I172="—","",IF(I172&gt;=60,"STALE — route now",IF(I172&gt;=30,"Aging — watch",IF(I172&gt;=0,"Fresh","")))))</f>
        <v/>
      </c>
      <c r="K172" s="337">
        <f>IF(J172="STALE — route now","→ Send to consignment batch",IF(J172="Aging — watch","→ Consider 10% price drop",IF(J172="Fresh","→ Hold &amp; monitor","")))</f>
        <v/>
      </c>
    </row>
    <row r="173" ht="18" customHeight="1" s="230">
      <c r="A173" s="324" t="n"/>
      <c r="B173" s="324" t="n"/>
      <c r="C173" s="325" t="n"/>
      <c r="D173" s="326" t="n"/>
      <c r="E173" s="325" t="n"/>
      <c r="F173" s="327" t="n"/>
      <c r="G173" s="327" t="n"/>
      <c r="H173" s="325" t="n"/>
      <c r="I173" s="328">
        <f>IF(OR(B173="",H173="Sold"),"—",TODAY()-B173)</f>
        <v/>
      </c>
      <c r="J173" s="329">
        <f>IF(OR(B173="",H173="Sold"),"",IF(I173="—","",IF(I173&gt;=60,"STALE — route now",IF(I173&gt;=30,"Aging — watch",IF(I173&gt;=0,"Fresh","")))))</f>
        <v/>
      </c>
      <c r="K173" s="330">
        <f>IF(J173="STALE — route now","→ Send to consignment batch",IF(J173="Aging — watch","→ Consider 10% price drop",IF(J173="Fresh","→ Hold &amp; monitor","")))</f>
        <v/>
      </c>
    </row>
    <row r="174" ht="18" customHeight="1" s="230">
      <c r="A174" s="331" t="n"/>
      <c r="B174" s="331" t="n"/>
      <c r="C174" s="332" t="n"/>
      <c r="D174" s="333" t="n"/>
      <c r="E174" s="332" t="n"/>
      <c r="F174" s="334" t="n"/>
      <c r="G174" s="334" t="n"/>
      <c r="H174" s="332" t="n"/>
      <c r="I174" s="335">
        <f>IF(OR(B174="",H174="Sold"),"—",TODAY()-B174)</f>
        <v/>
      </c>
      <c r="J174" s="336">
        <f>IF(OR(B174="",H174="Sold"),"",IF(I174="—","",IF(I174&gt;=60,"STALE — route now",IF(I174&gt;=30,"Aging — watch",IF(I174&gt;=0,"Fresh","")))))</f>
        <v/>
      </c>
      <c r="K174" s="337">
        <f>IF(J174="STALE — route now","→ Send to consignment batch",IF(J174="Aging — watch","→ Consider 10% price drop",IF(J174="Fresh","→ Hold &amp; monitor","")))</f>
        <v/>
      </c>
    </row>
    <row r="175" ht="18" customHeight="1" s="230">
      <c r="A175" s="324" t="n"/>
      <c r="B175" s="324" t="n"/>
      <c r="C175" s="325" t="n"/>
      <c r="D175" s="326" t="n"/>
      <c r="E175" s="325" t="n"/>
      <c r="F175" s="327" t="n"/>
      <c r="G175" s="327" t="n"/>
      <c r="H175" s="325" t="n"/>
      <c r="I175" s="328">
        <f>IF(OR(B175="",H175="Sold"),"—",TODAY()-B175)</f>
        <v/>
      </c>
      <c r="J175" s="329">
        <f>IF(OR(B175="",H175="Sold"),"",IF(I175="—","",IF(I175&gt;=60,"STALE — route now",IF(I175&gt;=30,"Aging — watch",IF(I175&gt;=0,"Fresh","")))))</f>
        <v/>
      </c>
      <c r="K175" s="330">
        <f>IF(J175="STALE — route now","→ Send to consignment batch",IF(J175="Aging — watch","→ Consider 10% price drop",IF(J175="Fresh","→ Hold &amp; monitor","")))</f>
        <v/>
      </c>
    </row>
    <row r="176" ht="18" customHeight="1" s="230">
      <c r="A176" s="331" t="n"/>
      <c r="B176" s="331" t="n"/>
      <c r="C176" s="332" t="n"/>
      <c r="D176" s="333" t="n"/>
      <c r="E176" s="332" t="n"/>
      <c r="F176" s="334" t="n"/>
      <c r="G176" s="334" t="n"/>
      <c r="H176" s="332" t="n"/>
      <c r="I176" s="335">
        <f>IF(OR(B176="",H176="Sold"),"—",TODAY()-B176)</f>
        <v/>
      </c>
      <c r="J176" s="336">
        <f>IF(OR(B176="",H176="Sold"),"",IF(I176="—","",IF(I176&gt;=60,"STALE — route now",IF(I176&gt;=30,"Aging — watch",IF(I176&gt;=0,"Fresh","")))))</f>
        <v/>
      </c>
      <c r="K176" s="337">
        <f>IF(J176="STALE — route now","→ Send to consignment batch",IF(J176="Aging — watch","→ Consider 10% price drop",IF(J176="Fresh","→ Hold &amp; monitor","")))</f>
        <v/>
      </c>
    </row>
    <row r="177" ht="18" customHeight="1" s="230">
      <c r="A177" s="324" t="n"/>
      <c r="B177" s="324" t="n"/>
      <c r="C177" s="325" t="n"/>
      <c r="D177" s="326" t="n"/>
      <c r="E177" s="325" t="n"/>
      <c r="F177" s="327" t="n"/>
      <c r="G177" s="327" t="n"/>
      <c r="H177" s="325" t="n"/>
      <c r="I177" s="328">
        <f>IF(OR(B177="",H177="Sold"),"—",TODAY()-B177)</f>
        <v/>
      </c>
      <c r="J177" s="329">
        <f>IF(OR(B177="",H177="Sold"),"",IF(I177="—","",IF(I177&gt;=60,"STALE — route now",IF(I177&gt;=30,"Aging — watch",IF(I177&gt;=0,"Fresh","")))))</f>
        <v/>
      </c>
      <c r="K177" s="330">
        <f>IF(J177="STALE — route now","→ Send to consignment batch",IF(J177="Aging — watch","→ Consider 10% price drop",IF(J177="Fresh","→ Hold &amp; monitor","")))</f>
        <v/>
      </c>
    </row>
    <row r="178" ht="18" customHeight="1" s="230">
      <c r="A178" s="331" t="n"/>
      <c r="B178" s="331" t="n"/>
      <c r="C178" s="332" t="n"/>
      <c r="D178" s="333" t="n"/>
      <c r="E178" s="332" t="n"/>
      <c r="F178" s="334" t="n"/>
      <c r="G178" s="334" t="n"/>
      <c r="H178" s="332" t="n"/>
      <c r="I178" s="335">
        <f>IF(OR(B178="",H178="Sold"),"—",TODAY()-B178)</f>
        <v/>
      </c>
      <c r="J178" s="336">
        <f>IF(OR(B178="",H178="Sold"),"",IF(I178="—","",IF(I178&gt;=60,"STALE — route now",IF(I178&gt;=30,"Aging — watch",IF(I178&gt;=0,"Fresh","")))))</f>
        <v/>
      </c>
      <c r="K178" s="337">
        <f>IF(J178="STALE — route now","→ Send to consignment batch",IF(J178="Aging — watch","→ Consider 10% price drop",IF(J178="Fresh","→ Hold &amp; monitor","")))</f>
        <v/>
      </c>
    </row>
    <row r="179" ht="18" customHeight="1" s="230">
      <c r="A179" s="324" t="n"/>
      <c r="B179" s="324" t="n"/>
      <c r="C179" s="325" t="n"/>
      <c r="D179" s="326" t="n"/>
      <c r="E179" s="325" t="n"/>
      <c r="F179" s="327" t="n"/>
      <c r="G179" s="327" t="n"/>
      <c r="H179" s="325" t="n"/>
      <c r="I179" s="328">
        <f>IF(OR(B179="",H179="Sold"),"—",TODAY()-B179)</f>
        <v/>
      </c>
      <c r="J179" s="329">
        <f>IF(OR(B179="",H179="Sold"),"",IF(I179="—","",IF(I179&gt;=60,"STALE — route now",IF(I179&gt;=30,"Aging — watch",IF(I179&gt;=0,"Fresh","")))))</f>
        <v/>
      </c>
      <c r="K179" s="330">
        <f>IF(J179="STALE — route now","→ Send to consignment batch",IF(J179="Aging — watch","→ Consider 10% price drop",IF(J179="Fresh","→ Hold &amp; monitor","")))</f>
        <v/>
      </c>
    </row>
    <row r="180" ht="18" customHeight="1" s="230">
      <c r="A180" s="331" t="n"/>
      <c r="B180" s="331" t="n"/>
      <c r="C180" s="332" t="n"/>
      <c r="D180" s="333" t="n"/>
      <c r="E180" s="332" t="n"/>
      <c r="F180" s="334" t="n"/>
      <c r="G180" s="334" t="n"/>
      <c r="H180" s="332" t="n"/>
      <c r="I180" s="335">
        <f>IF(OR(B180="",H180="Sold"),"—",TODAY()-B180)</f>
        <v/>
      </c>
      <c r="J180" s="336">
        <f>IF(OR(B180="",H180="Sold"),"",IF(I180="—","",IF(I180&gt;=60,"STALE — route now",IF(I180&gt;=30,"Aging — watch",IF(I180&gt;=0,"Fresh","")))))</f>
        <v/>
      </c>
      <c r="K180" s="337">
        <f>IF(J180="STALE — route now","→ Send to consignment batch",IF(J180="Aging — watch","→ Consider 10% price drop",IF(J180="Fresh","→ Hold &amp; monitor","")))</f>
        <v/>
      </c>
    </row>
    <row r="181" ht="18" customHeight="1" s="230">
      <c r="A181" s="324" t="n"/>
      <c r="B181" s="324" t="n"/>
      <c r="C181" s="325" t="n"/>
      <c r="D181" s="326" t="n"/>
      <c r="E181" s="325" t="n"/>
      <c r="F181" s="327" t="n"/>
      <c r="G181" s="327" t="n"/>
      <c r="H181" s="325" t="n"/>
      <c r="I181" s="328">
        <f>IF(OR(B181="",H181="Sold"),"—",TODAY()-B181)</f>
        <v/>
      </c>
      <c r="J181" s="329">
        <f>IF(OR(B181="",H181="Sold"),"",IF(I181="—","",IF(I181&gt;=60,"STALE — route now",IF(I181&gt;=30,"Aging — watch",IF(I181&gt;=0,"Fresh","")))))</f>
        <v/>
      </c>
      <c r="K181" s="330">
        <f>IF(J181="STALE — route now","→ Send to consignment batch",IF(J181="Aging — watch","→ Consider 10% price drop",IF(J181="Fresh","→ Hold &amp; monitor","")))</f>
        <v/>
      </c>
    </row>
    <row r="182" ht="18" customHeight="1" s="230">
      <c r="A182" s="331" t="n"/>
      <c r="B182" s="331" t="n"/>
      <c r="C182" s="332" t="n"/>
      <c r="D182" s="333" t="n"/>
      <c r="E182" s="332" t="n"/>
      <c r="F182" s="334" t="n"/>
      <c r="G182" s="334" t="n"/>
      <c r="H182" s="332" t="n"/>
      <c r="I182" s="335">
        <f>IF(OR(B182="",H182="Sold"),"—",TODAY()-B182)</f>
        <v/>
      </c>
      <c r="J182" s="336">
        <f>IF(OR(B182="",H182="Sold"),"",IF(I182="—","",IF(I182&gt;=60,"STALE — route now",IF(I182&gt;=30,"Aging — watch",IF(I182&gt;=0,"Fresh","")))))</f>
        <v/>
      </c>
      <c r="K182" s="337">
        <f>IF(J182="STALE — route now","→ Send to consignment batch",IF(J182="Aging — watch","→ Consider 10% price drop",IF(J182="Fresh","→ Hold &amp; monitor","")))</f>
        <v/>
      </c>
    </row>
    <row r="183" ht="18" customHeight="1" s="230">
      <c r="A183" s="324" t="n"/>
      <c r="B183" s="324" t="n"/>
      <c r="C183" s="325" t="n"/>
      <c r="D183" s="326" t="n"/>
      <c r="E183" s="325" t="n"/>
      <c r="F183" s="327" t="n"/>
      <c r="G183" s="327" t="n"/>
      <c r="H183" s="325" t="n"/>
      <c r="I183" s="328">
        <f>IF(OR(B183="",H183="Sold"),"—",TODAY()-B183)</f>
        <v/>
      </c>
      <c r="J183" s="329">
        <f>IF(OR(B183="",H183="Sold"),"",IF(I183="—","",IF(I183&gt;=60,"STALE — route now",IF(I183&gt;=30,"Aging — watch",IF(I183&gt;=0,"Fresh","")))))</f>
        <v/>
      </c>
      <c r="K183" s="330">
        <f>IF(J183="STALE — route now","→ Send to consignment batch",IF(J183="Aging — watch","→ Consider 10% price drop",IF(J183="Fresh","→ Hold &amp; monitor","")))</f>
        <v/>
      </c>
    </row>
    <row r="184" ht="18" customHeight="1" s="230">
      <c r="A184" s="331" t="n"/>
      <c r="B184" s="331" t="n"/>
      <c r="C184" s="332" t="n"/>
      <c r="D184" s="333" t="n"/>
      <c r="E184" s="332" t="n"/>
      <c r="F184" s="334" t="n"/>
      <c r="G184" s="334" t="n"/>
      <c r="H184" s="332" t="n"/>
      <c r="I184" s="335">
        <f>IF(OR(B184="",H184="Sold"),"—",TODAY()-B184)</f>
        <v/>
      </c>
      <c r="J184" s="336">
        <f>IF(OR(B184="",H184="Sold"),"",IF(I184="—","",IF(I184&gt;=60,"STALE — route now",IF(I184&gt;=30,"Aging — watch",IF(I184&gt;=0,"Fresh","")))))</f>
        <v/>
      </c>
      <c r="K184" s="337">
        <f>IF(J184="STALE — route now","→ Send to consignment batch",IF(J184="Aging — watch","→ Consider 10% price drop",IF(J184="Fresh","→ Hold &amp; monitor","")))</f>
        <v/>
      </c>
    </row>
    <row r="185" ht="18" customHeight="1" s="230">
      <c r="A185" s="324" t="n"/>
      <c r="B185" s="324" t="n"/>
      <c r="C185" s="325" t="n"/>
      <c r="D185" s="326" t="n"/>
      <c r="E185" s="325" t="n"/>
      <c r="F185" s="327" t="n"/>
      <c r="G185" s="327" t="n"/>
      <c r="H185" s="325" t="n"/>
      <c r="I185" s="328">
        <f>IF(OR(B185="",H185="Sold"),"—",TODAY()-B185)</f>
        <v/>
      </c>
      <c r="J185" s="329">
        <f>IF(OR(B185="",H185="Sold"),"",IF(I185="—","",IF(I185&gt;=60,"STALE — route now",IF(I185&gt;=30,"Aging — watch",IF(I185&gt;=0,"Fresh","")))))</f>
        <v/>
      </c>
      <c r="K185" s="330">
        <f>IF(J185="STALE — route now","→ Send to consignment batch",IF(J185="Aging — watch","→ Consider 10% price drop",IF(J185="Fresh","→ Hold &amp; monitor","")))</f>
        <v/>
      </c>
    </row>
    <row r="186" ht="18" customHeight="1" s="230">
      <c r="A186" s="331" t="n"/>
      <c r="B186" s="331" t="n"/>
      <c r="C186" s="332" t="n"/>
      <c r="D186" s="333" t="n"/>
      <c r="E186" s="332" t="n"/>
      <c r="F186" s="334" t="n"/>
      <c r="G186" s="334" t="n"/>
      <c r="H186" s="332" t="n"/>
      <c r="I186" s="335">
        <f>IF(OR(B186="",H186="Sold"),"—",TODAY()-B186)</f>
        <v/>
      </c>
      <c r="J186" s="336">
        <f>IF(OR(B186="",H186="Sold"),"",IF(I186="—","",IF(I186&gt;=60,"STALE — route now",IF(I186&gt;=30,"Aging — watch",IF(I186&gt;=0,"Fresh","")))))</f>
        <v/>
      </c>
      <c r="K186" s="337">
        <f>IF(J186="STALE — route now","→ Send to consignment batch",IF(J186="Aging — watch","→ Consider 10% price drop",IF(J186="Fresh","→ Hold &amp; monitor","")))</f>
        <v/>
      </c>
    </row>
    <row r="187" ht="18" customHeight="1" s="230">
      <c r="A187" s="324" t="n"/>
      <c r="B187" s="324" t="n"/>
      <c r="C187" s="325" t="n"/>
      <c r="D187" s="326" t="n"/>
      <c r="E187" s="325" t="n"/>
      <c r="F187" s="327" t="n"/>
      <c r="G187" s="327" t="n"/>
      <c r="H187" s="325" t="n"/>
      <c r="I187" s="328">
        <f>IF(OR(B187="",H187="Sold"),"—",TODAY()-B187)</f>
        <v/>
      </c>
      <c r="J187" s="329">
        <f>IF(OR(B187="",H187="Sold"),"",IF(I187="—","",IF(I187&gt;=60,"STALE — route now",IF(I187&gt;=30,"Aging — watch",IF(I187&gt;=0,"Fresh","")))))</f>
        <v/>
      </c>
      <c r="K187" s="330">
        <f>IF(J187="STALE — route now","→ Send to consignment batch",IF(J187="Aging — watch","→ Consider 10% price drop",IF(J187="Fresh","→ Hold &amp; monitor","")))</f>
        <v/>
      </c>
    </row>
    <row r="188" ht="18" customHeight="1" s="230">
      <c r="A188" s="331" t="n"/>
      <c r="B188" s="331" t="n"/>
      <c r="C188" s="332" t="n"/>
      <c r="D188" s="333" t="n"/>
      <c r="E188" s="332" t="n"/>
      <c r="F188" s="334" t="n"/>
      <c r="G188" s="334" t="n"/>
      <c r="H188" s="332" t="n"/>
      <c r="I188" s="335">
        <f>IF(OR(B188="",H188="Sold"),"—",TODAY()-B188)</f>
        <v/>
      </c>
      <c r="J188" s="336">
        <f>IF(OR(B188="",H188="Sold"),"",IF(I188="—","",IF(I188&gt;=60,"STALE — route now",IF(I188&gt;=30,"Aging — watch",IF(I188&gt;=0,"Fresh","")))))</f>
        <v/>
      </c>
      <c r="K188" s="337">
        <f>IF(J188="STALE — route now","→ Send to consignment batch",IF(J188="Aging — watch","→ Consider 10% price drop",IF(J188="Fresh","→ Hold &amp; monitor","")))</f>
        <v/>
      </c>
    </row>
    <row r="189" ht="18" customHeight="1" s="230">
      <c r="A189" s="324" t="n"/>
      <c r="B189" s="324" t="n"/>
      <c r="C189" s="325" t="n"/>
      <c r="D189" s="326" t="n"/>
      <c r="E189" s="325" t="n"/>
      <c r="F189" s="327" t="n"/>
      <c r="G189" s="327" t="n"/>
      <c r="H189" s="325" t="n"/>
      <c r="I189" s="328">
        <f>IF(OR(B189="",H189="Sold"),"—",TODAY()-B189)</f>
        <v/>
      </c>
      <c r="J189" s="329">
        <f>IF(OR(B189="",H189="Sold"),"",IF(I189="—","",IF(I189&gt;=60,"STALE — route now",IF(I189&gt;=30,"Aging — watch",IF(I189&gt;=0,"Fresh","")))))</f>
        <v/>
      </c>
      <c r="K189" s="330">
        <f>IF(J189="STALE — route now","→ Send to consignment batch",IF(J189="Aging — watch","→ Consider 10% price drop",IF(J189="Fresh","→ Hold &amp; monitor","")))</f>
        <v/>
      </c>
    </row>
    <row r="190" ht="18" customHeight="1" s="230">
      <c r="A190" s="331" t="n"/>
      <c r="B190" s="331" t="n"/>
      <c r="C190" s="332" t="n"/>
      <c r="D190" s="333" t="n"/>
      <c r="E190" s="332" t="n"/>
      <c r="F190" s="334" t="n"/>
      <c r="G190" s="334" t="n"/>
      <c r="H190" s="332" t="n"/>
      <c r="I190" s="335">
        <f>IF(OR(B190="",H190="Sold"),"—",TODAY()-B190)</f>
        <v/>
      </c>
      <c r="J190" s="336">
        <f>IF(OR(B190="",H190="Sold"),"",IF(I190="—","",IF(I190&gt;=60,"STALE — route now",IF(I190&gt;=30,"Aging — watch",IF(I190&gt;=0,"Fresh","")))))</f>
        <v/>
      </c>
      <c r="K190" s="337">
        <f>IF(J190="STALE — route now","→ Send to consignment batch",IF(J190="Aging — watch","→ Consider 10% price drop",IF(J190="Fresh","→ Hold &amp; monitor","")))</f>
        <v/>
      </c>
    </row>
    <row r="191" ht="18" customHeight="1" s="230">
      <c r="A191" s="324" t="n"/>
      <c r="B191" s="324" t="n"/>
      <c r="C191" s="325" t="n"/>
      <c r="D191" s="326" t="n"/>
      <c r="E191" s="325" t="n"/>
      <c r="F191" s="327" t="n"/>
      <c r="G191" s="327" t="n"/>
      <c r="H191" s="325" t="n"/>
      <c r="I191" s="328">
        <f>IF(OR(B191="",H191="Sold"),"—",TODAY()-B191)</f>
        <v/>
      </c>
      <c r="J191" s="329">
        <f>IF(OR(B191="",H191="Sold"),"",IF(I191="—","",IF(I191&gt;=60,"STALE — route now",IF(I191&gt;=30,"Aging — watch",IF(I191&gt;=0,"Fresh","")))))</f>
        <v/>
      </c>
      <c r="K191" s="330">
        <f>IF(J191="STALE — route now","→ Send to consignment batch",IF(J191="Aging — watch","→ Consider 10% price drop",IF(J191="Fresh","→ Hold &amp; monitor","")))</f>
        <v/>
      </c>
    </row>
    <row r="192" ht="18" customHeight="1" s="230">
      <c r="A192" s="331" t="n"/>
      <c r="B192" s="331" t="n"/>
      <c r="C192" s="332" t="n"/>
      <c r="D192" s="333" t="n"/>
      <c r="E192" s="332" t="n"/>
      <c r="F192" s="334" t="n"/>
      <c r="G192" s="334" t="n"/>
      <c r="H192" s="332" t="n"/>
      <c r="I192" s="335">
        <f>IF(OR(B192="",H192="Sold"),"—",TODAY()-B192)</f>
        <v/>
      </c>
      <c r="J192" s="336">
        <f>IF(OR(B192="",H192="Sold"),"",IF(I192="—","",IF(I192&gt;=60,"STALE — route now",IF(I192&gt;=30,"Aging — watch",IF(I192&gt;=0,"Fresh","")))))</f>
        <v/>
      </c>
      <c r="K192" s="337">
        <f>IF(J192="STALE — route now","→ Send to consignment batch",IF(J192="Aging — watch","→ Consider 10% price drop",IF(J192="Fresh","→ Hold &amp; monitor","")))</f>
        <v/>
      </c>
    </row>
    <row r="193" ht="18" customHeight="1" s="230">
      <c r="A193" s="324" t="n"/>
      <c r="B193" s="324" t="n"/>
      <c r="C193" s="325" t="n"/>
      <c r="D193" s="326" t="n"/>
      <c r="E193" s="325" t="n"/>
      <c r="F193" s="327" t="n"/>
      <c r="G193" s="327" t="n"/>
      <c r="H193" s="325" t="n"/>
      <c r="I193" s="328">
        <f>IF(OR(B193="",H193="Sold"),"—",TODAY()-B193)</f>
        <v/>
      </c>
      <c r="J193" s="329">
        <f>IF(OR(B193="",H193="Sold"),"",IF(I193="—","",IF(I193&gt;=60,"STALE — route now",IF(I193&gt;=30,"Aging — watch",IF(I193&gt;=0,"Fresh","")))))</f>
        <v/>
      </c>
      <c r="K193" s="330">
        <f>IF(J193="STALE — route now","→ Send to consignment batch",IF(J193="Aging — watch","→ Consider 10% price drop",IF(J193="Fresh","→ Hold &amp; monitor","")))</f>
        <v/>
      </c>
    </row>
    <row r="194" ht="18" customHeight="1" s="230">
      <c r="A194" s="331" t="n"/>
      <c r="B194" s="331" t="n"/>
      <c r="C194" s="332" t="n"/>
      <c r="D194" s="333" t="n"/>
      <c r="E194" s="332" t="n"/>
      <c r="F194" s="334" t="n"/>
      <c r="G194" s="334" t="n"/>
      <c r="H194" s="332" t="n"/>
      <c r="I194" s="335">
        <f>IF(OR(B194="",H194="Sold"),"—",TODAY()-B194)</f>
        <v/>
      </c>
      <c r="J194" s="336">
        <f>IF(OR(B194="",H194="Sold"),"",IF(I194="—","",IF(I194&gt;=60,"STALE — route now",IF(I194&gt;=30,"Aging — watch",IF(I194&gt;=0,"Fresh","")))))</f>
        <v/>
      </c>
      <c r="K194" s="337">
        <f>IF(J194="STALE — route now","→ Send to consignment batch",IF(J194="Aging — watch","→ Consider 10% price drop",IF(J194="Fresh","→ Hold &amp; monitor","")))</f>
        <v/>
      </c>
    </row>
    <row r="195" ht="18" customHeight="1" s="230">
      <c r="A195" s="324" t="n"/>
      <c r="B195" s="324" t="n"/>
      <c r="C195" s="325" t="n"/>
      <c r="D195" s="326" t="n"/>
      <c r="E195" s="325" t="n"/>
      <c r="F195" s="327" t="n"/>
      <c r="G195" s="327" t="n"/>
      <c r="H195" s="325" t="n"/>
      <c r="I195" s="328">
        <f>IF(OR(B195="",H195="Sold"),"—",TODAY()-B195)</f>
        <v/>
      </c>
      <c r="J195" s="329">
        <f>IF(OR(B195="",H195="Sold"),"",IF(I195="—","",IF(I195&gt;=60,"STALE — route now",IF(I195&gt;=30,"Aging — watch",IF(I195&gt;=0,"Fresh","")))))</f>
        <v/>
      </c>
      <c r="K195" s="330">
        <f>IF(J195="STALE — route now","→ Send to consignment batch",IF(J195="Aging — watch","→ Consider 10% price drop",IF(J195="Fresh","→ Hold &amp; monitor","")))</f>
        <v/>
      </c>
    </row>
    <row r="196" ht="18" customHeight="1" s="230">
      <c r="A196" s="331" t="n"/>
      <c r="B196" s="331" t="n"/>
      <c r="C196" s="332" t="n"/>
      <c r="D196" s="333" t="n"/>
      <c r="E196" s="332" t="n"/>
      <c r="F196" s="334" t="n"/>
      <c r="G196" s="334" t="n"/>
      <c r="H196" s="332" t="n"/>
      <c r="I196" s="335">
        <f>IF(OR(B196="",H196="Sold"),"—",TODAY()-B196)</f>
        <v/>
      </c>
      <c r="J196" s="336">
        <f>IF(OR(B196="",H196="Sold"),"",IF(I196="—","",IF(I196&gt;=60,"STALE — route now",IF(I196&gt;=30,"Aging — watch",IF(I196&gt;=0,"Fresh","")))))</f>
        <v/>
      </c>
      <c r="K196" s="337">
        <f>IF(J196="STALE — route now","→ Send to consignment batch",IF(J196="Aging — watch","→ Consider 10% price drop",IF(J196="Fresh","→ Hold &amp; monitor","")))</f>
        <v/>
      </c>
    </row>
    <row r="197" ht="18" customHeight="1" s="230">
      <c r="A197" s="324" t="n"/>
      <c r="B197" s="324" t="n"/>
      <c r="C197" s="325" t="n"/>
      <c r="D197" s="326" t="n"/>
      <c r="E197" s="325" t="n"/>
      <c r="F197" s="327" t="n"/>
      <c r="G197" s="327" t="n"/>
      <c r="H197" s="325" t="n"/>
      <c r="I197" s="328">
        <f>IF(OR(B197="",H197="Sold"),"—",TODAY()-B197)</f>
        <v/>
      </c>
      <c r="J197" s="329">
        <f>IF(OR(B197="",H197="Sold"),"",IF(I197="—","",IF(I197&gt;=60,"STALE — route now",IF(I197&gt;=30,"Aging — watch",IF(I197&gt;=0,"Fresh","")))))</f>
        <v/>
      </c>
      <c r="K197" s="330">
        <f>IF(J197="STALE — route now","→ Send to consignment batch",IF(J197="Aging — watch","→ Consider 10% price drop",IF(J197="Fresh","→ Hold &amp; monitor","")))</f>
        <v/>
      </c>
    </row>
    <row r="198" ht="18" customHeight="1" s="230">
      <c r="A198" s="331" t="n"/>
      <c r="B198" s="331" t="n"/>
      <c r="C198" s="332" t="n"/>
      <c r="D198" s="333" t="n"/>
      <c r="E198" s="332" t="n"/>
      <c r="F198" s="334" t="n"/>
      <c r="G198" s="334" t="n"/>
      <c r="H198" s="332" t="n"/>
      <c r="I198" s="335">
        <f>IF(OR(B198="",H198="Sold"),"—",TODAY()-B198)</f>
        <v/>
      </c>
      <c r="J198" s="336">
        <f>IF(OR(B198="",H198="Sold"),"",IF(I198="—","",IF(I198&gt;=60,"STALE — route now",IF(I198&gt;=30,"Aging — watch",IF(I198&gt;=0,"Fresh","")))))</f>
        <v/>
      </c>
      <c r="K198" s="337">
        <f>IF(J198="STALE — route now","→ Send to consignment batch",IF(J198="Aging — watch","→ Consider 10% price drop",IF(J198="Fresh","→ Hold &amp; monitor","")))</f>
        <v/>
      </c>
    </row>
    <row r="199" ht="18" customHeight="1" s="230">
      <c r="A199" s="324" t="n"/>
      <c r="B199" s="324" t="n"/>
      <c r="C199" s="325" t="n"/>
      <c r="D199" s="326" t="n"/>
      <c r="E199" s="325" t="n"/>
      <c r="F199" s="327" t="n"/>
      <c r="G199" s="327" t="n"/>
      <c r="H199" s="325" t="n"/>
      <c r="I199" s="328">
        <f>IF(OR(B199="",H199="Sold"),"—",TODAY()-B199)</f>
        <v/>
      </c>
      <c r="J199" s="329">
        <f>IF(OR(B199="",H199="Sold"),"",IF(I199="—","",IF(I199&gt;=60,"STALE — route now",IF(I199&gt;=30,"Aging — watch",IF(I199&gt;=0,"Fresh","")))))</f>
        <v/>
      </c>
      <c r="K199" s="330">
        <f>IF(J199="STALE — route now","→ Send to consignment batch",IF(J199="Aging — watch","→ Consider 10% price drop",IF(J199="Fresh","→ Hold &amp; monitor","")))</f>
        <v/>
      </c>
    </row>
    <row r="200" ht="18" customHeight="1" s="230">
      <c r="A200" s="331" t="n"/>
      <c r="B200" s="331" t="n"/>
      <c r="C200" s="332" t="n"/>
      <c r="D200" s="333" t="n"/>
      <c r="E200" s="332" t="n"/>
      <c r="F200" s="334" t="n"/>
      <c r="G200" s="334" t="n"/>
      <c r="H200" s="332" t="n"/>
      <c r="I200" s="335">
        <f>IF(OR(B200="",H200="Sold"),"—",TODAY()-B200)</f>
        <v/>
      </c>
      <c r="J200" s="336">
        <f>IF(OR(B200="",H200="Sold"),"",IF(I200="—","",IF(I200&gt;=60,"STALE — route now",IF(I200&gt;=30,"Aging — watch",IF(I200&gt;=0,"Fresh","")))))</f>
        <v/>
      </c>
      <c r="K200" s="337">
        <f>IF(J200="STALE — route now","→ Send to consignment batch",IF(J200="Aging — watch","→ Consider 10% price drop",IF(J200="Fresh","→ Hold &amp; monitor","")))</f>
        <v/>
      </c>
    </row>
    <row r="201" ht="18" customHeight="1" s="230">
      <c r="A201" s="324" t="n"/>
      <c r="B201" s="324" t="n"/>
      <c r="C201" s="325" t="n"/>
      <c r="D201" s="326" t="n"/>
      <c r="E201" s="325" t="n"/>
      <c r="F201" s="327" t="n"/>
      <c r="G201" s="327" t="n"/>
      <c r="H201" s="325" t="n"/>
      <c r="I201" s="328">
        <f>IF(OR(B201="",H201="Sold"),"—",TODAY()-B201)</f>
        <v/>
      </c>
      <c r="J201" s="329">
        <f>IF(OR(B201="",H201="Sold"),"",IF(I201="—","",IF(I201&gt;=60,"STALE — route now",IF(I201&gt;=30,"Aging — watch",IF(I201&gt;=0,"Fresh","")))))</f>
        <v/>
      </c>
      <c r="K201" s="330">
        <f>IF(J201="STALE — route now","→ Send to consignment batch",IF(J201="Aging — watch","→ Consider 10% price drop",IF(J201="Fresh","→ Hold &amp; monitor","")))</f>
        <v/>
      </c>
    </row>
    <row r="202" ht="18" customHeight="1" s="230">
      <c r="A202" s="331" t="n"/>
      <c r="B202" s="331" t="n"/>
      <c r="C202" s="332" t="n"/>
      <c r="D202" s="333" t="n"/>
      <c r="E202" s="332" t="n"/>
      <c r="F202" s="334" t="n"/>
      <c r="G202" s="334" t="n"/>
      <c r="H202" s="332" t="n"/>
      <c r="I202" s="335">
        <f>IF(OR(B202="",H202="Sold"),"—",TODAY()-B202)</f>
        <v/>
      </c>
      <c r="J202" s="336">
        <f>IF(OR(B202="",H202="Sold"),"",IF(I202="—","",IF(I202&gt;=60,"STALE — route now",IF(I202&gt;=30,"Aging — watch",IF(I202&gt;=0,"Fresh","")))))</f>
        <v/>
      </c>
      <c r="K202" s="337">
        <f>IF(J202="STALE — route now","→ Send to consignment batch",IF(J202="Aging — watch","→ Consider 10% price drop",IF(J202="Fresh","→ Hold &amp; monitor","")))</f>
        <v/>
      </c>
    </row>
    <row r="203" ht="18" customHeight="1" s="230">
      <c r="A203" s="324" t="n"/>
      <c r="B203" s="324" t="n"/>
      <c r="C203" s="325" t="n"/>
      <c r="D203" s="326" t="n"/>
      <c r="E203" s="325" t="n"/>
      <c r="F203" s="327" t="n"/>
      <c r="G203" s="327" t="n"/>
      <c r="H203" s="325" t="n"/>
      <c r="I203" s="328">
        <f>IF(OR(B203="",H203="Sold"),"—",TODAY()-B203)</f>
        <v/>
      </c>
      <c r="J203" s="329">
        <f>IF(OR(B203="",H203="Sold"),"",IF(I203="—","",IF(I203&gt;=60,"STALE — route now",IF(I203&gt;=30,"Aging — watch",IF(I203&gt;=0,"Fresh","")))))</f>
        <v/>
      </c>
      <c r="K203" s="330">
        <f>IF(J203="STALE — route now","→ Send to consignment batch",IF(J203="Aging — watch","→ Consider 10% price drop",IF(J203="Fresh","→ Hold &amp; monitor","")))</f>
        <v/>
      </c>
    </row>
    <row r="204" ht="18" customHeight="1" s="230">
      <c r="A204" s="331" t="n"/>
      <c r="B204" s="331" t="n"/>
      <c r="C204" s="332" t="n"/>
      <c r="D204" s="333" t="n"/>
      <c r="E204" s="332" t="n"/>
      <c r="F204" s="334" t="n"/>
      <c r="G204" s="334" t="n"/>
      <c r="H204" s="332" t="n"/>
      <c r="I204" s="335">
        <f>IF(OR(B204="",H204="Sold"),"—",TODAY()-B204)</f>
        <v/>
      </c>
      <c r="J204" s="336">
        <f>IF(OR(B204="",H204="Sold"),"",IF(I204="—","",IF(I204&gt;=60,"STALE — route now",IF(I204&gt;=30,"Aging — watch",IF(I204&gt;=0,"Fresh","")))))</f>
        <v/>
      </c>
      <c r="K204" s="337">
        <f>IF(J204="STALE — route now","→ Send to consignment batch",IF(J204="Aging — watch","→ Consider 10% price drop",IF(J204="Fresh","→ Hold &amp; monitor","")))</f>
        <v/>
      </c>
    </row>
    <row r="205" ht="18" customHeight="1" s="230">
      <c r="A205" s="324" t="n"/>
      <c r="B205" s="324" t="n"/>
      <c r="C205" s="325" t="n"/>
      <c r="D205" s="326" t="n"/>
      <c r="E205" s="325" t="n"/>
      <c r="F205" s="327" t="n"/>
      <c r="G205" s="327" t="n"/>
      <c r="H205" s="325" t="n"/>
      <c r="I205" s="328">
        <f>IF(OR(B205="",H205="Sold"),"—",TODAY()-B205)</f>
        <v/>
      </c>
      <c r="J205" s="329">
        <f>IF(OR(B205="",H205="Sold"),"",IF(I205="—","",IF(I205&gt;=60,"STALE — route now",IF(I205&gt;=30,"Aging — watch",IF(I205&gt;=0,"Fresh","")))))</f>
        <v/>
      </c>
      <c r="K205" s="330">
        <f>IF(J205="STALE — route now","→ Send to consignment batch",IF(J205="Aging — watch","→ Consider 10% price drop",IF(J205="Fresh","→ Hold &amp; monitor","")))</f>
        <v/>
      </c>
    </row>
    <row r="206" ht="18" customHeight="1" s="230">
      <c r="A206" s="331" t="n"/>
      <c r="B206" s="331" t="n"/>
      <c r="C206" s="332" t="n"/>
      <c r="D206" s="333" t="n"/>
      <c r="E206" s="332" t="n"/>
      <c r="F206" s="334" t="n"/>
      <c r="G206" s="334" t="n"/>
      <c r="H206" s="332" t="n"/>
      <c r="I206" s="335">
        <f>IF(OR(B206="",H206="Sold"),"—",TODAY()-B206)</f>
        <v/>
      </c>
      <c r="J206" s="336">
        <f>IF(OR(B206="",H206="Sold"),"",IF(I206="—","",IF(I206&gt;=60,"STALE — route now",IF(I206&gt;=30,"Aging — watch",IF(I206&gt;=0,"Fresh","")))))</f>
        <v/>
      </c>
      <c r="K206" s="337">
        <f>IF(J206="STALE — route now","→ Send to consignment batch",IF(J206="Aging — watch","→ Consider 10% price drop",IF(J206="Fresh","→ Hold &amp; monitor","")))</f>
        <v/>
      </c>
    </row>
    <row r="207" ht="18" customHeight="1" s="230">
      <c r="A207" s="324" t="n"/>
      <c r="B207" s="324" t="n"/>
      <c r="C207" s="325" t="n"/>
      <c r="D207" s="326" t="n"/>
      <c r="E207" s="325" t="n"/>
      <c r="F207" s="327" t="n"/>
      <c r="G207" s="327" t="n"/>
      <c r="H207" s="325" t="n"/>
      <c r="I207" s="328">
        <f>IF(OR(B207="",H207="Sold"),"—",TODAY()-B207)</f>
        <v/>
      </c>
      <c r="J207" s="329">
        <f>IF(OR(B207="",H207="Sold"),"",IF(I207="—","",IF(I207&gt;=60,"STALE — route now",IF(I207&gt;=30,"Aging — watch",IF(I207&gt;=0,"Fresh","")))))</f>
        <v/>
      </c>
      <c r="K207" s="330">
        <f>IF(J207="STALE — route now","→ Send to consignment batch",IF(J207="Aging — watch","→ Consider 10% price drop",IF(J207="Fresh","→ Hold &amp; monitor","")))</f>
        <v/>
      </c>
    </row>
    <row r="208" ht="18" customHeight="1" s="230">
      <c r="A208" s="331" t="n"/>
      <c r="B208" s="331" t="n"/>
      <c r="C208" s="332" t="n"/>
      <c r="D208" s="333" t="n"/>
      <c r="E208" s="332" t="n"/>
      <c r="F208" s="334" t="n"/>
      <c r="G208" s="334" t="n"/>
      <c r="H208" s="332" t="n"/>
      <c r="I208" s="335">
        <f>IF(OR(B208="",H208="Sold"),"—",TODAY()-B208)</f>
        <v/>
      </c>
      <c r="J208" s="336">
        <f>IF(OR(B208="",H208="Sold"),"",IF(I208="—","",IF(I208&gt;=60,"STALE — route now",IF(I208&gt;=30,"Aging — watch",IF(I208&gt;=0,"Fresh","")))))</f>
        <v/>
      </c>
      <c r="K208" s="337">
        <f>IF(J208="STALE — route now","→ Send to consignment batch",IF(J208="Aging — watch","→ Consider 10% price drop",IF(J208="Fresh","→ Hold &amp; monitor","")))</f>
        <v/>
      </c>
    </row>
    <row r="209" ht="18" customHeight="1" s="230">
      <c r="A209" s="324" t="n"/>
      <c r="B209" s="324" t="n"/>
      <c r="C209" s="325" t="n"/>
      <c r="D209" s="326" t="n"/>
      <c r="E209" s="325" t="n"/>
      <c r="F209" s="327" t="n"/>
      <c r="G209" s="327" t="n"/>
      <c r="H209" s="325" t="n"/>
      <c r="I209" s="328">
        <f>IF(OR(B209="",H209="Sold"),"—",TODAY()-B209)</f>
        <v/>
      </c>
      <c r="J209" s="329">
        <f>IF(OR(B209="",H209="Sold"),"",IF(I209="—","",IF(I209&gt;=60,"STALE — route now",IF(I209&gt;=30,"Aging — watch",IF(I209&gt;=0,"Fresh","")))))</f>
        <v/>
      </c>
      <c r="K209" s="330">
        <f>IF(J209="STALE — route now","→ Send to consignment batch",IF(J209="Aging — watch","→ Consider 10% price drop",IF(J209="Fresh","→ Hold &amp; monitor","")))</f>
        <v/>
      </c>
    </row>
    <row r="210" ht="18" customHeight="1" s="230">
      <c r="A210" s="331" t="n"/>
      <c r="B210" s="331" t="n"/>
      <c r="C210" s="332" t="n"/>
      <c r="D210" s="333" t="n"/>
      <c r="E210" s="332" t="n"/>
      <c r="F210" s="334" t="n"/>
      <c r="G210" s="334" t="n"/>
      <c r="H210" s="332" t="n"/>
      <c r="I210" s="335">
        <f>IF(OR(B210="",H210="Sold"),"—",TODAY()-B210)</f>
        <v/>
      </c>
      <c r="J210" s="336">
        <f>IF(OR(B210="",H210="Sold"),"",IF(I210="—","",IF(I210&gt;=60,"STALE — route now",IF(I210&gt;=30,"Aging — watch",IF(I210&gt;=0,"Fresh","")))))</f>
        <v/>
      </c>
      <c r="K210" s="337">
        <f>IF(J210="STALE — route now","→ Send to consignment batch",IF(J210="Aging — watch","→ Consider 10% price drop",IF(J210="Fresh","→ Hold &amp; monitor","")))</f>
        <v/>
      </c>
    </row>
    <row r="211" ht="18" customHeight="1" s="230">
      <c r="A211" s="324" t="n"/>
      <c r="B211" s="324" t="n"/>
      <c r="C211" s="325" t="n"/>
      <c r="D211" s="326" t="n"/>
      <c r="E211" s="325" t="n"/>
      <c r="F211" s="327" t="n"/>
      <c r="G211" s="327" t="n"/>
      <c r="H211" s="325" t="n"/>
      <c r="I211" s="328">
        <f>IF(OR(B211="",H211="Sold"),"—",TODAY()-B211)</f>
        <v/>
      </c>
      <c r="J211" s="329">
        <f>IF(OR(B211="",H211="Sold"),"",IF(I211="—","",IF(I211&gt;=60,"STALE — route now",IF(I211&gt;=30,"Aging — watch",IF(I211&gt;=0,"Fresh","")))))</f>
        <v/>
      </c>
      <c r="K211" s="330">
        <f>IF(J211="STALE — route now","→ Send to consignment batch",IF(J211="Aging — watch","→ Consider 10% price drop",IF(J211="Fresh","→ Hold &amp; monitor","")))</f>
        <v/>
      </c>
    </row>
    <row r="212" ht="18" customHeight="1" s="230">
      <c r="A212" s="331" t="n"/>
      <c r="B212" s="331" t="n"/>
      <c r="C212" s="332" t="n"/>
      <c r="D212" s="333" t="n"/>
      <c r="E212" s="332" t="n"/>
      <c r="F212" s="334" t="n"/>
      <c r="G212" s="334" t="n"/>
      <c r="H212" s="332" t="n"/>
      <c r="I212" s="335">
        <f>IF(OR(B212="",H212="Sold"),"—",TODAY()-B212)</f>
        <v/>
      </c>
      <c r="J212" s="336">
        <f>IF(OR(B212="",H212="Sold"),"",IF(I212="—","",IF(I212&gt;=60,"STALE — route now",IF(I212&gt;=30,"Aging — watch",IF(I212&gt;=0,"Fresh","")))))</f>
        <v/>
      </c>
      <c r="K212" s="337">
        <f>IF(J212="STALE — route now","→ Send to consignment batch",IF(J212="Aging — watch","→ Consider 10% price drop",IF(J212="Fresh","→ Hold &amp; monitor","")))</f>
        <v/>
      </c>
    </row>
    <row r="213" ht="18" customHeight="1" s="230">
      <c r="A213" s="324" t="n"/>
      <c r="B213" s="324" t="n"/>
      <c r="C213" s="325" t="n"/>
      <c r="D213" s="326" t="n"/>
      <c r="E213" s="325" t="n"/>
      <c r="F213" s="327" t="n"/>
      <c r="G213" s="327" t="n"/>
      <c r="H213" s="325" t="n"/>
      <c r="I213" s="328">
        <f>IF(OR(B213="",H213="Sold"),"—",TODAY()-B213)</f>
        <v/>
      </c>
      <c r="J213" s="329">
        <f>IF(OR(B213="",H213="Sold"),"",IF(I213="—","",IF(I213&gt;=60,"STALE — route now",IF(I213&gt;=30,"Aging — watch",IF(I213&gt;=0,"Fresh","")))))</f>
        <v/>
      </c>
      <c r="K213" s="330">
        <f>IF(J213="STALE — route now","→ Send to consignment batch",IF(J213="Aging — watch","→ Consider 10% price drop",IF(J213="Fresh","→ Hold &amp; monitor","")))</f>
        <v/>
      </c>
    </row>
    <row r="214" ht="18" customHeight="1" s="230">
      <c r="A214" s="331" t="n"/>
      <c r="B214" s="331" t="n"/>
      <c r="C214" s="332" t="n"/>
      <c r="D214" s="333" t="n"/>
      <c r="E214" s="332" t="n"/>
      <c r="F214" s="334" t="n"/>
      <c r="G214" s="334" t="n"/>
      <c r="H214" s="332" t="n"/>
      <c r="I214" s="335">
        <f>IF(OR(B214="",H214="Sold"),"—",TODAY()-B214)</f>
        <v/>
      </c>
      <c r="J214" s="336">
        <f>IF(OR(B214="",H214="Sold"),"",IF(I214="—","",IF(I214&gt;=60,"STALE — route now",IF(I214&gt;=30,"Aging — watch",IF(I214&gt;=0,"Fresh","")))))</f>
        <v/>
      </c>
      <c r="K214" s="337">
        <f>IF(J214="STALE — route now","→ Send to consignment batch",IF(J214="Aging — watch","→ Consider 10% price drop",IF(J214="Fresh","→ Hold &amp; monitor","")))</f>
        <v/>
      </c>
    </row>
    <row r="215" ht="18" customHeight="1" s="230">
      <c r="A215" s="324" t="n"/>
      <c r="B215" s="324" t="n"/>
      <c r="C215" s="325" t="n"/>
      <c r="D215" s="326" t="n"/>
      <c r="E215" s="325" t="n"/>
      <c r="F215" s="327" t="n"/>
      <c r="G215" s="327" t="n"/>
      <c r="H215" s="325" t="n"/>
      <c r="I215" s="328">
        <f>IF(OR(B215="",H215="Sold"),"—",TODAY()-B215)</f>
        <v/>
      </c>
      <c r="J215" s="329">
        <f>IF(OR(B215="",H215="Sold"),"",IF(I215="—","",IF(I215&gt;=60,"STALE — route now",IF(I215&gt;=30,"Aging — watch",IF(I215&gt;=0,"Fresh","")))))</f>
        <v/>
      </c>
      <c r="K215" s="330">
        <f>IF(J215="STALE — route now","→ Send to consignment batch",IF(J215="Aging — watch","→ Consider 10% price drop",IF(J215="Fresh","→ Hold &amp; monitor","")))</f>
        <v/>
      </c>
    </row>
    <row r="216" ht="18" customHeight="1" s="230">
      <c r="A216" s="331" t="n"/>
      <c r="B216" s="331" t="n"/>
      <c r="C216" s="332" t="n"/>
      <c r="D216" s="333" t="n"/>
      <c r="E216" s="332" t="n"/>
      <c r="F216" s="334" t="n"/>
      <c r="G216" s="334" t="n"/>
      <c r="H216" s="332" t="n"/>
      <c r="I216" s="335">
        <f>IF(OR(B216="",H216="Sold"),"—",TODAY()-B216)</f>
        <v/>
      </c>
      <c r="J216" s="336">
        <f>IF(OR(B216="",H216="Sold"),"",IF(I216="—","",IF(I216&gt;=60,"STALE — route now",IF(I216&gt;=30,"Aging — watch",IF(I216&gt;=0,"Fresh","")))))</f>
        <v/>
      </c>
      <c r="K216" s="337">
        <f>IF(J216="STALE — route now","→ Send to consignment batch",IF(J216="Aging — watch","→ Consider 10% price drop",IF(J216="Fresh","→ Hold &amp; monitor","")))</f>
        <v/>
      </c>
    </row>
    <row r="217" ht="18" customHeight="1" s="230">
      <c r="A217" s="324" t="n"/>
      <c r="B217" s="324" t="n"/>
      <c r="C217" s="325" t="n"/>
      <c r="D217" s="326" t="n"/>
      <c r="E217" s="325" t="n"/>
      <c r="F217" s="327" t="n"/>
      <c r="G217" s="327" t="n"/>
      <c r="H217" s="325" t="n"/>
      <c r="I217" s="328">
        <f>IF(OR(B217="",H217="Sold"),"—",TODAY()-B217)</f>
        <v/>
      </c>
      <c r="J217" s="329">
        <f>IF(OR(B217="",H217="Sold"),"",IF(I217="—","",IF(I217&gt;=60,"STALE — route now",IF(I217&gt;=30,"Aging — watch",IF(I217&gt;=0,"Fresh","")))))</f>
        <v/>
      </c>
      <c r="K217" s="330">
        <f>IF(J217="STALE — route now","→ Send to consignment batch",IF(J217="Aging — watch","→ Consider 10% price drop",IF(J217="Fresh","→ Hold &amp; monitor","")))</f>
        <v/>
      </c>
    </row>
    <row r="218" ht="18" customHeight="1" s="230">
      <c r="A218" s="331" t="n"/>
      <c r="B218" s="331" t="n"/>
      <c r="C218" s="332" t="n"/>
      <c r="D218" s="333" t="n"/>
      <c r="E218" s="332" t="n"/>
      <c r="F218" s="334" t="n"/>
      <c r="G218" s="334" t="n"/>
      <c r="H218" s="332" t="n"/>
      <c r="I218" s="335">
        <f>IF(OR(B218="",H218="Sold"),"—",TODAY()-B218)</f>
        <v/>
      </c>
      <c r="J218" s="336">
        <f>IF(OR(B218="",H218="Sold"),"",IF(I218="—","",IF(I218&gt;=60,"STALE — route now",IF(I218&gt;=30,"Aging — watch",IF(I218&gt;=0,"Fresh","")))))</f>
        <v/>
      </c>
      <c r="K218" s="337">
        <f>IF(J218="STALE — route now","→ Send to consignment batch",IF(J218="Aging — watch","→ Consider 10% price drop",IF(J218="Fresh","→ Hold &amp; monitor","")))</f>
        <v/>
      </c>
    </row>
    <row r="219" ht="18" customHeight="1" s="230">
      <c r="A219" s="324" t="n"/>
      <c r="B219" s="324" t="n"/>
      <c r="C219" s="325" t="n"/>
      <c r="D219" s="326" t="n"/>
      <c r="E219" s="325" t="n"/>
      <c r="F219" s="327" t="n"/>
      <c r="G219" s="327" t="n"/>
      <c r="H219" s="325" t="n"/>
      <c r="I219" s="328">
        <f>IF(OR(B219="",H219="Sold"),"—",TODAY()-B219)</f>
        <v/>
      </c>
      <c r="J219" s="329">
        <f>IF(OR(B219="",H219="Sold"),"",IF(I219="—","",IF(I219&gt;=60,"STALE — route now",IF(I219&gt;=30,"Aging — watch",IF(I219&gt;=0,"Fresh","")))))</f>
        <v/>
      </c>
      <c r="K219" s="330">
        <f>IF(J219="STALE — route now","→ Send to consignment batch",IF(J219="Aging — watch","→ Consider 10% price drop",IF(J219="Fresh","→ Hold &amp; monitor","")))</f>
        <v/>
      </c>
    </row>
    <row r="220" ht="18" customHeight="1" s="230">
      <c r="A220" s="331" t="n"/>
      <c r="B220" s="331" t="n"/>
      <c r="C220" s="332" t="n"/>
      <c r="D220" s="333" t="n"/>
      <c r="E220" s="332" t="n"/>
      <c r="F220" s="334" t="n"/>
      <c r="G220" s="334" t="n"/>
      <c r="H220" s="332" t="n"/>
      <c r="I220" s="335">
        <f>IF(OR(B220="",H220="Sold"),"—",TODAY()-B220)</f>
        <v/>
      </c>
      <c r="J220" s="336">
        <f>IF(OR(B220="",H220="Sold"),"",IF(I220="—","",IF(I220&gt;=60,"STALE — route now",IF(I220&gt;=30,"Aging — watch",IF(I220&gt;=0,"Fresh","")))))</f>
        <v/>
      </c>
      <c r="K220" s="337">
        <f>IF(J220="STALE — route now","→ Send to consignment batch",IF(J220="Aging — watch","→ Consider 10% price drop",IF(J220="Fresh","→ Hold &amp; monitor","")))</f>
        <v/>
      </c>
    </row>
    <row r="221" ht="18" customHeight="1" s="230">
      <c r="A221" s="324" t="n"/>
      <c r="B221" s="324" t="n"/>
      <c r="C221" s="325" t="n"/>
      <c r="D221" s="326" t="n"/>
      <c r="E221" s="325" t="n"/>
      <c r="F221" s="327" t="n"/>
      <c r="G221" s="327" t="n"/>
      <c r="H221" s="325" t="n"/>
      <c r="I221" s="328">
        <f>IF(OR(B221="",H221="Sold"),"—",TODAY()-B221)</f>
        <v/>
      </c>
      <c r="J221" s="329">
        <f>IF(OR(B221="",H221="Sold"),"",IF(I221="—","",IF(I221&gt;=60,"STALE — route now",IF(I221&gt;=30,"Aging — watch",IF(I221&gt;=0,"Fresh","")))))</f>
        <v/>
      </c>
      <c r="K221" s="330">
        <f>IF(J221="STALE — route now","→ Send to consignment batch",IF(J221="Aging — watch","→ Consider 10% price drop",IF(J221="Fresh","→ Hold &amp; monitor","")))</f>
        <v/>
      </c>
    </row>
    <row r="222" ht="18" customHeight="1" s="230">
      <c r="A222" s="331" t="n"/>
      <c r="B222" s="331" t="n"/>
      <c r="C222" s="332" t="n"/>
      <c r="D222" s="333" t="n"/>
      <c r="E222" s="332" t="n"/>
      <c r="F222" s="334" t="n"/>
      <c r="G222" s="334" t="n"/>
      <c r="H222" s="332" t="n"/>
      <c r="I222" s="335">
        <f>IF(OR(B222="",H222="Sold"),"—",TODAY()-B222)</f>
        <v/>
      </c>
      <c r="J222" s="336">
        <f>IF(OR(B222="",H222="Sold"),"",IF(I222="—","",IF(I222&gt;=60,"STALE — route now",IF(I222&gt;=30,"Aging — watch",IF(I222&gt;=0,"Fresh","")))))</f>
        <v/>
      </c>
      <c r="K222" s="337">
        <f>IF(J222="STALE — route now","→ Send to consignment batch",IF(J222="Aging — watch","→ Consider 10% price drop",IF(J222="Fresh","→ Hold &amp; monitor","")))</f>
        <v/>
      </c>
    </row>
    <row r="223" ht="18" customHeight="1" s="230">
      <c r="A223" s="324" t="n"/>
      <c r="B223" s="324" t="n"/>
      <c r="C223" s="325" t="n"/>
      <c r="D223" s="326" t="n"/>
      <c r="E223" s="325" t="n"/>
      <c r="F223" s="327" t="n"/>
      <c r="G223" s="327" t="n"/>
      <c r="H223" s="325" t="n"/>
      <c r="I223" s="328">
        <f>IF(OR(B223="",H223="Sold"),"—",TODAY()-B223)</f>
        <v/>
      </c>
      <c r="J223" s="329">
        <f>IF(OR(B223="",H223="Sold"),"",IF(I223="—","",IF(I223&gt;=60,"STALE — route now",IF(I223&gt;=30,"Aging — watch",IF(I223&gt;=0,"Fresh","")))))</f>
        <v/>
      </c>
      <c r="K223" s="330">
        <f>IF(J223="STALE — route now","→ Send to consignment batch",IF(J223="Aging — watch","→ Consider 10% price drop",IF(J223="Fresh","→ Hold &amp; monitor","")))</f>
        <v/>
      </c>
    </row>
    <row r="224" ht="18" customHeight="1" s="230">
      <c r="A224" s="331" t="n"/>
      <c r="B224" s="331" t="n"/>
      <c r="C224" s="332" t="n"/>
      <c r="D224" s="333" t="n"/>
      <c r="E224" s="332" t="n"/>
      <c r="F224" s="334" t="n"/>
      <c r="G224" s="334" t="n"/>
      <c r="H224" s="332" t="n"/>
      <c r="I224" s="335">
        <f>IF(OR(B224="",H224="Sold"),"—",TODAY()-B224)</f>
        <v/>
      </c>
      <c r="J224" s="336">
        <f>IF(OR(B224="",H224="Sold"),"",IF(I224="—","",IF(I224&gt;=60,"STALE — route now",IF(I224&gt;=30,"Aging — watch",IF(I224&gt;=0,"Fresh","")))))</f>
        <v/>
      </c>
      <c r="K224" s="337">
        <f>IF(J224="STALE — route now","→ Send to consignment batch",IF(J224="Aging — watch","→ Consider 10% price drop",IF(J224="Fresh","→ Hold &amp; monitor","")))</f>
        <v/>
      </c>
    </row>
    <row r="225" ht="18" customHeight="1" s="230">
      <c r="A225" s="324" t="n"/>
      <c r="B225" s="324" t="n"/>
      <c r="C225" s="325" t="n"/>
      <c r="D225" s="326" t="n"/>
      <c r="E225" s="325" t="n"/>
      <c r="F225" s="327" t="n"/>
      <c r="G225" s="327" t="n"/>
      <c r="H225" s="325" t="n"/>
      <c r="I225" s="328">
        <f>IF(OR(B225="",H225="Sold"),"—",TODAY()-B225)</f>
        <v/>
      </c>
      <c r="J225" s="329">
        <f>IF(OR(B225="",H225="Sold"),"",IF(I225="—","",IF(I225&gt;=60,"STALE — route now",IF(I225&gt;=30,"Aging — watch",IF(I225&gt;=0,"Fresh","")))))</f>
        <v/>
      </c>
      <c r="K225" s="330">
        <f>IF(J225="STALE — route now","→ Send to consignment batch",IF(J225="Aging — watch","→ Consider 10% price drop",IF(J225="Fresh","→ Hold &amp; monitor","")))</f>
        <v/>
      </c>
    </row>
    <row r="226" ht="18" customHeight="1" s="230">
      <c r="A226" s="331" t="n"/>
      <c r="B226" s="331" t="n"/>
      <c r="C226" s="332" t="n"/>
      <c r="D226" s="333" t="n"/>
      <c r="E226" s="332" t="n"/>
      <c r="F226" s="334" t="n"/>
      <c r="G226" s="334" t="n"/>
      <c r="H226" s="332" t="n"/>
      <c r="I226" s="335">
        <f>IF(OR(B226="",H226="Sold"),"—",TODAY()-B226)</f>
        <v/>
      </c>
      <c r="J226" s="336">
        <f>IF(OR(B226="",H226="Sold"),"",IF(I226="—","",IF(I226&gt;=60,"STALE — route now",IF(I226&gt;=30,"Aging — watch",IF(I226&gt;=0,"Fresh","")))))</f>
        <v/>
      </c>
      <c r="K226" s="337">
        <f>IF(J226="STALE — route now","→ Send to consignment batch",IF(J226="Aging — watch","→ Consider 10% price drop",IF(J226="Fresh","→ Hold &amp; monitor","")))</f>
        <v/>
      </c>
    </row>
    <row r="227" ht="18" customHeight="1" s="230">
      <c r="A227" s="324" t="n"/>
      <c r="B227" s="324" t="n"/>
      <c r="C227" s="325" t="n"/>
      <c r="D227" s="326" t="n"/>
      <c r="E227" s="325" t="n"/>
      <c r="F227" s="327" t="n"/>
      <c r="G227" s="327" t="n"/>
      <c r="H227" s="325" t="n"/>
      <c r="I227" s="328">
        <f>IF(OR(B227="",H227="Sold"),"—",TODAY()-B227)</f>
        <v/>
      </c>
      <c r="J227" s="329">
        <f>IF(OR(B227="",H227="Sold"),"",IF(I227="—","",IF(I227&gt;=60,"STALE — route now",IF(I227&gt;=30,"Aging — watch",IF(I227&gt;=0,"Fresh","")))))</f>
        <v/>
      </c>
      <c r="K227" s="330">
        <f>IF(J227="STALE — route now","→ Send to consignment batch",IF(J227="Aging — watch","→ Consider 10% price drop",IF(J227="Fresh","→ Hold &amp; monitor","")))</f>
        <v/>
      </c>
    </row>
    <row r="228" ht="18" customHeight="1" s="230">
      <c r="A228" s="331" t="n"/>
      <c r="B228" s="331" t="n"/>
      <c r="C228" s="332" t="n"/>
      <c r="D228" s="333" t="n"/>
      <c r="E228" s="332" t="n"/>
      <c r="F228" s="334" t="n"/>
      <c r="G228" s="334" t="n"/>
      <c r="H228" s="332" t="n"/>
      <c r="I228" s="335">
        <f>IF(OR(B228="",H228="Sold"),"—",TODAY()-B228)</f>
        <v/>
      </c>
      <c r="J228" s="336">
        <f>IF(OR(B228="",H228="Sold"),"",IF(I228="—","",IF(I228&gt;=60,"STALE — route now",IF(I228&gt;=30,"Aging — watch",IF(I228&gt;=0,"Fresh","")))))</f>
        <v/>
      </c>
      <c r="K228" s="337">
        <f>IF(J228="STALE — route now","→ Send to consignment batch",IF(J228="Aging — watch","→ Consider 10% price drop",IF(J228="Fresh","→ Hold &amp; monitor","")))</f>
        <v/>
      </c>
    </row>
    <row r="229" ht="18" customHeight="1" s="230">
      <c r="A229" s="324" t="n"/>
      <c r="B229" s="324" t="n"/>
      <c r="C229" s="325" t="n"/>
      <c r="D229" s="326" t="n"/>
      <c r="E229" s="325" t="n"/>
      <c r="F229" s="327" t="n"/>
      <c r="G229" s="327" t="n"/>
      <c r="H229" s="325" t="n"/>
      <c r="I229" s="328">
        <f>IF(OR(B229="",H229="Sold"),"—",TODAY()-B229)</f>
        <v/>
      </c>
      <c r="J229" s="329">
        <f>IF(OR(B229="",H229="Sold"),"",IF(I229="—","",IF(I229&gt;=60,"STALE — route now",IF(I229&gt;=30,"Aging — watch",IF(I229&gt;=0,"Fresh","")))))</f>
        <v/>
      </c>
      <c r="K229" s="330">
        <f>IF(J229="STALE — route now","→ Send to consignment batch",IF(J229="Aging — watch","→ Consider 10% price drop",IF(J229="Fresh","→ Hold &amp; monitor","")))</f>
        <v/>
      </c>
    </row>
    <row r="230" ht="18" customHeight="1" s="230">
      <c r="A230" s="331" t="n"/>
      <c r="B230" s="331" t="n"/>
      <c r="C230" s="332" t="n"/>
      <c r="D230" s="333" t="n"/>
      <c r="E230" s="332" t="n"/>
      <c r="F230" s="334" t="n"/>
      <c r="G230" s="334" t="n"/>
      <c r="H230" s="332" t="n"/>
      <c r="I230" s="335">
        <f>IF(OR(B230="",H230="Sold"),"—",TODAY()-B230)</f>
        <v/>
      </c>
      <c r="J230" s="336">
        <f>IF(OR(B230="",H230="Sold"),"",IF(I230="—","",IF(I230&gt;=60,"STALE — route now",IF(I230&gt;=30,"Aging — watch",IF(I230&gt;=0,"Fresh","")))))</f>
        <v/>
      </c>
      <c r="K230" s="337">
        <f>IF(J230="STALE — route now","→ Send to consignment batch",IF(J230="Aging — watch","→ Consider 10% price drop",IF(J230="Fresh","→ Hold &amp; monitor","")))</f>
        <v/>
      </c>
    </row>
    <row r="231" ht="18" customHeight="1" s="230">
      <c r="A231" s="324" t="n"/>
      <c r="B231" s="324" t="n"/>
      <c r="C231" s="325" t="n"/>
      <c r="D231" s="326" t="n"/>
      <c r="E231" s="325" t="n"/>
      <c r="F231" s="327" t="n"/>
      <c r="G231" s="327" t="n"/>
      <c r="H231" s="325" t="n"/>
      <c r="I231" s="328">
        <f>IF(OR(B231="",H231="Sold"),"—",TODAY()-B231)</f>
        <v/>
      </c>
      <c r="J231" s="329">
        <f>IF(OR(B231="",H231="Sold"),"",IF(I231="—","",IF(I231&gt;=60,"STALE — route now",IF(I231&gt;=30,"Aging — watch",IF(I231&gt;=0,"Fresh","")))))</f>
        <v/>
      </c>
      <c r="K231" s="330">
        <f>IF(J231="STALE — route now","→ Send to consignment batch",IF(J231="Aging — watch","→ Consider 10% price drop",IF(J231="Fresh","→ Hold &amp; monitor","")))</f>
        <v/>
      </c>
    </row>
    <row r="232" ht="18" customHeight="1" s="230">
      <c r="A232" s="331" t="n"/>
      <c r="B232" s="331" t="n"/>
      <c r="C232" s="332" t="n"/>
      <c r="D232" s="333" t="n"/>
      <c r="E232" s="332" t="n"/>
      <c r="F232" s="334" t="n"/>
      <c r="G232" s="334" t="n"/>
      <c r="H232" s="332" t="n"/>
      <c r="I232" s="335">
        <f>IF(OR(B232="",H232="Sold"),"—",TODAY()-B232)</f>
        <v/>
      </c>
      <c r="J232" s="336">
        <f>IF(OR(B232="",H232="Sold"),"",IF(I232="—","",IF(I232&gt;=60,"STALE — route now",IF(I232&gt;=30,"Aging — watch",IF(I232&gt;=0,"Fresh","")))))</f>
        <v/>
      </c>
      <c r="K232" s="337">
        <f>IF(J232="STALE — route now","→ Send to consignment batch",IF(J232="Aging — watch","→ Consider 10% price drop",IF(J232="Fresh","→ Hold &amp; monitor","")))</f>
        <v/>
      </c>
    </row>
    <row r="233" ht="18" customHeight="1" s="230">
      <c r="A233" s="324" t="n"/>
      <c r="B233" s="324" t="n"/>
      <c r="C233" s="325" t="n"/>
      <c r="D233" s="326" t="n"/>
      <c r="E233" s="325" t="n"/>
      <c r="F233" s="327" t="n"/>
      <c r="G233" s="327" t="n"/>
      <c r="H233" s="325" t="n"/>
      <c r="I233" s="328">
        <f>IF(OR(B233="",H233="Sold"),"—",TODAY()-B233)</f>
        <v/>
      </c>
      <c r="J233" s="329">
        <f>IF(OR(B233="",H233="Sold"),"",IF(I233="—","",IF(I233&gt;=60,"STALE — route now",IF(I233&gt;=30,"Aging — watch",IF(I233&gt;=0,"Fresh","")))))</f>
        <v/>
      </c>
      <c r="K233" s="330">
        <f>IF(J233="STALE — route now","→ Send to consignment batch",IF(J233="Aging — watch","→ Consider 10% price drop",IF(J233="Fresh","→ Hold &amp; monitor","")))</f>
        <v/>
      </c>
    </row>
    <row r="234" ht="18" customHeight="1" s="230">
      <c r="A234" s="331" t="n"/>
      <c r="B234" s="331" t="n"/>
      <c r="C234" s="332" t="n"/>
      <c r="D234" s="333" t="n"/>
      <c r="E234" s="332" t="n"/>
      <c r="F234" s="334" t="n"/>
      <c r="G234" s="334" t="n"/>
      <c r="H234" s="332" t="n"/>
      <c r="I234" s="335">
        <f>IF(OR(B234="",H234="Sold"),"—",TODAY()-B234)</f>
        <v/>
      </c>
      <c r="J234" s="336">
        <f>IF(OR(B234="",H234="Sold"),"",IF(I234="—","",IF(I234&gt;=60,"STALE — route now",IF(I234&gt;=30,"Aging — watch",IF(I234&gt;=0,"Fresh","")))))</f>
        <v/>
      </c>
      <c r="K234" s="337">
        <f>IF(J234="STALE — route now","→ Send to consignment batch",IF(J234="Aging — watch","→ Consider 10% price drop",IF(J234="Fresh","→ Hold &amp; monitor","")))</f>
        <v/>
      </c>
    </row>
    <row r="235" ht="18" customHeight="1" s="230">
      <c r="A235" s="324" t="n"/>
      <c r="B235" s="324" t="n"/>
      <c r="C235" s="325" t="n"/>
      <c r="D235" s="326" t="n"/>
      <c r="E235" s="325" t="n"/>
      <c r="F235" s="327" t="n"/>
      <c r="G235" s="327" t="n"/>
      <c r="H235" s="325" t="n"/>
      <c r="I235" s="328">
        <f>IF(OR(B235="",H235="Sold"),"—",TODAY()-B235)</f>
        <v/>
      </c>
      <c r="J235" s="329">
        <f>IF(OR(B235="",H235="Sold"),"",IF(I235="—","",IF(I235&gt;=60,"STALE — route now",IF(I235&gt;=30,"Aging — watch",IF(I235&gt;=0,"Fresh","")))))</f>
        <v/>
      </c>
      <c r="K235" s="330">
        <f>IF(J235="STALE — route now","→ Send to consignment batch",IF(J235="Aging — watch","→ Consider 10% price drop",IF(J235="Fresh","→ Hold &amp; monitor","")))</f>
        <v/>
      </c>
    </row>
    <row r="236" ht="18" customHeight="1" s="230">
      <c r="A236" s="331" t="n"/>
      <c r="B236" s="331" t="n"/>
      <c r="C236" s="332" t="n"/>
      <c r="D236" s="333" t="n"/>
      <c r="E236" s="332" t="n"/>
      <c r="F236" s="334" t="n"/>
      <c r="G236" s="334" t="n"/>
      <c r="H236" s="332" t="n"/>
      <c r="I236" s="335">
        <f>IF(OR(B236="",H236="Sold"),"—",TODAY()-B236)</f>
        <v/>
      </c>
      <c r="J236" s="336">
        <f>IF(OR(B236="",H236="Sold"),"",IF(I236="—","",IF(I236&gt;=60,"STALE — route now",IF(I236&gt;=30,"Aging — watch",IF(I236&gt;=0,"Fresh","")))))</f>
        <v/>
      </c>
      <c r="K236" s="337">
        <f>IF(J236="STALE — route now","→ Send to consignment batch",IF(J236="Aging — watch","→ Consider 10% price drop",IF(J236="Fresh","→ Hold &amp; monitor","")))</f>
        <v/>
      </c>
    </row>
    <row r="237" ht="18" customHeight="1" s="230">
      <c r="A237" s="324" t="n"/>
      <c r="B237" s="324" t="n"/>
      <c r="C237" s="325" t="n"/>
      <c r="D237" s="326" t="n"/>
      <c r="E237" s="325" t="n"/>
      <c r="F237" s="327" t="n"/>
      <c r="G237" s="327" t="n"/>
      <c r="H237" s="325" t="n"/>
      <c r="I237" s="328">
        <f>IF(OR(B237="",H237="Sold"),"—",TODAY()-B237)</f>
        <v/>
      </c>
      <c r="J237" s="329">
        <f>IF(OR(B237="",H237="Sold"),"",IF(I237="—","",IF(I237&gt;=60,"STALE — route now",IF(I237&gt;=30,"Aging — watch",IF(I237&gt;=0,"Fresh","")))))</f>
        <v/>
      </c>
      <c r="K237" s="330">
        <f>IF(J237="STALE — route now","→ Send to consignment batch",IF(J237="Aging — watch","→ Consider 10% price drop",IF(J237="Fresh","→ Hold &amp; monitor","")))</f>
        <v/>
      </c>
    </row>
    <row r="238" ht="18" customHeight="1" s="230">
      <c r="A238" s="331" t="n"/>
      <c r="B238" s="331" t="n"/>
      <c r="C238" s="332" t="n"/>
      <c r="D238" s="333" t="n"/>
      <c r="E238" s="332" t="n"/>
      <c r="F238" s="334" t="n"/>
      <c r="G238" s="334" t="n"/>
      <c r="H238" s="332" t="n"/>
      <c r="I238" s="335">
        <f>IF(OR(B238="",H238="Sold"),"—",TODAY()-B238)</f>
        <v/>
      </c>
      <c r="J238" s="336">
        <f>IF(OR(B238="",H238="Sold"),"",IF(I238="—","",IF(I238&gt;=60,"STALE — route now",IF(I238&gt;=30,"Aging — watch",IF(I238&gt;=0,"Fresh","")))))</f>
        <v/>
      </c>
      <c r="K238" s="337">
        <f>IF(J238="STALE — route now","→ Send to consignment batch",IF(J238="Aging — watch","→ Consider 10% price drop",IF(J238="Fresh","→ Hold &amp; monitor","")))</f>
        <v/>
      </c>
    </row>
    <row r="239" ht="18" customHeight="1" s="230">
      <c r="A239" s="324" t="n"/>
      <c r="B239" s="324" t="n"/>
      <c r="C239" s="325" t="n"/>
      <c r="D239" s="326" t="n"/>
      <c r="E239" s="325" t="n"/>
      <c r="F239" s="327" t="n"/>
      <c r="G239" s="327" t="n"/>
      <c r="H239" s="325" t="n"/>
      <c r="I239" s="328">
        <f>IF(OR(B239="",H239="Sold"),"—",TODAY()-B239)</f>
        <v/>
      </c>
      <c r="J239" s="329">
        <f>IF(OR(B239="",H239="Sold"),"",IF(I239="—","",IF(I239&gt;=60,"STALE — route now",IF(I239&gt;=30,"Aging — watch",IF(I239&gt;=0,"Fresh","")))))</f>
        <v/>
      </c>
      <c r="K239" s="330">
        <f>IF(J239="STALE — route now","→ Send to consignment batch",IF(J239="Aging — watch","→ Consider 10% price drop",IF(J239="Fresh","→ Hold &amp; monitor","")))</f>
        <v/>
      </c>
    </row>
    <row r="240" ht="18" customHeight="1" s="230">
      <c r="A240" s="331" t="n"/>
      <c r="B240" s="331" t="n"/>
      <c r="C240" s="332" t="n"/>
      <c r="D240" s="333" t="n"/>
      <c r="E240" s="332" t="n"/>
      <c r="F240" s="334" t="n"/>
      <c r="G240" s="334" t="n"/>
      <c r="H240" s="332" t="n"/>
      <c r="I240" s="335">
        <f>IF(OR(B240="",H240="Sold"),"—",TODAY()-B240)</f>
        <v/>
      </c>
      <c r="J240" s="336">
        <f>IF(OR(B240="",H240="Sold"),"",IF(I240="—","",IF(I240&gt;=60,"STALE — route now",IF(I240&gt;=30,"Aging — watch",IF(I240&gt;=0,"Fresh","")))))</f>
        <v/>
      </c>
      <c r="K240" s="337">
        <f>IF(J240="STALE — route now","→ Send to consignment batch",IF(J240="Aging — watch","→ Consider 10% price drop",IF(J240="Fresh","→ Hold &amp; monitor","")))</f>
        <v/>
      </c>
    </row>
    <row r="241" ht="18" customHeight="1" s="230">
      <c r="A241" s="324" t="n"/>
      <c r="B241" s="324" t="n"/>
      <c r="C241" s="325" t="n"/>
      <c r="D241" s="326" t="n"/>
      <c r="E241" s="325" t="n"/>
      <c r="F241" s="327" t="n"/>
      <c r="G241" s="327" t="n"/>
      <c r="H241" s="325" t="n"/>
      <c r="I241" s="328">
        <f>IF(OR(B241="",H241="Sold"),"—",TODAY()-B241)</f>
        <v/>
      </c>
      <c r="J241" s="329">
        <f>IF(OR(B241="",H241="Sold"),"",IF(I241="—","",IF(I241&gt;=60,"STALE — route now",IF(I241&gt;=30,"Aging — watch",IF(I241&gt;=0,"Fresh","")))))</f>
        <v/>
      </c>
      <c r="K241" s="330">
        <f>IF(J241="STALE — route now","→ Send to consignment batch",IF(J241="Aging — watch","→ Consider 10% price drop",IF(J241="Fresh","→ Hold &amp; monitor","")))</f>
        <v/>
      </c>
    </row>
    <row r="242" ht="18" customHeight="1" s="230">
      <c r="A242" s="331" t="n"/>
      <c r="B242" s="331" t="n"/>
      <c r="C242" s="332" t="n"/>
      <c r="D242" s="333" t="n"/>
      <c r="E242" s="332" t="n"/>
      <c r="F242" s="334" t="n"/>
      <c r="G242" s="334" t="n"/>
      <c r="H242" s="332" t="n"/>
      <c r="I242" s="335">
        <f>IF(OR(B242="",H242="Sold"),"—",TODAY()-B242)</f>
        <v/>
      </c>
      <c r="J242" s="336">
        <f>IF(OR(B242="",H242="Sold"),"",IF(I242="—","",IF(I242&gt;=60,"STALE — route now",IF(I242&gt;=30,"Aging — watch",IF(I242&gt;=0,"Fresh","")))))</f>
        <v/>
      </c>
      <c r="K242" s="337">
        <f>IF(J242="STALE — route now","→ Send to consignment batch",IF(J242="Aging — watch","→ Consider 10% price drop",IF(J242="Fresh","→ Hold &amp; monitor","")))</f>
        <v/>
      </c>
    </row>
    <row r="243" ht="18" customHeight="1" s="230">
      <c r="A243" s="324" t="n"/>
      <c r="B243" s="324" t="n"/>
      <c r="C243" s="325" t="n"/>
      <c r="D243" s="326" t="n"/>
      <c r="E243" s="325" t="n"/>
      <c r="F243" s="327" t="n"/>
      <c r="G243" s="327" t="n"/>
      <c r="H243" s="325" t="n"/>
      <c r="I243" s="328">
        <f>IF(OR(B243="",H243="Sold"),"—",TODAY()-B243)</f>
        <v/>
      </c>
      <c r="J243" s="329">
        <f>IF(OR(B243="",H243="Sold"),"",IF(I243="—","",IF(I243&gt;=60,"STALE — route now",IF(I243&gt;=30,"Aging — watch",IF(I243&gt;=0,"Fresh","")))))</f>
        <v/>
      </c>
      <c r="K243" s="330">
        <f>IF(J243="STALE — route now","→ Send to consignment batch",IF(J243="Aging — watch","→ Consider 10% price drop",IF(J243="Fresh","→ Hold &amp; monitor","")))</f>
        <v/>
      </c>
    </row>
    <row r="244" ht="18" customHeight="1" s="230">
      <c r="A244" s="331" t="n"/>
      <c r="B244" s="331" t="n"/>
      <c r="C244" s="332" t="n"/>
      <c r="D244" s="333" t="n"/>
      <c r="E244" s="332" t="n"/>
      <c r="F244" s="334" t="n"/>
      <c r="G244" s="334" t="n"/>
      <c r="H244" s="332" t="n"/>
      <c r="I244" s="335">
        <f>IF(OR(B244="",H244="Sold"),"—",TODAY()-B244)</f>
        <v/>
      </c>
      <c r="J244" s="336">
        <f>IF(OR(B244="",H244="Sold"),"",IF(I244="—","",IF(I244&gt;=60,"STALE — route now",IF(I244&gt;=30,"Aging — watch",IF(I244&gt;=0,"Fresh","")))))</f>
        <v/>
      </c>
      <c r="K244" s="337">
        <f>IF(J244="STALE — route now","→ Send to consignment batch",IF(J244="Aging — watch","→ Consider 10% price drop",IF(J244="Fresh","→ Hold &amp; monitor","")))</f>
        <v/>
      </c>
    </row>
    <row r="245" ht="18" customHeight="1" s="230">
      <c r="A245" s="324" t="n"/>
      <c r="B245" s="324" t="n"/>
      <c r="C245" s="325" t="n"/>
      <c r="D245" s="326" t="n"/>
      <c r="E245" s="325" t="n"/>
      <c r="F245" s="327" t="n"/>
      <c r="G245" s="327" t="n"/>
      <c r="H245" s="325" t="n"/>
      <c r="I245" s="328">
        <f>IF(OR(B245="",H245="Sold"),"—",TODAY()-B245)</f>
        <v/>
      </c>
      <c r="J245" s="329">
        <f>IF(OR(B245="",H245="Sold"),"",IF(I245="—","",IF(I245&gt;=60,"STALE — route now",IF(I245&gt;=30,"Aging — watch",IF(I245&gt;=0,"Fresh","")))))</f>
        <v/>
      </c>
      <c r="K245" s="330">
        <f>IF(J245="STALE — route now","→ Send to consignment batch",IF(J245="Aging — watch","→ Consider 10% price drop",IF(J245="Fresh","→ Hold &amp; monitor","")))</f>
        <v/>
      </c>
    </row>
    <row r="246" ht="18" customHeight="1" s="230">
      <c r="A246" s="331" t="n"/>
      <c r="B246" s="331" t="n"/>
      <c r="C246" s="332" t="n"/>
      <c r="D246" s="333" t="n"/>
      <c r="E246" s="332" t="n"/>
      <c r="F246" s="334" t="n"/>
      <c r="G246" s="334" t="n"/>
      <c r="H246" s="332" t="n"/>
      <c r="I246" s="335">
        <f>IF(OR(B246="",H246="Sold"),"—",TODAY()-B246)</f>
        <v/>
      </c>
      <c r="J246" s="336">
        <f>IF(OR(B246="",H246="Sold"),"",IF(I246="—","",IF(I246&gt;=60,"STALE — route now",IF(I246&gt;=30,"Aging — watch",IF(I246&gt;=0,"Fresh","")))))</f>
        <v/>
      </c>
      <c r="K246" s="337">
        <f>IF(J246="STALE — route now","→ Send to consignment batch",IF(J246="Aging — watch","→ Consider 10% price drop",IF(J246="Fresh","→ Hold &amp; monitor","")))</f>
        <v/>
      </c>
    </row>
    <row r="247" ht="18" customHeight="1" s="230">
      <c r="A247" s="324" t="n"/>
      <c r="B247" s="324" t="n"/>
      <c r="C247" s="325" t="n"/>
      <c r="D247" s="326" t="n"/>
      <c r="E247" s="325" t="n"/>
      <c r="F247" s="327" t="n"/>
      <c r="G247" s="327" t="n"/>
      <c r="H247" s="325" t="n"/>
      <c r="I247" s="328">
        <f>IF(OR(B247="",H247="Sold"),"—",TODAY()-B247)</f>
        <v/>
      </c>
      <c r="J247" s="329">
        <f>IF(OR(B247="",H247="Sold"),"",IF(I247="—","",IF(I247&gt;=60,"STALE — route now",IF(I247&gt;=30,"Aging — watch",IF(I247&gt;=0,"Fresh","")))))</f>
        <v/>
      </c>
      <c r="K247" s="330">
        <f>IF(J247="STALE — route now","→ Send to consignment batch",IF(J247="Aging — watch","→ Consider 10% price drop",IF(J247="Fresh","→ Hold &amp; monitor","")))</f>
        <v/>
      </c>
    </row>
    <row r="248" ht="18" customHeight="1" s="230">
      <c r="A248" s="331" t="n"/>
      <c r="B248" s="331" t="n"/>
      <c r="C248" s="332" t="n"/>
      <c r="D248" s="333" t="n"/>
      <c r="E248" s="332" t="n"/>
      <c r="F248" s="334" t="n"/>
      <c r="G248" s="334" t="n"/>
      <c r="H248" s="332" t="n"/>
      <c r="I248" s="335">
        <f>IF(OR(B248="",H248="Sold"),"—",TODAY()-B248)</f>
        <v/>
      </c>
      <c r="J248" s="336">
        <f>IF(OR(B248="",H248="Sold"),"",IF(I248="—","",IF(I248&gt;=60,"STALE — route now",IF(I248&gt;=30,"Aging — watch",IF(I248&gt;=0,"Fresh","")))))</f>
        <v/>
      </c>
      <c r="K248" s="337">
        <f>IF(J248="STALE — route now","→ Send to consignment batch",IF(J248="Aging — watch","→ Consider 10% price drop",IF(J248="Fresh","→ Hold &amp; monitor","")))</f>
        <v/>
      </c>
    </row>
    <row r="249" ht="18" customHeight="1" s="230">
      <c r="A249" s="324" t="n"/>
      <c r="B249" s="324" t="n"/>
      <c r="C249" s="325" t="n"/>
      <c r="D249" s="326" t="n"/>
      <c r="E249" s="325" t="n"/>
      <c r="F249" s="327" t="n"/>
      <c r="G249" s="327" t="n"/>
      <c r="H249" s="325" t="n"/>
      <c r="I249" s="328">
        <f>IF(OR(B249="",H249="Sold"),"—",TODAY()-B249)</f>
        <v/>
      </c>
      <c r="J249" s="329">
        <f>IF(OR(B249="",H249="Sold"),"",IF(I249="—","",IF(I249&gt;=60,"STALE — route now",IF(I249&gt;=30,"Aging — watch",IF(I249&gt;=0,"Fresh","")))))</f>
        <v/>
      </c>
      <c r="K249" s="330">
        <f>IF(J249="STALE — route now","→ Send to consignment batch",IF(J249="Aging — watch","→ Consider 10% price drop",IF(J249="Fresh","→ Hold &amp; monitor","")))</f>
        <v/>
      </c>
    </row>
    <row r="250" ht="18" customHeight="1" s="230">
      <c r="A250" s="331" t="n"/>
      <c r="B250" s="331" t="n"/>
      <c r="C250" s="332" t="n"/>
      <c r="D250" s="333" t="n"/>
      <c r="E250" s="332" t="n"/>
      <c r="F250" s="334" t="n"/>
      <c r="G250" s="334" t="n"/>
      <c r="H250" s="332" t="n"/>
      <c r="I250" s="335">
        <f>IF(OR(B250="",H250="Sold"),"—",TODAY()-B250)</f>
        <v/>
      </c>
      <c r="J250" s="336">
        <f>IF(OR(B250="",H250="Sold"),"",IF(I250="—","",IF(I250&gt;=60,"STALE — route now",IF(I250&gt;=30,"Aging — watch",IF(I250&gt;=0,"Fresh","")))))</f>
        <v/>
      </c>
      <c r="K250" s="337">
        <f>IF(J250="STALE — route now","→ Send to consignment batch",IF(J250="Aging — watch","→ Consider 10% price drop",IF(J250="Fresh","→ Hold &amp; monitor","")))</f>
        <v/>
      </c>
    </row>
    <row r="251" ht="18" customHeight="1" s="230">
      <c r="A251" s="324" t="n"/>
      <c r="B251" s="324" t="n"/>
      <c r="C251" s="325" t="n"/>
      <c r="D251" s="326" t="n"/>
      <c r="E251" s="325" t="n"/>
      <c r="F251" s="327" t="n"/>
      <c r="G251" s="327" t="n"/>
      <c r="H251" s="325" t="n"/>
      <c r="I251" s="328">
        <f>IF(OR(B251="",H251="Sold"),"—",TODAY()-B251)</f>
        <v/>
      </c>
      <c r="J251" s="329">
        <f>IF(OR(B251="",H251="Sold"),"",IF(I251="—","",IF(I251&gt;=60,"STALE — route now",IF(I251&gt;=30,"Aging — watch",IF(I251&gt;=0,"Fresh","")))))</f>
        <v/>
      </c>
      <c r="K251" s="330">
        <f>IF(J251="STALE — route now","→ Send to consignment batch",IF(J251="Aging — watch","→ Consider 10% price drop",IF(J251="Fresh","→ Hold &amp; monitor","")))</f>
        <v/>
      </c>
    </row>
    <row r="252" ht="18" customHeight="1" s="230">
      <c r="A252" s="331" t="n"/>
      <c r="B252" s="331" t="n"/>
      <c r="C252" s="332" t="n"/>
      <c r="D252" s="333" t="n"/>
      <c r="E252" s="332" t="n"/>
      <c r="F252" s="334" t="n"/>
      <c r="G252" s="334" t="n"/>
      <c r="H252" s="332" t="n"/>
      <c r="I252" s="335">
        <f>IF(OR(B252="",H252="Sold"),"—",TODAY()-B252)</f>
        <v/>
      </c>
      <c r="J252" s="336">
        <f>IF(OR(B252="",H252="Sold"),"",IF(I252="—","",IF(I252&gt;=60,"STALE — route now",IF(I252&gt;=30,"Aging — watch",IF(I252&gt;=0,"Fresh","")))))</f>
        <v/>
      </c>
      <c r="K252" s="337">
        <f>IF(J252="STALE — route now","→ Send to consignment batch",IF(J252="Aging — watch","→ Consider 10% price drop",IF(J252="Fresh","→ Hold &amp; monitor","")))</f>
        <v/>
      </c>
    </row>
    <row r="253" ht="18" customHeight="1" s="230">
      <c r="A253" s="324" t="n"/>
      <c r="B253" s="324" t="n"/>
      <c r="C253" s="325" t="n"/>
      <c r="D253" s="326" t="n"/>
      <c r="E253" s="325" t="n"/>
      <c r="F253" s="327" t="n"/>
      <c r="G253" s="327" t="n"/>
      <c r="H253" s="325" t="n"/>
      <c r="I253" s="328">
        <f>IF(OR(B253="",H253="Sold"),"—",TODAY()-B253)</f>
        <v/>
      </c>
      <c r="J253" s="329">
        <f>IF(OR(B253="",H253="Sold"),"",IF(I253="—","",IF(I253&gt;=60,"STALE — route now",IF(I253&gt;=30,"Aging — watch",IF(I253&gt;=0,"Fresh","")))))</f>
        <v/>
      </c>
      <c r="K253" s="330">
        <f>IF(J253="STALE — route now","→ Send to consignment batch",IF(J253="Aging — watch","→ Consider 10% price drop",IF(J253="Fresh","→ Hold &amp; monitor","")))</f>
        <v/>
      </c>
    </row>
    <row r="254" ht="18" customHeight="1" s="230">
      <c r="A254" s="331" t="n"/>
      <c r="B254" s="331" t="n"/>
      <c r="C254" s="332" t="n"/>
      <c r="D254" s="333" t="n"/>
      <c r="E254" s="332" t="n"/>
      <c r="F254" s="334" t="n"/>
      <c r="G254" s="334" t="n"/>
      <c r="H254" s="332" t="n"/>
      <c r="I254" s="335">
        <f>IF(OR(B254="",H254="Sold"),"—",TODAY()-B254)</f>
        <v/>
      </c>
      <c r="J254" s="336">
        <f>IF(OR(B254="",H254="Sold"),"",IF(I254="—","",IF(I254&gt;=60,"STALE — route now",IF(I254&gt;=30,"Aging — watch",IF(I254&gt;=0,"Fresh","")))))</f>
        <v/>
      </c>
      <c r="K254" s="337">
        <f>IF(J254="STALE — route now","→ Send to consignment batch",IF(J254="Aging — watch","→ Consider 10% price drop",IF(J254="Fresh","→ Hold &amp; monitor","")))</f>
        <v/>
      </c>
    </row>
    <row r="255" ht="18" customHeight="1" s="230">
      <c r="A255" s="324" t="n"/>
      <c r="B255" s="324" t="n"/>
      <c r="C255" s="325" t="n"/>
      <c r="D255" s="326" t="n"/>
      <c r="E255" s="325" t="n"/>
      <c r="F255" s="327" t="n"/>
      <c r="G255" s="327" t="n"/>
      <c r="H255" s="325" t="n"/>
      <c r="I255" s="328">
        <f>IF(OR(B255="",H255="Sold"),"—",TODAY()-B255)</f>
        <v/>
      </c>
      <c r="J255" s="329">
        <f>IF(OR(B255="",H255="Sold"),"",IF(I255="—","",IF(I255&gt;=60,"STALE — route now",IF(I255&gt;=30,"Aging — watch",IF(I255&gt;=0,"Fresh","")))))</f>
        <v/>
      </c>
      <c r="K255" s="330">
        <f>IF(J255="STALE — route now","→ Send to consignment batch",IF(J255="Aging — watch","→ Consider 10% price drop",IF(J255="Fresh","→ Hold &amp; monitor","")))</f>
        <v/>
      </c>
    </row>
    <row r="256" ht="18" customHeight="1" s="230">
      <c r="A256" s="331" t="n"/>
      <c r="B256" s="331" t="n"/>
      <c r="C256" s="332" t="n"/>
      <c r="D256" s="333" t="n"/>
      <c r="E256" s="332" t="n"/>
      <c r="F256" s="334" t="n"/>
      <c r="G256" s="334" t="n"/>
      <c r="H256" s="332" t="n"/>
      <c r="I256" s="335">
        <f>IF(OR(B256="",H256="Sold"),"—",TODAY()-B256)</f>
        <v/>
      </c>
      <c r="J256" s="336">
        <f>IF(OR(B256="",H256="Sold"),"",IF(I256="—","",IF(I256&gt;=60,"STALE — route now",IF(I256&gt;=30,"Aging — watch",IF(I256&gt;=0,"Fresh","")))))</f>
        <v/>
      </c>
      <c r="K256" s="337">
        <f>IF(J256="STALE — route now","→ Send to consignment batch",IF(J256="Aging — watch","→ Consider 10% price drop",IF(J256="Fresh","→ Hold &amp; monitor","")))</f>
        <v/>
      </c>
    </row>
    <row r="257" ht="18" customHeight="1" s="230">
      <c r="A257" s="324" t="n"/>
      <c r="B257" s="324" t="n"/>
      <c r="C257" s="325" t="n"/>
      <c r="D257" s="326" t="n"/>
      <c r="E257" s="325" t="n"/>
      <c r="F257" s="327" t="n"/>
      <c r="G257" s="327" t="n"/>
      <c r="H257" s="325" t="n"/>
      <c r="I257" s="328">
        <f>IF(OR(B257="",H257="Sold"),"—",TODAY()-B257)</f>
        <v/>
      </c>
      <c r="J257" s="329">
        <f>IF(OR(B257="",H257="Sold"),"",IF(I257="—","",IF(I257&gt;=60,"STALE — route now",IF(I257&gt;=30,"Aging — watch",IF(I257&gt;=0,"Fresh","")))))</f>
        <v/>
      </c>
      <c r="K257" s="330">
        <f>IF(J257="STALE — route now","→ Send to consignment batch",IF(J257="Aging — watch","→ Consider 10% price drop",IF(J257="Fresh","→ Hold &amp; monitor","")))</f>
        <v/>
      </c>
    </row>
    <row r="258" ht="18" customHeight="1" s="230">
      <c r="A258" s="331" t="n"/>
      <c r="B258" s="331" t="n"/>
      <c r="C258" s="332" t="n"/>
      <c r="D258" s="333" t="n"/>
      <c r="E258" s="332" t="n"/>
      <c r="F258" s="334" t="n"/>
      <c r="G258" s="334" t="n"/>
      <c r="H258" s="332" t="n"/>
      <c r="I258" s="335">
        <f>IF(OR(B258="",H258="Sold"),"—",TODAY()-B258)</f>
        <v/>
      </c>
      <c r="J258" s="336">
        <f>IF(OR(B258="",H258="Sold"),"",IF(I258="—","",IF(I258&gt;=60,"STALE — route now",IF(I258&gt;=30,"Aging — watch",IF(I258&gt;=0,"Fresh","")))))</f>
        <v/>
      </c>
      <c r="K258" s="337">
        <f>IF(J258="STALE — route now","→ Send to consignment batch",IF(J258="Aging — watch","→ Consider 10% price drop",IF(J258="Fresh","→ Hold &amp; monitor","")))</f>
        <v/>
      </c>
    </row>
    <row r="259" ht="18" customHeight="1" s="230">
      <c r="A259" s="324" t="n"/>
      <c r="B259" s="324" t="n"/>
      <c r="C259" s="325" t="n"/>
      <c r="D259" s="326" t="n"/>
      <c r="E259" s="325" t="n"/>
      <c r="F259" s="327" t="n"/>
      <c r="G259" s="327" t="n"/>
      <c r="H259" s="325" t="n"/>
      <c r="I259" s="328">
        <f>IF(OR(B259="",H259="Sold"),"—",TODAY()-B259)</f>
        <v/>
      </c>
      <c r="J259" s="329">
        <f>IF(OR(B259="",H259="Sold"),"",IF(I259="—","",IF(I259&gt;=60,"STALE — route now",IF(I259&gt;=30,"Aging — watch",IF(I259&gt;=0,"Fresh","")))))</f>
        <v/>
      </c>
      <c r="K259" s="330">
        <f>IF(J259="STALE — route now","→ Send to consignment batch",IF(J259="Aging — watch","→ Consider 10% price drop",IF(J259="Fresh","→ Hold &amp; monitor","")))</f>
        <v/>
      </c>
    </row>
    <row r="260" ht="18" customHeight="1" s="230">
      <c r="A260" s="331" t="n"/>
      <c r="B260" s="331" t="n"/>
      <c r="C260" s="332" t="n"/>
      <c r="D260" s="333" t="n"/>
      <c r="E260" s="332" t="n"/>
      <c r="F260" s="334" t="n"/>
      <c r="G260" s="334" t="n"/>
      <c r="H260" s="332" t="n"/>
      <c r="I260" s="335">
        <f>IF(OR(B260="",H260="Sold"),"—",TODAY()-B260)</f>
        <v/>
      </c>
      <c r="J260" s="336">
        <f>IF(OR(B260="",H260="Sold"),"",IF(I260="—","",IF(I260&gt;=60,"STALE — route now",IF(I260&gt;=30,"Aging — watch",IF(I260&gt;=0,"Fresh","")))))</f>
        <v/>
      </c>
      <c r="K260" s="337">
        <f>IF(J260="STALE — route now","→ Send to consignment batch",IF(J260="Aging — watch","→ Consider 10% price drop",IF(J260="Fresh","→ Hold &amp; monitor","")))</f>
        <v/>
      </c>
    </row>
    <row r="261" ht="18" customHeight="1" s="230">
      <c r="A261" s="324" t="n"/>
      <c r="B261" s="324" t="n"/>
      <c r="C261" s="325" t="n"/>
      <c r="D261" s="326" t="n"/>
      <c r="E261" s="325" t="n"/>
      <c r="F261" s="327" t="n"/>
      <c r="G261" s="327" t="n"/>
      <c r="H261" s="325" t="n"/>
      <c r="I261" s="328">
        <f>IF(OR(B261="",H261="Sold"),"—",TODAY()-B261)</f>
        <v/>
      </c>
      <c r="J261" s="329">
        <f>IF(OR(B261="",H261="Sold"),"",IF(I261="—","",IF(I261&gt;=60,"STALE — route now",IF(I261&gt;=30,"Aging — watch",IF(I261&gt;=0,"Fresh","")))))</f>
        <v/>
      </c>
      <c r="K261" s="330">
        <f>IF(J261="STALE — route now","→ Send to consignment batch",IF(J261="Aging — watch","→ Consider 10% price drop",IF(J261="Fresh","→ Hold &amp; monitor","")))</f>
        <v/>
      </c>
    </row>
    <row r="262" ht="18" customHeight="1" s="230">
      <c r="A262" s="331" t="n"/>
      <c r="B262" s="331" t="n"/>
      <c r="C262" s="332" t="n"/>
      <c r="D262" s="333" t="n"/>
      <c r="E262" s="332" t="n"/>
      <c r="F262" s="334" t="n"/>
      <c r="G262" s="334" t="n"/>
      <c r="H262" s="332" t="n"/>
      <c r="I262" s="335">
        <f>IF(OR(B262="",H262="Sold"),"—",TODAY()-B262)</f>
        <v/>
      </c>
      <c r="J262" s="336">
        <f>IF(OR(B262="",H262="Sold"),"",IF(I262="—","",IF(I262&gt;=60,"STALE — route now",IF(I262&gt;=30,"Aging — watch",IF(I262&gt;=0,"Fresh","")))))</f>
        <v/>
      </c>
      <c r="K262" s="337">
        <f>IF(J262="STALE — route now","→ Send to consignment batch",IF(J262="Aging — watch","→ Consider 10% price drop",IF(J262="Fresh","→ Hold &amp; monitor","")))</f>
        <v/>
      </c>
    </row>
    <row r="263" ht="18" customHeight="1" s="230">
      <c r="A263" s="324" t="n"/>
      <c r="B263" s="324" t="n"/>
      <c r="C263" s="325" t="n"/>
      <c r="D263" s="326" t="n"/>
      <c r="E263" s="325" t="n"/>
      <c r="F263" s="327" t="n"/>
      <c r="G263" s="327" t="n"/>
      <c r="H263" s="325" t="n"/>
      <c r="I263" s="328">
        <f>IF(OR(B263="",H263="Sold"),"—",TODAY()-B263)</f>
        <v/>
      </c>
      <c r="J263" s="329">
        <f>IF(OR(B263="",H263="Sold"),"",IF(I263="—","",IF(I263&gt;=60,"STALE — route now",IF(I263&gt;=30,"Aging — watch",IF(I263&gt;=0,"Fresh","")))))</f>
        <v/>
      </c>
      <c r="K263" s="330">
        <f>IF(J263="STALE — route now","→ Send to consignment batch",IF(J263="Aging — watch","→ Consider 10% price drop",IF(J263="Fresh","→ Hold &amp; monitor","")))</f>
        <v/>
      </c>
    </row>
    <row r="264" ht="18" customHeight="1" s="230">
      <c r="A264" s="331" t="n"/>
      <c r="B264" s="331" t="n"/>
      <c r="C264" s="332" t="n"/>
      <c r="D264" s="333" t="n"/>
      <c r="E264" s="332" t="n"/>
      <c r="F264" s="334" t="n"/>
      <c r="G264" s="334" t="n"/>
      <c r="H264" s="332" t="n"/>
      <c r="I264" s="335">
        <f>IF(OR(B264="",H264="Sold"),"—",TODAY()-B264)</f>
        <v/>
      </c>
      <c r="J264" s="336">
        <f>IF(OR(B264="",H264="Sold"),"",IF(I264="—","",IF(I264&gt;=60,"STALE — route now",IF(I264&gt;=30,"Aging — watch",IF(I264&gt;=0,"Fresh","")))))</f>
        <v/>
      </c>
      <c r="K264" s="337">
        <f>IF(J264="STALE — route now","→ Send to consignment batch",IF(J264="Aging — watch","→ Consider 10% price drop",IF(J264="Fresh","→ Hold &amp; monitor","")))</f>
        <v/>
      </c>
    </row>
    <row r="265" ht="18" customHeight="1" s="230">
      <c r="A265" s="324" t="n"/>
      <c r="B265" s="324" t="n"/>
      <c r="C265" s="325" t="n"/>
      <c r="D265" s="326" t="n"/>
      <c r="E265" s="325" t="n"/>
      <c r="F265" s="327" t="n"/>
      <c r="G265" s="327" t="n"/>
      <c r="H265" s="325" t="n"/>
      <c r="I265" s="328">
        <f>IF(OR(B265="",H265="Sold"),"—",TODAY()-B265)</f>
        <v/>
      </c>
      <c r="J265" s="329">
        <f>IF(OR(B265="",H265="Sold"),"",IF(I265="—","",IF(I265&gt;=60,"STALE — route now",IF(I265&gt;=30,"Aging — watch",IF(I265&gt;=0,"Fresh","")))))</f>
        <v/>
      </c>
      <c r="K265" s="330">
        <f>IF(J265="STALE — route now","→ Send to consignment batch",IF(J265="Aging — watch","→ Consider 10% price drop",IF(J265="Fresh","→ Hold &amp; monitor","")))</f>
        <v/>
      </c>
    </row>
    <row r="266" ht="18" customHeight="1" s="230">
      <c r="A266" s="331" t="n"/>
      <c r="B266" s="331" t="n"/>
      <c r="C266" s="332" t="n"/>
      <c r="D266" s="333" t="n"/>
      <c r="E266" s="332" t="n"/>
      <c r="F266" s="334" t="n"/>
      <c r="G266" s="334" t="n"/>
      <c r="H266" s="332" t="n"/>
      <c r="I266" s="335">
        <f>IF(OR(B266="",H266="Sold"),"—",TODAY()-B266)</f>
        <v/>
      </c>
      <c r="J266" s="336">
        <f>IF(OR(B266="",H266="Sold"),"",IF(I266="—","",IF(I266&gt;=60,"STALE — route now",IF(I266&gt;=30,"Aging — watch",IF(I266&gt;=0,"Fresh","")))))</f>
        <v/>
      </c>
      <c r="K266" s="337">
        <f>IF(J266="STALE — route now","→ Send to consignment batch",IF(J266="Aging — watch","→ Consider 10% price drop",IF(J266="Fresh","→ Hold &amp; monitor","")))</f>
        <v/>
      </c>
    </row>
    <row r="267" ht="18" customHeight="1" s="230">
      <c r="A267" s="324" t="n"/>
      <c r="B267" s="324" t="n"/>
      <c r="C267" s="325" t="n"/>
      <c r="D267" s="326" t="n"/>
      <c r="E267" s="325" t="n"/>
      <c r="F267" s="327" t="n"/>
      <c r="G267" s="327" t="n"/>
      <c r="H267" s="325" t="n"/>
      <c r="I267" s="328">
        <f>IF(OR(B267="",H267="Sold"),"—",TODAY()-B267)</f>
        <v/>
      </c>
      <c r="J267" s="329">
        <f>IF(OR(B267="",H267="Sold"),"",IF(I267="—","",IF(I267&gt;=60,"STALE — route now",IF(I267&gt;=30,"Aging — watch",IF(I267&gt;=0,"Fresh","")))))</f>
        <v/>
      </c>
      <c r="K267" s="330">
        <f>IF(J267="STALE — route now","→ Send to consignment batch",IF(J267="Aging — watch","→ Consider 10% price drop",IF(J267="Fresh","→ Hold &amp; monitor","")))</f>
        <v/>
      </c>
    </row>
    <row r="268" ht="18" customHeight="1" s="230">
      <c r="A268" s="331" t="n"/>
      <c r="B268" s="331" t="n"/>
      <c r="C268" s="332" t="n"/>
      <c r="D268" s="333" t="n"/>
      <c r="E268" s="332" t="n"/>
      <c r="F268" s="334" t="n"/>
      <c r="G268" s="334" t="n"/>
      <c r="H268" s="332" t="n"/>
      <c r="I268" s="335">
        <f>IF(OR(B268="",H268="Sold"),"—",TODAY()-B268)</f>
        <v/>
      </c>
      <c r="J268" s="336">
        <f>IF(OR(B268="",H268="Sold"),"",IF(I268="—","",IF(I268&gt;=60,"STALE — route now",IF(I268&gt;=30,"Aging — watch",IF(I268&gt;=0,"Fresh","")))))</f>
        <v/>
      </c>
      <c r="K268" s="337">
        <f>IF(J268="STALE — route now","→ Send to consignment batch",IF(J268="Aging — watch","→ Consider 10% price drop",IF(J268="Fresh","→ Hold &amp; monitor","")))</f>
        <v/>
      </c>
    </row>
    <row r="269" ht="18" customHeight="1" s="230">
      <c r="A269" s="324" t="n"/>
      <c r="B269" s="324" t="n"/>
      <c r="C269" s="325" t="n"/>
      <c r="D269" s="326" t="n"/>
      <c r="E269" s="325" t="n"/>
      <c r="F269" s="327" t="n"/>
      <c r="G269" s="327" t="n"/>
      <c r="H269" s="325" t="n"/>
      <c r="I269" s="328">
        <f>IF(OR(B269="",H269="Sold"),"—",TODAY()-B269)</f>
        <v/>
      </c>
      <c r="J269" s="329">
        <f>IF(OR(B269="",H269="Sold"),"",IF(I269="—","",IF(I269&gt;=60,"STALE — route now",IF(I269&gt;=30,"Aging — watch",IF(I269&gt;=0,"Fresh","")))))</f>
        <v/>
      </c>
      <c r="K269" s="330">
        <f>IF(J269="STALE — route now","→ Send to consignment batch",IF(J269="Aging — watch","→ Consider 10% price drop",IF(J269="Fresh","→ Hold &amp; monitor","")))</f>
        <v/>
      </c>
    </row>
    <row r="270" ht="18" customHeight="1" s="230">
      <c r="A270" s="331" t="n"/>
      <c r="B270" s="331" t="n"/>
      <c r="C270" s="332" t="n"/>
      <c r="D270" s="333" t="n"/>
      <c r="E270" s="332" t="n"/>
      <c r="F270" s="334" t="n"/>
      <c r="G270" s="334" t="n"/>
      <c r="H270" s="332" t="n"/>
      <c r="I270" s="335">
        <f>IF(OR(B270="",H270="Sold"),"—",TODAY()-B270)</f>
        <v/>
      </c>
      <c r="J270" s="336">
        <f>IF(OR(B270="",H270="Sold"),"",IF(I270="—","",IF(I270&gt;=60,"STALE — route now",IF(I270&gt;=30,"Aging — watch",IF(I270&gt;=0,"Fresh","")))))</f>
        <v/>
      </c>
      <c r="K270" s="337">
        <f>IF(J270="STALE — route now","→ Send to consignment batch",IF(J270="Aging — watch","→ Consider 10% price drop",IF(J270="Fresh","→ Hold &amp; monitor","")))</f>
        <v/>
      </c>
    </row>
    <row r="271" ht="18" customHeight="1" s="230">
      <c r="A271" s="324" t="n"/>
      <c r="B271" s="324" t="n"/>
      <c r="C271" s="325" t="n"/>
      <c r="D271" s="326" t="n"/>
      <c r="E271" s="325" t="n"/>
      <c r="F271" s="327" t="n"/>
      <c r="G271" s="327" t="n"/>
      <c r="H271" s="325" t="n"/>
      <c r="I271" s="328">
        <f>IF(OR(B271="",H271="Sold"),"—",TODAY()-B271)</f>
        <v/>
      </c>
      <c r="J271" s="329">
        <f>IF(OR(B271="",H271="Sold"),"",IF(I271="—","",IF(I271&gt;=60,"STALE — route now",IF(I271&gt;=30,"Aging — watch",IF(I271&gt;=0,"Fresh","")))))</f>
        <v/>
      </c>
      <c r="K271" s="330">
        <f>IF(J271="STALE — route now","→ Send to consignment batch",IF(J271="Aging — watch","→ Consider 10% price drop",IF(J271="Fresh","→ Hold &amp; monitor","")))</f>
        <v/>
      </c>
    </row>
    <row r="272" ht="18" customHeight="1" s="230">
      <c r="A272" s="331" t="n"/>
      <c r="B272" s="331" t="n"/>
      <c r="C272" s="332" t="n"/>
      <c r="D272" s="333" t="n"/>
      <c r="E272" s="332" t="n"/>
      <c r="F272" s="334" t="n"/>
      <c r="G272" s="334" t="n"/>
      <c r="H272" s="332" t="n"/>
      <c r="I272" s="335">
        <f>IF(OR(B272="",H272="Sold"),"—",TODAY()-B272)</f>
        <v/>
      </c>
      <c r="J272" s="336">
        <f>IF(OR(B272="",H272="Sold"),"",IF(I272="—","",IF(I272&gt;=60,"STALE — route now",IF(I272&gt;=30,"Aging — watch",IF(I272&gt;=0,"Fresh","")))))</f>
        <v/>
      </c>
      <c r="K272" s="337">
        <f>IF(J272="STALE — route now","→ Send to consignment batch",IF(J272="Aging — watch","→ Consider 10% price drop",IF(J272="Fresh","→ Hold &amp; monitor","")))</f>
        <v/>
      </c>
    </row>
    <row r="273" ht="18" customHeight="1" s="230">
      <c r="A273" s="324" t="n"/>
      <c r="B273" s="324" t="n"/>
      <c r="C273" s="325" t="n"/>
      <c r="D273" s="326" t="n"/>
      <c r="E273" s="325" t="n"/>
      <c r="F273" s="327" t="n"/>
      <c r="G273" s="327" t="n"/>
      <c r="H273" s="325" t="n"/>
      <c r="I273" s="328">
        <f>IF(OR(B273="",H273="Sold"),"—",TODAY()-B273)</f>
        <v/>
      </c>
      <c r="J273" s="329">
        <f>IF(OR(B273="",H273="Sold"),"",IF(I273="—","",IF(I273&gt;=60,"STALE — route now",IF(I273&gt;=30,"Aging — watch",IF(I273&gt;=0,"Fresh","")))))</f>
        <v/>
      </c>
      <c r="K273" s="330">
        <f>IF(J273="STALE — route now","→ Send to consignment batch",IF(J273="Aging — watch","→ Consider 10% price drop",IF(J273="Fresh","→ Hold &amp; monitor","")))</f>
        <v/>
      </c>
    </row>
    <row r="274" ht="18" customHeight="1" s="230">
      <c r="A274" s="331" t="n"/>
      <c r="B274" s="331" t="n"/>
      <c r="C274" s="332" t="n"/>
      <c r="D274" s="333" t="n"/>
      <c r="E274" s="332" t="n"/>
      <c r="F274" s="334" t="n"/>
      <c r="G274" s="334" t="n"/>
      <c r="H274" s="332" t="n"/>
      <c r="I274" s="335">
        <f>IF(OR(B274="",H274="Sold"),"—",TODAY()-B274)</f>
        <v/>
      </c>
      <c r="J274" s="336">
        <f>IF(OR(B274="",H274="Sold"),"",IF(I274="—","",IF(I274&gt;=60,"STALE — route now",IF(I274&gt;=30,"Aging — watch",IF(I274&gt;=0,"Fresh","")))))</f>
        <v/>
      </c>
      <c r="K274" s="337">
        <f>IF(J274="STALE — route now","→ Send to consignment batch",IF(J274="Aging — watch","→ Consider 10% price drop",IF(J274="Fresh","→ Hold &amp; monitor","")))</f>
        <v/>
      </c>
    </row>
    <row r="275" ht="18" customHeight="1" s="230">
      <c r="A275" s="324" t="n"/>
      <c r="B275" s="324" t="n"/>
      <c r="C275" s="325" t="n"/>
      <c r="D275" s="326" t="n"/>
      <c r="E275" s="325" t="n"/>
      <c r="F275" s="327" t="n"/>
      <c r="G275" s="327" t="n"/>
      <c r="H275" s="325" t="n"/>
      <c r="I275" s="328">
        <f>IF(OR(B275="",H275="Sold"),"—",TODAY()-B275)</f>
        <v/>
      </c>
      <c r="J275" s="329">
        <f>IF(OR(B275="",H275="Sold"),"",IF(I275="—","",IF(I275&gt;=60,"STALE — route now",IF(I275&gt;=30,"Aging — watch",IF(I275&gt;=0,"Fresh","")))))</f>
        <v/>
      </c>
      <c r="K275" s="330">
        <f>IF(J275="STALE — route now","→ Send to consignment batch",IF(J275="Aging — watch","→ Consider 10% price drop",IF(J275="Fresh","→ Hold &amp; monitor","")))</f>
        <v/>
      </c>
    </row>
    <row r="276" ht="18" customHeight="1" s="230">
      <c r="A276" s="331" t="n"/>
      <c r="B276" s="331" t="n"/>
      <c r="C276" s="332" t="n"/>
      <c r="D276" s="333" t="n"/>
      <c r="E276" s="332" t="n"/>
      <c r="F276" s="334" t="n"/>
      <c r="G276" s="334" t="n"/>
      <c r="H276" s="332" t="n"/>
      <c r="I276" s="335">
        <f>IF(OR(B276="",H276="Sold"),"—",TODAY()-B276)</f>
        <v/>
      </c>
      <c r="J276" s="336">
        <f>IF(OR(B276="",H276="Sold"),"",IF(I276="—","",IF(I276&gt;=60,"STALE — route now",IF(I276&gt;=30,"Aging — watch",IF(I276&gt;=0,"Fresh","")))))</f>
        <v/>
      </c>
      <c r="K276" s="337">
        <f>IF(J276="STALE — route now","→ Send to consignment batch",IF(J276="Aging — watch","→ Consider 10% price drop",IF(J276="Fresh","→ Hold &amp; monitor","")))</f>
        <v/>
      </c>
    </row>
    <row r="277" ht="18" customHeight="1" s="230">
      <c r="A277" s="324" t="n"/>
      <c r="B277" s="324" t="n"/>
      <c r="C277" s="325" t="n"/>
      <c r="D277" s="326" t="n"/>
      <c r="E277" s="325" t="n"/>
      <c r="F277" s="327" t="n"/>
      <c r="G277" s="327" t="n"/>
      <c r="H277" s="325" t="n"/>
      <c r="I277" s="328">
        <f>IF(OR(B277="",H277="Sold"),"—",TODAY()-B277)</f>
        <v/>
      </c>
      <c r="J277" s="329">
        <f>IF(OR(B277="",H277="Sold"),"",IF(I277="—","",IF(I277&gt;=60,"STALE — route now",IF(I277&gt;=30,"Aging — watch",IF(I277&gt;=0,"Fresh","")))))</f>
        <v/>
      </c>
      <c r="K277" s="330">
        <f>IF(J277="STALE — route now","→ Send to consignment batch",IF(J277="Aging — watch","→ Consider 10% price drop",IF(J277="Fresh","→ Hold &amp; monitor","")))</f>
        <v/>
      </c>
    </row>
    <row r="278" ht="18" customHeight="1" s="230">
      <c r="A278" s="331" t="n"/>
      <c r="B278" s="331" t="n"/>
      <c r="C278" s="332" t="n"/>
      <c r="D278" s="333" t="n"/>
      <c r="E278" s="332" t="n"/>
      <c r="F278" s="334" t="n"/>
      <c r="G278" s="334" t="n"/>
      <c r="H278" s="332" t="n"/>
      <c r="I278" s="335">
        <f>IF(OR(B278="",H278="Sold"),"—",TODAY()-B278)</f>
        <v/>
      </c>
      <c r="J278" s="336">
        <f>IF(OR(B278="",H278="Sold"),"",IF(I278="—","",IF(I278&gt;=60,"STALE — route now",IF(I278&gt;=30,"Aging — watch",IF(I278&gt;=0,"Fresh","")))))</f>
        <v/>
      </c>
      <c r="K278" s="337">
        <f>IF(J278="STALE — route now","→ Send to consignment batch",IF(J278="Aging — watch","→ Consider 10% price drop",IF(J278="Fresh","→ Hold &amp; monitor","")))</f>
        <v/>
      </c>
    </row>
    <row r="279" ht="18" customHeight="1" s="230">
      <c r="A279" s="324" t="n"/>
      <c r="B279" s="324" t="n"/>
      <c r="C279" s="325" t="n"/>
      <c r="D279" s="326" t="n"/>
      <c r="E279" s="325" t="n"/>
      <c r="F279" s="327" t="n"/>
      <c r="G279" s="327" t="n"/>
      <c r="H279" s="325" t="n"/>
      <c r="I279" s="328">
        <f>IF(OR(B279="",H279="Sold"),"—",TODAY()-B279)</f>
        <v/>
      </c>
      <c r="J279" s="329">
        <f>IF(OR(B279="",H279="Sold"),"",IF(I279="—","",IF(I279&gt;=60,"STALE — route now",IF(I279&gt;=30,"Aging — watch",IF(I279&gt;=0,"Fresh","")))))</f>
        <v/>
      </c>
      <c r="K279" s="330">
        <f>IF(J279="STALE — route now","→ Send to consignment batch",IF(J279="Aging — watch","→ Consider 10% price drop",IF(J279="Fresh","→ Hold &amp; monitor","")))</f>
        <v/>
      </c>
    </row>
    <row r="280" ht="18" customHeight="1" s="230">
      <c r="A280" s="331" t="n"/>
      <c r="B280" s="331" t="n"/>
      <c r="C280" s="332" t="n"/>
      <c r="D280" s="333" t="n"/>
      <c r="E280" s="332" t="n"/>
      <c r="F280" s="334" t="n"/>
      <c r="G280" s="334" t="n"/>
      <c r="H280" s="332" t="n"/>
      <c r="I280" s="335">
        <f>IF(OR(B280="",H280="Sold"),"—",TODAY()-B280)</f>
        <v/>
      </c>
      <c r="J280" s="336">
        <f>IF(OR(B280="",H280="Sold"),"",IF(I280="—","",IF(I280&gt;=60,"STALE — route now",IF(I280&gt;=30,"Aging — watch",IF(I280&gt;=0,"Fresh","")))))</f>
        <v/>
      </c>
      <c r="K280" s="337">
        <f>IF(J280="STALE — route now","→ Send to consignment batch",IF(J280="Aging — watch","→ Consider 10% price drop",IF(J280="Fresh","→ Hold &amp; monitor","")))</f>
        <v/>
      </c>
    </row>
    <row r="281" ht="18" customHeight="1" s="230">
      <c r="A281" s="324" t="n"/>
      <c r="B281" s="324" t="n"/>
      <c r="C281" s="325" t="n"/>
      <c r="D281" s="326" t="n"/>
      <c r="E281" s="325" t="n"/>
      <c r="F281" s="327" t="n"/>
      <c r="G281" s="327" t="n"/>
      <c r="H281" s="325" t="n"/>
      <c r="I281" s="328">
        <f>IF(OR(B281="",H281="Sold"),"—",TODAY()-B281)</f>
        <v/>
      </c>
      <c r="J281" s="329">
        <f>IF(OR(B281="",H281="Sold"),"",IF(I281="—","",IF(I281&gt;=60,"STALE — route now",IF(I281&gt;=30,"Aging — watch",IF(I281&gt;=0,"Fresh","")))))</f>
        <v/>
      </c>
      <c r="K281" s="330">
        <f>IF(J281="STALE — route now","→ Send to consignment batch",IF(J281="Aging — watch","→ Consider 10% price drop",IF(J281="Fresh","→ Hold &amp; monitor","")))</f>
        <v/>
      </c>
    </row>
    <row r="282" ht="18" customHeight="1" s="230">
      <c r="A282" s="331" t="n"/>
      <c r="B282" s="331" t="n"/>
      <c r="C282" s="332" t="n"/>
      <c r="D282" s="333" t="n"/>
      <c r="E282" s="332" t="n"/>
      <c r="F282" s="334" t="n"/>
      <c r="G282" s="334" t="n"/>
      <c r="H282" s="332" t="n"/>
      <c r="I282" s="335">
        <f>IF(OR(B282="",H282="Sold"),"—",TODAY()-B282)</f>
        <v/>
      </c>
      <c r="J282" s="336">
        <f>IF(OR(B282="",H282="Sold"),"",IF(I282="—","",IF(I282&gt;=60,"STALE — route now",IF(I282&gt;=30,"Aging — watch",IF(I282&gt;=0,"Fresh","")))))</f>
        <v/>
      </c>
      <c r="K282" s="337">
        <f>IF(J282="STALE — route now","→ Send to consignment batch",IF(J282="Aging — watch","→ Consider 10% price drop",IF(J282="Fresh","→ Hold &amp; monitor","")))</f>
        <v/>
      </c>
    </row>
    <row r="283" ht="18" customHeight="1" s="230">
      <c r="A283" s="324" t="n"/>
      <c r="B283" s="324" t="n"/>
      <c r="C283" s="325" t="n"/>
      <c r="D283" s="326" t="n"/>
      <c r="E283" s="325" t="n"/>
      <c r="F283" s="327" t="n"/>
      <c r="G283" s="327" t="n"/>
      <c r="H283" s="325" t="n"/>
      <c r="I283" s="328">
        <f>IF(OR(B283="",H283="Sold"),"—",TODAY()-B283)</f>
        <v/>
      </c>
      <c r="J283" s="329">
        <f>IF(OR(B283="",H283="Sold"),"",IF(I283="—","",IF(I283&gt;=60,"STALE — route now",IF(I283&gt;=30,"Aging — watch",IF(I283&gt;=0,"Fresh","")))))</f>
        <v/>
      </c>
      <c r="K283" s="330">
        <f>IF(J283="STALE — route now","→ Send to consignment batch",IF(J283="Aging — watch","→ Consider 10% price drop",IF(J283="Fresh","→ Hold &amp; monitor","")))</f>
        <v/>
      </c>
    </row>
    <row r="284" ht="18" customHeight="1" s="230">
      <c r="A284" s="331" t="n"/>
      <c r="B284" s="331" t="n"/>
      <c r="C284" s="332" t="n"/>
      <c r="D284" s="333" t="n"/>
      <c r="E284" s="332" t="n"/>
      <c r="F284" s="334" t="n"/>
      <c r="G284" s="334" t="n"/>
      <c r="H284" s="332" t="n"/>
      <c r="I284" s="335">
        <f>IF(OR(B284="",H284="Sold"),"—",TODAY()-B284)</f>
        <v/>
      </c>
      <c r="J284" s="336">
        <f>IF(OR(B284="",H284="Sold"),"",IF(I284="—","",IF(I284&gt;=60,"STALE — route now",IF(I284&gt;=30,"Aging — watch",IF(I284&gt;=0,"Fresh","")))))</f>
        <v/>
      </c>
      <c r="K284" s="337">
        <f>IF(J284="STALE — route now","→ Send to consignment batch",IF(J284="Aging — watch","→ Consider 10% price drop",IF(J284="Fresh","→ Hold &amp; monitor","")))</f>
        <v/>
      </c>
    </row>
    <row r="285" ht="18" customHeight="1" s="230">
      <c r="A285" s="324" t="n"/>
      <c r="B285" s="324" t="n"/>
      <c r="C285" s="325" t="n"/>
      <c r="D285" s="326" t="n"/>
      <c r="E285" s="325" t="n"/>
      <c r="F285" s="327" t="n"/>
      <c r="G285" s="327" t="n"/>
      <c r="H285" s="325" t="n"/>
      <c r="I285" s="328">
        <f>IF(OR(B285="",H285="Sold"),"—",TODAY()-B285)</f>
        <v/>
      </c>
      <c r="J285" s="329">
        <f>IF(OR(B285="",H285="Sold"),"",IF(I285="—","",IF(I285&gt;=60,"STALE — route now",IF(I285&gt;=30,"Aging — watch",IF(I285&gt;=0,"Fresh","")))))</f>
        <v/>
      </c>
      <c r="K285" s="330">
        <f>IF(J285="STALE — route now","→ Send to consignment batch",IF(J285="Aging — watch","→ Consider 10% price drop",IF(J285="Fresh","→ Hold &amp; monitor","")))</f>
        <v/>
      </c>
    </row>
    <row r="286" ht="18" customHeight="1" s="230">
      <c r="A286" s="331" t="n"/>
      <c r="B286" s="331" t="n"/>
      <c r="C286" s="332" t="n"/>
      <c r="D286" s="333" t="n"/>
      <c r="E286" s="332" t="n"/>
      <c r="F286" s="334" t="n"/>
      <c r="G286" s="334" t="n"/>
      <c r="H286" s="332" t="n"/>
      <c r="I286" s="335">
        <f>IF(OR(B286="",H286="Sold"),"—",TODAY()-B286)</f>
        <v/>
      </c>
      <c r="J286" s="336">
        <f>IF(OR(B286="",H286="Sold"),"",IF(I286="—","",IF(I286&gt;=60,"STALE — route now",IF(I286&gt;=30,"Aging — watch",IF(I286&gt;=0,"Fresh","")))))</f>
        <v/>
      </c>
      <c r="K286" s="337">
        <f>IF(J286="STALE — route now","→ Send to consignment batch",IF(J286="Aging — watch","→ Consider 10% price drop",IF(J286="Fresh","→ Hold &amp; monitor","")))</f>
        <v/>
      </c>
    </row>
    <row r="287" ht="18" customHeight="1" s="230">
      <c r="A287" s="324" t="n"/>
      <c r="B287" s="324" t="n"/>
      <c r="C287" s="325" t="n"/>
      <c r="D287" s="326" t="n"/>
      <c r="E287" s="325" t="n"/>
      <c r="F287" s="327" t="n"/>
      <c r="G287" s="327" t="n"/>
      <c r="H287" s="325" t="n"/>
      <c r="I287" s="328">
        <f>IF(OR(B287="",H287="Sold"),"—",TODAY()-B287)</f>
        <v/>
      </c>
      <c r="J287" s="329">
        <f>IF(OR(B287="",H287="Sold"),"",IF(I287="—","",IF(I287&gt;=60,"STALE — route now",IF(I287&gt;=30,"Aging — watch",IF(I287&gt;=0,"Fresh","")))))</f>
        <v/>
      </c>
      <c r="K287" s="330">
        <f>IF(J287="STALE — route now","→ Send to consignment batch",IF(J287="Aging — watch","→ Consider 10% price drop",IF(J287="Fresh","→ Hold &amp; monitor","")))</f>
        <v/>
      </c>
    </row>
    <row r="288" ht="18" customHeight="1" s="230">
      <c r="A288" s="331" t="n"/>
      <c r="B288" s="331" t="n"/>
      <c r="C288" s="332" t="n"/>
      <c r="D288" s="333" t="n"/>
      <c r="E288" s="332" t="n"/>
      <c r="F288" s="334" t="n"/>
      <c r="G288" s="334" t="n"/>
      <c r="H288" s="332" t="n"/>
      <c r="I288" s="335">
        <f>IF(OR(B288="",H288="Sold"),"—",TODAY()-B288)</f>
        <v/>
      </c>
      <c r="J288" s="336">
        <f>IF(OR(B288="",H288="Sold"),"",IF(I288="—","",IF(I288&gt;=60,"STALE — route now",IF(I288&gt;=30,"Aging — watch",IF(I288&gt;=0,"Fresh","")))))</f>
        <v/>
      </c>
      <c r="K288" s="337">
        <f>IF(J288="STALE — route now","→ Send to consignment batch",IF(J288="Aging — watch","→ Consider 10% price drop",IF(J288="Fresh","→ Hold &amp; monitor","")))</f>
        <v/>
      </c>
    </row>
    <row r="289" ht="18" customHeight="1" s="230">
      <c r="A289" s="324" t="n"/>
      <c r="B289" s="324" t="n"/>
      <c r="C289" s="325" t="n"/>
      <c r="D289" s="326" t="n"/>
      <c r="E289" s="325" t="n"/>
      <c r="F289" s="327" t="n"/>
      <c r="G289" s="327" t="n"/>
      <c r="H289" s="325" t="n"/>
      <c r="I289" s="328">
        <f>IF(OR(B289="",H289="Sold"),"—",TODAY()-B289)</f>
        <v/>
      </c>
      <c r="J289" s="329">
        <f>IF(OR(B289="",H289="Sold"),"",IF(I289="—","",IF(I289&gt;=60,"STALE — route now",IF(I289&gt;=30,"Aging — watch",IF(I289&gt;=0,"Fresh","")))))</f>
        <v/>
      </c>
      <c r="K289" s="330">
        <f>IF(J289="STALE — route now","→ Send to consignment batch",IF(J289="Aging — watch","→ Consider 10% price drop",IF(J289="Fresh","→ Hold &amp; monitor","")))</f>
        <v/>
      </c>
    </row>
    <row r="290" ht="18" customHeight="1" s="230">
      <c r="A290" s="331" t="n"/>
      <c r="B290" s="331" t="n"/>
      <c r="C290" s="332" t="n"/>
      <c r="D290" s="333" t="n"/>
      <c r="E290" s="332" t="n"/>
      <c r="F290" s="334" t="n"/>
      <c r="G290" s="334" t="n"/>
      <c r="H290" s="332" t="n"/>
      <c r="I290" s="335">
        <f>IF(OR(B290="",H290="Sold"),"—",TODAY()-B290)</f>
        <v/>
      </c>
      <c r="J290" s="336">
        <f>IF(OR(B290="",H290="Sold"),"",IF(I290="—","",IF(I290&gt;=60,"STALE — route now",IF(I290&gt;=30,"Aging — watch",IF(I290&gt;=0,"Fresh","")))))</f>
        <v/>
      </c>
      <c r="K290" s="337">
        <f>IF(J290="STALE — route now","→ Send to consignment batch",IF(J290="Aging — watch","→ Consider 10% price drop",IF(J290="Fresh","→ Hold &amp; monitor","")))</f>
        <v/>
      </c>
    </row>
    <row r="291" ht="18" customHeight="1" s="230">
      <c r="A291" s="324" t="n"/>
      <c r="B291" s="324" t="n"/>
      <c r="C291" s="325" t="n"/>
      <c r="D291" s="326" t="n"/>
      <c r="E291" s="325" t="n"/>
      <c r="F291" s="327" t="n"/>
      <c r="G291" s="327" t="n"/>
      <c r="H291" s="325" t="n"/>
      <c r="I291" s="328">
        <f>IF(OR(B291="",H291="Sold"),"—",TODAY()-B291)</f>
        <v/>
      </c>
      <c r="J291" s="329">
        <f>IF(OR(B291="",H291="Sold"),"",IF(I291="—","",IF(I291&gt;=60,"STALE — route now",IF(I291&gt;=30,"Aging — watch",IF(I291&gt;=0,"Fresh","")))))</f>
        <v/>
      </c>
      <c r="K291" s="330">
        <f>IF(J291="STALE — route now","→ Send to consignment batch",IF(J291="Aging — watch","→ Consider 10% price drop",IF(J291="Fresh","→ Hold &amp; monitor","")))</f>
        <v/>
      </c>
    </row>
    <row r="292" ht="18" customHeight="1" s="230">
      <c r="A292" s="331" t="n"/>
      <c r="B292" s="331" t="n"/>
      <c r="C292" s="332" t="n"/>
      <c r="D292" s="333" t="n"/>
      <c r="E292" s="332" t="n"/>
      <c r="F292" s="334" t="n"/>
      <c r="G292" s="334" t="n"/>
      <c r="H292" s="332" t="n"/>
      <c r="I292" s="335">
        <f>IF(OR(B292="",H292="Sold"),"—",TODAY()-B292)</f>
        <v/>
      </c>
      <c r="J292" s="336">
        <f>IF(OR(B292="",H292="Sold"),"",IF(I292="—","",IF(I292&gt;=60,"STALE — route now",IF(I292&gt;=30,"Aging — watch",IF(I292&gt;=0,"Fresh","")))))</f>
        <v/>
      </c>
      <c r="K292" s="337">
        <f>IF(J292="STALE — route now","→ Send to consignment batch",IF(J292="Aging — watch","→ Consider 10% price drop",IF(J292="Fresh","→ Hold &amp; monitor","")))</f>
        <v/>
      </c>
    </row>
    <row r="293" ht="18" customHeight="1" s="230">
      <c r="A293" s="324" t="n"/>
      <c r="B293" s="324" t="n"/>
      <c r="C293" s="325" t="n"/>
      <c r="D293" s="326" t="n"/>
      <c r="E293" s="325" t="n"/>
      <c r="F293" s="327" t="n"/>
      <c r="G293" s="327" t="n"/>
      <c r="H293" s="325" t="n"/>
      <c r="I293" s="328">
        <f>IF(OR(B293="",H293="Sold"),"—",TODAY()-B293)</f>
        <v/>
      </c>
      <c r="J293" s="329">
        <f>IF(OR(B293="",H293="Sold"),"",IF(I293="—","",IF(I293&gt;=60,"STALE — route now",IF(I293&gt;=30,"Aging — watch",IF(I293&gt;=0,"Fresh","")))))</f>
        <v/>
      </c>
      <c r="K293" s="330">
        <f>IF(J293="STALE — route now","→ Send to consignment batch",IF(J293="Aging — watch","→ Consider 10% price drop",IF(J293="Fresh","→ Hold &amp; monitor","")))</f>
        <v/>
      </c>
    </row>
    <row r="294" ht="18" customHeight="1" s="230">
      <c r="A294" s="331" t="n"/>
      <c r="B294" s="331" t="n"/>
      <c r="C294" s="332" t="n"/>
      <c r="D294" s="333" t="n"/>
      <c r="E294" s="332" t="n"/>
      <c r="F294" s="334" t="n"/>
      <c r="G294" s="334" t="n"/>
      <c r="H294" s="332" t="n"/>
      <c r="I294" s="335">
        <f>IF(OR(B294="",H294="Sold"),"—",TODAY()-B294)</f>
        <v/>
      </c>
      <c r="J294" s="336">
        <f>IF(OR(B294="",H294="Sold"),"",IF(I294="—","",IF(I294&gt;=60,"STALE — route now",IF(I294&gt;=30,"Aging — watch",IF(I294&gt;=0,"Fresh","")))))</f>
        <v/>
      </c>
      <c r="K294" s="337">
        <f>IF(J294="STALE — route now","→ Send to consignment batch",IF(J294="Aging — watch","→ Consider 10% price drop",IF(J294="Fresh","→ Hold &amp; monitor","")))</f>
        <v/>
      </c>
    </row>
    <row r="295" ht="18" customHeight="1" s="230">
      <c r="A295" s="324" t="n"/>
      <c r="B295" s="324" t="n"/>
      <c r="C295" s="325" t="n"/>
      <c r="D295" s="326" t="n"/>
      <c r="E295" s="325" t="n"/>
      <c r="F295" s="327" t="n"/>
      <c r="G295" s="327" t="n"/>
      <c r="H295" s="325" t="n"/>
      <c r="I295" s="328">
        <f>IF(OR(B295="",H295="Sold"),"—",TODAY()-B295)</f>
        <v/>
      </c>
      <c r="J295" s="329">
        <f>IF(OR(B295="",H295="Sold"),"",IF(I295="—","",IF(I295&gt;=60,"STALE — route now",IF(I295&gt;=30,"Aging — watch",IF(I295&gt;=0,"Fresh","")))))</f>
        <v/>
      </c>
      <c r="K295" s="330">
        <f>IF(J295="STALE — route now","→ Send to consignment batch",IF(J295="Aging — watch","→ Consider 10% price drop",IF(J295="Fresh","→ Hold &amp; monitor","")))</f>
        <v/>
      </c>
    </row>
    <row r="296" ht="18" customHeight="1" s="230">
      <c r="A296" s="331" t="n"/>
      <c r="B296" s="331" t="n"/>
      <c r="C296" s="332" t="n"/>
      <c r="D296" s="333" t="n"/>
      <c r="E296" s="332" t="n"/>
      <c r="F296" s="334" t="n"/>
      <c r="G296" s="334" t="n"/>
      <c r="H296" s="332" t="n"/>
      <c r="I296" s="335">
        <f>IF(OR(B296="",H296="Sold"),"—",TODAY()-B296)</f>
        <v/>
      </c>
      <c r="J296" s="336">
        <f>IF(OR(B296="",H296="Sold"),"",IF(I296="—","",IF(I296&gt;=60,"STALE — route now",IF(I296&gt;=30,"Aging — watch",IF(I296&gt;=0,"Fresh","")))))</f>
        <v/>
      </c>
      <c r="K296" s="337">
        <f>IF(J296="STALE — route now","→ Send to consignment batch",IF(J296="Aging — watch","→ Consider 10% price drop",IF(J296="Fresh","→ Hold &amp; monitor","")))</f>
        <v/>
      </c>
    </row>
    <row r="297" ht="18" customHeight="1" s="230">
      <c r="A297" s="324" t="n"/>
      <c r="B297" s="324" t="n"/>
      <c r="C297" s="325" t="n"/>
      <c r="D297" s="326" t="n"/>
      <c r="E297" s="325" t="n"/>
      <c r="F297" s="327" t="n"/>
      <c r="G297" s="327" t="n"/>
      <c r="H297" s="325" t="n"/>
      <c r="I297" s="328">
        <f>IF(OR(B297="",H297="Sold"),"—",TODAY()-B297)</f>
        <v/>
      </c>
      <c r="J297" s="329">
        <f>IF(OR(B297="",H297="Sold"),"",IF(I297="—","",IF(I297&gt;=60,"STALE — route now",IF(I297&gt;=30,"Aging — watch",IF(I297&gt;=0,"Fresh","")))))</f>
        <v/>
      </c>
      <c r="K297" s="330">
        <f>IF(J297="STALE — route now","→ Send to consignment batch",IF(J297="Aging — watch","→ Consider 10% price drop",IF(J297="Fresh","→ Hold &amp; monitor","")))</f>
        <v/>
      </c>
    </row>
    <row r="298" ht="18" customHeight="1" s="230">
      <c r="A298" s="331" t="n"/>
      <c r="B298" s="331" t="n"/>
      <c r="C298" s="332" t="n"/>
      <c r="D298" s="333" t="n"/>
      <c r="E298" s="332" t="n"/>
      <c r="F298" s="334" t="n"/>
      <c r="G298" s="334" t="n"/>
      <c r="H298" s="332" t="n"/>
      <c r="I298" s="335">
        <f>IF(OR(B298="",H298="Sold"),"—",TODAY()-B298)</f>
        <v/>
      </c>
      <c r="J298" s="336">
        <f>IF(OR(B298="",H298="Sold"),"",IF(I298="—","",IF(I298&gt;=60,"STALE — route now",IF(I298&gt;=30,"Aging — watch",IF(I298&gt;=0,"Fresh","")))))</f>
        <v/>
      </c>
      <c r="K298" s="337">
        <f>IF(J298="STALE — route now","→ Send to consignment batch",IF(J298="Aging — watch","→ Consider 10% price drop",IF(J298="Fresh","→ Hold &amp; monitor","")))</f>
        <v/>
      </c>
    </row>
    <row r="299" ht="18" customHeight="1" s="230">
      <c r="A299" s="324" t="n"/>
      <c r="B299" s="324" t="n"/>
      <c r="C299" s="325" t="n"/>
      <c r="D299" s="326" t="n"/>
      <c r="E299" s="325" t="n"/>
      <c r="F299" s="327" t="n"/>
      <c r="G299" s="327" t="n"/>
      <c r="H299" s="325" t="n"/>
      <c r="I299" s="328">
        <f>IF(OR(B299="",H299="Sold"),"—",TODAY()-B299)</f>
        <v/>
      </c>
      <c r="J299" s="329">
        <f>IF(OR(B299="",H299="Sold"),"",IF(I299="—","",IF(I299&gt;=60,"STALE — route now",IF(I299&gt;=30,"Aging — watch",IF(I299&gt;=0,"Fresh","")))))</f>
        <v/>
      </c>
      <c r="K299" s="330">
        <f>IF(J299="STALE — route now","→ Send to consignment batch",IF(J299="Aging — watch","→ Consider 10% price drop",IF(J299="Fresh","→ Hold &amp; monitor","")))</f>
        <v/>
      </c>
    </row>
    <row r="300" ht="18" customHeight="1" s="230">
      <c r="A300" s="331" t="n"/>
      <c r="B300" s="331" t="n"/>
      <c r="C300" s="332" t="n"/>
      <c r="D300" s="333" t="n"/>
      <c r="E300" s="332" t="n"/>
      <c r="F300" s="334" t="n"/>
      <c r="G300" s="334" t="n"/>
      <c r="H300" s="332" t="n"/>
      <c r="I300" s="335">
        <f>IF(OR(B300="",H300="Sold"),"—",TODAY()-B300)</f>
        <v/>
      </c>
      <c r="J300" s="336">
        <f>IF(OR(B300="",H300="Sold"),"",IF(I300="—","",IF(I300&gt;=60,"STALE — route now",IF(I300&gt;=30,"Aging — watch",IF(I300&gt;=0,"Fresh","")))))</f>
        <v/>
      </c>
      <c r="K300" s="337">
        <f>IF(J300="STALE — route now","→ Send to consignment batch",IF(J300="Aging — watch","→ Consider 10% price drop",IF(J300="Fresh","→ Hold &amp; monitor","")))</f>
        <v/>
      </c>
    </row>
    <row r="301" ht="18" customHeight="1" s="230">
      <c r="A301" s="324" t="n"/>
      <c r="B301" s="324" t="n"/>
      <c r="C301" s="325" t="n"/>
      <c r="D301" s="326" t="n"/>
      <c r="E301" s="325" t="n"/>
      <c r="F301" s="327" t="n"/>
      <c r="G301" s="327" t="n"/>
      <c r="H301" s="325" t="n"/>
      <c r="I301" s="328">
        <f>IF(OR(B301="",H301="Sold"),"—",TODAY()-B301)</f>
        <v/>
      </c>
      <c r="J301" s="329">
        <f>IF(OR(B301="",H301="Sold"),"",IF(I301="—","",IF(I301&gt;=60,"STALE — route now",IF(I301&gt;=30,"Aging — watch",IF(I301&gt;=0,"Fresh","")))))</f>
        <v/>
      </c>
      <c r="K301" s="330">
        <f>IF(J301="STALE — route now","→ Send to consignment batch",IF(J301="Aging — watch","→ Consider 10% price drop",IF(J301="Fresh","→ Hold &amp; monitor","")))</f>
        <v/>
      </c>
    </row>
    <row r="302" ht="18" customHeight="1" s="230">
      <c r="A302" s="331" t="n"/>
      <c r="B302" s="331" t="n"/>
      <c r="C302" s="332" t="n"/>
      <c r="D302" s="333" t="n"/>
      <c r="E302" s="332" t="n"/>
      <c r="F302" s="334" t="n"/>
      <c r="G302" s="334" t="n"/>
      <c r="H302" s="332" t="n"/>
      <c r="I302" s="335">
        <f>IF(OR(B302="",H302="Sold"),"—",TODAY()-B302)</f>
        <v/>
      </c>
      <c r="J302" s="336">
        <f>IF(OR(B302="",H302="Sold"),"",IF(I302="—","",IF(I302&gt;=60,"STALE — route now",IF(I302&gt;=30,"Aging — watch",IF(I302&gt;=0,"Fresh","")))))</f>
        <v/>
      </c>
      <c r="K302" s="337">
        <f>IF(J302="STALE — route now","→ Send to consignment batch",IF(J302="Aging — watch","→ Consider 10% price drop",IF(J302="Fresh","→ Hold &amp; monitor","")))</f>
        <v/>
      </c>
    </row>
    <row r="303" ht="18" customHeight="1" s="230">
      <c r="A303" s="324" t="n"/>
      <c r="B303" s="324" t="n"/>
      <c r="C303" s="325" t="n"/>
      <c r="D303" s="326" t="n"/>
      <c r="E303" s="325" t="n"/>
      <c r="F303" s="327" t="n"/>
      <c r="G303" s="327" t="n"/>
      <c r="H303" s="325" t="n"/>
      <c r="I303" s="328">
        <f>IF(OR(B303="",H303="Sold"),"—",TODAY()-B303)</f>
        <v/>
      </c>
      <c r="J303" s="329">
        <f>IF(OR(B303="",H303="Sold"),"",IF(I303="—","",IF(I303&gt;=60,"STALE — route now",IF(I303&gt;=30,"Aging — watch",IF(I303&gt;=0,"Fresh","")))))</f>
        <v/>
      </c>
      <c r="K303" s="330">
        <f>IF(J303="STALE — route now","→ Send to consignment batch",IF(J303="Aging — watch","→ Consider 10% price drop",IF(J303="Fresh","→ Hold &amp; monitor","")))</f>
        <v/>
      </c>
    </row>
    <row r="304" ht="18" customHeight="1" s="230">
      <c r="A304" s="331" t="n"/>
      <c r="B304" s="331" t="n"/>
      <c r="C304" s="332" t="n"/>
      <c r="D304" s="333" t="n"/>
      <c r="E304" s="332" t="n"/>
      <c r="F304" s="334" t="n"/>
      <c r="G304" s="334" t="n"/>
      <c r="H304" s="332" t="n"/>
      <c r="I304" s="335">
        <f>IF(OR(B304="",H304="Sold"),"—",TODAY()-B304)</f>
        <v/>
      </c>
      <c r="J304" s="336">
        <f>IF(OR(B304="",H304="Sold"),"",IF(I304="—","",IF(I304&gt;=60,"STALE — route now",IF(I304&gt;=30,"Aging — watch",IF(I304&gt;=0,"Fresh","")))))</f>
        <v/>
      </c>
      <c r="K304" s="337">
        <f>IF(J304="STALE — route now","→ Send to consignment batch",IF(J304="Aging — watch","→ Consider 10% price drop",IF(J304="Fresh","→ Hold &amp; monitor","")))</f>
        <v/>
      </c>
    </row>
    <row r="305" ht="18" customHeight="1" s="230">
      <c r="A305" s="324" t="n"/>
      <c r="B305" s="324" t="n"/>
      <c r="C305" s="325" t="n"/>
      <c r="D305" s="326" t="n"/>
      <c r="E305" s="325" t="n"/>
      <c r="F305" s="327" t="n"/>
      <c r="G305" s="327" t="n"/>
      <c r="H305" s="325" t="n"/>
      <c r="I305" s="328">
        <f>IF(OR(B305="",H305="Sold"),"—",TODAY()-B305)</f>
        <v/>
      </c>
      <c r="J305" s="329">
        <f>IF(OR(B305="",H305="Sold"),"",IF(I305="—","",IF(I305&gt;=60,"STALE — route now",IF(I305&gt;=30,"Aging — watch",IF(I305&gt;=0,"Fresh","")))))</f>
        <v/>
      </c>
      <c r="K305" s="330">
        <f>IF(J305="STALE — route now","→ Send to consignment batch",IF(J305="Aging — watch","→ Consider 10% price drop",IF(J305="Fresh","→ Hold &amp; monitor","")))</f>
        <v/>
      </c>
    </row>
    <row r="306" ht="18" customHeight="1" s="230">
      <c r="A306" s="331" t="n"/>
      <c r="B306" s="331" t="n"/>
      <c r="C306" s="332" t="n"/>
      <c r="D306" s="333" t="n"/>
      <c r="E306" s="332" t="n"/>
      <c r="F306" s="334" t="n"/>
      <c r="G306" s="334" t="n"/>
      <c r="H306" s="332" t="n"/>
      <c r="I306" s="335">
        <f>IF(OR(B306="",H306="Sold"),"—",TODAY()-B306)</f>
        <v/>
      </c>
      <c r="J306" s="336">
        <f>IF(OR(B306="",H306="Sold"),"",IF(I306="—","",IF(I306&gt;=60,"STALE — route now",IF(I306&gt;=30,"Aging — watch",IF(I306&gt;=0,"Fresh","")))))</f>
        <v/>
      </c>
      <c r="K306" s="337">
        <f>IF(J306="STALE — route now","→ Send to consignment batch",IF(J306="Aging — watch","→ Consider 10% price drop",IF(J306="Fresh","→ Hold &amp; monitor","")))</f>
        <v/>
      </c>
    </row>
    <row r="307" ht="18" customHeight="1" s="230">
      <c r="A307" s="324" t="n"/>
      <c r="B307" s="324" t="n"/>
      <c r="C307" s="325" t="n"/>
      <c r="D307" s="326" t="n"/>
      <c r="E307" s="325" t="n"/>
      <c r="F307" s="327" t="n"/>
      <c r="G307" s="327" t="n"/>
      <c r="H307" s="325" t="n"/>
      <c r="I307" s="328">
        <f>IF(OR(B307="",H307="Sold"),"—",TODAY()-B307)</f>
        <v/>
      </c>
      <c r="J307" s="329">
        <f>IF(OR(B307="",H307="Sold"),"",IF(I307="—","",IF(I307&gt;=60,"STALE — route now",IF(I307&gt;=30,"Aging — watch",IF(I307&gt;=0,"Fresh","")))))</f>
        <v/>
      </c>
      <c r="K307" s="330">
        <f>IF(J307="STALE — route now","→ Send to consignment batch",IF(J307="Aging — watch","→ Consider 10% price drop",IF(J307="Fresh","→ Hold &amp; monitor","")))</f>
        <v/>
      </c>
    </row>
    <row r="308" ht="18" customHeight="1" s="230">
      <c r="A308" s="331" t="n"/>
      <c r="B308" s="331" t="n"/>
      <c r="C308" s="332" t="n"/>
      <c r="D308" s="333" t="n"/>
      <c r="E308" s="332" t="n"/>
      <c r="F308" s="334" t="n"/>
      <c r="G308" s="334" t="n"/>
      <c r="H308" s="332" t="n"/>
      <c r="I308" s="335">
        <f>IF(OR(B308="",H308="Sold"),"—",TODAY()-B308)</f>
        <v/>
      </c>
      <c r="J308" s="336">
        <f>IF(OR(B308="",H308="Sold"),"",IF(I308="—","",IF(I308&gt;=60,"STALE — route now",IF(I308&gt;=30,"Aging — watch",IF(I308&gt;=0,"Fresh","")))))</f>
        <v/>
      </c>
      <c r="K308" s="337">
        <f>IF(J308="STALE — route now","→ Send to consignment batch",IF(J308="Aging — watch","→ Consider 10% price drop",IF(J308="Fresh","→ Hold &amp; monitor","")))</f>
        <v/>
      </c>
    </row>
    <row r="309" ht="18" customHeight="1" s="230">
      <c r="A309" s="324" t="n"/>
      <c r="B309" s="324" t="n"/>
      <c r="C309" s="325" t="n"/>
      <c r="D309" s="326" t="n"/>
      <c r="E309" s="325" t="n"/>
      <c r="F309" s="327" t="n"/>
      <c r="G309" s="327" t="n"/>
      <c r="H309" s="325" t="n"/>
      <c r="I309" s="328">
        <f>IF(OR(B309="",H309="Sold"),"—",TODAY()-B309)</f>
        <v/>
      </c>
      <c r="J309" s="329">
        <f>IF(OR(B309="",H309="Sold"),"",IF(I309="—","",IF(I309&gt;=60,"STALE — route now",IF(I309&gt;=30,"Aging — watch",IF(I309&gt;=0,"Fresh","")))))</f>
        <v/>
      </c>
      <c r="K309" s="330">
        <f>IF(J309="STALE — route now","→ Send to consignment batch",IF(J309="Aging — watch","→ Consider 10% price drop",IF(J309="Fresh","→ Hold &amp; monitor","")))</f>
        <v/>
      </c>
    </row>
    <row r="310" ht="18" customHeight="1" s="230">
      <c r="A310" s="331" t="n"/>
      <c r="B310" s="331" t="n"/>
      <c r="C310" s="332" t="n"/>
      <c r="D310" s="333" t="n"/>
      <c r="E310" s="332" t="n"/>
      <c r="F310" s="334" t="n"/>
      <c r="G310" s="334" t="n"/>
      <c r="H310" s="332" t="n"/>
      <c r="I310" s="335">
        <f>IF(OR(B310="",H310="Sold"),"—",TODAY()-B310)</f>
        <v/>
      </c>
      <c r="J310" s="336">
        <f>IF(OR(B310="",H310="Sold"),"",IF(I310="—","",IF(I310&gt;=60,"STALE — route now",IF(I310&gt;=30,"Aging — watch",IF(I310&gt;=0,"Fresh","")))))</f>
        <v/>
      </c>
      <c r="K310" s="337">
        <f>IF(J310="STALE — route now","→ Send to consignment batch",IF(J310="Aging — watch","→ Consider 10% price drop",IF(J310="Fresh","→ Hold &amp; monitor","")))</f>
        <v/>
      </c>
    </row>
    <row r="311" ht="18" customHeight="1" s="230">
      <c r="A311" s="324" t="n"/>
      <c r="B311" s="324" t="n"/>
      <c r="C311" s="325" t="n"/>
      <c r="D311" s="326" t="n"/>
      <c r="E311" s="325" t="n"/>
      <c r="F311" s="327" t="n"/>
      <c r="G311" s="327" t="n"/>
      <c r="H311" s="325" t="n"/>
      <c r="I311" s="328">
        <f>IF(OR(B311="",H311="Sold"),"—",TODAY()-B311)</f>
        <v/>
      </c>
      <c r="J311" s="329">
        <f>IF(OR(B311="",H311="Sold"),"",IF(I311="—","",IF(I311&gt;=60,"STALE — route now",IF(I311&gt;=30,"Aging — watch",IF(I311&gt;=0,"Fresh","")))))</f>
        <v/>
      </c>
      <c r="K311" s="330">
        <f>IF(J311="STALE — route now","→ Send to consignment batch",IF(J311="Aging — watch","→ Consider 10% price drop",IF(J311="Fresh","→ Hold &amp; monitor","")))</f>
        <v/>
      </c>
    </row>
    <row r="312" ht="18" customHeight="1" s="230">
      <c r="A312" s="331" t="n"/>
      <c r="B312" s="331" t="n"/>
      <c r="C312" s="332" t="n"/>
      <c r="D312" s="333" t="n"/>
      <c r="E312" s="332" t="n"/>
      <c r="F312" s="334" t="n"/>
      <c r="G312" s="334" t="n"/>
      <c r="H312" s="332" t="n"/>
      <c r="I312" s="335">
        <f>IF(OR(B312="",H312="Sold"),"—",TODAY()-B312)</f>
        <v/>
      </c>
      <c r="J312" s="336">
        <f>IF(OR(B312="",H312="Sold"),"",IF(I312="—","",IF(I312&gt;=60,"STALE — route now",IF(I312&gt;=30,"Aging — watch",IF(I312&gt;=0,"Fresh","")))))</f>
        <v/>
      </c>
      <c r="K312" s="337">
        <f>IF(J312="STALE — route now","→ Send to consignment batch",IF(J312="Aging — watch","→ Consider 10% price drop",IF(J312="Fresh","→ Hold &amp; monitor","")))</f>
        <v/>
      </c>
    </row>
    <row r="313" ht="18" customHeight="1" s="230">
      <c r="A313" s="324" t="n"/>
      <c r="B313" s="324" t="n"/>
      <c r="C313" s="325" t="n"/>
      <c r="D313" s="326" t="n"/>
      <c r="E313" s="325" t="n"/>
      <c r="F313" s="327" t="n"/>
      <c r="G313" s="327" t="n"/>
      <c r="H313" s="325" t="n"/>
      <c r="I313" s="328">
        <f>IF(OR(B313="",H313="Sold"),"—",TODAY()-B313)</f>
        <v/>
      </c>
      <c r="J313" s="329">
        <f>IF(OR(B313="",H313="Sold"),"",IF(I313="—","",IF(I313&gt;=60,"STALE — route now",IF(I313&gt;=30,"Aging — watch",IF(I313&gt;=0,"Fresh","")))))</f>
        <v/>
      </c>
      <c r="K313" s="330">
        <f>IF(J313="STALE — route now","→ Send to consignment batch",IF(J313="Aging — watch","→ Consider 10% price drop",IF(J313="Fresh","→ Hold &amp; monitor","")))</f>
        <v/>
      </c>
    </row>
    <row r="314" ht="18" customHeight="1" s="230">
      <c r="A314" s="331" t="n"/>
      <c r="B314" s="331" t="n"/>
      <c r="C314" s="332" t="n"/>
      <c r="D314" s="333" t="n"/>
      <c r="E314" s="332" t="n"/>
      <c r="F314" s="334" t="n"/>
      <c r="G314" s="334" t="n"/>
      <c r="H314" s="332" t="n"/>
      <c r="I314" s="335">
        <f>IF(OR(B314="",H314="Sold"),"—",TODAY()-B314)</f>
        <v/>
      </c>
      <c r="J314" s="336">
        <f>IF(OR(B314="",H314="Sold"),"",IF(I314="—","",IF(I314&gt;=60,"STALE — route now",IF(I314&gt;=30,"Aging — watch",IF(I314&gt;=0,"Fresh","")))))</f>
        <v/>
      </c>
      <c r="K314" s="337">
        <f>IF(J314="STALE — route now","→ Send to consignment batch",IF(J314="Aging — watch","→ Consider 10% price drop",IF(J314="Fresh","→ Hold &amp; monitor","")))</f>
        <v/>
      </c>
    </row>
    <row r="315" ht="18" customHeight="1" s="230">
      <c r="A315" s="324" t="n"/>
      <c r="B315" s="324" t="n"/>
      <c r="C315" s="325" t="n"/>
      <c r="D315" s="326" t="n"/>
      <c r="E315" s="325" t="n"/>
      <c r="F315" s="327" t="n"/>
      <c r="G315" s="327" t="n"/>
      <c r="H315" s="325" t="n"/>
      <c r="I315" s="328">
        <f>IF(OR(B315="",H315="Sold"),"—",TODAY()-B315)</f>
        <v/>
      </c>
      <c r="J315" s="329">
        <f>IF(OR(B315="",H315="Sold"),"",IF(I315="—","",IF(I315&gt;=60,"STALE — route now",IF(I315&gt;=30,"Aging — watch",IF(I315&gt;=0,"Fresh","")))))</f>
        <v/>
      </c>
      <c r="K315" s="330">
        <f>IF(J315="STALE — route now","→ Send to consignment batch",IF(J315="Aging — watch","→ Consider 10% price drop",IF(J315="Fresh","→ Hold &amp; monitor","")))</f>
        <v/>
      </c>
    </row>
    <row r="316" ht="18" customHeight="1" s="230">
      <c r="A316" s="331" t="n"/>
      <c r="B316" s="331" t="n"/>
      <c r="C316" s="332" t="n"/>
      <c r="D316" s="333" t="n"/>
      <c r="E316" s="332" t="n"/>
      <c r="F316" s="334" t="n"/>
      <c r="G316" s="334" t="n"/>
      <c r="H316" s="332" t="n"/>
      <c r="I316" s="335">
        <f>IF(OR(B316="",H316="Sold"),"—",TODAY()-B316)</f>
        <v/>
      </c>
      <c r="J316" s="336">
        <f>IF(OR(B316="",H316="Sold"),"",IF(I316="—","",IF(I316&gt;=60,"STALE — route now",IF(I316&gt;=30,"Aging — watch",IF(I316&gt;=0,"Fresh","")))))</f>
        <v/>
      </c>
      <c r="K316" s="337">
        <f>IF(J316="STALE — route now","→ Send to consignment batch",IF(J316="Aging — watch","→ Consider 10% price drop",IF(J316="Fresh","→ Hold &amp; monitor","")))</f>
        <v/>
      </c>
    </row>
    <row r="317" ht="18" customHeight="1" s="230">
      <c r="A317" s="324" t="n"/>
      <c r="B317" s="324" t="n"/>
      <c r="C317" s="325" t="n"/>
      <c r="D317" s="326" t="n"/>
      <c r="E317" s="325" t="n"/>
      <c r="F317" s="327" t="n"/>
      <c r="G317" s="327" t="n"/>
      <c r="H317" s="325" t="n"/>
      <c r="I317" s="328">
        <f>IF(OR(B317="",H317="Sold"),"—",TODAY()-B317)</f>
        <v/>
      </c>
      <c r="J317" s="329">
        <f>IF(OR(B317="",H317="Sold"),"",IF(I317="—","",IF(I317&gt;=60,"STALE — route now",IF(I317&gt;=30,"Aging — watch",IF(I317&gt;=0,"Fresh","")))))</f>
        <v/>
      </c>
      <c r="K317" s="330">
        <f>IF(J317="STALE — route now","→ Send to consignment batch",IF(J317="Aging — watch","→ Consider 10% price drop",IF(J317="Fresh","→ Hold &amp; monitor","")))</f>
        <v/>
      </c>
    </row>
    <row r="318" ht="18" customHeight="1" s="230">
      <c r="A318" s="331" t="n"/>
      <c r="B318" s="331" t="n"/>
      <c r="C318" s="332" t="n"/>
      <c r="D318" s="333" t="n"/>
      <c r="E318" s="332" t="n"/>
      <c r="F318" s="334" t="n"/>
      <c r="G318" s="334" t="n"/>
      <c r="H318" s="332" t="n"/>
      <c r="I318" s="335">
        <f>IF(OR(B318="",H318="Sold"),"—",TODAY()-B318)</f>
        <v/>
      </c>
      <c r="J318" s="336">
        <f>IF(OR(B318="",H318="Sold"),"",IF(I318="—","",IF(I318&gt;=60,"STALE — route now",IF(I318&gt;=30,"Aging — watch",IF(I318&gt;=0,"Fresh","")))))</f>
        <v/>
      </c>
      <c r="K318" s="337">
        <f>IF(J318="STALE — route now","→ Send to consignment batch",IF(J318="Aging — watch","→ Consider 10% price drop",IF(J318="Fresh","→ Hold &amp; monitor","")))</f>
        <v/>
      </c>
    </row>
    <row r="319" ht="18" customHeight="1" s="230">
      <c r="A319" s="324" t="n"/>
      <c r="B319" s="324" t="n"/>
      <c r="C319" s="325" t="n"/>
      <c r="D319" s="326" t="n"/>
      <c r="E319" s="325" t="n"/>
      <c r="F319" s="327" t="n"/>
      <c r="G319" s="327" t="n"/>
      <c r="H319" s="325" t="n"/>
      <c r="I319" s="328">
        <f>IF(OR(B319="",H319="Sold"),"—",TODAY()-B319)</f>
        <v/>
      </c>
      <c r="J319" s="329">
        <f>IF(OR(B319="",H319="Sold"),"",IF(I319="—","",IF(I319&gt;=60,"STALE — route now",IF(I319&gt;=30,"Aging — watch",IF(I319&gt;=0,"Fresh","")))))</f>
        <v/>
      </c>
      <c r="K319" s="330">
        <f>IF(J319="STALE — route now","→ Send to consignment batch",IF(J319="Aging — watch","→ Consider 10% price drop",IF(J319="Fresh","→ Hold &amp; monitor","")))</f>
        <v/>
      </c>
    </row>
    <row r="320" ht="18" customHeight="1" s="230">
      <c r="A320" s="331" t="n"/>
      <c r="B320" s="331" t="n"/>
      <c r="C320" s="332" t="n"/>
      <c r="D320" s="333" t="n"/>
      <c r="E320" s="332" t="n"/>
      <c r="F320" s="334" t="n"/>
      <c r="G320" s="334" t="n"/>
      <c r="H320" s="332" t="n"/>
      <c r="I320" s="335">
        <f>IF(OR(B320="",H320="Sold"),"—",TODAY()-B320)</f>
        <v/>
      </c>
      <c r="J320" s="336">
        <f>IF(OR(B320="",H320="Sold"),"",IF(I320="—","",IF(I320&gt;=60,"STALE — route now",IF(I320&gt;=30,"Aging — watch",IF(I320&gt;=0,"Fresh","")))))</f>
        <v/>
      </c>
      <c r="K320" s="337">
        <f>IF(J320="STALE — route now","→ Send to consignment batch",IF(J320="Aging — watch","→ Consider 10% price drop",IF(J320="Fresh","→ Hold &amp; monitor","")))</f>
        <v/>
      </c>
    </row>
    <row r="321" ht="18" customHeight="1" s="230">
      <c r="A321" s="324" t="n"/>
      <c r="B321" s="324" t="n"/>
      <c r="C321" s="325" t="n"/>
      <c r="D321" s="326" t="n"/>
      <c r="E321" s="325" t="n"/>
      <c r="F321" s="327" t="n"/>
      <c r="G321" s="327" t="n"/>
      <c r="H321" s="325" t="n"/>
      <c r="I321" s="328">
        <f>IF(OR(B321="",H321="Sold"),"—",TODAY()-B321)</f>
        <v/>
      </c>
      <c r="J321" s="329">
        <f>IF(OR(B321="",H321="Sold"),"",IF(I321="—","",IF(I321&gt;=60,"STALE — route now",IF(I321&gt;=30,"Aging — watch",IF(I321&gt;=0,"Fresh","")))))</f>
        <v/>
      </c>
      <c r="K321" s="330">
        <f>IF(J321="STALE — route now","→ Send to consignment batch",IF(J321="Aging — watch","→ Consider 10% price drop",IF(J321="Fresh","→ Hold &amp; monitor","")))</f>
        <v/>
      </c>
    </row>
    <row r="322" ht="18" customHeight="1" s="230">
      <c r="A322" s="331" t="n"/>
      <c r="B322" s="331" t="n"/>
      <c r="C322" s="332" t="n"/>
      <c r="D322" s="333" t="n"/>
      <c r="E322" s="332" t="n"/>
      <c r="F322" s="334" t="n"/>
      <c r="G322" s="334" t="n"/>
      <c r="H322" s="332" t="n"/>
      <c r="I322" s="335">
        <f>IF(OR(B322="",H322="Sold"),"—",TODAY()-B322)</f>
        <v/>
      </c>
      <c r="J322" s="336">
        <f>IF(OR(B322="",H322="Sold"),"",IF(I322="—","",IF(I322&gt;=60,"STALE — route now",IF(I322&gt;=30,"Aging — watch",IF(I322&gt;=0,"Fresh","")))))</f>
        <v/>
      </c>
      <c r="K322" s="337">
        <f>IF(J322="STALE — route now","→ Send to consignment batch",IF(J322="Aging — watch","→ Consider 10% price drop",IF(J322="Fresh","→ Hold &amp; monitor","")))</f>
        <v/>
      </c>
    </row>
    <row r="323" ht="18" customHeight="1" s="230">
      <c r="A323" s="324" t="n"/>
      <c r="B323" s="324" t="n"/>
      <c r="C323" s="325" t="n"/>
      <c r="D323" s="326" t="n"/>
      <c r="E323" s="325" t="n"/>
      <c r="F323" s="327" t="n"/>
      <c r="G323" s="327" t="n"/>
      <c r="H323" s="325" t="n"/>
      <c r="I323" s="328">
        <f>IF(OR(B323="",H323="Sold"),"—",TODAY()-B323)</f>
        <v/>
      </c>
      <c r="J323" s="329">
        <f>IF(OR(B323="",H323="Sold"),"",IF(I323="—","",IF(I323&gt;=60,"STALE — route now",IF(I323&gt;=30,"Aging — watch",IF(I323&gt;=0,"Fresh","")))))</f>
        <v/>
      </c>
      <c r="K323" s="330">
        <f>IF(J323="STALE — route now","→ Send to consignment batch",IF(J323="Aging — watch","→ Consider 10% price drop",IF(J323="Fresh","→ Hold &amp; monitor","")))</f>
        <v/>
      </c>
    </row>
    <row r="324" ht="18" customHeight="1" s="230">
      <c r="A324" s="331" t="n"/>
      <c r="B324" s="331" t="n"/>
      <c r="C324" s="332" t="n"/>
      <c r="D324" s="333" t="n"/>
      <c r="E324" s="332" t="n"/>
      <c r="F324" s="334" t="n"/>
      <c r="G324" s="334" t="n"/>
      <c r="H324" s="332" t="n"/>
      <c r="I324" s="335">
        <f>IF(OR(B324="",H324="Sold"),"—",TODAY()-B324)</f>
        <v/>
      </c>
      <c r="J324" s="336">
        <f>IF(OR(B324="",H324="Sold"),"",IF(I324="—","",IF(I324&gt;=60,"STALE — route now",IF(I324&gt;=30,"Aging — watch",IF(I324&gt;=0,"Fresh","")))))</f>
        <v/>
      </c>
      <c r="K324" s="337">
        <f>IF(J324="STALE — route now","→ Send to consignment batch",IF(J324="Aging — watch","→ Consider 10% price drop",IF(J324="Fresh","→ Hold &amp; monitor","")))</f>
        <v/>
      </c>
    </row>
    <row r="325" ht="18" customHeight="1" s="230">
      <c r="A325" s="324" t="n"/>
      <c r="B325" s="324" t="n"/>
      <c r="C325" s="325" t="n"/>
      <c r="D325" s="326" t="n"/>
      <c r="E325" s="325" t="n"/>
      <c r="F325" s="327" t="n"/>
      <c r="G325" s="327" t="n"/>
      <c r="H325" s="325" t="n"/>
      <c r="I325" s="328">
        <f>IF(OR(B325="",H325="Sold"),"—",TODAY()-B325)</f>
        <v/>
      </c>
      <c r="J325" s="329">
        <f>IF(OR(B325="",H325="Sold"),"",IF(I325="—","",IF(I325&gt;=60,"STALE — route now",IF(I325&gt;=30,"Aging — watch",IF(I325&gt;=0,"Fresh","")))))</f>
        <v/>
      </c>
      <c r="K325" s="330">
        <f>IF(J325="STALE — route now","→ Send to consignment batch",IF(J325="Aging — watch","→ Consider 10% price drop",IF(J325="Fresh","→ Hold &amp; monitor","")))</f>
        <v/>
      </c>
    </row>
    <row r="326" ht="18" customHeight="1" s="230">
      <c r="A326" s="331" t="n"/>
      <c r="B326" s="331" t="n"/>
      <c r="C326" s="332" t="n"/>
      <c r="D326" s="333" t="n"/>
      <c r="E326" s="332" t="n"/>
      <c r="F326" s="334" t="n"/>
      <c r="G326" s="334" t="n"/>
      <c r="H326" s="332" t="n"/>
      <c r="I326" s="335">
        <f>IF(OR(B326="",H326="Sold"),"—",TODAY()-B326)</f>
        <v/>
      </c>
      <c r="J326" s="336">
        <f>IF(OR(B326="",H326="Sold"),"",IF(I326="—","",IF(I326&gt;=60,"STALE — route now",IF(I326&gt;=30,"Aging — watch",IF(I326&gt;=0,"Fresh","")))))</f>
        <v/>
      </c>
      <c r="K326" s="337">
        <f>IF(J326="STALE — route now","→ Send to consignment batch",IF(J326="Aging — watch","→ Consider 10% price drop",IF(J326="Fresh","→ Hold &amp; monitor","")))</f>
        <v/>
      </c>
    </row>
    <row r="327" ht="18" customHeight="1" s="230">
      <c r="A327" s="324" t="n"/>
      <c r="B327" s="324" t="n"/>
      <c r="C327" s="325" t="n"/>
      <c r="D327" s="326" t="n"/>
      <c r="E327" s="325" t="n"/>
      <c r="F327" s="327" t="n"/>
      <c r="G327" s="327" t="n"/>
      <c r="H327" s="325" t="n"/>
      <c r="I327" s="328">
        <f>IF(OR(B327="",H327="Sold"),"—",TODAY()-B327)</f>
        <v/>
      </c>
      <c r="J327" s="329">
        <f>IF(OR(B327="",H327="Sold"),"",IF(I327="—","",IF(I327&gt;=60,"STALE — route now",IF(I327&gt;=30,"Aging — watch",IF(I327&gt;=0,"Fresh","")))))</f>
        <v/>
      </c>
      <c r="K327" s="330">
        <f>IF(J327="STALE — route now","→ Send to consignment batch",IF(J327="Aging — watch","→ Consider 10% price drop",IF(J327="Fresh","→ Hold &amp; monitor","")))</f>
        <v/>
      </c>
    </row>
    <row r="328" ht="18" customHeight="1" s="230">
      <c r="A328" s="331" t="n"/>
      <c r="B328" s="331" t="n"/>
      <c r="C328" s="332" t="n"/>
      <c r="D328" s="333" t="n"/>
      <c r="E328" s="332" t="n"/>
      <c r="F328" s="334" t="n"/>
      <c r="G328" s="334" t="n"/>
      <c r="H328" s="332" t="n"/>
      <c r="I328" s="335">
        <f>IF(OR(B328="",H328="Sold"),"—",TODAY()-B328)</f>
        <v/>
      </c>
      <c r="J328" s="336">
        <f>IF(OR(B328="",H328="Sold"),"",IF(I328="—","",IF(I328&gt;=60,"STALE — route now",IF(I328&gt;=30,"Aging — watch",IF(I328&gt;=0,"Fresh","")))))</f>
        <v/>
      </c>
      <c r="K328" s="337">
        <f>IF(J328="STALE — route now","→ Send to consignment batch",IF(J328="Aging — watch","→ Consider 10% price drop",IF(J328="Fresh","→ Hold &amp; monitor","")))</f>
        <v/>
      </c>
    </row>
    <row r="329" ht="18" customHeight="1" s="230">
      <c r="A329" s="324" t="n"/>
      <c r="B329" s="324" t="n"/>
      <c r="C329" s="325" t="n"/>
      <c r="D329" s="326" t="n"/>
      <c r="E329" s="325" t="n"/>
      <c r="F329" s="327" t="n"/>
      <c r="G329" s="327" t="n"/>
      <c r="H329" s="325" t="n"/>
      <c r="I329" s="328">
        <f>IF(OR(B329="",H329="Sold"),"—",TODAY()-B329)</f>
        <v/>
      </c>
      <c r="J329" s="329">
        <f>IF(OR(B329="",H329="Sold"),"",IF(I329="—","",IF(I329&gt;=60,"STALE — route now",IF(I329&gt;=30,"Aging — watch",IF(I329&gt;=0,"Fresh","")))))</f>
        <v/>
      </c>
      <c r="K329" s="330">
        <f>IF(J329="STALE — route now","→ Send to consignment batch",IF(J329="Aging — watch","→ Consider 10% price drop",IF(J329="Fresh","→ Hold &amp; monitor","")))</f>
        <v/>
      </c>
    </row>
    <row r="330" ht="18" customHeight="1" s="230">
      <c r="A330" s="331" t="n"/>
      <c r="B330" s="331" t="n"/>
      <c r="C330" s="332" t="n"/>
      <c r="D330" s="333" t="n"/>
      <c r="E330" s="332" t="n"/>
      <c r="F330" s="334" t="n"/>
      <c r="G330" s="334" t="n"/>
      <c r="H330" s="332" t="n"/>
      <c r="I330" s="335">
        <f>IF(OR(B330="",H330="Sold"),"—",TODAY()-B330)</f>
        <v/>
      </c>
      <c r="J330" s="336">
        <f>IF(OR(B330="",H330="Sold"),"",IF(I330="—","",IF(I330&gt;=60,"STALE — route now",IF(I330&gt;=30,"Aging — watch",IF(I330&gt;=0,"Fresh","")))))</f>
        <v/>
      </c>
      <c r="K330" s="337">
        <f>IF(J330="STALE — route now","→ Send to consignment batch",IF(J330="Aging — watch","→ Consider 10% price drop",IF(J330="Fresh","→ Hold &amp; monitor","")))</f>
        <v/>
      </c>
    </row>
    <row r="331" ht="18" customHeight="1" s="230">
      <c r="A331" s="324" t="n"/>
      <c r="B331" s="324" t="n"/>
      <c r="C331" s="325" t="n"/>
      <c r="D331" s="326" t="n"/>
      <c r="E331" s="325" t="n"/>
      <c r="F331" s="327" t="n"/>
      <c r="G331" s="327" t="n"/>
      <c r="H331" s="325" t="n"/>
      <c r="I331" s="328">
        <f>IF(OR(B331="",H331="Sold"),"—",TODAY()-B331)</f>
        <v/>
      </c>
      <c r="J331" s="329">
        <f>IF(OR(B331="",H331="Sold"),"",IF(I331="—","",IF(I331&gt;=60,"STALE — route now",IF(I331&gt;=30,"Aging — watch",IF(I331&gt;=0,"Fresh","")))))</f>
        <v/>
      </c>
      <c r="K331" s="330">
        <f>IF(J331="STALE — route now","→ Send to consignment batch",IF(J331="Aging — watch","→ Consider 10% price drop",IF(J331="Fresh","→ Hold &amp; monitor","")))</f>
        <v/>
      </c>
    </row>
    <row r="332" ht="18" customHeight="1" s="230">
      <c r="A332" s="331" t="n"/>
      <c r="B332" s="331" t="n"/>
      <c r="C332" s="332" t="n"/>
      <c r="D332" s="333" t="n"/>
      <c r="E332" s="332" t="n"/>
      <c r="F332" s="334" t="n"/>
      <c r="G332" s="334" t="n"/>
      <c r="H332" s="332" t="n"/>
      <c r="I332" s="335">
        <f>IF(OR(B332="",H332="Sold"),"—",TODAY()-B332)</f>
        <v/>
      </c>
      <c r="J332" s="336">
        <f>IF(OR(B332="",H332="Sold"),"",IF(I332="—","",IF(I332&gt;=60,"STALE — route now",IF(I332&gt;=30,"Aging — watch",IF(I332&gt;=0,"Fresh","")))))</f>
        <v/>
      </c>
      <c r="K332" s="337">
        <f>IF(J332="STALE — route now","→ Send to consignment batch",IF(J332="Aging — watch","→ Consider 10% price drop",IF(J332="Fresh","→ Hold &amp; monitor","")))</f>
        <v/>
      </c>
    </row>
    <row r="333" ht="18" customHeight="1" s="230">
      <c r="A333" s="324" t="n"/>
      <c r="B333" s="324" t="n"/>
      <c r="C333" s="325" t="n"/>
      <c r="D333" s="326" t="n"/>
      <c r="E333" s="325" t="n"/>
      <c r="F333" s="327" t="n"/>
      <c r="G333" s="327" t="n"/>
      <c r="H333" s="325" t="n"/>
      <c r="I333" s="328">
        <f>IF(OR(B333="",H333="Sold"),"—",TODAY()-B333)</f>
        <v/>
      </c>
      <c r="J333" s="329">
        <f>IF(OR(B333="",H333="Sold"),"",IF(I333="—","",IF(I333&gt;=60,"STALE — route now",IF(I333&gt;=30,"Aging — watch",IF(I333&gt;=0,"Fresh","")))))</f>
        <v/>
      </c>
      <c r="K333" s="330">
        <f>IF(J333="STALE — route now","→ Send to consignment batch",IF(J333="Aging — watch","→ Consider 10% price drop",IF(J333="Fresh","→ Hold &amp; monitor","")))</f>
        <v/>
      </c>
    </row>
    <row r="334" ht="18" customHeight="1" s="230">
      <c r="A334" s="331" t="n"/>
      <c r="B334" s="331" t="n"/>
      <c r="C334" s="332" t="n"/>
      <c r="D334" s="333" t="n"/>
      <c r="E334" s="332" t="n"/>
      <c r="F334" s="334" t="n"/>
      <c r="G334" s="334" t="n"/>
      <c r="H334" s="332" t="n"/>
      <c r="I334" s="335">
        <f>IF(OR(B334="",H334="Sold"),"—",TODAY()-B334)</f>
        <v/>
      </c>
      <c r="J334" s="336">
        <f>IF(OR(B334="",H334="Sold"),"",IF(I334="—","",IF(I334&gt;=60,"STALE — route now",IF(I334&gt;=30,"Aging — watch",IF(I334&gt;=0,"Fresh","")))))</f>
        <v/>
      </c>
      <c r="K334" s="337">
        <f>IF(J334="STALE — route now","→ Send to consignment batch",IF(J334="Aging — watch","→ Consider 10% price drop",IF(J334="Fresh","→ Hold &amp; monitor","")))</f>
        <v/>
      </c>
    </row>
    <row r="335" ht="18" customHeight="1" s="230">
      <c r="A335" s="324" t="n"/>
      <c r="B335" s="324" t="n"/>
      <c r="C335" s="325" t="n"/>
      <c r="D335" s="326" t="n"/>
      <c r="E335" s="325" t="n"/>
      <c r="F335" s="327" t="n"/>
      <c r="G335" s="327" t="n"/>
      <c r="H335" s="325" t="n"/>
      <c r="I335" s="328">
        <f>IF(OR(B335="",H335="Sold"),"—",TODAY()-B335)</f>
        <v/>
      </c>
      <c r="J335" s="329">
        <f>IF(OR(B335="",H335="Sold"),"",IF(I335="—","",IF(I335&gt;=60,"STALE — route now",IF(I335&gt;=30,"Aging — watch",IF(I335&gt;=0,"Fresh","")))))</f>
        <v/>
      </c>
      <c r="K335" s="330">
        <f>IF(J335="STALE — route now","→ Send to consignment batch",IF(J335="Aging — watch","→ Consider 10% price drop",IF(J335="Fresh","→ Hold &amp; monitor","")))</f>
        <v/>
      </c>
    </row>
    <row r="336" ht="18" customHeight="1" s="230">
      <c r="A336" s="331" t="n"/>
      <c r="B336" s="331" t="n"/>
      <c r="C336" s="332" t="n"/>
      <c r="D336" s="333" t="n"/>
      <c r="E336" s="332" t="n"/>
      <c r="F336" s="334" t="n"/>
      <c r="G336" s="334" t="n"/>
      <c r="H336" s="332" t="n"/>
      <c r="I336" s="335">
        <f>IF(OR(B336="",H336="Sold"),"—",TODAY()-B336)</f>
        <v/>
      </c>
      <c r="J336" s="336">
        <f>IF(OR(B336="",H336="Sold"),"",IF(I336="—","",IF(I336&gt;=60,"STALE — route now",IF(I336&gt;=30,"Aging — watch",IF(I336&gt;=0,"Fresh","")))))</f>
        <v/>
      </c>
      <c r="K336" s="337">
        <f>IF(J336="STALE — route now","→ Send to consignment batch",IF(J336="Aging — watch","→ Consider 10% price drop",IF(J336="Fresh","→ Hold &amp; monitor","")))</f>
        <v/>
      </c>
    </row>
    <row r="337" ht="18" customHeight="1" s="230">
      <c r="A337" s="324" t="n"/>
      <c r="B337" s="324" t="n"/>
      <c r="C337" s="325" t="n"/>
      <c r="D337" s="326" t="n"/>
      <c r="E337" s="325" t="n"/>
      <c r="F337" s="327" t="n"/>
      <c r="G337" s="327" t="n"/>
      <c r="H337" s="325" t="n"/>
      <c r="I337" s="328">
        <f>IF(OR(B337="",H337="Sold"),"—",TODAY()-B337)</f>
        <v/>
      </c>
      <c r="J337" s="329">
        <f>IF(OR(B337="",H337="Sold"),"",IF(I337="—","",IF(I337&gt;=60,"STALE — route now",IF(I337&gt;=30,"Aging — watch",IF(I337&gt;=0,"Fresh","")))))</f>
        <v/>
      </c>
      <c r="K337" s="330">
        <f>IF(J337="STALE — route now","→ Send to consignment batch",IF(J337="Aging — watch","→ Consider 10% price drop",IF(J337="Fresh","→ Hold &amp; monitor","")))</f>
        <v/>
      </c>
    </row>
    <row r="338" ht="18" customHeight="1" s="230">
      <c r="A338" s="331" t="n"/>
      <c r="B338" s="331" t="n"/>
      <c r="C338" s="332" t="n"/>
      <c r="D338" s="333" t="n"/>
      <c r="E338" s="332" t="n"/>
      <c r="F338" s="334" t="n"/>
      <c r="G338" s="334" t="n"/>
      <c r="H338" s="332" t="n"/>
      <c r="I338" s="335">
        <f>IF(OR(B338="",H338="Sold"),"—",TODAY()-B338)</f>
        <v/>
      </c>
      <c r="J338" s="336">
        <f>IF(OR(B338="",H338="Sold"),"",IF(I338="—","",IF(I338&gt;=60,"STALE — route now",IF(I338&gt;=30,"Aging — watch",IF(I338&gt;=0,"Fresh","")))))</f>
        <v/>
      </c>
      <c r="K338" s="337">
        <f>IF(J338="STALE — route now","→ Send to consignment batch",IF(J338="Aging — watch","→ Consider 10% price drop",IF(J338="Fresh","→ Hold &amp; monitor","")))</f>
        <v/>
      </c>
    </row>
    <row r="339" ht="18" customHeight="1" s="230">
      <c r="A339" s="324" t="n"/>
      <c r="B339" s="324" t="n"/>
      <c r="C339" s="325" t="n"/>
      <c r="D339" s="326" t="n"/>
      <c r="E339" s="325" t="n"/>
      <c r="F339" s="327" t="n"/>
      <c r="G339" s="327" t="n"/>
      <c r="H339" s="325" t="n"/>
      <c r="I339" s="328">
        <f>IF(OR(B339="",H339="Sold"),"—",TODAY()-B339)</f>
        <v/>
      </c>
      <c r="J339" s="329">
        <f>IF(OR(B339="",H339="Sold"),"",IF(I339="—","",IF(I339&gt;=60,"STALE — route now",IF(I339&gt;=30,"Aging — watch",IF(I339&gt;=0,"Fresh","")))))</f>
        <v/>
      </c>
      <c r="K339" s="330">
        <f>IF(J339="STALE — route now","→ Send to consignment batch",IF(J339="Aging — watch","→ Consider 10% price drop",IF(J339="Fresh","→ Hold &amp; monitor","")))</f>
        <v/>
      </c>
    </row>
    <row r="340" ht="18" customHeight="1" s="230">
      <c r="A340" s="331" t="n"/>
      <c r="B340" s="331" t="n"/>
      <c r="C340" s="332" t="n"/>
      <c r="D340" s="333" t="n"/>
      <c r="E340" s="332" t="n"/>
      <c r="F340" s="334" t="n"/>
      <c r="G340" s="334" t="n"/>
      <c r="H340" s="332" t="n"/>
      <c r="I340" s="335">
        <f>IF(OR(B340="",H340="Sold"),"—",TODAY()-B340)</f>
        <v/>
      </c>
      <c r="J340" s="336">
        <f>IF(OR(B340="",H340="Sold"),"",IF(I340="—","",IF(I340&gt;=60,"STALE — route now",IF(I340&gt;=30,"Aging — watch",IF(I340&gt;=0,"Fresh","")))))</f>
        <v/>
      </c>
      <c r="K340" s="337">
        <f>IF(J340="STALE — route now","→ Send to consignment batch",IF(J340="Aging — watch","→ Consider 10% price drop",IF(J340="Fresh","→ Hold &amp; monitor","")))</f>
        <v/>
      </c>
    </row>
    <row r="341" ht="18" customHeight="1" s="230">
      <c r="A341" s="324" t="n"/>
      <c r="B341" s="324" t="n"/>
      <c r="C341" s="325" t="n"/>
      <c r="D341" s="326" t="n"/>
      <c r="E341" s="325" t="n"/>
      <c r="F341" s="327" t="n"/>
      <c r="G341" s="327" t="n"/>
      <c r="H341" s="325" t="n"/>
      <c r="I341" s="328">
        <f>IF(OR(B341="",H341="Sold"),"—",TODAY()-B341)</f>
        <v/>
      </c>
      <c r="J341" s="329">
        <f>IF(OR(B341="",H341="Sold"),"",IF(I341="—","",IF(I341&gt;=60,"STALE — route now",IF(I341&gt;=30,"Aging — watch",IF(I341&gt;=0,"Fresh","")))))</f>
        <v/>
      </c>
      <c r="K341" s="330">
        <f>IF(J341="STALE — route now","→ Send to consignment batch",IF(J341="Aging — watch","→ Consider 10% price drop",IF(J341="Fresh","→ Hold &amp; monitor","")))</f>
        <v/>
      </c>
    </row>
    <row r="342" ht="18" customHeight="1" s="230">
      <c r="A342" s="331" t="n"/>
      <c r="B342" s="331" t="n"/>
      <c r="C342" s="332" t="n"/>
      <c r="D342" s="333" t="n"/>
      <c r="E342" s="332" t="n"/>
      <c r="F342" s="334" t="n"/>
      <c r="G342" s="334" t="n"/>
      <c r="H342" s="332" t="n"/>
      <c r="I342" s="335">
        <f>IF(OR(B342="",H342="Sold"),"—",TODAY()-B342)</f>
        <v/>
      </c>
      <c r="J342" s="336">
        <f>IF(OR(B342="",H342="Sold"),"",IF(I342="—","",IF(I342&gt;=60,"STALE — route now",IF(I342&gt;=30,"Aging — watch",IF(I342&gt;=0,"Fresh","")))))</f>
        <v/>
      </c>
      <c r="K342" s="337">
        <f>IF(J342="STALE — route now","→ Send to consignment batch",IF(J342="Aging — watch","→ Consider 10% price drop",IF(J342="Fresh","→ Hold &amp; monitor","")))</f>
        <v/>
      </c>
    </row>
    <row r="343" ht="18" customHeight="1" s="230">
      <c r="A343" s="324" t="n"/>
      <c r="B343" s="324" t="n"/>
      <c r="C343" s="325" t="n"/>
      <c r="D343" s="326" t="n"/>
      <c r="E343" s="325" t="n"/>
      <c r="F343" s="327" t="n"/>
      <c r="G343" s="327" t="n"/>
      <c r="H343" s="325" t="n"/>
      <c r="I343" s="328">
        <f>IF(OR(B343="",H343="Sold"),"—",TODAY()-B343)</f>
        <v/>
      </c>
      <c r="J343" s="329">
        <f>IF(OR(B343="",H343="Sold"),"",IF(I343="—","",IF(I343&gt;=60,"STALE — route now",IF(I343&gt;=30,"Aging — watch",IF(I343&gt;=0,"Fresh","")))))</f>
        <v/>
      </c>
      <c r="K343" s="330">
        <f>IF(J343="STALE — route now","→ Send to consignment batch",IF(J343="Aging — watch","→ Consider 10% price drop",IF(J343="Fresh","→ Hold &amp; monitor","")))</f>
        <v/>
      </c>
    </row>
    <row r="344" ht="18" customHeight="1" s="230">
      <c r="A344" s="331" t="n"/>
      <c r="B344" s="331" t="n"/>
      <c r="C344" s="332" t="n"/>
      <c r="D344" s="333" t="n"/>
      <c r="E344" s="332" t="n"/>
      <c r="F344" s="334" t="n"/>
      <c r="G344" s="334" t="n"/>
      <c r="H344" s="332" t="n"/>
      <c r="I344" s="335">
        <f>IF(OR(B344="",H344="Sold"),"—",TODAY()-B344)</f>
        <v/>
      </c>
      <c r="J344" s="336">
        <f>IF(OR(B344="",H344="Sold"),"",IF(I344="—","",IF(I344&gt;=60,"STALE — route now",IF(I344&gt;=30,"Aging — watch",IF(I344&gt;=0,"Fresh","")))))</f>
        <v/>
      </c>
      <c r="K344" s="337">
        <f>IF(J344="STALE — route now","→ Send to consignment batch",IF(J344="Aging — watch","→ Consider 10% price drop",IF(J344="Fresh","→ Hold &amp; monitor","")))</f>
        <v/>
      </c>
    </row>
    <row r="345" ht="18" customHeight="1" s="230">
      <c r="A345" s="324" t="n"/>
      <c r="B345" s="324" t="n"/>
      <c r="C345" s="325" t="n"/>
      <c r="D345" s="326" t="n"/>
      <c r="E345" s="325" t="n"/>
      <c r="F345" s="327" t="n"/>
      <c r="G345" s="327" t="n"/>
      <c r="H345" s="325" t="n"/>
      <c r="I345" s="328">
        <f>IF(OR(B345="",H345="Sold"),"—",TODAY()-B345)</f>
        <v/>
      </c>
      <c r="J345" s="329">
        <f>IF(OR(B345="",H345="Sold"),"",IF(I345="—","",IF(I345&gt;=60,"STALE — route now",IF(I345&gt;=30,"Aging — watch",IF(I345&gt;=0,"Fresh","")))))</f>
        <v/>
      </c>
      <c r="K345" s="330">
        <f>IF(J345="STALE — route now","→ Send to consignment batch",IF(J345="Aging — watch","→ Consider 10% price drop",IF(J345="Fresh","→ Hold &amp; monitor","")))</f>
        <v/>
      </c>
    </row>
    <row r="346" ht="18" customHeight="1" s="230">
      <c r="A346" s="331" t="n"/>
      <c r="B346" s="331" t="n"/>
      <c r="C346" s="332" t="n"/>
      <c r="D346" s="333" t="n"/>
      <c r="E346" s="332" t="n"/>
      <c r="F346" s="334" t="n"/>
      <c r="G346" s="334" t="n"/>
      <c r="H346" s="332" t="n"/>
      <c r="I346" s="335">
        <f>IF(OR(B346="",H346="Sold"),"—",TODAY()-B346)</f>
        <v/>
      </c>
      <c r="J346" s="336">
        <f>IF(OR(B346="",H346="Sold"),"",IF(I346="—","",IF(I346&gt;=60,"STALE — route now",IF(I346&gt;=30,"Aging — watch",IF(I346&gt;=0,"Fresh","")))))</f>
        <v/>
      </c>
      <c r="K346" s="337">
        <f>IF(J346="STALE — route now","→ Send to consignment batch",IF(J346="Aging — watch","→ Consider 10% price drop",IF(J346="Fresh","→ Hold &amp; monitor","")))</f>
        <v/>
      </c>
    </row>
    <row r="347" ht="18" customHeight="1" s="230">
      <c r="A347" s="324" t="n"/>
      <c r="B347" s="324" t="n"/>
      <c r="C347" s="325" t="n"/>
      <c r="D347" s="326" t="n"/>
      <c r="E347" s="325" t="n"/>
      <c r="F347" s="327" t="n"/>
      <c r="G347" s="327" t="n"/>
      <c r="H347" s="325" t="n"/>
      <c r="I347" s="328">
        <f>IF(OR(B347="",H347="Sold"),"—",TODAY()-B347)</f>
        <v/>
      </c>
      <c r="J347" s="329">
        <f>IF(OR(B347="",H347="Sold"),"",IF(I347="—","",IF(I347&gt;=60,"STALE — route now",IF(I347&gt;=30,"Aging — watch",IF(I347&gt;=0,"Fresh","")))))</f>
        <v/>
      </c>
      <c r="K347" s="330">
        <f>IF(J347="STALE — route now","→ Send to consignment batch",IF(J347="Aging — watch","→ Consider 10% price drop",IF(J347="Fresh","→ Hold &amp; monitor","")))</f>
        <v/>
      </c>
    </row>
    <row r="348" ht="18" customHeight="1" s="230">
      <c r="A348" s="331" t="n"/>
      <c r="B348" s="331" t="n"/>
      <c r="C348" s="332" t="n"/>
      <c r="D348" s="333" t="n"/>
      <c r="E348" s="332" t="n"/>
      <c r="F348" s="334" t="n"/>
      <c r="G348" s="334" t="n"/>
      <c r="H348" s="332" t="n"/>
      <c r="I348" s="335">
        <f>IF(OR(B348="",H348="Sold"),"—",TODAY()-B348)</f>
        <v/>
      </c>
      <c r="J348" s="336">
        <f>IF(OR(B348="",H348="Sold"),"",IF(I348="—","",IF(I348&gt;=60,"STALE — route now",IF(I348&gt;=30,"Aging — watch",IF(I348&gt;=0,"Fresh","")))))</f>
        <v/>
      </c>
      <c r="K348" s="337">
        <f>IF(J348="STALE — route now","→ Send to consignment batch",IF(J348="Aging — watch","→ Consider 10% price drop",IF(J348="Fresh","→ Hold &amp; monitor","")))</f>
        <v/>
      </c>
    </row>
    <row r="349" ht="18" customHeight="1" s="230">
      <c r="A349" s="324" t="n"/>
      <c r="B349" s="324" t="n"/>
      <c r="C349" s="325" t="n"/>
      <c r="D349" s="326" t="n"/>
      <c r="E349" s="325" t="n"/>
      <c r="F349" s="327" t="n"/>
      <c r="G349" s="327" t="n"/>
      <c r="H349" s="325" t="n"/>
      <c r="I349" s="328">
        <f>IF(OR(B349="",H349="Sold"),"—",TODAY()-B349)</f>
        <v/>
      </c>
      <c r="J349" s="329">
        <f>IF(OR(B349="",H349="Sold"),"",IF(I349="—","",IF(I349&gt;=60,"STALE — route now",IF(I349&gt;=30,"Aging — watch",IF(I349&gt;=0,"Fresh","")))))</f>
        <v/>
      </c>
      <c r="K349" s="330">
        <f>IF(J349="STALE — route now","→ Send to consignment batch",IF(J349="Aging — watch","→ Consider 10% price drop",IF(J349="Fresh","→ Hold &amp; monitor","")))</f>
        <v/>
      </c>
    </row>
    <row r="350" ht="18" customHeight="1" s="230">
      <c r="A350" s="331" t="n"/>
      <c r="B350" s="331" t="n"/>
      <c r="C350" s="332" t="n"/>
      <c r="D350" s="333" t="n"/>
      <c r="E350" s="332" t="n"/>
      <c r="F350" s="334" t="n"/>
      <c r="G350" s="334" t="n"/>
      <c r="H350" s="332" t="n"/>
      <c r="I350" s="335">
        <f>IF(OR(B350="",H350="Sold"),"—",TODAY()-B350)</f>
        <v/>
      </c>
      <c r="J350" s="336">
        <f>IF(OR(B350="",H350="Sold"),"",IF(I350="—","",IF(I350&gt;=60,"STALE — route now",IF(I350&gt;=30,"Aging — watch",IF(I350&gt;=0,"Fresh","")))))</f>
        <v/>
      </c>
      <c r="K350" s="337">
        <f>IF(J350="STALE — route now","→ Send to consignment batch",IF(J350="Aging — watch","→ Consider 10% price drop",IF(J350="Fresh","→ Hold &amp; monitor","")))</f>
        <v/>
      </c>
    </row>
    <row r="351" ht="18" customHeight="1" s="230">
      <c r="A351" s="324" t="n"/>
      <c r="B351" s="324" t="n"/>
      <c r="C351" s="325" t="n"/>
      <c r="D351" s="326" t="n"/>
      <c r="E351" s="325" t="n"/>
      <c r="F351" s="327" t="n"/>
      <c r="G351" s="327" t="n"/>
      <c r="H351" s="325" t="n"/>
      <c r="I351" s="328">
        <f>IF(OR(B351="",H351="Sold"),"—",TODAY()-B351)</f>
        <v/>
      </c>
      <c r="J351" s="329">
        <f>IF(OR(B351="",H351="Sold"),"",IF(I351="—","",IF(I351&gt;=60,"STALE — route now",IF(I351&gt;=30,"Aging — watch",IF(I351&gt;=0,"Fresh","")))))</f>
        <v/>
      </c>
      <c r="K351" s="330">
        <f>IF(J351="STALE — route now","→ Send to consignment batch",IF(J351="Aging — watch","→ Consider 10% price drop",IF(J351="Fresh","→ Hold &amp; monitor","")))</f>
        <v/>
      </c>
    </row>
    <row r="352" ht="18" customHeight="1" s="230">
      <c r="A352" s="331" t="n"/>
      <c r="B352" s="331" t="n"/>
      <c r="C352" s="332" t="n"/>
      <c r="D352" s="333" t="n"/>
      <c r="E352" s="332" t="n"/>
      <c r="F352" s="334" t="n"/>
      <c r="G352" s="334" t="n"/>
      <c r="H352" s="332" t="n"/>
      <c r="I352" s="335">
        <f>IF(OR(B352="",H352="Sold"),"—",TODAY()-B352)</f>
        <v/>
      </c>
      <c r="J352" s="336">
        <f>IF(OR(B352="",H352="Sold"),"",IF(I352="—","",IF(I352&gt;=60,"STALE — route now",IF(I352&gt;=30,"Aging — watch",IF(I352&gt;=0,"Fresh","")))))</f>
        <v/>
      </c>
      <c r="K352" s="337">
        <f>IF(J352="STALE — route now","→ Send to consignment batch",IF(J352="Aging — watch","→ Consider 10% price drop",IF(J352="Fresh","→ Hold &amp; monitor","")))</f>
        <v/>
      </c>
    </row>
    <row r="353" ht="18" customHeight="1" s="230">
      <c r="A353" s="324" t="n"/>
      <c r="B353" s="324" t="n"/>
      <c r="C353" s="325" t="n"/>
      <c r="D353" s="326" t="n"/>
      <c r="E353" s="325" t="n"/>
      <c r="F353" s="327" t="n"/>
      <c r="G353" s="327" t="n"/>
      <c r="H353" s="325" t="n"/>
      <c r="I353" s="328">
        <f>IF(OR(B353="",H353="Sold"),"—",TODAY()-B353)</f>
        <v/>
      </c>
      <c r="J353" s="329">
        <f>IF(OR(B353="",H353="Sold"),"",IF(I353="—","",IF(I353&gt;=60,"STALE — route now",IF(I353&gt;=30,"Aging — watch",IF(I353&gt;=0,"Fresh","")))))</f>
        <v/>
      </c>
      <c r="K353" s="330">
        <f>IF(J353="STALE — route now","→ Send to consignment batch",IF(J353="Aging — watch","→ Consider 10% price drop",IF(J353="Fresh","→ Hold &amp; monitor","")))</f>
        <v/>
      </c>
    </row>
    <row r="354" ht="18" customHeight="1" s="230">
      <c r="A354" s="331" t="n"/>
      <c r="B354" s="331" t="n"/>
      <c r="C354" s="332" t="n"/>
      <c r="D354" s="333" t="n"/>
      <c r="E354" s="332" t="n"/>
      <c r="F354" s="334" t="n"/>
      <c r="G354" s="334" t="n"/>
      <c r="H354" s="332" t="n"/>
      <c r="I354" s="335">
        <f>IF(OR(B354="",H354="Sold"),"—",TODAY()-B354)</f>
        <v/>
      </c>
      <c r="J354" s="336">
        <f>IF(OR(B354="",H354="Sold"),"",IF(I354="—","",IF(I354&gt;=60,"STALE — route now",IF(I354&gt;=30,"Aging — watch",IF(I354&gt;=0,"Fresh","")))))</f>
        <v/>
      </c>
      <c r="K354" s="337">
        <f>IF(J354="STALE — route now","→ Send to consignment batch",IF(J354="Aging — watch","→ Consider 10% price drop",IF(J354="Fresh","→ Hold &amp; monitor","")))</f>
        <v/>
      </c>
    </row>
    <row r="355" ht="18" customHeight="1" s="230">
      <c r="A355" s="324" t="n"/>
      <c r="B355" s="324" t="n"/>
      <c r="C355" s="325" t="n"/>
      <c r="D355" s="326" t="n"/>
      <c r="E355" s="325" t="n"/>
      <c r="F355" s="327" t="n"/>
      <c r="G355" s="327" t="n"/>
      <c r="H355" s="325" t="n"/>
      <c r="I355" s="328">
        <f>IF(OR(B355="",H355="Sold"),"—",TODAY()-B355)</f>
        <v/>
      </c>
      <c r="J355" s="329">
        <f>IF(OR(B355="",H355="Sold"),"",IF(I355="—","",IF(I355&gt;=60,"STALE — route now",IF(I355&gt;=30,"Aging — watch",IF(I355&gt;=0,"Fresh","")))))</f>
        <v/>
      </c>
      <c r="K355" s="330">
        <f>IF(J355="STALE — route now","→ Send to consignment batch",IF(J355="Aging — watch","→ Consider 10% price drop",IF(J355="Fresh","→ Hold &amp; monitor","")))</f>
        <v/>
      </c>
    </row>
    <row r="356" ht="18" customHeight="1" s="230">
      <c r="A356" s="331" t="n"/>
      <c r="B356" s="331" t="n"/>
      <c r="C356" s="332" t="n"/>
      <c r="D356" s="333" t="n"/>
      <c r="E356" s="332" t="n"/>
      <c r="F356" s="334" t="n"/>
      <c r="G356" s="334" t="n"/>
      <c r="H356" s="332" t="n"/>
      <c r="I356" s="335">
        <f>IF(OR(B356="",H356="Sold"),"—",TODAY()-B356)</f>
        <v/>
      </c>
      <c r="J356" s="336">
        <f>IF(OR(B356="",H356="Sold"),"",IF(I356="—","",IF(I356&gt;=60,"STALE — route now",IF(I356&gt;=30,"Aging — watch",IF(I356&gt;=0,"Fresh","")))))</f>
        <v/>
      </c>
      <c r="K356" s="337">
        <f>IF(J356="STALE — route now","→ Send to consignment batch",IF(J356="Aging — watch","→ Consider 10% price drop",IF(J356="Fresh","→ Hold &amp; monitor","")))</f>
        <v/>
      </c>
    </row>
    <row r="357" ht="18" customHeight="1" s="230">
      <c r="A357" s="324" t="n"/>
      <c r="B357" s="324" t="n"/>
      <c r="C357" s="325" t="n"/>
      <c r="D357" s="326" t="n"/>
      <c r="E357" s="325" t="n"/>
      <c r="F357" s="327" t="n"/>
      <c r="G357" s="327" t="n"/>
      <c r="H357" s="325" t="n"/>
      <c r="I357" s="328">
        <f>IF(OR(B357="",H357="Sold"),"—",TODAY()-B357)</f>
        <v/>
      </c>
      <c r="J357" s="329">
        <f>IF(OR(B357="",H357="Sold"),"",IF(I357="—","",IF(I357&gt;=60,"STALE — route now",IF(I357&gt;=30,"Aging — watch",IF(I357&gt;=0,"Fresh","")))))</f>
        <v/>
      </c>
      <c r="K357" s="330">
        <f>IF(J357="STALE — route now","→ Send to consignment batch",IF(J357="Aging — watch","→ Consider 10% price drop",IF(J357="Fresh","→ Hold &amp; monitor","")))</f>
        <v/>
      </c>
    </row>
    <row r="358" ht="18" customHeight="1" s="230">
      <c r="A358" s="331" t="n"/>
      <c r="B358" s="331" t="n"/>
      <c r="C358" s="332" t="n"/>
      <c r="D358" s="333" t="n"/>
      <c r="E358" s="332" t="n"/>
      <c r="F358" s="334" t="n"/>
      <c r="G358" s="334" t="n"/>
      <c r="H358" s="332" t="n"/>
      <c r="I358" s="335">
        <f>IF(OR(B358="",H358="Sold"),"—",TODAY()-B358)</f>
        <v/>
      </c>
      <c r="J358" s="336">
        <f>IF(OR(B358="",H358="Sold"),"",IF(I358="—","",IF(I358&gt;=60,"STALE — route now",IF(I358&gt;=30,"Aging — watch",IF(I358&gt;=0,"Fresh","")))))</f>
        <v/>
      </c>
      <c r="K358" s="337">
        <f>IF(J358="STALE — route now","→ Send to consignment batch",IF(J358="Aging — watch","→ Consider 10% price drop",IF(J358="Fresh","→ Hold &amp; monitor","")))</f>
        <v/>
      </c>
    </row>
    <row r="359" ht="18" customHeight="1" s="230">
      <c r="A359" s="324" t="n"/>
      <c r="B359" s="324" t="n"/>
      <c r="C359" s="325" t="n"/>
      <c r="D359" s="326" t="n"/>
      <c r="E359" s="325" t="n"/>
      <c r="F359" s="327" t="n"/>
      <c r="G359" s="327" t="n"/>
      <c r="H359" s="325" t="n"/>
      <c r="I359" s="328">
        <f>IF(OR(B359="",H359="Sold"),"—",TODAY()-B359)</f>
        <v/>
      </c>
      <c r="J359" s="329">
        <f>IF(OR(B359="",H359="Sold"),"",IF(I359="—","",IF(I359&gt;=60,"STALE — route now",IF(I359&gt;=30,"Aging — watch",IF(I359&gt;=0,"Fresh","")))))</f>
        <v/>
      </c>
      <c r="K359" s="330">
        <f>IF(J359="STALE — route now","→ Send to consignment batch",IF(J359="Aging — watch","→ Consider 10% price drop",IF(J359="Fresh","→ Hold &amp; monitor","")))</f>
        <v/>
      </c>
    </row>
    <row r="360" ht="18" customHeight="1" s="230">
      <c r="A360" s="331" t="n"/>
      <c r="B360" s="331" t="n"/>
      <c r="C360" s="332" t="n"/>
      <c r="D360" s="333" t="n"/>
      <c r="E360" s="332" t="n"/>
      <c r="F360" s="334" t="n"/>
      <c r="G360" s="334" t="n"/>
      <c r="H360" s="332" t="n"/>
      <c r="I360" s="335">
        <f>IF(OR(B360="",H360="Sold"),"—",TODAY()-B360)</f>
        <v/>
      </c>
      <c r="J360" s="336">
        <f>IF(OR(B360="",H360="Sold"),"",IF(I360="—","",IF(I360&gt;=60,"STALE — route now",IF(I360&gt;=30,"Aging — watch",IF(I360&gt;=0,"Fresh","")))))</f>
        <v/>
      </c>
      <c r="K360" s="337">
        <f>IF(J360="STALE — route now","→ Send to consignment batch",IF(J360="Aging — watch","→ Consider 10% price drop",IF(J360="Fresh","→ Hold &amp; monitor","")))</f>
        <v/>
      </c>
    </row>
    <row r="361" ht="18" customHeight="1" s="230">
      <c r="A361" s="324" t="n"/>
      <c r="B361" s="324" t="n"/>
      <c r="C361" s="325" t="n"/>
      <c r="D361" s="326" t="n"/>
      <c r="E361" s="325" t="n"/>
      <c r="F361" s="327" t="n"/>
      <c r="G361" s="327" t="n"/>
      <c r="H361" s="325" t="n"/>
      <c r="I361" s="328">
        <f>IF(OR(B361="",H361="Sold"),"—",TODAY()-B361)</f>
        <v/>
      </c>
      <c r="J361" s="329">
        <f>IF(OR(B361="",H361="Sold"),"",IF(I361="—","",IF(I361&gt;=60,"STALE — route now",IF(I361&gt;=30,"Aging — watch",IF(I361&gt;=0,"Fresh","")))))</f>
        <v/>
      </c>
      <c r="K361" s="330">
        <f>IF(J361="STALE — route now","→ Send to consignment batch",IF(J361="Aging — watch","→ Consider 10% price drop",IF(J361="Fresh","→ Hold &amp; monitor","")))</f>
        <v/>
      </c>
    </row>
    <row r="362" ht="18" customHeight="1" s="230">
      <c r="A362" s="331" t="n"/>
      <c r="B362" s="331" t="n"/>
      <c r="C362" s="332" t="n"/>
      <c r="D362" s="333" t="n"/>
      <c r="E362" s="332" t="n"/>
      <c r="F362" s="334" t="n"/>
      <c r="G362" s="334" t="n"/>
      <c r="H362" s="332" t="n"/>
      <c r="I362" s="335">
        <f>IF(OR(B362="",H362="Sold"),"—",TODAY()-B362)</f>
        <v/>
      </c>
      <c r="J362" s="336">
        <f>IF(OR(B362="",H362="Sold"),"",IF(I362="—","",IF(I362&gt;=60,"STALE — route now",IF(I362&gt;=30,"Aging — watch",IF(I362&gt;=0,"Fresh","")))))</f>
        <v/>
      </c>
      <c r="K362" s="337">
        <f>IF(J362="STALE — route now","→ Send to consignment batch",IF(J362="Aging — watch","→ Consider 10% price drop",IF(J362="Fresh","→ Hold &amp; monitor","")))</f>
        <v/>
      </c>
    </row>
    <row r="363" ht="18" customHeight="1" s="230">
      <c r="A363" s="324" t="n"/>
      <c r="B363" s="324" t="n"/>
      <c r="C363" s="325" t="n"/>
      <c r="D363" s="326" t="n"/>
      <c r="E363" s="325" t="n"/>
      <c r="F363" s="327" t="n"/>
      <c r="G363" s="327" t="n"/>
      <c r="H363" s="325" t="n"/>
      <c r="I363" s="328">
        <f>IF(OR(B363="",H363="Sold"),"—",TODAY()-B363)</f>
        <v/>
      </c>
      <c r="J363" s="329">
        <f>IF(OR(B363="",H363="Sold"),"",IF(I363="—","",IF(I363&gt;=60,"STALE — route now",IF(I363&gt;=30,"Aging — watch",IF(I363&gt;=0,"Fresh","")))))</f>
        <v/>
      </c>
      <c r="K363" s="330">
        <f>IF(J363="STALE — route now","→ Send to consignment batch",IF(J363="Aging — watch","→ Consider 10% price drop",IF(J363="Fresh","→ Hold &amp; monitor","")))</f>
        <v/>
      </c>
    </row>
    <row r="364" ht="18" customHeight="1" s="230">
      <c r="A364" s="331" t="n"/>
      <c r="B364" s="331" t="n"/>
      <c r="C364" s="332" t="n"/>
      <c r="D364" s="333" t="n"/>
      <c r="E364" s="332" t="n"/>
      <c r="F364" s="334" t="n"/>
      <c r="G364" s="334" t="n"/>
      <c r="H364" s="332" t="n"/>
      <c r="I364" s="335">
        <f>IF(OR(B364="",H364="Sold"),"—",TODAY()-B364)</f>
        <v/>
      </c>
      <c r="J364" s="336">
        <f>IF(OR(B364="",H364="Sold"),"",IF(I364="—","",IF(I364&gt;=60,"STALE — route now",IF(I364&gt;=30,"Aging — watch",IF(I364&gt;=0,"Fresh","")))))</f>
        <v/>
      </c>
      <c r="K364" s="337">
        <f>IF(J364="STALE — route now","→ Send to consignment batch",IF(J364="Aging — watch","→ Consider 10% price drop",IF(J364="Fresh","→ Hold &amp; monitor","")))</f>
        <v/>
      </c>
    </row>
    <row r="365" ht="18" customHeight="1" s="230">
      <c r="A365" s="324" t="n"/>
      <c r="B365" s="324" t="n"/>
      <c r="C365" s="325" t="n"/>
      <c r="D365" s="326" t="n"/>
      <c r="E365" s="325" t="n"/>
      <c r="F365" s="327" t="n"/>
      <c r="G365" s="327" t="n"/>
      <c r="H365" s="325" t="n"/>
      <c r="I365" s="328">
        <f>IF(OR(B365="",H365="Sold"),"—",TODAY()-B365)</f>
        <v/>
      </c>
      <c r="J365" s="329">
        <f>IF(OR(B365="",H365="Sold"),"",IF(I365="—","",IF(I365&gt;=60,"STALE — route now",IF(I365&gt;=30,"Aging — watch",IF(I365&gt;=0,"Fresh","")))))</f>
        <v/>
      </c>
      <c r="K365" s="330">
        <f>IF(J365="STALE — route now","→ Send to consignment batch",IF(J365="Aging — watch","→ Consider 10% price drop",IF(J365="Fresh","→ Hold &amp; monitor","")))</f>
        <v/>
      </c>
    </row>
    <row r="366" ht="18" customHeight="1" s="230">
      <c r="A366" s="331" t="n"/>
      <c r="B366" s="331" t="n"/>
      <c r="C366" s="332" t="n"/>
      <c r="D366" s="333" t="n"/>
      <c r="E366" s="332" t="n"/>
      <c r="F366" s="334" t="n"/>
      <c r="G366" s="334" t="n"/>
      <c r="H366" s="332" t="n"/>
      <c r="I366" s="335">
        <f>IF(OR(B366="",H366="Sold"),"—",TODAY()-B366)</f>
        <v/>
      </c>
      <c r="J366" s="336">
        <f>IF(OR(B366="",H366="Sold"),"",IF(I366="—","",IF(I366&gt;=60,"STALE — route now",IF(I366&gt;=30,"Aging — watch",IF(I366&gt;=0,"Fresh","")))))</f>
        <v/>
      </c>
      <c r="K366" s="337">
        <f>IF(J366="STALE — route now","→ Send to consignment batch",IF(J366="Aging — watch","→ Consider 10% price drop",IF(J366="Fresh","→ Hold &amp; monitor","")))</f>
        <v/>
      </c>
    </row>
    <row r="367" ht="18" customHeight="1" s="230">
      <c r="A367" s="324" t="n"/>
      <c r="B367" s="324" t="n"/>
      <c r="C367" s="325" t="n"/>
      <c r="D367" s="326" t="n"/>
      <c r="E367" s="325" t="n"/>
      <c r="F367" s="327" t="n"/>
      <c r="G367" s="327" t="n"/>
      <c r="H367" s="325" t="n"/>
      <c r="I367" s="328">
        <f>IF(OR(B367="",H367="Sold"),"—",TODAY()-B367)</f>
        <v/>
      </c>
      <c r="J367" s="329">
        <f>IF(OR(B367="",H367="Sold"),"",IF(I367="—","",IF(I367&gt;=60,"STALE — route now",IF(I367&gt;=30,"Aging — watch",IF(I367&gt;=0,"Fresh","")))))</f>
        <v/>
      </c>
      <c r="K367" s="330">
        <f>IF(J367="STALE — route now","→ Send to consignment batch",IF(J367="Aging — watch","→ Consider 10% price drop",IF(J367="Fresh","→ Hold &amp; monitor","")))</f>
        <v/>
      </c>
    </row>
    <row r="368" ht="18" customHeight="1" s="230">
      <c r="A368" s="331" t="n"/>
      <c r="B368" s="331" t="n"/>
      <c r="C368" s="332" t="n"/>
      <c r="D368" s="333" t="n"/>
      <c r="E368" s="332" t="n"/>
      <c r="F368" s="334" t="n"/>
      <c r="G368" s="334" t="n"/>
      <c r="H368" s="332" t="n"/>
      <c r="I368" s="335">
        <f>IF(OR(B368="",H368="Sold"),"—",TODAY()-B368)</f>
        <v/>
      </c>
      <c r="J368" s="336">
        <f>IF(OR(B368="",H368="Sold"),"",IF(I368="—","",IF(I368&gt;=60,"STALE — route now",IF(I368&gt;=30,"Aging — watch",IF(I368&gt;=0,"Fresh","")))))</f>
        <v/>
      </c>
      <c r="K368" s="337">
        <f>IF(J368="STALE — route now","→ Send to consignment batch",IF(J368="Aging — watch","→ Consider 10% price drop",IF(J368="Fresh","→ Hold &amp; monitor","")))</f>
        <v/>
      </c>
    </row>
    <row r="369" ht="18" customHeight="1" s="230">
      <c r="A369" s="324" t="n"/>
      <c r="B369" s="324" t="n"/>
      <c r="C369" s="325" t="n"/>
      <c r="D369" s="326" t="n"/>
      <c r="E369" s="325" t="n"/>
      <c r="F369" s="327" t="n"/>
      <c r="G369" s="327" t="n"/>
      <c r="H369" s="325" t="n"/>
      <c r="I369" s="328">
        <f>IF(OR(B369="",H369="Sold"),"—",TODAY()-B369)</f>
        <v/>
      </c>
      <c r="J369" s="329">
        <f>IF(OR(B369="",H369="Sold"),"",IF(I369="—","",IF(I369&gt;=60,"STALE — route now",IF(I369&gt;=30,"Aging — watch",IF(I369&gt;=0,"Fresh","")))))</f>
        <v/>
      </c>
      <c r="K369" s="330">
        <f>IF(J369="STALE — route now","→ Send to consignment batch",IF(J369="Aging — watch","→ Consider 10% price drop",IF(J369="Fresh","→ Hold &amp; monitor","")))</f>
        <v/>
      </c>
    </row>
    <row r="370" ht="18" customHeight="1" s="230">
      <c r="A370" s="331" t="n"/>
      <c r="B370" s="331" t="n"/>
      <c r="C370" s="332" t="n"/>
      <c r="D370" s="333" t="n"/>
      <c r="E370" s="332" t="n"/>
      <c r="F370" s="334" t="n"/>
      <c r="G370" s="334" t="n"/>
      <c r="H370" s="332" t="n"/>
      <c r="I370" s="335">
        <f>IF(OR(B370="",H370="Sold"),"—",TODAY()-B370)</f>
        <v/>
      </c>
      <c r="J370" s="336">
        <f>IF(OR(B370="",H370="Sold"),"",IF(I370="—","",IF(I370&gt;=60,"STALE — route now",IF(I370&gt;=30,"Aging — watch",IF(I370&gt;=0,"Fresh","")))))</f>
        <v/>
      </c>
      <c r="K370" s="337">
        <f>IF(J370="STALE — route now","→ Send to consignment batch",IF(J370="Aging — watch","→ Consider 10% price drop",IF(J370="Fresh","→ Hold &amp; monitor","")))</f>
        <v/>
      </c>
    </row>
    <row r="371" ht="18" customHeight="1" s="230">
      <c r="A371" s="324" t="n"/>
      <c r="B371" s="324" t="n"/>
      <c r="C371" s="325" t="n"/>
      <c r="D371" s="326" t="n"/>
      <c r="E371" s="325" t="n"/>
      <c r="F371" s="327" t="n"/>
      <c r="G371" s="327" t="n"/>
      <c r="H371" s="325" t="n"/>
      <c r="I371" s="328">
        <f>IF(OR(B371="",H371="Sold"),"—",TODAY()-B371)</f>
        <v/>
      </c>
      <c r="J371" s="329">
        <f>IF(OR(B371="",H371="Sold"),"",IF(I371="—","",IF(I371&gt;=60,"STALE — route now",IF(I371&gt;=30,"Aging — watch",IF(I371&gt;=0,"Fresh","")))))</f>
        <v/>
      </c>
      <c r="K371" s="330">
        <f>IF(J371="STALE — route now","→ Send to consignment batch",IF(J371="Aging — watch","→ Consider 10% price drop",IF(J371="Fresh","→ Hold &amp; monitor","")))</f>
        <v/>
      </c>
    </row>
    <row r="372" ht="18" customHeight="1" s="230">
      <c r="A372" s="331" t="n"/>
      <c r="B372" s="331" t="n"/>
      <c r="C372" s="332" t="n"/>
      <c r="D372" s="333" t="n"/>
      <c r="E372" s="332" t="n"/>
      <c r="F372" s="334" t="n"/>
      <c r="G372" s="334" t="n"/>
      <c r="H372" s="332" t="n"/>
      <c r="I372" s="335">
        <f>IF(OR(B372="",H372="Sold"),"—",TODAY()-B372)</f>
        <v/>
      </c>
      <c r="J372" s="336">
        <f>IF(OR(B372="",H372="Sold"),"",IF(I372="—","",IF(I372&gt;=60,"STALE — route now",IF(I372&gt;=30,"Aging — watch",IF(I372&gt;=0,"Fresh","")))))</f>
        <v/>
      </c>
      <c r="K372" s="337">
        <f>IF(J372="STALE — route now","→ Send to consignment batch",IF(J372="Aging — watch","→ Consider 10% price drop",IF(J372="Fresh","→ Hold &amp; monitor","")))</f>
        <v/>
      </c>
    </row>
    <row r="373" ht="18" customHeight="1" s="230">
      <c r="A373" s="324" t="n"/>
      <c r="B373" s="324" t="n"/>
      <c r="C373" s="325" t="n"/>
      <c r="D373" s="326" t="n"/>
      <c r="E373" s="325" t="n"/>
      <c r="F373" s="327" t="n"/>
      <c r="G373" s="327" t="n"/>
      <c r="H373" s="325" t="n"/>
      <c r="I373" s="328">
        <f>IF(OR(B373="",H373="Sold"),"—",TODAY()-B373)</f>
        <v/>
      </c>
      <c r="J373" s="329">
        <f>IF(OR(B373="",H373="Sold"),"",IF(I373="—","",IF(I373&gt;=60,"STALE — route now",IF(I373&gt;=30,"Aging — watch",IF(I373&gt;=0,"Fresh","")))))</f>
        <v/>
      </c>
      <c r="K373" s="330">
        <f>IF(J373="STALE — route now","→ Send to consignment batch",IF(J373="Aging — watch","→ Consider 10% price drop",IF(J373="Fresh","→ Hold &amp; monitor","")))</f>
        <v/>
      </c>
    </row>
    <row r="374" ht="18" customHeight="1" s="230">
      <c r="A374" s="331" t="n"/>
      <c r="B374" s="331" t="n"/>
      <c r="C374" s="332" t="n"/>
      <c r="D374" s="333" t="n"/>
      <c r="E374" s="332" t="n"/>
      <c r="F374" s="334" t="n"/>
      <c r="G374" s="334" t="n"/>
      <c r="H374" s="332" t="n"/>
      <c r="I374" s="335">
        <f>IF(OR(B374="",H374="Sold"),"—",TODAY()-B374)</f>
        <v/>
      </c>
      <c r="J374" s="336">
        <f>IF(OR(B374="",H374="Sold"),"",IF(I374="—","",IF(I374&gt;=60,"STALE — route now",IF(I374&gt;=30,"Aging — watch",IF(I374&gt;=0,"Fresh","")))))</f>
        <v/>
      </c>
      <c r="K374" s="337">
        <f>IF(J374="STALE — route now","→ Send to consignment batch",IF(J374="Aging — watch","→ Consider 10% price drop",IF(J374="Fresh","→ Hold &amp; monitor","")))</f>
        <v/>
      </c>
    </row>
    <row r="375" ht="18" customHeight="1" s="230">
      <c r="A375" s="324" t="n"/>
      <c r="B375" s="324" t="n"/>
      <c r="C375" s="325" t="n"/>
      <c r="D375" s="326" t="n"/>
      <c r="E375" s="325" t="n"/>
      <c r="F375" s="327" t="n"/>
      <c r="G375" s="327" t="n"/>
      <c r="H375" s="325" t="n"/>
      <c r="I375" s="328">
        <f>IF(OR(B375="",H375="Sold"),"—",TODAY()-B375)</f>
        <v/>
      </c>
      <c r="J375" s="329">
        <f>IF(OR(B375="",H375="Sold"),"",IF(I375="—","",IF(I375&gt;=60,"STALE — route now",IF(I375&gt;=30,"Aging — watch",IF(I375&gt;=0,"Fresh","")))))</f>
        <v/>
      </c>
      <c r="K375" s="330">
        <f>IF(J375="STALE — route now","→ Send to consignment batch",IF(J375="Aging — watch","→ Consider 10% price drop",IF(J375="Fresh","→ Hold &amp; monitor","")))</f>
        <v/>
      </c>
    </row>
    <row r="376" ht="18" customHeight="1" s="230">
      <c r="A376" s="331" t="n"/>
      <c r="B376" s="331" t="n"/>
      <c r="C376" s="332" t="n"/>
      <c r="D376" s="333" t="n"/>
      <c r="E376" s="332" t="n"/>
      <c r="F376" s="334" t="n"/>
      <c r="G376" s="334" t="n"/>
      <c r="H376" s="332" t="n"/>
      <c r="I376" s="335">
        <f>IF(OR(B376="",H376="Sold"),"—",TODAY()-B376)</f>
        <v/>
      </c>
      <c r="J376" s="336">
        <f>IF(OR(B376="",H376="Sold"),"",IF(I376="—","",IF(I376&gt;=60,"STALE — route now",IF(I376&gt;=30,"Aging — watch",IF(I376&gt;=0,"Fresh","")))))</f>
        <v/>
      </c>
      <c r="K376" s="337">
        <f>IF(J376="STALE — route now","→ Send to consignment batch",IF(J376="Aging — watch","→ Consider 10% price drop",IF(J376="Fresh","→ Hold &amp; monitor","")))</f>
        <v/>
      </c>
    </row>
    <row r="377" ht="18" customHeight="1" s="230">
      <c r="A377" s="324" t="n"/>
      <c r="B377" s="324" t="n"/>
      <c r="C377" s="325" t="n"/>
      <c r="D377" s="326" t="n"/>
      <c r="E377" s="325" t="n"/>
      <c r="F377" s="327" t="n"/>
      <c r="G377" s="327" t="n"/>
      <c r="H377" s="325" t="n"/>
      <c r="I377" s="328">
        <f>IF(OR(B377="",H377="Sold"),"—",TODAY()-B377)</f>
        <v/>
      </c>
      <c r="J377" s="329">
        <f>IF(OR(B377="",H377="Sold"),"",IF(I377="—","",IF(I377&gt;=60,"STALE — route now",IF(I377&gt;=30,"Aging — watch",IF(I377&gt;=0,"Fresh","")))))</f>
        <v/>
      </c>
      <c r="K377" s="330">
        <f>IF(J377="STALE — route now","→ Send to consignment batch",IF(J377="Aging — watch","→ Consider 10% price drop",IF(J377="Fresh","→ Hold &amp; monitor","")))</f>
        <v/>
      </c>
    </row>
    <row r="378" ht="18" customHeight="1" s="230">
      <c r="A378" s="331" t="n"/>
      <c r="B378" s="331" t="n"/>
      <c r="C378" s="332" t="n"/>
      <c r="D378" s="333" t="n"/>
      <c r="E378" s="332" t="n"/>
      <c r="F378" s="334" t="n"/>
      <c r="G378" s="334" t="n"/>
      <c r="H378" s="332" t="n"/>
      <c r="I378" s="335">
        <f>IF(OR(B378="",H378="Sold"),"—",TODAY()-B378)</f>
        <v/>
      </c>
      <c r="J378" s="336">
        <f>IF(OR(B378="",H378="Sold"),"",IF(I378="—","",IF(I378&gt;=60,"STALE — route now",IF(I378&gt;=30,"Aging — watch",IF(I378&gt;=0,"Fresh","")))))</f>
        <v/>
      </c>
      <c r="K378" s="337">
        <f>IF(J378="STALE — route now","→ Send to consignment batch",IF(J378="Aging — watch","→ Consider 10% price drop",IF(J378="Fresh","→ Hold &amp; monitor","")))</f>
        <v/>
      </c>
    </row>
    <row r="379" ht="18" customHeight="1" s="230">
      <c r="A379" s="324" t="n"/>
      <c r="B379" s="324" t="n"/>
      <c r="C379" s="325" t="n"/>
      <c r="D379" s="326" t="n"/>
      <c r="E379" s="325" t="n"/>
      <c r="F379" s="327" t="n"/>
      <c r="G379" s="327" t="n"/>
      <c r="H379" s="325" t="n"/>
      <c r="I379" s="328">
        <f>IF(OR(B379="",H379="Sold"),"—",TODAY()-B379)</f>
        <v/>
      </c>
      <c r="J379" s="329">
        <f>IF(OR(B379="",H379="Sold"),"",IF(I379="—","",IF(I379&gt;=60,"STALE — route now",IF(I379&gt;=30,"Aging — watch",IF(I379&gt;=0,"Fresh","")))))</f>
        <v/>
      </c>
      <c r="K379" s="330">
        <f>IF(J379="STALE — route now","→ Send to consignment batch",IF(J379="Aging — watch","→ Consider 10% price drop",IF(J379="Fresh","→ Hold &amp; monitor","")))</f>
        <v/>
      </c>
    </row>
    <row r="380" ht="18" customHeight="1" s="230">
      <c r="A380" s="331" t="n"/>
      <c r="B380" s="331" t="n"/>
      <c r="C380" s="332" t="n"/>
      <c r="D380" s="333" t="n"/>
      <c r="E380" s="332" t="n"/>
      <c r="F380" s="334" t="n"/>
      <c r="G380" s="334" t="n"/>
      <c r="H380" s="332" t="n"/>
      <c r="I380" s="335">
        <f>IF(OR(B380="",H380="Sold"),"—",TODAY()-B380)</f>
        <v/>
      </c>
      <c r="J380" s="336">
        <f>IF(OR(B380="",H380="Sold"),"",IF(I380="—","",IF(I380&gt;=60,"STALE — route now",IF(I380&gt;=30,"Aging — watch",IF(I380&gt;=0,"Fresh","")))))</f>
        <v/>
      </c>
      <c r="K380" s="337">
        <f>IF(J380="STALE — route now","→ Send to consignment batch",IF(J380="Aging — watch","→ Consider 10% price drop",IF(J380="Fresh","→ Hold &amp; monitor","")))</f>
        <v/>
      </c>
    </row>
    <row r="381" ht="18" customHeight="1" s="230">
      <c r="A381" s="324" t="n"/>
      <c r="B381" s="324" t="n"/>
      <c r="C381" s="325" t="n"/>
      <c r="D381" s="326" t="n"/>
      <c r="E381" s="325" t="n"/>
      <c r="F381" s="327" t="n"/>
      <c r="G381" s="327" t="n"/>
      <c r="H381" s="325" t="n"/>
      <c r="I381" s="328">
        <f>IF(OR(B381="",H381="Sold"),"—",TODAY()-B381)</f>
        <v/>
      </c>
      <c r="J381" s="329">
        <f>IF(OR(B381="",H381="Sold"),"",IF(I381="—","",IF(I381&gt;=60,"STALE — route now",IF(I381&gt;=30,"Aging — watch",IF(I381&gt;=0,"Fresh","")))))</f>
        <v/>
      </c>
      <c r="K381" s="330">
        <f>IF(J381="STALE — route now","→ Send to consignment batch",IF(J381="Aging — watch","→ Consider 10% price drop",IF(J381="Fresh","→ Hold &amp; monitor","")))</f>
        <v/>
      </c>
    </row>
    <row r="382" ht="18" customHeight="1" s="230">
      <c r="A382" s="331" t="n"/>
      <c r="B382" s="331" t="n"/>
      <c r="C382" s="332" t="n"/>
      <c r="D382" s="333" t="n"/>
      <c r="E382" s="332" t="n"/>
      <c r="F382" s="334" t="n"/>
      <c r="G382" s="334" t="n"/>
      <c r="H382" s="332" t="n"/>
      <c r="I382" s="335">
        <f>IF(OR(B382="",H382="Sold"),"—",TODAY()-B382)</f>
        <v/>
      </c>
      <c r="J382" s="336">
        <f>IF(OR(B382="",H382="Sold"),"",IF(I382="—","",IF(I382&gt;=60,"STALE — route now",IF(I382&gt;=30,"Aging — watch",IF(I382&gt;=0,"Fresh","")))))</f>
        <v/>
      </c>
      <c r="K382" s="337">
        <f>IF(J382="STALE — route now","→ Send to consignment batch",IF(J382="Aging — watch","→ Consider 10% price drop",IF(J382="Fresh","→ Hold &amp; monitor","")))</f>
        <v/>
      </c>
    </row>
    <row r="383" ht="18" customHeight="1" s="230">
      <c r="A383" s="324" t="n"/>
      <c r="B383" s="324" t="n"/>
      <c r="C383" s="325" t="n"/>
      <c r="D383" s="326" t="n"/>
      <c r="E383" s="325" t="n"/>
      <c r="F383" s="327" t="n"/>
      <c r="G383" s="327" t="n"/>
      <c r="H383" s="325" t="n"/>
      <c r="I383" s="328">
        <f>IF(OR(B383="",H383="Sold"),"—",TODAY()-B383)</f>
        <v/>
      </c>
      <c r="J383" s="329">
        <f>IF(OR(B383="",H383="Sold"),"",IF(I383="—","",IF(I383&gt;=60,"STALE — route now",IF(I383&gt;=30,"Aging — watch",IF(I383&gt;=0,"Fresh","")))))</f>
        <v/>
      </c>
      <c r="K383" s="330">
        <f>IF(J383="STALE — route now","→ Send to consignment batch",IF(J383="Aging — watch","→ Consider 10% price drop",IF(J383="Fresh","→ Hold &amp; monitor","")))</f>
        <v/>
      </c>
    </row>
    <row r="384" ht="18" customHeight="1" s="230">
      <c r="A384" s="331" t="n"/>
      <c r="B384" s="331" t="n"/>
      <c r="C384" s="332" t="n"/>
      <c r="D384" s="333" t="n"/>
      <c r="E384" s="332" t="n"/>
      <c r="F384" s="334" t="n"/>
      <c r="G384" s="334" t="n"/>
      <c r="H384" s="332" t="n"/>
      <c r="I384" s="335">
        <f>IF(OR(B384="",H384="Sold"),"—",TODAY()-B384)</f>
        <v/>
      </c>
      <c r="J384" s="336">
        <f>IF(OR(B384="",H384="Sold"),"",IF(I384="—","",IF(I384&gt;=60,"STALE — route now",IF(I384&gt;=30,"Aging — watch",IF(I384&gt;=0,"Fresh","")))))</f>
        <v/>
      </c>
      <c r="K384" s="337">
        <f>IF(J384="STALE — route now","→ Send to consignment batch",IF(J384="Aging — watch","→ Consider 10% price drop",IF(J384="Fresh","→ Hold &amp; monitor","")))</f>
        <v/>
      </c>
    </row>
    <row r="385" ht="18" customHeight="1" s="230">
      <c r="A385" s="324" t="n"/>
      <c r="B385" s="324" t="n"/>
      <c r="C385" s="325" t="n"/>
      <c r="D385" s="326" t="n"/>
      <c r="E385" s="325" t="n"/>
      <c r="F385" s="327" t="n"/>
      <c r="G385" s="327" t="n"/>
      <c r="H385" s="325" t="n"/>
      <c r="I385" s="328">
        <f>IF(OR(B385="",H385="Sold"),"—",TODAY()-B385)</f>
        <v/>
      </c>
      <c r="J385" s="329">
        <f>IF(OR(B385="",H385="Sold"),"",IF(I385="—","",IF(I385&gt;=60,"STALE — route now",IF(I385&gt;=30,"Aging — watch",IF(I385&gt;=0,"Fresh","")))))</f>
        <v/>
      </c>
      <c r="K385" s="330">
        <f>IF(J385="STALE — route now","→ Send to consignment batch",IF(J385="Aging — watch","→ Consider 10% price drop",IF(J385="Fresh","→ Hold &amp; monitor","")))</f>
        <v/>
      </c>
    </row>
    <row r="386" ht="18" customHeight="1" s="230">
      <c r="A386" s="331" t="n"/>
      <c r="B386" s="331" t="n"/>
      <c r="C386" s="332" t="n"/>
      <c r="D386" s="333" t="n"/>
      <c r="E386" s="332" t="n"/>
      <c r="F386" s="334" t="n"/>
      <c r="G386" s="334" t="n"/>
      <c r="H386" s="332" t="n"/>
      <c r="I386" s="335">
        <f>IF(OR(B386="",H386="Sold"),"—",TODAY()-B386)</f>
        <v/>
      </c>
      <c r="J386" s="336">
        <f>IF(OR(B386="",H386="Sold"),"",IF(I386="—","",IF(I386&gt;=60,"STALE — route now",IF(I386&gt;=30,"Aging — watch",IF(I386&gt;=0,"Fresh","")))))</f>
        <v/>
      </c>
      <c r="K386" s="337">
        <f>IF(J386="STALE — route now","→ Send to consignment batch",IF(J386="Aging — watch","→ Consider 10% price drop",IF(J386="Fresh","→ Hold &amp; monitor","")))</f>
        <v/>
      </c>
    </row>
    <row r="387" ht="18" customHeight="1" s="230">
      <c r="A387" s="324" t="n"/>
      <c r="B387" s="324" t="n"/>
      <c r="C387" s="325" t="n"/>
      <c r="D387" s="326" t="n"/>
      <c r="E387" s="325" t="n"/>
      <c r="F387" s="327" t="n"/>
      <c r="G387" s="327" t="n"/>
      <c r="H387" s="325" t="n"/>
      <c r="I387" s="328">
        <f>IF(OR(B387="",H387="Sold"),"—",TODAY()-B387)</f>
        <v/>
      </c>
      <c r="J387" s="329">
        <f>IF(OR(B387="",H387="Sold"),"",IF(I387="—","",IF(I387&gt;=60,"STALE — route now",IF(I387&gt;=30,"Aging — watch",IF(I387&gt;=0,"Fresh","")))))</f>
        <v/>
      </c>
      <c r="K387" s="330">
        <f>IF(J387="STALE — route now","→ Send to consignment batch",IF(J387="Aging — watch","→ Consider 10% price drop",IF(J387="Fresh","→ Hold &amp; monitor","")))</f>
        <v/>
      </c>
    </row>
    <row r="388" ht="18" customHeight="1" s="230">
      <c r="A388" s="331" t="n"/>
      <c r="B388" s="331" t="n"/>
      <c r="C388" s="332" t="n"/>
      <c r="D388" s="333" t="n"/>
      <c r="E388" s="332" t="n"/>
      <c r="F388" s="334" t="n"/>
      <c r="G388" s="334" t="n"/>
      <c r="H388" s="332" t="n"/>
      <c r="I388" s="335">
        <f>IF(OR(B388="",H388="Sold"),"—",TODAY()-B388)</f>
        <v/>
      </c>
      <c r="J388" s="336">
        <f>IF(OR(B388="",H388="Sold"),"",IF(I388="—","",IF(I388&gt;=60,"STALE — route now",IF(I388&gt;=30,"Aging — watch",IF(I388&gt;=0,"Fresh","")))))</f>
        <v/>
      </c>
      <c r="K388" s="337">
        <f>IF(J388="STALE — route now","→ Send to consignment batch",IF(J388="Aging — watch","→ Consider 10% price drop",IF(J388="Fresh","→ Hold &amp; monitor","")))</f>
        <v/>
      </c>
    </row>
    <row r="389" ht="18" customHeight="1" s="230">
      <c r="A389" s="324" t="n"/>
      <c r="B389" s="324" t="n"/>
      <c r="C389" s="325" t="n"/>
      <c r="D389" s="326" t="n"/>
      <c r="E389" s="325" t="n"/>
      <c r="F389" s="327" t="n"/>
      <c r="G389" s="327" t="n"/>
      <c r="H389" s="325" t="n"/>
      <c r="I389" s="328">
        <f>IF(OR(B389="",H389="Sold"),"—",TODAY()-B389)</f>
        <v/>
      </c>
      <c r="J389" s="329">
        <f>IF(OR(B389="",H389="Sold"),"",IF(I389="—","",IF(I389&gt;=60,"STALE — route now",IF(I389&gt;=30,"Aging — watch",IF(I389&gt;=0,"Fresh","")))))</f>
        <v/>
      </c>
      <c r="K389" s="330">
        <f>IF(J389="STALE — route now","→ Send to consignment batch",IF(J389="Aging — watch","→ Consider 10% price drop",IF(J389="Fresh","→ Hold &amp; monitor","")))</f>
        <v/>
      </c>
    </row>
    <row r="390" ht="18" customHeight="1" s="230">
      <c r="A390" s="331" t="n"/>
      <c r="B390" s="331" t="n"/>
      <c r="C390" s="332" t="n"/>
      <c r="D390" s="333" t="n"/>
      <c r="E390" s="332" t="n"/>
      <c r="F390" s="334" t="n"/>
      <c r="G390" s="334" t="n"/>
      <c r="H390" s="332" t="n"/>
      <c r="I390" s="335">
        <f>IF(OR(B390="",H390="Sold"),"—",TODAY()-B390)</f>
        <v/>
      </c>
      <c r="J390" s="336">
        <f>IF(OR(B390="",H390="Sold"),"",IF(I390="—","",IF(I390&gt;=60,"STALE — route now",IF(I390&gt;=30,"Aging — watch",IF(I390&gt;=0,"Fresh","")))))</f>
        <v/>
      </c>
      <c r="K390" s="337">
        <f>IF(J390="STALE — route now","→ Send to consignment batch",IF(J390="Aging — watch","→ Consider 10% price drop",IF(J390="Fresh","→ Hold &amp; monitor","")))</f>
        <v/>
      </c>
    </row>
    <row r="391" ht="18" customHeight="1" s="230">
      <c r="A391" s="324" t="n"/>
      <c r="B391" s="324" t="n"/>
      <c r="C391" s="325" t="n"/>
      <c r="D391" s="326" t="n"/>
      <c r="E391" s="325" t="n"/>
      <c r="F391" s="327" t="n"/>
      <c r="G391" s="327" t="n"/>
      <c r="H391" s="325" t="n"/>
      <c r="I391" s="328">
        <f>IF(OR(B391="",H391="Sold"),"—",TODAY()-B391)</f>
        <v/>
      </c>
      <c r="J391" s="329">
        <f>IF(OR(B391="",H391="Sold"),"",IF(I391="—","",IF(I391&gt;=60,"STALE — route now",IF(I391&gt;=30,"Aging — watch",IF(I391&gt;=0,"Fresh","")))))</f>
        <v/>
      </c>
      <c r="K391" s="330">
        <f>IF(J391="STALE — route now","→ Send to consignment batch",IF(J391="Aging — watch","→ Consider 10% price drop",IF(J391="Fresh","→ Hold &amp; monitor","")))</f>
        <v/>
      </c>
    </row>
    <row r="392" ht="18" customHeight="1" s="230">
      <c r="A392" s="331" t="n"/>
      <c r="B392" s="331" t="n"/>
      <c r="C392" s="332" t="n"/>
      <c r="D392" s="333" t="n"/>
      <c r="E392" s="332" t="n"/>
      <c r="F392" s="334" t="n"/>
      <c r="G392" s="334" t="n"/>
      <c r="H392" s="332" t="n"/>
      <c r="I392" s="335">
        <f>IF(OR(B392="",H392="Sold"),"—",TODAY()-B392)</f>
        <v/>
      </c>
      <c r="J392" s="336">
        <f>IF(OR(B392="",H392="Sold"),"",IF(I392="—","",IF(I392&gt;=60,"STALE — route now",IF(I392&gt;=30,"Aging — watch",IF(I392&gt;=0,"Fresh","")))))</f>
        <v/>
      </c>
      <c r="K392" s="337">
        <f>IF(J392="STALE — route now","→ Send to consignment batch",IF(J392="Aging — watch","→ Consider 10% price drop",IF(J392="Fresh","→ Hold &amp; monitor","")))</f>
        <v/>
      </c>
    </row>
    <row r="393" ht="18" customHeight="1" s="230">
      <c r="A393" s="324" t="n"/>
      <c r="B393" s="324" t="n"/>
      <c r="C393" s="325" t="n"/>
      <c r="D393" s="326" t="n"/>
      <c r="E393" s="325" t="n"/>
      <c r="F393" s="327" t="n"/>
      <c r="G393" s="327" t="n"/>
      <c r="H393" s="325" t="n"/>
      <c r="I393" s="328">
        <f>IF(OR(B393="",H393="Sold"),"—",TODAY()-B393)</f>
        <v/>
      </c>
      <c r="J393" s="329">
        <f>IF(OR(B393="",H393="Sold"),"",IF(I393="—","",IF(I393&gt;=60,"STALE — route now",IF(I393&gt;=30,"Aging — watch",IF(I393&gt;=0,"Fresh","")))))</f>
        <v/>
      </c>
      <c r="K393" s="330">
        <f>IF(J393="STALE — route now","→ Send to consignment batch",IF(J393="Aging — watch","→ Consider 10% price drop",IF(J393="Fresh","→ Hold &amp; monitor","")))</f>
        <v/>
      </c>
    </row>
    <row r="394" ht="18" customHeight="1" s="230">
      <c r="A394" s="331" t="n"/>
      <c r="B394" s="331" t="n"/>
      <c r="C394" s="332" t="n"/>
      <c r="D394" s="333" t="n"/>
      <c r="E394" s="332" t="n"/>
      <c r="F394" s="334" t="n"/>
      <c r="G394" s="334" t="n"/>
      <c r="H394" s="332" t="n"/>
      <c r="I394" s="335">
        <f>IF(OR(B394="",H394="Sold"),"—",TODAY()-B394)</f>
        <v/>
      </c>
      <c r="J394" s="336">
        <f>IF(OR(B394="",H394="Sold"),"",IF(I394="—","",IF(I394&gt;=60,"STALE — route now",IF(I394&gt;=30,"Aging — watch",IF(I394&gt;=0,"Fresh","")))))</f>
        <v/>
      </c>
      <c r="K394" s="337">
        <f>IF(J394="STALE — route now","→ Send to consignment batch",IF(J394="Aging — watch","→ Consider 10% price drop",IF(J394="Fresh","→ Hold &amp; monitor","")))</f>
        <v/>
      </c>
    </row>
    <row r="395" ht="18" customHeight="1" s="230">
      <c r="A395" s="324" t="n"/>
      <c r="B395" s="324" t="n"/>
      <c r="C395" s="325" t="n"/>
      <c r="D395" s="326" t="n"/>
      <c r="E395" s="325" t="n"/>
      <c r="F395" s="327" t="n"/>
      <c r="G395" s="327" t="n"/>
      <c r="H395" s="325" t="n"/>
      <c r="I395" s="328">
        <f>IF(OR(B395="",H395="Sold"),"—",TODAY()-B395)</f>
        <v/>
      </c>
      <c r="J395" s="329">
        <f>IF(OR(B395="",H395="Sold"),"",IF(I395="—","",IF(I395&gt;=60,"STALE — route now",IF(I395&gt;=30,"Aging — watch",IF(I395&gt;=0,"Fresh","")))))</f>
        <v/>
      </c>
      <c r="K395" s="330">
        <f>IF(J395="STALE — route now","→ Send to consignment batch",IF(J395="Aging — watch","→ Consider 10% price drop",IF(J395="Fresh","→ Hold &amp; monitor","")))</f>
        <v/>
      </c>
    </row>
    <row r="396" ht="18" customHeight="1" s="230">
      <c r="A396" s="331" t="n"/>
      <c r="B396" s="331" t="n"/>
      <c r="C396" s="332" t="n"/>
      <c r="D396" s="333" t="n"/>
      <c r="E396" s="332" t="n"/>
      <c r="F396" s="334" t="n"/>
      <c r="G396" s="334" t="n"/>
      <c r="H396" s="332" t="n"/>
      <c r="I396" s="335">
        <f>IF(OR(B396="",H396="Sold"),"—",TODAY()-B396)</f>
        <v/>
      </c>
      <c r="J396" s="336">
        <f>IF(OR(B396="",H396="Sold"),"",IF(I396="—","",IF(I396&gt;=60,"STALE — route now",IF(I396&gt;=30,"Aging — watch",IF(I396&gt;=0,"Fresh","")))))</f>
        <v/>
      </c>
      <c r="K396" s="337">
        <f>IF(J396="STALE — route now","→ Send to consignment batch",IF(J396="Aging — watch","→ Consider 10% price drop",IF(J396="Fresh","→ Hold &amp; monitor","")))</f>
        <v/>
      </c>
    </row>
    <row r="397" ht="18" customHeight="1" s="230">
      <c r="A397" s="324" t="n"/>
      <c r="B397" s="324" t="n"/>
      <c r="C397" s="325" t="n"/>
      <c r="D397" s="326" t="n"/>
      <c r="E397" s="325" t="n"/>
      <c r="F397" s="327" t="n"/>
      <c r="G397" s="327" t="n"/>
      <c r="H397" s="325" t="n"/>
      <c r="I397" s="328">
        <f>IF(OR(B397="",H397="Sold"),"—",TODAY()-B397)</f>
        <v/>
      </c>
      <c r="J397" s="329">
        <f>IF(OR(B397="",H397="Sold"),"",IF(I397="—","",IF(I397&gt;=60,"STALE — route now",IF(I397&gt;=30,"Aging — watch",IF(I397&gt;=0,"Fresh","")))))</f>
        <v/>
      </c>
      <c r="K397" s="330">
        <f>IF(J397="STALE — route now","→ Send to consignment batch",IF(J397="Aging — watch","→ Consider 10% price drop",IF(J397="Fresh","→ Hold &amp; monitor","")))</f>
        <v/>
      </c>
    </row>
    <row r="398" ht="18" customHeight="1" s="230">
      <c r="A398" s="331" t="n"/>
      <c r="B398" s="331" t="n"/>
      <c r="C398" s="332" t="n"/>
      <c r="D398" s="333" t="n"/>
      <c r="E398" s="332" t="n"/>
      <c r="F398" s="334" t="n"/>
      <c r="G398" s="334" t="n"/>
      <c r="H398" s="332" t="n"/>
      <c r="I398" s="335">
        <f>IF(OR(B398="",H398="Sold"),"—",TODAY()-B398)</f>
        <v/>
      </c>
      <c r="J398" s="336">
        <f>IF(OR(B398="",H398="Sold"),"",IF(I398="—","",IF(I398&gt;=60,"STALE — route now",IF(I398&gt;=30,"Aging — watch",IF(I398&gt;=0,"Fresh","")))))</f>
        <v/>
      </c>
      <c r="K398" s="337">
        <f>IF(J398="STALE — route now","→ Send to consignment batch",IF(J398="Aging — watch","→ Consider 10% price drop",IF(J398="Fresh","→ Hold &amp; monitor","")))</f>
        <v/>
      </c>
    </row>
    <row r="399" ht="18" customHeight="1" s="230">
      <c r="A399" s="324" t="n"/>
      <c r="B399" s="324" t="n"/>
      <c r="C399" s="325" t="n"/>
      <c r="D399" s="326" t="n"/>
      <c r="E399" s="325" t="n"/>
      <c r="F399" s="327" t="n"/>
      <c r="G399" s="327" t="n"/>
      <c r="H399" s="325" t="n"/>
      <c r="I399" s="328">
        <f>IF(OR(B399="",H399="Sold"),"—",TODAY()-B399)</f>
        <v/>
      </c>
      <c r="J399" s="329">
        <f>IF(OR(B399="",H399="Sold"),"",IF(I399="—","",IF(I399&gt;=60,"STALE — route now",IF(I399&gt;=30,"Aging — watch",IF(I399&gt;=0,"Fresh","")))))</f>
        <v/>
      </c>
      <c r="K399" s="330">
        <f>IF(J399="STALE — route now","→ Send to consignment batch",IF(J399="Aging — watch","→ Consider 10% price drop",IF(J399="Fresh","→ Hold &amp; monitor","")))</f>
        <v/>
      </c>
    </row>
    <row r="400" ht="18" customHeight="1" s="230">
      <c r="A400" s="331" t="n"/>
      <c r="B400" s="331" t="n"/>
      <c r="C400" s="332" t="n"/>
      <c r="D400" s="333" t="n"/>
      <c r="E400" s="332" t="n"/>
      <c r="F400" s="334" t="n"/>
      <c r="G400" s="334" t="n"/>
      <c r="H400" s="332" t="n"/>
      <c r="I400" s="335">
        <f>IF(OR(B400="",H400="Sold"),"—",TODAY()-B400)</f>
        <v/>
      </c>
      <c r="J400" s="336">
        <f>IF(OR(B400="",H400="Sold"),"",IF(I400="—","",IF(I400&gt;=60,"STALE — route now",IF(I400&gt;=30,"Aging — watch",IF(I400&gt;=0,"Fresh","")))))</f>
        <v/>
      </c>
      <c r="K400" s="337">
        <f>IF(J400="STALE — route now","→ Send to consignment batch",IF(J400="Aging — watch","→ Consider 10% price drop",IF(J400="Fresh","→ Hold &amp; monitor","")))</f>
        <v/>
      </c>
    </row>
    <row r="401" ht="18" customHeight="1" s="230">
      <c r="A401" s="324" t="n"/>
      <c r="B401" s="324" t="n"/>
      <c r="C401" s="325" t="n"/>
      <c r="D401" s="326" t="n"/>
      <c r="E401" s="325" t="n"/>
      <c r="F401" s="327" t="n"/>
      <c r="G401" s="327" t="n"/>
      <c r="H401" s="325" t="n"/>
      <c r="I401" s="328">
        <f>IF(OR(B401="",H401="Sold"),"—",TODAY()-B401)</f>
        <v/>
      </c>
      <c r="J401" s="329">
        <f>IF(OR(B401="",H401="Sold"),"",IF(I401="—","",IF(I401&gt;=60,"STALE — route now",IF(I401&gt;=30,"Aging — watch",IF(I401&gt;=0,"Fresh","")))))</f>
        <v/>
      </c>
      <c r="K401" s="330">
        <f>IF(J401="STALE — route now","→ Send to consignment batch",IF(J401="Aging — watch","→ Consider 10% price drop",IF(J401="Fresh","→ Hold &amp; monitor","")))</f>
        <v/>
      </c>
    </row>
    <row r="402" ht="18" customHeight="1" s="230">
      <c r="A402" s="331" t="n"/>
      <c r="B402" s="331" t="n"/>
      <c r="C402" s="332" t="n"/>
      <c r="D402" s="333" t="n"/>
      <c r="E402" s="332" t="n"/>
      <c r="F402" s="334" t="n"/>
      <c r="G402" s="334" t="n"/>
      <c r="H402" s="332" t="n"/>
      <c r="I402" s="335">
        <f>IF(OR(B402="",H402="Sold"),"—",TODAY()-B402)</f>
        <v/>
      </c>
      <c r="J402" s="336">
        <f>IF(OR(B402="",H402="Sold"),"",IF(I402="—","",IF(I402&gt;=60,"STALE — route now",IF(I402&gt;=30,"Aging — watch",IF(I402&gt;=0,"Fresh","")))))</f>
        <v/>
      </c>
      <c r="K402" s="337">
        <f>IF(J402="STALE — route now","→ Send to consignment batch",IF(J402="Aging — watch","→ Consider 10% price drop",IF(J402="Fresh","→ Hold &amp; monitor","")))</f>
        <v/>
      </c>
    </row>
    <row r="403" ht="18" customHeight="1" s="230">
      <c r="A403" s="324" t="n"/>
      <c r="B403" s="324" t="n"/>
      <c r="C403" s="325" t="n"/>
      <c r="D403" s="326" t="n"/>
      <c r="E403" s="325" t="n"/>
      <c r="F403" s="327" t="n"/>
      <c r="G403" s="327" t="n"/>
      <c r="H403" s="325" t="n"/>
      <c r="I403" s="328">
        <f>IF(OR(B403="",H403="Sold"),"—",TODAY()-B403)</f>
        <v/>
      </c>
      <c r="J403" s="329">
        <f>IF(OR(B403="",H403="Sold"),"",IF(I403="—","",IF(I403&gt;=60,"STALE — route now",IF(I403&gt;=30,"Aging — watch",IF(I403&gt;=0,"Fresh","")))))</f>
        <v/>
      </c>
      <c r="K403" s="330">
        <f>IF(J403="STALE — route now","→ Send to consignment batch",IF(J403="Aging — watch","→ Consider 10% price drop",IF(J403="Fresh","→ Hold &amp; monitor","")))</f>
        <v/>
      </c>
    </row>
    <row r="404" ht="18" customHeight="1" s="230">
      <c r="A404" s="331" t="n"/>
      <c r="B404" s="331" t="n"/>
      <c r="C404" s="332" t="n"/>
      <c r="D404" s="333" t="n"/>
      <c r="E404" s="332" t="n"/>
      <c r="F404" s="334" t="n"/>
      <c r="G404" s="334" t="n"/>
      <c r="H404" s="332" t="n"/>
      <c r="I404" s="335">
        <f>IF(OR(B404="",H404="Sold"),"—",TODAY()-B404)</f>
        <v/>
      </c>
      <c r="J404" s="336">
        <f>IF(OR(B404="",H404="Sold"),"",IF(I404="—","",IF(I404&gt;=60,"STALE — route now",IF(I404&gt;=30,"Aging — watch",IF(I404&gt;=0,"Fresh","")))))</f>
        <v/>
      </c>
      <c r="K404" s="337">
        <f>IF(J404="STALE — route now","→ Send to consignment batch",IF(J404="Aging — watch","→ Consider 10% price drop",IF(J404="Fresh","→ Hold &amp; monitor","")))</f>
        <v/>
      </c>
    </row>
    <row r="405" ht="18" customHeight="1" s="230">
      <c r="A405" s="324" t="n"/>
      <c r="B405" s="324" t="n"/>
      <c r="C405" s="325" t="n"/>
      <c r="D405" s="326" t="n"/>
      <c r="E405" s="325" t="n"/>
      <c r="F405" s="327" t="n"/>
      <c r="G405" s="327" t="n"/>
      <c r="H405" s="325" t="n"/>
      <c r="I405" s="328">
        <f>IF(OR(B405="",H405="Sold"),"—",TODAY()-B405)</f>
        <v/>
      </c>
      <c r="J405" s="329">
        <f>IF(OR(B405="",H405="Sold"),"",IF(I405="—","",IF(I405&gt;=60,"STALE — route now",IF(I405&gt;=30,"Aging — watch",IF(I405&gt;=0,"Fresh","")))))</f>
        <v/>
      </c>
      <c r="K405" s="330">
        <f>IF(J405="STALE — route now","→ Send to consignment batch",IF(J405="Aging — watch","→ Consider 10% price drop",IF(J405="Fresh","→ Hold &amp; monitor","")))</f>
        <v/>
      </c>
    </row>
    <row r="406" ht="18" customHeight="1" s="230">
      <c r="A406" s="331" t="n"/>
      <c r="B406" s="331" t="n"/>
      <c r="C406" s="332" t="n"/>
      <c r="D406" s="333" t="n"/>
      <c r="E406" s="332" t="n"/>
      <c r="F406" s="334" t="n"/>
      <c r="G406" s="334" t="n"/>
      <c r="H406" s="332" t="n"/>
      <c r="I406" s="335">
        <f>IF(OR(B406="",H406="Sold"),"—",TODAY()-B406)</f>
        <v/>
      </c>
      <c r="J406" s="336">
        <f>IF(OR(B406="",H406="Sold"),"",IF(I406="—","",IF(I406&gt;=60,"STALE — route now",IF(I406&gt;=30,"Aging — watch",IF(I406&gt;=0,"Fresh","")))))</f>
        <v/>
      </c>
      <c r="K406" s="337">
        <f>IF(J406="STALE — route now","→ Send to consignment batch",IF(J406="Aging — watch","→ Consider 10% price drop",IF(J406="Fresh","→ Hold &amp; monitor","")))</f>
        <v/>
      </c>
    </row>
    <row r="407" ht="18" customHeight="1" s="230">
      <c r="A407" s="324" t="n"/>
      <c r="B407" s="324" t="n"/>
      <c r="C407" s="325" t="n"/>
      <c r="D407" s="326" t="n"/>
      <c r="E407" s="325" t="n"/>
      <c r="F407" s="327" t="n"/>
      <c r="G407" s="327" t="n"/>
      <c r="H407" s="325" t="n"/>
      <c r="I407" s="328">
        <f>IF(OR(B407="",H407="Sold"),"—",TODAY()-B407)</f>
        <v/>
      </c>
      <c r="J407" s="329">
        <f>IF(OR(B407="",H407="Sold"),"",IF(I407="—","",IF(I407&gt;=60,"STALE — route now",IF(I407&gt;=30,"Aging — watch",IF(I407&gt;=0,"Fresh","")))))</f>
        <v/>
      </c>
      <c r="K407" s="330">
        <f>IF(J407="STALE — route now","→ Send to consignment batch",IF(J407="Aging — watch","→ Consider 10% price drop",IF(J407="Fresh","→ Hold &amp; monitor","")))</f>
        <v/>
      </c>
    </row>
    <row r="408" ht="18" customHeight="1" s="230">
      <c r="A408" s="331" t="n"/>
      <c r="B408" s="331" t="n"/>
      <c r="C408" s="332" t="n"/>
      <c r="D408" s="333" t="n"/>
      <c r="E408" s="332" t="n"/>
      <c r="F408" s="334" t="n"/>
      <c r="G408" s="334" t="n"/>
      <c r="H408" s="332" t="n"/>
      <c r="I408" s="335">
        <f>IF(OR(B408="",H408="Sold"),"—",TODAY()-B408)</f>
        <v/>
      </c>
      <c r="J408" s="336">
        <f>IF(OR(B408="",H408="Sold"),"",IF(I408="—","",IF(I408&gt;=60,"STALE — route now",IF(I408&gt;=30,"Aging — watch",IF(I408&gt;=0,"Fresh","")))))</f>
        <v/>
      </c>
      <c r="K408" s="337">
        <f>IF(J408="STALE — route now","→ Send to consignment batch",IF(J408="Aging — watch","→ Consider 10% price drop",IF(J408="Fresh","→ Hold &amp; monitor","")))</f>
        <v/>
      </c>
    </row>
    <row r="409" ht="18" customHeight="1" s="230">
      <c r="A409" s="324" t="n"/>
      <c r="B409" s="324" t="n"/>
      <c r="C409" s="325" t="n"/>
      <c r="D409" s="326" t="n"/>
      <c r="E409" s="325" t="n"/>
      <c r="F409" s="327" t="n"/>
      <c r="G409" s="327" t="n"/>
      <c r="H409" s="325" t="n"/>
      <c r="I409" s="328">
        <f>IF(OR(B409="",H409="Sold"),"—",TODAY()-B409)</f>
        <v/>
      </c>
      <c r="J409" s="329">
        <f>IF(OR(B409="",H409="Sold"),"",IF(I409="—","",IF(I409&gt;=60,"STALE — route now",IF(I409&gt;=30,"Aging — watch",IF(I409&gt;=0,"Fresh","")))))</f>
        <v/>
      </c>
      <c r="K409" s="330">
        <f>IF(J409="STALE — route now","→ Send to consignment batch",IF(J409="Aging — watch","→ Consider 10% price drop",IF(J409="Fresh","→ Hold &amp; monitor","")))</f>
        <v/>
      </c>
    </row>
    <row r="410" ht="18" customHeight="1" s="230">
      <c r="A410" s="331" t="n"/>
      <c r="B410" s="331" t="n"/>
      <c r="C410" s="332" t="n"/>
      <c r="D410" s="333" t="n"/>
      <c r="E410" s="332" t="n"/>
      <c r="F410" s="334" t="n"/>
      <c r="G410" s="334" t="n"/>
      <c r="H410" s="332" t="n"/>
      <c r="I410" s="335">
        <f>IF(OR(B410="",H410="Sold"),"—",TODAY()-B410)</f>
        <v/>
      </c>
      <c r="J410" s="336">
        <f>IF(OR(B410="",H410="Sold"),"",IF(I410="—","",IF(I410&gt;=60,"STALE — route now",IF(I410&gt;=30,"Aging — watch",IF(I410&gt;=0,"Fresh","")))))</f>
        <v/>
      </c>
      <c r="K410" s="337">
        <f>IF(J410="STALE — route now","→ Send to consignment batch",IF(J410="Aging — watch","→ Consider 10% price drop",IF(J410="Fresh","→ Hold &amp; monitor","")))</f>
        <v/>
      </c>
    </row>
    <row r="411" ht="18" customHeight="1" s="230">
      <c r="A411" s="324" t="n"/>
      <c r="B411" s="324" t="n"/>
      <c r="C411" s="325" t="n"/>
      <c r="D411" s="326" t="n"/>
      <c r="E411" s="325" t="n"/>
      <c r="F411" s="327" t="n"/>
      <c r="G411" s="327" t="n"/>
      <c r="H411" s="325" t="n"/>
      <c r="I411" s="328">
        <f>IF(OR(B411="",H411="Sold"),"—",TODAY()-B411)</f>
        <v/>
      </c>
      <c r="J411" s="329">
        <f>IF(OR(B411="",H411="Sold"),"",IF(I411="—","",IF(I411&gt;=60,"STALE — route now",IF(I411&gt;=30,"Aging — watch",IF(I411&gt;=0,"Fresh","")))))</f>
        <v/>
      </c>
      <c r="K411" s="330">
        <f>IF(J411="STALE — route now","→ Send to consignment batch",IF(J411="Aging — watch","→ Consider 10% price drop",IF(J411="Fresh","→ Hold &amp; monitor","")))</f>
        <v/>
      </c>
    </row>
    <row r="412" ht="18" customHeight="1" s="230">
      <c r="A412" s="331" t="n"/>
      <c r="B412" s="331" t="n"/>
      <c r="C412" s="332" t="n"/>
      <c r="D412" s="333" t="n"/>
      <c r="E412" s="332" t="n"/>
      <c r="F412" s="334" t="n"/>
      <c r="G412" s="334" t="n"/>
      <c r="H412" s="332" t="n"/>
      <c r="I412" s="335">
        <f>IF(OR(B412="",H412="Sold"),"—",TODAY()-B412)</f>
        <v/>
      </c>
      <c r="J412" s="336">
        <f>IF(OR(B412="",H412="Sold"),"",IF(I412="—","",IF(I412&gt;=60,"STALE — route now",IF(I412&gt;=30,"Aging — watch",IF(I412&gt;=0,"Fresh","")))))</f>
        <v/>
      </c>
      <c r="K412" s="337">
        <f>IF(J412="STALE — route now","→ Send to consignment batch",IF(J412="Aging — watch","→ Consider 10% price drop",IF(J412="Fresh","→ Hold &amp; monitor","")))</f>
        <v/>
      </c>
    </row>
    <row r="413" ht="18" customHeight="1" s="230">
      <c r="A413" s="324" t="n"/>
      <c r="B413" s="324" t="n"/>
      <c r="C413" s="325" t="n"/>
      <c r="D413" s="326" t="n"/>
      <c r="E413" s="325" t="n"/>
      <c r="F413" s="327" t="n"/>
      <c r="G413" s="327" t="n"/>
      <c r="H413" s="325" t="n"/>
      <c r="I413" s="328">
        <f>IF(OR(B413="",H413="Sold"),"—",TODAY()-B413)</f>
        <v/>
      </c>
      <c r="J413" s="329">
        <f>IF(OR(B413="",H413="Sold"),"",IF(I413="—","",IF(I413&gt;=60,"STALE — route now",IF(I413&gt;=30,"Aging — watch",IF(I413&gt;=0,"Fresh","")))))</f>
        <v/>
      </c>
      <c r="K413" s="330">
        <f>IF(J413="STALE — route now","→ Send to consignment batch",IF(J413="Aging — watch","→ Consider 10% price drop",IF(J413="Fresh","→ Hold &amp; monitor","")))</f>
        <v/>
      </c>
    </row>
    <row r="414" ht="18" customHeight="1" s="230">
      <c r="A414" s="331" t="n"/>
      <c r="B414" s="331" t="n"/>
      <c r="C414" s="332" t="n"/>
      <c r="D414" s="333" t="n"/>
      <c r="E414" s="332" t="n"/>
      <c r="F414" s="334" t="n"/>
      <c r="G414" s="334" t="n"/>
      <c r="H414" s="332" t="n"/>
      <c r="I414" s="335">
        <f>IF(OR(B414="",H414="Sold"),"—",TODAY()-B414)</f>
        <v/>
      </c>
      <c r="J414" s="336">
        <f>IF(OR(B414="",H414="Sold"),"",IF(I414="—","",IF(I414&gt;=60,"STALE — route now",IF(I414&gt;=30,"Aging — watch",IF(I414&gt;=0,"Fresh","")))))</f>
        <v/>
      </c>
      <c r="K414" s="337">
        <f>IF(J414="STALE — route now","→ Send to consignment batch",IF(J414="Aging — watch","→ Consider 10% price drop",IF(J414="Fresh","→ Hold &amp; monitor","")))</f>
        <v/>
      </c>
    </row>
    <row r="415" ht="18" customHeight="1" s="230">
      <c r="A415" s="324" t="n"/>
      <c r="B415" s="324" t="n"/>
      <c r="C415" s="325" t="n"/>
      <c r="D415" s="326" t="n"/>
      <c r="E415" s="325" t="n"/>
      <c r="F415" s="327" t="n"/>
      <c r="G415" s="327" t="n"/>
      <c r="H415" s="325" t="n"/>
      <c r="I415" s="328">
        <f>IF(OR(B415="",H415="Sold"),"—",TODAY()-B415)</f>
        <v/>
      </c>
      <c r="J415" s="329">
        <f>IF(OR(B415="",H415="Sold"),"",IF(I415="—","",IF(I415&gt;=60,"STALE — route now",IF(I415&gt;=30,"Aging — watch",IF(I415&gt;=0,"Fresh","")))))</f>
        <v/>
      </c>
      <c r="K415" s="330">
        <f>IF(J415="STALE — route now","→ Send to consignment batch",IF(J415="Aging — watch","→ Consider 10% price drop",IF(J415="Fresh","→ Hold &amp; monitor","")))</f>
        <v/>
      </c>
    </row>
    <row r="416" ht="18" customHeight="1" s="230">
      <c r="A416" s="331" t="n"/>
      <c r="B416" s="331" t="n"/>
      <c r="C416" s="332" t="n"/>
      <c r="D416" s="333" t="n"/>
      <c r="E416" s="332" t="n"/>
      <c r="F416" s="334" t="n"/>
      <c r="G416" s="334" t="n"/>
      <c r="H416" s="332" t="n"/>
      <c r="I416" s="335">
        <f>IF(OR(B416="",H416="Sold"),"—",TODAY()-B416)</f>
        <v/>
      </c>
      <c r="J416" s="336">
        <f>IF(OR(B416="",H416="Sold"),"",IF(I416="—","",IF(I416&gt;=60,"STALE — route now",IF(I416&gt;=30,"Aging — watch",IF(I416&gt;=0,"Fresh","")))))</f>
        <v/>
      </c>
      <c r="K416" s="337">
        <f>IF(J416="STALE — route now","→ Send to consignment batch",IF(J416="Aging — watch","→ Consider 10% price drop",IF(J416="Fresh","→ Hold &amp; monitor","")))</f>
        <v/>
      </c>
    </row>
    <row r="417" ht="18" customHeight="1" s="230">
      <c r="A417" s="324" t="n"/>
      <c r="B417" s="324" t="n"/>
      <c r="C417" s="325" t="n"/>
      <c r="D417" s="326" t="n"/>
      <c r="E417" s="325" t="n"/>
      <c r="F417" s="327" t="n"/>
      <c r="G417" s="327" t="n"/>
      <c r="H417" s="325" t="n"/>
      <c r="I417" s="328">
        <f>IF(OR(B417="",H417="Sold"),"—",TODAY()-B417)</f>
        <v/>
      </c>
      <c r="J417" s="329">
        <f>IF(OR(B417="",H417="Sold"),"",IF(I417="—","",IF(I417&gt;=60,"STALE — route now",IF(I417&gt;=30,"Aging — watch",IF(I417&gt;=0,"Fresh","")))))</f>
        <v/>
      </c>
      <c r="K417" s="330">
        <f>IF(J417="STALE — route now","→ Send to consignment batch",IF(J417="Aging — watch","→ Consider 10% price drop",IF(J417="Fresh","→ Hold &amp; monitor","")))</f>
        <v/>
      </c>
    </row>
    <row r="418" ht="18" customHeight="1" s="230">
      <c r="A418" s="331" t="n"/>
      <c r="B418" s="331" t="n"/>
      <c r="C418" s="332" t="n"/>
      <c r="D418" s="333" t="n"/>
      <c r="E418" s="332" t="n"/>
      <c r="F418" s="334" t="n"/>
      <c r="G418" s="334" t="n"/>
      <c r="H418" s="332" t="n"/>
      <c r="I418" s="335">
        <f>IF(OR(B418="",H418="Sold"),"—",TODAY()-B418)</f>
        <v/>
      </c>
      <c r="J418" s="336">
        <f>IF(OR(B418="",H418="Sold"),"",IF(I418="—","",IF(I418&gt;=60,"STALE — route now",IF(I418&gt;=30,"Aging — watch",IF(I418&gt;=0,"Fresh","")))))</f>
        <v/>
      </c>
      <c r="K418" s="337">
        <f>IF(J418="STALE — route now","→ Send to consignment batch",IF(J418="Aging — watch","→ Consider 10% price drop",IF(J418="Fresh","→ Hold &amp; monitor","")))</f>
        <v/>
      </c>
    </row>
    <row r="419" ht="18" customHeight="1" s="230">
      <c r="A419" s="324" t="n"/>
      <c r="B419" s="324" t="n"/>
      <c r="C419" s="325" t="n"/>
      <c r="D419" s="326" t="n"/>
      <c r="E419" s="325" t="n"/>
      <c r="F419" s="327" t="n"/>
      <c r="G419" s="327" t="n"/>
      <c r="H419" s="325" t="n"/>
      <c r="I419" s="328">
        <f>IF(OR(B419="",H419="Sold"),"—",TODAY()-B419)</f>
        <v/>
      </c>
      <c r="J419" s="329">
        <f>IF(OR(B419="",H419="Sold"),"",IF(I419="—","",IF(I419&gt;=60,"STALE — route now",IF(I419&gt;=30,"Aging — watch",IF(I419&gt;=0,"Fresh","")))))</f>
        <v/>
      </c>
      <c r="K419" s="330">
        <f>IF(J419="STALE — route now","→ Send to consignment batch",IF(J419="Aging — watch","→ Consider 10% price drop",IF(J419="Fresh","→ Hold &amp; monitor","")))</f>
        <v/>
      </c>
    </row>
    <row r="420" ht="18" customHeight="1" s="230">
      <c r="A420" s="331" t="n"/>
      <c r="B420" s="331" t="n"/>
      <c r="C420" s="332" t="n"/>
      <c r="D420" s="333" t="n"/>
      <c r="E420" s="332" t="n"/>
      <c r="F420" s="334" t="n"/>
      <c r="G420" s="334" t="n"/>
      <c r="H420" s="332" t="n"/>
      <c r="I420" s="335">
        <f>IF(OR(B420="",H420="Sold"),"—",TODAY()-B420)</f>
        <v/>
      </c>
      <c r="J420" s="336">
        <f>IF(OR(B420="",H420="Sold"),"",IF(I420="—","",IF(I420&gt;=60,"STALE — route now",IF(I420&gt;=30,"Aging — watch",IF(I420&gt;=0,"Fresh","")))))</f>
        <v/>
      </c>
      <c r="K420" s="337">
        <f>IF(J420="STALE — route now","→ Send to consignment batch",IF(J420="Aging — watch","→ Consider 10% price drop",IF(J420="Fresh","→ Hold &amp; monitor","")))</f>
        <v/>
      </c>
    </row>
    <row r="421" ht="18" customHeight="1" s="230">
      <c r="A421" s="324" t="n"/>
      <c r="B421" s="324" t="n"/>
      <c r="C421" s="325" t="n"/>
      <c r="D421" s="326" t="n"/>
      <c r="E421" s="325" t="n"/>
      <c r="F421" s="327" t="n"/>
      <c r="G421" s="327" t="n"/>
      <c r="H421" s="325" t="n"/>
      <c r="I421" s="328">
        <f>IF(OR(B421="",H421="Sold"),"—",TODAY()-B421)</f>
        <v/>
      </c>
      <c r="J421" s="329">
        <f>IF(OR(B421="",H421="Sold"),"",IF(I421="—","",IF(I421&gt;=60,"STALE — route now",IF(I421&gt;=30,"Aging — watch",IF(I421&gt;=0,"Fresh","")))))</f>
        <v/>
      </c>
      <c r="K421" s="330">
        <f>IF(J421="STALE — route now","→ Send to consignment batch",IF(J421="Aging — watch","→ Consider 10% price drop",IF(J421="Fresh","→ Hold &amp; monitor","")))</f>
        <v/>
      </c>
    </row>
    <row r="422" ht="18" customHeight="1" s="230">
      <c r="A422" s="331" t="n"/>
      <c r="B422" s="331" t="n"/>
      <c r="C422" s="332" t="n"/>
      <c r="D422" s="333" t="n"/>
      <c r="E422" s="332" t="n"/>
      <c r="F422" s="334" t="n"/>
      <c r="G422" s="334" t="n"/>
      <c r="H422" s="332" t="n"/>
      <c r="I422" s="335">
        <f>IF(OR(B422="",H422="Sold"),"—",TODAY()-B422)</f>
        <v/>
      </c>
      <c r="J422" s="336">
        <f>IF(OR(B422="",H422="Sold"),"",IF(I422="—","",IF(I422&gt;=60,"STALE — route now",IF(I422&gt;=30,"Aging — watch",IF(I422&gt;=0,"Fresh","")))))</f>
        <v/>
      </c>
      <c r="K422" s="337">
        <f>IF(J422="STALE — route now","→ Send to consignment batch",IF(J422="Aging — watch","→ Consider 10% price drop",IF(J422="Fresh","→ Hold &amp; monitor","")))</f>
        <v/>
      </c>
    </row>
    <row r="423" ht="18" customHeight="1" s="230">
      <c r="A423" s="324" t="n"/>
      <c r="B423" s="324" t="n"/>
      <c r="C423" s="325" t="n"/>
      <c r="D423" s="326" t="n"/>
      <c r="E423" s="325" t="n"/>
      <c r="F423" s="327" t="n"/>
      <c r="G423" s="327" t="n"/>
      <c r="H423" s="325" t="n"/>
      <c r="I423" s="328">
        <f>IF(OR(B423="",H423="Sold"),"—",TODAY()-B423)</f>
        <v/>
      </c>
      <c r="J423" s="329">
        <f>IF(OR(B423="",H423="Sold"),"",IF(I423="—","",IF(I423&gt;=60,"STALE — route now",IF(I423&gt;=30,"Aging — watch",IF(I423&gt;=0,"Fresh","")))))</f>
        <v/>
      </c>
      <c r="K423" s="330">
        <f>IF(J423="STALE — route now","→ Send to consignment batch",IF(J423="Aging — watch","→ Consider 10% price drop",IF(J423="Fresh","→ Hold &amp; monitor","")))</f>
        <v/>
      </c>
    </row>
    <row r="424" ht="18" customHeight="1" s="230">
      <c r="A424" s="331" t="n"/>
      <c r="B424" s="331" t="n"/>
      <c r="C424" s="332" t="n"/>
      <c r="D424" s="333" t="n"/>
      <c r="E424" s="332" t="n"/>
      <c r="F424" s="334" t="n"/>
      <c r="G424" s="334" t="n"/>
      <c r="H424" s="332" t="n"/>
      <c r="I424" s="335">
        <f>IF(OR(B424="",H424="Sold"),"—",TODAY()-B424)</f>
        <v/>
      </c>
      <c r="J424" s="336">
        <f>IF(OR(B424="",H424="Sold"),"",IF(I424="—","",IF(I424&gt;=60,"STALE — route now",IF(I424&gt;=30,"Aging — watch",IF(I424&gt;=0,"Fresh","")))))</f>
        <v/>
      </c>
      <c r="K424" s="337">
        <f>IF(J424="STALE — route now","→ Send to consignment batch",IF(J424="Aging — watch","→ Consider 10% price drop",IF(J424="Fresh","→ Hold &amp; monitor","")))</f>
        <v/>
      </c>
    </row>
    <row r="425" ht="18" customHeight="1" s="230">
      <c r="A425" s="324" t="n"/>
      <c r="B425" s="324" t="n"/>
      <c r="C425" s="325" t="n"/>
      <c r="D425" s="326" t="n"/>
      <c r="E425" s="325" t="n"/>
      <c r="F425" s="327" t="n"/>
      <c r="G425" s="327" t="n"/>
      <c r="H425" s="325" t="n"/>
      <c r="I425" s="328">
        <f>IF(OR(B425="",H425="Sold"),"—",TODAY()-B425)</f>
        <v/>
      </c>
      <c r="J425" s="329">
        <f>IF(OR(B425="",H425="Sold"),"",IF(I425="—","",IF(I425&gt;=60,"STALE — route now",IF(I425&gt;=30,"Aging — watch",IF(I425&gt;=0,"Fresh","")))))</f>
        <v/>
      </c>
      <c r="K425" s="330">
        <f>IF(J425="STALE — route now","→ Send to consignment batch",IF(J425="Aging — watch","→ Consider 10% price drop",IF(J425="Fresh","→ Hold &amp; monitor","")))</f>
        <v/>
      </c>
    </row>
    <row r="426" ht="18" customHeight="1" s="230">
      <c r="A426" s="331" t="n"/>
      <c r="B426" s="331" t="n"/>
      <c r="C426" s="332" t="n"/>
      <c r="D426" s="333" t="n"/>
      <c r="E426" s="332" t="n"/>
      <c r="F426" s="334" t="n"/>
      <c r="G426" s="334" t="n"/>
      <c r="H426" s="332" t="n"/>
      <c r="I426" s="335">
        <f>IF(OR(B426="",H426="Sold"),"—",TODAY()-B426)</f>
        <v/>
      </c>
      <c r="J426" s="336">
        <f>IF(OR(B426="",H426="Sold"),"",IF(I426="—","",IF(I426&gt;=60,"STALE — route now",IF(I426&gt;=30,"Aging — watch",IF(I426&gt;=0,"Fresh","")))))</f>
        <v/>
      </c>
      <c r="K426" s="337">
        <f>IF(J426="STALE — route now","→ Send to consignment batch",IF(J426="Aging — watch","→ Consider 10% price drop",IF(J426="Fresh","→ Hold &amp; monitor","")))</f>
        <v/>
      </c>
    </row>
    <row r="427" ht="18" customHeight="1" s="230">
      <c r="A427" s="324" t="n"/>
      <c r="B427" s="324" t="n"/>
      <c r="C427" s="325" t="n"/>
      <c r="D427" s="326" t="n"/>
      <c r="E427" s="325" t="n"/>
      <c r="F427" s="327" t="n"/>
      <c r="G427" s="327" t="n"/>
      <c r="H427" s="325" t="n"/>
      <c r="I427" s="328">
        <f>IF(OR(B427="",H427="Sold"),"—",TODAY()-B427)</f>
        <v/>
      </c>
      <c r="J427" s="329">
        <f>IF(OR(B427="",H427="Sold"),"",IF(I427="—","",IF(I427&gt;=60,"STALE — route now",IF(I427&gt;=30,"Aging — watch",IF(I427&gt;=0,"Fresh","")))))</f>
        <v/>
      </c>
      <c r="K427" s="330">
        <f>IF(J427="STALE — route now","→ Send to consignment batch",IF(J427="Aging — watch","→ Consider 10% price drop",IF(J427="Fresh","→ Hold &amp; monitor","")))</f>
        <v/>
      </c>
    </row>
    <row r="428" ht="18" customHeight="1" s="230">
      <c r="A428" s="331" t="n"/>
      <c r="B428" s="331" t="n"/>
      <c r="C428" s="332" t="n"/>
      <c r="D428" s="333" t="n"/>
      <c r="E428" s="332" t="n"/>
      <c r="F428" s="334" t="n"/>
      <c r="G428" s="334" t="n"/>
      <c r="H428" s="332" t="n"/>
      <c r="I428" s="335">
        <f>IF(OR(B428="",H428="Sold"),"—",TODAY()-B428)</f>
        <v/>
      </c>
      <c r="J428" s="336">
        <f>IF(OR(B428="",H428="Sold"),"",IF(I428="—","",IF(I428&gt;=60,"STALE — route now",IF(I428&gt;=30,"Aging — watch",IF(I428&gt;=0,"Fresh","")))))</f>
        <v/>
      </c>
      <c r="K428" s="337">
        <f>IF(J428="STALE — route now","→ Send to consignment batch",IF(J428="Aging — watch","→ Consider 10% price drop",IF(J428="Fresh","→ Hold &amp; monitor","")))</f>
        <v/>
      </c>
    </row>
    <row r="429" ht="18" customHeight="1" s="230">
      <c r="A429" s="324" t="n"/>
      <c r="B429" s="324" t="n"/>
      <c r="C429" s="325" t="n"/>
      <c r="D429" s="326" t="n"/>
      <c r="E429" s="325" t="n"/>
      <c r="F429" s="327" t="n"/>
      <c r="G429" s="327" t="n"/>
      <c r="H429" s="325" t="n"/>
      <c r="I429" s="328">
        <f>IF(OR(B429="",H429="Sold"),"—",TODAY()-B429)</f>
        <v/>
      </c>
      <c r="J429" s="329">
        <f>IF(OR(B429="",H429="Sold"),"",IF(I429="—","",IF(I429&gt;=60,"STALE — route now",IF(I429&gt;=30,"Aging — watch",IF(I429&gt;=0,"Fresh","")))))</f>
        <v/>
      </c>
      <c r="K429" s="330">
        <f>IF(J429="STALE — route now","→ Send to consignment batch",IF(J429="Aging — watch","→ Consider 10% price drop",IF(J429="Fresh","→ Hold &amp; monitor","")))</f>
        <v/>
      </c>
    </row>
    <row r="430" ht="18" customHeight="1" s="230">
      <c r="A430" s="331" t="n"/>
      <c r="B430" s="331" t="n"/>
      <c r="C430" s="332" t="n"/>
      <c r="D430" s="333" t="n"/>
      <c r="E430" s="332" t="n"/>
      <c r="F430" s="334" t="n"/>
      <c r="G430" s="334" t="n"/>
      <c r="H430" s="332" t="n"/>
      <c r="I430" s="335">
        <f>IF(OR(B430="",H430="Sold"),"—",TODAY()-B430)</f>
        <v/>
      </c>
      <c r="J430" s="336">
        <f>IF(OR(B430="",H430="Sold"),"",IF(I430="—","",IF(I430&gt;=60,"STALE — route now",IF(I430&gt;=30,"Aging — watch",IF(I430&gt;=0,"Fresh","")))))</f>
        <v/>
      </c>
      <c r="K430" s="337">
        <f>IF(J430="STALE — route now","→ Send to consignment batch",IF(J430="Aging — watch","→ Consider 10% price drop",IF(J430="Fresh","→ Hold &amp; monitor","")))</f>
        <v/>
      </c>
    </row>
    <row r="431" ht="18" customHeight="1" s="230">
      <c r="A431" s="324" t="n"/>
      <c r="B431" s="324" t="n"/>
      <c r="C431" s="325" t="n"/>
      <c r="D431" s="326" t="n"/>
      <c r="E431" s="325" t="n"/>
      <c r="F431" s="327" t="n"/>
      <c r="G431" s="327" t="n"/>
      <c r="H431" s="325" t="n"/>
      <c r="I431" s="328">
        <f>IF(OR(B431="",H431="Sold"),"—",TODAY()-B431)</f>
        <v/>
      </c>
      <c r="J431" s="329">
        <f>IF(OR(B431="",H431="Sold"),"",IF(I431="—","",IF(I431&gt;=60,"STALE — route now",IF(I431&gt;=30,"Aging — watch",IF(I431&gt;=0,"Fresh","")))))</f>
        <v/>
      </c>
      <c r="K431" s="330">
        <f>IF(J431="STALE — route now","→ Send to consignment batch",IF(J431="Aging — watch","→ Consider 10% price drop",IF(J431="Fresh","→ Hold &amp; monitor","")))</f>
        <v/>
      </c>
    </row>
    <row r="432" ht="18" customHeight="1" s="230">
      <c r="A432" s="331" t="n"/>
      <c r="B432" s="331" t="n"/>
      <c r="C432" s="332" t="n"/>
      <c r="D432" s="333" t="n"/>
      <c r="E432" s="332" t="n"/>
      <c r="F432" s="334" t="n"/>
      <c r="G432" s="334" t="n"/>
      <c r="H432" s="332" t="n"/>
      <c r="I432" s="335">
        <f>IF(OR(B432="",H432="Sold"),"—",TODAY()-B432)</f>
        <v/>
      </c>
      <c r="J432" s="336">
        <f>IF(OR(B432="",H432="Sold"),"",IF(I432="—","",IF(I432&gt;=60,"STALE — route now",IF(I432&gt;=30,"Aging — watch",IF(I432&gt;=0,"Fresh","")))))</f>
        <v/>
      </c>
      <c r="K432" s="337">
        <f>IF(J432="STALE — route now","→ Send to consignment batch",IF(J432="Aging — watch","→ Consider 10% price drop",IF(J432="Fresh","→ Hold &amp; monitor","")))</f>
        <v/>
      </c>
    </row>
    <row r="433" ht="18" customHeight="1" s="230">
      <c r="A433" s="324" t="n"/>
      <c r="B433" s="324" t="n"/>
      <c r="C433" s="325" t="n"/>
      <c r="D433" s="326" t="n"/>
      <c r="E433" s="325" t="n"/>
      <c r="F433" s="327" t="n"/>
      <c r="G433" s="327" t="n"/>
      <c r="H433" s="325" t="n"/>
      <c r="I433" s="328">
        <f>IF(OR(B433="",H433="Sold"),"—",TODAY()-B433)</f>
        <v/>
      </c>
      <c r="J433" s="329">
        <f>IF(OR(B433="",H433="Sold"),"",IF(I433="—","",IF(I433&gt;=60,"STALE — route now",IF(I433&gt;=30,"Aging — watch",IF(I433&gt;=0,"Fresh","")))))</f>
        <v/>
      </c>
      <c r="K433" s="330">
        <f>IF(J433="STALE — route now","→ Send to consignment batch",IF(J433="Aging — watch","→ Consider 10% price drop",IF(J433="Fresh","→ Hold &amp; monitor","")))</f>
        <v/>
      </c>
    </row>
    <row r="434" ht="18" customHeight="1" s="230">
      <c r="A434" s="331" t="n"/>
      <c r="B434" s="331" t="n"/>
      <c r="C434" s="332" t="n"/>
      <c r="D434" s="333" t="n"/>
      <c r="E434" s="332" t="n"/>
      <c r="F434" s="334" t="n"/>
      <c r="G434" s="334" t="n"/>
      <c r="H434" s="332" t="n"/>
      <c r="I434" s="335">
        <f>IF(OR(B434="",H434="Sold"),"—",TODAY()-B434)</f>
        <v/>
      </c>
      <c r="J434" s="336">
        <f>IF(OR(B434="",H434="Sold"),"",IF(I434="—","",IF(I434&gt;=60,"STALE — route now",IF(I434&gt;=30,"Aging — watch",IF(I434&gt;=0,"Fresh","")))))</f>
        <v/>
      </c>
      <c r="K434" s="337">
        <f>IF(J434="STALE — route now","→ Send to consignment batch",IF(J434="Aging — watch","→ Consider 10% price drop",IF(J434="Fresh","→ Hold &amp; monitor","")))</f>
        <v/>
      </c>
    </row>
    <row r="435" ht="18" customHeight="1" s="230">
      <c r="A435" s="324" t="n"/>
      <c r="B435" s="324" t="n"/>
      <c r="C435" s="325" t="n"/>
      <c r="D435" s="326" t="n"/>
      <c r="E435" s="325" t="n"/>
      <c r="F435" s="327" t="n"/>
      <c r="G435" s="327" t="n"/>
      <c r="H435" s="325" t="n"/>
      <c r="I435" s="328">
        <f>IF(OR(B435="",H435="Sold"),"—",TODAY()-B435)</f>
        <v/>
      </c>
      <c r="J435" s="329">
        <f>IF(OR(B435="",H435="Sold"),"",IF(I435="—","",IF(I435&gt;=60,"STALE — route now",IF(I435&gt;=30,"Aging — watch",IF(I435&gt;=0,"Fresh","")))))</f>
        <v/>
      </c>
      <c r="K435" s="330">
        <f>IF(J435="STALE — route now","→ Send to consignment batch",IF(J435="Aging — watch","→ Consider 10% price drop",IF(J435="Fresh","→ Hold &amp; monitor","")))</f>
        <v/>
      </c>
    </row>
    <row r="436" ht="18" customHeight="1" s="230">
      <c r="A436" s="331" t="n"/>
      <c r="B436" s="331" t="n"/>
      <c r="C436" s="332" t="n"/>
      <c r="D436" s="333" t="n"/>
      <c r="E436" s="332" t="n"/>
      <c r="F436" s="334" t="n"/>
      <c r="G436" s="334" t="n"/>
      <c r="H436" s="332" t="n"/>
      <c r="I436" s="335">
        <f>IF(OR(B436="",H436="Sold"),"—",TODAY()-B436)</f>
        <v/>
      </c>
      <c r="J436" s="336">
        <f>IF(OR(B436="",H436="Sold"),"",IF(I436="—","",IF(I436&gt;=60,"STALE — route now",IF(I436&gt;=30,"Aging — watch",IF(I436&gt;=0,"Fresh","")))))</f>
        <v/>
      </c>
      <c r="K436" s="337">
        <f>IF(J436="STALE — route now","→ Send to consignment batch",IF(J436="Aging — watch","→ Consider 10% price drop",IF(J436="Fresh","→ Hold &amp; monitor","")))</f>
        <v/>
      </c>
    </row>
    <row r="437" ht="18" customHeight="1" s="230">
      <c r="A437" s="324" t="n"/>
      <c r="B437" s="324" t="n"/>
      <c r="C437" s="325" t="n"/>
      <c r="D437" s="326" t="n"/>
      <c r="E437" s="325" t="n"/>
      <c r="F437" s="327" t="n"/>
      <c r="G437" s="327" t="n"/>
      <c r="H437" s="325" t="n"/>
      <c r="I437" s="328">
        <f>IF(OR(B437="",H437="Sold"),"—",TODAY()-B437)</f>
        <v/>
      </c>
      <c r="J437" s="329">
        <f>IF(OR(B437="",H437="Sold"),"",IF(I437="—","",IF(I437&gt;=60,"STALE — route now",IF(I437&gt;=30,"Aging — watch",IF(I437&gt;=0,"Fresh","")))))</f>
        <v/>
      </c>
      <c r="K437" s="330">
        <f>IF(J437="STALE — route now","→ Send to consignment batch",IF(J437="Aging — watch","→ Consider 10% price drop",IF(J437="Fresh","→ Hold &amp; monitor","")))</f>
        <v/>
      </c>
    </row>
    <row r="438" ht="18" customHeight="1" s="230">
      <c r="A438" s="331" t="n"/>
      <c r="B438" s="331" t="n"/>
      <c r="C438" s="332" t="n"/>
      <c r="D438" s="333" t="n"/>
      <c r="E438" s="332" t="n"/>
      <c r="F438" s="334" t="n"/>
      <c r="G438" s="334" t="n"/>
      <c r="H438" s="332" t="n"/>
      <c r="I438" s="335">
        <f>IF(OR(B438="",H438="Sold"),"—",TODAY()-B438)</f>
        <v/>
      </c>
      <c r="J438" s="336">
        <f>IF(OR(B438="",H438="Sold"),"",IF(I438="—","",IF(I438&gt;=60,"STALE — route now",IF(I438&gt;=30,"Aging — watch",IF(I438&gt;=0,"Fresh","")))))</f>
        <v/>
      </c>
      <c r="K438" s="337">
        <f>IF(J438="STALE — route now","→ Send to consignment batch",IF(J438="Aging — watch","→ Consider 10% price drop",IF(J438="Fresh","→ Hold &amp; monitor","")))</f>
        <v/>
      </c>
    </row>
    <row r="439" ht="18" customHeight="1" s="230">
      <c r="A439" s="324" t="n"/>
      <c r="B439" s="324" t="n"/>
      <c r="C439" s="325" t="n"/>
      <c r="D439" s="326" t="n"/>
      <c r="E439" s="325" t="n"/>
      <c r="F439" s="327" t="n"/>
      <c r="G439" s="327" t="n"/>
      <c r="H439" s="325" t="n"/>
      <c r="I439" s="328">
        <f>IF(OR(B439="",H439="Sold"),"—",TODAY()-B439)</f>
        <v/>
      </c>
      <c r="J439" s="329">
        <f>IF(OR(B439="",H439="Sold"),"",IF(I439="—","",IF(I439&gt;=60,"STALE — route now",IF(I439&gt;=30,"Aging — watch",IF(I439&gt;=0,"Fresh","")))))</f>
        <v/>
      </c>
      <c r="K439" s="330">
        <f>IF(J439="STALE — route now","→ Send to consignment batch",IF(J439="Aging — watch","→ Consider 10% price drop",IF(J439="Fresh","→ Hold &amp; monitor","")))</f>
        <v/>
      </c>
    </row>
    <row r="440" ht="18" customHeight="1" s="230">
      <c r="A440" s="331" t="n"/>
      <c r="B440" s="331" t="n"/>
      <c r="C440" s="332" t="n"/>
      <c r="D440" s="333" t="n"/>
      <c r="E440" s="332" t="n"/>
      <c r="F440" s="334" t="n"/>
      <c r="G440" s="334" t="n"/>
      <c r="H440" s="332" t="n"/>
      <c r="I440" s="335">
        <f>IF(OR(B440="",H440="Sold"),"—",TODAY()-B440)</f>
        <v/>
      </c>
      <c r="J440" s="336">
        <f>IF(OR(B440="",H440="Sold"),"",IF(I440="—","",IF(I440&gt;=60,"STALE — route now",IF(I440&gt;=30,"Aging — watch",IF(I440&gt;=0,"Fresh","")))))</f>
        <v/>
      </c>
      <c r="K440" s="337">
        <f>IF(J440="STALE — route now","→ Send to consignment batch",IF(J440="Aging — watch","→ Consider 10% price drop",IF(J440="Fresh","→ Hold &amp; monitor","")))</f>
        <v/>
      </c>
    </row>
    <row r="441" ht="18" customHeight="1" s="230">
      <c r="A441" s="324" t="n"/>
      <c r="B441" s="324" t="n"/>
      <c r="C441" s="325" t="n"/>
      <c r="D441" s="326" t="n"/>
      <c r="E441" s="325" t="n"/>
      <c r="F441" s="327" t="n"/>
      <c r="G441" s="327" t="n"/>
      <c r="H441" s="325" t="n"/>
      <c r="I441" s="328">
        <f>IF(OR(B441="",H441="Sold"),"—",TODAY()-B441)</f>
        <v/>
      </c>
      <c r="J441" s="329">
        <f>IF(OR(B441="",H441="Sold"),"",IF(I441="—","",IF(I441&gt;=60,"STALE — route now",IF(I441&gt;=30,"Aging — watch",IF(I441&gt;=0,"Fresh","")))))</f>
        <v/>
      </c>
      <c r="K441" s="330">
        <f>IF(J441="STALE — route now","→ Send to consignment batch",IF(J441="Aging — watch","→ Consider 10% price drop",IF(J441="Fresh","→ Hold &amp; monitor","")))</f>
        <v/>
      </c>
    </row>
    <row r="442" ht="18" customHeight="1" s="230">
      <c r="A442" s="331" t="n"/>
      <c r="B442" s="331" t="n"/>
      <c r="C442" s="332" t="n"/>
      <c r="D442" s="333" t="n"/>
      <c r="E442" s="332" t="n"/>
      <c r="F442" s="334" t="n"/>
      <c r="G442" s="334" t="n"/>
      <c r="H442" s="332" t="n"/>
      <c r="I442" s="335">
        <f>IF(OR(B442="",H442="Sold"),"—",TODAY()-B442)</f>
        <v/>
      </c>
      <c r="J442" s="336">
        <f>IF(OR(B442="",H442="Sold"),"",IF(I442="—","",IF(I442&gt;=60,"STALE — route now",IF(I442&gt;=30,"Aging — watch",IF(I442&gt;=0,"Fresh","")))))</f>
        <v/>
      </c>
      <c r="K442" s="337">
        <f>IF(J442="STALE — route now","→ Send to consignment batch",IF(J442="Aging — watch","→ Consider 10% price drop",IF(J442="Fresh","→ Hold &amp; monitor","")))</f>
        <v/>
      </c>
    </row>
    <row r="443" ht="18" customHeight="1" s="230">
      <c r="A443" s="324" t="n"/>
      <c r="B443" s="324" t="n"/>
      <c r="C443" s="325" t="n"/>
      <c r="D443" s="326" t="n"/>
      <c r="E443" s="325" t="n"/>
      <c r="F443" s="327" t="n"/>
      <c r="G443" s="327" t="n"/>
      <c r="H443" s="325" t="n"/>
      <c r="I443" s="328">
        <f>IF(OR(B443="",H443="Sold"),"—",TODAY()-B443)</f>
        <v/>
      </c>
      <c r="J443" s="329">
        <f>IF(OR(B443="",H443="Sold"),"",IF(I443="—","",IF(I443&gt;=60,"STALE — route now",IF(I443&gt;=30,"Aging — watch",IF(I443&gt;=0,"Fresh","")))))</f>
        <v/>
      </c>
      <c r="K443" s="330">
        <f>IF(J443="STALE — route now","→ Send to consignment batch",IF(J443="Aging — watch","→ Consider 10% price drop",IF(J443="Fresh","→ Hold &amp; monitor","")))</f>
        <v/>
      </c>
    </row>
    <row r="444" ht="18" customHeight="1" s="230">
      <c r="A444" s="331" t="n"/>
      <c r="B444" s="331" t="n"/>
      <c r="C444" s="332" t="n"/>
      <c r="D444" s="333" t="n"/>
      <c r="E444" s="332" t="n"/>
      <c r="F444" s="334" t="n"/>
      <c r="G444" s="334" t="n"/>
      <c r="H444" s="332" t="n"/>
      <c r="I444" s="335">
        <f>IF(OR(B444="",H444="Sold"),"—",TODAY()-B444)</f>
        <v/>
      </c>
      <c r="J444" s="336">
        <f>IF(OR(B444="",H444="Sold"),"",IF(I444="—","",IF(I444&gt;=60,"STALE — route now",IF(I444&gt;=30,"Aging — watch",IF(I444&gt;=0,"Fresh","")))))</f>
        <v/>
      </c>
      <c r="K444" s="337">
        <f>IF(J444="STALE — route now","→ Send to consignment batch",IF(J444="Aging — watch","→ Consider 10% price drop",IF(J444="Fresh","→ Hold &amp; monitor","")))</f>
        <v/>
      </c>
    </row>
    <row r="445" ht="18" customHeight="1" s="230">
      <c r="A445" s="324" t="n"/>
      <c r="B445" s="324" t="n"/>
      <c r="C445" s="325" t="n"/>
      <c r="D445" s="326" t="n"/>
      <c r="E445" s="325" t="n"/>
      <c r="F445" s="327" t="n"/>
      <c r="G445" s="327" t="n"/>
      <c r="H445" s="325" t="n"/>
      <c r="I445" s="328">
        <f>IF(OR(B445="",H445="Sold"),"—",TODAY()-B445)</f>
        <v/>
      </c>
      <c r="J445" s="329">
        <f>IF(OR(B445="",H445="Sold"),"",IF(I445="—","",IF(I445&gt;=60,"STALE — route now",IF(I445&gt;=30,"Aging — watch",IF(I445&gt;=0,"Fresh","")))))</f>
        <v/>
      </c>
      <c r="K445" s="330">
        <f>IF(J445="STALE — route now","→ Send to consignment batch",IF(J445="Aging — watch","→ Consider 10% price drop",IF(J445="Fresh","→ Hold &amp; monitor","")))</f>
        <v/>
      </c>
    </row>
    <row r="446" ht="18" customHeight="1" s="230">
      <c r="A446" s="331" t="n"/>
      <c r="B446" s="331" t="n"/>
      <c r="C446" s="332" t="n"/>
      <c r="D446" s="333" t="n"/>
      <c r="E446" s="332" t="n"/>
      <c r="F446" s="334" t="n"/>
      <c r="G446" s="334" t="n"/>
      <c r="H446" s="332" t="n"/>
      <c r="I446" s="335">
        <f>IF(OR(B446="",H446="Sold"),"—",TODAY()-B446)</f>
        <v/>
      </c>
      <c r="J446" s="336">
        <f>IF(OR(B446="",H446="Sold"),"",IF(I446="—","",IF(I446&gt;=60,"STALE — route now",IF(I446&gt;=30,"Aging — watch",IF(I446&gt;=0,"Fresh","")))))</f>
        <v/>
      </c>
      <c r="K446" s="337">
        <f>IF(J446="STALE — route now","→ Send to consignment batch",IF(J446="Aging — watch","→ Consider 10% price drop",IF(J446="Fresh","→ Hold &amp; monitor","")))</f>
        <v/>
      </c>
    </row>
    <row r="447" ht="18" customHeight="1" s="230">
      <c r="A447" s="324" t="n"/>
      <c r="B447" s="324" t="n"/>
      <c r="C447" s="325" t="n"/>
      <c r="D447" s="326" t="n"/>
      <c r="E447" s="325" t="n"/>
      <c r="F447" s="327" t="n"/>
      <c r="G447" s="327" t="n"/>
      <c r="H447" s="325" t="n"/>
      <c r="I447" s="328">
        <f>IF(OR(B447="",H447="Sold"),"—",TODAY()-B447)</f>
        <v/>
      </c>
      <c r="J447" s="329">
        <f>IF(OR(B447="",H447="Sold"),"",IF(I447="—","",IF(I447&gt;=60,"STALE — route now",IF(I447&gt;=30,"Aging — watch",IF(I447&gt;=0,"Fresh","")))))</f>
        <v/>
      </c>
      <c r="K447" s="330">
        <f>IF(J447="STALE — route now","→ Send to consignment batch",IF(J447="Aging — watch","→ Consider 10% price drop",IF(J447="Fresh","→ Hold &amp; monitor","")))</f>
        <v/>
      </c>
    </row>
    <row r="448" ht="18" customHeight="1" s="230">
      <c r="A448" s="331" t="n"/>
      <c r="B448" s="331" t="n"/>
      <c r="C448" s="332" t="n"/>
      <c r="D448" s="333" t="n"/>
      <c r="E448" s="332" t="n"/>
      <c r="F448" s="334" t="n"/>
      <c r="G448" s="334" t="n"/>
      <c r="H448" s="332" t="n"/>
      <c r="I448" s="335">
        <f>IF(OR(B448="",H448="Sold"),"—",TODAY()-B448)</f>
        <v/>
      </c>
      <c r="J448" s="336">
        <f>IF(OR(B448="",H448="Sold"),"",IF(I448="—","",IF(I448&gt;=60,"STALE — route now",IF(I448&gt;=30,"Aging — watch",IF(I448&gt;=0,"Fresh","")))))</f>
        <v/>
      </c>
      <c r="K448" s="337">
        <f>IF(J448="STALE — route now","→ Send to consignment batch",IF(J448="Aging — watch","→ Consider 10% price drop",IF(J448="Fresh","→ Hold &amp; monitor","")))</f>
        <v/>
      </c>
    </row>
    <row r="449" ht="18" customHeight="1" s="230">
      <c r="A449" s="324" t="n"/>
      <c r="B449" s="324" t="n"/>
      <c r="C449" s="325" t="n"/>
      <c r="D449" s="326" t="n"/>
      <c r="E449" s="325" t="n"/>
      <c r="F449" s="327" t="n"/>
      <c r="G449" s="327" t="n"/>
      <c r="H449" s="325" t="n"/>
      <c r="I449" s="328">
        <f>IF(OR(B449="",H449="Sold"),"—",TODAY()-B449)</f>
        <v/>
      </c>
      <c r="J449" s="329">
        <f>IF(OR(B449="",H449="Sold"),"",IF(I449="—","",IF(I449&gt;=60,"STALE — route now",IF(I449&gt;=30,"Aging — watch",IF(I449&gt;=0,"Fresh","")))))</f>
        <v/>
      </c>
      <c r="K449" s="330">
        <f>IF(J449="STALE — route now","→ Send to consignment batch",IF(J449="Aging — watch","→ Consider 10% price drop",IF(J449="Fresh","→ Hold &amp; monitor","")))</f>
        <v/>
      </c>
    </row>
    <row r="450" ht="18" customHeight="1" s="230">
      <c r="A450" s="331" t="n"/>
      <c r="B450" s="331" t="n"/>
      <c r="C450" s="332" t="n"/>
      <c r="D450" s="333" t="n"/>
      <c r="E450" s="332" t="n"/>
      <c r="F450" s="334" t="n"/>
      <c r="G450" s="334" t="n"/>
      <c r="H450" s="332" t="n"/>
      <c r="I450" s="335">
        <f>IF(OR(B450="",H450="Sold"),"—",TODAY()-B450)</f>
        <v/>
      </c>
      <c r="J450" s="336">
        <f>IF(OR(B450="",H450="Sold"),"",IF(I450="—","",IF(I450&gt;=60,"STALE — route now",IF(I450&gt;=30,"Aging — watch",IF(I450&gt;=0,"Fresh","")))))</f>
        <v/>
      </c>
      <c r="K450" s="337">
        <f>IF(J450="STALE — route now","→ Send to consignment batch",IF(J450="Aging — watch","→ Consider 10% price drop",IF(J450="Fresh","→ Hold &amp; monitor","")))</f>
        <v/>
      </c>
    </row>
    <row r="451" ht="18" customHeight="1" s="230">
      <c r="A451" s="324" t="n"/>
      <c r="B451" s="324" t="n"/>
      <c r="C451" s="325" t="n"/>
      <c r="D451" s="326" t="n"/>
      <c r="E451" s="325" t="n"/>
      <c r="F451" s="327" t="n"/>
      <c r="G451" s="327" t="n"/>
      <c r="H451" s="325" t="n"/>
      <c r="I451" s="328">
        <f>IF(OR(B451="",H451="Sold"),"—",TODAY()-B451)</f>
        <v/>
      </c>
      <c r="J451" s="329">
        <f>IF(OR(B451="",H451="Sold"),"",IF(I451="—","",IF(I451&gt;=60,"STALE — route now",IF(I451&gt;=30,"Aging — watch",IF(I451&gt;=0,"Fresh","")))))</f>
        <v/>
      </c>
      <c r="K451" s="330">
        <f>IF(J451="STALE — route now","→ Send to consignment batch",IF(J451="Aging — watch","→ Consider 10% price drop",IF(J451="Fresh","→ Hold &amp; monitor","")))</f>
        <v/>
      </c>
    </row>
    <row r="452" ht="18" customHeight="1" s="230">
      <c r="A452" s="331" t="n"/>
      <c r="B452" s="331" t="n"/>
      <c r="C452" s="332" t="n"/>
      <c r="D452" s="333" t="n"/>
      <c r="E452" s="332" t="n"/>
      <c r="F452" s="334" t="n"/>
      <c r="G452" s="334" t="n"/>
      <c r="H452" s="332" t="n"/>
      <c r="I452" s="335">
        <f>IF(OR(B452="",H452="Sold"),"—",TODAY()-B452)</f>
        <v/>
      </c>
      <c r="J452" s="336">
        <f>IF(OR(B452="",H452="Sold"),"",IF(I452="—","",IF(I452&gt;=60,"STALE — route now",IF(I452&gt;=30,"Aging — watch",IF(I452&gt;=0,"Fresh","")))))</f>
        <v/>
      </c>
      <c r="K452" s="337">
        <f>IF(J452="STALE — route now","→ Send to consignment batch",IF(J452="Aging — watch","→ Consider 10% price drop",IF(J452="Fresh","→ Hold &amp; monitor","")))</f>
        <v/>
      </c>
    </row>
    <row r="453" ht="18" customHeight="1" s="230">
      <c r="A453" s="324" t="n"/>
      <c r="B453" s="324" t="n"/>
      <c r="C453" s="325" t="n"/>
      <c r="D453" s="326" t="n"/>
      <c r="E453" s="325" t="n"/>
      <c r="F453" s="327" t="n"/>
      <c r="G453" s="327" t="n"/>
      <c r="H453" s="325" t="n"/>
      <c r="I453" s="328">
        <f>IF(OR(B453="",H453="Sold"),"—",TODAY()-B453)</f>
        <v/>
      </c>
      <c r="J453" s="329">
        <f>IF(OR(B453="",H453="Sold"),"",IF(I453="—","",IF(I453&gt;=60,"STALE — route now",IF(I453&gt;=30,"Aging — watch",IF(I453&gt;=0,"Fresh","")))))</f>
        <v/>
      </c>
      <c r="K453" s="330">
        <f>IF(J453="STALE — route now","→ Send to consignment batch",IF(J453="Aging — watch","→ Consider 10% price drop",IF(J453="Fresh","→ Hold &amp; monitor","")))</f>
        <v/>
      </c>
    </row>
    <row r="454" ht="18" customHeight="1" s="230">
      <c r="A454" s="331" t="n"/>
      <c r="B454" s="331" t="n"/>
      <c r="C454" s="332" t="n"/>
      <c r="D454" s="333" t="n"/>
      <c r="E454" s="332" t="n"/>
      <c r="F454" s="334" t="n"/>
      <c r="G454" s="334" t="n"/>
      <c r="H454" s="332" t="n"/>
      <c r="I454" s="335">
        <f>IF(OR(B454="",H454="Sold"),"—",TODAY()-B454)</f>
        <v/>
      </c>
      <c r="J454" s="336">
        <f>IF(OR(B454="",H454="Sold"),"",IF(I454="—","",IF(I454&gt;=60,"STALE — route now",IF(I454&gt;=30,"Aging — watch",IF(I454&gt;=0,"Fresh","")))))</f>
        <v/>
      </c>
      <c r="K454" s="337">
        <f>IF(J454="STALE — route now","→ Send to consignment batch",IF(J454="Aging — watch","→ Consider 10% price drop",IF(J454="Fresh","→ Hold &amp; monitor","")))</f>
        <v/>
      </c>
    </row>
    <row r="455" ht="18" customHeight="1" s="230">
      <c r="A455" s="324" t="n"/>
      <c r="B455" s="324" t="n"/>
      <c r="C455" s="325" t="n"/>
      <c r="D455" s="326" t="n"/>
      <c r="E455" s="325" t="n"/>
      <c r="F455" s="327" t="n"/>
      <c r="G455" s="327" t="n"/>
      <c r="H455" s="325" t="n"/>
      <c r="I455" s="328">
        <f>IF(OR(B455="",H455="Sold"),"—",TODAY()-B455)</f>
        <v/>
      </c>
      <c r="J455" s="329">
        <f>IF(OR(B455="",H455="Sold"),"",IF(I455="—","",IF(I455&gt;=60,"STALE — route now",IF(I455&gt;=30,"Aging — watch",IF(I455&gt;=0,"Fresh","")))))</f>
        <v/>
      </c>
      <c r="K455" s="330">
        <f>IF(J455="STALE — route now","→ Send to consignment batch",IF(J455="Aging — watch","→ Consider 10% price drop",IF(J455="Fresh","→ Hold &amp; monitor","")))</f>
        <v/>
      </c>
    </row>
    <row r="456" ht="18" customHeight="1" s="230">
      <c r="A456" s="331" t="n"/>
      <c r="B456" s="331" t="n"/>
      <c r="C456" s="332" t="n"/>
      <c r="D456" s="333" t="n"/>
      <c r="E456" s="332" t="n"/>
      <c r="F456" s="334" t="n"/>
      <c r="G456" s="334" t="n"/>
      <c r="H456" s="332" t="n"/>
      <c r="I456" s="335">
        <f>IF(OR(B456="",H456="Sold"),"—",TODAY()-B456)</f>
        <v/>
      </c>
      <c r="J456" s="336">
        <f>IF(OR(B456="",H456="Sold"),"",IF(I456="—","",IF(I456&gt;=60,"STALE — route now",IF(I456&gt;=30,"Aging — watch",IF(I456&gt;=0,"Fresh","")))))</f>
        <v/>
      </c>
      <c r="K456" s="337">
        <f>IF(J456="STALE — route now","→ Send to consignment batch",IF(J456="Aging — watch","→ Consider 10% price drop",IF(J456="Fresh","→ Hold &amp; monitor","")))</f>
        <v/>
      </c>
    </row>
    <row r="457" ht="18" customHeight="1" s="230">
      <c r="A457" s="324" t="n"/>
      <c r="B457" s="324" t="n"/>
      <c r="C457" s="325" t="n"/>
      <c r="D457" s="326" t="n"/>
      <c r="E457" s="325" t="n"/>
      <c r="F457" s="327" t="n"/>
      <c r="G457" s="327" t="n"/>
      <c r="H457" s="325" t="n"/>
      <c r="I457" s="328">
        <f>IF(OR(B457="",H457="Sold"),"—",TODAY()-B457)</f>
        <v/>
      </c>
      <c r="J457" s="329">
        <f>IF(OR(B457="",H457="Sold"),"",IF(I457="—","",IF(I457&gt;=60,"STALE — route now",IF(I457&gt;=30,"Aging — watch",IF(I457&gt;=0,"Fresh","")))))</f>
        <v/>
      </c>
      <c r="K457" s="330">
        <f>IF(J457="STALE — route now","→ Send to consignment batch",IF(J457="Aging — watch","→ Consider 10% price drop",IF(J457="Fresh","→ Hold &amp; monitor","")))</f>
        <v/>
      </c>
    </row>
    <row r="458" ht="18" customHeight="1" s="230">
      <c r="A458" s="331" t="n"/>
      <c r="B458" s="331" t="n"/>
      <c r="C458" s="332" t="n"/>
      <c r="D458" s="333" t="n"/>
      <c r="E458" s="332" t="n"/>
      <c r="F458" s="334" t="n"/>
      <c r="G458" s="334" t="n"/>
      <c r="H458" s="332" t="n"/>
      <c r="I458" s="335">
        <f>IF(OR(B458="",H458="Sold"),"—",TODAY()-B458)</f>
        <v/>
      </c>
      <c r="J458" s="336">
        <f>IF(OR(B458="",H458="Sold"),"",IF(I458="—","",IF(I458&gt;=60,"STALE — route now",IF(I458&gt;=30,"Aging — watch",IF(I458&gt;=0,"Fresh","")))))</f>
        <v/>
      </c>
      <c r="K458" s="337">
        <f>IF(J458="STALE — route now","→ Send to consignment batch",IF(J458="Aging — watch","→ Consider 10% price drop",IF(J458="Fresh","→ Hold &amp; monitor","")))</f>
        <v/>
      </c>
    </row>
    <row r="459" ht="18" customHeight="1" s="230">
      <c r="A459" s="324" t="n"/>
      <c r="B459" s="324" t="n"/>
      <c r="C459" s="325" t="n"/>
      <c r="D459" s="326" t="n"/>
      <c r="E459" s="325" t="n"/>
      <c r="F459" s="327" t="n"/>
      <c r="G459" s="327" t="n"/>
      <c r="H459" s="325" t="n"/>
      <c r="I459" s="328">
        <f>IF(OR(B459="",H459="Sold"),"—",TODAY()-B459)</f>
        <v/>
      </c>
      <c r="J459" s="329">
        <f>IF(OR(B459="",H459="Sold"),"",IF(I459="—","",IF(I459&gt;=60,"STALE — route now",IF(I459&gt;=30,"Aging — watch",IF(I459&gt;=0,"Fresh","")))))</f>
        <v/>
      </c>
      <c r="K459" s="330">
        <f>IF(J459="STALE — route now","→ Send to consignment batch",IF(J459="Aging — watch","→ Consider 10% price drop",IF(J459="Fresh","→ Hold &amp; monitor","")))</f>
        <v/>
      </c>
    </row>
    <row r="460" ht="18" customHeight="1" s="230">
      <c r="A460" s="331" t="n"/>
      <c r="B460" s="331" t="n"/>
      <c r="C460" s="332" t="n"/>
      <c r="D460" s="333" t="n"/>
      <c r="E460" s="332" t="n"/>
      <c r="F460" s="334" t="n"/>
      <c r="G460" s="334" t="n"/>
      <c r="H460" s="332" t="n"/>
      <c r="I460" s="335">
        <f>IF(OR(B460="",H460="Sold"),"—",TODAY()-B460)</f>
        <v/>
      </c>
      <c r="J460" s="336">
        <f>IF(OR(B460="",H460="Sold"),"",IF(I460="—","",IF(I460&gt;=60,"STALE — route now",IF(I460&gt;=30,"Aging — watch",IF(I460&gt;=0,"Fresh","")))))</f>
        <v/>
      </c>
      <c r="K460" s="337">
        <f>IF(J460="STALE — route now","→ Send to consignment batch",IF(J460="Aging — watch","→ Consider 10% price drop",IF(J460="Fresh","→ Hold &amp; monitor","")))</f>
        <v/>
      </c>
    </row>
    <row r="461" ht="18" customHeight="1" s="230">
      <c r="A461" s="324" t="n"/>
      <c r="B461" s="324" t="n"/>
      <c r="C461" s="325" t="n"/>
      <c r="D461" s="326" t="n"/>
      <c r="E461" s="325" t="n"/>
      <c r="F461" s="327" t="n"/>
      <c r="G461" s="327" t="n"/>
      <c r="H461" s="325" t="n"/>
      <c r="I461" s="328">
        <f>IF(OR(B461="",H461="Sold"),"—",TODAY()-B461)</f>
        <v/>
      </c>
      <c r="J461" s="329">
        <f>IF(OR(B461="",H461="Sold"),"",IF(I461="—","",IF(I461&gt;=60,"STALE — route now",IF(I461&gt;=30,"Aging — watch",IF(I461&gt;=0,"Fresh","")))))</f>
        <v/>
      </c>
      <c r="K461" s="330">
        <f>IF(J461="STALE — route now","→ Send to consignment batch",IF(J461="Aging — watch","→ Consider 10% price drop",IF(J461="Fresh","→ Hold &amp; monitor","")))</f>
        <v/>
      </c>
    </row>
    <row r="462" ht="18" customHeight="1" s="230">
      <c r="A462" s="331" t="n"/>
      <c r="B462" s="331" t="n"/>
      <c r="C462" s="332" t="n"/>
      <c r="D462" s="333" t="n"/>
      <c r="E462" s="332" t="n"/>
      <c r="F462" s="334" t="n"/>
      <c r="G462" s="334" t="n"/>
      <c r="H462" s="332" t="n"/>
      <c r="I462" s="335">
        <f>IF(OR(B462="",H462="Sold"),"—",TODAY()-B462)</f>
        <v/>
      </c>
      <c r="J462" s="336">
        <f>IF(OR(B462="",H462="Sold"),"",IF(I462="—","",IF(I462&gt;=60,"STALE — route now",IF(I462&gt;=30,"Aging — watch",IF(I462&gt;=0,"Fresh","")))))</f>
        <v/>
      </c>
      <c r="K462" s="337">
        <f>IF(J462="STALE — route now","→ Send to consignment batch",IF(J462="Aging — watch","→ Consider 10% price drop",IF(J462="Fresh","→ Hold &amp; monitor","")))</f>
        <v/>
      </c>
    </row>
    <row r="463" ht="18" customHeight="1" s="230">
      <c r="A463" s="324" t="n"/>
      <c r="B463" s="324" t="n"/>
      <c r="C463" s="325" t="n"/>
      <c r="D463" s="326" t="n"/>
      <c r="E463" s="325" t="n"/>
      <c r="F463" s="327" t="n"/>
      <c r="G463" s="327" t="n"/>
      <c r="H463" s="325" t="n"/>
      <c r="I463" s="328">
        <f>IF(OR(B463="",H463="Sold"),"—",TODAY()-B463)</f>
        <v/>
      </c>
      <c r="J463" s="329">
        <f>IF(OR(B463="",H463="Sold"),"",IF(I463="—","",IF(I463&gt;=60,"STALE — route now",IF(I463&gt;=30,"Aging — watch",IF(I463&gt;=0,"Fresh","")))))</f>
        <v/>
      </c>
      <c r="K463" s="330">
        <f>IF(J463="STALE — route now","→ Send to consignment batch",IF(J463="Aging — watch","→ Consider 10% price drop",IF(J463="Fresh","→ Hold &amp; monitor","")))</f>
        <v/>
      </c>
    </row>
    <row r="464" ht="18" customHeight="1" s="230">
      <c r="A464" s="331" t="n"/>
      <c r="B464" s="331" t="n"/>
      <c r="C464" s="332" t="n"/>
      <c r="D464" s="333" t="n"/>
      <c r="E464" s="332" t="n"/>
      <c r="F464" s="334" t="n"/>
      <c r="G464" s="334" t="n"/>
      <c r="H464" s="332" t="n"/>
      <c r="I464" s="335">
        <f>IF(OR(B464="",H464="Sold"),"—",TODAY()-B464)</f>
        <v/>
      </c>
      <c r="J464" s="336">
        <f>IF(OR(B464="",H464="Sold"),"",IF(I464="—","",IF(I464&gt;=60,"STALE — route now",IF(I464&gt;=30,"Aging — watch",IF(I464&gt;=0,"Fresh","")))))</f>
        <v/>
      </c>
      <c r="K464" s="337">
        <f>IF(J464="STALE — route now","→ Send to consignment batch",IF(J464="Aging — watch","→ Consider 10% price drop",IF(J464="Fresh","→ Hold &amp; monitor","")))</f>
        <v/>
      </c>
    </row>
    <row r="465" ht="18" customHeight="1" s="230">
      <c r="A465" s="324" t="n"/>
      <c r="B465" s="324" t="n"/>
      <c r="C465" s="325" t="n"/>
      <c r="D465" s="326" t="n"/>
      <c r="E465" s="325" t="n"/>
      <c r="F465" s="327" t="n"/>
      <c r="G465" s="327" t="n"/>
      <c r="H465" s="325" t="n"/>
      <c r="I465" s="328">
        <f>IF(OR(B465="",H465="Sold"),"—",TODAY()-B465)</f>
        <v/>
      </c>
      <c r="J465" s="329">
        <f>IF(OR(B465="",H465="Sold"),"",IF(I465="—","",IF(I465&gt;=60,"STALE — route now",IF(I465&gt;=30,"Aging — watch",IF(I465&gt;=0,"Fresh","")))))</f>
        <v/>
      </c>
      <c r="K465" s="330">
        <f>IF(J465="STALE — route now","→ Send to consignment batch",IF(J465="Aging — watch","→ Consider 10% price drop",IF(J465="Fresh","→ Hold &amp; monitor","")))</f>
        <v/>
      </c>
    </row>
    <row r="466" ht="18" customHeight="1" s="230">
      <c r="A466" s="331" t="n"/>
      <c r="B466" s="331" t="n"/>
      <c r="C466" s="332" t="n"/>
      <c r="D466" s="333" t="n"/>
      <c r="E466" s="332" t="n"/>
      <c r="F466" s="334" t="n"/>
      <c r="G466" s="334" t="n"/>
      <c r="H466" s="332" t="n"/>
      <c r="I466" s="335">
        <f>IF(OR(B466="",H466="Sold"),"—",TODAY()-B466)</f>
        <v/>
      </c>
      <c r="J466" s="336">
        <f>IF(OR(B466="",H466="Sold"),"",IF(I466="—","",IF(I466&gt;=60,"STALE — route now",IF(I466&gt;=30,"Aging — watch",IF(I466&gt;=0,"Fresh","")))))</f>
        <v/>
      </c>
      <c r="K466" s="337">
        <f>IF(J466="STALE — route now","→ Send to consignment batch",IF(J466="Aging — watch","→ Consider 10% price drop",IF(J466="Fresh","→ Hold &amp; monitor","")))</f>
        <v/>
      </c>
    </row>
    <row r="467" ht="18" customHeight="1" s="230">
      <c r="A467" s="324" t="n"/>
      <c r="B467" s="324" t="n"/>
      <c r="C467" s="325" t="n"/>
      <c r="D467" s="326" t="n"/>
      <c r="E467" s="325" t="n"/>
      <c r="F467" s="327" t="n"/>
      <c r="G467" s="327" t="n"/>
      <c r="H467" s="325" t="n"/>
      <c r="I467" s="328">
        <f>IF(OR(B467="",H467="Sold"),"—",TODAY()-B467)</f>
        <v/>
      </c>
      <c r="J467" s="329">
        <f>IF(OR(B467="",H467="Sold"),"",IF(I467="—","",IF(I467&gt;=60,"STALE — route now",IF(I467&gt;=30,"Aging — watch",IF(I467&gt;=0,"Fresh","")))))</f>
        <v/>
      </c>
      <c r="K467" s="330">
        <f>IF(J467="STALE — route now","→ Send to consignment batch",IF(J467="Aging — watch","→ Consider 10% price drop",IF(J467="Fresh","→ Hold &amp; monitor","")))</f>
        <v/>
      </c>
    </row>
    <row r="468" ht="18" customHeight="1" s="230">
      <c r="A468" s="331" t="n"/>
      <c r="B468" s="331" t="n"/>
      <c r="C468" s="332" t="n"/>
      <c r="D468" s="333" t="n"/>
      <c r="E468" s="332" t="n"/>
      <c r="F468" s="334" t="n"/>
      <c r="G468" s="334" t="n"/>
      <c r="H468" s="332" t="n"/>
      <c r="I468" s="335">
        <f>IF(OR(B468="",H468="Sold"),"—",TODAY()-B468)</f>
        <v/>
      </c>
      <c r="J468" s="336">
        <f>IF(OR(B468="",H468="Sold"),"",IF(I468="—","",IF(I468&gt;=60,"STALE — route now",IF(I468&gt;=30,"Aging — watch",IF(I468&gt;=0,"Fresh","")))))</f>
        <v/>
      </c>
      <c r="K468" s="337">
        <f>IF(J468="STALE — route now","→ Send to consignment batch",IF(J468="Aging — watch","→ Consider 10% price drop",IF(J468="Fresh","→ Hold &amp; monitor","")))</f>
        <v/>
      </c>
    </row>
    <row r="469" ht="18" customHeight="1" s="230">
      <c r="A469" s="324" t="n"/>
      <c r="B469" s="324" t="n"/>
      <c r="C469" s="325" t="n"/>
      <c r="D469" s="326" t="n"/>
      <c r="E469" s="325" t="n"/>
      <c r="F469" s="327" t="n"/>
      <c r="G469" s="327" t="n"/>
      <c r="H469" s="325" t="n"/>
      <c r="I469" s="328">
        <f>IF(OR(B469="",H469="Sold"),"—",TODAY()-B469)</f>
        <v/>
      </c>
      <c r="J469" s="329">
        <f>IF(OR(B469="",H469="Sold"),"",IF(I469="—","",IF(I469&gt;=60,"STALE — route now",IF(I469&gt;=30,"Aging — watch",IF(I469&gt;=0,"Fresh","")))))</f>
        <v/>
      </c>
      <c r="K469" s="330">
        <f>IF(J469="STALE — route now","→ Send to consignment batch",IF(J469="Aging — watch","→ Consider 10% price drop",IF(J469="Fresh","→ Hold &amp; monitor","")))</f>
        <v/>
      </c>
    </row>
    <row r="470" ht="18" customHeight="1" s="230">
      <c r="A470" s="331" t="n"/>
      <c r="B470" s="331" t="n"/>
      <c r="C470" s="332" t="n"/>
      <c r="D470" s="333" t="n"/>
      <c r="E470" s="332" t="n"/>
      <c r="F470" s="334" t="n"/>
      <c r="G470" s="334" t="n"/>
      <c r="H470" s="332" t="n"/>
      <c r="I470" s="335">
        <f>IF(OR(B470="",H470="Sold"),"—",TODAY()-B470)</f>
        <v/>
      </c>
      <c r="J470" s="336">
        <f>IF(OR(B470="",H470="Sold"),"",IF(I470="—","",IF(I470&gt;=60,"STALE — route now",IF(I470&gt;=30,"Aging — watch",IF(I470&gt;=0,"Fresh","")))))</f>
        <v/>
      </c>
      <c r="K470" s="337">
        <f>IF(J470="STALE — route now","→ Send to consignment batch",IF(J470="Aging — watch","→ Consider 10% price drop",IF(J470="Fresh","→ Hold &amp; monitor","")))</f>
        <v/>
      </c>
    </row>
    <row r="471" ht="18" customHeight="1" s="230">
      <c r="A471" s="324" t="n"/>
      <c r="B471" s="324" t="n"/>
      <c r="C471" s="325" t="n"/>
      <c r="D471" s="326" t="n"/>
      <c r="E471" s="325" t="n"/>
      <c r="F471" s="327" t="n"/>
      <c r="G471" s="327" t="n"/>
      <c r="H471" s="325" t="n"/>
      <c r="I471" s="328">
        <f>IF(OR(B471="",H471="Sold"),"—",TODAY()-B471)</f>
        <v/>
      </c>
      <c r="J471" s="329">
        <f>IF(OR(B471="",H471="Sold"),"",IF(I471="—","",IF(I471&gt;=60,"STALE — route now",IF(I471&gt;=30,"Aging — watch",IF(I471&gt;=0,"Fresh","")))))</f>
        <v/>
      </c>
      <c r="K471" s="330">
        <f>IF(J471="STALE — route now","→ Send to consignment batch",IF(J471="Aging — watch","→ Consider 10% price drop",IF(J471="Fresh","→ Hold &amp; monitor","")))</f>
        <v/>
      </c>
    </row>
    <row r="472" ht="18" customHeight="1" s="230">
      <c r="A472" s="331" t="n"/>
      <c r="B472" s="331" t="n"/>
      <c r="C472" s="332" t="n"/>
      <c r="D472" s="333" t="n"/>
      <c r="E472" s="332" t="n"/>
      <c r="F472" s="334" t="n"/>
      <c r="G472" s="334" t="n"/>
      <c r="H472" s="332" t="n"/>
      <c r="I472" s="335">
        <f>IF(OR(B472="",H472="Sold"),"—",TODAY()-B472)</f>
        <v/>
      </c>
      <c r="J472" s="336">
        <f>IF(OR(B472="",H472="Sold"),"",IF(I472="—","",IF(I472&gt;=60,"STALE — route now",IF(I472&gt;=30,"Aging — watch",IF(I472&gt;=0,"Fresh","")))))</f>
        <v/>
      </c>
      <c r="K472" s="337">
        <f>IF(J472="STALE — route now","→ Send to consignment batch",IF(J472="Aging — watch","→ Consider 10% price drop",IF(J472="Fresh","→ Hold &amp; monitor","")))</f>
        <v/>
      </c>
    </row>
    <row r="473" ht="18" customHeight="1" s="230">
      <c r="A473" s="324" t="n"/>
      <c r="B473" s="324" t="n"/>
      <c r="C473" s="325" t="n"/>
      <c r="D473" s="326" t="n"/>
      <c r="E473" s="325" t="n"/>
      <c r="F473" s="327" t="n"/>
      <c r="G473" s="327" t="n"/>
      <c r="H473" s="325" t="n"/>
      <c r="I473" s="328">
        <f>IF(OR(B473="",H473="Sold"),"—",TODAY()-B473)</f>
        <v/>
      </c>
      <c r="J473" s="329">
        <f>IF(OR(B473="",H473="Sold"),"",IF(I473="—","",IF(I473&gt;=60,"STALE — route now",IF(I473&gt;=30,"Aging — watch",IF(I473&gt;=0,"Fresh","")))))</f>
        <v/>
      </c>
      <c r="K473" s="330">
        <f>IF(J473="STALE — route now","→ Send to consignment batch",IF(J473="Aging — watch","→ Consider 10% price drop",IF(J473="Fresh","→ Hold &amp; monitor","")))</f>
        <v/>
      </c>
    </row>
    <row r="474" ht="18" customHeight="1" s="230">
      <c r="A474" s="331" t="n"/>
      <c r="B474" s="331" t="n"/>
      <c r="C474" s="332" t="n"/>
      <c r="D474" s="333" t="n"/>
      <c r="E474" s="332" t="n"/>
      <c r="F474" s="334" t="n"/>
      <c r="G474" s="334" t="n"/>
      <c r="H474" s="332" t="n"/>
      <c r="I474" s="335">
        <f>IF(OR(B474="",H474="Sold"),"—",TODAY()-B474)</f>
        <v/>
      </c>
      <c r="J474" s="336">
        <f>IF(OR(B474="",H474="Sold"),"",IF(I474="—","",IF(I474&gt;=60,"STALE — route now",IF(I474&gt;=30,"Aging — watch",IF(I474&gt;=0,"Fresh","")))))</f>
        <v/>
      </c>
      <c r="K474" s="337">
        <f>IF(J474="STALE — route now","→ Send to consignment batch",IF(J474="Aging — watch","→ Consider 10% price drop",IF(J474="Fresh","→ Hold &amp; monitor","")))</f>
        <v/>
      </c>
    </row>
    <row r="475" ht="18" customHeight="1" s="230">
      <c r="A475" s="324" t="n"/>
      <c r="B475" s="324" t="n"/>
      <c r="C475" s="325" t="n"/>
      <c r="D475" s="326" t="n"/>
      <c r="E475" s="325" t="n"/>
      <c r="F475" s="327" t="n"/>
      <c r="G475" s="327" t="n"/>
      <c r="H475" s="325" t="n"/>
      <c r="I475" s="328">
        <f>IF(OR(B475="",H475="Sold"),"—",TODAY()-B475)</f>
        <v/>
      </c>
      <c r="J475" s="329">
        <f>IF(OR(B475="",H475="Sold"),"",IF(I475="—","",IF(I475&gt;=60,"STALE — route now",IF(I475&gt;=30,"Aging — watch",IF(I475&gt;=0,"Fresh","")))))</f>
        <v/>
      </c>
      <c r="K475" s="330">
        <f>IF(J475="STALE — route now","→ Send to consignment batch",IF(J475="Aging — watch","→ Consider 10% price drop",IF(J475="Fresh","→ Hold &amp; monitor","")))</f>
        <v/>
      </c>
    </row>
    <row r="476" ht="18" customHeight="1" s="230">
      <c r="A476" s="331" t="n"/>
      <c r="B476" s="331" t="n"/>
      <c r="C476" s="332" t="n"/>
      <c r="D476" s="333" t="n"/>
      <c r="E476" s="332" t="n"/>
      <c r="F476" s="334" t="n"/>
      <c r="G476" s="334" t="n"/>
      <c r="H476" s="332" t="n"/>
      <c r="I476" s="335">
        <f>IF(OR(B476="",H476="Sold"),"—",TODAY()-B476)</f>
        <v/>
      </c>
      <c r="J476" s="336">
        <f>IF(OR(B476="",H476="Sold"),"",IF(I476="—","",IF(I476&gt;=60,"STALE — route now",IF(I476&gt;=30,"Aging — watch",IF(I476&gt;=0,"Fresh","")))))</f>
        <v/>
      </c>
      <c r="K476" s="337">
        <f>IF(J476="STALE — route now","→ Send to consignment batch",IF(J476="Aging — watch","→ Consider 10% price drop",IF(J476="Fresh","→ Hold &amp; monitor","")))</f>
        <v/>
      </c>
    </row>
    <row r="477" ht="18" customHeight="1" s="230">
      <c r="A477" s="324" t="n"/>
      <c r="B477" s="324" t="n"/>
      <c r="C477" s="325" t="n"/>
      <c r="D477" s="326" t="n"/>
      <c r="E477" s="325" t="n"/>
      <c r="F477" s="327" t="n"/>
      <c r="G477" s="327" t="n"/>
      <c r="H477" s="325" t="n"/>
      <c r="I477" s="328">
        <f>IF(OR(B477="",H477="Sold"),"—",TODAY()-B477)</f>
        <v/>
      </c>
      <c r="J477" s="329">
        <f>IF(OR(B477="",H477="Sold"),"",IF(I477="—","",IF(I477&gt;=60,"STALE — route now",IF(I477&gt;=30,"Aging — watch",IF(I477&gt;=0,"Fresh","")))))</f>
        <v/>
      </c>
      <c r="K477" s="330">
        <f>IF(J477="STALE — route now","→ Send to consignment batch",IF(J477="Aging — watch","→ Consider 10% price drop",IF(J477="Fresh","→ Hold &amp; monitor","")))</f>
        <v/>
      </c>
    </row>
    <row r="478" ht="18" customHeight="1" s="230">
      <c r="A478" s="331" t="n"/>
      <c r="B478" s="331" t="n"/>
      <c r="C478" s="332" t="n"/>
      <c r="D478" s="333" t="n"/>
      <c r="E478" s="332" t="n"/>
      <c r="F478" s="334" t="n"/>
      <c r="G478" s="334" t="n"/>
      <c r="H478" s="332" t="n"/>
      <c r="I478" s="335">
        <f>IF(OR(B478="",H478="Sold"),"—",TODAY()-B478)</f>
        <v/>
      </c>
      <c r="J478" s="336">
        <f>IF(OR(B478="",H478="Sold"),"",IF(I478="—","",IF(I478&gt;=60,"STALE — route now",IF(I478&gt;=30,"Aging — watch",IF(I478&gt;=0,"Fresh","")))))</f>
        <v/>
      </c>
      <c r="K478" s="337">
        <f>IF(J478="STALE — route now","→ Send to consignment batch",IF(J478="Aging — watch","→ Consider 10% price drop",IF(J478="Fresh","→ Hold &amp; monitor","")))</f>
        <v/>
      </c>
    </row>
    <row r="479" ht="18" customHeight="1" s="230">
      <c r="A479" s="324" t="n"/>
      <c r="B479" s="324" t="n"/>
      <c r="C479" s="325" t="n"/>
      <c r="D479" s="326" t="n"/>
      <c r="E479" s="325" t="n"/>
      <c r="F479" s="327" t="n"/>
      <c r="G479" s="327" t="n"/>
      <c r="H479" s="325" t="n"/>
      <c r="I479" s="328">
        <f>IF(OR(B479="",H479="Sold"),"—",TODAY()-B479)</f>
        <v/>
      </c>
      <c r="J479" s="329">
        <f>IF(OR(B479="",H479="Sold"),"",IF(I479="—","",IF(I479&gt;=60,"STALE — route now",IF(I479&gt;=30,"Aging — watch",IF(I479&gt;=0,"Fresh","")))))</f>
        <v/>
      </c>
      <c r="K479" s="330">
        <f>IF(J479="STALE — route now","→ Send to consignment batch",IF(J479="Aging — watch","→ Consider 10% price drop",IF(J479="Fresh","→ Hold &amp; monitor","")))</f>
        <v/>
      </c>
    </row>
    <row r="480" ht="18" customHeight="1" s="230">
      <c r="A480" s="331" t="n"/>
      <c r="B480" s="331" t="n"/>
      <c r="C480" s="332" t="n"/>
      <c r="D480" s="333" t="n"/>
      <c r="E480" s="332" t="n"/>
      <c r="F480" s="334" t="n"/>
      <c r="G480" s="334" t="n"/>
      <c r="H480" s="332" t="n"/>
      <c r="I480" s="335">
        <f>IF(OR(B480="",H480="Sold"),"—",TODAY()-B480)</f>
        <v/>
      </c>
      <c r="J480" s="336">
        <f>IF(OR(B480="",H480="Sold"),"",IF(I480="—","",IF(I480&gt;=60,"STALE — route now",IF(I480&gt;=30,"Aging — watch",IF(I480&gt;=0,"Fresh","")))))</f>
        <v/>
      </c>
      <c r="K480" s="337">
        <f>IF(J480="STALE — route now","→ Send to consignment batch",IF(J480="Aging — watch","→ Consider 10% price drop",IF(J480="Fresh","→ Hold &amp; monitor","")))</f>
        <v/>
      </c>
    </row>
    <row r="481" ht="18" customHeight="1" s="230">
      <c r="A481" s="324" t="n"/>
      <c r="B481" s="324" t="n"/>
      <c r="C481" s="325" t="n"/>
      <c r="D481" s="326" t="n"/>
      <c r="E481" s="325" t="n"/>
      <c r="F481" s="327" t="n"/>
      <c r="G481" s="327" t="n"/>
      <c r="H481" s="325" t="n"/>
      <c r="I481" s="328">
        <f>IF(OR(B481="",H481="Sold"),"—",TODAY()-B481)</f>
        <v/>
      </c>
      <c r="J481" s="329">
        <f>IF(OR(B481="",H481="Sold"),"",IF(I481="—","",IF(I481&gt;=60,"STALE — route now",IF(I481&gt;=30,"Aging — watch",IF(I481&gt;=0,"Fresh","")))))</f>
        <v/>
      </c>
      <c r="K481" s="330">
        <f>IF(J481="STALE — route now","→ Send to consignment batch",IF(J481="Aging — watch","→ Consider 10% price drop",IF(J481="Fresh","→ Hold &amp; monitor","")))</f>
        <v/>
      </c>
    </row>
    <row r="482" ht="18" customHeight="1" s="230">
      <c r="A482" s="331" t="n"/>
      <c r="B482" s="331" t="n"/>
      <c r="C482" s="332" t="n"/>
      <c r="D482" s="333" t="n"/>
      <c r="E482" s="332" t="n"/>
      <c r="F482" s="334" t="n"/>
      <c r="G482" s="334" t="n"/>
      <c r="H482" s="332" t="n"/>
      <c r="I482" s="335">
        <f>IF(OR(B482="",H482="Sold"),"—",TODAY()-B482)</f>
        <v/>
      </c>
      <c r="J482" s="336">
        <f>IF(OR(B482="",H482="Sold"),"",IF(I482="—","",IF(I482&gt;=60,"STALE — route now",IF(I482&gt;=30,"Aging — watch",IF(I482&gt;=0,"Fresh","")))))</f>
        <v/>
      </c>
      <c r="K482" s="337">
        <f>IF(J482="STALE — route now","→ Send to consignment batch",IF(J482="Aging — watch","→ Consider 10% price drop",IF(J482="Fresh","→ Hold &amp; monitor","")))</f>
        <v/>
      </c>
    </row>
    <row r="483" ht="18" customHeight="1" s="230">
      <c r="A483" s="324" t="n"/>
      <c r="B483" s="324" t="n"/>
      <c r="C483" s="325" t="n"/>
      <c r="D483" s="326" t="n"/>
      <c r="E483" s="325" t="n"/>
      <c r="F483" s="327" t="n"/>
      <c r="G483" s="327" t="n"/>
      <c r="H483" s="325" t="n"/>
      <c r="I483" s="328">
        <f>IF(OR(B483="",H483="Sold"),"—",TODAY()-B483)</f>
        <v/>
      </c>
      <c r="J483" s="329">
        <f>IF(OR(B483="",H483="Sold"),"",IF(I483="—","",IF(I483&gt;=60,"STALE — route now",IF(I483&gt;=30,"Aging — watch",IF(I483&gt;=0,"Fresh","")))))</f>
        <v/>
      </c>
      <c r="K483" s="330">
        <f>IF(J483="STALE — route now","→ Send to consignment batch",IF(J483="Aging — watch","→ Consider 10% price drop",IF(J483="Fresh","→ Hold &amp; monitor","")))</f>
        <v/>
      </c>
    </row>
    <row r="484" ht="18" customHeight="1" s="230">
      <c r="A484" s="331" t="n"/>
      <c r="B484" s="331" t="n"/>
      <c r="C484" s="332" t="n"/>
      <c r="D484" s="333" t="n"/>
      <c r="E484" s="332" t="n"/>
      <c r="F484" s="334" t="n"/>
      <c r="G484" s="334" t="n"/>
      <c r="H484" s="332" t="n"/>
      <c r="I484" s="335">
        <f>IF(OR(B484="",H484="Sold"),"—",TODAY()-B484)</f>
        <v/>
      </c>
      <c r="J484" s="336">
        <f>IF(OR(B484="",H484="Sold"),"",IF(I484="—","",IF(I484&gt;=60,"STALE — route now",IF(I484&gt;=30,"Aging — watch",IF(I484&gt;=0,"Fresh","")))))</f>
        <v/>
      </c>
      <c r="K484" s="337">
        <f>IF(J484="STALE — route now","→ Send to consignment batch",IF(J484="Aging — watch","→ Consider 10% price drop",IF(J484="Fresh","→ Hold &amp; monitor","")))</f>
        <v/>
      </c>
    </row>
    <row r="485" ht="18" customHeight="1" s="230">
      <c r="A485" s="324" t="n"/>
      <c r="B485" s="324" t="n"/>
      <c r="C485" s="325" t="n"/>
      <c r="D485" s="326" t="n"/>
      <c r="E485" s="325" t="n"/>
      <c r="F485" s="327" t="n"/>
      <c r="G485" s="327" t="n"/>
      <c r="H485" s="325" t="n"/>
      <c r="I485" s="328">
        <f>IF(OR(B485="",H485="Sold"),"—",TODAY()-B485)</f>
        <v/>
      </c>
      <c r="J485" s="329">
        <f>IF(OR(B485="",H485="Sold"),"",IF(I485="—","",IF(I485&gt;=60,"STALE — route now",IF(I485&gt;=30,"Aging — watch",IF(I485&gt;=0,"Fresh","")))))</f>
        <v/>
      </c>
      <c r="K485" s="330">
        <f>IF(J485="STALE — route now","→ Send to consignment batch",IF(J485="Aging — watch","→ Consider 10% price drop",IF(J485="Fresh","→ Hold &amp; monitor","")))</f>
        <v/>
      </c>
    </row>
    <row r="486" ht="18" customHeight="1" s="230">
      <c r="A486" s="331" t="n"/>
      <c r="B486" s="331" t="n"/>
      <c r="C486" s="332" t="n"/>
      <c r="D486" s="333" t="n"/>
      <c r="E486" s="332" t="n"/>
      <c r="F486" s="334" t="n"/>
      <c r="G486" s="334" t="n"/>
      <c r="H486" s="332" t="n"/>
      <c r="I486" s="335">
        <f>IF(OR(B486="",H486="Sold"),"—",TODAY()-B486)</f>
        <v/>
      </c>
      <c r="J486" s="336">
        <f>IF(OR(B486="",H486="Sold"),"",IF(I486="—","",IF(I486&gt;=60,"STALE — route now",IF(I486&gt;=30,"Aging — watch",IF(I486&gt;=0,"Fresh","")))))</f>
        <v/>
      </c>
      <c r="K486" s="337">
        <f>IF(J486="STALE — route now","→ Send to consignment batch",IF(J486="Aging — watch","→ Consider 10% price drop",IF(J486="Fresh","→ Hold &amp; monitor","")))</f>
        <v/>
      </c>
    </row>
    <row r="487" ht="18" customHeight="1" s="230">
      <c r="A487" s="324" t="n"/>
      <c r="B487" s="324" t="n"/>
      <c r="C487" s="325" t="n"/>
      <c r="D487" s="326" t="n"/>
      <c r="E487" s="325" t="n"/>
      <c r="F487" s="327" t="n"/>
      <c r="G487" s="327" t="n"/>
      <c r="H487" s="325" t="n"/>
      <c r="I487" s="328">
        <f>IF(OR(B487="",H487="Sold"),"—",TODAY()-B487)</f>
        <v/>
      </c>
      <c r="J487" s="329">
        <f>IF(OR(B487="",H487="Sold"),"",IF(I487="—","",IF(I487&gt;=60,"STALE — route now",IF(I487&gt;=30,"Aging — watch",IF(I487&gt;=0,"Fresh","")))))</f>
        <v/>
      </c>
      <c r="K487" s="330">
        <f>IF(J487="STALE — route now","→ Send to consignment batch",IF(J487="Aging — watch","→ Consider 10% price drop",IF(J487="Fresh","→ Hold &amp; monitor","")))</f>
        <v/>
      </c>
    </row>
    <row r="488" ht="18" customHeight="1" s="230">
      <c r="A488" s="331" t="n"/>
      <c r="B488" s="331" t="n"/>
      <c r="C488" s="332" t="n"/>
      <c r="D488" s="333" t="n"/>
      <c r="E488" s="332" t="n"/>
      <c r="F488" s="334" t="n"/>
      <c r="G488" s="334" t="n"/>
      <c r="H488" s="332" t="n"/>
      <c r="I488" s="335">
        <f>IF(OR(B488="",H488="Sold"),"—",TODAY()-B488)</f>
        <v/>
      </c>
      <c r="J488" s="336">
        <f>IF(OR(B488="",H488="Sold"),"",IF(I488="—","",IF(I488&gt;=60,"STALE — route now",IF(I488&gt;=30,"Aging — watch",IF(I488&gt;=0,"Fresh","")))))</f>
        <v/>
      </c>
      <c r="K488" s="337">
        <f>IF(J488="STALE — route now","→ Send to consignment batch",IF(J488="Aging — watch","→ Consider 10% price drop",IF(J488="Fresh","→ Hold &amp; monitor","")))</f>
        <v/>
      </c>
    </row>
    <row r="489" ht="18" customHeight="1" s="230">
      <c r="A489" s="324" t="n"/>
      <c r="B489" s="324" t="n"/>
      <c r="C489" s="325" t="n"/>
      <c r="D489" s="326" t="n"/>
      <c r="E489" s="325" t="n"/>
      <c r="F489" s="327" t="n"/>
      <c r="G489" s="327" t="n"/>
      <c r="H489" s="325" t="n"/>
      <c r="I489" s="328">
        <f>IF(OR(B489="",H489="Sold"),"—",TODAY()-B489)</f>
        <v/>
      </c>
      <c r="J489" s="329">
        <f>IF(OR(B489="",H489="Sold"),"",IF(I489="—","",IF(I489&gt;=60,"STALE — route now",IF(I489&gt;=30,"Aging — watch",IF(I489&gt;=0,"Fresh","")))))</f>
        <v/>
      </c>
      <c r="K489" s="330">
        <f>IF(J489="STALE — route now","→ Send to consignment batch",IF(J489="Aging — watch","→ Consider 10% price drop",IF(J489="Fresh","→ Hold &amp; monitor","")))</f>
        <v/>
      </c>
    </row>
    <row r="490" ht="18" customHeight="1" s="230">
      <c r="A490" s="331" t="n"/>
      <c r="B490" s="331" t="n"/>
      <c r="C490" s="332" t="n"/>
      <c r="D490" s="333" t="n"/>
      <c r="E490" s="332" t="n"/>
      <c r="F490" s="334" t="n"/>
      <c r="G490" s="334" t="n"/>
      <c r="H490" s="332" t="n"/>
      <c r="I490" s="335">
        <f>IF(OR(B490="",H490="Sold"),"—",TODAY()-B490)</f>
        <v/>
      </c>
      <c r="J490" s="336">
        <f>IF(OR(B490="",H490="Sold"),"",IF(I490="—","",IF(I490&gt;=60,"STALE — route now",IF(I490&gt;=30,"Aging — watch",IF(I490&gt;=0,"Fresh","")))))</f>
        <v/>
      </c>
      <c r="K490" s="337">
        <f>IF(J490="STALE — route now","→ Send to consignment batch",IF(J490="Aging — watch","→ Consider 10% price drop",IF(J490="Fresh","→ Hold &amp; monitor","")))</f>
        <v/>
      </c>
    </row>
    <row r="491" ht="18" customHeight="1" s="230">
      <c r="A491" s="324" t="n"/>
      <c r="B491" s="324" t="n"/>
      <c r="C491" s="325" t="n"/>
      <c r="D491" s="326" t="n"/>
      <c r="E491" s="325" t="n"/>
      <c r="F491" s="327" t="n"/>
      <c r="G491" s="327" t="n"/>
      <c r="H491" s="325" t="n"/>
      <c r="I491" s="328">
        <f>IF(OR(B491="",H491="Sold"),"—",TODAY()-B491)</f>
        <v/>
      </c>
      <c r="J491" s="329">
        <f>IF(OR(B491="",H491="Sold"),"",IF(I491="—","",IF(I491&gt;=60,"STALE — route now",IF(I491&gt;=30,"Aging — watch",IF(I491&gt;=0,"Fresh","")))))</f>
        <v/>
      </c>
      <c r="K491" s="330">
        <f>IF(J491="STALE — route now","→ Send to consignment batch",IF(J491="Aging — watch","→ Consider 10% price drop",IF(J491="Fresh","→ Hold &amp; monitor","")))</f>
        <v/>
      </c>
    </row>
    <row r="492" ht="18" customHeight="1" s="230">
      <c r="A492" s="331" t="n"/>
      <c r="B492" s="331" t="n"/>
      <c r="C492" s="332" t="n"/>
      <c r="D492" s="333" t="n"/>
      <c r="E492" s="332" t="n"/>
      <c r="F492" s="334" t="n"/>
      <c r="G492" s="334" t="n"/>
      <c r="H492" s="332" t="n"/>
      <c r="I492" s="335">
        <f>IF(OR(B492="",H492="Sold"),"—",TODAY()-B492)</f>
        <v/>
      </c>
      <c r="J492" s="336">
        <f>IF(OR(B492="",H492="Sold"),"",IF(I492="—","",IF(I492&gt;=60,"STALE — route now",IF(I492&gt;=30,"Aging — watch",IF(I492&gt;=0,"Fresh","")))))</f>
        <v/>
      </c>
      <c r="K492" s="337">
        <f>IF(J492="STALE — route now","→ Send to consignment batch",IF(J492="Aging — watch","→ Consider 10% price drop",IF(J492="Fresh","→ Hold &amp; monitor","")))</f>
        <v/>
      </c>
    </row>
    <row r="493" ht="18" customHeight="1" s="230">
      <c r="A493" s="324" t="n"/>
      <c r="B493" s="324" t="n"/>
      <c r="C493" s="325" t="n"/>
      <c r="D493" s="326" t="n"/>
      <c r="E493" s="325" t="n"/>
      <c r="F493" s="327" t="n"/>
      <c r="G493" s="327" t="n"/>
      <c r="H493" s="325" t="n"/>
      <c r="I493" s="328">
        <f>IF(OR(B493="",H493="Sold"),"—",TODAY()-B493)</f>
        <v/>
      </c>
      <c r="J493" s="329">
        <f>IF(OR(B493="",H493="Sold"),"",IF(I493="—","",IF(I493&gt;=60,"STALE — route now",IF(I493&gt;=30,"Aging — watch",IF(I493&gt;=0,"Fresh","")))))</f>
        <v/>
      </c>
      <c r="K493" s="330">
        <f>IF(J493="STALE — route now","→ Send to consignment batch",IF(J493="Aging — watch","→ Consider 10% price drop",IF(J493="Fresh","→ Hold &amp; monitor","")))</f>
        <v/>
      </c>
    </row>
    <row r="494" ht="18" customHeight="1" s="230">
      <c r="A494" s="331" t="n"/>
      <c r="B494" s="331" t="n"/>
      <c r="C494" s="332" t="n"/>
      <c r="D494" s="333" t="n"/>
      <c r="E494" s="332" t="n"/>
      <c r="F494" s="334" t="n"/>
      <c r="G494" s="334" t="n"/>
      <c r="H494" s="332" t="n"/>
      <c r="I494" s="335">
        <f>IF(OR(B494="",H494="Sold"),"—",TODAY()-B494)</f>
        <v/>
      </c>
      <c r="J494" s="336">
        <f>IF(OR(B494="",H494="Sold"),"",IF(I494="—","",IF(I494&gt;=60,"STALE — route now",IF(I494&gt;=30,"Aging — watch",IF(I494&gt;=0,"Fresh","")))))</f>
        <v/>
      </c>
      <c r="K494" s="337">
        <f>IF(J494="STALE — route now","→ Send to consignment batch",IF(J494="Aging — watch","→ Consider 10% price drop",IF(J494="Fresh","→ Hold &amp; monitor","")))</f>
        <v/>
      </c>
    </row>
    <row r="495" ht="18" customHeight="1" s="230">
      <c r="A495" s="324" t="n"/>
      <c r="B495" s="324" t="n"/>
      <c r="C495" s="325" t="n"/>
      <c r="D495" s="326" t="n"/>
      <c r="E495" s="325" t="n"/>
      <c r="F495" s="327" t="n"/>
      <c r="G495" s="327" t="n"/>
      <c r="H495" s="325" t="n"/>
      <c r="I495" s="328">
        <f>IF(OR(B495="",H495="Sold"),"—",TODAY()-B495)</f>
        <v/>
      </c>
      <c r="J495" s="329">
        <f>IF(OR(B495="",H495="Sold"),"",IF(I495="—","",IF(I495&gt;=60,"STALE — route now",IF(I495&gt;=30,"Aging — watch",IF(I495&gt;=0,"Fresh","")))))</f>
        <v/>
      </c>
      <c r="K495" s="330">
        <f>IF(J495="STALE — route now","→ Send to consignment batch",IF(J495="Aging — watch","→ Consider 10% price drop",IF(J495="Fresh","→ Hold &amp; monitor","")))</f>
        <v/>
      </c>
    </row>
    <row r="496" ht="18" customHeight="1" s="230">
      <c r="A496" s="331" t="n"/>
      <c r="B496" s="331" t="n"/>
      <c r="C496" s="332" t="n"/>
      <c r="D496" s="333" t="n"/>
      <c r="E496" s="332" t="n"/>
      <c r="F496" s="334" t="n"/>
      <c r="G496" s="334" t="n"/>
      <c r="H496" s="332" t="n"/>
      <c r="I496" s="335">
        <f>IF(OR(B496="",H496="Sold"),"—",TODAY()-B496)</f>
        <v/>
      </c>
      <c r="J496" s="336">
        <f>IF(OR(B496="",H496="Sold"),"",IF(I496="—","",IF(I496&gt;=60,"STALE — route now",IF(I496&gt;=30,"Aging — watch",IF(I496&gt;=0,"Fresh","")))))</f>
        <v/>
      </c>
      <c r="K496" s="337">
        <f>IF(J496="STALE — route now","→ Send to consignment batch",IF(J496="Aging — watch","→ Consider 10% price drop",IF(J496="Fresh","→ Hold &amp; monitor","")))</f>
        <v/>
      </c>
    </row>
    <row r="497" ht="18" customHeight="1" s="230">
      <c r="A497" s="324" t="n"/>
      <c r="B497" s="324" t="n"/>
      <c r="C497" s="325" t="n"/>
      <c r="D497" s="326" t="n"/>
      <c r="E497" s="325" t="n"/>
      <c r="F497" s="327" t="n"/>
      <c r="G497" s="327" t="n"/>
      <c r="H497" s="325" t="n"/>
      <c r="I497" s="328">
        <f>IF(OR(B497="",H497="Sold"),"—",TODAY()-B497)</f>
        <v/>
      </c>
      <c r="J497" s="329">
        <f>IF(OR(B497="",H497="Sold"),"",IF(I497="—","",IF(I497&gt;=60,"STALE — route now",IF(I497&gt;=30,"Aging — watch",IF(I497&gt;=0,"Fresh","")))))</f>
        <v/>
      </c>
      <c r="K497" s="330">
        <f>IF(J497="STALE — route now","→ Send to consignment batch",IF(J497="Aging — watch","→ Consider 10% price drop",IF(J497="Fresh","→ Hold &amp; monitor","")))</f>
        <v/>
      </c>
    </row>
    <row r="498" ht="18" customHeight="1" s="230">
      <c r="A498" s="331" t="n"/>
      <c r="B498" s="331" t="n"/>
      <c r="C498" s="332" t="n"/>
      <c r="D498" s="333" t="n"/>
      <c r="E498" s="332" t="n"/>
      <c r="F498" s="334" t="n"/>
      <c r="G498" s="334" t="n"/>
      <c r="H498" s="332" t="n"/>
      <c r="I498" s="335">
        <f>IF(OR(B498="",H498="Sold"),"—",TODAY()-B498)</f>
        <v/>
      </c>
      <c r="J498" s="336">
        <f>IF(OR(B498="",H498="Sold"),"",IF(I498="—","",IF(I498&gt;=60,"STALE — route now",IF(I498&gt;=30,"Aging — watch",IF(I498&gt;=0,"Fresh","")))))</f>
        <v/>
      </c>
      <c r="K498" s="337">
        <f>IF(J498="STALE — route now","→ Send to consignment batch",IF(J498="Aging — watch","→ Consider 10% price drop",IF(J498="Fresh","→ Hold &amp; monitor","")))</f>
        <v/>
      </c>
    </row>
    <row r="499" ht="18" customHeight="1" s="230">
      <c r="A499" s="324" t="n"/>
      <c r="B499" s="324" t="n"/>
      <c r="C499" s="325" t="n"/>
      <c r="D499" s="326" t="n"/>
      <c r="E499" s="325" t="n"/>
      <c r="F499" s="327" t="n"/>
      <c r="G499" s="327" t="n"/>
      <c r="H499" s="325" t="n"/>
      <c r="I499" s="328">
        <f>IF(OR(B499="",H499="Sold"),"—",TODAY()-B499)</f>
        <v/>
      </c>
      <c r="J499" s="329">
        <f>IF(OR(B499="",H499="Sold"),"",IF(I499="—","",IF(I499&gt;=60,"STALE — route now",IF(I499&gt;=30,"Aging — watch",IF(I499&gt;=0,"Fresh","")))))</f>
        <v/>
      </c>
      <c r="K499" s="330">
        <f>IF(J499="STALE — route now","→ Send to consignment batch",IF(J499="Aging — watch","→ Consider 10% price drop",IF(J499="Fresh","→ Hold &amp; monitor","")))</f>
        <v/>
      </c>
    </row>
    <row r="500" ht="18" customHeight="1" s="230">
      <c r="A500" s="331" t="n"/>
      <c r="B500" s="331" t="n"/>
      <c r="C500" s="332" t="n"/>
      <c r="D500" s="333" t="n"/>
      <c r="E500" s="332" t="n"/>
      <c r="F500" s="334" t="n"/>
      <c r="G500" s="334" t="n"/>
      <c r="H500" s="332" t="n"/>
      <c r="I500" s="335">
        <f>IF(OR(B500="",H500="Sold"),"—",TODAY()-B500)</f>
        <v/>
      </c>
      <c r="J500" s="336">
        <f>IF(OR(B500="",H500="Sold"),"",IF(I500="—","",IF(I500&gt;=60,"STALE — route now",IF(I500&gt;=30,"Aging — watch",IF(I500&gt;=0,"Fresh","")))))</f>
        <v/>
      </c>
      <c r="K500" s="337">
        <f>IF(J500="STALE — route now","→ Send to consignment batch",IF(J500="Aging — watch","→ Consider 10% price drop",IF(J500="Fresh","→ Hold &amp; monitor","")))</f>
        <v/>
      </c>
    </row>
    <row r="501" ht="18" customHeight="1" s="230">
      <c r="A501" s="324" t="n"/>
      <c r="B501" s="324" t="n"/>
      <c r="C501" s="325" t="n"/>
      <c r="D501" s="326" t="n"/>
      <c r="E501" s="325" t="n"/>
      <c r="F501" s="327" t="n"/>
      <c r="G501" s="327" t="n"/>
      <c r="H501" s="325" t="n"/>
      <c r="I501" s="328">
        <f>IF(OR(B501="",H501="Sold"),"—",TODAY()-B501)</f>
        <v/>
      </c>
      <c r="J501" s="329">
        <f>IF(OR(B501="",H501="Sold"),"",IF(I501="—","",IF(I501&gt;=60,"STALE — route now",IF(I501&gt;=30,"Aging — watch",IF(I501&gt;=0,"Fresh","")))))</f>
        <v/>
      </c>
      <c r="K501" s="330">
        <f>IF(J501="STALE — route now","→ Send to consignment batch",IF(J501="Aging — watch","→ Consider 10% price drop",IF(J501="Fresh","→ Hold &amp; monitor","")))</f>
        <v/>
      </c>
    </row>
    <row r="502" ht="18" customHeight="1" s="230">
      <c r="A502" s="331" t="n"/>
      <c r="B502" s="331" t="n"/>
      <c r="C502" s="332" t="n"/>
      <c r="D502" s="333" t="n"/>
      <c r="E502" s="332" t="n"/>
      <c r="F502" s="334" t="n"/>
      <c r="G502" s="334" t="n"/>
      <c r="H502" s="332" t="n"/>
      <c r="I502" s="335">
        <f>IF(OR(B502="",H502="Sold"),"—",TODAY()-B502)</f>
        <v/>
      </c>
      <c r="J502" s="336">
        <f>IF(OR(B502="",H502="Sold"),"",IF(I502="—","",IF(I502&gt;=60,"STALE — route now",IF(I502&gt;=30,"Aging — watch",IF(I502&gt;=0,"Fresh","")))))</f>
        <v/>
      </c>
      <c r="K502" s="337">
        <f>IF(J502="STALE — route now","→ Send to consignment batch",IF(J502="Aging — watch","→ Consider 10% price drop",IF(J502="Fresh","→ Hold &amp; monitor","")))</f>
        <v/>
      </c>
    </row>
    <row r="503" ht="18" customHeight="1" s="230">
      <c r="A503" s="324" t="n"/>
      <c r="B503" s="324" t="n"/>
      <c r="C503" s="325" t="n"/>
      <c r="D503" s="326" t="n"/>
      <c r="E503" s="325" t="n"/>
      <c r="F503" s="327" t="n"/>
      <c r="G503" s="327" t="n"/>
      <c r="H503" s="325" t="n"/>
      <c r="I503" s="328">
        <f>IF(OR(B503="",H503="Sold"),"—",TODAY()-B503)</f>
        <v/>
      </c>
      <c r="J503" s="329">
        <f>IF(OR(B503="",H503="Sold"),"",IF(I503="—","",IF(I503&gt;=60,"STALE — route now",IF(I503&gt;=30,"Aging — watch",IF(I503&gt;=0,"Fresh","")))))</f>
        <v/>
      </c>
      <c r="K503" s="330">
        <f>IF(J503="STALE — route now","→ Send to consignment batch",IF(J503="Aging — watch","→ Consider 10% price drop",IF(J503="Fresh","→ Hold &amp; monitor","")))</f>
        <v/>
      </c>
    </row>
    <row r="504" ht="18" customHeight="1" s="230">
      <c r="A504" s="331" t="n"/>
      <c r="B504" s="331" t="n"/>
      <c r="C504" s="332" t="n"/>
      <c r="D504" s="333" t="n"/>
      <c r="E504" s="332" t="n"/>
      <c r="F504" s="334" t="n"/>
      <c r="G504" s="334" t="n"/>
      <c r="H504" s="332" t="n"/>
      <c r="I504" s="335">
        <f>IF(OR(B504="",H504="Sold"),"—",TODAY()-B504)</f>
        <v/>
      </c>
      <c r="J504" s="336">
        <f>IF(OR(B504="",H504="Sold"),"",IF(I504="—","",IF(I504&gt;=60,"STALE — route now",IF(I504&gt;=30,"Aging — watch",IF(I504&gt;=0,"Fresh","")))))</f>
        <v/>
      </c>
      <c r="K504" s="337">
        <f>IF(J504="STALE — route now","→ Send to consignment batch",IF(J504="Aging — watch","→ Consider 10% price drop",IF(J504="Fresh","→ Hold &amp; monitor","")))</f>
        <v/>
      </c>
    </row>
  </sheetData>
  <mergeCells count="2">
    <mergeCell ref="A10:K10"/>
    <mergeCell ref="B2:K2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4" topLeftCell="A5" activePane="bottomLeft" state="frozen"/>
      <selection pane="bottomLeft" activeCell="A1" sqref="A1:M1"/>
    </sheetView>
  </sheetViews>
  <sheetFormatPr baseColWidth="10" defaultColWidth="8.83203125" defaultRowHeight="15"/>
  <cols>
    <col width="14" customWidth="1" style="230" min="1" max="1"/>
    <col width="36" customWidth="1" style="230" min="2" max="2"/>
    <col width="16" customWidth="1" style="230" min="3" max="3"/>
    <col width="10" customWidth="1" style="230" min="4" max="4"/>
    <col width="9" customWidth="1" style="230" min="5" max="5"/>
    <col width="28" customWidth="1" style="230" min="6" max="6"/>
    <col width="7" customWidth="1" style="230" min="7" max="7"/>
    <col width="9" customWidth="1" style="230" min="8" max="8"/>
    <col width="10" customWidth="1" style="230" min="9" max="9"/>
    <col width="9" customWidth="1" style="230" min="10" max="10"/>
    <col width="14" customWidth="1" style="230" min="11" max="11"/>
    <col width="22" customWidth="1" style="230" min="12" max="12"/>
  </cols>
  <sheetData>
    <row r="1" ht="24" customHeight="1" s="230">
      <c r="A1" s="229" t="inlineStr">
        <is>
          <t>🏠 Start Here</t>
        </is>
      </c>
    </row>
    <row r="2">
      <c r="A2" s="283" t="inlineStr">
        <is>
          <t>Scored by player tier + auto/patch/print run/PSA/price/watchers | Today: May 03, 2026 | 233 total Football cards in inventory</t>
        </is>
      </c>
    </row>
    <row r="3">
      <c r="A3" s="169" t="inlineStr">
        <is>
          <t>PRIORITY ACTIONS</t>
        </is>
      </c>
    </row>
    <row r="4" ht="30" customHeight="1" s="230">
      <c r="A4" s="133" t="inlineStr">
        <is>
          <t>Rank</t>
        </is>
      </c>
      <c r="B4" s="133" t="inlineStr">
        <is>
          <t>Priority Action</t>
        </is>
      </c>
      <c r="C4" s="133" t="inlineStr">
        <is>
          <t>Card Description</t>
        </is>
      </c>
      <c r="D4" s="133" t="inlineStr">
        <is>
          <t>SKU</t>
        </is>
      </c>
      <c r="E4" s="133" t="inlineStr">
        <is>
          <t>Price ($)</t>
        </is>
      </c>
      <c r="F4" s="133" t="inlineStr">
        <is>
          <t>Score</t>
        </is>
      </c>
      <c r="G4" s="133" t="inlineStr">
        <is>
          <t>Player Tier</t>
        </is>
      </c>
      <c r="H4" s="133" t="inlineStr">
        <is>
          <t>Days Listed</t>
        </is>
      </c>
      <c r="I4" s="133" t="inlineStr">
        <is>
          <t>Aging Status</t>
        </is>
      </c>
      <c r="J4" s="133" t="inlineStr">
        <is>
          <t>Watchers</t>
        </is>
      </c>
      <c r="K4" s="133" t="inlineStr">
        <is>
          <t>Has 90d Sales?</t>
        </is>
      </c>
      <c r="L4" s="133" t="inlineStr">
        <is>
          <t>Notes</t>
        </is>
      </c>
    </row>
    <row r="5">
      <c r="A5" s="125" t="n"/>
      <c r="B5" s="125" t="n"/>
      <c r="C5" s="125" t="n"/>
      <c r="D5" s="125" t="n"/>
      <c r="E5" s="126" t="n"/>
      <c r="F5" s="125" t="n"/>
      <c r="G5" s="125" t="n"/>
      <c r="H5" s="125" t="n"/>
      <c r="I5" s="134" t="n"/>
      <c r="J5" s="125" t="n"/>
      <c r="K5" s="125" t="n"/>
      <c r="L5" s="125" t="n"/>
    </row>
    <row r="6">
      <c r="A6" s="125" t="n"/>
      <c r="B6" s="125" t="n"/>
      <c r="C6" s="125" t="n"/>
      <c r="D6" s="125" t="n"/>
      <c r="E6" s="126" t="n"/>
      <c r="F6" s="125" t="n"/>
      <c r="G6" s="125" t="n"/>
      <c r="H6" s="125" t="n"/>
      <c r="I6" s="134" t="n"/>
      <c r="J6" s="125" t="n"/>
      <c r="K6" s="125" t="n"/>
      <c r="L6" s="125" t="n"/>
    </row>
    <row r="7">
      <c r="A7" s="125" t="n"/>
      <c r="B7" s="125" t="n"/>
      <c r="C7" s="125" t="n"/>
      <c r="D7" s="125" t="n"/>
      <c r="E7" s="126" t="n"/>
      <c r="F7" s="125" t="n"/>
      <c r="G7" s="125" t="n"/>
      <c r="H7" s="125" t="n"/>
      <c r="I7" s="134" t="n"/>
      <c r="J7" s="125" t="n"/>
      <c r="K7" s="125" t="n"/>
      <c r="L7" s="125" t="n"/>
    </row>
    <row r="8">
      <c r="A8" s="125" t="n"/>
      <c r="B8" s="125" t="n"/>
      <c r="C8" s="125" t="n"/>
      <c r="D8" s="125" t="n"/>
      <c r="E8" s="126" t="n"/>
      <c r="F8" s="125" t="n"/>
      <c r="G8" s="125" t="n"/>
      <c r="H8" s="125" t="n"/>
      <c r="I8" s="134" t="n"/>
      <c r="J8" s="125" t="n"/>
      <c r="K8" s="125" t="n"/>
      <c r="L8" s="125" t="n"/>
    </row>
    <row r="9">
      <c r="A9" s="125" t="n"/>
      <c r="B9" s="125" t="n"/>
      <c r="C9" s="125" t="n"/>
      <c r="D9" s="125" t="n"/>
      <c r="E9" s="126" t="n"/>
      <c r="F9" s="125" t="n"/>
      <c r="G9" s="125" t="n"/>
      <c r="H9" s="125" t="n"/>
      <c r="I9" s="134" t="n"/>
      <c r="J9" s="125" t="n"/>
      <c r="K9" s="125" t="n"/>
      <c r="L9" s="125" t="n"/>
    </row>
    <row r="10">
      <c r="A10" s="125" t="n"/>
      <c r="B10" s="125" t="n"/>
      <c r="C10" s="125" t="n"/>
      <c r="D10" s="125" t="n"/>
      <c r="E10" s="126" t="n"/>
      <c r="F10" s="125" t="n"/>
      <c r="G10" s="125" t="n"/>
      <c r="H10" s="125" t="n"/>
      <c r="I10" s="134" t="n"/>
      <c r="J10" s="125" t="n"/>
      <c r="K10" s="125" t="n"/>
      <c r="L10" s="125" t="n"/>
    </row>
    <row r="11">
      <c r="A11" s="125" t="n"/>
      <c r="B11" s="125" t="n"/>
      <c r="C11" s="125" t="n"/>
      <c r="D11" s="125" t="n"/>
      <c r="E11" s="126" t="n"/>
      <c r="F11" s="125" t="n"/>
      <c r="G11" s="125" t="n"/>
      <c r="H11" s="125" t="n"/>
      <c r="I11" s="134" t="n"/>
      <c r="J11" s="125" t="n"/>
      <c r="K11" s="125" t="n"/>
      <c r="L11" s="125" t="n"/>
    </row>
    <row r="12">
      <c r="A12" s="125" t="n"/>
      <c r="B12" s="125" t="n"/>
      <c r="C12" s="125" t="n"/>
      <c r="D12" s="125" t="n"/>
      <c r="E12" s="126" t="n"/>
      <c r="F12" s="125" t="n"/>
      <c r="G12" s="125" t="n"/>
      <c r="H12" s="125" t="n"/>
      <c r="I12" s="134" t="n"/>
      <c r="J12" s="125" t="n"/>
      <c r="K12" s="125" t="n"/>
      <c r="L12" s="125" t="n"/>
    </row>
    <row r="13">
      <c r="A13" s="125" t="n"/>
      <c r="B13" s="125" t="n"/>
      <c r="C13" s="125" t="n"/>
      <c r="D13" s="125" t="n"/>
      <c r="E13" s="126" t="n"/>
      <c r="F13" s="125" t="n"/>
      <c r="G13" s="125" t="n"/>
      <c r="H13" s="125" t="n"/>
      <c r="I13" s="125" t="n"/>
      <c r="J13" s="125" t="n"/>
      <c r="K13" s="125" t="n"/>
      <c r="L13" s="125" t="n"/>
    </row>
    <row r="14">
      <c r="A14" s="125" t="n"/>
      <c r="B14" s="125" t="n"/>
      <c r="C14" s="125" t="n"/>
      <c r="D14" s="125" t="n"/>
      <c r="E14" s="126" t="n"/>
      <c r="F14" s="125" t="n"/>
      <c r="G14" s="125" t="n"/>
      <c r="H14" s="125" t="n"/>
      <c r="I14" s="134" t="n"/>
      <c r="J14" s="125" t="n"/>
      <c r="K14" s="125" t="n"/>
      <c r="L14" s="125" t="n"/>
    </row>
    <row r="15">
      <c r="A15" s="125" t="n"/>
      <c r="B15" s="125" t="n"/>
      <c r="C15" s="125" t="n"/>
      <c r="D15" s="125" t="n"/>
      <c r="E15" s="126" t="n"/>
      <c r="F15" s="125" t="n"/>
      <c r="G15" s="125" t="n"/>
      <c r="H15" s="125" t="n"/>
      <c r="I15" s="134" t="n"/>
      <c r="J15" s="125" t="n"/>
      <c r="K15" s="125" t="n"/>
      <c r="L15" s="125" t="n"/>
    </row>
    <row r="16">
      <c r="A16" s="125" t="n"/>
      <c r="B16" s="125" t="n"/>
      <c r="C16" s="125" t="n"/>
      <c r="D16" s="125" t="n"/>
      <c r="E16" s="126" t="n"/>
      <c r="F16" s="125" t="n"/>
      <c r="G16" s="125" t="n"/>
      <c r="H16" s="125" t="n"/>
      <c r="I16" s="134" t="n"/>
      <c r="J16" s="125" t="n"/>
      <c r="K16" s="125" t="n"/>
      <c r="L16" s="125" t="n"/>
    </row>
    <row r="17">
      <c r="A17" s="125" t="n"/>
      <c r="B17" s="125" t="n"/>
      <c r="C17" s="125" t="n"/>
      <c r="D17" s="125" t="n"/>
      <c r="E17" s="126" t="n"/>
      <c r="F17" s="125" t="n"/>
      <c r="G17" s="125" t="n"/>
      <c r="H17" s="125" t="n"/>
      <c r="I17" s="134" t="n"/>
      <c r="J17" s="125" t="n"/>
      <c r="K17" s="125" t="n"/>
      <c r="L17" s="125" t="n"/>
    </row>
    <row r="18">
      <c r="A18" s="125" t="n"/>
      <c r="B18" s="125" t="n"/>
      <c r="C18" s="125" t="n"/>
      <c r="D18" s="125" t="n"/>
      <c r="E18" s="126" t="n"/>
      <c r="F18" s="125" t="n"/>
      <c r="G18" s="125" t="n"/>
      <c r="H18" s="125" t="n"/>
      <c r="I18" s="134" t="n"/>
      <c r="J18" s="125" t="n"/>
      <c r="K18" s="125" t="n"/>
      <c r="L18" s="125" t="n"/>
    </row>
    <row r="19">
      <c r="A19" s="125" t="n"/>
      <c r="B19" s="125" t="n"/>
      <c r="C19" s="125" t="n"/>
      <c r="D19" s="125" t="n"/>
      <c r="E19" s="126" t="n"/>
      <c r="F19" s="125" t="n"/>
      <c r="G19" s="125" t="n"/>
      <c r="H19" s="125" t="n"/>
      <c r="I19" s="134" t="n"/>
      <c r="J19" s="125" t="n"/>
      <c r="K19" s="125" t="n"/>
      <c r="L19" s="125" t="n"/>
    </row>
    <row r="20">
      <c r="A20" s="125" t="n"/>
      <c r="B20" s="125" t="n"/>
      <c r="C20" s="125" t="n"/>
      <c r="D20" s="125" t="n"/>
      <c r="E20" s="126" t="n"/>
      <c r="F20" s="125" t="n"/>
      <c r="G20" s="125" t="n"/>
      <c r="H20" s="125" t="n"/>
      <c r="I20" s="134" t="n"/>
      <c r="J20" s="125" t="n"/>
      <c r="K20" s="125" t="n"/>
      <c r="L20" s="125" t="n"/>
    </row>
    <row r="21">
      <c r="A21" s="125" t="n"/>
      <c r="B21" s="125" t="n"/>
      <c r="C21" s="125" t="n"/>
      <c r="D21" s="125" t="n"/>
      <c r="E21" s="126" t="n"/>
      <c r="F21" s="125" t="n"/>
      <c r="G21" s="125" t="n"/>
      <c r="H21" s="125" t="n"/>
      <c r="I21" s="134" t="n"/>
      <c r="J21" s="125" t="n"/>
      <c r="K21" s="125" t="n"/>
      <c r="L21" s="125" t="n"/>
    </row>
    <row r="22">
      <c r="A22" s="125" t="n"/>
      <c r="B22" s="125" t="n"/>
      <c r="C22" s="125" t="n"/>
      <c r="D22" s="125" t="n"/>
      <c r="E22" s="126" t="n"/>
      <c r="F22" s="125" t="n"/>
      <c r="G22" s="125" t="n"/>
      <c r="H22" s="125" t="n"/>
      <c r="I22" s="134" t="n"/>
      <c r="J22" s="125" t="n"/>
      <c r="K22" s="125" t="n"/>
      <c r="L22" s="125" t="n"/>
    </row>
    <row r="23">
      <c r="A23" s="125" t="n"/>
      <c r="B23" s="125" t="n"/>
      <c r="C23" s="125" t="n"/>
      <c r="D23" s="125" t="n"/>
      <c r="E23" s="126" t="n"/>
      <c r="F23" s="125" t="n"/>
      <c r="G23" s="125" t="n"/>
      <c r="H23" s="125" t="n"/>
      <c r="I23" s="134" t="n"/>
      <c r="J23" s="125" t="n"/>
      <c r="K23" s="125" t="n"/>
      <c r="L23" s="125" t="n"/>
    </row>
    <row r="24">
      <c r="A24" s="125" t="n"/>
      <c r="B24" s="125" t="n"/>
      <c r="C24" s="125" t="n"/>
      <c r="D24" s="125" t="n"/>
      <c r="E24" s="126" t="n"/>
      <c r="F24" s="125" t="n"/>
      <c r="G24" s="125" t="n"/>
      <c r="H24" s="125" t="n"/>
      <c r="I24" s="134" t="n"/>
      <c r="J24" s="125" t="n"/>
      <c r="K24" s="125" t="n"/>
      <c r="L24" s="125" t="n"/>
    </row>
    <row r="25">
      <c r="A25" s="125" t="n"/>
      <c r="B25" s="125" t="n"/>
      <c r="C25" s="125" t="n"/>
      <c r="D25" s="125" t="n"/>
      <c r="E25" s="126" t="n"/>
      <c r="F25" s="125" t="n"/>
      <c r="G25" s="125" t="n"/>
      <c r="H25" s="125" t="n"/>
      <c r="I25" s="134" t="n"/>
      <c r="J25" s="125" t="n"/>
      <c r="K25" s="125" t="n"/>
      <c r="L25" s="125" t="n"/>
    </row>
    <row r="26">
      <c r="A26" s="125" t="n"/>
      <c r="B26" s="125" t="n"/>
      <c r="C26" s="125" t="n"/>
      <c r="D26" s="125" t="n"/>
      <c r="E26" s="126" t="n"/>
      <c r="F26" s="125" t="n"/>
      <c r="G26" s="125" t="n"/>
      <c r="H26" s="125" t="n"/>
      <c r="I26" s="134" t="n"/>
      <c r="J26" s="125" t="n"/>
      <c r="K26" s="125" t="n"/>
      <c r="L26" s="125" t="n"/>
    </row>
    <row r="27">
      <c r="A27" s="125" t="n"/>
      <c r="B27" s="125" t="n"/>
      <c r="C27" s="125" t="n"/>
      <c r="D27" s="125" t="n"/>
      <c r="E27" s="126" t="n"/>
      <c r="F27" s="125" t="n"/>
      <c r="G27" s="125" t="n"/>
      <c r="H27" s="125" t="n"/>
      <c r="I27" s="134" t="n"/>
      <c r="J27" s="125" t="n"/>
      <c r="K27" s="125" t="n"/>
      <c r="L27" s="125" t="n"/>
    </row>
    <row r="28">
      <c r="A28" s="125" t="n"/>
      <c r="B28" s="125" t="n"/>
      <c r="C28" s="125" t="n"/>
      <c r="D28" s="125" t="n"/>
      <c r="E28" s="126" t="n"/>
      <c r="F28" s="125" t="n"/>
      <c r="G28" s="125" t="n"/>
      <c r="H28" s="125" t="n"/>
      <c r="I28" s="134" t="n"/>
      <c r="J28" s="125" t="n"/>
      <c r="K28" s="125" t="n"/>
      <c r="L28" s="125" t="n"/>
    </row>
    <row r="29">
      <c r="A29" s="125" t="n"/>
      <c r="B29" s="125" t="n"/>
      <c r="C29" s="125" t="n"/>
      <c r="D29" s="125" t="n"/>
      <c r="E29" s="126" t="n"/>
      <c r="F29" s="125" t="n"/>
      <c r="G29" s="125" t="n"/>
      <c r="H29" s="125" t="n"/>
      <c r="I29" s="134" t="n"/>
      <c r="J29" s="125" t="n"/>
      <c r="K29" s="125" t="n"/>
      <c r="L29" s="125" t="n"/>
    </row>
    <row r="32" ht="16" customHeight="1" s="230">
      <c r="A32" s="282" t="n"/>
    </row>
    <row r="33" ht="22" customHeight="1" s="230">
      <c r="A33" s="170" t="n"/>
      <c r="B33" s="170" t="n"/>
      <c r="C33" s="170" t="n"/>
      <c r="D33" s="170" t="n"/>
      <c r="E33" s="170" t="n"/>
      <c r="F33" s="170" t="n"/>
      <c r="G33" s="170" t="n"/>
      <c r="H33" s="170" t="n"/>
      <c r="I33" s="170" t="n"/>
      <c r="J33" s="170" t="n"/>
      <c r="K33" s="170" t="n"/>
      <c r="L33" s="170" t="n"/>
    </row>
    <row r="34">
      <c r="A34" s="125" t="n"/>
      <c r="B34" s="125" t="n"/>
      <c r="C34" s="125" t="n"/>
      <c r="D34" s="126" t="n"/>
      <c r="E34" s="125" t="n"/>
      <c r="F34" s="134" t="n"/>
      <c r="G34" s="125" t="n"/>
      <c r="H34" s="125" t="n"/>
      <c r="I34" s="125" t="n"/>
      <c r="J34" s="125" t="n"/>
      <c r="K34" s="125" t="n"/>
      <c r="L34" s="125" t="n"/>
    </row>
    <row r="35">
      <c r="A35" s="129" t="n"/>
      <c r="B35" s="129" t="n"/>
      <c r="C35" s="129" t="n"/>
      <c r="D35" s="130" t="n"/>
      <c r="E35" s="129" t="n"/>
      <c r="F35" s="134" t="n"/>
      <c r="G35" s="129" t="n"/>
      <c r="H35" s="129" t="n"/>
      <c r="I35" s="129" t="n"/>
      <c r="J35" s="129" t="n"/>
      <c r="K35" s="129" t="n"/>
      <c r="L35" s="129" t="n"/>
    </row>
    <row r="36">
      <c r="A36" s="125" t="n"/>
      <c r="B36" s="125" t="n"/>
      <c r="C36" s="125" t="n"/>
      <c r="D36" s="126" t="n"/>
      <c r="E36" s="125" t="n"/>
      <c r="F36" s="134" t="n"/>
      <c r="G36" s="125" t="n"/>
      <c r="H36" s="125" t="n"/>
      <c r="I36" s="125" t="n"/>
      <c r="J36" s="125" t="n"/>
      <c r="K36" s="125" t="n"/>
      <c r="L36" s="125" t="n"/>
    </row>
    <row r="37">
      <c r="A37" s="129" t="n"/>
      <c r="B37" s="129" t="n"/>
      <c r="C37" s="129" t="n"/>
      <c r="D37" s="130" t="n"/>
      <c r="E37" s="129" t="n"/>
      <c r="F37" s="134" t="n"/>
      <c r="G37" s="129" t="n"/>
      <c r="H37" s="129" t="n"/>
      <c r="I37" s="129" t="n"/>
      <c r="J37" s="129" t="n"/>
      <c r="K37" s="129" t="n"/>
      <c r="L37" s="129" t="n"/>
    </row>
    <row r="38">
      <c r="A38" s="125" t="n"/>
      <c r="B38" s="125" t="n"/>
      <c r="C38" s="125" t="n"/>
      <c r="D38" s="126" t="n"/>
      <c r="E38" s="125" t="n"/>
      <c r="F38" s="134" t="n"/>
      <c r="G38" s="125" t="n"/>
      <c r="H38" s="125" t="n"/>
      <c r="I38" s="125" t="n"/>
      <c r="J38" s="125" t="n"/>
      <c r="K38" s="125" t="n"/>
      <c r="L38" s="125" t="n"/>
    </row>
    <row r="39">
      <c r="A39" s="129" t="n"/>
      <c r="B39" s="129" t="n"/>
      <c r="C39" s="129" t="n"/>
      <c r="D39" s="130" t="n"/>
      <c r="E39" s="129" t="n"/>
      <c r="F39" s="134" t="n"/>
      <c r="G39" s="129" t="n"/>
      <c r="H39" s="129" t="n"/>
      <c r="I39" s="129" t="n"/>
      <c r="J39" s="129" t="n"/>
      <c r="K39" s="129" t="n"/>
      <c r="L39" s="129" t="n"/>
    </row>
    <row r="40">
      <c r="A40" s="125" t="n"/>
      <c r="B40" s="125" t="n"/>
      <c r="C40" s="125" t="n"/>
      <c r="D40" s="126" t="n"/>
      <c r="E40" s="125" t="n"/>
      <c r="F40" s="134" t="n"/>
      <c r="G40" s="125" t="n"/>
      <c r="H40" s="125" t="n"/>
      <c r="I40" s="125" t="n"/>
      <c r="J40" s="125" t="n"/>
      <c r="K40" s="125" t="n"/>
      <c r="L40" s="125" t="n"/>
    </row>
    <row r="41">
      <c r="A41" s="129" t="n"/>
      <c r="B41" s="129" t="n"/>
      <c r="C41" s="129" t="n"/>
      <c r="D41" s="130" t="n"/>
      <c r="E41" s="129" t="n"/>
      <c r="F41" s="134" t="n"/>
      <c r="G41" s="129" t="n"/>
      <c r="H41" s="129" t="n"/>
      <c r="I41" s="129" t="n"/>
      <c r="J41" s="129" t="n"/>
      <c r="K41" s="129" t="n"/>
      <c r="L41" s="129" t="n"/>
    </row>
    <row r="42">
      <c r="A42" s="125" t="n"/>
      <c r="B42" s="125" t="n"/>
      <c r="C42" s="125" t="n"/>
      <c r="D42" s="126" t="n"/>
      <c r="E42" s="125" t="n"/>
      <c r="F42" s="158" t="n"/>
      <c r="G42" s="125" t="n"/>
      <c r="H42" s="125" t="n"/>
      <c r="I42" s="125" t="n"/>
      <c r="J42" s="125" t="n"/>
      <c r="K42" s="125" t="n"/>
      <c r="L42" s="125" t="n"/>
    </row>
    <row r="43">
      <c r="A43" s="129" t="n"/>
      <c r="B43" s="129" t="n"/>
      <c r="C43" s="129" t="n"/>
      <c r="D43" s="130" t="n"/>
      <c r="E43" s="129" t="n"/>
      <c r="F43" s="134" t="n"/>
      <c r="G43" s="129" t="n"/>
      <c r="H43" s="129" t="n"/>
      <c r="I43" s="129" t="n"/>
      <c r="J43" s="129" t="n"/>
      <c r="K43" s="129" t="n"/>
      <c r="L43" s="129" t="n"/>
    </row>
    <row r="44">
      <c r="A44" s="125" t="n"/>
      <c r="B44" s="125" t="n"/>
      <c r="C44" s="125" t="n"/>
      <c r="D44" s="126" t="n"/>
      <c r="E44" s="125" t="n"/>
      <c r="F44" s="134" t="n"/>
      <c r="G44" s="125" t="n"/>
      <c r="H44" s="125" t="n"/>
      <c r="I44" s="125" t="n"/>
      <c r="J44" s="125" t="n"/>
      <c r="K44" s="125" t="n"/>
      <c r="L44" s="125" t="n"/>
    </row>
    <row r="45">
      <c r="A45" s="129" t="n"/>
      <c r="B45" s="129" t="n"/>
      <c r="C45" s="129" t="n"/>
      <c r="D45" s="130" t="n"/>
      <c r="E45" s="129" t="n"/>
      <c r="F45" s="134" t="n"/>
      <c r="G45" s="129" t="n"/>
      <c r="H45" s="129" t="n"/>
      <c r="I45" s="129" t="n"/>
      <c r="J45" s="129" t="n"/>
      <c r="K45" s="129" t="n"/>
      <c r="L45" s="129" t="n"/>
    </row>
    <row r="46">
      <c r="A46" s="125" t="n"/>
      <c r="B46" s="125" t="n"/>
      <c r="C46" s="125" t="n"/>
      <c r="D46" s="126" t="n"/>
      <c r="E46" s="125" t="n"/>
      <c r="F46" s="134" t="n"/>
      <c r="G46" s="125" t="n"/>
      <c r="H46" s="125" t="n"/>
      <c r="I46" s="125" t="n"/>
      <c r="J46" s="125" t="n"/>
      <c r="K46" s="125" t="n"/>
      <c r="L46" s="125" t="n"/>
    </row>
    <row r="47">
      <c r="A47" s="129" t="n"/>
      <c r="B47" s="129" t="n"/>
      <c r="C47" s="129" t="n"/>
      <c r="D47" s="130" t="n"/>
      <c r="E47" s="129" t="n"/>
      <c r="F47" s="134" t="n"/>
      <c r="G47" s="129" t="n"/>
      <c r="H47" s="129" t="n"/>
      <c r="I47" s="129" t="n"/>
      <c r="J47" s="129" t="n"/>
      <c r="K47" s="129" t="n"/>
      <c r="L47" s="129" t="n"/>
    </row>
    <row r="48">
      <c r="A48" s="125" t="n"/>
      <c r="B48" s="125" t="n"/>
      <c r="C48" s="125" t="n"/>
      <c r="D48" s="126" t="n"/>
      <c r="E48" s="125" t="n"/>
      <c r="F48" s="134" t="n"/>
      <c r="G48" s="125" t="n"/>
      <c r="H48" s="125" t="n"/>
      <c r="I48" s="125" t="n"/>
      <c r="J48" s="125" t="n"/>
      <c r="K48" s="125" t="n"/>
      <c r="L48" s="125" t="n"/>
    </row>
    <row r="49">
      <c r="A49" s="129" t="n"/>
      <c r="B49" s="129" t="n"/>
      <c r="C49" s="129" t="n"/>
      <c r="D49" s="130" t="n"/>
      <c r="E49" s="129" t="n"/>
      <c r="F49" s="134" t="n"/>
      <c r="G49" s="129" t="n"/>
      <c r="H49" s="129" t="n"/>
      <c r="I49" s="129" t="n"/>
      <c r="J49" s="129" t="n"/>
      <c r="K49" s="129" t="n"/>
      <c r="L49" s="129" t="n"/>
    </row>
    <row r="50">
      <c r="A50" s="125" t="n"/>
      <c r="B50" s="125" t="n"/>
      <c r="C50" s="125" t="n"/>
      <c r="D50" s="126" t="n"/>
      <c r="E50" s="125" t="n"/>
      <c r="F50" s="134" t="n"/>
      <c r="G50" s="125" t="n"/>
      <c r="H50" s="125" t="n"/>
      <c r="I50" s="125" t="n"/>
      <c r="J50" s="125" t="n"/>
      <c r="K50" s="125" t="n"/>
      <c r="L50" s="125" t="n"/>
    </row>
    <row r="51">
      <c r="A51" s="129" t="n"/>
      <c r="B51" s="129" t="n"/>
      <c r="C51" s="129" t="n"/>
      <c r="D51" s="130" t="n"/>
      <c r="E51" s="129" t="n"/>
      <c r="F51" s="134" t="n"/>
      <c r="G51" s="129" t="n"/>
      <c r="H51" s="129" t="n"/>
      <c r="I51" s="129" t="n"/>
      <c r="J51" s="129" t="n"/>
      <c r="K51" s="129" t="n"/>
      <c r="L51" s="129" t="n"/>
    </row>
    <row r="52">
      <c r="A52" s="125" t="n"/>
      <c r="B52" s="125" t="n"/>
      <c r="C52" s="125" t="n"/>
      <c r="D52" s="126" t="n"/>
      <c r="E52" s="125" t="n"/>
      <c r="F52" s="134" t="n"/>
      <c r="G52" s="125" t="n"/>
      <c r="H52" s="125" t="n"/>
      <c r="I52" s="125" t="n"/>
      <c r="J52" s="125" t="n"/>
      <c r="K52" s="125" t="n"/>
      <c r="L52" s="125" t="n"/>
    </row>
    <row r="53">
      <c r="A53" s="129" t="n"/>
      <c r="B53" s="129" t="n"/>
      <c r="C53" s="129" t="n"/>
      <c r="D53" s="130" t="n"/>
      <c r="E53" s="129" t="n"/>
      <c r="F53" s="134" t="n"/>
      <c r="G53" s="129" t="n"/>
      <c r="H53" s="129" t="n"/>
      <c r="I53" s="129" t="n"/>
      <c r="J53" s="129" t="n"/>
      <c r="K53" s="129" t="n"/>
      <c r="L53" s="129" t="n"/>
    </row>
    <row r="54">
      <c r="A54" s="125" t="n"/>
      <c r="B54" s="125" t="n"/>
      <c r="C54" s="125" t="n"/>
      <c r="D54" s="126" t="n"/>
      <c r="E54" s="125" t="n"/>
      <c r="F54" s="134" t="n"/>
      <c r="G54" s="125" t="n"/>
      <c r="H54" s="125" t="n"/>
      <c r="I54" s="125" t="n"/>
      <c r="J54" s="125" t="n"/>
      <c r="K54" s="125" t="n"/>
      <c r="L54" s="125" t="n"/>
    </row>
    <row r="55">
      <c r="A55" s="129" t="n"/>
      <c r="B55" s="129" t="n"/>
      <c r="C55" s="129" t="n"/>
      <c r="D55" s="130" t="n"/>
      <c r="E55" s="129" t="n"/>
      <c r="F55" s="134" t="n"/>
      <c r="G55" s="129" t="n"/>
      <c r="H55" s="129" t="n"/>
      <c r="I55" s="129" t="n"/>
      <c r="J55" s="129" t="n"/>
      <c r="K55" s="129" t="n"/>
      <c r="L55" s="129" t="n"/>
    </row>
    <row r="56">
      <c r="A56" s="125" t="n"/>
      <c r="B56" s="125" t="n"/>
      <c r="C56" s="125" t="n"/>
      <c r="D56" s="126" t="n"/>
      <c r="E56" s="125" t="n"/>
      <c r="F56" s="134" t="n"/>
      <c r="G56" s="125" t="n"/>
      <c r="H56" s="125" t="n"/>
      <c r="I56" s="125" t="n"/>
      <c r="J56" s="125" t="n"/>
      <c r="K56" s="125" t="n"/>
      <c r="L56" s="125" t="n"/>
    </row>
    <row r="57">
      <c r="A57" s="129" t="n"/>
      <c r="B57" s="129" t="n"/>
      <c r="C57" s="129" t="n"/>
      <c r="D57" s="130" t="n"/>
      <c r="E57" s="129" t="n"/>
      <c r="F57" s="134" t="n"/>
      <c r="G57" s="129" t="n"/>
      <c r="H57" s="129" t="n"/>
      <c r="I57" s="129" t="n"/>
      <c r="J57" s="129" t="n"/>
      <c r="K57" s="129" t="n"/>
      <c r="L57" s="129" t="n"/>
    </row>
    <row r="58">
      <c r="A58" s="125" t="n"/>
      <c r="B58" s="125" t="n"/>
      <c r="C58" s="125" t="n"/>
      <c r="D58" s="126" t="n"/>
      <c r="E58" s="125" t="n"/>
      <c r="F58" s="134" t="n"/>
      <c r="G58" s="125" t="n"/>
      <c r="H58" s="125" t="n"/>
      <c r="I58" s="125" t="n"/>
      <c r="J58" s="125" t="n"/>
      <c r="K58" s="125" t="n"/>
      <c r="L58" s="125" t="n"/>
    </row>
    <row r="59">
      <c r="A59" s="129" t="n"/>
      <c r="B59" s="129" t="n"/>
      <c r="C59" s="129" t="n"/>
      <c r="D59" s="130" t="n"/>
      <c r="E59" s="129" t="n"/>
      <c r="F59" s="134" t="n"/>
      <c r="G59" s="129" t="n"/>
      <c r="H59" s="129" t="n"/>
      <c r="I59" s="129" t="n"/>
      <c r="J59" s="129" t="n"/>
      <c r="K59" s="129" t="n"/>
      <c r="L59" s="129" t="n"/>
    </row>
    <row r="60">
      <c r="A60" s="125" t="n"/>
      <c r="B60" s="125" t="n"/>
      <c r="C60" s="125" t="n"/>
      <c r="D60" s="126" t="n"/>
      <c r="E60" s="125" t="n"/>
      <c r="F60" s="134" t="n"/>
      <c r="G60" s="125" t="n"/>
      <c r="H60" s="125" t="n"/>
      <c r="I60" s="125" t="n"/>
      <c r="J60" s="125" t="n"/>
      <c r="K60" s="125" t="n"/>
      <c r="L60" s="125" t="n"/>
    </row>
    <row r="61">
      <c r="A61" s="129" t="n"/>
      <c r="B61" s="129" t="n"/>
      <c r="C61" s="129" t="n"/>
      <c r="D61" s="130" t="n"/>
      <c r="E61" s="129" t="n"/>
      <c r="F61" s="134" t="n"/>
      <c r="G61" s="129" t="n"/>
      <c r="H61" s="129" t="n"/>
      <c r="I61" s="129" t="n"/>
      <c r="J61" s="129" t="n"/>
      <c r="K61" s="129" t="n"/>
      <c r="L61" s="129" t="n"/>
    </row>
    <row r="62">
      <c r="A62" s="125" t="n"/>
      <c r="B62" s="125" t="n"/>
      <c r="C62" s="125" t="n"/>
      <c r="D62" s="126" t="n"/>
      <c r="E62" s="125" t="n"/>
      <c r="F62" s="134" t="n"/>
      <c r="G62" s="125" t="n"/>
      <c r="H62" s="125" t="n"/>
      <c r="I62" s="125" t="n"/>
      <c r="J62" s="125" t="n"/>
      <c r="K62" s="125" t="n"/>
      <c r="L62" s="125" t="n"/>
    </row>
    <row r="63">
      <c r="A63" s="129" t="n"/>
      <c r="B63" s="129" t="n"/>
      <c r="C63" s="129" t="n"/>
      <c r="D63" s="130" t="n"/>
      <c r="E63" s="129" t="n"/>
      <c r="F63" s="134" t="n"/>
      <c r="G63" s="129" t="n"/>
      <c r="H63" s="129" t="n"/>
      <c r="I63" s="129" t="n"/>
      <c r="J63" s="129" t="n"/>
      <c r="K63" s="129" t="n"/>
      <c r="L63" s="129" t="n"/>
    </row>
    <row r="64">
      <c r="A64" s="125" t="n"/>
      <c r="B64" s="125" t="n"/>
      <c r="C64" s="125" t="n"/>
      <c r="D64" s="126" t="n"/>
      <c r="E64" s="125" t="n"/>
      <c r="F64" s="134" t="n"/>
      <c r="G64" s="125" t="n"/>
      <c r="H64" s="125" t="n"/>
      <c r="I64" s="125" t="n"/>
      <c r="J64" s="125" t="n"/>
      <c r="K64" s="125" t="n"/>
      <c r="L64" s="125" t="n"/>
    </row>
    <row r="65">
      <c r="A65" s="129" t="n"/>
      <c r="B65" s="129" t="n"/>
      <c r="C65" s="129" t="n"/>
      <c r="D65" s="130" t="n"/>
      <c r="E65" s="129" t="n"/>
      <c r="F65" s="134" t="n"/>
      <c r="G65" s="129" t="n"/>
      <c r="H65" s="129" t="n"/>
      <c r="I65" s="129" t="n"/>
      <c r="J65" s="129" t="n"/>
      <c r="K65" s="129" t="n"/>
      <c r="L65" s="129" t="n"/>
    </row>
    <row r="66">
      <c r="A66" s="125" t="n"/>
      <c r="B66" s="125" t="n"/>
      <c r="C66" s="125" t="n"/>
      <c r="D66" s="126" t="n"/>
      <c r="E66" s="125" t="n"/>
      <c r="F66" s="134" t="n"/>
      <c r="G66" s="125" t="n"/>
      <c r="H66" s="125" t="n"/>
      <c r="I66" s="125" t="n"/>
      <c r="J66" s="125" t="n"/>
      <c r="K66" s="125" t="n"/>
      <c r="L66" s="125" t="n"/>
    </row>
    <row r="67">
      <c r="A67" s="129" t="n"/>
      <c r="B67" s="129" t="n"/>
      <c r="C67" s="129" t="n"/>
      <c r="D67" s="130" t="n"/>
      <c r="E67" s="129" t="n"/>
      <c r="F67" s="134" t="n"/>
      <c r="G67" s="129" t="n"/>
      <c r="H67" s="129" t="n"/>
      <c r="I67" s="129" t="n"/>
      <c r="J67" s="129" t="n"/>
      <c r="K67" s="129" t="n"/>
      <c r="L67" s="129" t="n"/>
    </row>
    <row r="68">
      <c r="A68" s="125" t="n"/>
      <c r="B68" s="125" t="n"/>
      <c r="C68" s="125" t="n"/>
      <c r="D68" s="126" t="n"/>
      <c r="E68" s="125" t="n"/>
      <c r="F68" s="134" t="n"/>
      <c r="G68" s="125" t="n"/>
      <c r="H68" s="125" t="n"/>
      <c r="I68" s="125" t="n"/>
      <c r="J68" s="125" t="n"/>
      <c r="K68" s="125" t="n"/>
      <c r="L68" s="125" t="n"/>
    </row>
    <row r="69">
      <c r="A69" s="129" t="n"/>
      <c r="B69" s="129" t="n"/>
      <c r="C69" s="129" t="n"/>
      <c r="D69" s="130" t="n"/>
      <c r="E69" s="129" t="n"/>
      <c r="F69" s="134" t="n"/>
      <c r="G69" s="129" t="n"/>
      <c r="H69" s="129" t="n"/>
      <c r="I69" s="129" t="n"/>
      <c r="J69" s="129" t="n"/>
      <c r="K69" s="129" t="n"/>
      <c r="L69" s="129" t="n"/>
    </row>
    <row r="70">
      <c r="A70" s="125" t="n"/>
      <c r="B70" s="125" t="n"/>
      <c r="C70" s="125" t="n"/>
      <c r="D70" s="126" t="n"/>
      <c r="E70" s="125" t="n"/>
      <c r="F70" s="134" t="n"/>
      <c r="G70" s="125" t="n"/>
      <c r="H70" s="125" t="n"/>
      <c r="I70" s="125" t="n"/>
      <c r="J70" s="125" t="n"/>
      <c r="K70" s="125" t="n"/>
      <c r="L70" s="125" t="n"/>
    </row>
    <row r="71">
      <c r="A71" s="129" t="n"/>
      <c r="B71" s="129" t="n"/>
      <c r="C71" s="129" t="n"/>
      <c r="D71" s="130" t="n"/>
      <c r="E71" s="129" t="n"/>
      <c r="F71" s="134" t="n"/>
      <c r="G71" s="129" t="n"/>
      <c r="H71" s="129" t="n"/>
      <c r="I71" s="129" t="n"/>
      <c r="J71" s="129" t="n"/>
      <c r="K71" s="129" t="n"/>
      <c r="L71" s="129" t="n"/>
    </row>
    <row r="72">
      <c r="A72" s="125" t="n"/>
      <c r="B72" s="125" t="n"/>
      <c r="C72" s="125" t="n"/>
      <c r="D72" s="126" t="n"/>
      <c r="E72" s="125" t="n"/>
      <c r="F72" s="134" t="n"/>
      <c r="G72" s="125" t="n"/>
      <c r="H72" s="125" t="n"/>
      <c r="I72" s="125" t="n"/>
      <c r="J72" s="125" t="n"/>
      <c r="K72" s="125" t="n"/>
      <c r="L72" s="125" t="n"/>
    </row>
    <row r="73">
      <c r="A73" s="129" t="n"/>
      <c r="B73" s="129" t="n"/>
      <c r="C73" s="129" t="n"/>
      <c r="D73" s="130" t="n"/>
      <c r="E73" s="129" t="n"/>
      <c r="F73" s="134" t="n"/>
      <c r="G73" s="129" t="n"/>
      <c r="H73" s="129" t="n"/>
      <c r="I73" s="129" t="n"/>
      <c r="J73" s="129" t="n"/>
      <c r="K73" s="129" t="n"/>
      <c r="L73" s="129" t="n"/>
    </row>
    <row r="74">
      <c r="A74" s="125" t="n"/>
      <c r="B74" s="125" t="n"/>
      <c r="C74" s="125" t="n"/>
      <c r="D74" s="126" t="n"/>
      <c r="E74" s="125" t="n"/>
      <c r="F74" s="134" t="n"/>
      <c r="G74" s="125" t="n"/>
      <c r="H74" s="125" t="n"/>
      <c r="I74" s="125" t="n"/>
      <c r="J74" s="125" t="n"/>
      <c r="K74" s="125" t="n"/>
      <c r="L74" s="125" t="n"/>
    </row>
    <row r="75">
      <c r="A75" s="129" t="n"/>
      <c r="B75" s="129" t="n"/>
      <c r="C75" s="129" t="n"/>
      <c r="D75" s="130" t="n"/>
      <c r="E75" s="129" t="n"/>
      <c r="F75" s="134" t="n"/>
      <c r="G75" s="129" t="n"/>
      <c r="H75" s="129" t="n"/>
      <c r="I75" s="129" t="n"/>
      <c r="J75" s="129" t="n"/>
      <c r="K75" s="129" t="n"/>
      <c r="L75" s="129" t="n"/>
    </row>
    <row r="76">
      <c r="A76" s="125" t="n"/>
      <c r="B76" s="125" t="n"/>
      <c r="C76" s="125" t="n"/>
      <c r="D76" s="126" t="n"/>
      <c r="E76" s="125" t="n"/>
      <c r="F76" s="134" t="n"/>
      <c r="G76" s="125" t="n"/>
      <c r="H76" s="125" t="n"/>
      <c r="I76" s="125" t="n"/>
      <c r="J76" s="125" t="n"/>
      <c r="K76" s="125" t="n"/>
      <c r="L76" s="125" t="n"/>
    </row>
    <row r="77">
      <c r="A77" s="129" t="n"/>
      <c r="B77" s="129" t="n"/>
      <c r="C77" s="129" t="n"/>
      <c r="D77" s="130" t="n"/>
      <c r="E77" s="129" t="n"/>
      <c r="F77" s="134" t="n"/>
      <c r="G77" s="129" t="n"/>
      <c r="H77" s="129" t="n"/>
      <c r="I77" s="129" t="n"/>
      <c r="J77" s="129" t="n"/>
      <c r="K77" s="129" t="n"/>
      <c r="L77" s="129" t="n"/>
    </row>
    <row r="78">
      <c r="A78" s="125" t="n"/>
      <c r="B78" s="125" t="n"/>
      <c r="C78" s="125" t="n"/>
      <c r="D78" s="126" t="n"/>
      <c r="E78" s="125" t="n"/>
      <c r="F78" s="134" t="n"/>
      <c r="G78" s="125" t="n"/>
      <c r="H78" s="125" t="n"/>
      <c r="I78" s="125" t="n"/>
      <c r="J78" s="125" t="n"/>
      <c r="K78" s="125" t="n"/>
      <c r="L78" s="125" t="n"/>
    </row>
    <row r="79">
      <c r="A79" s="129" t="n"/>
      <c r="B79" s="129" t="n"/>
      <c r="C79" s="129" t="n"/>
      <c r="D79" s="130" t="n"/>
      <c r="E79" s="129" t="n"/>
      <c r="F79" s="134" t="n"/>
      <c r="G79" s="129" t="n"/>
      <c r="H79" s="129" t="n"/>
      <c r="I79" s="129" t="n"/>
      <c r="J79" s="129" t="n"/>
      <c r="K79" s="129" t="n"/>
      <c r="L79" s="129" t="n"/>
    </row>
    <row r="80">
      <c r="A80" s="125" t="n"/>
      <c r="B80" s="125" t="n"/>
      <c r="C80" s="125" t="n"/>
      <c r="D80" s="126" t="n"/>
      <c r="E80" s="125" t="n"/>
      <c r="F80" s="134" t="n"/>
      <c r="G80" s="125" t="n"/>
      <c r="H80" s="125" t="n"/>
      <c r="I80" s="125" t="n"/>
      <c r="J80" s="125" t="n"/>
      <c r="K80" s="125" t="n"/>
      <c r="L80" s="125" t="n"/>
    </row>
    <row r="81">
      <c r="A81" s="129" t="n"/>
      <c r="B81" s="129" t="n"/>
      <c r="C81" s="129" t="n"/>
      <c r="D81" s="130" t="n"/>
      <c r="E81" s="129" t="n"/>
      <c r="F81" s="134" t="n"/>
      <c r="G81" s="129" t="n"/>
      <c r="H81" s="129" t="n"/>
      <c r="I81" s="129" t="n"/>
      <c r="J81" s="129" t="n"/>
      <c r="K81" s="129" t="n"/>
      <c r="L81" s="129" t="n"/>
    </row>
    <row r="82">
      <c r="A82" s="125" t="n"/>
      <c r="B82" s="125" t="n"/>
      <c r="C82" s="125" t="n"/>
      <c r="D82" s="126" t="n"/>
      <c r="E82" s="125" t="n"/>
      <c r="F82" s="134" t="n"/>
      <c r="G82" s="125" t="n"/>
      <c r="H82" s="125" t="n"/>
      <c r="I82" s="125" t="n"/>
      <c r="J82" s="125" t="n"/>
      <c r="K82" s="125" t="n"/>
      <c r="L82" s="125" t="n"/>
    </row>
    <row r="83">
      <c r="A83" s="129" t="n"/>
      <c r="B83" s="129" t="n"/>
      <c r="C83" s="129" t="n"/>
      <c r="D83" s="130" t="n"/>
      <c r="E83" s="129" t="n"/>
      <c r="F83" s="134" t="n"/>
      <c r="G83" s="129" t="n"/>
      <c r="H83" s="129" t="n"/>
      <c r="I83" s="129" t="n"/>
      <c r="J83" s="129" t="n"/>
      <c r="K83" s="129" t="n"/>
      <c r="L83" s="129" t="n"/>
    </row>
    <row r="84">
      <c r="A84" s="125" t="n"/>
      <c r="B84" s="125" t="n"/>
      <c r="C84" s="125" t="n"/>
      <c r="D84" s="126" t="n"/>
      <c r="E84" s="125" t="n"/>
      <c r="F84" s="134" t="n"/>
      <c r="G84" s="125" t="n"/>
      <c r="H84" s="125" t="n"/>
      <c r="I84" s="125" t="n"/>
      <c r="J84" s="125" t="n"/>
      <c r="K84" s="125" t="n"/>
      <c r="L84" s="125" t="n"/>
    </row>
    <row r="85">
      <c r="A85" s="129" t="n"/>
      <c r="B85" s="129" t="n"/>
      <c r="C85" s="129" t="n"/>
      <c r="D85" s="130" t="n"/>
      <c r="E85" s="129" t="n"/>
      <c r="F85" s="134" t="n"/>
      <c r="G85" s="129" t="n"/>
      <c r="H85" s="129" t="n"/>
      <c r="I85" s="129" t="n"/>
      <c r="J85" s="129" t="n"/>
      <c r="K85" s="129" t="n"/>
      <c r="L85" s="129" t="n"/>
    </row>
    <row r="86">
      <c r="A86" s="125" t="n"/>
      <c r="B86" s="125" t="n"/>
      <c r="C86" s="125" t="n"/>
      <c r="D86" s="126" t="n"/>
      <c r="E86" s="125" t="n"/>
      <c r="F86" s="134" t="n"/>
      <c r="G86" s="125" t="n"/>
      <c r="H86" s="125" t="n"/>
      <c r="I86" s="125" t="n"/>
      <c r="J86" s="125" t="n"/>
      <c r="K86" s="125" t="n"/>
      <c r="L86" s="125" t="n"/>
    </row>
    <row r="87">
      <c r="A87" s="129" t="n"/>
      <c r="B87" s="129" t="n"/>
      <c r="C87" s="129" t="n"/>
      <c r="D87" s="130" t="n"/>
      <c r="E87" s="129" t="n"/>
      <c r="F87" s="134" t="n"/>
      <c r="G87" s="129" t="n"/>
      <c r="H87" s="129" t="n"/>
      <c r="I87" s="129" t="n"/>
      <c r="J87" s="129" t="n"/>
      <c r="K87" s="129" t="n"/>
      <c r="L87" s="129" t="n"/>
    </row>
    <row r="88">
      <c r="A88" s="125" t="n"/>
      <c r="B88" s="125" t="n"/>
      <c r="C88" s="125" t="n"/>
      <c r="D88" s="126" t="n"/>
      <c r="E88" s="125" t="n"/>
      <c r="F88" s="134" t="n"/>
      <c r="G88" s="125" t="n"/>
      <c r="H88" s="125" t="n"/>
      <c r="I88" s="125" t="n"/>
      <c r="J88" s="125" t="n"/>
      <c r="K88" s="125" t="n"/>
      <c r="L88" s="125" t="n"/>
    </row>
    <row r="89">
      <c r="A89" s="129" t="n"/>
      <c r="B89" s="129" t="n"/>
      <c r="C89" s="129" t="n"/>
      <c r="D89" s="130" t="n"/>
      <c r="E89" s="129" t="n"/>
      <c r="F89" s="134" t="n"/>
      <c r="G89" s="129" t="n"/>
      <c r="H89" s="129" t="n"/>
      <c r="I89" s="129" t="n"/>
      <c r="J89" s="129" t="n"/>
      <c r="K89" s="129" t="n"/>
      <c r="L89" s="129" t="n"/>
    </row>
    <row r="90">
      <c r="A90" s="125" t="n"/>
      <c r="B90" s="125" t="n"/>
      <c r="C90" s="125" t="n"/>
      <c r="D90" s="126" t="n"/>
      <c r="E90" s="125" t="n"/>
      <c r="F90" s="134" t="n"/>
      <c r="G90" s="125" t="n"/>
      <c r="H90" s="125" t="n"/>
      <c r="I90" s="125" t="n"/>
      <c r="J90" s="125" t="n"/>
      <c r="K90" s="125" t="n"/>
      <c r="L90" s="125" t="n"/>
    </row>
    <row r="91">
      <c r="A91" s="129" t="n"/>
      <c r="B91" s="129" t="n"/>
      <c r="C91" s="129" t="n"/>
      <c r="D91" s="130" t="n"/>
      <c r="E91" s="129" t="n"/>
      <c r="F91" s="134" t="n"/>
      <c r="G91" s="129" t="n"/>
      <c r="H91" s="129" t="n"/>
      <c r="I91" s="129" t="n"/>
      <c r="J91" s="129" t="n"/>
      <c r="K91" s="129" t="n"/>
      <c r="L91" s="129" t="n"/>
    </row>
    <row r="92">
      <c r="A92" s="125" t="n"/>
      <c r="B92" s="125" t="n"/>
      <c r="C92" s="125" t="n"/>
      <c r="D92" s="126" t="n"/>
      <c r="E92" s="125" t="n"/>
      <c r="F92" s="134" t="n"/>
      <c r="G92" s="125" t="n"/>
      <c r="H92" s="125" t="n"/>
      <c r="I92" s="125" t="n"/>
      <c r="J92" s="125" t="n"/>
      <c r="K92" s="125" t="n"/>
      <c r="L92" s="125" t="n"/>
    </row>
    <row r="93">
      <c r="A93" s="129" t="n"/>
      <c r="B93" s="129" t="n"/>
      <c r="C93" s="129" t="n"/>
      <c r="D93" s="130" t="n"/>
      <c r="E93" s="129" t="n"/>
      <c r="F93" s="134" t="n"/>
      <c r="G93" s="129" t="n"/>
      <c r="H93" s="129" t="n"/>
      <c r="I93" s="129" t="n"/>
      <c r="J93" s="129" t="n"/>
      <c r="K93" s="129" t="n"/>
      <c r="L93" s="129" t="n"/>
    </row>
    <row r="94">
      <c r="A94" s="125" t="n"/>
      <c r="B94" s="125" t="n"/>
      <c r="C94" s="125" t="n"/>
      <c r="D94" s="126" t="n"/>
      <c r="E94" s="125" t="n"/>
      <c r="F94" s="134" t="n"/>
      <c r="G94" s="125" t="n"/>
      <c r="H94" s="125" t="n"/>
      <c r="I94" s="125" t="n"/>
      <c r="J94" s="125" t="n"/>
      <c r="K94" s="125" t="n"/>
      <c r="L94" s="125" t="n"/>
    </row>
    <row r="95">
      <c r="A95" s="129" t="n"/>
      <c r="B95" s="129" t="n"/>
      <c r="C95" s="129" t="n"/>
      <c r="D95" s="130" t="n"/>
      <c r="E95" s="129" t="n"/>
      <c r="F95" s="134" t="n"/>
      <c r="G95" s="129" t="n"/>
      <c r="H95" s="129" t="n"/>
      <c r="I95" s="129" t="n"/>
      <c r="J95" s="129" t="n"/>
      <c r="K95" s="129" t="n"/>
      <c r="L95" s="129" t="n"/>
    </row>
    <row r="96">
      <c r="A96" s="125" t="n"/>
      <c r="B96" s="125" t="n"/>
      <c r="C96" s="125" t="n"/>
      <c r="D96" s="126" t="n"/>
      <c r="E96" s="125" t="n"/>
      <c r="F96" s="134" t="n"/>
      <c r="G96" s="125" t="n"/>
      <c r="H96" s="125" t="n"/>
      <c r="I96" s="125" t="n"/>
      <c r="J96" s="125" t="n"/>
      <c r="K96" s="125" t="n"/>
      <c r="L96" s="125" t="n"/>
    </row>
    <row r="97">
      <c r="A97" s="129" t="n"/>
      <c r="B97" s="129" t="n"/>
      <c r="C97" s="129" t="n"/>
      <c r="D97" s="130" t="n"/>
      <c r="E97" s="129" t="n"/>
      <c r="F97" s="134" t="n"/>
      <c r="G97" s="129" t="n"/>
      <c r="H97" s="129" t="n"/>
      <c r="I97" s="129" t="n"/>
      <c r="J97" s="129" t="n"/>
      <c r="K97" s="129" t="n"/>
      <c r="L97" s="129" t="n"/>
    </row>
    <row r="98">
      <c r="A98" s="125" t="n"/>
      <c r="B98" s="125" t="n"/>
      <c r="C98" s="125" t="n"/>
      <c r="D98" s="126" t="n"/>
      <c r="E98" s="125" t="n"/>
      <c r="F98" s="134" t="n"/>
      <c r="G98" s="125" t="n"/>
      <c r="H98" s="125" t="n"/>
      <c r="I98" s="125" t="n"/>
      <c r="J98" s="125" t="n"/>
      <c r="K98" s="125" t="n"/>
      <c r="L98" s="125" t="n"/>
    </row>
    <row r="99">
      <c r="A99" s="129" t="n"/>
      <c r="B99" s="129" t="n"/>
      <c r="C99" s="129" t="n"/>
      <c r="D99" s="130" t="n"/>
      <c r="E99" s="129" t="n"/>
      <c r="F99" s="134" t="n"/>
      <c r="G99" s="129" t="n"/>
      <c r="H99" s="129" t="n"/>
      <c r="I99" s="129" t="n"/>
      <c r="J99" s="129" t="n"/>
      <c r="K99" s="129" t="n"/>
      <c r="L99" s="129" t="n"/>
    </row>
    <row r="100">
      <c r="A100" s="125" t="n"/>
      <c r="B100" s="125" t="n"/>
      <c r="C100" s="125" t="n"/>
      <c r="D100" s="126" t="n"/>
      <c r="E100" s="125" t="n"/>
      <c r="F100" s="134" t="n"/>
      <c r="G100" s="125" t="n"/>
      <c r="H100" s="125" t="n"/>
      <c r="I100" s="125" t="n"/>
      <c r="J100" s="125" t="n"/>
      <c r="K100" s="125" t="n"/>
      <c r="L100" s="125" t="n"/>
    </row>
    <row r="101">
      <c r="A101" s="129" t="n"/>
      <c r="B101" s="129" t="n"/>
      <c r="C101" s="129" t="n"/>
      <c r="D101" s="130" t="n"/>
      <c r="E101" s="129" t="n"/>
      <c r="F101" s="134" t="n"/>
      <c r="G101" s="129" t="n"/>
      <c r="H101" s="129" t="n"/>
      <c r="I101" s="129" t="n"/>
      <c r="J101" s="129" t="n"/>
      <c r="K101" s="129" t="n"/>
      <c r="L101" s="129" t="n"/>
    </row>
    <row r="102">
      <c r="A102" s="125" t="n"/>
      <c r="B102" s="125" t="n"/>
      <c r="C102" s="125" t="n"/>
      <c r="D102" s="126" t="n"/>
      <c r="E102" s="125" t="n"/>
      <c r="F102" s="134" t="n"/>
      <c r="G102" s="125" t="n"/>
      <c r="H102" s="125" t="n"/>
      <c r="I102" s="125" t="n"/>
      <c r="J102" s="125" t="n"/>
      <c r="K102" s="125" t="n"/>
      <c r="L102" s="125" t="n"/>
    </row>
    <row r="103">
      <c r="A103" s="129" t="n"/>
      <c r="B103" s="129" t="n"/>
      <c r="C103" s="129" t="n"/>
      <c r="D103" s="130" t="n"/>
      <c r="E103" s="129" t="n"/>
      <c r="F103" s="134" t="n"/>
      <c r="G103" s="129" t="n"/>
      <c r="H103" s="129" t="n"/>
      <c r="I103" s="129" t="n"/>
      <c r="J103" s="129" t="n"/>
      <c r="K103" s="129" t="n"/>
      <c r="L103" s="129" t="n"/>
    </row>
    <row r="104">
      <c r="A104" s="125" t="n"/>
      <c r="B104" s="125" t="n"/>
      <c r="C104" s="125" t="n"/>
      <c r="D104" s="126" t="n"/>
      <c r="E104" s="125" t="n"/>
      <c r="F104" s="134" t="n"/>
      <c r="G104" s="125" t="n"/>
      <c r="H104" s="125" t="n"/>
      <c r="I104" s="125" t="n"/>
      <c r="J104" s="125" t="n"/>
      <c r="K104" s="125" t="n"/>
      <c r="L104" s="125" t="n"/>
    </row>
    <row r="105">
      <c r="A105" s="129" t="n"/>
      <c r="B105" s="129" t="n"/>
      <c r="C105" s="129" t="n"/>
      <c r="D105" s="130" t="n"/>
      <c r="E105" s="129" t="n"/>
      <c r="F105" s="134" t="n"/>
      <c r="G105" s="129" t="n"/>
      <c r="H105" s="129" t="n"/>
      <c r="I105" s="129" t="n"/>
      <c r="J105" s="129" t="n"/>
      <c r="K105" s="129" t="n"/>
      <c r="L105" s="129" t="n"/>
    </row>
    <row r="106">
      <c r="A106" s="125" t="n"/>
      <c r="B106" s="125" t="n"/>
      <c r="C106" s="125" t="n"/>
      <c r="D106" s="126" t="n"/>
      <c r="E106" s="125" t="n"/>
      <c r="F106" s="134" t="n"/>
      <c r="G106" s="125" t="n"/>
      <c r="H106" s="125" t="n"/>
      <c r="I106" s="125" t="n"/>
      <c r="J106" s="125" t="n"/>
      <c r="K106" s="125" t="n"/>
      <c r="L106" s="125" t="n"/>
    </row>
    <row r="107">
      <c r="A107" s="129" t="n"/>
      <c r="B107" s="129" t="n"/>
      <c r="C107" s="129" t="n"/>
      <c r="D107" s="130" t="n"/>
      <c r="E107" s="129" t="n"/>
      <c r="F107" s="134" t="n"/>
      <c r="G107" s="129" t="n"/>
      <c r="H107" s="129" t="n"/>
      <c r="I107" s="129" t="n"/>
      <c r="J107" s="129" t="n"/>
      <c r="K107" s="129" t="n"/>
      <c r="L107" s="129" t="n"/>
    </row>
    <row r="108">
      <c r="A108" s="125" t="n"/>
      <c r="B108" s="125" t="n"/>
      <c r="C108" s="125" t="n"/>
      <c r="D108" s="126" t="n"/>
      <c r="E108" s="125" t="n"/>
      <c r="F108" s="134" t="n"/>
      <c r="G108" s="125" t="n"/>
      <c r="H108" s="125" t="n"/>
      <c r="I108" s="125" t="n"/>
      <c r="J108" s="125" t="n"/>
      <c r="K108" s="125" t="n"/>
      <c r="L108" s="125" t="n"/>
    </row>
    <row r="109">
      <c r="A109" s="129" t="n"/>
      <c r="B109" s="129" t="n"/>
      <c r="C109" s="129" t="n"/>
      <c r="D109" s="130" t="n"/>
      <c r="E109" s="129" t="n"/>
      <c r="F109" s="134" t="n"/>
      <c r="G109" s="129" t="n"/>
      <c r="H109" s="129" t="n"/>
      <c r="I109" s="129" t="n"/>
      <c r="J109" s="129" t="n"/>
      <c r="K109" s="129" t="n"/>
      <c r="L109" s="129" t="n"/>
    </row>
    <row r="110">
      <c r="A110" s="125" t="n"/>
      <c r="B110" s="125" t="n"/>
      <c r="C110" s="125" t="n"/>
      <c r="D110" s="126" t="n"/>
      <c r="E110" s="125" t="n"/>
      <c r="F110" s="134" t="n"/>
      <c r="G110" s="125" t="n"/>
      <c r="H110" s="125" t="n"/>
      <c r="I110" s="125" t="n"/>
      <c r="J110" s="125" t="n"/>
      <c r="K110" s="125" t="n"/>
      <c r="L110" s="125" t="n"/>
    </row>
    <row r="111">
      <c r="A111" s="129" t="n"/>
      <c r="B111" s="129" t="n"/>
      <c r="C111" s="129" t="n"/>
      <c r="D111" s="130" t="n"/>
      <c r="E111" s="129" t="n"/>
      <c r="F111" s="134" t="n"/>
      <c r="G111" s="129" t="n"/>
      <c r="H111" s="129" t="n"/>
      <c r="I111" s="129" t="n"/>
      <c r="J111" s="129" t="n"/>
      <c r="K111" s="129" t="n"/>
      <c r="L111" s="129" t="n"/>
    </row>
    <row r="112">
      <c r="A112" s="125" t="n"/>
      <c r="B112" s="125" t="n"/>
      <c r="C112" s="125" t="n"/>
      <c r="D112" s="126" t="n"/>
      <c r="E112" s="125" t="n"/>
      <c r="F112" s="134" t="n"/>
      <c r="G112" s="125" t="n"/>
      <c r="H112" s="125" t="n"/>
      <c r="I112" s="125" t="n"/>
      <c r="J112" s="125" t="n"/>
      <c r="K112" s="125" t="n"/>
      <c r="L112" s="125" t="n"/>
    </row>
    <row r="113">
      <c r="A113" s="129" t="n"/>
      <c r="B113" s="129" t="n"/>
      <c r="C113" s="129" t="n"/>
      <c r="D113" s="130" t="n"/>
      <c r="E113" s="129" t="n"/>
      <c r="F113" s="134" t="n"/>
      <c r="G113" s="129" t="n"/>
      <c r="H113" s="129" t="n"/>
      <c r="I113" s="129" t="n"/>
      <c r="J113" s="129" t="n"/>
      <c r="K113" s="129" t="n"/>
      <c r="L113" s="129" t="n"/>
    </row>
    <row r="114">
      <c r="A114" s="125" t="n"/>
      <c r="B114" s="125" t="n"/>
      <c r="C114" s="125" t="n"/>
      <c r="D114" s="126" t="n"/>
      <c r="E114" s="125" t="n"/>
      <c r="F114" s="134" t="n"/>
      <c r="G114" s="125" t="n"/>
      <c r="H114" s="125" t="n"/>
      <c r="I114" s="125" t="n"/>
      <c r="J114" s="125" t="n"/>
      <c r="K114" s="125" t="n"/>
      <c r="L114" s="125" t="n"/>
    </row>
    <row r="115">
      <c r="A115" s="129" t="n"/>
      <c r="B115" s="129" t="n"/>
      <c r="C115" s="129" t="n"/>
      <c r="D115" s="130" t="n"/>
      <c r="E115" s="129" t="n"/>
      <c r="F115" s="134" t="n"/>
      <c r="G115" s="129" t="n"/>
      <c r="H115" s="129" t="n"/>
      <c r="I115" s="129" t="n"/>
      <c r="J115" s="129" t="n"/>
      <c r="K115" s="129" t="n"/>
      <c r="L115" s="129" t="n"/>
    </row>
    <row r="116">
      <c r="A116" s="125" t="n"/>
      <c r="B116" s="125" t="n"/>
      <c r="C116" s="125" t="n"/>
      <c r="D116" s="126" t="n"/>
      <c r="E116" s="125" t="n"/>
      <c r="F116" s="134" t="n"/>
      <c r="G116" s="125" t="n"/>
      <c r="H116" s="125" t="n"/>
      <c r="I116" s="125" t="n"/>
      <c r="J116" s="125" t="n"/>
      <c r="K116" s="125" t="n"/>
      <c r="L116" s="125" t="n"/>
    </row>
    <row r="117">
      <c r="A117" s="129" t="n"/>
      <c r="B117" s="129" t="n"/>
      <c r="C117" s="129" t="n"/>
      <c r="D117" s="130" t="n"/>
      <c r="E117" s="129" t="n"/>
      <c r="F117" s="134" t="n"/>
      <c r="G117" s="129" t="n"/>
      <c r="H117" s="129" t="n"/>
      <c r="I117" s="129" t="n"/>
      <c r="J117" s="129" t="n"/>
      <c r="K117" s="129" t="n"/>
      <c r="L117" s="129" t="n"/>
    </row>
    <row r="118">
      <c r="A118" s="125" t="n"/>
      <c r="B118" s="125" t="n"/>
      <c r="C118" s="125" t="n"/>
      <c r="D118" s="126" t="n"/>
      <c r="E118" s="125" t="n"/>
      <c r="F118" s="134" t="n"/>
      <c r="G118" s="125" t="n"/>
      <c r="H118" s="125" t="n"/>
      <c r="I118" s="125" t="n"/>
      <c r="J118" s="125" t="n"/>
      <c r="K118" s="125" t="n"/>
      <c r="L118" s="125" t="n"/>
    </row>
    <row r="119">
      <c r="A119" s="129" t="n"/>
      <c r="B119" s="129" t="n"/>
      <c r="C119" s="129" t="n"/>
      <c r="D119" s="130" t="n"/>
      <c r="E119" s="129" t="n"/>
      <c r="F119" s="134" t="n"/>
      <c r="G119" s="129" t="n"/>
      <c r="H119" s="129" t="n"/>
      <c r="I119" s="129" t="n"/>
      <c r="J119" s="129" t="n"/>
      <c r="K119" s="129" t="n"/>
      <c r="L119" s="129" t="n"/>
    </row>
    <row r="120">
      <c r="A120" s="125" t="n"/>
      <c r="B120" s="125" t="n"/>
      <c r="C120" s="125" t="n"/>
      <c r="D120" s="126" t="n"/>
      <c r="E120" s="125" t="n"/>
      <c r="F120" s="134" t="n"/>
      <c r="G120" s="125" t="n"/>
      <c r="H120" s="125" t="n"/>
      <c r="I120" s="125" t="n"/>
      <c r="J120" s="125" t="n"/>
      <c r="K120" s="125" t="n"/>
      <c r="L120" s="125" t="n"/>
    </row>
    <row r="121">
      <c r="A121" s="129" t="n"/>
      <c r="B121" s="129" t="n"/>
      <c r="C121" s="129" t="n"/>
      <c r="D121" s="130" t="n"/>
      <c r="E121" s="129" t="n"/>
      <c r="F121" s="134" t="n"/>
      <c r="G121" s="129" t="n"/>
      <c r="H121" s="129" t="n"/>
      <c r="I121" s="129" t="n"/>
      <c r="J121" s="129" t="n"/>
      <c r="K121" s="129" t="n"/>
      <c r="L121" s="129" t="n"/>
    </row>
    <row r="122">
      <c r="A122" s="125" t="n"/>
      <c r="B122" s="125" t="n"/>
      <c r="C122" s="125" t="n"/>
      <c r="D122" s="126" t="n"/>
      <c r="E122" s="125" t="n"/>
      <c r="F122" s="158" t="n"/>
      <c r="G122" s="125" t="n"/>
      <c r="H122" s="125" t="n"/>
      <c r="I122" s="125" t="n"/>
      <c r="J122" s="125" t="n"/>
      <c r="K122" s="125" t="n"/>
      <c r="L122" s="125" t="n"/>
    </row>
    <row r="123">
      <c r="A123" s="129" t="n"/>
      <c r="B123" s="129" t="n"/>
      <c r="C123" s="129" t="n"/>
      <c r="D123" s="130" t="n"/>
      <c r="E123" s="129" t="n"/>
      <c r="F123" s="158" t="n"/>
      <c r="G123" s="129" t="n"/>
      <c r="H123" s="129" t="n"/>
      <c r="I123" s="129" t="n"/>
      <c r="J123" s="129" t="n"/>
      <c r="K123" s="129" t="n"/>
      <c r="L123" s="129" t="n"/>
    </row>
    <row r="124">
      <c r="A124" s="125" t="n"/>
      <c r="B124" s="125" t="n"/>
      <c r="C124" s="125" t="n"/>
      <c r="D124" s="126" t="n"/>
      <c r="E124" s="125" t="n"/>
      <c r="F124" s="158" t="n"/>
      <c r="G124" s="125" t="n"/>
      <c r="H124" s="125" t="n"/>
      <c r="I124" s="125" t="n"/>
      <c r="J124" s="125" t="n"/>
      <c r="K124" s="125" t="n"/>
      <c r="L124" s="125" t="n"/>
    </row>
    <row r="125">
      <c r="A125" s="129" t="n"/>
      <c r="B125" s="129" t="n"/>
      <c r="C125" s="129" t="n"/>
      <c r="D125" s="130" t="n"/>
      <c r="E125" s="129" t="n"/>
      <c r="F125" s="134" t="n"/>
      <c r="G125" s="129" t="n"/>
      <c r="H125" s="129" t="n"/>
      <c r="I125" s="129" t="n"/>
      <c r="J125" s="129" t="n"/>
      <c r="K125" s="129" t="n"/>
      <c r="L125" s="129" t="n"/>
    </row>
    <row r="126">
      <c r="A126" s="125" t="n"/>
      <c r="B126" s="125" t="n"/>
      <c r="C126" s="125" t="n"/>
      <c r="D126" s="126" t="n"/>
      <c r="E126" s="125" t="n"/>
      <c r="F126" s="134" t="n"/>
      <c r="G126" s="125" t="n"/>
      <c r="H126" s="125" t="n"/>
      <c r="I126" s="125" t="n"/>
      <c r="J126" s="125" t="n"/>
      <c r="K126" s="125" t="n"/>
      <c r="L126" s="125" t="n"/>
    </row>
    <row r="127">
      <c r="A127" s="129" t="n"/>
      <c r="B127" s="129" t="n"/>
      <c r="C127" s="129" t="n"/>
      <c r="D127" s="130" t="n"/>
      <c r="E127" s="129" t="n"/>
      <c r="F127" s="134" t="n"/>
      <c r="G127" s="129" t="n"/>
      <c r="H127" s="129" t="n"/>
      <c r="I127" s="129" t="n"/>
      <c r="J127" s="129" t="n"/>
      <c r="K127" s="129" t="n"/>
      <c r="L127" s="129" t="n"/>
    </row>
    <row r="128">
      <c r="A128" s="125" t="n"/>
      <c r="B128" s="125" t="n"/>
      <c r="C128" s="125" t="n"/>
      <c r="D128" s="126" t="n"/>
      <c r="E128" s="125" t="n"/>
      <c r="F128" s="134" t="n"/>
      <c r="G128" s="125" t="n"/>
      <c r="H128" s="125" t="n"/>
      <c r="I128" s="125" t="n"/>
      <c r="J128" s="125" t="n"/>
      <c r="K128" s="125" t="n"/>
      <c r="L128" s="125" t="n"/>
    </row>
    <row r="129">
      <c r="A129" s="129" t="n"/>
      <c r="B129" s="129" t="n"/>
      <c r="C129" s="129" t="n"/>
      <c r="D129" s="130" t="n"/>
      <c r="E129" s="129" t="n"/>
      <c r="F129" s="134" t="n"/>
      <c r="G129" s="129" t="n"/>
      <c r="H129" s="129" t="n"/>
      <c r="I129" s="129" t="n"/>
      <c r="J129" s="129" t="n"/>
      <c r="K129" s="129" t="n"/>
      <c r="L129" s="129" t="n"/>
    </row>
    <row r="130">
      <c r="A130" s="125" t="n"/>
      <c r="B130" s="125" t="n"/>
      <c r="C130" s="125" t="n"/>
      <c r="D130" s="126" t="n"/>
      <c r="E130" s="125" t="n"/>
      <c r="F130" s="134" t="n"/>
      <c r="G130" s="125" t="n"/>
      <c r="H130" s="125" t="n"/>
      <c r="I130" s="125" t="n"/>
      <c r="J130" s="125" t="n"/>
      <c r="K130" s="125" t="n"/>
      <c r="L130" s="125" t="n"/>
    </row>
    <row r="131">
      <c r="A131" s="129" t="n"/>
      <c r="B131" s="129" t="n"/>
      <c r="C131" s="129" t="n"/>
      <c r="D131" s="130" t="n"/>
      <c r="E131" s="129" t="n"/>
      <c r="F131" s="134" t="n"/>
      <c r="G131" s="129" t="n"/>
      <c r="H131" s="129" t="n"/>
      <c r="I131" s="129" t="n"/>
      <c r="J131" s="129" t="n"/>
      <c r="K131" s="129" t="n"/>
      <c r="L131" s="129" t="n"/>
    </row>
    <row r="132">
      <c r="A132" s="125" t="n"/>
      <c r="B132" s="125" t="n"/>
      <c r="C132" s="125" t="n"/>
      <c r="D132" s="126" t="n"/>
      <c r="E132" s="125" t="n"/>
      <c r="F132" s="134" t="n"/>
      <c r="G132" s="125" t="n"/>
      <c r="H132" s="125" t="n"/>
      <c r="I132" s="125" t="n"/>
      <c r="J132" s="125" t="n"/>
      <c r="K132" s="125" t="n"/>
      <c r="L132" s="125" t="n"/>
    </row>
    <row r="133">
      <c r="A133" s="129" t="n"/>
      <c r="B133" s="129" t="n"/>
      <c r="C133" s="129" t="n"/>
      <c r="D133" s="130" t="n"/>
      <c r="E133" s="129" t="n"/>
      <c r="F133" s="134" t="n"/>
      <c r="G133" s="129" t="n"/>
      <c r="H133" s="129" t="n"/>
      <c r="I133" s="129" t="n"/>
      <c r="J133" s="129" t="n"/>
      <c r="K133" s="129" t="n"/>
      <c r="L133" s="129" t="n"/>
    </row>
  </sheetData>
  <mergeCells count="3">
    <mergeCell ref="A32:M32"/>
    <mergeCell ref="A2:M2"/>
    <mergeCell ref="A1:M1"/>
  </mergeCells>
  <hyperlinks>
    <hyperlink ref="A1" location="'Start Here'!A1" display="🏠 Start Here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4" topLeftCell="A8" activePane="bottomLeft" state="frozen"/>
      <selection pane="bottomLeft" activeCell="A1" sqref="A1:M1"/>
    </sheetView>
  </sheetViews>
  <sheetFormatPr baseColWidth="10" defaultColWidth="8.83203125" defaultRowHeight="15"/>
  <cols>
    <col width="14" customWidth="1" style="230" min="1" max="1"/>
    <col width="36" customWidth="1" style="230" min="2" max="2"/>
    <col width="16" customWidth="1" style="230" min="3" max="3"/>
    <col width="10" customWidth="1" style="230" min="4" max="4"/>
    <col width="9" customWidth="1" style="230" min="5" max="5"/>
    <col width="28" customWidth="1" style="230" min="6" max="6"/>
    <col width="7" customWidth="1" style="230" min="7" max="7"/>
    <col width="9" customWidth="1" style="230" min="8" max="8"/>
    <col width="10" customWidth="1" style="230" min="9" max="9"/>
    <col width="9" customWidth="1" style="230" min="10" max="10"/>
    <col width="14" customWidth="1" style="230" min="11" max="11"/>
    <col width="22" customWidth="1" style="230" min="12" max="12"/>
  </cols>
  <sheetData>
    <row r="1" ht="24" customHeight="1" s="230">
      <c r="A1" s="229" t="inlineStr">
        <is>
          <t>🏠 Start Here</t>
        </is>
      </c>
    </row>
    <row r="2">
      <c r="A2" s="283" t="inlineStr">
        <is>
          <t>Scored by player tier + auto/patch/print run/PSA/price/watchers | Today: May 03, 2026 | 1643 total Baseball cards in inventory</t>
        </is>
      </c>
    </row>
    <row r="3">
      <c r="A3" s="169" t="inlineStr">
        <is>
          <t>PRIORITY ACTIONS</t>
        </is>
      </c>
    </row>
    <row r="4" ht="30" customHeight="1" s="230">
      <c r="A4" s="133" t="inlineStr">
        <is>
          <t>Rank</t>
        </is>
      </c>
      <c r="B4" s="133" t="inlineStr">
        <is>
          <t>Priority Action</t>
        </is>
      </c>
      <c r="C4" s="133" t="inlineStr">
        <is>
          <t>Card Description</t>
        </is>
      </c>
      <c r="D4" s="133" t="inlineStr">
        <is>
          <t>SKU</t>
        </is>
      </c>
      <c r="E4" s="133" t="inlineStr">
        <is>
          <t>Price ($)</t>
        </is>
      </c>
      <c r="F4" s="133" t="inlineStr">
        <is>
          <t>Score</t>
        </is>
      </c>
      <c r="G4" s="133" t="inlineStr">
        <is>
          <t>Player Tier</t>
        </is>
      </c>
      <c r="H4" s="133" t="inlineStr">
        <is>
          <t>Days Listed</t>
        </is>
      </c>
      <c r="I4" s="133" t="inlineStr">
        <is>
          <t>Aging Status</t>
        </is>
      </c>
      <c r="J4" s="133" t="inlineStr">
        <is>
          <t>Watchers</t>
        </is>
      </c>
      <c r="K4" s="133" t="inlineStr">
        <is>
          <t>Has 90d Sales?</t>
        </is>
      </c>
      <c r="L4" s="133" t="inlineStr">
        <is>
          <t>Notes</t>
        </is>
      </c>
    </row>
    <row r="5">
      <c r="A5" s="125" t="n"/>
      <c r="B5" s="125" t="n"/>
      <c r="C5" s="125" t="n"/>
      <c r="D5" s="125" t="n"/>
      <c r="E5" s="126" t="n"/>
      <c r="F5" s="125" t="n"/>
      <c r="G5" s="125" t="n"/>
      <c r="H5" s="125" t="n"/>
      <c r="I5" s="125" t="n"/>
      <c r="J5" s="125" t="n"/>
      <c r="K5" s="125" t="n"/>
      <c r="L5" s="125" t="n"/>
    </row>
    <row r="6">
      <c r="A6" s="125" t="n"/>
      <c r="B6" s="125" t="n"/>
      <c r="C6" s="125" t="n"/>
      <c r="D6" s="125" t="n"/>
      <c r="E6" s="126" t="n"/>
      <c r="F6" s="125" t="n"/>
      <c r="G6" s="125" t="n"/>
      <c r="H6" s="125" t="n"/>
      <c r="I6" s="171" t="n"/>
      <c r="J6" s="125" t="n"/>
      <c r="K6" s="125" t="n"/>
      <c r="L6" s="125" t="n"/>
    </row>
    <row r="7">
      <c r="A7" s="125" t="n"/>
      <c r="B7" s="125" t="n"/>
      <c r="C7" s="125" t="n"/>
      <c r="D7" s="125" t="n"/>
      <c r="E7" s="126" t="n"/>
      <c r="F7" s="125" t="n"/>
      <c r="G7" s="125" t="n"/>
      <c r="H7" s="125" t="n"/>
      <c r="I7" s="125" t="n"/>
      <c r="J7" s="125" t="n"/>
      <c r="K7" s="125" t="n"/>
      <c r="L7" s="125" t="n"/>
    </row>
    <row r="8">
      <c r="A8" s="125" t="n"/>
      <c r="B8" s="125" t="n"/>
      <c r="C8" s="125" t="n"/>
      <c r="D8" s="125" t="n"/>
      <c r="E8" s="126" t="n"/>
      <c r="F8" s="125" t="n"/>
      <c r="G8" s="125" t="n"/>
      <c r="H8" s="125" t="n"/>
      <c r="I8" s="125" t="n"/>
      <c r="J8" s="125" t="n"/>
      <c r="K8" s="125" t="n"/>
      <c r="L8" s="125" t="n"/>
    </row>
    <row r="9">
      <c r="A9" s="125" t="n"/>
      <c r="B9" s="125" t="n"/>
      <c r="C9" s="125" t="n"/>
      <c r="D9" s="125" t="n"/>
      <c r="E9" s="126" t="n"/>
      <c r="F9" s="125" t="n"/>
      <c r="G9" s="125" t="n"/>
      <c r="H9" s="125" t="n"/>
      <c r="I9" s="171" t="n"/>
      <c r="J9" s="125" t="n"/>
      <c r="K9" s="125" t="n"/>
      <c r="L9" s="125" t="n"/>
    </row>
    <row r="10">
      <c r="A10" s="125" t="n"/>
      <c r="B10" s="125" t="n"/>
      <c r="C10" s="125" t="n"/>
      <c r="D10" s="125" t="n"/>
      <c r="E10" s="126" t="n"/>
      <c r="F10" s="125" t="n"/>
      <c r="G10" s="125" t="n"/>
      <c r="H10" s="125" t="n"/>
      <c r="I10" s="125" t="n"/>
      <c r="J10" s="125" t="n"/>
      <c r="K10" s="125" t="n"/>
      <c r="L10" s="125" t="n"/>
    </row>
    <row r="11">
      <c r="A11" s="125" t="n"/>
      <c r="B11" s="125" t="n"/>
      <c r="C11" s="125" t="n"/>
      <c r="D11" s="125" t="n"/>
      <c r="E11" s="126" t="n"/>
      <c r="F11" s="125" t="n"/>
      <c r="G11" s="125" t="n"/>
      <c r="H11" s="125" t="n"/>
      <c r="I11" s="171" t="n"/>
      <c r="J11" s="125" t="n"/>
      <c r="K11" s="125" t="n"/>
      <c r="L11" s="125" t="n"/>
    </row>
    <row r="12">
      <c r="A12" s="125" t="n"/>
      <c r="B12" s="125" t="n"/>
      <c r="C12" s="125" t="n"/>
      <c r="D12" s="125" t="n"/>
      <c r="E12" s="126" t="n"/>
      <c r="F12" s="125" t="n"/>
      <c r="G12" s="125" t="n"/>
      <c r="H12" s="125" t="n"/>
      <c r="I12" s="125" t="n"/>
      <c r="J12" s="125" t="n"/>
      <c r="K12" s="125" t="n"/>
      <c r="L12" s="125" t="n"/>
    </row>
    <row r="13">
      <c r="A13" s="125" t="n"/>
      <c r="B13" s="125" t="n"/>
      <c r="C13" s="125" t="n"/>
      <c r="D13" s="125" t="n"/>
      <c r="E13" s="126" t="n"/>
      <c r="F13" s="125" t="n"/>
      <c r="G13" s="125" t="n"/>
      <c r="H13" s="125" t="n"/>
      <c r="I13" s="171" t="n"/>
      <c r="J13" s="125" t="n"/>
      <c r="K13" s="125" t="n"/>
      <c r="L13" s="125" t="n"/>
    </row>
    <row r="14">
      <c r="A14" s="125" t="n"/>
      <c r="B14" s="125" t="n"/>
      <c r="C14" s="125" t="n"/>
      <c r="D14" s="125" t="n"/>
      <c r="E14" s="126" t="n"/>
      <c r="F14" s="125" t="n"/>
      <c r="G14" s="125" t="n"/>
      <c r="H14" s="125" t="n"/>
      <c r="I14" s="125" t="n"/>
      <c r="J14" s="125" t="n"/>
      <c r="K14" s="125" t="n"/>
      <c r="L14" s="125" t="n"/>
    </row>
    <row r="15">
      <c r="A15" s="125" t="n"/>
      <c r="B15" s="125" t="n"/>
      <c r="C15" s="125" t="n"/>
      <c r="D15" s="125" t="n"/>
      <c r="E15" s="126" t="n"/>
      <c r="F15" s="125" t="n"/>
      <c r="G15" s="125" t="n"/>
      <c r="H15" s="125" t="n"/>
      <c r="I15" s="171" t="n"/>
      <c r="J15" s="125" t="n"/>
      <c r="K15" s="125" t="n"/>
      <c r="L15" s="125" t="n"/>
    </row>
    <row r="16">
      <c r="A16" s="125" t="n"/>
      <c r="B16" s="125" t="n"/>
      <c r="C16" s="125" t="n"/>
      <c r="D16" s="125" t="n"/>
      <c r="E16" s="126" t="n"/>
      <c r="F16" s="125" t="n"/>
      <c r="G16" s="125" t="n"/>
      <c r="H16" s="125" t="n"/>
      <c r="I16" s="171" t="n"/>
      <c r="J16" s="125" t="n"/>
      <c r="K16" s="125" t="n"/>
      <c r="L16" s="125" t="n"/>
    </row>
    <row r="17">
      <c r="A17" s="125" t="n"/>
      <c r="B17" s="125" t="n"/>
      <c r="C17" s="125" t="n"/>
      <c r="D17" s="125" t="n"/>
      <c r="E17" s="126" t="n"/>
      <c r="F17" s="125" t="n"/>
      <c r="G17" s="125" t="n"/>
      <c r="H17" s="125" t="n"/>
      <c r="I17" s="171" t="n"/>
      <c r="J17" s="125" t="n"/>
      <c r="K17" s="125" t="n"/>
      <c r="L17" s="125" t="n"/>
    </row>
    <row r="18">
      <c r="A18" s="125" t="n"/>
      <c r="B18" s="125" t="n"/>
      <c r="C18" s="125" t="n"/>
      <c r="D18" s="125" t="n"/>
      <c r="E18" s="126" t="n"/>
      <c r="F18" s="125" t="n"/>
      <c r="G18" s="125" t="n"/>
      <c r="H18" s="125" t="n"/>
      <c r="I18" s="125" t="n"/>
      <c r="J18" s="125" t="n"/>
      <c r="K18" s="125" t="n"/>
      <c r="L18" s="125" t="n"/>
    </row>
    <row r="19">
      <c r="A19" s="125" t="n"/>
      <c r="B19" s="125" t="n"/>
      <c r="C19" s="125" t="n"/>
      <c r="D19" s="125" t="n"/>
      <c r="E19" s="126" t="n"/>
      <c r="F19" s="125" t="n"/>
      <c r="G19" s="125" t="n"/>
      <c r="H19" s="125" t="n"/>
      <c r="I19" s="171" t="n"/>
      <c r="J19" s="125" t="n"/>
      <c r="K19" s="125" t="n"/>
      <c r="L19" s="125" t="n"/>
    </row>
    <row r="20">
      <c r="A20" s="125" t="n"/>
      <c r="B20" s="125" t="n"/>
      <c r="C20" s="125" t="n"/>
      <c r="D20" s="125" t="n"/>
      <c r="E20" s="126" t="n"/>
      <c r="F20" s="125" t="n"/>
      <c r="G20" s="125" t="n"/>
      <c r="H20" s="125" t="n"/>
      <c r="I20" s="171" t="n"/>
      <c r="J20" s="125" t="n"/>
      <c r="K20" s="125" t="n"/>
      <c r="L20" s="125" t="n"/>
    </row>
    <row r="21">
      <c r="A21" s="125" t="n"/>
      <c r="B21" s="125" t="n"/>
      <c r="C21" s="125" t="n"/>
      <c r="D21" s="125" t="n"/>
      <c r="E21" s="126" t="n"/>
      <c r="F21" s="125" t="n"/>
      <c r="G21" s="125" t="n"/>
      <c r="H21" s="125" t="n"/>
      <c r="I21" s="171" t="n"/>
      <c r="J21" s="125" t="n"/>
      <c r="K21" s="125" t="n"/>
      <c r="L21" s="125" t="n"/>
    </row>
    <row r="22">
      <c r="A22" s="125" t="n"/>
      <c r="B22" s="125" t="n"/>
      <c r="C22" s="125" t="n"/>
      <c r="D22" s="125" t="n"/>
      <c r="E22" s="126" t="n"/>
      <c r="F22" s="125" t="n"/>
      <c r="G22" s="125" t="n"/>
      <c r="H22" s="125" t="n"/>
      <c r="I22" s="125" t="n"/>
      <c r="J22" s="125" t="n"/>
      <c r="K22" s="125" t="n"/>
      <c r="L22" s="125" t="n"/>
    </row>
    <row r="23">
      <c r="A23" s="125" t="n"/>
      <c r="B23" s="125" t="n"/>
      <c r="C23" s="125" t="n"/>
      <c r="D23" s="125" t="n"/>
      <c r="E23" s="126" t="n"/>
      <c r="F23" s="125" t="n"/>
      <c r="G23" s="125" t="n"/>
      <c r="H23" s="125" t="n"/>
      <c r="I23" s="171" t="n"/>
      <c r="J23" s="125" t="n"/>
      <c r="K23" s="125" t="n"/>
      <c r="L23" s="125" t="n"/>
    </row>
    <row r="24">
      <c r="A24" s="125" t="n"/>
      <c r="B24" s="125" t="n"/>
      <c r="C24" s="125" t="n"/>
      <c r="D24" s="125" t="n"/>
      <c r="E24" s="126" t="n"/>
      <c r="F24" s="125" t="n"/>
      <c r="G24" s="125" t="n"/>
      <c r="H24" s="125" t="n"/>
      <c r="I24" s="171" t="n"/>
      <c r="J24" s="125" t="n"/>
      <c r="K24" s="125" t="n"/>
      <c r="L24" s="125" t="n"/>
    </row>
    <row r="25">
      <c r="A25" s="125" t="n"/>
      <c r="B25" s="125" t="n"/>
      <c r="C25" s="125" t="n"/>
      <c r="D25" s="125" t="n"/>
      <c r="E25" s="126" t="n"/>
      <c r="F25" s="125" t="n"/>
      <c r="G25" s="125" t="n"/>
      <c r="H25" s="125" t="n"/>
      <c r="I25" s="171" t="n"/>
      <c r="J25" s="125" t="n"/>
      <c r="K25" s="125" t="n"/>
      <c r="L25" s="125" t="n"/>
    </row>
    <row r="26">
      <c r="A26" s="125" t="n"/>
      <c r="B26" s="125" t="n"/>
      <c r="C26" s="125" t="n"/>
      <c r="D26" s="125" t="n"/>
      <c r="E26" s="126" t="n"/>
      <c r="F26" s="125" t="n"/>
      <c r="G26" s="125" t="n"/>
      <c r="H26" s="125" t="n"/>
      <c r="I26" s="125" t="n"/>
      <c r="J26" s="125" t="n"/>
      <c r="K26" s="125" t="n"/>
      <c r="L26" s="125" t="n"/>
    </row>
    <row r="27">
      <c r="A27" s="125" t="n"/>
      <c r="B27" s="125" t="n"/>
      <c r="C27" s="125" t="n"/>
      <c r="D27" s="125" t="n"/>
      <c r="E27" s="126" t="n"/>
      <c r="F27" s="125" t="n"/>
      <c r="G27" s="125" t="n"/>
      <c r="H27" s="125" t="n"/>
      <c r="I27" s="125" t="n"/>
      <c r="J27" s="125" t="n"/>
      <c r="K27" s="125" t="n"/>
      <c r="L27" s="125" t="n"/>
    </row>
    <row r="28">
      <c r="A28" s="125" t="n"/>
      <c r="B28" s="125" t="n"/>
      <c r="C28" s="125" t="n"/>
      <c r="D28" s="125" t="n"/>
      <c r="E28" s="126" t="n"/>
      <c r="F28" s="125" t="n"/>
      <c r="G28" s="125" t="n"/>
      <c r="H28" s="125" t="n"/>
      <c r="I28" s="125" t="n"/>
      <c r="J28" s="125" t="n"/>
      <c r="K28" s="125" t="n"/>
      <c r="L28" s="125" t="n"/>
    </row>
    <row r="29">
      <c r="A29" s="125" t="n"/>
      <c r="B29" s="125" t="n"/>
      <c r="C29" s="125" t="n"/>
      <c r="D29" s="125" t="n"/>
      <c r="E29" s="126" t="n"/>
      <c r="F29" s="125" t="n"/>
      <c r="G29" s="125" t="n"/>
      <c r="H29" s="125" t="n"/>
      <c r="I29" s="125" t="n"/>
      <c r="J29" s="125" t="n"/>
      <c r="K29" s="125" t="n"/>
      <c r="L29" s="125" t="n"/>
    </row>
    <row r="32" ht="16" customHeight="1" s="230">
      <c r="A32" s="282" t="n"/>
    </row>
    <row r="33" ht="22" customHeight="1" s="230">
      <c r="A33" s="170" t="n"/>
      <c r="B33" s="170" t="n"/>
      <c r="C33" s="170" t="n"/>
      <c r="D33" s="170" t="n"/>
      <c r="E33" s="170" t="n"/>
      <c r="F33" s="170" t="n"/>
      <c r="G33" s="170" t="n"/>
      <c r="H33" s="170" t="n"/>
      <c r="I33" s="170" t="n"/>
      <c r="J33" s="170" t="n"/>
      <c r="K33" s="170" t="n"/>
      <c r="L33" s="170" t="n"/>
    </row>
    <row r="34">
      <c r="A34" s="125" t="n"/>
      <c r="B34" s="125" t="n"/>
      <c r="C34" s="125" t="n"/>
      <c r="D34" s="126" t="n"/>
      <c r="E34" s="125" t="n"/>
      <c r="F34" s="158" t="n"/>
      <c r="G34" s="125" t="n"/>
      <c r="H34" s="125" t="n"/>
      <c r="I34" s="125" t="n"/>
      <c r="J34" s="125" t="n"/>
      <c r="K34" s="125" t="n"/>
      <c r="L34" s="125" t="n"/>
    </row>
    <row r="35">
      <c r="A35" s="129" t="n"/>
      <c r="B35" s="129" t="n"/>
      <c r="C35" s="129" t="n"/>
      <c r="D35" s="130" t="n"/>
      <c r="E35" s="129" t="n"/>
      <c r="F35" s="171" t="n"/>
      <c r="G35" s="129" t="n"/>
      <c r="H35" s="129" t="n"/>
      <c r="I35" s="129" t="n"/>
      <c r="J35" s="129" t="n"/>
      <c r="K35" s="129" t="n"/>
      <c r="L35" s="129" t="n"/>
    </row>
    <row r="36">
      <c r="A36" s="125" t="n"/>
      <c r="B36" s="125" t="n"/>
      <c r="C36" s="125" t="n"/>
      <c r="D36" s="126" t="n"/>
      <c r="E36" s="125" t="n"/>
      <c r="F36" s="158" t="n"/>
      <c r="G36" s="125" t="n"/>
      <c r="H36" s="125" t="n"/>
      <c r="I36" s="125" t="n"/>
      <c r="J36" s="125" t="n"/>
      <c r="K36" s="125" t="n"/>
      <c r="L36" s="125" t="n"/>
    </row>
    <row r="37">
      <c r="A37" s="129" t="n"/>
      <c r="B37" s="129" t="n"/>
      <c r="C37" s="129" t="n"/>
      <c r="D37" s="130" t="n"/>
      <c r="E37" s="129" t="n"/>
      <c r="F37" s="158" t="n"/>
      <c r="G37" s="129" t="n"/>
      <c r="H37" s="129" t="n"/>
      <c r="I37" s="129" t="n"/>
      <c r="J37" s="129" t="n"/>
      <c r="K37" s="129" t="n"/>
      <c r="L37" s="129" t="n"/>
    </row>
    <row r="38">
      <c r="A38" s="125" t="n"/>
      <c r="B38" s="125" t="n"/>
      <c r="C38" s="125" t="n"/>
      <c r="D38" s="126" t="n"/>
      <c r="E38" s="125" t="n"/>
      <c r="F38" s="134" t="n"/>
      <c r="G38" s="125" t="n"/>
      <c r="H38" s="125" t="n"/>
      <c r="I38" s="125" t="n"/>
      <c r="J38" s="125" t="n"/>
      <c r="K38" s="125" t="n"/>
      <c r="L38" s="125" t="n"/>
    </row>
    <row r="39">
      <c r="A39" s="129" t="n"/>
      <c r="B39" s="129" t="n"/>
      <c r="C39" s="129" t="n"/>
      <c r="D39" s="130" t="n"/>
      <c r="E39" s="129" t="n"/>
      <c r="F39" s="158" t="n"/>
      <c r="G39" s="129" t="n"/>
      <c r="H39" s="129" t="n"/>
      <c r="I39" s="129" t="n"/>
      <c r="J39" s="129" t="n"/>
      <c r="K39" s="129" t="n"/>
      <c r="L39" s="129" t="n"/>
    </row>
    <row r="40">
      <c r="A40" s="125" t="n"/>
      <c r="B40" s="125" t="n"/>
      <c r="C40" s="125" t="n"/>
      <c r="D40" s="126" t="n"/>
      <c r="E40" s="125" t="n"/>
      <c r="F40" s="134" t="n"/>
      <c r="G40" s="125" t="n"/>
      <c r="H40" s="125" t="n"/>
      <c r="I40" s="125" t="n"/>
      <c r="J40" s="125" t="n"/>
      <c r="K40" s="125" t="n"/>
      <c r="L40" s="125" t="n"/>
    </row>
    <row r="41">
      <c r="A41" s="129" t="n"/>
      <c r="B41" s="129" t="n"/>
      <c r="C41" s="129" t="n"/>
      <c r="D41" s="130" t="n"/>
      <c r="E41" s="129" t="n"/>
      <c r="F41" s="158" t="n"/>
      <c r="G41" s="129" t="n"/>
      <c r="H41" s="129" t="n"/>
      <c r="I41" s="129" t="n"/>
      <c r="J41" s="129" t="n"/>
      <c r="K41" s="129" t="n"/>
      <c r="L41" s="129" t="n"/>
    </row>
    <row r="42">
      <c r="A42" s="125" t="n"/>
      <c r="B42" s="125" t="n"/>
      <c r="C42" s="125" t="n"/>
      <c r="D42" s="126" t="n"/>
      <c r="E42" s="125" t="n"/>
      <c r="F42" s="134" t="n"/>
      <c r="G42" s="125" t="n"/>
      <c r="H42" s="125" t="n"/>
      <c r="I42" s="125" t="n"/>
      <c r="J42" s="125" t="n"/>
      <c r="K42" s="125" t="n"/>
      <c r="L42" s="125" t="n"/>
    </row>
    <row r="43">
      <c r="A43" s="129" t="n"/>
      <c r="B43" s="129" t="n"/>
      <c r="C43" s="129" t="n"/>
      <c r="D43" s="130" t="n"/>
      <c r="E43" s="129" t="n"/>
      <c r="F43" s="158" t="n"/>
      <c r="G43" s="129" t="n"/>
      <c r="H43" s="129" t="n"/>
      <c r="I43" s="129" t="n"/>
      <c r="J43" s="129" t="n"/>
      <c r="K43" s="129" t="n"/>
      <c r="L43" s="129" t="n"/>
    </row>
    <row r="44">
      <c r="A44" s="125" t="n"/>
      <c r="B44" s="125" t="n"/>
      <c r="C44" s="125" t="n"/>
      <c r="D44" s="126" t="n"/>
      <c r="E44" s="125" t="n"/>
      <c r="F44" s="134" t="n"/>
      <c r="G44" s="125" t="n"/>
      <c r="H44" s="125" t="n"/>
      <c r="I44" s="125" t="n"/>
      <c r="J44" s="125" t="n"/>
      <c r="K44" s="125" t="n"/>
      <c r="L44" s="125" t="n"/>
    </row>
    <row r="45">
      <c r="A45" s="129" t="n"/>
      <c r="B45" s="129" t="n"/>
      <c r="C45" s="129" t="n"/>
      <c r="D45" s="130" t="n"/>
      <c r="E45" s="129" t="n"/>
      <c r="F45" s="171" t="n"/>
      <c r="G45" s="129" t="n"/>
      <c r="H45" s="129" t="n"/>
      <c r="I45" s="129" t="n"/>
      <c r="J45" s="129" t="n"/>
      <c r="K45" s="129" t="n"/>
      <c r="L45" s="129" t="n"/>
    </row>
    <row r="46">
      <c r="A46" s="125" t="n"/>
      <c r="B46" s="125" t="n"/>
      <c r="C46" s="125" t="n"/>
      <c r="D46" s="126" t="n"/>
      <c r="E46" s="125" t="n"/>
      <c r="F46" s="171" t="n"/>
      <c r="G46" s="125" t="n"/>
      <c r="H46" s="125" t="n"/>
      <c r="I46" s="125" t="n"/>
      <c r="J46" s="125" t="n"/>
      <c r="K46" s="125" t="n"/>
      <c r="L46" s="125" t="n"/>
    </row>
    <row r="47">
      <c r="A47" s="129" t="n"/>
      <c r="B47" s="129" t="n"/>
      <c r="C47" s="129" t="n"/>
      <c r="D47" s="130" t="n"/>
      <c r="E47" s="129" t="n"/>
      <c r="F47" s="158" t="n"/>
      <c r="G47" s="129" t="n"/>
      <c r="H47" s="129" t="n"/>
      <c r="I47" s="129" t="n"/>
      <c r="J47" s="129" t="n"/>
      <c r="K47" s="129" t="n"/>
      <c r="L47" s="129" t="n"/>
    </row>
    <row r="48">
      <c r="A48" s="125" t="n"/>
      <c r="B48" s="125" t="n"/>
      <c r="C48" s="125" t="n"/>
      <c r="D48" s="126" t="n"/>
      <c r="E48" s="125" t="n"/>
      <c r="F48" s="134" t="n"/>
      <c r="G48" s="125" t="n"/>
      <c r="H48" s="125" t="n"/>
      <c r="I48" s="125" t="n"/>
      <c r="J48" s="125" t="n"/>
      <c r="K48" s="125" t="n"/>
      <c r="L48" s="125" t="n"/>
    </row>
    <row r="49">
      <c r="A49" s="129" t="n"/>
      <c r="B49" s="129" t="n"/>
      <c r="C49" s="129" t="n"/>
      <c r="D49" s="130" t="n"/>
      <c r="E49" s="129" t="n"/>
      <c r="F49" s="134" t="n"/>
      <c r="G49" s="129" t="n"/>
      <c r="H49" s="129" t="n"/>
      <c r="I49" s="129" t="n"/>
      <c r="J49" s="129" t="n"/>
      <c r="K49" s="129" t="n"/>
      <c r="L49" s="129" t="n"/>
    </row>
    <row r="50">
      <c r="A50" s="125" t="n"/>
      <c r="B50" s="125" t="n"/>
      <c r="C50" s="125" t="n"/>
      <c r="D50" s="126" t="n"/>
      <c r="E50" s="125" t="n"/>
      <c r="F50" s="134" t="n"/>
      <c r="G50" s="125" t="n"/>
      <c r="H50" s="125" t="n"/>
      <c r="I50" s="125" t="n"/>
      <c r="J50" s="125" t="n"/>
      <c r="K50" s="125" t="n"/>
      <c r="L50" s="125" t="n"/>
    </row>
    <row r="51">
      <c r="A51" s="129" t="n"/>
      <c r="B51" s="129" t="n"/>
      <c r="C51" s="129" t="n"/>
      <c r="D51" s="130" t="n"/>
      <c r="E51" s="129" t="n"/>
      <c r="F51" s="158" t="n"/>
      <c r="G51" s="129" t="n"/>
      <c r="H51" s="129" t="n"/>
      <c r="I51" s="129" t="n"/>
      <c r="J51" s="129" t="n"/>
      <c r="K51" s="129" t="n"/>
      <c r="L51" s="129" t="n"/>
    </row>
    <row r="52">
      <c r="A52" s="125" t="n"/>
      <c r="B52" s="125" t="n"/>
      <c r="C52" s="125" t="n"/>
      <c r="D52" s="126" t="n"/>
      <c r="E52" s="125" t="n"/>
      <c r="F52" s="134" t="n"/>
      <c r="G52" s="125" t="n"/>
      <c r="H52" s="125" t="n"/>
      <c r="I52" s="125" t="n"/>
      <c r="J52" s="125" t="n"/>
      <c r="K52" s="125" t="n"/>
      <c r="L52" s="125" t="n"/>
    </row>
    <row r="53">
      <c r="A53" s="129" t="n"/>
      <c r="B53" s="129" t="n"/>
      <c r="C53" s="129" t="n"/>
      <c r="D53" s="130" t="n"/>
      <c r="E53" s="129" t="n"/>
      <c r="F53" s="171" t="n"/>
      <c r="G53" s="129" t="n"/>
      <c r="H53" s="129" t="n"/>
      <c r="I53" s="129" t="n"/>
      <c r="J53" s="129" t="n"/>
      <c r="K53" s="129" t="n"/>
      <c r="L53" s="129" t="n"/>
    </row>
    <row r="54">
      <c r="A54" s="125" t="n"/>
      <c r="B54" s="125" t="n"/>
      <c r="C54" s="125" t="n"/>
      <c r="D54" s="126" t="n"/>
      <c r="E54" s="125" t="n"/>
      <c r="F54" s="171" t="n"/>
      <c r="G54" s="125" t="n"/>
      <c r="H54" s="125" t="n"/>
      <c r="I54" s="125" t="n"/>
      <c r="J54" s="125" t="n"/>
      <c r="K54" s="125" t="n"/>
      <c r="L54" s="125" t="n"/>
    </row>
    <row r="55">
      <c r="A55" s="129" t="n"/>
      <c r="B55" s="129" t="n"/>
      <c r="C55" s="129" t="n"/>
      <c r="D55" s="130" t="n"/>
      <c r="E55" s="129" t="n"/>
      <c r="F55" s="158" t="n"/>
      <c r="G55" s="129" t="n"/>
      <c r="H55" s="129" t="n"/>
      <c r="I55" s="129" t="n"/>
      <c r="J55" s="129" t="n"/>
      <c r="K55" s="129" t="n"/>
      <c r="L55" s="129" t="n"/>
    </row>
    <row r="56">
      <c r="A56" s="125" t="n"/>
      <c r="B56" s="125" t="n"/>
      <c r="C56" s="125" t="n"/>
      <c r="D56" s="126" t="n"/>
      <c r="E56" s="125" t="n"/>
      <c r="F56" s="158" t="n"/>
      <c r="G56" s="125" t="n"/>
      <c r="H56" s="125" t="n"/>
      <c r="I56" s="125" t="n"/>
      <c r="J56" s="125" t="n"/>
      <c r="K56" s="125" t="n"/>
      <c r="L56" s="125" t="n"/>
    </row>
    <row r="57">
      <c r="A57" s="129" t="n"/>
      <c r="B57" s="129" t="n"/>
      <c r="C57" s="129" t="n"/>
      <c r="D57" s="130" t="n"/>
      <c r="E57" s="129" t="n"/>
      <c r="F57" s="158" t="n"/>
      <c r="G57" s="129" t="n"/>
      <c r="H57" s="129" t="n"/>
      <c r="I57" s="129" t="n"/>
      <c r="J57" s="129" t="n"/>
      <c r="K57" s="129" t="n"/>
      <c r="L57" s="129" t="n"/>
    </row>
    <row r="58">
      <c r="A58" s="125" t="n"/>
      <c r="B58" s="125" t="n"/>
      <c r="C58" s="125" t="n"/>
      <c r="D58" s="126" t="n"/>
      <c r="E58" s="125" t="n"/>
      <c r="F58" s="158" t="n"/>
      <c r="G58" s="125" t="n"/>
      <c r="H58" s="125" t="n"/>
      <c r="I58" s="125" t="n"/>
      <c r="J58" s="125" t="n"/>
      <c r="K58" s="125" t="n"/>
      <c r="L58" s="125" t="n"/>
    </row>
    <row r="59">
      <c r="A59" s="129" t="n"/>
      <c r="B59" s="129" t="n"/>
      <c r="C59" s="129" t="n"/>
      <c r="D59" s="130" t="n"/>
      <c r="E59" s="129" t="n"/>
      <c r="F59" s="134" t="n"/>
      <c r="G59" s="129" t="n"/>
      <c r="H59" s="129" t="n"/>
      <c r="I59" s="129" t="n"/>
      <c r="J59" s="129" t="n"/>
      <c r="K59" s="129" t="n"/>
      <c r="L59" s="129" t="n"/>
    </row>
    <row r="60">
      <c r="A60" s="125" t="n"/>
      <c r="B60" s="125" t="n"/>
      <c r="C60" s="125" t="n"/>
      <c r="D60" s="126" t="n"/>
      <c r="E60" s="125" t="n"/>
      <c r="F60" s="171" t="n"/>
      <c r="G60" s="125" t="n"/>
      <c r="H60" s="125" t="n"/>
      <c r="I60" s="125" t="n"/>
      <c r="J60" s="125" t="n"/>
      <c r="K60" s="125" t="n"/>
      <c r="L60" s="125" t="n"/>
    </row>
    <row r="61">
      <c r="A61" s="129" t="n"/>
      <c r="B61" s="129" t="n"/>
      <c r="C61" s="129" t="n"/>
      <c r="D61" s="130" t="n"/>
      <c r="E61" s="129" t="n"/>
      <c r="F61" s="158" t="n"/>
      <c r="G61" s="129" t="n"/>
      <c r="H61" s="129" t="n"/>
      <c r="I61" s="129" t="n"/>
      <c r="J61" s="129" t="n"/>
      <c r="K61" s="129" t="n"/>
      <c r="L61" s="129" t="n"/>
    </row>
    <row r="62">
      <c r="A62" s="125" t="n"/>
      <c r="B62" s="125" t="n"/>
      <c r="C62" s="125" t="n"/>
      <c r="D62" s="126" t="n"/>
      <c r="E62" s="125" t="n"/>
      <c r="F62" s="158" t="n"/>
      <c r="G62" s="125" t="n"/>
      <c r="H62" s="125" t="n"/>
      <c r="I62" s="125" t="n"/>
      <c r="J62" s="125" t="n"/>
      <c r="K62" s="125" t="n"/>
      <c r="L62" s="125" t="n"/>
    </row>
    <row r="63">
      <c r="A63" s="129" t="n"/>
      <c r="B63" s="129" t="n"/>
      <c r="C63" s="129" t="n"/>
      <c r="D63" s="130" t="n"/>
      <c r="E63" s="129" t="n"/>
      <c r="F63" s="158" t="n"/>
      <c r="G63" s="129" t="n"/>
      <c r="H63" s="129" t="n"/>
      <c r="I63" s="129" t="n"/>
      <c r="J63" s="129" t="n"/>
      <c r="K63" s="129" t="n"/>
      <c r="L63" s="129" t="n"/>
    </row>
    <row r="64">
      <c r="A64" s="125" t="n"/>
      <c r="B64" s="125" t="n"/>
      <c r="C64" s="125" t="n"/>
      <c r="D64" s="126" t="n"/>
      <c r="E64" s="125" t="n"/>
      <c r="F64" s="158" t="n"/>
      <c r="G64" s="125" t="n"/>
      <c r="H64" s="125" t="n"/>
      <c r="I64" s="125" t="n"/>
      <c r="J64" s="125" t="n"/>
      <c r="K64" s="125" t="n"/>
      <c r="L64" s="125" t="n"/>
    </row>
    <row r="65">
      <c r="A65" s="129" t="n"/>
      <c r="B65" s="129" t="n"/>
      <c r="C65" s="129" t="n"/>
      <c r="D65" s="130" t="n"/>
      <c r="E65" s="129" t="n"/>
      <c r="F65" s="158" t="n"/>
      <c r="G65" s="129" t="n"/>
      <c r="H65" s="129" t="n"/>
      <c r="I65" s="129" t="n"/>
      <c r="J65" s="129" t="n"/>
      <c r="K65" s="129" t="n"/>
      <c r="L65" s="129" t="n"/>
    </row>
    <row r="66">
      <c r="A66" s="125" t="n"/>
      <c r="B66" s="125" t="n"/>
      <c r="C66" s="125" t="n"/>
      <c r="D66" s="126" t="n"/>
      <c r="E66" s="125" t="n"/>
      <c r="F66" s="134" t="n"/>
      <c r="G66" s="125" t="n"/>
      <c r="H66" s="125" t="n"/>
      <c r="I66" s="125" t="n"/>
      <c r="J66" s="125" t="n"/>
      <c r="K66" s="125" t="n"/>
      <c r="L66" s="125" t="n"/>
    </row>
    <row r="67">
      <c r="A67" s="129" t="n"/>
      <c r="B67" s="129" t="n"/>
      <c r="C67" s="129" t="n"/>
      <c r="D67" s="130" t="n"/>
      <c r="E67" s="129" t="n"/>
      <c r="F67" s="134" t="n"/>
      <c r="G67" s="129" t="n"/>
      <c r="H67" s="129" t="n"/>
      <c r="I67" s="129" t="n"/>
      <c r="J67" s="129" t="n"/>
      <c r="K67" s="129" t="n"/>
      <c r="L67" s="129" t="n"/>
    </row>
    <row r="68">
      <c r="A68" s="125" t="n"/>
      <c r="B68" s="125" t="n"/>
      <c r="C68" s="125" t="n"/>
      <c r="D68" s="126" t="n"/>
      <c r="E68" s="125" t="n"/>
      <c r="F68" s="134" t="n"/>
      <c r="G68" s="125" t="n"/>
      <c r="H68" s="125" t="n"/>
      <c r="I68" s="125" t="n"/>
      <c r="J68" s="125" t="n"/>
      <c r="K68" s="125" t="n"/>
      <c r="L68" s="125" t="n"/>
    </row>
    <row r="69">
      <c r="A69" s="129" t="n"/>
      <c r="B69" s="129" t="n"/>
      <c r="C69" s="129" t="n"/>
      <c r="D69" s="130" t="n"/>
      <c r="E69" s="129" t="n"/>
      <c r="F69" s="134" t="n"/>
      <c r="G69" s="129" t="n"/>
      <c r="H69" s="129" t="n"/>
      <c r="I69" s="129" t="n"/>
      <c r="J69" s="129" t="n"/>
      <c r="K69" s="129" t="n"/>
      <c r="L69" s="129" t="n"/>
    </row>
    <row r="70">
      <c r="A70" s="125" t="n"/>
      <c r="B70" s="125" t="n"/>
      <c r="C70" s="125" t="n"/>
      <c r="D70" s="126" t="n"/>
      <c r="E70" s="125" t="n"/>
      <c r="F70" s="134" t="n"/>
      <c r="G70" s="125" t="n"/>
      <c r="H70" s="125" t="n"/>
      <c r="I70" s="125" t="n"/>
      <c r="J70" s="125" t="n"/>
      <c r="K70" s="125" t="n"/>
      <c r="L70" s="125" t="n"/>
    </row>
    <row r="71">
      <c r="A71" s="129" t="n"/>
      <c r="B71" s="129" t="n"/>
      <c r="C71" s="129" t="n"/>
      <c r="D71" s="130" t="n"/>
      <c r="E71" s="129" t="n"/>
      <c r="F71" s="134" t="n"/>
      <c r="G71" s="129" t="n"/>
      <c r="H71" s="129" t="n"/>
      <c r="I71" s="129" t="n"/>
      <c r="J71" s="129" t="n"/>
      <c r="K71" s="129" t="n"/>
      <c r="L71" s="129" t="n"/>
    </row>
    <row r="72">
      <c r="A72" s="125" t="n"/>
      <c r="B72" s="125" t="n"/>
      <c r="C72" s="125" t="n"/>
      <c r="D72" s="126" t="n"/>
      <c r="E72" s="125" t="n"/>
      <c r="F72" s="134" t="n"/>
      <c r="G72" s="125" t="n"/>
      <c r="H72" s="125" t="n"/>
      <c r="I72" s="125" t="n"/>
      <c r="J72" s="125" t="n"/>
      <c r="K72" s="125" t="n"/>
      <c r="L72" s="125" t="n"/>
    </row>
    <row r="73">
      <c r="A73" s="129" t="n"/>
      <c r="B73" s="129" t="n"/>
      <c r="C73" s="129" t="n"/>
      <c r="D73" s="130" t="n"/>
      <c r="E73" s="129" t="n"/>
      <c r="F73" s="134" t="n"/>
      <c r="G73" s="129" t="n"/>
      <c r="H73" s="129" t="n"/>
      <c r="I73" s="129" t="n"/>
      <c r="J73" s="129" t="n"/>
      <c r="K73" s="129" t="n"/>
      <c r="L73" s="129" t="n"/>
    </row>
    <row r="74">
      <c r="A74" s="125" t="n"/>
      <c r="B74" s="125" t="n"/>
      <c r="C74" s="125" t="n"/>
      <c r="D74" s="126" t="n"/>
      <c r="E74" s="125" t="n"/>
      <c r="F74" s="134" t="n"/>
      <c r="G74" s="125" t="n"/>
      <c r="H74" s="125" t="n"/>
      <c r="I74" s="125" t="n"/>
      <c r="J74" s="125" t="n"/>
      <c r="K74" s="125" t="n"/>
      <c r="L74" s="125" t="n"/>
    </row>
    <row r="75">
      <c r="A75" s="129" t="n"/>
      <c r="B75" s="129" t="n"/>
      <c r="C75" s="129" t="n"/>
      <c r="D75" s="130" t="n"/>
      <c r="E75" s="129" t="n"/>
      <c r="F75" s="134" t="n"/>
      <c r="G75" s="129" t="n"/>
      <c r="H75" s="129" t="n"/>
      <c r="I75" s="129" t="n"/>
      <c r="J75" s="129" t="n"/>
      <c r="K75" s="129" t="n"/>
      <c r="L75" s="129" t="n"/>
    </row>
    <row r="76">
      <c r="A76" s="125" t="n"/>
      <c r="B76" s="125" t="n"/>
      <c r="C76" s="125" t="n"/>
      <c r="D76" s="126" t="n"/>
      <c r="E76" s="125" t="n"/>
      <c r="F76" s="134" t="n"/>
      <c r="G76" s="125" t="n"/>
      <c r="H76" s="125" t="n"/>
      <c r="I76" s="125" t="n"/>
      <c r="J76" s="125" t="n"/>
      <c r="K76" s="125" t="n"/>
      <c r="L76" s="125" t="n"/>
    </row>
    <row r="77">
      <c r="A77" s="129" t="n"/>
      <c r="B77" s="129" t="n"/>
      <c r="C77" s="129" t="n"/>
      <c r="D77" s="130" t="n"/>
      <c r="E77" s="129" t="n"/>
      <c r="F77" s="134" t="n"/>
      <c r="G77" s="129" t="n"/>
      <c r="H77" s="129" t="n"/>
      <c r="I77" s="129" t="n"/>
      <c r="J77" s="129" t="n"/>
      <c r="K77" s="129" t="n"/>
      <c r="L77" s="129" t="n"/>
    </row>
    <row r="78">
      <c r="A78" s="125" t="n"/>
      <c r="B78" s="125" t="n"/>
      <c r="C78" s="125" t="n"/>
      <c r="D78" s="126" t="n"/>
      <c r="E78" s="125" t="n"/>
      <c r="F78" s="134" t="n"/>
      <c r="G78" s="125" t="n"/>
      <c r="H78" s="125" t="n"/>
      <c r="I78" s="125" t="n"/>
      <c r="J78" s="125" t="n"/>
      <c r="K78" s="125" t="n"/>
      <c r="L78" s="125" t="n"/>
    </row>
    <row r="79">
      <c r="A79" s="129" t="n"/>
      <c r="B79" s="129" t="n"/>
      <c r="C79" s="129" t="n"/>
      <c r="D79" s="130" t="n"/>
      <c r="E79" s="129" t="n"/>
      <c r="F79" s="134" t="n"/>
      <c r="G79" s="129" t="n"/>
      <c r="H79" s="129" t="n"/>
      <c r="I79" s="129" t="n"/>
      <c r="J79" s="129" t="n"/>
      <c r="K79" s="129" t="n"/>
      <c r="L79" s="129" t="n"/>
    </row>
    <row r="80">
      <c r="A80" s="125" t="n"/>
      <c r="B80" s="125" t="n"/>
      <c r="C80" s="125" t="n"/>
      <c r="D80" s="126" t="n"/>
      <c r="E80" s="125" t="n"/>
      <c r="F80" s="134" t="n"/>
      <c r="G80" s="125" t="n"/>
      <c r="H80" s="125" t="n"/>
      <c r="I80" s="125" t="n"/>
      <c r="J80" s="125" t="n"/>
      <c r="K80" s="125" t="n"/>
      <c r="L80" s="125" t="n"/>
    </row>
    <row r="81">
      <c r="A81" s="129" t="n"/>
      <c r="B81" s="129" t="n"/>
      <c r="C81" s="129" t="n"/>
      <c r="D81" s="130" t="n"/>
      <c r="E81" s="129" t="n"/>
      <c r="F81" s="171" t="n"/>
      <c r="G81" s="129" t="n"/>
      <c r="H81" s="129" t="n"/>
      <c r="I81" s="129" t="n"/>
      <c r="J81" s="129" t="n"/>
      <c r="K81" s="129" t="n"/>
      <c r="L81" s="129" t="n"/>
    </row>
    <row r="82">
      <c r="A82" s="125" t="n"/>
      <c r="B82" s="125" t="n"/>
      <c r="C82" s="125" t="n"/>
      <c r="D82" s="126" t="n"/>
      <c r="E82" s="125" t="n"/>
      <c r="F82" s="171" t="n"/>
      <c r="G82" s="125" t="n"/>
      <c r="H82" s="125" t="n"/>
      <c r="I82" s="125" t="n"/>
      <c r="J82" s="125" t="n"/>
      <c r="K82" s="125" t="n"/>
      <c r="L82" s="125" t="n"/>
    </row>
    <row r="83">
      <c r="A83" s="129" t="n"/>
      <c r="B83" s="129" t="n"/>
      <c r="C83" s="129" t="n"/>
      <c r="D83" s="130" t="n"/>
      <c r="E83" s="129" t="n"/>
      <c r="F83" s="171" t="n"/>
      <c r="G83" s="129" t="n"/>
      <c r="H83" s="129" t="n"/>
      <c r="I83" s="129" t="n"/>
      <c r="J83" s="129" t="n"/>
      <c r="K83" s="129" t="n"/>
      <c r="L83" s="129" t="n"/>
    </row>
    <row r="84">
      <c r="A84" s="125" t="n"/>
      <c r="B84" s="125" t="n"/>
      <c r="C84" s="125" t="n"/>
      <c r="D84" s="126" t="n"/>
      <c r="E84" s="125" t="n"/>
      <c r="F84" s="171" t="n"/>
      <c r="G84" s="125" t="n"/>
      <c r="H84" s="125" t="n"/>
      <c r="I84" s="125" t="n"/>
      <c r="J84" s="125" t="n"/>
      <c r="K84" s="125" t="n"/>
      <c r="L84" s="125" t="n"/>
    </row>
    <row r="85">
      <c r="A85" s="129" t="n"/>
      <c r="B85" s="129" t="n"/>
      <c r="C85" s="129" t="n"/>
      <c r="D85" s="130" t="n"/>
      <c r="E85" s="129" t="n"/>
      <c r="F85" s="171" t="n"/>
      <c r="G85" s="129" t="n"/>
      <c r="H85" s="129" t="n"/>
      <c r="I85" s="129" t="n"/>
      <c r="J85" s="129" t="n"/>
      <c r="K85" s="129" t="n"/>
      <c r="L85" s="129" t="n"/>
    </row>
    <row r="86">
      <c r="A86" s="125" t="n"/>
      <c r="B86" s="125" t="n"/>
      <c r="C86" s="125" t="n"/>
      <c r="D86" s="126" t="n"/>
      <c r="E86" s="125" t="n"/>
      <c r="F86" s="171" t="n"/>
      <c r="G86" s="125" t="n"/>
      <c r="H86" s="125" t="n"/>
      <c r="I86" s="125" t="n"/>
      <c r="J86" s="125" t="n"/>
      <c r="K86" s="125" t="n"/>
      <c r="L86" s="125" t="n"/>
    </row>
    <row r="87">
      <c r="A87" s="129" t="n"/>
      <c r="B87" s="129" t="n"/>
      <c r="C87" s="129" t="n"/>
      <c r="D87" s="130" t="n"/>
      <c r="E87" s="129" t="n"/>
      <c r="F87" s="158" t="n"/>
      <c r="G87" s="129" t="n"/>
      <c r="H87" s="129" t="n"/>
      <c r="I87" s="129" t="n"/>
      <c r="J87" s="129" t="n"/>
      <c r="K87" s="129" t="n"/>
      <c r="L87" s="129" t="n"/>
    </row>
    <row r="88">
      <c r="A88" s="125" t="n"/>
      <c r="B88" s="125" t="n"/>
      <c r="C88" s="125" t="n"/>
      <c r="D88" s="126" t="n"/>
      <c r="E88" s="125" t="n"/>
      <c r="F88" s="158" t="n"/>
      <c r="G88" s="125" t="n"/>
      <c r="H88" s="125" t="n"/>
      <c r="I88" s="125" t="n"/>
      <c r="J88" s="125" t="n"/>
      <c r="K88" s="125" t="n"/>
      <c r="L88" s="125" t="n"/>
    </row>
    <row r="89">
      <c r="A89" s="129" t="n"/>
      <c r="B89" s="129" t="n"/>
      <c r="C89" s="129" t="n"/>
      <c r="D89" s="130" t="n"/>
      <c r="E89" s="129" t="n"/>
      <c r="F89" s="158" t="n"/>
      <c r="G89" s="129" t="n"/>
      <c r="H89" s="129" t="n"/>
      <c r="I89" s="129" t="n"/>
      <c r="J89" s="129" t="n"/>
      <c r="K89" s="129" t="n"/>
      <c r="L89" s="129" t="n"/>
    </row>
    <row r="90">
      <c r="A90" s="125" t="n"/>
      <c r="B90" s="125" t="n"/>
      <c r="C90" s="125" t="n"/>
      <c r="D90" s="126" t="n"/>
      <c r="E90" s="125" t="n"/>
      <c r="F90" s="158" t="n"/>
      <c r="G90" s="125" t="n"/>
      <c r="H90" s="125" t="n"/>
      <c r="I90" s="125" t="n"/>
      <c r="J90" s="125" t="n"/>
      <c r="K90" s="125" t="n"/>
      <c r="L90" s="125" t="n"/>
    </row>
    <row r="91">
      <c r="A91" s="129" t="n"/>
      <c r="B91" s="129" t="n"/>
      <c r="C91" s="129" t="n"/>
      <c r="D91" s="130" t="n"/>
      <c r="E91" s="129" t="n"/>
      <c r="F91" s="158" t="n"/>
      <c r="G91" s="129" t="n"/>
      <c r="H91" s="129" t="n"/>
      <c r="I91" s="129" t="n"/>
      <c r="J91" s="129" t="n"/>
      <c r="K91" s="129" t="n"/>
      <c r="L91" s="129" t="n"/>
    </row>
    <row r="92">
      <c r="A92" s="125" t="n"/>
      <c r="B92" s="125" t="n"/>
      <c r="C92" s="125" t="n"/>
      <c r="D92" s="126" t="n"/>
      <c r="E92" s="125" t="n"/>
      <c r="F92" s="158" t="n"/>
      <c r="G92" s="125" t="n"/>
      <c r="H92" s="125" t="n"/>
      <c r="I92" s="125" t="n"/>
      <c r="J92" s="125" t="n"/>
      <c r="K92" s="125" t="n"/>
      <c r="L92" s="125" t="n"/>
    </row>
    <row r="93">
      <c r="A93" s="129" t="n"/>
      <c r="B93" s="129" t="n"/>
      <c r="C93" s="129" t="n"/>
      <c r="D93" s="130" t="n"/>
      <c r="E93" s="129" t="n"/>
      <c r="F93" s="158" t="n"/>
      <c r="G93" s="129" t="n"/>
      <c r="H93" s="129" t="n"/>
      <c r="I93" s="129" t="n"/>
      <c r="J93" s="129" t="n"/>
      <c r="K93" s="129" t="n"/>
      <c r="L93" s="129" t="n"/>
    </row>
    <row r="94">
      <c r="A94" s="125" t="n"/>
      <c r="B94" s="125" t="n"/>
      <c r="C94" s="125" t="n"/>
      <c r="D94" s="126" t="n"/>
      <c r="E94" s="125" t="n"/>
      <c r="F94" s="134" t="n"/>
      <c r="G94" s="125" t="n"/>
      <c r="H94" s="125" t="n"/>
      <c r="I94" s="125" t="n"/>
      <c r="J94" s="125" t="n"/>
      <c r="K94" s="125" t="n"/>
      <c r="L94" s="125" t="n"/>
    </row>
    <row r="95">
      <c r="A95" s="129" t="n"/>
      <c r="B95" s="129" t="n"/>
      <c r="C95" s="129" t="n"/>
      <c r="D95" s="130" t="n"/>
      <c r="E95" s="129" t="n"/>
      <c r="F95" s="134" t="n"/>
      <c r="G95" s="129" t="n"/>
      <c r="H95" s="129" t="n"/>
      <c r="I95" s="129" t="n"/>
      <c r="J95" s="129" t="n"/>
      <c r="K95" s="129" t="n"/>
      <c r="L95" s="129" t="n"/>
    </row>
    <row r="96">
      <c r="A96" s="125" t="n"/>
      <c r="B96" s="125" t="n"/>
      <c r="C96" s="125" t="n"/>
      <c r="D96" s="126" t="n"/>
      <c r="E96" s="125" t="n"/>
      <c r="F96" s="134" t="n"/>
      <c r="G96" s="125" t="n"/>
      <c r="H96" s="125" t="n"/>
      <c r="I96" s="125" t="n"/>
      <c r="J96" s="125" t="n"/>
      <c r="K96" s="125" t="n"/>
      <c r="L96" s="125" t="n"/>
    </row>
    <row r="97">
      <c r="A97" s="129" t="n"/>
      <c r="B97" s="129" t="n"/>
      <c r="C97" s="129" t="n"/>
      <c r="D97" s="130" t="n"/>
      <c r="E97" s="129" t="n"/>
      <c r="F97" s="134" t="n"/>
      <c r="G97" s="129" t="n"/>
      <c r="H97" s="129" t="n"/>
      <c r="I97" s="129" t="n"/>
      <c r="J97" s="129" t="n"/>
      <c r="K97" s="129" t="n"/>
      <c r="L97" s="129" t="n"/>
    </row>
    <row r="98">
      <c r="A98" s="125" t="n"/>
      <c r="B98" s="125" t="n"/>
      <c r="C98" s="125" t="n"/>
      <c r="D98" s="126" t="n"/>
      <c r="E98" s="125" t="n"/>
      <c r="F98" s="134" t="n"/>
      <c r="G98" s="125" t="n"/>
      <c r="H98" s="125" t="n"/>
      <c r="I98" s="125" t="n"/>
      <c r="J98" s="125" t="n"/>
      <c r="K98" s="125" t="n"/>
      <c r="L98" s="125" t="n"/>
    </row>
    <row r="99">
      <c r="A99" s="129" t="n"/>
      <c r="B99" s="129" t="n"/>
      <c r="C99" s="129" t="n"/>
      <c r="D99" s="130" t="n"/>
      <c r="E99" s="129" t="n"/>
      <c r="F99" s="134" t="n"/>
      <c r="G99" s="129" t="n"/>
      <c r="H99" s="129" t="n"/>
      <c r="I99" s="129" t="n"/>
      <c r="J99" s="129" t="n"/>
      <c r="K99" s="129" t="n"/>
      <c r="L99" s="129" t="n"/>
    </row>
    <row r="100">
      <c r="A100" s="125" t="n"/>
      <c r="B100" s="125" t="n"/>
      <c r="C100" s="125" t="n"/>
      <c r="D100" s="126" t="n"/>
      <c r="E100" s="125" t="n"/>
      <c r="F100" s="134" t="n"/>
      <c r="G100" s="125" t="n"/>
      <c r="H100" s="125" t="n"/>
      <c r="I100" s="125" t="n"/>
      <c r="J100" s="125" t="n"/>
      <c r="K100" s="125" t="n"/>
      <c r="L100" s="125" t="n"/>
    </row>
    <row r="101">
      <c r="A101" s="129" t="n"/>
      <c r="B101" s="129" t="n"/>
      <c r="C101" s="129" t="n"/>
      <c r="D101" s="130" t="n"/>
      <c r="E101" s="129" t="n"/>
      <c r="F101" s="134" t="n"/>
      <c r="G101" s="129" t="n"/>
      <c r="H101" s="129" t="n"/>
      <c r="I101" s="129" t="n"/>
      <c r="J101" s="129" t="n"/>
      <c r="K101" s="129" t="n"/>
      <c r="L101" s="129" t="n"/>
    </row>
    <row r="102">
      <c r="A102" s="125" t="n"/>
      <c r="B102" s="125" t="n"/>
      <c r="C102" s="125" t="n"/>
      <c r="D102" s="126" t="n"/>
      <c r="E102" s="125" t="n"/>
      <c r="F102" s="134" t="n"/>
      <c r="G102" s="125" t="n"/>
      <c r="H102" s="125" t="n"/>
      <c r="I102" s="125" t="n"/>
      <c r="J102" s="125" t="n"/>
      <c r="K102" s="125" t="n"/>
      <c r="L102" s="125" t="n"/>
    </row>
    <row r="103">
      <c r="A103" s="129" t="n"/>
      <c r="B103" s="129" t="n"/>
      <c r="C103" s="129" t="n"/>
      <c r="D103" s="130" t="n"/>
      <c r="E103" s="129" t="n"/>
      <c r="F103" s="134" t="n"/>
      <c r="G103" s="129" t="n"/>
      <c r="H103" s="129" t="n"/>
      <c r="I103" s="129" t="n"/>
      <c r="J103" s="129" t="n"/>
      <c r="K103" s="129" t="n"/>
      <c r="L103" s="129" t="n"/>
    </row>
    <row r="104">
      <c r="A104" s="125" t="n"/>
      <c r="B104" s="125" t="n"/>
      <c r="C104" s="125" t="n"/>
      <c r="D104" s="126" t="n"/>
      <c r="E104" s="125" t="n"/>
      <c r="F104" s="134" t="n"/>
      <c r="G104" s="125" t="n"/>
      <c r="H104" s="125" t="n"/>
      <c r="I104" s="125" t="n"/>
      <c r="J104" s="125" t="n"/>
      <c r="K104" s="125" t="n"/>
      <c r="L104" s="125" t="n"/>
    </row>
    <row r="105">
      <c r="A105" s="129" t="n"/>
      <c r="B105" s="129" t="n"/>
      <c r="C105" s="129" t="n"/>
      <c r="D105" s="130" t="n"/>
      <c r="E105" s="129" t="n"/>
      <c r="F105" s="134" t="n"/>
      <c r="G105" s="129" t="n"/>
      <c r="H105" s="129" t="n"/>
      <c r="I105" s="129" t="n"/>
      <c r="J105" s="129" t="n"/>
      <c r="K105" s="129" t="n"/>
      <c r="L105" s="129" t="n"/>
    </row>
    <row r="106">
      <c r="A106" s="125" t="n"/>
      <c r="B106" s="125" t="n"/>
      <c r="C106" s="125" t="n"/>
      <c r="D106" s="126" t="n"/>
      <c r="E106" s="125" t="n"/>
      <c r="F106" s="134" t="n"/>
      <c r="G106" s="125" t="n"/>
      <c r="H106" s="125" t="n"/>
      <c r="I106" s="125" t="n"/>
      <c r="J106" s="125" t="n"/>
      <c r="K106" s="125" t="n"/>
      <c r="L106" s="125" t="n"/>
    </row>
    <row r="107">
      <c r="A107" s="129" t="n"/>
      <c r="B107" s="129" t="n"/>
      <c r="C107" s="129" t="n"/>
      <c r="D107" s="130" t="n"/>
      <c r="E107" s="129" t="n"/>
      <c r="F107" s="134" t="n"/>
      <c r="G107" s="129" t="n"/>
      <c r="H107" s="129" t="n"/>
      <c r="I107" s="129" t="n"/>
      <c r="J107" s="129" t="n"/>
      <c r="K107" s="129" t="n"/>
      <c r="L107" s="129" t="n"/>
    </row>
    <row r="108">
      <c r="A108" s="125" t="n"/>
      <c r="B108" s="125" t="n"/>
      <c r="C108" s="125" t="n"/>
      <c r="D108" s="126" t="n"/>
      <c r="E108" s="125" t="n"/>
      <c r="F108" s="134" t="n"/>
      <c r="G108" s="125" t="n"/>
      <c r="H108" s="125" t="n"/>
      <c r="I108" s="125" t="n"/>
      <c r="J108" s="125" t="n"/>
      <c r="K108" s="125" t="n"/>
      <c r="L108" s="125" t="n"/>
    </row>
    <row r="109">
      <c r="A109" s="129" t="n"/>
      <c r="B109" s="129" t="n"/>
      <c r="C109" s="129" t="n"/>
      <c r="D109" s="130" t="n"/>
      <c r="E109" s="129" t="n"/>
      <c r="F109" s="134" t="n"/>
      <c r="G109" s="129" t="n"/>
      <c r="H109" s="129" t="n"/>
      <c r="I109" s="129" t="n"/>
      <c r="J109" s="129" t="n"/>
      <c r="K109" s="129" t="n"/>
      <c r="L109" s="129" t="n"/>
    </row>
    <row r="110">
      <c r="A110" s="125" t="n"/>
      <c r="B110" s="125" t="n"/>
      <c r="C110" s="125" t="n"/>
      <c r="D110" s="126" t="n"/>
      <c r="E110" s="125" t="n"/>
      <c r="F110" s="134" t="n"/>
      <c r="G110" s="125" t="n"/>
      <c r="H110" s="125" t="n"/>
      <c r="I110" s="125" t="n"/>
      <c r="J110" s="125" t="n"/>
      <c r="K110" s="125" t="n"/>
      <c r="L110" s="125" t="n"/>
    </row>
    <row r="111">
      <c r="A111" s="129" t="n"/>
      <c r="B111" s="129" t="n"/>
      <c r="C111" s="129" t="n"/>
      <c r="D111" s="130" t="n"/>
      <c r="E111" s="129" t="n"/>
      <c r="F111" s="134" t="n"/>
      <c r="G111" s="129" t="n"/>
      <c r="H111" s="129" t="n"/>
      <c r="I111" s="129" t="n"/>
      <c r="J111" s="129" t="n"/>
      <c r="K111" s="129" t="n"/>
      <c r="L111" s="129" t="n"/>
    </row>
    <row r="112">
      <c r="A112" s="125" t="n"/>
      <c r="B112" s="125" t="n"/>
      <c r="C112" s="125" t="n"/>
      <c r="D112" s="126" t="n"/>
      <c r="E112" s="125" t="n"/>
      <c r="F112" s="134" t="n"/>
      <c r="G112" s="125" t="n"/>
      <c r="H112" s="125" t="n"/>
      <c r="I112" s="125" t="n"/>
      <c r="J112" s="125" t="n"/>
      <c r="K112" s="125" t="n"/>
      <c r="L112" s="125" t="n"/>
    </row>
    <row r="113">
      <c r="A113" s="129" t="n"/>
      <c r="B113" s="129" t="n"/>
      <c r="C113" s="129" t="n"/>
      <c r="D113" s="130" t="n"/>
      <c r="E113" s="129" t="n"/>
      <c r="F113" s="134" t="n"/>
      <c r="G113" s="129" t="n"/>
      <c r="H113" s="129" t="n"/>
      <c r="I113" s="129" t="n"/>
      <c r="J113" s="129" t="n"/>
      <c r="K113" s="129" t="n"/>
      <c r="L113" s="129" t="n"/>
    </row>
    <row r="114">
      <c r="A114" s="125" t="n"/>
      <c r="B114" s="125" t="n"/>
      <c r="C114" s="125" t="n"/>
      <c r="D114" s="126" t="n"/>
      <c r="E114" s="125" t="n"/>
      <c r="F114" s="134" t="n"/>
      <c r="G114" s="125" t="n"/>
      <c r="H114" s="125" t="n"/>
      <c r="I114" s="125" t="n"/>
      <c r="J114" s="125" t="n"/>
      <c r="K114" s="125" t="n"/>
      <c r="L114" s="125" t="n"/>
    </row>
    <row r="115">
      <c r="A115" s="129" t="n"/>
      <c r="B115" s="129" t="n"/>
      <c r="C115" s="129" t="n"/>
      <c r="D115" s="130" t="n"/>
      <c r="E115" s="129" t="n"/>
      <c r="F115" s="134" t="n"/>
      <c r="G115" s="129" t="n"/>
      <c r="H115" s="129" t="n"/>
      <c r="I115" s="129" t="n"/>
      <c r="J115" s="129" t="n"/>
      <c r="K115" s="129" t="n"/>
      <c r="L115" s="129" t="n"/>
    </row>
    <row r="116">
      <c r="A116" s="125" t="n"/>
      <c r="B116" s="125" t="n"/>
      <c r="C116" s="125" t="n"/>
      <c r="D116" s="126" t="n"/>
      <c r="E116" s="125" t="n"/>
      <c r="F116" s="134" t="n"/>
      <c r="G116" s="125" t="n"/>
      <c r="H116" s="125" t="n"/>
      <c r="I116" s="125" t="n"/>
      <c r="J116" s="125" t="n"/>
      <c r="K116" s="125" t="n"/>
      <c r="L116" s="125" t="n"/>
    </row>
    <row r="117">
      <c r="A117" s="129" t="n"/>
      <c r="B117" s="129" t="n"/>
      <c r="C117" s="129" t="n"/>
      <c r="D117" s="130" t="n"/>
      <c r="E117" s="129" t="n"/>
      <c r="F117" s="134" t="n"/>
      <c r="G117" s="129" t="n"/>
      <c r="H117" s="129" t="n"/>
      <c r="I117" s="129" t="n"/>
      <c r="J117" s="129" t="n"/>
      <c r="K117" s="129" t="n"/>
      <c r="L117" s="129" t="n"/>
    </row>
    <row r="118">
      <c r="A118" s="125" t="n"/>
      <c r="B118" s="125" t="n"/>
      <c r="C118" s="125" t="n"/>
      <c r="D118" s="126" t="n"/>
      <c r="E118" s="125" t="n"/>
      <c r="F118" s="134" t="n"/>
      <c r="G118" s="125" t="n"/>
      <c r="H118" s="125" t="n"/>
      <c r="I118" s="125" t="n"/>
      <c r="J118" s="125" t="n"/>
      <c r="K118" s="125" t="n"/>
      <c r="L118" s="125" t="n"/>
    </row>
    <row r="119">
      <c r="A119" s="129" t="n"/>
      <c r="B119" s="129" t="n"/>
      <c r="C119" s="129" t="n"/>
      <c r="D119" s="130" t="n"/>
      <c r="E119" s="129" t="n"/>
      <c r="F119" s="134" t="n"/>
      <c r="G119" s="129" t="n"/>
      <c r="H119" s="129" t="n"/>
      <c r="I119" s="129" t="n"/>
      <c r="J119" s="129" t="n"/>
      <c r="K119" s="129" t="n"/>
      <c r="L119" s="129" t="n"/>
    </row>
    <row r="120">
      <c r="A120" s="125" t="n"/>
      <c r="B120" s="125" t="n"/>
      <c r="C120" s="125" t="n"/>
      <c r="D120" s="126" t="n"/>
      <c r="E120" s="125" t="n"/>
      <c r="F120" s="134" t="n"/>
      <c r="G120" s="125" t="n"/>
      <c r="H120" s="125" t="n"/>
      <c r="I120" s="125" t="n"/>
      <c r="J120" s="125" t="n"/>
      <c r="K120" s="125" t="n"/>
      <c r="L120" s="125" t="n"/>
    </row>
    <row r="121">
      <c r="A121" s="129" t="n"/>
      <c r="B121" s="129" t="n"/>
      <c r="C121" s="129" t="n"/>
      <c r="D121" s="130" t="n"/>
      <c r="E121" s="129" t="n"/>
      <c r="F121" s="134" t="n"/>
      <c r="G121" s="129" t="n"/>
      <c r="H121" s="129" t="n"/>
      <c r="I121" s="129" t="n"/>
      <c r="J121" s="129" t="n"/>
      <c r="K121" s="129" t="n"/>
      <c r="L121" s="129" t="n"/>
    </row>
    <row r="122">
      <c r="A122" s="125" t="n"/>
      <c r="B122" s="125" t="n"/>
      <c r="C122" s="125" t="n"/>
      <c r="D122" s="126" t="n"/>
      <c r="E122" s="125" t="n"/>
      <c r="F122" s="134" t="n"/>
      <c r="G122" s="125" t="n"/>
      <c r="H122" s="125" t="n"/>
      <c r="I122" s="125" t="n"/>
      <c r="J122" s="125" t="n"/>
      <c r="K122" s="125" t="n"/>
      <c r="L122" s="125" t="n"/>
    </row>
    <row r="123">
      <c r="A123" s="129" t="n"/>
      <c r="B123" s="129" t="n"/>
      <c r="C123" s="129" t="n"/>
      <c r="D123" s="130" t="n"/>
      <c r="E123" s="129" t="n"/>
      <c r="F123" s="134" t="n"/>
      <c r="G123" s="129" t="n"/>
      <c r="H123" s="129" t="n"/>
      <c r="I123" s="129" t="n"/>
      <c r="J123" s="129" t="n"/>
      <c r="K123" s="129" t="n"/>
      <c r="L123" s="129" t="n"/>
    </row>
    <row r="124">
      <c r="A124" s="125" t="n"/>
      <c r="B124" s="125" t="n"/>
      <c r="C124" s="125" t="n"/>
      <c r="D124" s="126" t="n"/>
      <c r="E124" s="125" t="n"/>
      <c r="F124" s="171" t="n"/>
      <c r="G124" s="125" t="n"/>
      <c r="H124" s="125" t="n"/>
      <c r="I124" s="125" t="n"/>
      <c r="J124" s="125" t="n"/>
      <c r="K124" s="125" t="n"/>
      <c r="L124" s="125" t="n"/>
    </row>
    <row r="125">
      <c r="A125" s="129" t="n"/>
      <c r="B125" s="129" t="n"/>
      <c r="C125" s="129" t="n"/>
      <c r="D125" s="130" t="n"/>
      <c r="E125" s="129" t="n"/>
      <c r="F125" s="171" t="n"/>
      <c r="G125" s="129" t="n"/>
      <c r="H125" s="129" t="n"/>
      <c r="I125" s="129" t="n"/>
      <c r="J125" s="129" t="n"/>
      <c r="K125" s="129" t="n"/>
      <c r="L125" s="129" t="n"/>
    </row>
    <row r="126">
      <c r="A126" s="125" t="n"/>
      <c r="B126" s="125" t="n"/>
      <c r="C126" s="125" t="n"/>
      <c r="D126" s="126" t="n"/>
      <c r="E126" s="125" t="n"/>
      <c r="F126" s="171" t="n"/>
      <c r="G126" s="125" t="n"/>
      <c r="H126" s="125" t="n"/>
      <c r="I126" s="125" t="n"/>
      <c r="J126" s="125" t="n"/>
      <c r="K126" s="125" t="n"/>
      <c r="L126" s="125" t="n"/>
    </row>
    <row r="127">
      <c r="A127" s="129" t="n"/>
      <c r="B127" s="129" t="n"/>
      <c r="C127" s="129" t="n"/>
      <c r="D127" s="130" t="n"/>
      <c r="E127" s="129" t="n"/>
      <c r="F127" s="171" t="n"/>
      <c r="G127" s="129" t="n"/>
      <c r="H127" s="129" t="n"/>
      <c r="I127" s="129" t="n"/>
      <c r="J127" s="129" t="n"/>
      <c r="K127" s="129" t="n"/>
      <c r="L127" s="129" t="n"/>
    </row>
    <row r="128">
      <c r="A128" s="125" t="n"/>
      <c r="B128" s="125" t="n"/>
      <c r="C128" s="125" t="n"/>
      <c r="D128" s="126" t="n"/>
      <c r="E128" s="125" t="n"/>
      <c r="F128" s="171" t="n"/>
      <c r="G128" s="125" t="n"/>
      <c r="H128" s="125" t="n"/>
      <c r="I128" s="125" t="n"/>
      <c r="J128" s="125" t="n"/>
      <c r="K128" s="125" t="n"/>
      <c r="L128" s="125" t="n"/>
    </row>
    <row r="129">
      <c r="A129" s="129" t="n"/>
      <c r="B129" s="129" t="n"/>
      <c r="C129" s="129" t="n"/>
      <c r="D129" s="130" t="n"/>
      <c r="E129" s="129" t="n"/>
      <c r="F129" s="171" t="n"/>
      <c r="G129" s="129" t="n"/>
      <c r="H129" s="129" t="n"/>
      <c r="I129" s="129" t="n"/>
      <c r="J129" s="129" t="n"/>
      <c r="K129" s="129" t="n"/>
      <c r="L129" s="129" t="n"/>
    </row>
    <row r="130">
      <c r="A130" s="125" t="n"/>
      <c r="B130" s="125" t="n"/>
      <c r="C130" s="125" t="n"/>
      <c r="D130" s="126" t="n"/>
      <c r="E130" s="125" t="n"/>
      <c r="F130" s="158" t="n"/>
      <c r="G130" s="125" t="n"/>
      <c r="H130" s="125" t="n"/>
      <c r="I130" s="125" t="n"/>
      <c r="J130" s="125" t="n"/>
      <c r="K130" s="125" t="n"/>
      <c r="L130" s="125" t="n"/>
    </row>
    <row r="131">
      <c r="A131" s="129" t="n"/>
      <c r="B131" s="129" t="n"/>
      <c r="C131" s="129" t="n"/>
      <c r="D131" s="130" t="n"/>
      <c r="E131" s="129" t="n"/>
      <c r="F131" s="158" t="n"/>
      <c r="G131" s="129" t="n"/>
      <c r="H131" s="129" t="n"/>
      <c r="I131" s="129" t="n"/>
      <c r="J131" s="129" t="n"/>
      <c r="K131" s="129" t="n"/>
      <c r="L131" s="129" t="n"/>
    </row>
    <row r="132">
      <c r="A132" s="125" t="n"/>
      <c r="B132" s="125" t="n"/>
      <c r="C132" s="125" t="n"/>
      <c r="D132" s="126" t="n"/>
      <c r="E132" s="125" t="n"/>
      <c r="F132" s="158" t="n"/>
      <c r="G132" s="125" t="n"/>
      <c r="H132" s="125" t="n"/>
      <c r="I132" s="125" t="n"/>
      <c r="J132" s="125" t="n"/>
      <c r="K132" s="125" t="n"/>
      <c r="L132" s="125" t="n"/>
    </row>
    <row r="133">
      <c r="A133" s="129" t="n"/>
      <c r="B133" s="129" t="n"/>
      <c r="C133" s="129" t="n"/>
      <c r="D133" s="130" t="n"/>
      <c r="E133" s="129" t="n"/>
      <c r="F133" s="158" t="n"/>
      <c r="G133" s="129" t="n"/>
      <c r="H133" s="129" t="n"/>
      <c r="I133" s="129" t="n"/>
      <c r="J133" s="129" t="n"/>
      <c r="K133" s="129" t="n"/>
      <c r="L133" s="129" t="n"/>
    </row>
  </sheetData>
  <mergeCells count="3">
    <mergeCell ref="A32:M32"/>
    <mergeCell ref="A2:M2"/>
    <mergeCell ref="A1:M1"/>
  </mergeCells>
  <hyperlinks>
    <hyperlink ref="A1" location="'Start Here'!A1" display="🏠 Start Here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4" topLeftCell="A5" activePane="bottomLeft" state="frozen"/>
      <selection pane="bottomLeft" activeCell="A1" sqref="A1:M1"/>
    </sheetView>
  </sheetViews>
  <sheetFormatPr baseColWidth="10" defaultColWidth="8.83203125" defaultRowHeight="15"/>
  <cols>
    <col width="14" customWidth="1" style="230" min="1" max="1"/>
    <col width="36" customWidth="1" style="230" min="2" max="2"/>
    <col width="16" customWidth="1" style="230" min="3" max="3"/>
    <col width="10" customWidth="1" style="230" min="4" max="4"/>
    <col width="9" customWidth="1" style="230" min="5" max="5"/>
    <col width="28" customWidth="1" style="230" min="6" max="6"/>
    <col width="7" customWidth="1" style="230" min="7" max="7"/>
    <col width="9" customWidth="1" style="230" min="8" max="8"/>
    <col width="10" customWidth="1" style="230" min="9" max="9"/>
    <col width="9" customWidth="1" style="230" min="10" max="10"/>
    <col width="14" customWidth="1" style="230" min="11" max="11"/>
    <col width="22" customWidth="1" style="230" min="12" max="12"/>
  </cols>
  <sheetData>
    <row r="1" ht="24" customHeight="1" s="230">
      <c r="A1" s="229" t="inlineStr">
        <is>
          <t>🏠 Start Here</t>
        </is>
      </c>
    </row>
    <row r="2">
      <c r="A2" s="283" t="inlineStr">
        <is>
          <t>Scored by player tier + auto/patch/print run/PSA/price/watchers | Today: May 03, 2026 | 137 total Basketball cards in inventory</t>
        </is>
      </c>
    </row>
    <row r="3">
      <c r="A3" s="169" t="inlineStr">
        <is>
          <t>PRIORITY ACTIONS</t>
        </is>
      </c>
    </row>
    <row r="4" ht="30" customHeight="1" s="230">
      <c r="A4" s="133" t="inlineStr">
        <is>
          <t>Rank</t>
        </is>
      </c>
      <c r="B4" s="133" t="inlineStr">
        <is>
          <t>Priority Action</t>
        </is>
      </c>
      <c r="C4" s="133" t="inlineStr">
        <is>
          <t>Card Description</t>
        </is>
      </c>
      <c r="D4" s="133" t="inlineStr">
        <is>
          <t>SKU</t>
        </is>
      </c>
      <c r="E4" s="133" t="inlineStr">
        <is>
          <t>Price ($)</t>
        </is>
      </c>
      <c r="F4" s="133" t="inlineStr">
        <is>
          <t>Score</t>
        </is>
      </c>
      <c r="G4" s="133" t="inlineStr">
        <is>
          <t>Player Tier</t>
        </is>
      </c>
      <c r="H4" s="133" t="inlineStr">
        <is>
          <t>Days Listed</t>
        </is>
      </c>
      <c r="I4" s="133" t="inlineStr">
        <is>
          <t>Aging Status</t>
        </is>
      </c>
      <c r="J4" s="133" t="inlineStr">
        <is>
          <t>Watchers</t>
        </is>
      </c>
      <c r="K4" s="133" t="inlineStr">
        <is>
          <t>Has 90d Sales?</t>
        </is>
      </c>
      <c r="L4" s="133" t="inlineStr">
        <is>
          <t>Notes</t>
        </is>
      </c>
    </row>
    <row r="5">
      <c r="A5" s="125" t="n"/>
      <c r="B5" s="125" t="n"/>
      <c r="C5" s="125" t="n"/>
      <c r="D5" s="125" t="n"/>
      <c r="E5" s="126" t="n"/>
      <c r="F5" s="125" t="n"/>
      <c r="G5" s="125" t="n"/>
      <c r="H5" s="125" t="n"/>
      <c r="I5" s="125" t="n"/>
      <c r="J5" s="125" t="n"/>
      <c r="K5" s="125" t="n"/>
      <c r="L5" s="125" t="n"/>
    </row>
    <row r="6">
      <c r="A6" s="125" t="n"/>
      <c r="B6" s="125" t="n"/>
      <c r="C6" s="125" t="n"/>
      <c r="D6" s="125" t="n"/>
      <c r="E6" s="126" t="n"/>
      <c r="F6" s="125" t="n"/>
      <c r="G6" s="125" t="n"/>
      <c r="H6" s="125" t="n"/>
      <c r="I6" s="125" t="n"/>
      <c r="J6" s="125" t="n"/>
      <c r="K6" s="125" t="n"/>
      <c r="L6" s="125" t="n"/>
    </row>
    <row r="7">
      <c r="A7" s="125" t="n"/>
      <c r="B7" s="125" t="n"/>
      <c r="C7" s="125" t="n"/>
      <c r="D7" s="125" t="n"/>
      <c r="E7" s="126" t="n"/>
      <c r="F7" s="125" t="n"/>
      <c r="G7" s="125" t="n"/>
      <c r="H7" s="125" t="n"/>
      <c r="I7" s="125" t="n"/>
      <c r="J7" s="125" t="n"/>
      <c r="K7" s="125" t="n"/>
      <c r="L7" s="125" t="n"/>
    </row>
    <row r="8">
      <c r="A8" s="125" t="n"/>
      <c r="B8" s="125" t="n"/>
      <c r="C8" s="125" t="n"/>
      <c r="D8" s="125" t="n"/>
      <c r="E8" s="126" t="n"/>
      <c r="F8" s="125" t="n"/>
      <c r="G8" s="125" t="n"/>
      <c r="H8" s="125" t="n"/>
      <c r="I8" s="125" t="n"/>
      <c r="J8" s="125" t="n"/>
      <c r="K8" s="125" t="n"/>
      <c r="L8" s="125" t="n"/>
    </row>
    <row r="9">
      <c r="A9" s="125" t="n"/>
      <c r="B9" s="125" t="n"/>
      <c r="C9" s="125" t="n"/>
      <c r="D9" s="125" t="n"/>
      <c r="E9" s="126" t="n"/>
      <c r="F9" s="125" t="n"/>
      <c r="G9" s="125" t="n"/>
      <c r="H9" s="125" t="n"/>
      <c r="I9" s="125" t="n"/>
      <c r="J9" s="125" t="n"/>
      <c r="K9" s="125" t="n"/>
      <c r="L9" s="125" t="n"/>
    </row>
    <row r="10">
      <c r="A10" s="125" t="n"/>
      <c r="B10" s="125" t="n"/>
      <c r="C10" s="125" t="n"/>
      <c r="D10" s="125" t="n"/>
      <c r="E10" s="126" t="n"/>
      <c r="F10" s="125" t="n"/>
      <c r="G10" s="125" t="n"/>
      <c r="H10" s="125" t="n"/>
      <c r="I10" s="125" t="n"/>
      <c r="J10" s="125" t="n"/>
      <c r="K10" s="125" t="n"/>
      <c r="L10" s="125" t="n"/>
    </row>
    <row r="11">
      <c r="A11" s="125" t="n"/>
      <c r="B11" s="125" t="n"/>
      <c r="C11" s="125" t="n"/>
      <c r="D11" s="125" t="n"/>
      <c r="E11" s="126" t="n"/>
      <c r="F11" s="125" t="n"/>
      <c r="G11" s="125" t="n"/>
      <c r="H11" s="125" t="n"/>
      <c r="I11" s="125" t="n"/>
      <c r="J11" s="125" t="n"/>
      <c r="K11" s="125" t="n"/>
      <c r="L11" s="125" t="n"/>
    </row>
    <row r="12">
      <c r="A12" s="125" t="n"/>
      <c r="B12" s="125" t="n"/>
      <c r="C12" s="125" t="n"/>
      <c r="D12" s="125" t="n"/>
      <c r="E12" s="126" t="n"/>
      <c r="F12" s="125" t="n"/>
      <c r="G12" s="125" t="n"/>
      <c r="H12" s="125" t="n"/>
      <c r="I12" s="134" t="n"/>
      <c r="J12" s="125" t="n"/>
      <c r="K12" s="125" t="n"/>
      <c r="L12" s="125" t="n"/>
    </row>
    <row r="13">
      <c r="A13" s="125" t="n"/>
      <c r="B13" s="125" t="n"/>
      <c r="C13" s="125" t="n"/>
      <c r="D13" s="125" t="n"/>
      <c r="E13" s="126" t="n"/>
      <c r="F13" s="125" t="n"/>
      <c r="G13" s="125" t="n"/>
      <c r="H13" s="125" t="n"/>
      <c r="I13" s="134" t="n"/>
      <c r="J13" s="125" t="n"/>
      <c r="K13" s="125" t="n"/>
      <c r="L13" s="125" t="n"/>
    </row>
    <row r="14">
      <c r="A14" s="125" t="n"/>
      <c r="B14" s="125" t="n"/>
      <c r="C14" s="125" t="n"/>
      <c r="D14" s="125" t="n"/>
      <c r="E14" s="126" t="n"/>
      <c r="F14" s="125" t="n"/>
      <c r="G14" s="125" t="n"/>
      <c r="H14" s="125" t="n"/>
      <c r="I14" s="125" t="n"/>
      <c r="J14" s="125" t="n"/>
      <c r="K14" s="125" t="n"/>
      <c r="L14" s="125" t="n"/>
    </row>
    <row r="15">
      <c r="A15" s="125" t="n"/>
      <c r="B15" s="125" t="n"/>
      <c r="C15" s="125" t="n"/>
      <c r="D15" s="125" t="n"/>
      <c r="E15" s="126" t="n"/>
      <c r="F15" s="125" t="n"/>
      <c r="G15" s="125" t="n"/>
      <c r="H15" s="125" t="n"/>
      <c r="I15" s="125" t="n"/>
      <c r="J15" s="125" t="n"/>
      <c r="K15" s="125" t="n"/>
      <c r="L15" s="125" t="n"/>
    </row>
    <row r="16">
      <c r="A16" s="125" t="n"/>
      <c r="B16" s="125" t="n"/>
      <c r="C16" s="125" t="n"/>
      <c r="D16" s="125" t="n"/>
      <c r="E16" s="126" t="n"/>
      <c r="F16" s="125" t="n"/>
      <c r="G16" s="125" t="n"/>
      <c r="H16" s="125" t="n"/>
      <c r="I16" s="125" t="n"/>
      <c r="J16" s="125" t="n"/>
      <c r="K16" s="125" t="n"/>
      <c r="L16" s="125" t="n"/>
    </row>
    <row r="17">
      <c r="A17" s="125" t="n"/>
      <c r="B17" s="125" t="n"/>
      <c r="C17" s="125" t="n"/>
      <c r="D17" s="125" t="n"/>
      <c r="E17" s="126" t="n"/>
      <c r="F17" s="125" t="n"/>
      <c r="G17" s="125" t="n"/>
      <c r="H17" s="125" t="n"/>
      <c r="I17" s="125" t="n"/>
      <c r="J17" s="125" t="n"/>
      <c r="K17" s="125" t="n"/>
      <c r="L17" s="125" t="n"/>
    </row>
    <row r="18">
      <c r="A18" s="125" t="n"/>
      <c r="B18" s="125" t="n"/>
      <c r="C18" s="125" t="n"/>
      <c r="D18" s="125" t="n"/>
      <c r="E18" s="126" t="n"/>
      <c r="F18" s="125" t="n"/>
      <c r="G18" s="125" t="n"/>
      <c r="H18" s="125" t="n"/>
      <c r="I18" s="134" t="n"/>
      <c r="J18" s="125" t="n"/>
      <c r="K18" s="125" t="n"/>
      <c r="L18" s="125" t="n"/>
    </row>
    <row r="19">
      <c r="A19" s="125" t="n"/>
      <c r="B19" s="125" t="n"/>
      <c r="C19" s="125" t="n"/>
      <c r="D19" s="125" t="n"/>
      <c r="E19" s="126" t="n"/>
      <c r="F19" s="125" t="n"/>
      <c r="G19" s="125" t="n"/>
      <c r="H19" s="125" t="n"/>
      <c r="I19" s="134" t="n"/>
      <c r="J19" s="125" t="n"/>
      <c r="K19" s="125" t="n"/>
      <c r="L19" s="125" t="n"/>
    </row>
    <row r="20">
      <c r="A20" s="125" t="n"/>
      <c r="B20" s="125" t="n"/>
      <c r="C20" s="125" t="n"/>
      <c r="D20" s="125" t="n"/>
      <c r="E20" s="126" t="n"/>
      <c r="F20" s="125" t="n"/>
      <c r="G20" s="125" t="n"/>
      <c r="H20" s="125" t="n"/>
      <c r="I20" s="134" t="n"/>
      <c r="J20" s="125" t="n"/>
      <c r="K20" s="125" t="n"/>
      <c r="L20" s="125" t="n"/>
    </row>
    <row r="21">
      <c r="A21" s="125" t="n"/>
      <c r="B21" s="125" t="n"/>
      <c r="C21" s="125" t="n"/>
      <c r="D21" s="125" t="n"/>
      <c r="E21" s="126" t="n"/>
      <c r="F21" s="125" t="n"/>
      <c r="G21" s="125" t="n"/>
      <c r="H21" s="125" t="n"/>
      <c r="I21" s="134" t="n"/>
      <c r="J21" s="125" t="n"/>
      <c r="K21" s="125" t="n"/>
      <c r="L21" s="125" t="n"/>
    </row>
    <row r="22">
      <c r="A22" s="125" t="n"/>
      <c r="B22" s="125" t="n"/>
      <c r="C22" s="125" t="n"/>
      <c r="D22" s="125" t="n"/>
      <c r="E22" s="126" t="n"/>
      <c r="F22" s="125" t="n"/>
      <c r="G22" s="125" t="n"/>
      <c r="H22" s="125" t="n"/>
      <c r="I22" s="134" t="n"/>
      <c r="J22" s="125" t="n"/>
      <c r="K22" s="125" t="n"/>
      <c r="L22" s="125" t="n"/>
    </row>
    <row r="23">
      <c r="A23" s="125" t="n"/>
      <c r="B23" s="125" t="n"/>
      <c r="C23" s="125" t="n"/>
      <c r="D23" s="125" t="n"/>
      <c r="E23" s="126" t="n"/>
      <c r="F23" s="125" t="n"/>
      <c r="G23" s="125" t="n"/>
      <c r="H23" s="125" t="n"/>
      <c r="I23" s="134" t="n"/>
      <c r="J23" s="125" t="n"/>
      <c r="K23" s="125" t="n"/>
      <c r="L23" s="125" t="n"/>
    </row>
    <row r="24">
      <c r="A24" s="125" t="n"/>
      <c r="B24" s="125" t="n"/>
      <c r="C24" s="125" t="n"/>
      <c r="D24" s="125" t="n"/>
      <c r="E24" s="126" t="n"/>
      <c r="F24" s="125" t="n"/>
      <c r="G24" s="125" t="n"/>
      <c r="H24" s="125" t="n"/>
      <c r="I24" s="134" t="n"/>
      <c r="J24" s="125" t="n"/>
      <c r="K24" s="125" t="n"/>
      <c r="L24" s="125" t="n"/>
    </row>
    <row r="25">
      <c r="A25" s="125" t="n"/>
      <c r="B25" s="125" t="n"/>
      <c r="C25" s="125" t="n"/>
      <c r="D25" s="125" t="n"/>
      <c r="E25" s="126" t="n"/>
      <c r="F25" s="125" t="n"/>
      <c r="G25" s="125" t="n"/>
      <c r="H25" s="125" t="n"/>
      <c r="I25" s="134" t="n"/>
      <c r="J25" s="125" t="n"/>
      <c r="K25" s="125" t="n"/>
      <c r="L25" s="125" t="n"/>
    </row>
    <row r="26">
      <c r="A26" s="125" t="n"/>
      <c r="B26" s="125" t="n"/>
      <c r="C26" s="125" t="n"/>
      <c r="D26" s="125" t="n"/>
      <c r="E26" s="126" t="n"/>
      <c r="F26" s="125" t="n"/>
      <c r="G26" s="125" t="n"/>
      <c r="H26" s="125" t="n"/>
      <c r="I26" s="134" t="n"/>
      <c r="J26" s="125" t="n"/>
      <c r="K26" s="125" t="n"/>
      <c r="L26" s="125" t="n"/>
    </row>
    <row r="27">
      <c r="A27" s="125" t="n"/>
      <c r="B27" s="125" t="n"/>
      <c r="C27" s="125" t="n"/>
      <c r="D27" s="125" t="n"/>
      <c r="E27" s="126" t="n"/>
      <c r="F27" s="125" t="n"/>
      <c r="G27" s="125" t="n"/>
      <c r="H27" s="125" t="n"/>
      <c r="I27" s="134" t="n"/>
      <c r="J27" s="125" t="n"/>
      <c r="K27" s="125" t="n"/>
      <c r="L27" s="125" t="n"/>
    </row>
    <row r="28">
      <c r="A28" s="125" t="n"/>
      <c r="B28" s="125" t="n"/>
      <c r="C28" s="125" t="n"/>
      <c r="D28" s="125" t="n"/>
      <c r="E28" s="126" t="n"/>
      <c r="F28" s="125" t="n"/>
      <c r="G28" s="125" t="n"/>
      <c r="H28" s="125" t="n"/>
      <c r="I28" s="125" t="n"/>
      <c r="J28" s="125" t="n"/>
      <c r="K28" s="125" t="n"/>
      <c r="L28" s="125" t="n"/>
    </row>
    <row r="29">
      <c r="A29" s="125" t="n"/>
      <c r="B29" s="125" t="n"/>
      <c r="C29" s="125" t="n"/>
      <c r="D29" s="125" t="n"/>
      <c r="E29" s="126" t="n"/>
      <c r="F29" s="125" t="n"/>
      <c r="G29" s="125" t="n"/>
      <c r="H29" s="125" t="n"/>
      <c r="I29" s="125" t="n"/>
      <c r="J29" s="125" t="n"/>
      <c r="K29" s="125" t="n"/>
      <c r="L29" s="125" t="n"/>
    </row>
    <row r="32" ht="16" customHeight="1" s="230">
      <c r="A32" s="282" t="n"/>
    </row>
    <row r="33" ht="22" customHeight="1" s="230">
      <c r="A33" s="170" t="n"/>
      <c r="B33" s="170" t="n"/>
      <c r="C33" s="170" t="n"/>
      <c r="D33" s="170" t="n"/>
      <c r="E33" s="170" t="n"/>
      <c r="F33" s="170" t="n"/>
      <c r="G33" s="170" t="n"/>
      <c r="H33" s="170" t="n"/>
      <c r="I33" s="170" t="n"/>
      <c r="J33" s="170" t="n"/>
      <c r="K33" s="170" t="n"/>
      <c r="L33" s="170" t="n"/>
    </row>
    <row r="34">
      <c r="A34" s="125" t="n"/>
      <c r="B34" s="125" t="n"/>
      <c r="C34" s="125" t="n"/>
      <c r="D34" s="126" t="n"/>
      <c r="E34" s="125" t="n"/>
      <c r="F34" s="171" t="n"/>
      <c r="G34" s="125" t="n"/>
      <c r="H34" s="125" t="n"/>
      <c r="I34" s="125" t="n"/>
      <c r="J34" s="125" t="n"/>
      <c r="K34" s="125" t="n"/>
      <c r="L34" s="125" t="n"/>
    </row>
    <row r="35">
      <c r="A35" s="129" t="n"/>
      <c r="B35" s="129" t="n"/>
      <c r="C35" s="129" t="n"/>
      <c r="D35" s="130" t="n"/>
      <c r="E35" s="129" t="n"/>
      <c r="F35" s="158" t="n"/>
      <c r="G35" s="129" t="n"/>
      <c r="H35" s="129" t="n"/>
      <c r="I35" s="129" t="n"/>
      <c r="J35" s="129" t="n"/>
      <c r="K35" s="129" t="n"/>
      <c r="L35" s="129" t="n"/>
    </row>
    <row r="36">
      <c r="A36" s="125" t="n"/>
      <c r="B36" s="125" t="n"/>
      <c r="C36" s="125" t="n"/>
      <c r="D36" s="126" t="n"/>
      <c r="E36" s="125" t="n"/>
      <c r="F36" s="158" t="n"/>
      <c r="G36" s="125" t="n"/>
      <c r="H36" s="125" t="n"/>
      <c r="I36" s="125" t="n"/>
      <c r="J36" s="125" t="n"/>
      <c r="K36" s="125" t="n"/>
      <c r="L36" s="125" t="n"/>
    </row>
    <row r="37">
      <c r="A37" s="129" t="n"/>
      <c r="B37" s="129" t="n"/>
      <c r="C37" s="129" t="n"/>
      <c r="D37" s="130" t="n"/>
      <c r="E37" s="129" t="n"/>
      <c r="F37" s="158" t="n"/>
      <c r="G37" s="129" t="n"/>
      <c r="H37" s="129" t="n"/>
      <c r="I37" s="129" t="n"/>
      <c r="J37" s="129" t="n"/>
      <c r="K37" s="129" t="n"/>
      <c r="L37" s="129" t="n"/>
    </row>
    <row r="38">
      <c r="A38" s="125" t="n"/>
      <c r="B38" s="125" t="n"/>
      <c r="C38" s="125" t="n"/>
      <c r="D38" s="126" t="n"/>
      <c r="E38" s="125" t="n"/>
      <c r="F38" s="158" t="n"/>
      <c r="G38" s="125" t="n"/>
      <c r="H38" s="125" t="n"/>
      <c r="I38" s="125" t="n"/>
      <c r="J38" s="125" t="n"/>
      <c r="K38" s="125" t="n"/>
      <c r="L38" s="125" t="n"/>
    </row>
    <row r="39">
      <c r="A39" s="129" t="n"/>
      <c r="B39" s="129" t="n"/>
      <c r="C39" s="129" t="n"/>
      <c r="D39" s="130" t="n"/>
      <c r="E39" s="129" t="n"/>
      <c r="F39" s="158" t="n"/>
      <c r="G39" s="129" t="n"/>
      <c r="H39" s="129" t="n"/>
      <c r="I39" s="129" t="n"/>
      <c r="J39" s="129" t="n"/>
      <c r="K39" s="129" t="n"/>
      <c r="L39" s="129" t="n"/>
    </row>
    <row r="40">
      <c r="A40" s="125" t="n"/>
      <c r="B40" s="125" t="n"/>
      <c r="C40" s="125" t="n"/>
      <c r="D40" s="126" t="n"/>
      <c r="E40" s="125" t="n"/>
      <c r="F40" s="158" t="n"/>
      <c r="G40" s="125" t="n"/>
      <c r="H40" s="125" t="n"/>
      <c r="I40" s="125" t="n"/>
      <c r="J40" s="125" t="n"/>
      <c r="K40" s="125" t="n"/>
      <c r="L40" s="125" t="n"/>
    </row>
    <row r="41">
      <c r="A41" s="129" t="n"/>
      <c r="B41" s="129" t="n"/>
      <c r="C41" s="129" t="n"/>
      <c r="D41" s="130" t="n"/>
      <c r="E41" s="129" t="n"/>
      <c r="F41" s="134" t="n"/>
      <c r="G41" s="129" t="n"/>
      <c r="H41" s="129" t="n"/>
      <c r="I41" s="129" t="n"/>
      <c r="J41" s="129" t="n"/>
      <c r="K41" s="129" t="n"/>
      <c r="L41" s="129" t="n"/>
    </row>
    <row r="42">
      <c r="A42" s="125" t="n"/>
      <c r="B42" s="125" t="n"/>
      <c r="C42" s="125" t="n"/>
      <c r="D42" s="126" t="n"/>
      <c r="E42" s="125" t="n"/>
      <c r="F42" s="134" t="n"/>
      <c r="G42" s="125" t="n"/>
      <c r="H42" s="125" t="n"/>
      <c r="I42" s="125" t="n"/>
      <c r="J42" s="125" t="n"/>
      <c r="K42" s="125" t="n"/>
      <c r="L42" s="125" t="n"/>
    </row>
    <row r="43">
      <c r="A43" s="129" t="n"/>
      <c r="B43" s="129" t="n"/>
      <c r="C43" s="129" t="n"/>
      <c r="D43" s="130" t="n"/>
      <c r="E43" s="129" t="n"/>
      <c r="F43" s="158" t="n"/>
      <c r="G43" s="129" t="n"/>
      <c r="H43" s="129" t="n"/>
      <c r="I43" s="129" t="n"/>
      <c r="J43" s="129" t="n"/>
      <c r="K43" s="129" t="n"/>
      <c r="L43" s="129" t="n"/>
    </row>
    <row r="44">
      <c r="A44" s="125" t="n"/>
      <c r="B44" s="125" t="n"/>
      <c r="C44" s="125" t="n"/>
      <c r="D44" s="126" t="n"/>
      <c r="E44" s="125" t="n"/>
      <c r="F44" s="158" t="n"/>
      <c r="G44" s="125" t="n"/>
      <c r="H44" s="125" t="n"/>
      <c r="I44" s="125" t="n"/>
      <c r="J44" s="125" t="n"/>
      <c r="K44" s="125" t="n"/>
      <c r="L44" s="125" t="n"/>
    </row>
    <row r="45">
      <c r="A45" s="129" t="n"/>
      <c r="B45" s="129" t="n"/>
      <c r="C45" s="129" t="n"/>
      <c r="D45" s="130" t="n"/>
      <c r="E45" s="129" t="n"/>
      <c r="F45" s="171" t="n"/>
      <c r="G45" s="129" t="n"/>
      <c r="H45" s="129" t="n"/>
      <c r="I45" s="129" t="n"/>
      <c r="J45" s="129" t="n"/>
      <c r="K45" s="129" t="n"/>
      <c r="L45" s="129" t="n"/>
    </row>
    <row r="46">
      <c r="A46" s="125" t="n"/>
      <c r="B46" s="125" t="n"/>
      <c r="C46" s="125" t="n"/>
      <c r="D46" s="126" t="n"/>
      <c r="E46" s="125" t="n"/>
      <c r="F46" s="158" t="n"/>
      <c r="G46" s="125" t="n"/>
      <c r="H46" s="125" t="n"/>
      <c r="I46" s="125" t="n"/>
      <c r="J46" s="125" t="n"/>
      <c r="K46" s="125" t="n"/>
      <c r="L46" s="125" t="n"/>
    </row>
    <row r="47">
      <c r="A47" s="129" t="n"/>
      <c r="B47" s="129" t="n"/>
      <c r="C47" s="129" t="n"/>
      <c r="D47" s="130" t="n"/>
      <c r="E47" s="129" t="n"/>
      <c r="F47" s="134" t="n"/>
      <c r="G47" s="129" t="n"/>
      <c r="H47" s="129" t="n"/>
      <c r="I47" s="129" t="n"/>
      <c r="J47" s="129" t="n"/>
      <c r="K47" s="129" t="n"/>
      <c r="L47" s="129" t="n"/>
    </row>
    <row r="48">
      <c r="A48" s="125" t="n"/>
      <c r="B48" s="125" t="n"/>
      <c r="C48" s="125" t="n"/>
      <c r="D48" s="126" t="n"/>
      <c r="E48" s="125" t="n"/>
      <c r="F48" s="134" t="n"/>
      <c r="G48" s="125" t="n"/>
      <c r="H48" s="125" t="n"/>
      <c r="I48" s="125" t="n"/>
      <c r="J48" s="125" t="n"/>
      <c r="K48" s="125" t="n"/>
      <c r="L48" s="125" t="n"/>
    </row>
    <row r="49">
      <c r="A49" s="129" t="n"/>
      <c r="B49" s="129" t="n"/>
      <c r="C49" s="129" t="n"/>
      <c r="D49" s="130" t="n"/>
      <c r="E49" s="129" t="n"/>
      <c r="F49" s="134" t="n"/>
      <c r="G49" s="129" t="n"/>
      <c r="H49" s="129" t="n"/>
      <c r="I49" s="129" t="n"/>
      <c r="J49" s="129" t="n"/>
      <c r="K49" s="129" t="n"/>
      <c r="L49" s="129" t="n"/>
    </row>
    <row r="50">
      <c r="A50" s="125" t="n"/>
      <c r="B50" s="125" t="n"/>
      <c r="C50" s="125" t="n"/>
      <c r="D50" s="126" t="n"/>
      <c r="E50" s="125" t="n"/>
      <c r="F50" s="134" t="n"/>
      <c r="G50" s="125" t="n"/>
      <c r="H50" s="125" t="n"/>
      <c r="I50" s="125" t="n"/>
      <c r="J50" s="125" t="n"/>
      <c r="K50" s="125" t="n"/>
      <c r="L50" s="125" t="n"/>
    </row>
    <row r="51">
      <c r="A51" s="129" t="n"/>
      <c r="B51" s="129" t="n"/>
      <c r="C51" s="129" t="n"/>
      <c r="D51" s="130" t="n"/>
      <c r="E51" s="129" t="n"/>
      <c r="F51" s="134" t="n"/>
      <c r="G51" s="129" t="n"/>
      <c r="H51" s="129" t="n"/>
      <c r="I51" s="129" t="n"/>
      <c r="J51" s="129" t="n"/>
      <c r="K51" s="129" t="n"/>
      <c r="L51" s="129" t="n"/>
    </row>
    <row r="52">
      <c r="A52" s="125" t="n"/>
      <c r="B52" s="125" t="n"/>
      <c r="C52" s="125" t="n"/>
      <c r="D52" s="126" t="n"/>
      <c r="E52" s="125" t="n"/>
      <c r="F52" s="134" t="n"/>
      <c r="G52" s="125" t="n"/>
      <c r="H52" s="125" t="n"/>
      <c r="I52" s="125" t="n"/>
      <c r="J52" s="125" t="n"/>
      <c r="K52" s="125" t="n"/>
      <c r="L52" s="125" t="n"/>
    </row>
    <row r="53">
      <c r="A53" s="129" t="n"/>
      <c r="B53" s="129" t="n"/>
      <c r="C53" s="129" t="n"/>
      <c r="D53" s="130" t="n"/>
      <c r="E53" s="129" t="n"/>
      <c r="F53" s="134" t="n"/>
      <c r="G53" s="129" t="n"/>
      <c r="H53" s="129" t="n"/>
      <c r="I53" s="129" t="n"/>
      <c r="J53" s="129" t="n"/>
      <c r="K53" s="129" t="n"/>
      <c r="L53" s="129" t="n"/>
    </row>
    <row r="54">
      <c r="A54" s="125" t="n"/>
      <c r="B54" s="125" t="n"/>
      <c r="C54" s="125" t="n"/>
      <c r="D54" s="126" t="n"/>
      <c r="E54" s="125" t="n"/>
      <c r="F54" s="134" t="n"/>
      <c r="G54" s="125" t="n"/>
      <c r="H54" s="125" t="n"/>
      <c r="I54" s="125" t="n"/>
      <c r="J54" s="125" t="n"/>
      <c r="K54" s="125" t="n"/>
      <c r="L54" s="125" t="n"/>
    </row>
    <row r="55">
      <c r="A55" s="129" t="n"/>
      <c r="B55" s="129" t="n"/>
      <c r="C55" s="129" t="n"/>
      <c r="D55" s="130" t="n"/>
      <c r="E55" s="129" t="n"/>
      <c r="F55" s="134" t="n"/>
      <c r="G55" s="129" t="n"/>
      <c r="H55" s="129" t="n"/>
      <c r="I55" s="129" t="n"/>
      <c r="J55" s="129" t="n"/>
      <c r="K55" s="129" t="n"/>
      <c r="L55" s="129" t="n"/>
    </row>
    <row r="56">
      <c r="A56" s="125" t="n"/>
      <c r="B56" s="125" t="n"/>
      <c r="C56" s="125" t="n"/>
      <c r="D56" s="126" t="n"/>
      <c r="E56" s="125" t="n"/>
      <c r="F56" s="134" t="n"/>
      <c r="G56" s="125" t="n"/>
      <c r="H56" s="125" t="n"/>
      <c r="I56" s="125" t="n"/>
      <c r="J56" s="125" t="n"/>
      <c r="K56" s="125" t="n"/>
      <c r="L56" s="125" t="n"/>
    </row>
    <row r="57">
      <c r="A57" s="129" t="n"/>
      <c r="B57" s="129" t="n"/>
      <c r="C57" s="129" t="n"/>
      <c r="D57" s="130" t="n"/>
      <c r="E57" s="129" t="n"/>
      <c r="F57" s="171" t="n"/>
      <c r="G57" s="129" t="n"/>
      <c r="H57" s="129" t="n"/>
      <c r="I57" s="129" t="n"/>
      <c r="J57" s="129" t="n"/>
      <c r="K57" s="129" t="n"/>
      <c r="L57" s="129" t="n"/>
    </row>
    <row r="58">
      <c r="A58" s="125" t="n"/>
      <c r="B58" s="125" t="n"/>
      <c r="C58" s="125" t="n"/>
      <c r="D58" s="126" t="n"/>
      <c r="E58" s="125" t="n"/>
      <c r="F58" s="171" t="n"/>
      <c r="G58" s="125" t="n"/>
      <c r="H58" s="125" t="n"/>
      <c r="I58" s="125" t="n"/>
      <c r="J58" s="125" t="n"/>
      <c r="K58" s="125" t="n"/>
      <c r="L58" s="125" t="n"/>
    </row>
    <row r="59">
      <c r="A59" s="129" t="n"/>
      <c r="B59" s="129" t="n"/>
      <c r="C59" s="129" t="n"/>
      <c r="D59" s="130" t="n"/>
      <c r="E59" s="129" t="n"/>
      <c r="F59" s="158" t="n"/>
      <c r="G59" s="129" t="n"/>
      <c r="H59" s="129" t="n"/>
      <c r="I59" s="129" t="n"/>
      <c r="J59" s="129" t="n"/>
      <c r="K59" s="129" t="n"/>
      <c r="L59" s="129" t="n"/>
    </row>
    <row r="60">
      <c r="A60" s="125" t="n"/>
      <c r="B60" s="125" t="n"/>
      <c r="C60" s="125" t="n"/>
      <c r="D60" s="126" t="n"/>
      <c r="E60" s="125" t="n"/>
      <c r="F60" s="158" t="n"/>
      <c r="G60" s="125" t="n"/>
      <c r="H60" s="125" t="n"/>
      <c r="I60" s="125" t="n"/>
      <c r="J60" s="125" t="n"/>
      <c r="K60" s="125" t="n"/>
      <c r="L60" s="125" t="n"/>
    </row>
    <row r="61">
      <c r="A61" s="129" t="n"/>
      <c r="B61" s="129" t="n"/>
      <c r="C61" s="129" t="n"/>
      <c r="D61" s="130" t="n"/>
      <c r="E61" s="129" t="n"/>
      <c r="F61" s="158" t="n"/>
      <c r="G61" s="129" t="n"/>
      <c r="H61" s="129" t="n"/>
      <c r="I61" s="129" t="n"/>
      <c r="J61" s="129" t="n"/>
      <c r="K61" s="129" t="n"/>
      <c r="L61" s="129" t="n"/>
    </row>
    <row r="62">
      <c r="A62" s="125" t="n"/>
      <c r="B62" s="125" t="n"/>
      <c r="C62" s="125" t="n"/>
      <c r="D62" s="126" t="n"/>
      <c r="E62" s="125" t="n"/>
      <c r="F62" s="158" t="n"/>
      <c r="G62" s="125" t="n"/>
      <c r="H62" s="125" t="n"/>
      <c r="I62" s="125" t="n"/>
      <c r="J62" s="125" t="n"/>
      <c r="K62" s="125" t="n"/>
      <c r="L62" s="125" t="n"/>
    </row>
    <row r="63">
      <c r="A63" s="129" t="n"/>
      <c r="B63" s="129" t="n"/>
      <c r="C63" s="129" t="n"/>
      <c r="D63" s="130" t="n"/>
      <c r="E63" s="129" t="n"/>
      <c r="F63" s="158" t="n"/>
      <c r="G63" s="129" t="n"/>
      <c r="H63" s="129" t="n"/>
      <c r="I63" s="129" t="n"/>
      <c r="J63" s="129" t="n"/>
      <c r="K63" s="129" t="n"/>
      <c r="L63" s="129" t="n"/>
    </row>
    <row r="64">
      <c r="A64" s="125" t="n"/>
      <c r="B64" s="125" t="n"/>
      <c r="C64" s="125" t="n"/>
      <c r="D64" s="126" t="n"/>
      <c r="E64" s="125" t="n"/>
      <c r="F64" s="134" t="n"/>
      <c r="G64" s="125" t="n"/>
      <c r="H64" s="125" t="n"/>
      <c r="I64" s="125" t="n"/>
      <c r="J64" s="125" t="n"/>
      <c r="K64" s="125" t="n"/>
      <c r="L64" s="125" t="n"/>
    </row>
    <row r="65">
      <c r="A65" s="129" t="n"/>
      <c r="B65" s="129" t="n"/>
      <c r="C65" s="129" t="n"/>
      <c r="D65" s="130" t="n"/>
      <c r="E65" s="129" t="n"/>
      <c r="F65" s="134" t="n"/>
      <c r="G65" s="129" t="n"/>
      <c r="H65" s="129" t="n"/>
      <c r="I65" s="129" t="n"/>
      <c r="J65" s="129" t="n"/>
      <c r="K65" s="129" t="n"/>
      <c r="L65" s="129" t="n"/>
    </row>
    <row r="66">
      <c r="A66" s="125" t="n"/>
      <c r="B66" s="125" t="n"/>
      <c r="C66" s="125" t="n"/>
      <c r="D66" s="126" t="n"/>
      <c r="E66" s="125" t="n"/>
      <c r="F66" s="134" t="n"/>
      <c r="G66" s="125" t="n"/>
      <c r="H66" s="125" t="n"/>
      <c r="I66" s="125" t="n"/>
      <c r="J66" s="125" t="n"/>
      <c r="K66" s="125" t="n"/>
      <c r="L66" s="125" t="n"/>
    </row>
    <row r="67">
      <c r="A67" s="129" t="n"/>
      <c r="B67" s="129" t="n"/>
      <c r="C67" s="129" t="n"/>
      <c r="D67" s="130" t="n"/>
      <c r="E67" s="129" t="n"/>
      <c r="F67" s="134" t="n"/>
      <c r="G67" s="129" t="n"/>
      <c r="H67" s="129" t="n"/>
      <c r="I67" s="129" t="n"/>
      <c r="J67" s="129" t="n"/>
      <c r="K67" s="129" t="n"/>
      <c r="L67" s="129" t="n"/>
    </row>
    <row r="68">
      <c r="A68" s="125" t="n"/>
      <c r="B68" s="125" t="n"/>
      <c r="C68" s="125" t="n"/>
      <c r="D68" s="126" t="n"/>
      <c r="E68" s="125" t="n"/>
      <c r="F68" s="134" t="n"/>
      <c r="G68" s="125" t="n"/>
      <c r="H68" s="125" t="n"/>
      <c r="I68" s="125" t="n"/>
      <c r="J68" s="125" t="n"/>
      <c r="K68" s="125" t="n"/>
      <c r="L68" s="125" t="n"/>
    </row>
    <row r="69">
      <c r="A69" s="129" t="n"/>
      <c r="B69" s="129" t="n"/>
      <c r="C69" s="129" t="n"/>
      <c r="D69" s="130" t="n"/>
      <c r="E69" s="129" t="n"/>
      <c r="F69" s="134" t="n"/>
      <c r="G69" s="129" t="n"/>
      <c r="H69" s="129" t="n"/>
      <c r="I69" s="129" t="n"/>
      <c r="J69" s="129" t="n"/>
      <c r="K69" s="129" t="n"/>
      <c r="L69" s="129" t="n"/>
    </row>
    <row r="70">
      <c r="A70" s="125" t="n"/>
      <c r="B70" s="125" t="n"/>
      <c r="C70" s="125" t="n"/>
      <c r="D70" s="126" t="n"/>
      <c r="E70" s="125" t="n"/>
      <c r="F70" s="134" t="n"/>
      <c r="G70" s="125" t="n"/>
      <c r="H70" s="125" t="n"/>
      <c r="I70" s="125" t="n"/>
      <c r="J70" s="125" t="n"/>
      <c r="K70" s="125" t="n"/>
      <c r="L70" s="125" t="n"/>
    </row>
    <row r="71">
      <c r="A71" s="129" t="n"/>
      <c r="B71" s="129" t="n"/>
      <c r="C71" s="129" t="n"/>
      <c r="D71" s="130" t="n"/>
      <c r="E71" s="129" t="n"/>
      <c r="F71" s="134" t="n"/>
      <c r="G71" s="129" t="n"/>
      <c r="H71" s="129" t="n"/>
      <c r="I71" s="129" t="n"/>
      <c r="J71" s="129" t="n"/>
      <c r="K71" s="129" t="n"/>
      <c r="L71" s="129" t="n"/>
    </row>
    <row r="72">
      <c r="A72" s="125" t="n"/>
      <c r="B72" s="125" t="n"/>
      <c r="C72" s="125" t="n"/>
      <c r="D72" s="126" t="n"/>
      <c r="E72" s="125" t="n"/>
      <c r="F72" s="134" t="n"/>
      <c r="G72" s="125" t="n"/>
      <c r="H72" s="125" t="n"/>
      <c r="I72" s="125" t="n"/>
      <c r="J72" s="125" t="n"/>
      <c r="K72" s="125" t="n"/>
      <c r="L72" s="125" t="n"/>
    </row>
    <row r="73">
      <c r="A73" s="129" t="n"/>
      <c r="B73" s="129" t="n"/>
      <c r="C73" s="129" t="n"/>
      <c r="D73" s="130" t="n"/>
      <c r="E73" s="129" t="n"/>
      <c r="F73" s="134" t="n"/>
      <c r="G73" s="129" t="n"/>
      <c r="H73" s="129" t="n"/>
      <c r="I73" s="129" t="n"/>
      <c r="J73" s="129" t="n"/>
      <c r="K73" s="129" t="n"/>
      <c r="L73" s="129" t="n"/>
    </row>
    <row r="74">
      <c r="A74" s="125" t="n"/>
      <c r="B74" s="125" t="n"/>
      <c r="C74" s="125" t="n"/>
      <c r="D74" s="126" t="n"/>
      <c r="E74" s="125" t="n"/>
      <c r="F74" s="134" t="n"/>
      <c r="G74" s="125" t="n"/>
      <c r="H74" s="125" t="n"/>
      <c r="I74" s="125" t="n"/>
      <c r="J74" s="125" t="n"/>
      <c r="K74" s="125" t="n"/>
      <c r="L74" s="125" t="n"/>
    </row>
    <row r="75">
      <c r="A75" s="129" t="n"/>
      <c r="B75" s="129" t="n"/>
      <c r="C75" s="129" t="n"/>
      <c r="D75" s="130" t="n"/>
      <c r="E75" s="129" t="n"/>
      <c r="F75" s="134" t="n"/>
      <c r="G75" s="129" t="n"/>
      <c r="H75" s="129" t="n"/>
      <c r="I75" s="129" t="n"/>
      <c r="J75" s="129" t="n"/>
      <c r="K75" s="129" t="n"/>
      <c r="L75" s="129" t="n"/>
    </row>
    <row r="76">
      <c r="A76" s="125" t="n"/>
      <c r="B76" s="125" t="n"/>
      <c r="C76" s="125" t="n"/>
      <c r="D76" s="126" t="n"/>
      <c r="E76" s="125" t="n"/>
      <c r="F76" s="134" t="n"/>
      <c r="G76" s="125" t="n"/>
      <c r="H76" s="125" t="n"/>
      <c r="I76" s="125" t="n"/>
      <c r="J76" s="125" t="n"/>
      <c r="K76" s="125" t="n"/>
      <c r="L76" s="125" t="n"/>
    </row>
    <row r="77">
      <c r="A77" s="129" t="n"/>
      <c r="B77" s="129" t="n"/>
      <c r="C77" s="129" t="n"/>
      <c r="D77" s="130" t="n"/>
      <c r="E77" s="129" t="n"/>
      <c r="F77" s="134" t="n"/>
      <c r="G77" s="129" t="n"/>
      <c r="H77" s="129" t="n"/>
      <c r="I77" s="129" t="n"/>
      <c r="J77" s="129" t="n"/>
      <c r="K77" s="129" t="n"/>
      <c r="L77" s="129" t="n"/>
    </row>
    <row r="78">
      <c r="A78" s="125" t="n"/>
      <c r="B78" s="125" t="n"/>
      <c r="C78" s="125" t="n"/>
      <c r="D78" s="126" t="n"/>
      <c r="E78" s="125" t="n"/>
      <c r="F78" s="134" t="n"/>
      <c r="G78" s="125" t="n"/>
      <c r="H78" s="125" t="n"/>
      <c r="I78" s="125" t="n"/>
      <c r="J78" s="125" t="n"/>
      <c r="K78" s="125" t="n"/>
      <c r="L78" s="125" t="n"/>
    </row>
    <row r="79">
      <c r="A79" s="129" t="n"/>
      <c r="B79" s="129" t="n"/>
      <c r="C79" s="129" t="n"/>
      <c r="D79" s="130" t="n"/>
      <c r="E79" s="129" t="n"/>
      <c r="F79" s="134" t="n"/>
      <c r="G79" s="129" t="n"/>
      <c r="H79" s="129" t="n"/>
      <c r="I79" s="129" t="n"/>
      <c r="J79" s="129" t="n"/>
      <c r="K79" s="129" t="n"/>
      <c r="L79" s="129" t="n"/>
    </row>
    <row r="80">
      <c r="A80" s="125" t="n"/>
      <c r="B80" s="125" t="n"/>
      <c r="C80" s="125" t="n"/>
      <c r="D80" s="126" t="n"/>
      <c r="E80" s="125" t="n"/>
      <c r="F80" s="134" t="n"/>
      <c r="G80" s="125" t="n"/>
      <c r="H80" s="125" t="n"/>
      <c r="I80" s="125" t="n"/>
      <c r="J80" s="125" t="n"/>
      <c r="K80" s="125" t="n"/>
      <c r="L80" s="125" t="n"/>
    </row>
    <row r="81">
      <c r="A81" s="129" t="n"/>
      <c r="B81" s="129" t="n"/>
      <c r="C81" s="129" t="n"/>
      <c r="D81" s="130" t="n"/>
      <c r="E81" s="129" t="n"/>
      <c r="F81" s="134" t="n"/>
      <c r="G81" s="129" t="n"/>
      <c r="H81" s="129" t="n"/>
      <c r="I81" s="129" t="n"/>
      <c r="J81" s="129" t="n"/>
      <c r="K81" s="129" t="n"/>
      <c r="L81" s="129" t="n"/>
    </row>
    <row r="82">
      <c r="A82" s="125" t="n"/>
      <c r="B82" s="125" t="n"/>
      <c r="C82" s="125" t="n"/>
      <c r="D82" s="126" t="n"/>
      <c r="E82" s="125" t="n"/>
      <c r="F82" s="134" t="n"/>
      <c r="G82" s="125" t="n"/>
      <c r="H82" s="125" t="n"/>
      <c r="I82" s="125" t="n"/>
      <c r="J82" s="125" t="n"/>
      <c r="K82" s="125" t="n"/>
      <c r="L82" s="125" t="n"/>
    </row>
    <row r="83">
      <c r="A83" s="129" t="n"/>
      <c r="B83" s="129" t="n"/>
      <c r="C83" s="129" t="n"/>
      <c r="D83" s="130" t="n"/>
      <c r="E83" s="129" t="n"/>
      <c r="F83" s="134" t="n"/>
      <c r="G83" s="129" t="n"/>
      <c r="H83" s="129" t="n"/>
      <c r="I83" s="129" t="n"/>
      <c r="J83" s="129" t="n"/>
      <c r="K83" s="129" t="n"/>
      <c r="L83" s="129" t="n"/>
    </row>
    <row r="84">
      <c r="A84" s="125" t="n"/>
      <c r="B84" s="125" t="n"/>
      <c r="C84" s="125" t="n"/>
      <c r="D84" s="126" t="n"/>
      <c r="E84" s="125" t="n"/>
      <c r="F84" s="134" t="n"/>
      <c r="G84" s="125" t="n"/>
      <c r="H84" s="125" t="n"/>
      <c r="I84" s="125" t="n"/>
      <c r="J84" s="125" t="n"/>
      <c r="K84" s="125" t="n"/>
      <c r="L84" s="125" t="n"/>
    </row>
    <row r="85">
      <c r="A85" s="129" t="n"/>
      <c r="B85" s="129" t="n"/>
      <c r="C85" s="129" t="n"/>
      <c r="D85" s="130" t="n"/>
      <c r="E85" s="129" t="n"/>
      <c r="F85" s="171" t="n"/>
      <c r="G85" s="129" t="n"/>
      <c r="H85" s="129" t="n"/>
      <c r="I85" s="129" t="n"/>
      <c r="J85" s="129" t="n"/>
      <c r="K85" s="129" t="n"/>
      <c r="L85" s="129" t="n"/>
    </row>
    <row r="86">
      <c r="A86" s="125" t="n"/>
      <c r="B86" s="125" t="n"/>
      <c r="C86" s="125" t="n"/>
      <c r="D86" s="126" t="n"/>
      <c r="E86" s="125" t="n"/>
      <c r="F86" s="171" t="n"/>
      <c r="G86" s="125" t="n"/>
      <c r="H86" s="125" t="n"/>
      <c r="I86" s="125" t="n"/>
      <c r="J86" s="125" t="n"/>
      <c r="K86" s="125" t="n"/>
      <c r="L86" s="125" t="n"/>
    </row>
    <row r="87">
      <c r="A87" s="129" t="n"/>
      <c r="B87" s="129" t="n"/>
      <c r="C87" s="129" t="n"/>
      <c r="D87" s="130" t="n"/>
      <c r="E87" s="129" t="n"/>
      <c r="F87" s="171" t="n"/>
      <c r="G87" s="129" t="n"/>
      <c r="H87" s="129" t="n"/>
      <c r="I87" s="129" t="n"/>
      <c r="J87" s="129" t="n"/>
      <c r="K87" s="129" t="n"/>
      <c r="L87" s="129" t="n"/>
    </row>
    <row r="88">
      <c r="A88" s="125" t="n"/>
      <c r="B88" s="125" t="n"/>
      <c r="C88" s="125" t="n"/>
      <c r="D88" s="126" t="n"/>
      <c r="E88" s="125" t="n"/>
      <c r="F88" s="158" t="n"/>
      <c r="G88" s="125" t="n"/>
      <c r="H88" s="125" t="n"/>
      <c r="I88" s="125" t="n"/>
      <c r="J88" s="125" t="n"/>
      <c r="K88" s="125" t="n"/>
      <c r="L88" s="125" t="n"/>
    </row>
    <row r="89">
      <c r="A89" s="129" t="n"/>
      <c r="B89" s="129" t="n"/>
      <c r="C89" s="129" t="n"/>
      <c r="D89" s="130" t="n"/>
      <c r="E89" s="129" t="n"/>
      <c r="F89" s="158" t="n"/>
      <c r="G89" s="129" t="n"/>
      <c r="H89" s="129" t="n"/>
      <c r="I89" s="129" t="n"/>
      <c r="J89" s="129" t="n"/>
      <c r="K89" s="129" t="n"/>
      <c r="L89" s="129" t="n"/>
    </row>
    <row r="90">
      <c r="A90" s="125" t="n"/>
      <c r="B90" s="125" t="n"/>
      <c r="C90" s="125" t="n"/>
      <c r="D90" s="126" t="n"/>
      <c r="E90" s="125" t="n"/>
      <c r="F90" s="158" t="n"/>
      <c r="G90" s="125" t="n"/>
      <c r="H90" s="125" t="n"/>
      <c r="I90" s="125" t="n"/>
      <c r="J90" s="125" t="n"/>
      <c r="K90" s="125" t="n"/>
      <c r="L90" s="125" t="n"/>
    </row>
    <row r="91">
      <c r="A91" s="129" t="n"/>
      <c r="B91" s="129" t="n"/>
      <c r="C91" s="129" t="n"/>
      <c r="D91" s="130" t="n"/>
      <c r="E91" s="129" t="n"/>
      <c r="F91" s="158" t="n"/>
      <c r="G91" s="129" t="n"/>
      <c r="H91" s="129" t="n"/>
      <c r="I91" s="129" t="n"/>
      <c r="J91" s="129" t="n"/>
      <c r="K91" s="129" t="n"/>
      <c r="L91" s="129" t="n"/>
    </row>
    <row r="92">
      <c r="A92" s="125" t="n"/>
      <c r="B92" s="125" t="n"/>
      <c r="C92" s="125" t="n"/>
      <c r="D92" s="126" t="n"/>
      <c r="E92" s="125" t="n"/>
      <c r="F92" s="158" t="n"/>
      <c r="G92" s="125" t="n"/>
      <c r="H92" s="125" t="n"/>
      <c r="I92" s="125" t="n"/>
      <c r="J92" s="125" t="n"/>
      <c r="K92" s="125" t="n"/>
      <c r="L92" s="125" t="n"/>
    </row>
    <row r="93">
      <c r="A93" s="129" t="n"/>
      <c r="B93" s="129" t="n"/>
      <c r="C93" s="129" t="n"/>
      <c r="D93" s="130" t="n"/>
      <c r="E93" s="129" t="n"/>
      <c r="F93" s="158" t="n"/>
      <c r="G93" s="129" t="n"/>
      <c r="H93" s="129" t="n"/>
      <c r="I93" s="129" t="n"/>
      <c r="J93" s="129" t="n"/>
      <c r="K93" s="129" t="n"/>
      <c r="L93" s="129" t="n"/>
    </row>
    <row r="94">
      <c r="A94" s="125" t="n"/>
      <c r="B94" s="125" t="n"/>
      <c r="C94" s="125" t="n"/>
      <c r="D94" s="126" t="n"/>
      <c r="E94" s="125" t="n"/>
      <c r="F94" s="158" t="n"/>
      <c r="G94" s="125" t="n"/>
      <c r="H94" s="125" t="n"/>
      <c r="I94" s="125" t="n"/>
      <c r="J94" s="125" t="n"/>
      <c r="K94" s="125" t="n"/>
      <c r="L94" s="125" t="n"/>
    </row>
    <row r="95">
      <c r="A95" s="129" t="n"/>
      <c r="B95" s="129" t="n"/>
      <c r="C95" s="129" t="n"/>
      <c r="D95" s="130" t="n"/>
      <c r="E95" s="129" t="n"/>
      <c r="F95" s="158" t="n"/>
      <c r="G95" s="129" t="n"/>
      <c r="H95" s="129" t="n"/>
      <c r="I95" s="129" t="n"/>
      <c r="J95" s="129" t="n"/>
      <c r="K95" s="129" t="n"/>
      <c r="L95" s="129" t="n"/>
    </row>
    <row r="96">
      <c r="A96" s="125" t="n"/>
      <c r="B96" s="125" t="n"/>
      <c r="C96" s="125" t="n"/>
      <c r="D96" s="126" t="n"/>
      <c r="E96" s="125" t="n"/>
      <c r="F96" s="158" t="n"/>
      <c r="G96" s="125" t="n"/>
      <c r="H96" s="125" t="n"/>
      <c r="I96" s="125" t="n"/>
      <c r="J96" s="125" t="n"/>
      <c r="K96" s="125" t="n"/>
      <c r="L96" s="125" t="n"/>
    </row>
    <row r="97">
      <c r="A97" s="129" t="n"/>
      <c r="B97" s="129" t="n"/>
      <c r="C97" s="129" t="n"/>
      <c r="D97" s="130" t="n"/>
      <c r="E97" s="129" t="n"/>
      <c r="F97" s="158" t="n"/>
      <c r="G97" s="129" t="n"/>
      <c r="H97" s="129" t="n"/>
      <c r="I97" s="129" t="n"/>
      <c r="J97" s="129" t="n"/>
      <c r="K97" s="129" t="n"/>
      <c r="L97" s="129" t="n"/>
    </row>
    <row r="98">
      <c r="A98" s="125" t="n"/>
      <c r="B98" s="125" t="n"/>
      <c r="C98" s="125" t="n"/>
      <c r="D98" s="126" t="n"/>
      <c r="E98" s="125" t="n"/>
      <c r="F98" s="158" t="n"/>
      <c r="G98" s="125" t="n"/>
      <c r="H98" s="125" t="n"/>
      <c r="I98" s="125" t="n"/>
      <c r="J98" s="125" t="n"/>
      <c r="K98" s="125" t="n"/>
      <c r="L98" s="125" t="n"/>
    </row>
    <row r="99">
      <c r="A99" s="129" t="n"/>
      <c r="B99" s="129" t="n"/>
      <c r="C99" s="129" t="n"/>
      <c r="D99" s="130" t="n"/>
      <c r="E99" s="129" t="n"/>
      <c r="F99" s="158" t="n"/>
      <c r="G99" s="129" t="n"/>
      <c r="H99" s="129" t="n"/>
      <c r="I99" s="129" t="n"/>
      <c r="J99" s="129" t="n"/>
      <c r="K99" s="129" t="n"/>
      <c r="L99" s="129" t="n"/>
    </row>
    <row r="100">
      <c r="A100" s="125" t="n"/>
      <c r="B100" s="125" t="n"/>
      <c r="C100" s="125" t="n"/>
      <c r="D100" s="126" t="n"/>
      <c r="E100" s="125" t="n"/>
      <c r="F100" s="158" t="n"/>
      <c r="G100" s="125" t="n"/>
      <c r="H100" s="125" t="n"/>
      <c r="I100" s="125" t="n"/>
      <c r="J100" s="125" t="n"/>
      <c r="K100" s="125" t="n"/>
      <c r="L100" s="125" t="n"/>
    </row>
    <row r="101">
      <c r="A101" s="129" t="n"/>
      <c r="B101" s="129" t="n"/>
      <c r="C101" s="129" t="n"/>
      <c r="D101" s="130" t="n"/>
      <c r="E101" s="129" t="n"/>
      <c r="F101" s="134" t="n"/>
      <c r="G101" s="129" t="n"/>
      <c r="H101" s="129" t="n"/>
      <c r="I101" s="129" t="n"/>
      <c r="J101" s="129" t="n"/>
      <c r="K101" s="129" t="n"/>
      <c r="L101" s="129" t="n"/>
    </row>
    <row r="102">
      <c r="A102" s="125" t="n"/>
      <c r="B102" s="125" t="n"/>
      <c r="C102" s="125" t="n"/>
      <c r="D102" s="126" t="n"/>
      <c r="E102" s="125" t="n"/>
      <c r="F102" s="134" t="n"/>
      <c r="G102" s="125" t="n"/>
      <c r="H102" s="125" t="n"/>
      <c r="I102" s="125" t="n"/>
      <c r="J102" s="125" t="n"/>
      <c r="K102" s="125" t="n"/>
      <c r="L102" s="125" t="n"/>
    </row>
    <row r="103">
      <c r="A103" s="129" t="n"/>
      <c r="B103" s="129" t="n"/>
      <c r="C103" s="129" t="n"/>
      <c r="D103" s="130" t="n"/>
      <c r="E103" s="129" t="n"/>
      <c r="F103" s="134" t="n"/>
      <c r="G103" s="129" t="n"/>
      <c r="H103" s="129" t="n"/>
      <c r="I103" s="129" t="n"/>
      <c r="J103" s="129" t="n"/>
      <c r="K103" s="129" t="n"/>
      <c r="L103" s="129" t="n"/>
    </row>
    <row r="104">
      <c r="A104" s="125" t="n"/>
      <c r="B104" s="125" t="n"/>
      <c r="C104" s="125" t="n"/>
      <c r="D104" s="126" t="n"/>
      <c r="E104" s="125" t="n"/>
      <c r="F104" s="134" t="n"/>
      <c r="G104" s="125" t="n"/>
      <c r="H104" s="125" t="n"/>
      <c r="I104" s="125" t="n"/>
      <c r="J104" s="125" t="n"/>
      <c r="K104" s="125" t="n"/>
      <c r="L104" s="125" t="n"/>
    </row>
    <row r="105">
      <c r="A105" s="129" t="n"/>
      <c r="B105" s="129" t="n"/>
      <c r="C105" s="129" t="n"/>
      <c r="D105" s="130" t="n"/>
      <c r="E105" s="129" t="n"/>
      <c r="F105" s="171" t="n"/>
      <c r="G105" s="129" t="n"/>
      <c r="H105" s="129" t="n"/>
      <c r="I105" s="129" t="n"/>
      <c r="J105" s="129" t="n"/>
      <c r="K105" s="129" t="n"/>
      <c r="L105" s="129" t="n"/>
    </row>
    <row r="106">
      <c r="A106" s="125" t="n"/>
      <c r="B106" s="125" t="n"/>
      <c r="C106" s="125" t="n"/>
      <c r="D106" s="126" t="n"/>
      <c r="E106" s="125" t="n"/>
      <c r="F106" s="158" t="n"/>
      <c r="G106" s="125" t="n"/>
      <c r="H106" s="125" t="n"/>
      <c r="I106" s="125" t="n"/>
      <c r="J106" s="125" t="n"/>
      <c r="K106" s="125" t="n"/>
      <c r="L106" s="125" t="n"/>
    </row>
    <row r="107">
      <c r="A107" s="129" t="n"/>
      <c r="B107" s="129" t="n"/>
      <c r="C107" s="129" t="n"/>
      <c r="D107" s="130" t="n"/>
      <c r="E107" s="129" t="n"/>
      <c r="F107" s="158" t="n"/>
      <c r="G107" s="129" t="n"/>
      <c r="H107" s="129" t="n"/>
      <c r="I107" s="129" t="n"/>
      <c r="J107" s="129" t="n"/>
      <c r="K107" s="129" t="n"/>
      <c r="L107" s="129" t="n"/>
    </row>
    <row r="108">
      <c r="A108" s="125" t="n"/>
      <c r="B108" s="125" t="n"/>
      <c r="C108" s="125" t="n"/>
      <c r="D108" s="126" t="n"/>
      <c r="E108" s="125" t="n"/>
      <c r="F108" s="134" t="n"/>
      <c r="G108" s="125" t="n"/>
      <c r="H108" s="125" t="n"/>
      <c r="I108" s="125" t="n"/>
      <c r="J108" s="125" t="n"/>
      <c r="K108" s="125" t="n"/>
      <c r="L108" s="125" t="n"/>
    </row>
    <row r="109">
      <c r="A109" s="129" t="n"/>
      <c r="B109" s="129" t="n"/>
      <c r="C109" s="129" t="n"/>
      <c r="D109" s="130" t="n"/>
      <c r="E109" s="129" t="n"/>
      <c r="F109" s="134" t="n"/>
      <c r="G109" s="129" t="n"/>
      <c r="H109" s="129" t="n"/>
      <c r="I109" s="129" t="n"/>
      <c r="J109" s="129" t="n"/>
      <c r="K109" s="129" t="n"/>
      <c r="L109" s="129" t="n"/>
    </row>
    <row r="110">
      <c r="A110" s="125" t="n"/>
      <c r="B110" s="125" t="n"/>
      <c r="C110" s="125" t="n"/>
      <c r="D110" s="126" t="n"/>
      <c r="E110" s="125" t="n"/>
      <c r="F110" s="134" t="n"/>
      <c r="G110" s="125" t="n"/>
      <c r="H110" s="125" t="n"/>
      <c r="I110" s="125" t="n"/>
      <c r="J110" s="125" t="n"/>
      <c r="K110" s="125" t="n"/>
      <c r="L110" s="125" t="n"/>
    </row>
    <row r="111">
      <c r="A111" s="129" t="n"/>
      <c r="B111" s="129" t="n"/>
      <c r="C111" s="129" t="n"/>
      <c r="D111" s="130" t="n"/>
      <c r="E111" s="129" t="n"/>
      <c r="F111" s="134" t="n"/>
      <c r="G111" s="129" t="n"/>
      <c r="H111" s="129" t="n"/>
      <c r="I111" s="129" t="n"/>
      <c r="J111" s="129" t="n"/>
      <c r="K111" s="129" t="n"/>
      <c r="L111" s="129" t="n"/>
    </row>
    <row r="112">
      <c r="A112" s="125" t="n"/>
      <c r="B112" s="125" t="n"/>
      <c r="C112" s="125" t="n"/>
      <c r="D112" s="126" t="n"/>
      <c r="E112" s="125" t="n"/>
      <c r="F112" s="134" t="n"/>
      <c r="G112" s="125" t="n"/>
      <c r="H112" s="125" t="n"/>
      <c r="I112" s="125" t="n"/>
      <c r="J112" s="125" t="n"/>
      <c r="K112" s="125" t="n"/>
      <c r="L112" s="125" t="n"/>
    </row>
    <row r="113">
      <c r="A113" s="129" t="n"/>
      <c r="B113" s="129" t="n"/>
      <c r="C113" s="129" t="n"/>
      <c r="D113" s="130" t="n"/>
      <c r="E113" s="129" t="n"/>
      <c r="F113" s="134" t="n"/>
      <c r="G113" s="129" t="n"/>
      <c r="H113" s="129" t="n"/>
      <c r="I113" s="129" t="n"/>
      <c r="J113" s="129" t="n"/>
      <c r="K113" s="129" t="n"/>
      <c r="L113" s="129" t="n"/>
    </row>
    <row r="114">
      <c r="A114" s="125" t="n"/>
      <c r="B114" s="125" t="n"/>
      <c r="C114" s="125" t="n"/>
      <c r="D114" s="126" t="n"/>
      <c r="E114" s="125" t="n"/>
      <c r="F114" s="158" t="n"/>
      <c r="G114" s="125" t="n"/>
      <c r="H114" s="125" t="n"/>
      <c r="I114" s="125" t="n"/>
      <c r="J114" s="125" t="n"/>
      <c r="K114" s="125" t="n"/>
      <c r="L114" s="125" t="n"/>
    </row>
    <row r="115">
      <c r="A115" s="129" t="n"/>
      <c r="B115" s="129" t="n"/>
      <c r="C115" s="129" t="n"/>
      <c r="D115" s="130" t="n"/>
      <c r="E115" s="129" t="n"/>
      <c r="F115" s="158" t="n"/>
      <c r="G115" s="129" t="n"/>
      <c r="H115" s="129" t="n"/>
      <c r="I115" s="129" t="n"/>
      <c r="J115" s="129" t="n"/>
      <c r="K115" s="129" t="n"/>
      <c r="L115" s="129" t="n"/>
    </row>
    <row r="116">
      <c r="A116" s="125" t="n"/>
      <c r="B116" s="125" t="n"/>
      <c r="C116" s="125" t="n"/>
      <c r="D116" s="126" t="n"/>
      <c r="E116" s="125" t="n"/>
      <c r="F116" s="158" t="n"/>
      <c r="G116" s="125" t="n"/>
      <c r="H116" s="125" t="n"/>
      <c r="I116" s="125" t="n"/>
      <c r="J116" s="125" t="n"/>
      <c r="K116" s="125" t="n"/>
      <c r="L116" s="125" t="n"/>
    </row>
    <row r="117">
      <c r="A117" s="129" t="n"/>
      <c r="B117" s="129" t="n"/>
      <c r="C117" s="129" t="n"/>
      <c r="D117" s="130" t="n"/>
      <c r="E117" s="129" t="n"/>
      <c r="F117" s="134" t="n"/>
      <c r="G117" s="129" t="n"/>
      <c r="H117" s="129" t="n"/>
      <c r="I117" s="129" t="n"/>
      <c r="J117" s="129" t="n"/>
      <c r="K117" s="129" t="n"/>
      <c r="L117" s="129" t="n"/>
    </row>
    <row r="118">
      <c r="A118" s="125" t="n"/>
      <c r="B118" s="125" t="n"/>
      <c r="C118" s="125" t="n"/>
      <c r="D118" s="126" t="n"/>
      <c r="E118" s="125" t="n"/>
      <c r="F118" s="134" t="n"/>
      <c r="G118" s="125" t="n"/>
      <c r="H118" s="125" t="n"/>
      <c r="I118" s="125" t="n"/>
      <c r="J118" s="125" t="n"/>
      <c r="K118" s="125" t="n"/>
      <c r="L118" s="125" t="n"/>
    </row>
    <row r="119">
      <c r="A119" s="129" t="n"/>
      <c r="B119" s="129" t="n"/>
      <c r="C119" s="129" t="n"/>
      <c r="D119" s="130" t="n"/>
      <c r="E119" s="129" t="n"/>
      <c r="F119" s="134" t="n"/>
      <c r="G119" s="129" t="n"/>
      <c r="H119" s="129" t="n"/>
      <c r="I119" s="129" t="n"/>
      <c r="J119" s="129" t="n"/>
      <c r="K119" s="129" t="n"/>
      <c r="L119" s="129" t="n"/>
    </row>
    <row r="120">
      <c r="A120" s="125" t="n"/>
      <c r="B120" s="125" t="n"/>
      <c r="C120" s="125" t="n"/>
      <c r="D120" s="126" t="n"/>
      <c r="E120" s="125" t="n"/>
      <c r="F120" s="134" t="n"/>
      <c r="G120" s="125" t="n"/>
      <c r="H120" s="125" t="n"/>
      <c r="I120" s="125" t="n"/>
      <c r="J120" s="125" t="n"/>
      <c r="K120" s="125" t="n"/>
      <c r="L120" s="125" t="n"/>
    </row>
    <row r="121">
      <c r="A121" s="129" t="n"/>
      <c r="B121" s="129" t="n"/>
      <c r="C121" s="129" t="n"/>
      <c r="D121" s="130" t="n"/>
      <c r="E121" s="129" t="n"/>
      <c r="F121" s="171" t="n"/>
      <c r="G121" s="129" t="n"/>
      <c r="H121" s="129" t="n"/>
      <c r="I121" s="129" t="n"/>
      <c r="J121" s="129" t="n"/>
      <c r="K121" s="129" t="n"/>
      <c r="L121" s="129" t="n"/>
    </row>
    <row r="122">
      <c r="A122" s="125" t="n"/>
      <c r="B122" s="125" t="n"/>
      <c r="C122" s="125" t="n"/>
      <c r="D122" s="126" t="n"/>
      <c r="E122" s="125" t="n"/>
      <c r="F122" s="171" t="n"/>
      <c r="G122" s="125" t="n"/>
      <c r="H122" s="125" t="n"/>
      <c r="I122" s="125" t="n"/>
      <c r="J122" s="125" t="n"/>
      <c r="K122" s="125" t="n"/>
      <c r="L122" s="125" t="n"/>
    </row>
    <row r="123">
      <c r="A123" s="129" t="n"/>
      <c r="B123" s="129" t="n"/>
      <c r="C123" s="129" t="n"/>
      <c r="D123" s="130" t="n"/>
      <c r="E123" s="129" t="n"/>
      <c r="F123" s="158" t="n"/>
      <c r="G123" s="129" t="n"/>
      <c r="H123" s="129" t="n"/>
      <c r="I123" s="129" t="n"/>
      <c r="J123" s="129" t="n"/>
      <c r="K123" s="129" t="n"/>
      <c r="L123" s="129" t="n"/>
    </row>
    <row r="124">
      <c r="A124" s="125" t="n"/>
      <c r="B124" s="125" t="n"/>
      <c r="C124" s="125" t="n"/>
      <c r="D124" s="126" t="n"/>
      <c r="E124" s="125" t="n"/>
      <c r="F124" s="134" t="n"/>
      <c r="G124" s="125" t="n"/>
      <c r="H124" s="125" t="n"/>
      <c r="I124" s="125" t="n"/>
      <c r="J124" s="125" t="n"/>
      <c r="K124" s="125" t="n"/>
      <c r="L124" s="125" t="n"/>
    </row>
    <row r="125">
      <c r="A125" s="129" t="n"/>
      <c r="B125" s="129" t="n"/>
      <c r="C125" s="129" t="n"/>
      <c r="D125" s="130" t="n"/>
      <c r="E125" s="129" t="n"/>
      <c r="F125" s="134" t="n"/>
      <c r="G125" s="129" t="n"/>
      <c r="H125" s="129" t="n"/>
      <c r="I125" s="129" t="n"/>
      <c r="J125" s="129" t="n"/>
      <c r="K125" s="129" t="n"/>
      <c r="L125" s="129" t="n"/>
    </row>
    <row r="126">
      <c r="A126" s="125" t="n"/>
      <c r="B126" s="125" t="n"/>
      <c r="C126" s="125" t="n"/>
      <c r="D126" s="126" t="n"/>
      <c r="E126" s="125" t="n"/>
      <c r="F126" s="134" t="n"/>
      <c r="G126" s="125" t="n"/>
      <c r="H126" s="125" t="n"/>
      <c r="I126" s="125" t="n"/>
      <c r="J126" s="125" t="n"/>
      <c r="K126" s="125" t="n"/>
      <c r="L126" s="125" t="n"/>
    </row>
    <row r="127">
      <c r="A127" s="129" t="n"/>
      <c r="B127" s="129" t="n"/>
      <c r="C127" s="129" t="n"/>
      <c r="D127" s="130" t="n"/>
      <c r="E127" s="129" t="n"/>
      <c r="F127" s="171" t="n"/>
      <c r="G127" s="129" t="n"/>
      <c r="H127" s="129" t="n"/>
      <c r="I127" s="129" t="n"/>
      <c r="J127" s="129" t="n"/>
      <c r="K127" s="129" t="n"/>
      <c r="L127" s="129" t="n"/>
    </row>
    <row r="128">
      <c r="A128" s="125" t="n"/>
      <c r="B128" s="125" t="n"/>
      <c r="C128" s="125" t="n"/>
      <c r="D128" s="126" t="n"/>
      <c r="E128" s="125" t="n"/>
      <c r="F128" s="171" t="n"/>
      <c r="G128" s="125" t="n"/>
      <c r="H128" s="125" t="n"/>
      <c r="I128" s="125" t="n"/>
      <c r="J128" s="125" t="n"/>
      <c r="K128" s="125" t="n"/>
      <c r="L128" s="125" t="n"/>
    </row>
    <row r="129">
      <c r="A129" s="129" t="n"/>
      <c r="B129" s="129" t="n"/>
      <c r="C129" s="129" t="n"/>
      <c r="D129" s="130" t="n"/>
      <c r="E129" s="129" t="n"/>
      <c r="F129" s="171" t="n"/>
      <c r="G129" s="129" t="n"/>
      <c r="H129" s="129" t="n"/>
      <c r="I129" s="129" t="n"/>
      <c r="J129" s="129" t="n"/>
      <c r="K129" s="129" t="n"/>
      <c r="L129" s="129" t="n"/>
    </row>
    <row r="130">
      <c r="A130" s="125" t="n"/>
      <c r="B130" s="125" t="n"/>
      <c r="C130" s="125" t="n"/>
      <c r="D130" s="126" t="n"/>
      <c r="E130" s="125" t="n"/>
      <c r="F130" s="158" t="n"/>
      <c r="G130" s="125" t="n"/>
      <c r="H130" s="125" t="n"/>
      <c r="I130" s="125" t="n"/>
      <c r="J130" s="125" t="n"/>
      <c r="K130" s="125" t="n"/>
      <c r="L130" s="125" t="n"/>
    </row>
    <row r="131">
      <c r="A131" s="129" t="n"/>
      <c r="B131" s="129" t="n"/>
      <c r="C131" s="129" t="n"/>
      <c r="D131" s="130" t="n"/>
      <c r="E131" s="129" t="n"/>
      <c r="F131" s="158" t="n"/>
      <c r="G131" s="129" t="n"/>
      <c r="H131" s="129" t="n"/>
      <c r="I131" s="129" t="n"/>
      <c r="J131" s="129" t="n"/>
      <c r="K131" s="129" t="n"/>
      <c r="L131" s="129" t="n"/>
    </row>
    <row r="132">
      <c r="A132" s="125" t="n"/>
      <c r="B132" s="125" t="n"/>
      <c r="C132" s="125" t="n"/>
      <c r="D132" s="126" t="n"/>
      <c r="E132" s="125" t="n"/>
      <c r="F132" s="158" t="n"/>
      <c r="G132" s="125" t="n"/>
      <c r="H132" s="125" t="n"/>
      <c r="I132" s="125" t="n"/>
      <c r="J132" s="125" t="n"/>
      <c r="K132" s="125" t="n"/>
      <c r="L132" s="125" t="n"/>
    </row>
    <row r="133">
      <c r="A133" s="129" t="n"/>
      <c r="B133" s="129" t="n"/>
      <c r="C133" s="129" t="n"/>
      <c r="D133" s="130" t="n"/>
      <c r="E133" s="129" t="n"/>
      <c r="F133" s="134" t="n"/>
      <c r="G133" s="129" t="n"/>
      <c r="H133" s="129" t="n"/>
      <c r="I133" s="129" t="n"/>
      <c r="J133" s="129" t="n"/>
      <c r="K133" s="129" t="n"/>
      <c r="L133" s="129" t="n"/>
    </row>
  </sheetData>
  <mergeCells count="3">
    <mergeCell ref="A32:M32"/>
    <mergeCell ref="A2:M2"/>
    <mergeCell ref="A1:M1"/>
  </mergeCells>
  <hyperlinks>
    <hyperlink ref="A1" location="'Start Here'!A1" display="🏠 Start Here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zoomScaleNormal="100" workbookViewId="0">
      <selection activeCell="A1" sqref="A1:F1"/>
    </sheetView>
  </sheetViews>
  <sheetFormatPr baseColWidth="10" defaultColWidth="8.6640625" defaultRowHeight="15"/>
  <cols>
    <col width="14" customWidth="1" style="230" min="1" max="1"/>
    <col width="36" customWidth="1" style="230" min="2" max="2"/>
    <col width="18" customWidth="1" style="230" min="3" max="3"/>
    <col width="4" customWidth="1" style="230" min="4" max="4"/>
    <col width="36" customWidth="1" style="230" min="5" max="5"/>
    <col width="18" customWidth="1" style="230" min="6" max="6"/>
  </cols>
  <sheetData>
    <row r="1" ht="31.5" customHeight="1" s="230">
      <c r="A1" s="229" t="inlineStr">
        <is>
          <t>🏠 Start Here</t>
        </is>
      </c>
    </row>
    <row r="2" ht="18" customHeight="1" s="230">
      <c r="A2" s="239" t="inlineStr">
        <is>
          <t>Run this BEFORE every lot buying decision. Input comp total + target margin → max offer.</t>
        </is>
      </c>
    </row>
    <row r="4" ht="21.75" customHeight="1" s="230">
      <c r="A4" s="244" t="inlineStr">
        <is>
          <t>INPUTS (edit blue cells)</t>
        </is>
      </c>
      <c r="E4" s="237" t="inlineStr">
        <is>
          <t>CALCULATIONS &amp; MAX OFFER</t>
        </is>
      </c>
    </row>
    <row r="5" ht="16" customHeight="1" s="230">
      <c r="B5" s="83" t="inlineStr">
        <is>
          <t>Total comp value of lot ($)</t>
        </is>
      </c>
      <c r="C5" s="15" t="n">
        <v>1000</v>
      </c>
      <c r="E5" s="83" t="inlineStr">
        <is>
          <t>Expected gross proceeds ($)</t>
        </is>
      </c>
      <c r="F5" s="84">
        <f>C5*C6</f>
        <v/>
      </c>
    </row>
    <row r="6" ht="16" customHeight="1" s="230">
      <c r="B6" s="83" t="inlineStr">
        <is>
          <t>Expected sell-through rate (%)</t>
        </is>
      </c>
      <c r="C6" s="85" t="n">
        <v>0.75</v>
      </c>
      <c r="E6" s="83" t="inlineStr">
        <is>
          <t>Expected fees ($)</t>
        </is>
      </c>
      <c r="F6" s="84">
        <f>F5*C7</f>
        <v/>
      </c>
    </row>
    <row r="7" ht="16" customHeight="1" s="230">
      <c r="B7" s="83" t="inlineStr">
        <is>
          <t>Your average fee rate (%)</t>
        </is>
      </c>
      <c r="C7" s="85" t="n">
        <v>0.135</v>
      </c>
      <c r="E7" s="83" t="inlineStr">
        <is>
          <t>Expected shipping cost ($)</t>
        </is>
      </c>
      <c r="F7" s="84">
        <f>C8*C10*C6</f>
        <v/>
      </c>
    </row>
    <row r="8" ht="16" customHeight="1" s="230">
      <c r="B8" s="83" t="inlineStr">
        <is>
          <t>Avg shipping cost / sale ($)</t>
        </is>
      </c>
      <c r="C8" s="15" t="n">
        <v>4.5</v>
      </c>
      <c r="E8" s="83" t="inlineStr">
        <is>
          <t>Expected supplies cost ($)</t>
        </is>
      </c>
      <c r="F8" s="84">
        <f>C9*C10</f>
        <v/>
      </c>
    </row>
    <row r="9" ht="16" customHeight="1" s="230">
      <c r="B9" s="83" t="inlineStr">
        <is>
          <t>Avg supplies cost / sale ($)</t>
        </is>
      </c>
      <c r="C9" s="15" t="n">
        <v>0.75</v>
      </c>
      <c r="E9" s="83" t="inlineStr">
        <is>
          <t>Net before COGS ($)</t>
        </is>
      </c>
      <c r="F9" s="84">
        <f>F5-F6-F7-F8</f>
        <v/>
      </c>
    </row>
    <row r="10" ht="16" customHeight="1" s="230">
      <c r="B10" s="83" t="inlineStr">
        <is>
          <t>Estimated # cards</t>
        </is>
      </c>
      <c r="C10" s="86" t="n">
        <v>25</v>
      </c>
      <c r="E10" s="83" t="inlineStr">
        <is>
          <t>Dollar margin target on net ($)</t>
        </is>
      </c>
      <c r="F10" s="84">
        <f>F9*C11</f>
        <v/>
      </c>
    </row>
    <row r="11" ht="19" customHeight="1" s="230">
      <c r="B11" s="83" t="inlineStr">
        <is>
          <t>Your target NET margin (%)</t>
        </is>
      </c>
      <c r="C11" s="87" t="n">
        <v>0.35</v>
      </c>
      <c r="E11" s="88" t="inlineStr">
        <is>
          <t>MAX OFFER for lot ($)</t>
        </is>
      </c>
      <c r="F11" s="89">
        <f>F9-F10</f>
        <v/>
      </c>
    </row>
    <row r="14" ht="16" customHeight="1" s="230">
      <c r="A14" s="244" t="inlineStr">
        <is>
          <t>DECISION RULE</t>
        </is>
      </c>
    </row>
    <row r="15" ht="21.75" customHeight="1" s="230">
      <c r="A15" s="284" t="inlineStr">
        <is>
          <t xml:space="preserve">  • If ASKING PRICE ≤ MAX OFFER → BUY. You will hit your target margin.</t>
        </is>
      </c>
    </row>
    <row r="16" ht="21.75" customHeight="1" s="230">
      <c r="A16" s="284" t="inlineStr">
        <is>
          <t xml:space="preserve">  • If ASKING PRICE is 10-15% above MAX OFFER → counter-offer at MAX OFFER × 0.95 and walk if rejected.</t>
        </is>
      </c>
    </row>
    <row r="17" ht="21.75" customHeight="1" s="230">
      <c r="A17" s="284" t="inlineStr">
        <is>
          <t xml:space="preserve">  • If ASKING PRICE is &gt;15% above MAX OFFER → WALK. The deal doesn't math — don't let FOMO override the model.</t>
        </is>
      </c>
    </row>
    <row r="18" ht="21.75" customHeight="1" s="230">
      <c r="A18" s="284" t="inlineStr">
        <is>
          <t xml:space="preserve">  • If lot includes uncertain raw high-grade cards, discount comp total by 20% to reflect grading risk before running.</t>
        </is>
      </c>
    </row>
  </sheetData>
  <mergeCells count="9">
    <mergeCell ref="A16:F16"/>
    <mergeCell ref="E4:F4"/>
    <mergeCell ref="A2:F2"/>
    <mergeCell ref="A14:F14"/>
    <mergeCell ref="A4:D4"/>
    <mergeCell ref="A1:F1"/>
    <mergeCell ref="A17:F17"/>
    <mergeCell ref="A18:F18"/>
    <mergeCell ref="A15:F15"/>
  </mergeCells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zoomScaleNormal="100" workbookViewId="0">
      <selection activeCell="A1" sqref="A1:I1"/>
    </sheetView>
  </sheetViews>
  <sheetFormatPr baseColWidth="10" defaultColWidth="8.6640625" defaultRowHeight="15"/>
  <cols>
    <col width="14" customWidth="1" style="230" min="1" max="1"/>
    <col width="28" customWidth="1" style="230" min="2" max="2"/>
    <col width="14" customWidth="1" style="230" min="3" max="8"/>
    <col width="22" customWidth="1" style="230" min="9" max="9"/>
  </cols>
  <sheetData>
    <row r="1" ht="31.5" customHeight="1" s="230">
      <c r="A1" s="229" t="inlineStr">
        <is>
          <t>🏠 Start Here</t>
        </is>
      </c>
    </row>
    <row r="2">
      <c r="A2" s="239" t="inlineStr">
        <is>
          <t>Live calculator + price-point table + routing rules. Verified fees as of April 2026.</t>
        </is>
      </c>
    </row>
    <row r="4" ht="21.75" customHeight="1" s="230">
      <c r="A4" s="244" t="inlineStr">
        <is>
          <t>LIVE CALCULATOR — Enter a sale price, see net at each channel</t>
        </is>
      </c>
    </row>
    <row r="5" ht="17.25" customHeight="1" s="230">
      <c r="B5" s="286" t="inlineStr">
        <is>
          <t>Sale price ($)</t>
        </is>
      </c>
      <c r="C5" s="90" t="n">
        <v>100</v>
      </c>
      <c r="D5" s="289" t="inlineStr">
        <is>
          <t>← Change this cell to model any sale price</t>
        </is>
      </c>
    </row>
    <row r="7" ht="32" customHeight="1" s="230">
      <c r="B7" s="276" t="inlineStr">
        <is>
          <t>Channel</t>
        </is>
      </c>
      <c r="C7" s="276" t="inlineStr">
        <is>
          <t>Commission %</t>
        </is>
      </c>
      <c r="D7" s="276" t="inlineStr">
        <is>
          <t>Per-Order Fee</t>
        </is>
      </c>
      <c r="E7" s="276" t="inlineStr">
        <is>
          <t>Pmt Processing %</t>
        </is>
      </c>
      <c r="F7" s="276" t="inlineStr">
        <is>
          <t>Total Fees ($)</t>
        </is>
      </c>
      <c r="G7" s="276" t="inlineStr">
        <is>
          <t>Net to You ($)</t>
        </is>
      </c>
      <c r="H7" s="276" t="inlineStr">
        <is>
          <t>Effective Fee %</t>
        </is>
      </c>
    </row>
    <row r="8" ht="30" customHeight="1" s="230">
      <c r="B8" s="286" t="inlineStr">
        <is>
          <t>eBay (standard)</t>
        </is>
      </c>
      <c r="C8" s="91" t="n">
        <v>0.136</v>
      </c>
      <c r="D8" s="92" t="n">
        <v>0.4</v>
      </c>
      <c r="E8" s="93" t="n">
        <v>0</v>
      </c>
      <c r="F8" s="84">
        <f>$C$5*C8+D8+$C$5*E8</f>
        <v/>
      </c>
      <c r="G8" s="94">
        <f>$C$5-F8</f>
        <v/>
      </c>
      <c r="H8" s="20">
        <f>IFERROR(F8/$C$5,"")</f>
        <v/>
      </c>
      <c r="I8" s="95" t="inlineStr">
        <is>
          <t>Default — broadest buyer pool</t>
        </is>
      </c>
    </row>
    <row r="9" ht="30" customHeight="1" s="230">
      <c r="B9" s="286" t="inlineStr">
        <is>
          <t>eBay (singles $1,000+)</t>
        </is>
      </c>
      <c r="C9" s="91" t="n">
        <v>0.068</v>
      </c>
      <c r="D9" s="92" t="n">
        <v>0.4</v>
      </c>
      <c r="E9" s="93" t="n">
        <v>0</v>
      </c>
      <c r="F9" s="84">
        <f>$C$5*C9+D9+$C$5*E9</f>
        <v/>
      </c>
      <c r="G9" s="94">
        <f>$C$5-F9</f>
        <v/>
      </c>
      <c r="H9" s="20">
        <f>IFERROR(F9/$C$5,"")</f>
        <v/>
      </c>
      <c r="I9" s="95" t="inlineStr">
        <is>
          <t>Auto-applied promo on $1k+ singles</t>
        </is>
      </c>
    </row>
    <row r="10" ht="30" customHeight="1" s="230">
      <c r="B10" s="286" t="inlineStr">
        <is>
          <t>Whatnot</t>
        </is>
      </c>
      <c r="C10" s="91" t="n">
        <v>0.08</v>
      </c>
      <c r="D10" s="92" t="n">
        <v>0.3</v>
      </c>
      <c r="E10" s="93" t="n">
        <v>0.029</v>
      </c>
      <c r="F10" s="84">
        <f>$C$5*C10+D10+$C$5*E10</f>
        <v/>
      </c>
      <c r="G10" s="94">
        <f>$C$5-F10</f>
        <v/>
      </c>
      <c r="H10" s="20">
        <f>IFERROR(F10/$C$5,"")</f>
        <v/>
      </c>
      <c r="I10" s="95" t="inlineStr">
        <is>
          <t>Cap on commission &gt;$1,500 of single sale</t>
        </is>
      </c>
    </row>
    <row r="11" ht="16" customHeight="1" s="230">
      <c r="B11" s="286" t="inlineStr">
        <is>
          <t>COLLX</t>
        </is>
      </c>
      <c r="C11" s="91" t="n">
        <v>0.1</v>
      </c>
      <c r="D11" s="92" t="n">
        <v>0</v>
      </c>
      <c r="E11" s="93" t="n">
        <v>0</v>
      </c>
      <c r="F11" s="84">
        <f>$C$5*C11+D11+$C$5*E11</f>
        <v/>
      </c>
      <c r="G11" s="94">
        <f>$C$5-F11</f>
        <v/>
      </c>
      <c r="H11" s="20">
        <f>IFERROR(F11/$C$5,"")</f>
        <v/>
      </c>
      <c r="I11" s="95" t="inlineStr">
        <is>
          <t>Fee includes processing</t>
        </is>
      </c>
    </row>
    <row r="12" ht="30" customHeight="1" s="230">
      <c r="B12" s="286" t="inlineStr">
        <is>
          <t>FB Marketplace (online ship)</t>
        </is>
      </c>
      <c r="C12" s="91" t="n">
        <v>0.05</v>
      </c>
      <c r="D12" s="92" t="n">
        <v>0</v>
      </c>
      <c r="E12" s="93" t="n">
        <v>0</v>
      </c>
      <c r="F12" s="84">
        <f>$C$5*C12+D12+$C$5*E12</f>
        <v/>
      </c>
      <c r="G12" s="94">
        <f>$C$5-F12</f>
        <v/>
      </c>
      <c r="H12" s="20">
        <f>IFERROR(F12/$C$5,"")</f>
        <v/>
      </c>
      <c r="I12" s="95" t="inlineStr">
        <is>
          <t>Estimate — varies by transaction</t>
        </is>
      </c>
    </row>
    <row r="13" ht="30" customHeight="1" s="230">
      <c r="B13" s="286" t="inlineStr">
        <is>
          <t>FB Marketplace (local cash)</t>
        </is>
      </c>
      <c r="C13" s="91" t="n">
        <v>0</v>
      </c>
      <c r="D13" s="92" t="n">
        <v>0</v>
      </c>
      <c r="E13" s="93" t="n">
        <v>0</v>
      </c>
      <c r="F13" s="84">
        <f>$C$5*C13+D13+$C$5*E13</f>
        <v/>
      </c>
      <c r="G13" s="94">
        <f>$C$5-F13</f>
        <v/>
      </c>
      <c r="H13" s="20">
        <f>IFERROR(F13/$C$5,"")</f>
        <v/>
      </c>
      <c r="I13" s="95" t="inlineStr">
        <is>
          <t>Zero fees, but limited buyer pool</t>
        </is>
      </c>
    </row>
    <row r="14" ht="30" customHeight="1" s="230">
      <c r="B14" s="286" t="inlineStr">
        <is>
          <t>DcSports87 (consignment)</t>
        </is>
      </c>
      <c r="C14" s="91" t="n">
        <v>0.18</v>
      </c>
      <c r="D14" s="92" t="n">
        <v>0</v>
      </c>
      <c r="E14" s="93" t="n">
        <v>0</v>
      </c>
      <c r="F14" s="84">
        <f>$C$5*C14+D14+$C$5*E14</f>
        <v/>
      </c>
      <c r="G14" s="94">
        <f>$C$5-F14</f>
        <v/>
      </c>
      <c r="H14" s="20">
        <f>IFERROR(F14/$C$5,"")</f>
        <v/>
      </c>
      <c r="I14" s="95" t="inlineStr">
        <is>
          <t>Verify your actual rate per agreement</t>
        </is>
      </c>
    </row>
    <row r="15" ht="16" customHeight="1" s="230">
      <c r="B15" s="286" t="inlineStr">
        <is>
          <t>Probstein (consignment)</t>
        </is>
      </c>
      <c r="C15" s="91" t="n">
        <v>0.2</v>
      </c>
      <c r="D15" s="92" t="n">
        <v>0</v>
      </c>
      <c r="E15" s="93" t="n">
        <v>0</v>
      </c>
      <c r="F15" s="84">
        <f>$C$5*C15+D15+$C$5*E15</f>
        <v/>
      </c>
      <c r="G15" s="94">
        <f>$C$5-F15</f>
        <v/>
      </c>
      <c r="H15" s="20">
        <f>IFERROR(F15/$C$5,"")</f>
        <v/>
      </c>
      <c r="I15" s="95" t="inlineStr">
        <is>
          <t>Tiered — verify actual</t>
        </is>
      </c>
    </row>
    <row r="16" ht="16" customHeight="1" s="230">
      <c r="B16" s="286" t="inlineStr">
        <is>
          <t>PWCC (vault auction est.)</t>
        </is>
      </c>
      <c r="C16" s="91" t="n">
        <v>0.2</v>
      </c>
      <c r="D16" s="92" t="n">
        <v>0</v>
      </c>
      <c r="E16" s="93" t="n">
        <v>0</v>
      </c>
      <c r="F16" s="84">
        <f>$C$5*C16+D16+$C$5*E16</f>
        <v/>
      </c>
      <c r="G16" s="94">
        <f>$C$5-F16</f>
        <v/>
      </c>
      <c r="H16" s="20">
        <f>IFERROR(F16/$C$5,"")</f>
        <v/>
      </c>
      <c r="I16" s="95" t="inlineStr">
        <is>
          <t>Plus storage fees if vaulted</t>
        </is>
      </c>
    </row>
    <row r="19" ht="21.75" customHeight="1" s="230">
      <c r="A19" s="237" t="inlineStr">
        <is>
          <t>NET TO YOU AT COMMON PRICE POINTS</t>
        </is>
      </c>
    </row>
    <row r="21" ht="16" customHeight="1" s="230">
      <c r="B21" s="276" t="inlineStr">
        <is>
          <t>Channel</t>
        </is>
      </c>
      <c r="C21" s="276" t="inlineStr">
        <is>
          <t>$10</t>
        </is>
      </c>
      <c r="D21" s="276" t="inlineStr">
        <is>
          <t>$25</t>
        </is>
      </c>
      <c r="E21" s="276" t="inlineStr">
        <is>
          <t>$50</t>
        </is>
      </c>
      <c r="F21" s="276" t="inlineStr">
        <is>
          <t>$100</t>
        </is>
      </c>
      <c r="G21" s="276" t="inlineStr">
        <is>
          <t>$200</t>
        </is>
      </c>
      <c r="H21" s="276" t="inlineStr">
        <is>
          <t>$500</t>
        </is>
      </c>
      <c r="I21" s="276" t="inlineStr">
        <is>
          <t>$1000</t>
        </is>
      </c>
    </row>
    <row r="22" ht="16" customHeight="1" s="230">
      <c r="B22" s="286" t="inlineStr">
        <is>
          <t>eBay (standard)</t>
        </is>
      </c>
      <c r="C22" s="16">
        <f>10-(10*$C$8+$D$8+10*$E$8)</f>
        <v/>
      </c>
      <c r="D22" s="16">
        <f>25-(25*$C$8+$D$8+25*$E$8)</f>
        <v/>
      </c>
      <c r="E22" s="16">
        <f>50-(50*$C$8+$D$8+50*$E$8)</f>
        <v/>
      </c>
      <c r="F22" s="16">
        <f>100-(100*$C$8+$D$8+100*$E$8)</f>
        <v/>
      </c>
      <c r="G22" s="16">
        <f>200-(200*$C$8+$D$8+200*$E$8)</f>
        <v/>
      </c>
      <c r="H22" s="16">
        <f>500-(500*$C$8+$D$8+500*$E$8)</f>
        <v/>
      </c>
      <c r="I22" s="16">
        <f>1000-(1000*$C$8+$D$8+1000*$E$8)</f>
        <v/>
      </c>
    </row>
    <row r="23" ht="16" customHeight="1" s="230">
      <c r="B23" s="286" t="inlineStr">
        <is>
          <t>eBay (singles $1,000+)</t>
        </is>
      </c>
      <c r="C23" s="16">
        <f>10-(10*$C$9+$D$9+10*$E$9)</f>
        <v/>
      </c>
      <c r="D23" s="16">
        <f>25-(25*$C$9+$D$9+25*$E$9)</f>
        <v/>
      </c>
      <c r="E23" s="16">
        <f>50-(50*$C$9+$D$9+50*$E$9)</f>
        <v/>
      </c>
      <c r="F23" s="16">
        <f>100-(100*$C$9+$D$9+100*$E$9)</f>
        <v/>
      </c>
      <c r="G23" s="16">
        <f>200-(200*$C$9+$D$9+200*$E$9)</f>
        <v/>
      </c>
      <c r="H23" s="16">
        <f>500-(500*$C$9+$D$9+500*$E$9)</f>
        <v/>
      </c>
      <c r="I23" s="16">
        <f>1000-(1000*$C$9+$D$9+1000*$E$9)</f>
        <v/>
      </c>
    </row>
    <row r="24" ht="16" customHeight="1" s="230">
      <c r="B24" s="286" t="inlineStr">
        <is>
          <t>Whatnot</t>
        </is>
      </c>
      <c r="C24" s="16">
        <f>10-(10*$C$10+$D$10+10*$E$10)</f>
        <v/>
      </c>
      <c r="D24" s="16">
        <f>25-(25*$C$10+$D$10+25*$E$10)</f>
        <v/>
      </c>
      <c r="E24" s="16">
        <f>50-(50*$C$10+$D$10+50*$E$10)</f>
        <v/>
      </c>
      <c r="F24" s="16">
        <f>100-(100*$C$10+$D$10+100*$E$10)</f>
        <v/>
      </c>
      <c r="G24" s="16">
        <f>200-(200*$C$10+$D$10+200*$E$10)</f>
        <v/>
      </c>
      <c r="H24" s="16">
        <f>500-(500*$C$10+$D$10+500*$E$10)</f>
        <v/>
      </c>
      <c r="I24" s="16">
        <f>1000-(1000*$C$10+$D$10+1000*$E$10)</f>
        <v/>
      </c>
    </row>
    <row r="25" ht="16" customHeight="1" s="230">
      <c r="B25" s="286" t="inlineStr">
        <is>
          <t>COLLX</t>
        </is>
      </c>
      <c r="C25" s="16">
        <f>10-(10*$C$11+$D$11+10*$E$11)</f>
        <v/>
      </c>
      <c r="D25" s="16">
        <f>25-(25*$C$11+$D$11+25*$E$11)</f>
        <v/>
      </c>
      <c r="E25" s="16">
        <f>50-(50*$C$11+$D$11+50*$E$11)</f>
        <v/>
      </c>
      <c r="F25" s="16">
        <f>100-(100*$C$11+$D$11+100*$E$11)</f>
        <v/>
      </c>
      <c r="G25" s="16">
        <f>200-(200*$C$11+$D$11+200*$E$11)</f>
        <v/>
      </c>
      <c r="H25" s="16">
        <f>500-(500*$C$11+$D$11+500*$E$11)</f>
        <v/>
      </c>
      <c r="I25" s="16">
        <f>1000-(1000*$C$11+$D$11+1000*$E$11)</f>
        <v/>
      </c>
    </row>
    <row r="26" ht="16" customHeight="1" s="230">
      <c r="B26" s="286" t="inlineStr">
        <is>
          <t>FB Marketplace (online ship)</t>
        </is>
      </c>
      <c r="C26" s="16">
        <f>10-(10*$C$12+$D$12+10*$E$12)</f>
        <v/>
      </c>
      <c r="D26" s="16">
        <f>25-(25*$C$12+$D$12+25*$E$12)</f>
        <v/>
      </c>
      <c r="E26" s="16">
        <f>50-(50*$C$12+$D$12+50*$E$12)</f>
        <v/>
      </c>
      <c r="F26" s="16">
        <f>100-(100*$C$12+$D$12+100*$E$12)</f>
        <v/>
      </c>
      <c r="G26" s="16">
        <f>200-(200*$C$12+$D$12+200*$E$12)</f>
        <v/>
      </c>
      <c r="H26" s="16">
        <f>500-(500*$C$12+$D$12+500*$E$12)</f>
        <v/>
      </c>
      <c r="I26" s="16">
        <f>1000-(1000*$C$12+$D$12+1000*$E$12)</f>
        <v/>
      </c>
    </row>
    <row r="27" ht="16" customHeight="1" s="230">
      <c r="B27" s="286" t="inlineStr">
        <is>
          <t>FB Marketplace (local cash)</t>
        </is>
      </c>
      <c r="C27" s="16">
        <f>10-(10*$C$13+$D$13+10*$E$13)</f>
        <v/>
      </c>
      <c r="D27" s="16">
        <f>25-(25*$C$13+$D$13+25*$E$13)</f>
        <v/>
      </c>
      <c r="E27" s="16">
        <f>50-(50*$C$13+$D$13+50*$E$13)</f>
        <v/>
      </c>
      <c r="F27" s="16">
        <f>100-(100*$C$13+$D$13+100*$E$13)</f>
        <v/>
      </c>
      <c r="G27" s="16">
        <f>200-(200*$C$13+$D$13+200*$E$13)</f>
        <v/>
      </c>
      <c r="H27" s="16">
        <f>500-(500*$C$13+$D$13+500*$E$13)</f>
        <v/>
      </c>
      <c r="I27" s="16">
        <f>1000-(1000*$C$13+$D$13+1000*$E$13)</f>
        <v/>
      </c>
    </row>
    <row r="28" ht="16" customHeight="1" s="230">
      <c r="B28" s="286" t="inlineStr">
        <is>
          <t>DcSports87 (consignment)</t>
        </is>
      </c>
      <c r="C28" s="16">
        <f>10-(10*$C$14+$D$14+10*$E$14)</f>
        <v/>
      </c>
      <c r="D28" s="16">
        <f>25-(25*$C$14+$D$14+25*$E$14)</f>
        <v/>
      </c>
      <c r="E28" s="16">
        <f>50-(50*$C$14+$D$14+50*$E$14)</f>
        <v/>
      </c>
      <c r="F28" s="16">
        <f>100-(100*$C$14+$D$14+100*$E$14)</f>
        <v/>
      </c>
      <c r="G28" s="16">
        <f>200-(200*$C$14+$D$14+200*$E$14)</f>
        <v/>
      </c>
      <c r="H28" s="16">
        <f>500-(500*$C$14+$D$14+500*$E$14)</f>
        <v/>
      </c>
      <c r="I28" s="16">
        <f>1000-(1000*$C$14+$D$14+1000*$E$14)</f>
        <v/>
      </c>
    </row>
    <row r="29" ht="16" customHeight="1" s="230">
      <c r="B29" s="286" t="inlineStr">
        <is>
          <t>Probstein (consignment)</t>
        </is>
      </c>
      <c r="C29" s="16">
        <f>10-(10*$C$15+$D$15+10*$E$15)</f>
        <v/>
      </c>
      <c r="D29" s="16">
        <f>25-(25*$C$15+$D$15+25*$E$15)</f>
        <v/>
      </c>
      <c r="E29" s="16">
        <f>50-(50*$C$15+$D$15+50*$E$15)</f>
        <v/>
      </c>
      <c r="F29" s="16">
        <f>100-(100*$C$15+$D$15+100*$E$15)</f>
        <v/>
      </c>
      <c r="G29" s="16">
        <f>200-(200*$C$15+$D$15+200*$E$15)</f>
        <v/>
      </c>
      <c r="H29" s="16">
        <f>500-(500*$C$15+$D$15+500*$E$15)</f>
        <v/>
      </c>
      <c r="I29" s="16">
        <f>1000-(1000*$C$15+$D$15+1000*$E$15)</f>
        <v/>
      </c>
    </row>
    <row r="30" ht="16" customHeight="1" s="230">
      <c r="B30" s="286" t="inlineStr">
        <is>
          <t>PWCC (vault auction est.)</t>
        </is>
      </c>
      <c r="C30" s="16">
        <f>10-(10*$C$16+$D$16+10*$E$16)</f>
        <v/>
      </c>
      <c r="D30" s="16">
        <f>25-(25*$C$16+$D$16+25*$E$16)</f>
        <v/>
      </c>
      <c r="E30" s="16">
        <f>50-(50*$C$16+$D$16+50*$E$16)</f>
        <v/>
      </c>
      <c r="F30" s="16">
        <f>100-(100*$C$16+$D$16+100*$E$16)</f>
        <v/>
      </c>
      <c r="G30" s="16">
        <f>200-(200*$C$16+$D$16+200*$E$16)</f>
        <v/>
      </c>
      <c r="H30" s="16">
        <f>500-(500*$C$16+$D$16+500*$E$16)</f>
        <v/>
      </c>
      <c r="I30" s="16">
        <f>1000-(1000*$C$16+$D$16+1000*$E$16)</f>
        <v/>
      </c>
    </row>
    <row r="33" ht="21.75" customHeight="1" s="230">
      <c r="A33" s="237" t="inlineStr">
        <is>
          <t>ROUTING DECISION RULES — which channel for which card</t>
        </is>
      </c>
    </row>
    <row r="35" ht="21.75" customHeight="1" s="230">
      <c r="B35" s="276" t="inlineStr">
        <is>
          <t>Card Type</t>
        </is>
      </c>
      <c r="C35" s="226" t="n"/>
      <c r="D35" s="227" t="n"/>
      <c r="E35" s="276" t="inlineStr">
        <is>
          <t>Best Primary Channel</t>
        </is>
      </c>
      <c r="F35" s="227" t="n"/>
      <c r="G35" s="290" t="inlineStr">
        <is>
          <t>Why</t>
        </is>
      </c>
      <c r="H35" s="227" t="n"/>
      <c r="I35" s="290" t="inlineStr">
        <is>
          <t>Backup</t>
        </is>
      </c>
    </row>
    <row r="36" ht="36" customHeight="1" s="230">
      <c r="B36" s="286" t="inlineStr">
        <is>
          <t>Hot modern rookies / chase autos ($50-500)</t>
        </is>
      </c>
      <c r="C36" s="226" t="n"/>
      <c r="D36" s="227" t="n"/>
      <c r="E36" s="285" t="inlineStr">
        <is>
          <t>eBay</t>
        </is>
      </c>
      <c r="F36" s="227" t="n"/>
      <c r="G36" s="287" t="inlineStr">
        <is>
          <t>Broad buyer pool, fast price discovery, buyers will pay premium despite fees</t>
        </is>
      </c>
      <c r="H36" s="227" t="n"/>
      <c r="I36" s="97" t="inlineStr">
        <is>
          <t>Whatnot auction if hot player</t>
        </is>
      </c>
    </row>
    <row r="37" ht="36" customHeight="1" s="230">
      <c r="B37" s="286" t="inlineStr">
        <is>
          <t>Mid-tier modern singles ($15-150)</t>
        </is>
      </c>
      <c r="C37" s="226" t="n"/>
      <c r="D37" s="227" t="n"/>
      <c r="E37" s="285" t="inlineStr">
        <is>
          <t>COLLX (primary), eBay (secondary)</t>
        </is>
      </c>
      <c r="F37" s="227" t="n"/>
      <c r="G37" s="287" t="inlineStr">
        <is>
          <t>COLLX 10% all-in vs eBay ~14%; ~3-4 pts of margin saved on this volume tier</t>
        </is>
      </c>
      <c r="H37" s="227" t="n"/>
      <c r="I37" s="97" t="inlineStr">
        <is>
          <t>eBay if no movement in 14d</t>
        </is>
      </c>
    </row>
    <row r="38" ht="36" customHeight="1" s="230">
      <c r="B38" s="286" t="inlineStr">
        <is>
          <t>Vintage HOF graded ($500+)</t>
        </is>
      </c>
      <c r="C38" s="226" t="n"/>
      <c r="D38" s="227" t="n"/>
      <c r="E38" s="285" t="inlineStr">
        <is>
          <t>PWCC / Probstein auction</t>
        </is>
      </c>
      <c r="F38" s="227" t="n"/>
      <c r="G38" s="287" t="inlineStr">
        <is>
          <t>Premium buyer base; auction format extracts max value</t>
        </is>
      </c>
      <c r="H38" s="227" t="n"/>
      <c r="I38" s="97" t="inlineStr">
        <is>
          <t>eBay BIN with promotion</t>
        </is>
      </c>
    </row>
    <row r="39" ht="36" customHeight="1" s="230">
      <c r="B39" s="286" t="inlineStr">
        <is>
          <t>Bulk lots / commons (50+ cards)</t>
        </is>
      </c>
      <c r="C39" s="226" t="n"/>
      <c r="D39" s="227" t="n"/>
      <c r="E39" s="285" t="inlineStr">
        <is>
          <t>FB Marketplace (local) or COLLX bulk</t>
        </is>
      </c>
      <c r="F39" s="227" t="n"/>
      <c r="G39" s="287" t="inlineStr">
        <is>
          <t>eBay fees crush low-margin bulk; local cash = zero fees</t>
        </is>
      </c>
      <c r="H39" s="227" t="n"/>
      <c r="I39" s="97" t="inlineStr">
        <is>
          <t>Whatnot lot break</t>
        </is>
      </c>
    </row>
    <row r="40" ht="36" customHeight="1" s="230">
      <c r="B40" s="286" t="inlineStr">
        <is>
          <t>Quick-cash / time-sensitive</t>
        </is>
      </c>
      <c r="C40" s="226" t="n"/>
      <c r="D40" s="227" t="n"/>
      <c r="E40" s="285" t="inlineStr">
        <is>
          <t>Whatnot live auction</t>
        </is>
      </c>
      <c r="F40" s="227" t="n"/>
      <c r="G40" s="287" t="inlineStr">
        <is>
          <t>Real-time price discovery, immediate sale</t>
        </is>
      </c>
      <c r="H40" s="227" t="n"/>
      <c r="I40" s="97" t="inlineStr">
        <is>
          <t>eBay Best Offer accepted</t>
        </is>
      </c>
    </row>
    <row r="41" ht="36" customHeight="1" s="230">
      <c r="B41" s="286" t="inlineStr">
        <is>
          <t>Stale 60+ day inventory</t>
        </is>
      </c>
      <c r="C41" s="226" t="n"/>
      <c r="D41" s="227" t="n"/>
      <c r="E41" s="285" t="inlineStr">
        <is>
          <t>DcSports87 + rotate</t>
        </is>
      </c>
      <c r="F41" s="227" t="n"/>
      <c r="G41" s="287" t="inlineStr">
        <is>
          <t>Already trained channel; consignment frees capital + your hands</t>
        </is>
      </c>
      <c r="H41" s="227" t="n"/>
      <c r="I41" s="97" t="inlineStr">
        <is>
          <t>Probstein for variety</t>
        </is>
      </c>
    </row>
    <row r="42" ht="36" customHeight="1" s="230">
      <c r="B42" s="286" t="inlineStr">
        <is>
          <t>Low-confidence sourcing (uncertain comp)</t>
        </is>
      </c>
      <c r="C42" s="226" t="n"/>
      <c r="D42" s="227" t="n"/>
      <c r="E42" s="285" t="inlineStr">
        <is>
          <t>Whatnot or COLLX auction</t>
        </is>
      </c>
      <c r="F42" s="227" t="n"/>
      <c r="G42" s="287" t="inlineStr">
        <is>
          <t>Market sets price; you don't have to guess</t>
        </is>
      </c>
      <c r="H42" s="227" t="n"/>
      <c r="I42" s="97" t="inlineStr">
        <is>
          <t>—</t>
        </is>
      </c>
    </row>
    <row r="43" ht="36" customHeight="1" s="230">
      <c r="B43" s="286" t="inlineStr">
        <is>
          <t>Personal pickup deals (&gt;$50/card)</t>
        </is>
      </c>
      <c r="C43" s="226" t="n"/>
      <c r="D43" s="227" t="n"/>
      <c r="E43" s="285" t="inlineStr">
        <is>
          <t>COLLX direct message</t>
        </is>
      </c>
      <c r="F43" s="227" t="n"/>
      <c r="G43" s="287" t="inlineStr">
        <is>
          <t>Strong collector community; lower fees on direct deals</t>
        </is>
      </c>
      <c r="H43" s="227" t="n"/>
      <c r="I43" s="97" t="inlineStr">
        <is>
          <t>Local meet via FB</t>
        </is>
      </c>
    </row>
    <row r="46" ht="16" customHeight="1" s="230">
      <c r="A46" s="288" t="inlineStr">
        <is>
          <t>BOTTOM-LINE TAKEAWAY</t>
        </is>
      </c>
    </row>
    <row r="47" ht="30" customHeight="1" s="230">
      <c r="A47" s="231" t="inlineStr">
        <is>
          <t xml:space="preserve">  • COLLX saves ~3-4 percentage points on direct-sale fees vs eBay. At $80k/mo gross, routing 30% to COLLX = ~$700-1,200/mo straight to net.</t>
        </is>
      </c>
    </row>
    <row r="48" ht="30" customHeight="1" s="230">
      <c r="A48" s="231" t="inlineStr">
        <is>
          <t xml:space="preserve">  • COLLX's tradeoff is a smaller buyer base — sell-through is slower (typical: 1-3 weeks vs eBay 3-10 days for hot cards). Use COLLX for cards where you can wait.</t>
        </is>
      </c>
    </row>
    <row r="49" ht="30" customHeight="1" s="230">
      <c r="A49" s="231" t="inlineStr">
        <is>
          <t xml:space="preserve">  • DON'T abandon eBay for hot/high-velocity cards — eBay's ~13.6% fee is more than offset by the price premium buyers pay there for in-demand items.</t>
        </is>
      </c>
    </row>
    <row r="50" ht="30" customHeight="1" s="230">
      <c r="A50" s="231" t="inlineStr">
        <is>
          <t xml:space="preserve">  • Cross-listing tools (Vendoo, List Perfectly) increasingly support COLLX — list once, route to multiple. Worth the $30-50/mo subscription at your scale.</t>
        </is>
      </c>
    </row>
    <row r="51" ht="30" customHeight="1" s="230">
      <c r="A51" s="231" t="inlineStr">
        <is>
          <t xml:space="preserve">  • On singles $1,000+, eBay's 50% fee discount makes eBay competitive again with COLLX — verify before routing premium cards.</t>
        </is>
      </c>
    </row>
  </sheetData>
  <mergeCells count="39">
    <mergeCell ref="E43:F43"/>
    <mergeCell ref="B42:D42"/>
    <mergeCell ref="G43:H43"/>
    <mergeCell ref="A46:I46"/>
    <mergeCell ref="G42:H42"/>
    <mergeCell ref="E42:F42"/>
    <mergeCell ref="G36:H36"/>
    <mergeCell ref="A50:I50"/>
    <mergeCell ref="E39:F39"/>
    <mergeCell ref="B38:D38"/>
    <mergeCell ref="G39:H39"/>
    <mergeCell ref="E35:F35"/>
    <mergeCell ref="A2:I2"/>
    <mergeCell ref="A33:I33"/>
    <mergeCell ref="B37:D37"/>
    <mergeCell ref="E38:F38"/>
    <mergeCell ref="G38:H38"/>
    <mergeCell ref="A47:I47"/>
    <mergeCell ref="B40:D40"/>
    <mergeCell ref="G37:H37"/>
    <mergeCell ref="E40:F40"/>
    <mergeCell ref="A4:I4"/>
    <mergeCell ref="B36:D36"/>
    <mergeCell ref="A19:I19"/>
    <mergeCell ref="B41:D41"/>
    <mergeCell ref="D5:I5"/>
    <mergeCell ref="B35:D35"/>
    <mergeCell ref="E36:F36"/>
    <mergeCell ref="A48:I48"/>
    <mergeCell ref="G35:H35"/>
    <mergeCell ref="A51:I51"/>
    <mergeCell ref="A49:I49"/>
    <mergeCell ref="E41:F41"/>
    <mergeCell ref="G41:H41"/>
    <mergeCell ref="A1:I1"/>
    <mergeCell ref="E37:F37"/>
    <mergeCell ref="B43:D43"/>
    <mergeCell ref="G40:H40"/>
    <mergeCell ref="B39:D39"/>
  </mergeCells>
  <conditionalFormatting sqref="C22:C30">
    <cfRule type="colorScale" priority="3">
      <colorScale>
        <cfvo type="min"/>
        <cfvo type="percentile" val="50"/>
        <cfvo type="max"/>
        <color rgb="FFF5E8E8"/>
        <color rgb="FFFFF2CC"/>
        <color rgb="FFB6D7A8"/>
      </colorScale>
    </cfRule>
  </conditionalFormatting>
  <conditionalFormatting sqref="D22:D30">
    <cfRule type="colorScale" priority="4">
      <colorScale>
        <cfvo type="min"/>
        <cfvo type="percentile" val="50"/>
        <cfvo type="max"/>
        <color rgb="FFF5E8E8"/>
        <color rgb="FFFFF2CC"/>
        <color rgb="FFB6D7A8"/>
      </colorScale>
    </cfRule>
  </conditionalFormatting>
  <conditionalFormatting sqref="E22:E30">
    <cfRule type="colorScale" priority="5">
      <colorScale>
        <cfvo type="min"/>
        <cfvo type="percentile" val="50"/>
        <cfvo type="max"/>
        <color rgb="FFF5E8E8"/>
        <color rgb="FFFFF2CC"/>
        <color rgb="FFB6D7A8"/>
      </colorScale>
    </cfRule>
  </conditionalFormatting>
  <conditionalFormatting sqref="F22:F30">
    <cfRule type="colorScale" priority="6">
      <colorScale>
        <cfvo type="min"/>
        <cfvo type="percentile" val="50"/>
        <cfvo type="max"/>
        <color rgb="FFF5E8E8"/>
        <color rgb="FFFFF2CC"/>
        <color rgb="FFB6D7A8"/>
      </colorScale>
    </cfRule>
  </conditionalFormatting>
  <conditionalFormatting sqref="G8:G16">
    <cfRule type="colorScale" priority="2">
      <colorScale>
        <cfvo type="min"/>
        <cfvo type="percentile" val="50"/>
        <cfvo type="max"/>
        <color rgb="FFF5E8E8"/>
        <color rgb="FFFFF2CC"/>
        <color rgb="FFB6D7A8"/>
      </colorScale>
    </cfRule>
  </conditionalFormatting>
  <conditionalFormatting sqref="G22:G30">
    <cfRule type="colorScale" priority="7">
      <colorScale>
        <cfvo type="min"/>
        <cfvo type="percentile" val="50"/>
        <cfvo type="max"/>
        <color rgb="FFF5E8E8"/>
        <color rgb="FFFFF2CC"/>
        <color rgb="FFB6D7A8"/>
      </colorScale>
    </cfRule>
  </conditionalFormatting>
  <conditionalFormatting sqref="H22:H30">
    <cfRule type="colorScale" priority="8">
      <colorScale>
        <cfvo type="min"/>
        <cfvo type="percentile" val="50"/>
        <cfvo type="max"/>
        <color rgb="FFF5E8E8"/>
        <color rgb="FFFFF2CC"/>
        <color rgb="FFB6D7A8"/>
      </colorScale>
    </cfRule>
  </conditionalFormatting>
  <conditionalFormatting sqref="I22:I30">
    <cfRule type="colorScale" priority="9">
      <colorScale>
        <cfvo type="min"/>
        <cfvo type="percentile" val="50"/>
        <cfvo type="max"/>
        <color rgb="FFF5E8E8"/>
        <color rgb="FFFFF2CC"/>
        <color rgb="FFB6D7A8"/>
      </colorScale>
    </cfRule>
  </conditionalFormatting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workbookViewId="0">
      <selection activeCell="A1" sqref="A1:G1"/>
    </sheetView>
  </sheetViews>
  <sheetFormatPr baseColWidth="10" defaultColWidth="8.6640625" defaultRowHeight="15"/>
  <cols>
    <col width="14" customWidth="1" style="230" min="1" max="1"/>
    <col width="32" customWidth="1" style="230" min="2" max="2"/>
    <col width="16" customWidth="1" style="230" min="3" max="6"/>
    <col width="22" customWidth="1" style="230" min="7" max="7"/>
  </cols>
  <sheetData>
    <row r="1" ht="31.5" customHeight="1" s="230">
      <c r="A1" s="229" t="inlineStr">
        <is>
          <t>🏠 Start Here</t>
        </is>
      </c>
    </row>
    <row r="2" ht="18" customHeight="1" s="230">
      <c r="A2" s="239" t="inlineStr">
        <is>
          <t>How fast your working capital is cycling, and what it implies for net profit.</t>
        </is>
      </c>
    </row>
    <row r="4" ht="21.75" customHeight="1" s="230">
      <c r="A4" s="244" t="inlineStr">
        <is>
          <t>CURRENT STATE — editable blue inputs</t>
        </is>
      </c>
    </row>
    <row r="5">
      <c r="B5" s="98" t="inlineStr">
        <is>
          <t>Working capital ($)</t>
        </is>
      </c>
      <c r="C5" s="243" t="n">
        <v>20000</v>
      </c>
    </row>
    <row r="6">
      <c r="B6" s="98" t="inlineStr">
        <is>
          <t>Avg net margin %</t>
        </is>
      </c>
      <c r="C6" s="87" t="n">
        <v>0.3</v>
      </c>
    </row>
    <row r="7">
      <c r="B7" s="98" t="inlineStr">
        <is>
          <t>Current monthly turns</t>
        </is>
      </c>
      <c r="C7" s="99" t="n">
        <v>2</v>
      </c>
    </row>
    <row r="8" ht="16" customHeight="1" s="230">
      <c r="B8" s="98" t="inlineStr">
        <is>
          <t>Implied monthly gross ($)</t>
        </is>
      </c>
      <c r="C8" s="100">
        <f>C5*C7</f>
        <v/>
      </c>
    </row>
    <row r="9" ht="16" customHeight="1" s="230">
      <c r="B9" s="101" t="inlineStr">
        <is>
          <t>Implied monthly net ($)</t>
        </is>
      </c>
      <c r="C9" s="102">
        <f>C8*C6</f>
        <v/>
      </c>
    </row>
    <row r="11" ht="21.75" customHeight="1" s="230">
      <c r="A11" s="244" t="inlineStr">
        <is>
          <t>SCENARIO GRID — Monthly net at different (margin × turns)</t>
        </is>
      </c>
    </row>
    <row r="12">
      <c r="B12" s="103" t="inlineStr">
        <is>
          <t>Turns / month →</t>
        </is>
      </c>
      <c r="C12" s="104" t="n">
        <v>1.5</v>
      </c>
      <c r="D12" s="104" t="n">
        <v>2</v>
      </c>
      <c r="E12" s="104" t="n">
        <v>2.5</v>
      </c>
      <c r="F12" s="104" t="n">
        <v>3</v>
      </c>
      <c r="G12" s="104" t="n">
        <v>3.5</v>
      </c>
    </row>
    <row r="13" ht="16" customHeight="1" s="230">
      <c r="B13" s="105" t="n">
        <v>0.2</v>
      </c>
      <c r="C13" s="106">
        <f>$C$5*1.5*0.2</f>
        <v/>
      </c>
      <c r="D13" s="106">
        <f>$C$5*2*0.2</f>
        <v/>
      </c>
      <c r="E13" s="106">
        <f>$C$5*2.5*0.2</f>
        <v/>
      </c>
      <c r="F13" s="106">
        <f>$C$5*3*0.2</f>
        <v/>
      </c>
      <c r="G13" s="106">
        <f>$C$5*3.5*0.2</f>
        <v/>
      </c>
    </row>
    <row r="14" ht="16" customHeight="1" s="230">
      <c r="B14" s="105" t="n">
        <v>0.25</v>
      </c>
      <c r="C14" s="106">
        <f>$C$5*1.5*0.25</f>
        <v/>
      </c>
      <c r="D14" s="106">
        <f>$C$5*2*0.25</f>
        <v/>
      </c>
      <c r="E14" s="106">
        <f>$C$5*2.5*0.25</f>
        <v/>
      </c>
      <c r="F14" s="106">
        <f>$C$5*3*0.25</f>
        <v/>
      </c>
      <c r="G14" s="106">
        <f>$C$5*3.5*0.25</f>
        <v/>
      </c>
    </row>
    <row r="15" ht="16" customHeight="1" s="230">
      <c r="B15" s="105" t="n">
        <v>0.3</v>
      </c>
      <c r="C15" s="106">
        <f>$C$5*1.5*0.3</f>
        <v/>
      </c>
      <c r="D15" s="106">
        <f>$C$5*2*0.3</f>
        <v/>
      </c>
      <c r="E15" s="106">
        <f>$C$5*2.5*0.3</f>
        <v/>
      </c>
      <c r="F15" s="106">
        <f>$C$5*3*0.3</f>
        <v/>
      </c>
      <c r="G15" s="106">
        <f>$C$5*3.5*0.3</f>
        <v/>
      </c>
    </row>
    <row r="16" ht="16" customHeight="1" s="230">
      <c r="B16" s="105" t="n">
        <v>0.35</v>
      </c>
      <c r="C16" s="106">
        <f>$C$5*1.5*0.35</f>
        <v/>
      </c>
      <c r="D16" s="106">
        <f>$C$5*2*0.35</f>
        <v/>
      </c>
      <c r="E16" s="106">
        <f>$C$5*2.5*0.35</f>
        <v/>
      </c>
      <c r="F16" s="106">
        <f>$C$5*3*0.35</f>
        <v/>
      </c>
      <c r="G16" s="106">
        <f>$C$5*3.5*0.35</f>
        <v/>
      </c>
    </row>
    <row r="17" ht="16" customHeight="1" s="230">
      <c r="B17" s="105" t="n">
        <v>0.4</v>
      </c>
      <c r="C17" s="106">
        <f>$C$5*1.5*0.4</f>
        <v/>
      </c>
      <c r="D17" s="106">
        <f>$C$5*2*0.4</f>
        <v/>
      </c>
      <c r="E17" s="106">
        <f>$C$5*2.5*0.4</f>
        <v/>
      </c>
      <c r="F17" s="106">
        <f>$C$5*3*0.4</f>
        <v/>
      </c>
      <c r="G17" s="106">
        <f>$C$5*3.5*0.4</f>
        <v/>
      </c>
    </row>
    <row r="18" ht="16" customHeight="1" s="230">
      <c r="B18" s="105" t="n">
        <v>0.45</v>
      </c>
      <c r="C18" s="106">
        <f>$C$5*1.5*0.45</f>
        <v/>
      </c>
      <c r="D18" s="106">
        <f>$C$5*2*0.45</f>
        <v/>
      </c>
      <c r="E18" s="106">
        <f>$C$5*2.5*0.45</f>
        <v/>
      </c>
      <c r="F18" s="106">
        <f>$C$5*3*0.45</f>
        <v/>
      </c>
      <c r="G18" s="106">
        <f>$C$5*3.5*0.45</f>
        <v/>
      </c>
    </row>
    <row r="21" ht="36" customHeight="1" s="230">
      <c r="B21" s="291" t="inlineStr">
        <is>
          <t>Target: $40,000/mo net. Find that dollar value in the grid above. To hit $40k with $20k capital, you need either 2.5x turns @ 40% margin OR 3.5x turns @ 30% margin. Either requires the consignment pivot + capital growth over 6 months.</t>
        </is>
      </c>
    </row>
  </sheetData>
  <mergeCells count="5">
    <mergeCell ref="A1:G1"/>
    <mergeCell ref="A4:G4"/>
    <mergeCell ref="A2:G2"/>
    <mergeCell ref="B21:G21"/>
    <mergeCell ref="A11:G11"/>
  </mergeCells>
  <conditionalFormatting sqref="C13:G18">
    <cfRule type="colorScale" priority="2">
      <colorScale>
        <cfvo type="min"/>
        <cfvo type="percentile" val="50"/>
        <cfvo type="max"/>
        <color rgb="FFF5E8E8"/>
        <color rgb="FFFFF2CC"/>
        <color rgb="FFB6D7A8"/>
      </colorScale>
    </cfRule>
  </conditionalFormatting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Normal="100" workbookViewId="0">
      <selection activeCell="A1" sqref="A1:F1"/>
    </sheetView>
  </sheetViews>
  <sheetFormatPr baseColWidth="10" defaultColWidth="8.6640625" defaultRowHeight="15"/>
  <cols>
    <col width="14" customWidth="1" style="230" min="1" max="1"/>
    <col width="36" customWidth="1" style="230" min="2" max="2"/>
    <col width="16" customWidth="1" style="230" min="3" max="3"/>
    <col width="4" customWidth="1" style="230" min="4" max="4"/>
    <col width="36" customWidth="1" style="230" min="5" max="5"/>
    <col width="16" customWidth="1" style="230" min="6" max="6"/>
  </cols>
  <sheetData>
    <row r="1" ht="31.5" customHeight="1" s="230">
      <c r="A1" s="229" t="inlineStr">
        <is>
          <t>🏠 Start Here</t>
        </is>
      </c>
    </row>
    <row r="2" ht="18" customHeight="1" s="230">
      <c r="A2" s="239" t="inlineStr">
        <is>
          <t>Quantifies the hiring decision. Change blue inputs; model recalculates.</t>
        </is>
      </c>
    </row>
    <row r="4" ht="21.75" customHeight="1" s="230">
      <c r="A4" s="244" t="inlineStr">
        <is>
          <t>INPUTS — edit blue cells</t>
        </is>
      </c>
      <c r="E4" s="237" t="inlineStr">
        <is>
          <t>OUTPUTS</t>
        </is>
      </c>
    </row>
    <row r="5" ht="16" customHeight="1" s="230">
      <c r="B5" s="83" t="inlineStr">
        <is>
          <t>Hours per week</t>
        </is>
      </c>
      <c r="C5" s="107" t="n">
        <v>10</v>
      </c>
      <c r="E5" s="83" t="inlineStr">
        <is>
          <t>Weekly cost ($)</t>
        </is>
      </c>
      <c r="F5" s="84">
        <f>C5*C6</f>
        <v/>
      </c>
    </row>
    <row r="6" ht="16" customHeight="1" s="230">
      <c r="B6" s="83" t="inlineStr">
        <is>
          <t>Hourly rate ($)</t>
        </is>
      </c>
      <c r="C6" s="108" t="n">
        <v>15</v>
      </c>
      <c r="E6" s="83" t="inlineStr">
        <is>
          <t>Monthly cost ($)</t>
        </is>
      </c>
      <c r="F6" s="84">
        <f>F5*C10</f>
        <v/>
      </c>
    </row>
    <row r="7" ht="16" customHeight="1" s="230">
      <c r="B7" s="83" t="inlineStr">
        <is>
          <t>Listings per hour (helper avg)</t>
        </is>
      </c>
      <c r="C7" s="86" t="n">
        <v>15</v>
      </c>
      <c r="E7" s="83" t="inlineStr">
        <is>
          <t>Weekly listings produced</t>
        </is>
      </c>
      <c r="F7" s="109">
        <f>C5*C7</f>
        <v/>
      </c>
    </row>
    <row r="8" ht="16" customHeight="1" s="230">
      <c r="B8" s="83" t="inlineStr">
        <is>
          <t>Your avg net per direct-sale card ($)</t>
        </is>
      </c>
      <c r="C8" s="15" t="n">
        <v>4</v>
      </c>
      <c r="E8" s="83" t="inlineStr">
        <is>
          <t>Monthly listings</t>
        </is>
      </c>
      <c r="F8" s="109">
        <f>F7*C10</f>
        <v/>
      </c>
    </row>
    <row r="9" ht="16" customHeight="1" s="230">
      <c r="B9" s="83" t="inlineStr">
        <is>
          <t>Sell-through rate (%)</t>
        </is>
      </c>
      <c r="C9" s="85" t="n">
        <v>0.6</v>
      </c>
      <c r="E9" s="83" t="inlineStr">
        <is>
          <t>Expected sales per month</t>
        </is>
      </c>
      <c r="F9" s="109">
        <f>F8*C9</f>
        <v/>
      </c>
    </row>
    <row r="10" ht="16" customHeight="1" s="230">
      <c r="B10" s="83" t="inlineStr">
        <is>
          <t>Weeks per month</t>
        </is>
      </c>
      <c r="C10" s="110" t="n">
        <v>4.3</v>
      </c>
      <c r="E10" s="83" t="inlineStr">
        <is>
          <t>Expected net revenue / month ($)</t>
        </is>
      </c>
      <c r="F10" s="84">
        <f>F9*C8</f>
        <v/>
      </c>
    </row>
    <row r="11" ht="17" customHeight="1" s="230">
      <c r="B11" s="83" t="inlineStr">
        <is>
          <t>Ramp-up factor (month 1 only, %)</t>
        </is>
      </c>
      <c r="C11" s="85" t="n">
        <v>0.6</v>
      </c>
      <c r="E11" s="111" t="inlineStr">
        <is>
          <t>NET CONTRIBUTION / month (ongoing)</t>
        </is>
      </c>
      <c r="F11" s="112">
        <f>F10-F6</f>
        <v/>
      </c>
    </row>
    <row r="12" ht="17" customHeight="1" s="230">
      <c r="E12" s="111" t="inlineStr">
        <is>
          <t>NET CONTRIBUTION / month (month 1)</t>
        </is>
      </c>
      <c r="F12" s="112">
        <f>(F10*C11)-F6</f>
        <v/>
      </c>
    </row>
    <row r="13" ht="17" customHeight="1" s="230">
      <c r="E13" s="111" t="inlineStr">
        <is>
          <t>ROI multiple (ongoing)</t>
        </is>
      </c>
      <c r="F13" s="113">
        <f>IFERROR(F10/F6,"")</f>
        <v/>
      </c>
    </row>
    <row r="15" ht="16" customHeight="1" s="230">
      <c r="A15" s="244" t="inlineStr">
        <is>
          <t>DECISION RULE</t>
        </is>
      </c>
    </row>
    <row r="16" ht="21.75" customHeight="1" s="230">
      <c r="A16" s="284" t="inlineStr">
        <is>
          <t xml:space="preserve">  • If NET CONTRIBUTION (ongoing) &gt; $1,500/mo → hire immediately. Your time is worth more than the wage.</t>
        </is>
      </c>
    </row>
    <row r="17" ht="21.75" customHeight="1" s="230">
      <c r="A17" s="284" t="inlineStr">
        <is>
          <t xml:space="preserve">  • If NET CONTRIBUTION &lt; $500/mo → re-examine: are your listings/hour assumption or avg net too low?</t>
        </is>
      </c>
    </row>
    <row r="18" ht="21.75" customHeight="1" s="230">
      <c r="A18" s="284" t="inlineStr">
        <is>
          <t xml:space="preserve">  • Start at 10 hrs/wk with weekly QA. Scale to 15–20 hrs/wk once SOP is proven (Month 2+).</t>
        </is>
      </c>
    </row>
    <row r="19" ht="21.75" customHeight="1" s="230">
      <c r="A19" s="284" t="inlineStr">
        <is>
          <t xml:space="preserve">  • Budget separately for shipping/packing helper (3–4 hrs/wk) once listing throughput exceeds 150 cards/wk.</t>
        </is>
      </c>
    </row>
  </sheetData>
  <mergeCells count="9">
    <mergeCell ref="A16:F16"/>
    <mergeCell ref="E4:F4"/>
    <mergeCell ref="A2:F2"/>
    <mergeCell ref="A19:F19"/>
    <mergeCell ref="A1:F1"/>
    <mergeCell ref="A17:F17"/>
    <mergeCell ref="A18:F18"/>
    <mergeCell ref="A4:C4"/>
    <mergeCell ref="A15:F15"/>
  </mergeCells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zoomScaleNormal="100" workbookViewId="0">
      <selection activeCell="A1" sqref="A1:M1"/>
    </sheetView>
  </sheetViews>
  <sheetFormatPr baseColWidth="10" defaultColWidth="8.6640625" defaultRowHeight="15"/>
  <cols>
    <col width="14" customWidth="1" style="230" min="1" max="1"/>
    <col width="34" customWidth="1" style="230" min="2" max="2"/>
    <col width="11" customWidth="1" style="230" min="3" max="12"/>
  </cols>
  <sheetData>
    <row r="1" ht="31.5" customHeight="1" s="230">
      <c r="A1" s="229" t="inlineStr">
        <is>
          <t>🏠 Start Here</t>
        </is>
      </c>
    </row>
    <row r="2" ht="18" customHeight="1" s="230">
      <c r="A2" s="239" t="inlineStr">
        <is>
          <t>Month-by-month projection with adjustable assumptions.</t>
        </is>
      </c>
    </row>
    <row r="4" ht="24" customHeight="1" s="230">
      <c r="B4" s="114" t="inlineStr">
        <is>
          <t>Assumption</t>
        </is>
      </c>
      <c r="C4" s="276" t="inlineStr">
        <is>
          <t>Month 1</t>
        </is>
      </c>
      <c r="D4" s="276" t="inlineStr">
        <is>
          <t>Month 2</t>
        </is>
      </c>
      <c r="E4" s="276" t="inlineStr">
        <is>
          <t>Month 3</t>
        </is>
      </c>
      <c r="F4" s="276" t="inlineStr">
        <is>
          <t>Month 4</t>
        </is>
      </c>
      <c r="G4" s="276" t="inlineStr">
        <is>
          <t>Month 5</t>
        </is>
      </c>
      <c r="H4" s="276" t="inlineStr">
        <is>
          <t>Month 6</t>
        </is>
      </c>
      <c r="I4" s="276" t="inlineStr">
        <is>
          <t>Month 7</t>
        </is>
      </c>
      <c r="J4" s="276" t="inlineStr">
        <is>
          <t>Month 8</t>
        </is>
      </c>
      <c r="K4" s="276" t="inlineStr">
        <is>
          <t>Month 9</t>
        </is>
      </c>
    </row>
    <row r="5">
      <c r="B5" s="225" t="inlineStr">
        <is>
          <t>Working capital (start of month, $)</t>
        </is>
      </c>
      <c r="C5" s="243" t="n">
        <v>20000</v>
      </c>
      <c r="D5" s="243" t="n">
        <v>22000</v>
      </c>
      <c r="E5" s="243" t="n">
        <v>25000</v>
      </c>
      <c r="F5" s="243" t="n">
        <v>29000</v>
      </c>
      <c r="G5" s="243" t="n">
        <v>33000</v>
      </c>
      <c r="H5" s="243" t="n">
        <v>37000</v>
      </c>
      <c r="I5" s="243" t="n">
        <v>41000</v>
      </c>
      <c r="J5" s="243" t="n">
        <v>45000</v>
      </c>
      <c r="K5" s="243" t="n">
        <v>48000</v>
      </c>
    </row>
    <row r="6">
      <c r="B6" s="225" t="inlineStr">
        <is>
          <t>Monthly turns</t>
        </is>
      </c>
      <c r="C6" s="115" t="n">
        <v>2</v>
      </c>
      <c r="D6" s="115" t="n">
        <v>2.2</v>
      </c>
      <c r="E6" s="115" t="n">
        <v>2.5</v>
      </c>
      <c r="F6" s="115" t="n">
        <v>2.8</v>
      </c>
      <c r="G6" s="115" t="n">
        <v>3</v>
      </c>
      <c r="H6" s="115" t="n">
        <v>3.2</v>
      </c>
      <c r="I6" s="115" t="n">
        <v>3.3</v>
      </c>
      <c r="J6" s="115" t="n">
        <v>3.4</v>
      </c>
      <c r="K6" s="115" t="n">
        <v>3.5</v>
      </c>
    </row>
    <row r="7">
      <c r="B7" s="225" t="inlineStr">
        <is>
          <t>Avg net margin %</t>
        </is>
      </c>
      <c r="C7" s="85" t="n">
        <v>0.3</v>
      </c>
      <c r="D7" s="85" t="n">
        <v>0.31</v>
      </c>
      <c r="E7" s="85" t="n">
        <v>0.32</v>
      </c>
      <c r="F7" s="85" t="n">
        <v>0.34</v>
      </c>
      <c r="G7" s="85" t="n">
        <v>0.36</v>
      </c>
      <c r="H7" s="85" t="n">
        <v>0.38</v>
      </c>
      <c r="I7" s="85" t="n">
        <v>0.39</v>
      </c>
      <c r="J7" s="85" t="n">
        <v>0.4</v>
      </c>
      <c r="K7" s="85" t="n">
        <v>0.4</v>
      </c>
    </row>
    <row r="8" ht="16" customHeight="1" s="230">
      <c r="B8" s="225" t="inlineStr">
        <is>
          <t>Projected monthly gross ($)</t>
        </is>
      </c>
      <c r="C8" s="100">
        <f>C5*C6</f>
        <v/>
      </c>
      <c r="D8" s="100">
        <f>D5*D6</f>
        <v/>
      </c>
      <c r="E8" s="100">
        <f>E5*E6</f>
        <v/>
      </c>
      <c r="F8" s="100">
        <f>F5*F6</f>
        <v/>
      </c>
      <c r="G8" s="100">
        <f>G5*G6</f>
        <v/>
      </c>
      <c r="H8" s="100">
        <f>H5*H6</f>
        <v/>
      </c>
      <c r="I8" s="100">
        <f>I5*I6</f>
        <v/>
      </c>
      <c r="J8" s="100">
        <f>J5*J6</f>
        <v/>
      </c>
      <c r="K8" s="100">
        <f>K5*K6</f>
        <v/>
      </c>
    </row>
    <row r="9" ht="16" customHeight="1" s="230">
      <c r="B9" s="116" t="inlineStr">
        <is>
          <t>Projected monthly NET ($)</t>
        </is>
      </c>
      <c r="C9" s="117">
        <f>C8*C7</f>
        <v/>
      </c>
      <c r="D9" s="117">
        <f>D8*D7</f>
        <v/>
      </c>
      <c r="E9" s="117">
        <f>E8*E7</f>
        <v/>
      </c>
      <c r="F9" s="117">
        <f>F8*F7</f>
        <v/>
      </c>
      <c r="G9" s="117">
        <f>G8*G7</f>
        <v/>
      </c>
      <c r="H9" s="117">
        <f>H8*H7</f>
        <v/>
      </c>
      <c r="I9" s="117">
        <f>I8*I7</f>
        <v/>
      </c>
      <c r="J9" s="117">
        <f>J8*J7</f>
        <v/>
      </c>
      <c r="K9" s="117">
        <f>K8*K7</f>
        <v/>
      </c>
    </row>
    <row r="10" ht="16" customHeight="1" s="230">
      <c r="B10" s="118" t="inlineStr">
        <is>
          <t>Gap to $40k target ($)</t>
        </is>
      </c>
      <c r="C10" s="119">
        <f>40000-C9</f>
        <v/>
      </c>
      <c r="D10" s="119">
        <f>40000-D9</f>
        <v/>
      </c>
      <c r="E10" s="119">
        <f>40000-E9</f>
        <v/>
      </c>
      <c r="F10" s="119">
        <f>40000-F9</f>
        <v/>
      </c>
      <c r="G10" s="119">
        <f>40000-G9</f>
        <v/>
      </c>
      <c r="H10" s="119">
        <f>40000-H9</f>
        <v/>
      </c>
      <c r="I10" s="119">
        <f>40000-I9</f>
        <v/>
      </c>
      <c r="J10" s="119">
        <f>40000-J9</f>
        <v/>
      </c>
      <c r="K10" s="119">
        <f>40000-K9</f>
        <v/>
      </c>
    </row>
    <row r="11" ht="16" customHeight="1" s="230">
      <c r="B11" s="120" t="inlineStr">
        <is>
          <t>% of $40k target achieved</t>
        </is>
      </c>
      <c r="C11" s="121">
        <f>C9/40000</f>
        <v/>
      </c>
      <c r="D11" s="121">
        <f>D9/40000</f>
        <v/>
      </c>
      <c r="E11" s="121">
        <f>E9/40000</f>
        <v/>
      </c>
      <c r="F11" s="121">
        <f>F9/40000</f>
        <v/>
      </c>
      <c r="G11" s="121">
        <f>G9/40000</f>
        <v/>
      </c>
      <c r="H11" s="121">
        <f>H9/40000</f>
        <v/>
      </c>
      <c r="I11" s="121">
        <f>I9/40000</f>
        <v/>
      </c>
      <c r="J11" s="121">
        <f>J9/40000</f>
        <v/>
      </c>
      <c r="K11" s="121">
        <f>K9/40000</f>
        <v/>
      </c>
    </row>
    <row r="13" ht="21.75" customHeight="1" s="230">
      <c r="A13" s="237" t="inlineStr">
        <is>
          <t>Milestones (Month-End)</t>
        </is>
      </c>
    </row>
    <row r="14">
      <c r="B14" s="225" t="inlineStr">
        <is>
          <t>Cards listed / week (helper + you)</t>
        </is>
      </c>
      <c r="C14" s="122" t="n">
        <v>200</v>
      </c>
      <c r="D14" s="122" t="n">
        <v>275</v>
      </c>
      <c r="E14" s="122" t="n">
        <v>350</v>
      </c>
      <c r="F14" s="122" t="n">
        <v>450</v>
      </c>
      <c r="G14" s="122" t="n">
        <v>525</v>
      </c>
      <c r="H14" s="122" t="n">
        <v>600</v>
      </c>
      <c r="I14" s="122" t="n">
        <v>700</v>
      </c>
      <c r="J14" s="122" t="n">
        <v>775</v>
      </c>
      <c r="K14" s="122" t="n">
        <v>850</v>
      </c>
    </row>
    <row r="15">
      <c r="B15" s="225" t="inlineStr">
        <is>
          <t>Cards consigned / week (all houses)</t>
        </is>
      </c>
      <c r="C15" s="122" t="n">
        <v>25</v>
      </c>
      <c r="D15" s="122" t="n">
        <v>35</v>
      </c>
      <c r="E15" s="122" t="n">
        <v>45</v>
      </c>
      <c r="F15" s="122" t="n">
        <v>55</v>
      </c>
      <c r="G15" s="122" t="n">
        <v>65</v>
      </c>
      <c r="H15" s="122" t="n">
        <v>75</v>
      </c>
      <c r="I15" s="122" t="n">
        <v>85</v>
      </c>
      <c r="J15" s="122" t="n">
        <v>95</v>
      </c>
      <c r="K15" s="122" t="n">
        <v>100</v>
      </c>
    </row>
    <row r="16">
      <c r="B16" s="225" t="inlineStr">
        <is>
          <t>Avg cost basis / card ($)</t>
        </is>
      </c>
      <c r="C16" s="106" t="n">
        <v>8</v>
      </c>
      <c r="D16" s="106" t="n">
        <v>10</v>
      </c>
      <c r="E16" s="106" t="n">
        <v>13</v>
      </c>
      <c r="F16" s="106" t="n">
        <v>16</v>
      </c>
      <c r="G16" s="106" t="n">
        <v>18</v>
      </c>
      <c r="H16" s="106" t="n">
        <v>20</v>
      </c>
      <c r="I16" s="106" t="n">
        <v>22</v>
      </c>
      <c r="J16" s="106" t="n">
        <v>24</v>
      </c>
      <c r="K16" s="106" t="n">
        <v>25</v>
      </c>
    </row>
    <row r="17">
      <c r="B17" s="225" t="inlineStr">
        <is>
          <t>% of gross from mid+premium tier</t>
        </is>
      </c>
      <c r="C17" s="121" t="n">
        <v>0.2</v>
      </c>
      <c r="D17" s="121" t="n">
        <v>0.26</v>
      </c>
      <c r="E17" s="121" t="n">
        <v>0.33</v>
      </c>
      <c r="F17" s="121" t="n">
        <v>0.4</v>
      </c>
      <c r="G17" s="121" t="n">
        <v>0.45</v>
      </c>
      <c r="H17" s="121" t="n">
        <v>0.5</v>
      </c>
      <c r="I17" s="121" t="n">
        <v>0.53</v>
      </c>
      <c r="J17" s="121" t="n">
        <v>0.5600000000000001</v>
      </c>
      <c r="K17" s="121" t="n">
        <v>0.58</v>
      </c>
    </row>
    <row r="19" ht="16" customHeight="1" s="230">
      <c r="B19" s="288" t="inlineStr">
        <is>
          <t>HOW TO USE THIS MODEL</t>
        </is>
      </c>
    </row>
    <row r="20" ht="21.75" customHeight="1" s="230">
      <c r="B20" s="292" t="inlineStr">
        <is>
          <t xml:space="preserve">  • The three YELLOW-highlighted rows (working capital, turns, margin) drive the whole model. Adjust any of them to see impact.</t>
        </is>
      </c>
    </row>
    <row r="21" ht="21.75" customHeight="1" s="230">
      <c r="B21" s="292" t="inlineStr">
        <is>
          <t xml:space="preserve">  • Working capital grows via 60% net reinvestment — if you reinvest less, slow the row 5 progression.</t>
        </is>
      </c>
    </row>
    <row r="22" ht="21.75" customHeight="1" s="230">
      <c r="B22" s="292" t="inlineStr">
        <is>
          <t xml:space="preserve">  • If you're behind target in any month, the first lever to pull is TURNS (consignment-heavy). Margin takes longer to move.</t>
        </is>
      </c>
    </row>
    <row r="23" ht="21.75" customHeight="1" s="230">
      <c r="B23" s="292" t="inlineStr">
        <is>
          <t xml:space="preserve">  • Month 6-7 is the realistic earliest window to cross $40k/mo NET at this starting capital and with strict reinvestment.</t>
        </is>
      </c>
    </row>
    <row r="24" ht="21.75" customHeight="1" s="230">
      <c r="B24" s="292" t="inlineStr">
        <is>
          <t xml:space="preserve">  • If a capital injection happens (partner, loan, mentor buyout purchase), update row 5 and the whole model reflects it.</t>
        </is>
      </c>
    </row>
  </sheetData>
  <mergeCells count="9">
    <mergeCell ref="B24:M24"/>
    <mergeCell ref="A13:M13"/>
    <mergeCell ref="A1:M1"/>
    <mergeCell ref="B19:M19"/>
    <mergeCell ref="B20:M20"/>
    <mergeCell ref="B23:M23"/>
    <mergeCell ref="B22:M22"/>
    <mergeCell ref="B21:M21"/>
    <mergeCell ref="A2:M2"/>
  </mergeCells>
  <conditionalFormatting sqref="C11:K11">
    <cfRule type="colorScale" priority="2">
      <colorScale>
        <cfvo type="num" val="0"/>
        <cfvo type="num" val="0.5"/>
        <cfvo type="num" val="1"/>
        <color rgb="FFF5E8E8"/>
        <color rgb="FFFFF2CC"/>
        <color rgb="FFB6D7A8"/>
      </colorScale>
    </cfRule>
  </conditionalFormatting>
  <hyperlinks>
    <hyperlink ref="A1" location="'Start Here'!A1" display="🏠 Start Here"/>
  </hyperlink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pane ySplit="4" topLeftCell="A10" activePane="bottomLeft" state="frozen"/>
      <selection pane="bottomLeft" activeCell="I5" sqref="I5"/>
    </sheetView>
  </sheetViews>
  <sheetFormatPr baseColWidth="10" defaultColWidth="8.83203125" defaultRowHeight="15"/>
  <cols>
    <col width="42" customWidth="1" style="230" min="1" max="1"/>
    <col width="10" customWidth="1" style="230" min="2" max="2"/>
    <col width="11" customWidth="1" style="230" min="3" max="3"/>
    <col width="32" customWidth="1" style="230" min="4" max="4"/>
    <col width="18" customWidth="1" style="230" min="5" max="5"/>
    <col width="14" customWidth="1" style="230" min="6" max="7"/>
    <col width="22" customWidth="1" style="230" min="8" max="8"/>
    <col width="16" customWidth="1" style="230" min="9" max="9"/>
    <col width="38" customWidth="1" style="230" min="10" max="10"/>
  </cols>
  <sheetData>
    <row r="1" ht="30" customHeight="1" s="230">
      <c r="A1" s="229" t="inlineStr">
        <is>
          <t>🏠 Start Here</t>
        </is>
      </c>
    </row>
    <row r="2" ht="16" customHeight="1" s="230">
      <c r="A2" s="296" t="inlineStr">
        <is>
          <t>Research Date: May 3, 2026  |  Goal: Clear aging inventory this week to make room for new arrivals  |  Bold = IMMEDIATE ACTION</t>
        </is>
      </c>
    </row>
    <row r="3" ht="18" customHeight="1" s="230">
      <c r="A3" s="300" t="inlineStr">
        <is>
          <t>🔴 DROP NOW</t>
        </is>
      </c>
      <c r="C3" s="314" t="inlineStr">
        <is>
          <t>🟠 OVERPRICED</t>
        </is>
      </c>
      <c r="E3" s="316" t="inlineStr">
        <is>
          <t>🟡 FAIR / STUCK</t>
        </is>
      </c>
      <c r="G3" s="301" t="inlineStr">
        <is>
          <t>🟢 UNDERPRICED</t>
        </is>
      </c>
      <c r="I3" s="302" t="inlineStr">
        <is>
          <t>🔵 CONSIGN DC87</t>
        </is>
      </c>
      <c r="K3" s="317" t="inlineStr">
        <is>
          <t>⚪ HOLD</t>
        </is>
      </c>
    </row>
    <row r="4" ht="22" customHeight="1" s="230">
      <c r="A4" s="172" t="inlineStr">
        <is>
          <t>Card Description</t>
        </is>
      </c>
      <c r="B4" s="172" t="inlineStr">
        <is>
          <t>Listed $</t>
        </is>
      </c>
      <c r="C4" s="172" t="inlineStr">
        <is>
          <t>Days Listed</t>
        </is>
      </c>
      <c r="D4" s="172" t="inlineStr">
        <is>
          <t>Comp Range (Sold)</t>
        </is>
      </c>
      <c r="E4" s="172" t="inlineStr">
        <is>
          <t>Market Verdict</t>
        </is>
      </c>
      <c r="F4" s="172" t="inlineStr">
        <is>
          <t>Status</t>
        </is>
      </c>
      <c r="G4" s="172" t="inlineStr">
        <is>
          <t>Fast-Sell Price</t>
        </is>
      </c>
      <c r="H4" s="172" t="inlineStr">
        <is>
          <t>Channel</t>
        </is>
      </c>
      <c r="I4" s="172" t="inlineStr">
        <is>
          <t>Action Priority</t>
        </is>
      </c>
      <c r="J4" s="172" t="inlineStr">
        <is>
          <t>Notes</t>
        </is>
      </c>
    </row>
    <row r="5" ht="52" customHeight="1" s="230">
      <c r="A5" s="173" t="n"/>
      <c r="B5" s="313" t="n"/>
      <c r="C5" s="313" t="n"/>
      <c r="D5" s="313" t="n"/>
      <c r="E5" s="175" t="n"/>
      <c r="F5" s="176" t="n"/>
      <c r="G5" s="177" t="n"/>
      <c r="H5" s="313" t="n"/>
      <c r="I5" s="178" t="n"/>
      <c r="J5" s="313" t="n"/>
    </row>
    <row r="6" ht="52" customHeight="1" s="230">
      <c r="A6" s="179" t="n"/>
      <c r="B6" s="309" t="n"/>
      <c r="C6" s="309" t="n"/>
      <c r="D6" s="309" t="n"/>
      <c r="E6" s="181" t="n"/>
      <c r="F6" s="182" t="n"/>
      <c r="G6" s="183" t="n"/>
      <c r="H6" s="309" t="n"/>
      <c r="I6" s="184" t="n"/>
      <c r="J6" s="309" t="n"/>
    </row>
    <row r="7" ht="52" customHeight="1" s="230">
      <c r="A7" s="179" t="n"/>
      <c r="B7" s="309" t="n"/>
      <c r="C7" s="309" t="n"/>
      <c r="D7" s="309" t="n"/>
      <c r="E7" s="181" t="n"/>
      <c r="F7" s="182" t="n"/>
      <c r="G7" s="183" t="n"/>
      <c r="H7" s="309" t="n"/>
      <c r="I7" s="184" t="n"/>
      <c r="J7" s="309" t="n"/>
    </row>
    <row r="8" ht="52" customHeight="1" s="230">
      <c r="A8" s="185" t="n"/>
      <c r="B8" s="315" t="n"/>
      <c r="C8" s="315" t="n"/>
      <c r="D8" s="315" t="n"/>
      <c r="E8" s="187" t="n"/>
      <c r="F8" s="188" t="n"/>
      <c r="G8" s="189" t="n"/>
      <c r="H8" s="315" t="n"/>
      <c r="I8" s="190" t="n"/>
      <c r="J8" s="315" t="n"/>
    </row>
    <row r="9" ht="52" customHeight="1" s="230">
      <c r="A9" s="173" t="n"/>
      <c r="B9" s="313" t="n"/>
      <c r="C9" s="313" t="n"/>
      <c r="D9" s="313" t="n"/>
      <c r="E9" s="191" t="n"/>
      <c r="F9" s="192" t="n"/>
      <c r="G9" s="177" t="n"/>
      <c r="H9" s="313" t="n"/>
      <c r="I9" s="193" t="n"/>
      <c r="J9" s="313" t="n"/>
    </row>
    <row r="10" ht="52" customHeight="1" s="230">
      <c r="A10" s="194" t="n"/>
      <c r="B10" s="297" t="n"/>
      <c r="C10" s="297" t="n"/>
      <c r="D10" s="297" t="n"/>
      <c r="E10" s="196" t="n"/>
      <c r="F10" s="197" t="n"/>
      <c r="G10" s="198" t="n"/>
      <c r="H10" s="297" t="n"/>
      <c r="I10" s="199" t="n"/>
      <c r="J10" s="297" t="n"/>
    </row>
    <row r="11" ht="52" customHeight="1" s="230">
      <c r="A11" s="200" t="n"/>
      <c r="B11" s="304" t="n"/>
      <c r="C11" s="304" t="n"/>
      <c r="D11" s="304" t="n"/>
      <c r="E11" s="202" t="n"/>
      <c r="F11" s="203" t="n"/>
      <c r="G11" s="204" t="n"/>
      <c r="H11" s="304" t="n"/>
      <c r="I11" s="205" t="n"/>
      <c r="J11" s="304" t="n"/>
    </row>
    <row r="12" ht="52" customHeight="1" s="230">
      <c r="A12" s="200" t="n"/>
      <c r="B12" s="304" t="n"/>
      <c r="C12" s="304" t="n"/>
      <c r="D12" s="304" t="n"/>
      <c r="E12" s="202" t="n"/>
      <c r="F12" s="203" t="n"/>
      <c r="G12" s="204" t="n"/>
      <c r="H12" s="304" t="n"/>
      <c r="I12" s="205" t="n"/>
      <c r="J12" s="304" t="n"/>
    </row>
    <row r="13" ht="52" customHeight="1" s="230">
      <c r="A13" s="194" t="n"/>
      <c r="B13" s="297" t="n"/>
      <c r="C13" s="297" t="n"/>
      <c r="D13" s="297" t="n"/>
      <c r="E13" s="196" t="n"/>
      <c r="F13" s="197" t="n"/>
      <c r="G13" s="198" t="n"/>
      <c r="H13" s="297" t="n"/>
      <c r="I13" s="199" t="n"/>
      <c r="J13" s="297" t="n"/>
    </row>
    <row r="14" ht="52" customHeight="1" s="230">
      <c r="A14" s="200" t="n"/>
      <c r="B14" s="304" t="n"/>
      <c r="C14" s="304" t="n"/>
      <c r="D14" s="304" t="n"/>
      <c r="E14" s="202" t="n"/>
      <c r="F14" s="203" t="n"/>
      <c r="G14" s="204" t="n"/>
      <c r="H14" s="304" t="n"/>
      <c r="I14" s="205" t="n"/>
      <c r="J14" s="304" t="n"/>
    </row>
    <row r="16" ht="20" customHeight="1" s="230">
      <c r="A16" s="307" t="n"/>
    </row>
    <row r="17" ht="28" customHeight="1" s="230">
      <c r="A17" s="308" t="n"/>
      <c r="B17" s="295" t="n"/>
      <c r="C17" s="309" t="n"/>
      <c r="D17" s="294" t="n"/>
      <c r="E17" s="294" t="n"/>
      <c r="F17" s="294" t="n"/>
      <c r="G17" s="295" t="n"/>
      <c r="H17" s="293" t="n"/>
      <c r="I17" s="294" t="n"/>
      <c r="J17" s="295" t="n"/>
    </row>
    <row r="18" ht="28" customHeight="1" s="230">
      <c r="A18" s="299" t="n"/>
      <c r="B18" s="295" t="n"/>
      <c r="C18" s="315" t="n"/>
      <c r="D18" s="294" t="n"/>
      <c r="E18" s="294" t="n"/>
      <c r="F18" s="294" t="n"/>
      <c r="G18" s="295" t="n"/>
      <c r="H18" s="305" t="n"/>
      <c r="I18" s="294" t="n"/>
      <c r="J18" s="295" t="n"/>
    </row>
    <row r="19" ht="28" customHeight="1" s="230">
      <c r="A19" s="312" t="n"/>
      <c r="B19" s="295" t="n"/>
      <c r="C19" s="313" t="n"/>
      <c r="D19" s="294" t="n"/>
      <c r="E19" s="294" t="n"/>
      <c r="F19" s="294" t="n"/>
      <c r="G19" s="295" t="n"/>
      <c r="H19" s="298" t="n"/>
      <c r="I19" s="294" t="n"/>
      <c r="J19" s="295" t="n"/>
    </row>
    <row r="20" ht="28" customHeight="1" s="230">
      <c r="A20" s="311" t="n"/>
      <c r="B20" s="295" t="n"/>
      <c r="C20" s="297" t="n"/>
      <c r="D20" s="294" t="n"/>
      <c r="E20" s="294" t="n"/>
      <c r="F20" s="294" t="n"/>
      <c r="G20" s="295" t="n"/>
      <c r="H20" s="310" t="n"/>
      <c r="I20" s="294" t="n"/>
      <c r="J20" s="295" t="n"/>
    </row>
    <row r="21" ht="28" customHeight="1" s="230">
      <c r="A21" s="303" t="n"/>
      <c r="B21" s="295" t="n"/>
      <c r="C21" s="304" t="n"/>
      <c r="D21" s="294" t="n"/>
      <c r="E21" s="294" t="n"/>
      <c r="F21" s="294" t="n"/>
      <c r="G21" s="295" t="n"/>
      <c r="H21" s="306" t="n"/>
      <c r="I21" s="294" t="n"/>
      <c r="J21" s="295" t="n"/>
    </row>
  </sheetData>
  <mergeCells count="24">
    <mergeCell ref="H17:J17"/>
    <mergeCell ref="A2:L2"/>
    <mergeCell ref="C20:G20"/>
    <mergeCell ref="H19:J19"/>
    <mergeCell ref="A18:B18"/>
    <mergeCell ref="A3:B3"/>
    <mergeCell ref="G3:H3"/>
    <mergeCell ref="I3:J3"/>
    <mergeCell ref="A21:B21"/>
    <mergeCell ref="C21:G21"/>
    <mergeCell ref="H18:J18"/>
    <mergeCell ref="H21:J21"/>
    <mergeCell ref="A16:J16"/>
    <mergeCell ref="A17:B17"/>
    <mergeCell ref="C17:G17"/>
    <mergeCell ref="H20:J20"/>
    <mergeCell ref="A20:B20"/>
    <mergeCell ref="A19:B19"/>
    <mergeCell ref="A1:L1"/>
    <mergeCell ref="C19:G19"/>
    <mergeCell ref="C3:D3"/>
    <mergeCell ref="C18:G18"/>
    <mergeCell ref="E3:F3"/>
    <mergeCell ref="K3:L3"/>
  </mergeCells>
  <hyperlinks>
    <hyperlink ref="A1" location="'Start Here'!A1" display="🏠 Start Here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" customWidth="1" style="230" min="1" max="1"/>
    <col width="26" customWidth="1" style="230" min="2" max="2"/>
    <col width="12" customWidth="1" style="230" min="3" max="3"/>
    <col width="18" customWidth="1" style="230" min="4" max="4"/>
    <col width="20" customWidth="1" style="230" min="5" max="5"/>
  </cols>
  <sheetData>
    <row r="1" ht="36" customHeight="1" s="230">
      <c r="A1" s="360" t="inlineStr">
        <is>
          <t>PSA Grading Fee Schedule — 2025</t>
        </is>
      </c>
    </row>
    <row r="2" ht="6" customHeight="1" s="230"/>
    <row r="3" ht="22" customHeight="1" s="230">
      <c r="A3" s="361" t="inlineStr">
        <is>
          <t>Tier</t>
        </is>
      </c>
      <c r="B3" s="361" t="inlineStr">
        <is>
          <t>Turnaround</t>
        </is>
      </c>
      <c r="C3" s="361" t="inlineStr">
        <is>
          <t>Fee ($)</t>
        </is>
      </c>
      <c r="D3" s="361" t="inlineStr">
        <is>
          <t>eBay Fee (13.25%)</t>
        </is>
      </c>
      <c r="E3" s="361" t="inlineStr">
        <is>
          <t>Notes</t>
        </is>
      </c>
    </row>
    <row r="4" ht="20" customHeight="1" s="230">
      <c r="A4" s="362" t="inlineStr">
        <is>
          <t>Value Bulk</t>
        </is>
      </c>
      <c r="B4" s="363" t="inlineStr">
        <is>
          <t>~75 days</t>
        </is>
      </c>
      <c r="C4" s="364" t="n">
        <v>32.99</v>
      </c>
      <c r="D4" s="364">
        <f>C4*0.1325</f>
        <v/>
      </c>
      <c r="E4" s="365" t="inlineStr">
        <is>
          <t>Non-membership</t>
        </is>
      </c>
    </row>
    <row r="5" ht="20" customHeight="1" s="230">
      <c r="A5" s="366" t="inlineStr">
        <is>
          <t>Value Plus</t>
        </is>
      </c>
      <c r="B5" s="367" t="inlineStr">
        <is>
          <t>~45 days</t>
        </is>
      </c>
      <c r="C5" s="368" t="n">
        <v>49.99</v>
      </c>
      <c r="D5" s="368">
        <f>C5*0.1325</f>
        <v/>
      </c>
      <c r="E5" s="369" t="inlineStr">
        <is>
          <t>Non-membership</t>
        </is>
      </c>
    </row>
    <row r="6" ht="20" customHeight="1" s="230">
      <c r="A6" s="362" t="inlineStr">
        <is>
          <t>Value Max</t>
        </is>
      </c>
      <c r="B6" s="363" t="inlineStr">
        <is>
          <t>~35 days</t>
        </is>
      </c>
      <c r="C6" s="364" t="n">
        <v>64.98999999999999</v>
      </c>
      <c r="D6" s="364">
        <f>C6*0.1325</f>
        <v/>
      </c>
      <c r="E6" s="365" t="inlineStr">
        <is>
          <t>Non-membership</t>
        </is>
      </c>
    </row>
    <row r="7" ht="20" customHeight="1" s="230">
      <c r="A7" s="366" t="inlineStr">
        <is>
          <t>Regular</t>
        </is>
      </c>
      <c r="B7" s="367" t="inlineStr">
        <is>
          <t>~25 days</t>
        </is>
      </c>
      <c r="C7" s="368" t="n">
        <v>79.98999999999999</v>
      </c>
      <c r="D7" s="368">
        <f>C7*0.1325</f>
        <v/>
      </c>
      <c r="E7" s="369" t="inlineStr">
        <is>
          <t>Non-membership</t>
        </is>
      </c>
    </row>
    <row r="8" ht="20" customHeight="1" s="230">
      <c r="A8" s="362" t="inlineStr">
        <is>
          <t>Express</t>
        </is>
      </c>
      <c r="B8" s="363" t="inlineStr">
        <is>
          <t>~15 days</t>
        </is>
      </c>
      <c r="C8" s="364" t="n">
        <v>149</v>
      </c>
      <c r="D8" s="364">
        <f>C8*0.1325</f>
        <v/>
      </c>
      <c r="E8" s="365" t="inlineStr">
        <is>
          <t>Non-membership</t>
        </is>
      </c>
    </row>
    <row r="9" ht="20" customHeight="1" s="230">
      <c r="A9" s="366" t="inlineStr">
        <is>
          <t>Super Express</t>
        </is>
      </c>
      <c r="B9" s="367" t="inlineStr">
        <is>
          <t>~7 days</t>
        </is>
      </c>
      <c r="C9" s="368" t="n">
        <v>299</v>
      </c>
      <c r="D9" s="368">
        <f>C9*0.1325</f>
        <v/>
      </c>
      <c r="E9" s="369" t="inlineStr">
        <is>
          <t>Non-membership</t>
        </is>
      </c>
    </row>
    <row r="10" ht="20" customHeight="1" s="230">
      <c r="A10" s="362" t="inlineStr">
        <is>
          <t>Walk-Through</t>
        </is>
      </c>
      <c r="B10" s="363" t="inlineStr">
        <is>
          <t>~7 days ($10k insured)</t>
        </is>
      </c>
      <c r="C10" s="364" t="n">
        <v>599</v>
      </c>
      <c r="D10" s="364">
        <f>C10*0.1325</f>
        <v/>
      </c>
      <c r="E10" s="365" t="inlineStr">
        <is>
          <t>Non-membership</t>
        </is>
      </c>
    </row>
    <row r="11">
      <c r="A11" s="370" t="inlineStr">
        <is>
          <t>eBay final value fee: 13.25% of sale price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8" customWidth="1" style="230" min="1" max="1"/>
    <col width="22" customWidth="1" style="230" min="2" max="2"/>
    <col width="30" customWidth="1" style="230" min="3" max="3"/>
    <col width="14" customWidth="1" style="230" min="4" max="4"/>
  </cols>
  <sheetData>
    <row r="1" ht="36" customHeight="1" s="230">
      <c r="A1" s="360" t="inlineStr">
        <is>
          <t>Grading ROI Calculator</t>
        </is>
      </c>
    </row>
    <row r="2" ht="20" customHeight="1" s="230">
      <c r="A2" s="371" t="inlineStr">
        <is>
          <t>INPUTS</t>
        </is>
      </c>
    </row>
    <row r="4" ht="20" customHeight="1" s="230">
      <c r="A4" s="372" t="inlineStr">
        <is>
          <t>Raw Buy Price ($)</t>
        </is>
      </c>
      <c r="B4" s="373" t="n">
        <v>50</v>
      </c>
    </row>
    <row r="5" ht="20" customHeight="1" s="230">
      <c r="A5" s="372" t="inlineStr">
        <is>
          <t>PSA Tier</t>
        </is>
      </c>
      <c r="B5" s="374" t="inlineStr">
        <is>
          <t>Value Bulk</t>
        </is>
      </c>
    </row>
    <row r="6" ht="20" customHeight="1" s="230">
      <c r="A6" s="372" t="inlineStr">
        <is>
          <t>PSA Fee ($)</t>
        </is>
      </c>
      <c r="B6" s="373" t="n">
        <v>32.99</v>
      </c>
      <c r="C6" s="375" t="inlineStr">
        <is>
          <t>Enter fee from "PSA Fee Schedule" tab</t>
        </is>
      </c>
    </row>
    <row r="7" ht="20" customHeight="1" s="230">
      <c r="A7" s="372" t="inlineStr">
        <is>
          <t>Gem Rate (%)</t>
        </is>
      </c>
      <c r="B7" s="376" t="n">
        <v>50</v>
      </c>
    </row>
    <row r="8" ht="20" customHeight="1" s="230">
      <c r="A8" s="372" t="inlineStr">
        <is>
          <t>PSA 10 Avg Price ($)</t>
        </is>
      </c>
      <c r="B8" s="373" t="n">
        <v>0</v>
      </c>
    </row>
    <row r="9" ht="20" customHeight="1" s="230">
      <c r="A9" s="372" t="inlineStr">
        <is>
          <t>ROI Target (×)</t>
        </is>
      </c>
      <c r="B9" s="374" t="n">
        <v>4</v>
      </c>
    </row>
    <row r="10" ht="8" customHeight="1" s="230"/>
    <row r="11" ht="20" customHeight="1" s="230">
      <c r="A11" s="371" t="inlineStr">
        <is>
          <t>OUTPUTS</t>
        </is>
      </c>
    </row>
    <row r="12" ht="22" customHeight="1" s="230">
      <c r="A12" s="372" t="inlineStr">
        <is>
          <t>eBay Fee ($)</t>
        </is>
      </c>
      <c r="B12" s="377">
        <f>B8*0.1325</f>
        <v/>
      </c>
    </row>
    <row r="13" ht="22" customHeight="1" s="230">
      <c r="A13" s="372" t="inlineStr">
        <is>
          <t>Target PSA 10 Price ($)</t>
        </is>
      </c>
      <c r="B13" s="377">
        <f>(B4*B9+B6)/(1-0.1325)</f>
        <v/>
      </c>
    </row>
    <row r="14" ht="22" customHeight="1" s="230">
      <c r="A14" s="372" t="inlineStr">
        <is>
          <t>Est. Net Profit ($)</t>
        </is>
      </c>
      <c r="B14" s="377">
        <f>B8*(1-0.1325)-B6-B4</f>
        <v/>
      </c>
    </row>
    <row r="15" ht="22" customHeight="1" s="230">
      <c r="A15" s="372" t="inlineStr">
        <is>
          <t>Est. ROI (%)</t>
        </is>
      </c>
      <c r="B15" s="378">
        <f>IF(B4&gt;0,(B14/B4)*100,0)</f>
        <v/>
      </c>
    </row>
    <row r="16" ht="28" customHeight="1" s="230">
      <c r="A16" s="372" t="inlineStr">
        <is>
          <t>GO / NO-GO</t>
        </is>
      </c>
      <c r="B16" s="379">
        <f>IF(B7&lt;40,"❌ NO-GO — Gem rate below 40% floor",IF(B8&gt;=B13,"✅ GO — Clears target price","❌ NO-GO — Price below target"))</f>
        <v/>
      </c>
    </row>
    <row r="17" ht="8" customHeight="1" s="230"/>
    <row r="18">
      <c r="A18" s="380" t="inlineStr">
        <is>
          <t>4× ROI formula: (Raw Cost × ROI Target + PSA Fee) ÷ (1 − 0.1325)</t>
        </is>
      </c>
    </row>
  </sheetData>
  <mergeCells count="5">
    <mergeCell ref="A1:D1"/>
    <mergeCell ref="A18:D18"/>
    <mergeCell ref="A2:D2"/>
    <mergeCell ref="A11:D11"/>
    <mergeCell ref="B16:D16"/>
  </mergeCells>
  <dataValidations count="1">
    <dataValidation sqref="B5" showDropDown="0" showInputMessage="0" showErrorMessage="0" allowBlank="0" type="list">
      <formula1>"Value Bulk,Value Plus,Value Max,Regular,Express,Super Express,Walk-Through"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0" workbookViewId="0">
      <selection activeCell="A1" sqref="A1"/>
    </sheetView>
  </sheetViews>
  <sheetFormatPr baseColWidth="8" defaultRowHeight="15"/>
  <cols>
    <col width="14" customWidth="1" style="230" min="1" max="1"/>
    <col width="40" customWidth="1" style="230" min="2" max="2"/>
    <col width="8" customWidth="1" style="230" min="3" max="3"/>
    <col width="18" customWidth="1" style="230" min="4" max="4"/>
    <col width="16" customWidth="1" style="230" min="5" max="5"/>
    <col width="12" customWidth="1" style="230" min="6" max="6"/>
    <col width="14" customWidth="1" style="230" min="7" max="7"/>
    <col width="12" customWidth="1" style="230" min="8" max="8"/>
    <col width="14" customWidth="1" style="230" min="9" max="9"/>
    <col width="14" customWidth="1" style="230" min="10" max="10"/>
    <col width="12" customWidth="1" style="230" min="11" max="11"/>
    <col width="24" customWidth="1" style="230" min="12" max="12"/>
    <col width="12" customWidth="1" style="230" min="13" max="13"/>
    <col width="12" customWidth="1" style="230" min="14" max="14"/>
    <col width="14" customWidth="1" style="230" min="15" max="15"/>
    <col width="14" customWidth="1" style="230" min="16" max="16"/>
    <col width="16" customWidth="1" style="230" min="17" max="17"/>
    <col width="14" customWidth="1" style="230" min="18" max="18"/>
    <col width="14" customWidth="1" style="230" min="19" max="19"/>
    <col width="14" customWidth="1" style="230" min="20" max="20"/>
    <col width="22" customWidth="1" style="230" min="21" max="21"/>
  </cols>
  <sheetData>
    <row r="1" ht="30" customHeight="1" s="230">
      <c r="A1" s="381" t="inlineStr">
        <is>
          <t>Grading Tracker — PSA Submission Log</t>
        </is>
      </c>
    </row>
    <row r="2" ht="36" customHeight="1" s="230">
      <c r="A2" s="382" t="inlineStr">
        <is>
          <t>Date Added</t>
        </is>
      </c>
      <c r="B2" s="382" t="inlineStr">
        <is>
          <t>Card Description</t>
        </is>
      </c>
      <c r="C2" s="382" t="inlineStr">
        <is>
          <t>Year</t>
        </is>
      </c>
      <c r="D2" s="382" t="inlineStr">
        <is>
          <t>Set</t>
        </is>
      </c>
      <c r="E2" s="382" t="inlineStr">
        <is>
          <t>Parallel</t>
        </is>
      </c>
      <c r="F2" s="382" t="inlineStr">
        <is>
          <t>Raw Buy ($)</t>
        </is>
      </c>
      <c r="G2" s="382" t="inlineStr">
        <is>
          <t>PSA Tier</t>
        </is>
      </c>
      <c r="H2" s="382" t="inlineStr">
        <is>
          <t>PSA Fee ($)</t>
        </is>
      </c>
      <c r="I2" s="382" t="inlineStr">
        <is>
          <t>PSA 10 Avg ($)</t>
        </is>
      </c>
      <c r="J2" s="382" t="inlineStr">
        <is>
          <t>Target Price ($)</t>
        </is>
      </c>
      <c r="K2" s="382" t="inlineStr">
        <is>
          <t>Gem Rate (%)</t>
        </is>
      </c>
      <c r="L2" s="382" t="inlineStr">
        <is>
          <t>GO/NO-GO</t>
        </is>
      </c>
      <c r="M2" s="382" t="inlineStr">
        <is>
          <t>Est. Net ($)</t>
        </is>
      </c>
      <c r="N2" s="382" t="inlineStr">
        <is>
          <t>Est. ROI</t>
        </is>
      </c>
      <c r="O2" s="382" t="inlineStr">
        <is>
          <t>Date Submitted</t>
        </is>
      </c>
      <c r="P2" s="382" t="inlineStr">
        <is>
          <t>Status</t>
        </is>
      </c>
      <c r="Q2" s="382" t="inlineStr">
        <is>
          <t>Grade Returned</t>
        </is>
      </c>
      <c r="R2" s="382" t="inlineStr">
        <is>
          <t>Actual Sell ($)</t>
        </is>
      </c>
      <c r="S2" s="382" t="inlineStr">
        <is>
          <t>Actual Net ($)</t>
        </is>
      </c>
      <c r="T2" s="382" t="inlineStr">
        <is>
          <t>Actual ROI</t>
        </is>
      </c>
      <c r="U2" s="382" t="inlineStr">
        <is>
          <t>Notes</t>
        </is>
      </c>
    </row>
    <row r="3">
      <c r="A3" s="383" t="n">
        <v>46113</v>
      </c>
      <c r="B3" s="384" t="inlineStr">
        <is>
          <t>2024 Panini Prizm Patrick Mahomes RC Base #168</t>
        </is>
      </c>
      <c r="C3" s="384" t="n">
        <v>2024</v>
      </c>
      <c r="D3" s="384" t="inlineStr">
        <is>
          <t>Panini Prizm</t>
        </is>
      </c>
      <c r="E3" s="384" t="inlineStr">
        <is>
          <t>Base Silver</t>
        </is>
      </c>
      <c r="F3" s="384" t="n">
        <v>18</v>
      </c>
      <c r="G3" s="384" t="inlineStr">
        <is>
          <t>Value Bulk</t>
        </is>
      </c>
      <c r="H3" s="384" t="n">
        <v>32.99</v>
      </c>
      <c r="I3" s="384" t="n">
        <v>120</v>
      </c>
      <c r="J3" s="384">
        <f>(F3+G3*H3)/(1-0.1325)</f>
        <v/>
      </c>
      <c r="K3" s="384" t="n">
        <v>55</v>
      </c>
      <c r="L3" s="384">
        <f>IF(E3&lt;40,"❌ NO-GO",IF(I3&gt;=J3,"✅ GO","❌ NO-GO"))</f>
        <v/>
      </c>
      <c r="M3" s="384">
        <f>I3*(1-0.1325)-H3-F3</f>
        <v/>
      </c>
      <c r="N3" s="384">
        <f>IF(F3&gt;0,(M3/F3)*100,0)</f>
        <v/>
      </c>
      <c r="O3" s="385" t="n"/>
      <c r="P3" s="384" t="inlineStr">
        <is>
          <t>Queued</t>
        </is>
      </c>
    </row>
    <row r="4">
      <c r="A4" s="385" t="n">
        <v>46117</v>
      </c>
      <c r="B4" s="384" t="inlineStr">
        <is>
          <t>2023 Topps Chrome Corbin Carroll RC Auto #CPA-CC</t>
        </is>
      </c>
      <c r="C4" s="384" t="n">
        <v>2023</v>
      </c>
      <c r="D4" s="384" t="inlineStr">
        <is>
          <t>Bowman Chrome</t>
        </is>
      </c>
      <c r="E4" s="384" t="inlineStr">
        <is>
          <t>RC Auto</t>
        </is>
      </c>
      <c r="F4" s="384" t="n">
        <v>22</v>
      </c>
      <c r="G4" s="384" t="inlineStr">
        <is>
          <t>Value Bulk</t>
        </is>
      </c>
      <c r="H4" s="384" t="n">
        <v>32.99</v>
      </c>
      <c r="I4" s="384" t="n">
        <v>95</v>
      </c>
      <c r="J4" s="384">
        <f>(F4+G4*H4)/(1-0.1325)</f>
        <v/>
      </c>
      <c r="K4" s="384" t="n">
        <v>48</v>
      </c>
      <c r="L4" s="384">
        <f>IF(E4&lt;40,"❌ NO-GO",IF(I4&gt;=J4,"✅ GO","❌ NO-GO"))</f>
        <v/>
      </c>
      <c r="M4" s="384">
        <f>I4*(1-0.1325)-H4-F4</f>
        <v/>
      </c>
      <c r="N4" s="384">
        <f>IF(F4&gt;0,(M4/F4)*100,0)</f>
        <v/>
      </c>
      <c r="O4" s="385" t="n"/>
      <c r="P4" s="384" t="inlineStr">
        <is>
          <t>Queued</t>
        </is>
      </c>
    </row>
    <row r="5">
      <c r="A5" s="385" t="n">
        <v>46122</v>
      </c>
      <c r="B5" s="384" t="inlineStr">
        <is>
          <t>2021 Panini Prizm LeBron James #129 Silver</t>
        </is>
      </c>
      <c r="C5" s="384" t="n">
        <v>2021</v>
      </c>
      <c r="D5" s="384" t="inlineStr">
        <is>
          <t>Panini Prizm</t>
        </is>
      </c>
      <c r="E5" s="384" t="inlineStr">
        <is>
          <t>Silver</t>
        </is>
      </c>
      <c r="F5" s="384" t="n">
        <v>25</v>
      </c>
      <c r="G5" s="384" t="inlineStr">
        <is>
          <t>Value Plus</t>
        </is>
      </c>
      <c r="H5" s="384" t="n">
        <v>49.99</v>
      </c>
      <c r="I5" s="384" t="n">
        <v>200</v>
      </c>
      <c r="J5" s="384">
        <f>(F5+G5*H5)/(1-0.1325)</f>
        <v/>
      </c>
      <c r="K5" s="384" t="n">
        <v>62</v>
      </c>
      <c r="L5" s="384">
        <f>IF(E5&lt;40,"❌ NO-GO",IF(I5&gt;=J5,"✅ GO","❌ NO-GO"))</f>
        <v/>
      </c>
      <c r="M5" s="384">
        <f>I5*(1-0.1325)-H5-F5</f>
        <v/>
      </c>
      <c r="N5" s="384">
        <f>IF(F5&gt;0,(M5/F5)*100,0)</f>
        <v/>
      </c>
      <c r="O5" s="385" t="n"/>
      <c r="P5" s="384" t="inlineStr">
        <is>
          <t>Queued</t>
        </is>
      </c>
    </row>
    <row r="53" ht="22" customHeight="1" s="230">
      <c r="A53" s="386" t="inlineStr">
        <is>
          <t>SUMMARY</t>
        </is>
      </c>
    </row>
    <row r="54" ht="18" customHeight="1" s="230">
      <c r="A54" s="372" t="inlineStr">
        <is>
          <t>Total Cards:</t>
        </is>
      </c>
      <c r="B54" s="387">
        <f>COUNTA(A3:A51)</f>
        <v/>
      </c>
    </row>
    <row r="55" ht="18" customHeight="1" s="230">
      <c r="A55" s="372" t="inlineStr">
        <is>
          <t>Total Invested ($):</t>
        </is>
      </c>
      <c r="B55" s="387">
        <f>SUM(F3:F51)</f>
        <v/>
      </c>
    </row>
    <row r="56" ht="18" customHeight="1" s="230">
      <c r="A56" s="372" t="inlineStr">
        <is>
          <t>Total Est. Net ($):</t>
        </is>
      </c>
      <c r="B56" s="387">
        <f>SUM(M3:M51)</f>
        <v/>
      </c>
    </row>
    <row r="57" ht="18" customHeight="1" s="230">
      <c r="A57" s="372" t="inlineStr">
        <is>
          <t>Total Actual Net ($):</t>
        </is>
      </c>
      <c r="B57" s="387">
        <f>SUM(S3:S51)</f>
        <v/>
      </c>
    </row>
    <row r="58" ht="18" customHeight="1" s="230">
      <c r="A58" s="372" t="inlineStr">
        <is>
          <t>GO Decisions:</t>
        </is>
      </c>
      <c r="B58" s="387">
        <f>COUNTIF(L3:L51,"*GO*")-COUNTIF(L3:L51,"*NO-GO*")</f>
        <v/>
      </c>
    </row>
  </sheetData>
  <mergeCells count="2">
    <mergeCell ref="A53:U53"/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8" customWidth="1" style="230" min="1" max="1"/>
    <col width="38" customWidth="1" style="230" min="2" max="2"/>
    <col width="14" customWidth="1" style="230" min="3" max="3"/>
    <col width="14" customWidth="1" style="230" min="4" max="4"/>
    <col width="12" customWidth="1" style="230" min="5" max="5"/>
    <col width="16" customWidth="1" style="230" min="6" max="6"/>
    <col width="14" customWidth="1" style="230" min="7" max="7"/>
    <col width="16" customWidth="1" style="230" min="8" max="8"/>
    <col width="16" customWidth="1" style="230" min="9" max="9"/>
    <col width="12" customWidth="1" style="230" min="10" max="10"/>
    <col width="12" customWidth="1" style="230" min="11" max="11"/>
    <col width="14" customWidth="1" style="230" min="12" max="12"/>
    <col width="22" customWidth="1" style="230" min="13" max="13"/>
  </cols>
  <sheetData>
    <row r="1" ht="30" customHeight="1" s="230">
      <c r="A1" s="381" t="inlineStr">
        <is>
          <t>Grading Candidates — PSA Submission Shortlist</t>
        </is>
      </c>
    </row>
    <row r="2" ht="20" customHeight="1" s="230">
      <c r="A2" s="388" t="inlineStr">
        <is>
          <t>Populate from the Inventory &amp; Aging tab — cards you are considering submitting to PSA</t>
        </is>
      </c>
    </row>
    <row r="3" ht="30" customHeight="1" s="230">
      <c r="A3" s="382" t="inlineStr">
        <is>
          <t>Rank</t>
        </is>
      </c>
      <c r="B3" s="382" t="inlineStr">
        <is>
          <t>Card Description</t>
        </is>
      </c>
      <c r="C3" s="382" t="inlineStr">
        <is>
          <t>Category</t>
        </is>
      </c>
      <c r="D3" s="382" t="inlineStr">
        <is>
          <t>Cost Basis ($)</t>
        </is>
      </c>
      <c r="E3" s="382" t="inlineStr">
        <is>
          <t>Gem Rate (%)</t>
        </is>
      </c>
      <c r="F3" s="382" t="inlineStr">
        <is>
          <t>Gem Signal</t>
        </is>
      </c>
      <c r="G3" s="382" t="inlineStr">
        <is>
          <t>PSA Tier</t>
        </is>
      </c>
      <c r="H3" s="382" t="inlineStr">
        <is>
          <t>Target Price ($)</t>
        </is>
      </c>
      <c r="I3" s="382" t="inlineStr">
        <is>
          <t>PSA 10 Est. ($)</t>
        </is>
      </c>
      <c r="J3" s="382" t="inlineStr">
        <is>
          <t>Est. Net ($)</t>
        </is>
      </c>
      <c r="K3" s="382" t="inlineStr">
        <is>
          <t>Est. ROI (%)</t>
        </is>
      </c>
      <c r="L3" s="382" t="inlineStr">
        <is>
          <t>Decision</t>
        </is>
      </c>
      <c r="M3" s="382" t="inlineStr">
        <is>
          <t>Notes</t>
        </is>
      </c>
    </row>
    <row r="4">
      <c r="F4" s="389" t="inlineStr">
        <is>
          <t>🟢 ≥60% | 🟡 40-59% | 🔴 &lt;40%</t>
        </is>
      </c>
      <c r="L4" s="389" t="inlineStr">
        <is>
          <t>GO, NO-GO, HOLD, RESEARCH</t>
        </is>
      </c>
    </row>
    <row r="5" ht="18" customHeight="1" s="230">
      <c r="A5" s="390" t="n"/>
      <c r="B5" s="391" t="n"/>
      <c r="C5" s="391" t="n"/>
      <c r="D5" s="391" t="n"/>
      <c r="E5" s="391" t="n"/>
      <c r="F5" s="391" t="n"/>
      <c r="G5" s="391" t="n"/>
      <c r="H5" s="391" t="n"/>
      <c r="I5" s="391" t="n"/>
      <c r="J5" s="391" t="n"/>
      <c r="K5" s="391" t="n"/>
      <c r="L5" s="391" t="n"/>
      <c r="M5" s="391" t="n"/>
    </row>
    <row r="6" ht="18" customHeight="1" s="230">
      <c r="A6" s="390" t="n"/>
      <c r="B6" s="391" t="n"/>
      <c r="C6" s="391" t="n"/>
      <c r="D6" s="391" t="n"/>
      <c r="E6" s="391" t="n"/>
      <c r="F6" s="391" t="n"/>
      <c r="G6" s="391" t="n"/>
      <c r="H6" s="391" t="n"/>
      <c r="I6" s="391" t="n"/>
      <c r="J6" s="391" t="n"/>
      <c r="K6" s="391" t="n"/>
      <c r="L6" s="391" t="n"/>
      <c r="M6" s="391" t="n"/>
    </row>
    <row r="7" ht="18" customHeight="1" s="230">
      <c r="A7" s="390" t="n"/>
      <c r="B7" s="391" t="n"/>
      <c r="C7" s="391" t="n"/>
      <c r="D7" s="391" t="n"/>
      <c r="E7" s="391" t="n"/>
      <c r="F7" s="391" t="n"/>
      <c r="G7" s="391" t="n"/>
      <c r="H7" s="391" t="n"/>
      <c r="I7" s="391" t="n"/>
      <c r="J7" s="391" t="n"/>
      <c r="K7" s="391" t="n"/>
      <c r="L7" s="391" t="n"/>
      <c r="M7" s="391" t="n"/>
    </row>
    <row r="8" ht="18" customHeight="1" s="230">
      <c r="A8" s="390" t="n"/>
      <c r="B8" s="391" t="n"/>
      <c r="C8" s="391" t="n"/>
      <c r="D8" s="391" t="n"/>
      <c r="E8" s="391" t="n"/>
      <c r="F8" s="391" t="n"/>
      <c r="G8" s="391" t="n"/>
      <c r="H8" s="391" t="n"/>
      <c r="I8" s="391" t="n"/>
      <c r="J8" s="391" t="n"/>
      <c r="K8" s="391" t="n"/>
      <c r="L8" s="391" t="n"/>
      <c r="M8" s="391" t="n"/>
    </row>
    <row r="9" ht="18" customHeight="1" s="230">
      <c r="A9" s="390" t="n"/>
      <c r="B9" s="391" t="n"/>
      <c r="C9" s="391" t="n"/>
      <c r="D9" s="391" t="n"/>
      <c r="E9" s="391" t="n"/>
      <c r="F9" s="391" t="n"/>
      <c r="G9" s="391" t="n"/>
      <c r="H9" s="391" t="n"/>
      <c r="I9" s="391" t="n"/>
      <c r="J9" s="391" t="n"/>
      <c r="K9" s="391" t="n"/>
      <c r="L9" s="391" t="n"/>
      <c r="M9" s="391" t="n"/>
    </row>
    <row r="10" ht="18" customHeight="1" s="230">
      <c r="A10" s="390" t="n"/>
      <c r="B10" s="391" t="n"/>
      <c r="C10" s="391" t="n"/>
      <c r="D10" s="391" t="n"/>
      <c r="E10" s="391" t="n"/>
      <c r="F10" s="391" t="n"/>
      <c r="G10" s="391" t="n"/>
      <c r="H10" s="391" t="n"/>
      <c r="I10" s="391" t="n"/>
      <c r="J10" s="391" t="n"/>
      <c r="K10" s="391" t="n"/>
      <c r="L10" s="391" t="n"/>
      <c r="M10" s="391" t="n"/>
    </row>
    <row r="11" ht="18" customHeight="1" s="230">
      <c r="A11" s="390" t="n"/>
      <c r="B11" s="391" t="n"/>
      <c r="C11" s="391" t="n"/>
      <c r="D11" s="391" t="n"/>
      <c r="E11" s="391" t="n"/>
      <c r="F11" s="391" t="n"/>
      <c r="G11" s="391" t="n"/>
      <c r="H11" s="391" t="n"/>
      <c r="I11" s="391" t="n"/>
      <c r="J11" s="391" t="n"/>
      <c r="K11" s="391" t="n"/>
      <c r="L11" s="391" t="n"/>
      <c r="M11" s="391" t="n"/>
    </row>
    <row r="12" ht="18" customHeight="1" s="230">
      <c r="A12" s="390" t="n"/>
      <c r="B12" s="391" t="n"/>
      <c r="C12" s="391" t="n"/>
      <c r="D12" s="391" t="n"/>
      <c r="E12" s="391" t="n"/>
      <c r="F12" s="391" t="n"/>
      <c r="G12" s="391" t="n"/>
      <c r="H12" s="391" t="n"/>
      <c r="I12" s="391" t="n"/>
      <c r="J12" s="391" t="n"/>
      <c r="K12" s="391" t="n"/>
      <c r="L12" s="391" t="n"/>
      <c r="M12" s="391" t="n"/>
    </row>
    <row r="13" ht="18" customHeight="1" s="230">
      <c r="A13" s="390" t="n"/>
      <c r="B13" s="391" t="n"/>
      <c r="C13" s="391" t="n"/>
      <c r="D13" s="391" t="n"/>
      <c r="E13" s="391" t="n"/>
      <c r="F13" s="391" t="n"/>
      <c r="G13" s="391" t="n"/>
      <c r="H13" s="391" t="n"/>
      <c r="I13" s="391" t="n"/>
      <c r="J13" s="391" t="n"/>
      <c r="K13" s="391" t="n"/>
      <c r="L13" s="391" t="n"/>
      <c r="M13" s="391" t="n"/>
    </row>
    <row r="14" ht="18" customHeight="1" s="230">
      <c r="A14" s="390" t="n"/>
      <c r="B14" s="391" t="n"/>
      <c r="C14" s="391" t="n"/>
      <c r="D14" s="391" t="n"/>
      <c r="E14" s="391" t="n"/>
      <c r="F14" s="391" t="n"/>
      <c r="G14" s="391" t="n"/>
      <c r="H14" s="391" t="n"/>
      <c r="I14" s="391" t="n"/>
      <c r="J14" s="391" t="n"/>
      <c r="K14" s="391" t="n"/>
      <c r="L14" s="391" t="n"/>
      <c r="M14" s="391" t="n"/>
    </row>
    <row r="15" ht="18" customHeight="1" s="230">
      <c r="A15" s="390" t="n"/>
      <c r="B15" s="391" t="n"/>
      <c r="C15" s="391" t="n"/>
      <c r="D15" s="391" t="n"/>
      <c r="E15" s="391" t="n"/>
      <c r="F15" s="391" t="n"/>
      <c r="G15" s="391" t="n"/>
      <c r="H15" s="391" t="n"/>
      <c r="I15" s="391" t="n"/>
      <c r="J15" s="391" t="n"/>
      <c r="K15" s="391" t="n"/>
      <c r="L15" s="391" t="n"/>
      <c r="M15" s="391" t="n"/>
    </row>
    <row r="16" ht="18" customHeight="1" s="230">
      <c r="A16" s="390" t="n"/>
      <c r="B16" s="391" t="n"/>
      <c r="C16" s="391" t="n"/>
      <c r="D16" s="391" t="n"/>
      <c r="E16" s="391" t="n"/>
      <c r="F16" s="391" t="n"/>
      <c r="G16" s="391" t="n"/>
      <c r="H16" s="391" t="n"/>
      <c r="I16" s="391" t="n"/>
      <c r="J16" s="391" t="n"/>
      <c r="K16" s="391" t="n"/>
      <c r="L16" s="391" t="n"/>
      <c r="M16" s="391" t="n"/>
    </row>
    <row r="17" ht="18" customHeight="1" s="230">
      <c r="A17" s="390" t="n"/>
      <c r="B17" s="391" t="n"/>
      <c r="C17" s="391" t="n"/>
      <c r="D17" s="391" t="n"/>
      <c r="E17" s="391" t="n"/>
      <c r="F17" s="391" t="n"/>
      <c r="G17" s="391" t="n"/>
      <c r="H17" s="391" t="n"/>
      <c r="I17" s="391" t="n"/>
      <c r="J17" s="391" t="n"/>
      <c r="K17" s="391" t="n"/>
      <c r="L17" s="391" t="n"/>
      <c r="M17" s="391" t="n"/>
    </row>
    <row r="18" ht="18" customHeight="1" s="230">
      <c r="A18" s="390" t="n"/>
      <c r="B18" s="391" t="n"/>
      <c r="C18" s="391" t="n"/>
      <c r="D18" s="391" t="n"/>
      <c r="E18" s="391" t="n"/>
      <c r="F18" s="391" t="n"/>
      <c r="G18" s="391" t="n"/>
      <c r="H18" s="391" t="n"/>
      <c r="I18" s="391" t="n"/>
      <c r="J18" s="391" t="n"/>
      <c r="K18" s="391" t="n"/>
      <c r="L18" s="391" t="n"/>
      <c r="M18" s="391" t="n"/>
    </row>
    <row r="19" ht="18" customHeight="1" s="230">
      <c r="A19" s="390" t="n"/>
      <c r="B19" s="391" t="n"/>
      <c r="C19" s="391" t="n"/>
      <c r="D19" s="391" t="n"/>
      <c r="E19" s="391" t="n"/>
      <c r="F19" s="391" t="n"/>
      <c r="G19" s="391" t="n"/>
      <c r="H19" s="391" t="n"/>
      <c r="I19" s="391" t="n"/>
      <c r="J19" s="391" t="n"/>
      <c r="K19" s="391" t="n"/>
      <c r="L19" s="391" t="n"/>
      <c r="M19" s="391" t="n"/>
    </row>
    <row r="20" ht="18" customHeight="1" s="230">
      <c r="A20" s="390" t="n"/>
      <c r="B20" s="391" t="n"/>
      <c r="C20" s="391" t="n"/>
      <c r="D20" s="391" t="n"/>
      <c r="E20" s="391" t="n"/>
      <c r="F20" s="391" t="n"/>
      <c r="G20" s="391" t="n"/>
      <c r="H20" s="391" t="n"/>
      <c r="I20" s="391" t="n"/>
      <c r="J20" s="391" t="n"/>
      <c r="K20" s="391" t="n"/>
      <c r="L20" s="391" t="n"/>
      <c r="M20" s="391" t="n"/>
    </row>
    <row r="21" ht="18" customHeight="1" s="230">
      <c r="A21" s="390" t="n"/>
      <c r="B21" s="391" t="n"/>
      <c r="C21" s="391" t="n"/>
      <c r="D21" s="391" t="n"/>
      <c r="E21" s="391" t="n"/>
      <c r="F21" s="391" t="n"/>
      <c r="G21" s="391" t="n"/>
      <c r="H21" s="391" t="n"/>
      <c r="I21" s="391" t="n"/>
      <c r="J21" s="391" t="n"/>
      <c r="K21" s="391" t="n"/>
      <c r="L21" s="391" t="n"/>
      <c r="M21" s="391" t="n"/>
    </row>
    <row r="22" ht="18" customHeight="1" s="230">
      <c r="A22" s="390" t="n"/>
      <c r="B22" s="391" t="n"/>
      <c r="C22" s="391" t="n"/>
      <c r="D22" s="391" t="n"/>
      <c r="E22" s="391" t="n"/>
      <c r="F22" s="391" t="n"/>
      <c r="G22" s="391" t="n"/>
      <c r="H22" s="391" t="n"/>
      <c r="I22" s="391" t="n"/>
      <c r="J22" s="391" t="n"/>
      <c r="K22" s="391" t="n"/>
      <c r="L22" s="391" t="n"/>
      <c r="M22" s="391" t="n"/>
    </row>
    <row r="23" ht="18" customHeight="1" s="230">
      <c r="A23" s="390" t="n"/>
      <c r="B23" s="391" t="n"/>
      <c r="C23" s="391" t="n"/>
      <c r="D23" s="391" t="n"/>
      <c r="E23" s="391" t="n"/>
      <c r="F23" s="391" t="n"/>
      <c r="G23" s="391" t="n"/>
      <c r="H23" s="391" t="n"/>
      <c r="I23" s="391" t="n"/>
      <c r="J23" s="391" t="n"/>
      <c r="K23" s="391" t="n"/>
      <c r="L23" s="391" t="n"/>
      <c r="M23" s="391" t="n"/>
    </row>
    <row r="24" ht="18" customHeight="1" s="230">
      <c r="A24" s="390" t="n"/>
      <c r="B24" s="391" t="n"/>
      <c r="C24" s="391" t="n"/>
      <c r="D24" s="391" t="n"/>
      <c r="E24" s="391" t="n"/>
      <c r="F24" s="391" t="n"/>
      <c r="G24" s="391" t="n"/>
      <c r="H24" s="391" t="n"/>
      <c r="I24" s="391" t="n"/>
      <c r="J24" s="391" t="n"/>
      <c r="K24" s="391" t="n"/>
      <c r="L24" s="391" t="n"/>
      <c r="M24" s="391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2026-04-22T02:32:20Z</dcterms:created>
  <dcterms:modified xsi:type="dcterms:W3CDTF">2026-05-03T22:25:30Z</dcterms:modified>
  <cp:lastModifiedBy>Duane Furlong</cp:lastModifiedBy>
  <cp:revision>0</cp:revision>
</cp:coreProperties>
</file>