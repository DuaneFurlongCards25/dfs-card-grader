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Del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EDEDE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165" fontId="0" fillId="6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4" customWidth="1" min="3" max="3"/>
    <col width="14" customWidth="1" min="4" max="4"/>
    <col width="13" customWidth="1" min="5" max="5"/>
    <col width="11" customWidth="1" min="6" max="6"/>
    <col width="35" customWidth="1" min="7" max="7"/>
    <col width="13" customWidth="1" min="8" max="8"/>
    <col width="16" customWidth="1" min="9" max="9"/>
    <col width="16" customWidth="1" min="10" max="10"/>
    <col width="22" customWidth="1" min="11" max="11"/>
  </cols>
  <sheetData>
    <row r="1">
      <c r="A1" s="1" t="inlineStr">
        <is>
          <t>SKU (CustomLabel)</t>
        </is>
      </c>
      <c r="B1" s="1" t="inlineStr">
        <is>
          <t>Title</t>
        </is>
      </c>
      <c r="C1" s="1" t="inlineStr">
        <is>
          <t>Original Price</t>
        </is>
      </c>
      <c r="D1" s="1" t="inlineStr">
        <is>
          <t>New Price</t>
        </is>
      </c>
      <c r="E1" s="1" t="inlineStr">
        <is>
          <t>Delta ($)</t>
        </is>
      </c>
      <c r="F1" s="1" t="inlineStr">
        <is>
          <t>Change %</t>
        </is>
      </c>
      <c r="G1" s="1" t="inlineStr">
        <is>
          <t>Action</t>
        </is>
      </c>
      <c r="H1" s="1" t="inlineStr">
        <is>
          <t>Confidence</t>
        </is>
      </c>
      <c r="I1" s="1" t="inlineStr">
        <is>
          <t>Active Listings</t>
        </is>
      </c>
      <c r="J1" s="1" t="inlineStr">
        <is>
          <t>Sold Listings</t>
        </is>
      </c>
      <c r="K1" s="1" t="inlineStr">
        <is>
          <t>Pricing Source</t>
        </is>
      </c>
    </row>
    <row r="2">
      <c r="A2" s="2" t="inlineStr">
        <is>
          <t>BA-000058-ogxyr</t>
        </is>
      </c>
      <c r="B2" s="2" t="inlineStr">
        <is>
          <t>2025-26 Topps Chrome TYLER HERRO #188 Red White and Blue Refractor Miami Heat</t>
        </is>
      </c>
      <c r="C2" s="3" t="n">
        <v>3.99</v>
      </c>
      <c r="D2" s="3" t="n">
        <v>2.49</v>
      </c>
      <c r="E2" s="3" t="n">
        <v>-1.5</v>
      </c>
      <c r="F2" s="4" t="n">
        <v>-37.6</v>
      </c>
      <c r="G2" s="2" t="inlineStr">
        <is>
          <t>🔵 Floored $2.49 — free ship or $0.99 ship?</t>
        </is>
      </c>
      <c r="H2" s="2" t="inlineStr">
        <is>
          <t>86%</t>
        </is>
      </c>
      <c r="I2" s="2">
        <f>HYPERLINK("https://www.ebay.com/sch/261328/i.html?_dcat=261328&amp;_fsrp=1&amp;rt=nc&amp;_from=R40&amp;_nkw=2025-26%20Topps%20Chrome%20TYLER%20HERRO%20%23188%20Red%20White%20and%20Blue%20Refractor%20Miami%20Heat&amp;_sacat=0&amp;_sop=15&amp;rt=nc&amp;LH_BIN=1", "Active")</f>
        <v/>
      </c>
      <c r="J2" s="2">
        <f>HYPERLINK("https://www.ebay.com/sch/261328/i.html?_from=R40&amp;_nkw=2025-26%20Topps%20Chrome%20TYLER%20HERRO%20%23188%20Red%20White%20and%20Blue%20Refractor%20Miami%20Heat&amp;_sacat=0&amp;LH_Sold=1&amp;LH_Complete=1&amp;_sop=13", "Completed")</f>
        <v/>
      </c>
      <c r="K2" s="2" t="inlineStr">
        <is>
          <t>2025-26 Topps Chrome - Tyler Herro #188 Red White &amp; Blue Refractor</t>
        </is>
      </c>
    </row>
    <row r="3">
      <c r="A3" s="2" t="inlineStr">
        <is>
          <t>BA-000060-ogxyw</t>
        </is>
      </c>
      <c r="B3" s="2" t="inlineStr">
        <is>
          <t>2025-26 Topps Chrome TYRESE MAXEY #185 Philadelphia 76ers Basketball</t>
        </is>
      </c>
      <c r="C3" s="3" t="n">
        <v>3.49</v>
      </c>
      <c r="D3" s="3" t="n">
        <v>2.49</v>
      </c>
      <c r="E3" s="3" t="n">
        <v>-1</v>
      </c>
      <c r="F3" s="4" t="n">
        <v>-28.7</v>
      </c>
      <c r="G3" s="2" t="inlineStr">
        <is>
          <t>🔵 Floored $2.49 — free ship or $0.99 ship?</t>
        </is>
      </c>
      <c r="H3" s="2" t="inlineStr">
        <is>
          <t>68%</t>
        </is>
      </c>
      <c r="I3" s="2">
        <f>HYPERLINK("https://www.ebay.com/sch/261328/i.html?_dcat=261328&amp;_fsrp=1&amp;rt=nc&amp;_from=R40&amp;_nkw=2025-26%20Topps%20Chrome%20TYRESE%20MAXEY%20%23185%20Philadelphia%2076ers%20Basketball&amp;_sacat=0&amp;_sop=15&amp;rt=nc&amp;LH_BIN=1", "Active")</f>
        <v/>
      </c>
      <c r="J3" s="2">
        <f>HYPERLINK("https://www.ebay.com/sch/261328/i.html?_from=R40&amp;_nkw=2025-26%20Topps%20Chrome%20TYRESE%20MAXEY%20%23185%20Philadelphia%2076ers%20Basketball&amp;_sacat=0&amp;LH_Sold=1&amp;LH_Complete=1&amp;_sop=13", "Completed")</f>
        <v/>
      </c>
      <c r="K3" s="2" t="inlineStr">
        <is>
          <t>2025-26 Topps Chrome Basketball BASE 1-200 You Pick the Card - Complete Your Set</t>
        </is>
      </c>
    </row>
    <row r="4">
      <c r="A4" s="2" t="inlineStr">
        <is>
          <t>BA-000061-ogxyy</t>
        </is>
      </c>
      <c r="B4" s="2" t="inlineStr">
        <is>
          <t>2025-26 Topps Chrome JEREMIAH FEARS #257 New Orleans Pelicans Basketball</t>
        </is>
      </c>
      <c r="C4" s="3" t="n">
        <v>3.49</v>
      </c>
      <c r="D4" s="3" t="n">
        <v>2.49</v>
      </c>
      <c r="E4" s="3" t="n">
        <v>-1</v>
      </c>
      <c r="F4" s="4" t="n">
        <v>-28.7</v>
      </c>
      <c r="G4" s="2" t="inlineStr">
        <is>
          <t>🔵 Floored $2.49 — free ship or $0.99 ship?</t>
        </is>
      </c>
      <c r="H4" s="2" t="inlineStr">
        <is>
          <t>68%</t>
        </is>
      </c>
      <c r="I4" s="2">
        <f>HYPERLINK("https://www.ebay.com/sch/261328/i.html?_dcat=261328&amp;_fsrp=1&amp;rt=nc&amp;_from=R40&amp;_nkw=2025-26%20Topps%20Chrome%20JEREMIAH%20FEARS%20%23257%20New%20Orleans%20Pelicans%20Basketball&amp;_sacat=0&amp;_sop=15&amp;rt=nc&amp;LH_BIN=1", "Active")</f>
        <v/>
      </c>
      <c r="J4" s="2">
        <f>HYPERLINK("https://www.ebay.com/sch/261328/i.html?_from=R40&amp;_nkw=2025-26%20Topps%20Chrome%20JEREMIAH%20FEARS%20%23257%20New%20Orleans%20Pelicans%20Basketball&amp;_sacat=0&amp;LH_Sold=1&amp;LH_Complete=1&amp;_sop=13", "Completed")</f>
        <v/>
      </c>
      <c r="K4" s="2" t="inlineStr">
        <is>
          <t>2025-26 Topps Chrome Basketball - Base Set Singles - Complete your sets!</t>
        </is>
      </c>
    </row>
    <row r="5">
      <c r="A5" s="2" t="inlineStr">
        <is>
          <t>BA-000062-ogxz0</t>
        </is>
      </c>
      <c r="B5" s="2" t="inlineStr">
        <is>
          <t>2025-26 Topps Chrome CASON WALLACE #191 Oklahoma City Thunder Basketball</t>
        </is>
      </c>
      <c r="C5" s="3" t="n">
        <v>2.99</v>
      </c>
      <c r="D5" s="3" t="n">
        <v>2.49</v>
      </c>
      <c r="E5" s="3" t="n">
        <v>-0.5</v>
      </c>
      <c r="F5" s="4" t="n">
        <v>-16.7</v>
      </c>
      <c r="G5" s="2" t="inlineStr">
        <is>
          <t>🔵 Floored $2.49 — free ship or $0.99 ship?</t>
        </is>
      </c>
      <c r="H5" s="2" t="inlineStr">
        <is>
          <t>68%</t>
        </is>
      </c>
      <c r="I5" s="2">
        <f>HYPERLINK("https://www.ebay.com/sch/261328/i.html?_dcat=261328&amp;_fsrp=1&amp;rt=nc&amp;_from=R40&amp;_nkw=2025-26%20Topps%20Chrome%20CASON%20WALLACE%20%23191%20Oklahoma%20City%20Thunder%20Basketball&amp;_sacat=0&amp;_sop=15&amp;rt=nc&amp;LH_BIN=1", "Active")</f>
        <v/>
      </c>
      <c r="J5" s="2">
        <f>HYPERLINK("https://www.ebay.com/sch/261328/i.html?_from=R40&amp;_nkw=2025-26%20Topps%20Chrome%20CASON%20WALLACE%20%23191%20Oklahoma%20City%20Thunder%20Basketball&amp;_sacat=0&amp;LH_Sold=1&amp;LH_Complete=1&amp;_sop=13", "Completed")</f>
        <v/>
      </c>
      <c r="K5" s="2" t="inlineStr">
        <is>
          <t>2025-26 Topps Chrome Basketball BASE SINGLES You Pick + 2 Card Min Plz READ!!</t>
        </is>
      </c>
    </row>
    <row r="6">
      <c r="A6" s="2" t="inlineStr">
        <is>
          <t>BA-000063-ogxz2</t>
        </is>
      </c>
      <c r="B6" s="2" t="inlineStr">
        <is>
          <t>2025-26 Topps Chrome ACE BAILEY #GT-20 Go Time Utah Jazz Basketball</t>
        </is>
      </c>
      <c r="C6" s="3" t="n">
        <v>3.49</v>
      </c>
      <c r="D6" s="3" t="n">
        <v>2.49</v>
      </c>
      <c r="E6" s="3" t="n">
        <v>-1</v>
      </c>
      <c r="F6" s="4" t="n">
        <v>-28.7</v>
      </c>
      <c r="G6" s="2" t="inlineStr">
        <is>
          <t>🔵 Floored $2.49 — free ship or $0.99 ship?</t>
        </is>
      </c>
      <c r="H6" s="2" t="inlineStr">
        <is>
          <t>84%</t>
        </is>
      </c>
      <c r="I6" s="2">
        <f>HYPERLINK("https://www.ebay.com/sch/261328/i.html?_dcat=261328&amp;_fsrp=1&amp;rt=nc&amp;_from=R40&amp;_nkw=2025-26%20Topps%20Chrome%20ACE%20BAILEY%20%23GT-20%20Go%20Time%20Utah%20Jazz%20Basketball&amp;_sacat=0&amp;_sop=15&amp;rt=nc&amp;LH_BIN=1", "Active")</f>
        <v/>
      </c>
      <c r="J6" s="2">
        <f>HYPERLINK("https://www.ebay.com/sch/261328/i.html?_from=R40&amp;_nkw=2025-26%20Topps%20Chrome%20ACE%20BAILEY%20%23GT-20%20Go%20Time%20Utah%20Jazz%20Basketball&amp;_sacat=0&amp;LH_Sold=1&amp;LH_Complete=1&amp;_sop=13", "Completed")</f>
        <v/>
      </c>
      <c r="K6" s="2" t="inlineStr">
        <is>
          <t>2025-26 Topps Chrome Go Time Ace Bailey #GT-20</t>
        </is>
      </c>
    </row>
    <row r="7">
      <c r="A7" s="5" t="inlineStr">
        <is>
          <t>BA-000064-ogxz4</t>
        </is>
      </c>
      <c r="B7" s="5" t="inlineStr">
        <is>
          <t>2025-26 Topps Chrome JALEN Green #BD-8 Ball of Duty Houston Rockets Basketball</t>
        </is>
      </c>
      <c r="C7" s="6" t="n">
        <v>1.25</v>
      </c>
      <c r="D7" s="6" t="n">
        <v>2.49</v>
      </c>
      <c r="E7" s="6" t="n">
        <v>1.24</v>
      </c>
      <c r="F7" s="7" t="n">
        <v>99.2</v>
      </c>
      <c r="G7" s="5" t="inlineStr">
        <is>
          <t>⬆ Price Up</t>
        </is>
      </c>
      <c r="H7" s="5" t="inlineStr">
        <is>
          <t>83%</t>
        </is>
      </c>
      <c r="I7" s="5">
        <f>HYPERLINK("https://www.ebay.com/sch/261328/i.html?_dcat=261328&amp;_fsrp=1&amp;rt=nc&amp;_from=R40&amp;_nkw=2025-26%20Topps%20Chrome%20JALEN%20Green%20%23BD-8%20Ball%20of%20Duty%20Houston%20Rockets%20Basketball&amp;_sacat=0&amp;_sop=15&amp;rt=nc&amp;LH_BIN=1", "Active")</f>
        <v/>
      </c>
      <c r="J7" s="5">
        <f>HYPERLINK("https://www.ebay.com/sch/261328/i.html?_from=R40&amp;_nkw=2025-26%20Topps%20Chrome%20JALEN%20Green%20%23BD-8%20Ball%20of%20Duty%20Houston%20Rockets%20Basketball&amp;_sacat=0&amp;LH_Sold=1&amp;LH_Complete=1&amp;_sop=13", "Completed")</f>
        <v/>
      </c>
      <c r="K7" s="5" t="inlineStr">
        <is>
          <t>2025-26 Topps Chrome #BD-8 Jalen Green Ball of Duty</t>
        </is>
      </c>
    </row>
    <row r="8">
      <c r="A8" s="5" t="inlineStr">
        <is>
          <t>BA-000065-ogxz6</t>
        </is>
      </c>
      <c r="B8" s="5" t="inlineStr">
        <is>
          <t>2025-26 Topps Chrome KASPARAS JAKUČIONIS #270 Miami Heat Basketball</t>
        </is>
      </c>
      <c r="C8" s="6" t="n">
        <v>1.25</v>
      </c>
      <c r="D8" s="6" t="n">
        <v>2.49</v>
      </c>
      <c r="E8" s="6" t="n">
        <v>1.24</v>
      </c>
      <c r="F8" s="7" t="n">
        <v>99.2</v>
      </c>
      <c r="G8" s="5" t="inlineStr">
        <is>
          <t>⬆ Price Up</t>
        </is>
      </c>
      <c r="H8" s="5" t="inlineStr">
        <is>
          <t>61%</t>
        </is>
      </c>
      <c r="I8" s="5">
        <f>HYPERLINK("https://www.ebay.com/sch/261328/i.html?_dcat=261328&amp;_fsrp=1&amp;rt=nc&amp;_from=R40&amp;_nkw=2025-26%20Topps%20Chrome%20KASPARAS%20JAKU%C4%8CIONIS%20%23270%20Miami%20Heat%20Basketball&amp;_sacat=0&amp;_sop=15&amp;rt=nc&amp;LH_BIN=1", "Active")</f>
        <v/>
      </c>
      <c r="J8" s="5">
        <f>HYPERLINK("https://www.ebay.com/sch/261328/i.html?_from=R40&amp;_nkw=2025-26%20Topps%20Chrome%20KASPARAS%20JAKU%C4%8CIONIS%20%23270%20Miami%20Heat%20Basketball&amp;_sacat=0&amp;LH_Sold=1&amp;LH_Complete=1&amp;_sop=13", "Completed")</f>
        <v/>
      </c>
      <c r="K8" s="5" t="inlineStr">
        <is>
          <t>(2 CARD MINIMUM) 2025 Topps Chrome Basketball Refractor/RC/#'d COMPLETE YOUR SET</t>
        </is>
      </c>
    </row>
    <row r="9">
      <c r="A9" s="2" t="inlineStr">
        <is>
          <t>BA-000067-ogxza</t>
        </is>
      </c>
      <c r="B9" s="2" t="inlineStr">
        <is>
          <t>2025-26 Topps Chrome JOEL EMBIID #IP-10 Inspirational Philadelphia 76ers</t>
        </is>
      </c>
      <c r="C9" s="3" t="n">
        <v>2.99</v>
      </c>
      <c r="D9" s="3" t="n">
        <v>2.49</v>
      </c>
      <c r="E9" s="3" t="n">
        <v>-0.5</v>
      </c>
      <c r="F9" s="4" t="n">
        <v>-16.7</v>
      </c>
      <c r="G9" s="2" t="inlineStr">
        <is>
          <t>🔵 Floored $2.49 — free ship or $0.99 ship?</t>
        </is>
      </c>
      <c r="H9" s="2" t="inlineStr">
        <is>
          <t>83%</t>
        </is>
      </c>
      <c r="I9" s="2">
        <f>HYPERLINK("https://www.ebay.com/sch/261328/i.html?_dcat=261328&amp;_fsrp=1&amp;rt=nc&amp;_from=R40&amp;_nkw=2025-26%20Topps%20Chrome%20JOEL%20EMBIID%20%23IP-10%20Inspirational%20Philadelphia%2076ers&amp;_sacat=0&amp;_sop=15&amp;rt=nc&amp;LH_BIN=1", "Active")</f>
        <v/>
      </c>
      <c r="J9" s="2">
        <f>HYPERLINK("https://www.ebay.com/sch/261328/i.html?_from=R40&amp;_nkw=2025-26%20Topps%20Chrome%20JOEL%20EMBIID%20%23IP-10%20Inspirational%20Philadelphia%2076ers&amp;_sacat=0&amp;LH_Sold=1&amp;LH_Complete=1&amp;_sop=13", "Completed")</f>
        <v/>
      </c>
      <c r="K9" s="2" t="inlineStr">
        <is>
          <t>Joel Embiid 2025-26 Topps Chrome Inspirational #IP-10 Philadelphia 76ers</t>
        </is>
      </c>
    </row>
    <row r="10">
      <c r="A10" s="8" t="inlineStr">
        <is>
          <t>BA-000068-ogxzb</t>
        </is>
      </c>
      <c r="B10" s="8" t="inlineStr">
        <is>
          <t>2025-26 Topps Chrome D'ANGELO RUSSELL #79 Brooklyn Nets Basketball</t>
        </is>
      </c>
      <c r="C10" s="9" t="n">
        <v>2.49</v>
      </c>
      <c r="D10" s="9" t="n">
        <v>2.49</v>
      </c>
      <c r="E10" s="9" t="n">
        <v>0</v>
      </c>
      <c r="F10" s="10" t="n">
        <v>0</v>
      </c>
      <c r="G10" s="8" t="inlineStr">
        <is>
          <t>— No Change</t>
        </is>
      </c>
      <c r="H10" s="8" t="inlineStr">
        <is>
          <t>66%</t>
        </is>
      </c>
      <c r="I10" s="8">
        <f>HYPERLINK("https://www.ebay.com/sch/261328/i.html?_dcat=261328&amp;_fsrp=1&amp;rt=nc&amp;_from=R40&amp;_nkw=2025-26%20Topps%20Chrome%20D'ANGELO%20RUSSELL%20%2379%20Brooklyn%20Nets%20Basketball&amp;_sacat=0&amp;_sop=15&amp;rt=nc&amp;LH_BIN=1", "Active")</f>
        <v/>
      </c>
      <c r="J10" s="8">
        <f>HYPERLINK("https://www.ebay.com/sch/261328/i.html?_from=R40&amp;_nkw=2025-26%20Topps%20Chrome%20D'ANGELO%20RUSSELL%20%2379%20Brooklyn%20Nets%20Basketball&amp;_sacat=0&amp;LH_Sold=1&amp;LH_Complete=1&amp;_sop=13", "Completed")</f>
        <v/>
      </c>
      <c r="K10" s="8" t="inlineStr">
        <is>
          <t>2025-26 Topps Chrome Basketball BASE 1-200 You Pick the Card - Complete Your Set</t>
        </is>
      </c>
    </row>
    <row r="11">
      <c r="A11" s="2" t="inlineStr">
        <is>
          <t>BA-000070-ogxzd</t>
        </is>
      </c>
      <c r="B11" s="2" t="inlineStr">
        <is>
          <t>2025-26 Topps Chrome LIAM MCNEELEY #279 Charlotte Hornets Basketball</t>
        </is>
      </c>
      <c r="C11" s="3" t="n">
        <v>3.99</v>
      </c>
      <c r="D11" s="3" t="n">
        <v>2.49</v>
      </c>
      <c r="E11" s="3" t="n">
        <v>-1.5</v>
      </c>
      <c r="F11" s="4" t="n">
        <v>-37.6</v>
      </c>
      <c r="G11" s="2" t="inlineStr">
        <is>
          <t>🔵 Floored $2.49 — free ship or $0.99 ship?</t>
        </is>
      </c>
      <c r="H11" s="2" t="inlineStr">
        <is>
          <t>67%</t>
        </is>
      </c>
      <c r="I11" s="2">
        <f>HYPERLINK("https://www.ebay.com/sch/261328/i.html?_dcat=261328&amp;_fsrp=1&amp;rt=nc&amp;_from=R40&amp;_nkw=2025-26%20Topps%20Chrome%20LIAM%20MCNEELEY%20%23279%20Charlotte%20Hornets%20Basketball&amp;_sacat=0&amp;_sop=15&amp;rt=nc&amp;LH_BIN=1", "Active")</f>
        <v/>
      </c>
      <c r="J11" s="2">
        <f>HYPERLINK("https://www.ebay.com/sch/261328/i.html?_from=R40&amp;_nkw=2025-26%20Topps%20Chrome%20LIAM%20MCNEELEY%20%23279%20Charlotte%20Hornets%20Basketball&amp;_sacat=0&amp;LH_Sold=1&amp;LH_Complete=1&amp;_sop=13", "Completed")</f>
        <v/>
      </c>
      <c r="K11" s="2" t="inlineStr">
        <is>
          <t>2025-26 Topps Chrome Basketball BASE SINGLES You Pick + 2 Card Min Plz READ!!</t>
        </is>
      </c>
    </row>
    <row r="12">
      <c r="A12" s="2" t="inlineStr">
        <is>
          <t>BA-000069-ogxzc</t>
        </is>
      </c>
      <c r="B12" s="2" t="inlineStr">
        <is>
          <t>2025-26 Topps Chrome DANNY WOLF #277 Basketball Refractor Brooklyn Nets</t>
        </is>
      </c>
      <c r="C12" s="3" t="n">
        <v>5.99</v>
      </c>
      <c r="D12" s="3" t="n">
        <v>2.49</v>
      </c>
      <c r="E12" s="3" t="n">
        <v>-3.5</v>
      </c>
      <c r="F12" s="4" t="n">
        <v>-58.4</v>
      </c>
      <c r="G12" s="2" t="inlineStr">
        <is>
          <t>🔵 Floored $2.49 — free ship or $0.99 ship?</t>
        </is>
      </c>
      <c r="H12" s="2" t="inlineStr">
        <is>
          <t>86%</t>
        </is>
      </c>
      <c r="I12" s="2">
        <f>HYPERLINK("https://www.ebay.com/sch/261328/i.html?_dcat=261328&amp;_fsrp=1&amp;rt=nc&amp;_from=R40&amp;_nkw=2025-26%20Topps%20Chrome%20DANNY%20WOLF%20%23277%20Basketball%20Refractor%20Brooklyn%20Nets&amp;_sacat=0&amp;_sop=15&amp;rt=nc&amp;LH_BIN=1", "Active")</f>
        <v/>
      </c>
      <c r="J12" s="2">
        <f>HYPERLINK("https://www.ebay.com/sch/261328/i.html?_from=R40&amp;_nkw=2025-26%20Topps%20Chrome%20DANNY%20WOLF%20%23277%20Basketball%20Refractor%20Brooklyn%20Nets&amp;_sacat=0&amp;LH_Sold=1&amp;LH_Complete=1&amp;_sop=13", "Completed")</f>
        <v/>
      </c>
      <c r="K12" s="2" t="inlineStr">
        <is>
          <t>2025-26 Topps Chrome Basketball Danny Wolf Rookie Refractor Brooklyn Nets #277</t>
        </is>
      </c>
    </row>
    <row r="13">
      <c r="A13" s="2" t="inlineStr">
        <is>
          <t>BA-000071-ogxze</t>
        </is>
      </c>
      <c r="B13" s="2" t="inlineStr">
        <is>
          <t>2025-26 Topps Chrome BRANDON CLARKE #133 Red White and Blue Refractor Grizzlies</t>
        </is>
      </c>
      <c r="C13" s="3" t="n">
        <v>3.99</v>
      </c>
      <c r="D13" s="3" t="n">
        <v>2.49</v>
      </c>
      <c r="E13" s="3" t="n">
        <v>-1.5</v>
      </c>
      <c r="F13" s="4" t="n">
        <v>-37.6</v>
      </c>
      <c r="G13" s="2" t="inlineStr">
        <is>
          <t>🔵 Floored $2.49 — free ship or $0.99 ship?</t>
        </is>
      </c>
      <c r="H13" s="2" t="inlineStr">
        <is>
          <t>89%</t>
        </is>
      </c>
      <c r="I13" s="2">
        <f>HYPERLINK("https://www.ebay.com/sch/261328/i.html?_dcat=261328&amp;_fsrp=1&amp;rt=nc&amp;_from=R40&amp;_nkw=2025-26%20Topps%20Chrome%20BRANDON%20CLARKE%20%23133%20Red%20White%20and%20Blue%20Refractor%20Grizzlies&amp;_sacat=0&amp;_sop=15&amp;rt=nc&amp;LH_BIN=1", "Active")</f>
        <v/>
      </c>
      <c r="J13" s="2">
        <f>HYPERLINK("https://www.ebay.com/sch/261328/i.html?_from=R40&amp;_nkw=2025-26%20Topps%20Chrome%20BRANDON%20CLARKE%20%23133%20Red%20White%20and%20Blue%20Refractor%20Grizzlies&amp;_sacat=0&amp;LH_Sold=1&amp;LH_Complete=1&amp;_sop=13", "Completed")</f>
        <v/>
      </c>
      <c r="K13" s="2" t="inlineStr">
        <is>
          <t>2025-26 Topps Chrome Brandon Clarke Red White &amp; Blue Refractor #133 Grizzlies</t>
        </is>
      </c>
    </row>
    <row r="14">
      <c r="A14" s="2" t="inlineStr">
        <is>
          <t>BA-000073-ogxzg</t>
        </is>
      </c>
      <c r="B14" s="2" t="inlineStr">
        <is>
          <t>2025-26 Topps Chrome LAMELO BALL #BD-13 Ball of Duty Charlotte Hornets</t>
        </is>
      </c>
      <c r="C14" s="3" t="n">
        <v>2.99</v>
      </c>
      <c r="D14" s="3" t="n">
        <v>2.49</v>
      </c>
      <c r="E14" s="3" t="n">
        <v>-0.5</v>
      </c>
      <c r="F14" s="4" t="n">
        <v>-16.7</v>
      </c>
      <c r="G14" s="2" t="inlineStr">
        <is>
          <t>🔵 Floored $2.49 — free ship or $0.99 ship?</t>
        </is>
      </c>
      <c r="H14" s="2" t="inlineStr">
        <is>
          <t>85%</t>
        </is>
      </c>
      <c r="I14" s="2">
        <f>HYPERLINK("https://www.ebay.com/sch/261328/i.html?_dcat=261328&amp;_fsrp=1&amp;rt=nc&amp;_from=R40&amp;_nkw=2025-26%20Topps%20Chrome%20LAMELO%20BALL%20%23BD-13%20Ball%20of%20Duty%20Charlotte%20Hornets&amp;_sacat=0&amp;_sop=15&amp;rt=nc&amp;LH_BIN=1", "Active")</f>
        <v/>
      </c>
      <c r="J14" s="2">
        <f>HYPERLINK("https://www.ebay.com/sch/261328/i.html?_from=R40&amp;_nkw=2025-26%20Topps%20Chrome%20LAMELO%20BALL%20%23BD-13%20Ball%20of%20Duty%20Charlotte%20Hornets&amp;_sacat=0&amp;LH_Sold=1&amp;LH_Complete=1&amp;_sop=13", "Completed")</f>
        <v/>
      </c>
      <c r="K14" s="2" t="inlineStr">
        <is>
          <t>2025-26 Topps Chrome #BD-13 LaMelo Ball Ball of Duty</t>
        </is>
      </c>
    </row>
    <row r="15">
      <c r="A15" s="8" t="inlineStr">
        <is>
          <t>BA-000074-ogxzi</t>
        </is>
      </c>
      <c r="B15" s="8" t="inlineStr">
        <is>
          <t>2025-26 Topps Chrome DAY'RON SHARPE #74 Brooklyn Nets Basketball</t>
        </is>
      </c>
      <c r="C15" s="9" t="n">
        <v>2.49</v>
      </c>
      <c r="D15" s="9" t="n">
        <v>2.49</v>
      </c>
      <c r="E15" s="9" t="n">
        <v>0</v>
      </c>
      <c r="F15" s="10" t="n">
        <v>0</v>
      </c>
      <c r="G15" s="8" t="inlineStr">
        <is>
          <t>— No Change</t>
        </is>
      </c>
      <c r="H15" s="8" t="inlineStr">
        <is>
          <t>87%</t>
        </is>
      </c>
      <c r="I15" s="8">
        <f>HYPERLINK("https://www.ebay.com/sch/261328/i.html?_dcat=261328&amp;_fsrp=1&amp;rt=nc&amp;_from=R40&amp;_nkw=2025-26%20Topps%20Chrome%20DAY'RON%20SHARPE%20%2374%20Brooklyn%20Nets%20Basketball&amp;_sacat=0&amp;_sop=15&amp;rt=nc&amp;LH_BIN=1", "Active")</f>
        <v/>
      </c>
      <c r="J15" s="8">
        <f>HYPERLINK("https://www.ebay.com/sch/261328/i.html?_from=R40&amp;_nkw=2025-26%20Topps%20Chrome%20DAY'RON%20SHARPE%20%2374%20Brooklyn%20Nets%20Basketball&amp;_sacat=0&amp;LH_Sold=1&amp;LH_Complete=1&amp;_sop=13", "Completed")</f>
        <v/>
      </c>
      <c r="K15" s="8" t="inlineStr">
        <is>
          <t>2025-26 Topps Chrome #74 Day'Ron Sharpe Basketball Refractor Brooklyn Nets</t>
        </is>
      </c>
    </row>
    <row r="16">
      <c r="A16" s="2" t="inlineStr">
        <is>
          <t>BA-000075-ogxzj</t>
        </is>
      </c>
      <c r="B16" s="2" t="inlineStr">
        <is>
          <t>2025-26 Topps Chrome DERIK QUEEN #263 New Orleans Pelicans Basketball</t>
        </is>
      </c>
      <c r="C16" s="3" t="n">
        <v>4.99</v>
      </c>
      <c r="D16" s="3" t="n">
        <v>2.49</v>
      </c>
      <c r="E16" s="3" t="n">
        <v>-2.5</v>
      </c>
      <c r="F16" s="4" t="n">
        <v>-50.1</v>
      </c>
      <c r="G16" s="2" t="inlineStr">
        <is>
          <t>🔵 Floored $2.49 — free ship or $0.99 ship?</t>
        </is>
      </c>
      <c r="H16" s="2" t="inlineStr">
        <is>
          <t>68%</t>
        </is>
      </c>
      <c r="I16" s="2">
        <f>HYPERLINK("https://www.ebay.com/sch/261328/i.html?_dcat=261328&amp;_fsrp=1&amp;rt=nc&amp;_from=R40&amp;_nkw=2025-26%20Topps%20Chrome%20DERIK%20QUEEN%20%23263%20New%20Orleans%20Pelicans%20Basketball&amp;_sacat=0&amp;_sop=15&amp;rt=nc&amp;LH_BIN=1", "Active")</f>
        <v/>
      </c>
      <c r="J16" s="2">
        <f>HYPERLINK("https://www.ebay.com/sch/261328/i.html?_from=R40&amp;_nkw=2025-26%20Topps%20Chrome%20DERIK%20QUEEN%20%23263%20New%20Orleans%20Pelicans%20Basketball&amp;_sacat=0&amp;LH_Sold=1&amp;LH_Complete=1&amp;_sop=13", "Completed")</f>
        <v/>
      </c>
      <c r="K16" s="2" t="inlineStr">
        <is>
          <t>2025-26 Topps Chrome - Derik Queen #263 (RC)</t>
        </is>
      </c>
    </row>
    <row r="17">
      <c r="A17" s="2" t="inlineStr">
        <is>
          <t>BA-000076-ogxzk</t>
        </is>
      </c>
      <c r="B17" s="2" t="inlineStr">
        <is>
          <t>2025-26 Topps Chrome CHAZ LANIER #288 Detroit Pistons Basketball</t>
        </is>
      </c>
      <c r="C17" s="3" t="n">
        <v>2.99</v>
      </c>
      <c r="D17" s="3" t="n">
        <v>2.49</v>
      </c>
      <c r="E17" s="3" t="n">
        <v>-0.5</v>
      </c>
      <c r="F17" s="4" t="n">
        <v>-16.7</v>
      </c>
      <c r="G17" s="2" t="inlineStr">
        <is>
          <t>🔵 Floored $2.49 — free ship or $0.99 ship?</t>
        </is>
      </c>
      <c r="H17" s="2" t="inlineStr">
        <is>
          <t>67%</t>
        </is>
      </c>
      <c r="I17" s="2">
        <f>HYPERLINK("https://www.ebay.com/sch/261328/i.html?_dcat=261328&amp;_fsrp=1&amp;rt=nc&amp;_from=R40&amp;_nkw=2025-26%20Topps%20Chrome%20CHAZ%20LANIER%20%23288%20Detroit%20Pistons%20Basketball&amp;_sacat=0&amp;_sop=15&amp;rt=nc&amp;LH_BIN=1", "Active")</f>
        <v/>
      </c>
      <c r="J17" s="2">
        <f>HYPERLINK("https://www.ebay.com/sch/261328/i.html?_from=R40&amp;_nkw=2025-26%20Topps%20Chrome%20CHAZ%20LANIER%20%23288%20Detroit%20Pistons%20Basketball&amp;_sacat=0&amp;LH_Sold=1&amp;LH_Complete=1&amp;_sop=13", "Completed")</f>
        <v/>
      </c>
      <c r="K17" s="2" t="inlineStr">
        <is>
          <t>2025-26 Topps Chrome Basketball BASE 201-300 You Pick the Card</t>
        </is>
      </c>
    </row>
    <row r="18">
      <c r="A18" s="2" t="inlineStr">
        <is>
          <t>BA-000079-ogxzn</t>
        </is>
      </c>
      <c r="B18" s="2" t="inlineStr">
        <is>
          <t>2025-26 Topps Chrome BROOKS BARNHIZER #295 Red White and Blue Refractor Thunder</t>
        </is>
      </c>
      <c r="C18" s="3" t="n">
        <v>2.99</v>
      </c>
      <c r="D18" s="3" t="n">
        <v>2.49</v>
      </c>
      <c r="E18" s="3" t="n">
        <v>-0.5</v>
      </c>
      <c r="F18" s="4" t="n">
        <v>-16.7</v>
      </c>
      <c r="G18" s="2" t="inlineStr">
        <is>
          <t>🔵 Floored $2.49 — free ship or $0.99 ship?</t>
        </is>
      </c>
      <c r="H18" s="2" t="inlineStr">
        <is>
          <t>67%</t>
        </is>
      </c>
      <c r="I18" s="2">
        <f>HYPERLINK("https://www.ebay.com/sch/261328/i.html?_dcat=261328&amp;_fsrp=1&amp;rt=nc&amp;_from=R40&amp;_nkw=2025-26%20Topps%20Chrome%20BROOKS%20BARNHIZER%20%23295%20Red%20White%20and%20Blue%20Refractor%20Thunder&amp;_sacat=0&amp;_sop=15&amp;rt=nc&amp;LH_BIN=1", "Active")</f>
        <v/>
      </c>
      <c r="J18" s="2">
        <f>HYPERLINK("https://www.ebay.com/sch/261328/i.html?_from=R40&amp;_nkw=2025-26%20Topps%20Chrome%20BROOKS%20BARNHIZER%20%23295%20Red%20White%20and%20Blue%20Refractor%20Thunder&amp;_sacat=0&amp;LH_Sold=1&amp;LH_Complete=1&amp;_sop=13", "Completed")</f>
        <v/>
      </c>
      <c r="K18" s="2" t="inlineStr">
        <is>
          <t>2025-26 Topps Chrome RED WHITE BLUE REFRACTORS 201-300 You Pick - 2 Card Minimum</t>
        </is>
      </c>
    </row>
    <row r="19">
      <c r="A19" s="2" t="inlineStr">
        <is>
          <t>BA-000080-ogxzo</t>
        </is>
      </c>
      <c r="B19" s="2" t="inlineStr">
        <is>
          <t>2024-25 Donruss Optic LUKA DONCIC #214 Holo Dallas Mavericks Basketball</t>
        </is>
      </c>
      <c r="C19" s="3" t="n">
        <v>3.99</v>
      </c>
      <c r="D19" s="3" t="n">
        <v>2.49</v>
      </c>
      <c r="E19" s="3" t="n">
        <v>-1.5</v>
      </c>
      <c r="F19" s="4" t="n">
        <v>-37.6</v>
      </c>
      <c r="G19" s="2" t="inlineStr">
        <is>
          <t>🔵 Floored $2.49 — free ship or $0.99 ship?</t>
        </is>
      </c>
      <c r="H19" s="2" t="inlineStr">
        <is>
          <t>82%</t>
        </is>
      </c>
      <c r="I19" s="2">
        <f>HYPERLINK("https://www.ebay.com/sch/261328/i.html?_dcat=261328&amp;_fsrp=1&amp;rt=nc&amp;_from=R40&amp;_nkw=2024-25%20Donruss%20Optic%20LUKA%20DONCIC%20%23214%20Holo%20Dallas%20Mavericks%20Basketball&amp;_sacat=0&amp;_sop=15&amp;rt=nc&amp;LH_BIN=1", "Active")</f>
        <v/>
      </c>
      <c r="J19" s="2">
        <f>HYPERLINK("https://www.ebay.com/sch/261328/i.html?_from=R40&amp;_nkw=2024-25%20Donruss%20Optic%20LUKA%20DONCIC%20%23214%20Holo%20Dallas%20Mavericks%20Basketball&amp;_sacat=0&amp;LH_Sold=1&amp;LH_Complete=1&amp;_sop=13", "Completed")</f>
        <v/>
      </c>
      <c r="K19" s="2" t="inlineStr">
        <is>
          <t>2024-25 Donruss Optic #214 Luka Doncic Holo</t>
        </is>
      </c>
    </row>
    <row r="20">
      <c r="A20" s="2" t="inlineStr">
        <is>
          <t>BA-000081-ogxzp</t>
        </is>
      </c>
      <c r="B20" s="2" t="inlineStr">
        <is>
          <t>2024-25 Donruss Optic KYSHAWN GEORGE #299 Washington Wizards Basketball</t>
        </is>
      </c>
      <c r="C20" s="3" t="n">
        <v>4.49</v>
      </c>
      <c r="D20" s="3" t="n">
        <v>2.49</v>
      </c>
      <c r="E20" s="3" t="n">
        <v>-2</v>
      </c>
      <c r="F20" s="4" t="n">
        <v>-44.5</v>
      </c>
      <c r="G20" s="2" t="inlineStr">
        <is>
          <t>🔵 Floored $2.49 — free ship or $0.99 ship?</t>
        </is>
      </c>
      <c r="H20" s="2" t="inlineStr">
        <is>
          <t>73%</t>
        </is>
      </c>
      <c r="I20" s="2">
        <f>HYPERLINK("https://www.ebay.com/sch/261328/i.html?_dcat=261328&amp;_fsrp=1&amp;rt=nc&amp;_from=R40&amp;_nkw=2024-25%20Donruss%20Optic%20KYSHAWN%20GEORGE%20%23299%20Washington%20Wizards%20Basketball&amp;_sacat=0&amp;_sop=15&amp;rt=nc&amp;LH_BIN=1", "Active")</f>
        <v/>
      </c>
      <c r="J20" s="2">
        <f>HYPERLINK("https://www.ebay.com/sch/261328/i.html?_from=R40&amp;_nkw=2024-25%20Donruss%20Optic%20KYSHAWN%20GEORGE%20%23299%20Washington%20Wizards%20Basketball&amp;_sacat=0&amp;LH_Sold=1&amp;LH_Complete=1&amp;_sop=13", "Completed")</f>
        <v/>
      </c>
      <c r="K20" s="2" t="inlineStr">
        <is>
          <t>Kyshawn George 2024-25 Panini Donruss Optic Rated Rookie #299 Wizards RC</t>
        </is>
      </c>
    </row>
    <row r="21">
      <c r="A21" s="2" t="inlineStr">
        <is>
          <t>BA-000082-ogxzq</t>
        </is>
      </c>
      <c r="B21" s="2" t="inlineStr">
        <is>
          <t>2024-25 Donruss Optic DYSON DANIELS #56 Holo Atlanta Hawks Basketball</t>
        </is>
      </c>
      <c r="C21" s="3" t="n">
        <v>3.49</v>
      </c>
      <c r="D21" s="3" t="n">
        <v>2.49</v>
      </c>
      <c r="E21" s="3" t="n">
        <v>-1</v>
      </c>
      <c r="F21" s="4" t="n">
        <v>-28.7</v>
      </c>
      <c r="G21" s="2" t="inlineStr">
        <is>
          <t>🔵 Floored $2.49 — free ship or $0.99 ship?</t>
        </is>
      </c>
      <c r="H21" s="2" t="inlineStr">
        <is>
          <t>64%</t>
        </is>
      </c>
      <c r="I21" s="2">
        <f>HYPERLINK("https://www.ebay.com/sch/261328/i.html?_dcat=261328&amp;_fsrp=1&amp;rt=nc&amp;_from=R40&amp;_nkw=2024-25%20Donruss%20Optic%20DYSON%20DANIELS%20%2356%20Holo%20Atlanta%20Hawks%20Basketball&amp;_sacat=0&amp;_sop=15&amp;rt=nc&amp;LH_BIN=1", "Active")</f>
        <v/>
      </c>
      <c r="J21" s="2">
        <f>HYPERLINK("https://www.ebay.com/sch/261328/i.html?_from=R40&amp;_nkw=2024-25%20Donruss%20Optic%20DYSON%20DANIELS%20%2356%20Holo%20Atlanta%20Hawks%20Basketball&amp;_sacat=0&amp;LH_Sold=1&amp;LH_Complete=1&amp;_sop=13", "Completed")</f>
        <v/>
      </c>
      <c r="K21" s="2" t="inlineStr">
        <is>
          <t>2024-25 Panini Donruss Optic HOLO Complete Your Set You Pick NBA Card #1-250</t>
        </is>
      </c>
    </row>
    <row r="22">
      <c r="A22" s="2" t="inlineStr">
        <is>
          <t>BA-000083-ogxzt</t>
        </is>
      </c>
      <c r="B22" s="2" t="inlineStr">
        <is>
          <t>2024-25 Donruss Optic IVICA ZUBAC #58 Purple Los Angeles Clippers Basketball</t>
        </is>
      </c>
      <c r="C22" s="3" t="n">
        <v>3.49</v>
      </c>
      <c r="D22" s="3" t="n">
        <v>2.49</v>
      </c>
      <c r="E22" s="3" t="n">
        <v>-1</v>
      </c>
      <c r="F22" s="4" t="n">
        <v>-28.7</v>
      </c>
      <c r="G22" s="2" t="inlineStr">
        <is>
          <t>🔵 Floored $2.49 — free ship or $0.99 ship?</t>
        </is>
      </c>
      <c r="H22" s="2" t="inlineStr">
        <is>
          <t>70%</t>
        </is>
      </c>
      <c r="I22" s="2">
        <f>HYPERLINK("https://www.ebay.com/sch/261328/i.html?_dcat=261328&amp;_fsrp=1&amp;rt=nc&amp;_from=R40&amp;_nkw=2024-25%20Donruss%20Optic%20IVICA%20ZUBAC%20%2358%20Purple%20Los%20Angeles%20Clippers%20Basketball&amp;_sacat=0&amp;_sop=15&amp;rt=nc&amp;LH_BIN=1", "Active")</f>
        <v/>
      </c>
      <c r="J22" s="2">
        <f>HYPERLINK("https://www.ebay.com/sch/261328/i.html?_from=R40&amp;_nkw=2024-25%20Donruss%20Optic%20IVICA%20ZUBAC%20%2358%20Purple%20Los%20Angeles%20Clippers%20Basketball&amp;_sacat=0&amp;LH_Sold=1&amp;LH_Complete=1&amp;_sop=13", "Completed")</f>
        <v/>
      </c>
      <c r="K22" s="2" t="inlineStr">
        <is>
          <t>2024-25 Panini Donruss Optic - Ivica Zubac #58 Purple Prizm</t>
        </is>
      </c>
    </row>
    <row r="23">
      <c r="A23" s="2" t="inlineStr">
        <is>
          <t>BA-000085-ogxzv</t>
        </is>
      </c>
      <c r="B23" s="2" t="inlineStr">
        <is>
          <t>2024-25 Donruss Optic CADE CUNNINGHAM #26 Holo Detroit Pistons Basketball</t>
        </is>
      </c>
      <c r="C23" s="3" t="n">
        <v>3.49</v>
      </c>
      <c r="D23" s="3" t="n">
        <v>2.49</v>
      </c>
      <c r="E23" s="3" t="n">
        <v>-1</v>
      </c>
      <c r="F23" s="4" t="n">
        <v>-28.7</v>
      </c>
      <c r="G23" s="2" t="inlineStr">
        <is>
          <t>🔵 Floored $2.49 — free ship or $0.99 ship?</t>
        </is>
      </c>
      <c r="H23" s="2" t="inlineStr">
        <is>
          <t>62%</t>
        </is>
      </c>
      <c r="I23" s="2">
        <f>HYPERLINK("https://www.ebay.com/sch/261328/i.html?_dcat=261328&amp;_fsrp=1&amp;rt=nc&amp;_from=R40&amp;_nkw=2024-25%20Donruss%20Optic%20CADE%20CUNNINGHAM%20%2326%20Holo%20Detroit%20Pistons%20Basketball&amp;_sacat=0&amp;_sop=15&amp;rt=nc&amp;LH_BIN=1", "Active")</f>
        <v/>
      </c>
      <c r="J23" s="2">
        <f>HYPERLINK("https://www.ebay.com/sch/261328/i.html?_from=R40&amp;_nkw=2024-25%20Donruss%20Optic%20CADE%20CUNNINGHAM%20%2326%20Holo%20Detroit%20Pistons%20Basketball&amp;_sacat=0&amp;LH_Sold=1&amp;LH_Complete=1&amp;_sop=13", "Completed")</f>
        <v/>
      </c>
      <c r="K23" s="2" t="inlineStr">
        <is>
          <t>2024/25 Optic Basketball Silver Holo,1-300-6 CARD MINIMUM,20% OFF FREE SHIP !!</t>
        </is>
      </c>
    </row>
    <row r="24">
      <c r="A24" s="2" t="inlineStr">
        <is>
          <t>BA-000086-ogxzw</t>
        </is>
      </c>
      <c r="B24" s="2" t="inlineStr">
        <is>
          <t>2024-25 Donruss Optic KRISTAPS PORZINGIS #9 Winner Stays Holo Boston Celtics</t>
        </is>
      </c>
      <c r="C24" s="3" t="n">
        <v>3.49</v>
      </c>
      <c r="D24" s="3" t="n">
        <v>2.49</v>
      </c>
      <c r="E24" s="3" t="n">
        <v>-1</v>
      </c>
      <c r="F24" s="4" t="n">
        <v>-28.7</v>
      </c>
      <c r="G24" s="2" t="inlineStr">
        <is>
          <t>🔵 Floored $2.49 — free ship or $0.99 ship?</t>
        </is>
      </c>
      <c r="H24" s="2" t="inlineStr">
        <is>
          <t>84%</t>
        </is>
      </c>
      <c r="I24" s="2">
        <f>HYPERLINK("https://www.ebay.com/sch/261328/i.html?_dcat=261328&amp;_fsrp=1&amp;rt=nc&amp;_from=R40&amp;_nkw=2024-25%20Donruss%20Optic%20KRISTAPS%20PORZINGIS%20%239%20Winner%20Stays%20Holo%20Boston%20Celtics&amp;_sacat=0&amp;_sop=15&amp;rt=nc&amp;LH_BIN=1", "Active")</f>
        <v/>
      </c>
      <c r="J24" s="2">
        <f>HYPERLINK("https://www.ebay.com/sch/261328/i.html?_from=R40&amp;_nkw=2024-25%20Donruss%20Optic%20KRISTAPS%20PORZINGIS%20%239%20Winner%20Stays%20Holo%20Boston%20Celtics&amp;_sacat=0&amp;LH_Sold=1&amp;LH_Complete=1&amp;_sop=13", "Completed")</f>
        <v/>
      </c>
      <c r="K24" s="2" t="inlineStr">
        <is>
          <t>2024-25 Panini Donruss Optic - Winner Stays Kristaps Porzingis #9 Holo Prizm</t>
        </is>
      </c>
    </row>
    <row r="25">
      <c r="A25" s="2" t="inlineStr">
        <is>
          <t>BA-000087-ogxzx</t>
        </is>
      </c>
      <c r="B25" s="2" t="inlineStr">
        <is>
          <t>2024-25 Donruss Optic GRADEY DICK #184 Purple Toronto Raptors Basketball</t>
        </is>
      </c>
      <c r="C25" s="3" t="n">
        <v>3.99</v>
      </c>
      <c r="D25" s="3" t="n">
        <v>2.49</v>
      </c>
      <c r="E25" s="3" t="n">
        <v>-1.5</v>
      </c>
      <c r="F25" s="4" t="n">
        <v>-37.6</v>
      </c>
      <c r="G25" s="2" t="inlineStr">
        <is>
          <t>🔵 Floored $2.49 — free ship or $0.99 ship?</t>
        </is>
      </c>
      <c r="H25" s="2" t="inlineStr">
        <is>
          <t>67%</t>
        </is>
      </c>
      <c r="I25" s="2">
        <f>HYPERLINK("https://www.ebay.com/sch/261328/i.html?_dcat=261328&amp;_fsrp=1&amp;rt=nc&amp;_from=R40&amp;_nkw=2024-25%20Donruss%20Optic%20GRADEY%20DICK%20%23184%20Purple%20Toronto%20Raptors%20Basketball&amp;_sacat=0&amp;_sop=15&amp;rt=nc&amp;LH_BIN=1", "Active")</f>
        <v/>
      </c>
      <c r="J25" s="2">
        <f>HYPERLINK("https://www.ebay.com/sch/261328/i.html?_from=R40&amp;_nkw=2024-25%20Donruss%20Optic%20GRADEY%20DICK%20%23184%20Purple%20Toronto%20Raptors%20Basketball&amp;_sacat=0&amp;LH_Sold=1&amp;LH_Complete=1&amp;_sop=13", "Completed")</f>
        <v/>
      </c>
      <c r="K25" s="2" t="inlineStr">
        <is>
          <t>2024-25 Panini Donruss Optic PURPLE Complete Your Set You Pick NBA Card #1-250</t>
        </is>
      </c>
    </row>
    <row r="26">
      <c r="A26" s="2" t="inlineStr">
        <is>
          <t>BA-000088-ogxzy</t>
        </is>
      </c>
      <c r="B26" s="2" t="inlineStr">
        <is>
          <t>2024-25 Donruss Optic ANTHONY Black #154 Holo Orlando Magic Basketball</t>
        </is>
      </c>
      <c r="C26" s="3" t="n">
        <v>3.99</v>
      </c>
      <c r="D26" s="3" t="n">
        <v>2.49</v>
      </c>
      <c r="E26" s="3" t="n">
        <v>-1.5</v>
      </c>
      <c r="F26" s="4" t="n">
        <v>-37.6</v>
      </c>
      <c r="G26" s="2" t="inlineStr">
        <is>
          <t>🔵 Floored $2.49 — free ship or $0.99 ship?</t>
        </is>
      </c>
      <c r="H26" s="2" t="inlineStr">
        <is>
          <t>70%</t>
        </is>
      </c>
      <c r="I26" s="2">
        <f>HYPERLINK("https://www.ebay.com/sch/261328/i.html?_dcat=261328&amp;_fsrp=1&amp;rt=nc&amp;_from=R40&amp;_nkw=2024-25%20Donruss%20Optic%20ANTHONY%20Black%20%23154%20Holo%20Orlando%20Magic%20Basketball&amp;_sacat=0&amp;_sop=15&amp;rt=nc&amp;LH_BIN=1", "Active")</f>
        <v/>
      </c>
      <c r="J26" s="2">
        <f>HYPERLINK("https://www.ebay.com/sch/261328/i.html?_from=R40&amp;_nkw=2024-25%20Donruss%20Optic%20ANTHONY%20Black%20%23154%20Holo%20Orlando%20Magic%20Basketball&amp;_sacat=0&amp;LH_Sold=1&amp;LH_Complete=1&amp;_sop=13", "Completed")</f>
        <v/>
      </c>
      <c r="K26" s="2" t="inlineStr">
        <is>
          <t>2024-25 Panini Donruss Optic HOLO Complete Your Set You Pick NBA Card #1-250</t>
        </is>
      </c>
    </row>
    <row r="27">
      <c r="A27" s="2" t="inlineStr">
        <is>
          <t>BA-000092-ot9pc</t>
        </is>
      </c>
      <c r="B27" s="2" t="inlineStr">
        <is>
          <t>2025-26 Topps Chrome ANTHONY EDWARDS #IP-5 Inspirational Minnesota Timberwolves</t>
        </is>
      </c>
      <c r="C27" s="3" t="n">
        <v>2.99</v>
      </c>
      <c r="D27" s="3" t="n">
        <v>2.49</v>
      </c>
      <c r="E27" s="3" t="n">
        <v>-0.5</v>
      </c>
      <c r="F27" s="4" t="n">
        <v>-16.7</v>
      </c>
      <c r="G27" s="2" t="inlineStr">
        <is>
          <t>🔵 Floored $2.49 — free ship or $0.99 ship?</t>
        </is>
      </c>
      <c r="H27" s="2" t="inlineStr">
        <is>
          <t>87%</t>
        </is>
      </c>
      <c r="I27" s="2">
        <f>HYPERLINK("https://www.ebay.com/sch/261328/i.html?_dcat=261328&amp;_fsrp=1&amp;rt=nc&amp;_from=R40&amp;_nkw=2025-26%20Topps%20Chrome%20ANTHONY%20EDWARDS%20%23IP-5%20Inspirational%20Minnesota%20Timberwolves&amp;_sacat=0&amp;_sop=15&amp;rt=nc&amp;LH_BIN=1", "Active")</f>
        <v/>
      </c>
      <c r="J27" s="2">
        <f>HYPERLINK("https://www.ebay.com/sch/261328/i.html?_from=R40&amp;_nkw=2025-26%20Topps%20Chrome%20ANTHONY%20EDWARDS%20%23IP-5%20Inspirational%20Minnesota%20Timberwolves&amp;_sacat=0&amp;LH_Sold=1&amp;LH_Complete=1&amp;_sop=13", "Completed")</f>
        <v/>
      </c>
      <c r="K27" s="2" t="inlineStr">
        <is>
          <t>2025-26 Topps Chrome - Inspirational Anthony Edwards #IP-5 Timberwolves</t>
        </is>
      </c>
    </row>
    <row r="28">
      <c r="A28" s="2" t="inlineStr">
        <is>
          <t>BA-000094-ot9ph</t>
        </is>
      </c>
      <c r="B28" s="2" t="inlineStr">
        <is>
          <t>2025-26 Topps Chrome PAOLO BANCHERO #BD-14 Ball of Duty Orlando Magic Basketball</t>
        </is>
      </c>
      <c r="C28" s="3" t="n">
        <v>3.49</v>
      </c>
      <c r="D28" s="3" t="n">
        <v>2.49</v>
      </c>
      <c r="E28" s="3" t="n">
        <v>-1</v>
      </c>
      <c r="F28" s="4" t="n">
        <v>-28.7</v>
      </c>
      <c r="G28" s="2" t="inlineStr">
        <is>
          <t>🔵 Floored $2.49 — free ship or $0.99 ship?</t>
        </is>
      </c>
      <c r="H28" s="2" t="inlineStr">
        <is>
          <t>84%</t>
        </is>
      </c>
      <c r="I28" s="2">
        <f>HYPERLINK("https://www.ebay.com/sch/261328/i.html?_dcat=261328&amp;_fsrp=1&amp;rt=nc&amp;_from=R40&amp;_nkw=2025-26%20Topps%20Chrome%20PAOLO%20BANCHERO%20%23BD-14%20Ball%20of%20Duty%20Orlando%20Magic%20Basketball&amp;_sacat=0&amp;_sop=15&amp;rt=nc&amp;LH_BIN=1", "Active")</f>
        <v/>
      </c>
      <c r="J28" s="2">
        <f>HYPERLINK("https://www.ebay.com/sch/261328/i.html?_from=R40&amp;_nkw=2025-26%20Topps%20Chrome%20PAOLO%20BANCHERO%20%23BD-14%20Ball%20of%20Duty%20Orlando%20Magic%20Basketball&amp;_sacat=0&amp;LH_Sold=1&amp;LH_Complete=1&amp;_sop=13", "Completed")</f>
        <v/>
      </c>
      <c r="K28" s="2" t="inlineStr">
        <is>
          <t>2025-26 Topps Chrome #BD-14 Paolo Banchero Ball of Duty</t>
        </is>
      </c>
    </row>
    <row r="29">
      <c r="A29" s="2" t="inlineStr">
        <is>
          <t>BA-000093-ot9pd</t>
        </is>
      </c>
      <c r="B29" s="2" t="inlineStr">
        <is>
          <t>2025-26 Topps Chrome JA MORANT #SF-2 Sleek Finishers Memphis Grizzlies</t>
        </is>
      </c>
      <c r="C29" s="3" t="n">
        <v>3.49</v>
      </c>
      <c r="D29" s="3" t="n">
        <v>2.49</v>
      </c>
      <c r="E29" s="3" t="n">
        <v>-1</v>
      </c>
      <c r="F29" s="4" t="n">
        <v>-28.7</v>
      </c>
      <c r="G29" s="2" t="inlineStr">
        <is>
          <t>🔵 Floored $2.49 — free ship or $0.99 ship?</t>
        </is>
      </c>
      <c r="H29" s="2" t="inlineStr">
        <is>
          <t>84%</t>
        </is>
      </c>
      <c r="I29" s="2">
        <f>HYPERLINK("https://www.ebay.com/sch/261328/i.html?_dcat=261328&amp;_fsrp=1&amp;rt=nc&amp;_from=R40&amp;_nkw=2025-26%20Topps%20Chrome%20JA%20MORANT%20%23SF-2%20Sleek%20Finishers%20Memphis%20Grizzlies&amp;_sacat=0&amp;_sop=15&amp;rt=nc&amp;LH_BIN=1", "Active")</f>
        <v/>
      </c>
      <c r="J29" s="2">
        <f>HYPERLINK("https://www.ebay.com/sch/261328/i.html?_from=R40&amp;_nkw=2025-26%20Topps%20Chrome%20JA%20MORANT%20%23SF-2%20Sleek%20Finishers%20Memphis%20Grizzlies&amp;_sacat=0&amp;LH_Sold=1&amp;LH_Complete=1&amp;_sop=13", "Completed")</f>
        <v/>
      </c>
      <c r="K29" s="2" t="inlineStr">
        <is>
          <t>2025-26 Topps Chrome #SF-2 Ja Morant Sleek Finishers F3</t>
        </is>
      </c>
    </row>
    <row r="30">
      <c r="A30" s="8" t="inlineStr">
        <is>
          <t>BA-000096-ot9pl</t>
        </is>
      </c>
      <c r="B30" s="8" t="inlineStr">
        <is>
          <t>2025-26 Topps Chrome JIMMY BUTLER III #GT-2 Go Time Golden State Warriors</t>
        </is>
      </c>
      <c r="C30" s="9" t="n">
        <v>2.49</v>
      </c>
      <c r="D30" s="9" t="n">
        <v>2.49</v>
      </c>
      <c r="E30" s="9" t="n">
        <v>0</v>
      </c>
      <c r="F30" s="10" t="n">
        <v>0</v>
      </c>
      <c r="G30" s="8" t="inlineStr">
        <is>
          <t>— No Change</t>
        </is>
      </c>
      <c r="H30" s="8" t="inlineStr">
        <is>
          <t>89%</t>
        </is>
      </c>
      <c r="I30" s="8">
        <f>HYPERLINK("https://www.ebay.com/sch/261328/i.html?_dcat=261328&amp;_fsrp=1&amp;rt=nc&amp;_from=R40&amp;_nkw=2025-26%20Topps%20Chrome%20JIMMY%20BUTLER%20III%20%23GT-2%20Go%20Time%20Golden%20State%20Warriors&amp;_sacat=0&amp;_sop=15&amp;rt=nc&amp;LH_BIN=1", "Active")</f>
        <v/>
      </c>
      <c r="J30" s="8">
        <f>HYPERLINK("https://www.ebay.com/sch/261328/i.html?_from=R40&amp;_nkw=2025-26%20Topps%20Chrome%20JIMMY%20BUTLER%20III%20%23GT-2%20Go%20Time%20Golden%20State%20Warriors&amp;_sacat=0&amp;LH_Sold=1&amp;LH_Complete=1&amp;_sop=13", "Completed")</f>
        <v/>
      </c>
      <c r="K30" s="8" t="inlineStr">
        <is>
          <t>2025-26 Topps Chrome Jimmy Butler III Go Time #GT-2 Golden State Warriors NBA</t>
        </is>
      </c>
    </row>
    <row r="31">
      <c r="A31" s="5" t="inlineStr">
        <is>
          <t>BA-000097-ot9po</t>
        </is>
      </c>
      <c r="B31" s="5" t="inlineStr">
        <is>
          <t>2025-26 Topps Chrome JARACE WALKER #53 Pulsar Ref Indiana Pacers Basketball</t>
        </is>
      </c>
      <c r="C31" s="6" t="n">
        <v>2.49</v>
      </c>
      <c r="D31" s="6" t="n">
        <v>3.39</v>
      </c>
      <c r="E31" s="6" t="n">
        <v>0.9</v>
      </c>
      <c r="F31" s="7" t="n">
        <v>36.1</v>
      </c>
      <c r="G31" s="5" t="inlineStr">
        <is>
          <t>⬆ Price Up</t>
        </is>
      </c>
      <c r="H31" s="5" t="inlineStr">
        <is>
          <t>100%</t>
        </is>
      </c>
      <c r="I31" s="5">
        <f>HYPERLINK("https://www.ebay.com/sch/261328/i.html?_dcat=261328&amp;_fsrp=1&amp;rt=nc&amp;_from=R40&amp;_nkw=2025-26%20Topps%20Chrome%20JARACE%20WALKER%20%2353%20Pulsar%20Ref%20Indiana%20Pacers%20Basketball&amp;_sacat=0&amp;_sop=15&amp;rt=nc&amp;LH_BIN=1", "Active")</f>
        <v/>
      </c>
      <c r="J31" s="5">
        <f>HYPERLINK("https://www.ebay.com/sch/261328/i.html?_from=R40&amp;_nkw=2025-26%20Topps%20Chrome%20JARACE%20WALKER%20%2353%20Pulsar%20Ref%20Indiana%20Pacers%20Basketball&amp;_sacat=0&amp;LH_Sold=1&amp;LH_Complete=1&amp;_sop=13", "Completed")</f>
        <v/>
      </c>
      <c r="K31" s="5" t="inlineStr">
        <is>
          <t>2025-26 Topps Chrome JARACE WALKER #53 Pulsar Ref Indiana Pacers Basketball</t>
        </is>
      </c>
    </row>
    <row r="32">
      <c r="A32" s="2" t="inlineStr">
        <is>
          <t>BA-000099-ot9ps</t>
        </is>
      </c>
      <c r="B32" s="2" t="inlineStr">
        <is>
          <t>2025-26 Topps Chrome SHAEDON SHARPE #150 Refractor Trail Blazers Basketball</t>
        </is>
      </c>
      <c r="C32" s="3" t="n">
        <v>3.49</v>
      </c>
      <c r="D32" s="3" t="n">
        <v>2.49</v>
      </c>
      <c r="E32" s="3" t="n">
        <v>-1</v>
      </c>
      <c r="F32" s="4" t="n">
        <v>-28.7</v>
      </c>
      <c r="G32" s="2" t="inlineStr">
        <is>
          <t>🔵 Floored $2.49 — free ship or $0.99 ship?</t>
        </is>
      </c>
      <c r="H32" s="2" t="inlineStr">
        <is>
          <t>64%</t>
        </is>
      </c>
      <c r="I32" s="2">
        <f>HYPERLINK("https://www.ebay.com/sch/261328/i.html?_dcat=261328&amp;_fsrp=1&amp;rt=nc&amp;_from=R40&amp;_nkw=2025-26%20Topps%20Chrome%20SHAEDON%20SHARPE%20%23150%20Refractor%20Trail%20Blazers%20Basketball&amp;_sacat=0&amp;_sop=15&amp;rt=nc&amp;LH_BIN=1", "Active")</f>
        <v/>
      </c>
      <c r="J32" s="2">
        <f>HYPERLINK("https://www.ebay.com/sch/261328/i.html?_from=R40&amp;_nkw=2025-26%20Topps%20Chrome%20SHAEDON%20SHARPE%20%23150%20Refractor%20Trail%20Blazers%20Basketball&amp;_sacat=0&amp;LH_Sold=1&amp;LH_Complete=1&amp;_sop=13", "Completed")</f>
        <v/>
      </c>
      <c r="K32" s="2" t="inlineStr">
        <is>
          <t>2025-26 Topps Chrome Basketball REFRACTORS 1-200 You Pick - 2 Card Minimum</t>
        </is>
      </c>
    </row>
    <row r="33">
      <c r="A33" s="2" t="inlineStr">
        <is>
          <t>BA-000100-ot9pv</t>
        </is>
      </c>
      <c r="B33" s="2" t="inlineStr">
        <is>
          <t>2025-26 Topps Chrome SPENCER DINWIDDIE #13 Pulsar Refractor Dallas Mavericks</t>
        </is>
      </c>
      <c r="C33" s="3" t="n">
        <v>2.99</v>
      </c>
      <c r="D33" s="3" t="n">
        <v>2.49</v>
      </c>
      <c r="E33" s="3" t="n">
        <v>-0.5</v>
      </c>
      <c r="F33" s="4" t="n">
        <v>-16.7</v>
      </c>
      <c r="G33" s="2" t="inlineStr">
        <is>
          <t>🔵 Floored $2.49 — free ship or $0.99 ship?</t>
        </is>
      </c>
      <c r="H33" s="2" t="inlineStr">
        <is>
          <t>67%</t>
        </is>
      </c>
      <c r="I33" s="2">
        <f>HYPERLINK("https://www.ebay.com/sch/261328/i.html?_dcat=261328&amp;_fsrp=1&amp;rt=nc&amp;_from=R40&amp;_nkw=2025-26%20Topps%20Chrome%20SPENCER%20DINWIDDIE%20%2313%20Pulsar%20Refractor%20Dallas%20Mavericks&amp;_sacat=0&amp;_sop=15&amp;rt=nc&amp;LH_BIN=1", "Active")</f>
        <v/>
      </c>
      <c r="J33" s="2">
        <f>HYPERLINK("https://www.ebay.com/sch/261328/i.html?_from=R40&amp;_nkw=2025-26%20Topps%20Chrome%20SPENCER%20DINWIDDIE%20%2313%20Pulsar%20Refractor%20Dallas%20Mavericks&amp;_sacat=0&amp;LH_Sold=1&amp;LH_Complete=1&amp;_sop=13", "Completed")</f>
        <v/>
      </c>
      <c r="K33" s="2" t="inlineStr">
        <is>
          <t>2025-26 Topps Chrome Basketball REFRACTORS/PULSAR (BUY 3 GET 1) You Pick/Choose</t>
        </is>
      </c>
    </row>
    <row r="34">
      <c r="A34" s="2" t="inlineStr">
        <is>
          <t>BA-000101-ot9px</t>
        </is>
      </c>
      <c r="B34" s="2" t="inlineStr">
        <is>
          <t>2025-26 Topps Chrome JAIME JAQUEZ JR. #161 Miami Heat Basketball</t>
        </is>
      </c>
      <c r="C34" s="3" t="n">
        <v>2.99</v>
      </c>
      <c r="D34" s="3" t="n">
        <v>2.49</v>
      </c>
      <c r="E34" s="3" t="n">
        <v>-0.5</v>
      </c>
      <c r="F34" s="4" t="n">
        <v>-16.7</v>
      </c>
      <c r="G34" s="2" t="inlineStr">
        <is>
          <t>🔵 Floored $2.49 — free ship or $0.99 ship?</t>
        </is>
      </c>
      <c r="H34" s="2" t="inlineStr">
        <is>
          <t>87%</t>
        </is>
      </c>
      <c r="I34" s="2">
        <f>HYPERLINK("https://www.ebay.com/sch/261328/i.html?_dcat=261328&amp;_fsrp=1&amp;rt=nc&amp;_from=R40&amp;_nkw=2025-26%20Topps%20Chrome%20JAIME%20JAQUEZ%20JR.%20%23161%20Miami%20Heat%20Basketball&amp;_sacat=0&amp;_sop=15&amp;rt=nc&amp;LH_BIN=1", "Active")</f>
        <v/>
      </c>
      <c r="J34" s="2">
        <f>HYPERLINK("https://www.ebay.com/sch/261328/i.html?_from=R40&amp;_nkw=2025-26%20Topps%20Chrome%20JAIME%20JAQUEZ%20JR.%20%23161%20Miami%20Heat%20Basketball&amp;_sacat=0&amp;LH_Sold=1&amp;LH_Complete=1&amp;_sop=13", "Completed")</f>
        <v/>
      </c>
      <c r="K34" s="2" t="inlineStr">
        <is>
          <t>2025-26 Topps Chrome #161 Jaime Jaquez Jr. Miami Heat</t>
        </is>
      </c>
    </row>
    <row r="35">
      <c r="A35" s="2" t="inlineStr">
        <is>
          <t>BA-000102-ot9pz</t>
        </is>
      </c>
      <c r="B35" s="2" t="inlineStr">
        <is>
          <t>2025-26 Topps Chrome JASE RICHARDSON #275 Orlando Magic Basketball</t>
        </is>
      </c>
      <c r="C35" s="3" t="n">
        <v>3.49</v>
      </c>
      <c r="D35" s="3" t="n">
        <v>2.49</v>
      </c>
      <c r="E35" s="3" t="n">
        <v>-1</v>
      </c>
      <c r="F35" s="4" t="n">
        <v>-28.7</v>
      </c>
      <c r="G35" s="2" t="inlineStr">
        <is>
          <t>🔵 Floored $2.49 — free ship or $0.99 ship?</t>
        </is>
      </c>
      <c r="H35" s="2" t="inlineStr">
        <is>
          <t>64%</t>
        </is>
      </c>
      <c r="I35" s="2">
        <f>HYPERLINK("https://www.ebay.com/sch/261328/i.html?_dcat=261328&amp;_fsrp=1&amp;rt=nc&amp;_from=R40&amp;_nkw=2025-26%20Topps%20Chrome%20JASE%20RICHARDSON%20%23275%20Orlando%20Magic%20Basketball&amp;_sacat=0&amp;_sop=15&amp;rt=nc&amp;LH_BIN=1", "Active")</f>
        <v/>
      </c>
      <c r="J35" s="2">
        <f>HYPERLINK("https://www.ebay.com/sch/261328/i.html?_from=R40&amp;_nkw=2025-26%20Topps%20Chrome%20JASE%20RICHARDSON%20%23275%20Orlando%20Magic%20Basketball&amp;_sacat=0&amp;LH_Sold=1&amp;LH_Complete=1&amp;_sop=13", "Completed")</f>
        <v/>
      </c>
      <c r="K35" s="2" t="inlineStr">
        <is>
          <t>2025-26 Topps Chrome Basketball Base #151-300! PYC, SHIPS FREE! Updated 7/5!</t>
        </is>
      </c>
    </row>
    <row r="36">
      <c r="A36" s="2" t="inlineStr">
        <is>
          <t>BA-000103-ot9q2</t>
        </is>
      </c>
      <c r="B36" s="2" t="inlineStr">
        <is>
          <t>2025-26 Topps Chrome KHAMAN MALUACH #260 Phoenix Suns Basketball</t>
        </is>
      </c>
      <c r="C36" s="3" t="n">
        <v>3.49</v>
      </c>
      <c r="D36" s="3" t="n">
        <v>2.49</v>
      </c>
      <c r="E36" s="3" t="n">
        <v>-1</v>
      </c>
      <c r="F36" s="4" t="n">
        <v>-28.7</v>
      </c>
      <c r="G36" s="2" t="inlineStr">
        <is>
          <t>🔵 Floored $2.49 — free ship or $0.99 ship?</t>
        </is>
      </c>
      <c r="H36" s="2" t="inlineStr">
        <is>
          <t>84%</t>
        </is>
      </c>
      <c r="I36" s="2">
        <f>HYPERLINK("https://www.ebay.com/sch/261328/i.html?_dcat=261328&amp;_fsrp=1&amp;rt=nc&amp;_from=R40&amp;_nkw=2025-26%20Topps%20Chrome%20KHAMAN%20MALUACH%20%23260%20Phoenix%20Suns%20Basketball&amp;_sacat=0&amp;_sop=15&amp;rt=nc&amp;LH_BIN=1", "Active")</f>
        <v/>
      </c>
      <c r="J36" s="2">
        <f>HYPERLINK("https://www.ebay.com/sch/261328/i.html?_from=R40&amp;_nkw=2025-26%20Topps%20Chrome%20KHAMAN%20MALUACH%20%23260%20Phoenix%20Suns%20Basketball&amp;_sacat=0&amp;LH_Sold=1&amp;LH_Complete=1&amp;_sop=13", "Completed")</f>
        <v/>
      </c>
      <c r="K36" s="2" t="inlineStr">
        <is>
          <t>2025-26 Topps Chrome #260 Khaman Maluach Rookie Card (RC) Phoenix Suns</t>
        </is>
      </c>
    </row>
    <row r="37">
      <c r="A37" s="2" t="inlineStr">
        <is>
          <t>BA-000104-ot9q3</t>
        </is>
      </c>
      <c r="B37" s="2" t="inlineStr">
        <is>
          <t>2025-26 Topps Chrome ZACCHARIE RISACHER #2 Atlanta Hawks Basketball</t>
        </is>
      </c>
      <c r="C37" s="3" t="n">
        <v>3.99</v>
      </c>
      <c r="D37" s="3" t="n">
        <v>2.49</v>
      </c>
      <c r="E37" s="3" t="n">
        <v>-1.5</v>
      </c>
      <c r="F37" s="4" t="n">
        <v>-37.6</v>
      </c>
      <c r="G37" s="2" t="inlineStr">
        <is>
          <t>🔵 Floored $2.49 — free ship or $0.99 ship?</t>
        </is>
      </c>
      <c r="H37" s="2" t="inlineStr">
        <is>
          <t>66%</t>
        </is>
      </c>
      <c r="I37" s="2">
        <f>HYPERLINK("https://www.ebay.com/sch/261328/i.html?_dcat=261328&amp;_fsrp=1&amp;rt=nc&amp;_from=R40&amp;_nkw=2025-26%20Topps%20Chrome%20ZACCHARIE%20RISACHER%20%232%20Atlanta%20Hawks%20Basketball&amp;_sacat=0&amp;_sop=15&amp;rt=nc&amp;LH_BIN=1", "Active")</f>
        <v/>
      </c>
      <c r="J37" s="2">
        <f>HYPERLINK("https://www.ebay.com/sch/261328/i.html?_from=R40&amp;_nkw=2025-26%20Topps%20Chrome%20ZACCHARIE%20RISACHER%20%232%20Atlanta%20Hawks%20Basketball&amp;_sacat=0&amp;LH_Sold=1&amp;LH_Complete=1&amp;_sop=13", "Completed")</f>
        <v/>
      </c>
      <c r="K37" s="2" t="inlineStr">
        <is>
          <t>2025-26 Topps Chrome Basketball BASE SINGLES You Pick + 2 Card Min Plz READ!!</t>
        </is>
      </c>
    </row>
    <row r="38">
      <c r="A38" s="2" t="inlineStr">
        <is>
          <t>AA-000003-p439c</t>
        </is>
      </c>
      <c r="B38" s="2" t="inlineStr">
        <is>
          <t>2025-26 Topps Chrome ACE BAILEY #255 Utah Jazz Basketball</t>
        </is>
      </c>
      <c r="C38" s="3" t="n">
        <v>2.99</v>
      </c>
      <c r="D38" s="3" t="n">
        <v>2.49</v>
      </c>
      <c r="E38" s="3" t="n">
        <v>-0.5</v>
      </c>
      <c r="F38" s="4" t="n">
        <v>-16.7</v>
      </c>
      <c r="G38" s="2" t="inlineStr">
        <is>
          <t>🔵 Floored $2.49 — free ship or $0.99 ship?</t>
        </is>
      </c>
      <c r="H38" s="2" t="inlineStr">
        <is>
          <t>68%</t>
        </is>
      </c>
      <c r="I38" s="2">
        <f>HYPERLINK("https://www.ebay.com/sch/261328/i.html?_dcat=261328&amp;_fsrp=1&amp;rt=nc&amp;_from=R40&amp;_nkw=2025-26%20Topps%20Chrome%20ACE%20BAILEY%20%23255%20Utah%20Jazz%20Basketball&amp;_sacat=0&amp;_sop=15&amp;rt=nc&amp;LH_BIN=1", "Active")</f>
        <v/>
      </c>
      <c r="J38" s="2">
        <f>HYPERLINK("https://www.ebay.com/sch/261328/i.html?_from=R40&amp;_nkw=2025-26%20Topps%20Chrome%20ACE%20BAILEY%20%23255%20Utah%20Jazz%20Basketball&amp;_sacat=0&amp;LH_Sold=1&amp;LH_Complete=1&amp;_sop=13", "Completed")</f>
        <v/>
      </c>
      <c r="K38" s="2" t="inlineStr">
        <is>
          <t>2025-26 Topps Chrome - Ace Bailey #255 (RC)</t>
        </is>
      </c>
    </row>
    <row r="39">
      <c r="A39" s="2" t="inlineStr">
        <is>
          <t>AA-000004-p439g</t>
        </is>
      </c>
      <c r="B39" s="2" t="inlineStr">
        <is>
          <t>2025-26 Topps Chrome GIANNIS ANTETOKOUNMPO #IP-3 Inspirational Milwaukee Bucks</t>
        </is>
      </c>
      <c r="C39" s="3" t="n">
        <v>2.99</v>
      </c>
      <c r="D39" s="3" t="n">
        <v>2.49</v>
      </c>
      <c r="E39" s="3" t="n">
        <v>-0.5</v>
      </c>
      <c r="F39" s="4" t="n">
        <v>-16.7</v>
      </c>
      <c r="G39" s="2" t="inlineStr">
        <is>
          <t>🔵 Floored $2.49 — free ship or $0.99 ship?</t>
        </is>
      </c>
      <c r="H39" s="2" t="inlineStr">
        <is>
          <t>86%</t>
        </is>
      </c>
      <c r="I39" s="2">
        <f>HYPERLINK("https://www.ebay.com/sch/261328/i.html?_dcat=261328&amp;_fsrp=1&amp;rt=nc&amp;_from=R40&amp;_nkw=2025-26%20Topps%20Chrome%20GIANNIS%20ANTETOKOUNMPO%20%23IP-3%20Inspirational%20Milwaukee%20Bucks&amp;_sacat=0&amp;_sop=15&amp;rt=nc&amp;LH_BIN=1", "Active")</f>
        <v/>
      </c>
      <c r="J39" s="2">
        <f>HYPERLINK("https://www.ebay.com/sch/261328/i.html?_from=R40&amp;_nkw=2025-26%20Topps%20Chrome%20GIANNIS%20ANTETOKOUNMPO%20%23IP-3%20Inspirational%20Milwaukee%20Bucks&amp;_sacat=0&amp;LH_Sold=1&amp;LH_Complete=1&amp;_sop=13", "Completed")</f>
        <v/>
      </c>
      <c r="K39" s="2" t="inlineStr">
        <is>
          <t>2025-26 Topps Chrome #IP-3 Giannis Antetokounmpo Inspirational F5</t>
        </is>
      </c>
    </row>
    <row r="40">
      <c r="A40" s="2" t="inlineStr">
        <is>
          <t>AA-000005-p439k</t>
        </is>
      </c>
      <c r="B40" s="2" t="inlineStr">
        <is>
          <t>2025-26 Topps Chrome ASA NEWELL #273 Atlanta Hawks Basketball</t>
        </is>
      </c>
      <c r="C40" s="3" t="n">
        <v>2.99</v>
      </c>
      <c r="D40" s="3" t="n">
        <v>2.49</v>
      </c>
      <c r="E40" s="3" t="n">
        <v>-0.5</v>
      </c>
      <c r="F40" s="4" t="n">
        <v>-16.7</v>
      </c>
      <c r="G40" s="2" t="inlineStr">
        <is>
          <t>🔵 Floored $2.49 — free ship or $0.99 ship?</t>
        </is>
      </c>
      <c r="H40" s="2" t="inlineStr">
        <is>
          <t>65%</t>
        </is>
      </c>
      <c r="I40" s="2">
        <f>HYPERLINK("https://www.ebay.com/sch/261328/i.html?_dcat=261328&amp;_fsrp=1&amp;rt=nc&amp;_from=R40&amp;_nkw=2025-26%20Topps%20Chrome%20ASA%20NEWELL%20%23273%20Atlanta%20Hawks%20Basketball&amp;_sacat=0&amp;_sop=15&amp;rt=nc&amp;LH_BIN=1", "Active")</f>
        <v/>
      </c>
      <c r="J40" s="2">
        <f>HYPERLINK("https://www.ebay.com/sch/261328/i.html?_from=R40&amp;_nkw=2025-26%20Topps%20Chrome%20ASA%20NEWELL%20%23273%20Atlanta%20Hawks%20Basketball&amp;_sacat=0&amp;LH_Sold=1&amp;LH_Complete=1&amp;_sop=13", "Completed")</f>
        <v/>
      </c>
      <c r="K40" s="2" t="inlineStr">
        <is>
          <t>2025-26 Topps Chrome Basketball BASE SINGLES You Pick + 2 Card Min Plz READ!!</t>
        </is>
      </c>
    </row>
    <row r="41">
      <c r="A41" s="2" t="inlineStr">
        <is>
          <t>AA-000007-p439s</t>
        </is>
      </c>
      <c r="B41" s="2" t="inlineStr">
        <is>
          <t>2025-26 Topps Chrome DORIAN FINNEY-SMITH #192 Pulsar Refractor Lakers Basketball</t>
        </is>
      </c>
      <c r="C41" s="3" t="n">
        <v>2.99</v>
      </c>
      <c r="D41" s="3" t="n">
        <v>2.49</v>
      </c>
      <c r="E41" s="3" t="n">
        <v>-0.5</v>
      </c>
      <c r="F41" s="4" t="n">
        <v>-16.7</v>
      </c>
      <c r="G41" s="2" t="inlineStr">
        <is>
          <t>🔵 Floored $2.49 — free ship or $0.99 ship?</t>
        </is>
      </c>
      <c r="H41" s="2" t="inlineStr">
        <is>
          <t>87%</t>
        </is>
      </c>
      <c r="I41" s="2">
        <f>HYPERLINK("https://www.ebay.com/sch/261328/i.html?_dcat=261328&amp;_fsrp=1&amp;rt=nc&amp;_from=R40&amp;_nkw=2025-26%20Topps%20Chrome%20DORIAN%20FINNEY-SMITH%20%23192%20Pulsar%20Refractor%20Lakers%20Basketball&amp;_sacat=0&amp;_sop=15&amp;rt=nc&amp;LH_BIN=1", "Active")</f>
        <v/>
      </c>
      <c r="J41" s="2">
        <f>HYPERLINK("https://www.ebay.com/sch/261328/i.html?_from=R40&amp;_nkw=2025-26%20Topps%20Chrome%20DORIAN%20FINNEY-SMITH%20%23192%20Pulsar%20Refractor%20Lakers%20Basketball&amp;_sacat=0&amp;LH_Sold=1&amp;LH_Complete=1&amp;_sop=13", "Completed")</f>
        <v/>
      </c>
      <c r="K41" s="2" t="inlineStr">
        <is>
          <t>2025-26 Topps Chrome - Dorian Finney-Smith #192 Pulsar Refractor LA Lakers</t>
        </is>
      </c>
    </row>
    <row r="42">
      <c r="A42" s="2" t="inlineStr">
        <is>
          <t>AA-000006-p439o</t>
        </is>
      </c>
      <c r="B42" s="2" t="inlineStr">
        <is>
          <t>2025-26 Topps Chrome DANNY WOLF #277 Brooklyn Nets Basketball</t>
        </is>
      </c>
      <c r="C42" s="3" t="n">
        <v>2.99</v>
      </c>
      <c r="D42" s="3" t="n">
        <v>2.49</v>
      </c>
      <c r="E42" s="3" t="n">
        <v>-0.5</v>
      </c>
      <c r="F42" s="4" t="n">
        <v>-16.7</v>
      </c>
      <c r="G42" s="2" t="inlineStr">
        <is>
          <t>🔵 Floored $2.49 — free ship or $0.99 ship?</t>
        </is>
      </c>
      <c r="H42" s="2" t="inlineStr">
        <is>
          <t>86%</t>
        </is>
      </c>
      <c r="I42" s="2">
        <f>HYPERLINK("https://www.ebay.com/sch/261328/i.html?_dcat=261328&amp;_fsrp=1&amp;rt=nc&amp;_from=R40&amp;_nkw=2025-26%20Topps%20Chrome%20DANNY%20WOLF%20%23277%20Brooklyn%20Nets%20Basketball&amp;_sacat=0&amp;_sop=15&amp;rt=nc&amp;LH_BIN=1", "Active")</f>
        <v/>
      </c>
      <c r="J42" s="2">
        <f>HYPERLINK("https://www.ebay.com/sch/261328/i.html?_from=R40&amp;_nkw=2025-26%20Topps%20Chrome%20DANNY%20WOLF%20%23277%20Brooklyn%20Nets%20Basketball&amp;_sacat=0&amp;LH_Sold=1&amp;LH_Complete=1&amp;_sop=13", "Completed")</f>
        <v/>
      </c>
      <c r="K42" s="2" t="inlineStr">
        <is>
          <t>2025-26 Topps Chrome #277 Danny Wolf Brooklyn Nets</t>
        </is>
      </c>
    </row>
    <row r="43">
      <c r="A43" s="2" t="inlineStr">
        <is>
          <t>AA-000009-p43a0</t>
        </is>
      </c>
      <c r="B43" s="2" t="inlineStr">
        <is>
          <t>2025-26 Topps Chrome VJ EDGECOMBE #253 Philadelphia 76ers Basketball</t>
        </is>
      </c>
      <c r="C43" s="3" t="n">
        <v>5.99</v>
      </c>
      <c r="D43" s="3" t="n">
        <v>2.49</v>
      </c>
      <c r="E43" s="3" t="n">
        <v>-3.5</v>
      </c>
      <c r="F43" s="4" t="n">
        <v>-58.4</v>
      </c>
      <c r="G43" s="2" t="inlineStr">
        <is>
          <t>🔵 Floored $2.49 — free ship or $0.99 ship?</t>
        </is>
      </c>
      <c r="H43" s="2" t="inlineStr">
        <is>
          <t>69%</t>
        </is>
      </c>
      <c r="I43" s="2">
        <f>HYPERLINK("https://www.ebay.com/sch/261328/i.html?_dcat=261328&amp;_fsrp=1&amp;rt=nc&amp;_from=R40&amp;_nkw=2025-26%20Topps%20Chrome%20VJ%20EDGECOMBE%20%23253%20Philadelphia%2076ers%20Basketball&amp;_sacat=0&amp;_sop=15&amp;rt=nc&amp;LH_BIN=1", "Active")</f>
        <v/>
      </c>
      <c r="J43" s="2">
        <f>HYPERLINK("https://www.ebay.com/sch/261328/i.html?_from=R40&amp;_nkw=2025-26%20Topps%20Chrome%20VJ%20EDGECOMBE%20%23253%20Philadelphia%2076ers%20Basketball&amp;_sacat=0&amp;LH_Sold=1&amp;LH_Complete=1&amp;_sop=13", "Completed")</f>
        <v/>
      </c>
      <c r="K43" s="2" t="inlineStr">
        <is>
          <t>2025-26 Topps Chrome #253 VJ Edgecombe</t>
        </is>
      </c>
    </row>
    <row r="44">
      <c r="A44" s="2" t="inlineStr">
        <is>
          <t>AA-000011-p43a7</t>
        </is>
      </c>
      <c r="B44" s="2" t="inlineStr">
        <is>
          <t>2025-26 Topps Chrome NOA ESSENGUE #262 Chicago Bulls Basketball</t>
        </is>
      </c>
      <c r="C44" s="3" t="n">
        <v>2.99</v>
      </c>
      <c r="D44" s="3" t="n">
        <v>2.49</v>
      </c>
      <c r="E44" s="3" t="n">
        <v>-0.5</v>
      </c>
      <c r="F44" s="4" t="n">
        <v>-16.7</v>
      </c>
      <c r="G44" s="2" t="inlineStr">
        <is>
          <t>🔵 Floored $2.49 — free ship or $0.99 ship?</t>
        </is>
      </c>
      <c r="H44" s="2" t="inlineStr">
        <is>
          <t>82%</t>
        </is>
      </c>
      <c r="I44" s="2">
        <f>HYPERLINK("https://www.ebay.com/sch/261328/i.html?_dcat=261328&amp;_fsrp=1&amp;rt=nc&amp;_from=R40&amp;_nkw=2025-26%20Topps%20Chrome%20NOA%20ESSENGUE%20%23262%20Chicago%20Bulls%20Basketball&amp;_sacat=0&amp;_sop=15&amp;rt=nc&amp;LH_BIN=1", "Active")</f>
        <v/>
      </c>
      <c r="J44" s="2">
        <f>HYPERLINK("https://www.ebay.com/sch/261328/i.html?_from=R40&amp;_nkw=2025-26%20Topps%20Chrome%20NOA%20ESSENGUE%20%23262%20Chicago%20Bulls%20Basketball&amp;_sacat=0&amp;LH_Sold=1&amp;LH_Complete=1&amp;_sop=13", "Completed")</f>
        <v/>
      </c>
      <c r="K44" s="2" t="inlineStr">
        <is>
          <t>2025-26 Topps Chrome Basketball BASE SINGLES You Pick + 2 Card Min Plz READ!!</t>
        </is>
      </c>
    </row>
    <row r="45">
      <c r="A45" s="2" t="inlineStr">
        <is>
          <t>AA-000012-p43ab</t>
        </is>
      </c>
      <c r="B45" s="2" t="inlineStr">
        <is>
          <t>2025-26 Topps Chrome JAMES HARDEN #IP-17 Inspirational Los Angeles Clippers</t>
        </is>
      </c>
      <c r="C45" s="3" t="n">
        <v>2.99</v>
      </c>
      <c r="D45" s="3" t="n">
        <v>2.49</v>
      </c>
      <c r="E45" s="3" t="n">
        <v>-0.5</v>
      </c>
      <c r="F45" s="4" t="n">
        <v>-16.7</v>
      </c>
      <c r="G45" s="2" t="inlineStr">
        <is>
          <t>🔵 Floored $2.49 — free ship or $0.99 ship?</t>
        </is>
      </c>
      <c r="H45" s="2" t="inlineStr">
        <is>
          <t>83%</t>
        </is>
      </c>
      <c r="I45" s="2">
        <f>HYPERLINK("https://www.ebay.com/sch/261328/i.html?_dcat=261328&amp;_fsrp=1&amp;rt=nc&amp;_from=R40&amp;_nkw=2025-26%20Topps%20Chrome%20JAMES%20HARDEN%20%23IP-17%20Inspirational%20Los%20Angeles%20Clippers&amp;_sacat=0&amp;_sop=15&amp;rt=nc&amp;LH_BIN=1", "Active")</f>
        <v/>
      </c>
      <c r="J45" s="2">
        <f>HYPERLINK("https://www.ebay.com/sch/261328/i.html?_from=R40&amp;_nkw=2025-26%20Topps%20Chrome%20JAMES%20HARDEN%20%23IP-17%20Inspirational%20Los%20Angeles%20Clippers&amp;_sacat=0&amp;LH_Sold=1&amp;LH_Complete=1&amp;_sop=13", "Completed")</f>
        <v/>
      </c>
      <c r="K45" s="2" t="inlineStr">
        <is>
          <t>James Harden 2025-26 Topps Chrome Inspirational #IP-17 Los Angeles Clippers</t>
        </is>
      </c>
    </row>
    <row r="46">
      <c r="A46" s="5" t="inlineStr">
        <is>
          <t>AA-000014-p43ai</t>
        </is>
      </c>
      <c r="B46" s="5" t="inlineStr">
        <is>
          <t>2025-26 Topps Chrome JASE RICHARDSON #275 Pulsar Ref Orlando Magic Basketball</t>
        </is>
      </c>
      <c r="C46" s="6" t="n">
        <v>2.49</v>
      </c>
      <c r="D46" s="6" t="n">
        <v>3.39</v>
      </c>
      <c r="E46" s="6" t="n">
        <v>0.9</v>
      </c>
      <c r="F46" s="7" t="n">
        <v>36.1</v>
      </c>
      <c r="G46" s="5" t="inlineStr">
        <is>
          <t>⬆ Price Up</t>
        </is>
      </c>
      <c r="H46" s="5" t="inlineStr">
        <is>
          <t>100%</t>
        </is>
      </c>
      <c r="I46" s="5">
        <f>HYPERLINK("https://www.ebay.com/sch/261328/i.html?_dcat=261328&amp;_fsrp=1&amp;rt=nc&amp;_from=R40&amp;_nkw=2025-26%20Topps%20Chrome%20JASE%20RICHARDSON%20%23275%20Pulsar%20Ref%20Orlando%20Magic%20Basketball&amp;_sacat=0&amp;_sop=15&amp;rt=nc&amp;LH_BIN=1", "Active")</f>
        <v/>
      </c>
      <c r="J46" s="5">
        <f>HYPERLINK("https://www.ebay.com/sch/261328/i.html?_from=R40&amp;_nkw=2025-26%20Topps%20Chrome%20JASE%20RICHARDSON%20%23275%20Pulsar%20Ref%20Orlando%20Magic%20Basketball&amp;_sacat=0&amp;LH_Sold=1&amp;LH_Complete=1&amp;_sop=13", "Completed")</f>
        <v/>
      </c>
      <c r="K46" s="5" t="inlineStr">
        <is>
          <t>2025-26 Topps Chrome JASE RICHARDSON #275 Pulsar Ref Orlando Magic Basketball</t>
        </is>
      </c>
    </row>
    <row r="47">
      <c r="A47" s="8" t="inlineStr">
        <is>
          <t>AA-000015-p43al</t>
        </is>
      </c>
      <c r="B47" s="8" t="inlineStr">
        <is>
          <t>2025-26 Topps Chrome RICHAUN HOLMES #236 Pulsar Refractor Washington Wizards</t>
        </is>
      </c>
      <c r="C47" s="9" t="n">
        <v>2.49</v>
      </c>
      <c r="D47" s="9" t="n">
        <v>2.49</v>
      </c>
      <c r="E47" s="9" t="n">
        <v>0</v>
      </c>
      <c r="F47" s="10" t="n">
        <v>0</v>
      </c>
      <c r="G47" s="8" t="inlineStr">
        <is>
          <t>— No Change</t>
        </is>
      </c>
      <c r="H47" s="8" t="inlineStr">
        <is>
          <t>79%</t>
        </is>
      </c>
      <c r="I47" s="8">
        <f>HYPERLINK("https://www.ebay.com/sch/261328/i.html?_dcat=261328&amp;_fsrp=1&amp;rt=nc&amp;_from=R40&amp;_nkw=2025-26%20Topps%20Chrome%20RICHAUN%20HOLMES%20%23236%20Pulsar%20Refractor%20Washington%20Wizards&amp;_sacat=0&amp;_sop=15&amp;rt=nc&amp;LH_BIN=1", "Active")</f>
        <v/>
      </c>
      <c r="J47" s="8">
        <f>HYPERLINK("https://www.ebay.com/sch/261328/i.html?_from=R40&amp;_nkw=2025-26%20Topps%20Chrome%20RICHAUN%20HOLMES%20%23236%20Pulsar%20Refractor%20Washington%20Wizards&amp;_sacat=0&amp;LH_Sold=1&amp;LH_Complete=1&amp;_sop=13", "Completed")</f>
        <v/>
      </c>
      <c r="K47" s="8" t="inlineStr">
        <is>
          <t>Richaun Holmes 2025-26 Topps Chrome Pulsar Refractor #236 Wizards</t>
        </is>
      </c>
    </row>
    <row r="48">
      <c r="A48" s="2" t="inlineStr">
        <is>
          <t>AA-000016-p43ap</t>
        </is>
      </c>
      <c r="B48" s="2" t="inlineStr">
        <is>
          <t>2025-26 Topps Chrome JAMES HARDEN #AC-8 Activators Los Angeles Clippers</t>
        </is>
      </c>
      <c r="C48" s="3" t="n">
        <v>3.49</v>
      </c>
      <c r="D48" s="3" t="n">
        <v>2.49</v>
      </c>
      <c r="E48" s="3" t="n">
        <v>-1</v>
      </c>
      <c r="F48" s="4" t="n">
        <v>-28.7</v>
      </c>
      <c r="G48" s="2" t="inlineStr">
        <is>
          <t>🔵 Floored $2.49 — free ship or $0.99 ship?</t>
        </is>
      </c>
      <c r="H48" s="2" t="inlineStr">
        <is>
          <t>86%</t>
        </is>
      </c>
      <c r="I48" s="2">
        <f>HYPERLINK("https://www.ebay.com/sch/261328/i.html?_dcat=261328&amp;_fsrp=1&amp;rt=nc&amp;_from=R40&amp;_nkw=2025-26%20Topps%20Chrome%20JAMES%20HARDEN%20%23AC-8%20Activators%20Los%20Angeles%20Clippers&amp;_sacat=0&amp;_sop=15&amp;rt=nc&amp;LH_BIN=1", "Active")</f>
        <v/>
      </c>
      <c r="J48" s="2">
        <f>HYPERLINK("https://www.ebay.com/sch/261328/i.html?_from=R40&amp;_nkw=2025-26%20Topps%20Chrome%20JAMES%20HARDEN%20%23AC-8%20Activators%20Los%20Angeles%20Clippers&amp;_sacat=0&amp;LH_Sold=1&amp;LH_Complete=1&amp;_sop=13", "Completed")</f>
        <v/>
      </c>
      <c r="K48" s="2" t="inlineStr">
        <is>
          <t>2025-26 Topps Chrome #AC-8 James Harden Activators Insert Clippers M/NM</t>
        </is>
      </c>
    </row>
    <row r="49">
      <c r="A49" s="2" t="inlineStr">
        <is>
          <t>AA-000018-p43aw</t>
        </is>
      </c>
      <c r="B49" s="2" t="inlineStr">
        <is>
          <t>2025-26 Topps Chrome DONOVAN MITCHELL #BD-7 Ball of Duty Cleveland Cavaliers</t>
        </is>
      </c>
      <c r="C49" s="3" t="n">
        <v>2.99</v>
      </c>
      <c r="D49" s="3" t="n">
        <v>2.49</v>
      </c>
      <c r="E49" s="3" t="n">
        <v>-0.5</v>
      </c>
      <c r="F49" s="4" t="n">
        <v>-16.7</v>
      </c>
      <c r="G49" s="2" t="inlineStr">
        <is>
          <t>🔵 Floored $2.49 — free ship or $0.99 ship?</t>
        </is>
      </c>
      <c r="H49" s="2" t="inlineStr">
        <is>
          <t>89%</t>
        </is>
      </c>
      <c r="I49" s="2">
        <f>HYPERLINK("https://www.ebay.com/sch/261328/i.html?_dcat=261328&amp;_fsrp=1&amp;rt=nc&amp;_from=R40&amp;_nkw=2025-26%20Topps%20Chrome%20DONOVAN%20MITCHELL%20%23BD-7%20Ball%20of%20Duty%20Cleveland%20Cavaliers&amp;_sacat=0&amp;_sop=15&amp;rt=nc&amp;LH_BIN=1", "Active")</f>
        <v/>
      </c>
      <c r="J49" s="2">
        <f>HYPERLINK("https://www.ebay.com/sch/261328/i.html?_from=R40&amp;_nkw=2025-26%20Topps%20Chrome%20DONOVAN%20MITCHELL%20%23BD-7%20Ball%20of%20Duty%20Cleveland%20Cavaliers&amp;_sacat=0&amp;LH_Sold=1&amp;LH_Complete=1&amp;_sop=13", "Completed")</f>
        <v/>
      </c>
      <c r="K49" s="2" t="inlineStr">
        <is>
          <t>2025-26 Topps Chrome Donovan Mitchell Ball of Duty #BD-7 - Cleveland Cavaliers</t>
        </is>
      </c>
    </row>
    <row r="50">
      <c r="A50" s="2" t="inlineStr">
        <is>
          <t>AA-000019-p43b0</t>
        </is>
      </c>
      <c r="B50" s="2" t="inlineStr">
        <is>
          <t>2025-26 Topps Chrome DWYANE WADE #SF-12 Sleek Finishers Miami Heat Basketball</t>
        </is>
      </c>
      <c r="C50" s="3" t="n">
        <v>3.99</v>
      </c>
      <c r="D50" s="3" t="n">
        <v>2.49</v>
      </c>
      <c r="E50" s="3" t="n">
        <v>-1.5</v>
      </c>
      <c r="F50" s="4" t="n">
        <v>-37.6</v>
      </c>
      <c r="G50" s="2" t="inlineStr">
        <is>
          <t>🔵 Floored $2.49 — free ship or $0.99 ship?</t>
        </is>
      </c>
      <c r="H50" s="2" t="inlineStr">
        <is>
          <t>87%</t>
        </is>
      </c>
      <c r="I50" s="2">
        <f>HYPERLINK("https://www.ebay.com/sch/261328/i.html?_dcat=261328&amp;_fsrp=1&amp;rt=nc&amp;_from=R40&amp;_nkw=2025-26%20Topps%20Chrome%20DWYANE%20WADE%20%23SF-12%20Sleek%20Finishers%20Miami%20Heat%20Basketball&amp;_sacat=0&amp;_sop=15&amp;rt=nc&amp;LH_BIN=1", "Active")</f>
        <v/>
      </c>
      <c r="J50" s="2">
        <f>HYPERLINK("https://www.ebay.com/sch/261328/i.html?_from=R40&amp;_nkw=2025-26%20Topps%20Chrome%20DWYANE%20WADE%20%23SF-12%20Sleek%20Finishers%20Miami%20Heat%20Basketball&amp;_sacat=0&amp;LH_Sold=1&amp;LH_Complete=1&amp;_sop=13", "Completed")</f>
        <v/>
      </c>
      <c r="K50" s="2" t="inlineStr">
        <is>
          <t>2025-26 Topps Chrome Sleek Finishers #SF-12 Dwyane Wade Miami Heat</t>
        </is>
      </c>
    </row>
    <row r="51">
      <c r="A51" s="2" t="inlineStr">
        <is>
          <t>AA-000021-p43b8</t>
        </is>
      </c>
      <c r="B51" s="2" t="inlineStr">
        <is>
          <t>2025-26 Topps Chrome KAWHI LEONARD #AC-1 Activators Los Angeles Clippers</t>
        </is>
      </c>
      <c r="C51" s="3" t="n">
        <v>2.99</v>
      </c>
      <c r="D51" s="3" t="n">
        <v>2.49</v>
      </c>
      <c r="E51" s="3" t="n">
        <v>-0.5</v>
      </c>
      <c r="F51" s="4" t="n">
        <v>-16.7</v>
      </c>
      <c r="G51" s="2" t="inlineStr">
        <is>
          <t>🔵 Floored $2.49 — free ship or $0.99 ship?</t>
        </is>
      </c>
      <c r="H51" s="2" t="inlineStr">
        <is>
          <t>84%</t>
        </is>
      </c>
      <c r="I51" s="2">
        <f>HYPERLINK("https://www.ebay.com/sch/261328/i.html?_dcat=261328&amp;_fsrp=1&amp;rt=nc&amp;_from=R40&amp;_nkw=2025-26%20Topps%20Chrome%20KAWHI%20LEONARD%20%23AC-1%20Activators%20Los%20Angeles%20Clippers&amp;_sacat=0&amp;_sop=15&amp;rt=nc&amp;LH_BIN=1", "Active")</f>
        <v/>
      </c>
      <c r="J51" s="2">
        <f>HYPERLINK("https://www.ebay.com/sch/261328/i.html?_from=R40&amp;_nkw=2025-26%20Topps%20Chrome%20KAWHI%20LEONARD%20%23AC-1%20Activators%20Los%20Angeles%20Clippers&amp;_sacat=0&amp;LH_Sold=1&amp;LH_Complete=1&amp;_sop=13", "Completed")</f>
        <v/>
      </c>
      <c r="K51" s="2" t="inlineStr">
        <is>
          <t>2025-26 Topps Chrome - Activators Kawhi Leonard #AC-1</t>
        </is>
      </c>
    </row>
    <row r="52">
      <c r="A52" s="11" t="inlineStr">
        <is>
          <t>AA-000020-p43b5</t>
        </is>
      </c>
      <c r="B52" s="11" t="inlineStr">
        <is>
          <t>2025-26 Topps Chrome DYLAN HARPER #GT-17 Go Time San Antonio Spurs Basketball</t>
        </is>
      </c>
      <c r="C52" s="12" t="n">
        <v>3.99</v>
      </c>
      <c r="D52" s="12" t="n">
        <v>2.69</v>
      </c>
      <c r="E52" s="12" t="n">
        <v>-1.3</v>
      </c>
      <c r="F52" s="13" t="n">
        <v>-32.6</v>
      </c>
      <c r="G52" s="11" t="inlineStr">
        <is>
          <t>⬇ Price Down</t>
        </is>
      </c>
      <c r="H52" s="11" t="inlineStr">
        <is>
          <t>68%</t>
        </is>
      </c>
      <c r="I52" s="11">
        <f>HYPERLINK("https://www.ebay.com/sch/261328/i.html?_dcat=261328&amp;_fsrp=1&amp;rt=nc&amp;_from=R40&amp;_nkw=2025-26%20Topps%20Chrome%20DYLAN%20HARPER%20%23GT-17%20Go%20Time%20San%20Antonio%20Spurs%20Basketball&amp;_sacat=0&amp;_sop=15&amp;rt=nc&amp;LH_BIN=1", "Active")</f>
        <v/>
      </c>
      <c r="J52" s="11">
        <f>HYPERLINK("https://www.ebay.com/sch/261328/i.html?_from=R40&amp;_nkw=2025-26%20Topps%20Chrome%20DYLAN%20HARPER%20%23GT-17%20Go%20Time%20San%20Antonio%20Spurs%20Basketball&amp;_sacat=0&amp;LH_Sold=1&amp;LH_Complete=1&amp;_sop=13", "Completed")</f>
        <v/>
      </c>
      <c r="K52" s="11" t="inlineStr">
        <is>
          <t>2025 Topps Chrome Basketball PICK YOUR CARD *INSERTS* COMPLETE YOUR SET RC Flagg</t>
        </is>
      </c>
    </row>
    <row r="53">
      <c r="A53" s="2" t="inlineStr">
        <is>
          <t>TY-KC000052-k3b69-C31BC4E</t>
        </is>
      </c>
      <c r="B53" s="2" t="inlineStr">
        <is>
          <t>LUKE VOIT 2022 Topps Chrome Sapphire Edition #445 New York Yankees</t>
        </is>
      </c>
      <c r="C53" s="3" t="n">
        <v>3.49</v>
      </c>
      <c r="D53" s="3" t="n">
        <v>2.49</v>
      </c>
      <c r="E53" s="3" t="n">
        <v>-1</v>
      </c>
      <c r="F53" s="4" t="n">
        <v>-28.7</v>
      </c>
      <c r="G53" s="2" t="inlineStr">
        <is>
          <t>🔵 Floored $2.49 — free ship or $0.99 ship?</t>
        </is>
      </c>
      <c r="H53" s="2" t="inlineStr">
        <is>
          <t>88%</t>
        </is>
      </c>
      <c r="I53" s="2">
        <f>HYPERLINK("https://www.ebay.com/sch/261328/i.html?_dcat=261328&amp;_fsrp=1&amp;rt=nc&amp;_from=R40&amp;_nkw=LUKE%20VOIT%202022%20Topps%20Chrome%20Sapphire%20Edition%20%23445%20New%20York%20Yankees&amp;_sacat=0&amp;_sop=15&amp;rt=nc&amp;LH_BIN=1", "Active")</f>
        <v/>
      </c>
      <c r="J53" s="2">
        <f>HYPERLINK("https://www.ebay.com/sch/261328/i.html?_from=R40&amp;_nkw=LUKE%20VOIT%202022%20Topps%20Chrome%20Sapphire%20Edition%20%23445%20New%20York%20Yankees&amp;_sacat=0&amp;LH_Sold=1&amp;LH_Complete=1&amp;_sop=13", "Completed")</f>
        <v/>
      </c>
      <c r="K53" s="2" t="inlineStr">
        <is>
          <t>Luke Voit #445 2022 Topps Chrome Sapphire Edition New York Yankees</t>
        </is>
      </c>
    </row>
    <row r="54">
      <c r="A54" s="5" t="inlineStr">
        <is>
          <t>j7ys7-4ADA285</t>
        </is>
      </c>
      <c r="B54" s="5" t="inlineStr">
        <is>
          <t>2024 Bowman University Chrome LUTHER BURDEN III #55B-1 Tigers</t>
        </is>
      </c>
      <c r="C54" s="6" t="n">
        <v>3.49</v>
      </c>
      <c r="D54" s="6" t="n">
        <v>4.39</v>
      </c>
      <c r="E54" s="6" t="n">
        <v>0.9</v>
      </c>
      <c r="F54" s="7" t="n">
        <v>25.8</v>
      </c>
      <c r="G54" s="5" t="inlineStr">
        <is>
          <t>⬆ Price Up</t>
        </is>
      </c>
      <c r="H54" s="5" t="inlineStr">
        <is>
          <t>100%</t>
        </is>
      </c>
      <c r="I54" s="5">
        <f>HYPERLINK("https://www.ebay.com/sch/261328/i.html?_dcat=261328&amp;_fsrp=1&amp;rt=nc&amp;_from=R40&amp;_nkw=2024%20Bowman%20University%20Chrome%20LUTHER%20BURDEN%20III%20%2355B-1%20Tigers&amp;_sacat=0&amp;_sop=15&amp;rt=nc&amp;LH_BIN=1", "Active")</f>
        <v/>
      </c>
      <c r="J54" s="5">
        <f>HYPERLINK("https://www.ebay.com/sch/261328/i.html?_from=R40&amp;_nkw=2024%20Bowman%20University%20Chrome%20LUTHER%20BURDEN%20III%20%2355B-1%20Tigers&amp;_sacat=0&amp;LH_Sold=1&amp;LH_Complete=1&amp;_sop=13", "Completed")</f>
        <v/>
      </c>
      <c r="K54" s="5" t="inlineStr">
        <is>
          <t>2024 Bowman University Chrome LUTHER BURDEN III #55B-1 Tigers</t>
        </is>
      </c>
    </row>
    <row r="55">
      <c r="A55" s="5" t="inlineStr">
        <is>
          <t>BA-000059-pzphi</t>
        </is>
      </c>
      <c r="B55" s="5" t="inlineStr">
        <is>
          <t>2019 Bowman's Best KYLE TUCKER #43 Houston Astros RC Rookie Football</t>
        </is>
      </c>
      <c r="C55" s="6" t="n">
        <v>3.49</v>
      </c>
      <c r="D55" s="6" t="n">
        <v>4.39</v>
      </c>
      <c r="E55" s="6" t="n">
        <v>0.9</v>
      </c>
      <c r="F55" s="7" t="n">
        <v>25.8</v>
      </c>
      <c r="G55" s="5" t="inlineStr">
        <is>
          <t>⬆ Price Up</t>
        </is>
      </c>
      <c r="H55" s="5" t="inlineStr">
        <is>
          <t>100%</t>
        </is>
      </c>
      <c r="I55" s="5">
        <f>HYPERLINK("https://www.ebay.com/sch/261328/i.html?_dcat=261328&amp;_fsrp=1&amp;rt=nc&amp;_from=R40&amp;_nkw=2019%20Bowman's%20Best%20KYLE%20TUCKER%20%2343%20Houston%20Astros%20RC%20Rookie%20Football&amp;_sacat=0&amp;_sop=15&amp;rt=nc&amp;LH_BIN=1", "Active")</f>
        <v/>
      </c>
      <c r="J55" s="5">
        <f>HYPERLINK("https://www.ebay.com/sch/261328/i.html?_from=R40&amp;_nkw=2019%20Bowman's%20Best%20KYLE%20TUCKER%20%2343%20Houston%20Astros%20RC%20Rookie%20Football&amp;_sacat=0&amp;LH_Sold=1&amp;LH_Complete=1&amp;_sop=13", "Completed")</f>
        <v/>
      </c>
      <c r="K55" s="5" t="inlineStr">
        <is>
          <t>2019 Bowman's Best KYLE TUCKER #43 Houston Astros RC Rookie Football</t>
        </is>
      </c>
    </row>
    <row r="56">
      <c r="A56" s="2" t="inlineStr">
        <is>
          <t>BA-000061-q0oxc</t>
        </is>
      </c>
      <c r="B56" s="2" t="inlineStr">
        <is>
          <t>2022 Bowman Draft 1st Edition MARCELO MAYER #BD-123 Boston Red Sox</t>
        </is>
      </c>
      <c r="C56" s="3" t="n">
        <v>3.49</v>
      </c>
      <c r="D56" s="3" t="n">
        <v>2.49</v>
      </c>
      <c r="E56" s="3" t="n">
        <v>-1</v>
      </c>
      <c r="F56" s="4" t="n">
        <v>-28.7</v>
      </c>
      <c r="G56" s="2" t="inlineStr">
        <is>
          <t>🔵 Floored $2.49 — free ship or $0.99 ship?</t>
        </is>
      </c>
      <c r="H56" s="2" t="inlineStr">
        <is>
          <t>70%</t>
        </is>
      </c>
      <c r="I56" s="2">
        <f>HYPERLINK("https://www.ebay.com/sch/261328/i.html?_dcat=261328&amp;_fsrp=1&amp;rt=nc&amp;_from=R40&amp;_nkw=2022%20Bowman%20Draft%201st%20Edition%20MARCELO%20MAYER%20%23BD-123%20Boston%20Red%20Sox&amp;_sacat=0&amp;_sop=15&amp;rt=nc&amp;LH_BIN=1", "Active")</f>
        <v/>
      </c>
      <c r="J56" s="2">
        <f>HYPERLINK("https://www.ebay.com/sch/261328/i.html?_from=R40&amp;_nkw=2022%20Bowman%20Draft%201st%20Edition%20MARCELO%20MAYER%20%23BD-123%20Boston%20Red%20Sox&amp;_sacat=0&amp;LH_Sold=1&amp;LH_Complete=1&amp;_sop=13", "Completed")</f>
        <v/>
      </c>
      <c r="K56" s="2" t="inlineStr">
        <is>
          <t>Pick Your Card - 2022 Bowman Draft Baseball 1ST EDITION Singles - You Choose</t>
        </is>
      </c>
    </row>
    <row r="57">
      <c r="A57" s="5" t="inlineStr">
        <is>
          <t>FA-000029-q0pwo</t>
        </is>
      </c>
      <c r="B57" s="5" t="inlineStr">
        <is>
          <t>2025 Panini PHOENIX ROQUAN SMITH #96 Blue Hyper Prizm Baltimore Ravens #/199</t>
        </is>
      </c>
      <c r="C57" s="6" t="n">
        <v>6.49</v>
      </c>
      <c r="D57" s="6" t="n">
        <v>7.29</v>
      </c>
      <c r="E57" s="6" t="n">
        <v>0.8</v>
      </c>
      <c r="F57" s="7" t="n">
        <v>12.3</v>
      </c>
      <c r="G57" s="5" t="inlineStr">
        <is>
          <t>⬆ Price Up</t>
        </is>
      </c>
      <c r="H57" s="5" t="inlineStr">
        <is>
          <t>100%</t>
        </is>
      </c>
      <c r="I57" s="5">
        <f>HYPERLINK("https://www.ebay.com/sch/261328/i.html?_dcat=261328&amp;_fsrp=1&amp;rt=nc&amp;_from=R40&amp;_nkw=2025%20Panini%20PHOENIX%20ROQUAN%20SMITH%20%2396%20Blue%20Hyper%20Prizm%20Baltimore%20Ravens%20%23%2F199&amp;_sacat=0&amp;_sop=15&amp;rt=nc&amp;LH_BIN=1", "Active")</f>
        <v/>
      </c>
      <c r="J57" s="5">
        <f>HYPERLINK("https://www.ebay.com/sch/261328/i.html?_from=R40&amp;_nkw=2025%20Panini%20PHOENIX%20ROQUAN%20SMITH%20%2396%20Blue%20Hyper%20Prizm%20Baltimore%20Ravens%20%23%2F199&amp;_sacat=0&amp;LH_Sold=1&amp;LH_Complete=1&amp;_sop=13", "Completed")</f>
        <v/>
      </c>
      <c r="K57" s="5" t="inlineStr">
        <is>
          <t>2025 Panini PHOENIX ROQUAN SMITH #96 Blue Hyper Prizm Baltimore Ravens #/199</t>
        </is>
      </c>
    </row>
    <row r="58">
      <c r="A58" s="5" t="inlineStr">
        <is>
          <t>FA-000028-q0pwn</t>
        </is>
      </c>
      <c r="B58" s="5" t="inlineStr">
        <is>
          <t>2025 Panini PHOENIX SAM DARNOLD #49 Seattle Seahawks Basketball</t>
        </is>
      </c>
      <c r="C58" s="6" t="n">
        <v>3.49</v>
      </c>
      <c r="D58" s="6" t="n">
        <v>4.39</v>
      </c>
      <c r="E58" s="6" t="n">
        <v>0.9</v>
      </c>
      <c r="F58" s="7" t="n">
        <v>25.8</v>
      </c>
      <c r="G58" s="5" t="inlineStr">
        <is>
          <t>⬆ Price Up</t>
        </is>
      </c>
      <c r="H58" s="5" t="inlineStr">
        <is>
          <t>100%</t>
        </is>
      </c>
      <c r="I58" s="5">
        <f>HYPERLINK("https://www.ebay.com/sch/261328/i.html?_dcat=261328&amp;_fsrp=1&amp;rt=nc&amp;_from=R40&amp;_nkw=2025%20Panini%20PHOENIX%20SAM%20DARNOLD%20%2349%20Seattle%20Seahawks%20Basketball&amp;_sacat=0&amp;_sop=15&amp;rt=nc&amp;LH_BIN=1", "Active")</f>
        <v/>
      </c>
      <c r="J58" s="5">
        <f>HYPERLINK("https://www.ebay.com/sch/261328/i.html?_from=R40&amp;_nkw=2025%20Panini%20PHOENIX%20SAM%20DARNOLD%20%2349%20Seattle%20Seahawks%20Basketball&amp;_sacat=0&amp;LH_Sold=1&amp;LH_Complete=1&amp;_sop=13", "Completed")</f>
        <v/>
      </c>
      <c r="K58" s="5" t="inlineStr">
        <is>
          <t>2025 Panini PHOENIX SAM DARNOLD #49 Seattle Seahawks Basketball</t>
        </is>
      </c>
    </row>
    <row r="59">
      <c r="A59" s="2" t="inlineStr">
        <is>
          <t>FA-000030-q0pws</t>
        </is>
      </c>
      <c r="B59" s="2" t="inlineStr">
        <is>
          <t>2025 Panini PHOENIX JOSH ALLEN #129 Buffalo Bills Football</t>
        </is>
      </c>
      <c r="C59" s="3" t="n">
        <v>3.25</v>
      </c>
      <c r="D59" s="3" t="n">
        <v>2.49</v>
      </c>
      <c r="E59" s="3" t="n">
        <v>-0.76</v>
      </c>
      <c r="F59" s="4" t="n">
        <v>-23.4</v>
      </c>
      <c r="G59" s="2" t="inlineStr">
        <is>
          <t>🔵 Floored $2.49 — free ship or $0.99 ship?</t>
        </is>
      </c>
      <c r="H59" s="2" t="inlineStr">
        <is>
          <t>66%</t>
        </is>
      </c>
      <c r="I59" s="2">
        <f>HYPERLINK("https://www.ebay.com/sch/261328/i.html?_dcat=261328&amp;_fsrp=1&amp;rt=nc&amp;_from=R40&amp;_nkw=2025%20Panini%20PHOENIX%20JOSH%20ALLEN%20%23129%20Buffalo%20Bills%20Football&amp;_sacat=0&amp;_sop=15&amp;rt=nc&amp;LH_BIN=1", "Active")</f>
        <v/>
      </c>
      <c r="J59" s="2">
        <f>HYPERLINK("https://www.ebay.com/sch/261328/i.html?_from=R40&amp;_nkw=2025%20Panini%20PHOENIX%20JOSH%20ALLEN%20%23129%20Buffalo%20Bills%20Football&amp;_sacat=0&amp;LH_Sold=1&amp;LH_Complete=1&amp;_sop=13", "Completed")</f>
        <v/>
      </c>
      <c r="K59" s="2" t="inlineStr">
        <is>
          <t>2025 Panini Phoenix NFL Football Singles - Base + Parallels - Pick Your Cards!</t>
        </is>
      </c>
    </row>
    <row r="60">
      <c r="A60" s="2" t="inlineStr">
        <is>
          <t>FA-000031-q0pwt</t>
        </is>
      </c>
      <c r="B60" s="2" t="inlineStr">
        <is>
          <t>2025 Panini PHOENIX BO NIX #83 Denver Broncos Football</t>
        </is>
      </c>
      <c r="C60" s="3" t="n">
        <v>2.99</v>
      </c>
      <c r="D60" s="3" t="n">
        <v>2.49</v>
      </c>
      <c r="E60" s="3" t="n">
        <v>-0.5</v>
      </c>
      <c r="F60" s="4" t="n">
        <v>-16.7</v>
      </c>
      <c r="G60" s="2" t="inlineStr">
        <is>
          <t>🔵 Floored $2.49 — free ship or $0.99 ship?</t>
        </is>
      </c>
      <c r="H60" s="2" t="inlineStr">
        <is>
          <t>63%</t>
        </is>
      </c>
      <c r="I60" s="2">
        <f>HYPERLINK("https://www.ebay.com/sch/261328/i.html?_dcat=261328&amp;_fsrp=1&amp;rt=nc&amp;_from=R40&amp;_nkw=2025%20Panini%20PHOENIX%20BO%20NIX%20%2383%20Denver%20Broncos%20Football&amp;_sacat=0&amp;_sop=15&amp;rt=nc&amp;LH_BIN=1", "Active")</f>
        <v/>
      </c>
      <c r="J60" s="2">
        <f>HYPERLINK("https://www.ebay.com/sch/261328/i.html?_from=R40&amp;_nkw=2025%20Panini%20PHOENIX%20BO%20NIX%20%2383%20Denver%20Broncos%20Football&amp;_sacat=0&amp;LH_Sold=1&amp;LH_Complete=1&amp;_sop=13", "Completed")</f>
        <v/>
      </c>
      <c r="K60" s="2" t="inlineStr">
        <is>
          <t>2025 Panini Phoenix NFL Football Singles - Base + Parallels - Pick Your Cards!</t>
        </is>
      </c>
    </row>
    <row r="61">
      <c r="A61" s="8" t="inlineStr">
        <is>
          <t>FA-000033-q0pwv</t>
        </is>
      </c>
      <c r="B61" s="8" t="inlineStr">
        <is>
          <t>2025 Panini PHOENIX TREVOR LAWRENCE #23 Thunderbirds Jacksonville Jaguars</t>
        </is>
      </c>
      <c r="C61" s="9" t="n">
        <v>2.49</v>
      </c>
      <c r="D61" s="9" t="n">
        <v>2.49</v>
      </c>
      <c r="E61" s="9" t="n">
        <v>0</v>
      </c>
      <c r="F61" s="10" t="n">
        <v>0</v>
      </c>
      <c r="G61" s="8" t="inlineStr">
        <is>
          <t>— No Change</t>
        </is>
      </c>
      <c r="H61" s="8" t="inlineStr">
        <is>
          <t>78%</t>
        </is>
      </c>
      <c r="I61" s="8">
        <f>HYPERLINK("https://www.ebay.com/sch/261328/i.html?_dcat=261328&amp;_fsrp=1&amp;rt=nc&amp;_from=R40&amp;_nkw=2025%20Panini%20PHOENIX%20TREVOR%20LAWRENCE%20%2323%20Thunderbirds%20Jacksonville%20Jaguars&amp;_sacat=0&amp;_sop=15&amp;rt=nc&amp;LH_BIN=1", "Active")</f>
        <v/>
      </c>
      <c r="J61" s="8">
        <f>HYPERLINK("https://www.ebay.com/sch/261328/i.html?_from=R40&amp;_nkw=2025%20Panini%20PHOENIX%20TREVOR%20LAWRENCE%20%2323%20Thunderbirds%20Jacksonville%20Jaguars&amp;_sacat=0&amp;LH_Sold=1&amp;LH_Complete=1&amp;_sop=13", "Completed")</f>
        <v/>
      </c>
      <c r="K61" s="8" t="inlineStr">
        <is>
          <t>Panini 2025 Phoenix Football Thunderbirds Insert Trevor Lawrence #23 Jaguars</t>
        </is>
      </c>
    </row>
    <row r="62">
      <c r="A62" s="5" t="inlineStr">
        <is>
          <t>FA-000033-q0pwu</t>
        </is>
      </c>
      <c r="B62" s="5" t="inlineStr">
        <is>
          <t>2025 Panini PHOENIX TRE HARRIS #160 Red Winter Prizm Los Angeles Chargers #/399</t>
        </is>
      </c>
      <c r="C62" s="6" t="n">
        <v>2.99</v>
      </c>
      <c r="D62" s="6" t="n">
        <v>3.89</v>
      </c>
      <c r="E62" s="6" t="n">
        <v>0.9</v>
      </c>
      <c r="F62" s="7" t="n">
        <v>30.1</v>
      </c>
      <c r="G62" s="5" t="inlineStr">
        <is>
          <t>⬆ Price Up</t>
        </is>
      </c>
      <c r="H62" s="5" t="inlineStr">
        <is>
          <t>100%</t>
        </is>
      </c>
      <c r="I62" s="5">
        <f>HYPERLINK("https://www.ebay.com/sch/261328/i.html?_dcat=261328&amp;_fsrp=1&amp;rt=nc&amp;_from=R40&amp;_nkw=2025%20Panini%20PHOENIX%20TRE%20HARRIS%20%23160%20Red%20Winter%20Prizm%20Los%20Angeles%20Chargers%20%23%2F399&amp;_sacat=0&amp;_sop=15&amp;rt=nc&amp;LH_BIN=1", "Active")</f>
        <v/>
      </c>
      <c r="J62" s="5">
        <f>HYPERLINK("https://www.ebay.com/sch/261328/i.html?_from=R40&amp;_nkw=2025%20Panini%20PHOENIX%20TRE%20HARRIS%20%23160%20Red%20Winter%20Prizm%20Los%20Angeles%20Chargers%20%23%2F399&amp;_sacat=0&amp;LH_Sold=1&amp;LH_Complete=1&amp;_sop=13", "Completed")</f>
        <v/>
      </c>
      <c r="K62" s="5" t="inlineStr">
        <is>
          <t>2025 Panini PHOENIX TRE HARRIS #160 Red Winter Prizm Los Angeles Chargers #/399</t>
        </is>
      </c>
    </row>
    <row r="63">
      <c r="A63" s="2" t="inlineStr">
        <is>
          <t>CDP-E80618A-65C4FB4</t>
        </is>
      </c>
      <c r="B63" s="2" t="inlineStr">
        <is>
          <t>ZAY FLOWERS 2023 Panini Mosaic NFL Debut Reactive Blue Mosaic Rookie #ND-18 RC</t>
        </is>
      </c>
      <c r="C63" s="3" t="n">
        <v>5.49</v>
      </c>
      <c r="D63" s="3" t="n">
        <v>2.49</v>
      </c>
      <c r="E63" s="3" t="n">
        <v>-3</v>
      </c>
      <c r="F63" s="4" t="n">
        <v>-54.6</v>
      </c>
      <c r="G63" s="2" t="inlineStr">
        <is>
          <t>🔵 Floored $2.49 — free ship or $0.99 ship?</t>
        </is>
      </c>
      <c r="H63" s="2" t="inlineStr">
        <is>
          <t>78%</t>
        </is>
      </c>
      <c r="I63" s="2">
        <f>HYPERLINK("https://www.ebay.com/sch/261328/i.html?_dcat=261328&amp;_fsrp=1&amp;rt=nc&amp;_from=R40&amp;_nkw=ZAY%20FLOWERS%202023%20Panini%20Mosaic%20NFL%20Debut%20Reactive%20Blue%20Mosaic%20Rookie%20%23ND-18%20RC&amp;_sacat=0&amp;_sop=15&amp;rt=nc&amp;LH_BIN=1", "Active")</f>
        <v/>
      </c>
      <c r="J63" s="2">
        <f>HYPERLINK("https://www.ebay.com/sch/261328/i.html?_from=R40&amp;_nkw=ZAY%20FLOWERS%202023%20Panini%20Mosaic%20NFL%20Debut%20Reactive%20Blue%20Mosaic%20Rookie%20%23ND-18%20RC&amp;_sacat=0&amp;LH_Sold=1&amp;LH_Complete=1&amp;_sop=13", "Completed")</f>
        <v/>
      </c>
      <c r="K63" s="2" t="inlineStr">
        <is>
          <t>2023 Panini Mosaic NFL Debut Reactive Blue Prizm Zay Flowers #ND-18 Rookie RC</t>
        </is>
      </c>
    </row>
    <row r="64">
      <c r="A64" t="inlineStr">
        <is>
          <t>PA-000003-qbm0n</t>
        </is>
      </c>
      <c r="B64" t="inlineStr">
        <is>
          <t>SV04: PARADOX RIFT SPINDA #151/182</t>
        </is>
      </c>
      <c r="C64" s="14" t="n">
        <v>1.99</v>
      </c>
      <c r="D64" s="14" t="n"/>
      <c r="E64" s="14" t="inlineStr"/>
      <c r="F64" s="15" t="inlineStr"/>
      <c r="G64" t="inlineStr">
        <is>
          <t>? No price data</t>
        </is>
      </c>
      <c r="H64" t="inlineStr">
        <is>
          <t>52%</t>
        </is>
      </c>
      <c r="I64">
        <f>HYPERLINK("https://www.ebay.com/sch/261328/i.html?_dcat=261328&amp;_fsrp=1&amp;rt=nc&amp;_from=R40&amp;_nkw=SV04%3A%20PARADOX%20RIFT%20SPINDA%20%23151%2F182&amp;_sacat=0&amp;_sop=15&amp;rt=nc&amp;LH_BIN=1", "Active")</f>
        <v/>
      </c>
      <c r="J64">
        <f>HYPERLINK("https://www.ebay.com/sch/261328/i.html?_from=R40&amp;_nkw=SV04%3A%20PARADOX%20RIFT%20SPINDA%20%23151%2F182&amp;_sacat=0&amp;LH_Sold=1&amp;LH_Complete=1&amp;_sop=13", "Completed")</f>
        <v/>
      </c>
      <c r="K64" t="inlineStr">
        <is>
          <t>Reverse Holo - 2023 - Pokemon TCG Paradox Rift /182 ($2 Minimum Order Required)</t>
        </is>
      </c>
    </row>
    <row r="65">
      <c r="A65" t="inlineStr">
        <is>
          <t>PA-000007-qbm0r</t>
        </is>
      </c>
      <c r="B65" t="inlineStr">
        <is>
          <t>SV04: PARADOX RIFT MINIOR #099/182</t>
        </is>
      </c>
      <c r="C65" s="14" t="n">
        <v>1.99</v>
      </c>
      <c r="D65" s="14" t="n"/>
      <c r="E65" s="14" t="inlineStr"/>
      <c r="F65" s="15" t="inlineStr"/>
      <c r="G65" t="inlineStr">
        <is>
          <t>? No price data</t>
        </is>
      </c>
      <c r="H65" t="inlineStr">
        <is>
          <t>56%</t>
        </is>
      </c>
      <c r="I65">
        <f>HYPERLINK("https://www.ebay.com/sch/261328/i.html?_dcat=261328&amp;_fsrp=1&amp;rt=nc&amp;_from=R40&amp;_nkw=SV04%3A%20PARADOX%20RIFT%20MINIOR%20%23099%2F182&amp;_sacat=0&amp;_sop=15&amp;rt=nc&amp;LH_BIN=1", "Active")</f>
        <v/>
      </c>
      <c r="J65">
        <f>HYPERLINK("https://www.ebay.com/sch/261328/i.html?_from=R40&amp;_nkw=SV04%3A%20PARADOX%20RIFT%20MINIOR%20%23099%2F182&amp;_sacat=0&amp;LH_Sold=1&amp;LH_Complete=1&amp;_sop=13", "Completed")</f>
        <v/>
      </c>
      <c r="K65" t="inlineStr">
        <is>
          <t>Reverse Holo - 2023 - Pokemon TCG Paradox Rift /182 ($2 Minimum Order Required)</t>
        </is>
      </c>
    </row>
    <row r="66">
      <c r="A66" s="5" t="inlineStr">
        <is>
          <t>PA-000008-qbm0s</t>
        </is>
      </c>
      <c r="B66" s="5" t="inlineStr">
        <is>
          <t>SV04: PARADOX RIFT CROCALOR #024/182</t>
        </is>
      </c>
      <c r="C66" s="6" t="n">
        <v>1.99</v>
      </c>
      <c r="D66" s="6" t="n">
        <v>2.49</v>
      </c>
      <c r="E66" s="6" t="n">
        <v>0.5</v>
      </c>
      <c r="F66" s="7" t="n">
        <v>25.1</v>
      </c>
      <c r="G66" s="5" t="inlineStr">
        <is>
          <t>⬆ Price Up</t>
        </is>
      </c>
      <c r="H66" s="5" t="inlineStr">
        <is>
          <t>60%</t>
        </is>
      </c>
      <c r="I66" s="5">
        <f>HYPERLINK("https://www.ebay.com/sch/261328/i.html?_dcat=261328&amp;_fsrp=1&amp;rt=nc&amp;_from=R40&amp;_nkw=SV04%3A%20PARADOX%20RIFT%20CROCALOR%20%23024%2F182&amp;_sacat=0&amp;_sop=15&amp;rt=nc&amp;LH_BIN=1", "Active")</f>
        <v/>
      </c>
      <c r="J66" s="5">
        <f>HYPERLINK("https://www.ebay.com/sch/261328/i.html?_from=R40&amp;_nkw=SV04%3A%20PARADOX%20RIFT%20CROCALOR%20%23024%2F182&amp;_sacat=0&amp;LH_Sold=1&amp;LH_Complete=1&amp;_sop=13", "Completed")</f>
        <v/>
      </c>
      <c r="K66" s="5" t="inlineStr">
        <is>
          <t>Pokémon TCG Crocalor Paradox Rift SV04 024/182 Uncommon Near Mint</t>
        </is>
      </c>
    </row>
    <row r="67">
      <c r="A67" s="5" t="inlineStr">
        <is>
          <t>PA-000011-qbm0v</t>
        </is>
      </c>
      <c r="B67" s="5" t="inlineStr">
        <is>
          <t>Deck EXCLUSIVES AEGISLASH #134/182</t>
        </is>
      </c>
      <c r="C67" s="6" t="n">
        <v>1.99</v>
      </c>
      <c r="D67" s="6" t="n">
        <v>2.49</v>
      </c>
      <c r="E67" s="6" t="n">
        <v>0.5</v>
      </c>
      <c r="F67" s="7" t="n">
        <v>25.1</v>
      </c>
      <c r="G67" s="5" t="inlineStr">
        <is>
          <t>⬆ Price Up</t>
        </is>
      </c>
      <c r="H67" s="5" t="inlineStr">
        <is>
          <t>90%</t>
        </is>
      </c>
      <c r="I67" s="5">
        <f>HYPERLINK("https://www.ebay.com/sch/261328/i.html?_dcat=261328&amp;_fsrp=1&amp;rt=nc&amp;_from=R40&amp;_nkw=Deck%20EXCLUSIVES%20AEGISLASH%20%23134%2F182&amp;_sacat=0&amp;_sop=15&amp;rt=nc&amp;LH_BIN=1", "Active")</f>
        <v/>
      </c>
      <c r="J67" s="5">
        <f>HYPERLINK("https://www.ebay.com/sch/261328/i.html?_from=R40&amp;_nkw=Deck%20EXCLUSIVES%20AEGISLASH%20%23134%2F182&amp;_sacat=0&amp;LH_Sold=1&amp;LH_Complete=1&amp;_sop=13", "Completed")</f>
        <v/>
      </c>
      <c r="K67" s="5" t="inlineStr">
        <is>
          <t>Deck Exclusives #134/182 Aegislash</t>
        </is>
      </c>
    </row>
    <row r="68">
      <c r="A68" s="5" t="inlineStr">
        <is>
          <t>PA-000016-qbm10</t>
        </is>
      </c>
      <c r="B68" s="5" t="inlineStr">
        <is>
          <t>SV04: PARADOX RIFT NATU #071/182</t>
        </is>
      </c>
      <c r="C68" s="6" t="n">
        <v>1.99</v>
      </c>
      <c r="D68" s="6" t="n">
        <v>2.49</v>
      </c>
      <c r="E68" s="6" t="n">
        <v>0.5</v>
      </c>
      <c r="F68" s="7" t="n">
        <v>25.1</v>
      </c>
      <c r="G68" s="5" t="inlineStr">
        <is>
          <t>⬆ Price Up</t>
        </is>
      </c>
      <c r="H68" s="5" t="inlineStr">
        <is>
          <t>65%</t>
        </is>
      </c>
      <c r="I68" s="5">
        <f>HYPERLINK("https://www.ebay.com/sch/261328/i.html?_dcat=261328&amp;_fsrp=1&amp;rt=nc&amp;_from=R40&amp;_nkw=SV04%3A%20PARADOX%20RIFT%20NATU%20%23071%2F182&amp;_sacat=0&amp;_sop=15&amp;rt=nc&amp;LH_BIN=1", "Active")</f>
        <v/>
      </c>
      <c r="J68" s="5">
        <f>HYPERLINK("https://www.ebay.com/sch/261328/i.html?_from=R40&amp;_nkw=SV04%3A%20PARADOX%20RIFT%20NATU%20%23071%2F182&amp;_sacat=0&amp;LH_Sold=1&amp;LH_Complete=1&amp;_sop=13", "Completed")</f>
        <v/>
      </c>
      <c r="K68" s="5" t="inlineStr">
        <is>
          <t>Natu 071/182 SV04: Paradox Rift</t>
        </is>
      </c>
    </row>
    <row r="69">
      <c r="A69" t="inlineStr">
        <is>
          <t>PA-000014-qbm0y</t>
        </is>
      </c>
      <c r="B69" t="inlineStr">
        <is>
          <t>SV04: PARADOX RIFT PUMPKABOO #077/182</t>
        </is>
      </c>
      <c r="C69" s="14" t="n">
        <v>2.49</v>
      </c>
      <c r="D69" s="14" t="n"/>
      <c r="E69" s="14" t="inlineStr"/>
      <c r="F69" s="15" t="inlineStr"/>
      <c r="G69" t="inlineStr">
        <is>
          <t>? No price data</t>
        </is>
      </c>
      <c r="H69" t="inlineStr">
        <is>
          <t>48%</t>
        </is>
      </c>
      <c r="I69">
        <f>HYPERLINK("https://www.ebay.com/sch/261328/i.html?_dcat=261328&amp;_fsrp=1&amp;rt=nc&amp;_from=R40&amp;_nkw=SV04%3A%20PARADOX%20RIFT%20PUMPKABOO%20%23077%2F182&amp;_sacat=0&amp;_sop=15&amp;rt=nc&amp;LH_BIN=1", "Active")</f>
        <v/>
      </c>
      <c r="J69">
        <f>HYPERLINK("https://www.ebay.com/sch/261328/i.html?_from=R40&amp;_nkw=SV04%3A%20PARADOX%20RIFT%20PUMPKABOO%20%23077%2F182&amp;_sacat=0&amp;LH_Sold=1&amp;LH_Complete=1&amp;_sop=13", "Completed")</f>
        <v/>
      </c>
      <c r="K69" t="inlineStr">
        <is>
          <t>Pokemon Paradox Temporal Stellar Evolved Obsidian Reverse Holo Choose Your Cards</t>
        </is>
      </c>
    </row>
    <row r="70">
      <c r="A70" s="5" t="inlineStr">
        <is>
          <t>PA-000015-qbm0z</t>
        </is>
      </c>
      <c r="B70" s="5" t="inlineStr">
        <is>
          <t>SV04: PARADOX RIFT ZUBAT #110/182</t>
        </is>
      </c>
      <c r="C70" s="6" t="n">
        <v>1.99</v>
      </c>
      <c r="D70" s="6" t="n">
        <v>2.49</v>
      </c>
      <c r="E70" s="6" t="n">
        <v>0.5</v>
      </c>
      <c r="F70" s="7" t="n">
        <v>25.1</v>
      </c>
      <c r="G70" s="5" t="inlineStr">
        <is>
          <t>⬆ Price Up</t>
        </is>
      </c>
      <c r="H70" s="5" t="inlineStr">
        <is>
          <t>68%</t>
        </is>
      </c>
      <c r="I70" s="5">
        <f>HYPERLINK("https://www.ebay.com/sch/261328/i.html?_dcat=261328&amp;_fsrp=1&amp;rt=nc&amp;_from=R40&amp;_nkw=SV04%3A%20PARADOX%20RIFT%20ZUBAT%20%23110%2F182&amp;_sacat=0&amp;_sop=15&amp;rt=nc&amp;LH_BIN=1", "Active")</f>
        <v/>
      </c>
      <c r="J70" s="5">
        <f>HYPERLINK("https://www.ebay.com/sch/261328/i.html?_from=R40&amp;_nkw=SV04%3A%20PARADOX%20RIFT%20ZUBAT%20%23110%2F182&amp;_sacat=0&amp;LH_Sold=1&amp;LH_Complete=1&amp;_sop=13", "Completed")</f>
        <v/>
      </c>
      <c r="K70" s="5" t="inlineStr">
        <is>
          <t>Zubat 110/182 SV04: Paradox Rift Regular</t>
        </is>
      </c>
    </row>
    <row r="71">
      <c r="A71" s="5" t="inlineStr">
        <is>
          <t>PA-000017-qbm11</t>
        </is>
      </c>
      <c r="B71" s="5" t="inlineStr">
        <is>
          <t>SV04: PARADOX RIFT PURRLOIN #114/182</t>
        </is>
      </c>
      <c r="C71" s="6" t="n">
        <v>1.99</v>
      </c>
      <c r="D71" s="6" t="n">
        <v>2.49</v>
      </c>
      <c r="E71" s="6" t="n">
        <v>0.5</v>
      </c>
      <c r="F71" s="7" t="n">
        <v>25.1</v>
      </c>
      <c r="G71" s="5" t="inlineStr">
        <is>
          <t>⬆ Price Up</t>
        </is>
      </c>
      <c r="H71" s="5" t="inlineStr">
        <is>
          <t>62%</t>
        </is>
      </c>
      <c r="I71" s="5">
        <f>HYPERLINK("https://www.ebay.com/sch/261328/i.html?_dcat=261328&amp;_fsrp=1&amp;rt=nc&amp;_from=R40&amp;_nkw=SV04%3A%20PARADOX%20RIFT%20PURRLOIN%20%23114%2F182&amp;_sacat=0&amp;_sop=15&amp;rt=nc&amp;LH_BIN=1", "Active")</f>
        <v/>
      </c>
      <c r="J71" s="5">
        <f>HYPERLINK("https://www.ebay.com/sch/261328/i.html?_from=R40&amp;_nkw=SV04%3A%20PARADOX%20RIFT%20PURRLOIN%20%23114%2F182&amp;_sacat=0&amp;LH_Sold=1&amp;LH_Complete=1&amp;_sop=13", "Completed")</f>
        <v/>
      </c>
      <c r="K71" s="5" t="inlineStr">
        <is>
          <t>Pokemon - Purrloin - 114/182 - Paradox Rift - Reverse Holo</t>
        </is>
      </c>
    </row>
    <row r="72">
      <c r="A72" s="5" t="inlineStr">
        <is>
          <t>PA-000020-qbm14</t>
        </is>
      </c>
      <c r="B72" s="5" t="inlineStr">
        <is>
          <t>PRIZE PACK Series Cards Professor Sada's Vitality #170/182</t>
        </is>
      </c>
      <c r="C72" s="6" t="n">
        <v>1.99</v>
      </c>
      <c r="D72" s="6" t="n">
        <v>2.49</v>
      </c>
      <c r="E72" s="6" t="n">
        <v>0.5</v>
      </c>
      <c r="F72" s="7" t="n">
        <v>25.1</v>
      </c>
      <c r="G72" s="5" t="inlineStr">
        <is>
          <t>⬆ Price Up</t>
        </is>
      </c>
      <c r="H72" s="5" t="inlineStr">
        <is>
          <t>80%</t>
        </is>
      </c>
      <c r="I72" s="5">
        <f>HYPERLINK("https://www.ebay.com/sch/261328/i.html?_dcat=261328&amp;_fsrp=1&amp;rt=nc&amp;_from=R40&amp;_nkw=PRIZE%20PACK%20Series%20Cards%20Professor%20Sada's%20Vitality%20%23170%2F182&amp;_sacat=0&amp;_sop=15&amp;rt=nc&amp;LH_BIN=1", "Active")</f>
        <v/>
      </c>
      <c r="J72" s="5">
        <f>HYPERLINK("https://www.ebay.com/sch/261328/i.html?_from=R40&amp;_nkw=PRIZE%20PACK%20Series%20Cards%20Professor%20Sada's%20Vitality%20%23170%2F182&amp;_sacat=0&amp;LH_Sold=1&amp;LH_Complete=1&amp;_sop=13", "Completed")</f>
        <v/>
      </c>
      <c r="K72" s="5" t="inlineStr">
        <is>
          <t>Professor Sada's Vitality Uncommon Prize Pack Series Cards 170/182 NM</t>
        </is>
      </c>
    </row>
    <row r="73">
      <c r="A73" s="2" t="inlineStr">
        <is>
          <t>PA-000023-qbm17</t>
        </is>
      </c>
      <c r="B73" s="2" t="inlineStr">
        <is>
          <t>Deck EXCLUSIVES XATU #072/182</t>
        </is>
      </c>
      <c r="C73" s="3" t="n">
        <v>2.99</v>
      </c>
      <c r="D73" s="3" t="n">
        <v>2.49</v>
      </c>
      <c r="E73" s="3" t="n">
        <v>-0.5</v>
      </c>
      <c r="F73" s="4" t="n">
        <v>-16.7</v>
      </c>
      <c r="G73" s="2" t="inlineStr">
        <is>
          <t>🔵 Floored $2.49 — free ship or $0.99 ship?</t>
        </is>
      </c>
      <c r="H73" s="2" t="inlineStr">
        <is>
          <t>73%</t>
        </is>
      </c>
      <c r="I73" s="2">
        <f>HYPERLINK("https://www.ebay.com/sch/261328/i.html?_dcat=261328&amp;_fsrp=1&amp;rt=nc&amp;_from=R40&amp;_nkw=Deck%20EXCLUSIVES%20XATU%20%23072%2F182&amp;_sacat=0&amp;_sop=15&amp;rt=nc&amp;LH_BIN=1", "Active")</f>
        <v/>
      </c>
      <c r="J73" s="2">
        <f>HYPERLINK("https://www.ebay.com/sch/261328/i.html?_from=R40&amp;_nkw=Deck%20EXCLUSIVES%20XATU%20%23072%2F182&amp;_sacat=0&amp;LH_Sold=1&amp;LH_Complete=1&amp;_sop=13", "Completed")</f>
        <v/>
      </c>
      <c r="K73" s="2" t="inlineStr">
        <is>
          <t>Xatu - 072/182 Deck Exclusives Holo NM</t>
        </is>
      </c>
    </row>
    <row r="74">
      <c r="A74" t="inlineStr">
        <is>
          <t>PA-000022-qbm16</t>
        </is>
      </c>
      <c r="B74" t="inlineStr">
        <is>
          <t>SV04: PARADOX RIFT STEELIX #125/182</t>
        </is>
      </c>
      <c r="C74" s="14" t="n">
        <v>2.49</v>
      </c>
      <c r="D74" s="14" t="n"/>
      <c r="E74" s="14" t="inlineStr"/>
      <c r="F74" s="15" t="inlineStr"/>
      <c r="G74" t="inlineStr">
        <is>
          <t>? No price data</t>
        </is>
      </c>
      <c r="H74" t="inlineStr">
        <is>
          <t>53%</t>
        </is>
      </c>
      <c r="I74">
        <f>HYPERLINK("https://www.ebay.com/sch/261328/i.html?_dcat=261328&amp;_fsrp=1&amp;rt=nc&amp;_from=R40&amp;_nkw=SV04%3A%20PARADOX%20RIFT%20STEELIX%20%23125%2F182&amp;_sacat=0&amp;_sop=15&amp;rt=nc&amp;LH_BIN=1", "Active")</f>
        <v/>
      </c>
      <c r="J74">
        <f>HYPERLINK("https://www.ebay.com/sch/261328/i.html?_from=R40&amp;_nkw=SV04%3A%20PARADOX%20RIFT%20STEELIX%20%23125%2F182&amp;_sacat=0&amp;LH_Sold=1&amp;LH_Complete=1&amp;_sop=13", "Completed")</f>
        <v/>
      </c>
      <c r="K74" t="inlineStr">
        <is>
          <t>Holo Rare - 2023 - Pokemon TCG Paradox Rift /182 ($2 Minimum Order Required)</t>
        </is>
      </c>
    </row>
    <row r="75">
      <c r="A75" t="inlineStr">
        <is>
          <t>PA-000004-qbm0o</t>
        </is>
      </c>
      <c r="B75" t="inlineStr">
        <is>
          <t>SV04: PARADOX RIFT TINKATINK #082/182</t>
        </is>
      </c>
      <c r="C75" s="14" t="n">
        <v>2.49</v>
      </c>
      <c r="D75" s="14" t="n"/>
      <c r="E75" s="14" t="inlineStr"/>
      <c r="F75" s="15" t="inlineStr"/>
      <c r="G75" t="inlineStr">
        <is>
          <t>? No price data</t>
        </is>
      </c>
      <c r="H75" t="inlineStr">
        <is>
          <t>46%</t>
        </is>
      </c>
      <c r="I75">
        <f>HYPERLINK("https://www.ebay.com/sch/261328/i.html?_dcat=261328&amp;_fsrp=1&amp;rt=nc&amp;_from=R40&amp;_nkw=SV04%3A%20PARADOX%20RIFT%20TINKATINK%20%23082%2F182&amp;_sacat=0&amp;_sop=15&amp;rt=nc&amp;LH_BIN=1", "Active")</f>
        <v/>
      </c>
      <c r="J75">
        <f>HYPERLINK("https://www.ebay.com/sch/261328/i.html?_from=R40&amp;_nkw=SV04%3A%20PARADOX%20RIFT%20TINKATINK%20%23082%2F182&amp;_sacat=0&amp;LH_Sold=1&amp;LH_Complete=1&amp;_sop=13", "Completed")</f>
        <v/>
      </c>
      <c r="K75" t="inlineStr">
        <is>
          <t>Pokemon Paradox Temporal Stellar Evolved Obsidian Reverse Holo Choose Your Cards</t>
        </is>
      </c>
    </row>
    <row r="76">
      <c r="A76" t="inlineStr">
        <is>
          <t>PA-000001-qbm0l</t>
        </is>
      </c>
      <c r="B76" t="inlineStr">
        <is>
          <t>SV02: PALDEA EVOLVED SHROODLE #144/193</t>
        </is>
      </c>
      <c r="C76" s="14" t="n">
        <v>3.49</v>
      </c>
      <c r="D76" s="14" t="n"/>
      <c r="E76" s="14" t="inlineStr"/>
      <c r="F76" s="15" t="inlineStr"/>
      <c r="G76" t="inlineStr">
        <is>
          <t>? No price data</t>
        </is>
      </c>
      <c r="H76" t="inlineStr">
        <is>
          <t>52%</t>
        </is>
      </c>
      <c r="I76">
        <f>HYPERLINK("https://www.ebay.com/sch/261328/i.html?_dcat=261328&amp;_fsrp=1&amp;rt=nc&amp;_from=R40&amp;_nkw=SV02%3A%20PALDEA%20EVOLVED%20SHROODLE%20%23144%2F193&amp;_sacat=0&amp;_sop=15&amp;rt=nc&amp;LH_BIN=1", "Active")</f>
        <v/>
      </c>
      <c r="J76">
        <f>HYPERLINK("https://www.ebay.com/sch/261328/i.html?_from=R40&amp;_nkw=SV02%3A%20PALDEA%20EVOLVED%20SHROODLE%20%23144%2F193&amp;_sacat=0&amp;LH_Sold=1&amp;LH_Complete=1&amp;_sop=13", "Completed")</f>
        <v/>
      </c>
      <c r="K76" t="inlineStr">
        <is>
          <t>(2 Card Minimum) - Pokemon: Paldea Evolved - Bulk Discounts!</t>
        </is>
      </c>
    </row>
    <row r="77">
      <c r="A77" s="8" t="inlineStr">
        <is>
          <t>PA-000009-qbm0t</t>
        </is>
      </c>
      <c r="B77" s="8" t="inlineStr">
        <is>
          <t>SV04: PARADOX RIFT YAMASK #075/182</t>
        </is>
      </c>
      <c r="C77" s="9" t="n">
        <v>2.49</v>
      </c>
      <c r="D77" s="9" t="n">
        <v>2.49</v>
      </c>
      <c r="E77" s="9" t="n">
        <v>0</v>
      </c>
      <c r="F77" s="10" t="n">
        <v>0</v>
      </c>
      <c r="G77" s="8" t="inlineStr">
        <is>
          <t>— No Change</t>
        </is>
      </c>
      <c r="H77" s="8" t="inlineStr">
        <is>
          <t>61%</t>
        </is>
      </c>
      <c r="I77" s="8">
        <f>HYPERLINK("https://www.ebay.com/sch/261328/i.html?_dcat=261328&amp;_fsrp=1&amp;rt=nc&amp;_from=R40&amp;_nkw=SV04%3A%20PARADOX%20RIFT%20YAMASK%20%23075%2F182&amp;_sacat=0&amp;_sop=15&amp;rt=nc&amp;LH_BIN=1", "Active")</f>
        <v/>
      </c>
      <c r="J77" s="8">
        <f>HYPERLINK("https://www.ebay.com/sch/261328/i.html?_from=R40&amp;_nkw=SV04%3A%20PARADOX%20RIFT%20YAMASK%20%23075%2F182&amp;_sacat=0&amp;LH_Sold=1&amp;LH_Complete=1&amp;_sop=13", "Completed")</f>
        <v/>
      </c>
      <c r="K77" s="8" t="inlineStr">
        <is>
          <t>Pokémon TCG Yamask Paradox Rift SV04 075/182 Common Near Mint</t>
        </is>
      </c>
    </row>
    <row r="78">
      <c r="A78" t="inlineStr">
        <is>
          <t>PA-000010-qbm0u</t>
        </is>
      </c>
      <c r="B78" t="inlineStr">
        <is>
          <t>SV04: PARADOX RIFT EXPLOUD #150/182</t>
        </is>
      </c>
      <c r="C78" s="14" t="n">
        <v>2.49</v>
      </c>
      <c r="D78" s="14" t="n"/>
      <c r="E78" s="14" t="inlineStr"/>
      <c r="F78" s="15" t="inlineStr"/>
      <c r="G78" t="inlineStr">
        <is>
          <t>? No price data</t>
        </is>
      </c>
      <c r="H78" t="inlineStr">
        <is>
          <t>57%</t>
        </is>
      </c>
      <c r="I78">
        <f>HYPERLINK("https://www.ebay.com/sch/261328/i.html?_dcat=261328&amp;_fsrp=1&amp;rt=nc&amp;_from=R40&amp;_nkw=SV04%3A%20PARADOX%20RIFT%20EXPLOUD%20%23150%2F182&amp;_sacat=0&amp;_sop=15&amp;rt=nc&amp;LH_BIN=1", "Active")</f>
        <v/>
      </c>
      <c r="J78">
        <f>HYPERLINK("https://www.ebay.com/sch/261328/i.html?_from=R40&amp;_nkw=SV04%3A%20PARADOX%20RIFT%20EXPLOUD%20%23150%2F182&amp;_sacat=0&amp;LH_Sold=1&amp;LH_Complete=1&amp;_sop=13", "Completed")</f>
        <v/>
      </c>
      <c r="K78" t="inlineStr">
        <is>
          <t>Paradox Rift (#090-#182) | CHOOSE YOUR CARD | Pokemon TCG</t>
        </is>
      </c>
    </row>
    <row r="79">
      <c r="A79" t="inlineStr">
        <is>
          <t>PA-000012-qbm0w</t>
        </is>
      </c>
      <c r="B79" t="inlineStr">
        <is>
          <t>SVE: SCARLET &amp; Violet Energies Basic Darkness Energy #007</t>
        </is>
      </c>
      <c r="C79" s="14" t="n">
        <v>1.99</v>
      </c>
      <c r="D79" s="14" t="n"/>
      <c r="E79" s="14" t="inlineStr"/>
      <c r="F79" s="15" t="inlineStr"/>
      <c r="G79" t="inlineStr">
        <is>
          <t>? No price data</t>
        </is>
      </c>
      <c r="H79" t="inlineStr">
        <is>
          <t>56%</t>
        </is>
      </c>
      <c r="I79">
        <f>HYPERLINK("https://www.ebay.com/sch/261328/i.html?_dcat=261328&amp;_fsrp=1&amp;rt=nc&amp;_from=R40&amp;_nkw=SVE%3A%20SCARLET%20%26%20Violet%20Energies%20Basic%20Darkness%20Energy%20%23007&amp;_sacat=0&amp;_sop=15&amp;rt=nc&amp;LH_BIN=1", "Active")</f>
        <v/>
      </c>
      <c r="J79">
        <f>HYPERLINK("https://www.ebay.com/sch/261328/i.html?_from=R40&amp;_nkw=SVE%3A%20SCARLET%20%26%20Violet%20Energies%20Basic%20Darkness%20Energy%20%23007&amp;_sacat=0&amp;LH_Sold=1&amp;LH_Complete=1&amp;_sop=13", "Completed")</f>
        <v/>
      </c>
      <c r="K79" t="inlineStr">
        <is>
          <t>(2 Card Minimum) - Pokemon TCG - Basic Energy Cards - Bulk Discounts!</t>
        </is>
      </c>
    </row>
    <row r="80">
      <c r="A80" t="inlineStr">
        <is>
          <t>PA-000013-qbm0x</t>
        </is>
      </c>
      <c r="B80" t="inlineStr">
        <is>
          <t>SVE: SCARLET &amp; Violet Energies Basic Metal Energy #008</t>
        </is>
      </c>
      <c r="C80" s="14" t="n">
        <v>1.99</v>
      </c>
      <c r="D80" s="14" t="n"/>
      <c r="E80" s="14" t="inlineStr"/>
      <c r="F80" s="15" t="inlineStr"/>
      <c r="G80" t="inlineStr">
        <is>
          <t>? No price data</t>
        </is>
      </c>
      <c r="H80" t="inlineStr">
        <is>
          <t>56%</t>
        </is>
      </c>
      <c r="I80">
        <f>HYPERLINK("https://www.ebay.com/sch/261328/i.html?_dcat=261328&amp;_fsrp=1&amp;rt=nc&amp;_from=R40&amp;_nkw=SVE%3A%20SCARLET%20%26%20Violet%20Energies%20Basic%20Metal%20Energy%20%23008&amp;_sacat=0&amp;_sop=15&amp;rt=nc&amp;LH_BIN=1", "Active")</f>
        <v/>
      </c>
      <c r="J80">
        <f>HYPERLINK("https://www.ebay.com/sch/261328/i.html?_from=R40&amp;_nkw=SVE%3A%20SCARLET%20%26%20Violet%20Energies%20Basic%20Metal%20Energy%20%23008&amp;_sacat=0&amp;LH_Sold=1&amp;LH_Complete=1&amp;_sop=13", "Completed")</f>
        <v/>
      </c>
      <c r="K80" t="inlineStr">
        <is>
          <t>(2 Card Minimum) - Pokemon TCG - Basic Energy Cards - Bulk Discounts!</t>
        </is>
      </c>
    </row>
    <row r="81">
      <c r="A81" t="inlineStr">
        <is>
          <t>PA-000018-qbm12</t>
        </is>
      </c>
      <c r="B81" t="inlineStr">
        <is>
          <t>SV04: PARADOX RIFT RIKA #172/182</t>
        </is>
      </c>
      <c r="C81" s="14" t="n">
        <v>1.99</v>
      </c>
      <c r="D81" s="14" t="n"/>
      <c r="E81" s="14" t="inlineStr"/>
      <c r="F81" s="15" t="inlineStr"/>
      <c r="G81" t="inlineStr">
        <is>
          <t>? No price data</t>
        </is>
      </c>
      <c r="H81" t="inlineStr">
        <is>
          <t>58%</t>
        </is>
      </c>
      <c r="I81">
        <f>HYPERLINK("https://www.ebay.com/sch/261328/i.html?_dcat=261328&amp;_fsrp=1&amp;rt=nc&amp;_from=R40&amp;_nkw=SV04%3A%20PARADOX%20RIFT%20RIKA%20%23172%2F182&amp;_sacat=0&amp;_sop=15&amp;rt=nc&amp;LH_BIN=1", "Active")</f>
        <v/>
      </c>
      <c r="J81">
        <f>HYPERLINK("https://www.ebay.com/sch/261328/i.html?_from=R40&amp;_nkw=SV04%3A%20PARADOX%20RIFT%20RIKA%20%23172%2F182&amp;_sacat=0&amp;LH_Sold=1&amp;LH_Complete=1&amp;_sop=13", "Completed")</f>
        <v/>
      </c>
      <c r="K81" t="inlineStr">
        <is>
          <t>Pokémon TCG Rika Paradox Rift SV04 172/182 Uncommon Near Mint</t>
        </is>
      </c>
    </row>
    <row r="82">
      <c r="A82" s="2" t="inlineStr">
        <is>
          <t>PA-000021-qbm15</t>
        </is>
      </c>
      <c r="B82" s="2" t="inlineStr">
        <is>
          <t>SV04: PARADOX RIFT SLITHER WING #107/182</t>
        </is>
      </c>
      <c r="C82" s="3" t="n">
        <v>4.49</v>
      </c>
      <c r="D82" s="3" t="n">
        <v>2.49</v>
      </c>
      <c r="E82" s="3" t="n">
        <v>-2</v>
      </c>
      <c r="F82" s="4" t="n">
        <v>-44.5</v>
      </c>
      <c r="G82" s="2" t="inlineStr">
        <is>
          <t>🔵 Floored $2.49 — free ship or $0.99 ship?</t>
        </is>
      </c>
      <c r="H82" s="2" t="inlineStr">
        <is>
          <t>63%</t>
        </is>
      </c>
      <c r="I82" s="2">
        <f>HYPERLINK("https://www.ebay.com/sch/261328/i.html?_dcat=261328&amp;_fsrp=1&amp;rt=nc&amp;_from=R40&amp;_nkw=SV04%3A%20PARADOX%20RIFT%20SLITHER%20WING%20%23107%2F182&amp;_sacat=0&amp;_sop=15&amp;rt=nc&amp;LH_BIN=1", "Active")</f>
        <v/>
      </c>
      <c r="J82" s="2">
        <f>HYPERLINK("https://www.ebay.com/sch/261328/i.html?_from=R40&amp;_nkw=SV04%3A%20PARADOX%20RIFT%20SLITHER%20WING%20%23107%2F182&amp;_sacat=0&amp;LH_Sold=1&amp;LH_Complete=1&amp;_sop=13", "Completed")</f>
        <v/>
      </c>
      <c r="K82" s="2" t="inlineStr">
        <is>
          <t>Pokémon TCG Slither Wing Paradox Rift SV04 107/182 Uncommon Near Mint</t>
        </is>
      </c>
    </row>
    <row r="83">
      <c r="A83" s="5" t="inlineStr">
        <is>
          <t>BA-000047-qdwfo</t>
        </is>
      </c>
      <c r="B83" s="5" t="inlineStr">
        <is>
          <t>2015 Bowman Draft #75 Kyle Tucker RC Rookie Astros Cubs Dodgers Football</t>
        </is>
      </c>
      <c r="C83" s="6" t="n">
        <v>2.99</v>
      </c>
      <c r="D83" s="6" t="n">
        <v>3.89</v>
      </c>
      <c r="E83" s="6" t="n">
        <v>0.9</v>
      </c>
      <c r="F83" s="7" t="n">
        <v>30.1</v>
      </c>
      <c r="G83" s="5" t="inlineStr">
        <is>
          <t>⬆ Price Up</t>
        </is>
      </c>
      <c r="H83" s="5" t="inlineStr">
        <is>
          <t>100%</t>
        </is>
      </c>
      <c r="I83" s="5">
        <f>HYPERLINK("https://www.ebay.com/sch/261328/i.html?_dcat=261328&amp;_fsrp=1&amp;rt=nc&amp;_from=R40&amp;_nkw=2015%20Bowman%20Draft%20%2375%20Kyle%20Tucker%20RC%20Rookie%20Astros%20Cubs%20Dodgers%20Football&amp;_sacat=0&amp;_sop=15&amp;rt=nc&amp;LH_BIN=1", "Active")</f>
        <v/>
      </c>
      <c r="J83" s="5">
        <f>HYPERLINK("https://www.ebay.com/sch/261328/i.html?_from=R40&amp;_nkw=2015%20Bowman%20Draft%20%2375%20Kyle%20Tucker%20RC%20Rookie%20Astros%20Cubs%20Dodgers%20Football&amp;_sacat=0&amp;LH_Sold=1&amp;LH_Complete=1&amp;_sop=13", "Completed")</f>
        <v/>
      </c>
      <c r="K83" s="5" t="inlineStr">
        <is>
          <t>2015 Bowman Draft #75 Kyle Tucker RC Rookie Astros Cubs Dodgers Football</t>
        </is>
      </c>
    </row>
    <row r="84">
      <c r="A84" s="8" t="inlineStr">
        <is>
          <t>AA-000025-qltq2</t>
        </is>
      </c>
      <c r="B84" s="8" t="inlineStr">
        <is>
          <t>2025-26 Topps Chrome NOA ESSENGUE #D-11 Destiny Chicago Bulls Basketball</t>
        </is>
      </c>
      <c r="C84" s="9" t="n">
        <v>2.49</v>
      </c>
      <c r="D84" s="9" t="n">
        <v>2.49</v>
      </c>
      <c r="E84" s="9" t="n">
        <v>0</v>
      </c>
      <c r="F84" s="10" t="n">
        <v>0</v>
      </c>
      <c r="G84" s="8" t="inlineStr">
        <is>
          <t>— No Change</t>
        </is>
      </c>
      <c r="H84" s="8" t="inlineStr">
        <is>
          <t>70%</t>
        </is>
      </c>
      <c r="I84" s="8">
        <f>HYPERLINK("https://www.ebay.com/sch/261328/i.html?_dcat=261328&amp;_fsrp=1&amp;rt=nc&amp;_from=R40&amp;_nkw=2025-26%20Topps%20Chrome%20NOA%20ESSENGUE%20%23D-11%20Destiny%20Chicago%20Bulls%20Basketball&amp;_sacat=0&amp;_sop=15&amp;rt=nc&amp;LH_BIN=1", "Active")</f>
        <v/>
      </c>
      <c r="J84" s="8">
        <f>HYPERLINK("https://www.ebay.com/sch/261328/i.html?_from=R40&amp;_nkw=2025-26%20Topps%20Chrome%20NOA%20ESSENGUE%20%23D-11%20Destiny%20Chicago%20Bulls%20Basketball&amp;_sacat=0&amp;LH_Sold=1&amp;LH_Complete=1&amp;_sop=13", "Completed")</f>
        <v/>
      </c>
      <c r="K84" s="8" t="inlineStr">
        <is>
          <t>2025-26 Topps Chrome Basketball Pick Your Insert - Buy More &amp; Save</t>
        </is>
      </c>
    </row>
    <row r="85">
      <c r="A85" s="2" t="inlineStr">
        <is>
          <t>FA-000035-qlwc0</t>
        </is>
      </c>
      <c r="B85" s="2" t="inlineStr">
        <is>
          <t>2024 Panini MOSAIC COURTLAND SUTTON #20 Elevate Denver Broncos Football</t>
        </is>
      </c>
      <c r="C85" s="3" t="n">
        <v>3.49</v>
      </c>
      <c r="D85" s="3" t="n">
        <v>2.49</v>
      </c>
      <c r="E85" s="3" t="n">
        <v>-1</v>
      </c>
      <c r="F85" s="4" t="n">
        <v>-28.7</v>
      </c>
      <c r="G85" s="2" t="inlineStr">
        <is>
          <t>🔵 Floored $2.49 — free ship or $0.99 ship?</t>
        </is>
      </c>
      <c r="H85" s="2" t="inlineStr">
        <is>
          <t>62%</t>
        </is>
      </c>
      <c r="I85" s="2">
        <f>HYPERLINK("https://www.ebay.com/sch/261328/i.html?_dcat=261328&amp;_fsrp=1&amp;rt=nc&amp;_from=R40&amp;_nkw=2024%20Panini%20MOSAIC%20COURTLAND%20SUTTON%20%2320%20Elevate%20Denver%20Broncos%20Football&amp;_sacat=0&amp;_sop=15&amp;rt=nc&amp;LH_BIN=1", "Active")</f>
        <v/>
      </c>
      <c r="J85" s="2">
        <f>HYPERLINK("https://www.ebay.com/sch/261328/i.html?_from=R40&amp;_nkw=2024%20Panini%20MOSAIC%20COURTLAND%20SUTTON%20%2320%20Elevate%20Denver%20Broncos%20Football&amp;_sacat=0&amp;LH_Sold=1&amp;LH_Complete=1&amp;_sop=13", "Completed")</f>
        <v/>
      </c>
      <c r="K85" s="2" t="inlineStr">
        <is>
          <t>2024 Mosaic Football INSERTS with Rookies You Pick - 2 Card Minimum</t>
        </is>
      </c>
    </row>
    <row r="86">
      <c r="A86" s="2" t="inlineStr">
        <is>
          <t>FA-000037-qlwc2</t>
        </is>
      </c>
      <c r="B86" s="2" t="inlineStr">
        <is>
          <t>2024 CLEARLY Donruss Courtland Sutton #18 Denver Broncos Football</t>
        </is>
      </c>
      <c r="C86" s="3" t="n">
        <v>3.49</v>
      </c>
      <c r="D86" s="3" t="n">
        <v>2.49</v>
      </c>
      <c r="E86" s="3" t="n">
        <v>-1</v>
      </c>
      <c r="F86" s="4" t="n">
        <v>-28.7</v>
      </c>
      <c r="G86" s="2" t="inlineStr">
        <is>
          <t>🔵 Floored $2.49 — free ship or $0.99 ship?</t>
        </is>
      </c>
      <c r="H86" s="2" t="inlineStr">
        <is>
          <t>69%</t>
        </is>
      </c>
      <c r="I86" s="2">
        <f>HYPERLINK("https://www.ebay.com/sch/261328/i.html?_dcat=261328&amp;_fsrp=1&amp;rt=nc&amp;_from=R40&amp;_nkw=2024%20CLEARLY%20Donruss%20Courtland%20Sutton%20%2318%20Denver%20Broncos%20Football&amp;_sacat=0&amp;_sop=15&amp;rt=nc&amp;LH_BIN=1", "Active")</f>
        <v/>
      </c>
      <c r="J86" s="2">
        <f>HYPERLINK("https://www.ebay.com/sch/261328/i.html?_from=R40&amp;_nkw=2024%20CLEARLY%20Donruss%20Courtland%20Sutton%20%2318%20Denver%20Broncos%20Football&amp;_sacat=0&amp;LH_Sold=1&amp;LH_Complete=1&amp;_sop=13", "Completed")</f>
        <v/>
      </c>
      <c r="K86" s="2" t="inlineStr">
        <is>
          <t>2024 Panini Clearly Donruss Complete Your Set You Pick Football Card #1-100 NFL</t>
        </is>
      </c>
    </row>
    <row r="87">
      <c r="A87" s="2" t="inlineStr">
        <is>
          <t>BA-000053-qtsgg</t>
        </is>
      </c>
      <c r="B87" s="2" t="inlineStr">
        <is>
          <t>2025 Bowman Draft MASON PETERS #BDC-27 Chrome Seattle Mariners</t>
        </is>
      </c>
      <c r="C87" s="3" t="n">
        <v>2.99</v>
      </c>
      <c r="D87" s="3" t="n">
        <v>2.49</v>
      </c>
      <c r="E87" s="3" t="n">
        <v>-0.5</v>
      </c>
      <c r="F87" s="4" t="n">
        <v>-16.7</v>
      </c>
      <c r="G87" s="2" t="inlineStr">
        <is>
          <t>🔵 Floored $2.49 — free ship or $0.99 ship?</t>
        </is>
      </c>
      <c r="H87" s="2" t="inlineStr">
        <is>
          <t>85%</t>
        </is>
      </c>
      <c r="I87" s="2">
        <f>HYPERLINK("https://www.ebay.com/sch/261328/i.html?_dcat=261328&amp;_fsrp=1&amp;rt=nc&amp;_from=R40&amp;_nkw=2025%20Bowman%20Draft%20MASON%20PETERS%20%23BDC-27%20Chrome%20Seattle%20Mariners&amp;_sacat=0&amp;_sop=15&amp;rt=nc&amp;LH_BIN=1", "Active")</f>
        <v/>
      </c>
      <c r="J87" s="2">
        <f>HYPERLINK("https://www.ebay.com/sch/261328/i.html?_from=R40&amp;_nkw=2025%20Bowman%20Draft%20MASON%20PETERS%20%23BDC-27%20Chrome%20Seattle%20Mariners&amp;_sacat=0&amp;LH_Sold=1&amp;LH_Complete=1&amp;_sop=13", "Completed")</f>
        <v/>
      </c>
      <c r="K87" s="2" t="inlineStr">
        <is>
          <t>2025 Bowman Draft #BDC-27 Mason Peters Chrome</t>
        </is>
      </c>
    </row>
    <row r="88">
      <c r="A88" s="2" t="inlineStr">
        <is>
          <t>BA-000055-qtsgi</t>
        </is>
      </c>
      <c r="B88" s="2" t="inlineStr">
        <is>
          <t>2025 Bowman Draft GRIFFIN HUGUS #BDC-101 Chrome Refractor Seattle Mariners</t>
        </is>
      </c>
      <c r="C88" s="3" t="n">
        <v>2.99</v>
      </c>
      <c r="D88" s="3" t="n">
        <v>2.49</v>
      </c>
      <c r="E88" s="3" t="n">
        <v>-0.5</v>
      </c>
      <c r="F88" s="4" t="n">
        <v>-16.7</v>
      </c>
      <c r="G88" s="2" t="inlineStr">
        <is>
          <t>🔵 Floored $2.49 — free ship or $0.99 ship?</t>
        </is>
      </c>
      <c r="H88" s="2" t="inlineStr">
        <is>
          <t>70%</t>
        </is>
      </c>
      <c r="I88" s="2">
        <f>HYPERLINK("https://www.ebay.com/sch/261328/i.html?_dcat=261328&amp;_fsrp=1&amp;rt=nc&amp;_from=R40&amp;_nkw=2025%20Bowman%20Draft%20GRIFFIN%20HUGUS%20%23BDC-101%20Chrome%20Refractor%20Seattle%20Mariners&amp;_sacat=0&amp;_sop=15&amp;rt=nc&amp;LH_BIN=1", "Active")</f>
        <v/>
      </c>
      <c r="J88" s="2">
        <f>HYPERLINK("https://www.ebay.com/sch/261328/i.html?_from=R40&amp;_nkw=2025%20Bowman%20Draft%20GRIFFIN%20HUGUS%20%23BDC-101%20Chrome%20Refractor%20Seattle%20Mariners&amp;_sacat=0&amp;LH_Sold=1&amp;LH_Complete=1&amp;_sop=13", "Completed")</f>
        <v/>
      </c>
      <c r="K88" s="2" t="inlineStr">
        <is>
          <t>YOU PICK 2025 Bowman Draft MEGA CHROME Mojo Refractor Chrome Singles 1-200</t>
        </is>
      </c>
    </row>
    <row r="89">
      <c r="A89" s="5" t="inlineStr">
        <is>
          <t>BA-000056-qvtke</t>
        </is>
      </c>
      <c r="B89" s="5" t="inlineStr">
        <is>
          <t>2025 Topps Update SHOHEI OHTANI / Roki Sasaki #US269 Diamante Foil Dodgers</t>
        </is>
      </c>
      <c r="C89" s="6" t="n">
        <v>6.79</v>
      </c>
      <c r="D89" s="6" t="n">
        <v>7.59</v>
      </c>
      <c r="E89" s="6" t="n">
        <v>0.8</v>
      </c>
      <c r="F89" s="7" t="n">
        <v>11.8</v>
      </c>
      <c r="G89" s="5" t="inlineStr">
        <is>
          <t>⬆ Price Up</t>
        </is>
      </c>
      <c r="H89" s="5" t="inlineStr">
        <is>
          <t>100%</t>
        </is>
      </c>
      <c r="I89" s="5">
        <f>HYPERLINK("https://www.ebay.com/sch/261328/i.html?_dcat=261328&amp;_fsrp=1&amp;rt=nc&amp;_from=R40&amp;_nkw=2025%20Topps%20Update%20SHOHEI%20OHTANI%20%2F%20Roki%20Sasaki%20%23US269%20Diamante%20Foil%20Dodgers&amp;_sacat=0&amp;_sop=15&amp;rt=nc&amp;LH_BIN=1", "Active")</f>
        <v/>
      </c>
      <c r="J89" s="5">
        <f>HYPERLINK("https://www.ebay.com/sch/261328/i.html?_from=R40&amp;_nkw=2025%20Topps%20Update%20SHOHEI%20OHTANI%20%2F%20Roki%20Sasaki%20%23US269%20Diamante%20Foil%20Dodgers&amp;_sacat=0&amp;LH_Sold=1&amp;LH_Complete=1&amp;_sop=13", "Completed")</f>
        <v/>
      </c>
      <c r="K89" s="5" t="inlineStr">
        <is>
          <t>2025 Topps Update SHOHEI OHTANI / Roki Sasaki #US269 Diamante Foil Dodgers</t>
        </is>
      </c>
    </row>
    <row r="90">
      <c r="A90" s="2" t="inlineStr">
        <is>
          <t>BA-000062-qvtkk</t>
        </is>
      </c>
      <c r="B90" s="2" t="inlineStr">
        <is>
          <t>2025 Topps Update BOBBY WITT JR. #NT-4 Night Terrors Kansas City Royals</t>
        </is>
      </c>
      <c r="C90" s="3" t="n">
        <v>2.99</v>
      </c>
      <c r="D90" s="3" t="n">
        <v>2.49</v>
      </c>
      <c r="E90" s="3" t="n">
        <v>-0.5</v>
      </c>
      <c r="F90" s="4" t="n">
        <v>-16.7</v>
      </c>
      <c r="G90" s="2" t="inlineStr">
        <is>
          <t>🔵 Floored $2.49 — free ship or $0.99 ship?</t>
        </is>
      </c>
      <c r="H90" s="2" t="inlineStr">
        <is>
          <t>85%</t>
        </is>
      </c>
      <c r="I90" s="2">
        <f>HYPERLINK("https://www.ebay.com/sch/261328/i.html?_dcat=261328&amp;_fsrp=1&amp;rt=nc&amp;_from=R40&amp;_nkw=2025%20Topps%20Update%20BOBBY%20WITT%20JR.%20%23NT-4%20Night%20Terrors%20Kansas%20City%20Royals&amp;_sacat=0&amp;_sop=15&amp;rt=nc&amp;LH_BIN=1", "Active")</f>
        <v/>
      </c>
      <c r="J90" s="2">
        <f>HYPERLINK("https://www.ebay.com/sch/261328/i.html?_from=R40&amp;_nkw=2025%20Topps%20Update%20BOBBY%20WITT%20JR.%20%23NT-4%20Night%20Terrors%20Kansas%20City%20Royals&amp;_sacat=0&amp;LH_Sold=1&amp;LH_Complete=1&amp;_sop=13", "Completed")</f>
        <v/>
      </c>
      <c r="K90" s="2" t="inlineStr">
        <is>
          <t>2025 Topps Update Series - Night Terrors Bobby Witt Jr. #NT-4</t>
        </is>
      </c>
    </row>
    <row r="91">
      <c r="A91" s="2" t="inlineStr">
        <is>
          <t>BA-000060-qvtki</t>
        </is>
      </c>
      <c r="B91" s="2" t="inlineStr">
        <is>
          <t>2025 Topps Update CAL RALEIGH #ASG-9 2025 All-Star Game Seattle Mariners</t>
        </is>
      </c>
      <c r="C91" s="3" t="n">
        <v>3.99</v>
      </c>
      <c r="D91" s="3" t="n">
        <v>2.49</v>
      </c>
      <c r="E91" s="3" t="n">
        <v>-1.5</v>
      </c>
      <c r="F91" s="4" t="n">
        <v>-37.6</v>
      </c>
      <c r="G91" s="2" t="inlineStr">
        <is>
          <t>🔵 Floored $2.49 — free ship or $0.99 ship?</t>
        </is>
      </c>
      <c r="H91" s="2" t="inlineStr">
        <is>
          <t>85%</t>
        </is>
      </c>
      <c r="I91" s="2">
        <f>HYPERLINK("https://www.ebay.com/sch/261328/i.html?_dcat=261328&amp;_fsrp=1&amp;rt=nc&amp;_from=R40&amp;_nkw=2025%20Topps%20Update%20CAL%20RALEIGH%20%23ASG-9%202025%20All-Star%20Game%20Seattle%20Mariners&amp;_sacat=0&amp;_sop=15&amp;rt=nc&amp;LH_BIN=1", "Active")</f>
        <v/>
      </c>
      <c r="J91" s="2">
        <f>HYPERLINK("https://www.ebay.com/sch/261328/i.html?_from=R40&amp;_nkw=2025%20Topps%20Update%20CAL%20RALEIGH%20%23ASG-9%202025%20All-Star%20Game%20Seattle%20Mariners&amp;_sacat=0&amp;LH_Sold=1&amp;LH_Complete=1&amp;_sop=13", "Completed")</f>
        <v/>
      </c>
      <c r="K91" s="2" t="inlineStr">
        <is>
          <t>2025 Topps Update #ASG-9 Cal Raleigh 2025 All-Star Game</t>
        </is>
      </c>
    </row>
    <row r="92">
      <c r="A92" t="inlineStr">
        <is>
          <t>BA-000063-qvtkl</t>
        </is>
      </c>
      <c r="B92" t="inlineStr">
        <is>
          <t>2025 Bowman Chrome AARON JUDGE #99 New York Yankees</t>
        </is>
      </c>
      <c r="C92" s="14" t="n">
        <v>2.99</v>
      </c>
      <c r="D92" s="14" t="n"/>
      <c r="E92" s="14" t="inlineStr"/>
      <c r="F92" s="15" t="inlineStr"/>
      <c r="G92" t="inlineStr">
        <is>
          <t>? No price data</t>
        </is>
      </c>
      <c r="H92" t="inlineStr">
        <is>
          <t>57%</t>
        </is>
      </c>
      <c r="I92">
        <f>HYPERLINK("https://www.ebay.com/sch/261328/i.html?_dcat=261328&amp;_fsrp=1&amp;rt=nc&amp;_from=R40&amp;_nkw=2025%20Bowman%20Chrome%20AARON%20JUDGE%20%2399%20New%20York%20Yankees&amp;_sacat=0&amp;_sop=15&amp;rt=nc&amp;LH_BIN=1", "Active")</f>
        <v/>
      </c>
      <c r="J92">
        <f>HYPERLINK("https://www.ebay.com/sch/261328/i.html?_from=R40&amp;_nkw=2025%20Bowman%20Chrome%20AARON%20JUDGE%20%2399%20New%20York%20Yankees&amp;_sacat=0&amp;LH_Sold=1&amp;LH_Complete=1&amp;_sop=13", "Completed")</f>
        <v/>
      </c>
      <c r="K92" t="inlineStr">
        <is>
          <t>CLEARANCE SALE Topps Bowman Chrome Platinum ~ Baseball Cards ~ RC Rookie VINTAGE</t>
        </is>
      </c>
    </row>
    <row r="93">
      <c r="A93" s="2" t="inlineStr">
        <is>
          <t>BA-000065-qvtkn</t>
        </is>
      </c>
      <c r="B93" s="2" t="inlineStr">
        <is>
          <t>2025 Topps Chrome Update MARCELO MAYER #PP-45 Power Players Boston Red Sox</t>
        </is>
      </c>
      <c r="C93" s="3" t="n">
        <v>2.99</v>
      </c>
      <c r="D93" s="3" t="n">
        <v>2.49</v>
      </c>
      <c r="E93" s="3" t="n">
        <v>-0.5</v>
      </c>
      <c r="F93" s="4" t="n">
        <v>-16.7</v>
      </c>
      <c r="G93" s="2" t="inlineStr">
        <is>
          <t>🔵 Floored $2.49 — free ship or $0.99 ship?</t>
        </is>
      </c>
      <c r="H93" s="2" t="inlineStr">
        <is>
          <t>90%</t>
        </is>
      </c>
      <c r="I93" s="2">
        <f>HYPERLINK("https://www.ebay.com/sch/261328/i.html?_dcat=261328&amp;_fsrp=1&amp;rt=nc&amp;_from=R40&amp;_nkw=2025%20Topps%20Chrome%20Update%20MARCELO%20MAYER%20%23PP-45%20Power%20Players%20Boston%20Red%20Sox&amp;_sacat=0&amp;_sop=15&amp;rt=nc&amp;LH_BIN=1", "Active")</f>
        <v/>
      </c>
      <c r="J93" s="2">
        <f>HYPERLINK("https://www.ebay.com/sch/261328/i.html?_from=R40&amp;_nkw=2025%20Topps%20Chrome%20Update%20MARCELO%20MAYER%20%23PP-45%20Power%20Players%20Boston%20Red%20Sox&amp;_sacat=0&amp;LH_Sold=1&amp;LH_Complete=1&amp;_sop=13", "Completed")</f>
        <v/>
      </c>
      <c r="K93" s="2" t="inlineStr">
        <is>
          <t>2025 Topps Chrome Update Marcelo Mayer PP-45 Power Players Boston Red Sox</t>
        </is>
      </c>
    </row>
    <row r="94">
      <c r="A94" s="2" t="inlineStr">
        <is>
          <t>BA-000066-qvtko</t>
        </is>
      </c>
      <c r="B94" s="2" t="inlineStr">
        <is>
          <t>2025 Topps ARCHIVES LUISANGEL ACUÑA #64SU-8 1964 Topps Stand-Ups New York Mets</t>
        </is>
      </c>
      <c r="C94" s="3" t="n">
        <v>2.99</v>
      </c>
      <c r="D94" s="3" t="n">
        <v>2.49</v>
      </c>
      <c r="E94" s="3" t="n">
        <v>-0.5</v>
      </c>
      <c r="F94" s="4" t="n">
        <v>-16.7</v>
      </c>
      <c r="G94" s="2" t="inlineStr">
        <is>
          <t>🔵 Floored $2.49 — free ship or $0.99 ship?</t>
        </is>
      </c>
      <c r="H94" s="2" t="inlineStr">
        <is>
          <t>86%</t>
        </is>
      </c>
      <c r="I94" s="2">
        <f>HYPERLINK("https://www.ebay.com/sch/261328/i.html?_dcat=261328&amp;_fsrp=1&amp;rt=nc&amp;_from=R40&amp;_nkw=2025%20Topps%20ARCHIVES%20LUISANGEL%20ACU%C3%91A%20%2364SU-8%201964%20Topps%20Stand-Ups%20New%20York%20Mets&amp;_sacat=0&amp;_sop=15&amp;rt=nc&amp;LH_BIN=1", "Active")</f>
        <v/>
      </c>
      <c r="J94" s="2">
        <f>HYPERLINK("https://www.ebay.com/sch/261328/i.html?_from=R40&amp;_nkw=2025%20Topps%20ARCHIVES%20LUISANGEL%20ACU%C3%91A%20%2364SU-8%201964%20Topps%20Stand-Ups%20New%20York%20Mets&amp;_sacat=0&amp;LH_Sold=1&amp;LH_Complete=1&amp;_sop=13", "Completed")</f>
        <v/>
      </c>
      <c r="K94" s="2" t="inlineStr">
        <is>
          <t>2025 Topps Archives #64SU-8 Luisangel Acuña 1964 Topps Stand-Ups</t>
        </is>
      </c>
    </row>
    <row r="95">
      <c r="A95" s="11" t="inlineStr">
        <is>
          <t>BA-000068-qvtkq</t>
        </is>
      </c>
      <c r="B95" s="11" t="inlineStr">
        <is>
          <t>2025 Topps ARCHIVES MARCELO MAYER #64SU-18 1964 Topps Stand-Ups Boston Red Sox</t>
        </is>
      </c>
      <c r="C95" s="12" t="n">
        <v>3.99</v>
      </c>
      <c r="D95" s="12" t="n">
        <v>2.69</v>
      </c>
      <c r="E95" s="12" t="n">
        <v>-1.3</v>
      </c>
      <c r="F95" s="13" t="n">
        <v>-32.6</v>
      </c>
      <c r="G95" s="11" t="inlineStr">
        <is>
          <t>⬇ Price Down</t>
        </is>
      </c>
      <c r="H95" s="11" t="inlineStr">
        <is>
          <t>85%</t>
        </is>
      </c>
      <c r="I95" s="11">
        <f>HYPERLINK("https://www.ebay.com/sch/261328/i.html?_dcat=261328&amp;_fsrp=1&amp;rt=nc&amp;_from=R40&amp;_nkw=2025%20Topps%20ARCHIVES%20MARCELO%20MAYER%20%2364SU-18%201964%20Topps%20Stand-Ups%20Boston%20Red%20Sox&amp;_sacat=0&amp;_sop=15&amp;rt=nc&amp;LH_BIN=1", "Active")</f>
        <v/>
      </c>
      <c r="J95" s="11">
        <f>HYPERLINK("https://www.ebay.com/sch/261328/i.html?_from=R40&amp;_nkw=2025%20Topps%20ARCHIVES%20MARCELO%20MAYER%20%2364SU-18%201964%20Topps%20Stand-Ups%20Boston%20Red%20Sox&amp;_sacat=0&amp;LH_Sold=1&amp;LH_Complete=1&amp;_sop=13", "Completed")</f>
        <v/>
      </c>
      <c r="K95" s="11" t="inlineStr">
        <is>
          <t>2025 TOPPS ARCHIVES - Marcelo Mayer RC #64SU-18 - 1964 Stand-Ups - Red Sox</t>
        </is>
      </c>
    </row>
    <row r="96">
      <c r="A96" s="11" t="inlineStr">
        <is>
          <t>BA-000067-qvtkp</t>
        </is>
      </c>
      <c r="B96" s="11" t="inlineStr">
        <is>
          <t>2025 Topps ARCHIVES NICK KURTZ #64SU-25 1964 Topps Stand-Ups Athletics</t>
        </is>
      </c>
      <c r="C96" s="12" t="n">
        <v>5.79</v>
      </c>
      <c r="D96" s="12" t="n">
        <v>5.09</v>
      </c>
      <c r="E96" s="12" t="n">
        <v>-0.7</v>
      </c>
      <c r="F96" s="13" t="n">
        <v>-12.1</v>
      </c>
      <c r="G96" s="11" t="inlineStr">
        <is>
          <t>⬇ Price Down</t>
        </is>
      </c>
      <c r="H96" s="11" t="inlineStr">
        <is>
          <t>87%</t>
        </is>
      </c>
      <c r="I96" s="11">
        <f>HYPERLINK("https://www.ebay.com/sch/261328/i.html?_dcat=261328&amp;_fsrp=1&amp;rt=nc&amp;_from=R40&amp;_nkw=2025%20Topps%20ARCHIVES%20NICK%20KURTZ%20%2364SU-25%201964%20Topps%20Stand-Ups%20Athletics&amp;_sacat=0&amp;_sop=15&amp;rt=nc&amp;LH_BIN=1", "Active")</f>
        <v/>
      </c>
      <c r="J96" s="11">
        <f>HYPERLINK("https://www.ebay.com/sch/261328/i.html?_from=R40&amp;_nkw=2025%20Topps%20ARCHIVES%20NICK%20KURTZ%20%2364SU-25%201964%20Topps%20Stand-Ups%20Athletics&amp;_sacat=0&amp;LH_Sold=1&amp;LH_Complete=1&amp;_sop=13", "Completed")</f>
        <v/>
      </c>
      <c r="K96" s="11" t="inlineStr">
        <is>
          <t>2025 Topps Archives #64SU-25 Nick Kurtz 1964 Topps Stand-Ups</t>
        </is>
      </c>
    </row>
    <row r="97">
      <c r="A97" s="5" t="inlineStr">
        <is>
          <t>BA-000069-qvtkr</t>
        </is>
      </c>
      <c r="B97" s="5" t="inlineStr">
        <is>
          <t>2025 Topps Update ROKI SASAKI #U90-11 zDuplicateDoNotUse 1990 Topps 35th Dodgers</t>
        </is>
      </c>
      <c r="C97" s="6" t="n">
        <v>3.49</v>
      </c>
      <c r="D97" s="6" t="n">
        <v>4.39</v>
      </c>
      <c r="E97" s="6" t="n">
        <v>0.9</v>
      </c>
      <c r="F97" s="7" t="n">
        <v>25.8</v>
      </c>
      <c r="G97" s="5" t="inlineStr">
        <is>
          <t>⬆ Price Up</t>
        </is>
      </c>
      <c r="H97" s="5" t="inlineStr">
        <is>
          <t>100%</t>
        </is>
      </c>
      <c r="I97" s="5">
        <f>HYPERLINK("https://www.ebay.com/sch/261328/i.html?_dcat=261328&amp;_fsrp=1&amp;rt=nc&amp;_from=R40&amp;_nkw=2025%20Topps%20Update%20ROKI%20SASAKI%20%23U90-11%20zDuplicateDoNotUse%201990%20Topps%2035th%20Dodgers&amp;_sacat=0&amp;_sop=15&amp;rt=nc&amp;LH_BIN=1", "Active")</f>
        <v/>
      </c>
      <c r="J97" s="5">
        <f>HYPERLINK("https://www.ebay.com/sch/261328/i.html?_from=R40&amp;_nkw=2025%20Topps%20Update%20ROKI%20SASAKI%20%23U90-11%20zDuplicateDoNotUse%201990%20Topps%2035th%20Dodgers&amp;_sacat=0&amp;LH_Sold=1&amp;LH_Complete=1&amp;_sop=13", "Completed")</f>
        <v/>
      </c>
      <c r="K97" s="5" t="inlineStr">
        <is>
          <t>2025 Topps Update ROKI SASAKI #U90-11 zDuplicateDoNotUse 1990 Topps 35th Dodgers</t>
        </is>
      </c>
    </row>
    <row r="98">
      <c r="A98" s="2" t="inlineStr">
        <is>
          <t>BA-000073-qvtkv</t>
        </is>
      </c>
      <c r="B98" s="2" t="inlineStr">
        <is>
          <t>2025 Bowman Chrome PAUL SKENES #30 Pittsburgh Pirates</t>
        </is>
      </c>
      <c r="C98" s="3" t="n">
        <v>3.49</v>
      </c>
      <c r="D98" s="3" t="n">
        <v>2.49</v>
      </c>
      <c r="E98" s="3" t="n">
        <v>-1</v>
      </c>
      <c r="F98" s="4" t="n">
        <v>-28.7</v>
      </c>
      <c r="G98" s="2" t="inlineStr">
        <is>
          <t>🔵 Floored $2.49 — free ship or $0.99 ship?</t>
        </is>
      </c>
      <c r="H98" s="2" t="inlineStr">
        <is>
          <t>85%</t>
        </is>
      </c>
      <c r="I98" s="2">
        <f>HYPERLINK("https://www.ebay.com/sch/261328/i.html?_dcat=261328&amp;_fsrp=1&amp;rt=nc&amp;_from=R40&amp;_nkw=2025%20Bowman%20Chrome%20PAUL%20SKENES%20%2330%20Pittsburgh%20Pirates&amp;_sacat=0&amp;_sop=15&amp;rt=nc&amp;LH_BIN=1", "Active")</f>
        <v/>
      </c>
      <c r="J98" s="2">
        <f>HYPERLINK("https://www.ebay.com/sch/261328/i.html?_from=R40&amp;_nkw=2025%20Bowman%20Chrome%20PAUL%20SKENES%20%2330%20Pittsburgh%20Pirates&amp;_sacat=0&amp;LH_Sold=1&amp;LH_Complete=1&amp;_sop=13", "Completed")</f>
        <v/>
      </c>
      <c r="K98" s="2" t="inlineStr">
        <is>
          <t>2025 Bowman Chrome Paul Skenes #30 Pittsburgh Pirates ROY Free shipping</t>
        </is>
      </c>
    </row>
    <row r="99">
      <c r="A99" s="5" t="inlineStr">
        <is>
          <t>BA-000074-qvtkw</t>
        </is>
      </c>
      <c r="B99" s="5" t="inlineStr">
        <is>
          <t>2025 Topps Update LUKE KEASCHALL #BG-12 Topps Black Gold Pink Foil Twins</t>
        </is>
      </c>
      <c r="C99" s="6" t="n">
        <v>9.19</v>
      </c>
      <c r="D99" s="6" t="n">
        <v>9.890000000000001</v>
      </c>
      <c r="E99" s="6" t="n">
        <v>0.7</v>
      </c>
      <c r="F99" s="7" t="n">
        <v>7.6</v>
      </c>
      <c r="G99" s="5" t="inlineStr">
        <is>
          <t>⬆ Price Up</t>
        </is>
      </c>
      <c r="H99" s="5" t="inlineStr">
        <is>
          <t>100%</t>
        </is>
      </c>
      <c r="I99" s="5">
        <f>HYPERLINK("https://www.ebay.com/sch/261328/i.html?_dcat=261328&amp;_fsrp=1&amp;rt=nc&amp;_from=R40&amp;_nkw=2025%20Topps%20Update%20LUKE%20KEASCHALL%20%23BG-12%20Topps%20Black%20Gold%20Pink%20Foil%20Twins&amp;_sacat=0&amp;_sop=15&amp;rt=nc&amp;LH_BIN=1", "Active")</f>
        <v/>
      </c>
      <c r="J99" s="5">
        <f>HYPERLINK("https://www.ebay.com/sch/261328/i.html?_from=R40&amp;_nkw=2025%20Topps%20Update%20LUKE%20KEASCHALL%20%23BG-12%20Topps%20Black%20Gold%20Pink%20Foil%20Twins&amp;_sacat=0&amp;LH_Sold=1&amp;LH_Complete=1&amp;_sop=13", "Completed")</f>
        <v/>
      </c>
      <c r="K99" s="5" t="inlineStr">
        <is>
          <t>2025 Topps Update LUKE KEASCHALL #BG-12 Topps Black Gold Pink Foil Twins</t>
        </is>
      </c>
    </row>
    <row r="100">
      <c r="A100" s="2" t="inlineStr">
        <is>
          <t>BA-000076-qvtky</t>
        </is>
      </c>
      <c r="B100" s="2" t="inlineStr">
        <is>
          <t>2025 Bowman Chrome CAM SMITH #77 Houston Astros</t>
        </is>
      </c>
      <c r="C100" s="3" t="n">
        <v>2.99</v>
      </c>
      <c r="D100" s="3" t="n">
        <v>2.49</v>
      </c>
      <c r="E100" s="3" t="n">
        <v>-0.5</v>
      </c>
      <c r="F100" s="4" t="n">
        <v>-16.7</v>
      </c>
      <c r="G100" s="2" t="inlineStr">
        <is>
          <t>🔵 Floored $2.49 — free ship or $0.99 ship?</t>
        </is>
      </c>
      <c r="H100" s="2" t="inlineStr">
        <is>
          <t>88%</t>
        </is>
      </c>
      <c r="I100" s="2">
        <f>HYPERLINK("https://www.ebay.com/sch/261328/i.html?_dcat=261328&amp;_fsrp=1&amp;rt=nc&amp;_from=R40&amp;_nkw=2025%20Bowman%20Chrome%20CAM%20SMITH%20%2377%20Houston%20Astros&amp;_sacat=0&amp;_sop=15&amp;rt=nc&amp;LH_BIN=1", "Active")</f>
        <v/>
      </c>
      <c r="J100" s="2">
        <f>HYPERLINK("https://www.ebay.com/sch/261328/i.html?_from=R40&amp;_nkw=2025%20Bowman%20Chrome%20CAM%20SMITH%20%2377%20Houston%20Astros&amp;_sacat=0&amp;LH_Sold=1&amp;LH_Complete=1&amp;_sop=13", "Completed")</f>
        <v/>
      </c>
      <c r="K100" s="2" t="inlineStr">
        <is>
          <t>2025 Bowman Chrome #77 Cam Smith Base Houston Astros</t>
        </is>
      </c>
    </row>
    <row r="101">
      <c r="A101" s="2" t="inlineStr">
        <is>
          <t>BA-000075-qvtkx</t>
        </is>
      </c>
      <c r="B101" s="2" t="inlineStr">
        <is>
          <t>2025 Topps Update MARCELO MAYER #US276 Holo Foil Boston Red Sox</t>
        </is>
      </c>
      <c r="C101" s="3" t="n">
        <v>3.49</v>
      </c>
      <c r="D101" s="3" t="n">
        <v>2.49</v>
      </c>
      <c r="E101" s="3" t="n">
        <v>-1</v>
      </c>
      <c r="F101" s="4" t="n">
        <v>-28.7</v>
      </c>
      <c r="G101" s="2" t="inlineStr">
        <is>
          <t>🔵 Floored $2.49 — free ship or $0.99 ship?</t>
        </is>
      </c>
      <c r="H101" s="2" t="inlineStr">
        <is>
          <t>87%</t>
        </is>
      </c>
      <c r="I101" s="2">
        <f>HYPERLINK("https://www.ebay.com/sch/261328/i.html?_dcat=261328&amp;_fsrp=1&amp;rt=nc&amp;_from=R40&amp;_nkw=2025%20Topps%20Update%20MARCELO%20MAYER%20%23US276%20Holo%20Foil%20Boston%20Red%20Sox&amp;_sacat=0&amp;_sop=15&amp;rt=nc&amp;LH_BIN=1", "Active")</f>
        <v/>
      </c>
      <c r="J101" s="2">
        <f>HYPERLINK("https://www.ebay.com/sch/261328/i.html?_from=R40&amp;_nkw=2025%20Topps%20Update%20MARCELO%20MAYER%20%23US276%20Holo%20Foil%20Boston%20Red%20Sox&amp;_sacat=0&amp;LH_Sold=1&amp;LH_Complete=1&amp;_sop=13", "Completed")</f>
        <v/>
      </c>
      <c r="K101" s="2" t="inlineStr">
        <is>
          <t>2025 Topps Update #US276 Marcelo Mayer Boston Red Sox</t>
        </is>
      </c>
    </row>
    <row r="102">
      <c r="A102" s="2" t="inlineStr">
        <is>
          <t>BA-000078-qvtl0</t>
        </is>
      </c>
      <c r="B102" s="2" t="inlineStr">
        <is>
          <t>2025 Topps Update NICK KURTZ #US201 Athletics</t>
        </is>
      </c>
      <c r="C102" s="3" t="n">
        <v>3.49</v>
      </c>
      <c r="D102" s="3" t="n">
        <v>2.49</v>
      </c>
      <c r="E102" s="3" t="n">
        <v>-1</v>
      </c>
      <c r="F102" s="4" t="n">
        <v>-28.7</v>
      </c>
      <c r="G102" s="2" t="inlineStr">
        <is>
          <t>🔵 Floored $2.49 — free ship or $0.99 ship?</t>
        </is>
      </c>
      <c r="H102" s="2" t="inlineStr">
        <is>
          <t>85%</t>
        </is>
      </c>
      <c r="I102" s="2">
        <f>HYPERLINK("https://www.ebay.com/sch/261328/i.html?_dcat=261328&amp;_fsrp=1&amp;rt=nc&amp;_from=R40&amp;_nkw=2025%20Topps%20Update%20NICK%20KURTZ%20%23US201%20Athletics&amp;_sacat=0&amp;_sop=15&amp;rt=nc&amp;LH_BIN=1", "Active")</f>
        <v/>
      </c>
      <c r="J102" s="2">
        <f>HYPERLINK("https://www.ebay.com/sch/261328/i.html?_from=R40&amp;_nkw=2025%20Topps%20Update%20NICK%20KURTZ%20%23US201%20Athletics&amp;_sacat=0&amp;LH_Sold=1&amp;LH_Complete=1&amp;_sop=13", "Completed")</f>
        <v/>
      </c>
      <c r="K102" s="2" t="inlineStr">
        <is>
          <t>2025 Topps Update Series - Nick Kurtz #US201 (RC) - Athletics</t>
        </is>
      </c>
    </row>
    <row r="103">
      <c r="A103" s="2" t="inlineStr">
        <is>
          <t>BA-000080-qvtl2</t>
        </is>
      </c>
      <c r="B103" s="2" t="inlineStr">
        <is>
          <t>2025 Topps ARCHIVES TYLER SODERSTROM #4 Black Foilboard Athletics</t>
        </is>
      </c>
      <c r="C103" s="3" t="n">
        <v>2.99</v>
      </c>
      <c r="D103" s="3" t="n">
        <v>2.49</v>
      </c>
      <c r="E103" s="3" t="n">
        <v>-0.5</v>
      </c>
      <c r="F103" s="4" t="n">
        <v>-16.7</v>
      </c>
      <c r="G103" s="2" t="inlineStr">
        <is>
          <t>🔵 Floored $2.49 — free ship or $0.99 ship?</t>
        </is>
      </c>
      <c r="H103" s="2" t="inlineStr">
        <is>
          <t>87%</t>
        </is>
      </c>
      <c r="I103" s="2">
        <f>HYPERLINK("https://www.ebay.com/sch/261328/i.html?_dcat=261328&amp;_fsrp=1&amp;rt=nc&amp;_from=R40&amp;_nkw=2025%20Topps%20ARCHIVES%20TYLER%20SODERSTROM%20%234%20Black%20Foilboard%20Athletics&amp;_sacat=0&amp;_sop=15&amp;rt=nc&amp;LH_BIN=1", "Active")</f>
        <v/>
      </c>
      <c r="J103" s="2">
        <f>HYPERLINK("https://www.ebay.com/sch/261328/i.html?_from=R40&amp;_nkw=2025%20Topps%20ARCHIVES%20TYLER%20SODERSTROM%20%234%20Black%20Foilboard%20Athletics&amp;_sacat=0&amp;LH_Sold=1&amp;LH_Complete=1&amp;_sop=13", "Completed")</f>
        <v/>
      </c>
      <c r="K103" s="2" t="inlineStr">
        <is>
          <t>2025 Topps Archives #4 Tyler Soderstrom Black Foilboard</t>
        </is>
      </c>
    </row>
    <row r="104">
      <c r="A104" s="5" t="inlineStr">
        <is>
          <t>BA-000079-qvtl1</t>
        </is>
      </c>
      <c r="B104" s="5" t="inlineStr">
        <is>
          <t>2025 Topps Update HYESEONG KIM #U90-13 1990 Topps Baseball 35th Holo Dodgers</t>
        </is>
      </c>
      <c r="C104" s="6" t="n">
        <v>2.99</v>
      </c>
      <c r="D104" s="6" t="n">
        <v>3.89</v>
      </c>
      <c r="E104" s="6" t="n">
        <v>0.9</v>
      </c>
      <c r="F104" s="7" t="n">
        <v>30.1</v>
      </c>
      <c r="G104" s="5" t="inlineStr">
        <is>
          <t>⬆ Price Up</t>
        </is>
      </c>
      <c r="H104" s="5" t="inlineStr">
        <is>
          <t>100%</t>
        </is>
      </c>
      <c r="I104" s="5">
        <f>HYPERLINK("https://www.ebay.com/sch/261328/i.html?_dcat=261328&amp;_fsrp=1&amp;rt=nc&amp;_from=R40&amp;_nkw=2025%20Topps%20Update%20HYESEONG%20KIM%20%23U90-13%201990%20Topps%20Baseball%2035th%20Holo%20Dodgers&amp;_sacat=0&amp;_sop=15&amp;rt=nc&amp;LH_BIN=1", "Active")</f>
        <v/>
      </c>
      <c r="J104" s="5">
        <f>HYPERLINK("https://www.ebay.com/sch/261328/i.html?_from=R40&amp;_nkw=2025%20Topps%20Update%20HYESEONG%20KIM%20%23U90-13%201990%20Topps%20Baseball%2035th%20Holo%20Dodgers&amp;_sacat=0&amp;LH_Sold=1&amp;LH_Complete=1&amp;_sop=13", "Completed")</f>
        <v/>
      </c>
      <c r="K104" s="5" t="inlineStr">
        <is>
          <t>2025 Topps Update HYESEONG KIM #U90-13 1990 Topps Baseball 35th Holo Dodgers</t>
        </is>
      </c>
    </row>
    <row r="105">
      <c r="A105" s="2" t="inlineStr">
        <is>
          <t>BA-000077-qvtkz</t>
        </is>
      </c>
      <c r="B105" s="2" t="inlineStr">
        <is>
          <t>2025 Topps Update VICTOR MESA JR. #US220 Gold Miami Marlins #/2025</t>
        </is>
      </c>
      <c r="C105" s="3" t="n">
        <v>2.99</v>
      </c>
      <c r="D105" s="3" t="n">
        <v>2.49</v>
      </c>
      <c r="E105" s="3" t="n">
        <v>-0.5</v>
      </c>
      <c r="F105" s="4" t="n">
        <v>-16.7</v>
      </c>
      <c r="G105" s="2" t="inlineStr">
        <is>
          <t>🔵 Floored $2.49 — free ship or $0.99 ship?</t>
        </is>
      </c>
      <c r="H105" s="2" t="inlineStr">
        <is>
          <t>86%</t>
        </is>
      </c>
      <c r="I105" s="2">
        <f>HYPERLINK("https://www.ebay.com/sch/261328/i.html?_dcat=261328&amp;_fsrp=1&amp;rt=nc&amp;_from=R40&amp;_nkw=2025%20Topps%20Update%20VICTOR%20MESA%20JR.%20%23US220%20Gold%20Miami%20Marlins%20%23%2F2025&amp;_sacat=0&amp;_sop=15&amp;rt=nc&amp;LH_BIN=1", "Active")</f>
        <v/>
      </c>
      <c r="J105" s="2">
        <f>HYPERLINK("https://www.ebay.com/sch/261328/i.html?_from=R40&amp;_nkw=2025%20Topps%20Update%20VICTOR%20MESA%20JR.%20%23US220%20Gold%20Miami%20Marlins%20%23%2F2025&amp;_sacat=0&amp;LH_Sold=1&amp;LH_Complete=1&amp;_sop=13", "Completed")</f>
        <v/>
      </c>
      <c r="K105" s="2" t="inlineStr">
        <is>
          <t>2025 Topps Update #US220 Victor MESA JR. Gold #/2025</t>
        </is>
      </c>
    </row>
    <row r="106">
      <c r="A106" s="11" t="inlineStr">
        <is>
          <t>BA-000083-qvtl5</t>
        </is>
      </c>
      <c r="B106" s="11" t="inlineStr">
        <is>
          <t>2025 Bowman Chrome KRISTIAN CAMPBELL #MR-16 Meteoric Rise Mojo Mega Red Sox</t>
        </is>
      </c>
      <c r="C106" s="12" t="n">
        <v>3.99</v>
      </c>
      <c r="D106" s="12" t="n">
        <v>3.89</v>
      </c>
      <c r="E106" s="12" t="n">
        <v>-0.1</v>
      </c>
      <c r="F106" s="13" t="n">
        <v>-2.5</v>
      </c>
      <c r="G106" s="11" t="inlineStr">
        <is>
          <t>⬇ Price Down</t>
        </is>
      </c>
      <c r="H106" s="11" t="inlineStr">
        <is>
          <t>84%</t>
        </is>
      </c>
      <c r="I106" s="11">
        <f>HYPERLINK("https://www.ebay.com/sch/261328/i.html?_dcat=261328&amp;_fsrp=1&amp;rt=nc&amp;_from=R40&amp;_nkw=2025%20Bowman%20Chrome%20KRISTIAN%20CAMPBELL%20%23MR-16%20Meteoric%20Rise%20Mojo%20Mega%20Red%20Sox&amp;_sacat=0&amp;_sop=15&amp;rt=nc&amp;LH_BIN=1", "Active")</f>
        <v/>
      </c>
      <c r="J106" s="11">
        <f>HYPERLINK("https://www.ebay.com/sch/261328/i.html?_from=R40&amp;_nkw=2025%20Bowman%20Chrome%20KRISTIAN%20CAMPBELL%20%23MR-16%20Meteoric%20Rise%20Mojo%20Mega%20Red%20Sox&amp;_sacat=0&amp;LH_Sold=1&amp;LH_Complete=1&amp;_sop=13", "Completed")</f>
        <v/>
      </c>
      <c r="K106" s="11" t="inlineStr">
        <is>
          <t>2025 Bowman Chrome Mega Mojo Meteoric Rise Refractor -PICK FROM LIST</t>
        </is>
      </c>
    </row>
    <row r="107">
      <c r="A107" s="2" t="inlineStr">
        <is>
          <t>BA-000085-qvtl7</t>
        </is>
      </c>
      <c r="B107" s="2" t="inlineStr">
        <is>
          <t>2025 Bowman Chrome YOSHINOBU YAMAMOTO #76 Los Angeles Dodgers</t>
        </is>
      </c>
      <c r="C107" s="3" t="n">
        <v>2.99</v>
      </c>
      <c r="D107" s="3" t="n">
        <v>2.49</v>
      </c>
      <c r="E107" s="3" t="n">
        <v>-0.5</v>
      </c>
      <c r="F107" s="4" t="n">
        <v>-16.7</v>
      </c>
      <c r="G107" s="2" t="inlineStr">
        <is>
          <t>🔵 Floored $2.49 — free ship or $0.99 ship?</t>
        </is>
      </c>
      <c r="H107" s="2" t="inlineStr">
        <is>
          <t>64%</t>
        </is>
      </c>
      <c r="I107" s="2">
        <f>HYPERLINK("https://www.ebay.com/sch/261328/i.html?_dcat=261328&amp;_fsrp=1&amp;rt=nc&amp;_from=R40&amp;_nkw=2025%20Bowman%20Chrome%20YOSHINOBU%20YAMAMOTO%20%2376%20Los%20Angeles%20Dodgers&amp;_sacat=0&amp;_sop=15&amp;rt=nc&amp;LH_BIN=1", "Active")</f>
        <v/>
      </c>
      <c r="J107" s="2">
        <f>HYPERLINK("https://www.ebay.com/sch/261328/i.html?_from=R40&amp;_nkw=2025%20Bowman%20Chrome%20YOSHINOBU%20YAMAMOTO%20%2376%20Los%20Angeles%20Dodgers&amp;_sacat=0&amp;LH_Sold=1&amp;LH_Complete=1&amp;_sop=13", "Completed")</f>
        <v/>
      </c>
      <c r="K107" s="2" t="inlineStr">
        <is>
          <t>2025 Bowman Chrome BASE with RED Rookie Variations You Pick - 2 Card Minimum</t>
        </is>
      </c>
    </row>
    <row r="108">
      <c r="A108" s="2" t="inlineStr">
        <is>
          <t>BA-000086-qvtl8</t>
        </is>
      </c>
      <c r="B108" s="2" t="inlineStr">
        <is>
          <t>2025 Topps Update CAM SMITH #US45 Diamante Foil Houston Astros</t>
        </is>
      </c>
      <c r="C108" s="3" t="n">
        <v>4.49</v>
      </c>
      <c r="D108" s="3" t="n">
        <v>2.49</v>
      </c>
      <c r="E108" s="3" t="n">
        <v>-2</v>
      </c>
      <c r="F108" s="4" t="n">
        <v>-44.5</v>
      </c>
      <c r="G108" s="2" t="inlineStr">
        <is>
          <t>🔵 Floored $2.49 — free ship or $0.99 ship?</t>
        </is>
      </c>
      <c r="H108" s="2" t="inlineStr">
        <is>
          <t>85%</t>
        </is>
      </c>
      <c r="I108" s="2">
        <f>HYPERLINK("https://www.ebay.com/sch/261328/i.html?_dcat=261328&amp;_fsrp=1&amp;rt=nc&amp;_from=R40&amp;_nkw=2025%20Topps%20Update%20CAM%20SMITH%20%23US45%20Diamante%20Foil%20Houston%20Astros&amp;_sacat=0&amp;_sop=15&amp;rt=nc&amp;LH_BIN=1", "Active")</f>
        <v/>
      </c>
      <c r="J108" s="2">
        <f>HYPERLINK("https://www.ebay.com/sch/261328/i.html?_from=R40&amp;_nkw=2025%20Topps%20Update%20CAM%20SMITH%20%23US45%20Diamante%20Foil%20Houston%20Astros&amp;_sacat=0&amp;LH_Sold=1&amp;LH_Complete=1&amp;_sop=13", "Completed")</f>
        <v/>
      </c>
      <c r="K108" s="2" t="inlineStr">
        <is>
          <t>2025 Topps Update #US45 Cam Smith Diamante Foil</t>
        </is>
      </c>
    </row>
    <row r="109">
      <c r="A109" s="2" t="inlineStr">
        <is>
          <t>BA-000087-qvtl9</t>
        </is>
      </c>
      <c r="B109" s="2" t="inlineStr">
        <is>
          <t>2025 Bowman Chrome CHARLIE CONDON #BCP-248 Prospects Mojo Colorado Rockies</t>
        </is>
      </c>
      <c r="C109" s="3" t="n">
        <v>2.99</v>
      </c>
      <c r="D109" s="3" t="n">
        <v>2.49</v>
      </c>
      <c r="E109" s="3" t="n">
        <v>-0.5</v>
      </c>
      <c r="F109" s="4" t="n">
        <v>-16.7</v>
      </c>
      <c r="G109" s="2" t="inlineStr">
        <is>
          <t>🔵 Floored $2.49 — free ship or $0.99 ship?</t>
        </is>
      </c>
      <c r="H109" s="2" t="inlineStr">
        <is>
          <t>85%</t>
        </is>
      </c>
      <c r="I109" s="2">
        <f>HYPERLINK("https://www.ebay.com/sch/261328/i.html?_dcat=261328&amp;_fsrp=1&amp;rt=nc&amp;_from=R40&amp;_nkw=2025%20Bowman%20Chrome%20CHARLIE%20CONDON%20%23BCP-248%20Prospects%20Mojo%20Colorado%20Rockies&amp;_sacat=0&amp;_sop=15&amp;rt=nc&amp;LH_BIN=1", "Active")</f>
        <v/>
      </c>
      <c r="J109" s="2">
        <f>HYPERLINK("https://www.ebay.com/sch/261328/i.html?_from=R40&amp;_nkw=2025%20Bowman%20Chrome%20CHARLIE%20CONDON%20%23BCP-248%20Prospects%20Mojo%20Colorado%20Rockies&amp;_sacat=0&amp;LH_Sold=1&amp;LH_Complete=1&amp;_sop=13", "Completed")</f>
        <v/>
      </c>
      <c r="K109" s="2" t="inlineStr">
        <is>
          <t>2025 Bowman Chrome #BCP-248 Charlie Condon Prospects Mojo</t>
        </is>
      </c>
    </row>
    <row r="110">
      <c r="A110" s="2" t="inlineStr">
        <is>
          <t>BA-000088-qvtla</t>
        </is>
      </c>
      <c r="B110" s="2" t="inlineStr">
        <is>
          <t>2025 Topps Update PAXTON SCHULTZ #US350 Gold Toronto Blue Jays #/2025</t>
        </is>
      </c>
      <c r="C110" s="3" t="n">
        <v>4.99</v>
      </c>
      <c r="D110" s="3" t="n">
        <v>2.49</v>
      </c>
      <c r="E110" s="3" t="n">
        <v>-2.5</v>
      </c>
      <c r="F110" s="4" t="n">
        <v>-50.1</v>
      </c>
      <c r="G110" s="2" t="inlineStr">
        <is>
          <t>🔵 Floored $2.49 — free ship or $0.99 ship?</t>
        </is>
      </c>
      <c r="H110" s="2" t="inlineStr">
        <is>
          <t>83%</t>
        </is>
      </c>
      <c r="I110" s="2">
        <f>HYPERLINK("https://www.ebay.com/sch/261328/i.html?_dcat=261328&amp;_fsrp=1&amp;rt=nc&amp;_from=R40&amp;_nkw=2025%20Topps%20Update%20PAXTON%20SCHULTZ%20%23US350%20Gold%20Toronto%20Blue%20Jays%20%23%2F2025&amp;_sacat=0&amp;_sop=15&amp;rt=nc&amp;LH_BIN=1", "Active")</f>
        <v/>
      </c>
      <c r="J110" s="2">
        <f>HYPERLINK("https://www.ebay.com/sch/261328/i.html?_from=R40&amp;_nkw=2025%20Topps%20Update%20PAXTON%20SCHULTZ%20%23US350%20Gold%20Toronto%20Blue%20Jays%20%23%2F2025&amp;_sacat=0&amp;LH_Sold=1&amp;LH_Complete=1&amp;_sop=13", "Completed")</f>
        <v/>
      </c>
      <c r="K110" s="2" t="inlineStr">
        <is>
          <t>2025 Topps Update #US350 Paxton Schultz arc Rookie Blue Jays MLB</t>
        </is>
      </c>
    </row>
    <row r="111">
      <c r="A111" s="2" t="inlineStr">
        <is>
          <t>BA-000090-qvtlc</t>
        </is>
      </c>
      <c r="B111" s="2" t="inlineStr">
        <is>
          <t>2025 Topps ARCHIVES MARCELO MAYER #236 Black Foilboard Boston Red Sox</t>
        </is>
      </c>
      <c r="C111" s="3" t="n">
        <v>9.99</v>
      </c>
      <c r="D111" s="3" t="n">
        <v>2.49</v>
      </c>
      <c r="E111" s="3" t="n">
        <v>-7.5</v>
      </c>
      <c r="F111" s="4" t="n">
        <v>-75.09999999999999</v>
      </c>
      <c r="G111" s="2" t="inlineStr">
        <is>
          <t>🔵 Floored $2.49 — free ship or $0.99 ship?</t>
        </is>
      </c>
      <c r="H111" s="2" t="inlineStr">
        <is>
          <t>86%</t>
        </is>
      </c>
      <c r="I111" s="2">
        <f>HYPERLINK("https://www.ebay.com/sch/261328/i.html?_dcat=261328&amp;_fsrp=1&amp;rt=nc&amp;_from=R40&amp;_nkw=2025%20Topps%20ARCHIVES%20MARCELO%20MAYER%20%23236%20Black%20Foilboard%20Boston%20Red%20Sox&amp;_sacat=0&amp;_sop=15&amp;rt=nc&amp;LH_BIN=1", "Active")</f>
        <v/>
      </c>
      <c r="J111" s="2">
        <f>HYPERLINK("https://www.ebay.com/sch/261328/i.html?_from=R40&amp;_nkw=2025%20Topps%20ARCHIVES%20MARCELO%20MAYER%20%23236%20Black%20Foilboard%20Boston%20Red%20Sox&amp;_sacat=0&amp;LH_Sold=1&amp;LH_Complete=1&amp;_sop=13", "Completed")</f>
        <v/>
      </c>
      <c r="K111" s="2" t="inlineStr">
        <is>
          <t>2025 Topps Archives #236 Marcelo Mayer Black Foilboard</t>
        </is>
      </c>
    </row>
    <row r="112">
      <c r="A112" s="5" t="inlineStr">
        <is>
          <t>BA-000094-qvtlg</t>
        </is>
      </c>
      <c r="B112" s="5" t="inlineStr">
        <is>
          <t>2025 Bowman Chrome LUISANGEL ACUÑA #32b New York Mets</t>
        </is>
      </c>
      <c r="C112" s="6" t="n">
        <v>1.99</v>
      </c>
      <c r="D112" s="6" t="n">
        <v>2.49</v>
      </c>
      <c r="E112" s="6" t="n">
        <v>0.5</v>
      </c>
      <c r="F112" s="7" t="n">
        <v>25.1</v>
      </c>
      <c r="G112" s="5" t="inlineStr">
        <is>
          <t>⬆ Price Up</t>
        </is>
      </c>
      <c r="H112" s="5" t="inlineStr">
        <is>
          <t>85%</t>
        </is>
      </c>
      <c r="I112" s="5">
        <f>HYPERLINK("https://www.ebay.com/sch/261328/i.html?_dcat=261328&amp;_fsrp=1&amp;rt=nc&amp;_from=R40&amp;_nkw=2025%20Bowman%20Chrome%20LUISANGEL%20ACU%C3%91A%20%2332b%20New%20York%20Mets&amp;_sacat=0&amp;_sop=15&amp;rt=nc&amp;LH_BIN=1", "Active")</f>
        <v/>
      </c>
      <c r="J112" s="5">
        <f>HYPERLINK("https://www.ebay.com/sch/261328/i.html?_from=R40&amp;_nkw=2025%20Bowman%20Chrome%20LUISANGEL%20ACU%C3%91A%20%2332b%20New%20York%20Mets&amp;_sacat=0&amp;LH_Sold=1&amp;LH_Complete=1&amp;_sop=13", "Completed")</f>
        <v/>
      </c>
      <c r="K112" s="5" t="inlineStr">
        <is>
          <t>2025 Bowman Chrome #32b Luisangel Acuña</t>
        </is>
      </c>
    </row>
    <row r="113">
      <c r="A113" s="2" t="inlineStr">
        <is>
          <t>BA-000095-qvtlh</t>
        </is>
      </c>
      <c r="B113" s="2" t="inlineStr">
        <is>
          <t>2025 Topps ARCHIVES NICK KURTZ #213 Athletics</t>
        </is>
      </c>
      <c r="C113" s="3" t="n">
        <v>2.99</v>
      </c>
      <c r="D113" s="3" t="n">
        <v>2.49</v>
      </c>
      <c r="E113" s="3" t="n">
        <v>-0.5</v>
      </c>
      <c r="F113" s="4" t="n">
        <v>-16.7</v>
      </c>
      <c r="G113" s="2" t="inlineStr">
        <is>
          <t>🔵 Floored $2.49 — free ship or $0.99 ship?</t>
        </is>
      </c>
      <c r="H113" s="2" t="inlineStr">
        <is>
          <t>86%</t>
        </is>
      </c>
      <c r="I113" s="2">
        <f>HYPERLINK("https://www.ebay.com/sch/261328/i.html?_dcat=261328&amp;_fsrp=1&amp;rt=nc&amp;_from=R40&amp;_nkw=2025%20Topps%20ARCHIVES%20NICK%20KURTZ%20%23213%20Athletics&amp;_sacat=0&amp;_sop=15&amp;rt=nc&amp;LH_BIN=1", "Active")</f>
        <v/>
      </c>
      <c r="J113" s="2">
        <f>HYPERLINK("https://www.ebay.com/sch/261328/i.html?_from=R40&amp;_nkw=2025%20Topps%20ARCHIVES%20NICK%20KURTZ%20%23213%20Athletics&amp;_sacat=0&amp;LH_Sold=1&amp;LH_Complete=1&amp;_sop=13", "Completed")</f>
        <v/>
      </c>
      <c r="K113" s="2" t="inlineStr">
        <is>
          <t>2025 Topps Archives #213 Nick Kurtz</t>
        </is>
      </c>
    </row>
    <row r="114">
      <c r="A114" s="11" t="inlineStr">
        <is>
          <t>BA-000099-qvtll</t>
        </is>
      </c>
      <c r="B114" s="11" t="inlineStr">
        <is>
          <t>2025 Bowman Chrome NICK KURTZ #93 Mojo Refractors Athletics ROY</t>
        </is>
      </c>
      <c r="C114" s="12" t="n">
        <v>8.09</v>
      </c>
      <c r="D114" s="12" t="n">
        <v>6.79</v>
      </c>
      <c r="E114" s="12" t="n">
        <v>-1.3</v>
      </c>
      <c r="F114" s="13" t="n">
        <v>-16.1</v>
      </c>
      <c r="G114" s="11" t="inlineStr">
        <is>
          <t>⬇ Price Down</t>
        </is>
      </c>
      <c r="H114" s="11" t="inlineStr">
        <is>
          <t>76%</t>
        </is>
      </c>
      <c r="I114" s="11">
        <f>HYPERLINK("https://www.ebay.com/sch/261328/i.html?_dcat=261328&amp;_fsrp=1&amp;rt=nc&amp;_from=R40&amp;_nkw=2025%20Bowman%20Chrome%20NICK%20KURTZ%20%2393%20Mojo%20Refractors%20Athletics%20ROY&amp;_sacat=0&amp;_sop=15&amp;rt=nc&amp;LH_BIN=1", "Active")</f>
        <v/>
      </c>
      <c r="J114" s="11">
        <f>HYPERLINK("https://www.ebay.com/sch/261328/i.html?_from=R40&amp;_nkw=2025%20Bowman%20Chrome%20NICK%20KURTZ%20%2393%20Mojo%20Refractors%20Athletics%20ROY&amp;_sacat=0&amp;LH_Sold=1&amp;LH_Complete=1&amp;_sop=13", "Completed")</f>
        <v/>
      </c>
      <c r="K114" s="11" t="inlineStr">
        <is>
          <t>Nick Kurtz 2025 Bowman Chrome Mega Box Mojo Refractor RC #93 Athletics ROY!!!</t>
        </is>
      </c>
    </row>
    <row r="115">
      <c r="A115" s="5" t="inlineStr">
        <is>
          <t>FB-1692-itzxn-060F241</t>
        </is>
      </c>
      <c r="B115" s="5" t="inlineStr">
        <is>
          <t>2021 Panini Select SAM DARNOLD #7 Silver Prizm Die Cut Panthers (Seahawks)</t>
        </is>
      </c>
      <c r="C115" s="6" t="n">
        <v>3.49</v>
      </c>
      <c r="D115" s="6" t="n">
        <v>4.39</v>
      </c>
      <c r="E115" s="6" t="n">
        <v>0.9</v>
      </c>
      <c r="F115" s="7" t="n">
        <v>25.8</v>
      </c>
      <c r="G115" s="5" t="inlineStr">
        <is>
          <t>⬆ Price Up</t>
        </is>
      </c>
      <c r="H115" s="5" t="inlineStr">
        <is>
          <t>100%</t>
        </is>
      </c>
      <c r="I115" s="5">
        <f>HYPERLINK("https://www.ebay.com/sch/261328/i.html?_dcat=261328&amp;_fsrp=1&amp;rt=nc&amp;_from=R40&amp;_nkw=2021%20Panini%20Select%20SAM%20DARNOLD%20%237%20Silver%20Prizm%20Die%20Cut%20Panthers%20(Seahawks)&amp;_sacat=0&amp;_sop=15&amp;rt=nc&amp;LH_BIN=1", "Active")</f>
        <v/>
      </c>
      <c r="J115" s="5">
        <f>HYPERLINK("https://www.ebay.com/sch/261328/i.html?_from=R40&amp;_nkw=2021%20Panini%20Select%20SAM%20DARNOLD%20%237%20Silver%20Prizm%20Die%20Cut%20Panthers%20(Seahawks)&amp;_sacat=0&amp;LH_Sold=1&amp;LH_Complete=1&amp;_sop=13", "Completed")</f>
        <v/>
      </c>
      <c r="K115" s="5" t="inlineStr">
        <is>
          <t>2021 Panini Select SAM DARNOLD #7 Silver Prizm Die Cut Panthers (Seahawks)</t>
        </is>
      </c>
    </row>
    <row r="116">
      <c r="A116" s="11" t="inlineStr">
        <is>
          <t>BA-000137-r5lih</t>
        </is>
      </c>
      <c r="B116" s="11" t="inlineStr">
        <is>
          <t>2025 Topps Chrome Update Sapphire Edition TRENT GRISHAM #USC54 New York Yankees</t>
        </is>
      </c>
      <c r="C116" s="12" t="n">
        <v>5.99</v>
      </c>
      <c r="D116" s="12" t="n">
        <v>2.59</v>
      </c>
      <c r="E116" s="12" t="n">
        <v>-3.4</v>
      </c>
      <c r="F116" s="13" t="n">
        <v>-56.8</v>
      </c>
      <c r="G116" s="11" t="inlineStr">
        <is>
          <t>⬇ Price Down</t>
        </is>
      </c>
      <c r="H116" s="11" t="inlineStr">
        <is>
          <t>88%</t>
        </is>
      </c>
      <c r="I116" s="11">
        <f>HYPERLINK("https://www.ebay.com/sch/261328/i.html?_dcat=261328&amp;_fsrp=1&amp;rt=nc&amp;_from=R40&amp;_nkw=2025%20Topps%20Chrome%20Update%20Sapphire%20Edition%20TRENT%20GRISHAM%20%23USC54%20New%20York%20Yankees&amp;_sacat=0&amp;_sop=15&amp;rt=nc&amp;LH_BIN=1", "Active")</f>
        <v/>
      </c>
      <c r="J116" s="11">
        <f>HYPERLINK("https://www.ebay.com/sch/261328/i.html?_from=R40&amp;_nkw=2025%20Topps%20Chrome%20Update%20Sapphire%20Edition%20TRENT%20GRISHAM%20%23USC54%20New%20York%20Yankees&amp;_sacat=0&amp;LH_Sold=1&amp;LH_Complete=1&amp;_sop=13", "Completed")</f>
        <v/>
      </c>
      <c r="K116" s="11" t="inlineStr">
        <is>
          <t>2025 Topps Chrome Update Sapphire Edition #USC54 Trent Grisham - Yankees</t>
        </is>
      </c>
    </row>
    <row r="117">
      <c r="A117" s="2" t="inlineStr">
        <is>
          <t>BA-000138-r5lii</t>
        </is>
      </c>
      <c r="B117" s="2" t="inlineStr">
        <is>
          <t>2025 Bowman Draft DAX KILBY #PP-12 Prized Prospects New York Yankees</t>
        </is>
      </c>
      <c r="C117" s="3" t="n">
        <v>3.99</v>
      </c>
      <c r="D117" s="3" t="n">
        <v>2.49</v>
      </c>
      <c r="E117" s="3" t="n">
        <v>-1.5</v>
      </c>
      <c r="F117" s="4" t="n">
        <v>-37.6</v>
      </c>
      <c r="G117" s="2" t="inlineStr">
        <is>
          <t>🔵 Floored $2.49 — free ship or $0.99 ship?</t>
        </is>
      </c>
      <c r="H117" s="2" t="inlineStr">
        <is>
          <t>88%</t>
        </is>
      </c>
      <c r="I117" s="2">
        <f>HYPERLINK("https://www.ebay.com/sch/261328/i.html?_dcat=261328&amp;_fsrp=1&amp;rt=nc&amp;_from=R40&amp;_nkw=2025%20Bowman%20Draft%20DAX%20KILBY%20%23PP-12%20Prized%20Prospects%20New%20York%20Yankees&amp;_sacat=0&amp;_sop=15&amp;rt=nc&amp;LH_BIN=1", "Active")</f>
        <v/>
      </c>
      <c r="J117" s="2">
        <f>HYPERLINK("https://www.ebay.com/sch/261328/i.html?_from=R40&amp;_nkw=2025%20Bowman%20Draft%20DAX%20KILBY%20%23PP-12%20Prized%20Prospects%20New%20York%20Yankees&amp;_sacat=0&amp;LH_Sold=1&amp;LH_Complete=1&amp;_sop=13", "Completed")</f>
        <v/>
      </c>
      <c r="K117" s="2" t="inlineStr">
        <is>
          <t>2025 Bowman Draft Dax Kilby Prized Prospects #PP-12 NY Yankees Insert</t>
        </is>
      </c>
    </row>
    <row r="118">
      <c r="A118" s="11" t="inlineStr">
        <is>
          <t>BA-000156-r6eyf</t>
        </is>
      </c>
      <c r="B118" s="11" t="inlineStr">
        <is>
          <t>2025 Bowman Draft ENRIQUE BRADFIELD JR. #BD-198 Sky Blue Border Orioles #/499</t>
        </is>
      </c>
      <c r="C118" s="12" t="n">
        <v>4.99</v>
      </c>
      <c r="D118" s="12" t="n">
        <v>3.39</v>
      </c>
      <c r="E118" s="12" t="n">
        <v>-1.6</v>
      </c>
      <c r="F118" s="13" t="n">
        <v>-32.1</v>
      </c>
      <c r="G118" s="11" t="inlineStr">
        <is>
          <t>⬇ Price Down</t>
        </is>
      </c>
      <c r="H118" s="11" t="inlineStr">
        <is>
          <t>90%</t>
        </is>
      </c>
      <c r="I118" s="11">
        <f>HYPERLINK("https://www.ebay.com/sch/261328/i.html?_dcat=261328&amp;_fsrp=1&amp;rt=nc&amp;_from=R40&amp;_nkw=2025%20Bowman%20Draft%20ENRIQUE%20BRADFIELD%20JR.%20%23BD-198%20Sky%20Blue%20Border%20Orioles%20%23%2F499&amp;_sacat=0&amp;_sop=15&amp;rt=nc&amp;LH_BIN=1", "Active")</f>
        <v/>
      </c>
      <c r="J118" s="11">
        <f>HYPERLINK("https://www.ebay.com/sch/261328/i.html?_from=R40&amp;_nkw=2025%20Bowman%20Draft%20ENRIQUE%20BRADFIELD%20JR.%20%23BD-198%20Sky%20Blue%20Border%20Orioles%20%23%2F499&amp;_sacat=0&amp;LH_Sold=1&amp;LH_Complete=1&amp;_sop=13", "Completed")</f>
        <v/>
      </c>
      <c r="K118" s="11" t="inlineStr">
        <is>
          <t>2025 Bowman Draft #BD-198 Enrique Bradfield Jr. Sky Blue Border /499 Orioles</t>
        </is>
      </c>
    </row>
    <row r="119">
      <c r="A119" s="2" t="inlineStr">
        <is>
          <t>BA-000160-r6eyk</t>
        </is>
      </c>
      <c r="B119" s="2" t="inlineStr">
        <is>
          <t>2025 Bowman Draft GRANT RICHARDSON #BD-171 Blue Border Athletics #/150</t>
        </is>
      </c>
      <c r="C119" s="3" t="n">
        <v>5.99</v>
      </c>
      <c r="D119" s="3" t="n">
        <v>2.49</v>
      </c>
      <c r="E119" s="3" t="n">
        <v>-3.5</v>
      </c>
      <c r="F119" s="4" t="n">
        <v>-58.4</v>
      </c>
      <c r="G119" s="2" t="inlineStr">
        <is>
          <t>🔵 Floored $2.49 — free ship or $0.99 ship?</t>
        </is>
      </c>
      <c r="H119" s="2" t="inlineStr">
        <is>
          <t>86%</t>
        </is>
      </c>
      <c r="I119" s="2">
        <f>HYPERLINK("https://www.ebay.com/sch/261328/i.html?_dcat=261328&amp;_fsrp=1&amp;rt=nc&amp;_from=R40&amp;_nkw=2025%20Bowman%20Draft%20GRANT%20RICHARDSON%20%23BD-171%20Blue%20Border%20Athletics%20%23%2F150&amp;_sacat=0&amp;_sop=15&amp;rt=nc&amp;LH_BIN=1", "Active")</f>
        <v/>
      </c>
      <c r="J119" s="2">
        <f>HYPERLINK("https://www.ebay.com/sch/261328/i.html?_from=R40&amp;_nkw=2025%20Bowman%20Draft%20GRANT%20RICHARDSON%20%23BD-171%20Blue%20Border%20Athletics%20%23%2F150&amp;_sacat=0&amp;LH_Sold=1&amp;LH_Complete=1&amp;_sop=13", "Completed")</f>
        <v/>
      </c>
      <c r="K119" s="2" t="inlineStr">
        <is>
          <t>2025 Bowman Draft-Grant Richardson 1st Bowman Blue Paper /150 Athletics #BD-171</t>
        </is>
      </c>
    </row>
    <row r="120">
      <c r="A120" s="11" t="inlineStr">
        <is>
          <t>BA-000168-r7ewt</t>
        </is>
      </c>
      <c r="B120" s="11" t="inlineStr">
        <is>
          <t>2025 Bowman Draft GAGE WOOD #BDC-4 Chrome Refractor Philadelphia Phillies</t>
        </is>
      </c>
      <c r="C120" s="12" t="n">
        <v>5.99</v>
      </c>
      <c r="D120" s="12" t="n">
        <v>4.19</v>
      </c>
      <c r="E120" s="12" t="n">
        <v>-1.8</v>
      </c>
      <c r="F120" s="13" t="n">
        <v>-30.1</v>
      </c>
      <c r="G120" s="11" t="inlineStr">
        <is>
          <t>⬇ Price Down</t>
        </is>
      </c>
      <c r="H120" s="11" t="inlineStr">
        <is>
          <t>83%</t>
        </is>
      </c>
      <c r="I120" s="11">
        <f>HYPERLINK("https://www.ebay.com/sch/261328/i.html?_dcat=261328&amp;_fsrp=1&amp;rt=nc&amp;_from=R40&amp;_nkw=2025%20Bowman%20Draft%20GAGE%20WOOD%20%23BDC-4%20Chrome%20Refractor%20Philadelphia%20Phillies&amp;_sacat=0&amp;_sop=15&amp;rt=nc&amp;LH_BIN=1", "Active")</f>
        <v/>
      </c>
      <c r="J120" s="11">
        <f>HYPERLINK("https://www.ebay.com/sch/261328/i.html?_from=R40&amp;_nkw=2025%20Bowman%20Draft%20GAGE%20WOOD%20%23BDC-4%20Chrome%20Refractor%20Philadelphia%20Phillies&amp;_sacat=0&amp;LH_Sold=1&amp;LH_Complete=1&amp;_sop=13", "Completed")</f>
        <v/>
      </c>
      <c r="K120" s="11" t="inlineStr">
        <is>
          <t>2025 Bowman Draft #BDC-4 Gage Wood Chrome Mojo Refractor</t>
        </is>
      </c>
    </row>
    <row r="121">
      <c r="A121" s="5" t="inlineStr">
        <is>
          <t>BA-000174-r7ewz</t>
        </is>
      </c>
      <c r="B121" s="5" t="inlineStr">
        <is>
          <t>2025 Bowman Draft CADEN BODINE #BDC-63 Chrome Ref Baltimore Orioles Basketball</t>
        </is>
      </c>
      <c r="C121" s="6" t="n">
        <v>3.49</v>
      </c>
      <c r="D121" s="6" t="n">
        <v>4.39</v>
      </c>
      <c r="E121" s="6" t="n">
        <v>0.9</v>
      </c>
      <c r="F121" s="7" t="n">
        <v>25.8</v>
      </c>
      <c r="G121" s="5" t="inlineStr">
        <is>
          <t>⬆ Price Up</t>
        </is>
      </c>
      <c r="H121" s="5" t="inlineStr">
        <is>
          <t>100%</t>
        </is>
      </c>
      <c r="I121" s="5">
        <f>HYPERLINK("https://www.ebay.com/sch/261328/i.html?_dcat=261328&amp;_fsrp=1&amp;rt=nc&amp;_from=R40&amp;_nkw=2025%20Bowman%20Draft%20CADEN%20BODINE%20%23BDC-63%20Chrome%20Ref%20Baltimore%20Orioles%20Basketball&amp;_sacat=0&amp;_sop=15&amp;rt=nc&amp;LH_BIN=1", "Active")</f>
        <v/>
      </c>
      <c r="J121" s="5">
        <f>HYPERLINK("https://www.ebay.com/sch/261328/i.html?_from=R40&amp;_nkw=2025%20Bowman%20Draft%20CADEN%20BODINE%20%23BDC-63%20Chrome%20Ref%20Baltimore%20Orioles%20Basketball&amp;_sacat=0&amp;LH_Sold=1&amp;LH_Complete=1&amp;_sop=13", "Completed")</f>
        <v/>
      </c>
      <c r="K121" s="5" t="inlineStr">
        <is>
          <t>2025 Bowman Draft CADEN BODINE #BDC-63 Chrome Ref Baltimore Orioles Basketball</t>
        </is>
      </c>
    </row>
    <row r="122">
      <c r="A122" s="2" t="inlineStr">
        <is>
          <t>BA-000176-r7ex1</t>
        </is>
      </c>
      <c r="B122" s="2" t="inlineStr">
        <is>
          <t>2025 Topps Chrome AARON JUDGE #PP-1 Power Players New York Yankees</t>
        </is>
      </c>
      <c r="C122" s="3" t="n">
        <v>4.49</v>
      </c>
      <c r="D122" s="3" t="n">
        <v>2.49</v>
      </c>
      <c r="E122" s="3" t="n">
        <v>-2</v>
      </c>
      <c r="F122" s="4" t="n">
        <v>-44.5</v>
      </c>
      <c r="G122" s="2" t="inlineStr">
        <is>
          <t>🔵 Floored $2.49 — free ship or $0.99 ship?</t>
        </is>
      </c>
      <c r="H122" s="2" t="inlineStr">
        <is>
          <t>85%</t>
        </is>
      </c>
      <c r="I122" s="2">
        <f>HYPERLINK("https://www.ebay.com/sch/261328/i.html?_dcat=261328&amp;_fsrp=1&amp;rt=nc&amp;_from=R40&amp;_nkw=2025%20Topps%20Chrome%20AARON%20JUDGE%20%23PP-1%20Power%20Players%20New%20York%20Yankees&amp;_sacat=0&amp;_sop=15&amp;rt=nc&amp;LH_BIN=1", "Active")</f>
        <v/>
      </c>
      <c r="J122" s="2">
        <f>HYPERLINK("https://www.ebay.com/sch/261328/i.html?_from=R40&amp;_nkw=2025%20Topps%20Chrome%20AARON%20JUDGE%20%23PP-1%20Power%20Players%20New%20York%20Yankees&amp;_sacat=0&amp;LH_Sold=1&amp;LH_Complete=1&amp;_sop=13", "Completed")</f>
        <v/>
      </c>
      <c r="K122" s="2" t="inlineStr">
        <is>
          <t>2025 Topps Chrome #PP-1 Aaron Judge Power Players</t>
        </is>
      </c>
    </row>
    <row r="123">
      <c r="A123" s="2" t="inlineStr">
        <is>
          <t>BA-000177-r7ex2</t>
        </is>
      </c>
      <c r="B123" s="2" t="inlineStr">
        <is>
          <t>2025 Topps Chrome JACK KOCHANOWICZ #121 Sepia Refractors Los Angeles Angels</t>
        </is>
      </c>
      <c r="C123" s="3" t="n">
        <v>2.99</v>
      </c>
      <c r="D123" s="3" t="n">
        <v>2.49</v>
      </c>
      <c r="E123" s="3" t="n">
        <v>-0.5</v>
      </c>
      <c r="F123" s="4" t="n">
        <v>-16.7</v>
      </c>
      <c r="G123" s="2" t="inlineStr">
        <is>
          <t>🔵 Floored $2.49 — free ship or $0.99 ship?</t>
        </is>
      </c>
      <c r="H123" s="2" t="inlineStr">
        <is>
          <t>64%</t>
        </is>
      </c>
      <c r="I123" s="2">
        <f>HYPERLINK("https://www.ebay.com/sch/261328/i.html?_dcat=261328&amp;_fsrp=1&amp;rt=nc&amp;_from=R40&amp;_nkw=2025%20Topps%20Chrome%20JACK%20KOCHANOWICZ%20%23121%20Sepia%20Refractors%20Los%20Angeles%20Angels&amp;_sacat=0&amp;_sop=15&amp;rt=nc&amp;LH_BIN=1", "Active")</f>
        <v/>
      </c>
      <c r="J123" s="2">
        <f>HYPERLINK("https://www.ebay.com/sch/261328/i.html?_from=R40&amp;_nkw=2025%20Topps%20Chrome%20JACK%20KOCHANOWICZ%20%23121%20Sepia%20Refractors%20Los%20Angeles%20Angels&amp;_sacat=0&amp;LH_Sold=1&amp;LH_Complete=1&amp;_sop=13", "Completed")</f>
        <v/>
      </c>
      <c r="K123" s="2" t="inlineStr">
        <is>
          <t>2025 Topps Chrome - Sepia Refractor (#1-300) You Pick - FREE SHIPPING</t>
        </is>
      </c>
    </row>
    <row r="124">
      <c r="A124" s="2" t="inlineStr">
        <is>
          <t>BA-000179-r7ex4</t>
        </is>
      </c>
      <c r="B124" s="2" t="inlineStr">
        <is>
          <t>2025 Topps Chrome DREW THORPE #275 Sepia Refractors Chicago White Sox</t>
        </is>
      </c>
      <c r="C124" s="3" t="n">
        <v>2.99</v>
      </c>
      <c r="D124" s="3" t="n">
        <v>2.49</v>
      </c>
      <c r="E124" s="3" t="n">
        <v>-0.5</v>
      </c>
      <c r="F124" s="4" t="n">
        <v>-16.7</v>
      </c>
      <c r="G124" s="2" t="inlineStr">
        <is>
          <t>🔵 Floored $2.49 — free ship or $0.99 ship?</t>
        </is>
      </c>
      <c r="H124" s="2" t="inlineStr">
        <is>
          <t>70%</t>
        </is>
      </c>
      <c r="I124" s="2">
        <f>HYPERLINK("https://www.ebay.com/sch/261328/i.html?_dcat=261328&amp;_fsrp=1&amp;rt=nc&amp;_from=R40&amp;_nkw=2025%20Topps%20Chrome%20DREW%20THORPE%20%23275%20Sepia%20Refractors%20Chicago%20White%20Sox&amp;_sacat=0&amp;_sop=15&amp;rt=nc&amp;LH_BIN=1", "Active")</f>
        <v/>
      </c>
      <c r="J124" s="2">
        <f>HYPERLINK("https://www.ebay.com/sch/261328/i.html?_from=R40&amp;_nkw=2025%20Topps%20Chrome%20DREW%20THORPE%20%23275%20Sepia%20Refractors%20Chicago%20White%20Sox&amp;_sacat=0&amp;LH_Sold=1&amp;LH_Complete=1&amp;_sop=13", "Completed")</f>
        <v/>
      </c>
      <c r="K124" s="2" t="inlineStr">
        <is>
          <t>2025 Topps Chrome Sepia Refractor Cards #1-300 – You Pick / Complete Your Set</t>
        </is>
      </c>
    </row>
    <row r="125">
      <c r="A125" s="2" t="inlineStr">
        <is>
          <t>BA-000171-r7eww</t>
        </is>
      </c>
      <c r="B125" s="2" t="inlineStr">
        <is>
          <t>2025 Bowman Draft KANE KEPLEY #BDC-200 Chrome Refractor Chicago Cubs</t>
        </is>
      </c>
      <c r="C125" s="3" t="n">
        <v>2.99</v>
      </c>
      <c r="D125" s="3" t="n">
        <v>2.49</v>
      </c>
      <c r="E125" s="3" t="n">
        <v>-0.5</v>
      </c>
      <c r="F125" s="4" t="n">
        <v>-16.7</v>
      </c>
      <c r="G125" s="2" t="inlineStr">
        <is>
          <t>🔵 Floored $2.49 — free ship or $0.99 ship?</t>
        </is>
      </c>
      <c r="H125" s="2" t="inlineStr">
        <is>
          <t>69%</t>
        </is>
      </c>
      <c r="I125" s="2">
        <f>HYPERLINK("https://www.ebay.com/sch/261328/i.html?_dcat=261328&amp;_fsrp=1&amp;rt=nc&amp;_from=R40&amp;_nkw=2025%20Bowman%20Draft%20KANE%20KEPLEY%20%23BDC-200%20Chrome%20Refractor%20Chicago%20Cubs&amp;_sacat=0&amp;_sop=15&amp;rt=nc&amp;LH_BIN=1", "Active")</f>
        <v/>
      </c>
      <c r="J125" s="2">
        <f>HYPERLINK("https://www.ebay.com/sch/261328/i.html?_from=R40&amp;_nkw=2025%20Bowman%20Draft%20KANE%20KEPLEY%20%23BDC-200%20Chrome%20Refractor%20Chicago%20Cubs&amp;_sacat=0&amp;LH_Sold=1&amp;LH_Complete=1&amp;_sop=13", "Completed")</f>
        <v/>
      </c>
      <c r="K125" s="2" t="inlineStr">
        <is>
          <t>2025 Bowman Draft Chrome Pick Your Card BDC 1st Bowman MLB Prospect RC Refractor</t>
        </is>
      </c>
    </row>
    <row r="126">
      <c r="A126" s="5" t="inlineStr">
        <is>
          <t>BA-000180-r7ex5</t>
        </is>
      </c>
      <c r="B126" s="5" t="inlineStr">
        <is>
          <t>2025 Topps Chrome JHONKENSY NOEL #291 Sepia Refractors Cleveland Guardians</t>
        </is>
      </c>
      <c r="C126" s="6" t="n">
        <v>1.99</v>
      </c>
      <c r="D126" s="6" t="n">
        <v>2.49</v>
      </c>
      <c r="E126" s="6" t="n">
        <v>0.5</v>
      </c>
      <c r="F126" s="7" t="n">
        <v>25.1</v>
      </c>
      <c r="G126" s="5" t="inlineStr">
        <is>
          <t>⬆ Price Up</t>
        </is>
      </c>
      <c r="H126" s="5" t="inlineStr">
        <is>
          <t>84%</t>
        </is>
      </c>
      <c r="I126" s="5">
        <f>HYPERLINK("https://www.ebay.com/sch/261328/i.html?_dcat=261328&amp;_fsrp=1&amp;rt=nc&amp;_from=R40&amp;_nkw=2025%20Topps%20Chrome%20JHONKENSY%20NOEL%20%23291%20Sepia%20Refractors%20Cleveland%20Guardians&amp;_sacat=0&amp;_sop=15&amp;rt=nc&amp;LH_BIN=1", "Active")</f>
        <v/>
      </c>
      <c r="J126" s="5">
        <f>HYPERLINK("https://www.ebay.com/sch/261328/i.html?_from=R40&amp;_nkw=2025%20Topps%20Chrome%20JHONKENSY%20NOEL%20%23291%20Sepia%20Refractors%20Cleveland%20Guardians&amp;_sacat=0&amp;LH_Sold=1&amp;LH_Complete=1&amp;_sop=13", "Completed")</f>
        <v/>
      </c>
      <c r="K126" s="5" t="inlineStr">
        <is>
          <t>2025 Topps Chrome #291 Jhonkensy Noel Sepia Refractor</t>
        </is>
      </c>
    </row>
    <row r="127">
      <c r="A127" s="2" t="inlineStr">
        <is>
          <t>BA-000181-r7ex6</t>
        </is>
      </c>
      <c r="B127" s="2" t="inlineStr">
        <is>
          <t>2025 Topps Chrome WYATT LANGFORD #FS-13 Future Stars Texas Rangers</t>
        </is>
      </c>
      <c r="C127" s="3" t="n">
        <v>3.49</v>
      </c>
      <c r="D127" s="3" t="n">
        <v>2.49</v>
      </c>
      <c r="E127" s="3" t="n">
        <v>-1</v>
      </c>
      <c r="F127" s="4" t="n">
        <v>-28.7</v>
      </c>
      <c r="G127" s="2" t="inlineStr">
        <is>
          <t>🔵 Floored $2.49 — free ship or $0.99 ship?</t>
        </is>
      </c>
      <c r="H127" s="2" t="inlineStr">
        <is>
          <t>87%</t>
        </is>
      </c>
      <c r="I127" s="2">
        <f>HYPERLINK("https://www.ebay.com/sch/261328/i.html?_dcat=261328&amp;_fsrp=1&amp;rt=nc&amp;_from=R40&amp;_nkw=2025%20Topps%20Chrome%20WYATT%20LANGFORD%20%23FS-13%20Future%20Stars%20Texas%20Rangers&amp;_sacat=0&amp;_sop=15&amp;rt=nc&amp;LH_BIN=1", "Active")</f>
        <v/>
      </c>
      <c r="J127" s="2">
        <f>HYPERLINK("https://www.ebay.com/sch/261328/i.html?_from=R40&amp;_nkw=2025%20Topps%20Chrome%20WYATT%20LANGFORD%20%23FS-13%20Future%20Stars%20Texas%20Rangers&amp;_sacat=0&amp;LH_Sold=1&amp;LH_Complete=1&amp;_sop=13", "Completed")</f>
        <v/>
      </c>
      <c r="K127" s="2" t="inlineStr">
        <is>
          <t>2025 Topps Chrome - Wyatt Langford Future Stars Refractor #FS-13 Texas Rangers</t>
        </is>
      </c>
    </row>
    <row r="128">
      <c r="A128" s="8" t="inlineStr">
        <is>
          <t>BA-000182-r7ex7</t>
        </is>
      </c>
      <c r="B128" s="8" t="inlineStr">
        <is>
          <t>2025 Topps Chrome KYLE SCHWARBER #PP-15 Power Players Philadelphia Phillies</t>
        </is>
      </c>
      <c r="C128" s="9" t="n">
        <v>2.49</v>
      </c>
      <c r="D128" s="9" t="n">
        <v>2.49</v>
      </c>
      <c r="E128" s="9" t="n">
        <v>0</v>
      </c>
      <c r="F128" s="10" t="n">
        <v>0</v>
      </c>
      <c r="G128" s="8" t="inlineStr">
        <is>
          <t>— No Change</t>
        </is>
      </c>
      <c r="H128" s="8" t="inlineStr">
        <is>
          <t>68%</t>
        </is>
      </c>
      <c r="I128" s="8">
        <f>HYPERLINK("https://www.ebay.com/sch/261328/i.html?_dcat=261328&amp;_fsrp=1&amp;rt=nc&amp;_from=R40&amp;_nkw=2025%20Topps%20Chrome%20KYLE%20SCHWARBER%20%23PP-15%20Power%20Players%20Philadelphia%20Phillies&amp;_sacat=0&amp;_sop=15&amp;rt=nc&amp;LH_BIN=1", "Active")</f>
        <v/>
      </c>
      <c r="J128" s="8">
        <f>HYPERLINK("https://www.ebay.com/sch/261328/i.html?_from=R40&amp;_nkw=2025%20Topps%20Chrome%20KYLE%20SCHWARBER%20%23PP-15%20Power%20Players%20Philadelphia%20Phillies&amp;_sacat=0&amp;LH_Sold=1&amp;LH_Complete=1&amp;_sop=13", "Completed")</f>
        <v/>
      </c>
      <c r="K128" s="8" t="inlineStr">
        <is>
          <t>2025 Topps Chrome Power Players - Pick Your Card / Complete Set - FREE SHIPPING</t>
        </is>
      </c>
    </row>
    <row r="129">
      <c r="A129" s="2" t="inlineStr">
        <is>
          <t>BA-000183-r7ex8</t>
        </is>
      </c>
      <c r="B129" s="2" t="inlineStr">
        <is>
          <t>2025 Topps Chrome MOOKIE BETTS #CAE-9 Chrome All-Etch Los Angeles Dodgers</t>
        </is>
      </c>
      <c r="C129" s="3" t="n">
        <v>5.49</v>
      </c>
      <c r="D129" s="3" t="n">
        <v>2.49</v>
      </c>
      <c r="E129" s="3" t="n">
        <v>-3</v>
      </c>
      <c r="F129" s="4" t="n">
        <v>-54.6</v>
      </c>
      <c r="G129" s="2" t="inlineStr">
        <is>
          <t>🔵 Floored $2.49 — free ship or $0.99 ship?</t>
        </is>
      </c>
      <c r="H129" s="2" t="inlineStr">
        <is>
          <t>90%</t>
        </is>
      </c>
      <c r="I129" s="2">
        <f>HYPERLINK("https://www.ebay.com/sch/261328/i.html?_dcat=261328&amp;_fsrp=1&amp;rt=nc&amp;_from=R40&amp;_nkw=2025%20Topps%20Chrome%20MOOKIE%20BETTS%20%23CAE-9%20Chrome%20All-Etch%20Los%20Angeles%20Dodgers&amp;_sacat=0&amp;_sop=15&amp;rt=nc&amp;LH_BIN=1", "Active")</f>
        <v/>
      </c>
      <c r="J129" s="2">
        <f>HYPERLINK("https://www.ebay.com/sch/261328/i.html?_from=R40&amp;_nkw=2025%20Topps%20Chrome%20MOOKIE%20BETTS%20%23CAE-9%20Chrome%20All-Etch%20Los%20Angeles%20Dodgers&amp;_sacat=0&amp;LH_Sold=1&amp;LH_Complete=1&amp;_sop=13", "Completed")</f>
        <v/>
      </c>
      <c r="K129" s="2" t="inlineStr">
        <is>
          <t>2025 Topps Chrome #CAE-9 Mookie Betts Chrome All-Etch Los Angeles Dodgers</t>
        </is>
      </c>
    </row>
    <row r="130">
      <c r="A130" t="inlineStr">
        <is>
          <t>BA-000184-r8m0e</t>
        </is>
      </c>
      <c r="B130" t="inlineStr">
        <is>
          <t>2025 Bowman Chrome TOMMY WHITE #BCP-251 Athletics</t>
        </is>
      </c>
      <c r="C130" s="14" t="n">
        <v>2.99</v>
      </c>
      <c r="D130" s="14" t="n"/>
      <c r="E130" s="14" t="inlineStr"/>
      <c r="F130" s="15" t="inlineStr"/>
      <c r="G130" t="inlineStr">
        <is>
          <t>? No price data</t>
        </is>
      </c>
      <c r="H130" t="inlineStr">
        <is>
          <t>50%</t>
        </is>
      </c>
      <c r="I130">
        <f>HYPERLINK("https://www.ebay.com/sch/261328/i.html?_dcat=261328&amp;_fsrp=1&amp;rt=nc&amp;_from=R40&amp;_nkw=2025%20Bowman%20Chrome%20TOMMY%20WHITE%20%23BCP-251%20Athletics&amp;_sacat=0&amp;_sop=15&amp;rt=nc&amp;LH_BIN=1", "Active")</f>
        <v/>
      </c>
      <c r="J130">
        <f>HYPERLINK("https://www.ebay.com/sch/261328/i.html?_from=R40&amp;_nkw=2025%20Bowman%20Chrome%20TOMMY%20WHITE%20%23BCP-251%20Athletics&amp;_sacat=0&amp;LH_Sold=1&amp;LH_Complete=1&amp;_sop=13", "Completed")</f>
        <v/>
      </c>
      <c r="K130" t="inlineStr">
        <is>
          <t>Oakland Athletics - RC - Stars - Inserts - Various Brands and Years - PYC</t>
        </is>
      </c>
    </row>
    <row r="131">
      <c r="A131" s="8" t="inlineStr">
        <is>
          <t>BA-000217-r8os4</t>
        </is>
      </c>
      <c r="B131" s="8" t="inlineStr">
        <is>
          <t>2025 Bowman Chrome PEDRO CATUY #BCP-210 Prospects Arizona Diamondbacks</t>
        </is>
      </c>
      <c r="C131" s="9" t="n">
        <v>2.49</v>
      </c>
      <c r="D131" s="9" t="n">
        <v>2.49</v>
      </c>
      <c r="E131" s="9" t="n">
        <v>0</v>
      </c>
      <c r="F131" s="10" t="n">
        <v>0</v>
      </c>
      <c r="G131" s="8" t="inlineStr">
        <is>
          <t>— No Change</t>
        </is>
      </c>
      <c r="H131" s="8" t="inlineStr">
        <is>
          <t>68%</t>
        </is>
      </c>
      <c r="I131" s="8">
        <f>HYPERLINK("https://www.ebay.com/sch/261328/i.html?_dcat=261328&amp;_fsrp=1&amp;rt=nc&amp;_from=R40&amp;_nkw=2025%20Bowman%20Chrome%20PEDRO%20CATUY%20%23BCP-210%20Prospects%20Arizona%20Diamondbacks&amp;_sacat=0&amp;_sop=15&amp;rt=nc&amp;LH_BIN=1", "Active")</f>
        <v/>
      </c>
      <c r="J131" s="8">
        <f>HYPERLINK("https://www.ebay.com/sch/261328/i.html?_from=R40&amp;_nkw=2025%20Bowman%20Chrome%20PEDRO%20CATUY%20%23BCP-210%20Prospects%20Arizona%20Diamondbacks&amp;_sacat=0&amp;LH_Sold=1&amp;LH_Complete=1&amp;_sop=13", "Completed")</f>
        <v/>
      </c>
      <c r="K131" s="8" t="inlineStr">
        <is>
          <t>2025 Bowman Chrome Prospects BCP-1 to BCP-251 *You Pick* Complete Your Set</t>
        </is>
      </c>
    </row>
    <row r="132">
      <c r="A132" s="8" t="inlineStr">
        <is>
          <t>BA-000185-r8m0f</t>
        </is>
      </c>
      <c r="B132" s="8" t="inlineStr">
        <is>
          <t>2025 Bowman Chrome DJ LAYTON #BCP-252 Prospects Baltimore Orioles</t>
        </is>
      </c>
      <c r="C132" s="9" t="n">
        <v>2.49</v>
      </c>
      <c r="D132" s="9" t="n">
        <v>2.49</v>
      </c>
      <c r="E132" s="9" t="n">
        <v>0</v>
      </c>
      <c r="F132" s="10" t="n">
        <v>0</v>
      </c>
      <c r="G132" s="8" t="inlineStr">
        <is>
          <t>— No Change</t>
        </is>
      </c>
      <c r="H132" s="8" t="inlineStr">
        <is>
          <t>84%</t>
        </is>
      </c>
      <c r="I132" s="8">
        <f>HYPERLINK("https://www.ebay.com/sch/261328/i.html?_dcat=261328&amp;_fsrp=1&amp;rt=nc&amp;_from=R40&amp;_nkw=2025%20Bowman%20Chrome%20DJ%20LAYTON%20%23BCP-252%20Prospects%20Baltimore%20Orioles&amp;_sacat=0&amp;_sop=15&amp;rt=nc&amp;LH_BIN=1", "Active")</f>
        <v/>
      </c>
      <c r="J132" s="8">
        <f>HYPERLINK("https://www.ebay.com/sch/261328/i.html?_from=R40&amp;_nkw=2025%20Bowman%20Chrome%20DJ%20LAYTON%20%23BCP-252%20Prospects%20Baltimore%20Orioles&amp;_sacat=0&amp;LH_Sold=1&amp;LH_Complete=1&amp;_sop=13", "Completed")</f>
        <v/>
      </c>
      <c r="K132" s="8" t="inlineStr">
        <is>
          <t>2025 Bowman Chrome #BCP-252 DJ Layton Prospects</t>
        </is>
      </c>
    </row>
    <row r="133">
      <c r="A133" s="2" t="inlineStr">
        <is>
          <t>BA-000209-r8mdr</t>
        </is>
      </c>
      <c r="B133" s="2" t="inlineStr">
        <is>
          <t>2025 Bowman Chrome JOSE ANDERSON #BCP-193 Prospects Milwaukee Brewers</t>
        </is>
      </c>
      <c r="C133" s="3" t="n">
        <v>2.99</v>
      </c>
      <c r="D133" s="3" t="n">
        <v>2.49</v>
      </c>
      <c r="E133" s="3" t="n">
        <v>-0.5</v>
      </c>
      <c r="F133" s="4" t="n">
        <v>-16.7</v>
      </c>
      <c r="G133" s="2" t="inlineStr">
        <is>
          <t>🔵 Floored $2.49 — free ship or $0.99 ship?</t>
        </is>
      </c>
      <c r="H133" s="2" t="inlineStr">
        <is>
          <t>84%</t>
        </is>
      </c>
      <c r="I133" s="2">
        <f>HYPERLINK("https://www.ebay.com/sch/261328/i.html?_dcat=261328&amp;_fsrp=1&amp;rt=nc&amp;_from=R40&amp;_nkw=2025%20Bowman%20Chrome%20JOSE%20ANDERSON%20%23BCP-193%20Prospects%20Milwaukee%20Brewers&amp;_sacat=0&amp;_sop=15&amp;rt=nc&amp;LH_BIN=1", "Active")</f>
        <v/>
      </c>
      <c r="J133" s="2">
        <f>HYPERLINK("https://www.ebay.com/sch/261328/i.html?_from=R40&amp;_nkw=2025%20Bowman%20Chrome%20JOSE%20ANDERSON%20%23BCP-193%20Prospects%20Milwaukee%20Brewers&amp;_sacat=0&amp;LH_Sold=1&amp;LH_Complete=1&amp;_sop=13", "Completed")</f>
        <v/>
      </c>
      <c r="K133" s="2" t="inlineStr">
        <is>
          <t>2025 Bowman Chrome #BCP-193 Jose Anderson Prospects Mojo</t>
        </is>
      </c>
    </row>
    <row r="134">
      <c r="A134" s="2" t="inlineStr">
        <is>
          <t>BA-000211-r8mdu</t>
        </is>
      </c>
      <c r="B134" s="2" t="inlineStr">
        <is>
          <t>2025 Bowman Chrome CHRISTOPHER SUERO #BCP-191 Prospects New York Mets</t>
        </is>
      </c>
      <c r="C134" s="3" t="n">
        <v>2.99</v>
      </c>
      <c r="D134" s="3" t="n">
        <v>2.49</v>
      </c>
      <c r="E134" s="3" t="n">
        <v>-0.5</v>
      </c>
      <c r="F134" s="4" t="n">
        <v>-16.7</v>
      </c>
      <c r="G134" s="2" t="inlineStr">
        <is>
          <t>🔵 Floored $2.49 — free ship or $0.99 ship?</t>
        </is>
      </c>
      <c r="H134" s="2" t="inlineStr">
        <is>
          <t>90%</t>
        </is>
      </c>
      <c r="I134" s="2">
        <f>HYPERLINK("https://www.ebay.com/sch/261328/i.html?_dcat=261328&amp;_fsrp=1&amp;rt=nc&amp;_from=R40&amp;_nkw=2025%20Bowman%20Chrome%20CHRISTOPHER%20SUERO%20%23BCP-191%20Prospects%20New%20York%20Mets&amp;_sacat=0&amp;_sop=15&amp;rt=nc&amp;LH_BIN=1", "Active")</f>
        <v/>
      </c>
      <c r="J134" s="2">
        <f>HYPERLINK("https://www.ebay.com/sch/261328/i.html?_from=R40&amp;_nkw=2025%20Bowman%20Chrome%20CHRISTOPHER%20SUERO%20%23BCP-191%20Prospects%20New%20York%20Mets&amp;_sacat=0&amp;LH_Sold=1&amp;LH_Complete=1&amp;_sop=13", "Completed")</f>
        <v/>
      </c>
      <c r="K134" s="2" t="inlineStr">
        <is>
          <t>2025 Bowman Chrome #BCP-191 Christopher Suero Prospects New York Mets</t>
        </is>
      </c>
    </row>
    <row r="135">
      <c r="A135" s="2" t="inlineStr">
        <is>
          <t>BA-000186-r8m0g</t>
        </is>
      </c>
      <c r="B135" s="2" t="inlineStr">
        <is>
          <t>2025 Bowman Chrome DIEGO TORNES #BCP-214 Prospects Atlanta Braves</t>
        </is>
      </c>
      <c r="C135" s="3" t="n">
        <v>2.99</v>
      </c>
      <c r="D135" s="3" t="n">
        <v>2.49</v>
      </c>
      <c r="E135" s="3" t="n">
        <v>-0.5</v>
      </c>
      <c r="F135" s="4" t="n">
        <v>-16.7</v>
      </c>
      <c r="G135" s="2" t="inlineStr">
        <is>
          <t>🔵 Floored $2.49 — free ship or $0.99 ship?</t>
        </is>
      </c>
      <c r="H135" s="2" t="inlineStr">
        <is>
          <t>85%</t>
        </is>
      </c>
      <c r="I135" s="2">
        <f>HYPERLINK("https://www.ebay.com/sch/261328/i.html?_dcat=261328&amp;_fsrp=1&amp;rt=nc&amp;_from=R40&amp;_nkw=2025%20Bowman%20Chrome%20DIEGO%20TORNES%20%23BCP-214%20Prospects%20Atlanta%20Braves&amp;_sacat=0&amp;_sop=15&amp;rt=nc&amp;LH_BIN=1", "Active")</f>
        <v/>
      </c>
      <c r="J135" s="2">
        <f>HYPERLINK("https://www.ebay.com/sch/261328/i.html?_from=R40&amp;_nkw=2025%20Bowman%20Chrome%20DIEGO%20TORNES%20%23BCP-214%20Prospects%20Atlanta%20Braves&amp;_sacat=0&amp;LH_Sold=1&amp;LH_Complete=1&amp;_sop=13", "Completed")</f>
        <v/>
      </c>
      <c r="K135" s="2" t="inlineStr">
        <is>
          <t>2025 Bowman Chrome #BCP-214 Diego Tornes Prospects</t>
        </is>
      </c>
    </row>
    <row r="136">
      <c r="A136" s="2" t="inlineStr">
        <is>
          <t>BA-000212-r8mdw</t>
        </is>
      </c>
      <c r="B136" s="2" t="inlineStr">
        <is>
          <t>2025 Bowman Chrome RAYMER MEDINA #BCP-175 Prospects Tampa Bay Rays</t>
        </is>
      </c>
      <c r="C136" s="3" t="n">
        <v>2.99</v>
      </c>
      <c r="D136" s="3" t="n">
        <v>2.49</v>
      </c>
      <c r="E136" s="3" t="n">
        <v>-0.5</v>
      </c>
      <c r="F136" s="4" t="n">
        <v>-16.7</v>
      </c>
      <c r="G136" s="2" t="inlineStr">
        <is>
          <t>🔵 Floored $2.49 — free ship or $0.99 ship?</t>
        </is>
      </c>
      <c r="H136" s="2" t="inlineStr">
        <is>
          <t>79%</t>
        </is>
      </c>
      <c r="I136" s="2">
        <f>HYPERLINK("https://www.ebay.com/sch/261328/i.html?_dcat=261328&amp;_fsrp=1&amp;rt=nc&amp;_from=R40&amp;_nkw=2025%20Bowman%20Chrome%20RAYMER%20MEDINA%20%23BCP-175%20Prospects%20Tampa%20Bay%20Rays&amp;_sacat=0&amp;_sop=15&amp;rt=nc&amp;LH_BIN=1", "Active")</f>
        <v/>
      </c>
      <c r="J136" s="2">
        <f>HYPERLINK("https://www.ebay.com/sch/261328/i.html?_from=R40&amp;_nkw=2025%20Bowman%20Chrome%20RAYMER%20MEDINA%20%23BCP-175%20Prospects%20Tampa%20Bay%20Rays&amp;_sacat=0&amp;LH_Sold=1&amp;LH_Complete=1&amp;_sop=13", "Completed")</f>
        <v/>
      </c>
      <c r="K136" s="2" t="inlineStr">
        <is>
          <t>Raymer Medina 2025 Bowman Chrome 1st Prospects #BCP-175 TB Rays</t>
        </is>
      </c>
    </row>
    <row r="137">
      <c r="A137" s="5" t="inlineStr">
        <is>
          <t>BA-000189-r8m0j</t>
        </is>
      </c>
      <c r="B137" s="5" t="inlineStr">
        <is>
          <t>2025 Bowman Chrome HIVERSON LÓPEZ #BCP-196 Prospects Guardians Basketball</t>
        </is>
      </c>
      <c r="C137" s="6" t="n">
        <v>1.5</v>
      </c>
      <c r="D137" s="6" t="n">
        <v>2.49</v>
      </c>
      <c r="E137" s="6" t="n">
        <v>0.99</v>
      </c>
      <c r="F137" s="7" t="n">
        <v>66</v>
      </c>
      <c r="G137" s="5" t="inlineStr">
        <is>
          <t>⬆ Price Up</t>
        </is>
      </c>
      <c r="H137" s="5" t="inlineStr">
        <is>
          <t>100%</t>
        </is>
      </c>
      <c r="I137" s="5">
        <f>HYPERLINK("https://www.ebay.com/sch/261328/i.html?_dcat=261328&amp;_fsrp=1&amp;rt=nc&amp;_from=R40&amp;_nkw=2025%20Bowman%20Chrome%20HIVERSON%20L%C3%93PEZ%20%23BCP-196%20Prospects%20Guardians%20Basketball&amp;_sacat=0&amp;_sop=15&amp;rt=nc&amp;LH_BIN=1", "Active")</f>
        <v/>
      </c>
      <c r="J137" s="5">
        <f>HYPERLINK("https://www.ebay.com/sch/261328/i.html?_from=R40&amp;_nkw=2025%20Bowman%20Chrome%20HIVERSON%20L%C3%93PEZ%20%23BCP-196%20Prospects%20Guardians%20Basketball&amp;_sacat=0&amp;LH_Sold=1&amp;LH_Complete=1&amp;_sop=13", "Completed")</f>
        <v/>
      </c>
      <c r="K137" s="5" t="inlineStr">
        <is>
          <t>2025 Bowman Chrome HIVERSON LÓPEZ #BCP-196 Prospects Guardians Basketball</t>
        </is>
      </c>
    </row>
    <row r="138">
      <c r="A138" s="2" t="inlineStr">
        <is>
          <t>BA-000190-r8m0k</t>
        </is>
      </c>
      <c r="B138" s="2" t="inlineStr">
        <is>
          <t>2025 Bowman Chrome ELORKY RODRIGUEZ #BCP-186 Prospects Texas Rangers</t>
        </is>
      </c>
      <c r="C138" s="3" t="n">
        <v>3.49</v>
      </c>
      <c r="D138" s="3" t="n">
        <v>2.49</v>
      </c>
      <c r="E138" s="3" t="n">
        <v>-1</v>
      </c>
      <c r="F138" s="4" t="n">
        <v>-28.7</v>
      </c>
      <c r="G138" s="2" t="inlineStr">
        <is>
          <t>🔵 Floored $2.49 — free ship or $0.99 ship?</t>
        </is>
      </c>
      <c r="H138" s="2" t="inlineStr">
        <is>
          <t>64%</t>
        </is>
      </c>
      <c r="I138" s="2">
        <f>HYPERLINK("https://www.ebay.com/sch/261328/i.html?_dcat=261328&amp;_fsrp=1&amp;rt=nc&amp;_from=R40&amp;_nkw=2025%20Bowman%20Chrome%20ELORKY%20RODRIGUEZ%20%23BCP-186%20Prospects%20Texas%20Rangers&amp;_sacat=0&amp;_sop=15&amp;rt=nc&amp;LH_BIN=1", "Active")</f>
        <v/>
      </c>
      <c r="J138" s="2">
        <f>HYPERLINK("https://www.ebay.com/sch/261328/i.html?_from=R40&amp;_nkw=2025%20Bowman%20Chrome%20ELORKY%20RODRIGUEZ%20%23BCP-186%20Prospects%20Texas%20Rangers&amp;_sacat=0&amp;LH_Sold=1&amp;LH_Complete=1&amp;_sop=13", "Completed")</f>
        <v/>
      </c>
      <c r="K138" s="2" t="inlineStr">
        <is>
          <t>2025 Bowman Chrome Prospects BCP-1 to BCP-252 You Pick - 2 Card Minimum</t>
        </is>
      </c>
    </row>
    <row r="139">
      <c r="A139" s="5" t="inlineStr">
        <is>
          <t>BA-000191-r8m0l</t>
        </is>
      </c>
      <c r="B139" s="5" t="inlineStr">
        <is>
          <t>2025 Bowman Chrome ROYELNY STROP #BCP-221 St Louis Cardinals Football</t>
        </is>
      </c>
      <c r="C139" s="6" t="n">
        <v>2.49</v>
      </c>
      <c r="D139" s="6" t="n">
        <v>3.39</v>
      </c>
      <c r="E139" s="6" t="n">
        <v>0.9</v>
      </c>
      <c r="F139" s="7" t="n">
        <v>36.1</v>
      </c>
      <c r="G139" s="5" t="inlineStr">
        <is>
          <t>⬆ Price Up</t>
        </is>
      </c>
      <c r="H139" s="5" t="inlineStr">
        <is>
          <t>100%</t>
        </is>
      </c>
      <c r="I139" s="5">
        <f>HYPERLINK("https://www.ebay.com/sch/261328/i.html?_dcat=261328&amp;_fsrp=1&amp;rt=nc&amp;_from=R40&amp;_nkw=2025%20Bowman%20Chrome%20ROYELNY%20STROP%20%23BCP-221%20St%20Louis%20Cardinals%20Football&amp;_sacat=0&amp;_sop=15&amp;rt=nc&amp;LH_BIN=1", "Active")</f>
        <v/>
      </c>
      <c r="J139" s="5">
        <f>HYPERLINK("https://www.ebay.com/sch/261328/i.html?_from=R40&amp;_nkw=2025%20Bowman%20Chrome%20ROYELNY%20STROP%20%23BCP-221%20St%20Louis%20Cardinals%20Football&amp;_sacat=0&amp;LH_Sold=1&amp;LH_Complete=1&amp;_sop=13", "Completed")</f>
        <v/>
      </c>
      <c r="K139" s="5" t="inlineStr">
        <is>
          <t>2025 Bowman Chrome ROYELNY STROP #BCP-221 St Louis Cardinals Football</t>
        </is>
      </c>
    </row>
    <row r="140">
      <c r="A140" s="11" t="inlineStr">
        <is>
          <t>BA-000216-r8me3</t>
        </is>
      </c>
      <c r="B140" s="11" t="inlineStr">
        <is>
          <t>2025 Bowman Chrome JUNEIKER CACERES #BCP-231 Prospects Cleveland Guardians</t>
        </is>
      </c>
      <c r="C140" s="12" t="n">
        <v>2.99</v>
      </c>
      <c r="D140" s="12" t="n">
        <v>2.89</v>
      </c>
      <c r="E140" s="12" t="n">
        <v>-0.1</v>
      </c>
      <c r="F140" s="13" t="n">
        <v>-3.3</v>
      </c>
      <c r="G140" s="11" t="inlineStr">
        <is>
          <t>⬇ Price Down</t>
        </is>
      </c>
      <c r="H140" s="11" t="inlineStr">
        <is>
          <t>85%</t>
        </is>
      </c>
      <c r="I140" s="11">
        <f>HYPERLINK("https://www.ebay.com/sch/261328/i.html?_dcat=261328&amp;_fsrp=1&amp;rt=nc&amp;_from=R40&amp;_nkw=2025%20Bowman%20Chrome%20JUNEIKER%20CACERES%20%23BCP-231%20Prospects%20Cleveland%20Guardians&amp;_sacat=0&amp;_sop=15&amp;rt=nc&amp;LH_BIN=1", "Active")</f>
        <v/>
      </c>
      <c r="J140" s="11">
        <f>HYPERLINK("https://www.ebay.com/sch/261328/i.html?_from=R40&amp;_nkw=2025%20Bowman%20Chrome%20JUNEIKER%20CACERES%20%23BCP-231%20Prospects%20Cleveland%20Guardians&amp;_sacat=0&amp;LH_Sold=1&amp;LH_Complete=1&amp;_sop=13", "Completed")</f>
        <v/>
      </c>
      <c r="K140" s="11" t="inlineStr">
        <is>
          <t>2025 Bowman Chrome #BCP-231 Juneiker Caceres Prospects RC</t>
        </is>
      </c>
    </row>
    <row r="141">
      <c r="A141" s="8" t="inlineStr">
        <is>
          <t>BA-000215-r8me1</t>
        </is>
      </c>
      <c r="B141" s="8" t="inlineStr">
        <is>
          <t>2025 Bowman Chrome JAKOB CHRISTIAN #BCP-157 Prospects San Francisco Giants</t>
        </is>
      </c>
      <c r="C141" s="9" t="n">
        <v>2.49</v>
      </c>
      <c r="D141" s="9" t="n">
        <v>2.49</v>
      </c>
      <c r="E141" s="9" t="n">
        <v>0</v>
      </c>
      <c r="F141" s="10" t="n">
        <v>0</v>
      </c>
      <c r="G141" s="8" t="inlineStr">
        <is>
          <t>— No Change</t>
        </is>
      </c>
      <c r="H141" s="8" t="inlineStr">
        <is>
          <t>64%</t>
        </is>
      </c>
      <c r="I141" s="8">
        <f>HYPERLINK("https://www.ebay.com/sch/261328/i.html?_dcat=261328&amp;_fsrp=1&amp;rt=nc&amp;_from=R40&amp;_nkw=2025%20Bowman%20Chrome%20JAKOB%20CHRISTIAN%20%23BCP-157%20Prospects%20San%20Francisco%20Giants&amp;_sacat=0&amp;_sop=15&amp;rt=nc&amp;LH_BIN=1", "Active")</f>
        <v/>
      </c>
      <c r="J141" s="8">
        <f>HYPERLINK("https://www.ebay.com/sch/261328/i.html?_from=R40&amp;_nkw=2025%20Bowman%20Chrome%20JAKOB%20CHRISTIAN%20%23BCP-157%20Prospects%20San%20Francisco%20Giants&amp;_sacat=0&amp;LH_Sold=1&amp;LH_Complete=1&amp;_sop=13", "Completed")</f>
        <v/>
      </c>
      <c r="K141" s="8" t="inlineStr">
        <is>
          <t>2025 Bowman Chrome Prospects BCP-1 to BCP-251 *You Pick* Complete Your Set</t>
        </is>
      </c>
    </row>
    <row r="142">
      <c r="A142" s="8" t="inlineStr">
        <is>
          <t>BA-000195-r8m0p</t>
        </is>
      </c>
      <c r="B142" s="8" t="inlineStr">
        <is>
          <t>2025 Bowman Chrome KALE FOUNTAIN #BCP-246 Prospects San Diego Padres</t>
        </is>
      </c>
      <c r="C142" s="9" t="n">
        <v>2.49</v>
      </c>
      <c r="D142" s="9" t="n">
        <v>2.49</v>
      </c>
      <c r="E142" s="9" t="n">
        <v>0</v>
      </c>
      <c r="F142" s="10" t="n">
        <v>0</v>
      </c>
      <c r="G142" s="8" t="inlineStr">
        <is>
          <t>— No Change</t>
        </is>
      </c>
      <c r="H142" s="8" t="inlineStr">
        <is>
          <t>67%</t>
        </is>
      </c>
      <c r="I142" s="8">
        <f>HYPERLINK("https://www.ebay.com/sch/261328/i.html?_dcat=261328&amp;_fsrp=1&amp;rt=nc&amp;_from=R40&amp;_nkw=2025%20Bowman%20Chrome%20KALE%20FOUNTAIN%20%23BCP-246%20Prospects%20San%20Diego%20Padres&amp;_sacat=0&amp;_sop=15&amp;rt=nc&amp;LH_BIN=1", "Active")</f>
        <v/>
      </c>
      <c r="J142" s="8">
        <f>HYPERLINK("https://www.ebay.com/sch/261328/i.html?_from=R40&amp;_nkw=2025%20Bowman%20Chrome%20KALE%20FOUNTAIN%20%23BCP-246%20Prospects%20San%20Diego%20Padres&amp;_sacat=0&amp;LH_Sold=1&amp;LH_Complete=1&amp;_sop=13", "Completed")</f>
        <v/>
      </c>
      <c r="K142" s="8" t="inlineStr">
        <is>
          <t>2025 Bowman Chrome Prospects (BCP 1- 252) COMPLETE YOUR SET *Free Shipping*</t>
        </is>
      </c>
    </row>
    <row r="143">
      <c r="A143" s="8" t="inlineStr">
        <is>
          <t>BA-000193-r8m0n</t>
        </is>
      </c>
      <c r="B143" s="8" t="inlineStr">
        <is>
          <t>2025 Bowman Chrome ELIAN DE LA CRUZ #BCP-249 Prospects Arizona Diamondbacks</t>
        </is>
      </c>
      <c r="C143" s="9" t="n">
        <v>2.49</v>
      </c>
      <c r="D143" s="9" t="n">
        <v>2.49</v>
      </c>
      <c r="E143" s="9" t="n">
        <v>0</v>
      </c>
      <c r="F143" s="10" t="n">
        <v>0</v>
      </c>
      <c r="G143" s="8" t="inlineStr">
        <is>
          <t>— No Change</t>
        </is>
      </c>
      <c r="H143" s="8" t="inlineStr">
        <is>
          <t>82%</t>
        </is>
      </c>
      <c r="I143" s="8">
        <f>HYPERLINK("https://www.ebay.com/sch/261328/i.html?_dcat=261328&amp;_fsrp=1&amp;rt=nc&amp;_from=R40&amp;_nkw=2025%20Bowman%20Chrome%20ELIAN%20DE%20LA%20CRUZ%20%23BCP-249%20Prospects%20Arizona%20Diamondbacks&amp;_sacat=0&amp;_sop=15&amp;rt=nc&amp;LH_BIN=1", "Active")</f>
        <v/>
      </c>
      <c r="J143" s="8">
        <f>HYPERLINK("https://www.ebay.com/sch/261328/i.html?_from=R40&amp;_nkw=2025%20Bowman%20Chrome%20ELIAN%20DE%20LA%20CRUZ%20%23BCP-249%20Prospects%20Arizona%20Diamondbacks&amp;_sacat=0&amp;LH_Sold=1&amp;LH_Complete=1&amp;_sop=13", "Completed")</f>
        <v/>
      </c>
      <c r="K143" s="8" t="inlineStr">
        <is>
          <t>Elian De La Cruz 2025 Bowman Chrome Prospects 1st #BCP-249 Arizona Diamondbacks</t>
        </is>
      </c>
    </row>
    <row r="144">
      <c r="A144" s="2" t="inlineStr">
        <is>
          <t>BA-000200-r8m0u</t>
        </is>
      </c>
      <c r="B144" s="2" t="inlineStr">
        <is>
          <t>2025 Bowman Chrome ZACH COLE #BCP-244 Prospects Houston Astros</t>
        </is>
      </c>
      <c r="C144" s="3" t="n">
        <v>2.99</v>
      </c>
      <c r="D144" s="3" t="n">
        <v>2.49</v>
      </c>
      <c r="E144" s="3" t="n">
        <v>-0.5</v>
      </c>
      <c r="F144" s="4" t="n">
        <v>-16.7</v>
      </c>
      <c r="G144" s="2" t="inlineStr">
        <is>
          <t>🔵 Floored $2.49 — free ship or $0.99 ship?</t>
        </is>
      </c>
      <c r="H144" s="2" t="inlineStr">
        <is>
          <t>90%</t>
        </is>
      </c>
      <c r="I144" s="2">
        <f>HYPERLINK("https://www.ebay.com/sch/261328/i.html?_dcat=261328&amp;_fsrp=1&amp;rt=nc&amp;_from=R40&amp;_nkw=2025%20Bowman%20Chrome%20ZACH%20COLE%20%23BCP-244%20Prospects%20Houston%20Astros&amp;_sacat=0&amp;_sop=15&amp;rt=nc&amp;LH_BIN=1", "Active")</f>
        <v/>
      </c>
      <c r="J144" s="2">
        <f>HYPERLINK("https://www.ebay.com/sch/261328/i.html?_from=R40&amp;_nkw=2025%20Bowman%20Chrome%20ZACH%20COLE%20%23BCP-244%20Prospects%20Houston%20Astros&amp;_sacat=0&amp;LH_Sold=1&amp;LH_Complete=1&amp;_sop=13", "Completed")</f>
        <v/>
      </c>
      <c r="K144" s="2" t="inlineStr">
        <is>
          <t>2025 Bowman Chrome Prospects #BCP-244 Zach Cole Houston Astros</t>
        </is>
      </c>
    </row>
    <row r="145">
      <c r="A145" s="2" t="inlineStr">
        <is>
          <t>BA-000194-r8m0o</t>
        </is>
      </c>
      <c r="B145" s="2" t="inlineStr">
        <is>
          <t>2025 Bowman Chrome SADBIEL DELZINE #BCP-235 Prospects Boston Red Sox</t>
        </is>
      </c>
      <c r="C145" s="3" t="n">
        <v>2.99</v>
      </c>
      <c r="D145" s="3" t="n">
        <v>2.49</v>
      </c>
      <c r="E145" s="3" t="n">
        <v>-0.5</v>
      </c>
      <c r="F145" s="4" t="n">
        <v>-16.7</v>
      </c>
      <c r="G145" s="2" t="inlineStr">
        <is>
          <t>🔵 Floored $2.49 — free ship or $0.99 ship?</t>
        </is>
      </c>
      <c r="H145" s="2" t="inlineStr">
        <is>
          <t>100%</t>
        </is>
      </c>
      <c r="I145" s="2">
        <f>HYPERLINK("https://www.ebay.com/sch/261328/i.html?_dcat=261328&amp;_fsrp=1&amp;rt=nc&amp;_from=R40&amp;_nkw=2025%20Bowman%20Chrome%20SADBIEL%20DELZINE%20%23BCP-235%20Prospects%20Boston%20Red%20Sox&amp;_sacat=0&amp;_sop=15&amp;rt=nc&amp;LH_BIN=1", "Active")</f>
        <v/>
      </c>
      <c r="J145" s="2">
        <f>HYPERLINK("https://www.ebay.com/sch/261328/i.html?_from=R40&amp;_nkw=2025%20Bowman%20Chrome%20SADBIEL%20DELZINE%20%23BCP-235%20Prospects%20Boston%20Red%20Sox&amp;_sacat=0&amp;LH_Sold=1&amp;LH_Complete=1&amp;_sop=13", "Completed")</f>
        <v/>
      </c>
      <c r="K145" s="2" t="inlineStr">
        <is>
          <t>2025 Bowman Chrome Sadbiel Delzine #BCP-235 Prospects Boston Red Sox</t>
        </is>
      </c>
    </row>
    <row r="146">
      <c r="A146" s="8" t="inlineStr">
        <is>
          <t>BA-000197-r8m0r</t>
        </is>
      </c>
      <c r="B146" s="8" t="inlineStr">
        <is>
          <t>2025 Bowman Chrome DJEAN MACARES #BCP-237 Prospects San Francisco Giants</t>
        </is>
      </c>
      <c r="C146" s="9" t="n">
        <v>2.49</v>
      </c>
      <c r="D146" s="9" t="n">
        <v>2.49</v>
      </c>
      <c r="E146" s="9" t="n">
        <v>0</v>
      </c>
      <c r="F146" s="10" t="n">
        <v>0</v>
      </c>
      <c r="G146" s="8" t="inlineStr">
        <is>
          <t>— No Change</t>
        </is>
      </c>
      <c r="H146" s="8" t="inlineStr">
        <is>
          <t>83%</t>
        </is>
      </c>
      <c r="I146" s="8">
        <f>HYPERLINK("https://www.ebay.com/sch/261328/i.html?_dcat=261328&amp;_fsrp=1&amp;rt=nc&amp;_from=R40&amp;_nkw=2025%20Bowman%20Chrome%20DJEAN%20MACARES%20%23BCP-237%20Prospects%20San%20Francisco%20Giants&amp;_sacat=0&amp;_sop=15&amp;rt=nc&amp;LH_BIN=1", "Active")</f>
        <v/>
      </c>
      <c r="J146" s="8">
        <f>HYPERLINK("https://www.ebay.com/sch/261328/i.html?_from=R40&amp;_nkw=2025%20Bowman%20Chrome%20DJEAN%20MACARES%20%23BCP-237%20Prospects%20San%20Francisco%20Giants&amp;_sacat=0&amp;LH_Sold=1&amp;LH_Complete=1&amp;_sop=13", "Completed")</f>
        <v/>
      </c>
      <c r="K146" s="8" t="inlineStr">
        <is>
          <t>2025 1st Bowman Chrome Prospect Djean Macares #BCP-237 Mojo Refractor (RC)</t>
        </is>
      </c>
    </row>
    <row r="147">
      <c r="A147" s="8" t="inlineStr">
        <is>
          <t>BA-000201-r8m0v</t>
        </is>
      </c>
      <c r="B147" s="8" t="inlineStr">
        <is>
          <t>2025 Bowman Chrome ANDREW SALAS #BCP-156 Prospects Miami Marlins</t>
        </is>
      </c>
      <c r="C147" s="9" t="n">
        <v>2.49</v>
      </c>
      <c r="D147" s="9" t="n">
        <v>2.49</v>
      </c>
      <c r="E147" s="9" t="n">
        <v>0</v>
      </c>
      <c r="F147" s="10" t="n">
        <v>0</v>
      </c>
      <c r="G147" s="8" t="inlineStr">
        <is>
          <t>— No Change</t>
        </is>
      </c>
      <c r="H147" s="8" t="inlineStr">
        <is>
          <t>86%</t>
        </is>
      </c>
      <c r="I147" s="8">
        <f>HYPERLINK("https://www.ebay.com/sch/261328/i.html?_dcat=261328&amp;_fsrp=1&amp;rt=nc&amp;_from=R40&amp;_nkw=2025%20Bowman%20Chrome%20ANDREW%20SALAS%20%23BCP-156%20Prospects%20Miami%20Marlins&amp;_sacat=0&amp;_sop=15&amp;rt=nc&amp;LH_BIN=1", "Active")</f>
        <v/>
      </c>
      <c r="J147" s="8">
        <f>HYPERLINK("https://www.ebay.com/sch/261328/i.html?_from=R40&amp;_nkw=2025%20Bowman%20Chrome%20ANDREW%20SALAS%20%23BCP-156%20Prospects%20Miami%20Marlins&amp;_sacat=0&amp;LH_Sold=1&amp;LH_Complete=1&amp;_sop=13", "Completed")</f>
        <v/>
      </c>
      <c r="K147" s="8" t="inlineStr">
        <is>
          <t>2025 Bowman Chrome Andrew Salas Bowman Chrome Prospects Miami Marlins #BCP-156</t>
        </is>
      </c>
    </row>
    <row r="148">
      <c r="A148" s="8" t="inlineStr">
        <is>
          <t>BA-000202-r8m0w</t>
        </is>
      </c>
      <c r="B148" s="8" t="inlineStr">
        <is>
          <t>2025 Bowman Chrome MANI CEDENO #BCP-199 Prospects New York Yankees</t>
        </is>
      </c>
      <c r="C148" s="9" t="n">
        <v>2.49</v>
      </c>
      <c r="D148" s="9" t="n">
        <v>2.49</v>
      </c>
      <c r="E148" s="9" t="n">
        <v>0</v>
      </c>
      <c r="F148" s="10" t="n">
        <v>0</v>
      </c>
      <c r="G148" s="8" t="inlineStr">
        <is>
          <t>— No Change</t>
        </is>
      </c>
      <c r="H148" s="8" t="inlineStr">
        <is>
          <t>84%</t>
        </is>
      </c>
      <c r="I148" s="8">
        <f>HYPERLINK("https://www.ebay.com/sch/261328/i.html?_dcat=261328&amp;_fsrp=1&amp;rt=nc&amp;_from=R40&amp;_nkw=2025%20Bowman%20Chrome%20MANI%20CEDENO%20%23BCP-199%20Prospects%20New%20York%20Yankees&amp;_sacat=0&amp;_sop=15&amp;rt=nc&amp;LH_BIN=1", "Active")</f>
        <v/>
      </c>
      <c r="J148" s="8">
        <f>HYPERLINK("https://www.ebay.com/sch/261328/i.html?_from=R40&amp;_nkw=2025%20Bowman%20Chrome%20MANI%20CEDENO%20%23BCP-199%20Prospects%20New%20York%20Yankees&amp;_sacat=0&amp;LH_Sold=1&amp;LH_Complete=1&amp;_sop=13", "Completed")</f>
        <v/>
      </c>
      <c r="K148" s="8" t="inlineStr">
        <is>
          <t>2025 Bowman Chrome Baseball Prospects 1st Mani Cedeno #BCP-199 RC Laser Yankees</t>
        </is>
      </c>
    </row>
    <row r="149">
      <c r="A149" s="8" t="inlineStr">
        <is>
          <t>BA-000204-r8m0y</t>
        </is>
      </c>
      <c r="B149" s="8" t="inlineStr">
        <is>
          <t>2025 Bowman Chrome HAROLD RIVAS #BCP-216 Prospects Boston Red Sox</t>
        </is>
      </c>
      <c r="C149" s="9" t="n">
        <v>2.49</v>
      </c>
      <c r="D149" s="9" t="n">
        <v>2.49</v>
      </c>
      <c r="E149" s="9" t="n">
        <v>0</v>
      </c>
      <c r="F149" s="10" t="n">
        <v>0</v>
      </c>
      <c r="G149" s="8" t="inlineStr">
        <is>
          <t>— No Change</t>
        </is>
      </c>
      <c r="H149" s="8" t="inlineStr">
        <is>
          <t>85%</t>
        </is>
      </c>
      <c r="I149" s="8">
        <f>HYPERLINK("https://www.ebay.com/sch/261328/i.html?_dcat=261328&amp;_fsrp=1&amp;rt=nc&amp;_from=R40&amp;_nkw=2025%20Bowman%20Chrome%20HAROLD%20RIVAS%20%23BCP-216%20Prospects%20Boston%20Red%20Sox&amp;_sacat=0&amp;_sop=15&amp;rt=nc&amp;LH_BIN=1", "Active")</f>
        <v/>
      </c>
      <c r="J149" s="8">
        <f>HYPERLINK("https://www.ebay.com/sch/261328/i.html?_from=R40&amp;_nkw=2025%20Bowman%20Chrome%20HAROLD%20RIVAS%20%23BCP-216%20Prospects%20Boston%20Red%20Sox&amp;_sacat=0&amp;LH_Sold=1&amp;LH_Complete=1&amp;_sop=13", "Completed")</f>
        <v/>
      </c>
      <c r="K149" s="8" t="inlineStr">
        <is>
          <t>2025 Bowman Chrome #BCP-216 Harold Rivas Prospects</t>
        </is>
      </c>
    </row>
    <row r="150">
      <c r="A150" s="8" t="inlineStr">
        <is>
          <t>BA-000205-r8m0z</t>
        </is>
      </c>
      <c r="B150" s="8" t="inlineStr">
        <is>
          <t>2025 Bowman Chrome HEINS BRITO #BCP-203 Prospects Cleveland Guardians</t>
        </is>
      </c>
      <c r="C150" s="9" t="n">
        <v>2.49</v>
      </c>
      <c r="D150" s="9" t="n">
        <v>2.49</v>
      </c>
      <c r="E150" s="9" t="n">
        <v>0</v>
      </c>
      <c r="F150" s="10" t="n">
        <v>0</v>
      </c>
      <c r="G150" s="8" t="inlineStr">
        <is>
          <t>— No Change</t>
        </is>
      </c>
      <c r="H150" s="8" t="inlineStr">
        <is>
          <t>83%</t>
        </is>
      </c>
      <c r="I150" s="8">
        <f>HYPERLINK("https://www.ebay.com/sch/261328/i.html?_dcat=261328&amp;_fsrp=1&amp;rt=nc&amp;_from=R40&amp;_nkw=2025%20Bowman%20Chrome%20HEINS%20BRITO%20%23BCP-203%20Prospects%20Cleveland%20Guardians&amp;_sacat=0&amp;_sop=15&amp;rt=nc&amp;LH_BIN=1", "Active")</f>
        <v/>
      </c>
      <c r="J150" s="8">
        <f>HYPERLINK("https://www.ebay.com/sch/261328/i.html?_from=R40&amp;_nkw=2025%20Bowman%20Chrome%20HEINS%20BRITO%20%23BCP-203%20Prospects%20Cleveland%20Guardians&amp;_sacat=0&amp;LH_Sold=1&amp;LH_Complete=1&amp;_sop=13", "Completed")</f>
        <v/>
      </c>
      <c r="K150" s="8" t="inlineStr">
        <is>
          <t>2025 Bowman Chrome #BCP-203 Heins Brito Prospects B31R2C8</t>
        </is>
      </c>
    </row>
    <row r="151">
      <c r="A151" s="8" t="inlineStr">
        <is>
          <t>BA-000207-r8m11</t>
        </is>
      </c>
      <c r="B151" s="8" t="inlineStr">
        <is>
          <t>2025 Bowman Chrome BRETT BATEMAN #BCP-226 Prospects Chicago Cubs</t>
        </is>
      </c>
      <c r="C151" s="9" t="n">
        <v>2.49</v>
      </c>
      <c r="D151" s="9" t="n">
        <v>2.49</v>
      </c>
      <c r="E151" s="9" t="n">
        <v>0</v>
      </c>
      <c r="F151" s="10" t="n">
        <v>0</v>
      </c>
      <c r="G151" s="8" t="inlineStr">
        <is>
          <t>— No Change</t>
        </is>
      </c>
      <c r="H151" s="8" t="inlineStr">
        <is>
          <t>86%</t>
        </is>
      </c>
      <c r="I151" s="8">
        <f>HYPERLINK("https://www.ebay.com/sch/261328/i.html?_dcat=261328&amp;_fsrp=1&amp;rt=nc&amp;_from=R40&amp;_nkw=2025%20Bowman%20Chrome%20BRETT%20BATEMAN%20%23BCP-226%20Prospects%20Chicago%20Cubs&amp;_sacat=0&amp;_sop=15&amp;rt=nc&amp;LH_BIN=1", "Active")</f>
        <v/>
      </c>
      <c r="J151" s="8">
        <f>HYPERLINK("https://www.ebay.com/sch/261328/i.html?_from=R40&amp;_nkw=2025%20Bowman%20Chrome%20BRETT%20BATEMAN%20%23BCP-226%20Prospects%20Chicago%20Cubs&amp;_sacat=0&amp;LH_Sold=1&amp;LH_Complete=1&amp;_sop=13", "Completed")</f>
        <v/>
      </c>
      <c r="K151" s="8" t="inlineStr">
        <is>
          <t>2025 Bowman Chrome Brett Bateman #BCP-226 Prospects</t>
        </is>
      </c>
    </row>
    <row r="152">
      <c r="A152" s="2" t="inlineStr">
        <is>
          <t>BA-000224-ran6o</t>
        </is>
      </c>
      <c r="B152" s="2" t="inlineStr">
        <is>
          <t>2025 Topps Update NICK KURTZ #US197 Rainbow Foil Athletics</t>
        </is>
      </c>
      <c r="C152" s="3" t="n">
        <v>5.99</v>
      </c>
      <c r="D152" s="3" t="n">
        <v>2.49</v>
      </c>
      <c r="E152" s="3" t="n">
        <v>-3.5</v>
      </c>
      <c r="F152" s="4" t="n">
        <v>-58.4</v>
      </c>
      <c r="G152" s="2" t="inlineStr">
        <is>
          <t>🔵 Floored $2.49 — free ship or $0.99 ship?</t>
        </is>
      </c>
      <c r="H152" s="2" t="inlineStr">
        <is>
          <t>86%</t>
        </is>
      </c>
      <c r="I152" s="2">
        <f>HYPERLINK("https://www.ebay.com/sch/261328/i.html?_dcat=261328&amp;_fsrp=1&amp;rt=nc&amp;_from=R40&amp;_nkw=2025%20Topps%20Update%20NICK%20KURTZ%20%23US197%20Rainbow%20Foil%20Athletics&amp;_sacat=0&amp;_sop=15&amp;rt=nc&amp;LH_BIN=1", "Active")</f>
        <v/>
      </c>
      <c r="J152" s="2">
        <f>HYPERLINK("https://www.ebay.com/sch/261328/i.html?_from=R40&amp;_nkw=2025%20Topps%20Update%20NICK%20KURTZ%20%23US197%20Rainbow%20Foil%20Athletics&amp;_sacat=0&amp;LH_Sold=1&amp;LH_Complete=1&amp;_sop=13", "Completed")</f>
        <v/>
      </c>
      <c r="K152" s="2" t="inlineStr">
        <is>
          <t>2025 Topps Update #US197 Nick Kurtz Rookie Debut Athletics</t>
        </is>
      </c>
    </row>
    <row r="153">
      <c r="A153" s="5" t="inlineStr">
        <is>
          <t>BA-000226-rck3q</t>
        </is>
      </c>
      <c r="B153" s="5" t="inlineStr">
        <is>
          <t>2023 Bowman ADLEY RUTSCHMAN #ROYF-4 ROY Favorites Mojo Refractors O's</t>
        </is>
      </c>
      <c r="C153" s="6" t="n">
        <v>3.49</v>
      </c>
      <c r="D153" s="6" t="n">
        <v>4.39</v>
      </c>
      <c r="E153" s="6" t="n">
        <v>0.9</v>
      </c>
      <c r="F153" s="7" t="n">
        <v>25.8</v>
      </c>
      <c r="G153" s="5" t="inlineStr">
        <is>
          <t>⬆ Price Up</t>
        </is>
      </c>
      <c r="H153" s="5" t="inlineStr">
        <is>
          <t>100%</t>
        </is>
      </c>
      <c r="I153" s="5">
        <f>HYPERLINK("https://www.ebay.com/sch/261328/i.html?_dcat=261328&amp;_fsrp=1&amp;rt=nc&amp;_from=R40&amp;_nkw=2023%20Bowman%20ADLEY%20RUTSCHMAN%20%23ROYF-4%20ROY%20Favorites%20Mojo%20Refractors%20O's&amp;_sacat=0&amp;_sop=15&amp;rt=nc&amp;LH_BIN=1", "Active")</f>
        <v/>
      </c>
      <c r="J153" s="5">
        <f>HYPERLINK("https://www.ebay.com/sch/261328/i.html?_from=R40&amp;_nkw=2023%20Bowman%20ADLEY%20RUTSCHMAN%20%23ROYF-4%20ROY%20Favorites%20Mojo%20Refractors%20O's&amp;_sacat=0&amp;LH_Sold=1&amp;LH_Complete=1&amp;_sop=13", "Completed")</f>
        <v/>
      </c>
      <c r="K153" s="5" t="inlineStr">
        <is>
          <t>2023 Bowman ADLEY RUTSCHMAN #ROYF-4 ROY Favorites Mojo Refractors O's</t>
        </is>
      </c>
    </row>
    <row r="154">
      <c r="A154" s="8" t="inlineStr">
        <is>
          <t>BA-000230-rck3u</t>
        </is>
      </c>
      <c r="B154" s="8" t="inlineStr">
        <is>
          <t>2025 Topps JAMES WOOD #SMLB-18 Stars of MLB Washington Nationals</t>
        </is>
      </c>
      <c r="C154" s="9" t="n">
        <v>2.49</v>
      </c>
      <c r="D154" s="9" t="n">
        <v>2.49</v>
      </c>
      <c r="E154" s="9" t="n">
        <v>0</v>
      </c>
      <c r="F154" s="10" t="n">
        <v>0</v>
      </c>
      <c r="G154" s="8" t="inlineStr">
        <is>
          <t>— No Change</t>
        </is>
      </c>
      <c r="H154" s="8" t="inlineStr">
        <is>
          <t>88%</t>
        </is>
      </c>
      <c r="I154" s="8">
        <f>HYPERLINK("https://www.ebay.com/sch/261328/i.html?_dcat=261328&amp;_fsrp=1&amp;rt=nc&amp;_from=R40&amp;_nkw=2025%20Topps%20JAMES%20WOOD%20%23SMLB-18%20Stars%20of%20MLB%20Washington%20Nationals&amp;_sacat=0&amp;_sop=15&amp;rt=nc&amp;LH_BIN=1", "Active")</f>
        <v/>
      </c>
      <c r="J154" s="8">
        <f>HYPERLINK("https://www.ebay.com/sch/261328/i.html?_from=R40&amp;_nkw=2025%20Topps%20JAMES%20WOOD%20%23SMLB-18%20Stars%20of%20MLB%20Washington%20Nationals&amp;_sacat=0&amp;LH_Sold=1&amp;LH_Complete=1&amp;_sop=13", "Completed")</f>
        <v/>
      </c>
      <c r="K154" s="8" t="inlineStr">
        <is>
          <t>2025 TOPPS STARS OF MLB #SMLB-18 JAMES WOOD WASHINGTON NATIONALS BASEBALL</t>
        </is>
      </c>
    </row>
    <row r="155">
      <c r="A155" s="2" t="inlineStr">
        <is>
          <t>BA-000227-rck3r</t>
        </is>
      </c>
      <c r="B155" s="2" t="inlineStr">
        <is>
          <t>2024 Bowman TYLER SODERSTROM #15 Chrome Mojo Refractors Oakland Athletics</t>
        </is>
      </c>
      <c r="C155" s="3" t="n">
        <v>3.99</v>
      </c>
      <c r="D155" s="3" t="n">
        <v>2.49</v>
      </c>
      <c r="E155" s="3" t="n">
        <v>-1.5</v>
      </c>
      <c r="F155" s="4" t="n">
        <v>-37.6</v>
      </c>
      <c r="G155" s="2" t="inlineStr">
        <is>
          <t>🔵 Floored $2.49 — free ship or $0.99 ship?</t>
        </is>
      </c>
      <c r="H155" s="2" t="inlineStr">
        <is>
          <t>84%</t>
        </is>
      </c>
      <c r="I155" s="2">
        <f>HYPERLINK("https://www.ebay.com/sch/261328/i.html?_dcat=261328&amp;_fsrp=1&amp;rt=nc&amp;_from=R40&amp;_nkw=2024%20Bowman%20TYLER%20SODERSTROM%20%2315%20Chrome%20Mojo%20Refractors%20Oakland%20Athletics&amp;_sacat=0&amp;_sop=15&amp;rt=nc&amp;LH_BIN=1", "Active")</f>
        <v/>
      </c>
      <c r="J155" s="2">
        <f>HYPERLINK("https://www.ebay.com/sch/261328/i.html?_from=R40&amp;_nkw=2024%20Bowman%20TYLER%20SODERSTROM%20%2315%20Chrome%20Mojo%20Refractors%20Oakland%20Athletics&amp;_sacat=0&amp;LH_Sold=1&amp;LH_Complete=1&amp;_sop=13", "Completed")</f>
        <v/>
      </c>
      <c r="K155" s="2" t="inlineStr">
        <is>
          <t>2024 Bowman - Tyler Soderstrom #15 Chrome Mojo Refractor (RC)</t>
        </is>
      </c>
    </row>
    <row r="156">
      <c r="A156" s="8" t="inlineStr">
        <is>
          <t>BA-000233-rck3x</t>
        </is>
      </c>
      <c r="B156" s="8" t="inlineStr">
        <is>
          <t>2024 Panini Prospect Edition TRAVIS BAZZANA #5 Cleveland Guardians</t>
        </is>
      </c>
      <c r="C156" s="9" t="n">
        <v>2.49</v>
      </c>
      <c r="D156" s="9" t="n">
        <v>2.49</v>
      </c>
      <c r="E156" s="9" t="n">
        <v>0</v>
      </c>
      <c r="F156" s="10" t="n">
        <v>0</v>
      </c>
      <c r="G156" s="8" t="inlineStr">
        <is>
          <t>— No Change</t>
        </is>
      </c>
      <c r="H156" s="8" t="inlineStr">
        <is>
          <t>86%</t>
        </is>
      </c>
      <c r="I156" s="8">
        <f>HYPERLINK("https://www.ebay.com/sch/261328/i.html?_dcat=261328&amp;_fsrp=1&amp;rt=nc&amp;_from=R40&amp;_nkw=2024%20Panini%20Prospect%20Edition%20TRAVIS%20BAZZANA%20%235%20Cleveland%20Guardians&amp;_sacat=0&amp;_sop=15&amp;rt=nc&amp;LH_BIN=1", "Active")</f>
        <v/>
      </c>
      <c r="J156" s="8">
        <f>HYPERLINK("https://www.ebay.com/sch/261328/i.html?_from=R40&amp;_nkw=2024%20Panini%20Prospect%20Edition%20TRAVIS%20BAZZANA%20%235%20Cleveland%20Guardians&amp;_sacat=0&amp;LH_Sold=1&amp;LH_Complete=1&amp;_sop=13", "Completed")</f>
        <v/>
      </c>
      <c r="K156" s="8" t="inlineStr">
        <is>
          <t>2024 Panini Prospect Edition - Travis Bazzana #5 - Guardians</t>
        </is>
      </c>
    </row>
    <row r="157">
      <c r="A157" s="2" t="inlineStr">
        <is>
          <t>BA-000232-rck3w</t>
        </is>
      </c>
      <c r="B157" s="2" t="inlineStr">
        <is>
          <t>2025 Bowman JANSEL LUIS #BCP-84 Chrome Prospects Arizona Diamondbacks</t>
        </is>
      </c>
      <c r="C157" s="3" t="n">
        <v>2.99</v>
      </c>
      <c r="D157" s="3" t="n">
        <v>2.49</v>
      </c>
      <c r="E157" s="3" t="n">
        <v>-0.5</v>
      </c>
      <c r="F157" s="4" t="n">
        <v>-16.7</v>
      </c>
      <c r="G157" s="2" t="inlineStr">
        <is>
          <t>🔵 Floored $2.49 — free ship or $0.99 ship?</t>
        </is>
      </c>
      <c r="H157" s="2" t="inlineStr">
        <is>
          <t>66%</t>
        </is>
      </c>
      <c r="I157" s="2">
        <f>HYPERLINK("https://www.ebay.com/sch/261328/i.html?_dcat=261328&amp;_fsrp=1&amp;rt=nc&amp;_from=R40&amp;_nkw=2025%20Bowman%20JANSEL%20LUIS%20%23BCP-84%20Chrome%20Prospects%20Arizona%20Diamondbacks&amp;_sacat=0&amp;_sop=15&amp;rt=nc&amp;LH_BIN=1", "Active")</f>
        <v/>
      </c>
      <c r="J157" s="2">
        <f>HYPERLINK("https://www.ebay.com/sch/261328/i.html?_from=R40&amp;_nkw=2025%20Bowman%20JANSEL%20LUIS%20%23BCP-84%20Chrome%20Prospects%20Arizona%20Diamondbacks&amp;_sacat=0&amp;LH_Sold=1&amp;LH_Complete=1&amp;_sop=13", "Completed")</f>
        <v/>
      </c>
      <c r="K157" s="2" t="inlineStr">
        <is>
          <t>2025 Bowman Baseball Complete Your Set - Chrome Prospects, Inserts, Parallels</t>
        </is>
      </c>
    </row>
    <row r="158">
      <c r="A158" s="2" t="inlineStr">
        <is>
          <t>BA-000237-rck41</t>
        </is>
      </c>
      <c r="B158" s="2" t="inlineStr">
        <is>
          <t>2024 Bowman Chrome BOBBY WITT JR. #1 Kansas City Royals</t>
        </is>
      </c>
      <c r="C158" s="3" t="n">
        <v>3.49</v>
      </c>
      <c r="D158" s="3" t="n">
        <v>2.49</v>
      </c>
      <c r="E158" s="3" t="n">
        <v>-1</v>
      </c>
      <c r="F158" s="4" t="n">
        <v>-28.7</v>
      </c>
      <c r="G158" s="2" t="inlineStr">
        <is>
          <t>🔵 Floored $2.49 — free ship or $0.99 ship?</t>
        </is>
      </c>
      <c r="H158" s="2" t="inlineStr">
        <is>
          <t>64%</t>
        </is>
      </c>
      <c r="I158" s="2">
        <f>HYPERLINK("https://www.ebay.com/sch/261328/i.html?_dcat=261328&amp;_fsrp=1&amp;rt=nc&amp;_from=R40&amp;_nkw=2024%20Bowman%20Chrome%20BOBBY%20WITT%20JR.%20%231%20Kansas%20City%20Royals&amp;_sacat=0&amp;_sop=15&amp;rt=nc&amp;LH_BIN=1", "Active")</f>
        <v/>
      </c>
      <c r="J158" s="2">
        <f>HYPERLINK("https://www.ebay.com/sch/261328/i.html?_from=R40&amp;_nkw=2024%20Bowman%20Chrome%20BOBBY%20WITT%20JR.%20%231%20Kansas%20City%20Royals&amp;_sacat=0&amp;LH_Sold=1&amp;LH_Complete=1&amp;_sop=13", "Completed")</f>
        <v/>
      </c>
      <c r="K158" s="2" t="inlineStr">
        <is>
          <t>2024 Bowman CHROME VETS &amp; RC'S #1-100 You Pick Complete your set SPECIAL!!!!</t>
        </is>
      </c>
    </row>
    <row r="159">
      <c r="A159" s="8" t="inlineStr">
        <is>
          <t>BA-000234-rck3y</t>
        </is>
      </c>
      <c r="B159" s="8" t="inlineStr">
        <is>
          <t>2025 Bowman CHARLIE CONDON #BP-75 Prospects Colorado Rockies</t>
        </is>
      </c>
      <c r="C159" s="9" t="n">
        <v>2.49</v>
      </c>
      <c r="D159" s="9" t="n">
        <v>2.49</v>
      </c>
      <c r="E159" s="9" t="n">
        <v>0</v>
      </c>
      <c r="F159" s="10" t="n">
        <v>0</v>
      </c>
      <c r="G159" s="8" t="inlineStr">
        <is>
          <t>— No Change</t>
        </is>
      </c>
      <c r="H159" s="8" t="inlineStr">
        <is>
          <t>84%</t>
        </is>
      </c>
      <c r="I159" s="8">
        <f>HYPERLINK("https://www.ebay.com/sch/261328/i.html?_dcat=261328&amp;_fsrp=1&amp;rt=nc&amp;_from=R40&amp;_nkw=2025%20Bowman%20CHARLIE%20CONDON%20%23BP-75%20Prospects%20Colorado%20Rockies&amp;_sacat=0&amp;_sop=15&amp;rt=nc&amp;LH_BIN=1", "Active")</f>
        <v/>
      </c>
      <c r="J159" s="8">
        <f>HYPERLINK("https://www.ebay.com/sch/261328/i.html?_from=R40&amp;_nkw=2025%20Bowman%20CHARLIE%20CONDON%20%23BP-75%20Prospects%20Colorado%20Rockies&amp;_sacat=0&amp;LH_Sold=1&amp;LH_Complete=1&amp;_sop=13", "Completed")</f>
        <v/>
      </c>
      <c r="K159" s="8" t="inlineStr">
        <is>
          <t>2025 Bowman #BP-75 Charlie Condon Prospects</t>
        </is>
      </c>
    </row>
    <row r="160">
      <c r="A160" s="2" t="inlineStr">
        <is>
          <t>BA-000238-rck42</t>
        </is>
      </c>
      <c r="B160" s="2" t="inlineStr">
        <is>
          <t>2025 Bowman JAC CAGLIANONE #BCP-103 Chrome Prospects Kansas City Royals</t>
        </is>
      </c>
      <c r="C160" s="3" t="n">
        <v>2.99</v>
      </c>
      <c r="D160" s="3" t="n">
        <v>2.49</v>
      </c>
      <c r="E160" s="3" t="n">
        <v>-0.5</v>
      </c>
      <c r="F160" s="4" t="n">
        <v>-16.7</v>
      </c>
      <c r="G160" s="2" t="inlineStr">
        <is>
          <t>🔵 Floored $2.49 — free ship or $0.99 ship?</t>
        </is>
      </c>
      <c r="H160" s="2" t="inlineStr">
        <is>
          <t>84%</t>
        </is>
      </c>
      <c r="I160" s="2">
        <f>HYPERLINK("https://www.ebay.com/sch/261328/i.html?_dcat=261328&amp;_fsrp=1&amp;rt=nc&amp;_from=R40&amp;_nkw=2025%20Bowman%20JAC%20CAGLIANONE%20%23BCP-103%20Chrome%20Prospects%20Kansas%20City%20Royals&amp;_sacat=0&amp;_sop=15&amp;rt=nc&amp;LH_BIN=1", "Active")</f>
        <v/>
      </c>
      <c r="J160" s="2">
        <f>HYPERLINK("https://www.ebay.com/sch/261328/i.html?_from=R40&amp;_nkw=2025%20Bowman%20JAC%20CAGLIANONE%20%23BCP-103%20Chrome%20Prospects%20Kansas%20City%20Royals&amp;_sacat=0&amp;LH_Sold=1&amp;LH_Complete=1&amp;_sop=13", "Completed")</f>
        <v/>
      </c>
      <c r="K160" s="2" t="inlineStr">
        <is>
          <t>2025 Bowman Chrome Jac Caglianone Prospect #BCP-103</t>
        </is>
      </c>
    </row>
    <row r="161">
      <c r="A161" s="5" t="inlineStr">
        <is>
          <t>BA-000240-rck44</t>
        </is>
      </c>
      <c r="B161" s="5" t="inlineStr">
        <is>
          <t>2025 Bowman JJ WETHERHOLT #GL-17 Greatness Loading St. Louis Cardinals Football</t>
        </is>
      </c>
      <c r="C161" s="6" t="n">
        <v>2.99</v>
      </c>
      <c r="D161" s="6" t="n">
        <v>3.89</v>
      </c>
      <c r="E161" s="6" t="n">
        <v>0.9</v>
      </c>
      <c r="F161" s="7" t="n">
        <v>30.1</v>
      </c>
      <c r="G161" s="5" t="inlineStr">
        <is>
          <t>⬆ Price Up</t>
        </is>
      </c>
      <c r="H161" s="5" t="inlineStr">
        <is>
          <t>100%</t>
        </is>
      </c>
      <c r="I161" s="5">
        <f>HYPERLINK("https://www.ebay.com/sch/261328/i.html?_dcat=261328&amp;_fsrp=1&amp;rt=nc&amp;_from=R40&amp;_nkw=2025%20Bowman%20JJ%20WETHERHOLT%20%23GL-17%20Greatness%20Loading%20St.%20Louis%20Cardinals%20Football&amp;_sacat=0&amp;_sop=15&amp;rt=nc&amp;LH_BIN=1", "Active")</f>
        <v/>
      </c>
      <c r="J161" s="5">
        <f>HYPERLINK("https://www.ebay.com/sch/261328/i.html?_from=R40&amp;_nkw=2025%20Bowman%20JJ%20WETHERHOLT%20%23GL-17%20Greatness%20Loading%20St.%20Louis%20Cardinals%20Football&amp;_sacat=0&amp;LH_Sold=1&amp;LH_Complete=1&amp;_sop=13", "Completed")</f>
        <v/>
      </c>
      <c r="K161" s="5" t="inlineStr">
        <is>
          <t>2025 Bowman JJ WETHERHOLT #GL-17 Greatness Loading St. Louis Cardinals Football</t>
        </is>
      </c>
    </row>
    <row r="162">
      <c r="A162" s="8" t="inlineStr">
        <is>
          <t>BA-000242-rck46</t>
        </is>
      </c>
      <c r="B162" s="8" t="inlineStr">
        <is>
          <t>2025 Bowman CARSON BENGE #VIP-17 Very Important Prospects New York Mets</t>
        </is>
      </c>
      <c r="C162" s="9" t="n">
        <v>2.49</v>
      </c>
      <c r="D162" s="9" t="n">
        <v>2.49</v>
      </c>
      <c r="E162" s="9" t="n">
        <v>0</v>
      </c>
      <c r="F162" s="10" t="n">
        <v>0</v>
      </c>
      <c r="G162" s="8" t="inlineStr">
        <is>
          <t>— No Change</t>
        </is>
      </c>
      <c r="H162" s="8" t="inlineStr">
        <is>
          <t>65%</t>
        </is>
      </c>
      <c r="I162" s="8">
        <f>HYPERLINK("https://www.ebay.com/sch/261328/i.html?_dcat=261328&amp;_fsrp=1&amp;rt=nc&amp;_from=R40&amp;_nkw=2025%20Bowman%20CARSON%20BENGE%20%23VIP-17%20Very%20Important%20Prospects%20New%20York%20Mets&amp;_sacat=0&amp;_sop=15&amp;rt=nc&amp;LH_BIN=1", "Active")</f>
        <v/>
      </c>
      <c r="J162" s="8">
        <f>HYPERLINK("https://www.ebay.com/sch/261328/i.html?_from=R40&amp;_nkw=2025%20Bowman%20CARSON%20BENGE%20%23VIP-17%20Very%20Important%20Prospects%20New%20York%20Mets&amp;_sacat=0&amp;LH_Sold=1&amp;LH_Complete=1&amp;_sop=13", "Completed")</f>
        <v/>
      </c>
      <c r="K162" s="8" t="inlineStr">
        <is>
          <t>2025 Bowman INSERTS with Chrome and Rookies You Pick - 2 Card Minimum</t>
        </is>
      </c>
    </row>
    <row r="163">
      <c r="A163" s="5" t="inlineStr">
        <is>
          <t>BA-000246-rck4a</t>
        </is>
      </c>
      <c r="B163" s="5" t="inlineStr">
        <is>
          <t>2024 Leaf FUTURES NICK KURTZ #147 Gold #/249 RC A's Rookie</t>
        </is>
      </c>
      <c r="C163" s="6" t="n">
        <v>16.59</v>
      </c>
      <c r="D163" s="6" t="n">
        <v>16.99</v>
      </c>
      <c r="E163" s="6" t="n">
        <v>0.4</v>
      </c>
      <c r="F163" s="7" t="n">
        <v>2.4</v>
      </c>
      <c r="G163" s="5" t="inlineStr">
        <is>
          <t>⬆ Price Up</t>
        </is>
      </c>
      <c r="H163" s="5" t="inlineStr">
        <is>
          <t>100%</t>
        </is>
      </c>
      <c r="I163" s="5">
        <f>HYPERLINK("https://www.ebay.com/sch/261328/i.html?_dcat=261328&amp;_fsrp=1&amp;rt=nc&amp;_from=R40&amp;_nkw=2024%20Leaf%20FUTURES%20NICK%20KURTZ%20%23147%20Gold%20%23%2F249%20RC%20A's%20Rookie&amp;_sacat=0&amp;_sop=15&amp;rt=nc&amp;LH_BIN=1", "Active")</f>
        <v/>
      </c>
      <c r="J163" s="5">
        <f>HYPERLINK("https://www.ebay.com/sch/261328/i.html?_from=R40&amp;_nkw=2024%20Leaf%20FUTURES%20NICK%20KURTZ%20%23147%20Gold%20%23%2F249%20RC%20A's%20Rookie&amp;_sacat=0&amp;LH_Sold=1&amp;LH_Complete=1&amp;_sop=13", "Completed")</f>
        <v/>
      </c>
      <c r="K163" s="5" t="inlineStr">
        <is>
          <t>2024 Leaf FUTURES NICK KURTZ #147 Gold #/249 RC A's Rookie</t>
        </is>
      </c>
    </row>
    <row r="164">
      <c r="A164" s="5" t="inlineStr">
        <is>
          <t>BA-000247-rck4b</t>
        </is>
      </c>
      <c r="B164" s="5" t="inlineStr">
        <is>
          <t>2025 Topps ROKI SASAKI #SMLB-53 Stars of MLB Los Angeles Dodgers</t>
        </is>
      </c>
      <c r="C164" s="6" t="n">
        <v>1.99</v>
      </c>
      <c r="D164" s="6" t="n">
        <v>2.49</v>
      </c>
      <c r="E164" s="6" t="n">
        <v>0.5</v>
      </c>
      <c r="F164" s="7" t="n">
        <v>25.1</v>
      </c>
      <c r="G164" s="5" t="inlineStr">
        <is>
          <t>⬆ Price Up</t>
        </is>
      </c>
      <c r="H164" s="5" t="inlineStr">
        <is>
          <t>64%</t>
        </is>
      </c>
      <c r="I164" s="5">
        <f>HYPERLINK("https://www.ebay.com/sch/261328/i.html?_dcat=261328&amp;_fsrp=1&amp;rt=nc&amp;_from=R40&amp;_nkw=2025%20Topps%20ROKI%20SASAKI%20%23SMLB-53%20Stars%20of%20MLB%20Los%20Angeles%20Dodgers&amp;_sacat=0&amp;_sop=15&amp;rt=nc&amp;LH_BIN=1", "Active")</f>
        <v/>
      </c>
      <c r="J164" s="5">
        <f>HYPERLINK("https://www.ebay.com/sch/261328/i.html?_from=R40&amp;_nkw=2025%20Topps%20ROKI%20SASAKI%20%23SMLB-53%20Stars%20of%20MLB%20Los%20Angeles%20Dodgers&amp;_sacat=0&amp;LH_Sold=1&amp;LH_Complete=1&amp;_sop=13", "Completed")</f>
        <v/>
      </c>
      <c r="K164" s="5" t="inlineStr">
        <is>
          <t>Topps 2025 Stars of Major League Baseball (Series 1, 2, &amp; Update) 40% OFF</t>
        </is>
      </c>
    </row>
    <row r="165">
      <c r="A165" t="inlineStr">
        <is>
          <t>BA-000251-rck4f</t>
        </is>
      </c>
      <c r="B165" t="inlineStr">
        <is>
          <t>2025 Topps JACOB WILSON #314 Athletics</t>
        </is>
      </c>
      <c r="C165" s="14" t="n">
        <v>2.49</v>
      </c>
      <c r="D165" s="14" t="n"/>
      <c r="E165" s="14" t="inlineStr"/>
      <c r="F165" s="15" t="inlineStr"/>
      <c r="G165" t="inlineStr">
        <is>
          <t>? No price data</t>
        </is>
      </c>
      <c r="H165" t="inlineStr">
        <is>
          <t>58%</t>
        </is>
      </c>
      <c r="I165">
        <f>HYPERLINK("https://www.ebay.com/sch/261328/i.html?_dcat=261328&amp;_fsrp=1&amp;rt=nc&amp;_from=R40&amp;_nkw=2025%20Topps%20JACOB%20WILSON%20%23314%20Athletics&amp;_sacat=0&amp;_sop=15&amp;rt=nc&amp;LH_BIN=1", "Active")</f>
        <v/>
      </c>
      <c r="J165">
        <f>HYPERLINK("https://www.ebay.com/sch/261328/i.html?_from=R40&amp;_nkw=2025%20Topps%20JACOB%20WILSON%20%23314%20Athletics&amp;_sacat=0&amp;LH_Sold=1&amp;LH_Complete=1&amp;_sop=13", "Completed")</f>
        <v/>
      </c>
      <c r="K165" t="inlineStr">
        <is>
          <t>2025 Topps Update Pick Your Card #US177-US350 to Complete the Set LARGEST STOCK!</t>
        </is>
      </c>
    </row>
    <row r="166">
      <c r="A166" s="2" t="inlineStr">
        <is>
          <t>BA-000253-rck4h</t>
        </is>
      </c>
      <c r="B166" s="2" t="inlineStr">
        <is>
          <t>2021 Panini Prizm JOSE ALTUVE #179 Red/White/Blue Prizm Houston Astros</t>
        </is>
      </c>
      <c r="C166" s="3" t="n">
        <v>3.49</v>
      </c>
      <c r="D166" s="3" t="n">
        <v>2.49</v>
      </c>
      <c r="E166" s="3" t="n">
        <v>-1</v>
      </c>
      <c r="F166" s="4" t="n">
        <v>-28.7</v>
      </c>
      <c r="G166" s="2" t="inlineStr">
        <is>
          <t>🔵 Floored $2.49 — free ship or $0.99 ship?</t>
        </is>
      </c>
      <c r="H166" s="2" t="inlineStr">
        <is>
          <t>67%</t>
        </is>
      </c>
      <c r="I166" s="2">
        <f>HYPERLINK("https://www.ebay.com/sch/261328/i.html?_dcat=261328&amp;_fsrp=1&amp;rt=nc&amp;_from=R40&amp;_nkw=2021%20Panini%20Prizm%20JOSE%20ALTUVE%20%23179%20Red%2FWhite%2FBlue%20Prizm%20Houston%20Astros&amp;_sacat=0&amp;_sop=15&amp;rt=nc&amp;LH_BIN=1", "Active")</f>
        <v/>
      </c>
      <c r="J166" s="2">
        <f>HYPERLINK("https://www.ebay.com/sch/261328/i.html?_from=R40&amp;_nkw=2021%20Panini%20Prizm%20JOSE%20ALTUVE%20%23179%20Red%2FWhite%2FBlue%20Prizm%20Houston%20Astros&amp;_sacat=0&amp;LH_Sold=1&amp;LH_Complete=1&amp;_sop=13", "Completed")</f>
        <v/>
      </c>
      <c r="K166" s="2" t="inlineStr">
        <is>
          <t>2021 Panini Prizm- Baseball- Red White &amp; Blue- Select Players/ Complete Your Set</t>
        </is>
      </c>
    </row>
    <row r="167">
      <c r="A167" s="5" t="inlineStr">
        <is>
          <t>BA-000255-rck4j</t>
        </is>
      </c>
      <c r="B167" s="5" t="inlineStr">
        <is>
          <t>2025 Bowman LEO DE VRIES #VIP-14 Very Important Prospects San Diego Padres</t>
        </is>
      </c>
      <c r="C167" s="6" t="n">
        <v>1.99</v>
      </c>
      <c r="D167" s="6" t="n">
        <v>2.49</v>
      </c>
      <c r="E167" s="6" t="n">
        <v>0.5</v>
      </c>
      <c r="F167" s="7" t="n">
        <v>25.1</v>
      </c>
      <c r="G167" s="5" t="inlineStr">
        <is>
          <t>⬆ Price Up</t>
        </is>
      </c>
      <c r="H167" s="5" t="inlineStr">
        <is>
          <t>64%</t>
        </is>
      </c>
      <c r="I167" s="5">
        <f>HYPERLINK("https://www.ebay.com/sch/261328/i.html?_dcat=261328&amp;_fsrp=1&amp;rt=nc&amp;_from=R40&amp;_nkw=2025%20Bowman%20LEO%20DE%20VRIES%20%23VIP-14%20Very%20Important%20Prospects%20San%20Diego%20Padres&amp;_sacat=0&amp;_sop=15&amp;rt=nc&amp;LH_BIN=1", "Active")</f>
        <v/>
      </c>
      <c r="J167" s="5">
        <f>HYPERLINK("https://www.ebay.com/sch/261328/i.html?_from=R40&amp;_nkw=2025%20Bowman%20LEO%20DE%20VRIES%20%23VIP-14%20Very%20Important%20Prospects%20San%20Diego%20Padres&amp;_sacat=0&amp;LH_Sold=1&amp;LH_Complete=1&amp;_sop=13", "Completed")</f>
        <v/>
      </c>
      <c r="K167" s="5" t="inlineStr">
        <is>
          <t>2025 Bowman Baseball Pick Your Insert - Buy More &amp; Save</t>
        </is>
      </c>
    </row>
    <row r="168">
      <c r="A168" t="inlineStr">
        <is>
          <t>BA-000256-rck4k</t>
        </is>
      </c>
      <c r="B168" t="inlineStr">
        <is>
          <t>2025 Bowman JACOB WILSON #9 Athletics</t>
        </is>
      </c>
      <c r="C168" s="14" t="n">
        <v>2.49</v>
      </c>
      <c r="D168" s="14" t="n"/>
      <c r="E168" s="14" t="inlineStr"/>
      <c r="F168" s="15" t="inlineStr"/>
      <c r="G168" t="inlineStr">
        <is>
          <t>? No price data</t>
        </is>
      </c>
      <c r="H168" t="inlineStr">
        <is>
          <t>56%</t>
        </is>
      </c>
      <c r="I168">
        <f>HYPERLINK("https://www.ebay.com/sch/261328/i.html?_dcat=261328&amp;_fsrp=1&amp;rt=nc&amp;_from=R40&amp;_nkw=2025%20Bowman%20JACOB%20WILSON%20%239%20Athletics&amp;_sacat=0&amp;_sop=15&amp;rt=nc&amp;LH_BIN=1", "Active")</f>
        <v/>
      </c>
      <c r="J168">
        <f>HYPERLINK("https://www.ebay.com/sch/261328/i.html?_from=R40&amp;_nkw=2025%20Bowman%20JACOB%20WILSON%20%239%20Athletics&amp;_sacat=0&amp;LH_Sold=1&amp;LH_Complete=1&amp;_sop=13", "Completed")</f>
        <v/>
      </c>
      <c r="K168" t="inlineStr">
        <is>
          <t>2025 Bowman Rockstar Rookies- You Pick Complete Your Set- Listed 9/8- 50% Off 4+</t>
        </is>
      </c>
    </row>
    <row r="169">
      <c r="A169" s="2" t="inlineStr">
        <is>
          <t>BA-000257-rck4l</t>
        </is>
      </c>
      <c r="B169" s="2" t="inlineStr">
        <is>
          <t>2025 Bowman JESUS MADE #BP-66 Prospects Milwaukee Brewers</t>
        </is>
      </c>
      <c r="C169" s="3" t="n">
        <v>2.99</v>
      </c>
      <c r="D169" s="3" t="n">
        <v>2.49</v>
      </c>
      <c r="E169" s="3" t="n">
        <v>-0.5</v>
      </c>
      <c r="F169" s="4" t="n">
        <v>-16.7</v>
      </c>
      <c r="G169" s="2" t="inlineStr">
        <is>
          <t>🔵 Floored $2.49 — free ship or $0.99 ship?</t>
        </is>
      </c>
      <c r="H169" s="2" t="inlineStr">
        <is>
          <t>84%</t>
        </is>
      </c>
      <c r="I169" s="2">
        <f>HYPERLINK("https://www.ebay.com/sch/261328/i.html?_dcat=261328&amp;_fsrp=1&amp;rt=nc&amp;_from=R40&amp;_nkw=2025%20Bowman%20JESUS%20MADE%20%23BP-66%20Prospects%20Milwaukee%20Brewers&amp;_sacat=0&amp;_sop=15&amp;rt=nc&amp;LH_BIN=1", "Active")</f>
        <v/>
      </c>
      <c r="J169" s="2">
        <f>HYPERLINK("https://www.ebay.com/sch/261328/i.html?_from=R40&amp;_nkw=2025%20Bowman%20JESUS%20MADE%20%23BP-66%20Prospects%20Milwaukee%20Brewers&amp;_sacat=0&amp;LH_Sold=1&amp;LH_Complete=1&amp;_sop=13", "Completed")</f>
        <v/>
      </c>
      <c r="K169" s="2" t="inlineStr">
        <is>
          <t>2025 Bowman #BP-66 Jesus Made Prospects</t>
        </is>
      </c>
    </row>
    <row r="170">
      <c r="A170" t="inlineStr">
        <is>
          <t>BA-000258-rck4m</t>
        </is>
      </c>
      <c r="B170" t="inlineStr">
        <is>
          <t>2025 Topps JAMES WOOD #181 Washington Nationals</t>
        </is>
      </c>
      <c r="C170" s="14" t="n">
        <v>2.49</v>
      </c>
      <c r="D170" s="14" t="n"/>
      <c r="E170" s="14" t="inlineStr"/>
      <c r="F170" s="15" t="inlineStr"/>
      <c r="G170" t="inlineStr">
        <is>
          <t>? No price data</t>
        </is>
      </c>
      <c r="H170" t="inlineStr">
        <is>
          <t>54%</t>
        </is>
      </c>
      <c r="I170">
        <f>HYPERLINK("https://www.ebay.com/sch/261328/i.html?_dcat=261328&amp;_fsrp=1&amp;rt=nc&amp;_from=R40&amp;_nkw=2025%20Topps%20JAMES%20WOOD%20%23181%20Washington%20Nationals&amp;_sacat=0&amp;_sop=15&amp;rt=nc&amp;LH_BIN=1", "Active")</f>
        <v/>
      </c>
      <c r="J170">
        <f>HYPERLINK("https://www.ebay.com/sch/261328/i.html?_from=R40&amp;_nkw=2025%20Topps%20JAMES%20WOOD%20%23181%20Washington%20Nationals&amp;_sacat=0&amp;LH_Sold=1&amp;LH_Complete=1&amp;_sop=13", "Completed")</f>
        <v/>
      </c>
      <c r="K170" t="inlineStr">
        <is>
          <t>2025 Topps Holiday Base! Pick Your Card, SHIPS FREE! Updated 6/22!</t>
        </is>
      </c>
    </row>
    <row r="171">
      <c r="A171" s="2" t="inlineStr">
        <is>
          <t>BA-000262-rmvqx</t>
        </is>
      </c>
      <c r="B171" s="2" t="inlineStr">
        <is>
          <t>2025 Topps JACOB WILSON #SMLB-31 Stars of MLB Athletics</t>
        </is>
      </c>
      <c r="C171" s="3" t="n">
        <v>2.99</v>
      </c>
      <c r="D171" s="3" t="n">
        <v>2.49</v>
      </c>
      <c r="E171" s="3" t="n">
        <v>-0.5</v>
      </c>
      <c r="F171" s="4" t="n">
        <v>-16.7</v>
      </c>
      <c r="G171" s="2" t="inlineStr">
        <is>
          <t>🔵 Floored $2.49 — free ship or $0.99 ship?</t>
        </is>
      </c>
      <c r="H171" s="2" t="inlineStr">
        <is>
          <t>85%</t>
        </is>
      </c>
      <c r="I171" s="2">
        <f>HYPERLINK("https://www.ebay.com/sch/261328/i.html?_dcat=261328&amp;_fsrp=1&amp;rt=nc&amp;_from=R40&amp;_nkw=2025%20Topps%20JACOB%20WILSON%20%23SMLB-31%20Stars%20of%20MLB%20Athletics&amp;_sacat=0&amp;_sop=15&amp;rt=nc&amp;LH_BIN=1", "Active")</f>
        <v/>
      </c>
      <c r="J171" s="2">
        <f>HYPERLINK("https://www.ebay.com/sch/261328/i.html?_from=R40&amp;_nkw=2025%20Topps%20JACOB%20WILSON%20%23SMLB-31%20Stars%20of%20MLB%20Athletics&amp;_sacat=0&amp;LH_Sold=1&amp;LH_Complete=1&amp;_sop=13", "Completed")</f>
        <v/>
      </c>
      <c r="K171" s="2" t="inlineStr">
        <is>
          <t>2025 Topps Series 2 Jacob Wilson Stars of MLB RC #SMLB-31</t>
        </is>
      </c>
    </row>
    <row r="172">
      <c r="A172" s="2" t="inlineStr">
        <is>
          <t>BA-000265-rmvr4</t>
        </is>
      </c>
      <c r="B172" s="2" t="inlineStr">
        <is>
          <t>2024 Bowman Chrome YAIKEL MIJARES #CPA-YMI Prospect Autographs Guardians</t>
        </is>
      </c>
      <c r="C172" s="3" t="n">
        <v>5.49</v>
      </c>
      <c r="D172" s="3" t="n">
        <v>2.49</v>
      </c>
      <c r="E172" s="3" t="n">
        <v>-3</v>
      </c>
      <c r="F172" s="4" t="n">
        <v>-54.6</v>
      </c>
      <c r="G172" s="2" t="inlineStr">
        <is>
          <t>🔵 Floored $2.49 — free ship or $0.99 ship?</t>
        </is>
      </c>
      <c r="H172" s="2" t="inlineStr"/>
      <c r="I172" s="2">
        <f>HYPERLINK("https://www.ebay.com/sch/261328/i.html?_dcat=261328&amp;_fsrp=1&amp;rt=nc&amp;_from=R40&amp;_nkw=2024%20Bowman%20Chrome%20YAIKEL%20MIJARES%20%23CPA-YMI%20Prospect%20Autographs%20Guardians&amp;_sacat=0&amp;_sop=15&amp;rt=nc&amp;LH_BIN=1", "Active")</f>
        <v/>
      </c>
      <c r="J172" s="2">
        <f>HYPERLINK("https://www.ebay.com/sch/261328/i.html?_from=R40&amp;_nkw=2024%20Bowman%20Chrome%20YAIKEL%20MIJARES%20%23CPA-YMI%20Prospect%20Autographs%20Guardians&amp;_sacat=0&amp;LH_Sold=1&amp;LH_Complete=1&amp;_sop=13", "Completed")</f>
        <v/>
      </c>
      <c r="K172" s="2" t="inlineStr">
        <is>
          <t>No Close Result Found</t>
        </is>
      </c>
    </row>
    <row r="173">
      <c r="A173" s="2" t="inlineStr">
        <is>
          <t>BA-000269-rmvre</t>
        </is>
      </c>
      <c r="B173" s="2" t="inlineStr">
        <is>
          <t>2024 Bowman Draft ROMAN ANTHONY #BD-19 Boston Red Sox</t>
        </is>
      </c>
      <c r="C173" s="3" t="n">
        <v>3.99</v>
      </c>
      <c r="D173" s="3" t="n">
        <v>2.49</v>
      </c>
      <c r="E173" s="3" t="n">
        <v>-1.5</v>
      </c>
      <c r="F173" s="4" t="n">
        <v>-37.6</v>
      </c>
      <c r="G173" s="2" t="inlineStr">
        <is>
          <t>🔵 Floored $2.49 — free ship or $0.99 ship?</t>
        </is>
      </c>
      <c r="H173" s="2" t="inlineStr">
        <is>
          <t>84%</t>
        </is>
      </c>
      <c r="I173" s="2">
        <f>HYPERLINK("https://www.ebay.com/sch/261328/i.html?_dcat=261328&amp;_fsrp=1&amp;rt=nc&amp;_from=R40&amp;_nkw=2024%20Bowman%20Draft%20ROMAN%20ANTHONY%20%23BD-19%20Boston%20Red%20Sox&amp;_sacat=0&amp;_sop=15&amp;rt=nc&amp;LH_BIN=1", "Active")</f>
        <v/>
      </c>
      <c r="J173" s="2">
        <f>HYPERLINK("https://www.ebay.com/sch/261328/i.html?_from=R40&amp;_nkw=2024%20Bowman%20Draft%20ROMAN%20ANTHONY%20%23BD-19%20Boston%20Red%20Sox&amp;_sacat=0&amp;LH_Sold=1&amp;LH_Complete=1&amp;_sop=13", "Completed")</f>
        <v/>
      </c>
      <c r="K173" s="2" t="inlineStr">
        <is>
          <t>2024 Bowman Draft - Roman Anthony #BD-19 (RC)</t>
        </is>
      </c>
    </row>
    <row r="174">
      <c r="A174" s="2" t="inlineStr">
        <is>
          <t>BA-000271-rmvri</t>
        </is>
      </c>
      <c r="B174" s="2" t="inlineStr">
        <is>
          <t>2025 Bowman Chrome JAMES WOOD #29 Washington Nationals</t>
        </is>
      </c>
      <c r="C174" s="3" t="n">
        <v>3.49</v>
      </c>
      <c r="D174" s="3" t="n">
        <v>2.49</v>
      </c>
      <c r="E174" s="3" t="n">
        <v>-1</v>
      </c>
      <c r="F174" s="4" t="n">
        <v>-28.7</v>
      </c>
      <c r="G174" s="2" t="inlineStr">
        <is>
          <t>🔵 Floored $2.49 — free ship or $0.99 ship?</t>
        </is>
      </c>
      <c r="H174" s="2" t="inlineStr">
        <is>
          <t>82%</t>
        </is>
      </c>
      <c r="I174" s="2">
        <f>HYPERLINK("https://www.ebay.com/sch/261328/i.html?_dcat=261328&amp;_fsrp=1&amp;rt=nc&amp;_from=R40&amp;_nkw=2025%20Bowman%20Chrome%20JAMES%20WOOD%20%2329%20Washington%20Nationals&amp;_sacat=0&amp;_sop=15&amp;rt=nc&amp;LH_BIN=1", "Active")</f>
        <v/>
      </c>
      <c r="J174" s="2">
        <f>HYPERLINK("https://www.ebay.com/sch/261328/i.html?_from=R40&amp;_nkw=2025%20Bowman%20Chrome%20JAMES%20WOOD%20%2329%20Washington%20Nationals&amp;_sacat=0&amp;LH_Sold=1&amp;LH_Complete=1&amp;_sop=13", "Completed")</f>
        <v/>
      </c>
      <c r="K174" s="2" t="inlineStr">
        <is>
          <t>2024 Bowman Chrome James Wood #BCP-91 (RC) Washington Nationals #PWAS</t>
        </is>
      </c>
    </row>
    <row r="175">
      <c r="A175" s="11" t="inlineStr">
        <is>
          <t>BA-000272-rmvrl</t>
        </is>
      </c>
      <c r="B175" s="11" t="inlineStr">
        <is>
          <t>2025 Bowman Chrome JAMES WOOD #29 Mojo Refractors Washington Nationals</t>
        </is>
      </c>
      <c r="C175" s="12" t="n">
        <v>4.99</v>
      </c>
      <c r="D175" s="12" t="n">
        <v>2.59</v>
      </c>
      <c r="E175" s="12" t="n">
        <v>-2.4</v>
      </c>
      <c r="F175" s="13" t="n">
        <v>-48.1</v>
      </c>
      <c r="G175" s="11" t="inlineStr">
        <is>
          <t>⬇ Price Down</t>
        </is>
      </c>
      <c r="H175" s="11" t="inlineStr">
        <is>
          <t>84%</t>
        </is>
      </c>
      <c r="I175" s="11">
        <f>HYPERLINK("https://www.ebay.com/sch/261328/i.html?_dcat=261328&amp;_fsrp=1&amp;rt=nc&amp;_from=R40&amp;_nkw=2025%20Bowman%20Chrome%20JAMES%20WOOD%20%2329%20Mojo%20Refractors%20Washington%20Nationals&amp;_sacat=0&amp;_sop=15&amp;rt=nc&amp;LH_BIN=1", "Active")</f>
        <v/>
      </c>
      <c r="J175" s="11">
        <f>HYPERLINK("https://www.ebay.com/sch/261328/i.html?_from=R40&amp;_nkw=2025%20Bowman%20Chrome%20JAMES%20WOOD%20%2329%20Mojo%20Refractors%20Washington%20Nationals&amp;_sacat=0&amp;LH_Sold=1&amp;LH_Complete=1&amp;_sop=13", "Completed")</f>
        <v/>
      </c>
      <c r="K175" s="11" t="inlineStr">
        <is>
          <t>2025 Bowman Chrome #29 James Wood Mojo Refractors</t>
        </is>
      </c>
    </row>
    <row r="176">
      <c r="A176" s="5" t="inlineStr">
        <is>
          <t>BA-000274-rmvrq</t>
        </is>
      </c>
      <c r="B176" s="5" t="inlineStr">
        <is>
          <t>2019 Topps KYLE TUCKER #60 Houston Astros Football</t>
        </is>
      </c>
      <c r="C176" s="6" t="n">
        <v>3.49</v>
      </c>
      <c r="D176" s="6" t="n">
        <v>4.39</v>
      </c>
      <c r="E176" s="6" t="n">
        <v>0.9</v>
      </c>
      <c r="F176" s="7" t="n">
        <v>25.8</v>
      </c>
      <c r="G176" s="5" t="inlineStr">
        <is>
          <t>⬆ Price Up</t>
        </is>
      </c>
      <c r="H176" s="5" t="inlineStr">
        <is>
          <t>100%</t>
        </is>
      </c>
      <c r="I176" s="5">
        <f>HYPERLINK("https://www.ebay.com/sch/261328/i.html?_dcat=261328&amp;_fsrp=1&amp;rt=nc&amp;_from=R40&amp;_nkw=2019%20Topps%20KYLE%20TUCKER%20%2360%20Houston%20Astros%20Football&amp;_sacat=0&amp;_sop=15&amp;rt=nc&amp;LH_BIN=1", "Active")</f>
        <v/>
      </c>
      <c r="J176" s="5">
        <f>HYPERLINK("https://www.ebay.com/sch/261328/i.html?_from=R40&amp;_nkw=2019%20Topps%20KYLE%20TUCKER%20%2360%20Houston%20Astros%20Football&amp;_sacat=0&amp;LH_Sold=1&amp;LH_Complete=1&amp;_sop=13", "Completed")</f>
        <v/>
      </c>
      <c r="K176" s="5" t="inlineStr">
        <is>
          <t>2019 Topps KYLE TUCKER #60 Houston Astros Football</t>
        </is>
      </c>
    </row>
    <row r="177">
      <c r="A177" s="5" t="inlineStr">
        <is>
          <t>BA-000275-rmvrs</t>
        </is>
      </c>
      <c r="B177" s="5" t="inlineStr">
        <is>
          <t>2019 Bowman KYLE TUCKER #94 Astros RC Rookie Football</t>
        </is>
      </c>
      <c r="C177" s="6" t="n">
        <v>3.49</v>
      </c>
      <c r="D177" s="6" t="n">
        <v>4.39</v>
      </c>
      <c r="E177" s="6" t="n">
        <v>0.9</v>
      </c>
      <c r="F177" s="7" t="n">
        <v>25.8</v>
      </c>
      <c r="G177" s="5" t="inlineStr">
        <is>
          <t>⬆ Price Up</t>
        </is>
      </c>
      <c r="H177" s="5" t="inlineStr">
        <is>
          <t>90%</t>
        </is>
      </c>
      <c r="I177" s="5">
        <f>HYPERLINK("https://www.ebay.com/sch/261328/i.html?_dcat=261328&amp;_fsrp=1&amp;rt=nc&amp;_from=R40&amp;_nkw=2019%20Bowman%20KYLE%20TUCKER%20%2394%20Astros%20RC%20Rookie%20Football&amp;_sacat=0&amp;_sop=15&amp;rt=nc&amp;LH_BIN=1", "Active")</f>
        <v/>
      </c>
      <c r="J177" s="5">
        <f>HYPERLINK("https://www.ebay.com/sch/261328/i.html?_from=R40&amp;_nkw=2019%20Bowman%20KYLE%20TUCKER%20%2394%20Astros%20RC%20Rookie%20Football&amp;_sacat=0&amp;LH_Sold=1&amp;LH_Complete=1&amp;_sop=13", "Completed")</f>
        <v/>
      </c>
      <c r="K177" s="5" t="inlineStr">
        <is>
          <t>2019 Bowman KYLE TUCKER #94 RC Astros Rookie Football</t>
        </is>
      </c>
    </row>
    <row r="178">
      <c r="A178" s="2" t="inlineStr">
        <is>
          <t>BA-000278-rmvs0</t>
        </is>
      </c>
      <c r="B178" s="2" t="inlineStr">
        <is>
          <t>2025 Topps TYLER SODERSTROM #72 Sandglitter Athletics</t>
        </is>
      </c>
      <c r="C178" s="3" t="n">
        <v>2.99</v>
      </c>
      <c r="D178" s="3" t="n">
        <v>2.49</v>
      </c>
      <c r="E178" s="3" t="n">
        <v>-0.5</v>
      </c>
      <c r="F178" s="4" t="n">
        <v>-16.7</v>
      </c>
      <c r="G178" s="2" t="inlineStr">
        <is>
          <t>🔵 Floored $2.49 — free ship or $0.99 ship?</t>
        </is>
      </c>
      <c r="H178" s="2" t="inlineStr">
        <is>
          <t>66%</t>
        </is>
      </c>
      <c r="I178" s="2">
        <f>HYPERLINK("https://www.ebay.com/sch/261328/i.html?_dcat=261328&amp;_fsrp=1&amp;rt=nc&amp;_from=R40&amp;_nkw=2025%20Topps%20TYLER%20SODERSTROM%20%2372%20Sandglitter%20Athletics&amp;_sacat=0&amp;_sop=15&amp;rt=nc&amp;LH_BIN=1", "Active")</f>
        <v/>
      </c>
      <c r="J178" s="2">
        <f>HYPERLINK("https://www.ebay.com/sch/261328/i.html?_from=R40&amp;_nkw=2025%20Topps%20TYLER%20SODERSTROM%20%2372%20Sandglitter%20Athletics&amp;_sacat=0&amp;LH_Sold=1&amp;LH_Complete=1&amp;_sop=13", "Completed")</f>
        <v/>
      </c>
      <c r="K178" s="2" t="inlineStr">
        <is>
          <t>2025 Topps Series 1 SANDGLITTER Parallels You Pick - 2 Card Minimum</t>
        </is>
      </c>
    </row>
    <row r="179">
      <c r="A179" s="2" t="inlineStr">
        <is>
          <t>BA-000280-rmvs5</t>
        </is>
      </c>
      <c r="B179" s="2" t="inlineStr">
        <is>
          <t>2025 Donruss TRAVIS BAZZANA #131 Cleveland Guardians</t>
        </is>
      </c>
      <c r="C179" s="3" t="n">
        <v>2.99</v>
      </c>
      <c r="D179" s="3" t="n">
        <v>2.49</v>
      </c>
      <c r="E179" s="3" t="n">
        <v>-0.5</v>
      </c>
      <c r="F179" s="4" t="n">
        <v>-16.7</v>
      </c>
      <c r="G179" s="2" t="inlineStr">
        <is>
          <t>🔵 Floored $2.49 — free ship or $0.99 ship?</t>
        </is>
      </c>
      <c r="H179" s="2" t="inlineStr">
        <is>
          <t>84%</t>
        </is>
      </c>
      <c r="I179" s="2">
        <f>HYPERLINK("https://www.ebay.com/sch/261328/i.html?_dcat=261328&amp;_fsrp=1&amp;rt=nc&amp;_from=R40&amp;_nkw=2025%20Donruss%20TRAVIS%20BAZZANA%20%23131%20Cleveland%20Guardians&amp;_sacat=0&amp;_sop=15&amp;rt=nc&amp;LH_BIN=1", "Active")</f>
        <v/>
      </c>
      <c r="J179" s="2">
        <f>HYPERLINK("https://www.ebay.com/sch/261328/i.html?_from=R40&amp;_nkw=2025%20Donruss%20TRAVIS%20BAZZANA%20%23131%20Cleveland%20Guardians&amp;_sacat=0&amp;LH_Sold=1&amp;LH_Complete=1&amp;_sop=13", "Completed")</f>
        <v/>
      </c>
      <c r="K179" s="2" t="inlineStr">
        <is>
          <t>2025 Panini Donruss Baseball Travis Bazzana Rated Prospect #131 Guardians</t>
        </is>
      </c>
    </row>
    <row r="180">
      <c r="A180" s="11" t="inlineStr">
        <is>
          <t>BA-000279-rmvs2</t>
        </is>
      </c>
      <c r="B180" s="11" t="inlineStr">
        <is>
          <t>2024 Bowman Draft NICK KURTZ #BD-56 Oakland Athletics</t>
        </is>
      </c>
      <c r="C180" s="12" t="n">
        <v>3.59</v>
      </c>
      <c r="D180" s="12" t="n">
        <v>3.29</v>
      </c>
      <c r="E180" s="12" t="n">
        <v>-0.3</v>
      </c>
      <c r="F180" s="13" t="n">
        <v>-8.4</v>
      </c>
      <c r="G180" s="11" t="inlineStr">
        <is>
          <t>⬇ Price Down</t>
        </is>
      </c>
      <c r="H180" s="11" t="inlineStr">
        <is>
          <t>83%</t>
        </is>
      </c>
      <c r="I180" s="11">
        <f>HYPERLINK("https://www.ebay.com/sch/261328/i.html?_dcat=261328&amp;_fsrp=1&amp;rt=nc&amp;_from=R40&amp;_nkw=2024%20Bowman%20Draft%20NICK%20KURTZ%20%23BD-56%20Oakland%20Athletics&amp;_sacat=0&amp;_sop=15&amp;rt=nc&amp;LH_BIN=1", "Active")</f>
        <v/>
      </c>
      <c r="J180" s="11">
        <f>HYPERLINK("https://www.ebay.com/sch/261328/i.html?_from=R40&amp;_nkw=2024%20Bowman%20Draft%20NICK%20KURTZ%20%23BD-56%20Oakland%20Athletics&amp;_sacat=0&amp;LH_Sold=1&amp;LH_Complete=1&amp;_sop=13", "Completed")</f>
        <v/>
      </c>
      <c r="K180" s="11" t="inlineStr">
        <is>
          <t>2024 Bowman Draft #BD-56 Nick Kurtz 1st Bowman Rookie RC</t>
        </is>
      </c>
    </row>
    <row r="181">
      <c r="A181" s="2" t="inlineStr">
        <is>
          <t>BA-000281-rmvs7</t>
        </is>
      </c>
      <c r="B181" s="2" t="inlineStr">
        <is>
          <t>2025 Donruss JAMES WOOD #41 Washington Nationals</t>
        </is>
      </c>
      <c r="C181" s="3" t="n">
        <v>2.99</v>
      </c>
      <c r="D181" s="3" t="n">
        <v>2.49</v>
      </c>
      <c r="E181" s="3" t="n">
        <v>-0.5</v>
      </c>
      <c r="F181" s="4" t="n">
        <v>-16.7</v>
      </c>
      <c r="G181" s="2" t="inlineStr">
        <is>
          <t>🔵 Floored $2.49 — free ship or $0.99 ship?</t>
        </is>
      </c>
      <c r="H181" s="2" t="inlineStr">
        <is>
          <t>69%</t>
        </is>
      </c>
      <c r="I181" s="2">
        <f>HYPERLINK("https://www.ebay.com/sch/261328/i.html?_dcat=261328&amp;_fsrp=1&amp;rt=nc&amp;_from=R40&amp;_nkw=2025%20Donruss%20JAMES%20WOOD%20%2341%20Washington%20Nationals&amp;_sacat=0&amp;_sop=15&amp;rt=nc&amp;LH_BIN=1", "Active")</f>
        <v/>
      </c>
      <c r="J181" s="2">
        <f>HYPERLINK("https://www.ebay.com/sch/261328/i.html?_from=R40&amp;_nkw=2025%20Donruss%20JAMES%20WOOD%20%2341%20Washington%20Nationals&amp;_sacat=0&amp;LH_Sold=1&amp;LH_Complete=1&amp;_sop=13", "Completed")</f>
        <v/>
      </c>
      <c r="K181" s="2" t="inlineStr">
        <is>
          <t>2025 Donruss #41 James Wood</t>
        </is>
      </c>
    </row>
    <row r="182">
      <c r="A182" s="2" t="inlineStr">
        <is>
          <t>BA-000282-rmvsb</t>
        </is>
      </c>
      <c r="B182" s="2" t="inlineStr">
        <is>
          <t>2025 Donruss KRISTIAN CAMPBELL #151 Boston Red Sox</t>
        </is>
      </c>
      <c r="C182" s="3" t="n">
        <v>2.99</v>
      </c>
      <c r="D182" s="3" t="n">
        <v>2.49</v>
      </c>
      <c r="E182" s="3" t="n">
        <v>-0.5</v>
      </c>
      <c r="F182" s="4" t="n">
        <v>-16.7</v>
      </c>
      <c r="G182" s="2" t="inlineStr">
        <is>
          <t>🔵 Floored $2.49 — free ship or $0.99 ship?</t>
        </is>
      </c>
      <c r="H182" s="2" t="inlineStr">
        <is>
          <t>68%</t>
        </is>
      </c>
      <c r="I182" s="2">
        <f>HYPERLINK("https://www.ebay.com/sch/261328/i.html?_dcat=261328&amp;_fsrp=1&amp;rt=nc&amp;_from=R40&amp;_nkw=2025%20Donruss%20KRISTIAN%20CAMPBELL%20%23151%20Boston%20Red%20Sox&amp;_sacat=0&amp;_sop=15&amp;rt=nc&amp;LH_BIN=1", "Active")</f>
        <v/>
      </c>
      <c r="J182" s="2">
        <f>HYPERLINK("https://www.ebay.com/sch/261328/i.html?_from=R40&amp;_nkw=2025%20Donruss%20KRISTIAN%20CAMPBELL%20%23151%20Boston%20Red%20Sox&amp;_sacat=0&amp;LH_Sold=1&amp;LH_Complete=1&amp;_sop=13", "Completed")</f>
        <v/>
      </c>
      <c r="K182" s="2" t="inlineStr">
        <is>
          <t>2025 Panini Donruss Optic Baseball Kristian Campbell</t>
        </is>
      </c>
    </row>
    <row r="183">
      <c r="A183" s="2" t="inlineStr">
        <is>
          <t>BA-000284-rmvsg</t>
        </is>
      </c>
      <c r="B183" s="2" t="inlineStr">
        <is>
          <t>2025 Topps Chrome TARIK SKUBAL #258 Detroit Tigers</t>
        </is>
      </c>
      <c r="C183" s="3" t="n">
        <v>3.49</v>
      </c>
      <c r="D183" s="3" t="n">
        <v>2.49</v>
      </c>
      <c r="E183" s="3" t="n">
        <v>-1</v>
      </c>
      <c r="F183" s="4" t="n">
        <v>-28.7</v>
      </c>
      <c r="G183" s="2" t="inlineStr">
        <is>
          <t>🔵 Floored $2.49 — free ship or $0.99 ship?</t>
        </is>
      </c>
      <c r="H183" s="2" t="inlineStr">
        <is>
          <t>61%</t>
        </is>
      </c>
      <c r="I183" s="2">
        <f>HYPERLINK("https://www.ebay.com/sch/261328/i.html?_dcat=261328&amp;_fsrp=1&amp;rt=nc&amp;_from=R40&amp;_nkw=2025%20Topps%20Chrome%20TARIK%20SKUBAL%20%23258%20Detroit%20Tigers&amp;_sacat=0&amp;_sop=15&amp;rt=nc&amp;LH_BIN=1", "Active")</f>
        <v/>
      </c>
      <c r="J183" s="2">
        <f>HYPERLINK("https://www.ebay.com/sch/261328/i.html?_from=R40&amp;_nkw=2025%20Topps%20Chrome%20TARIK%20SKUBAL%20%23258%20Detroit%20Tigers&amp;_sacat=0&amp;LH_Sold=1&amp;LH_Complete=1&amp;_sop=13", "Completed")</f>
        <v/>
      </c>
      <c r="K183" s="2" t="inlineStr">
        <is>
          <t>2025 Topps Chrome Baseball Base Cards #1-300 You Pick! *UPDATED 2/13/26*</t>
        </is>
      </c>
    </row>
    <row r="184">
      <c r="A184" s="2" t="inlineStr">
        <is>
          <t>BC-000005-rpp8p</t>
        </is>
      </c>
      <c r="B184" s="2" t="inlineStr">
        <is>
          <t>2025 Topps Chrome COSMIC THOMAS HARRINGTON #79 Refractor Pittsburgh Pirates</t>
        </is>
      </c>
      <c r="C184" s="3" t="n">
        <v>3.49</v>
      </c>
      <c r="D184" s="3" t="n">
        <v>2.49</v>
      </c>
      <c r="E184" s="3" t="n">
        <v>-1</v>
      </c>
      <c r="F184" s="4" t="n">
        <v>-28.7</v>
      </c>
      <c r="G184" s="2" t="inlineStr">
        <is>
          <t>🔵 Floored $2.49 — free ship or $0.99 ship?</t>
        </is>
      </c>
      <c r="H184" s="2" t="inlineStr">
        <is>
          <t>65%</t>
        </is>
      </c>
      <c r="I184" s="2">
        <f>HYPERLINK("https://www.ebay.com/sch/261328/i.html?_dcat=261328&amp;_fsrp=1&amp;rt=nc&amp;_from=R40&amp;_nkw=2025%20Topps%20Chrome%20COSMIC%20THOMAS%20HARRINGTON%20%2379%20Refractor%20Pittsburgh%20Pirates&amp;_sacat=0&amp;_sop=15&amp;rt=nc&amp;LH_BIN=1", "Active")</f>
        <v/>
      </c>
      <c r="J184" s="2">
        <f>HYPERLINK("https://www.ebay.com/sch/261328/i.html?_from=R40&amp;_nkw=2025%20Topps%20Chrome%20COSMIC%20THOMAS%20HARRINGTON%20%2379%20Refractor%20Pittsburgh%20Pirates&amp;_sacat=0&amp;LH_Sold=1&amp;LH_Complete=1&amp;_sop=13", "Completed")</f>
        <v/>
      </c>
      <c r="K184" s="2" t="inlineStr">
        <is>
          <t>2025 Topps Chrome Cosmic - Base, Inserts, Refractors &amp; Nucleus (You Pick)</t>
        </is>
      </c>
    </row>
    <row r="185">
      <c r="A185" s="2" t="inlineStr">
        <is>
          <t>BC-000007-rpp8r</t>
        </is>
      </c>
      <c r="B185" s="2" t="inlineStr">
        <is>
          <t>2025 Topps Chrome COSMIC MANNY MACHADO #86 Refractor San Diego Padres</t>
        </is>
      </c>
      <c r="C185" s="3" t="n">
        <v>2.99</v>
      </c>
      <c r="D185" s="3" t="n">
        <v>2.49</v>
      </c>
      <c r="E185" s="3" t="n">
        <v>-0.5</v>
      </c>
      <c r="F185" s="4" t="n">
        <v>-16.7</v>
      </c>
      <c r="G185" s="2" t="inlineStr">
        <is>
          <t>🔵 Floored $2.49 — free ship or $0.99 ship?</t>
        </is>
      </c>
      <c r="H185" s="2" t="inlineStr">
        <is>
          <t>70%</t>
        </is>
      </c>
      <c r="I185" s="2">
        <f>HYPERLINK("https://www.ebay.com/sch/261328/i.html?_dcat=261328&amp;_fsrp=1&amp;rt=nc&amp;_from=R40&amp;_nkw=2025%20Topps%20Chrome%20COSMIC%20MANNY%20MACHADO%20%2386%20Refractor%20San%20Diego%20Padres&amp;_sacat=0&amp;_sop=15&amp;rt=nc&amp;LH_BIN=1", "Active")</f>
        <v/>
      </c>
      <c r="J185" s="2">
        <f>HYPERLINK("https://www.ebay.com/sch/261328/i.html?_from=R40&amp;_nkw=2025%20Topps%20Chrome%20COSMIC%20MANNY%20MACHADO%20%2386%20Refractor%20San%20Diego%20Padres&amp;_sacat=0&amp;LH_Sold=1&amp;LH_Complete=1&amp;_sop=13", "Completed")</f>
        <v/>
      </c>
      <c r="K185" s="2" t="inlineStr">
        <is>
          <t>86|Manny Machado|2025 Topps Chrome Cosmic - Refractor</t>
        </is>
      </c>
    </row>
    <row r="186">
      <c r="A186" s="5" t="inlineStr">
        <is>
          <t>BC-000003-rpp8n</t>
        </is>
      </c>
      <c r="B186" s="5" t="inlineStr">
        <is>
          <t>2025 Topps Chrome COSMIC GRANT MCCRAY #28 Ref San Francisco Giants Football</t>
        </is>
      </c>
      <c r="C186" s="6" t="n">
        <v>3.49</v>
      </c>
      <c r="D186" s="6" t="n">
        <v>4.39</v>
      </c>
      <c r="E186" s="6" t="n">
        <v>0.9</v>
      </c>
      <c r="F186" s="7" t="n">
        <v>25.8</v>
      </c>
      <c r="G186" s="5" t="inlineStr">
        <is>
          <t>⬆ Price Up</t>
        </is>
      </c>
      <c r="H186" s="5" t="inlineStr">
        <is>
          <t>100%</t>
        </is>
      </c>
      <c r="I186" s="5">
        <f>HYPERLINK("https://www.ebay.com/sch/261328/i.html?_dcat=261328&amp;_fsrp=1&amp;rt=nc&amp;_from=R40&amp;_nkw=2025%20Topps%20Chrome%20COSMIC%20GRANT%20MCCRAY%20%2328%20Ref%20San%20Francisco%20Giants%20Football&amp;_sacat=0&amp;_sop=15&amp;rt=nc&amp;LH_BIN=1", "Active")</f>
        <v/>
      </c>
      <c r="J186" s="5">
        <f>HYPERLINK("https://www.ebay.com/sch/261328/i.html?_from=R40&amp;_nkw=2025%20Topps%20Chrome%20COSMIC%20GRANT%20MCCRAY%20%2328%20Ref%20San%20Francisco%20Giants%20Football&amp;_sacat=0&amp;LH_Sold=1&amp;LH_Complete=1&amp;_sop=13", "Completed")</f>
        <v/>
      </c>
      <c r="K186" s="5" t="inlineStr">
        <is>
          <t>2025 Topps Chrome COSMIC GRANT MCCRAY #28 Ref San Francisco Giants Football</t>
        </is>
      </c>
    </row>
    <row r="187">
      <c r="A187" s="5" t="inlineStr">
        <is>
          <t>BC-000009-rpp8t</t>
        </is>
      </c>
      <c r="B187" s="5" t="inlineStr">
        <is>
          <t>2025 Topps Chrome COSMIC CJ ABRAMS #177 Refractor Washington Nationals Football</t>
        </is>
      </c>
      <c r="C187" s="6" t="n">
        <v>4.99</v>
      </c>
      <c r="D187" s="6" t="n">
        <v>5.79</v>
      </c>
      <c r="E187" s="6" t="n">
        <v>0.8</v>
      </c>
      <c r="F187" s="7" t="n">
        <v>16</v>
      </c>
      <c r="G187" s="5" t="inlineStr">
        <is>
          <t>⬆ Price Up</t>
        </is>
      </c>
      <c r="H187" s="5" t="inlineStr">
        <is>
          <t>100%</t>
        </is>
      </c>
      <c r="I187" s="5">
        <f>HYPERLINK("https://www.ebay.com/sch/261328/i.html?_dcat=261328&amp;_fsrp=1&amp;rt=nc&amp;_from=R40&amp;_nkw=2025%20Topps%20Chrome%20COSMIC%20CJ%20ABRAMS%20%23177%20Refractor%20Washington%20Nationals%20Football&amp;_sacat=0&amp;_sop=15&amp;rt=nc&amp;LH_BIN=1", "Active")</f>
        <v/>
      </c>
      <c r="J187" s="5">
        <f>HYPERLINK("https://www.ebay.com/sch/261328/i.html?_from=R40&amp;_nkw=2025%20Topps%20Chrome%20COSMIC%20CJ%20ABRAMS%20%23177%20Refractor%20Washington%20Nationals%20Football&amp;_sacat=0&amp;LH_Sold=1&amp;LH_Complete=1&amp;_sop=13", "Completed")</f>
        <v/>
      </c>
      <c r="K187" s="5" t="inlineStr">
        <is>
          <t>2025 Topps Chrome COSMIC CJ ABRAMS #177 Refractor Washington Nationals Football</t>
        </is>
      </c>
    </row>
    <row r="188">
      <c r="A188" s="2" t="inlineStr">
        <is>
          <t>BC-000014-rpp8y</t>
        </is>
      </c>
      <c r="B188" s="2" t="inlineStr">
        <is>
          <t>2025 Topps Chrome COSMIC CALEB DURBIN #197 Refractor Milwaukee Brewers</t>
        </is>
      </c>
      <c r="C188" s="3" t="n">
        <v>4.99</v>
      </c>
      <c r="D188" s="3" t="n">
        <v>2.49</v>
      </c>
      <c r="E188" s="3" t="n">
        <v>-2.5</v>
      </c>
      <c r="F188" s="4" t="n">
        <v>-50.1</v>
      </c>
      <c r="G188" s="2" t="inlineStr">
        <is>
          <t>🔵 Floored $2.49 — free ship or $0.99 ship?</t>
        </is>
      </c>
      <c r="H188" s="2" t="inlineStr">
        <is>
          <t>67%</t>
        </is>
      </c>
      <c r="I188" s="2">
        <f>HYPERLINK("https://www.ebay.com/sch/261328/i.html?_dcat=261328&amp;_fsrp=1&amp;rt=nc&amp;_from=R40&amp;_nkw=2025%20Topps%20Chrome%20COSMIC%20CALEB%20DURBIN%20%23197%20Refractor%20Milwaukee%20Brewers&amp;_sacat=0&amp;_sop=15&amp;rt=nc&amp;LH_BIN=1", "Active")</f>
        <v/>
      </c>
      <c r="J188" s="2">
        <f>HYPERLINK("https://www.ebay.com/sch/261328/i.html?_from=R40&amp;_nkw=2025%20Topps%20Chrome%20COSMIC%20CALEB%20DURBIN%20%23197%20Refractor%20Milwaukee%20Brewers&amp;_sacat=0&amp;LH_Sold=1&amp;LH_Complete=1&amp;_sop=13", "Completed")</f>
        <v/>
      </c>
      <c r="K188" s="2" t="inlineStr">
        <is>
          <t>2025 Topps Chrome Cosmic - Base, Inserts, Refractors &amp; Nucleus (You Pick)</t>
        </is>
      </c>
    </row>
    <row r="189">
      <c r="A189" s="2" t="inlineStr">
        <is>
          <t>BC-000011-rpp8v</t>
        </is>
      </c>
      <c r="B189" s="2" t="inlineStr">
        <is>
          <t>2025 Topps Chrome COSMIC JACOB DEGROM #198 Refractor Texas Rangers</t>
        </is>
      </c>
      <c r="C189" s="3" t="n">
        <v>3.49</v>
      </c>
      <c r="D189" s="3" t="n">
        <v>2.49</v>
      </c>
      <c r="E189" s="3" t="n">
        <v>-1</v>
      </c>
      <c r="F189" s="4" t="n">
        <v>-28.7</v>
      </c>
      <c r="G189" s="2" t="inlineStr">
        <is>
          <t>🔵 Floored $2.49 — free ship or $0.99 ship?</t>
        </is>
      </c>
      <c r="H189" s="2" t="inlineStr">
        <is>
          <t>86%</t>
        </is>
      </c>
      <c r="I189" s="2">
        <f>HYPERLINK("https://www.ebay.com/sch/261328/i.html?_dcat=261328&amp;_fsrp=1&amp;rt=nc&amp;_from=R40&amp;_nkw=2025%20Topps%20Chrome%20COSMIC%20JACOB%20DEGROM%20%23198%20Refractor%20Texas%20Rangers&amp;_sacat=0&amp;_sop=15&amp;rt=nc&amp;LH_BIN=1", "Active")</f>
        <v/>
      </c>
      <c r="J189" s="2">
        <f>HYPERLINK("https://www.ebay.com/sch/261328/i.html?_from=R40&amp;_nkw=2025%20Topps%20Chrome%20COSMIC%20JACOB%20DEGROM%20%23198%20Refractor%20Texas%20Rangers&amp;_sacat=0&amp;LH_Sold=1&amp;LH_Complete=1&amp;_sop=13", "Completed")</f>
        <v/>
      </c>
      <c r="K189" s="2" t="inlineStr">
        <is>
          <t>2025 Topps Chrome Cosmic #198 Jacob deGrom Refractor</t>
        </is>
      </c>
    </row>
    <row r="190">
      <c r="A190" s="11" t="inlineStr">
        <is>
          <t>BC-000016-rpp90</t>
        </is>
      </c>
      <c r="B190" s="11" t="inlineStr">
        <is>
          <t>2025 Topps Chrome COSMIC TARIK SKUBAL #127 Refractor Detroit Tigers</t>
        </is>
      </c>
      <c r="C190" s="12" t="n">
        <v>4.99</v>
      </c>
      <c r="D190" s="12" t="n">
        <v>4.89</v>
      </c>
      <c r="E190" s="12" t="n">
        <v>-0.1</v>
      </c>
      <c r="F190" s="13" t="n">
        <v>-2</v>
      </c>
      <c r="G190" s="11" t="inlineStr">
        <is>
          <t>⬇ Price Down</t>
        </is>
      </c>
      <c r="H190" s="11" t="inlineStr">
        <is>
          <t>83%</t>
        </is>
      </c>
      <c r="I190" s="11">
        <f>HYPERLINK("https://www.ebay.com/sch/261328/i.html?_dcat=261328&amp;_fsrp=1&amp;rt=nc&amp;_from=R40&amp;_nkw=2025%20Topps%20Chrome%20COSMIC%20TARIK%20SKUBAL%20%23127%20Refractor%20Detroit%20Tigers&amp;_sacat=0&amp;_sop=15&amp;rt=nc&amp;LH_BIN=1", "Active")</f>
        <v/>
      </c>
      <c r="J190" s="11">
        <f>HYPERLINK("https://www.ebay.com/sch/261328/i.html?_from=R40&amp;_nkw=2025%20Topps%20Chrome%20COSMIC%20TARIK%20SKUBAL%20%23127%20Refractor%20Detroit%20Tigers&amp;_sacat=0&amp;LH_Sold=1&amp;LH_Complete=1&amp;_sop=13", "Completed")</f>
        <v/>
      </c>
      <c r="K190" s="11" t="inlineStr">
        <is>
          <t>TARIK SKUBAL Refractor 2025 Topps Chrome Cosmic #127 Detroit Tigers</t>
        </is>
      </c>
    </row>
    <row r="191">
      <c r="A191" s="5" t="inlineStr">
        <is>
          <t>BC-000020-rpp94</t>
        </is>
      </c>
      <c r="B191" s="5" t="inlineStr">
        <is>
          <t>2022 Topps Chrome COSMIC JEREMY PENA #41 Refractor Houston Astros</t>
        </is>
      </c>
      <c r="C191" s="6" t="n">
        <v>3.49</v>
      </c>
      <c r="D191" s="6" t="n">
        <v>4.39</v>
      </c>
      <c r="E191" s="6" t="n">
        <v>0.9</v>
      </c>
      <c r="F191" s="7" t="n">
        <v>25.8</v>
      </c>
      <c r="G191" s="5" t="inlineStr">
        <is>
          <t>⬆ Price Up</t>
        </is>
      </c>
      <c r="H191" s="5" t="inlineStr">
        <is>
          <t>100%</t>
        </is>
      </c>
      <c r="I191" s="5">
        <f>HYPERLINK("https://www.ebay.com/sch/261328/i.html?_dcat=261328&amp;_fsrp=1&amp;rt=nc&amp;_from=R40&amp;_nkw=2022%20Topps%20Chrome%20COSMIC%20JEREMY%20PENA%20%2341%20Refractor%20Houston%20Astros&amp;_sacat=0&amp;_sop=15&amp;rt=nc&amp;LH_BIN=1", "Active")</f>
        <v/>
      </c>
      <c r="J191" s="5">
        <f>HYPERLINK("https://www.ebay.com/sch/261328/i.html?_from=R40&amp;_nkw=2022%20Topps%20Chrome%20COSMIC%20JEREMY%20PENA%20%2341%20Refractor%20Houston%20Astros&amp;_sacat=0&amp;LH_Sold=1&amp;LH_Complete=1&amp;_sop=13", "Completed")</f>
        <v/>
      </c>
      <c r="K191" s="5" t="inlineStr">
        <is>
          <t>2022 Topps Chrome COSMIC JEREMY PENA #41 Refractor Houston Astros</t>
        </is>
      </c>
    </row>
    <row r="192">
      <c r="A192" s="5" t="inlineStr">
        <is>
          <t>BC-000021-rpp95</t>
        </is>
      </c>
      <c r="B192" s="5" t="inlineStr">
        <is>
          <t>2025 Topps Chrome COSMIC ROYCE LEWIS #19 Refractor Minnesota Twins</t>
        </is>
      </c>
      <c r="C192" s="6" t="n">
        <v>1.99</v>
      </c>
      <c r="D192" s="6" t="n">
        <v>2.49</v>
      </c>
      <c r="E192" s="6" t="n">
        <v>0.5</v>
      </c>
      <c r="F192" s="7" t="n">
        <v>25.1</v>
      </c>
      <c r="G192" s="5" t="inlineStr">
        <is>
          <t>⬆ Price Up</t>
        </is>
      </c>
      <c r="H192" s="5" t="inlineStr">
        <is>
          <t>85%</t>
        </is>
      </c>
      <c r="I192" s="5">
        <f>HYPERLINK("https://www.ebay.com/sch/261328/i.html?_dcat=261328&amp;_fsrp=1&amp;rt=nc&amp;_from=R40&amp;_nkw=2025%20Topps%20Chrome%20COSMIC%20ROYCE%20LEWIS%20%2319%20Refractor%20Minnesota%20Twins&amp;_sacat=0&amp;_sop=15&amp;rt=nc&amp;LH_BIN=1", "Active")</f>
        <v/>
      </c>
      <c r="J192" s="5">
        <f>HYPERLINK("https://www.ebay.com/sch/261328/i.html?_from=R40&amp;_nkw=2025%20Topps%20Chrome%20COSMIC%20ROYCE%20LEWIS%20%2319%20Refractor%20Minnesota%20Twins&amp;_sacat=0&amp;LH_Sold=1&amp;LH_Complete=1&amp;_sop=13", "Completed")</f>
        <v/>
      </c>
      <c r="K192" s="5" t="inlineStr">
        <is>
          <t>2025 Topps Chrome Cosmic #19 Royce Lewis Refractor</t>
        </is>
      </c>
    </row>
    <row r="193">
      <c r="A193" s="5" t="inlineStr">
        <is>
          <t>BC-000018-rpp92</t>
        </is>
      </c>
      <c r="B193" s="5" t="inlineStr">
        <is>
          <t>2025 Topps Chrome COSMIC JUSTIN VERLANDER #66 Ref San Francisco Giants Football</t>
        </is>
      </c>
      <c r="C193" s="6" t="n">
        <v>2.99</v>
      </c>
      <c r="D193" s="6" t="n">
        <v>3.89</v>
      </c>
      <c r="E193" s="6" t="n">
        <v>0.9</v>
      </c>
      <c r="F193" s="7" t="n">
        <v>30.1</v>
      </c>
      <c r="G193" s="5" t="inlineStr">
        <is>
          <t>⬆ Price Up</t>
        </is>
      </c>
      <c r="H193" s="5" t="inlineStr">
        <is>
          <t>100%</t>
        </is>
      </c>
      <c r="I193" s="5">
        <f>HYPERLINK("https://www.ebay.com/sch/261328/i.html?_dcat=261328&amp;_fsrp=1&amp;rt=nc&amp;_from=R40&amp;_nkw=2025%20Topps%20Chrome%20COSMIC%20JUSTIN%20VERLANDER%20%2366%20Ref%20San%20Francisco%20Giants%20Football&amp;_sacat=0&amp;_sop=15&amp;rt=nc&amp;LH_BIN=1", "Active")</f>
        <v/>
      </c>
      <c r="J193" s="5">
        <f>HYPERLINK("https://www.ebay.com/sch/261328/i.html?_from=R40&amp;_nkw=2025%20Topps%20Chrome%20COSMIC%20JUSTIN%20VERLANDER%20%2366%20Ref%20San%20Francisco%20Giants%20Football&amp;_sacat=0&amp;LH_Sold=1&amp;LH_Complete=1&amp;_sop=13", "Completed")</f>
        <v/>
      </c>
      <c r="K193" s="5" t="inlineStr">
        <is>
          <t>2025 Topps Chrome COSMIC JUSTIN VERLANDER #66 Ref San Francisco Giants Football</t>
        </is>
      </c>
    </row>
    <row r="194">
      <c r="A194" s="11" t="inlineStr">
        <is>
          <t>BC-000019-rpp93</t>
        </is>
      </c>
      <c r="B194" s="11" t="inlineStr">
        <is>
          <t>2025 Topps Chrome COSMIC SHOTA IMANAGA #192 Refractor Chicago Cubs</t>
        </is>
      </c>
      <c r="C194" s="12" t="n">
        <v>3.99</v>
      </c>
      <c r="D194" s="12" t="n">
        <v>2.69</v>
      </c>
      <c r="E194" s="12" t="n">
        <v>-1.3</v>
      </c>
      <c r="F194" s="13" t="n">
        <v>-32.6</v>
      </c>
      <c r="G194" s="11" t="inlineStr">
        <is>
          <t>⬇ Price Down</t>
        </is>
      </c>
      <c r="H194" s="11" t="inlineStr">
        <is>
          <t>86%</t>
        </is>
      </c>
      <c r="I194" s="11">
        <f>HYPERLINK("https://www.ebay.com/sch/261328/i.html?_dcat=261328&amp;_fsrp=1&amp;rt=nc&amp;_from=R40&amp;_nkw=2025%20Topps%20Chrome%20COSMIC%20SHOTA%20IMANAGA%20%23192%20Refractor%20Chicago%20Cubs&amp;_sacat=0&amp;_sop=15&amp;rt=nc&amp;LH_BIN=1", "Active")</f>
        <v/>
      </c>
      <c r="J194" s="11">
        <f>HYPERLINK("https://www.ebay.com/sch/261328/i.html?_from=R40&amp;_nkw=2025%20Topps%20Chrome%20COSMIC%20SHOTA%20IMANAGA%20%23192%20Refractor%20Chicago%20Cubs&amp;_sacat=0&amp;LH_Sold=1&amp;LH_Complete=1&amp;_sop=13", "Completed")</f>
        <v/>
      </c>
      <c r="K194" s="11" t="inlineStr">
        <is>
          <t>2025 Topps Chrome Cosmic #192 Shota Imanaga Refractor</t>
        </is>
      </c>
    </row>
    <row r="195">
      <c r="A195" s="5" t="inlineStr">
        <is>
          <t>BC-000023-rpp97</t>
        </is>
      </c>
      <c r="B195" s="5" t="inlineStr">
        <is>
          <t>2025 Topps Chrome COSMIC MATT CHAPMAN #72 Ref San Francisco Giants Football</t>
        </is>
      </c>
      <c r="C195" s="6" t="n">
        <v>2.49</v>
      </c>
      <c r="D195" s="6" t="n">
        <v>3.39</v>
      </c>
      <c r="E195" s="6" t="n">
        <v>0.9</v>
      </c>
      <c r="F195" s="7" t="n">
        <v>36.1</v>
      </c>
      <c r="G195" s="5" t="inlineStr">
        <is>
          <t>⬆ Price Up</t>
        </is>
      </c>
      <c r="H195" s="5" t="inlineStr">
        <is>
          <t>100%</t>
        </is>
      </c>
      <c r="I195" s="5">
        <f>HYPERLINK("https://www.ebay.com/sch/261328/i.html?_dcat=261328&amp;_fsrp=1&amp;rt=nc&amp;_from=R40&amp;_nkw=2025%20Topps%20Chrome%20COSMIC%20MATT%20CHAPMAN%20%2372%20Ref%20San%20Francisco%20Giants%20Football&amp;_sacat=0&amp;_sop=15&amp;rt=nc&amp;LH_BIN=1", "Active")</f>
        <v/>
      </c>
      <c r="J195" s="5">
        <f>HYPERLINK("https://www.ebay.com/sch/261328/i.html?_from=R40&amp;_nkw=2025%20Topps%20Chrome%20COSMIC%20MATT%20CHAPMAN%20%2372%20Ref%20San%20Francisco%20Giants%20Football&amp;_sacat=0&amp;LH_Sold=1&amp;LH_Complete=1&amp;_sop=13", "Completed")</f>
        <v/>
      </c>
      <c r="K195" s="5" t="inlineStr">
        <is>
          <t>2025 Topps Chrome COSMIC MATT CHAPMAN #72 Ref San Francisco Giants Football</t>
        </is>
      </c>
    </row>
    <row r="196">
      <c r="A196" s="2" t="inlineStr">
        <is>
          <t>BC-000027-rpp9b</t>
        </is>
      </c>
      <c r="B196" s="2" t="inlineStr">
        <is>
          <t>2025 Topps Chrome COSMIC CHASE PETTY #31 Refractor Cincinnati Reds</t>
        </is>
      </c>
      <c r="C196" s="3" t="n">
        <v>3.99</v>
      </c>
      <c r="D196" s="3" t="n">
        <v>2.49</v>
      </c>
      <c r="E196" s="3" t="n">
        <v>-1.5</v>
      </c>
      <c r="F196" s="4" t="n">
        <v>-37.6</v>
      </c>
      <c r="G196" s="2" t="inlineStr">
        <is>
          <t>🔵 Floored $2.49 — free ship or $0.99 ship?</t>
        </is>
      </c>
      <c r="H196" s="2" t="inlineStr">
        <is>
          <t>69%</t>
        </is>
      </c>
      <c r="I196" s="2">
        <f>HYPERLINK("https://www.ebay.com/sch/261328/i.html?_dcat=261328&amp;_fsrp=1&amp;rt=nc&amp;_from=R40&amp;_nkw=2025%20Topps%20Chrome%20COSMIC%20CHASE%20PETTY%20%2331%20Refractor%20Cincinnati%20Reds&amp;_sacat=0&amp;_sop=15&amp;rt=nc&amp;LH_BIN=1", "Active")</f>
        <v/>
      </c>
      <c r="J196" s="2">
        <f>HYPERLINK("https://www.ebay.com/sch/261328/i.html?_from=R40&amp;_nkw=2025%20Topps%20Chrome%20COSMIC%20CHASE%20PETTY%20%2331%20Refractor%20Cincinnati%20Reds&amp;_sacat=0&amp;LH_Sold=1&amp;LH_Complete=1&amp;_sop=13", "Completed")</f>
        <v/>
      </c>
      <c r="K196" s="2" t="inlineStr">
        <is>
          <t>2025 Topps Chrome Cosmic - Base, Inserts, Refractors &amp; Nucleus (You Pick)</t>
        </is>
      </c>
    </row>
    <row r="197">
      <c r="A197" s="5" t="inlineStr">
        <is>
          <t>BC-000028-rpp9c</t>
        </is>
      </c>
      <c r="B197" s="5" t="inlineStr">
        <is>
          <t>2025 Topps Chrome COSMIC JUNG HOO LEE #64 Ref San Francisco Giants Football</t>
        </is>
      </c>
      <c r="C197" s="6" t="n">
        <v>4.99</v>
      </c>
      <c r="D197" s="6" t="n">
        <v>5.79</v>
      </c>
      <c r="E197" s="6" t="n">
        <v>0.8</v>
      </c>
      <c r="F197" s="7" t="n">
        <v>16</v>
      </c>
      <c r="G197" s="5" t="inlineStr">
        <is>
          <t>⬆ Price Up</t>
        </is>
      </c>
      <c r="H197" s="5" t="inlineStr">
        <is>
          <t>100%</t>
        </is>
      </c>
      <c r="I197" s="5">
        <f>HYPERLINK("https://www.ebay.com/sch/261328/i.html?_dcat=261328&amp;_fsrp=1&amp;rt=nc&amp;_from=R40&amp;_nkw=2025%20Topps%20Chrome%20COSMIC%20JUNG%20HOO%20LEE%20%2364%20Ref%20San%20Francisco%20Giants%20Football&amp;_sacat=0&amp;_sop=15&amp;rt=nc&amp;LH_BIN=1", "Active")</f>
        <v/>
      </c>
      <c r="J197" s="5">
        <f>HYPERLINK("https://www.ebay.com/sch/261328/i.html?_from=R40&amp;_nkw=2025%20Topps%20Chrome%20COSMIC%20JUNG%20HOO%20LEE%20%2364%20Ref%20San%20Francisco%20Giants%20Football&amp;_sacat=0&amp;LH_Sold=1&amp;LH_Complete=1&amp;_sop=13", "Completed")</f>
        <v/>
      </c>
      <c r="K197" s="5" t="inlineStr">
        <is>
          <t>2025 Topps Chrome COSMIC JUNG HOO LEE #64 Ref San Francisco Giants Football</t>
        </is>
      </c>
    </row>
    <row r="198">
      <c r="A198" s="2" t="inlineStr">
        <is>
          <t>BC-000033-rpp9h</t>
        </is>
      </c>
      <c r="B198" s="2" t="inlineStr">
        <is>
          <t>2025 Topps Chrome COSMIC DENZEL CLARKE #147 Refractor Athletics</t>
        </is>
      </c>
      <c r="C198" s="3" t="n">
        <v>4.99</v>
      </c>
      <c r="D198" s="3" t="n">
        <v>2.49</v>
      </c>
      <c r="E198" s="3" t="n">
        <v>-2.5</v>
      </c>
      <c r="F198" s="4" t="n">
        <v>-50.1</v>
      </c>
      <c r="G198" s="2" t="inlineStr">
        <is>
          <t>🔵 Floored $2.49 — free ship or $0.99 ship?</t>
        </is>
      </c>
      <c r="H198" s="2" t="inlineStr">
        <is>
          <t>67%</t>
        </is>
      </c>
      <c r="I198" s="2">
        <f>HYPERLINK("https://www.ebay.com/sch/261328/i.html?_dcat=261328&amp;_fsrp=1&amp;rt=nc&amp;_from=R40&amp;_nkw=2025%20Topps%20Chrome%20COSMIC%20DENZEL%20CLARKE%20%23147%20Refractor%20Athletics&amp;_sacat=0&amp;_sop=15&amp;rt=nc&amp;LH_BIN=1", "Active")</f>
        <v/>
      </c>
      <c r="J198" s="2">
        <f>HYPERLINK("https://www.ebay.com/sch/261328/i.html?_from=R40&amp;_nkw=2025%20Topps%20Chrome%20COSMIC%20DENZEL%20CLARKE%20%23147%20Refractor%20Athletics&amp;_sacat=0&amp;LH_Sold=1&amp;LH_Complete=1&amp;_sop=13", "Completed")</f>
        <v/>
      </c>
      <c r="K198" s="2" t="inlineStr">
        <is>
          <t>2025 Topps Chrome Cosmic - Base, Inserts, Refractors &amp; Nucleus (You Pick)</t>
        </is>
      </c>
    </row>
    <row r="199">
      <c r="A199" s="11" t="inlineStr">
        <is>
          <t>BC-000031-rpp9f</t>
        </is>
      </c>
      <c r="B199" s="11" t="inlineStr">
        <is>
          <t>2025 Topps Chrome COSMIC AUSTIN WELLS #14 Refractor New York Yankees</t>
        </is>
      </c>
      <c r="C199" s="12" t="n">
        <v>5.99</v>
      </c>
      <c r="D199" s="12" t="n">
        <v>2.69</v>
      </c>
      <c r="E199" s="12" t="n">
        <v>-3.3</v>
      </c>
      <c r="F199" s="13" t="n">
        <v>-55.1</v>
      </c>
      <c r="G199" s="11" t="inlineStr">
        <is>
          <t>⬇ Price Down</t>
        </is>
      </c>
      <c r="H199" s="11" t="inlineStr">
        <is>
          <t>85%</t>
        </is>
      </c>
      <c r="I199" s="11">
        <f>HYPERLINK("https://www.ebay.com/sch/261328/i.html?_dcat=261328&amp;_fsrp=1&amp;rt=nc&amp;_from=R40&amp;_nkw=2025%20Topps%20Chrome%20COSMIC%20AUSTIN%20WELLS%20%2314%20Refractor%20New%20York%20Yankees&amp;_sacat=0&amp;_sop=15&amp;rt=nc&amp;LH_BIN=1", "Active")</f>
        <v/>
      </c>
      <c r="J199" s="11">
        <f>HYPERLINK("https://www.ebay.com/sch/261328/i.html?_from=R40&amp;_nkw=2025%20Topps%20Chrome%20COSMIC%20AUSTIN%20WELLS%20%2314%20Refractor%20New%20York%20Yankees&amp;_sacat=0&amp;LH_Sold=1&amp;LH_Complete=1&amp;_sop=13", "Completed")</f>
        <v/>
      </c>
      <c r="K199" s="11" t="inlineStr">
        <is>
          <t>2025 Topps Chrome Cosmic #14 Austin Wells Refractor</t>
        </is>
      </c>
    </row>
    <row r="200">
      <c r="A200" s="5" t="inlineStr">
        <is>
          <t>BC-000036-rpp9k</t>
        </is>
      </c>
      <c r="B200" s="5" t="inlineStr">
        <is>
          <t>2025 Topps Chrome COSMIC JAZZ CHISHOLM JR. #156 Ref New York Yankees Basketball</t>
        </is>
      </c>
      <c r="C200" s="6" t="n">
        <v>2.99</v>
      </c>
      <c r="D200" s="6" t="n">
        <v>3.89</v>
      </c>
      <c r="E200" s="6" t="n">
        <v>0.9</v>
      </c>
      <c r="F200" s="7" t="n">
        <v>30.1</v>
      </c>
      <c r="G200" s="5" t="inlineStr">
        <is>
          <t>⬆ Price Up</t>
        </is>
      </c>
      <c r="H200" s="5" t="inlineStr">
        <is>
          <t>100%</t>
        </is>
      </c>
      <c r="I200" s="5">
        <f>HYPERLINK("https://www.ebay.com/sch/261328/i.html?_dcat=261328&amp;_fsrp=1&amp;rt=nc&amp;_from=R40&amp;_nkw=2025%20Topps%20Chrome%20COSMIC%20JAZZ%20CHISHOLM%20JR.%20%23156%20Ref%20New%20York%20Yankees%20Basketball&amp;_sacat=0&amp;_sop=15&amp;rt=nc&amp;LH_BIN=1", "Active")</f>
        <v/>
      </c>
      <c r="J200" s="5">
        <f>HYPERLINK("https://www.ebay.com/sch/261328/i.html?_from=R40&amp;_nkw=2025%20Topps%20Chrome%20COSMIC%20JAZZ%20CHISHOLM%20JR.%20%23156%20Ref%20New%20York%20Yankees%20Basketball&amp;_sacat=0&amp;LH_Sold=1&amp;LH_Complete=1&amp;_sop=13", "Completed")</f>
        <v/>
      </c>
      <c r="K200" s="5" t="inlineStr">
        <is>
          <t>2025 Topps Chrome COSMIC JAZZ CHISHOLM JR. #156 Ref New York Yankees Basketball</t>
        </is>
      </c>
    </row>
    <row r="201">
      <c r="A201" s="2" t="inlineStr">
        <is>
          <t>BC-000037-rpp9l</t>
        </is>
      </c>
      <c r="B201" s="2" t="inlineStr">
        <is>
          <t>2025 Topps Chrome COSMIC GERRIT COLE #82 Refractor New York Yankees</t>
        </is>
      </c>
      <c r="C201" s="3" t="n">
        <v>2.99</v>
      </c>
      <c r="D201" s="3" t="n">
        <v>2.49</v>
      </c>
      <c r="E201" s="3" t="n">
        <v>-0.5</v>
      </c>
      <c r="F201" s="4" t="n">
        <v>-16.7</v>
      </c>
      <c r="G201" s="2" t="inlineStr">
        <is>
          <t>🔵 Floored $2.49 — free ship or $0.99 ship?</t>
        </is>
      </c>
      <c r="H201" s="2" t="inlineStr">
        <is>
          <t>85%</t>
        </is>
      </c>
      <c r="I201" s="2">
        <f>HYPERLINK("https://www.ebay.com/sch/261328/i.html?_dcat=261328&amp;_fsrp=1&amp;rt=nc&amp;_from=R40&amp;_nkw=2025%20Topps%20Chrome%20COSMIC%20GERRIT%20COLE%20%2382%20Refractor%20New%20York%20Yankees&amp;_sacat=0&amp;_sop=15&amp;rt=nc&amp;LH_BIN=1", "Active")</f>
        <v/>
      </c>
      <c r="J201" s="2">
        <f>HYPERLINK("https://www.ebay.com/sch/261328/i.html?_from=R40&amp;_nkw=2025%20Topps%20Chrome%20COSMIC%20GERRIT%20COLE%20%2382%20Refractor%20New%20York%20Yankees&amp;_sacat=0&amp;LH_Sold=1&amp;LH_Complete=1&amp;_sop=13", "Completed")</f>
        <v/>
      </c>
      <c r="K201" s="2" t="inlineStr">
        <is>
          <t>2025 Topps Chrome Cosmic #82 Gerrit Cole Refractor</t>
        </is>
      </c>
    </row>
    <row r="202">
      <c r="A202" s="2" t="inlineStr">
        <is>
          <t>BC-000038-rpp9m</t>
        </is>
      </c>
      <c r="B202" s="2" t="inlineStr">
        <is>
          <t>2025 Topps Chrome COSMIC ORELVIS MARTINEZ #65 Refractor Toronto Blue Jays</t>
        </is>
      </c>
      <c r="C202" s="3" t="n">
        <v>3.99</v>
      </c>
      <c r="D202" s="3" t="n">
        <v>2.49</v>
      </c>
      <c r="E202" s="3" t="n">
        <v>-1.5</v>
      </c>
      <c r="F202" s="4" t="n">
        <v>-37.6</v>
      </c>
      <c r="G202" s="2" t="inlineStr">
        <is>
          <t>🔵 Floored $2.49 — free ship or $0.99 ship?</t>
        </is>
      </c>
      <c r="H202" s="2" t="inlineStr">
        <is>
          <t>68%</t>
        </is>
      </c>
      <c r="I202" s="2">
        <f>HYPERLINK("https://www.ebay.com/sch/261328/i.html?_dcat=261328&amp;_fsrp=1&amp;rt=nc&amp;_from=R40&amp;_nkw=2025%20Topps%20Chrome%20COSMIC%20ORELVIS%20MARTINEZ%20%2365%20Refractor%20Toronto%20Blue%20Jays&amp;_sacat=0&amp;_sop=15&amp;rt=nc&amp;LH_BIN=1", "Active")</f>
        <v/>
      </c>
      <c r="J202" s="2">
        <f>HYPERLINK("https://www.ebay.com/sch/261328/i.html?_from=R40&amp;_nkw=2025%20Topps%20Chrome%20COSMIC%20ORELVIS%20MARTINEZ%20%2365%20Refractor%20Toronto%20Blue%20Jays&amp;_sacat=0&amp;LH_Sold=1&amp;LH_Complete=1&amp;_sop=13", "Completed")</f>
        <v/>
      </c>
      <c r="K202" s="2" t="inlineStr">
        <is>
          <t>2025 Topps Chrome Cosmic - Base, Inserts, Refractors &amp; Nucleus (You Pick)</t>
        </is>
      </c>
    </row>
    <row r="203">
      <c r="A203" s="8" t="inlineStr">
        <is>
          <t>BC-000075-rrqje</t>
        </is>
      </c>
      <c r="B203" s="8" t="inlineStr">
        <is>
          <t>2026 Topps CAL RALEIGH #GH-8 2025 Greatest Hits Seattle Mariners</t>
        </is>
      </c>
      <c r="C203" s="9" t="n">
        <v>2.49</v>
      </c>
      <c r="D203" s="9" t="n">
        <v>2.49</v>
      </c>
      <c r="E203" s="9" t="n">
        <v>0</v>
      </c>
      <c r="F203" s="10" t="n">
        <v>0</v>
      </c>
      <c r="G203" s="8" t="inlineStr">
        <is>
          <t>— No Change</t>
        </is>
      </c>
      <c r="H203" s="8" t="inlineStr">
        <is>
          <t>85%</t>
        </is>
      </c>
      <c r="I203" s="8">
        <f>HYPERLINK("https://www.ebay.com/sch/261328/i.html?_dcat=261328&amp;_fsrp=1&amp;rt=nc&amp;_from=R40&amp;_nkw=2026%20Topps%20CAL%20RALEIGH%20%23GH-8%202025%20Greatest%20Hits%20Seattle%20Mariners&amp;_sacat=0&amp;_sop=15&amp;rt=nc&amp;LH_BIN=1", "Active")</f>
        <v/>
      </c>
      <c r="J203" s="8">
        <f>HYPERLINK("https://www.ebay.com/sch/261328/i.html?_from=R40&amp;_nkw=2026%20Topps%20CAL%20RALEIGH%20%23GH-8%202025%20Greatest%20Hits%20Seattle%20Mariners&amp;_sacat=0&amp;LH_Sold=1&amp;LH_Complete=1&amp;_sop=13", "Completed")</f>
        <v/>
      </c>
      <c r="K203" s="8" t="inlineStr">
        <is>
          <t>2026 Topps #GH-8 Cal Raleigh 2025 Greatest Hits</t>
        </is>
      </c>
    </row>
    <row r="204">
      <c r="A204" s="2" t="inlineStr">
        <is>
          <t>BC-000074-rrqjd</t>
        </is>
      </c>
      <c r="B204" s="2" t="inlineStr">
        <is>
          <t>2026 Topps LUCAS GIOLITO #253 Rainbow Foil Boston Red Sox</t>
        </is>
      </c>
      <c r="C204" s="3" t="n">
        <v>3.49</v>
      </c>
      <c r="D204" s="3" t="n">
        <v>2.49</v>
      </c>
      <c r="E204" s="3" t="n">
        <v>-1</v>
      </c>
      <c r="F204" s="4" t="n">
        <v>-28.7</v>
      </c>
      <c r="G204" s="2" t="inlineStr">
        <is>
          <t>🔵 Floored $2.49 — free ship or $0.99 ship?</t>
        </is>
      </c>
      <c r="H204" s="2" t="inlineStr">
        <is>
          <t>87%</t>
        </is>
      </c>
      <c r="I204" s="2">
        <f>HYPERLINK("https://www.ebay.com/sch/261328/i.html?_dcat=261328&amp;_fsrp=1&amp;rt=nc&amp;_from=R40&amp;_nkw=2026%20Topps%20LUCAS%20GIOLITO%20%23253%20Rainbow%20Foil%20Boston%20Red%20Sox&amp;_sacat=0&amp;_sop=15&amp;rt=nc&amp;LH_BIN=1", "Active")</f>
        <v/>
      </c>
      <c r="J204" s="2">
        <f>HYPERLINK("https://www.ebay.com/sch/261328/i.html?_from=R40&amp;_nkw=2026%20Topps%20LUCAS%20GIOLITO%20%23253%20Rainbow%20Foil%20Boston%20Red%20Sox&amp;_sacat=0&amp;LH_Sold=1&amp;LH_Complete=1&amp;_sop=13", "Completed")</f>
        <v/>
      </c>
      <c r="K204" s="2" t="inlineStr">
        <is>
          <t>2026 Topps Series 1 #253 Lucas Giolito Boston Red Sox Rainbow Foil</t>
        </is>
      </c>
    </row>
    <row r="205">
      <c r="A205" s="2" t="inlineStr">
        <is>
          <t>BC-000076-rrqjf</t>
        </is>
      </c>
      <c r="B205" s="2" t="inlineStr">
        <is>
          <t>2026 Topps AUSTIN WELLS #220 Diamante Foil New York Yankees</t>
        </is>
      </c>
      <c r="C205" s="3" t="n">
        <v>2.99</v>
      </c>
      <c r="D205" s="3" t="n">
        <v>2.49</v>
      </c>
      <c r="E205" s="3" t="n">
        <v>-0.5</v>
      </c>
      <c r="F205" s="4" t="n">
        <v>-16.7</v>
      </c>
      <c r="G205" s="2" t="inlineStr">
        <is>
          <t>🔵 Floored $2.49 — free ship or $0.99 ship?</t>
        </is>
      </c>
      <c r="H205" s="2" t="inlineStr">
        <is>
          <t>62%</t>
        </is>
      </c>
      <c r="I205" s="2">
        <f>HYPERLINK("https://www.ebay.com/sch/261328/i.html?_dcat=261328&amp;_fsrp=1&amp;rt=nc&amp;_from=R40&amp;_nkw=2026%20Topps%20AUSTIN%20WELLS%20%23220%20Diamante%20Foil%20New%20York%20Yankees&amp;_sacat=0&amp;_sop=15&amp;rt=nc&amp;LH_BIN=1", "Active")</f>
        <v/>
      </c>
      <c r="J205" s="2">
        <f>HYPERLINK("https://www.ebay.com/sch/261328/i.html?_from=R40&amp;_nkw=2026%20Topps%20AUSTIN%20WELLS%20%23220%20Diamante%20Foil%20New%20York%20Yankees&amp;_sacat=0&amp;LH_Sold=1&amp;LH_Complete=1&amp;_sop=13", "Completed")</f>
        <v/>
      </c>
      <c r="K205" s="2" t="inlineStr">
        <is>
          <t>🔥2026 Topps Diamante Foils ~6300- You Pick - Free Ship - Buy More &amp; Save!!!🔥</t>
        </is>
      </c>
    </row>
    <row r="206">
      <c r="A206" s="2" t="inlineStr">
        <is>
          <t>BC-000078-rrqjh</t>
        </is>
      </c>
      <c r="B206" s="2" t="inlineStr">
        <is>
          <t>2026 Topps CHIPPER JONES #T91-13 1991 Topps Baseball 35th Anniversary Braves</t>
        </is>
      </c>
      <c r="C206" s="3" t="n">
        <v>2.99</v>
      </c>
      <c r="D206" s="3" t="n">
        <v>2.49</v>
      </c>
      <c r="E206" s="3" t="n">
        <v>-0.5</v>
      </c>
      <c r="F206" s="4" t="n">
        <v>-16.7</v>
      </c>
      <c r="G206" s="2" t="inlineStr">
        <is>
          <t>🔵 Floored $2.49 — free ship or $0.99 ship?</t>
        </is>
      </c>
      <c r="H206" s="2" t="inlineStr">
        <is>
          <t>84%</t>
        </is>
      </c>
      <c r="I206" s="2">
        <f>HYPERLINK("https://www.ebay.com/sch/261328/i.html?_dcat=261328&amp;_fsrp=1&amp;rt=nc&amp;_from=R40&amp;_nkw=2026%20Topps%20CHIPPER%20JONES%20%23T91-13%201991%20Topps%20Baseball%2035th%20Anniversary%20Braves&amp;_sacat=0&amp;_sop=15&amp;rt=nc&amp;LH_BIN=1", "Active")</f>
        <v/>
      </c>
      <c r="J206" s="2">
        <f>HYPERLINK("https://www.ebay.com/sch/261328/i.html?_from=R40&amp;_nkw=2026%20Topps%20CHIPPER%20JONES%20%23T91-13%201991%20Topps%20Baseball%2035th%20Anniversary%20Braves&amp;_sacat=0&amp;LH_Sold=1&amp;LH_Complete=1&amp;_sop=13", "Completed")</f>
        <v/>
      </c>
      <c r="K206" s="2" t="inlineStr">
        <is>
          <t>2026 Topps Series 1 Baseball 1991 Topps 35th Anniversary Design</t>
        </is>
      </c>
    </row>
    <row r="207">
      <c r="A207" s="2" t="inlineStr">
        <is>
          <t>BC-000077-rrqjg</t>
        </is>
      </c>
      <c r="B207" s="2" t="inlineStr">
        <is>
          <t>2026 Topps BRADY HOUSE #170 Diamante Foil Washington Nationals</t>
        </is>
      </c>
      <c r="C207" s="3" t="n">
        <v>5.49</v>
      </c>
      <c r="D207" s="3" t="n">
        <v>2.49</v>
      </c>
      <c r="E207" s="3" t="n">
        <v>-3</v>
      </c>
      <c r="F207" s="4" t="n">
        <v>-54.6</v>
      </c>
      <c r="G207" s="2" t="inlineStr">
        <is>
          <t>🔵 Floored $2.49 — free ship or $0.99 ship?</t>
        </is>
      </c>
      <c r="H207" s="2" t="inlineStr">
        <is>
          <t>83%</t>
        </is>
      </c>
      <c r="I207" s="2">
        <f>HYPERLINK("https://www.ebay.com/sch/261328/i.html?_dcat=261328&amp;_fsrp=1&amp;rt=nc&amp;_from=R40&amp;_nkw=2026%20Topps%20BRADY%20HOUSE%20%23170%20Diamante%20Foil%20Washington%20Nationals&amp;_sacat=0&amp;_sop=15&amp;rt=nc&amp;LH_BIN=1", "Active")</f>
        <v/>
      </c>
      <c r="J207" s="2">
        <f>HYPERLINK("https://www.ebay.com/sch/261328/i.html?_from=R40&amp;_nkw=2026%20Topps%20BRADY%20HOUSE%20%23170%20Diamante%20Foil%20Washington%20Nationals&amp;_sacat=0&amp;LH_Sold=1&amp;LH_Complete=1&amp;_sop=13", "Completed")</f>
        <v/>
      </c>
      <c r="K207" s="2" t="inlineStr">
        <is>
          <t>2026 Topps #170 Brady House Diamante Foil RC</t>
        </is>
      </c>
    </row>
    <row r="208">
      <c r="A208" s="2" t="inlineStr">
        <is>
          <t>BC-000079-rrqji</t>
        </is>
      </c>
      <c r="B208" s="2" t="inlineStr">
        <is>
          <t>2026 Topps ELLY DE LA CRUZ #SMLB-12 Stars of MLB Cincinnati Reds</t>
        </is>
      </c>
      <c r="C208" s="3" t="n">
        <v>2.99</v>
      </c>
      <c r="D208" s="3" t="n">
        <v>2.49</v>
      </c>
      <c r="E208" s="3" t="n">
        <v>-0.5</v>
      </c>
      <c r="F208" s="4" t="n">
        <v>-16.7</v>
      </c>
      <c r="G208" s="2" t="inlineStr">
        <is>
          <t>🔵 Floored $2.49 — free ship or $0.99 ship?</t>
        </is>
      </c>
      <c r="H208" s="2" t="inlineStr">
        <is>
          <t>68%</t>
        </is>
      </c>
      <c r="I208" s="2">
        <f>HYPERLINK("https://www.ebay.com/sch/261328/i.html?_dcat=261328&amp;_fsrp=1&amp;rt=nc&amp;_from=R40&amp;_nkw=2026%20Topps%20ELLY%20DE%20LA%20CRUZ%20%23SMLB-12%20Stars%20of%20MLB%20Cincinnati%20Reds&amp;_sacat=0&amp;_sop=15&amp;rt=nc&amp;LH_BIN=1", "Active")</f>
        <v/>
      </c>
      <c r="J208" s="2">
        <f>HYPERLINK("https://www.ebay.com/sch/261328/i.html?_from=R40&amp;_nkw=2026%20Topps%20ELLY%20DE%20LA%20CRUZ%20%23SMLB-12%20Stars%20of%20MLB%20Cincinnati%20Reds&amp;_sacat=0&amp;LH_Sold=1&amp;LH_Complete=1&amp;_sop=13", "Completed")</f>
        <v/>
      </c>
      <c r="K208" s="2" t="inlineStr">
        <is>
          <t>2026 Topps Series 1 Baseball INSERT Singles Buy More &amp; Save + 2 Card Min READ!!</t>
        </is>
      </c>
    </row>
    <row r="209">
      <c r="A209" s="8" t="inlineStr">
        <is>
          <t>BC-000080-rrqjj</t>
        </is>
      </c>
      <c r="B209" s="8" t="inlineStr">
        <is>
          <t>2026 Topps BYRON BUXTON #SMLB-22 Stars of MLB Minnesota Twins</t>
        </is>
      </c>
      <c r="C209" s="9" t="n">
        <v>2.49</v>
      </c>
      <c r="D209" s="9" t="n">
        <v>2.49</v>
      </c>
      <c r="E209" s="9" t="n">
        <v>0</v>
      </c>
      <c r="F209" s="10" t="n">
        <v>0</v>
      </c>
      <c r="G209" s="8" t="inlineStr">
        <is>
          <t>— No Change</t>
        </is>
      </c>
      <c r="H209" s="8" t="inlineStr">
        <is>
          <t>64%</t>
        </is>
      </c>
      <c r="I209" s="8">
        <f>HYPERLINK("https://www.ebay.com/sch/261328/i.html?_dcat=261328&amp;_fsrp=1&amp;rt=nc&amp;_from=R40&amp;_nkw=2026%20Topps%20BYRON%20BUXTON%20%23SMLB-22%20Stars%20of%20MLB%20Minnesota%20Twins&amp;_sacat=0&amp;_sop=15&amp;rt=nc&amp;LH_BIN=1", "Active")</f>
        <v/>
      </c>
      <c r="J209" s="8">
        <f>HYPERLINK("https://www.ebay.com/sch/261328/i.html?_from=R40&amp;_nkw=2026%20Topps%20BYRON%20BUXTON%20%23SMLB-22%20Stars%20of%20MLB%20Minnesota%20Twins&amp;_sacat=0&amp;LH_Sold=1&amp;LH_Complete=1&amp;_sop=13", "Completed")</f>
        <v/>
      </c>
      <c r="K209" s="8" t="inlineStr">
        <is>
          <t>2026 Topps Stars of MLB Series 1 2 SMLB Inserts Pick Your Card Complete Your Set</t>
        </is>
      </c>
    </row>
    <row r="210">
      <c r="A210" s="2" t="inlineStr">
        <is>
          <t>BC-000082-rrqjl</t>
        </is>
      </c>
      <c r="B210" s="2" t="inlineStr">
        <is>
          <t>2026 Topps JACOB MISIOROWSKI #SMLB-26 Stars of MLB Milwaukee Brewers</t>
        </is>
      </c>
      <c r="C210" s="3" t="n">
        <v>2.99</v>
      </c>
      <c r="D210" s="3" t="n">
        <v>2.49</v>
      </c>
      <c r="E210" s="3" t="n">
        <v>-0.5</v>
      </c>
      <c r="F210" s="4" t="n">
        <v>-16.7</v>
      </c>
      <c r="G210" s="2" t="inlineStr">
        <is>
          <t>🔵 Floored $2.49 — free ship or $0.99 ship?</t>
        </is>
      </c>
      <c r="H210" s="2" t="inlineStr">
        <is>
          <t>66%</t>
        </is>
      </c>
      <c r="I210" s="2">
        <f>HYPERLINK("https://www.ebay.com/sch/261328/i.html?_dcat=261328&amp;_fsrp=1&amp;rt=nc&amp;_from=R40&amp;_nkw=2026%20Topps%20JACOB%20MISIOROWSKI%20%23SMLB-26%20Stars%20of%20MLB%20Milwaukee%20Brewers&amp;_sacat=0&amp;_sop=15&amp;rt=nc&amp;LH_BIN=1", "Active")</f>
        <v/>
      </c>
      <c r="J210" s="2">
        <f>HYPERLINK("https://www.ebay.com/sch/261328/i.html?_from=R40&amp;_nkw=2026%20Topps%20JACOB%20MISIOROWSKI%20%23SMLB-26%20Stars%20of%20MLB%20Milwaukee%20Brewers&amp;_sacat=0&amp;LH_Sold=1&amp;LH_Complete=1&amp;_sop=13", "Completed")</f>
        <v/>
      </c>
      <c r="K210" s="2" t="inlineStr">
        <is>
          <t>2026 Topps Stars of MLB Series 1 2 SMLB Inserts Pick Your Card Complete Your Set</t>
        </is>
      </c>
    </row>
    <row r="211">
      <c r="A211" t="inlineStr">
        <is>
          <t>BC-000083-rrqjm</t>
        </is>
      </c>
      <c r="B211" t="inlineStr">
        <is>
          <t>2026 Topps BUBBA CHANDLER #283 Pittsburgh Pirates</t>
        </is>
      </c>
      <c r="C211" s="14" t="n">
        <v>3.99</v>
      </c>
      <c r="D211" s="14" t="n"/>
      <c r="E211" s="14" t="inlineStr"/>
      <c r="F211" s="15" t="inlineStr"/>
      <c r="G211" t="inlineStr">
        <is>
          <t>? No price data</t>
        </is>
      </c>
      <c r="H211" t="inlineStr">
        <is>
          <t>59%</t>
        </is>
      </c>
      <c r="I211">
        <f>HYPERLINK("https://www.ebay.com/sch/261328/i.html?_dcat=261328&amp;_fsrp=1&amp;rt=nc&amp;_from=R40&amp;_nkw=2026%20Topps%20BUBBA%20CHANDLER%20%23283%20Pittsburgh%20Pirates&amp;_sacat=0&amp;_sop=15&amp;rt=nc&amp;LH_BIN=1", "Active")</f>
        <v/>
      </c>
      <c r="J211">
        <f>HYPERLINK("https://www.ebay.com/sch/261328/i.html?_from=R40&amp;_nkw=2026%20Topps%20BUBBA%20CHANDLER%20%23283%20Pittsburgh%20Pirates&amp;_sacat=0&amp;LH_Sold=1&amp;LH_Complete=1&amp;_sop=13", "Completed")</f>
        <v/>
      </c>
      <c r="K211" t="inlineStr">
        <is>
          <t>*MUST BUY 2 OR MORE* 2026 Topps Series 1 Base Cards #251-350, YOU PICK,</t>
        </is>
      </c>
    </row>
    <row r="212">
      <c r="A212" s="2" t="inlineStr">
        <is>
          <t>BC-000084-rrqjn</t>
        </is>
      </c>
      <c r="B212" s="2" t="inlineStr">
        <is>
          <t>2026 Topps MARCELO MAYER #269 Boston Red Sox</t>
        </is>
      </c>
      <c r="C212" s="3" t="n">
        <v>2.99</v>
      </c>
      <c r="D212" s="3" t="n">
        <v>2.49</v>
      </c>
      <c r="E212" s="3" t="n">
        <v>-0.5</v>
      </c>
      <c r="F212" s="4" t="n">
        <v>-16.7</v>
      </c>
      <c r="G212" s="2" t="inlineStr">
        <is>
          <t>🔵 Floored $2.49 — free ship or $0.99 ship?</t>
        </is>
      </c>
      <c r="H212" s="2" t="inlineStr">
        <is>
          <t>61%</t>
        </is>
      </c>
      <c r="I212" s="2">
        <f>HYPERLINK("https://www.ebay.com/sch/261328/i.html?_dcat=261328&amp;_fsrp=1&amp;rt=nc&amp;_from=R40&amp;_nkw=2026%20Topps%20MARCELO%20MAYER%20%23269%20Boston%20Red%20Sox&amp;_sacat=0&amp;_sop=15&amp;rt=nc&amp;LH_BIN=1", "Active")</f>
        <v/>
      </c>
      <c r="J212" s="2">
        <f>HYPERLINK("https://www.ebay.com/sch/261328/i.html?_from=R40&amp;_nkw=2026%20Topps%20MARCELO%20MAYER%20%23269%20Boston%20Red%20Sox&amp;_sacat=0&amp;LH_Sold=1&amp;LH_Complete=1&amp;_sop=13", "Completed")</f>
        <v/>
      </c>
      <c r="K212" s="2" t="inlineStr">
        <is>
          <t>2026 Topps Series 1 Baseball 176-350 Complete your set, You Pick</t>
        </is>
      </c>
    </row>
    <row r="213">
      <c r="A213" t="inlineStr">
        <is>
          <t>BC-000086-rrqjp</t>
        </is>
      </c>
      <c r="B213" t="inlineStr">
        <is>
          <t>2026 Topps JEREMIAH JACKSON #277 Baltimore Orioles</t>
        </is>
      </c>
      <c r="C213" s="14" t="n">
        <v>2.99</v>
      </c>
      <c r="D213" s="14" t="n"/>
      <c r="E213" s="14" t="inlineStr"/>
      <c r="F213" s="15" t="inlineStr"/>
      <c r="G213" t="inlineStr">
        <is>
          <t>? No price data</t>
        </is>
      </c>
      <c r="H213" t="inlineStr">
        <is>
          <t>59%</t>
        </is>
      </c>
      <c r="I213">
        <f>HYPERLINK("https://www.ebay.com/sch/261328/i.html?_dcat=261328&amp;_fsrp=1&amp;rt=nc&amp;_from=R40&amp;_nkw=2026%20Topps%20JEREMIAH%20JACKSON%20%23277%20Baltimore%20Orioles&amp;_sacat=0&amp;_sop=15&amp;rt=nc&amp;LH_BIN=1", "Active")</f>
        <v/>
      </c>
      <c r="J213">
        <f>HYPERLINK("https://www.ebay.com/sch/261328/i.html?_from=R40&amp;_nkw=2026%20Topps%20JEREMIAH%20JACKSON%20%23277%20Baltimore%20Orioles&amp;_sacat=0&amp;LH_Sold=1&amp;LH_Complete=1&amp;_sop=13", "Completed")</f>
        <v/>
      </c>
      <c r="K213" t="inlineStr">
        <is>
          <t>2026 Topps Series 1 Base #176-350! Pick Your Card, SHIPS FREE! Updated 6/18!</t>
        </is>
      </c>
    </row>
    <row r="214">
      <c r="A214" s="2" t="inlineStr">
        <is>
          <t>BC-000089-rrqjs</t>
        </is>
      </c>
      <c r="B214" s="2" t="inlineStr">
        <is>
          <t>2026 Topps PIERSON OHL #321 Diamante Foil Minnesota Twins</t>
        </is>
      </c>
      <c r="C214" s="3" t="n">
        <v>5.49</v>
      </c>
      <c r="D214" s="3" t="n">
        <v>2.49</v>
      </c>
      <c r="E214" s="3" t="n">
        <v>-3</v>
      </c>
      <c r="F214" s="4" t="n">
        <v>-54.6</v>
      </c>
      <c r="G214" s="2" t="inlineStr">
        <is>
          <t>🔵 Floored $2.49 — free ship or $0.99 ship?</t>
        </is>
      </c>
      <c r="H214" s="2" t="inlineStr">
        <is>
          <t>82%</t>
        </is>
      </c>
      <c r="I214" s="2">
        <f>HYPERLINK("https://www.ebay.com/sch/261328/i.html?_dcat=261328&amp;_fsrp=1&amp;rt=nc&amp;_from=R40&amp;_nkw=2026%20Topps%20PIERSON%20OHL%20%23321%20Diamante%20Foil%20Minnesota%20Twins&amp;_sacat=0&amp;_sop=15&amp;rt=nc&amp;LH_BIN=1", "Active")</f>
        <v/>
      </c>
      <c r="J214" s="2">
        <f>HYPERLINK("https://www.ebay.com/sch/261328/i.html?_from=R40&amp;_nkw=2026%20Topps%20PIERSON%20OHL%20%23321%20Diamante%20Foil%20Minnesota%20Twins&amp;_sacat=0&amp;LH_Sold=1&amp;LH_Complete=1&amp;_sop=13", "Completed")</f>
        <v/>
      </c>
      <c r="K214" s="2" t="inlineStr">
        <is>
          <t>2026 Topps Series 1 - Pierson Ohl #321 Diamante Foil (RC)</t>
        </is>
      </c>
    </row>
    <row r="215">
      <c r="A215" s="2" t="inlineStr">
        <is>
          <t>BC-000087-rrqjq</t>
        </is>
      </c>
      <c r="B215" s="2" t="inlineStr">
        <is>
          <t>2026 Topps VLADIMIR GUERRERO JR. #BTP-17 Big Ticket Players Toronto Blue Jays</t>
        </is>
      </c>
      <c r="C215" s="3" t="n">
        <v>3.49</v>
      </c>
      <c r="D215" s="3" t="n">
        <v>2.49</v>
      </c>
      <c r="E215" s="3" t="n">
        <v>-1</v>
      </c>
      <c r="F215" s="4" t="n">
        <v>-28.7</v>
      </c>
      <c r="G215" s="2" t="inlineStr">
        <is>
          <t>🔵 Floored $2.49 — free ship or $0.99 ship?</t>
        </is>
      </c>
      <c r="H215" s="2" t="inlineStr">
        <is>
          <t>76%</t>
        </is>
      </c>
      <c r="I215" s="2">
        <f>HYPERLINK("https://www.ebay.com/sch/261328/i.html?_dcat=261328&amp;_fsrp=1&amp;rt=nc&amp;_from=R40&amp;_nkw=2026%20Topps%20VLADIMIR%20GUERRERO%20JR.%20%23BTP-17%20Big%20Ticket%20Players%20Toronto%20Blue%20Jays&amp;_sacat=0&amp;_sop=15&amp;rt=nc&amp;LH_BIN=1", "Active")</f>
        <v/>
      </c>
      <c r="J215" s="2">
        <f>HYPERLINK("https://www.ebay.com/sch/261328/i.html?_from=R40&amp;_nkw=2026%20Topps%20VLADIMIR%20GUERRERO%20JR.%20%23BTP-17%20Big%20Ticket%20Players%20Toronto%20Blue%20Jays&amp;_sacat=0&amp;LH_Sold=1&amp;LH_Complete=1&amp;_sop=13", "Completed")</f>
        <v/>
      </c>
      <c r="K215" s="2" t="inlineStr">
        <is>
          <t>Vladimir Guerrero Jr. 2026 Topps #BTP-17 Big Ticket Players</t>
        </is>
      </c>
    </row>
    <row r="216">
      <c r="A216" s="5" t="inlineStr">
        <is>
          <t>BC-000090-rrqjt</t>
        </is>
      </c>
      <c r="B216" s="5" t="inlineStr">
        <is>
          <t>2026 Topps SAMUEL BASALLO #TOG-10 Titans of the Game Baltimore Orioles Football</t>
        </is>
      </c>
      <c r="C216" s="6" t="n">
        <v>2.99</v>
      </c>
      <c r="D216" s="6" t="n">
        <v>3.39</v>
      </c>
      <c r="E216" s="6" t="n">
        <v>0.4</v>
      </c>
      <c r="F216" s="7" t="n">
        <v>13.4</v>
      </c>
      <c r="G216" s="5" t="inlineStr">
        <is>
          <t>⬆ Price Up</t>
        </is>
      </c>
      <c r="H216" s="5" t="inlineStr">
        <is>
          <t>87%</t>
        </is>
      </c>
      <c r="I216" s="5">
        <f>HYPERLINK("https://www.ebay.com/sch/261328/i.html?_dcat=261328&amp;_fsrp=1&amp;rt=nc&amp;_from=R40&amp;_nkw=2026%20Topps%20SAMUEL%20BASALLO%20%23TOG-10%20Titans%20of%20the%20Game%20Baltimore%20Orioles%20Football&amp;_sacat=0&amp;_sop=15&amp;rt=nc&amp;LH_BIN=1", "Active")</f>
        <v/>
      </c>
      <c r="J216" s="5">
        <f>HYPERLINK("https://www.ebay.com/sch/261328/i.html?_from=R40&amp;_nkw=2026%20Topps%20SAMUEL%20BASALLO%20%23TOG-10%20Titans%20of%20the%20Game%20Baltimore%20Orioles%20Football&amp;_sacat=0&amp;LH_Sold=1&amp;LH_Complete=1&amp;_sop=13", "Completed")</f>
        <v/>
      </c>
      <c r="K216" s="5" t="inlineStr">
        <is>
          <t>2026 Topps SAMUEL BASALLO #TOG-10 Titans Of The Game RC Orioles Rookie Football</t>
        </is>
      </c>
    </row>
    <row r="217">
      <c r="A217" s="2" t="inlineStr">
        <is>
          <t>BC-000091-rrqju</t>
        </is>
      </c>
      <c r="B217" s="2" t="inlineStr">
        <is>
          <t>2026 Topps FERNANDO TATIS JR. #SMLB-3 Stars of MLB San Diego Padres</t>
        </is>
      </c>
      <c r="C217" s="3" t="n">
        <v>2.99</v>
      </c>
      <c r="D217" s="3" t="n">
        <v>2.49</v>
      </c>
      <c r="E217" s="3" t="n">
        <v>-0.5</v>
      </c>
      <c r="F217" s="4" t="n">
        <v>-16.7</v>
      </c>
      <c r="G217" s="2" t="inlineStr">
        <is>
          <t>🔵 Floored $2.49 — free ship or $0.99 ship?</t>
        </is>
      </c>
      <c r="H217" s="2" t="inlineStr">
        <is>
          <t>65%</t>
        </is>
      </c>
      <c r="I217" s="2">
        <f>HYPERLINK("https://www.ebay.com/sch/261328/i.html?_dcat=261328&amp;_fsrp=1&amp;rt=nc&amp;_from=R40&amp;_nkw=2026%20Topps%20FERNANDO%20TATIS%20JR.%20%23SMLB-3%20Stars%20of%20MLB%20San%20Diego%20Padres&amp;_sacat=0&amp;_sop=15&amp;rt=nc&amp;LH_BIN=1", "Active")</f>
        <v/>
      </c>
      <c r="J217" s="2">
        <f>HYPERLINK("https://www.ebay.com/sch/261328/i.html?_from=R40&amp;_nkw=2026%20Topps%20FERNANDO%20TATIS%20JR.%20%23SMLB-3%20Stars%20of%20MLB%20San%20Diego%20Padres&amp;_sacat=0&amp;LH_Sold=1&amp;LH_Complete=1&amp;_sop=13", "Completed")</f>
        <v/>
      </c>
      <c r="K217" s="2" t="inlineStr">
        <is>
          <t>🔥 2026 Topps Series 1 Stars of MLB Insert SMLB – Pick Your Card Complete Set 🔥</t>
        </is>
      </c>
    </row>
    <row r="218">
      <c r="A218" s="2" t="inlineStr">
        <is>
          <t>BC-000092-rrqjv</t>
        </is>
      </c>
      <c r="B218" s="2" t="inlineStr">
        <is>
          <t>2026 Topps FERNANDO TATIS JR. #TOG-19 Titans of the Game San Diego Padres</t>
        </is>
      </c>
      <c r="C218" s="3" t="n">
        <v>2.99</v>
      </c>
      <c r="D218" s="3" t="n">
        <v>2.49</v>
      </c>
      <c r="E218" s="3" t="n">
        <v>-0.5</v>
      </c>
      <c r="F218" s="4" t="n">
        <v>-16.7</v>
      </c>
      <c r="G218" s="2" t="inlineStr">
        <is>
          <t>🔵 Floored $2.49 — free ship or $0.99 ship?</t>
        </is>
      </c>
      <c r="H218" s="2" t="inlineStr">
        <is>
          <t>66%</t>
        </is>
      </c>
      <c r="I218" s="2">
        <f>HYPERLINK("https://www.ebay.com/sch/261328/i.html?_dcat=261328&amp;_fsrp=1&amp;rt=nc&amp;_from=R40&amp;_nkw=2026%20Topps%20FERNANDO%20TATIS%20JR.%20%23TOG-19%20Titans%20of%20the%20Game%20San%20Diego%20Padres&amp;_sacat=0&amp;_sop=15&amp;rt=nc&amp;LH_BIN=1", "Active")</f>
        <v/>
      </c>
      <c r="J218" s="2">
        <f>HYPERLINK("https://www.ebay.com/sch/261328/i.html?_from=R40&amp;_nkw=2026%20Topps%20FERNANDO%20TATIS%20JR.%20%23TOG-19%20Titans%20of%20the%20Game%20San%20Diego%20Padres&amp;_sacat=0&amp;LH_Sold=1&amp;LH_Complete=1&amp;_sop=13", "Completed")</f>
        <v/>
      </c>
      <c r="K218" s="2" t="inlineStr">
        <is>
          <t>2026 Topps Series 1 - Titans of the Game - #1–20 -YOU PICK/ CHOOSE YOUR CARD</t>
        </is>
      </c>
    </row>
    <row r="219">
      <c r="A219" s="2" t="inlineStr">
        <is>
          <t>BC-000093-rrqjw</t>
        </is>
      </c>
      <c r="B219" s="2" t="inlineStr">
        <is>
          <t>2026 Topps FERNANDO TATIS JR. #T91-8 1991 Topps Baseball 35th Anniversary Padres</t>
        </is>
      </c>
      <c r="C219" s="3" t="n">
        <v>3.49</v>
      </c>
      <c r="D219" s="3" t="n">
        <v>2.49</v>
      </c>
      <c r="E219" s="3" t="n">
        <v>-1</v>
      </c>
      <c r="F219" s="4" t="n">
        <v>-28.7</v>
      </c>
      <c r="G219" s="2" t="inlineStr">
        <is>
          <t>🔵 Floored $2.49 — free ship or $0.99 ship?</t>
        </is>
      </c>
      <c r="H219" s="2" t="inlineStr">
        <is>
          <t>85%</t>
        </is>
      </c>
      <c r="I219" s="2">
        <f>HYPERLINK("https://www.ebay.com/sch/261328/i.html?_dcat=261328&amp;_fsrp=1&amp;rt=nc&amp;_from=R40&amp;_nkw=2026%20Topps%20FERNANDO%20TATIS%20JR.%20%23T91-8%201991%20Topps%20Baseball%2035th%20Anniversary%20Padres&amp;_sacat=0&amp;_sop=15&amp;rt=nc&amp;LH_BIN=1", "Active")</f>
        <v/>
      </c>
      <c r="J219" s="2">
        <f>HYPERLINK("https://www.ebay.com/sch/261328/i.html?_from=R40&amp;_nkw=2026%20Topps%20FERNANDO%20TATIS%20JR.%20%23T91-8%201991%20Topps%20Baseball%2035th%20Anniversary%20Padres&amp;_sacat=0&amp;LH_Sold=1&amp;LH_Complete=1&amp;_sop=13", "Completed")</f>
        <v/>
      </c>
      <c r="K219" s="2" t="inlineStr">
        <is>
          <t>2026 TOPPS MLB - Fernando Tatis Jr - 1991 35th Anniversary Insert #T91-8  Padres</t>
        </is>
      </c>
    </row>
    <row r="220">
      <c r="A220" s="2" t="inlineStr">
        <is>
          <t>BC-000094-rrqjx</t>
        </is>
      </c>
      <c r="B220" s="2" t="inlineStr">
        <is>
          <t>2026 Topps TARIK SKUBAL #SMLB-29 Stars of MLB Detroit Tigers</t>
        </is>
      </c>
      <c r="C220" s="3" t="n">
        <v>3.49</v>
      </c>
      <c r="D220" s="3" t="n">
        <v>2.49</v>
      </c>
      <c r="E220" s="3" t="n">
        <v>-1</v>
      </c>
      <c r="F220" s="4" t="n">
        <v>-28.7</v>
      </c>
      <c r="G220" s="2" t="inlineStr">
        <is>
          <t>🔵 Floored $2.49 — free ship or $0.99 ship?</t>
        </is>
      </c>
      <c r="H220" s="2" t="inlineStr">
        <is>
          <t>65%</t>
        </is>
      </c>
      <c r="I220" s="2">
        <f>HYPERLINK("https://www.ebay.com/sch/261328/i.html?_dcat=261328&amp;_fsrp=1&amp;rt=nc&amp;_from=R40&amp;_nkw=2026%20Topps%20TARIK%20SKUBAL%20%23SMLB-29%20Stars%20of%20MLB%20Detroit%20Tigers&amp;_sacat=0&amp;_sop=15&amp;rt=nc&amp;LH_BIN=1", "Active")</f>
        <v/>
      </c>
      <c r="J220" s="2">
        <f>HYPERLINK("https://www.ebay.com/sch/261328/i.html?_from=R40&amp;_nkw=2026%20Topps%20TARIK%20SKUBAL%20%23SMLB-29%20Stars%20of%20MLB%20Detroit%20Tigers&amp;_sacat=0&amp;LH_Sold=1&amp;LH_Complete=1&amp;_sop=13", "Completed")</f>
        <v/>
      </c>
      <c r="K220" s="2" t="inlineStr">
        <is>
          <t>2026 Topps Series One Singles - MLB Baseball - Pick Your Card - No Minimums!</t>
        </is>
      </c>
    </row>
    <row r="221">
      <c r="A221" t="inlineStr">
        <is>
          <t>BC-000098-rrqk1</t>
        </is>
      </c>
      <c r="B221" t="inlineStr">
        <is>
          <t>2026 Topps JONAH TONG #4 New York Mets</t>
        </is>
      </c>
      <c r="C221" s="14" t="n">
        <v>6.99</v>
      </c>
      <c r="D221" s="14" t="n"/>
      <c r="E221" s="14" t="inlineStr"/>
      <c r="F221" s="15" t="inlineStr"/>
      <c r="G221" t="inlineStr">
        <is>
          <t>? No price data</t>
        </is>
      </c>
      <c r="H221" t="inlineStr">
        <is>
          <t>55%</t>
        </is>
      </c>
      <c r="I221">
        <f>HYPERLINK("https://www.ebay.com/sch/261328/i.html?_dcat=261328&amp;_fsrp=1&amp;rt=nc&amp;_from=R40&amp;_nkw=2026%20Topps%20JONAH%20TONG%20%234%20New%20York%20Mets&amp;_sacat=0&amp;_sop=15&amp;rt=nc&amp;LH_BIN=1", "Active")</f>
        <v/>
      </c>
      <c r="J221">
        <f>HYPERLINK("https://www.ebay.com/sch/261328/i.html?_from=R40&amp;_nkw=2026%20Topps%20JONAH%20TONG%20%234%20New%20York%20Mets&amp;_sacat=0&amp;LH_Sold=1&amp;LH_Complete=1&amp;_sop=13", "Completed")</f>
        <v/>
      </c>
      <c r="K221" t="inlineStr">
        <is>
          <t>2026 Topps Series 1- Base Cards #1-250, YOU PICK. *MUST BUY 2 OR MORE*</t>
        </is>
      </c>
    </row>
    <row r="222">
      <c r="A222" s="2" t="inlineStr">
        <is>
          <t>BC-000096-rrqjz</t>
        </is>
      </c>
      <c r="B222" s="2" t="inlineStr">
        <is>
          <t>2026 Topps CARSON WILLIAMS #25 Diamante Foil Tampa Bay Rays</t>
        </is>
      </c>
      <c r="C222" s="3" t="n">
        <v>3.49</v>
      </c>
      <c r="D222" s="3" t="n">
        <v>2.49</v>
      </c>
      <c r="E222" s="3" t="n">
        <v>-1</v>
      </c>
      <c r="F222" s="4" t="n">
        <v>-28.7</v>
      </c>
      <c r="G222" s="2" t="inlineStr">
        <is>
          <t>🔵 Floored $2.49 — free ship or $0.99 ship?</t>
        </is>
      </c>
      <c r="H222" s="2" t="inlineStr">
        <is>
          <t>61%</t>
        </is>
      </c>
      <c r="I222" s="2">
        <f>HYPERLINK("https://www.ebay.com/sch/261328/i.html?_dcat=261328&amp;_fsrp=1&amp;rt=nc&amp;_from=R40&amp;_nkw=2026%20Topps%20CARSON%20WILLIAMS%20%2325%20Diamante%20Foil%20Tampa%20Bay%20Rays&amp;_sacat=0&amp;_sop=15&amp;rt=nc&amp;LH_BIN=1", "Active")</f>
        <v/>
      </c>
      <c r="J222" s="2">
        <f>HYPERLINK("https://www.ebay.com/sch/261328/i.html?_from=R40&amp;_nkw=2026%20Topps%20CARSON%20WILLIAMS%20%2325%20Diamante%20Foil%20Tampa%20Bay%20Rays&amp;_sacat=0&amp;LH_Sold=1&amp;LH_Complete=1&amp;_sop=13", "Completed")</f>
        <v/>
      </c>
      <c r="K222" s="2" t="inlineStr">
        <is>
          <t>🔥2026 Topps Diamante Foils ~6300- You Pick - Free Ship - Buy More &amp; Save!!!🔥</t>
        </is>
      </c>
    </row>
    <row r="223">
      <c r="A223" s="2" t="inlineStr">
        <is>
          <t>BC-000099-rrqk2</t>
        </is>
      </c>
      <c r="B223" s="2" t="inlineStr">
        <is>
          <t>2026 Topps ELLY DE LA CRUZ #TOG-5 Titans of the Game Cincinnati Reds Football</t>
        </is>
      </c>
      <c r="C223" s="3" t="n">
        <v>2.99</v>
      </c>
      <c r="D223" s="3" t="n">
        <v>2.49</v>
      </c>
      <c r="E223" s="3" t="n">
        <v>-0.5</v>
      </c>
      <c r="F223" s="4" t="n">
        <v>-16.7</v>
      </c>
      <c r="G223" s="2" t="inlineStr">
        <is>
          <t>🔵 Floored $2.49 — free ship or $0.99 ship?</t>
        </is>
      </c>
      <c r="H223" s="2" t="inlineStr">
        <is>
          <t>84%</t>
        </is>
      </c>
      <c r="I223" s="2">
        <f>HYPERLINK("https://www.ebay.com/sch/261328/i.html?_dcat=261328&amp;_fsrp=1&amp;rt=nc&amp;_from=R40&amp;_nkw=2026%20Topps%20ELLY%20DE%20LA%20CRUZ%20%23TOG-5%20Titans%20of%20the%20Game%20Cincinnati%20Reds%20Football&amp;_sacat=0&amp;_sop=15&amp;rt=nc&amp;LH_BIN=1", "Active")</f>
        <v/>
      </c>
      <c r="J223" s="2">
        <f>HYPERLINK("https://www.ebay.com/sch/261328/i.html?_from=R40&amp;_nkw=2026%20Topps%20ELLY%20DE%20LA%20CRUZ%20%23TOG-5%20Titans%20of%20the%20Game%20Cincinnati%20Reds%20Football&amp;_sacat=0&amp;LH_Sold=1&amp;LH_Complete=1&amp;_sop=13", "Completed")</f>
        <v/>
      </c>
      <c r="K223" s="2" t="inlineStr">
        <is>
          <t>2026 Topps Series 1 Elly De La Cruz Titans Of The Game #TOG-5</t>
        </is>
      </c>
    </row>
    <row r="224">
      <c r="A224" s="2" t="inlineStr">
        <is>
          <t>BC-000101-rrqk4</t>
        </is>
      </c>
      <c r="B224" s="2" t="inlineStr">
        <is>
          <t>2026 Topps JACOB WILSON #T91-77 1991 Topps Baseball 35th Anniversary Athletics</t>
        </is>
      </c>
      <c r="C224" s="3" t="n">
        <v>3.49</v>
      </c>
      <c r="D224" s="3" t="n">
        <v>2.49</v>
      </c>
      <c r="E224" s="3" t="n">
        <v>-1</v>
      </c>
      <c r="F224" s="4" t="n">
        <v>-28.7</v>
      </c>
      <c r="G224" s="2" t="inlineStr">
        <is>
          <t>🔵 Floored $2.49 — free ship or $0.99 ship?</t>
        </is>
      </c>
      <c r="H224" s="2" t="inlineStr">
        <is>
          <t>87%</t>
        </is>
      </c>
      <c r="I224" s="2">
        <f>HYPERLINK("https://www.ebay.com/sch/261328/i.html?_dcat=261328&amp;_fsrp=1&amp;rt=nc&amp;_from=R40&amp;_nkw=2026%20Topps%20JACOB%20WILSON%20%23T91-77%201991%20Topps%20Baseball%2035th%20Anniversary%20Athletics&amp;_sacat=0&amp;_sop=15&amp;rt=nc&amp;LH_BIN=1", "Active")</f>
        <v/>
      </c>
      <c r="J224" s="2">
        <f>HYPERLINK("https://www.ebay.com/sch/261328/i.html?_from=R40&amp;_nkw=2026%20Topps%20JACOB%20WILSON%20%23T91-77%201991%20Topps%20Baseball%2035th%20Anniversary%20Athletics&amp;_sacat=0&amp;LH_Sold=1&amp;LH_Complete=1&amp;_sop=13", "Completed")</f>
        <v/>
      </c>
      <c r="K224" s="2" t="inlineStr">
        <is>
          <t>2026 Topps #T91-77 Jacob Wilson 1991 Topps Baseball 35th Anniversary</t>
        </is>
      </c>
    </row>
    <row r="225">
      <c r="A225" s="2" t="inlineStr">
        <is>
          <t>BC-000100-rrqk3</t>
        </is>
      </c>
      <c r="B225" s="2" t="inlineStr">
        <is>
          <t>2026 Topps CHRISTIAN YELICH #SMLB-20 Stars of MLB Milwaukee Brewers</t>
        </is>
      </c>
      <c r="C225" s="3" t="n">
        <v>2.99</v>
      </c>
      <c r="D225" s="3" t="n">
        <v>2.49</v>
      </c>
      <c r="E225" s="3" t="n">
        <v>-0.5</v>
      </c>
      <c r="F225" s="4" t="n">
        <v>-16.7</v>
      </c>
      <c r="G225" s="2" t="inlineStr">
        <is>
          <t>🔵 Floored $2.49 — free ship or $0.99 ship?</t>
        </is>
      </c>
      <c r="H225" s="2" t="inlineStr">
        <is>
          <t>85%</t>
        </is>
      </c>
      <c r="I225" s="2">
        <f>HYPERLINK("https://www.ebay.com/sch/261328/i.html?_dcat=261328&amp;_fsrp=1&amp;rt=nc&amp;_from=R40&amp;_nkw=2026%20Topps%20CHRISTIAN%20YELICH%20%23SMLB-20%20Stars%20of%20MLB%20Milwaukee%20Brewers&amp;_sacat=0&amp;_sop=15&amp;rt=nc&amp;LH_BIN=1", "Active")</f>
        <v/>
      </c>
      <c r="J225" s="2">
        <f>HYPERLINK("https://www.ebay.com/sch/261328/i.html?_from=R40&amp;_nkw=2026%20Topps%20CHRISTIAN%20YELICH%20%23SMLB-20%20Stars%20of%20MLB%20Milwaukee%20Brewers&amp;_sacat=0&amp;LH_Sold=1&amp;LH_Complete=1&amp;_sop=13", "Completed")</f>
        <v/>
      </c>
      <c r="K225" s="2" t="inlineStr">
        <is>
          <t>2026 Topps #SMLB-20 Christian Yelich Stars of MLB</t>
        </is>
      </c>
    </row>
    <row r="226">
      <c r="A226" s="8" t="inlineStr">
        <is>
          <t>RA-000044-s8hiw</t>
        </is>
      </c>
      <c r="B226" s="8" t="inlineStr">
        <is>
          <t>2025-26 Topps Chrome ALIJAH MARTIN #290 Refractor Toronto Raptors Basketball</t>
        </is>
      </c>
      <c r="C226" s="9" t="n">
        <v>2.49</v>
      </c>
      <c r="D226" s="9" t="n">
        <v>2.49</v>
      </c>
      <c r="E226" s="9" t="n">
        <v>0</v>
      </c>
      <c r="F226" s="10" t="n">
        <v>0</v>
      </c>
      <c r="G226" s="8" t="inlineStr">
        <is>
          <t>— No Change</t>
        </is>
      </c>
      <c r="H226" s="8" t="inlineStr">
        <is>
          <t>87%</t>
        </is>
      </c>
      <c r="I226" s="8">
        <f>HYPERLINK("https://www.ebay.com/sch/261328/i.html?_dcat=261328&amp;_fsrp=1&amp;rt=nc&amp;_from=R40&amp;_nkw=2025-26%20Topps%20Chrome%20ALIJAH%20MARTIN%20%23290%20Refractor%20Toronto%20Raptors%20Basketball&amp;_sacat=0&amp;_sop=15&amp;rt=nc&amp;LH_BIN=1", "Active")</f>
        <v/>
      </c>
      <c r="J226" s="8">
        <f>HYPERLINK("https://www.ebay.com/sch/261328/i.html?_from=R40&amp;_nkw=2025-26%20Topps%20Chrome%20ALIJAH%20MARTIN%20%23290%20Refractor%20Toronto%20Raptors%20Basketball&amp;_sacat=0&amp;LH_Sold=1&amp;LH_Complete=1&amp;_sop=13", "Completed")</f>
        <v/>
      </c>
      <c r="K226" s="8" t="inlineStr">
        <is>
          <t>2025-26 Topps Chrome Alijah Martin RC #290 Base Toronto Raptors Rookie</t>
        </is>
      </c>
    </row>
    <row r="227">
      <c r="A227" s="8" t="inlineStr">
        <is>
          <t>RA-000045-s8hiz</t>
        </is>
      </c>
      <c r="B227" s="8" t="inlineStr">
        <is>
          <t>2025-26 Topps Chrome COLLIN MURRAY-BOYLES #259 Toronto Raptors Basketball</t>
        </is>
      </c>
      <c r="C227" s="9" t="n">
        <v>2.49</v>
      </c>
      <c r="D227" s="9" t="n">
        <v>2.49</v>
      </c>
      <c r="E227" s="9" t="n">
        <v>0</v>
      </c>
      <c r="F227" s="10" t="n">
        <v>0</v>
      </c>
      <c r="G227" s="8" t="inlineStr">
        <is>
          <t>— No Change</t>
        </is>
      </c>
      <c r="H227" s="8" t="inlineStr">
        <is>
          <t>69%</t>
        </is>
      </c>
      <c r="I227" s="8">
        <f>HYPERLINK("https://www.ebay.com/sch/261328/i.html?_dcat=261328&amp;_fsrp=1&amp;rt=nc&amp;_from=R40&amp;_nkw=2025-26%20Topps%20Chrome%20COLLIN%20MURRAY-BOYLES%20%23259%20Toronto%20Raptors%20Basketball&amp;_sacat=0&amp;_sop=15&amp;rt=nc&amp;LH_BIN=1", "Active")</f>
        <v/>
      </c>
      <c r="J227" s="8">
        <f>HYPERLINK("https://www.ebay.com/sch/261328/i.html?_from=R40&amp;_nkw=2025-26%20Topps%20Chrome%20COLLIN%20MURRAY-BOYLES%20%23259%20Toronto%20Raptors%20Basketball&amp;_sacat=0&amp;LH_Sold=1&amp;LH_Complete=1&amp;_sop=13", "Completed")</f>
        <v/>
      </c>
      <c r="K227" s="8" t="inlineStr">
        <is>
          <t>2025-26 Topps Chrome Complete Your Set You Pick Basketball Rookie Card #251-300</t>
        </is>
      </c>
    </row>
    <row r="228">
      <c r="A228" s="5" t="inlineStr">
        <is>
          <t>RA-000105-s91bo</t>
        </is>
      </c>
      <c r="B228" s="5" t="inlineStr">
        <is>
          <t>2025 Bowman Draft LIAM DOYLE #PP-4 Prized Prospects St. Louis Cardinals Football</t>
        </is>
      </c>
      <c r="C228" s="6" t="n">
        <v>5.49</v>
      </c>
      <c r="D228" s="6" t="n">
        <v>6.29</v>
      </c>
      <c r="E228" s="6" t="n">
        <v>0.8</v>
      </c>
      <c r="F228" s="7" t="n">
        <v>14.6</v>
      </c>
      <c r="G228" s="5" t="inlineStr">
        <is>
          <t>⬆ Price Up</t>
        </is>
      </c>
      <c r="H228" s="5" t="inlineStr">
        <is>
          <t>100%</t>
        </is>
      </c>
      <c r="I228" s="5">
        <f>HYPERLINK("https://www.ebay.com/sch/261328/i.html?_dcat=261328&amp;_fsrp=1&amp;rt=nc&amp;_from=R40&amp;_nkw=2025%20Bowman%20Draft%20LIAM%20DOYLE%20%23PP-4%20Prized%20Prospects%20St.%20Louis%20Cardinals%20Football&amp;_sacat=0&amp;_sop=15&amp;rt=nc&amp;LH_BIN=1", "Active")</f>
        <v/>
      </c>
      <c r="J228" s="5">
        <f>HYPERLINK("https://www.ebay.com/sch/261328/i.html?_from=R40&amp;_nkw=2025%20Bowman%20Draft%20LIAM%20DOYLE%20%23PP-4%20Prized%20Prospects%20St.%20Louis%20Cardinals%20Football&amp;_sacat=0&amp;LH_Sold=1&amp;LH_Complete=1&amp;_sop=13", "Completed")</f>
        <v/>
      </c>
      <c r="K228" s="5" t="inlineStr">
        <is>
          <t>2025 Bowman Draft LIAM DOYLE #PP-4 Prized Prospects St. Louis Cardinals Football</t>
        </is>
      </c>
    </row>
    <row r="229">
      <c r="A229" s="8" t="inlineStr">
        <is>
          <t>RA-000106-s91bp</t>
        </is>
      </c>
      <c r="B229" s="8" t="inlineStr">
        <is>
          <t>2025 Bowman Draft IKE IRISH #A-9 Axis Baltimore Orioles</t>
        </is>
      </c>
      <c r="C229" s="9" t="n">
        <v>2.49</v>
      </c>
      <c r="D229" s="9" t="n">
        <v>2.49</v>
      </c>
      <c r="E229" s="9" t="n">
        <v>0</v>
      </c>
      <c r="F229" s="10" t="n">
        <v>0</v>
      </c>
      <c r="G229" s="8" t="inlineStr">
        <is>
          <t>— No Change</t>
        </is>
      </c>
      <c r="H229" s="8" t="inlineStr">
        <is>
          <t>83%</t>
        </is>
      </c>
      <c r="I229" s="8">
        <f>HYPERLINK("https://www.ebay.com/sch/261328/i.html?_dcat=261328&amp;_fsrp=1&amp;rt=nc&amp;_from=R40&amp;_nkw=2025%20Bowman%20Draft%20IKE%20IRISH%20%23A-9%20Axis%20Baltimore%20Orioles&amp;_sacat=0&amp;_sop=15&amp;rt=nc&amp;LH_BIN=1", "Active")</f>
        <v/>
      </c>
      <c r="J229" s="8">
        <f>HYPERLINK("https://www.ebay.com/sch/261328/i.html?_from=R40&amp;_nkw=2025%20Bowman%20Draft%20IKE%20IRISH%20%23A-9%20Axis%20Baltimore%20Orioles&amp;_sacat=0&amp;LH_Sold=1&amp;LH_Complete=1&amp;_sop=13", "Completed")</f>
        <v/>
      </c>
      <c r="K229" s="8" t="inlineStr">
        <is>
          <t>2025 Bowman Draft #A-9 Ike Irish Axis</t>
        </is>
      </c>
    </row>
    <row r="230">
      <c r="A230" s="2" t="inlineStr">
        <is>
          <t>RA-000107-s91bq</t>
        </is>
      </c>
      <c r="B230" s="2" t="inlineStr">
        <is>
          <t>2025 Bowman Draft IKE IRISH #BDN-6 Bowman Draft Night Baltimore Orioles</t>
        </is>
      </c>
      <c r="C230" s="3" t="n">
        <v>2.99</v>
      </c>
      <c r="D230" s="3" t="n">
        <v>2.49</v>
      </c>
      <c r="E230" s="3" t="n">
        <v>-0.5</v>
      </c>
      <c r="F230" s="4" t="n">
        <v>-16.7</v>
      </c>
      <c r="G230" s="2" t="inlineStr">
        <is>
          <t>🔵 Floored $2.49 — free ship or $0.99 ship?</t>
        </is>
      </c>
      <c r="H230" s="2" t="inlineStr">
        <is>
          <t>88%</t>
        </is>
      </c>
      <c r="I230" s="2">
        <f>HYPERLINK("https://www.ebay.com/sch/261328/i.html?_dcat=261328&amp;_fsrp=1&amp;rt=nc&amp;_from=R40&amp;_nkw=2025%20Bowman%20Draft%20IKE%20IRISH%20%23BDN-6%20Bowman%20Draft%20Night%20Baltimore%20Orioles&amp;_sacat=0&amp;_sop=15&amp;rt=nc&amp;LH_BIN=1", "Active")</f>
        <v/>
      </c>
      <c r="J230" s="2">
        <f>HYPERLINK("https://www.ebay.com/sch/261328/i.html?_from=R40&amp;_nkw=2025%20Bowman%20Draft%20IKE%20IRISH%20%23BDN-6%20Bowman%20Draft%20Night%20Baltimore%20Orioles&amp;_sacat=0&amp;LH_Sold=1&amp;LH_Complete=1&amp;_sop=13", "Completed")</f>
        <v/>
      </c>
      <c r="K230" s="2" t="inlineStr">
        <is>
          <t>2025 Bowman Draft IKE IRISH Bowman Draft Night #BDN-6 Baltimore Orioles Qty Avai</t>
        </is>
      </c>
    </row>
    <row r="231">
      <c r="A231" s="2" t="inlineStr">
        <is>
          <t>RA-000110-s91bt</t>
        </is>
      </c>
      <c r="B231" s="2" t="inlineStr">
        <is>
          <t>2025 Bowman Draft WALKER JANEK #BDC-45 Chrome Refractor Houston Astros</t>
        </is>
      </c>
      <c r="C231" s="3" t="n">
        <v>3.49</v>
      </c>
      <c r="D231" s="3" t="n">
        <v>2.49</v>
      </c>
      <c r="E231" s="3" t="n">
        <v>-1</v>
      </c>
      <c r="F231" s="4" t="n">
        <v>-28.7</v>
      </c>
      <c r="G231" s="2" t="inlineStr">
        <is>
          <t>🔵 Floored $2.49 — free ship or $0.99 ship?</t>
        </is>
      </c>
      <c r="H231" s="2" t="inlineStr">
        <is>
          <t>83%</t>
        </is>
      </c>
      <c r="I231" s="2">
        <f>HYPERLINK("https://www.ebay.com/sch/261328/i.html?_dcat=261328&amp;_fsrp=1&amp;rt=nc&amp;_from=R40&amp;_nkw=2025%20Bowman%20Draft%20WALKER%20JANEK%20%23BDC-45%20Chrome%20Refractor%20Houston%20Astros&amp;_sacat=0&amp;_sop=15&amp;rt=nc&amp;LH_BIN=1", "Active")</f>
        <v/>
      </c>
      <c r="J231" s="2">
        <f>HYPERLINK("https://www.ebay.com/sch/261328/i.html?_from=R40&amp;_nkw=2025%20Bowman%20Draft%20WALKER%20JANEK%20%23BDC-45%20Chrome%20Refractor%20Houston%20Astros&amp;_sacat=0&amp;LH_Sold=1&amp;LH_Complete=1&amp;_sop=13", "Completed")</f>
        <v/>
      </c>
      <c r="K231" s="2" t="inlineStr">
        <is>
          <t>2025 Bowman Draft Chrome Base, Inserts, Refractors - Pick Your Card</t>
        </is>
      </c>
    </row>
    <row r="232">
      <c r="A232" s="2" t="inlineStr">
        <is>
          <t>RA-000111-s91bu</t>
        </is>
      </c>
      <c r="B232" s="2" t="inlineStr">
        <is>
          <t>2025 Bowman Draft ETHAN CONRAD #BDC-17 Chrome Refractor Chicago Cubs</t>
        </is>
      </c>
      <c r="C232" s="3" t="n">
        <v>6</v>
      </c>
      <c r="D232" s="3" t="n">
        <v>2.49</v>
      </c>
      <c r="E232" s="3" t="n">
        <v>-3.51</v>
      </c>
      <c r="F232" s="4" t="n">
        <v>-58.5</v>
      </c>
      <c r="G232" s="2" t="inlineStr">
        <is>
          <t>🔵 Floored $2.49 — free ship or $0.99 ship?</t>
        </is>
      </c>
      <c r="H232" s="2" t="inlineStr">
        <is>
          <t>83%</t>
        </is>
      </c>
      <c r="I232" s="2">
        <f>HYPERLINK("https://www.ebay.com/sch/261328/i.html?_dcat=261328&amp;_fsrp=1&amp;rt=nc&amp;_from=R40&amp;_nkw=2025%20Bowman%20Draft%20ETHAN%20CONRAD%20%23BDC-17%20Chrome%20Refractor%20Chicago%20Cubs&amp;_sacat=0&amp;_sop=15&amp;rt=nc&amp;LH_BIN=1", "Active")</f>
        <v/>
      </c>
      <c r="J232" s="2">
        <f>HYPERLINK("https://www.ebay.com/sch/261328/i.html?_from=R40&amp;_nkw=2025%20Bowman%20Draft%20ETHAN%20CONRAD%20%23BDC-17%20Chrome%20Refractor%20Chicago%20Cubs&amp;_sacat=0&amp;LH_Sold=1&amp;LH_Complete=1&amp;_sop=13", "Completed")</f>
        <v/>
      </c>
      <c r="K232" s="2" t="inlineStr">
        <is>
          <t>2025 Bowman Draft Chrome Pick Your Card BDC 1st Bowman MLB Prospect RC Refractor</t>
        </is>
      </c>
    </row>
    <row r="233">
      <c r="A233" s="2" t="inlineStr">
        <is>
          <t>RA-000116-s91bz</t>
        </is>
      </c>
      <c r="B233" s="2" t="inlineStr">
        <is>
          <t>2025 Bowman Draft BILLY CARLSON #BIA-19 Bowman In Action Chicago White Sox</t>
        </is>
      </c>
      <c r="C233" s="3" t="n">
        <v>4.99</v>
      </c>
      <c r="D233" s="3" t="n">
        <v>2.49</v>
      </c>
      <c r="E233" s="3" t="n">
        <v>-2.5</v>
      </c>
      <c r="F233" s="4" t="n">
        <v>-50.1</v>
      </c>
      <c r="G233" s="2" t="inlineStr">
        <is>
          <t>🔵 Floored $2.49 — free ship or $0.99 ship?</t>
        </is>
      </c>
      <c r="H233" s="2" t="inlineStr">
        <is>
          <t>85%</t>
        </is>
      </c>
      <c r="I233" s="2">
        <f>HYPERLINK("https://www.ebay.com/sch/261328/i.html?_dcat=261328&amp;_fsrp=1&amp;rt=nc&amp;_from=R40&amp;_nkw=2025%20Bowman%20Draft%20BILLY%20CARLSON%20%23BIA-19%20Bowman%20In%20Action%20Chicago%20White%20Sox&amp;_sacat=0&amp;_sop=15&amp;rt=nc&amp;LH_BIN=1", "Active")</f>
        <v/>
      </c>
      <c r="J233" s="2">
        <f>HYPERLINK("https://www.ebay.com/sch/261328/i.html?_from=R40&amp;_nkw=2025%20Bowman%20Draft%20BILLY%20CARLSON%20%23BIA-19%20Bowman%20In%20Action%20Chicago%20White%20Sox&amp;_sacat=0&amp;LH_Sold=1&amp;LH_Complete=1&amp;_sop=13", "Completed")</f>
        <v/>
      </c>
      <c r="K233" s="2" t="inlineStr">
        <is>
          <t>2025 Bowman Draft #BIA-19 Billy Carlson Bowman In Action</t>
        </is>
      </c>
    </row>
    <row r="234">
      <c r="A234" s="2" t="inlineStr">
        <is>
          <t>RA-000119-s91c3</t>
        </is>
      </c>
      <c r="B234" s="2" t="inlineStr">
        <is>
          <t>2025 Bowman Draft JAMIE ARNOLD #BDC-30 Chrome Athletics</t>
        </is>
      </c>
      <c r="C234" s="3" t="n">
        <v>2.99</v>
      </c>
      <c r="D234" s="3" t="n">
        <v>2.49</v>
      </c>
      <c r="E234" s="3" t="n">
        <v>-0.5</v>
      </c>
      <c r="F234" s="4" t="n">
        <v>-16.7</v>
      </c>
      <c r="G234" s="2" t="inlineStr">
        <is>
          <t>🔵 Floored $2.49 — free ship or $0.99 ship?</t>
        </is>
      </c>
      <c r="H234" s="2" t="inlineStr">
        <is>
          <t>90%</t>
        </is>
      </c>
      <c r="I234" s="2">
        <f>HYPERLINK("https://www.ebay.com/sch/261328/i.html?_dcat=261328&amp;_fsrp=1&amp;rt=nc&amp;_from=R40&amp;_nkw=2025%20Bowman%20Draft%20JAMIE%20ARNOLD%20%23BDC-30%20Chrome%20Athletics&amp;_sacat=0&amp;_sop=15&amp;rt=nc&amp;LH_BIN=1", "Active")</f>
        <v/>
      </c>
      <c r="J234" s="2">
        <f>HYPERLINK("https://www.ebay.com/sch/261328/i.html?_from=R40&amp;_nkw=2025%20Bowman%20Draft%20JAMIE%20ARNOLD%20%23BDC-30%20Chrome%20Athletics&amp;_sacat=0&amp;LH_Sold=1&amp;LH_Complete=1&amp;_sop=13", "Completed")</f>
        <v/>
      </c>
      <c r="K234" s="2" t="inlineStr">
        <is>
          <t>2025 Bowman Draft Chrome Jamie Arnold #BDC-30 Athletics</t>
        </is>
      </c>
    </row>
    <row r="235">
      <c r="A235" s="2" t="inlineStr">
        <is>
          <t>RA-000124-s91c8</t>
        </is>
      </c>
      <c r="B235" s="2" t="inlineStr">
        <is>
          <t>2025 Topps Chrome Update MIKE TROUT #F15-3 Fortune 15 Los Angeles Angels</t>
        </is>
      </c>
      <c r="C235" s="3" t="n">
        <v>2.99</v>
      </c>
      <c r="D235" s="3" t="n">
        <v>2.49</v>
      </c>
      <c r="E235" s="3" t="n">
        <v>-0.5</v>
      </c>
      <c r="F235" s="4" t="n">
        <v>-16.7</v>
      </c>
      <c r="G235" s="2" t="inlineStr">
        <is>
          <t>🔵 Floored $2.49 — free ship or $0.99 ship?</t>
        </is>
      </c>
      <c r="H235" s="2" t="inlineStr">
        <is>
          <t>87%</t>
        </is>
      </c>
      <c r="I235" s="2">
        <f>HYPERLINK("https://www.ebay.com/sch/261328/i.html?_dcat=261328&amp;_fsrp=1&amp;rt=nc&amp;_from=R40&amp;_nkw=2025%20Topps%20Chrome%20Update%20MIKE%20TROUT%20%23F15-3%20Fortune%2015%20Los%20Angeles%20Angels&amp;_sacat=0&amp;_sop=15&amp;rt=nc&amp;LH_BIN=1", "Active")</f>
        <v/>
      </c>
      <c r="J235" s="2">
        <f>HYPERLINK("https://www.ebay.com/sch/261328/i.html?_from=R40&amp;_nkw=2025%20Topps%20Chrome%20Update%20MIKE%20TROUT%20%23F15-3%20Fortune%2015%20Los%20Angeles%20Angels&amp;_sacat=0&amp;LH_Sold=1&amp;LH_Complete=1&amp;_sop=13", "Completed")</f>
        <v/>
      </c>
      <c r="K235" s="2" t="inlineStr">
        <is>
          <t>2025 Topps Chrome Update Series Mike Trout Fortune 15 #F15-3 Angels</t>
        </is>
      </c>
    </row>
    <row r="236">
      <c r="A236" s="2" t="inlineStr">
        <is>
          <t>RA-000125-s91c9</t>
        </is>
      </c>
      <c r="B236" s="2" t="inlineStr">
        <is>
          <t>2025 Topps Chrome Update FREDDIE FREEMAN #ASGC-11 2025 All-Star Game Dodgers</t>
        </is>
      </c>
      <c r="C236" s="3" t="n">
        <v>3.49</v>
      </c>
      <c r="D236" s="3" t="n">
        <v>2.49</v>
      </c>
      <c r="E236" s="3" t="n">
        <v>-1</v>
      </c>
      <c r="F236" s="4" t="n">
        <v>-28.7</v>
      </c>
      <c r="G236" s="2" t="inlineStr">
        <is>
          <t>🔵 Floored $2.49 — free ship or $0.99 ship?</t>
        </is>
      </c>
      <c r="H236" s="2" t="inlineStr">
        <is>
          <t>77%</t>
        </is>
      </c>
      <c r="I236" s="2">
        <f>HYPERLINK("https://www.ebay.com/sch/261328/i.html?_dcat=261328&amp;_fsrp=1&amp;rt=nc&amp;_from=R40&amp;_nkw=2025%20Topps%20Chrome%20Update%20FREDDIE%20FREEMAN%20%23ASGC-11%202025%20All-Star%20Game%20Dodgers&amp;_sacat=0&amp;_sop=15&amp;rt=nc&amp;LH_BIN=1", "Active")</f>
        <v/>
      </c>
      <c r="J236" s="2">
        <f>HYPERLINK("https://www.ebay.com/sch/261328/i.html?_from=R40&amp;_nkw=2025%20Topps%20Chrome%20Update%20FREDDIE%20FREEMAN%20%23ASGC-11%202025%20All-Star%20Game%20Dodgers&amp;_sacat=0&amp;LH_Sold=1&amp;LH_Complete=1&amp;_sop=13", "Completed")</f>
        <v/>
      </c>
      <c r="K236" s="2" t="inlineStr">
        <is>
          <t>Freddie Freeman All-Star Game 2025 Topps Chrome Update Series ASGC-11 LA Dodgers</t>
        </is>
      </c>
    </row>
    <row r="237">
      <c r="A237" s="11" t="inlineStr">
        <is>
          <t>RA-000126-s91ca</t>
        </is>
      </c>
      <c r="B237" s="11" t="inlineStr">
        <is>
          <t>2025 Topps Chrome Update JAMES WOOD #USC95 X-Fractors Washington Nationals</t>
        </is>
      </c>
      <c r="C237" s="12" t="n">
        <v>2.99</v>
      </c>
      <c r="D237" s="12" t="n">
        <v>2.89</v>
      </c>
      <c r="E237" s="12" t="n">
        <v>-0.1</v>
      </c>
      <c r="F237" s="13" t="n">
        <v>-3.3</v>
      </c>
      <c r="G237" s="11" t="inlineStr">
        <is>
          <t>⬇ Price Down</t>
        </is>
      </c>
      <c r="H237" s="11" t="inlineStr">
        <is>
          <t>85%</t>
        </is>
      </c>
      <c r="I237" s="11">
        <f>HYPERLINK("https://www.ebay.com/sch/261328/i.html?_dcat=261328&amp;_fsrp=1&amp;rt=nc&amp;_from=R40&amp;_nkw=2025%20Topps%20Chrome%20Update%20JAMES%20WOOD%20%23USC95%20X-Fractors%20Washington%20Nationals&amp;_sacat=0&amp;_sop=15&amp;rt=nc&amp;LH_BIN=1", "Active")</f>
        <v/>
      </c>
      <c r="J237" s="11">
        <f>HYPERLINK("https://www.ebay.com/sch/261328/i.html?_from=R40&amp;_nkw=2025%20Topps%20Chrome%20Update%20JAMES%20WOOD%20%23USC95%20X-Fractors%20Washington%20Nationals&amp;_sacat=0&amp;LH_Sold=1&amp;LH_Complete=1&amp;_sop=13", "Completed")</f>
        <v/>
      </c>
      <c r="K237" s="11" t="inlineStr">
        <is>
          <t>2025 Topps Chrome Update #USC95 James Wood X-Fractors A2</t>
        </is>
      </c>
    </row>
    <row r="238">
      <c r="A238" s="8" t="inlineStr">
        <is>
          <t>RA-000128-s91cc</t>
        </is>
      </c>
      <c r="B238" s="8" t="inlineStr">
        <is>
          <t>2025 Bowman Draft JAMIE ARNOLD #PP-11 Prized Prospects Athletics</t>
        </is>
      </c>
      <c r="C238" s="9" t="n">
        <v>2.49</v>
      </c>
      <c r="D238" s="9" t="n">
        <v>2.49</v>
      </c>
      <c r="E238" s="9" t="n">
        <v>0</v>
      </c>
      <c r="F238" s="10" t="n">
        <v>0</v>
      </c>
      <c r="G238" s="8" t="inlineStr">
        <is>
          <t>— No Change</t>
        </is>
      </c>
      <c r="H238" s="8" t="inlineStr">
        <is>
          <t>87%</t>
        </is>
      </c>
      <c r="I238" s="8">
        <f>HYPERLINK("https://www.ebay.com/sch/261328/i.html?_dcat=261328&amp;_fsrp=1&amp;rt=nc&amp;_from=R40&amp;_nkw=2025%20Bowman%20Draft%20JAMIE%20ARNOLD%20%23PP-11%20Prized%20Prospects%20Athletics&amp;_sacat=0&amp;_sop=15&amp;rt=nc&amp;LH_BIN=1", "Active")</f>
        <v/>
      </c>
      <c r="J238" s="8">
        <f>HYPERLINK("https://www.ebay.com/sch/261328/i.html?_from=R40&amp;_nkw=2025%20Bowman%20Draft%20JAMIE%20ARNOLD%20%23PP-11%20Prized%20Prospects%20Athletics&amp;_sacat=0&amp;LH_Sold=1&amp;LH_Complete=1&amp;_sop=13", "Completed")</f>
        <v/>
      </c>
      <c r="K238" s="8" t="inlineStr">
        <is>
          <t>2025 Bowman Draft #PP-11 Jamie Arnold Prized Prospects</t>
        </is>
      </c>
    </row>
    <row r="239">
      <c r="A239" s="2" t="inlineStr">
        <is>
          <t>RA-000130-s91cf</t>
        </is>
      </c>
      <c r="B239" s="2" t="inlineStr">
        <is>
          <t>2025 Bowman Draft NICK BECKER #BDC-100 Chrome Seattle Mariners</t>
        </is>
      </c>
      <c r="C239" s="3" t="n">
        <v>2.99</v>
      </c>
      <c r="D239" s="3" t="n">
        <v>2.49</v>
      </c>
      <c r="E239" s="3" t="n">
        <v>-0.5</v>
      </c>
      <c r="F239" s="4" t="n">
        <v>-16.7</v>
      </c>
      <c r="G239" s="2" t="inlineStr">
        <is>
          <t>🔵 Floored $2.49 — free ship or $0.99 ship?</t>
        </is>
      </c>
      <c r="H239" s="2" t="inlineStr">
        <is>
          <t>90%</t>
        </is>
      </c>
      <c r="I239" s="2">
        <f>HYPERLINK("https://www.ebay.com/sch/261328/i.html?_dcat=261328&amp;_fsrp=1&amp;rt=nc&amp;_from=R40&amp;_nkw=2025%20Bowman%20Draft%20NICK%20BECKER%20%23BDC-100%20Chrome%20Seattle%20Mariners&amp;_sacat=0&amp;_sop=15&amp;rt=nc&amp;LH_BIN=1", "Active")</f>
        <v/>
      </c>
      <c r="J239" s="2">
        <f>HYPERLINK("https://www.ebay.com/sch/261328/i.html?_from=R40&amp;_nkw=2025%20Bowman%20Draft%20NICK%20BECKER%20%23BDC-100%20Chrome%20Seattle%20Mariners&amp;_sacat=0&amp;LH_Sold=1&amp;LH_Complete=1&amp;_sop=13", "Completed")</f>
        <v/>
      </c>
      <c r="K239" s="2" t="inlineStr">
        <is>
          <t>2025 Bowman Draft Nick Becker Chrome Seattle Mariners #BDC-100</t>
        </is>
      </c>
    </row>
    <row r="240">
      <c r="A240" s="2" t="inlineStr">
        <is>
          <t>RA-000129-s91ce</t>
        </is>
      </c>
      <c r="B240" s="2" t="inlineStr">
        <is>
          <t>2025 Bowman Draft JAMIE ARNOLD #BDN-9 Bowman Draft Night Athletics</t>
        </is>
      </c>
      <c r="C240" s="3" t="n">
        <v>2.99</v>
      </c>
      <c r="D240" s="3" t="n">
        <v>2.49</v>
      </c>
      <c r="E240" s="3" t="n">
        <v>-0.5</v>
      </c>
      <c r="F240" s="4" t="n">
        <v>-16.7</v>
      </c>
      <c r="G240" s="2" t="inlineStr">
        <is>
          <t>🔵 Floored $2.49 — free ship or $0.99 ship?</t>
        </is>
      </c>
      <c r="H240" s="2" t="inlineStr">
        <is>
          <t>87%</t>
        </is>
      </c>
      <c r="I240" s="2">
        <f>HYPERLINK("https://www.ebay.com/sch/261328/i.html?_dcat=261328&amp;_fsrp=1&amp;rt=nc&amp;_from=R40&amp;_nkw=2025%20Bowman%20Draft%20JAMIE%20ARNOLD%20%23BDN-9%20Bowman%20Draft%20Night%20Athletics&amp;_sacat=0&amp;_sop=15&amp;rt=nc&amp;LH_BIN=1", "Active")</f>
        <v/>
      </c>
      <c r="J240" s="2">
        <f>HYPERLINK("https://www.ebay.com/sch/261328/i.html?_from=R40&amp;_nkw=2025%20Bowman%20Draft%20JAMIE%20ARNOLD%20%23BDN-9%20Bowman%20Draft%20Night%20Athletics&amp;_sacat=0&amp;LH_Sold=1&amp;LH_Complete=1&amp;_sop=13", "Completed")</f>
        <v/>
      </c>
      <c r="K240" s="2" t="inlineStr">
        <is>
          <t>2025 Bowman Draft #BDN-9 Jamie Arnold Bowman Draft Night</t>
        </is>
      </c>
    </row>
    <row r="241">
      <c r="A241" s="5" t="inlineStr">
        <is>
          <t>RA-000132-s91ch</t>
        </is>
      </c>
      <c r="B241" s="5" t="inlineStr">
        <is>
          <t>2025 Bowman Draft GAVIN KILEN #BDC-40 Chrome San Francisco Giants Football</t>
        </is>
      </c>
      <c r="C241" s="6" t="n">
        <v>2.99</v>
      </c>
      <c r="D241" s="6" t="n">
        <v>3.89</v>
      </c>
      <c r="E241" s="6" t="n">
        <v>0.9</v>
      </c>
      <c r="F241" s="7" t="n">
        <v>30.1</v>
      </c>
      <c r="G241" s="5" t="inlineStr">
        <is>
          <t>⬆ Price Up</t>
        </is>
      </c>
      <c r="H241" s="5" t="inlineStr">
        <is>
          <t>100%</t>
        </is>
      </c>
      <c r="I241" s="5">
        <f>HYPERLINK("https://www.ebay.com/sch/261328/i.html?_dcat=261328&amp;_fsrp=1&amp;rt=nc&amp;_from=R40&amp;_nkw=2025%20Bowman%20Draft%20GAVIN%20KILEN%20%23BDC-40%20Chrome%20San%20Francisco%20Giants%20Football&amp;_sacat=0&amp;_sop=15&amp;rt=nc&amp;LH_BIN=1", "Active")</f>
        <v/>
      </c>
      <c r="J241" s="5">
        <f>HYPERLINK("https://www.ebay.com/sch/261328/i.html?_from=R40&amp;_nkw=2025%20Bowman%20Draft%20GAVIN%20KILEN%20%23BDC-40%20Chrome%20San%20Francisco%20Giants%20Football&amp;_sacat=0&amp;LH_Sold=1&amp;LH_Complete=1&amp;_sop=13", "Completed")</f>
        <v/>
      </c>
      <c r="K241" s="5" t="inlineStr">
        <is>
          <t>2025 Bowman Draft GAVIN KILEN #BDC-40 Chrome San Francisco Giants Football</t>
        </is>
      </c>
    </row>
    <row r="242">
      <c r="A242" s="5" t="inlineStr">
        <is>
          <t>RA-000134-s91ck</t>
        </is>
      </c>
      <c r="B242" s="5" t="inlineStr">
        <is>
          <t>2025 Bowman Draft LIAM DOYLE #BDC-12 Chrome St. Louis Cardinals Football</t>
        </is>
      </c>
      <c r="C242" s="6" t="n">
        <v>3.49</v>
      </c>
      <c r="D242" s="6" t="n">
        <v>4.39</v>
      </c>
      <c r="E242" s="6" t="n">
        <v>0.9</v>
      </c>
      <c r="F242" s="7" t="n">
        <v>25.8</v>
      </c>
      <c r="G242" s="5" t="inlineStr">
        <is>
          <t>⬆ Price Up</t>
        </is>
      </c>
      <c r="H242" s="5" t="inlineStr">
        <is>
          <t>100%</t>
        </is>
      </c>
      <c r="I242" s="5">
        <f>HYPERLINK("https://www.ebay.com/sch/261328/i.html?_dcat=261328&amp;_fsrp=1&amp;rt=nc&amp;_from=R40&amp;_nkw=2025%20Bowman%20Draft%20LIAM%20DOYLE%20%23BDC-12%20Chrome%20St.%20Louis%20Cardinals%20Football&amp;_sacat=0&amp;_sop=15&amp;rt=nc&amp;LH_BIN=1", "Active")</f>
        <v/>
      </c>
      <c r="J242" s="5">
        <f>HYPERLINK("https://www.ebay.com/sch/261328/i.html?_from=R40&amp;_nkw=2025%20Bowman%20Draft%20LIAM%20DOYLE%20%23BDC-12%20Chrome%20St.%20Louis%20Cardinals%20Football&amp;_sacat=0&amp;LH_Sold=1&amp;LH_Complete=1&amp;_sop=13", "Completed")</f>
        <v/>
      </c>
      <c r="K242" s="5" t="inlineStr">
        <is>
          <t>2025 Bowman Draft LIAM DOYLE #BDC-12 Chrome St. Louis Cardinals Football</t>
        </is>
      </c>
    </row>
    <row r="243">
      <c r="A243" s="5" t="inlineStr">
        <is>
          <t>RA-000135-s91cl</t>
        </is>
      </c>
      <c r="B243" s="5" t="inlineStr">
        <is>
          <t>2025 Bowman Draft GAVIN KILEN #A-5 Axis Ref San Francisco Giants #/250 Football</t>
        </is>
      </c>
      <c r="C243" s="6" t="n">
        <v>4.49</v>
      </c>
      <c r="D243" s="6" t="n">
        <v>5.29</v>
      </c>
      <c r="E243" s="6" t="n">
        <v>0.8</v>
      </c>
      <c r="F243" s="7" t="n">
        <v>17.8</v>
      </c>
      <c r="G243" s="5" t="inlineStr">
        <is>
          <t>⬆ Price Up</t>
        </is>
      </c>
      <c r="H243" s="5" t="inlineStr">
        <is>
          <t>100%</t>
        </is>
      </c>
      <c r="I243" s="5">
        <f>HYPERLINK("https://www.ebay.com/sch/261328/i.html?_dcat=261328&amp;_fsrp=1&amp;rt=nc&amp;_from=R40&amp;_nkw=2025%20Bowman%20Draft%20GAVIN%20KILEN%20%23A-5%20Axis%20Ref%20San%20Francisco%20Giants%20%23%2F250%20Football&amp;_sacat=0&amp;_sop=15&amp;rt=nc&amp;LH_BIN=1", "Active")</f>
        <v/>
      </c>
      <c r="J243" s="5">
        <f>HYPERLINK("https://www.ebay.com/sch/261328/i.html?_from=R40&amp;_nkw=2025%20Bowman%20Draft%20GAVIN%20KILEN%20%23A-5%20Axis%20Ref%20San%20Francisco%20Giants%20%23%2F250%20Football&amp;_sacat=0&amp;LH_Sold=1&amp;LH_Complete=1&amp;_sop=13", "Completed")</f>
        <v/>
      </c>
      <c r="K243" s="5" t="inlineStr">
        <is>
          <t>2025 Bowman Draft GAVIN KILEN #A-5 Axis Ref San Francisco Giants #/250 Football</t>
        </is>
      </c>
    </row>
    <row r="244">
      <c r="A244" s="11" t="inlineStr">
        <is>
          <t>RA-000136-s91cm</t>
        </is>
      </c>
      <c r="B244" s="11" t="inlineStr">
        <is>
          <t>2025 Bowman Draft WALKER JANEK #BDC-45 Chrome Sky Blue Refractor Houston Astros</t>
        </is>
      </c>
      <c r="C244" s="12" t="n">
        <v>4.49</v>
      </c>
      <c r="D244" s="12" t="n">
        <v>2.69</v>
      </c>
      <c r="E244" s="12" t="n">
        <v>-1.8</v>
      </c>
      <c r="F244" s="13" t="n">
        <v>-40.1</v>
      </c>
      <c r="G244" s="11" t="inlineStr">
        <is>
          <t>⬇ Price Down</t>
        </is>
      </c>
      <c r="H244" s="11" t="inlineStr">
        <is>
          <t>79%</t>
        </is>
      </c>
      <c r="I244" s="11">
        <f>HYPERLINK("https://www.ebay.com/sch/261328/i.html?_dcat=261328&amp;_fsrp=1&amp;rt=nc&amp;_from=R40&amp;_nkw=2025%20Bowman%20Draft%20WALKER%20JANEK%20%23BDC-45%20Chrome%20Sky%20Blue%20Refractor%20Houston%20Astros&amp;_sacat=0&amp;_sop=15&amp;rt=nc&amp;LH_BIN=1", "Active")</f>
        <v/>
      </c>
      <c r="J244" s="11">
        <f>HYPERLINK("https://www.ebay.com/sch/261328/i.html?_from=R40&amp;_nkw=2025%20Bowman%20Draft%20WALKER%20JANEK%20%23BDC-45%20Chrome%20Sky%20Blue%20Refractor%20Houston%20Astros&amp;_sacat=0&amp;LH_Sold=1&amp;LH_Complete=1&amp;_sop=13", "Completed")</f>
        <v/>
      </c>
      <c r="K244" s="11" t="inlineStr">
        <is>
          <t>Walker Janek Astros 2025 Bowman Draft Chrome Sky Blue Refractor #BDC-45 🔥</t>
        </is>
      </c>
    </row>
    <row r="245">
      <c r="A245" s="5" t="inlineStr">
        <is>
          <t>RA-000138-s91co</t>
        </is>
      </c>
      <c r="B245" s="5" t="inlineStr">
        <is>
          <t>2025 Topps Chrome Update YUSEI KIKUCHI #USC59 Teal Refractors Angels #/299</t>
        </is>
      </c>
      <c r="C245" s="6" t="n">
        <v>2.99</v>
      </c>
      <c r="D245" s="6" t="n">
        <v>3.29</v>
      </c>
      <c r="E245" s="6" t="n">
        <v>0.3</v>
      </c>
      <c r="F245" s="7" t="n">
        <v>10</v>
      </c>
      <c r="G245" s="5" t="inlineStr">
        <is>
          <t>⬆ Price Up</t>
        </is>
      </c>
      <c r="H245" s="5" t="inlineStr">
        <is>
          <t>89%</t>
        </is>
      </c>
      <c r="I245" s="5">
        <f>HYPERLINK("https://www.ebay.com/sch/261328/i.html?_dcat=261328&amp;_fsrp=1&amp;rt=nc&amp;_from=R40&amp;_nkw=2025%20Topps%20Chrome%20Update%20YUSEI%20KIKUCHI%20%23USC59%20Teal%20Refractors%20Angels%20%23%2F299&amp;_sacat=0&amp;_sop=15&amp;rt=nc&amp;LH_BIN=1", "Active")</f>
        <v/>
      </c>
      <c r="J245" s="5">
        <f>HYPERLINK("https://www.ebay.com/sch/261328/i.html?_from=R40&amp;_nkw=2025%20Topps%20Chrome%20Update%20YUSEI%20KIKUCHI%20%23USC59%20Teal%20Refractors%20Angels%20%23%2F299&amp;_sacat=0&amp;LH_Sold=1&amp;LH_Complete=1&amp;_sop=13", "Completed")</f>
        <v/>
      </c>
      <c r="K245" s="5" t="inlineStr">
        <is>
          <t>2025 Topps Chrome Update Yusei Kikuchi #USC59 Teal Refractor 119/299 Angels</t>
        </is>
      </c>
    </row>
    <row r="246">
      <c r="A246" s="11" t="inlineStr">
        <is>
          <t>RA-000142-s91cs</t>
        </is>
      </c>
      <c r="B246" s="11" t="inlineStr">
        <is>
          <t>2025 Topps Chrome Update NICK KURTZ #90CU-21 1990 Topps Chrome Athletics</t>
        </is>
      </c>
      <c r="C246" s="12" t="n">
        <v>4.99</v>
      </c>
      <c r="D246" s="12" t="n">
        <v>3.69</v>
      </c>
      <c r="E246" s="12" t="n">
        <v>-1.3</v>
      </c>
      <c r="F246" s="13" t="n">
        <v>-26.1</v>
      </c>
      <c r="G246" s="11" t="inlineStr">
        <is>
          <t>⬇ Price Down</t>
        </is>
      </c>
      <c r="H246" s="11" t="inlineStr">
        <is>
          <t>87%</t>
        </is>
      </c>
      <c r="I246" s="11">
        <f>HYPERLINK("https://www.ebay.com/sch/261328/i.html?_dcat=261328&amp;_fsrp=1&amp;rt=nc&amp;_from=R40&amp;_nkw=2025%20Topps%20Chrome%20Update%20NICK%20KURTZ%20%2390CU-21%201990%20Topps%20Chrome%20Athletics&amp;_sacat=0&amp;_sop=15&amp;rt=nc&amp;LH_BIN=1", "Active")</f>
        <v/>
      </c>
      <c r="J246" s="11">
        <f>HYPERLINK("https://www.ebay.com/sch/261328/i.html?_from=R40&amp;_nkw=2025%20Topps%20Chrome%20Update%20NICK%20KURTZ%20%2390CU-21%201990%20Topps%20Chrome%20Athletics&amp;_sacat=0&amp;LH_Sold=1&amp;LH_Complete=1&amp;_sop=13", "Completed")</f>
        <v/>
      </c>
      <c r="K246" s="11" t="inlineStr">
        <is>
          <t>2025 Topps Chrome Update #90CU-21 Nick Kurtz 1990 Topps Chrome</t>
        </is>
      </c>
    </row>
    <row r="247">
      <c r="A247" s="5" t="inlineStr">
        <is>
          <t>RA-000146-s91cw</t>
        </is>
      </c>
      <c r="B247" s="5" t="inlineStr">
        <is>
          <t>2025 Bowman Draft PATRICK FORBES #BDC-89 Chrome Purple Geometric Dbacks /250</t>
        </is>
      </c>
      <c r="C247" s="6" t="n">
        <v>4.99</v>
      </c>
      <c r="D247" s="6" t="n">
        <v>5.79</v>
      </c>
      <c r="E247" s="6" t="n">
        <v>0.8</v>
      </c>
      <c r="F247" s="7" t="n">
        <v>16</v>
      </c>
      <c r="G247" s="5" t="inlineStr">
        <is>
          <t>⬆ Price Up</t>
        </is>
      </c>
      <c r="H247" s="5" t="inlineStr">
        <is>
          <t>100%</t>
        </is>
      </c>
      <c r="I247" s="5">
        <f>HYPERLINK("https://www.ebay.com/sch/261328/i.html?_dcat=261328&amp;_fsrp=1&amp;rt=nc&amp;_from=R40&amp;_nkw=2025%20Bowman%20Draft%20PATRICK%20FORBES%20%23BDC-89%20Chrome%20Purple%20Geometric%20Dbacks%20%2F250&amp;_sacat=0&amp;_sop=15&amp;rt=nc&amp;LH_BIN=1", "Active")</f>
        <v/>
      </c>
      <c r="J247" s="5">
        <f>HYPERLINK("https://www.ebay.com/sch/261328/i.html?_from=R40&amp;_nkw=2025%20Bowman%20Draft%20PATRICK%20FORBES%20%23BDC-89%20Chrome%20Purple%20Geometric%20Dbacks%20%2F250&amp;_sacat=0&amp;LH_Sold=1&amp;LH_Complete=1&amp;_sop=13", "Completed")</f>
        <v/>
      </c>
      <c r="K247" s="5" t="inlineStr">
        <is>
          <t>2025 Bowman Draft PATRICK FORBES #BDC-89 Chrome Purple Geometric Dbacks /250</t>
        </is>
      </c>
    </row>
    <row r="248">
      <c r="A248" s="5" t="inlineStr">
        <is>
          <t>RA-000148-s91cy</t>
        </is>
      </c>
      <c r="B248" s="5" t="inlineStr">
        <is>
          <t>2025 Topps Chrome Update CADE HORTON #USC102 X-Fractors Chicago Cubs Basketball</t>
        </is>
      </c>
      <c r="C248" s="6" t="n">
        <v>3.49</v>
      </c>
      <c r="D248" s="6" t="n">
        <v>4.39</v>
      </c>
      <c r="E248" s="6" t="n">
        <v>0.9</v>
      </c>
      <c r="F248" s="7" t="n">
        <v>25.8</v>
      </c>
      <c r="G248" s="5" t="inlineStr">
        <is>
          <t>⬆ Price Up</t>
        </is>
      </c>
      <c r="H248" s="5" t="inlineStr">
        <is>
          <t>100%</t>
        </is>
      </c>
      <c r="I248" s="5">
        <f>HYPERLINK("https://www.ebay.com/sch/261328/i.html?_dcat=261328&amp;_fsrp=1&amp;rt=nc&amp;_from=R40&amp;_nkw=2025%20Topps%20Chrome%20Update%20CADE%20HORTON%20%23USC102%20X-Fractors%20Chicago%20Cubs%20Basketball&amp;_sacat=0&amp;_sop=15&amp;rt=nc&amp;LH_BIN=1", "Active")</f>
        <v/>
      </c>
      <c r="J248" s="5">
        <f>HYPERLINK("https://www.ebay.com/sch/261328/i.html?_from=R40&amp;_nkw=2025%20Topps%20Chrome%20Update%20CADE%20HORTON%20%23USC102%20X-Fractors%20Chicago%20Cubs%20Basketball&amp;_sacat=0&amp;LH_Sold=1&amp;LH_Complete=1&amp;_sop=13", "Completed")</f>
        <v/>
      </c>
      <c r="K248" s="5" t="inlineStr">
        <is>
          <t>2025 Topps Chrome Update CADE HORTON #USC102 X-Fractors Chicago Cubs Basketball</t>
        </is>
      </c>
    </row>
    <row r="249">
      <c r="A249" s="2" t="inlineStr">
        <is>
          <t>RA-000043-s8hiv</t>
        </is>
      </c>
      <c r="B249" s="2" t="inlineStr">
        <is>
          <t>2025-26 Topps Chrome YANIC KONAN NIEDERHÄUSER #280 Refractor Clippers Basketball</t>
        </is>
      </c>
      <c r="C249" s="3" t="n">
        <v>2.99</v>
      </c>
      <c r="D249" s="3" t="n">
        <v>2.49</v>
      </c>
      <c r="E249" s="3" t="n">
        <v>-0.5</v>
      </c>
      <c r="F249" s="4" t="n">
        <v>-16.7</v>
      </c>
      <c r="G249" s="2" t="inlineStr">
        <is>
          <t>🔵 Floored $2.49 — free ship or $0.99 ship?</t>
        </is>
      </c>
      <c r="H249" s="2" t="inlineStr">
        <is>
          <t>87%</t>
        </is>
      </c>
      <c r="I249" s="2">
        <f>HYPERLINK("https://www.ebay.com/sch/261328/i.html?_dcat=261328&amp;_fsrp=1&amp;rt=nc&amp;_from=R40&amp;_nkw=2025-26%20Topps%20Chrome%20YANIC%20KONAN%20NIEDERH%C3%84USER%20%23280%20Refractor%20Clippers%20Basketball&amp;_sacat=0&amp;_sop=15&amp;rt=nc&amp;LH_BIN=1", "Active")</f>
        <v/>
      </c>
      <c r="J249" s="2">
        <f>HYPERLINK("https://www.ebay.com/sch/261328/i.html?_from=R40&amp;_nkw=2025-26%20Topps%20Chrome%20YANIC%20KONAN%20NIEDERH%C3%84USER%20%23280%20Refractor%20Clippers%20Basketball&amp;_sacat=0&amp;LH_Sold=1&amp;LH_Complete=1&amp;_sop=13", "Completed")</f>
        <v/>
      </c>
      <c r="K249" s="2" t="inlineStr">
        <is>
          <t>2025-26 Topps Chrome Yanic Konan Niederhäuser Rookie Refractor #280 Clippers</t>
        </is>
      </c>
    </row>
    <row r="250">
      <c r="A250" s="5" t="inlineStr">
        <is>
          <t>RA-000052-s8hja</t>
        </is>
      </c>
      <c r="B250" s="5" t="inlineStr">
        <is>
          <t>2025-26 Topps Chrome EGOR DËMIN #258 Brooklyn Nets Basketball</t>
        </is>
      </c>
      <c r="C250" s="6" t="n">
        <v>1.49</v>
      </c>
      <c r="D250" s="6" t="n">
        <v>2.49</v>
      </c>
      <c r="E250" s="6" t="n">
        <v>1</v>
      </c>
      <c r="F250" s="7" t="n">
        <v>67.09999999999999</v>
      </c>
      <c r="G250" s="5" t="inlineStr">
        <is>
          <t>⬆ Price Up</t>
        </is>
      </c>
      <c r="H250" s="5" t="inlineStr">
        <is>
          <t>65%</t>
        </is>
      </c>
      <c r="I250" s="5">
        <f>HYPERLINK("https://www.ebay.com/sch/261328/i.html?_dcat=261328&amp;_fsrp=1&amp;rt=nc&amp;_from=R40&amp;_nkw=2025-26%20Topps%20Chrome%20EGOR%20D%C3%8BMIN%20%23258%20Brooklyn%20Nets%20Basketball&amp;_sacat=0&amp;_sop=15&amp;rt=nc&amp;LH_BIN=1", "Active")</f>
        <v/>
      </c>
      <c r="J250" s="5">
        <f>HYPERLINK("https://www.ebay.com/sch/261328/i.html?_from=R40&amp;_nkw=2025-26%20Topps%20Chrome%20EGOR%20D%C3%8BMIN%20%23258%20Brooklyn%20Nets%20Basketball&amp;_sacat=0&amp;LH_Sold=1&amp;LH_Complete=1&amp;_sop=13", "Completed")</f>
        <v/>
      </c>
      <c r="K250" s="5" t="inlineStr">
        <is>
          <t>2025-26 Topps Chrome Complete Your Set You Pick Basketball Rookie Card #251-300</t>
        </is>
      </c>
    </row>
    <row r="251">
      <c r="A251" s="5" t="inlineStr">
        <is>
          <t>RA-000055-s8hje</t>
        </is>
      </c>
      <c r="B251" s="5" t="inlineStr">
        <is>
          <t>2025-26 Topps Chrome MARCUS SASSER #35 Negative Ref Detroit Pistons Basketball</t>
        </is>
      </c>
      <c r="C251" s="6" t="n">
        <v>2.49</v>
      </c>
      <c r="D251" s="6" t="n">
        <v>3.39</v>
      </c>
      <c r="E251" s="6" t="n">
        <v>0.9</v>
      </c>
      <c r="F251" s="7" t="n">
        <v>36.1</v>
      </c>
      <c r="G251" s="5" t="inlineStr">
        <is>
          <t>⬆ Price Up</t>
        </is>
      </c>
      <c r="H251" s="5" t="inlineStr">
        <is>
          <t>100%</t>
        </is>
      </c>
      <c r="I251" s="5">
        <f>HYPERLINK("https://www.ebay.com/sch/261328/i.html?_dcat=261328&amp;_fsrp=1&amp;rt=nc&amp;_from=R40&amp;_nkw=2025-26%20Topps%20Chrome%20MARCUS%20SASSER%20%2335%20Negative%20Ref%20Detroit%20Pistons%20Basketball&amp;_sacat=0&amp;_sop=15&amp;rt=nc&amp;LH_BIN=1", "Active")</f>
        <v/>
      </c>
      <c r="J251" s="5">
        <f>HYPERLINK("https://www.ebay.com/sch/261328/i.html?_from=R40&amp;_nkw=2025-26%20Topps%20Chrome%20MARCUS%20SASSER%20%2335%20Negative%20Ref%20Detroit%20Pistons%20Basketball&amp;_sacat=0&amp;LH_Sold=1&amp;LH_Complete=1&amp;_sop=13", "Completed")</f>
        <v/>
      </c>
      <c r="K251" s="5" t="inlineStr">
        <is>
          <t>2025-26 Topps Chrome MARCUS SASSER #35 Negative Ref Detroit Pistons Basketball</t>
        </is>
      </c>
    </row>
    <row r="252">
      <c r="A252" s="11" t="inlineStr">
        <is>
          <t>RA-000053-s8hjb</t>
        </is>
      </c>
      <c r="B252" s="11" t="inlineStr">
        <is>
          <t>2025-26 Topps Chrome DYLAN HARPER #GR-2 Generation Rising San Antonio Spurs</t>
        </is>
      </c>
      <c r="C252" s="12" t="n">
        <v>5.99</v>
      </c>
      <c r="D252" s="12" t="n">
        <v>4.69</v>
      </c>
      <c r="E252" s="12" t="n">
        <v>-1.3</v>
      </c>
      <c r="F252" s="13" t="n">
        <v>-21.7</v>
      </c>
      <c r="G252" s="11" t="inlineStr">
        <is>
          <t>⬇ Price Down</t>
        </is>
      </c>
      <c r="H252" s="11" t="inlineStr">
        <is>
          <t>78%</t>
        </is>
      </c>
      <c r="I252" s="11">
        <f>HYPERLINK("https://www.ebay.com/sch/261328/i.html?_dcat=261328&amp;_fsrp=1&amp;rt=nc&amp;_from=R40&amp;_nkw=2025-26%20Topps%20Chrome%20DYLAN%20HARPER%20%23GR-2%20Generation%20Rising%20San%20Antonio%20Spurs&amp;_sacat=0&amp;_sop=15&amp;rt=nc&amp;LH_BIN=1", "Active")</f>
        <v/>
      </c>
      <c r="J252" s="11">
        <f>HYPERLINK("https://www.ebay.com/sch/261328/i.html?_from=R40&amp;_nkw=2025-26%20Topps%20Chrome%20DYLAN%20HARPER%20%23GR-2%20Generation%20Rising%20San%20Antonio%20Spurs&amp;_sacat=0&amp;LH_Sold=1&amp;LH_Complete=1&amp;_sop=13", "Completed")</f>
        <v/>
      </c>
      <c r="K252" s="11" t="inlineStr">
        <is>
          <t>Topps 2025-26 Chrome Dylan Harper Spurs Generation Rising Rookie GR-2</t>
        </is>
      </c>
    </row>
    <row r="253">
      <c r="A253" s="5" t="inlineStr">
        <is>
          <t>RA-000054-s8hjc</t>
        </is>
      </c>
      <c r="B253" s="5" t="inlineStr">
        <is>
          <t>2025-26 Topps Chrome JEREMY SOCHAN #239 Negative Refractor San Antonio Spurs</t>
        </is>
      </c>
      <c r="C253" s="6" t="n">
        <v>2.49</v>
      </c>
      <c r="D253" s="6" t="n">
        <v>2.69</v>
      </c>
      <c r="E253" s="6" t="n">
        <v>0.2</v>
      </c>
      <c r="F253" s="7" t="n">
        <v>8</v>
      </c>
      <c r="G253" s="5" t="inlineStr">
        <is>
          <t>⬆ Price Up</t>
        </is>
      </c>
      <c r="H253" s="5" t="inlineStr">
        <is>
          <t>85%</t>
        </is>
      </c>
      <c r="I253" s="5">
        <f>HYPERLINK("https://www.ebay.com/sch/261328/i.html?_dcat=261328&amp;_fsrp=1&amp;rt=nc&amp;_from=R40&amp;_nkw=2025-26%20Topps%20Chrome%20JEREMY%20SOCHAN%20%23239%20Negative%20Refractor%20San%20Antonio%20Spurs&amp;_sacat=0&amp;_sop=15&amp;rt=nc&amp;LH_BIN=1", "Active")</f>
        <v/>
      </c>
      <c r="J253" s="5">
        <f>HYPERLINK("https://www.ebay.com/sch/261328/i.html?_from=R40&amp;_nkw=2025-26%20Topps%20Chrome%20JEREMY%20SOCHAN%20%23239%20Negative%20Refractor%20San%20Antonio%20Spurs&amp;_sacat=0&amp;LH_Sold=1&amp;LH_Complete=1&amp;_sop=13", "Completed")</f>
        <v/>
      </c>
      <c r="K253" s="5" t="inlineStr">
        <is>
          <t>2025-26 Topps Chrome #239 Jeremy Sochan Negative Refractor</t>
        </is>
      </c>
    </row>
    <row r="254">
      <c r="A254" s="5" t="inlineStr">
        <is>
          <t>RA-000058-s8hjj</t>
        </is>
      </c>
      <c r="B254" s="5" t="inlineStr">
        <is>
          <t>2025-26 Topps Chrome DRAYMOND Green #234 Negative Refractor Warriors Basketball</t>
        </is>
      </c>
      <c r="C254" s="6" t="n">
        <v>4.95</v>
      </c>
      <c r="D254" s="6" t="n">
        <v>5.79</v>
      </c>
      <c r="E254" s="6" t="n">
        <v>0.84</v>
      </c>
      <c r="F254" s="7" t="n">
        <v>17</v>
      </c>
      <c r="G254" s="5" t="inlineStr">
        <is>
          <t>⬆ Price Up</t>
        </is>
      </c>
      <c r="H254" s="5" t="inlineStr">
        <is>
          <t>100%</t>
        </is>
      </c>
      <c r="I254" s="5">
        <f>HYPERLINK("https://www.ebay.com/sch/261328/i.html?_dcat=261328&amp;_fsrp=1&amp;rt=nc&amp;_from=R40&amp;_nkw=2025-26%20Topps%20Chrome%20DRAYMOND%20Green%20%23234%20Negative%20Refractor%20Warriors%20Basketball&amp;_sacat=0&amp;_sop=15&amp;rt=nc&amp;LH_BIN=1", "Active")</f>
        <v/>
      </c>
      <c r="J254" s="5">
        <f>HYPERLINK("https://www.ebay.com/sch/261328/i.html?_from=R40&amp;_nkw=2025-26%20Topps%20Chrome%20DRAYMOND%20Green%20%23234%20Negative%20Refractor%20Warriors%20Basketball&amp;_sacat=0&amp;LH_Sold=1&amp;LH_Complete=1&amp;_sop=13", "Completed")</f>
        <v/>
      </c>
      <c r="K254" s="5" t="inlineStr">
        <is>
          <t>2025-26 Topps Chrome DRAYMOND Green #234 Negative Refractor Warriors Basketball</t>
        </is>
      </c>
    </row>
    <row r="255">
      <c r="A255" s="5" t="inlineStr">
        <is>
          <t>RA-000060-s8hjl</t>
        </is>
      </c>
      <c r="B255" s="5" t="inlineStr">
        <is>
          <t>2025-26 Topps Chrome CHRIS DUARTE #83 Negative Ref Chicago Bulls Basketball</t>
        </is>
      </c>
      <c r="C255" s="6" t="n">
        <v>5.99</v>
      </c>
      <c r="D255" s="6" t="n">
        <v>6.79</v>
      </c>
      <c r="E255" s="6" t="n">
        <v>0.8</v>
      </c>
      <c r="F255" s="7" t="n">
        <v>13.4</v>
      </c>
      <c r="G255" s="5" t="inlineStr">
        <is>
          <t>⬆ Price Up</t>
        </is>
      </c>
      <c r="H255" s="5" t="inlineStr">
        <is>
          <t>100%</t>
        </is>
      </c>
      <c r="I255" s="5">
        <f>HYPERLINK("https://www.ebay.com/sch/261328/i.html?_dcat=261328&amp;_fsrp=1&amp;rt=nc&amp;_from=R40&amp;_nkw=2025-26%20Topps%20Chrome%20CHRIS%20DUARTE%20%2383%20Negative%20Ref%20Chicago%20Bulls%20Basketball&amp;_sacat=0&amp;_sop=15&amp;rt=nc&amp;LH_BIN=1", "Active")</f>
        <v/>
      </c>
      <c r="J255" s="5">
        <f>HYPERLINK("https://www.ebay.com/sch/261328/i.html?_from=R40&amp;_nkw=2025-26%20Topps%20Chrome%20CHRIS%20DUARTE%20%2383%20Negative%20Ref%20Chicago%20Bulls%20Basketball&amp;_sacat=0&amp;LH_Sold=1&amp;LH_Complete=1&amp;_sop=13", "Completed")</f>
        <v/>
      </c>
      <c r="K255" s="5" t="inlineStr">
        <is>
          <t>2025-26 Topps Chrome CHRIS DUARTE #83 Negative Ref Chicago Bulls Basketball</t>
        </is>
      </c>
    </row>
    <row r="256">
      <c r="A256" s="8" t="inlineStr">
        <is>
          <t>RA-000062-s8hjn</t>
        </is>
      </c>
      <c r="B256" s="8" t="inlineStr">
        <is>
          <t>2025-26 Topps Chrome SION JAMES #283 Charlotte Hornets Basketball</t>
        </is>
      </c>
      <c r="C256" s="9" t="n">
        <v>2.49</v>
      </c>
      <c r="D256" s="9" t="n">
        <v>2.49</v>
      </c>
      <c r="E256" s="9" t="n">
        <v>0</v>
      </c>
      <c r="F256" s="10" t="n">
        <v>0</v>
      </c>
      <c r="G256" s="8" t="inlineStr">
        <is>
          <t>— No Change</t>
        </is>
      </c>
      <c r="H256" s="8" t="inlineStr">
        <is>
          <t>67%</t>
        </is>
      </c>
      <c r="I256" s="8">
        <f>HYPERLINK("https://www.ebay.com/sch/261328/i.html?_dcat=261328&amp;_fsrp=1&amp;rt=nc&amp;_from=R40&amp;_nkw=2025-26%20Topps%20Chrome%20SION%20JAMES%20%23283%20Charlotte%20Hornets%20Basketball&amp;_sacat=0&amp;_sop=15&amp;rt=nc&amp;LH_BIN=1", "Active")</f>
        <v/>
      </c>
      <c r="J256" s="8">
        <f>HYPERLINK("https://www.ebay.com/sch/261328/i.html?_from=R40&amp;_nkw=2025-26%20Topps%20Chrome%20SION%20JAMES%20%23283%20Charlotte%20Hornets%20Basketball&amp;_sacat=0&amp;LH_Sold=1&amp;LH_Complete=1&amp;_sop=13", "Completed")</f>
        <v/>
      </c>
      <c r="K256" s="8" t="inlineStr">
        <is>
          <t>2025-26 Topps Chrome Basketball BASE 201-300 You Pick the Card</t>
        </is>
      </c>
    </row>
    <row r="257">
      <c r="A257" s="8" t="inlineStr">
        <is>
          <t>RA-000063-s8hjo</t>
        </is>
      </c>
      <c r="B257" s="8" t="inlineStr">
        <is>
          <t>2025-26 Topps Chrome RYAN KALKBRENNER #284 Charlotte Hornets Basketball</t>
        </is>
      </c>
      <c r="C257" s="9" t="n">
        <v>2.49</v>
      </c>
      <c r="D257" s="9" t="n">
        <v>2.49</v>
      </c>
      <c r="E257" s="9" t="n">
        <v>0</v>
      </c>
      <c r="F257" s="10" t="n">
        <v>0</v>
      </c>
      <c r="G257" s="8" t="inlineStr">
        <is>
          <t>— No Change</t>
        </is>
      </c>
      <c r="H257" s="8" t="inlineStr">
        <is>
          <t>67%</t>
        </is>
      </c>
      <c r="I257" s="8">
        <f>HYPERLINK("https://www.ebay.com/sch/261328/i.html?_dcat=261328&amp;_fsrp=1&amp;rt=nc&amp;_from=R40&amp;_nkw=2025-26%20Topps%20Chrome%20RYAN%20KALKBRENNER%20%23284%20Charlotte%20Hornets%20Basketball&amp;_sacat=0&amp;_sop=15&amp;rt=nc&amp;LH_BIN=1", "Active")</f>
        <v/>
      </c>
      <c r="J257" s="8">
        <f>HYPERLINK("https://www.ebay.com/sch/261328/i.html?_from=R40&amp;_nkw=2025-26%20Topps%20Chrome%20RYAN%20KALKBRENNER%20%23284%20Charlotte%20Hornets%20Basketball&amp;_sacat=0&amp;LH_Sold=1&amp;LH_Complete=1&amp;_sop=13", "Completed")</f>
        <v/>
      </c>
      <c r="K257" s="8" t="inlineStr">
        <is>
          <t>2025-26 Topps Chrome Complete Your Set You Pick Basketball Rookie Card #251-300</t>
        </is>
      </c>
    </row>
    <row r="258">
      <c r="A258" s="5" t="inlineStr">
        <is>
          <t>RA-000065-s8hjq</t>
        </is>
      </c>
      <c r="B258" s="5" t="inlineStr">
        <is>
          <t>2025-26 Topps Chrome JOSH Green #47 X-Fractor Charlotte Hornets Basketball</t>
        </is>
      </c>
      <c r="C258" s="6" t="n">
        <v>1.99</v>
      </c>
      <c r="D258" s="6" t="n">
        <v>2.49</v>
      </c>
      <c r="E258" s="6" t="n">
        <v>0.5</v>
      </c>
      <c r="F258" s="7" t="n">
        <v>25.1</v>
      </c>
      <c r="G258" s="5" t="inlineStr">
        <is>
          <t>⬆ Price Up</t>
        </is>
      </c>
      <c r="H258" s="5" t="inlineStr">
        <is>
          <t>82%</t>
        </is>
      </c>
      <c r="I258" s="5">
        <f>HYPERLINK("https://www.ebay.com/sch/261328/i.html?_dcat=261328&amp;_fsrp=1&amp;rt=nc&amp;_from=R40&amp;_nkw=2025-26%20Topps%20Chrome%20JOSH%20Green%20%2347%20X-Fractor%20Charlotte%20Hornets%20Basketball&amp;_sacat=0&amp;_sop=15&amp;rt=nc&amp;LH_BIN=1", "Active")</f>
        <v/>
      </c>
      <c r="J258" s="5">
        <f>HYPERLINK("https://www.ebay.com/sch/261328/i.html?_from=R40&amp;_nkw=2025-26%20Topps%20Chrome%20JOSH%20Green%20%2347%20X-Fractor%20Charlotte%20Hornets%20Basketball&amp;_sacat=0&amp;LH_Sold=1&amp;LH_Complete=1&amp;_sop=13", "Completed")</f>
        <v/>
      </c>
      <c r="K258" s="5" t="inlineStr">
        <is>
          <t>2025-26 Topps Chrome - Josh Green #47 X-Fractor</t>
        </is>
      </c>
    </row>
    <row r="259">
      <c r="A259" s="2" t="inlineStr">
        <is>
          <t>RA-000064-s8hjp</t>
        </is>
      </c>
      <c r="B259" s="2" t="inlineStr">
        <is>
          <t>2025-26 Topps Chrome LAMELO BALL #AC-7 Activators Charlotte Hornets Basketball</t>
        </is>
      </c>
      <c r="C259" s="3" t="n">
        <v>2.99</v>
      </c>
      <c r="D259" s="3" t="n">
        <v>2.49</v>
      </c>
      <c r="E259" s="3" t="n">
        <v>-0.5</v>
      </c>
      <c r="F259" s="4" t="n">
        <v>-16.7</v>
      </c>
      <c r="G259" s="2" t="inlineStr">
        <is>
          <t>🔵 Floored $2.49 — free ship or $0.99 ship?</t>
        </is>
      </c>
      <c r="H259" s="2" t="inlineStr">
        <is>
          <t>83%</t>
        </is>
      </c>
      <c r="I259" s="2">
        <f>HYPERLINK("https://www.ebay.com/sch/261328/i.html?_dcat=261328&amp;_fsrp=1&amp;rt=nc&amp;_from=R40&amp;_nkw=2025-26%20Topps%20Chrome%20LAMELO%20BALL%20%23AC-7%20Activators%20Charlotte%20Hornets%20Basketball&amp;_sacat=0&amp;_sop=15&amp;rt=nc&amp;LH_BIN=1", "Active")</f>
        <v/>
      </c>
      <c r="J259" s="2">
        <f>HYPERLINK("https://www.ebay.com/sch/261328/i.html?_from=R40&amp;_nkw=2025-26%20Topps%20Chrome%20LAMELO%20BALL%20%23AC-7%20Activators%20Charlotte%20Hornets%20Basketball&amp;_sacat=0&amp;LH_Sold=1&amp;LH_Complete=1&amp;_sop=13", "Completed")</f>
        <v/>
      </c>
      <c r="K259" s="2" t="inlineStr">
        <is>
          <t>2025-26 Topps Chrome #AC-7 LaMelo Ball Activators</t>
        </is>
      </c>
    </row>
    <row r="260">
      <c r="A260" s="5" t="inlineStr">
        <is>
          <t>RA-000067-s8hjt</t>
        </is>
      </c>
      <c r="B260" s="5" t="inlineStr">
        <is>
          <t>2025-26 Topps Chrome BRANDON MILLER #89 Refractor Charlotte Hornets Basketball</t>
        </is>
      </c>
      <c r="C260" s="6" t="n">
        <v>1.99</v>
      </c>
      <c r="D260" s="6" t="n">
        <v>2.49</v>
      </c>
      <c r="E260" s="6" t="n">
        <v>0.5</v>
      </c>
      <c r="F260" s="7" t="n">
        <v>25.1</v>
      </c>
      <c r="G260" s="5" t="inlineStr">
        <is>
          <t>⬆ Price Up</t>
        </is>
      </c>
      <c r="H260" s="5" t="inlineStr">
        <is>
          <t>67%</t>
        </is>
      </c>
      <c r="I260" s="5">
        <f>HYPERLINK("https://www.ebay.com/sch/261328/i.html?_dcat=261328&amp;_fsrp=1&amp;rt=nc&amp;_from=R40&amp;_nkw=2025-26%20Topps%20Chrome%20BRANDON%20MILLER%20%2389%20Refractor%20Charlotte%20Hornets%20Basketball&amp;_sacat=0&amp;_sop=15&amp;rt=nc&amp;LH_BIN=1", "Active")</f>
        <v/>
      </c>
      <c r="J260" s="5">
        <f>HYPERLINK("https://www.ebay.com/sch/261328/i.html?_from=R40&amp;_nkw=2025-26%20Topps%20Chrome%20BRANDON%20MILLER%20%2389%20Refractor%20Charlotte%20Hornets%20Basketball&amp;_sacat=0&amp;LH_Sold=1&amp;LH_Complete=1&amp;_sop=13", "Completed")</f>
        <v/>
      </c>
      <c r="K260" s="5" t="inlineStr">
        <is>
          <t>2025-26 Topps Chrome #89 Brandon Miller</t>
        </is>
      </c>
    </row>
    <row r="261">
      <c r="A261" s="5" t="inlineStr">
        <is>
          <t>RA-000068-s8hju</t>
        </is>
      </c>
      <c r="B261" s="5" t="inlineStr">
        <is>
          <t>2025-26 Topps Chrome NICK SMITH JR. #26 RayWave Ref Charlotte Hornets Basketball</t>
        </is>
      </c>
      <c r="C261" s="6" t="n">
        <v>1.99</v>
      </c>
      <c r="D261" s="6" t="n">
        <v>2.89</v>
      </c>
      <c r="E261" s="6" t="n">
        <v>0.9</v>
      </c>
      <c r="F261" s="7" t="n">
        <v>45.2</v>
      </c>
      <c r="G261" s="5" t="inlineStr">
        <is>
          <t>⬆ Price Up</t>
        </is>
      </c>
      <c r="H261" s="5" t="inlineStr">
        <is>
          <t>100%</t>
        </is>
      </c>
      <c r="I261" s="5">
        <f>HYPERLINK("https://www.ebay.com/sch/261328/i.html?_dcat=261328&amp;_fsrp=1&amp;rt=nc&amp;_from=R40&amp;_nkw=2025-26%20Topps%20Chrome%20NICK%20SMITH%20JR.%20%2326%20RayWave%20Ref%20Charlotte%20Hornets%20Basketball&amp;_sacat=0&amp;_sop=15&amp;rt=nc&amp;LH_BIN=1", "Active")</f>
        <v/>
      </c>
      <c r="J261" s="5">
        <f>HYPERLINK("https://www.ebay.com/sch/261328/i.html?_from=R40&amp;_nkw=2025-26%20Topps%20Chrome%20NICK%20SMITH%20JR.%20%2326%20RayWave%20Ref%20Charlotte%20Hornets%20Basketball&amp;_sacat=0&amp;LH_Sold=1&amp;LH_Complete=1&amp;_sop=13", "Completed")</f>
        <v/>
      </c>
      <c r="K261" s="5" t="inlineStr">
        <is>
          <t>2025-26 Topps Chrome NICK SMITH JR. #26 RayWave Ref Charlotte Hornets Basketball</t>
        </is>
      </c>
    </row>
    <row r="262">
      <c r="A262" s="8" t="inlineStr">
        <is>
          <t>RA-000069-s8hjv</t>
        </is>
      </c>
      <c r="B262" s="8" t="inlineStr">
        <is>
          <t>2025-26 Topps Chrome MILES BRIDGES #30 X-Fractor Charlotte Hornets Basketball</t>
        </is>
      </c>
      <c r="C262" s="9" t="n">
        <v>2.49</v>
      </c>
      <c r="D262" s="9" t="n">
        <v>2.49</v>
      </c>
      <c r="E262" s="9" t="n">
        <v>0</v>
      </c>
      <c r="F262" s="10" t="n">
        <v>0</v>
      </c>
      <c r="G262" s="8" t="inlineStr">
        <is>
          <t>— No Change</t>
        </is>
      </c>
      <c r="H262" s="8" t="inlineStr">
        <is>
          <t>82%</t>
        </is>
      </c>
      <c r="I262" s="8">
        <f>HYPERLINK("https://www.ebay.com/sch/261328/i.html?_dcat=261328&amp;_fsrp=1&amp;rt=nc&amp;_from=R40&amp;_nkw=2025-26%20Topps%20Chrome%20MILES%20BRIDGES%20%2330%20X-Fractor%20Charlotte%20Hornets%20Basketball&amp;_sacat=0&amp;_sop=15&amp;rt=nc&amp;LH_BIN=1", "Active")</f>
        <v/>
      </c>
      <c r="J262" s="8">
        <f>HYPERLINK("https://www.ebay.com/sch/261328/i.html?_from=R40&amp;_nkw=2025-26%20Topps%20Chrome%20MILES%20BRIDGES%20%2330%20X-Fractor%20Charlotte%20Hornets%20Basketball&amp;_sacat=0&amp;LH_Sold=1&amp;LH_Complete=1&amp;_sop=13", "Completed")</f>
        <v/>
      </c>
      <c r="K262" s="8" t="inlineStr">
        <is>
          <t>2025-26 Topps Chrome - Miles Bridges #30 X-Fractor</t>
        </is>
      </c>
    </row>
    <row r="263">
      <c r="A263" s="8" t="inlineStr">
        <is>
          <t>RA-000071-s8hjy</t>
        </is>
      </c>
      <c r="B263" s="8" t="inlineStr">
        <is>
          <t>2025-26 Topps Chrome LIAM MCNEELEY #279 X-Fractor Charlotte Hornets Basketball</t>
        </is>
      </c>
      <c r="C263" s="9" t="n">
        <v>2.49</v>
      </c>
      <c r="D263" s="9" t="n">
        <v>2.49</v>
      </c>
      <c r="E263" s="9" t="n">
        <v>0</v>
      </c>
      <c r="F263" s="10" t="n">
        <v>0</v>
      </c>
      <c r="G263" s="8" t="inlineStr">
        <is>
          <t>— No Change</t>
        </is>
      </c>
      <c r="H263" s="8" t="inlineStr">
        <is>
          <t>86%</t>
        </is>
      </c>
      <c r="I263" s="8">
        <f>HYPERLINK("https://www.ebay.com/sch/261328/i.html?_dcat=261328&amp;_fsrp=1&amp;rt=nc&amp;_from=R40&amp;_nkw=2025-26%20Topps%20Chrome%20LIAM%20MCNEELEY%20%23279%20X-Fractor%20Charlotte%20Hornets%20Basketball&amp;_sacat=0&amp;_sop=15&amp;rt=nc&amp;LH_BIN=1", "Active")</f>
        <v/>
      </c>
      <c r="J263" s="8">
        <f>HYPERLINK("https://www.ebay.com/sch/261328/i.html?_from=R40&amp;_nkw=2025-26%20Topps%20Chrome%20LIAM%20MCNEELEY%20%23279%20X-Fractor%20Charlotte%20Hornets%20Basketball&amp;_sacat=0&amp;LH_Sold=1&amp;LH_Complete=1&amp;_sop=13", "Completed")</f>
        <v/>
      </c>
      <c r="K263" s="8" t="inlineStr">
        <is>
          <t>2025-26 Topps Chrome Liam McNeeley RC X-Fractor Rookie #279 Hornets</t>
        </is>
      </c>
    </row>
    <row r="264">
      <c r="A264" s="5" t="inlineStr">
        <is>
          <t>RA-000070-s8hjx</t>
        </is>
      </c>
      <c r="B264" s="5" t="inlineStr">
        <is>
          <t>2025-26 Topps Chrome TIDJANE SALAÜN #8 Refractor Charlotte Hornets Basketball</t>
        </is>
      </c>
      <c r="C264" s="6" t="n">
        <v>0.99</v>
      </c>
      <c r="D264" s="6" t="n">
        <v>2.49</v>
      </c>
      <c r="E264" s="6" t="n">
        <v>1.5</v>
      </c>
      <c r="F264" s="7" t="n">
        <v>151.5</v>
      </c>
      <c r="G264" s="5" t="inlineStr">
        <is>
          <t>⬆ Price Up</t>
        </is>
      </c>
      <c r="H264" s="5" t="inlineStr">
        <is>
          <t>82%</t>
        </is>
      </c>
      <c r="I264" s="5">
        <f>HYPERLINK("https://www.ebay.com/sch/261328/i.html?_dcat=261328&amp;_fsrp=1&amp;rt=nc&amp;_from=R40&amp;_nkw=2025-26%20Topps%20Chrome%20TIDJANE%20SALA%C3%9CN%20%238%20Refractor%20Charlotte%20Hornets%20Basketball&amp;_sacat=0&amp;_sop=15&amp;rt=nc&amp;LH_BIN=1", "Active")</f>
        <v/>
      </c>
      <c r="J264" s="5">
        <f>HYPERLINK("https://www.ebay.com/sch/261328/i.html?_from=R40&amp;_nkw=2025-26%20Topps%20Chrome%20TIDJANE%20SALA%C3%9CN%20%238%20Refractor%20Charlotte%20Hornets%20Basketball&amp;_sacat=0&amp;LH_Sold=1&amp;LH_Complete=1&amp;_sop=13", "Completed")</f>
        <v/>
      </c>
      <c r="K264" s="5" t="inlineStr">
        <is>
          <t>2025-26 Topps Chrome #8 Tidjane Salaün Prism Refractors</t>
        </is>
      </c>
    </row>
    <row r="265">
      <c r="A265" s="5" t="inlineStr">
        <is>
          <t>RA-000073-s8hk1</t>
        </is>
      </c>
      <c r="B265" s="5" t="inlineStr">
        <is>
          <t>2025-26 Topps Chrome DWYANE WADE #241 Refractor Miami Heat Basketball</t>
        </is>
      </c>
      <c r="C265" s="6" t="n">
        <v>1.99</v>
      </c>
      <c r="D265" s="6" t="n">
        <v>2.49</v>
      </c>
      <c r="E265" s="6" t="n">
        <v>0.5</v>
      </c>
      <c r="F265" s="7" t="n">
        <v>25.1</v>
      </c>
      <c r="G265" s="5" t="inlineStr">
        <is>
          <t>⬆ Price Up</t>
        </is>
      </c>
      <c r="H265" s="5" t="inlineStr">
        <is>
          <t>84%</t>
        </is>
      </c>
      <c r="I265" s="5">
        <f>HYPERLINK("https://www.ebay.com/sch/261328/i.html?_dcat=261328&amp;_fsrp=1&amp;rt=nc&amp;_from=R40&amp;_nkw=2025-26%20Topps%20Chrome%20DWYANE%20WADE%20%23241%20Refractor%20Miami%20Heat%20Basketball&amp;_sacat=0&amp;_sop=15&amp;rt=nc&amp;LH_BIN=1", "Active")</f>
        <v/>
      </c>
      <c r="J265" s="5">
        <f>HYPERLINK("https://www.ebay.com/sch/261328/i.html?_from=R40&amp;_nkw=2025-26%20Topps%20Chrome%20DWYANE%20WADE%20%23241%20Refractor%20Miami%20Heat%20Basketball&amp;_sacat=0&amp;LH_Sold=1&amp;LH_Complete=1&amp;_sop=13", "Completed")</f>
        <v/>
      </c>
      <c r="K265" s="5" t="inlineStr">
        <is>
          <t>2025-26 Topps Chrome - Dwyane Wade #241 Refractor</t>
        </is>
      </c>
    </row>
    <row r="266">
      <c r="A266" s="5" t="inlineStr">
        <is>
          <t>RA-000076-s8hk4</t>
        </is>
      </c>
      <c r="B266" s="5" t="inlineStr">
        <is>
          <t>2025-26 Topps Chrome MARK WILLIAMS #34 RayWave Ref Charlotte Hornets Basketball</t>
        </is>
      </c>
      <c r="C266" s="6" t="n">
        <v>1.99</v>
      </c>
      <c r="D266" s="6" t="n">
        <v>2.89</v>
      </c>
      <c r="E266" s="6" t="n">
        <v>0.9</v>
      </c>
      <c r="F266" s="7" t="n">
        <v>45.2</v>
      </c>
      <c r="G266" s="5" t="inlineStr">
        <is>
          <t>⬆ Price Up</t>
        </is>
      </c>
      <c r="H266" s="5" t="inlineStr">
        <is>
          <t>100%</t>
        </is>
      </c>
      <c r="I266" s="5">
        <f>HYPERLINK("https://www.ebay.com/sch/261328/i.html?_dcat=261328&amp;_fsrp=1&amp;rt=nc&amp;_from=R40&amp;_nkw=2025-26%20Topps%20Chrome%20MARK%20WILLIAMS%20%2334%20RayWave%20Ref%20Charlotte%20Hornets%20Basketball&amp;_sacat=0&amp;_sop=15&amp;rt=nc&amp;LH_BIN=1", "Active")</f>
        <v/>
      </c>
      <c r="J266" s="5">
        <f>HYPERLINK("https://www.ebay.com/sch/261328/i.html?_from=R40&amp;_nkw=2025-26%20Topps%20Chrome%20MARK%20WILLIAMS%20%2334%20RayWave%20Ref%20Charlotte%20Hornets%20Basketball&amp;_sacat=0&amp;LH_Sold=1&amp;LH_Complete=1&amp;_sop=13", "Completed")</f>
        <v/>
      </c>
      <c r="K266" s="5" t="inlineStr">
        <is>
          <t>2025-26 Topps Chrome MARK WILLIAMS #34 RayWave Ref Charlotte Hornets Basketball</t>
        </is>
      </c>
    </row>
    <row r="267">
      <c r="A267" s="5" t="inlineStr">
        <is>
          <t>RA-000077-s8hk6</t>
        </is>
      </c>
      <c r="B267" s="5" t="inlineStr">
        <is>
          <t>2025-26 Topps Chrome ANTHONY Black #103 Negative Ref Orlando Magic Basketball</t>
        </is>
      </c>
      <c r="C267" s="6" t="n">
        <v>10.09</v>
      </c>
      <c r="D267" s="6" t="n">
        <v>10.79</v>
      </c>
      <c r="E267" s="6" t="n">
        <v>0.7</v>
      </c>
      <c r="F267" s="7" t="n">
        <v>6.9</v>
      </c>
      <c r="G267" s="5" t="inlineStr">
        <is>
          <t>⬆ Price Up</t>
        </is>
      </c>
      <c r="H267" s="5" t="inlineStr">
        <is>
          <t>100%</t>
        </is>
      </c>
      <c r="I267" s="5">
        <f>HYPERLINK("https://www.ebay.com/sch/261328/i.html?_dcat=261328&amp;_fsrp=1&amp;rt=nc&amp;_from=R40&amp;_nkw=2025-26%20Topps%20Chrome%20ANTHONY%20Black%20%23103%20Negative%20Ref%20Orlando%20Magic%20Basketball&amp;_sacat=0&amp;_sop=15&amp;rt=nc&amp;LH_BIN=1", "Active")</f>
        <v/>
      </c>
      <c r="J267" s="5">
        <f>HYPERLINK("https://www.ebay.com/sch/261328/i.html?_from=R40&amp;_nkw=2025-26%20Topps%20Chrome%20ANTHONY%20Black%20%23103%20Negative%20Ref%20Orlando%20Magic%20Basketball&amp;_sacat=0&amp;LH_Sold=1&amp;LH_Complete=1&amp;_sop=13", "Completed")</f>
        <v/>
      </c>
      <c r="K267" s="5" t="inlineStr">
        <is>
          <t>2025-26 Topps Chrome ANTHONY Black #103 Negative Ref Orlando Magic Basketball</t>
        </is>
      </c>
    </row>
    <row r="268">
      <c r="A268" s="5" t="inlineStr">
        <is>
          <t>RA-000074-s8hk2</t>
        </is>
      </c>
      <c r="B268" s="5" t="inlineStr">
        <is>
          <t>2025-26 Topps Chrome ALLEN IVERSON #CG-29 Clutch Gene Philadelphia 76ers</t>
        </is>
      </c>
      <c r="C268" s="6" t="n">
        <v>1.75</v>
      </c>
      <c r="D268" s="6" t="n">
        <v>2.49</v>
      </c>
      <c r="E268" s="6" t="n">
        <v>0.74</v>
      </c>
      <c r="F268" s="7" t="n">
        <v>42.3</v>
      </c>
      <c r="G268" s="5" t="inlineStr">
        <is>
          <t>⬆ Price Up</t>
        </is>
      </c>
      <c r="H268" s="5" t="inlineStr">
        <is>
          <t>66%</t>
        </is>
      </c>
      <c r="I268" s="5">
        <f>HYPERLINK("https://www.ebay.com/sch/261328/i.html?_dcat=261328&amp;_fsrp=1&amp;rt=nc&amp;_from=R40&amp;_nkw=2025-26%20Topps%20Chrome%20ALLEN%20IVERSON%20%23CG-29%20Clutch%20Gene%20Philadelphia%2076ers&amp;_sacat=0&amp;_sop=15&amp;rt=nc&amp;LH_BIN=1", "Active")</f>
        <v/>
      </c>
      <c r="J268" s="5">
        <f>HYPERLINK("https://www.ebay.com/sch/261328/i.html?_from=R40&amp;_nkw=2025-26%20Topps%20Chrome%20ALLEN%20IVERSON%20%23CG-29%20Clutch%20Gene%20Philadelphia%2076ers&amp;_sacat=0&amp;LH_Sold=1&amp;LH_Complete=1&amp;_sop=13", "Completed")</f>
        <v/>
      </c>
      <c r="K268" s="5" t="inlineStr">
        <is>
          <t>2025-26 Topps Chrome Basketball INSERTS! Complete Your Set! U-Pick!</t>
        </is>
      </c>
    </row>
    <row r="269">
      <c r="A269" s="8" t="inlineStr">
        <is>
          <t>RA-000079-s8hk8</t>
        </is>
      </c>
      <c r="B269" s="8" t="inlineStr">
        <is>
          <t>2025-26 Topps Chrome QUENTIN GRIMES #197 Negative Refractor Philadelphia 76ers</t>
        </is>
      </c>
      <c r="C269" s="9" t="n">
        <v>2.99</v>
      </c>
      <c r="D269" s="9" t="n">
        <v>2.99</v>
      </c>
      <c r="E269" s="9" t="n">
        <v>0</v>
      </c>
      <c r="F269" s="10" t="n">
        <v>0</v>
      </c>
      <c r="G269" s="8" t="inlineStr">
        <is>
          <t>— No Change</t>
        </is>
      </c>
      <c r="H269" s="8" t="inlineStr">
        <is>
          <t>85%</t>
        </is>
      </c>
      <c r="I269" s="8">
        <f>HYPERLINK("https://www.ebay.com/sch/261328/i.html?_dcat=261328&amp;_fsrp=1&amp;rt=nc&amp;_from=R40&amp;_nkw=2025-26%20Topps%20Chrome%20QUENTIN%20GRIMES%20%23197%20Negative%20Refractor%20Philadelphia%2076ers&amp;_sacat=0&amp;_sop=15&amp;rt=nc&amp;LH_BIN=1", "Active")</f>
        <v/>
      </c>
      <c r="J269" s="8">
        <f>HYPERLINK("https://www.ebay.com/sch/261328/i.html?_from=R40&amp;_nkw=2025-26%20Topps%20Chrome%20QUENTIN%20GRIMES%20%23197%20Negative%20Refractor%20Philadelphia%2076ers&amp;_sacat=0&amp;LH_Sold=1&amp;LH_Complete=1&amp;_sop=13", "Completed")</f>
        <v/>
      </c>
      <c r="K269" s="8" t="inlineStr">
        <is>
          <t>2025-26 Topps Chrome #197 Quentin Grimes Negative Refractor</t>
        </is>
      </c>
    </row>
    <row r="270">
      <c r="A270" s="11" t="inlineStr">
        <is>
          <t>RA-000084-s8hke</t>
        </is>
      </c>
      <c r="B270" s="11" t="inlineStr">
        <is>
          <t>2025-26 Topps Chrome KELLY OUBRE JR. #114 Negative Refractor Philadelphia 76ers</t>
        </is>
      </c>
      <c r="C270" s="12" t="n">
        <v>3.49</v>
      </c>
      <c r="D270" s="12" t="n">
        <v>2.89</v>
      </c>
      <c r="E270" s="12" t="n">
        <v>-0.6</v>
      </c>
      <c r="F270" s="13" t="n">
        <v>-17.2</v>
      </c>
      <c r="G270" s="11" t="inlineStr">
        <is>
          <t>⬇ Price Down</t>
        </is>
      </c>
      <c r="H270" s="11" t="inlineStr">
        <is>
          <t>85%</t>
        </is>
      </c>
      <c r="I270" s="11">
        <f>HYPERLINK("https://www.ebay.com/sch/261328/i.html?_dcat=261328&amp;_fsrp=1&amp;rt=nc&amp;_from=R40&amp;_nkw=2025-26%20Topps%20Chrome%20KELLY%20OUBRE%20JR.%20%23114%20Negative%20Refractor%20Philadelphia%2076ers&amp;_sacat=0&amp;_sop=15&amp;rt=nc&amp;LH_BIN=1", "Active")</f>
        <v/>
      </c>
      <c r="J270" s="11">
        <f>HYPERLINK("https://www.ebay.com/sch/261328/i.html?_from=R40&amp;_nkw=2025-26%20Topps%20Chrome%20KELLY%20OUBRE%20JR.%20%23114%20Negative%20Refractor%20Philadelphia%2076ers&amp;_sacat=0&amp;LH_Sold=1&amp;LH_Complete=1&amp;_sop=13", "Completed")</f>
        <v/>
      </c>
      <c r="K270" s="11" t="inlineStr">
        <is>
          <t>2025-26 Topps Chrome - Kelly Oubre Jr. #114 Negative Refractor</t>
        </is>
      </c>
    </row>
    <row r="271">
      <c r="A271" s="5" t="inlineStr">
        <is>
          <t>RA-000080-s8hk9</t>
        </is>
      </c>
      <c r="B271" s="5" t="inlineStr">
        <is>
          <t>2025-26 Topps Chrome KARL-ANTHONY TOWNS #179 Negative Refractor New York Knicks</t>
        </is>
      </c>
      <c r="C271" s="6" t="n">
        <v>9.49</v>
      </c>
      <c r="D271" s="6" t="n">
        <v>9.59</v>
      </c>
      <c r="E271" s="6" t="n">
        <v>0.1</v>
      </c>
      <c r="F271" s="7" t="n">
        <v>1.1</v>
      </c>
      <c r="G271" s="5" t="inlineStr">
        <is>
          <t>⬆ Price Up</t>
        </is>
      </c>
      <c r="H271" s="5" t="inlineStr">
        <is>
          <t>86%</t>
        </is>
      </c>
      <c r="I271" s="5">
        <f>HYPERLINK("https://www.ebay.com/sch/261328/i.html?_dcat=261328&amp;_fsrp=1&amp;rt=nc&amp;_from=R40&amp;_nkw=2025-26%20Topps%20Chrome%20KARL-ANTHONY%20TOWNS%20%23179%20Negative%20Refractor%20New%20York%20Knicks&amp;_sacat=0&amp;_sop=15&amp;rt=nc&amp;LH_BIN=1", "Active")</f>
        <v/>
      </c>
      <c r="J271" s="5">
        <f>HYPERLINK("https://www.ebay.com/sch/261328/i.html?_from=R40&amp;_nkw=2025-26%20Topps%20Chrome%20KARL-ANTHONY%20TOWNS%20%23179%20Negative%20Refractor%20New%20York%20Knicks&amp;_sacat=0&amp;LH_Sold=1&amp;LH_Complete=1&amp;_sop=13", "Completed")</f>
        <v/>
      </c>
      <c r="K271" s="5" t="inlineStr">
        <is>
          <t>2025-26 Topps Chrome - Karl-Anthony Towns #179 Negative Refractor</t>
        </is>
      </c>
    </row>
    <row r="272">
      <c r="A272" s="5" t="inlineStr">
        <is>
          <t>RA-000089-s8hkl</t>
        </is>
      </c>
      <c r="B272" s="5" t="inlineStr">
        <is>
          <t>2025-26 Topps Chrome YANG HANSEN #266 Trailblazers Basketball</t>
        </is>
      </c>
      <c r="C272" s="6" t="n">
        <v>1.99</v>
      </c>
      <c r="D272" s="6" t="n">
        <v>2.49</v>
      </c>
      <c r="E272" s="6" t="n">
        <v>0.5</v>
      </c>
      <c r="F272" s="7" t="n">
        <v>25.1</v>
      </c>
      <c r="G272" s="5" t="inlineStr">
        <is>
          <t>⬆ Price Up</t>
        </is>
      </c>
      <c r="H272" s="5" t="inlineStr">
        <is>
          <t>60%</t>
        </is>
      </c>
      <c r="I272" s="5">
        <f>HYPERLINK("https://www.ebay.com/sch/261328/i.html?_dcat=261328&amp;_fsrp=1&amp;rt=nc&amp;_from=R40&amp;_nkw=2025-26%20Topps%20Chrome%20YANG%20HANSEN%20%23266%20Trailblazers%20Basketball&amp;_sacat=0&amp;_sop=15&amp;rt=nc&amp;LH_BIN=1", "Active")</f>
        <v/>
      </c>
      <c r="J272" s="5">
        <f>HYPERLINK("https://www.ebay.com/sch/261328/i.html?_from=R40&amp;_nkw=2025-26%20Topps%20Chrome%20YANG%20HANSEN%20%23266%20Trailblazers%20Basketball&amp;_sacat=0&amp;LH_Sold=1&amp;LH_Complete=1&amp;_sop=13", "Completed")</f>
        <v/>
      </c>
      <c r="K272" s="5" t="inlineStr">
        <is>
          <t>(2 CARD MINIMUM) 2025 Topps Chrome Basketball Refractor/RC/#'d COMPLETE YOUR SET</t>
        </is>
      </c>
    </row>
    <row r="273">
      <c r="A273" s="2" t="inlineStr">
        <is>
          <t>RA-000091-s8hko</t>
        </is>
      </c>
      <c r="B273" s="2" t="inlineStr">
        <is>
          <t>2025-26 Topps Chrome WALTER CLAYTON JR. #268 Refractor Utah Jazz Basketball</t>
        </is>
      </c>
      <c r="C273" s="3" t="n">
        <v>3.49</v>
      </c>
      <c r="D273" s="3" t="n">
        <v>2.49</v>
      </c>
      <c r="E273" s="3" t="n">
        <v>-1</v>
      </c>
      <c r="F273" s="4" t="n">
        <v>-28.7</v>
      </c>
      <c r="G273" s="2" t="inlineStr">
        <is>
          <t>🔵 Floored $2.49 — free ship or $0.99 ship?</t>
        </is>
      </c>
      <c r="H273" s="2" t="inlineStr">
        <is>
          <t>84%</t>
        </is>
      </c>
      <c r="I273" s="2">
        <f>HYPERLINK("https://www.ebay.com/sch/261328/i.html?_dcat=261328&amp;_fsrp=1&amp;rt=nc&amp;_from=R40&amp;_nkw=2025-26%20Topps%20Chrome%20WALTER%20CLAYTON%20JR.%20%23268%20Refractor%20Utah%20Jazz%20Basketball&amp;_sacat=0&amp;_sop=15&amp;rt=nc&amp;LH_BIN=1", "Active")</f>
        <v/>
      </c>
      <c r="J273" s="2">
        <f>HYPERLINK("https://www.ebay.com/sch/261328/i.html?_from=R40&amp;_nkw=2025-26%20Topps%20Chrome%20WALTER%20CLAYTON%20JR.%20%23268%20Refractor%20Utah%20Jazz%20Basketball&amp;_sacat=0&amp;LH_Sold=1&amp;LH_Complete=1&amp;_sop=13", "Completed")</f>
        <v/>
      </c>
      <c r="K273" s="2" t="inlineStr">
        <is>
          <t>2025-26 Topps Chrome #268 Walter Clayton Jr. Refractor Rookie F5</t>
        </is>
      </c>
    </row>
    <row r="274">
      <c r="A274" s="2" t="inlineStr">
        <is>
          <t>RA-000094-s8hks</t>
        </is>
      </c>
      <c r="B274" s="2" t="inlineStr">
        <is>
          <t>2025-26 Topps Chrome SION JAMES #283 Refractor Charlotte Hornets Basketball</t>
        </is>
      </c>
      <c r="C274" s="3" t="n">
        <v>2.99</v>
      </c>
      <c r="D274" s="3" t="n">
        <v>2.49</v>
      </c>
      <c r="E274" s="3" t="n">
        <v>-0.5</v>
      </c>
      <c r="F274" s="4" t="n">
        <v>-16.7</v>
      </c>
      <c r="G274" s="2" t="inlineStr">
        <is>
          <t>🔵 Floored $2.49 — free ship or $0.99 ship?</t>
        </is>
      </c>
      <c r="H274" s="2" t="inlineStr">
        <is>
          <t>69%</t>
        </is>
      </c>
      <c r="I274" s="2">
        <f>HYPERLINK("https://www.ebay.com/sch/261328/i.html?_dcat=261328&amp;_fsrp=1&amp;rt=nc&amp;_from=R40&amp;_nkw=2025-26%20Topps%20Chrome%20SION%20JAMES%20%23283%20Refractor%20Charlotte%20Hornets%20Basketball&amp;_sacat=0&amp;_sop=15&amp;rt=nc&amp;LH_BIN=1", "Active")</f>
        <v/>
      </c>
      <c r="J274" s="2">
        <f>HYPERLINK("https://www.ebay.com/sch/261328/i.html?_from=R40&amp;_nkw=2025-26%20Topps%20Chrome%20SION%20JAMES%20%23283%20Refractor%20Charlotte%20Hornets%20Basketball&amp;_sacat=0&amp;LH_Sold=1&amp;LH_Complete=1&amp;_sop=13", "Completed")</f>
        <v/>
      </c>
      <c r="K274" s="2" t="inlineStr">
        <is>
          <t>2025-26 Topps Chrome Basketball Chrome Refractor - Pick A Card</t>
        </is>
      </c>
    </row>
    <row r="275">
      <c r="A275" s="2" t="inlineStr">
        <is>
          <t>RA-000095-s8hkt</t>
        </is>
      </c>
      <c r="B275" s="2" t="inlineStr">
        <is>
          <t>2025-26 Topps Chrome SION JAMES #283 X-Fractor Charlotte Hornets Basketball</t>
        </is>
      </c>
      <c r="C275" s="3" t="n">
        <v>3.49</v>
      </c>
      <c r="D275" s="3" t="n">
        <v>2.49</v>
      </c>
      <c r="E275" s="3" t="n">
        <v>-1</v>
      </c>
      <c r="F275" s="4" t="n">
        <v>-28.7</v>
      </c>
      <c r="G275" s="2" t="inlineStr">
        <is>
          <t>🔵 Floored $2.49 — free ship or $0.99 ship?</t>
        </is>
      </c>
      <c r="H275" s="2" t="inlineStr">
        <is>
          <t>85%</t>
        </is>
      </c>
      <c r="I275" s="2">
        <f>HYPERLINK("https://www.ebay.com/sch/261328/i.html?_dcat=261328&amp;_fsrp=1&amp;rt=nc&amp;_from=R40&amp;_nkw=2025-26%20Topps%20Chrome%20SION%20JAMES%20%23283%20X-Fractor%20Charlotte%20Hornets%20Basketball&amp;_sacat=0&amp;_sop=15&amp;rt=nc&amp;LH_BIN=1", "Active")</f>
        <v/>
      </c>
      <c r="J275" s="2">
        <f>HYPERLINK("https://www.ebay.com/sch/261328/i.html?_from=R40&amp;_nkw=2025-26%20Topps%20Chrome%20SION%20JAMES%20%23283%20X-Fractor%20Charlotte%20Hornets%20Basketball&amp;_sacat=0&amp;LH_Sold=1&amp;LH_Complete=1&amp;_sop=13", "Completed")</f>
        <v/>
      </c>
      <c r="K275" s="2" t="inlineStr">
        <is>
          <t>2025-26 Topps Chrome SION JAMES Rookie Card RC #283 Charlotte Hornets</t>
        </is>
      </c>
    </row>
    <row r="276">
      <c r="A276" s="2" t="inlineStr">
        <is>
          <t>BD-000002-sgako</t>
        </is>
      </c>
      <c r="B276" s="2" t="inlineStr">
        <is>
          <t>2025 Bowman Chrome WALKER BUEHLER #53 Geometric Boston Red Sox #/499</t>
        </is>
      </c>
      <c r="C276" s="3" t="n">
        <v>3.49</v>
      </c>
      <c r="D276" s="3" t="n">
        <v>2.49</v>
      </c>
      <c r="E276" s="3" t="n">
        <v>-1</v>
      </c>
      <c r="F276" s="4" t="n">
        <v>-28.7</v>
      </c>
      <c r="G276" s="2" t="inlineStr">
        <is>
          <t>🔵 Floored $2.49 — free ship or $0.99 ship?</t>
        </is>
      </c>
      <c r="H276" s="2" t="inlineStr">
        <is>
          <t>83%</t>
        </is>
      </c>
      <c r="I276" s="2">
        <f>HYPERLINK("https://www.ebay.com/sch/261328/i.html?_dcat=261328&amp;_fsrp=1&amp;rt=nc&amp;_from=R40&amp;_nkw=2025%20Bowman%20Chrome%20WALKER%20BUEHLER%20%2353%20Geometric%20Boston%20Red%20Sox%20%23%2F499&amp;_sacat=0&amp;_sop=15&amp;rt=nc&amp;LH_BIN=1", "Active")</f>
        <v/>
      </c>
      <c r="J276" s="2">
        <f>HYPERLINK("https://www.ebay.com/sch/261328/i.html?_from=R40&amp;_nkw=2025%20Bowman%20Chrome%20WALKER%20BUEHLER%20%2353%20Geometric%20Boston%20Red%20Sox%20%23%2F499&amp;_sacat=0&amp;LH_Sold=1&amp;LH_Complete=1&amp;_sop=13", "Completed")</f>
        <v/>
      </c>
      <c r="K276" s="2" t="inlineStr">
        <is>
          <t>2025 Bowman Chrome - Walker Buehler, Walker Buehler #53 Geometric Refractor /499</t>
        </is>
      </c>
    </row>
    <row r="277">
      <c r="A277" s="5" t="inlineStr">
        <is>
          <t>BD-000016-sgala</t>
        </is>
      </c>
      <c r="B277" s="5" t="inlineStr">
        <is>
          <t>2024 Bowman Draft ADRIEL RADNEY #BD-136 Blue Border Arizona Diamondbacks #/150</t>
        </is>
      </c>
      <c r="C277" s="6" t="n">
        <v>9.19</v>
      </c>
      <c r="D277" s="6" t="n">
        <v>9.890000000000001</v>
      </c>
      <c r="E277" s="6" t="n">
        <v>0.7</v>
      </c>
      <c r="F277" s="7" t="n">
        <v>7.6</v>
      </c>
      <c r="G277" s="5" t="inlineStr">
        <is>
          <t>⬆ Price Up</t>
        </is>
      </c>
      <c r="H277" s="5" t="inlineStr">
        <is>
          <t>100%</t>
        </is>
      </c>
      <c r="I277" s="5">
        <f>HYPERLINK("https://www.ebay.com/sch/261328/i.html?_dcat=261328&amp;_fsrp=1&amp;rt=nc&amp;_from=R40&amp;_nkw=2024%20Bowman%20Draft%20ADRIEL%20RADNEY%20%23BD-136%20Blue%20Border%20Arizona%20Diamondbacks%20%23%2F150&amp;_sacat=0&amp;_sop=15&amp;rt=nc&amp;LH_BIN=1", "Active")</f>
        <v/>
      </c>
      <c r="J277" s="5">
        <f>HYPERLINK("https://www.ebay.com/sch/261328/i.html?_from=R40&amp;_nkw=2024%20Bowman%20Draft%20ADRIEL%20RADNEY%20%23BD-136%20Blue%20Border%20Arizona%20Diamondbacks%20%23%2F150&amp;_sacat=0&amp;LH_Sold=1&amp;LH_Complete=1&amp;_sop=13", "Completed")</f>
        <v/>
      </c>
      <c r="K277" s="5" t="inlineStr">
        <is>
          <t>2024 Bowman Draft ADRIEL RADNEY #BD-136 Blue Border Arizona Diamondbacks #/150</t>
        </is>
      </c>
    </row>
    <row r="278">
      <c r="A278" s="8" t="inlineStr">
        <is>
          <t>BD-000018-sgale</t>
        </is>
      </c>
      <c r="B278" s="8" t="inlineStr">
        <is>
          <t>2025 Bowman Draft CALEB BONEMER #BDC-184 Chrome Sky Blue Refractor White Sox</t>
        </is>
      </c>
      <c r="C278" s="9" t="n">
        <v>5.79</v>
      </c>
      <c r="D278" s="9" t="n">
        <v>5.79</v>
      </c>
      <c r="E278" s="9" t="n">
        <v>0</v>
      </c>
      <c r="F278" s="10" t="n">
        <v>0</v>
      </c>
      <c r="G278" s="8" t="inlineStr">
        <is>
          <t>— No Change</t>
        </is>
      </c>
      <c r="H278" s="8" t="inlineStr">
        <is>
          <t>82%</t>
        </is>
      </c>
      <c r="I278" s="8">
        <f>HYPERLINK("https://www.ebay.com/sch/261328/i.html?_dcat=261328&amp;_fsrp=1&amp;rt=nc&amp;_from=R40&amp;_nkw=2025%20Bowman%20Draft%20CALEB%20BONEMER%20%23BDC-184%20Chrome%20Sky%20Blue%20Refractor%20White%20Sox&amp;_sacat=0&amp;_sop=15&amp;rt=nc&amp;LH_BIN=1", "Active")</f>
        <v/>
      </c>
      <c r="J278" s="8">
        <f>HYPERLINK("https://www.ebay.com/sch/261328/i.html?_from=R40&amp;_nkw=2025%20Bowman%20Draft%20CALEB%20BONEMER%20%23BDC-184%20Chrome%20Sky%20Blue%20Refractor%20White%20Sox&amp;_sacat=0&amp;LH_Sold=1&amp;LH_Complete=1&amp;_sop=13", "Completed")</f>
        <v/>
      </c>
      <c r="K278" s="8" t="inlineStr">
        <is>
          <t>2025 Bowman Chrome Draft Sky Blue Refractor Singles w/ Rookie RC  - You Pick</t>
        </is>
      </c>
    </row>
    <row r="279">
      <c r="A279" s="11" t="inlineStr">
        <is>
          <t>BD-000017-sgalc</t>
        </is>
      </c>
      <c r="B279" s="11" t="inlineStr">
        <is>
          <t>2025 Bowman Draft CAMERON MILLAR #BD-176 Sky Blue Border Royals #/499</t>
        </is>
      </c>
      <c r="C279" s="12" t="n">
        <v>4.99</v>
      </c>
      <c r="D279" s="12" t="n">
        <v>3.19</v>
      </c>
      <c r="E279" s="12" t="n">
        <v>-1.8</v>
      </c>
      <c r="F279" s="13" t="n">
        <v>-36.1</v>
      </c>
      <c r="G279" s="11" t="inlineStr">
        <is>
          <t>⬇ Price Down</t>
        </is>
      </c>
      <c r="H279" s="11" t="inlineStr">
        <is>
          <t>86%</t>
        </is>
      </c>
      <c r="I279" s="11">
        <f>HYPERLINK("https://www.ebay.com/sch/261328/i.html?_dcat=261328&amp;_fsrp=1&amp;rt=nc&amp;_from=R40&amp;_nkw=2025%20Bowman%20Draft%20CAMERON%20MILLAR%20%23BD-176%20Sky%20Blue%20Border%20Royals%20%23%2F499&amp;_sacat=0&amp;_sop=15&amp;rt=nc&amp;LH_BIN=1", "Active")</f>
        <v/>
      </c>
      <c r="J279" s="11">
        <f>HYPERLINK("https://www.ebay.com/sch/261328/i.html?_from=R40&amp;_nkw=2025%20Bowman%20Draft%20CAMERON%20MILLAR%20%23BD-176%20Sky%20Blue%20Border%20Royals%20%23%2F499&amp;_sacat=0&amp;LH_Sold=1&amp;LH_Complete=1&amp;_sop=13", "Completed")</f>
        <v/>
      </c>
      <c r="K279" s="11" t="inlineStr">
        <is>
          <t>2025 Bowman Draft Cameron Millar /499 Sky Blue 1st Bowman #BD-176 - Royals</t>
        </is>
      </c>
    </row>
    <row r="280">
      <c r="A280" s="5" t="inlineStr">
        <is>
          <t>BD-000023-sgalm</t>
        </is>
      </c>
      <c r="B280" s="5" t="inlineStr">
        <is>
          <t>2024 Bowman Draft FELNIN CELESTEN #BD-76 Blue Border Seattle Mariners #/150</t>
        </is>
      </c>
      <c r="C280" s="6" t="n">
        <v>5.49</v>
      </c>
      <c r="D280" s="6" t="n">
        <v>6.29</v>
      </c>
      <c r="E280" s="6" t="n">
        <v>0.8</v>
      </c>
      <c r="F280" s="7" t="n">
        <v>14.6</v>
      </c>
      <c r="G280" s="5" t="inlineStr">
        <is>
          <t>⬆ Price Up</t>
        </is>
      </c>
      <c r="H280" s="5" t="inlineStr">
        <is>
          <t>100%</t>
        </is>
      </c>
      <c r="I280" s="5">
        <f>HYPERLINK("https://www.ebay.com/sch/261328/i.html?_dcat=261328&amp;_fsrp=1&amp;rt=nc&amp;_from=R40&amp;_nkw=2024%20Bowman%20Draft%20FELNIN%20CELESTEN%20%23BD-76%20Blue%20Border%20Seattle%20Mariners%20%23%2F150&amp;_sacat=0&amp;_sop=15&amp;rt=nc&amp;LH_BIN=1", "Active")</f>
        <v/>
      </c>
      <c r="J280" s="5">
        <f>HYPERLINK("https://www.ebay.com/sch/261328/i.html?_from=R40&amp;_nkw=2024%20Bowman%20Draft%20FELNIN%20CELESTEN%20%23BD-76%20Blue%20Border%20Seattle%20Mariners%20%23%2F150&amp;_sacat=0&amp;LH_Sold=1&amp;LH_Complete=1&amp;_sop=13", "Completed")</f>
        <v/>
      </c>
      <c r="K280" s="5" t="inlineStr">
        <is>
          <t>2024 Bowman Draft FELNIN CELESTEN #BD-76 Blue Border Seattle Mariners #/150</t>
        </is>
      </c>
    </row>
    <row r="281">
      <c r="A281" s="11" t="inlineStr">
        <is>
          <t>BD-000024-sgaln</t>
        </is>
      </c>
      <c r="B281" s="11" t="inlineStr">
        <is>
          <t>2024 Bowman Draft HARRY FORD #BDC-25 Chrome Sparkles Refractor Mariners #/200</t>
        </is>
      </c>
      <c r="C281" s="12" t="n">
        <v>5.49</v>
      </c>
      <c r="D281" s="12" t="n">
        <v>3.29</v>
      </c>
      <c r="E281" s="12" t="n">
        <v>-2.2</v>
      </c>
      <c r="F281" s="13" t="n">
        <v>-40.1</v>
      </c>
      <c r="G281" s="11" t="inlineStr">
        <is>
          <t>⬇ Price Down</t>
        </is>
      </c>
      <c r="H281" s="11" t="inlineStr">
        <is>
          <t>87%</t>
        </is>
      </c>
      <c r="I281" s="11">
        <f>HYPERLINK("https://www.ebay.com/sch/261328/i.html?_dcat=261328&amp;_fsrp=1&amp;rt=nc&amp;_from=R40&amp;_nkw=2024%20Bowman%20Draft%20HARRY%20FORD%20%23BDC-25%20Chrome%20Sparkles%20Refractor%20Mariners%20%23%2F200&amp;_sacat=0&amp;_sop=15&amp;rt=nc&amp;LH_BIN=1", "Active")</f>
        <v/>
      </c>
      <c r="J281" s="11">
        <f>HYPERLINK("https://www.ebay.com/sch/261328/i.html?_from=R40&amp;_nkw=2024%20Bowman%20Draft%20HARRY%20FORD%20%23BDC-25%20Chrome%20Sparkles%20Refractor%20Mariners%20%23%2F200&amp;_sacat=0&amp;LH_Sold=1&amp;LH_Complete=1&amp;_sop=13", "Completed")</f>
        <v/>
      </c>
      <c r="K281" s="11" t="inlineStr">
        <is>
          <t>2024 Topps Bowman Draft Sparkle Refractor Harry Ford #BDC-25 Mariners /200 MLB</t>
        </is>
      </c>
    </row>
    <row r="282">
      <c r="A282" s="5" t="inlineStr">
        <is>
          <t>BD-000026-sgalq</t>
        </is>
      </c>
      <c r="B282" s="5" t="inlineStr">
        <is>
          <t>2025 Bowman Draft YOLFRAN CASTILLO #BD-107 Sky Blue Border Texas Rangers #/499</t>
        </is>
      </c>
      <c r="C282" s="6" t="n">
        <v>3.99</v>
      </c>
      <c r="D282" s="6" t="n">
        <v>4.09</v>
      </c>
      <c r="E282" s="6" t="n">
        <v>0.1</v>
      </c>
      <c r="F282" s="7" t="n">
        <v>2.5</v>
      </c>
      <c r="G282" s="5" t="inlineStr">
        <is>
          <t>⬆ Price Up</t>
        </is>
      </c>
      <c r="H282" s="5" t="inlineStr">
        <is>
          <t>86%</t>
        </is>
      </c>
      <c r="I282" s="5">
        <f>HYPERLINK("https://www.ebay.com/sch/261328/i.html?_dcat=261328&amp;_fsrp=1&amp;rt=nc&amp;_from=R40&amp;_nkw=2025%20Bowman%20Draft%20YOLFRAN%20CASTILLO%20%23BD-107%20Sky%20Blue%20Border%20Texas%20Rangers%20%23%2F499&amp;_sacat=0&amp;_sop=15&amp;rt=nc&amp;LH_BIN=1", "Active")</f>
        <v/>
      </c>
      <c r="J282" s="5">
        <f>HYPERLINK("https://www.ebay.com/sch/261328/i.html?_from=R40&amp;_nkw=2025%20Bowman%20Draft%20YOLFRAN%20CASTILLO%20%23BD-107%20Sky%20Blue%20Border%20Texas%20Rangers%20%23%2F499&amp;_sacat=0&amp;LH_Sold=1&amp;LH_Complete=1&amp;_sop=13", "Completed")</f>
        <v/>
      </c>
      <c r="K282" s="5" t="inlineStr">
        <is>
          <t>2025 Bowman Draft #BD-107 Yolfran Castillo Sky Blue Border /499</t>
        </is>
      </c>
    </row>
    <row r="283">
      <c r="A283" s="2" t="inlineStr">
        <is>
          <t>BD-000034-sgam0</t>
        </is>
      </c>
      <c r="B283" s="2" t="inlineStr">
        <is>
          <t>2025 Bowman Draft RILEY KELLY #CPA-RK Chrome Prospect Autographs RC Rookie</t>
        </is>
      </c>
      <c r="C283" s="3" t="n">
        <v>5.99</v>
      </c>
      <c r="D283" s="3" t="n">
        <v>2.49</v>
      </c>
      <c r="E283" s="3" t="n">
        <v>-3.5</v>
      </c>
      <c r="F283" s="4" t="n">
        <v>-58.4</v>
      </c>
      <c r="G283" s="2" t="inlineStr">
        <is>
          <t>🔵 Floored $2.49 — free ship or $0.99 ship?</t>
        </is>
      </c>
      <c r="H283" s="2" t="inlineStr"/>
      <c r="I283" s="2">
        <f>HYPERLINK("https://www.ebay.com/sch/261328/i.html?_dcat=261328&amp;_fsrp=1&amp;rt=nc&amp;_from=R40&amp;_nkw=2025%20Bowman%20Draft%20RILEY%20KELLY%20%23CPA-RK%20Chrome%20Prospect%20Autographs%20RC%20Rookie&amp;_sacat=0&amp;_sop=15&amp;rt=nc&amp;LH_BIN=1", "Active")</f>
        <v/>
      </c>
      <c r="J283" s="2">
        <f>HYPERLINK("https://www.ebay.com/sch/261328/i.html?_from=R40&amp;_nkw=2025%20Bowman%20Draft%20RILEY%20KELLY%20%23CPA-RK%20Chrome%20Prospect%20Autographs%20RC%20Rookie&amp;_sacat=0&amp;LH_Sold=1&amp;LH_Complete=1&amp;_sop=13", "Completed")</f>
        <v/>
      </c>
      <c r="K283" s="2" t="inlineStr">
        <is>
          <t>No Close Result Found</t>
        </is>
      </c>
    </row>
    <row r="284">
      <c r="A284" s="2" t="inlineStr">
        <is>
          <t>BD-000045-shdvh</t>
        </is>
      </c>
      <c r="B284" s="2" t="inlineStr">
        <is>
          <t>2025 Bowman Draft ANDREW SALAS #BDC-34 Chrome X-Fractor Miami Marlins</t>
        </is>
      </c>
      <c r="C284" s="3" t="n">
        <v>3.49</v>
      </c>
      <c r="D284" s="3" t="n">
        <v>2.49</v>
      </c>
      <c r="E284" s="3" t="n">
        <v>-1</v>
      </c>
      <c r="F284" s="4" t="n">
        <v>-28.7</v>
      </c>
      <c r="G284" s="2" t="inlineStr">
        <is>
          <t>🔵 Floored $2.49 — free ship or $0.99 ship?</t>
        </is>
      </c>
      <c r="H284" s="2" t="inlineStr">
        <is>
          <t>88%</t>
        </is>
      </c>
      <c r="I284" s="2">
        <f>HYPERLINK("https://www.ebay.com/sch/261328/i.html?_dcat=261328&amp;_fsrp=1&amp;rt=nc&amp;_from=R40&amp;_nkw=2025%20Bowman%20Draft%20ANDREW%20SALAS%20%23BDC-34%20Chrome%20X-Fractor%20Miami%20Marlins&amp;_sacat=0&amp;_sop=15&amp;rt=nc&amp;LH_BIN=1", "Active")</f>
        <v/>
      </c>
      <c r="J284" s="2">
        <f>HYPERLINK("https://www.ebay.com/sch/261328/i.html?_from=R40&amp;_nkw=2025%20Bowman%20Draft%20ANDREW%20SALAS%20%23BDC-34%20Chrome%20X-Fractor%20Miami%20Marlins&amp;_sacat=0&amp;LH_Sold=1&amp;LH_Complete=1&amp;_sop=13", "Completed")</f>
        <v/>
      </c>
      <c r="K284" s="2" t="inlineStr">
        <is>
          <t>2025 Bowman Draft Chrome Andrew Salas Xfractor #BDC-34 Marlins</t>
        </is>
      </c>
    </row>
    <row r="285">
      <c r="A285" s="5" t="inlineStr">
        <is>
          <t>BD-000046-shdvi</t>
        </is>
      </c>
      <c r="B285" s="5" t="inlineStr">
        <is>
          <t>2025 Bowman Draft JACOB REIMER #BDC-188 Chrome Sparkle Refractor New York Mets</t>
        </is>
      </c>
      <c r="C285" s="6" t="n">
        <v>3.99</v>
      </c>
      <c r="D285" s="6" t="n">
        <v>4.79</v>
      </c>
      <c r="E285" s="6" t="n">
        <v>0.8</v>
      </c>
      <c r="F285" s="7" t="n">
        <v>20.1</v>
      </c>
      <c r="G285" s="5" t="inlineStr">
        <is>
          <t>⬆ Price Up</t>
        </is>
      </c>
      <c r="H285" s="5" t="inlineStr">
        <is>
          <t>100%</t>
        </is>
      </c>
      <c r="I285" s="5">
        <f>HYPERLINK("https://www.ebay.com/sch/261328/i.html?_dcat=261328&amp;_fsrp=1&amp;rt=nc&amp;_from=R40&amp;_nkw=2025%20Bowman%20Draft%20JACOB%20REIMER%20%23BDC-188%20Chrome%20Sparkle%20Refractor%20New%20York%20Mets&amp;_sacat=0&amp;_sop=15&amp;rt=nc&amp;LH_BIN=1", "Active")</f>
        <v/>
      </c>
      <c r="J285" s="5">
        <f>HYPERLINK("https://www.ebay.com/sch/261328/i.html?_from=R40&amp;_nkw=2025%20Bowman%20Draft%20JACOB%20REIMER%20%23BDC-188%20Chrome%20Sparkle%20Refractor%20New%20York%20Mets&amp;_sacat=0&amp;LH_Sold=1&amp;LH_Complete=1&amp;_sop=13", "Completed")</f>
        <v/>
      </c>
      <c r="K285" s="5" t="inlineStr">
        <is>
          <t>2025 Bowman Draft JACOB REIMER #BDC-188 Chrome Sparkle Refractor New York Mets</t>
        </is>
      </c>
    </row>
    <row r="286">
      <c r="A286" s="5" t="inlineStr">
        <is>
          <t>BD-000047-shdvj</t>
        </is>
      </c>
      <c r="B286" s="5" t="inlineStr">
        <is>
          <t>2025 Bowman Draft MALCOLM MOORE #BD-191 Sky Blue Border Texas Rangers #/499</t>
        </is>
      </c>
      <c r="C286" s="6" t="n">
        <v>2.49</v>
      </c>
      <c r="D286" s="6" t="n">
        <v>3.39</v>
      </c>
      <c r="E286" s="6" t="n">
        <v>0.9</v>
      </c>
      <c r="F286" s="7" t="n">
        <v>36.1</v>
      </c>
      <c r="G286" s="5" t="inlineStr">
        <is>
          <t>⬆ Price Up</t>
        </is>
      </c>
      <c r="H286" s="5" t="inlineStr">
        <is>
          <t>100%</t>
        </is>
      </c>
      <c r="I286" s="5">
        <f>HYPERLINK("https://www.ebay.com/sch/261328/i.html?_dcat=261328&amp;_fsrp=1&amp;rt=nc&amp;_from=R40&amp;_nkw=2025%20Bowman%20Draft%20MALCOLM%20MOORE%20%23BD-191%20Sky%20Blue%20Border%20Texas%20Rangers%20%23%2F499&amp;_sacat=0&amp;_sop=15&amp;rt=nc&amp;LH_BIN=1", "Active")</f>
        <v/>
      </c>
      <c r="J286" s="5">
        <f>HYPERLINK("https://www.ebay.com/sch/261328/i.html?_from=R40&amp;_nkw=2025%20Bowman%20Draft%20MALCOLM%20MOORE%20%23BD-191%20Sky%20Blue%20Border%20Texas%20Rangers%20%23%2F499&amp;_sacat=0&amp;LH_Sold=1&amp;LH_Complete=1&amp;_sop=13", "Completed")</f>
        <v/>
      </c>
      <c r="K286" s="5" t="inlineStr">
        <is>
          <t>2025 Bowman Draft MALCOLM MOORE #BD-191 Sky Blue Border Texas Rangers #/499</t>
        </is>
      </c>
    </row>
    <row r="287">
      <c r="A287" s="2" t="inlineStr">
        <is>
          <t>BD-000053-shdvq</t>
        </is>
      </c>
      <c r="B287" s="2" t="inlineStr">
        <is>
          <t>2025 Bowman Chrome CORBIN BURNES #94 Geometric Arizona Diamondbacks #/499</t>
        </is>
      </c>
      <c r="C287" s="3" t="n">
        <v>2.99</v>
      </c>
      <c r="D287" s="3" t="n">
        <v>2.49</v>
      </c>
      <c r="E287" s="3" t="n">
        <v>-0.5</v>
      </c>
      <c r="F287" s="4" t="n">
        <v>-16.7</v>
      </c>
      <c r="G287" s="2" t="inlineStr">
        <is>
          <t>🔵 Floored $2.49 — free ship or $0.99 ship?</t>
        </is>
      </c>
      <c r="H287" s="2" t="inlineStr">
        <is>
          <t>84%</t>
        </is>
      </c>
      <c r="I287" s="2">
        <f>HYPERLINK("https://www.ebay.com/sch/261328/i.html?_dcat=261328&amp;_fsrp=1&amp;rt=nc&amp;_from=R40&amp;_nkw=2025%20Bowman%20Chrome%20CORBIN%20BURNES%20%2394%20Geometric%20Arizona%20Diamondbacks%20%23%2F499&amp;_sacat=0&amp;_sop=15&amp;rt=nc&amp;LH_BIN=1", "Active")</f>
        <v/>
      </c>
      <c r="J287" s="2">
        <f>HYPERLINK("https://www.ebay.com/sch/261328/i.html?_from=R40&amp;_nkw=2025%20Bowman%20Chrome%20CORBIN%20BURNES%20%2394%20Geometric%20Arizona%20Diamondbacks%20%23%2F499&amp;_sacat=0&amp;LH_Sold=1&amp;LH_Complete=1&amp;_sop=13", "Completed")</f>
        <v/>
      </c>
      <c r="K287" s="2" t="inlineStr">
        <is>
          <t>2025 Bowman Chrome #94 Corbin Burnes Geometric #/499</t>
        </is>
      </c>
    </row>
    <row r="288">
      <c r="A288" s="11" t="inlineStr">
        <is>
          <t>BD-000057-shdvu</t>
        </is>
      </c>
      <c r="B288" s="11" t="inlineStr">
        <is>
          <t>2025 Bowman Draft CODY BOWKER #BDC-140 Chrome X-Fractor Philadelphia Phillies</t>
        </is>
      </c>
      <c r="C288" s="12" t="n">
        <v>4.99</v>
      </c>
      <c r="D288" s="12" t="n">
        <v>3.89</v>
      </c>
      <c r="E288" s="12" t="n">
        <v>-1.1</v>
      </c>
      <c r="F288" s="13" t="n">
        <v>-22</v>
      </c>
      <c r="G288" s="11" t="inlineStr">
        <is>
          <t>⬇ Price Down</t>
        </is>
      </c>
      <c r="H288" s="11" t="inlineStr">
        <is>
          <t>84%</t>
        </is>
      </c>
      <c r="I288" s="11">
        <f>HYPERLINK("https://www.ebay.com/sch/261328/i.html?_dcat=261328&amp;_fsrp=1&amp;rt=nc&amp;_from=R40&amp;_nkw=2025%20Bowman%20Draft%20CODY%20BOWKER%20%23BDC-140%20Chrome%20X-Fractor%20Philadelphia%20Phillies&amp;_sacat=0&amp;_sop=15&amp;rt=nc&amp;LH_BIN=1", "Active")</f>
        <v/>
      </c>
      <c r="J288" s="11">
        <f>HYPERLINK("https://www.ebay.com/sch/261328/i.html?_from=R40&amp;_nkw=2025%20Bowman%20Draft%20CODY%20BOWKER%20%23BDC-140%20Chrome%20X-Fractor%20Philadelphia%20Phillies&amp;_sacat=0&amp;LH_Sold=1&amp;LH_Complete=1&amp;_sop=13", "Completed")</f>
        <v/>
      </c>
      <c r="K288" s="11" t="inlineStr">
        <is>
          <t>2025 Bowman Draft #BDC-140 Cody Bowker Chrome X-Fractor</t>
        </is>
      </c>
    </row>
    <row r="289">
      <c r="A289" s="5" t="inlineStr">
        <is>
          <t>BD-000060-shdvy</t>
        </is>
      </c>
      <c r="B289" s="5" t="inlineStr">
        <is>
          <t>2025 Bowman Draft PETER KUSSOW #BDC-179 Chrome X-Fractor New York Mets</t>
        </is>
      </c>
      <c r="C289" s="6" t="n">
        <v>3.99</v>
      </c>
      <c r="D289" s="6" t="n">
        <v>4.79</v>
      </c>
      <c r="E289" s="6" t="n">
        <v>0.8</v>
      </c>
      <c r="F289" s="7" t="n">
        <v>20.1</v>
      </c>
      <c r="G289" s="5" t="inlineStr">
        <is>
          <t>⬆ Price Up</t>
        </is>
      </c>
      <c r="H289" s="5" t="inlineStr">
        <is>
          <t>100%</t>
        </is>
      </c>
      <c r="I289" s="5">
        <f>HYPERLINK("https://www.ebay.com/sch/261328/i.html?_dcat=261328&amp;_fsrp=1&amp;rt=nc&amp;_from=R40&amp;_nkw=2025%20Bowman%20Draft%20PETER%20KUSSOW%20%23BDC-179%20Chrome%20X-Fractor%20New%20York%20Mets&amp;_sacat=0&amp;_sop=15&amp;rt=nc&amp;LH_BIN=1", "Active")</f>
        <v/>
      </c>
      <c r="J289" s="5">
        <f>HYPERLINK("https://www.ebay.com/sch/261328/i.html?_from=R40&amp;_nkw=2025%20Bowman%20Draft%20PETER%20KUSSOW%20%23BDC-179%20Chrome%20X-Fractor%20New%20York%20Mets&amp;_sacat=0&amp;LH_Sold=1&amp;LH_Complete=1&amp;_sop=13", "Completed")</f>
        <v/>
      </c>
      <c r="K289" s="5" t="inlineStr">
        <is>
          <t>2025 Bowman Draft PETER KUSSOW #BDC-179 Chrome X-Fractor New York Mets</t>
        </is>
      </c>
    </row>
    <row r="290">
      <c r="A290" s="5" t="inlineStr">
        <is>
          <t>BD-000043-shdvf</t>
        </is>
      </c>
      <c r="B290" s="5" t="inlineStr">
        <is>
          <t>2025 Bowman Draft JUSTIN LAMKIN #BDC-62 Chrome Sparkle Refractor Royals</t>
        </is>
      </c>
      <c r="C290" s="6" t="n">
        <v>7.19</v>
      </c>
      <c r="D290" s="6" t="n">
        <v>7.89</v>
      </c>
      <c r="E290" s="6" t="n">
        <v>0.7</v>
      </c>
      <c r="F290" s="7" t="n">
        <v>9.699999999999999</v>
      </c>
      <c r="G290" s="5" t="inlineStr">
        <is>
          <t>⬆ Price Up</t>
        </is>
      </c>
      <c r="H290" s="5" t="inlineStr">
        <is>
          <t>100%</t>
        </is>
      </c>
      <c r="I290" s="5">
        <f>HYPERLINK("https://www.ebay.com/sch/261328/i.html?_dcat=261328&amp;_fsrp=1&amp;rt=nc&amp;_from=R40&amp;_nkw=2025%20Bowman%20Draft%20JUSTIN%20LAMKIN%20%23BDC-62%20Chrome%20Sparkle%20Refractor%20Royals&amp;_sacat=0&amp;_sop=15&amp;rt=nc&amp;LH_BIN=1", "Active")</f>
        <v/>
      </c>
      <c r="J290" s="5">
        <f>HYPERLINK("https://www.ebay.com/sch/261328/i.html?_from=R40&amp;_nkw=2025%20Bowman%20Draft%20JUSTIN%20LAMKIN%20%23BDC-62%20Chrome%20Sparkle%20Refractor%20Royals&amp;_sacat=0&amp;LH_Sold=1&amp;LH_Complete=1&amp;_sop=13", "Completed")</f>
        <v/>
      </c>
      <c r="K290" s="5" t="inlineStr">
        <is>
          <t>2025 Bowman Draft JUSTIN LAMKIN #BDC-62 Chrome Sparkle Refractor Royals</t>
        </is>
      </c>
    </row>
    <row r="291">
      <c r="A291" s="11" t="inlineStr">
        <is>
          <t>BD-000052-shdvp</t>
        </is>
      </c>
      <c r="B291" s="11" t="inlineStr">
        <is>
          <t>2025 Bowman Draft TRAVIS SYKORA #BD-137 Sky Blue Border Nationals #/499</t>
        </is>
      </c>
      <c r="C291" s="12" t="n">
        <v>4.99</v>
      </c>
      <c r="D291" s="12" t="n">
        <v>4.39</v>
      </c>
      <c r="E291" s="12" t="n">
        <v>-0.6</v>
      </c>
      <c r="F291" s="13" t="n">
        <v>-12</v>
      </c>
      <c r="G291" s="11" t="inlineStr">
        <is>
          <t>⬇ Price Down</t>
        </is>
      </c>
      <c r="H291" s="11" t="inlineStr">
        <is>
          <t>73%</t>
        </is>
      </c>
      <c r="I291" s="11">
        <f>HYPERLINK("https://www.ebay.com/sch/261328/i.html?_dcat=261328&amp;_fsrp=1&amp;rt=nc&amp;_from=R40&amp;_nkw=2025%20Bowman%20Draft%20TRAVIS%20SYKORA%20%23BD-137%20Sky%20Blue%20Border%20Nationals%20%23%2F499&amp;_sacat=0&amp;_sop=15&amp;rt=nc&amp;LH_BIN=1", "Active")</f>
        <v/>
      </c>
      <c r="J291" s="11">
        <f>HYPERLINK("https://www.ebay.com/sch/261328/i.html?_from=R40&amp;_nkw=2025%20Bowman%20Draft%20TRAVIS%20SYKORA%20%23BD-137%20Sky%20Blue%20Border%20Nationals%20%23%2F499&amp;_sacat=0&amp;LH_Sold=1&amp;LH_Complete=1&amp;_sop=13", "Completed")</f>
        <v/>
      </c>
      <c r="K291" s="11" t="inlineStr">
        <is>
          <t>Travis Sykora /499 Sky Blue 2025 Bowman Draft #BD-137 Washington Nationals</t>
        </is>
      </c>
    </row>
    <row r="292">
      <c r="A292" s="5" t="inlineStr">
        <is>
          <t>BD-000054-shdvr</t>
        </is>
      </c>
      <c r="B292" s="5" t="inlineStr">
        <is>
          <t>2024 Bowman Draft DAWEL JOSEPH #BDC-170 Chrome Purple Refractor Mariners #/250</t>
        </is>
      </c>
      <c r="C292" s="6" t="n">
        <v>3.49</v>
      </c>
      <c r="D292" s="6" t="n">
        <v>4.39</v>
      </c>
      <c r="E292" s="6" t="n">
        <v>0.9</v>
      </c>
      <c r="F292" s="7" t="n">
        <v>25.8</v>
      </c>
      <c r="G292" s="5" t="inlineStr">
        <is>
          <t>⬆ Price Up</t>
        </is>
      </c>
      <c r="H292" s="5" t="inlineStr">
        <is>
          <t>100%</t>
        </is>
      </c>
      <c r="I292" s="5">
        <f>HYPERLINK("https://www.ebay.com/sch/261328/i.html?_dcat=261328&amp;_fsrp=1&amp;rt=nc&amp;_from=R40&amp;_nkw=2024%20Bowman%20Draft%20DAWEL%20JOSEPH%20%23BDC-170%20Chrome%20Purple%20Refractor%20Mariners%20%23%2F250&amp;_sacat=0&amp;_sop=15&amp;rt=nc&amp;LH_BIN=1", "Active")</f>
        <v/>
      </c>
      <c r="J292" s="5">
        <f>HYPERLINK("https://www.ebay.com/sch/261328/i.html?_from=R40&amp;_nkw=2024%20Bowman%20Draft%20DAWEL%20JOSEPH%20%23BDC-170%20Chrome%20Purple%20Refractor%20Mariners%20%23%2F250&amp;_sacat=0&amp;LH_Sold=1&amp;LH_Complete=1&amp;_sop=13", "Completed")</f>
        <v/>
      </c>
      <c r="K292" s="5" t="inlineStr">
        <is>
          <t>2024 Bowman Draft DAWEL JOSEPH #BDC-170 Chrome Purple Refractor Mariners #/250</t>
        </is>
      </c>
    </row>
    <row r="293">
      <c r="A293" s="5" t="inlineStr">
        <is>
          <t>BD-000061-shdvz</t>
        </is>
      </c>
      <c r="B293" s="5" t="inlineStr">
        <is>
          <t>2025 Bowman Draft ENRIQUE BRADFIELD JR. #BDC-198 Chrome Green Geometric O's /99</t>
        </is>
      </c>
      <c r="C293" s="6" t="n">
        <v>16.59</v>
      </c>
      <c r="D293" s="6" t="n">
        <v>16.99</v>
      </c>
      <c r="E293" s="6" t="n">
        <v>0.4</v>
      </c>
      <c r="F293" s="7" t="n">
        <v>2.4</v>
      </c>
      <c r="G293" s="5" t="inlineStr">
        <is>
          <t>⬆ Price Up</t>
        </is>
      </c>
      <c r="H293" s="5" t="inlineStr">
        <is>
          <t>100%</t>
        </is>
      </c>
      <c r="I293" s="5">
        <f>HYPERLINK("https://www.ebay.com/sch/261328/i.html?_dcat=261328&amp;_fsrp=1&amp;rt=nc&amp;_from=R40&amp;_nkw=2025%20Bowman%20Draft%20ENRIQUE%20BRADFIELD%20JR.%20%23BDC-198%20Chrome%20Green%20Geometric%20O's%20%2F99&amp;_sacat=0&amp;_sop=15&amp;rt=nc&amp;LH_BIN=1", "Active")</f>
        <v/>
      </c>
      <c r="J293" s="5">
        <f>HYPERLINK("https://www.ebay.com/sch/261328/i.html?_from=R40&amp;_nkw=2025%20Bowman%20Draft%20ENRIQUE%20BRADFIELD%20JR.%20%23BDC-198%20Chrome%20Green%20Geometric%20O's%20%2F99&amp;_sacat=0&amp;LH_Sold=1&amp;LH_Complete=1&amp;_sop=13", "Completed")</f>
        <v/>
      </c>
      <c r="K293" s="5" t="inlineStr">
        <is>
          <t>2025 Bowman Draft ENRIQUE BRADFIELD JR. #BDC-198 Chrome Green Geometric O's /99</t>
        </is>
      </c>
    </row>
    <row r="294">
      <c r="A294" s="5" t="inlineStr">
        <is>
          <t>BD-000062-shdw0</t>
        </is>
      </c>
      <c r="B294" s="5" t="inlineStr">
        <is>
          <t>2025 Bowman Draft ARJUN NIMMALA #BDC-35 Chrome Green Refractor Blue Jays #/99</t>
        </is>
      </c>
      <c r="C294" s="6" t="n">
        <v>5.79</v>
      </c>
      <c r="D294" s="6" t="n">
        <v>6.49</v>
      </c>
      <c r="E294" s="6" t="n">
        <v>0.7</v>
      </c>
      <c r="F294" s="7" t="n">
        <v>12.1</v>
      </c>
      <c r="G294" s="5" t="inlineStr">
        <is>
          <t>⬆ Price Up</t>
        </is>
      </c>
      <c r="H294" s="5" t="inlineStr">
        <is>
          <t>90%</t>
        </is>
      </c>
      <c r="I294" s="5">
        <f>HYPERLINK("https://www.ebay.com/sch/261328/i.html?_dcat=261328&amp;_fsrp=1&amp;rt=nc&amp;_from=R40&amp;_nkw=2025%20Bowman%20Draft%20ARJUN%20NIMMALA%20%23BDC-35%20Chrome%20Green%20Refractor%20Blue%20Jays%20%23%2F99&amp;_sacat=0&amp;_sop=15&amp;rt=nc&amp;LH_BIN=1", "Active")</f>
        <v/>
      </c>
      <c r="J294" s="5">
        <f>HYPERLINK("https://www.ebay.com/sch/261328/i.html?_from=R40&amp;_nkw=2025%20Bowman%20Draft%20ARJUN%20NIMMALA%20%23BDC-35%20Chrome%20Green%20Refractor%20Blue%20Jays%20%23%2F99&amp;_sacat=0&amp;LH_Sold=1&amp;LH_Complete=1&amp;_sop=13", "Completed")</f>
        <v/>
      </c>
      <c r="K294" s="5" t="inlineStr">
        <is>
          <t>2025 Bowman Draft Arjun Nimmala #BDC-35 Chrome Green Refractor  Blue Jays #/99</t>
        </is>
      </c>
    </row>
    <row r="295">
      <c r="A295" s="11" t="inlineStr">
        <is>
          <t>BD-000069-shdw8</t>
        </is>
      </c>
      <c r="B295" s="11" t="inlineStr">
        <is>
          <t>2023 Bowman AXEL SANCHEZ #BCP-73 Chrome Prospects Refractors Mariners #/499</t>
        </is>
      </c>
      <c r="C295" s="12" t="n">
        <v>4.49</v>
      </c>
      <c r="D295" s="12" t="n">
        <v>2.89</v>
      </c>
      <c r="E295" s="12" t="n">
        <v>-1.6</v>
      </c>
      <c r="F295" s="13" t="n">
        <v>-35.6</v>
      </c>
      <c r="G295" s="11" t="inlineStr">
        <is>
          <t>⬇ Price Down</t>
        </is>
      </c>
      <c r="H295" s="11" t="inlineStr">
        <is>
          <t>83%</t>
        </is>
      </c>
      <c r="I295" s="11">
        <f>HYPERLINK("https://www.ebay.com/sch/261328/i.html?_dcat=261328&amp;_fsrp=1&amp;rt=nc&amp;_from=R40&amp;_nkw=2023%20Bowman%20AXEL%20SANCHEZ%20%23BCP-73%20Chrome%20Prospects%20Refractors%20Mariners%20%23%2F499&amp;_sacat=0&amp;_sop=15&amp;rt=nc&amp;LH_BIN=1", "Active")</f>
        <v/>
      </c>
      <c r="J295" s="11">
        <f>HYPERLINK("https://www.ebay.com/sch/261328/i.html?_from=R40&amp;_nkw=2023%20Bowman%20AXEL%20SANCHEZ%20%23BCP-73%20Chrome%20Prospects%20Refractors%20Mariners%20%23%2F499&amp;_sacat=0&amp;LH_Sold=1&amp;LH_Complete=1&amp;_sop=13", "Completed")</f>
        <v/>
      </c>
      <c r="K295" s="11" t="inlineStr">
        <is>
          <t>Axel Sanchez 2023 Bowman Chrome Prospects Refractors #BCP-73 #/499 Mariners</t>
        </is>
      </c>
    </row>
    <row r="296">
      <c r="A296" s="5" t="inlineStr">
        <is>
          <t>BD-000083-skhxw</t>
        </is>
      </c>
      <c r="B296" s="5" t="inlineStr">
        <is>
          <t>2025 Bowman Draft LIAM DOYLE #BDC-12 Chrome Ref St. Louis Cardinals Football</t>
        </is>
      </c>
      <c r="C296" s="6" t="n">
        <v>7.19</v>
      </c>
      <c r="D296" s="6" t="n">
        <v>7.89</v>
      </c>
      <c r="E296" s="6" t="n">
        <v>0.7</v>
      </c>
      <c r="F296" s="7" t="n">
        <v>9.699999999999999</v>
      </c>
      <c r="G296" s="5" t="inlineStr">
        <is>
          <t>⬆ Price Up</t>
        </is>
      </c>
      <c r="H296" s="5" t="inlineStr">
        <is>
          <t>100%</t>
        </is>
      </c>
      <c r="I296" s="5">
        <f>HYPERLINK("https://www.ebay.com/sch/261328/i.html?_dcat=261328&amp;_fsrp=1&amp;rt=nc&amp;_from=R40&amp;_nkw=2025%20Bowman%20Draft%20LIAM%20DOYLE%20%23BDC-12%20Chrome%20Ref%20St.%20Louis%20Cardinals%20Football&amp;_sacat=0&amp;_sop=15&amp;rt=nc&amp;LH_BIN=1", "Active")</f>
        <v/>
      </c>
      <c r="J296" s="5">
        <f>HYPERLINK("https://www.ebay.com/sch/261328/i.html?_from=R40&amp;_nkw=2025%20Bowman%20Draft%20LIAM%20DOYLE%20%23BDC-12%20Chrome%20Ref%20St.%20Louis%20Cardinals%20Football&amp;_sacat=0&amp;LH_Sold=1&amp;LH_Complete=1&amp;_sop=13", "Completed")</f>
        <v/>
      </c>
      <c r="K296" s="5" t="inlineStr">
        <is>
          <t>2025 Bowman Draft LIAM DOYLE #BDC-12 Chrome Ref St. Louis Cardinals Football</t>
        </is>
      </c>
    </row>
    <row r="297">
      <c r="A297" s="8" t="inlineStr">
        <is>
          <t>BD-000090-skhym</t>
        </is>
      </c>
      <c r="B297" s="8" t="inlineStr">
        <is>
          <t>2025 Bowman Draft JOSIAH HARTSHORN #BDC-21 Chrome Chicago Cubs</t>
        </is>
      </c>
      <c r="C297" s="9" t="n">
        <v>2.49</v>
      </c>
      <c r="D297" s="9" t="n">
        <v>2.49</v>
      </c>
      <c r="E297" s="9" t="n">
        <v>0</v>
      </c>
      <c r="F297" s="10" t="n">
        <v>0</v>
      </c>
      <c r="G297" s="8" t="inlineStr">
        <is>
          <t>— No Change</t>
        </is>
      </c>
      <c r="H297" s="8" t="inlineStr">
        <is>
          <t>86%</t>
        </is>
      </c>
      <c r="I297" s="8">
        <f>HYPERLINK("https://www.ebay.com/sch/261328/i.html?_dcat=261328&amp;_fsrp=1&amp;rt=nc&amp;_from=R40&amp;_nkw=2025%20Bowman%20Draft%20JOSIAH%20HARTSHORN%20%23BDC-21%20Chrome%20Chicago%20Cubs&amp;_sacat=0&amp;_sop=15&amp;rt=nc&amp;LH_BIN=1", "Active")</f>
        <v/>
      </c>
      <c r="J297" s="8">
        <f>HYPERLINK("https://www.ebay.com/sch/261328/i.html?_from=R40&amp;_nkw=2025%20Bowman%20Draft%20JOSIAH%20HARTSHORN%20%23BDC-21%20Chrome%20Chicago%20Cubs&amp;_sacat=0&amp;LH_Sold=1&amp;LH_Complete=1&amp;_sop=13", "Completed")</f>
        <v/>
      </c>
      <c r="K297" s="8" t="inlineStr">
        <is>
          <t>2025 Bowman Draft #BDC-21 Josiah Hartshorn Chrome</t>
        </is>
      </c>
    </row>
    <row r="298">
      <c r="A298" s="8" t="inlineStr">
        <is>
          <t>BD-000092-skhyr</t>
        </is>
      </c>
      <c r="B298" s="8" t="inlineStr">
        <is>
          <t>2025 Bowman Draft PICO KOHN #BDC-52 Chrome New York Yankees</t>
        </is>
      </c>
      <c r="C298" s="9" t="n">
        <v>2.49</v>
      </c>
      <c r="D298" s="9" t="n">
        <v>2.49</v>
      </c>
      <c r="E298" s="9" t="n">
        <v>0</v>
      </c>
      <c r="F298" s="10" t="n">
        <v>0</v>
      </c>
      <c r="G298" s="8" t="inlineStr">
        <is>
          <t>— No Change</t>
        </is>
      </c>
      <c r="H298" s="8" t="inlineStr">
        <is>
          <t>63%</t>
        </is>
      </c>
      <c r="I298" s="8">
        <f>HYPERLINK("https://www.ebay.com/sch/261328/i.html?_dcat=261328&amp;_fsrp=1&amp;rt=nc&amp;_from=R40&amp;_nkw=2025%20Bowman%20Draft%20PICO%20KOHN%20%23BDC-52%20Chrome%20New%20York%20Yankees&amp;_sacat=0&amp;_sop=15&amp;rt=nc&amp;LH_BIN=1", "Active")</f>
        <v/>
      </c>
      <c r="J298" s="8">
        <f>HYPERLINK("https://www.ebay.com/sch/261328/i.html?_from=R40&amp;_nkw=2025%20Bowman%20Draft%20PICO%20KOHN%20%23BDC-52%20Chrome%20New%20York%20Yankees&amp;_sacat=0&amp;LH_Sold=1&amp;LH_Complete=1&amp;_sop=13", "Completed")</f>
        <v/>
      </c>
      <c r="K298" s="8" t="inlineStr">
        <is>
          <t>2025 Bowman Draft CHROME Propsects BCP-1 to BCP-200 You Pick - 2 Card Minimum</t>
        </is>
      </c>
    </row>
    <row r="299">
      <c r="A299" s="2" t="inlineStr">
        <is>
          <t>BD-000094-skhyw</t>
        </is>
      </c>
      <c r="B299" s="2" t="inlineStr">
        <is>
          <t>2025 Bowman Draft BILLY CARLSON #BDC-10 Chrome Chicago White Sox</t>
        </is>
      </c>
      <c r="C299" s="3" t="n">
        <v>2.99</v>
      </c>
      <c r="D299" s="3" t="n">
        <v>2.49</v>
      </c>
      <c r="E299" s="3" t="n">
        <v>-0.5</v>
      </c>
      <c r="F299" s="4" t="n">
        <v>-16.7</v>
      </c>
      <c r="G299" s="2" t="inlineStr">
        <is>
          <t>🔵 Floored $2.49 — free ship or $0.99 ship?</t>
        </is>
      </c>
      <c r="H299" s="2" t="inlineStr">
        <is>
          <t>84%</t>
        </is>
      </c>
      <c r="I299" s="2">
        <f>HYPERLINK("https://www.ebay.com/sch/261328/i.html?_dcat=261328&amp;_fsrp=1&amp;rt=nc&amp;_from=R40&amp;_nkw=2025%20Bowman%20Draft%20BILLY%20CARLSON%20%23BDC-10%20Chrome%20Chicago%20White%20Sox&amp;_sacat=0&amp;_sop=15&amp;rt=nc&amp;LH_BIN=1", "Active")</f>
        <v/>
      </c>
      <c r="J299" s="2">
        <f>HYPERLINK("https://www.ebay.com/sch/261328/i.html?_from=R40&amp;_nkw=2025%20Bowman%20Draft%20BILLY%20CARLSON%20%23BDC-10%20Chrome%20Chicago%20White%20Sox&amp;_sacat=0&amp;LH_Sold=1&amp;LH_Complete=1&amp;_sop=13", "Completed")</f>
        <v/>
      </c>
      <c r="K299" s="2" t="inlineStr">
        <is>
          <t>2025 Bowman Draft #BDC-10 Billy Carlson Chrome</t>
        </is>
      </c>
    </row>
    <row r="300">
      <c r="A300" s="11" t="inlineStr">
        <is>
          <t>BD-000056-shdvt</t>
        </is>
      </c>
      <c r="B300" s="11" t="inlineStr">
        <is>
          <t>2025 Bowman Draft MICHAEL SALINA #BDC-76 Chrome Sparkle Refractor Padres</t>
        </is>
      </c>
      <c r="C300" s="12" t="n">
        <v>3.49</v>
      </c>
      <c r="D300" s="12" t="n">
        <v>2.79</v>
      </c>
      <c r="E300" s="12" t="n">
        <v>-0.7</v>
      </c>
      <c r="F300" s="13" t="n">
        <v>-20.1</v>
      </c>
      <c r="G300" s="11" t="inlineStr">
        <is>
          <t>⬇ Price Down</t>
        </is>
      </c>
      <c r="H300" s="11" t="inlineStr">
        <is>
          <t>88%</t>
        </is>
      </c>
      <c r="I300" s="11">
        <f>HYPERLINK("https://www.ebay.com/sch/261328/i.html?_dcat=261328&amp;_fsrp=1&amp;rt=nc&amp;_from=R40&amp;_nkw=2025%20Bowman%20Draft%20MICHAEL%20SALINA%20%23BDC-76%20Chrome%20Sparkle%20Refractor%20Padres&amp;_sacat=0&amp;_sop=15&amp;rt=nc&amp;LH_BIN=1", "Active")</f>
        <v/>
      </c>
      <c r="J300" s="11">
        <f>HYPERLINK("https://www.ebay.com/sch/261328/i.html?_from=R40&amp;_nkw=2025%20Bowman%20Draft%20MICHAEL%20SALINA%20%23BDC-76%20Chrome%20Sparkle%20Refractor%20Padres&amp;_sacat=0&amp;LH_Sold=1&amp;LH_Complete=1&amp;_sop=13", "Completed")</f>
        <v/>
      </c>
      <c r="K300" s="11" t="inlineStr">
        <is>
          <t>2025 Bowman Draft Chrome Sparkle Refractor Michael Salina RC 1st #BDC-76 Padres</t>
        </is>
      </c>
    </row>
    <row r="301">
      <c r="A301" s="2" t="inlineStr">
        <is>
          <t>Welcome_to_your_first_stack!-00004-61597</t>
        </is>
      </c>
      <c r="B301" s="2" t="inlineStr">
        <is>
          <t>2026 Topps BOBBY WITT JR. #ATT-5 2025 All-Topps Team Royals</t>
        </is>
      </c>
      <c r="C301" s="3" t="n">
        <v>2.99</v>
      </c>
      <c r="D301" s="3" t="n">
        <v>2.49</v>
      </c>
      <c r="E301" s="3" t="n">
        <v>-0.5</v>
      </c>
      <c r="F301" s="4" t="n">
        <v>-16.7</v>
      </c>
      <c r="G301" s="2" t="inlineStr">
        <is>
          <t>🔵 Floored $2.49 — free ship or $0.99 ship?</t>
        </is>
      </c>
      <c r="H301" s="2" t="inlineStr">
        <is>
          <t>86%</t>
        </is>
      </c>
      <c r="I301" s="2">
        <f>HYPERLINK("https://www.ebay.com/sch/261328/i.html?_dcat=261328&amp;_fsrp=1&amp;rt=nc&amp;_from=R40&amp;_nkw=2026%20Topps%20BOBBY%20WITT%20JR.%20%23ATT-5%202025%20All-Topps%20Team%20Royals&amp;_sacat=0&amp;_sop=15&amp;rt=nc&amp;LH_BIN=1", "Active")</f>
        <v/>
      </c>
      <c r="J301" s="2">
        <f>HYPERLINK("https://www.ebay.com/sch/261328/i.html?_from=R40&amp;_nkw=2026%20Topps%20BOBBY%20WITT%20JR.%20%23ATT-5%202025%20All-Topps%20Team%20Royals&amp;_sacat=0&amp;LH_Sold=1&amp;LH_Complete=1&amp;_sop=13", "Completed")</f>
        <v/>
      </c>
      <c r="K301" s="2" t="inlineStr">
        <is>
          <t>2026 Topps #ATT-5 Bobby Witt Jr. 2025 All Topps Team Kansas City Royals</t>
        </is>
      </c>
    </row>
    <row r="302">
      <c r="A302" s="5" t="inlineStr">
        <is>
          <t>Welcome_to_your_first_stack!-00003-35539</t>
        </is>
      </c>
      <c r="B302" s="5" t="inlineStr">
        <is>
          <t>2025 Bowman Draft JAKE COOK #BDC-97 Chrome Yellow Refractor /75 1st Prospect</t>
        </is>
      </c>
      <c r="C302" s="6" t="n">
        <v>31.09</v>
      </c>
      <c r="D302" s="6" t="n">
        <v>39.09</v>
      </c>
      <c r="E302" s="6" t="n">
        <v>8</v>
      </c>
      <c r="F302" s="7" t="n">
        <v>25.7</v>
      </c>
      <c r="G302" s="5" t="inlineStr">
        <is>
          <t>⬆ Price Up</t>
        </is>
      </c>
      <c r="H302" s="5" t="inlineStr">
        <is>
          <t>100%</t>
        </is>
      </c>
      <c r="I302" s="5">
        <f>HYPERLINK("https://www.ebay.com/sch/261328/i.html?_dcat=261328&amp;_fsrp=1&amp;rt=nc&amp;_from=R40&amp;_nkw=2025%20Bowman%20Draft%20JAKE%20COOK%20%23BDC-97%20Chrome%20Yellow%20Refractor%20%2F75%201st%20Prospect&amp;_sacat=0&amp;_sop=15&amp;rt=nc&amp;LH_BIN=1", "Active")</f>
        <v/>
      </c>
      <c r="J302" s="5">
        <f>HYPERLINK("https://www.ebay.com/sch/261328/i.html?_from=R40&amp;_nkw=2025%20Bowman%20Draft%20JAKE%20COOK%20%23BDC-97%20Chrome%20Yellow%20Refractor%20%2F75%201st%20Prospect&amp;_sacat=0&amp;LH_Sold=1&amp;LH_Complete=1&amp;_sop=13", "Completed")</f>
        <v/>
      </c>
      <c r="K302" s="5" t="inlineStr">
        <is>
          <t>2025 Bowman Draft JAKE COOK #BDC-97 Chrome Yellow Refractor /75 1st Prospect</t>
        </is>
      </c>
    </row>
    <row r="303">
      <c r="A303" s="5" t="inlineStr">
        <is>
          <t>Welcome_to_your_first_stack!-00006-99182</t>
        </is>
      </c>
      <c r="B303" s="5" t="inlineStr">
        <is>
          <t>2026 Topps SAMUEL BASALLO #TOG-10 Titans Of The Game RC Orioles Rookie Football</t>
        </is>
      </c>
      <c r="C303" s="6" t="n">
        <v>2.49</v>
      </c>
      <c r="D303" s="6" t="n">
        <v>3.39</v>
      </c>
      <c r="E303" s="6" t="n">
        <v>0.9</v>
      </c>
      <c r="F303" s="7" t="n">
        <v>36.1</v>
      </c>
      <c r="G303" s="5" t="inlineStr">
        <is>
          <t>⬆ Price Up</t>
        </is>
      </c>
      <c r="H303" s="5" t="inlineStr">
        <is>
          <t>100%</t>
        </is>
      </c>
      <c r="I303" s="5">
        <f>HYPERLINK("https://www.ebay.com/sch/261328/i.html?_dcat=261328&amp;_fsrp=1&amp;rt=nc&amp;_from=R40&amp;_nkw=2026%20Topps%20SAMUEL%20BASALLO%20%23TOG-10%20Titans%20Of%20The%20Game%20RC%20Orioles%20Rookie%20Football&amp;_sacat=0&amp;_sop=15&amp;rt=nc&amp;LH_BIN=1", "Active")</f>
        <v/>
      </c>
      <c r="J303" s="5">
        <f>HYPERLINK("https://www.ebay.com/sch/261328/i.html?_from=R40&amp;_nkw=2026%20Topps%20SAMUEL%20BASALLO%20%23TOG-10%20Titans%20Of%20The%20Game%20RC%20Orioles%20Rookie%20Football&amp;_sacat=0&amp;LH_Sold=1&amp;LH_Complete=1&amp;_sop=13", "Completed")</f>
        <v/>
      </c>
      <c r="K303" s="5" t="inlineStr">
        <is>
          <t>2026 Topps SAMUEL BASALLO #TOG-10 Titans Of The Game RC Orioles Rookie Football</t>
        </is>
      </c>
    </row>
    <row r="304">
      <c r="A304" s="5" t="inlineStr">
        <is>
          <t>Welcome_to_your_first_stack!-00007-16466</t>
        </is>
      </c>
      <c r="B304" s="5" t="inlineStr">
        <is>
          <t>2025 Bowman Draft KYLE LODISE #BDC-144 Chrome Purple Refractor /250 1st Prospect</t>
        </is>
      </c>
      <c r="C304" s="6" t="n">
        <v>4.99</v>
      </c>
      <c r="D304" s="6" t="n">
        <v>5.79</v>
      </c>
      <c r="E304" s="6" t="n">
        <v>0.8</v>
      </c>
      <c r="F304" s="7" t="n">
        <v>16</v>
      </c>
      <c r="G304" s="5" t="inlineStr">
        <is>
          <t>⬆ Price Up</t>
        </is>
      </c>
      <c r="H304" s="5" t="inlineStr">
        <is>
          <t>100%</t>
        </is>
      </c>
      <c r="I304" s="5">
        <f>HYPERLINK("https://www.ebay.com/sch/261328/i.html?_dcat=261328&amp;_fsrp=1&amp;rt=nc&amp;_from=R40&amp;_nkw=2025%20Bowman%20Draft%20KYLE%20LODISE%20%23BDC-144%20Chrome%20Purple%20Refractor%20%2F250%201st%20Prospect&amp;_sacat=0&amp;_sop=15&amp;rt=nc&amp;LH_BIN=1", "Active")</f>
        <v/>
      </c>
      <c r="J304" s="5">
        <f>HYPERLINK("https://www.ebay.com/sch/261328/i.html?_from=R40&amp;_nkw=2025%20Bowman%20Draft%20KYLE%20LODISE%20%23BDC-144%20Chrome%20Purple%20Refractor%20%2F250%201st%20Prospect&amp;_sacat=0&amp;LH_Sold=1&amp;LH_Complete=1&amp;_sop=13", "Completed")</f>
        <v/>
      </c>
      <c r="K304" s="5" t="inlineStr">
        <is>
          <t>2025 Bowman Draft KYLE LODISE #BDC-144 Chrome Purple Refractor /250 1st Prospect</t>
        </is>
      </c>
    </row>
    <row r="305">
      <c r="A305" s="11" t="inlineStr">
        <is>
          <t>BD-000112-smyda</t>
        </is>
      </c>
      <c r="B305" s="11" t="inlineStr">
        <is>
          <t>2026 Topps HUNTER BROWN #264 Yellow Holo Foil Houston Astros #/399</t>
        </is>
      </c>
      <c r="C305" s="12" t="n">
        <v>3.99</v>
      </c>
      <c r="D305" s="12" t="n">
        <v>3.39</v>
      </c>
      <c r="E305" s="12" t="n">
        <v>-0.6</v>
      </c>
      <c r="F305" s="13" t="n">
        <v>-15</v>
      </c>
      <c r="G305" s="11" t="inlineStr">
        <is>
          <t>⬇ Price Down</t>
        </is>
      </c>
      <c r="H305" s="11" t="inlineStr">
        <is>
          <t>76%</t>
        </is>
      </c>
      <c r="I305" s="11">
        <f>HYPERLINK("https://www.ebay.com/sch/261328/i.html?_dcat=261328&amp;_fsrp=1&amp;rt=nc&amp;_from=R40&amp;_nkw=2026%20Topps%20HUNTER%20BROWN%20%23264%20Yellow%20Holo%20Foil%20Houston%20Astros%20%23%2F399&amp;_sacat=0&amp;_sop=15&amp;rt=nc&amp;LH_BIN=1", "Active")</f>
        <v/>
      </c>
      <c r="J305" s="11">
        <f>HYPERLINK("https://www.ebay.com/sch/261328/i.html?_from=R40&amp;_nkw=2026%20Topps%20HUNTER%20BROWN%20%23264%20Yellow%20Holo%20Foil%20Houston%20Astros%20%23%2F399&amp;_sacat=0&amp;LH_Sold=1&amp;LH_Complete=1&amp;_sop=13", "Completed")</f>
        <v/>
      </c>
      <c r="K305" s="11" t="inlineStr">
        <is>
          <t>#264 Hunter Brown 2026 Topps - Yellow Holo Foil #/399</t>
        </is>
      </c>
    </row>
    <row r="306">
      <c r="A306" s="2" t="inlineStr">
        <is>
          <t>BD-000113-smydb</t>
        </is>
      </c>
      <c r="B306" s="2" t="inlineStr">
        <is>
          <t>2026 Topps CAL RALEIGH #ATT-1 2025 All Topps Team Seattle Mariners</t>
        </is>
      </c>
      <c r="C306" s="3" t="n">
        <v>5.49</v>
      </c>
      <c r="D306" s="3" t="n">
        <v>2.49</v>
      </c>
      <c r="E306" s="3" t="n">
        <v>-3</v>
      </c>
      <c r="F306" s="4" t="n">
        <v>-54.6</v>
      </c>
      <c r="G306" s="2" t="inlineStr">
        <is>
          <t>🔵 Floored $2.49 — free ship or $0.99 ship?</t>
        </is>
      </c>
      <c r="H306" s="2" t="inlineStr">
        <is>
          <t>85%</t>
        </is>
      </c>
      <c r="I306" s="2">
        <f>HYPERLINK("https://www.ebay.com/sch/261328/i.html?_dcat=261328&amp;_fsrp=1&amp;rt=nc&amp;_from=R40&amp;_nkw=2026%20Topps%20CAL%20RALEIGH%20%23ATT-1%202025%20All%20Topps%20Team%20Seattle%20Mariners&amp;_sacat=0&amp;_sop=15&amp;rt=nc&amp;LH_BIN=1", "Active")</f>
        <v/>
      </c>
      <c r="J306" s="2">
        <f>HYPERLINK("https://www.ebay.com/sch/261328/i.html?_from=R40&amp;_nkw=2026%20Topps%20CAL%20RALEIGH%20%23ATT-1%202025%20All%20Topps%20Team%20Seattle%20Mariners&amp;_sacat=0&amp;LH_Sold=1&amp;LH_Complete=1&amp;_sop=13", "Completed")</f>
        <v/>
      </c>
      <c r="K306" s="2" t="inlineStr">
        <is>
          <t>2026 Topps #ATT-1 Cal Raleigh 2025 All Topps Team</t>
        </is>
      </c>
    </row>
    <row r="307">
      <c r="A307" s="5" t="inlineStr">
        <is>
          <t>BD-000114-smydd</t>
        </is>
      </c>
      <c r="B307" s="5" t="inlineStr">
        <is>
          <t>2025 Bowman TRAVIS SYKORA #BDC-137 Chrome Fuchsia Reptilian Ref Nationals /199</t>
        </is>
      </c>
      <c r="C307" s="6" t="n">
        <v>7.49</v>
      </c>
      <c r="D307" s="6" t="n">
        <v>8.19</v>
      </c>
      <c r="E307" s="6" t="n">
        <v>0.7</v>
      </c>
      <c r="F307" s="7" t="n">
        <v>9.300000000000001</v>
      </c>
      <c r="G307" s="5" t="inlineStr">
        <is>
          <t>⬆ Price Up</t>
        </is>
      </c>
      <c r="H307" s="5" t="inlineStr">
        <is>
          <t>100%</t>
        </is>
      </c>
      <c r="I307" s="5">
        <f>HYPERLINK("https://www.ebay.com/sch/261328/i.html?_dcat=261328&amp;_fsrp=1&amp;rt=nc&amp;_from=R40&amp;_nkw=2025%20Bowman%20TRAVIS%20SYKORA%20%23BDC-137%20Chrome%20Fuchsia%20Reptilian%20Ref%20Nationals%20%2F199&amp;_sacat=0&amp;_sop=15&amp;rt=nc&amp;LH_BIN=1", "Active")</f>
        <v/>
      </c>
      <c r="J307" s="5">
        <f>HYPERLINK("https://www.ebay.com/sch/261328/i.html?_from=R40&amp;_nkw=2025%20Bowman%20TRAVIS%20SYKORA%20%23BDC-137%20Chrome%20Fuchsia%20Reptilian%20Ref%20Nationals%20%2F199&amp;_sacat=0&amp;LH_Sold=1&amp;LH_Complete=1&amp;_sop=13", "Completed")</f>
        <v/>
      </c>
      <c r="K307" s="5" t="inlineStr">
        <is>
          <t>2025 Bowman TRAVIS SYKORA #BDC-137 Chrome Fuchsia Reptilian Ref Nationals /199</t>
        </is>
      </c>
    </row>
    <row r="308">
      <c r="A308" s="5" t="inlineStr">
        <is>
          <t>BD-000118-smydj</t>
        </is>
      </c>
      <c r="B308" s="5" t="inlineStr">
        <is>
          <t>2026 Topps RAMÓN URÍAS #343 Gold Houston Astros #/2026</t>
        </is>
      </c>
      <c r="C308" s="6" t="n">
        <v>1.5</v>
      </c>
      <c r="D308" s="6" t="n">
        <v>2.49</v>
      </c>
      <c r="E308" s="6" t="n">
        <v>0.99</v>
      </c>
      <c r="F308" s="7" t="n">
        <v>66</v>
      </c>
      <c r="G308" s="5" t="inlineStr">
        <is>
          <t>⬆ Price Up</t>
        </is>
      </c>
      <c r="H308" s="5" t="inlineStr">
        <is>
          <t>83%</t>
        </is>
      </c>
      <c r="I308" s="5">
        <f>HYPERLINK("https://www.ebay.com/sch/261328/i.html?_dcat=261328&amp;_fsrp=1&amp;rt=nc&amp;_from=R40&amp;_nkw=2026%20Topps%20RAM%C3%93N%20UR%C3%8DAS%20%23343%20Gold%20Houston%20Astros%20%23%2F2026&amp;_sacat=0&amp;_sop=15&amp;rt=nc&amp;LH_BIN=1", "Active")</f>
        <v/>
      </c>
      <c r="J308" s="5">
        <f>HYPERLINK("https://www.ebay.com/sch/261328/i.html?_from=R40&amp;_nkw=2026%20Topps%20RAM%C3%93N%20UR%C3%8DAS%20%23343%20Gold%20Houston%20Astros%20%23%2F2026&amp;_sacat=0&amp;LH_Sold=1&amp;LH_Complete=1&amp;_sop=13", "Completed")</f>
        <v/>
      </c>
      <c r="K308" s="5" t="inlineStr">
        <is>
          <t>Ramón Urías 2026 Topps #343 Gold #/2026 Houston Astros</t>
        </is>
      </c>
    </row>
    <row r="309">
      <c r="A309" s="11" t="inlineStr">
        <is>
          <t>RA-106-sn962</t>
        </is>
      </c>
      <c r="B309" s="11" t="inlineStr">
        <is>
          <t>2025-26 Topps Chrome SAPPHIRE DOMANTAS SABONIS #229 Kings Basketball</t>
        </is>
      </c>
      <c r="C309" s="12" t="n">
        <v>4.99</v>
      </c>
      <c r="D309" s="12" t="n">
        <v>2.99</v>
      </c>
      <c r="E309" s="12" t="n">
        <v>-2</v>
      </c>
      <c r="F309" s="13" t="n">
        <v>-40.1</v>
      </c>
      <c r="G309" s="11" t="inlineStr">
        <is>
          <t>⬇ Price Down</t>
        </is>
      </c>
      <c r="H309" s="11" t="inlineStr">
        <is>
          <t>87%</t>
        </is>
      </c>
      <c r="I309" s="11">
        <f>HYPERLINK("https://www.ebay.com/sch/261328/i.html?_dcat=261328&amp;_fsrp=1&amp;rt=nc&amp;_from=R40&amp;_nkw=2025-26%20Topps%20Chrome%20SAPPHIRE%20DOMANTAS%20SABONIS%20%23229%20Kings%20Basketball&amp;_sacat=0&amp;_sop=15&amp;rt=nc&amp;LH_BIN=1", "Active")</f>
        <v/>
      </c>
      <c r="J309" s="11">
        <f>HYPERLINK("https://www.ebay.com/sch/261328/i.html?_from=R40&amp;_nkw=2025-26%20Topps%20Chrome%20SAPPHIRE%20DOMANTAS%20SABONIS%20%23229%20Kings%20Basketball&amp;_sacat=0&amp;LH_Sold=1&amp;LH_Complete=1&amp;_sop=13", "Completed")</f>
        <v/>
      </c>
      <c r="K309" s="11" t="inlineStr">
        <is>
          <t>2025-26 Topps Chrome Sapphire Domantas Sabonis #229 Kings</t>
        </is>
      </c>
    </row>
    <row r="310">
      <c r="A310" s="5" t="inlineStr">
        <is>
          <t>RA-102-sn95x</t>
        </is>
      </c>
      <c r="B310" s="5" t="inlineStr">
        <is>
          <t>2025-26 Topps Chrome DRAKE POWELL #272 Brooklyn Nets Basketball</t>
        </is>
      </c>
      <c r="C310" s="6" t="n">
        <v>1.99</v>
      </c>
      <c r="D310" s="6" t="n">
        <v>2.49</v>
      </c>
      <c r="E310" s="6" t="n">
        <v>0.5</v>
      </c>
      <c r="F310" s="7" t="n">
        <v>25.1</v>
      </c>
      <c r="G310" s="5" t="inlineStr">
        <is>
          <t>⬆ Price Up</t>
        </is>
      </c>
      <c r="H310" s="5" t="inlineStr">
        <is>
          <t>86%</t>
        </is>
      </c>
      <c r="I310" s="5">
        <f>HYPERLINK("https://www.ebay.com/sch/261328/i.html?_dcat=261328&amp;_fsrp=1&amp;rt=nc&amp;_from=R40&amp;_nkw=2025-26%20Topps%20Chrome%20DRAKE%20POWELL%20%23272%20Brooklyn%20Nets%20Basketball&amp;_sacat=0&amp;_sop=15&amp;rt=nc&amp;LH_BIN=1", "Active")</f>
        <v/>
      </c>
      <c r="J310" s="5">
        <f>HYPERLINK("https://www.ebay.com/sch/261328/i.html?_from=R40&amp;_nkw=2025-26%20Topps%20Chrome%20DRAKE%20POWELL%20%23272%20Brooklyn%20Nets%20Basketball&amp;_sacat=0&amp;LH_Sold=1&amp;LH_Complete=1&amp;_sop=13", "Completed")</f>
        <v/>
      </c>
      <c r="K310" s="5" t="inlineStr">
        <is>
          <t>2025-26 Topps Chrome Drake Powell Rookie #272 Brooklyn Nets</t>
        </is>
      </c>
    </row>
    <row r="311">
      <c r="A311" s="5" t="inlineStr">
        <is>
          <t>RA-100-sn95v</t>
        </is>
      </c>
      <c r="B311" s="5" t="inlineStr">
        <is>
          <t>2025-26 Topps Chrome DARIQ WHITEHEAD #91 Pulsar Ref Brooklyn Nets Basketball</t>
        </is>
      </c>
      <c r="C311" s="6" t="n">
        <v>2.49</v>
      </c>
      <c r="D311" s="6" t="n">
        <v>3.39</v>
      </c>
      <c r="E311" s="6" t="n">
        <v>0.9</v>
      </c>
      <c r="F311" s="7" t="n">
        <v>36.1</v>
      </c>
      <c r="G311" s="5" t="inlineStr">
        <is>
          <t>⬆ Price Up</t>
        </is>
      </c>
      <c r="H311" s="5" t="inlineStr">
        <is>
          <t>100%</t>
        </is>
      </c>
      <c r="I311" s="5">
        <f>HYPERLINK("https://www.ebay.com/sch/261328/i.html?_dcat=261328&amp;_fsrp=1&amp;rt=nc&amp;_from=R40&amp;_nkw=2025-26%20Topps%20Chrome%20DARIQ%20WHITEHEAD%20%2391%20Pulsar%20Ref%20Brooklyn%20Nets%20Basketball&amp;_sacat=0&amp;_sop=15&amp;rt=nc&amp;LH_BIN=1", "Active")</f>
        <v/>
      </c>
      <c r="J311" s="5">
        <f>HYPERLINK("https://www.ebay.com/sch/261328/i.html?_from=R40&amp;_nkw=2025-26%20Topps%20Chrome%20DARIQ%20WHITEHEAD%20%2391%20Pulsar%20Ref%20Brooklyn%20Nets%20Basketball&amp;_sacat=0&amp;LH_Sold=1&amp;LH_Complete=1&amp;_sop=13", "Completed")</f>
        <v/>
      </c>
      <c r="K311" s="5" t="inlineStr">
        <is>
          <t>2025-26 Topps Chrome DARIQ WHITEHEAD #91 Pulsar Ref Brooklyn Nets Basketball</t>
        </is>
      </c>
    </row>
    <row r="312">
      <c r="A312" s="5" t="inlineStr">
        <is>
          <t>RA-101-sn95w</t>
        </is>
      </c>
      <c r="B312" s="5" t="inlineStr">
        <is>
          <t>2025-26 Topps Chrome DARIO ŠARIĆ #77 Refractor Denver Nuggets Basketball</t>
        </is>
      </c>
      <c r="C312" s="6" t="n">
        <v>0.99</v>
      </c>
      <c r="D312" s="6" t="n">
        <v>2.49</v>
      </c>
      <c r="E312" s="6" t="n">
        <v>1.5</v>
      </c>
      <c r="F312" s="7" t="n">
        <v>151.5</v>
      </c>
      <c r="G312" s="5" t="inlineStr">
        <is>
          <t>⬆ Price Up</t>
        </is>
      </c>
      <c r="H312" s="5" t="inlineStr">
        <is>
          <t>62%</t>
        </is>
      </c>
      <c r="I312" s="5">
        <f>HYPERLINK("https://www.ebay.com/sch/261328/i.html?_dcat=261328&amp;_fsrp=1&amp;rt=nc&amp;_from=R40&amp;_nkw=2025-26%20Topps%20Chrome%20DARIO%20%C5%A0ARI%C4%86%20%2377%20Refractor%20Denver%20Nuggets%20Basketball&amp;_sacat=0&amp;_sop=15&amp;rt=nc&amp;LH_BIN=1", "Active")</f>
        <v/>
      </c>
      <c r="J312" s="5">
        <f>HYPERLINK("https://www.ebay.com/sch/261328/i.html?_from=R40&amp;_nkw=2025-26%20Topps%20Chrome%20DARIO%20%C5%A0ARI%C4%86%20%2377%20Refractor%20Denver%20Nuggets%20Basketball&amp;_sacat=0&amp;LH_Sold=1&amp;LH_Complete=1&amp;_sop=13", "Completed")</f>
        <v/>
      </c>
      <c r="K312" s="5" t="inlineStr">
        <is>
          <t>2025-26 Topps Chrome Basketball REFRACTORS 1-200 You Pick - 2 Card Minimum</t>
        </is>
      </c>
    </row>
    <row r="313">
      <c r="A313" s="5" t="inlineStr">
        <is>
          <t>RA-99-sn95u</t>
        </is>
      </c>
      <c r="B313" s="5" t="inlineStr">
        <is>
          <t>2025-26 Topps Chrome WALTER CLAYTON JR. #GR-18 Generation Rising Utah Jazz</t>
        </is>
      </c>
      <c r="C313" s="6" t="n">
        <v>1.99</v>
      </c>
      <c r="D313" s="6" t="n">
        <v>2.49</v>
      </c>
      <c r="E313" s="6" t="n">
        <v>0.5</v>
      </c>
      <c r="F313" s="7" t="n">
        <v>25.1</v>
      </c>
      <c r="G313" s="5" t="inlineStr">
        <is>
          <t>⬆ Price Up</t>
        </is>
      </c>
      <c r="H313" s="5" t="inlineStr">
        <is>
          <t>65%</t>
        </is>
      </c>
      <c r="I313" s="5">
        <f>HYPERLINK("https://www.ebay.com/sch/261328/i.html?_dcat=261328&amp;_fsrp=1&amp;rt=nc&amp;_from=R40&amp;_nkw=2025-26%20Topps%20Chrome%20WALTER%20CLAYTON%20JR.%20%23GR-18%20Generation%20Rising%20Utah%20Jazz&amp;_sacat=0&amp;_sop=15&amp;rt=nc&amp;LH_BIN=1", "Active")</f>
        <v/>
      </c>
      <c r="J313" s="5">
        <f>HYPERLINK("https://www.ebay.com/sch/261328/i.html?_from=R40&amp;_nkw=2025-26%20Topps%20Chrome%20WALTER%20CLAYTON%20JR.%20%23GR-18%20Generation%20Rising%20Utah%20Jazz&amp;_sacat=0&amp;LH_Sold=1&amp;LH_Complete=1&amp;_sop=13", "Completed")</f>
        <v/>
      </c>
      <c r="K313" s="5" t="inlineStr">
        <is>
          <t>2025-26 Topps Chrome Basketball INSERT Singles YOU PICK!! 2 Card Min Plz READ!</t>
        </is>
      </c>
    </row>
    <row r="314">
      <c r="A314" s="8" t="inlineStr">
        <is>
          <t>RA-98-sn95t</t>
        </is>
      </c>
      <c r="B314" s="8" t="inlineStr">
        <is>
          <t>2025-26 Topps Chrome WALTER CLAYTON JR. #268 Utah Jazz Basketball</t>
        </is>
      </c>
      <c r="C314" s="9" t="n">
        <v>2.49</v>
      </c>
      <c r="D314" s="9" t="n">
        <v>2.49</v>
      </c>
      <c r="E314" s="9" t="n">
        <v>0</v>
      </c>
      <c r="F314" s="10" t="n">
        <v>0</v>
      </c>
      <c r="G314" s="8" t="inlineStr">
        <is>
          <t>— No Change</t>
        </is>
      </c>
      <c r="H314" s="8" t="inlineStr">
        <is>
          <t>66%</t>
        </is>
      </c>
      <c r="I314" s="8">
        <f>HYPERLINK("https://www.ebay.com/sch/261328/i.html?_dcat=261328&amp;_fsrp=1&amp;rt=nc&amp;_from=R40&amp;_nkw=2025-26%20Topps%20Chrome%20WALTER%20CLAYTON%20JR.%20%23268%20Utah%20Jazz%20Basketball&amp;_sacat=0&amp;_sop=15&amp;rt=nc&amp;LH_BIN=1", "Active")</f>
        <v/>
      </c>
      <c r="J314" s="8">
        <f>HYPERLINK("https://www.ebay.com/sch/261328/i.html?_from=R40&amp;_nkw=2025-26%20Topps%20Chrome%20WALTER%20CLAYTON%20JR.%20%23268%20Utah%20Jazz%20Basketball&amp;_sacat=0&amp;LH_Sold=1&amp;LH_Complete=1&amp;_sop=13", "Completed")</f>
        <v/>
      </c>
      <c r="K314" s="8" t="inlineStr">
        <is>
          <t>2025-26 Topps Chrome Basketball BASE SINGLES You Pick + 2 Card Min Plz READ!!</t>
        </is>
      </c>
    </row>
    <row r="315">
      <c r="A315" s="8" t="inlineStr">
        <is>
          <t>RA-97-sn95s</t>
        </is>
      </c>
      <c r="B315" s="8" t="inlineStr">
        <is>
          <t>2025-26 Topps Chrome WALTER CLAYTON JR. #LD-15 Loading ... Utah Jazz Basketball</t>
        </is>
      </c>
      <c r="C315" s="9" t="n">
        <v>2.49</v>
      </c>
      <c r="D315" s="9" t="n">
        <v>2.49</v>
      </c>
      <c r="E315" s="9" t="n">
        <v>0</v>
      </c>
      <c r="F315" s="10" t="n">
        <v>0</v>
      </c>
      <c r="G315" s="8" t="inlineStr">
        <is>
          <t>— No Change</t>
        </is>
      </c>
      <c r="H315" s="8" t="inlineStr">
        <is>
          <t>83%</t>
        </is>
      </c>
      <c r="I315" s="8">
        <f>HYPERLINK("https://www.ebay.com/sch/261328/i.html?_dcat=261328&amp;_fsrp=1&amp;rt=nc&amp;_from=R40&amp;_nkw=2025-26%20Topps%20Chrome%20WALTER%20CLAYTON%20JR.%20%23LD-15%20Loading%20...%20Utah%20Jazz%20Basketball&amp;_sacat=0&amp;_sop=15&amp;rt=nc&amp;LH_BIN=1", "Active")</f>
        <v/>
      </c>
      <c r="J315" s="8">
        <f>HYPERLINK("https://www.ebay.com/sch/261328/i.html?_from=R40&amp;_nkw=2025-26%20Topps%20Chrome%20WALTER%20CLAYTON%20JR.%20%23LD-15%20Loading%20...%20Utah%20Jazz%20Basketball&amp;_sacat=0&amp;LH_Sold=1&amp;LH_Complete=1&amp;_sop=13", "Completed")</f>
        <v/>
      </c>
      <c r="K315" s="8" t="inlineStr">
        <is>
          <t>2025 Topps Chrome Loading - Walter Clayton Jr., #LD-15</t>
        </is>
      </c>
    </row>
    <row r="316">
      <c r="A316" s="2" t="inlineStr">
        <is>
          <t>BD-000143-sn968</t>
        </is>
      </c>
      <c r="B316" s="2" t="inlineStr">
        <is>
          <t>2025-26 Topps Chrome DWYANE WADE #241 Miami Heat Basketball</t>
        </is>
      </c>
      <c r="C316" s="3" t="n">
        <v>3.49</v>
      </c>
      <c r="D316" s="3" t="n">
        <v>2.49</v>
      </c>
      <c r="E316" s="3" t="n">
        <v>-1</v>
      </c>
      <c r="F316" s="4" t="n">
        <v>-28.7</v>
      </c>
      <c r="G316" s="2" t="inlineStr">
        <is>
          <t>🔵 Floored $2.49 — free ship or $0.99 ship?</t>
        </is>
      </c>
      <c r="H316" s="2" t="inlineStr">
        <is>
          <t>64%</t>
        </is>
      </c>
      <c r="I316" s="2">
        <f>HYPERLINK("https://www.ebay.com/sch/261328/i.html?_dcat=261328&amp;_fsrp=1&amp;rt=nc&amp;_from=R40&amp;_nkw=2025-26%20Topps%20Chrome%20DWYANE%20WADE%20%23241%20Miami%20Heat%20Basketball&amp;_sacat=0&amp;_sop=15&amp;rt=nc&amp;LH_BIN=1", "Active")</f>
        <v/>
      </c>
      <c r="J316" s="2">
        <f>HYPERLINK("https://www.ebay.com/sch/261328/i.html?_from=R40&amp;_nkw=2025-26%20Topps%20Chrome%20DWYANE%20WADE%20%23241%20Miami%20Heat%20Basketball&amp;_sacat=0&amp;LH_Sold=1&amp;LH_Complete=1&amp;_sop=13", "Completed")</f>
        <v/>
      </c>
      <c r="K316" s="2" t="inlineStr">
        <is>
          <t>2025-26 Topps Chrome Basketball Base Singles  You Pick Complete Your Set</t>
        </is>
      </c>
    </row>
    <row r="317">
      <c r="A317" s="2" t="inlineStr">
        <is>
          <t>BD-000150-snm10</t>
        </is>
      </c>
      <c r="B317" s="2" t="inlineStr">
        <is>
          <t>2025 Bowman Draft SAMMY STAFURA #BDC-187 Chrome Refractor Pittsburgh Pirates</t>
        </is>
      </c>
      <c r="C317" s="3" t="n">
        <v>2.99</v>
      </c>
      <c r="D317" s="3" t="n">
        <v>2.49</v>
      </c>
      <c r="E317" s="3" t="n">
        <v>-0.5</v>
      </c>
      <c r="F317" s="4" t="n">
        <v>-16.7</v>
      </c>
      <c r="G317" s="2" t="inlineStr">
        <is>
          <t>🔵 Floored $2.49 — free ship or $0.99 ship?</t>
        </is>
      </c>
      <c r="H317" s="2" t="inlineStr">
        <is>
          <t>67%</t>
        </is>
      </c>
      <c r="I317" s="2">
        <f>HYPERLINK("https://www.ebay.com/sch/261328/i.html?_dcat=261328&amp;_fsrp=1&amp;rt=nc&amp;_from=R40&amp;_nkw=2025%20Bowman%20Draft%20SAMMY%20STAFURA%20%23BDC-187%20Chrome%20Refractor%20Pittsburgh%20Pirates&amp;_sacat=0&amp;_sop=15&amp;rt=nc&amp;LH_BIN=1", "Active")</f>
        <v/>
      </c>
      <c r="J317" s="2">
        <f>HYPERLINK("https://www.ebay.com/sch/261328/i.html?_from=R40&amp;_nkw=2025%20Bowman%20Draft%20SAMMY%20STAFURA%20%23BDC-187%20Chrome%20Refractor%20Pittsburgh%20Pirates&amp;_sacat=0&amp;LH_Sold=1&amp;LH_Complete=1&amp;_sop=13", "Completed")</f>
        <v/>
      </c>
      <c r="K317" s="2" t="inlineStr">
        <is>
          <t>2025 Bowman Draft CHROME REFRACTORS BDC-1-200 Complete your Set - YOU PICK</t>
        </is>
      </c>
    </row>
    <row r="318">
      <c r="A318" s="2" t="inlineStr">
        <is>
          <t>BD-000152-snm13</t>
        </is>
      </c>
      <c r="B318" s="2" t="inlineStr">
        <is>
          <t>2025 Bowman Draft LANDON HARMON #BDC-44 Chrome Refractor Washington Nationals</t>
        </is>
      </c>
      <c r="C318" s="3" t="n">
        <v>2.99</v>
      </c>
      <c r="D318" s="3" t="n">
        <v>2.49</v>
      </c>
      <c r="E318" s="3" t="n">
        <v>-0.5</v>
      </c>
      <c r="F318" s="4" t="n">
        <v>-16.7</v>
      </c>
      <c r="G318" s="2" t="inlineStr">
        <is>
          <t>🔵 Floored $2.49 — free ship or $0.99 ship?</t>
        </is>
      </c>
      <c r="H318" s="2" t="inlineStr">
        <is>
          <t>65%</t>
        </is>
      </c>
      <c r="I318" s="2">
        <f>HYPERLINK("https://www.ebay.com/sch/261328/i.html?_dcat=261328&amp;_fsrp=1&amp;rt=nc&amp;_from=R40&amp;_nkw=2025%20Bowman%20Draft%20LANDON%20HARMON%20%23BDC-44%20Chrome%20Refractor%20Washington%20Nationals&amp;_sacat=0&amp;_sop=15&amp;rt=nc&amp;LH_BIN=1", "Active")</f>
        <v/>
      </c>
      <c r="J318" s="2">
        <f>HYPERLINK("https://www.ebay.com/sch/261328/i.html?_from=R40&amp;_nkw=2025%20Bowman%20Draft%20LANDON%20HARMON%20%23BDC-44%20Chrome%20Refractor%20Washington%20Nationals&amp;_sacat=0&amp;LH_Sold=1&amp;LH_Complete=1&amp;_sop=13", "Completed")</f>
        <v/>
      </c>
      <c r="K318" s="2" t="inlineStr">
        <is>
          <t>YOU PICK 2025 Bowman Draft MEGA CHROME Mojo Refractor Chrome Singles 1-200</t>
        </is>
      </c>
    </row>
    <row r="319">
      <c r="A319" s="2" t="inlineStr">
        <is>
          <t>BD-000153-snm15</t>
        </is>
      </c>
      <c r="B319" s="2" t="inlineStr">
        <is>
          <t>2025 Bowman Draft YOHANDY MORALES #BDC-177 Chrome Refractor Washington Nationals</t>
        </is>
      </c>
      <c r="C319" s="3" t="n">
        <v>2.99</v>
      </c>
      <c r="D319" s="3" t="n">
        <v>2.49</v>
      </c>
      <c r="E319" s="3" t="n">
        <v>-0.5</v>
      </c>
      <c r="F319" s="4" t="n">
        <v>-16.7</v>
      </c>
      <c r="G319" s="2" t="inlineStr">
        <is>
          <t>🔵 Floored $2.49 — free ship or $0.99 ship?</t>
        </is>
      </c>
      <c r="H319" s="2" t="inlineStr">
        <is>
          <t>66%</t>
        </is>
      </c>
      <c r="I319" s="2">
        <f>HYPERLINK("https://www.ebay.com/sch/261328/i.html?_dcat=261328&amp;_fsrp=1&amp;rt=nc&amp;_from=R40&amp;_nkw=2025%20Bowman%20Draft%20YOHANDY%20MORALES%20%23BDC-177%20Chrome%20Refractor%20Washington%20Nationals&amp;_sacat=0&amp;_sop=15&amp;rt=nc&amp;LH_BIN=1", "Active")</f>
        <v/>
      </c>
      <c r="J319" s="2">
        <f>HYPERLINK("https://www.ebay.com/sch/261328/i.html?_from=R40&amp;_nkw=2025%20Bowman%20Draft%20YOHANDY%20MORALES%20%23BDC-177%20Chrome%20Refractor%20Washington%20Nationals&amp;_sacat=0&amp;LH_Sold=1&amp;LH_Complete=1&amp;_sop=13", "Completed")</f>
        <v/>
      </c>
      <c r="K319" s="2" t="inlineStr">
        <is>
          <t>2025 Bowman Draft CHROME REFRACTORS BDC-1-200 Complete your Set - YOU PICK</t>
        </is>
      </c>
    </row>
    <row r="320">
      <c r="A320" s="5" t="inlineStr">
        <is>
          <t>BD-000154-snm17</t>
        </is>
      </c>
      <c r="B320" s="5" t="inlineStr">
        <is>
          <t>2025 Bowman Draft TRAVIS SYKORA #BDC-137 Chrome Refractor Washington Nationals</t>
        </is>
      </c>
      <c r="C320" s="6" t="n">
        <v>1.99</v>
      </c>
      <c r="D320" s="6" t="n">
        <v>2.49</v>
      </c>
      <c r="E320" s="6" t="n">
        <v>0.5</v>
      </c>
      <c r="F320" s="7" t="n">
        <v>25.1</v>
      </c>
      <c r="G320" s="5" t="inlineStr">
        <is>
          <t>⬆ Price Up</t>
        </is>
      </c>
      <c r="H320" s="5" t="inlineStr">
        <is>
          <t>85%</t>
        </is>
      </c>
      <c r="I320" s="5">
        <f>HYPERLINK("https://www.ebay.com/sch/261328/i.html?_dcat=261328&amp;_fsrp=1&amp;rt=nc&amp;_from=R40&amp;_nkw=2025%20Bowman%20Draft%20TRAVIS%20SYKORA%20%23BDC-137%20Chrome%20Refractor%20Washington%20Nationals&amp;_sacat=0&amp;_sop=15&amp;rt=nc&amp;LH_BIN=1", "Active")</f>
        <v/>
      </c>
      <c r="J320" s="5">
        <f>HYPERLINK("https://www.ebay.com/sch/261328/i.html?_from=R40&amp;_nkw=2025%20Bowman%20Draft%20TRAVIS%20SYKORA%20%23BDC-137%20Chrome%20Refractor%20Washington%20Nationals&amp;_sacat=0&amp;LH_Sold=1&amp;LH_Complete=1&amp;_sop=13", "Completed")</f>
        <v/>
      </c>
      <c r="K320" s="5" t="inlineStr">
        <is>
          <t>2025 Bowman Draft #BDC-137 Travis Sykora Chrome Refractor</t>
        </is>
      </c>
    </row>
    <row r="321">
      <c r="A321" s="2" t="inlineStr">
        <is>
          <t>BD-000156-snm1b</t>
        </is>
      </c>
      <c r="B321" s="2" t="inlineStr">
        <is>
          <t>2025 Bowman Draft LUKE DICKERSON #BDC-61 Chrome Refractor Washington Nationals</t>
        </is>
      </c>
      <c r="C321" s="3" t="n">
        <v>2.99</v>
      </c>
      <c r="D321" s="3" t="n">
        <v>2.49</v>
      </c>
      <c r="E321" s="3" t="n">
        <v>-0.5</v>
      </c>
      <c r="F321" s="4" t="n">
        <v>-16.7</v>
      </c>
      <c r="G321" s="2" t="inlineStr">
        <is>
          <t>🔵 Floored $2.49 — free ship or $0.99 ship?</t>
        </is>
      </c>
      <c r="H321" s="2" t="inlineStr">
        <is>
          <t>85%</t>
        </is>
      </c>
      <c r="I321" s="2">
        <f>HYPERLINK("https://www.ebay.com/sch/261328/i.html?_dcat=261328&amp;_fsrp=1&amp;rt=nc&amp;_from=R40&amp;_nkw=2025%20Bowman%20Draft%20LUKE%20DICKERSON%20%23BDC-61%20Chrome%20Refractor%20Washington%20Nationals&amp;_sacat=0&amp;_sop=15&amp;rt=nc&amp;LH_BIN=1", "Active")</f>
        <v/>
      </c>
      <c r="J321" s="2">
        <f>HYPERLINK("https://www.ebay.com/sch/261328/i.html?_from=R40&amp;_nkw=2025%20Bowman%20Draft%20LUKE%20DICKERSON%20%23BDC-61%20Chrome%20Refractor%20Washington%20Nationals&amp;_sacat=0&amp;LH_Sold=1&amp;LH_Complete=1&amp;_sop=13", "Completed")</f>
        <v/>
      </c>
      <c r="K321" s="2" t="inlineStr">
        <is>
          <t>2025 Bowman Draft #BDC-61 Luke Dickerson Chrome Laser Refractor</t>
        </is>
      </c>
    </row>
    <row r="322">
      <c r="A322" s="2" t="inlineStr">
        <is>
          <t>BD-000157-snm1d</t>
        </is>
      </c>
      <c r="B322" s="2" t="inlineStr">
        <is>
          <t>2025 Bowman Draft ETHAN PETRY #BDC-151 Chrome Refractor Washington Nationals</t>
        </is>
      </c>
      <c r="C322" s="3" t="n">
        <v>3.49</v>
      </c>
      <c r="D322" s="3" t="n">
        <v>2.49</v>
      </c>
      <c r="E322" s="3" t="n">
        <v>-1</v>
      </c>
      <c r="F322" s="4" t="n">
        <v>-28.7</v>
      </c>
      <c r="G322" s="2" t="inlineStr">
        <is>
          <t>🔵 Floored $2.49 — free ship or $0.99 ship?</t>
        </is>
      </c>
      <c r="H322" s="2" t="inlineStr">
        <is>
          <t>67%</t>
        </is>
      </c>
      <c r="I322" s="2">
        <f>HYPERLINK("https://www.ebay.com/sch/261328/i.html?_dcat=261328&amp;_fsrp=1&amp;rt=nc&amp;_from=R40&amp;_nkw=2025%20Bowman%20Draft%20ETHAN%20PETRY%20%23BDC-151%20Chrome%20Refractor%20Washington%20Nationals&amp;_sacat=0&amp;_sop=15&amp;rt=nc&amp;LH_BIN=1", "Active")</f>
        <v/>
      </c>
      <c r="J322" s="2">
        <f>HYPERLINK("https://www.ebay.com/sch/261328/i.html?_from=R40&amp;_nkw=2025%20Bowman%20Draft%20ETHAN%20PETRY%20%23BDC-151%20Chrome%20Refractor%20Washington%20Nationals&amp;_sacat=0&amp;LH_Sold=1&amp;LH_Complete=1&amp;_sop=13", "Completed")</f>
        <v/>
      </c>
      <c r="K322" s="2" t="inlineStr">
        <is>
          <t>2025 Bowman Draft Chrome Pick Your Card BDC 1st Bowman MLB Prospect RC Refractor</t>
        </is>
      </c>
    </row>
    <row r="323">
      <c r="A323" s="5" t="inlineStr">
        <is>
          <t>BD-000160-snoxi</t>
        </is>
      </c>
      <c r="B323" s="5" t="inlineStr">
        <is>
          <t>2025 Topps Update NICK KURTZ (RC) #MMU-KUR Major League Materials Athletics ROY</t>
        </is>
      </c>
      <c r="C323" s="6" t="n">
        <v>19.39</v>
      </c>
      <c r="D323" s="6" t="n">
        <v>19.79</v>
      </c>
      <c r="E323" s="6" t="n">
        <v>0.4</v>
      </c>
      <c r="F323" s="7" t="n">
        <v>2.1</v>
      </c>
      <c r="G323" s="5" t="inlineStr">
        <is>
          <t>⬆ Price Up</t>
        </is>
      </c>
      <c r="H323" s="5" t="inlineStr">
        <is>
          <t>100%</t>
        </is>
      </c>
      <c r="I323" s="5">
        <f>HYPERLINK("https://www.ebay.com/sch/261328/i.html?_dcat=261328&amp;_fsrp=1&amp;rt=nc&amp;_from=R40&amp;_nkw=2025%20Topps%20Update%20NICK%20KURTZ%20(RC)%20%23MMU-KUR%20Major%20League%20Materials%20Athletics%20ROY&amp;_sacat=0&amp;_sop=15&amp;rt=nc&amp;LH_BIN=1", "Active")</f>
        <v/>
      </c>
      <c r="J323" s="5">
        <f>HYPERLINK("https://www.ebay.com/sch/261328/i.html?_from=R40&amp;_nkw=2025%20Topps%20Update%20NICK%20KURTZ%20(RC)%20%23MMU-KUR%20Major%20League%20Materials%20Athletics%20ROY&amp;_sacat=0&amp;LH_Sold=1&amp;LH_Complete=1&amp;_sop=13", "Completed")</f>
        <v/>
      </c>
      <c r="K323" s="5" t="inlineStr">
        <is>
          <t>2025 Topps Update NICK KURTZ (RC) #MMU-KUR Major League Materials Athletics ROY</t>
        </is>
      </c>
    </row>
    <row r="324">
      <c r="A324" s="5" t="inlineStr">
        <is>
          <t>RA-203</t>
        </is>
      </c>
      <c r="B324" s="5" t="inlineStr">
        <is>
          <t>2025-26 Topps Chrome DRAYMOND Green #234 Warriors Basketball</t>
        </is>
      </c>
      <c r="C324" s="6" t="n">
        <v>1.25</v>
      </c>
      <c r="D324" s="6" t="n">
        <v>2.49</v>
      </c>
      <c r="E324" s="6" t="n">
        <v>1.24</v>
      </c>
      <c r="F324" s="7" t="n">
        <v>99.2</v>
      </c>
      <c r="G324" s="5" t="inlineStr">
        <is>
          <t>⬆ Price Up</t>
        </is>
      </c>
      <c r="H324" s="5" t="inlineStr">
        <is>
          <t>67%</t>
        </is>
      </c>
      <c r="I324" s="5">
        <f>HYPERLINK("https://www.ebay.com/sch/261328/i.html?_dcat=261328&amp;_fsrp=1&amp;rt=nc&amp;_from=R40&amp;_nkw=2025-26%20Topps%20Chrome%20DRAYMOND%20Green%20%23234%20Warriors%20Basketball&amp;_sacat=0&amp;_sop=15&amp;rt=nc&amp;LH_BIN=1", "Active")</f>
        <v/>
      </c>
      <c r="J324" s="5">
        <f>HYPERLINK("https://www.ebay.com/sch/261328/i.html?_from=R40&amp;_nkw=2025-26%20Topps%20Chrome%20DRAYMOND%20Green%20%23234%20Warriors%20Basketball&amp;_sacat=0&amp;LH_Sold=1&amp;LH_Complete=1&amp;_sop=13", "Completed")</f>
        <v/>
      </c>
      <c r="K324" s="5" t="inlineStr">
        <is>
          <t>2025-26 Topps Chrome Complete Your Set You Pick Basketball Card #1-250</t>
        </is>
      </c>
    </row>
    <row r="325">
      <c r="A325" s="5" t="inlineStr">
        <is>
          <t>RA-210</t>
        </is>
      </c>
      <c r="B325" s="5" t="inlineStr">
        <is>
          <t>2025-26 Topps Chrome PELLE LARSSON #189 Aqua Refractor 175/199 Heat Basketball</t>
        </is>
      </c>
      <c r="C325" s="6" t="n">
        <v>5.99</v>
      </c>
      <c r="D325" s="6" t="n">
        <v>6.79</v>
      </c>
      <c r="E325" s="6" t="n">
        <v>0.8</v>
      </c>
      <c r="F325" s="7" t="n">
        <v>13.4</v>
      </c>
      <c r="G325" s="5" t="inlineStr">
        <is>
          <t>⬆ Price Up</t>
        </is>
      </c>
      <c r="H325" s="5" t="inlineStr">
        <is>
          <t>100%</t>
        </is>
      </c>
      <c r="I325" s="5">
        <f>HYPERLINK("https://www.ebay.com/sch/261328/i.html?_dcat=261328&amp;_fsrp=1&amp;rt=nc&amp;_from=R40&amp;_nkw=2025-26%20Topps%20Chrome%20PELLE%20LARSSON%20%23189%20Aqua%20Refractor%20175%2F199%20Heat%20Basketball&amp;_sacat=0&amp;_sop=15&amp;rt=nc&amp;LH_BIN=1", "Active")</f>
        <v/>
      </c>
      <c r="J325" s="5">
        <f>HYPERLINK("https://www.ebay.com/sch/261328/i.html?_from=R40&amp;_nkw=2025-26%20Topps%20Chrome%20PELLE%20LARSSON%20%23189%20Aqua%20Refractor%20175%2F199%20Heat%20Basketball&amp;_sacat=0&amp;LH_Sold=1&amp;LH_Complete=1&amp;_sop=13", "Completed")</f>
        <v/>
      </c>
      <c r="K325" s="5" t="inlineStr">
        <is>
          <t>2025-26 Topps Chrome PELLE LARSSON #189 Aqua Refractor 175/199 Heat Basketball</t>
        </is>
      </c>
    </row>
    <row r="326">
      <c r="A326" s="8" t="inlineStr">
        <is>
          <t>RA-208</t>
        </is>
      </c>
      <c r="B326" s="8" t="inlineStr">
        <is>
          <t>2025-26 Topps Chrome BRONNY JAMES JR. #182 Lakers Basketball</t>
        </is>
      </c>
      <c r="C326" s="9" t="n">
        <v>2.49</v>
      </c>
      <c r="D326" s="9" t="n">
        <v>2.49</v>
      </c>
      <c r="E326" s="9" t="n">
        <v>0</v>
      </c>
      <c r="F326" s="10" t="n">
        <v>0</v>
      </c>
      <c r="G326" s="8" t="inlineStr">
        <is>
          <t>— No Change</t>
        </is>
      </c>
      <c r="H326" s="8" t="inlineStr">
        <is>
          <t>67%</t>
        </is>
      </c>
      <c r="I326" s="8">
        <f>HYPERLINK("https://www.ebay.com/sch/261328/i.html?_dcat=261328&amp;_fsrp=1&amp;rt=nc&amp;_from=R40&amp;_nkw=2025-26%20Topps%20Chrome%20BRONNY%20JAMES%20JR.%20%23182%20Lakers%20Basketball&amp;_sacat=0&amp;_sop=15&amp;rt=nc&amp;LH_BIN=1", "Active")</f>
        <v/>
      </c>
      <c r="J326" s="8">
        <f>HYPERLINK("https://www.ebay.com/sch/261328/i.html?_from=R40&amp;_nkw=2025-26%20Topps%20Chrome%20BRONNY%20JAMES%20JR.%20%23182%20Lakers%20Basketball&amp;_sacat=0&amp;LH_Sold=1&amp;LH_Complete=1&amp;_sop=13", "Completed")</f>
        <v/>
      </c>
      <c r="K326" s="8" t="inlineStr">
        <is>
          <t>2025-26 Topps Chrome Basketball BASE 1-200 You Pick the Card - Complete Your Set</t>
        </is>
      </c>
    </row>
    <row r="327">
      <c r="A327" s="8" t="inlineStr">
        <is>
          <t>RA-207</t>
        </is>
      </c>
      <c r="B327" s="8" t="inlineStr">
        <is>
          <t>2025-26 Topps Chrome BRANDON CLARKE #133 Refractor Grizzlies Basketball</t>
        </is>
      </c>
      <c r="C327" s="9" t="n">
        <v>2.49</v>
      </c>
      <c r="D327" s="9" t="n">
        <v>2.49</v>
      </c>
      <c r="E327" s="9" t="n">
        <v>0</v>
      </c>
      <c r="F327" s="10" t="n">
        <v>0</v>
      </c>
      <c r="G327" s="8" t="inlineStr">
        <is>
          <t>— No Change</t>
        </is>
      </c>
      <c r="H327" s="8" t="inlineStr">
        <is>
          <t>66%</t>
        </is>
      </c>
      <c r="I327" s="8">
        <f>HYPERLINK("https://www.ebay.com/sch/261328/i.html?_dcat=261328&amp;_fsrp=1&amp;rt=nc&amp;_from=R40&amp;_nkw=2025-26%20Topps%20Chrome%20BRANDON%20CLARKE%20%23133%20Refractor%20Grizzlies%20Basketball&amp;_sacat=0&amp;_sop=15&amp;rt=nc&amp;LH_BIN=1", "Active")</f>
        <v/>
      </c>
      <c r="J327" s="8">
        <f>HYPERLINK("https://www.ebay.com/sch/261328/i.html?_from=R40&amp;_nkw=2025-26%20Topps%20Chrome%20BRANDON%20CLARKE%20%23133%20Refractor%20Grizzlies%20Basketball&amp;_sacat=0&amp;LH_Sold=1&amp;LH_Complete=1&amp;_sop=13", "Completed")</f>
        <v/>
      </c>
      <c r="K327" s="8" t="inlineStr">
        <is>
          <t>(2 CARD MINIMUM) 2025 Topps Chrome Basketball Refractor/RC/#'d COMPLETE YOUR SET</t>
        </is>
      </c>
    </row>
    <row r="328">
      <c r="A328" s="2" t="inlineStr">
        <is>
          <t>RA-209</t>
        </is>
      </c>
      <c r="B328" s="2" t="inlineStr">
        <is>
          <t>2025-26 Topps Chrome CEDRIC COWARD #261 RC Grizzlies Rookie Basketball</t>
        </is>
      </c>
      <c r="C328" s="3" t="n">
        <v>2.99</v>
      </c>
      <c r="D328" s="3" t="n">
        <v>2.49</v>
      </c>
      <c r="E328" s="3" t="n">
        <v>-0.5</v>
      </c>
      <c r="F328" s="4" t="n">
        <v>-16.7</v>
      </c>
      <c r="G328" s="2" t="inlineStr">
        <is>
          <t>🔵 Floored $2.49 — free ship or $0.99 ship?</t>
        </is>
      </c>
      <c r="H328" s="2" t="inlineStr">
        <is>
          <t>86%</t>
        </is>
      </c>
      <c r="I328" s="2">
        <f>HYPERLINK("https://www.ebay.com/sch/261328/i.html?_dcat=261328&amp;_fsrp=1&amp;rt=nc&amp;_from=R40&amp;_nkw=2025-26%20Topps%20Chrome%20CEDRIC%20COWARD%20%23261%20RC%20Grizzlies%20Rookie%20Basketball&amp;_sacat=0&amp;_sop=15&amp;rt=nc&amp;LH_BIN=1", "Active")</f>
        <v/>
      </c>
      <c r="J328" s="2">
        <f>HYPERLINK("https://www.ebay.com/sch/261328/i.html?_from=R40&amp;_nkw=2025-26%20Topps%20Chrome%20CEDRIC%20COWARD%20%23261%20RC%20Grizzlies%20Rookie%20Basketball&amp;_sacat=0&amp;LH_Sold=1&amp;LH_Complete=1&amp;_sop=13", "Completed")</f>
        <v/>
      </c>
      <c r="K328" s="2" t="inlineStr">
        <is>
          <t>2025-26 Topps Chrome - #261 Cedric Coward RC - Grizzlies Rookie</t>
        </is>
      </c>
    </row>
    <row r="329">
      <c r="A329" s="2" t="inlineStr">
        <is>
          <t>RA-205</t>
        </is>
      </c>
      <c r="B329" s="2" t="inlineStr">
        <is>
          <t>2025-26 Topps Chrome KHRIS MIDDLETON #204 Refractor Wizards Basketball</t>
        </is>
      </c>
      <c r="C329" s="3" t="n">
        <v>2.99</v>
      </c>
      <c r="D329" s="3" t="n">
        <v>2.49</v>
      </c>
      <c r="E329" s="3" t="n">
        <v>-0.5</v>
      </c>
      <c r="F329" s="4" t="n">
        <v>-16.7</v>
      </c>
      <c r="G329" s="2" t="inlineStr">
        <is>
          <t>🔵 Floored $2.49 — free ship or $0.99 ship?</t>
        </is>
      </c>
      <c r="H329" s="2" t="inlineStr">
        <is>
          <t>67%</t>
        </is>
      </c>
      <c r="I329" s="2">
        <f>HYPERLINK("https://www.ebay.com/sch/261328/i.html?_dcat=261328&amp;_fsrp=1&amp;rt=nc&amp;_from=R40&amp;_nkw=2025-26%20Topps%20Chrome%20KHRIS%20MIDDLETON%20%23204%20Refractor%20Wizards%20Basketball&amp;_sacat=0&amp;_sop=15&amp;rt=nc&amp;LH_BIN=1", "Active")</f>
        <v/>
      </c>
      <c r="J329" s="2">
        <f>HYPERLINK("https://www.ebay.com/sch/261328/i.html?_from=R40&amp;_nkw=2025-26%20Topps%20Chrome%20KHRIS%20MIDDLETON%20%23204%20Refractor%20Wizards%20Basketball&amp;_sacat=0&amp;LH_Sold=1&amp;LH_Complete=1&amp;_sop=13", "Completed")</f>
        <v/>
      </c>
      <c r="K329" s="2" t="inlineStr">
        <is>
          <t>2025-26 Topps Chrome Basketball PRISM REFRACTORS Complete Your Set - You Pick</t>
        </is>
      </c>
    </row>
    <row r="330">
      <c r="A330" s="11" t="inlineStr">
        <is>
          <t>RA-204</t>
        </is>
      </c>
      <c r="B330" s="11" t="inlineStr">
        <is>
          <t>2025-26 Topps Chrome KAWHI LEONARD #TT-8 Tall Tales Clippers Basketball</t>
        </is>
      </c>
      <c r="C330" s="12" t="n">
        <v>2.99</v>
      </c>
      <c r="D330" s="12" t="n">
        <v>2.69</v>
      </c>
      <c r="E330" s="12" t="n">
        <v>-0.3</v>
      </c>
      <c r="F330" s="13" t="n">
        <v>-10</v>
      </c>
      <c r="G330" s="11" t="inlineStr">
        <is>
          <t>⬇ Price Down</t>
        </is>
      </c>
      <c r="H330" s="11" t="inlineStr">
        <is>
          <t>79%</t>
        </is>
      </c>
      <c r="I330" s="11">
        <f>HYPERLINK("https://www.ebay.com/sch/261328/i.html?_dcat=261328&amp;_fsrp=1&amp;rt=nc&amp;_from=R40&amp;_nkw=2025-26%20Topps%20Chrome%20KAWHI%20LEONARD%20%23TT-8%20Tall%20Tales%20Clippers%20Basketball&amp;_sacat=0&amp;_sop=15&amp;rt=nc&amp;LH_BIN=1", "Active")</f>
        <v/>
      </c>
      <c r="J330" s="11">
        <f>HYPERLINK("https://www.ebay.com/sch/261328/i.html?_from=R40&amp;_nkw=2025-26%20Topps%20Chrome%20KAWHI%20LEONARD%20%23TT-8%20Tall%20Tales%20Clippers%20Basketball&amp;_sacat=0&amp;LH_Sold=1&amp;LH_Complete=1&amp;_sop=13", "Completed")</f>
        <v/>
      </c>
      <c r="K330" s="11" t="inlineStr">
        <is>
          <t>Topps 2025-26 Chrome Tall Tales Kawhi Leonard TT-8 Los Angeles Clippers Basketb…</t>
        </is>
      </c>
    </row>
    <row r="331">
      <c r="A331" s="2" t="inlineStr">
        <is>
          <t>BE-00016-30567</t>
        </is>
      </c>
      <c r="B331" s="2" t="inlineStr">
        <is>
          <t>2026 Topps CAL RALEIGH #ATT-1 2025 All-Topps Team Mariners</t>
        </is>
      </c>
      <c r="C331" s="3" t="n">
        <v>2.99</v>
      </c>
      <c r="D331" s="3" t="n">
        <v>2.49</v>
      </c>
      <c r="E331" s="3" t="n">
        <v>-0.5</v>
      </c>
      <c r="F331" s="4" t="n">
        <v>-16.7</v>
      </c>
      <c r="G331" s="2" t="inlineStr">
        <is>
          <t>🔵 Floored $2.49 — free ship or $0.99 ship?</t>
        </is>
      </c>
      <c r="H331" s="2" t="inlineStr">
        <is>
          <t>87%</t>
        </is>
      </c>
      <c r="I331" s="2">
        <f>HYPERLINK("https://www.ebay.com/sch/261328/i.html?_dcat=261328&amp;_fsrp=1&amp;rt=nc&amp;_from=R40&amp;_nkw=2026%20Topps%20CAL%20RALEIGH%20%23ATT-1%202025%20All-Topps%20Team%20Mariners&amp;_sacat=0&amp;_sop=15&amp;rt=nc&amp;LH_BIN=1", "Active")</f>
        <v/>
      </c>
      <c r="J331" s="2">
        <f>HYPERLINK("https://www.ebay.com/sch/261328/i.html?_from=R40&amp;_nkw=2026%20Topps%20CAL%20RALEIGH%20%23ATT-1%202025%20All-Topps%20Team%20Mariners&amp;_sacat=0&amp;LH_Sold=1&amp;LH_Complete=1&amp;_sop=13", "Completed")</f>
        <v/>
      </c>
      <c r="K331" s="2" t="inlineStr">
        <is>
          <t>2026 TOPPS MLB - Cal Raleigh - All Topps Team 2025 #ATT-1  Mariners</t>
        </is>
      </c>
    </row>
    <row r="332">
      <c r="A332" s="2" t="inlineStr">
        <is>
          <t>BE-00004-44752</t>
        </is>
      </c>
      <c r="B332" s="2" t="inlineStr">
        <is>
          <t>2026 Topps JULIO RODRIGUEZ #ATT-8 2025 All-Topps Team Mariners</t>
        </is>
      </c>
      <c r="C332" s="3" t="n">
        <v>3.99</v>
      </c>
      <c r="D332" s="3" t="n">
        <v>2.49</v>
      </c>
      <c r="E332" s="3" t="n">
        <v>-1.5</v>
      </c>
      <c r="F332" s="4" t="n">
        <v>-37.6</v>
      </c>
      <c r="G332" s="2" t="inlineStr">
        <is>
          <t>🔵 Floored $2.49 — free ship or $0.99 ship?</t>
        </is>
      </c>
      <c r="H332" s="2" t="inlineStr">
        <is>
          <t>87%</t>
        </is>
      </c>
      <c r="I332" s="2">
        <f>HYPERLINK("https://www.ebay.com/sch/261328/i.html?_dcat=261328&amp;_fsrp=1&amp;rt=nc&amp;_from=R40&amp;_nkw=2026%20Topps%20JULIO%20RODRIGUEZ%20%23ATT-8%202025%20All-Topps%20Team%20Mariners&amp;_sacat=0&amp;_sop=15&amp;rt=nc&amp;LH_BIN=1", "Active")</f>
        <v/>
      </c>
      <c r="J332" s="2">
        <f>HYPERLINK("https://www.ebay.com/sch/261328/i.html?_from=R40&amp;_nkw=2026%20Topps%20JULIO%20RODRIGUEZ%20%23ATT-8%202025%20All-Topps%20Team%20Mariners&amp;_sacat=0&amp;LH_Sold=1&amp;LH_Complete=1&amp;_sop=13", "Completed")</f>
        <v/>
      </c>
      <c r="K332" s="2" t="inlineStr">
        <is>
          <t>2026 Topps #ATT-8 Julio Rodriguez 2025 All Topps Team - Seattle Mariners</t>
        </is>
      </c>
    </row>
    <row r="333">
      <c r="A333" s="2" t="inlineStr">
        <is>
          <t>BE-00003-08495</t>
        </is>
      </c>
      <c r="B333" s="2" t="inlineStr">
        <is>
          <t>2026 Topps AARON JUDGE #ATT-6 2025 All-Topps Team Yankees</t>
        </is>
      </c>
      <c r="C333" s="3" t="n">
        <v>5.49</v>
      </c>
      <c r="D333" s="3" t="n">
        <v>2.49</v>
      </c>
      <c r="E333" s="3" t="n">
        <v>-3</v>
      </c>
      <c r="F333" s="4" t="n">
        <v>-54.6</v>
      </c>
      <c r="G333" s="2" t="inlineStr">
        <is>
          <t>🔵 Floored $2.49 — free ship or $0.99 ship?</t>
        </is>
      </c>
      <c r="H333" s="2" t="inlineStr">
        <is>
          <t>78%</t>
        </is>
      </c>
      <c r="I333" s="2">
        <f>HYPERLINK("https://www.ebay.com/sch/261328/i.html?_dcat=261328&amp;_fsrp=1&amp;rt=nc&amp;_from=R40&amp;_nkw=2026%20Topps%20AARON%20JUDGE%20%23ATT-6%202025%20All-Topps%20Team%20Yankees&amp;_sacat=0&amp;_sop=15&amp;rt=nc&amp;LH_BIN=1", "Active")</f>
        <v/>
      </c>
      <c r="J333" s="2">
        <f>HYPERLINK("https://www.ebay.com/sch/261328/i.html?_from=R40&amp;_nkw=2026%20Topps%20AARON%20JUDGE%20%23ATT-6%202025%20All-Topps%20Team%20Yankees&amp;_sacat=0&amp;LH_Sold=1&amp;LH_Complete=1&amp;_sop=13", "Completed")</f>
        <v/>
      </c>
      <c r="K333" s="2" t="inlineStr">
        <is>
          <t>Aaron Judge 2026 Topps #ATT-6 2025 All Topps Team New York Yankees</t>
        </is>
      </c>
    </row>
    <row r="334">
      <c r="A334" s="5" t="inlineStr">
        <is>
          <t>BE-00009-86521</t>
        </is>
      </c>
      <c r="B334" s="5" t="inlineStr">
        <is>
          <t>2026 Topps AARON JUDGE #1 Purple Holo Foil 245/250 Yankees</t>
        </is>
      </c>
      <c r="C334" s="6" t="n">
        <v>65.09</v>
      </c>
      <c r="D334" s="6" t="n">
        <v>71.98999999999999</v>
      </c>
      <c r="E334" s="6" t="n">
        <v>6.9</v>
      </c>
      <c r="F334" s="7" t="n">
        <v>10.6</v>
      </c>
      <c r="G334" s="5" t="inlineStr">
        <is>
          <t>⬆ Price Up</t>
        </is>
      </c>
      <c r="H334" s="5" t="inlineStr">
        <is>
          <t>100%</t>
        </is>
      </c>
      <c r="I334" s="5">
        <f>HYPERLINK("https://www.ebay.com/sch/261328/i.html?_dcat=261328&amp;_fsrp=1&amp;rt=nc&amp;_from=R40&amp;_nkw=2026%20Topps%20AARON%20JUDGE%20%231%20Purple%20Holo%20Foil%20245%2F250%20Yankees&amp;_sacat=0&amp;_sop=15&amp;rt=nc&amp;LH_BIN=1", "Active")</f>
        <v/>
      </c>
      <c r="J334" s="5">
        <f>HYPERLINK("https://www.ebay.com/sch/261328/i.html?_from=R40&amp;_nkw=2026%20Topps%20AARON%20JUDGE%20%231%20Purple%20Holo%20Foil%20245%2F250%20Yankees&amp;_sacat=0&amp;LH_Sold=1&amp;LH_Complete=1&amp;_sop=13", "Completed")</f>
        <v/>
      </c>
      <c r="K334" s="5" t="inlineStr">
        <is>
          <t>2026 Topps AARON JUDGE #1 Purple Holo Foil 245/250 Yankees</t>
        </is>
      </c>
    </row>
    <row r="335">
      <c r="A335" s="5" t="inlineStr">
        <is>
          <t>BE-00014-01369</t>
        </is>
      </c>
      <c r="B335" s="5" t="inlineStr">
        <is>
          <t>2026 Topps RYAN MCMAHON #248 Green Rainbow Foil 30/99 Yankees</t>
        </is>
      </c>
      <c r="C335" s="6" t="n">
        <v>18.49</v>
      </c>
      <c r="D335" s="6" t="n">
        <v>18.89</v>
      </c>
      <c r="E335" s="6" t="n">
        <v>0.4</v>
      </c>
      <c r="F335" s="7" t="n">
        <v>2.2</v>
      </c>
      <c r="G335" s="5" t="inlineStr">
        <is>
          <t>⬆ Price Up</t>
        </is>
      </c>
      <c r="H335" s="5" t="inlineStr">
        <is>
          <t>100%</t>
        </is>
      </c>
      <c r="I335" s="5">
        <f>HYPERLINK("https://www.ebay.com/sch/261328/i.html?_dcat=261328&amp;_fsrp=1&amp;rt=nc&amp;_from=R40&amp;_nkw=2026%20Topps%20RYAN%20MCMAHON%20%23248%20Green%20Rainbow%20Foil%2030%2F99%20Yankees&amp;_sacat=0&amp;_sop=15&amp;rt=nc&amp;LH_BIN=1", "Active")</f>
        <v/>
      </c>
      <c r="J335" s="5">
        <f>HYPERLINK("https://www.ebay.com/sch/261328/i.html?_from=R40&amp;_nkw=2026%20Topps%20RYAN%20MCMAHON%20%23248%20Green%20Rainbow%20Foil%2030%2F99%20Yankees&amp;_sacat=0&amp;LH_Sold=1&amp;LH_Complete=1&amp;_sop=13", "Completed")</f>
        <v/>
      </c>
      <c r="K335" s="5" t="inlineStr">
        <is>
          <t>2026 Topps RYAN MCMAHON #248 Green Rainbow Foil 30/99 Yankees</t>
        </is>
      </c>
    </row>
    <row r="336">
      <c r="A336" s="2" t="inlineStr">
        <is>
          <t>BE-00013-34096</t>
        </is>
      </c>
      <c r="B336" s="2" t="inlineStr">
        <is>
          <t>2026 Topps KENEDY CORONA #145 Rainbow Foil RC Astros Rookie</t>
        </is>
      </c>
      <c r="C336" s="3" t="n">
        <v>3.49</v>
      </c>
      <c r="D336" s="3" t="n">
        <v>2.49</v>
      </c>
      <c r="E336" s="3" t="n">
        <v>-1</v>
      </c>
      <c r="F336" s="4" t="n">
        <v>-28.7</v>
      </c>
      <c r="G336" s="2" t="inlineStr">
        <is>
          <t>🔵 Floored $2.49 — free ship or $0.99 ship?</t>
        </is>
      </c>
      <c r="H336" s="2" t="inlineStr">
        <is>
          <t>74%</t>
        </is>
      </c>
      <c r="I336" s="2">
        <f>HYPERLINK("https://www.ebay.com/sch/261328/i.html?_dcat=261328&amp;_fsrp=1&amp;rt=nc&amp;_from=R40&amp;_nkw=2026%20Topps%20KENEDY%20CORONA%20%23145%20Rainbow%20Foil%20RC%20Astros%20Rookie&amp;_sacat=0&amp;_sop=15&amp;rt=nc&amp;LH_BIN=1", "Active")</f>
        <v/>
      </c>
      <c r="J336" s="2">
        <f>HYPERLINK("https://www.ebay.com/sch/261328/i.html?_from=R40&amp;_nkw=2026%20Topps%20KENEDY%20CORONA%20%23145%20Rainbow%20Foil%20RC%20Astros%20Rookie&amp;_sacat=0&amp;LH_Sold=1&amp;LH_Complete=1&amp;_sop=13", "Completed")</f>
        <v/>
      </c>
      <c r="K336" s="2" t="inlineStr">
        <is>
          <t>Kenedy Corona 2026 Topps Series 1 #145 Rainbow Foil Parallel Houston Astros (RC)</t>
        </is>
      </c>
    </row>
    <row r="337">
      <c r="A337" s="8" t="inlineStr">
        <is>
          <t>BE-00017</t>
        </is>
      </c>
      <c r="B337" s="8" t="inlineStr">
        <is>
          <t>2026 Topps CAL RALEIGH #MLM-CR Major League Material MEM Mariners</t>
        </is>
      </c>
      <c r="C337" s="9" t="n">
        <v>8.09</v>
      </c>
      <c r="D337" s="9" t="n">
        <v>8.09</v>
      </c>
      <c r="E337" s="9" t="n">
        <v>0</v>
      </c>
      <c r="F337" s="10" t="n">
        <v>0</v>
      </c>
      <c r="G337" s="8" t="inlineStr">
        <is>
          <t>— No Change</t>
        </is>
      </c>
      <c r="H337" s="8" t="inlineStr">
        <is>
          <t>100%</t>
        </is>
      </c>
      <c r="I337" s="8">
        <f>HYPERLINK("https://www.ebay.com/sch/261328/i.html?_dcat=261328&amp;_fsrp=1&amp;rt=nc&amp;_from=R40&amp;_nkw=2026%20Topps%20CAL%20RALEIGH%20%23MLM-CR%20Major%20League%20Material%20MEM%20Mariners&amp;_sacat=0&amp;_sop=15&amp;rt=nc&amp;LH_BIN=1", "Active")</f>
        <v/>
      </c>
      <c r="J337" s="8">
        <f>HYPERLINK("https://www.ebay.com/sch/261328/i.html?_from=R40&amp;_nkw=2026%20Topps%20CAL%20RALEIGH%20%23MLM-CR%20Major%20League%20Material%20MEM%20Mariners&amp;_sacat=0&amp;LH_Sold=1&amp;LH_Complete=1&amp;_sop=13", "Completed")</f>
        <v/>
      </c>
      <c r="K337" s="8" t="inlineStr">
        <is>
          <t>2026 Topps Cal Raleigh #MLM-CR Major League Material MEM Mariners</t>
        </is>
      </c>
    </row>
    <row r="338">
      <c r="A338" s="11" t="inlineStr">
        <is>
          <t>BE-00018</t>
        </is>
      </c>
      <c r="B338" s="11" t="inlineStr">
        <is>
          <t>2026 Topps CARLOS CORREA #MLM-CCO Major League Material MEM Astros</t>
        </is>
      </c>
      <c r="C338" s="12" t="n">
        <v>6.49</v>
      </c>
      <c r="D338" s="12" t="n">
        <v>5.19</v>
      </c>
      <c r="E338" s="12" t="n">
        <v>-1.3</v>
      </c>
      <c r="F338" s="13" t="n">
        <v>-20</v>
      </c>
      <c r="G338" s="11" t="inlineStr">
        <is>
          <t>⬇ Price Down</t>
        </is>
      </c>
      <c r="H338" s="11" t="inlineStr">
        <is>
          <t>80%</t>
        </is>
      </c>
      <c r="I338" s="11">
        <f>HYPERLINK("https://www.ebay.com/sch/261328/i.html?_dcat=261328&amp;_fsrp=1&amp;rt=nc&amp;_from=R40&amp;_nkw=2026%20Topps%20CARLOS%20CORREA%20%23MLM-CCO%20Major%20League%20Material%20MEM%20Astros&amp;_sacat=0&amp;_sop=15&amp;rt=nc&amp;LH_BIN=1", "Active")</f>
        <v/>
      </c>
      <c r="J338" s="11">
        <f>HYPERLINK("https://www.ebay.com/sch/261328/i.html?_from=R40&amp;_nkw=2026%20Topps%20CARLOS%20CORREA%20%23MLM-CCO%20Major%20League%20Material%20MEM%20Astros&amp;_sacat=0&amp;LH_Sold=1&amp;LH_Complete=1&amp;_sop=13", "Completed")</f>
        <v/>
      </c>
      <c r="K338" s="11" t="inlineStr">
        <is>
          <t>Carlos Correa 2026 Topps #MLM-CCO Major League Materials Relic Astros</t>
        </is>
      </c>
    </row>
    <row r="339">
      <c r="A339" s="8" t="inlineStr">
        <is>
          <t>BE-00010-59357</t>
        </is>
      </c>
      <c r="B339" s="8" t="inlineStr">
        <is>
          <t>2025 Bowman AROON ESCOBAR #BCP-65 Chrome Prospects Mega Box Refractor Phillies</t>
        </is>
      </c>
      <c r="C339" s="9" t="n">
        <v>2.49</v>
      </c>
      <c r="D339" s="9" t="n">
        <v>2.49</v>
      </c>
      <c r="E339" s="9" t="n">
        <v>0</v>
      </c>
      <c r="F339" s="10" t="n">
        <v>0</v>
      </c>
      <c r="G339" s="8" t="inlineStr">
        <is>
          <t>— No Change</t>
        </is>
      </c>
      <c r="H339" s="8" t="inlineStr">
        <is>
          <t>64%</t>
        </is>
      </c>
      <c r="I339" s="8">
        <f>HYPERLINK("https://www.ebay.com/sch/261328/i.html?_dcat=261328&amp;_fsrp=1&amp;rt=nc&amp;_from=R40&amp;_nkw=2025%20Bowman%20AROON%20ESCOBAR%20%23BCP-65%20Chrome%20Prospects%20Mega%20Box%20Refractor%20Phillies&amp;_sacat=0&amp;_sop=15&amp;rt=nc&amp;LH_BIN=1", "Active")</f>
        <v/>
      </c>
      <c r="J339" s="8">
        <f>HYPERLINK("https://www.ebay.com/sch/261328/i.html?_from=R40&amp;_nkw=2025%20Bowman%20AROON%20ESCOBAR%20%23BCP-65%20Chrome%20Prospects%20Mega%20Box%20Refractor%20Phillies&amp;_sacat=0&amp;LH_Sold=1&amp;LH_Complete=1&amp;_sop=13", "Completed")</f>
        <v/>
      </c>
      <c r="K339" s="8" t="inlineStr">
        <is>
          <t>2025 Bowman Mega Box Chrome MOJO REFRACTORS You Pick  - 2 Card Minimum</t>
        </is>
      </c>
    </row>
    <row r="340">
      <c r="A340" s="2" t="inlineStr">
        <is>
          <t>BE-00009-88624</t>
        </is>
      </c>
      <c r="B340" s="2" t="inlineStr">
        <is>
          <t>2025 Topps HUNTER GREENE #T90C-113 1990 Baseball Chrome Silver Mojo Pack Reds</t>
        </is>
      </c>
      <c r="C340" s="3" t="n">
        <v>2.99</v>
      </c>
      <c r="D340" s="3" t="n">
        <v>2.49</v>
      </c>
      <c r="E340" s="3" t="n">
        <v>-0.5</v>
      </c>
      <c r="F340" s="4" t="n">
        <v>-16.7</v>
      </c>
      <c r="G340" s="2" t="inlineStr">
        <is>
          <t>🔵 Floored $2.49 — free ship or $0.99 ship?</t>
        </is>
      </c>
      <c r="H340" s="2" t="inlineStr">
        <is>
          <t>88%</t>
        </is>
      </c>
      <c r="I340" s="2">
        <f>HYPERLINK("https://www.ebay.com/sch/261328/i.html?_dcat=261328&amp;_fsrp=1&amp;rt=nc&amp;_from=R40&amp;_nkw=2025%20Topps%20HUNTER%20GREENE%20%23T90C-113%201990%20Baseball%20Chrome%20Silver%20Mojo%20Pack%20Reds&amp;_sacat=0&amp;_sop=15&amp;rt=nc&amp;LH_BIN=1", "Active")</f>
        <v/>
      </c>
      <c r="J340" s="2">
        <f>HYPERLINK("https://www.ebay.com/sch/261328/i.html?_from=R40&amp;_nkw=2025%20Topps%20HUNTER%20GREENE%20%23T90C-113%201990%20Baseball%20Chrome%20Silver%20Mojo%20Pack%20Reds&amp;_sacat=0&amp;LH_Sold=1&amp;LH_Complete=1&amp;_sop=13", "Completed")</f>
        <v/>
      </c>
      <c r="K340" s="2" t="inlineStr">
        <is>
          <t>2025 Topps #T90C-113 Hunter Greene 1990 Chrome Mojo Silver Pack Reds</t>
        </is>
      </c>
    </row>
    <row r="341">
      <c r="A341" s="11" t="inlineStr">
        <is>
          <t>BE-00005-06978</t>
        </is>
      </c>
      <c r="B341" s="11" t="inlineStr">
        <is>
          <t>2011 Bowman Draft PICKS &amp; Prospects Francisco Lindor #BDPP53 Indians</t>
        </is>
      </c>
      <c r="C341" s="12" t="n">
        <v>4.99</v>
      </c>
      <c r="D341" s="12" t="n">
        <v>4.39</v>
      </c>
      <c r="E341" s="12" t="n">
        <v>-0.6</v>
      </c>
      <c r="F341" s="13" t="n">
        <v>-12</v>
      </c>
      <c r="G341" s="11" t="inlineStr">
        <is>
          <t>⬇ Price Down</t>
        </is>
      </c>
      <c r="H341" s="11" t="inlineStr">
        <is>
          <t>87%</t>
        </is>
      </c>
      <c r="I341" s="11">
        <f>HYPERLINK("https://www.ebay.com/sch/261328/i.html?_dcat=261328&amp;_fsrp=1&amp;rt=nc&amp;_from=R40&amp;_nkw=2011%20Bowman%20Draft%20PICKS%20%26%20Prospects%20Francisco%20Lindor%20%23BDPP53%20Indians&amp;_sacat=0&amp;_sop=15&amp;rt=nc&amp;LH_BIN=1", "Active")</f>
        <v/>
      </c>
      <c r="J341" s="11">
        <f>HYPERLINK("https://www.ebay.com/sch/261328/i.html?_from=R40&amp;_nkw=2011%20Bowman%20Draft%20PICKS%20%26%20Prospects%20Francisco%20Lindor%20%23BDPP53%20Indians&amp;_sacat=0&amp;LH_Sold=1&amp;LH_Complete=1&amp;_sop=13", "Completed")</f>
        <v/>
      </c>
      <c r="K341" s="11" t="inlineStr">
        <is>
          <t>2011 Bowman Draft Picks &amp; Prospects Francisco Lindor Cleveland Indians #BDPP53</t>
        </is>
      </c>
    </row>
    <row r="342">
      <c r="A342" s="8" t="inlineStr">
        <is>
          <t>BE-00008-46555</t>
        </is>
      </c>
      <c r="B342" s="8" t="inlineStr">
        <is>
          <t>2025 Bowman KYLE DEBARGE #BCP-139 Chrome 1st Prospect Twins RC Rookie</t>
        </is>
      </c>
      <c r="C342" s="9" t="n">
        <v>2.49</v>
      </c>
      <c r="D342" s="9" t="n">
        <v>2.49</v>
      </c>
      <c r="E342" s="9" t="n">
        <v>0</v>
      </c>
      <c r="F342" s="10" t="n">
        <v>0</v>
      </c>
      <c r="G342" s="8" t="inlineStr">
        <is>
          <t>— No Change</t>
        </is>
      </c>
      <c r="H342" s="8" t="inlineStr">
        <is>
          <t>65%</t>
        </is>
      </c>
      <c r="I342" s="8">
        <f>HYPERLINK("https://www.ebay.com/sch/261328/i.html?_dcat=261328&amp;_fsrp=1&amp;rt=nc&amp;_from=R40&amp;_nkw=2025%20Bowman%20KYLE%20DEBARGE%20%23BCP-139%20Chrome%201st%20Prospect%20Twins%20RC%20Rookie&amp;_sacat=0&amp;_sop=15&amp;rt=nc&amp;LH_BIN=1", "Active")</f>
        <v/>
      </c>
      <c r="J342" s="8">
        <f>HYPERLINK("https://www.ebay.com/sch/261328/i.html?_from=R40&amp;_nkw=2025%20Bowman%20KYLE%20DEBARGE%20%23BCP-139%20Chrome%201st%20Prospect%20Twins%20RC%20Rookie&amp;_sacat=0&amp;LH_Sold=1&amp;LH_Complete=1&amp;_sop=13", "Completed")</f>
        <v/>
      </c>
      <c r="K342" s="8" t="inlineStr">
        <is>
          <t>2025 Bowman Chrome Prospects *YOU PICK* 1st RC Base BCP 1-150 *BUY 2+ &amp; SAVE*</t>
        </is>
      </c>
    </row>
    <row r="343">
      <c r="A343" s="8" t="inlineStr">
        <is>
          <t>Whatnot_bb_030826-00011-029332</t>
        </is>
      </c>
      <c r="B343" s="8" t="inlineStr">
        <is>
          <t>2025 Topps ZACH NETO #SS-43 Summer Superstars Angels</t>
        </is>
      </c>
      <c r="C343" s="9" t="n">
        <v>2.49</v>
      </c>
      <c r="D343" s="9" t="n">
        <v>2.49</v>
      </c>
      <c r="E343" s="9" t="n">
        <v>0</v>
      </c>
      <c r="F343" s="10" t="n">
        <v>0</v>
      </c>
      <c r="G343" s="8" t="inlineStr">
        <is>
          <t>— No Change</t>
        </is>
      </c>
      <c r="H343" s="8" t="inlineStr">
        <is>
          <t>88%</t>
        </is>
      </c>
      <c r="I343" s="8">
        <f>HYPERLINK("https://www.ebay.com/sch/261328/i.html?_dcat=261328&amp;_fsrp=1&amp;rt=nc&amp;_from=R40&amp;_nkw=2025%20Topps%20ZACH%20NETO%20%23SS-43%20Summer%20Superstars%20Angels&amp;_sacat=0&amp;_sop=15&amp;rt=nc&amp;LH_BIN=1", "Active")</f>
        <v/>
      </c>
      <c r="J343" s="8">
        <f>HYPERLINK("https://www.ebay.com/sch/261328/i.html?_from=R40&amp;_nkw=2025%20Topps%20ZACH%20NETO%20%23SS-43%20Summer%20Superstars%20Angels&amp;_sacat=0&amp;LH_Sold=1&amp;LH_Complete=1&amp;_sop=13", "Completed")</f>
        <v/>
      </c>
      <c r="K343" s="8" t="inlineStr">
        <is>
          <t>2025 Topps SS-43 - Zach Neto Summer Superstars - Angels</t>
        </is>
      </c>
    </row>
    <row r="344">
      <c r="A344" s="11" t="inlineStr">
        <is>
          <t>BD-000200-t4cyn</t>
        </is>
      </c>
      <c r="B344" s="11" t="inlineStr">
        <is>
          <t>2025 Bowman Draft WALKER JANEK #BD-45 Gold Border Houston Astros #/50</t>
        </is>
      </c>
      <c r="C344" s="12" t="n">
        <v>16.59</v>
      </c>
      <c r="D344" s="12" t="n">
        <v>7.59</v>
      </c>
      <c r="E344" s="12" t="n">
        <v>-9</v>
      </c>
      <c r="F344" s="13" t="n">
        <v>-54.2</v>
      </c>
      <c r="G344" s="11" t="inlineStr">
        <is>
          <t>⬇ Price Down</t>
        </is>
      </c>
      <c r="H344" s="11" t="inlineStr">
        <is>
          <t>86%</t>
        </is>
      </c>
      <c r="I344" s="11">
        <f>HYPERLINK("https://www.ebay.com/sch/261328/i.html?_dcat=261328&amp;_fsrp=1&amp;rt=nc&amp;_from=R40&amp;_nkw=2025%20Bowman%20Draft%20WALKER%20JANEK%20%23BD-45%20Gold%20Border%20Houston%20Astros%20%23%2F50&amp;_sacat=0&amp;_sop=15&amp;rt=nc&amp;LH_BIN=1", "Active")</f>
        <v/>
      </c>
      <c r="J344" s="11">
        <f>HYPERLINK("https://www.ebay.com/sch/261328/i.html?_from=R40&amp;_nkw=2025%20Bowman%20Draft%20WALKER%20JANEK%20%23BD-45%20Gold%20Border%20Houston%20Astros%20%23%2F50&amp;_sacat=0&amp;LH_Sold=1&amp;LH_Complete=1&amp;_sop=13", "Completed")</f>
        <v/>
      </c>
      <c r="K344" s="11" t="inlineStr">
        <is>
          <t>2025 Bowman Draft Prospects Walker Janek #BD-45 Gold Border /50</t>
        </is>
      </c>
    </row>
    <row r="345">
      <c r="A345" s="5" t="inlineStr">
        <is>
          <t>BD-000206-t4cyv</t>
        </is>
      </c>
      <c r="B345" s="5" t="inlineStr">
        <is>
          <t>2025 Bowman Draft MAX BELYEU #BDC-5 Chrome Yellow Geometric Rockies #/75</t>
        </is>
      </c>
      <c r="C345" s="6" t="n">
        <v>25.39</v>
      </c>
      <c r="D345" s="6" t="n">
        <v>25.59</v>
      </c>
      <c r="E345" s="6" t="n">
        <v>0.2</v>
      </c>
      <c r="F345" s="7" t="n">
        <v>0.8</v>
      </c>
      <c r="G345" s="5" t="inlineStr">
        <is>
          <t>⬆ Price Up</t>
        </is>
      </c>
      <c r="H345" s="5" t="inlineStr">
        <is>
          <t>100%</t>
        </is>
      </c>
      <c r="I345" s="5">
        <f>HYPERLINK("https://www.ebay.com/sch/261328/i.html?_dcat=261328&amp;_fsrp=1&amp;rt=nc&amp;_from=R40&amp;_nkw=2025%20Bowman%20Draft%20MAX%20BELYEU%20%23BDC-5%20Chrome%20Yellow%20Geometric%20Rockies%20%23%2F75&amp;_sacat=0&amp;_sop=15&amp;rt=nc&amp;LH_BIN=1", "Active")</f>
        <v/>
      </c>
      <c r="J345" s="5">
        <f>HYPERLINK("https://www.ebay.com/sch/261328/i.html?_from=R40&amp;_nkw=2025%20Bowman%20Draft%20MAX%20BELYEU%20%23BDC-5%20Chrome%20Yellow%20Geometric%20Rockies%20%23%2F75&amp;_sacat=0&amp;LH_Sold=1&amp;LH_Complete=1&amp;_sop=13", "Completed")</f>
        <v/>
      </c>
      <c r="K345" s="5" t="inlineStr">
        <is>
          <t>2025 Bowman Draft MAX BELYEU #BDC-5 Chrome Yellow Geometric Rockies #/75</t>
        </is>
      </c>
    </row>
    <row r="346">
      <c r="A346" s="5" t="inlineStr">
        <is>
          <t>BD-000214-t4cz3</t>
        </is>
      </c>
      <c r="B346" s="5" t="inlineStr">
        <is>
          <t>2025 Bowman Draft MITCH VOIT #BDC-71 Chrome Sky Blue Refractor New York Mets</t>
        </is>
      </c>
      <c r="C346" s="6" t="n">
        <v>5.49</v>
      </c>
      <c r="D346" s="6" t="n">
        <v>6.19</v>
      </c>
      <c r="E346" s="6" t="n">
        <v>0.7</v>
      </c>
      <c r="F346" s="7" t="n">
        <v>12.8</v>
      </c>
      <c r="G346" s="5" t="inlineStr">
        <is>
          <t>⬆ Price Up</t>
        </is>
      </c>
      <c r="H346" s="5" t="inlineStr">
        <is>
          <t>86%</t>
        </is>
      </c>
      <c r="I346" s="5">
        <f>HYPERLINK("https://www.ebay.com/sch/261328/i.html?_dcat=261328&amp;_fsrp=1&amp;rt=nc&amp;_from=R40&amp;_nkw=2025%20Bowman%20Draft%20MITCH%20VOIT%20%23BDC-71%20Chrome%20Sky%20Blue%20Refractor%20New%20York%20Mets&amp;_sacat=0&amp;_sop=15&amp;rt=nc&amp;LH_BIN=1", "Active")</f>
        <v/>
      </c>
      <c r="J346" s="5">
        <f>HYPERLINK("https://www.ebay.com/sch/261328/i.html?_from=R40&amp;_nkw=2025%20Bowman%20Draft%20MITCH%20VOIT%20%23BDC-71%20Chrome%20Sky%20Blue%20Refractor%20New%20York%20Mets&amp;_sacat=0&amp;LH_Sold=1&amp;LH_Complete=1&amp;_sop=13", "Completed")</f>
        <v/>
      </c>
      <c r="K346" s="5" t="inlineStr">
        <is>
          <t>2025 Bowman Draft #BDC-71 Mitch Voit Chrome Sky Blue Refractor</t>
        </is>
      </c>
    </row>
    <row r="347">
      <c r="A347" s="5" t="inlineStr">
        <is>
          <t>BD-000215-t4cz4</t>
        </is>
      </c>
      <c r="B347" s="5" t="inlineStr">
        <is>
          <t>2025 Bowman Draft LUKE DICKERSON #BDC-61 Chrome X-Fractor Washington Nationals</t>
        </is>
      </c>
      <c r="C347" s="6" t="n">
        <v>1.99</v>
      </c>
      <c r="D347" s="6" t="n">
        <v>2.49</v>
      </c>
      <c r="E347" s="6" t="n">
        <v>0.5</v>
      </c>
      <c r="F347" s="7" t="n">
        <v>25.1</v>
      </c>
      <c r="G347" s="5" t="inlineStr">
        <is>
          <t>⬆ Price Up</t>
        </is>
      </c>
      <c r="H347" s="5" t="inlineStr">
        <is>
          <t>85%</t>
        </is>
      </c>
      <c r="I347" s="5">
        <f>HYPERLINK("https://www.ebay.com/sch/261328/i.html?_dcat=261328&amp;_fsrp=1&amp;rt=nc&amp;_from=R40&amp;_nkw=2025%20Bowman%20Draft%20LUKE%20DICKERSON%20%23BDC-61%20Chrome%20X-Fractor%20Washington%20Nationals&amp;_sacat=0&amp;_sop=15&amp;rt=nc&amp;LH_BIN=1", "Active")</f>
        <v/>
      </c>
      <c r="J347" s="5">
        <f>HYPERLINK("https://www.ebay.com/sch/261328/i.html?_from=R40&amp;_nkw=2025%20Bowman%20Draft%20LUKE%20DICKERSON%20%23BDC-61%20Chrome%20X-Fractor%20Washington%20Nationals&amp;_sacat=0&amp;LH_Sold=1&amp;LH_Complete=1&amp;_sop=13", "Completed")</f>
        <v/>
      </c>
      <c r="K347" s="5" t="inlineStr">
        <is>
          <t>2025 Bowman Draft #BDC-61 Luke Dickerson Chrome X-Fractor</t>
        </is>
      </c>
    </row>
    <row r="348">
      <c r="A348" s="2" t="inlineStr">
        <is>
          <t>BD-000213-t4cz2</t>
        </is>
      </c>
      <c r="B348" s="2" t="inlineStr">
        <is>
          <t>2025 Bowman Draft LUKE LACOURSE #BDC-123 Chrome Refractor Los Angeles Angels</t>
        </is>
      </c>
      <c r="C348" s="3" t="n">
        <v>3.49</v>
      </c>
      <c r="D348" s="3" t="n">
        <v>2.49</v>
      </c>
      <c r="E348" s="3" t="n">
        <v>-1</v>
      </c>
      <c r="F348" s="4" t="n">
        <v>-28.7</v>
      </c>
      <c r="G348" s="2" t="inlineStr">
        <is>
          <t>🔵 Floored $2.49 — free ship or $0.99 ship?</t>
        </is>
      </c>
      <c r="H348" s="2" t="inlineStr">
        <is>
          <t>72%</t>
        </is>
      </c>
      <c r="I348" s="2">
        <f>HYPERLINK("https://www.ebay.com/sch/261328/i.html?_dcat=261328&amp;_fsrp=1&amp;rt=nc&amp;_from=R40&amp;_nkw=2025%20Bowman%20Draft%20LUKE%20LACOURSE%20%23BDC-123%20Chrome%20Refractor%20Los%20Angeles%20Angels&amp;_sacat=0&amp;_sop=15&amp;rt=nc&amp;LH_BIN=1", "Active")</f>
        <v/>
      </c>
      <c r="J348" s="2">
        <f>HYPERLINK("https://www.ebay.com/sch/261328/i.html?_from=R40&amp;_nkw=2025%20Bowman%20Draft%20LUKE%20LACOURSE%20%23BDC-123%20Chrome%20Refractor%20Los%20Angeles%20Angels&amp;_sacat=0&amp;LH_Sold=1&amp;LH_Complete=1&amp;_sop=13", "Completed")</f>
        <v/>
      </c>
      <c r="K348" s="2" t="inlineStr">
        <is>
          <t>YOU PICK 2025 Bowman Draft Mega Mojo LASER Refractor Chrome Singles 1-200</t>
        </is>
      </c>
    </row>
    <row r="349">
      <c r="A349" s="2" t="inlineStr">
        <is>
          <t>BD-000216-t4cz5</t>
        </is>
      </c>
      <c r="B349" s="2" t="inlineStr">
        <is>
          <t>2025 Bowman Draft KORBYN DICKERSON #BDC-69 Chrome Refractor Seattle Mariners</t>
        </is>
      </c>
      <c r="C349" s="3" t="n">
        <v>3.49</v>
      </c>
      <c r="D349" s="3" t="n">
        <v>2.49</v>
      </c>
      <c r="E349" s="3" t="n">
        <v>-1</v>
      </c>
      <c r="F349" s="4" t="n">
        <v>-28.7</v>
      </c>
      <c r="G349" s="2" t="inlineStr">
        <is>
          <t>🔵 Floored $2.49 — free ship or $0.99 ship?</t>
        </is>
      </c>
      <c r="H349" s="2" t="inlineStr">
        <is>
          <t>86%</t>
        </is>
      </c>
      <c r="I349" s="2">
        <f>HYPERLINK("https://www.ebay.com/sch/261328/i.html?_dcat=261328&amp;_fsrp=1&amp;rt=nc&amp;_from=R40&amp;_nkw=2025%20Bowman%20Draft%20KORBYN%20DICKERSON%20%23BDC-69%20Chrome%20Refractor%20Seattle%20Mariners&amp;_sacat=0&amp;_sop=15&amp;rt=nc&amp;LH_BIN=1", "Active")</f>
        <v/>
      </c>
      <c r="J349" s="2">
        <f>HYPERLINK("https://www.ebay.com/sch/261328/i.html?_from=R40&amp;_nkw=2025%20Bowman%20Draft%20KORBYN%20DICKERSON%20%23BDC-69%20Chrome%20Refractor%20Seattle%20Mariners&amp;_sacat=0&amp;LH_Sold=1&amp;LH_Complete=1&amp;_sop=13", "Completed")</f>
        <v/>
      </c>
      <c r="K349" s="2" t="inlineStr">
        <is>
          <t>2025 Bowman Draft #BDC-69 Korbyn Dickerson Chrome Refractor</t>
        </is>
      </c>
    </row>
    <row r="350">
      <c r="A350" s="2" t="inlineStr">
        <is>
          <t>BD-000217-t4cz6</t>
        </is>
      </c>
      <c r="B350" s="2" t="inlineStr">
        <is>
          <t>2025 Bowman Draft CODY MILLER #BDC-91 Chrome Refractor Atlanta Braves</t>
        </is>
      </c>
      <c r="C350" s="3" t="n">
        <v>3.99</v>
      </c>
      <c r="D350" s="3" t="n">
        <v>2.49</v>
      </c>
      <c r="E350" s="3" t="n">
        <v>-1.5</v>
      </c>
      <c r="F350" s="4" t="n">
        <v>-37.6</v>
      </c>
      <c r="G350" s="2" t="inlineStr">
        <is>
          <t>🔵 Floored $2.49 — free ship or $0.99 ship?</t>
        </is>
      </c>
      <c r="H350" s="2" t="inlineStr">
        <is>
          <t>86%</t>
        </is>
      </c>
      <c r="I350" s="2">
        <f>HYPERLINK("https://www.ebay.com/sch/261328/i.html?_dcat=261328&amp;_fsrp=1&amp;rt=nc&amp;_from=R40&amp;_nkw=2025%20Bowman%20Draft%20CODY%20MILLER%20%23BDC-91%20Chrome%20Refractor%20Atlanta%20Braves&amp;_sacat=0&amp;_sop=15&amp;rt=nc&amp;LH_BIN=1", "Active")</f>
        <v/>
      </c>
      <c r="J350" s="2">
        <f>HYPERLINK("https://www.ebay.com/sch/261328/i.html?_from=R40&amp;_nkw=2025%20Bowman%20Draft%20CODY%20MILLER%20%23BDC-91%20Chrome%20Refractor%20Atlanta%20Braves&amp;_sacat=0&amp;LH_Sold=1&amp;LH_Complete=1&amp;_sop=13", "Completed")</f>
        <v/>
      </c>
      <c r="K350" s="2" t="inlineStr">
        <is>
          <t>2025 Bowman Draft #BDC-91 Cody Miller Chrome Refractor</t>
        </is>
      </c>
    </row>
    <row r="351">
      <c r="A351" s="2" t="inlineStr">
        <is>
          <t>BD-000218-t4cz7</t>
        </is>
      </c>
      <c r="B351" s="2" t="inlineStr">
        <is>
          <t>2025 Bowman Draft MASON NEVILLE #BDC-109 Chrome Refractor Cincinnati Reds</t>
        </is>
      </c>
      <c r="C351" s="3" t="n">
        <v>2.99</v>
      </c>
      <c r="D351" s="3" t="n">
        <v>2.49</v>
      </c>
      <c r="E351" s="3" t="n">
        <v>-0.5</v>
      </c>
      <c r="F351" s="4" t="n">
        <v>-16.7</v>
      </c>
      <c r="G351" s="2" t="inlineStr">
        <is>
          <t>🔵 Floored $2.49 — free ship or $0.99 ship?</t>
        </is>
      </c>
      <c r="H351" s="2" t="inlineStr">
        <is>
          <t>82%</t>
        </is>
      </c>
      <c r="I351" s="2">
        <f>HYPERLINK("https://www.ebay.com/sch/261328/i.html?_dcat=261328&amp;_fsrp=1&amp;rt=nc&amp;_from=R40&amp;_nkw=2025%20Bowman%20Draft%20MASON%20NEVILLE%20%23BDC-109%20Chrome%20Refractor%20Cincinnati%20Reds&amp;_sacat=0&amp;_sop=15&amp;rt=nc&amp;LH_BIN=1", "Active")</f>
        <v/>
      </c>
      <c r="J351" s="2">
        <f>HYPERLINK("https://www.ebay.com/sch/261328/i.html?_from=R40&amp;_nkw=2025%20Bowman%20Draft%20MASON%20NEVILLE%20%23BDC-109%20Chrome%20Refractor%20Cincinnati%20Reds&amp;_sacat=0&amp;LH_Sold=1&amp;LH_Complete=1&amp;_sop=13", "Completed")</f>
        <v/>
      </c>
      <c r="K351" s="2" t="inlineStr">
        <is>
          <t>2025 Bowman Draft Chrome Base, Inserts, Refractors - Pick Your Card</t>
        </is>
      </c>
    </row>
    <row r="352">
      <c r="A352" s="2" t="inlineStr">
        <is>
          <t>BD-000219-t4cz8</t>
        </is>
      </c>
      <c r="B352" s="2" t="inlineStr">
        <is>
          <t>2025 Bowman Draft JAKE COOK #BDC-97 Chrome Refractor Toronto Blue Jays</t>
        </is>
      </c>
      <c r="C352" s="3" t="n">
        <v>5.99</v>
      </c>
      <c r="D352" s="3" t="n">
        <v>2.49</v>
      </c>
      <c r="E352" s="3" t="n">
        <v>-3.5</v>
      </c>
      <c r="F352" s="4" t="n">
        <v>-58.4</v>
      </c>
      <c r="G352" s="2" t="inlineStr">
        <is>
          <t>🔵 Floored $2.49 — free ship or $0.99 ship?</t>
        </is>
      </c>
      <c r="H352" s="2" t="inlineStr">
        <is>
          <t>68%</t>
        </is>
      </c>
      <c r="I352" s="2">
        <f>HYPERLINK("https://www.ebay.com/sch/261328/i.html?_dcat=261328&amp;_fsrp=1&amp;rt=nc&amp;_from=R40&amp;_nkw=2025%20Bowman%20Draft%20JAKE%20COOK%20%23BDC-97%20Chrome%20Refractor%20Toronto%20Blue%20Jays&amp;_sacat=0&amp;_sop=15&amp;rt=nc&amp;LH_BIN=1", "Active")</f>
        <v/>
      </c>
      <c r="J352" s="2">
        <f>HYPERLINK("https://www.ebay.com/sch/261328/i.html?_from=R40&amp;_nkw=2025%20Bowman%20Draft%20JAKE%20COOK%20%23BDC-97%20Chrome%20Refractor%20Toronto%20Blue%20Jays&amp;_sacat=0&amp;LH_Sold=1&amp;LH_Complete=1&amp;_sop=13", "Completed")</f>
        <v/>
      </c>
      <c r="K352" s="2" t="inlineStr">
        <is>
          <t>YOU PICK 2025 Bowman Draft MEGA CHROME Mojo Refractor Chrome Singles 1-200</t>
        </is>
      </c>
    </row>
    <row r="353">
      <c r="A353" s="2" t="inlineStr">
        <is>
          <t>BD-000221-t4cza</t>
        </is>
      </c>
      <c r="B353" s="2" t="inlineStr">
        <is>
          <t>2025 Bowman Draft TIM PIASENTIN #BDC-73 Chrome Refractor Toronto Blue Jays</t>
        </is>
      </c>
      <c r="C353" s="3" t="n">
        <v>2.99</v>
      </c>
      <c r="D353" s="3" t="n">
        <v>2.49</v>
      </c>
      <c r="E353" s="3" t="n">
        <v>-0.5</v>
      </c>
      <c r="F353" s="4" t="n">
        <v>-16.7</v>
      </c>
      <c r="G353" s="2" t="inlineStr">
        <is>
          <t>🔵 Floored $2.49 — free ship or $0.99 ship?</t>
        </is>
      </c>
      <c r="H353" s="2" t="inlineStr">
        <is>
          <t>87%</t>
        </is>
      </c>
      <c r="I353" s="2">
        <f>HYPERLINK("https://www.ebay.com/sch/261328/i.html?_dcat=261328&amp;_fsrp=1&amp;rt=nc&amp;_from=R40&amp;_nkw=2025%20Bowman%20Draft%20TIM%20PIASENTIN%20%23BDC-73%20Chrome%20Refractor%20Toronto%20Blue%20Jays&amp;_sacat=0&amp;_sop=15&amp;rt=nc&amp;LH_BIN=1", "Active")</f>
        <v/>
      </c>
      <c r="J353" s="2">
        <f>HYPERLINK("https://www.ebay.com/sch/261328/i.html?_from=R40&amp;_nkw=2025%20Bowman%20Draft%20TIM%20PIASENTIN%20%23BDC-73%20Chrome%20Refractor%20Toronto%20Blue%20Jays&amp;_sacat=0&amp;LH_Sold=1&amp;LH_Complete=1&amp;_sop=13", "Completed")</f>
        <v/>
      </c>
      <c r="K353" s="2" t="inlineStr">
        <is>
          <t>2025 Bowman Draft Tim Piasentin #BDC-73 Chrome Refractor 1st Prospect Blue Jays</t>
        </is>
      </c>
    </row>
    <row r="354">
      <c r="A354" s="5" t="inlineStr">
        <is>
          <t>BD-000220-t4cz9</t>
        </is>
      </c>
      <c r="B354" s="5" t="inlineStr">
        <is>
          <t>2025 Bowman Draft CHARLIE CONDON #PP-20 Prized Prospects Colorado Rockies</t>
        </is>
      </c>
      <c r="C354" s="6" t="n">
        <v>1.99</v>
      </c>
      <c r="D354" s="6" t="n">
        <v>2.49</v>
      </c>
      <c r="E354" s="6" t="n">
        <v>0.5</v>
      </c>
      <c r="F354" s="7" t="n">
        <v>25.1</v>
      </c>
      <c r="G354" s="5" t="inlineStr">
        <is>
          <t>⬆ Price Up</t>
        </is>
      </c>
      <c r="H354" s="5" t="inlineStr">
        <is>
          <t>90%</t>
        </is>
      </c>
      <c r="I354" s="5">
        <f>HYPERLINK("https://www.ebay.com/sch/261328/i.html?_dcat=261328&amp;_fsrp=1&amp;rt=nc&amp;_from=R40&amp;_nkw=2025%20Bowman%20Draft%20CHARLIE%20CONDON%20%23PP-20%20Prized%20Prospects%20Colorado%20Rockies&amp;_sacat=0&amp;_sop=15&amp;rt=nc&amp;LH_BIN=1", "Active")</f>
        <v/>
      </c>
      <c r="J354" s="5">
        <f>HYPERLINK("https://www.ebay.com/sch/261328/i.html?_from=R40&amp;_nkw=2025%20Bowman%20Draft%20CHARLIE%20CONDON%20%23PP-20%20Prized%20Prospects%20Colorado%20Rockies&amp;_sacat=0&amp;LH_Sold=1&amp;LH_Complete=1&amp;_sop=13", "Completed")</f>
        <v/>
      </c>
      <c r="K354" s="5" t="inlineStr">
        <is>
          <t>2025 Bowman Draft #PP-20 Charlie Condon Prized Prospects Colorado Rockies</t>
        </is>
      </c>
    </row>
    <row r="355">
      <c r="A355" s="5" t="inlineStr">
        <is>
          <t>BE-00033-04910</t>
        </is>
      </c>
      <c r="B355" s="5" t="inlineStr">
        <is>
          <t>2026 Topps BUBBA CHANDLER #91C-75 1991 Chrome Silver Pack Mojo Ref RC Rookie</t>
        </is>
      </c>
      <c r="C355" s="6" t="n">
        <v>5.49</v>
      </c>
      <c r="D355" s="6" t="n">
        <v>6.29</v>
      </c>
      <c r="E355" s="6" t="n">
        <v>0.8</v>
      </c>
      <c r="F355" s="7" t="n">
        <v>14.6</v>
      </c>
      <c r="G355" s="5" t="inlineStr">
        <is>
          <t>⬆ Price Up</t>
        </is>
      </c>
      <c r="H355" s="5" t="inlineStr">
        <is>
          <t>100%</t>
        </is>
      </c>
      <c r="I355" s="5">
        <f>HYPERLINK("https://www.ebay.com/sch/261328/i.html?_dcat=261328&amp;_fsrp=1&amp;rt=nc&amp;_from=R40&amp;_nkw=2026%20Topps%20BUBBA%20CHANDLER%20%2391C-75%201991%20Chrome%20Silver%20Pack%20Mojo%20Ref%20RC%20Rookie&amp;_sacat=0&amp;_sop=15&amp;rt=nc&amp;LH_BIN=1", "Active")</f>
        <v/>
      </c>
      <c r="J355" s="5">
        <f>HYPERLINK("https://www.ebay.com/sch/261328/i.html?_from=R40&amp;_nkw=2026%20Topps%20BUBBA%20CHANDLER%20%2391C-75%201991%20Chrome%20Silver%20Pack%20Mojo%20Ref%20RC%20Rookie&amp;_sacat=0&amp;LH_Sold=1&amp;LH_Complete=1&amp;_sop=13", "Completed")</f>
        <v/>
      </c>
      <c r="K355" s="5" t="inlineStr">
        <is>
          <t>2026 Topps BUBBA CHANDLER #91C-75 1991 Chrome Silver Pack Mojo Ref RC Rookie</t>
        </is>
      </c>
    </row>
    <row r="356">
      <c r="A356" s="11" t="inlineStr">
        <is>
          <t>BE-00029-43368</t>
        </is>
      </c>
      <c r="B356" s="11" t="inlineStr">
        <is>
          <t>2025 Bowman Draft JESUS MADE #PP-16 Chrome Prized Prospects Mojo Refractor</t>
        </is>
      </c>
      <c r="C356" s="12" t="n">
        <v>4.99</v>
      </c>
      <c r="D356" s="12" t="n">
        <v>2.69</v>
      </c>
      <c r="E356" s="12" t="n">
        <v>-2.3</v>
      </c>
      <c r="F356" s="13" t="n">
        <v>-46.1</v>
      </c>
      <c r="G356" s="11" t="inlineStr">
        <is>
          <t>⬇ Price Down</t>
        </is>
      </c>
      <c r="H356" s="11" t="inlineStr">
        <is>
          <t>87%</t>
        </is>
      </c>
      <c r="I356" s="11">
        <f>HYPERLINK("https://www.ebay.com/sch/261328/i.html?_dcat=261328&amp;_fsrp=1&amp;rt=nc&amp;_from=R40&amp;_nkw=2025%20Bowman%20Draft%20JESUS%20MADE%20%23PP-16%20Chrome%20Prized%20Prospects%20Mojo%20Refractor&amp;_sacat=0&amp;_sop=15&amp;rt=nc&amp;LH_BIN=1", "Active")</f>
        <v/>
      </c>
      <c r="J356" s="11">
        <f>HYPERLINK("https://www.ebay.com/sch/261328/i.html?_from=R40&amp;_nkw=2025%20Bowman%20Draft%20JESUS%20MADE%20%23PP-16%20Chrome%20Prized%20Prospects%20Mojo%20Refractor&amp;_sacat=0&amp;LH_Sold=1&amp;LH_Complete=1&amp;_sop=13", "Completed")</f>
        <v/>
      </c>
      <c r="K356" s="11" t="inlineStr">
        <is>
          <t>2025 Bowman Chrome Draft Mega Refractor Prized Prospects #PP16 Jesus Made</t>
        </is>
      </c>
    </row>
    <row r="357">
      <c r="A357" s="2" t="inlineStr">
        <is>
          <t>BE-00039-48729</t>
        </is>
      </c>
      <c r="B357" s="2" t="inlineStr">
        <is>
          <t>2026 Topps AUSTIN WELLS #220 Sandglitter Yankees</t>
        </is>
      </c>
      <c r="C357" s="3" t="n">
        <v>2.99</v>
      </c>
      <c r="D357" s="3" t="n">
        <v>2.49</v>
      </c>
      <c r="E357" s="3" t="n">
        <v>-0.5</v>
      </c>
      <c r="F357" s="4" t="n">
        <v>-16.7</v>
      </c>
      <c r="G357" s="2" t="inlineStr">
        <is>
          <t>🔵 Floored $2.49 — free ship or $0.99 ship?</t>
        </is>
      </c>
      <c r="H357" s="2" t="inlineStr">
        <is>
          <t>68%</t>
        </is>
      </c>
      <c r="I357" s="2">
        <f>HYPERLINK("https://www.ebay.com/sch/261328/i.html?_dcat=261328&amp;_fsrp=1&amp;rt=nc&amp;_from=R40&amp;_nkw=2026%20Topps%20AUSTIN%20WELLS%20%23220%20Sandglitter%20Yankees&amp;_sacat=0&amp;_sop=15&amp;rt=nc&amp;LH_BIN=1", "Active")</f>
        <v/>
      </c>
      <c r="J357" s="2">
        <f>HYPERLINK("https://www.ebay.com/sch/261328/i.html?_from=R40&amp;_nkw=2026%20Topps%20AUSTIN%20WELLS%20%23220%20Sandglitter%20Yankees&amp;_sacat=0&amp;LH_Sold=1&amp;LH_Complete=1&amp;_sop=13", "Completed")</f>
        <v/>
      </c>
      <c r="K357" s="2" t="inlineStr">
        <is>
          <t>Austin Wells #220 Sandglitter Foil New York Yankees Topps 2026 Series One</t>
        </is>
      </c>
    </row>
    <row r="358">
      <c r="A358" s="5" t="inlineStr">
        <is>
          <t>BE-00010-87303</t>
        </is>
      </c>
      <c r="B358" s="5" t="inlineStr">
        <is>
          <t>2025 Bowman Draft ZYHIR HOPE #BIA-11 In Action Mojo Refractor Dodgers</t>
        </is>
      </c>
      <c r="C358" s="6" t="n">
        <v>3.49</v>
      </c>
      <c r="D358" s="6" t="n">
        <v>4.19</v>
      </c>
      <c r="E358" s="6" t="n">
        <v>0.7</v>
      </c>
      <c r="F358" s="7" t="n">
        <v>20.1</v>
      </c>
      <c r="G358" s="5" t="inlineStr">
        <is>
          <t>⬆ Price Up</t>
        </is>
      </c>
      <c r="H358" s="5" t="inlineStr">
        <is>
          <t>76%</t>
        </is>
      </c>
      <c r="I358" s="5">
        <f>HYPERLINK("https://www.ebay.com/sch/261328/i.html?_dcat=261328&amp;_fsrp=1&amp;rt=nc&amp;_from=R40&amp;_nkw=2025%20Bowman%20Draft%20ZYHIR%20HOPE%20%23BIA-11%20In%20Action%20Mojo%20Refractor%20Dodgers&amp;_sacat=0&amp;_sop=15&amp;rt=nc&amp;LH_BIN=1", "Active")</f>
        <v/>
      </c>
      <c r="J358" s="5">
        <f>HYPERLINK("https://www.ebay.com/sch/261328/i.html?_from=R40&amp;_nkw=2025%20Bowman%20Draft%20ZYHIR%20HOPE%20%23BIA-11%20In%20Action%20Mojo%20Refractor%20Dodgers&amp;_sacat=0&amp;LH_Sold=1&amp;LH_Complete=1&amp;_sop=13", "Completed")</f>
        <v/>
      </c>
      <c r="K358" s="5" t="inlineStr">
        <is>
          <t>Zyhir Hope MOJO REFRACTOR In Action #BIA-11 2025 Bowman Draft Dodgers</t>
        </is>
      </c>
    </row>
    <row r="359">
      <c r="A359" s="11" t="inlineStr">
        <is>
          <t>BE-00022-63800</t>
        </is>
      </c>
      <c r="B359" s="11" t="inlineStr">
        <is>
          <t>2025 Bowman Draft JESUS MADE #BDC-196 Chrome Mojo Refractor Brewers</t>
        </is>
      </c>
      <c r="C359" s="12" t="n">
        <v>3.99</v>
      </c>
      <c r="D359" s="12" t="n">
        <v>3.69</v>
      </c>
      <c r="E359" s="12" t="n">
        <v>-0.3</v>
      </c>
      <c r="F359" s="13" t="n">
        <v>-7.5</v>
      </c>
      <c r="G359" s="11" t="inlineStr">
        <is>
          <t>⬇ Price Down</t>
        </is>
      </c>
      <c r="H359" s="11" t="inlineStr">
        <is>
          <t>87%</t>
        </is>
      </c>
      <c r="I359" s="11">
        <f>HYPERLINK("https://www.ebay.com/sch/261328/i.html?_dcat=261328&amp;_fsrp=1&amp;rt=nc&amp;_from=R40&amp;_nkw=2025%20Bowman%20Draft%20JESUS%20MADE%20%23BDC-196%20Chrome%20Mojo%20Refractor%20Brewers&amp;_sacat=0&amp;_sop=15&amp;rt=nc&amp;LH_BIN=1", "Active")</f>
        <v/>
      </c>
      <c r="J359" s="11">
        <f>HYPERLINK("https://www.ebay.com/sch/261328/i.html?_from=R40&amp;_nkw=2025%20Bowman%20Draft%20JESUS%20MADE%20%23BDC-196%20Chrome%20Mojo%20Refractor%20Brewers&amp;_sacat=0&amp;LH_Sold=1&amp;LH_Complete=1&amp;_sop=13", "Completed")</f>
        <v/>
      </c>
      <c r="K359" s="11" t="inlineStr">
        <is>
          <t>2025 Bowman Draft #BDC-196 Jesus Made Chrome Mojo Refractor Milwaukee Brewers</t>
        </is>
      </c>
    </row>
    <row r="360">
      <c r="A360" s="11" t="inlineStr">
        <is>
          <t>BE-00035-74485</t>
        </is>
      </c>
      <c r="B360" s="11" t="inlineStr">
        <is>
          <t>2025 Bowman Draft PETER KUSSOW #BDC-179 Chrome Refractor 1st Prospect Mets</t>
        </is>
      </c>
      <c r="C360" s="12" t="n">
        <v>3.49</v>
      </c>
      <c r="D360" s="12" t="n">
        <v>2.89</v>
      </c>
      <c r="E360" s="12" t="n">
        <v>-0.6</v>
      </c>
      <c r="F360" s="13" t="n">
        <v>-17.2</v>
      </c>
      <c r="G360" s="11" t="inlineStr">
        <is>
          <t>⬇ Price Down</t>
        </is>
      </c>
      <c r="H360" s="11" t="inlineStr">
        <is>
          <t>100%</t>
        </is>
      </c>
      <c r="I360" s="11">
        <f>HYPERLINK("https://www.ebay.com/sch/261328/i.html?_dcat=261328&amp;_fsrp=1&amp;rt=nc&amp;_from=R40&amp;_nkw=2025%20Bowman%20Draft%20PETER%20KUSSOW%20%23BDC-179%20Chrome%20Refractor%201st%20Prospect%20Mets&amp;_sacat=0&amp;_sop=15&amp;rt=nc&amp;LH_BIN=1", "Active")</f>
        <v/>
      </c>
      <c r="J360" s="11">
        <f>HYPERLINK("https://www.ebay.com/sch/261328/i.html?_from=R40&amp;_nkw=2025%20Bowman%20Draft%20PETER%20KUSSOW%20%23BDC-179%20Chrome%20Refractor%201st%20Prospect%20Mets&amp;_sacat=0&amp;LH_Sold=1&amp;LH_Complete=1&amp;_sop=13", "Completed")</f>
        <v/>
      </c>
      <c r="K360" s="11" t="inlineStr">
        <is>
          <t>2025 Bowman Draft Peter Kussow #BDC-179 Chrome Refractor 1st Prospect Mets</t>
        </is>
      </c>
    </row>
    <row r="361">
      <c r="A361" s="11" t="inlineStr">
        <is>
          <t>BE-00041-13394</t>
        </is>
      </c>
      <c r="B361" s="11" t="inlineStr">
        <is>
          <t>2026 Topps BOBBY WITT JR. #205 Sandglitter Royals</t>
        </is>
      </c>
      <c r="C361" s="12" t="n">
        <v>4.49</v>
      </c>
      <c r="D361" s="12" t="n">
        <v>2.89</v>
      </c>
      <c r="E361" s="12" t="n">
        <v>-1.6</v>
      </c>
      <c r="F361" s="13" t="n">
        <v>-35.6</v>
      </c>
      <c r="G361" s="11" t="inlineStr">
        <is>
          <t>⬇ Price Down</t>
        </is>
      </c>
      <c r="H361" s="11" t="inlineStr">
        <is>
          <t>69%</t>
        </is>
      </c>
      <c r="I361" s="11">
        <f>HYPERLINK("https://www.ebay.com/sch/261328/i.html?_dcat=261328&amp;_fsrp=1&amp;rt=nc&amp;_from=R40&amp;_nkw=2026%20Topps%20BOBBY%20WITT%20JR.%20%23205%20Sandglitter%20Royals&amp;_sacat=0&amp;_sop=15&amp;rt=nc&amp;LH_BIN=1", "Active")</f>
        <v/>
      </c>
      <c r="J361" s="11">
        <f>HYPERLINK("https://www.ebay.com/sch/261328/i.html?_from=R40&amp;_nkw=2026%20Topps%20BOBBY%20WITT%20JR.%20%23205%20Sandglitter%20Royals&amp;_sacat=0&amp;LH_Sold=1&amp;LH_Complete=1&amp;_sop=13", "Completed")</f>
        <v/>
      </c>
      <c r="K361" s="11" t="inlineStr">
        <is>
          <t>2026 Topps Series 1 Bobby Witt Jr. Kansas City Royals Sandglitter #205</t>
        </is>
      </c>
    </row>
    <row r="362">
      <c r="A362" s="11" t="inlineStr">
        <is>
          <t>BE-00003-42380</t>
        </is>
      </c>
      <c r="B362" s="11" t="inlineStr">
        <is>
          <t>2025 Bowman Draft GEORGE LOMBARD JR. #BDC-43 Chrome Mojo Refractor Yankees</t>
        </is>
      </c>
      <c r="C362" s="12" t="n">
        <v>3.49</v>
      </c>
      <c r="D362" s="12" t="n">
        <v>2.79</v>
      </c>
      <c r="E362" s="12" t="n">
        <v>-0.7</v>
      </c>
      <c r="F362" s="13" t="n">
        <v>-20.1</v>
      </c>
      <c r="G362" s="11" t="inlineStr">
        <is>
          <t>⬇ Price Down</t>
        </is>
      </c>
      <c r="H362" s="11" t="inlineStr">
        <is>
          <t>89%</t>
        </is>
      </c>
      <c r="I362" s="11">
        <f>HYPERLINK("https://www.ebay.com/sch/261328/i.html?_dcat=261328&amp;_fsrp=1&amp;rt=nc&amp;_from=R40&amp;_nkw=2025%20Bowman%20Draft%20GEORGE%20LOMBARD%20JR.%20%23BDC-43%20Chrome%20Mojo%20Refractor%20Yankees&amp;_sacat=0&amp;_sop=15&amp;rt=nc&amp;LH_BIN=1", "Active")</f>
        <v/>
      </c>
      <c r="J362" s="11">
        <f>HYPERLINK("https://www.ebay.com/sch/261328/i.html?_from=R40&amp;_nkw=2025%20Bowman%20Draft%20GEORGE%20LOMBARD%20JR.%20%23BDC-43%20Chrome%20Mojo%20Refractor%20Yankees&amp;_sacat=0&amp;LH_Sold=1&amp;LH_Complete=1&amp;_sop=13", "Completed")</f>
        <v/>
      </c>
      <c r="K362" s="11" t="inlineStr">
        <is>
          <t>2025 Bowman Draft - Chrome George Lombard Jr. #BDC-43 Mojo Refractor Yankees</t>
        </is>
      </c>
    </row>
    <row r="363">
      <c r="A363" t="inlineStr">
        <is>
          <t>BE-00040-38128</t>
        </is>
      </c>
      <c r="B363" t="inlineStr">
        <is>
          <t>2026 Topps JONATHAN INDIA #237 Rainbow Foil Royals</t>
        </is>
      </c>
      <c r="C363" s="14" t="n">
        <v>3.49</v>
      </c>
      <c r="D363" s="14" t="n"/>
      <c r="E363" s="14" t="inlineStr"/>
      <c r="F363" s="15" t="inlineStr"/>
      <c r="G363" t="inlineStr">
        <is>
          <t>? No price data</t>
        </is>
      </c>
      <c r="H363" t="inlineStr">
        <is>
          <t>57%</t>
        </is>
      </c>
      <c r="I363">
        <f>HYPERLINK("https://www.ebay.com/sch/261328/i.html?_dcat=261328&amp;_fsrp=1&amp;rt=nc&amp;_from=R40&amp;_nkw=2026%20Topps%20JONATHAN%20INDIA%20%23237%20Rainbow%20Foil%20Royals&amp;_sacat=0&amp;_sop=15&amp;rt=nc&amp;LH_BIN=1", "Active")</f>
        <v/>
      </c>
      <c r="J363">
        <f>HYPERLINK("https://www.ebay.com/sch/261328/i.html?_from=R40&amp;_nkw=2026%20Topps%20JONATHAN%20INDIA%20%23237%20Rainbow%20Foil%20Royals&amp;_sacat=0&amp;LH_Sold=1&amp;LH_Complete=1&amp;_sop=13", "Completed")</f>
        <v/>
      </c>
      <c r="K363" t="inlineStr">
        <is>
          <t>2026 Topps Series 1 Baseball  #1-250 - Pick Your Card - Ships Free</t>
        </is>
      </c>
    </row>
    <row r="364">
      <c r="A364" s="2" t="inlineStr">
        <is>
          <t>BE-00019-24801</t>
        </is>
      </c>
      <c r="B364" s="2" t="inlineStr">
        <is>
          <t>2025 Bowman Draft LIAM DOYLE #PP-4 Chrome Prized Prospects Mojo Refractor</t>
        </is>
      </c>
      <c r="C364" s="3" t="n">
        <v>2.99</v>
      </c>
      <c r="D364" s="3" t="n">
        <v>2.49</v>
      </c>
      <c r="E364" s="3" t="n">
        <v>-0.5</v>
      </c>
      <c r="F364" s="4" t="n">
        <v>-16.7</v>
      </c>
      <c r="G364" s="2" t="inlineStr">
        <is>
          <t>🔵 Floored $2.49 — free ship or $0.99 ship?</t>
        </is>
      </c>
      <c r="H364" s="2" t="inlineStr">
        <is>
          <t>90%</t>
        </is>
      </c>
      <c r="I364" s="2">
        <f>HYPERLINK("https://www.ebay.com/sch/261328/i.html?_dcat=261328&amp;_fsrp=1&amp;rt=nc&amp;_from=R40&amp;_nkw=2025%20Bowman%20Draft%20LIAM%20DOYLE%20%23PP-4%20Chrome%20Prized%20Prospects%20Mojo%20Refractor&amp;_sacat=0&amp;_sop=15&amp;rt=nc&amp;LH_BIN=1", "Active")</f>
        <v/>
      </c>
      <c r="J364" s="2">
        <f>HYPERLINK("https://www.ebay.com/sch/261328/i.html?_from=R40&amp;_nkw=2025%20Bowman%20Draft%20LIAM%20DOYLE%20%23PP-4%20Chrome%20Prized%20Prospects%20Mojo%20Refractor&amp;_sacat=0&amp;LH_Sold=1&amp;LH_Complete=1&amp;_sop=13", "Completed")</f>
        <v/>
      </c>
      <c r="K364" s="2" t="inlineStr">
        <is>
          <t>2025 Bowman Draft Chrome Prized Prospects Liam Doyle #PP-4 Mojo Refractor</t>
        </is>
      </c>
    </row>
    <row r="365">
      <c r="A365" t="inlineStr">
        <is>
          <t>BE-00038-12875</t>
        </is>
      </c>
      <c r="B365" t="inlineStr">
        <is>
          <t>2026 Topps DAVID BEDNAR #228 Rainbow Foil Yankees</t>
        </is>
      </c>
      <c r="C365" s="14" t="n">
        <v>3.99</v>
      </c>
      <c r="D365" s="14" t="n"/>
      <c r="E365" s="14" t="inlineStr"/>
      <c r="F365" s="15" t="inlineStr"/>
      <c r="G365" t="inlineStr">
        <is>
          <t>? No price data</t>
        </is>
      </c>
      <c r="H365" t="inlineStr">
        <is>
          <t>58%</t>
        </is>
      </c>
      <c r="I365">
        <f>HYPERLINK("https://www.ebay.com/sch/261328/i.html?_dcat=261328&amp;_fsrp=1&amp;rt=nc&amp;_from=R40&amp;_nkw=2026%20Topps%20DAVID%20BEDNAR%20%23228%20Rainbow%20Foil%20Yankees&amp;_sacat=0&amp;_sop=15&amp;rt=nc&amp;LH_BIN=1", "Active")</f>
        <v/>
      </c>
      <c r="J365">
        <f>HYPERLINK("https://www.ebay.com/sch/261328/i.html?_from=R40&amp;_nkw=2026%20Topps%20DAVID%20BEDNAR%20%23228%20Rainbow%20Foil%20Yankees&amp;_sacat=0&amp;LH_Sold=1&amp;LH_Complete=1&amp;_sop=13", "Completed")</f>
        <v/>
      </c>
      <c r="K365" t="inlineStr">
        <is>
          <t>2026 Topps Series 1  Rainbow Foil # 176-350  Complete your Set - You Pick</t>
        </is>
      </c>
    </row>
    <row r="366">
      <c r="A366" s="2" t="inlineStr">
        <is>
          <t>BE-00037-00083</t>
        </is>
      </c>
      <c r="B366" s="2" t="inlineStr">
        <is>
          <t>2026 Topps CAL RALEIGH #140 Sandglitter Mariners</t>
        </is>
      </c>
      <c r="C366" s="3" t="n">
        <v>5.49</v>
      </c>
      <c r="D366" s="3" t="n">
        <v>2.49</v>
      </c>
      <c r="E366" s="3" t="n">
        <v>-3</v>
      </c>
      <c r="F366" s="4" t="n">
        <v>-54.6</v>
      </c>
      <c r="G366" s="2" t="inlineStr">
        <is>
          <t>🔵 Floored $2.49 — free ship or $0.99 ship?</t>
        </is>
      </c>
      <c r="H366" s="2" t="inlineStr">
        <is>
          <t>75%</t>
        </is>
      </c>
      <c r="I366" s="2">
        <f>HYPERLINK("https://www.ebay.com/sch/261328/i.html?_dcat=261328&amp;_fsrp=1&amp;rt=nc&amp;_from=R40&amp;_nkw=2026%20Topps%20CAL%20RALEIGH%20%23140%20Sandglitter%20Mariners&amp;_sacat=0&amp;_sop=15&amp;rt=nc&amp;LH_BIN=1", "Active")</f>
        <v/>
      </c>
      <c r="J366" s="2">
        <f>HYPERLINK("https://www.ebay.com/sch/261328/i.html?_from=R40&amp;_nkw=2026%20Topps%20CAL%20RALEIGH%20%23140%20Sandglitter%20Mariners&amp;_sacat=0&amp;LH_Sold=1&amp;LH_Complete=1&amp;_sop=13", "Completed")</f>
        <v/>
      </c>
      <c r="K366" s="2" t="inlineStr">
        <is>
          <t>Cal Raleigh 2026 Topps Series 1 #140 Seattle Mariners Sandglitter</t>
        </is>
      </c>
    </row>
    <row r="367">
      <c r="A367" s="5" t="inlineStr">
        <is>
          <t>BE-00013-89852</t>
        </is>
      </c>
      <c r="B367" s="5" t="inlineStr">
        <is>
          <t>2025 Bowman Draft CJ GRAY #BDC-197 Chrome Lazer Refractor 1st Prospect Angels</t>
        </is>
      </c>
      <c r="C367" s="6" t="n">
        <v>2.49</v>
      </c>
      <c r="D367" s="6" t="n">
        <v>3.39</v>
      </c>
      <c r="E367" s="6" t="n">
        <v>0.9</v>
      </c>
      <c r="F367" s="7" t="n">
        <v>36.1</v>
      </c>
      <c r="G367" s="5" t="inlineStr">
        <is>
          <t>⬆ Price Up</t>
        </is>
      </c>
      <c r="H367" s="5" t="inlineStr">
        <is>
          <t>100%</t>
        </is>
      </c>
      <c r="I367" s="5">
        <f>HYPERLINK("https://www.ebay.com/sch/261328/i.html?_dcat=261328&amp;_fsrp=1&amp;rt=nc&amp;_from=R40&amp;_nkw=2025%20Bowman%20Draft%20CJ%20GRAY%20%23BDC-197%20Chrome%20Lazer%20Refractor%201st%20Prospect%20Angels&amp;_sacat=0&amp;_sop=15&amp;rt=nc&amp;LH_BIN=1", "Active")</f>
        <v/>
      </c>
      <c r="J367" s="5">
        <f>HYPERLINK("https://www.ebay.com/sch/261328/i.html?_from=R40&amp;_nkw=2025%20Bowman%20Draft%20CJ%20GRAY%20%23BDC-197%20Chrome%20Lazer%20Refractor%201st%20Prospect%20Angels&amp;_sacat=0&amp;LH_Sold=1&amp;LH_Complete=1&amp;_sop=13", "Completed")</f>
        <v/>
      </c>
      <c r="K367" s="5" t="inlineStr">
        <is>
          <t>2025 Bowman Draft CJ GRAY #BDC-197 Chrome Lazer Refractor 1st Prospect Angels</t>
        </is>
      </c>
    </row>
    <row r="368">
      <c r="A368" t="inlineStr">
        <is>
          <t>BE-00006-96960</t>
        </is>
      </c>
      <c r="B368" t="inlineStr">
        <is>
          <t>2026 Topps YOU 'SEA' THAT? #168 Rainbow Foil Mariners</t>
        </is>
      </c>
      <c r="C368" s="14" t="n">
        <v>2.59</v>
      </c>
      <c r="D368" s="14" t="n"/>
      <c r="E368" s="14" t="inlineStr"/>
      <c r="F368" s="15" t="inlineStr"/>
      <c r="G368" t="inlineStr">
        <is>
          <t>? No price data</t>
        </is>
      </c>
      <c r="H368" t="inlineStr">
        <is>
          <t>57%</t>
        </is>
      </c>
      <c r="I368">
        <f>HYPERLINK("https://www.ebay.com/sch/261328/i.html?_dcat=261328&amp;_fsrp=1&amp;rt=nc&amp;_from=R40&amp;_nkw=2026%20Topps%20YOU%20'SEA'%20THAT%3F%20%23168%20Rainbow%20Foil%20Mariners&amp;_sacat=0&amp;_sop=15&amp;rt=nc&amp;LH_BIN=1", "Active")</f>
        <v/>
      </c>
      <c r="J368">
        <f>HYPERLINK("https://www.ebay.com/sch/261328/i.html?_from=R40&amp;_nkw=2026%20Topps%20YOU%20'SEA'%20THAT%3F%20%23168%20Rainbow%20Foil%20Mariners&amp;_sacat=0&amp;LH_Sold=1&amp;LH_Complete=1&amp;_sop=13", "Completed")</f>
        <v/>
      </c>
      <c r="K368" t="inlineStr">
        <is>
          <t>2026 Topps Series 1 Baseball  #1-250 - Pick Your Card - Ships Free</t>
        </is>
      </c>
    </row>
    <row r="369">
      <c r="A369" s="5" t="inlineStr">
        <is>
          <t>BE-00007-56631</t>
        </is>
      </c>
      <c r="B369" s="5" t="inlineStr">
        <is>
          <t>2025 Bowman Draft JACOB REIMER #BDC-188 Chrome Lazer Refractor Mets</t>
        </is>
      </c>
      <c r="C369" s="6" t="n">
        <v>2.49</v>
      </c>
      <c r="D369" s="6" t="n">
        <v>3.39</v>
      </c>
      <c r="E369" s="6" t="n">
        <v>0.9</v>
      </c>
      <c r="F369" s="7" t="n">
        <v>36.1</v>
      </c>
      <c r="G369" s="5" t="inlineStr">
        <is>
          <t>⬆ Price Up</t>
        </is>
      </c>
      <c r="H369" s="5" t="inlineStr">
        <is>
          <t>100%</t>
        </is>
      </c>
      <c r="I369" s="5">
        <f>HYPERLINK("https://www.ebay.com/sch/261328/i.html?_dcat=261328&amp;_fsrp=1&amp;rt=nc&amp;_from=R40&amp;_nkw=2025%20Bowman%20Draft%20JACOB%20REIMER%20%23BDC-188%20Chrome%20Lazer%20Refractor%20Mets&amp;_sacat=0&amp;_sop=15&amp;rt=nc&amp;LH_BIN=1", "Active")</f>
        <v/>
      </c>
      <c r="J369" s="5">
        <f>HYPERLINK("https://www.ebay.com/sch/261328/i.html?_from=R40&amp;_nkw=2025%20Bowman%20Draft%20JACOB%20REIMER%20%23BDC-188%20Chrome%20Lazer%20Refractor%20Mets&amp;_sacat=0&amp;LH_Sold=1&amp;LH_Complete=1&amp;_sop=13", "Completed")</f>
        <v/>
      </c>
      <c r="K369" s="5" t="inlineStr">
        <is>
          <t>2025 Bowman Draft JACOB REIMER #BDC-188 Chrome Lazer Refractor Mets</t>
        </is>
      </c>
    </row>
    <row r="370">
      <c r="A370" s="2" t="inlineStr">
        <is>
          <t>BE-00005-35184</t>
        </is>
      </c>
      <c r="B370" s="2" t="inlineStr">
        <is>
          <t>2026 Topps DOMINIC CANZONE #156 Sandglitter Mariners</t>
        </is>
      </c>
      <c r="C370" s="3" t="n">
        <v>3.49</v>
      </c>
      <c r="D370" s="3" t="n">
        <v>2.49</v>
      </c>
      <c r="E370" s="3" t="n">
        <v>-1</v>
      </c>
      <c r="F370" s="4" t="n">
        <v>-28.7</v>
      </c>
      <c r="G370" s="2" t="inlineStr">
        <is>
          <t>🔵 Floored $2.49 — free ship or $0.99 ship?</t>
        </is>
      </c>
      <c r="H370" s="2" t="inlineStr">
        <is>
          <t>87%</t>
        </is>
      </c>
      <c r="I370" s="2">
        <f>HYPERLINK("https://www.ebay.com/sch/261328/i.html?_dcat=261328&amp;_fsrp=1&amp;rt=nc&amp;_from=R40&amp;_nkw=2026%20Topps%20DOMINIC%20CANZONE%20%23156%20Sandglitter%20Mariners&amp;_sacat=0&amp;_sop=15&amp;rt=nc&amp;LH_BIN=1", "Active")</f>
        <v/>
      </c>
      <c r="J370" s="2">
        <f>HYPERLINK("https://www.ebay.com/sch/261328/i.html?_from=R40&amp;_nkw=2026%20Topps%20DOMINIC%20CANZONE%20%23156%20Sandglitter%20Mariners&amp;_sacat=0&amp;LH_Sold=1&amp;LH_Complete=1&amp;_sop=13", "Completed")</f>
        <v/>
      </c>
      <c r="K370" s="2" t="inlineStr">
        <is>
          <t>2026 Topps #156 Dominic Canzone Sandglitter Seattle Mariners</t>
        </is>
      </c>
    </row>
    <row r="371">
      <c r="A371" s="2" t="inlineStr">
        <is>
          <t>BE-00043-89377</t>
        </is>
      </c>
      <c r="B371" s="2" t="inlineStr">
        <is>
          <t>2026 Topps JAC CAGLIANONE #TP-22 Profiles RC Royals Rookie</t>
        </is>
      </c>
      <c r="C371" s="3" t="n">
        <v>3.49</v>
      </c>
      <c r="D371" s="3" t="n">
        <v>2.49</v>
      </c>
      <c r="E371" s="3" t="n">
        <v>-1</v>
      </c>
      <c r="F371" s="4" t="n">
        <v>-28.7</v>
      </c>
      <c r="G371" s="2" t="inlineStr">
        <is>
          <t>🔵 Floored $2.49 — free ship or $0.99 ship?</t>
        </is>
      </c>
      <c r="H371" s="2" t="inlineStr">
        <is>
          <t>87%</t>
        </is>
      </c>
      <c r="I371" s="2">
        <f>HYPERLINK("https://www.ebay.com/sch/261328/i.html?_dcat=261328&amp;_fsrp=1&amp;rt=nc&amp;_from=R40&amp;_nkw=2026%20Topps%20JAC%20CAGLIANONE%20%23TP-22%20Profiles%20RC%20Royals%20Rookie&amp;_sacat=0&amp;_sop=15&amp;rt=nc&amp;LH_BIN=1", "Active")</f>
        <v/>
      </c>
      <c r="J371" s="2">
        <f>HYPERLINK("https://www.ebay.com/sch/261328/i.html?_from=R40&amp;_nkw=2026%20Topps%20JAC%20CAGLIANONE%20%23TP-22%20Profiles%20RC%20Royals%20Rookie&amp;_sacat=0&amp;LH_Sold=1&amp;LH_Complete=1&amp;_sop=13", "Completed")</f>
        <v/>
      </c>
      <c r="K371" s="2" t="inlineStr">
        <is>
          <t>2026 Topps Profiles Rookie JAC CAGLIANONE #TP-22 Kansas City Royals RC</t>
        </is>
      </c>
    </row>
    <row r="372">
      <c r="A372" s="2" t="inlineStr">
        <is>
          <t>BE-00025-08508</t>
        </is>
      </c>
      <c r="B372" s="2" t="inlineStr">
        <is>
          <t>2026 Topps SPENCER HORWITZ #77 Sandglitter Pirates</t>
        </is>
      </c>
      <c r="C372" s="3" t="n">
        <v>2.99</v>
      </c>
      <c r="D372" s="3" t="n">
        <v>2.49</v>
      </c>
      <c r="E372" s="3" t="n">
        <v>-0.5</v>
      </c>
      <c r="F372" s="4" t="n">
        <v>-16.7</v>
      </c>
      <c r="G372" s="2" t="inlineStr">
        <is>
          <t>🔵 Floored $2.49 — free ship or $0.99 ship?</t>
        </is>
      </c>
      <c r="H372" s="2" t="inlineStr">
        <is>
          <t>84%</t>
        </is>
      </c>
      <c r="I372" s="2">
        <f>HYPERLINK("https://www.ebay.com/sch/261328/i.html?_dcat=261328&amp;_fsrp=1&amp;rt=nc&amp;_from=R40&amp;_nkw=2026%20Topps%20SPENCER%20HORWITZ%20%2377%20Sandglitter%20Pirates&amp;_sacat=0&amp;_sop=15&amp;rt=nc&amp;LH_BIN=1", "Active")</f>
        <v/>
      </c>
      <c r="J372" s="2">
        <f>HYPERLINK("https://www.ebay.com/sch/261328/i.html?_from=R40&amp;_nkw=2026%20Topps%20SPENCER%20HORWITZ%20%2377%20Sandglitter%20Pirates&amp;_sacat=0&amp;LH_Sold=1&amp;LH_Complete=1&amp;_sop=13", "Completed")</f>
        <v/>
      </c>
      <c r="K372" s="2" t="inlineStr">
        <is>
          <t>2026 Topps Series 1 #77 Spencer Horwitz Pittsburgh Pirates Sandglitter</t>
        </is>
      </c>
    </row>
    <row r="373">
      <c r="A373" s="2" t="inlineStr">
        <is>
          <t>BBA-000001-00046-19946</t>
        </is>
      </c>
      <c r="B373" s="2" t="inlineStr">
        <is>
          <t>2026 Topps ADAM FRAZIER #181 Rainbow Foil Royals</t>
        </is>
      </c>
      <c r="C373" s="3" t="n">
        <v>3.49</v>
      </c>
      <c r="D373" s="3" t="n">
        <v>2.49</v>
      </c>
      <c r="E373" s="3" t="n">
        <v>-1</v>
      </c>
      <c r="F373" s="4" t="n">
        <v>-28.7</v>
      </c>
      <c r="G373" s="2" t="inlineStr">
        <is>
          <t>🔵 Floored $2.49 — free ship or $0.99 ship?</t>
        </is>
      </c>
      <c r="H373" s="2" t="inlineStr">
        <is>
          <t>61%</t>
        </is>
      </c>
      <c r="I373" s="2">
        <f>HYPERLINK("https://www.ebay.com/sch/261328/i.html?_dcat=261328&amp;_fsrp=1&amp;rt=nc&amp;_from=R40&amp;_nkw=2026%20Topps%20ADAM%20FRAZIER%20%23181%20Rainbow%20Foil%20Royals&amp;_sacat=0&amp;_sop=15&amp;rt=nc&amp;LH_BIN=1", "Active")</f>
        <v/>
      </c>
      <c r="J373" s="2">
        <f>HYPERLINK("https://www.ebay.com/sch/261328/i.html?_from=R40&amp;_nkw=2026%20Topps%20ADAM%20FRAZIER%20%23181%20Rainbow%20Foil%20Royals&amp;_sacat=0&amp;LH_Sold=1&amp;LH_Complete=1&amp;_sop=13", "Completed")</f>
        <v/>
      </c>
      <c r="K373" s="2" t="inlineStr">
        <is>
          <t>2026 Topps Series 1 Baseball  #1-250 - Pick Your Card - Ships Free</t>
        </is>
      </c>
    </row>
    <row r="374">
      <c r="A374" s="5" t="inlineStr">
        <is>
          <t>BBA-000001-00066-82994</t>
        </is>
      </c>
      <c r="B374" s="5" t="inlineStr">
        <is>
          <t>2025 Bowman Draft DEAN MOSS #BD-114 Sky Blue Border 121/499 Rays</t>
        </is>
      </c>
      <c r="C374" s="6" t="n">
        <v>3.99</v>
      </c>
      <c r="D374" s="6" t="n">
        <v>4.79</v>
      </c>
      <c r="E374" s="6" t="n">
        <v>0.8</v>
      </c>
      <c r="F374" s="7" t="n">
        <v>20.1</v>
      </c>
      <c r="G374" s="5" t="inlineStr">
        <is>
          <t>⬆ Price Up</t>
        </is>
      </c>
      <c r="H374" s="5" t="inlineStr">
        <is>
          <t>100%</t>
        </is>
      </c>
      <c r="I374" s="5">
        <f>HYPERLINK("https://www.ebay.com/sch/261328/i.html?_dcat=261328&amp;_fsrp=1&amp;rt=nc&amp;_from=R40&amp;_nkw=2025%20Bowman%20Draft%20DEAN%20MOSS%20%23BD-114%20Sky%20Blue%20Border%20121%2F499%20Rays&amp;_sacat=0&amp;_sop=15&amp;rt=nc&amp;LH_BIN=1", "Active")</f>
        <v/>
      </c>
      <c r="J374" s="5">
        <f>HYPERLINK("https://www.ebay.com/sch/261328/i.html?_from=R40&amp;_nkw=2025%20Bowman%20Draft%20DEAN%20MOSS%20%23BD-114%20Sky%20Blue%20Border%20121%2F499%20Rays&amp;_sacat=0&amp;LH_Sold=1&amp;LH_Complete=1&amp;_sop=13", "Completed")</f>
        <v/>
      </c>
      <c r="K374" s="5" t="inlineStr">
        <is>
          <t>2025 Bowman Draft DEAN MOSS #BD-114 Sky Blue Border 121/499 Rays</t>
        </is>
      </c>
    </row>
    <row r="375">
      <c r="A375" s="5" t="inlineStr">
        <is>
          <t>BBA-000001-00067-04385</t>
        </is>
      </c>
      <c r="B375" s="5" t="inlineStr">
        <is>
          <t>2025 Bowman Draft LUIS PENA #BDC-105 Chrome Purple Refractor 48/250 Brewers</t>
        </is>
      </c>
      <c r="C375" s="6" t="n">
        <v>20.49</v>
      </c>
      <c r="D375" s="6" t="n">
        <v>20.79</v>
      </c>
      <c r="E375" s="6" t="n">
        <v>0.3</v>
      </c>
      <c r="F375" s="7" t="n">
        <v>1.5</v>
      </c>
      <c r="G375" s="5" t="inlineStr">
        <is>
          <t>⬆ Price Up</t>
        </is>
      </c>
      <c r="H375" s="5" t="inlineStr">
        <is>
          <t>100%</t>
        </is>
      </c>
      <c r="I375" s="5">
        <f>HYPERLINK("https://www.ebay.com/sch/261328/i.html?_dcat=261328&amp;_fsrp=1&amp;rt=nc&amp;_from=R40&amp;_nkw=2025%20Bowman%20Draft%20LUIS%20PENA%20%23BDC-105%20Chrome%20Purple%20Refractor%2048%2F250%20Brewers&amp;_sacat=0&amp;_sop=15&amp;rt=nc&amp;LH_BIN=1", "Active")</f>
        <v/>
      </c>
      <c r="J375" s="5">
        <f>HYPERLINK("https://www.ebay.com/sch/261328/i.html?_from=R40&amp;_nkw=2025%20Bowman%20Draft%20LUIS%20PENA%20%23BDC-105%20Chrome%20Purple%20Refractor%2048%2F250%20Brewers&amp;_sacat=0&amp;LH_Sold=1&amp;LH_Complete=1&amp;_sop=13", "Completed")</f>
        <v/>
      </c>
      <c r="K375" s="5" t="inlineStr">
        <is>
          <t>2025 Bowman Draft LUIS PENA #BDC-105 Chrome Purple Refractor 48/250 Brewers</t>
        </is>
      </c>
    </row>
    <row r="376">
      <c r="A376" s="5" t="inlineStr">
        <is>
          <t>BBA-000001-00057-68291</t>
        </is>
      </c>
      <c r="B376" s="5" t="inlineStr">
        <is>
          <t>2026 Topps JAZZ CHISHOLM JR. #ATT-3 2025 All-Topps Team Yankees Basketball</t>
        </is>
      </c>
      <c r="C376" s="6" t="n">
        <v>2.99</v>
      </c>
      <c r="D376" s="6" t="n">
        <v>3.89</v>
      </c>
      <c r="E376" s="6" t="n">
        <v>0.9</v>
      </c>
      <c r="F376" s="7" t="n">
        <v>30.1</v>
      </c>
      <c r="G376" s="5" t="inlineStr">
        <is>
          <t>⬆ Price Up</t>
        </is>
      </c>
      <c r="H376" s="5" t="inlineStr">
        <is>
          <t>100%</t>
        </is>
      </c>
      <c r="I376" s="5">
        <f>HYPERLINK("https://www.ebay.com/sch/261328/i.html?_dcat=261328&amp;_fsrp=1&amp;rt=nc&amp;_from=R40&amp;_nkw=2026%20Topps%20JAZZ%20CHISHOLM%20JR.%20%23ATT-3%202025%20All-Topps%20Team%20Yankees%20Basketball&amp;_sacat=0&amp;_sop=15&amp;rt=nc&amp;LH_BIN=1", "Active")</f>
        <v/>
      </c>
      <c r="J376" s="5">
        <f>HYPERLINK("https://www.ebay.com/sch/261328/i.html?_from=R40&amp;_nkw=2026%20Topps%20JAZZ%20CHISHOLM%20JR.%20%23ATT-3%202025%20All-Topps%20Team%20Yankees%20Basketball&amp;_sacat=0&amp;LH_Sold=1&amp;LH_Complete=1&amp;_sop=13", "Completed")</f>
        <v/>
      </c>
      <c r="K376" s="5" t="inlineStr">
        <is>
          <t>2026 Topps JAZZ CHISHOLM JR. #ATT-3 2025 All-Topps Team Yankees Basketball</t>
        </is>
      </c>
    </row>
    <row r="377">
      <c r="A377" s="2" t="inlineStr">
        <is>
          <t>BBA-000001-00047-26814</t>
        </is>
      </c>
      <c r="B377" s="2" t="inlineStr">
        <is>
          <t>2026 Topps CAM DEVANNEY #268 Rainbow Foil RC Pirates Rookie</t>
        </is>
      </c>
      <c r="C377" s="3" t="n">
        <v>3.49</v>
      </c>
      <c r="D377" s="3" t="n">
        <v>2.49</v>
      </c>
      <c r="E377" s="3" t="n">
        <v>-1</v>
      </c>
      <c r="F377" s="4" t="n">
        <v>-28.7</v>
      </c>
      <c r="G377" s="2" t="inlineStr">
        <is>
          <t>🔵 Floored $2.49 — free ship or $0.99 ship?</t>
        </is>
      </c>
      <c r="H377" s="2" t="inlineStr">
        <is>
          <t>71%</t>
        </is>
      </c>
      <c r="I377" s="2">
        <f>HYPERLINK("https://www.ebay.com/sch/261328/i.html?_dcat=261328&amp;_fsrp=1&amp;rt=nc&amp;_from=R40&amp;_nkw=2026%20Topps%20CAM%20DEVANNEY%20%23268%20Rainbow%20Foil%20RC%20Pirates%20Rookie&amp;_sacat=0&amp;_sop=15&amp;rt=nc&amp;LH_BIN=1", "Active")</f>
        <v/>
      </c>
      <c r="J377" s="2">
        <f>HYPERLINK("https://www.ebay.com/sch/261328/i.html?_from=R40&amp;_nkw=2026%20Topps%20CAM%20DEVANNEY%20%23268%20Rainbow%20Foil%20RC%20Pirates%20Rookie&amp;_sacat=0&amp;LH_Sold=1&amp;LH_Complete=1&amp;_sop=13", "Completed")</f>
        <v/>
      </c>
      <c r="K377" s="2" t="inlineStr">
        <is>
          <t>Cam Devanney 2026 Topps Rookie RC #268 Pittsburgh Pirates Baseball *351</t>
        </is>
      </c>
    </row>
    <row r="378">
      <c r="A378" s="2" t="inlineStr">
        <is>
          <t>Brian_batch_1_(lot)-00061-057228</t>
        </is>
      </c>
      <c r="B378" s="2" t="inlineStr">
        <is>
          <t>2026 Topps SPENCER HORWITZ #77 Rainbow Foil Pirates</t>
        </is>
      </c>
      <c r="C378" s="3" t="n">
        <v>2.99</v>
      </c>
      <c r="D378" s="3" t="n">
        <v>2.49</v>
      </c>
      <c r="E378" s="3" t="n">
        <v>-0.5</v>
      </c>
      <c r="F378" s="4" t="n">
        <v>-16.7</v>
      </c>
      <c r="G378" s="2" t="inlineStr">
        <is>
          <t>🔵 Floored $2.49 — free ship or $0.99 ship?</t>
        </is>
      </c>
      <c r="H378" s="2" t="inlineStr">
        <is>
          <t>84%</t>
        </is>
      </c>
      <c r="I378" s="2">
        <f>HYPERLINK("https://www.ebay.com/sch/261328/i.html?_dcat=261328&amp;_fsrp=1&amp;rt=nc&amp;_from=R40&amp;_nkw=2026%20Topps%20SPENCER%20HORWITZ%20%2377%20Rainbow%20Foil%20Pirates&amp;_sacat=0&amp;_sop=15&amp;rt=nc&amp;LH_BIN=1", "Active")</f>
        <v/>
      </c>
      <c r="J378" s="2">
        <f>HYPERLINK("https://www.ebay.com/sch/261328/i.html?_from=R40&amp;_nkw=2026%20Topps%20SPENCER%20HORWITZ%20%2377%20Rainbow%20Foil%20Pirates&amp;_sacat=0&amp;LH_Sold=1&amp;LH_Complete=1&amp;_sop=13", "Completed")</f>
        <v/>
      </c>
      <c r="K378" s="2" t="inlineStr">
        <is>
          <t>2026 Topps Series 1 - Spencer Horwitz Rainbow Foil #77 Pittsburgh Pirates</t>
        </is>
      </c>
    </row>
    <row r="379">
      <c r="A379" s="8" t="inlineStr">
        <is>
          <t>BBA-000001-00055-51976</t>
        </is>
      </c>
      <c r="B379" s="8" t="inlineStr">
        <is>
          <t>2025 Bowman Draft GEORGE LOMBARD JR. #PP-3 Chrome Prized Prospects Mojo</t>
        </is>
      </c>
      <c r="C379" s="9" t="n">
        <v>2.49</v>
      </c>
      <c r="D379" s="9" t="n">
        <v>2.49</v>
      </c>
      <c r="E379" s="9" t="n">
        <v>0</v>
      </c>
      <c r="F379" s="10" t="n">
        <v>0</v>
      </c>
      <c r="G379" s="8" t="inlineStr">
        <is>
          <t>— No Change</t>
        </is>
      </c>
      <c r="H379" s="8" t="inlineStr">
        <is>
          <t>87%</t>
        </is>
      </c>
      <c r="I379" s="8">
        <f>HYPERLINK("https://www.ebay.com/sch/261328/i.html?_dcat=261328&amp;_fsrp=1&amp;rt=nc&amp;_from=R40&amp;_nkw=2025%20Bowman%20Draft%20GEORGE%20LOMBARD%20JR.%20%23PP-3%20Chrome%20Prized%20Prospects%20Mojo&amp;_sacat=0&amp;_sop=15&amp;rt=nc&amp;LH_BIN=1", "Active")</f>
        <v/>
      </c>
      <c r="J379" s="8">
        <f>HYPERLINK("https://www.ebay.com/sch/261328/i.html?_from=R40&amp;_nkw=2025%20Bowman%20Draft%20GEORGE%20LOMBARD%20JR.%20%23PP-3%20Chrome%20Prized%20Prospects%20Mojo&amp;_sacat=0&amp;LH_Sold=1&amp;LH_Complete=1&amp;_sop=13", "Completed")</f>
        <v/>
      </c>
      <c r="K379" s="8" t="inlineStr">
        <is>
          <t>2025 Bowman Draft Chrome Prized Prospects Mojo Refractor George Lombard Jr #PP-3</t>
        </is>
      </c>
    </row>
    <row r="380">
      <c r="A380" s="11" t="inlineStr">
        <is>
          <t>BBA-000001-00006-51644</t>
        </is>
      </c>
      <c r="B380" s="11" t="inlineStr">
        <is>
          <t>2025-26 Topps Finest VJ EDGECOMBE #3 Common RC 76ers Rookie Basketball</t>
        </is>
      </c>
      <c r="C380" s="12" t="n">
        <v>7.25</v>
      </c>
      <c r="D380" s="12" t="n">
        <v>3.89</v>
      </c>
      <c r="E380" s="12" t="n">
        <v>-3.36</v>
      </c>
      <c r="F380" s="13" t="n">
        <v>-46.3</v>
      </c>
      <c r="G380" s="11" t="inlineStr">
        <is>
          <t>⬇ Price Down</t>
        </is>
      </c>
      <c r="H380" s="11" t="inlineStr">
        <is>
          <t>74%</t>
        </is>
      </c>
      <c r="I380" s="11">
        <f>HYPERLINK("https://www.ebay.com/sch/261328/i.html?_dcat=261328&amp;_fsrp=1&amp;rt=nc&amp;_from=R40&amp;_nkw=2025-26%20Topps%20Finest%20VJ%20EDGECOMBE%20%233%20Common%20RC%2076ers%20Rookie%20Basketball&amp;_sacat=0&amp;_sop=15&amp;rt=nc&amp;LH_BIN=1", "Active")</f>
        <v/>
      </c>
      <c r="J380" s="11">
        <f>HYPERLINK("https://www.ebay.com/sch/261328/i.html?_from=R40&amp;_nkw=2025-26%20Topps%20Finest%20VJ%20EDGECOMBE%20%233%20Common%20RC%2076ers%20Rookie%20Basketball&amp;_sacat=0&amp;LH_Sold=1&amp;LH_Complete=1&amp;_sop=13", "Completed")</f>
        <v/>
      </c>
      <c r="K380" s="11" t="inlineStr">
        <is>
          <t>Topps 2025-26 Topps Finest VJ Edgecombe Philadelphia 76ers Rookie #3 RC</t>
        </is>
      </c>
    </row>
    <row r="381">
      <c r="A381" s="11" t="inlineStr">
        <is>
          <t>BBA-000001-00005-79294</t>
        </is>
      </c>
      <c r="B381" s="11" t="inlineStr">
        <is>
          <t>2025-26 Topps Finest JEREMIAH FEARS #7 Common RC Pelicans Rookie Basketball</t>
        </is>
      </c>
      <c r="C381" s="12" t="n">
        <v>2.99</v>
      </c>
      <c r="D381" s="12" t="n">
        <v>2.69</v>
      </c>
      <c r="E381" s="12" t="n">
        <v>-0.3</v>
      </c>
      <c r="F381" s="13" t="n">
        <v>-10</v>
      </c>
      <c r="G381" s="11" t="inlineStr">
        <is>
          <t>⬇ Price Down</t>
        </is>
      </c>
      <c r="H381" s="11" t="inlineStr">
        <is>
          <t>85%</t>
        </is>
      </c>
      <c r="I381" s="11">
        <f>HYPERLINK("https://www.ebay.com/sch/261328/i.html?_dcat=261328&amp;_fsrp=1&amp;rt=nc&amp;_from=R40&amp;_nkw=2025-26%20Topps%20Finest%20JEREMIAH%20FEARS%20%237%20Common%20RC%20Pelicans%20Rookie%20Basketball&amp;_sacat=0&amp;_sop=15&amp;rt=nc&amp;LH_BIN=1", "Active")</f>
        <v/>
      </c>
      <c r="J381" s="11">
        <f>HYPERLINK("https://www.ebay.com/sch/261328/i.html?_from=R40&amp;_nkw=2025-26%20Topps%20Finest%20JEREMIAH%20FEARS%20%237%20Common%20RC%20Pelicans%20Rookie%20Basketball&amp;_sacat=0&amp;LH_Sold=1&amp;LH_Complete=1&amp;_sop=13", "Completed")</f>
        <v/>
      </c>
      <c r="K381" s="11" t="inlineStr">
        <is>
          <t>2025-26 Topps Finest Jeremiah Fears RC #7 Pelicans Rookie</t>
        </is>
      </c>
    </row>
    <row r="382">
      <c r="A382" s="2" t="inlineStr">
        <is>
          <t>BBB-000012-tjbyg</t>
        </is>
      </c>
      <c r="B382" s="2" t="inlineStr">
        <is>
          <t>2025-26 Finest JOHNI BROOME #124 Philadelphia 76ers Basketball</t>
        </is>
      </c>
      <c r="C382" s="3" t="n">
        <v>2.99</v>
      </c>
      <c r="D382" s="3" t="n">
        <v>2.49</v>
      </c>
      <c r="E382" s="3" t="n">
        <v>-0.5</v>
      </c>
      <c r="F382" s="4" t="n">
        <v>-16.7</v>
      </c>
      <c r="G382" s="2" t="inlineStr">
        <is>
          <t>🔵 Floored $2.49 — free ship or $0.99 ship?</t>
        </is>
      </c>
      <c r="H382" s="2" t="inlineStr">
        <is>
          <t>67%</t>
        </is>
      </c>
      <c r="I382" s="2">
        <f>HYPERLINK("https://www.ebay.com/sch/261328/i.html?_dcat=261328&amp;_fsrp=1&amp;rt=nc&amp;_from=R40&amp;_nkw=2025-26%20Finest%20JOHNI%20BROOME%20%23124%20Philadelphia%2076ers%20Basketball&amp;_sacat=0&amp;_sop=15&amp;rt=nc&amp;LH_BIN=1", "Active")</f>
        <v/>
      </c>
      <c r="J382" s="2">
        <f>HYPERLINK("https://www.ebay.com/sch/261328/i.html?_from=R40&amp;_nkw=2025-26%20Finest%20JOHNI%20BROOME%20%23124%20Philadelphia%2076ers%20Basketball&amp;_sacat=0&amp;LH_Sold=1&amp;LH_Complete=1&amp;_sop=13", "Completed")</f>
        <v/>
      </c>
      <c r="K382" s="2" t="inlineStr">
        <is>
          <t>2025-26 Finest Johni Broome RC #124</t>
        </is>
      </c>
    </row>
    <row r="383">
      <c r="A383" s="2" t="inlineStr">
        <is>
          <t>BBB-000015-tjbyk</t>
        </is>
      </c>
      <c r="B383" s="2" t="inlineStr">
        <is>
          <t>2025-26 Topps Chrome AARON NESMITH #SWS-AN Sky Write Signatures Refractors Auto</t>
        </is>
      </c>
      <c r="C383" s="3" t="n">
        <v>10.99</v>
      </c>
      <c r="D383" s="3" t="n">
        <v>2.49</v>
      </c>
      <c r="E383" s="3" t="n">
        <v>-8.5</v>
      </c>
      <c r="F383" s="4" t="n">
        <v>-77.3</v>
      </c>
      <c r="G383" s="2" t="inlineStr">
        <is>
          <t>🔵 Floored $2.49 — free ship or $0.99 ship?</t>
        </is>
      </c>
      <c r="H383" s="2" t="inlineStr"/>
      <c r="I383" s="2">
        <f>HYPERLINK("https://www.ebay.com/sch/261328/i.html?_dcat=261328&amp;_fsrp=1&amp;rt=nc&amp;_from=R40&amp;_nkw=2025-26%20Topps%20Chrome%20AARON%20NESMITH%20%23SWS-AN%20Sky%20Write%20Signatures%20Refractors%20Auto&amp;_sacat=0&amp;_sop=15&amp;rt=nc&amp;LH_BIN=1", "Active")</f>
        <v/>
      </c>
      <c r="J383" s="2">
        <f>HYPERLINK("https://www.ebay.com/sch/261328/i.html?_from=R40&amp;_nkw=2025-26%20Topps%20Chrome%20AARON%20NESMITH%20%23SWS-AN%20Sky%20Write%20Signatures%20Refractors%20Auto&amp;_sacat=0&amp;LH_Sold=1&amp;LH_Complete=1&amp;_sop=13", "Completed")</f>
        <v/>
      </c>
      <c r="K383" s="2" t="inlineStr">
        <is>
          <t>No Close Result Found</t>
        </is>
      </c>
    </row>
    <row r="384">
      <c r="A384" s="2" t="inlineStr">
        <is>
          <t>BBB-000018-tjbyq</t>
        </is>
      </c>
      <c r="B384" s="2" t="inlineStr">
        <is>
          <t>2025-26 Finest QUINTEN POST #FAU-QP Finest Autographs Golden State Warriors Auto</t>
        </is>
      </c>
      <c r="C384" s="3" t="n">
        <v>5.79</v>
      </c>
      <c r="D384" s="3" t="n">
        <v>2.49</v>
      </c>
      <c r="E384" s="3" t="n">
        <v>-3.3</v>
      </c>
      <c r="F384" s="4" t="n">
        <v>-57</v>
      </c>
      <c r="G384" s="2" t="inlineStr">
        <is>
          <t>🔵 Floored $2.49 — free ship or $0.99 ship?</t>
        </is>
      </c>
      <c r="H384" s="2" t="inlineStr"/>
      <c r="I384" s="2">
        <f>HYPERLINK("https://www.ebay.com/sch/261328/i.html?_dcat=261328&amp;_fsrp=1&amp;rt=nc&amp;_from=R40&amp;_nkw=2025-26%20Finest%20QUINTEN%20POST%20%23FAU-QP%20Finest%20Autographs%20Golden%20State%20Warriors%20Auto&amp;_sacat=0&amp;_sop=15&amp;rt=nc&amp;LH_BIN=1", "Active")</f>
        <v/>
      </c>
      <c r="J384" s="2">
        <f>HYPERLINK("https://www.ebay.com/sch/261328/i.html?_from=R40&amp;_nkw=2025-26%20Finest%20QUINTEN%20POST%20%23FAU-QP%20Finest%20Autographs%20Golden%20State%20Warriors%20Auto&amp;_sacat=0&amp;LH_Sold=1&amp;LH_Complete=1&amp;_sop=13", "Completed")</f>
        <v/>
      </c>
      <c r="K384" s="2" t="inlineStr">
        <is>
          <t>No Close Result Found</t>
        </is>
      </c>
    </row>
    <row r="385">
      <c r="A385" s="2" t="inlineStr">
        <is>
          <t>BBB-000019-tjbys</t>
        </is>
      </c>
      <c r="B385" s="2" t="inlineStr">
        <is>
          <t>2025-26 Finest KEL'EL WARE #BA-KW Baseline Autographs Miami Heat Auto Basketball</t>
        </is>
      </c>
      <c r="C385" s="3" t="n">
        <v>15.89</v>
      </c>
      <c r="D385" s="3" t="n">
        <v>2.49</v>
      </c>
      <c r="E385" s="3" t="n">
        <v>-13.4</v>
      </c>
      <c r="F385" s="4" t="n">
        <v>-84.3</v>
      </c>
      <c r="G385" s="2" t="inlineStr">
        <is>
          <t>🔵 Floored $2.49 — free ship or $0.99 ship?</t>
        </is>
      </c>
      <c r="H385" s="2" t="inlineStr"/>
      <c r="I385" s="2">
        <f>HYPERLINK("https://www.ebay.com/sch/261328/i.html?_dcat=261328&amp;_fsrp=1&amp;rt=nc&amp;_from=R40&amp;_nkw=2025-26%20Finest%20KEL'EL%20WARE%20%23BA-KW%20Baseline%20Autographs%20Miami%20Heat%20Auto%20Basketball&amp;_sacat=0&amp;_sop=15&amp;rt=nc&amp;LH_BIN=1", "Active")</f>
        <v/>
      </c>
      <c r="J385" s="2">
        <f>HYPERLINK("https://www.ebay.com/sch/261328/i.html?_from=R40&amp;_nkw=2025-26%20Finest%20KEL'EL%20WARE%20%23BA-KW%20Baseline%20Autographs%20Miami%20Heat%20Auto%20Basketball&amp;_sacat=0&amp;LH_Sold=1&amp;LH_Complete=1&amp;_sop=13", "Completed")</f>
        <v/>
      </c>
      <c r="K385" s="2" t="inlineStr">
        <is>
          <t>No Close Result Found</t>
        </is>
      </c>
    </row>
    <row r="386">
      <c r="A386" s="2" t="inlineStr">
        <is>
          <t>BBB-000020-tjbyt</t>
        </is>
      </c>
      <c r="B386" s="2" t="inlineStr">
        <is>
          <t>2025-26 Finest LIAM MCNEELEY #BA-LM Baseline Autographs Charlotte Hornets Auto</t>
        </is>
      </c>
      <c r="C386" s="3" t="n">
        <v>6.09</v>
      </c>
      <c r="D386" s="3" t="n">
        <v>2.49</v>
      </c>
      <c r="E386" s="3" t="n">
        <v>-3.6</v>
      </c>
      <c r="F386" s="4" t="n">
        <v>-59.1</v>
      </c>
      <c r="G386" s="2" t="inlineStr">
        <is>
          <t>🔵 Floored $2.49 — free ship or $0.99 ship?</t>
        </is>
      </c>
      <c r="H386" s="2" t="inlineStr"/>
      <c r="I386" s="2">
        <f>HYPERLINK("https://www.ebay.com/sch/261328/i.html?_dcat=261328&amp;_fsrp=1&amp;rt=nc&amp;_from=R40&amp;_nkw=2025-26%20Finest%20LIAM%20MCNEELEY%20%23BA-LM%20Baseline%20Autographs%20Charlotte%20Hornets%20Auto&amp;_sacat=0&amp;_sop=15&amp;rt=nc&amp;LH_BIN=1", "Active")</f>
        <v/>
      </c>
      <c r="J386" s="2">
        <f>HYPERLINK("https://www.ebay.com/sch/261328/i.html?_from=R40&amp;_nkw=2025-26%20Finest%20LIAM%20MCNEELEY%20%23BA-LM%20Baseline%20Autographs%20Charlotte%20Hornets%20Auto&amp;_sacat=0&amp;LH_Sold=1&amp;LH_Complete=1&amp;_sop=13", "Completed")</f>
        <v/>
      </c>
      <c r="K386" s="2" t="inlineStr">
        <is>
          <t>No Close Result Found</t>
        </is>
      </c>
    </row>
    <row r="387">
      <c r="A387" s="2" t="inlineStr">
        <is>
          <t>BBB-000023-tjbyy</t>
        </is>
      </c>
      <c r="B387" s="2" t="inlineStr">
        <is>
          <t>2025-26 Finest KYRIE IRVING #87 Oil Spill Refractor Dallas Mavericks Basketball</t>
        </is>
      </c>
      <c r="C387" s="3" t="n">
        <v>4.99</v>
      </c>
      <c r="D387" s="3" t="n">
        <v>2.49</v>
      </c>
      <c r="E387" s="3" t="n">
        <v>-2.5</v>
      </c>
      <c r="F387" s="4" t="n">
        <v>-50.1</v>
      </c>
      <c r="G387" s="2" t="inlineStr">
        <is>
          <t>🔵 Floored $2.49 — free ship or $0.99 ship?</t>
        </is>
      </c>
      <c r="H387" s="2" t="inlineStr">
        <is>
          <t>75%</t>
        </is>
      </c>
      <c r="I387" s="2">
        <f>HYPERLINK("https://www.ebay.com/sch/261328/i.html?_dcat=261328&amp;_fsrp=1&amp;rt=nc&amp;_from=R40&amp;_nkw=2025-26%20Finest%20KYRIE%20IRVING%20%2387%20Oil%20Spill%20Refractor%20Dallas%20Mavericks%20Basketball&amp;_sacat=0&amp;_sop=15&amp;rt=nc&amp;LH_BIN=1", "Active")</f>
        <v/>
      </c>
      <c r="J387" s="2">
        <f>HYPERLINK("https://www.ebay.com/sch/261328/i.html?_from=R40&amp;_nkw=2025-26%20Finest%20KYRIE%20IRVING%20%2387%20Oil%20Spill%20Refractor%20Dallas%20Mavericks%20Basketball&amp;_sacat=0&amp;LH_Sold=1&amp;LH_Complete=1&amp;_sop=13", "Completed")</f>
        <v/>
      </c>
      <c r="K387" s="2" t="inlineStr">
        <is>
          <t>Kyrie Irving 2025-26 Topps Finest Basketball Oil Spill Refractor #87</t>
        </is>
      </c>
    </row>
    <row r="388">
      <c r="A388" s="11" t="inlineStr">
        <is>
          <t>BBB-000025-tjbz1</t>
        </is>
      </c>
      <c r="B388" s="11" t="inlineStr">
        <is>
          <t>2025-26 Finest JIMMY BUTLER III #75 Oil Spill Refractor Golden State Warriors</t>
        </is>
      </c>
      <c r="C388" s="12" t="n">
        <v>5.99</v>
      </c>
      <c r="D388" s="12" t="n">
        <v>2.69</v>
      </c>
      <c r="E388" s="12" t="n">
        <v>-3.3</v>
      </c>
      <c r="F388" s="13" t="n">
        <v>-55.1</v>
      </c>
      <c r="G388" s="11" t="inlineStr">
        <is>
          <t>⬇ Price Down</t>
        </is>
      </c>
      <c r="H388" s="11" t="inlineStr">
        <is>
          <t>84%</t>
        </is>
      </c>
      <c r="I388" s="11">
        <f>HYPERLINK("https://www.ebay.com/sch/261328/i.html?_dcat=261328&amp;_fsrp=1&amp;rt=nc&amp;_from=R40&amp;_nkw=2025-26%20Finest%20JIMMY%20BUTLER%20III%20%2375%20Oil%20Spill%20Refractor%20Golden%20State%20Warriors&amp;_sacat=0&amp;_sop=15&amp;rt=nc&amp;LH_BIN=1", "Active")</f>
        <v/>
      </c>
      <c r="J388" s="11">
        <f>HYPERLINK("https://www.ebay.com/sch/261328/i.html?_from=R40&amp;_nkw=2025-26%20Finest%20JIMMY%20BUTLER%20III%20%2375%20Oil%20Spill%20Refractor%20Golden%20State%20Warriors&amp;_sacat=0&amp;LH_Sold=1&amp;LH_Complete=1&amp;_sop=13", "Completed")</f>
        <v/>
      </c>
      <c r="K388" s="11" t="inlineStr">
        <is>
          <t>2025-26 Finest #75 Jimmy Butler III Oil Spill Refractor</t>
        </is>
      </c>
    </row>
    <row r="389">
      <c r="A389" s="11" t="inlineStr">
        <is>
          <t>BBB-000026-tjbz2</t>
        </is>
      </c>
      <c r="B389" s="11" t="inlineStr">
        <is>
          <t>2025-26 Finest EGOR DËMIN #8 Oil Spill Refractor Brooklyn Nets Basketball</t>
        </is>
      </c>
      <c r="C389" s="12" t="n">
        <v>19.95</v>
      </c>
      <c r="D389" s="12" t="n">
        <v>4.89</v>
      </c>
      <c r="E389" s="12" t="n">
        <v>-15.06</v>
      </c>
      <c r="F389" s="13" t="n">
        <v>-75.5</v>
      </c>
      <c r="G389" s="11" t="inlineStr">
        <is>
          <t>⬇ Price Down</t>
        </is>
      </c>
      <c r="H389" s="11" t="inlineStr">
        <is>
          <t>83%</t>
        </is>
      </c>
      <c r="I389" s="11">
        <f>HYPERLINK("https://www.ebay.com/sch/261328/i.html?_dcat=261328&amp;_fsrp=1&amp;rt=nc&amp;_from=R40&amp;_nkw=2025-26%20Finest%20EGOR%20D%C3%8BMIN%20%238%20Oil%20Spill%20Refractor%20Brooklyn%20Nets%20Basketball&amp;_sacat=0&amp;_sop=15&amp;rt=nc&amp;LH_BIN=1", "Active")</f>
        <v/>
      </c>
      <c r="J389" s="11">
        <f>HYPERLINK("https://www.ebay.com/sch/261328/i.html?_from=R40&amp;_nkw=2025-26%20Finest%20EGOR%20D%C3%8BMIN%20%238%20Oil%20Spill%20Refractor%20Brooklyn%20Nets%20Basketball&amp;_sacat=0&amp;LH_Sold=1&amp;LH_Complete=1&amp;_sop=13", "Completed")</f>
        <v/>
      </c>
      <c r="K389" s="11" t="inlineStr">
        <is>
          <t>2025-26 Finest #8 Egor Dëmin Oil Spill Refractor</t>
        </is>
      </c>
    </row>
    <row r="390">
      <c r="A390" s="8" t="inlineStr">
        <is>
          <t>BBB-000027-tjbz3</t>
        </is>
      </c>
      <c r="B390" s="8" t="inlineStr">
        <is>
          <t>2025-26 Finest CARTER BRYANT #F-14 First Refractor San Antonio Spurs Basketball</t>
        </is>
      </c>
      <c r="C390" s="9" t="n">
        <v>19.39</v>
      </c>
      <c r="D390" s="9" t="n">
        <v>19.39</v>
      </c>
      <c r="E390" s="9" t="n">
        <v>0</v>
      </c>
      <c r="F390" s="10" t="n">
        <v>0</v>
      </c>
      <c r="G390" s="8" t="inlineStr">
        <is>
          <t>— No Change</t>
        </is>
      </c>
      <c r="H390" s="8" t="inlineStr">
        <is>
          <t>85%</t>
        </is>
      </c>
      <c r="I390" s="8">
        <f>HYPERLINK("https://www.ebay.com/sch/261328/i.html?_dcat=261328&amp;_fsrp=1&amp;rt=nc&amp;_from=R40&amp;_nkw=2025-26%20Finest%20CARTER%20BRYANT%20%23F-14%20First%20Refractor%20San%20Antonio%20Spurs%20Basketball&amp;_sacat=0&amp;_sop=15&amp;rt=nc&amp;LH_BIN=1", "Active")</f>
        <v/>
      </c>
      <c r="J390" s="8">
        <f>HYPERLINK("https://www.ebay.com/sch/261328/i.html?_from=R40&amp;_nkw=2025-26%20Finest%20CARTER%20BRYANT%20%23F-14%20First%20Refractor%20San%20Antonio%20Spurs%20Basketball&amp;_sacat=0&amp;LH_Sold=1&amp;LH_Complete=1&amp;_sop=13", "Completed")</f>
        <v/>
      </c>
      <c r="K390" s="8" t="inlineStr">
        <is>
          <t>2025-26 Topps Finest First Carter Bryant #F-14 RC Refractor Insert Spurs</t>
        </is>
      </c>
    </row>
    <row r="391">
      <c r="A391" s="5" t="inlineStr">
        <is>
          <t>BBB-000028-tjbz5</t>
        </is>
      </c>
      <c r="B391" s="5" t="inlineStr">
        <is>
          <t>2025-26 Finest JARED MCCAIN #190 X-Fractor Philadelphia 76ers Basketball</t>
        </is>
      </c>
      <c r="C391" s="6" t="n">
        <v>7.19</v>
      </c>
      <c r="D391" s="6" t="n">
        <v>7.89</v>
      </c>
      <c r="E391" s="6" t="n">
        <v>0.7</v>
      </c>
      <c r="F391" s="7" t="n">
        <v>9.699999999999999</v>
      </c>
      <c r="G391" s="5" t="inlineStr">
        <is>
          <t>⬆ Price Up</t>
        </is>
      </c>
      <c r="H391" s="5" t="inlineStr">
        <is>
          <t>100%</t>
        </is>
      </c>
      <c r="I391" s="5">
        <f>HYPERLINK("https://www.ebay.com/sch/261328/i.html?_dcat=261328&amp;_fsrp=1&amp;rt=nc&amp;_from=R40&amp;_nkw=2025-26%20Finest%20JARED%20MCCAIN%20%23190%20X-Fractor%20Philadelphia%2076ers%20Basketball&amp;_sacat=0&amp;_sop=15&amp;rt=nc&amp;LH_BIN=1", "Active")</f>
        <v/>
      </c>
      <c r="J391" s="5">
        <f>HYPERLINK("https://www.ebay.com/sch/261328/i.html?_from=R40&amp;_nkw=2025-26%20Finest%20JARED%20MCCAIN%20%23190%20X-Fractor%20Philadelphia%2076ers%20Basketball&amp;_sacat=0&amp;LH_Sold=1&amp;LH_Complete=1&amp;_sop=13", "Completed")</f>
        <v/>
      </c>
      <c r="K391" s="5" t="inlineStr">
        <is>
          <t>2025-26 Finest JARED MCCAIN #190 X-Fractor Philadelphia 76ers Basketball</t>
        </is>
      </c>
    </row>
    <row r="392">
      <c r="A392" s="11" t="inlineStr">
        <is>
          <t>BBB-000029-tjbz6</t>
        </is>
      </c>
      <c r="B392" s="11" t="inlineStr">
        <is>
          <t>2025-26 Finest VICTOR WEMBANYAMA #FI-1 Finishers San Antonio Spurs Basketball</t>
        </is>
      </c>
      <c r="C392" s="12" t="n">
        <v>9.99</v>
      </c>
      <c r="D392" s="12" t="n">
        <v>7.09</v>
      </c>
      <c r="E392" s="12" t="n">
        <v>-2.9</v>
      </c>
      <c r="F392" s="13" t="n">
        <v>-29</v>
      </c>
      <c r="G392" s="11" t="inlineStr">
        <is>
          <t>⬇ Price Down</t>
        </is>
      </c>
      <c r="H392" s="11" t="inlineStr">
        <is>
          <t>83%</t>
        </is>
      </c>
      <c r="I392" s="11">
        <f>HYPERLINK("https://www.ebay.com/sch/261328/i.html?_dcat=261328&amp;_fsrp=1&amp;rt=nc&amp;_from=R40&amp;_nkw=2025-26%20Finest%20VICTOR%20WEMBANYAMA%20%23FI-1%20Finishers%20San%20Antonio%20Spurs%20Basketball&amp;_sacat=0&amp;_sop=15&amp;rt=nc&amp;LH_BIN=1", "Active")</f>
        <v/>
      </c>
      <c r="J392" s="11">
        <f>HYPERLINK("https://www.ebay.com/sch/261328/i.html?_from=R40&amp;_nkw=2025-26%20Finest%20VICTOR%20WEMBANYAMA%20%23FI-1%20Finishers%20San%20Antonio%20Spurs%20Basketball&amp;_sacat=0&amp;LH_Sold=1&amp;LH_Complete=1&amp;_sop=13", "Completed")</f>
        <v/>
      </c>
      <c r="K392" s="11" t="inlineStr">
        <is>
          <t>2025-26 Topps Finest - Finishers Victor Wembanyama #FI-1</t>
        </is>
      </c>
    </row>
    <row r="393">
      <c r="A393" s="2" t="inlineStr">
        <is>
          <t>BBB-000031-tjbz9</t>
        </is>
      </c>
      <c r="B393" s="2" t="inlineStr">
        <is>
          <t>2025-26 Finest KASPARAS JAKUCIONIS #20 Oil Spill Refractor Miami Heat Basketball</t>
        </is>
      </c>
      <c r="C393" s="3" t="n">
        <v>6.99</v>
      </c>
      <c r="D393" s="3" t="n">
        <v>2.49</v>
      </c>
      <c r="E393" s="3" t="n">
        <v>-4.5</v>
      </c>
      <c r="F393" s="4" t="n">
        <v>-64.40000000000001</v>
      </c>
      <c r="G393" s="2" t="inlineStr">
        <is>
          <t>🔵 Floored $2.49 — free ship or $0.99 ship?</t>
        </is>
      </c>
      <c r="H393" s="2" t="inlineStr">
        <is>
          <t>77%</t>
        </is>
      </c>
      <c r="I393" s="2">
        <f>HYPERLINK("https://www.ebay.com/sch/261328/i.html?_dcat=261328&amp;_fsrp=1&amp;rt=nc&amp;_from=R40&amp;_nkw=2025-26%20Finest%20KASPARAS%20JAKUCIONIS%20%2320%20Oil%20Spill%20Refractor%20Miami%20Heat%20Basketball&amp;_sacat=0&amp;_sop=15&amp;rt=nc&amp;LH_BIN=1", "Active")</f>
        <v/>
      </c>
      <c r="J393" s="2">
        <f>HYPERLINK("https://www.ebay.com/sch/261328/i.html?_from=R40&amp;_nkw=2025-26%20Finest%20KASPARAS%20JAKUCIONIS%20%2320%20Oil%20Spill%20Refractor%20Miami%20Heat%20Basketball&amp;_sacat=0&amp;LH_Sold=1&amp;LH_Complete=1&amp;_sop=13", "Completed")</f>
        <v/>
      </c>
      <c r="K393" s="2" t="inlineStr">
        <is>
          <t>Kasparas Jakucionis 2025-26 Topps Finest #20 Oil Spill Refractor RC Miami Heat</t>
        </is>
      </c>
    </row>
    <row r="394">
      <c r="A394" s="2" t="inlineStr">
        <is>
          <t>BBB-000034-tjbze</t>
        </is>
      </c>
      <c r="B394" s="2" t="inlineStr">
        <is>
          <t>2025-26 Finest JOHNI BROOME #F-25 First Refractor Philadelphia 76ers Basketball</t>
        </is>
      </c>
      <c r="C394" s="3" t="n">
        <v>5.99</v>
      </c>
      <c r="D394" s="3" t="n">
        <v>2.49</v>
      </c>
      <c r="E394" s="3" t="n">
        <v>-3.5</v>
      </c>
      <c r="F394" s="4" t="n">
        <v>-58.4</v>
      </c>
      <c r="G394" s="2" t="inlineStr">
        <is>
          <t>🔵 Floored $2.49 — free ship or $0.99 ship?</t>
        </is>
      </c>
      <c r="H394" s="2" t="inlineStr">
        <is>
          <t>70%</t>
        </is>
      </c>
      <c r="I394" s="2">
        <f>HYPERLINK("https://www.ebay.com/sch/261328/i.html?_dcat=261328&amp;_fsrp=1&amp;rt=nc&amp;_from=R40&amp;_nkw=2025-26%20Finest%20JOHNI%20BROOME%20%23F-25%20First%20Refractor%20Philadelphia%2076ers%20Basketball&amp;_sacat=0&amp;_sop=15&amp;rt=nc&amp;LH_BIN=1", "Active")</f>
        <v/>
      </c>
      <c r="J394" s="2">
        <f>HYPERLINK("https://www.ebay.com/sch/261328/i.html?_from=R40&amp;_nkw=2025-26%20Finest%20JOHNI%20BROOME%20%23F-25%20First%20Refractor%20Philadelphia%2076ers%20Basketball&amp;_sacat=0&amp;LH_Sold=1&amp;LH_Complete=1&amp;_sop=13", "Completed")</f>
        <v/>
      </c>
      <c r="K394" s="2" t="inlineStr">
        <is>
          <t>2025-26 Topps Finest First Johni Broome #F-25 Refractor (RC) Insert 76ers</t>
        </is>
      </c>
    </row>
    <row r="395">
      <c r="A395" s="5" t="inlineStr">
        <is>
          <t>BBB-000036-tjbzh</t>
        </is>
      </c>
      <c r="B395" s="5" t="inlineStr">
        <is>
          <t>2025-26 Topps Chrome DORIAN FINNEY-SMITH #192 Prism Refractor Los Angeles Lakers</t>
        </is>
      </c>
      <c r="C395" s="6" t="n">
        <v>1.99</v>
      </c>
      <c r="D395" s="6" t="n">
        <v>2.49</v>
      </c>
      <c r="E395" s="6" t="n">
        <v>0.5</v>
      </c>
      <c r="F395" s="7" t="n">
        <v>25.1</v>
      </c>
      <c r="G395" s="5" t="inlineStr">
        <is>
          <t>⬆ Price Up</t>
        </is>
      </c>
      <c r="H395" s="5" t="inlineStr">
        <is>
          <t>85%</t>
        </is>
      </c>
      <c r="I395" s="5">
        <f>HYPERLINK("https://www.ebay.com/sch/261328/i.html?_dcat=261328&amp;_fsrp=1&amp;rt=nc&amp;_from=R40&amp;_nkw=2025-26%20Topps%20Chrome%20DORIAN%20FINNEY-SMITH%20%23192%20Prism%20Refractor%20Los%20Angeles%20Lakers&amp;_sacat=0&amp;_sop=15&amp;rt=nc&amp;LH_BIN=1", "Active")</f>
        <v/>
      </c>
      <c r="J395" s="5">
        <f>HYPERLINK("https://www.ebay.com/sch/261328/i.html?_from=R40&amp;_nkw=2025-26%20Topps%20Chrome%20DORIAN%20FINNEY-SMITH%20%23192%20Prism%20Refractor%20Los%20Angeles%20Lakers&amp;_sacat=0&amp;LH_Sold=1&amp;LH_Complete=1&amp;_sop=13", "Completed")</f>
        <v/>
      </c>
      <c r="K395" s="5" t="inlineStr">
        <is>
          <t>2025-26 Topps Chrome #192 Dorian Finney-Smith Prism Refractor</t>
        </is>
      </c>
    </row>
    <row r="396">
      <c r="A396" s="2" t="inlineStr">
        <is>
          <t>BBB-000038-tjbzk</t>
        </is>
      </c>
      <c r="B396" s="2" t="inlineStr">
        <is>
          <t>2025-26 Topps Chrome OSHAE BRISSETT #20 Refractor Philadelphia 76ers Basketball</t>
        </is>
      </c>
      <c r="C396" s="3" t="n">
        <v>2.99</v>
      </c>
      <c r="D396" s="3" t="n">
        <v>2.49</v>
      </c>
      <c r="E396" s="3" t="n">
        <v>-0.5</v>
      </c>
      <c r="F396" s="4" t="n">
        <v>-16.7</v>
      </c>
      <c r="G396" s="2" t="inlineStr">
        <is>
          <t>🔵 Floored $2.49 — free ship or $0.99 ship?</t>
        </is>
      </c>
      <c r="H396" s="2" t="inlineStr">
        <is>
          <t>66%</t>
        </is>
      </c>
      <c r="I396" s="2">
        <f>HYPERLINK("https://www.ebay.com/sch/261328/i.html?_dcat=261328&amp;_fsrp=1&amp;rt=nc&amp;_from=R40&amp;_nkw=2025-26%20Topps%20Chrome%20OSHAE%20BRISSETT%20%2320%20Refractor%20Philadelphia%2076ers%20Basketball&amp;_sacat=0&amp;_sop=15&amp;rt=nc&amp;LH_BIN=1", "Active")</f>
        <v/>
      </c>
      <c r="J396" s="2">
        <f>HYPERLINK("https://www.ebay.com/sch/261328/i.html?_from=R40&amp;_nkw=2025-26%20Topps%20Chrome%20OSHAE%20BRISSETT%20%2320%20Refractor%20Philadelphia%2076ers%20Basketball&amp;_sacat=0&amp;LH_Sold=1&amp;LH_Complete=1&amp;_sop=13", "Completed")</f>
        <v/>
      </c>
      <c r="K396" s="2" t="inlineStr">
        <is>
          <t>2025-26 Topps Chrome Basketball REFRACTORS 1-200 You Pick - 2 Card Minimum</t>
        </is>
      </c>
    </row>
    <row r="397">
      <c r="A397" s="2" t="inlineStr">
        <is>
          <t>BBB-000039-tjbzl</t>
        </is>
      </c>
      <c r="B397" s="2" t="inlineStr">
        <is>
          <t>2025-26 Finest NIQUE CLIFFORD #A-24 Arrivals Sacramento Kings Basketball</t>
        </is>
      </c>
      <c r="C397" s="3" t="n">
        <v>5.99</v>
      </c>
      <c r="D397" s="3" t="n">
        <v>2.49</v>
      </c>
      <c r="E397" s="3" t="n">
        <v>-3.5</v>
      </c>
      <c r="F397" s="4" t="n">
        <v>-58.4</v>
      </c>
      <c r="G397" s="2" t="inlineStr">
        <is>
          <t>🔵 Floored $2.49 — free ship or $0.99 ship?</t>
        </is>
      </c>
      <c r="H397" s="2" t="inlineStr">
        <is>
          <t>67%</t>
        </is>
      </c>
      <c r="I397" s="2">
        <f>HYPERLINK("https://www.ebay.com/sch/261328/i.html?_dcat=261328&amp;_fsrp=1&amp;rt=nc&amp;_from=R40&amp;_nkw=2025-26%20Finest%20NIQUE%20CLIFFORD%20%23A-24%20Arrivals%20Sacramento%20Kings%20Basketball&amp;_sacat=0&amp;_sop=15&amp;rt=nc&amp;LH_BIN=1", "Active")</f>
        <v/>
      </c>
      <c r="J397" s="2">
        <f>HYPERLINK("https://www.ebay.com/sch/261328/i.html?_from=R40&amp;_nkw=2025-26%20Finest%20NIQUE%20CLIFFORD%20%23A-24%20Arrivals%20Sacramento%20Kings%20Basketball&amp;_sacat=0&amp;LH_Sold=1&amp;LH_Complete=1&amp;_sop=13", "Completed")</f>
        <v/>
      </c>
      <c r="K397" s="2" t="inlineStr">
        <is>
          <t>2025-26 Topps Finest Basketball Pick Your Insert - Buy More &amp; Save</t>
        </is>
      </c>
    </row>
    <row r="398">
      <c r="A398" s="5" t="inlineStr">
        <is>
          <t>BBB-000040-tjbzn</t>
        </is>
      </c>
      <c r="B398" s="5" t="inlineStr">
        <is>
          <t>2025-26 Topps Chrome NOA ESSENGUE #262 Negative Ref Chicago Bulls Basketball</t>
        </is>
      </c>
      <c r="C398" s="6" t="n">
        <v>16.59</v>
      </c>
      <c r="D398" s="6" t="n">
        <v>16.99</v>
      </c>
      <c r="E398" s="6" t="n">
        <v>0.4</v>
      </c>
      <c r="F398" s="7" t="n">
        <v>2.4</v>
      </c>
      <c r="G398" s="5" t="inlineStr">
        <is>
          <t>⬆ Price Up</t>
        </is>
      </c>
      <c r="H398" s="5" t="inlineStr">
        <is>
          <t>100%</t>
        </is>
      </c>
      <c r="I398" s="5">
        <f>HYPERLINK("https://www.ebay.com/sch/261328/i.html?_dcat=261328&amp;_fsrp=1&amp;rt=nc&amp;_from=R40&amp;_nkw=2025-26%20Topps%20Chrome%20NOA%20ESSENGUE%20%23262%20Negative%20Ref%20Chicago%20Bulls%20Basketball&amp;_sacat=0&amp;_sop=15&amp;rt=nc&amp;LH_BIN=1", "Active")</f>
        <v/>
      </c>
      <c r="J398" s="5">
        <f>HYPERLINK("https://www.ebay.com/sch/261328/i.html?_from=R40&amp;_nkw=2025-26%20Topps%20Chrome%20NOA%20ESSENGUE%20%23262%20Negative%20Ref%20Chicago%20Bulls%20Basketball&amp;_sacat=0&amp;LH_Sold=1&amp;LH_Complete=1&amp;_sop=13", "Completed")</f>
        <v/>
      </c>
      <c r="K398" s="5" t="inlineStr">
        <is>
          <t>2025-26 Topps Chrome NOA ESSENGUE #262 Negative Ref Chicago Bulls Basketball</t>
        </is>
      </c>
    </row>
    <row r="399">
      <c r="A399" s="5" t="inlineStr">
        <is>
          <t>BBB-000043-tjbzs</t>
        </is>
      </c>
      <c r="B399" s="5" t="inlineStr">
        <is>
          <t>2025-26 Finest KASPARAS JAKUCIONIS #A-20 Arrivals X-Fractor Miami Heat</t>
        </is>
      </c>
      <c r="C399" s="6" t="n">
        <v>2.99</v>
      </c>
      <c r="D399" s="6" t="n">
        <v>3.29</v>
      </c>
      <c r="E399" s="6" t="n">
        <v>0.3</v>
      </c>
      <c r="F399" s="7" t="n">
        <v>10</v>
      </c>
      <c r="G399" s="5" t="inlineStr">
        <is>
          <t>⬆ Price Up</t>
        </is>
      </c>
      <c r="H399" s="5" t="inlineStr">
        <is>
          <t>77%</t>
        </is>
      </c>
      <c r="I399" s="5">
        <f>HYPERLINK("https://www.ebay.com/sch/261328/i.html?_dcat=261328&amp;_fsrp=1&amp;rt=nc&amp;_from=R40&amp;_nkw=2025-26%20Finest%20KASPARAS%20JAKUCIONIS%20%23A-20%20Arrivals%20X-Fractor%20Miami%20Heat&amp;_sacat=0&amp;_sop=15&amp;rt=nc&amp;LH_BIN=1", "Active")</f>
        <v/>
      </c>
      <c r="J399" s="5">
        <f>HYPERLINK("https://www.ebay.com/sch/261328/i.html?_from=R40&amp;_nkw=2025-26%20Finest%20KASPARAS%20JAKUCIONIS%20%23A-20%20Arrivals%20X-Fractor%20Miami%20Heat&amp;_sacat=0&amp;LH_Sold=1&amp;LH_Complete=1&amp;_sop=13", "Completed")</f>
        <v/>
      </c>
      <c r="K399" s="5" t="inlineStr">
        <is>
          <t>KASPARAS JAKUCIONIS 2025-26 TOPPS FINEST ROOKIE ARRIVALS X-FRACTOR #A-20</t>
        </is>
      </c>
    </row>
    <row r="400">
      <c r="A400" s="5" t="inlineStr">
        <is>
          <t>BBB-000044-tjbzt</t>
        </is>
      </c>
      <c r="B400" s="5" t="inlineStr">
        <is>
          <t>2025-26 Topps Chrome NIQUE CLIFFORD #274 RayWave Ref Sacramento Kings Basketball</t>
        </is>
      </c>
      <c r="C400" s="6" t="n">
        <v>3.99</v>
      </c>
      <c r="D400" s="6" t="n">
        <v>4.79</v>
      </c>
      <c r="E400" s="6" t="n">
        <v>0.8</v>
      </c>
      <c r="F400" s="7" t="n">
        <v>20.1</v>
      </c>
      <c r="G400" s="5" t="inlineStr">
        <is>
          <t>⬆ Price Up</t>
        </is>
      </c>
      <c r="H400" s="5" t="inlineStr">
        <is>
          <t>87%</t>
        </is>
      </c>
      <c r="I400" s="5">
        <f>HYPERLINK("https://www.ebay.com/sch/261328/i.html?_dcat=261328&amp;_fsrp=1&amp;rt=nc&amp;_from=R40&amp;_nkw=2025-26%20Topps%20Chrome%20NIQUE%20CLIFFORD%20%23274%20RayWave%20Ref%20Sacramento%20Kings%20Basketball&amp;_sacat=0&amp;_sop=15&amp;rt=nc&amp;LH_BIN=1", "Active")</f>
        <v/>
      </c>
      <c r="J400" s="5">
        <f>HYPERLINK("https://www.ebay.com/sch/261328/i.html?_from=R40&amp;_nkw=2025-26%20Topps%20Chrome%20NIQUE%20CLIFFORD%20%23274%20RayWave%20Ref%20Sacramento%20Kings%20Basketball&amp;_sacat=0&amp;LH_Sold=1&amp;LH_Complete=1&amp;_sop=13", "Completed")</f>
        <v/>
      </c>
      <c r="K400" s="5" t="inlineStr">
        <is>
          <t>2025-26 Topps Chrome NIQUE CLIFFORD #274 RayWave Ref RC Kings Rookie Basketball</t>
        </is>
      </c>
    </row>
    <row r="401">
      <c r="A401" s="5" t="inlineStr">
        <is>
          <t>BBB-000049-tjc00</t>
        </is>
      </c>
      <c r="B401" s="5" t="inlineStr">
        <is>
          <t>2025-26 Finest ALLEN IVERSON #M-1 Muse Sky Blue Refractor 76ers #/150 Basketball</t>
        </is>
      </c>
      <c r="C401" s="6" t="n">
        <v>19.49</v>
      </c>
      <c r="D401" s="6" t="n">
        <v>19.89</v>
      </c>
      <c r="E401" s="6" t="n">
        <v>0.4</v>
      </c>
      <c r="F401" s="7" t="n">
        <v>2.1</v>
      </c>
      <c r="G401" s="5" t="inlineStr">
        <is>
          <t>⬆ Price Up</t>
        </is>
      </c>
      <c r="H401" s="5" t="inlineStr">
        <is>
          <t>100%</t>
        </is>
      </c>
      <c r="I401" s="5">
        <f>HYPERLINK("https://www.ebay.com/sch/261328/i.html?_dcat=261328&amp;_fsrp=1&amp;rt=nc&amp;_from=R40&amp;_nkw=2025-26%20Finest%20ALLEN%20IVERSON%20%23M-1%20Muse%20Sky%20Blue%20Refractor%2076ers%20%23%2F150%20Basketball&amp;_sacat=0&amp;_sop=15&amp;rt=nc&amp;LH_BIN=1", "Active")</f>
        <v/>
      </c>
      <c r="J401" s="5">
        <f>HYPERLINK("https://www.ebay.com/sch/261328/i.html?_from=R40&amp;_nkw=2025-26%20Finest%20ALLEN%20IVERSON%20%23M-1%20Muse%20Sky%20Blue%20Refractor%2076ers%20%23%2F150%20Basketball&amp;_sacat=0&amp;LH_Sold=1&amp;LH_Complete=1&amp;_sop=13", "Completed")</f>
        <v/>
      </c>
      <c r="K401" s="5" t="inlineStr">
        <is>
          <t>2025-26 Finest ALLEN IVERSON #M-1 Muse Sky Blue Refractor 76ers #/150 Basketball</t>
        </is>
      </c>
    </row>
    <row r="402">
      <c r="A402" s="11" t="inlineStr">
        <is>
          <t>BBB-000046-tjbzw</t>
        </is>
      </c>
      <c r="B402" s="11" t="inlineStr">
        <is>
          <t>2025-26 Finest CEDRIC COWARD #F-11 First Refractor Memphis Grizzlies Basketball</t>
        </is>
      </c>
      <c r="C402" s="12" t="n">
        <v>10</v>
      </c>
      <c r="D402" s="12" t="n">
        <v>4.19</v>
      </c>
      <c r="E402" s="12" t="n">
        <v>-5.81</v>
      </c>
      <c r="F402" s="13" t="n">
        <v>-58.1</v>
      </c>
      <c r="G402" s="11" t="inlineStr">
        <is>
          <t>⬇ Price Down</t>
        </is>
      </c>
      <c r="H402" s="11" t="inlineStr">
        <is>
          <t>70%</t>
        </is>
      </c>
      <c r="I402" s="11">
        <f>HYPERLINK("https://www.ebay.com/sch/261328/i.html?_dcat=261328&amp;_fsrp=1&amp;rt=nc&amp;_from=R40&amp;_nkw=2025-26%20Finest%20CEDRIC%20COWARD%20%23F-11%20First%20Refractor%20Memphis%20Grizzlies%20Basketball&amp;_sacat=0&amp;_sop=15&amp;rt=nc&amp;LH_BIN=1", "Active")</f>
        <v/>
      </c>
      <c r="J402" s="11">
        <f>HYPERLINK("https://www.ebay.com/sch/261328/i.html?_from=R40&amp;_nkw=2025-26%20Finest%20CEDRIC%20COWARD%20%23F-11%20First%20Refractor%20Memphis%20Grizzlies%20Basketball&amp;_sacat=0&amp;LH_Sold=1&amp;LH_Complete=1&amp;_sop=13", "Completed")</f>
        <v/>
      </c>
      <c r="K402" s="11" t="inlineStr">
        <is>
          <t>2025-26 Topps Finest - First Cedric Coward #F-11 Refractor (RC)</t>
        </is>
      </c>
    </row>
    <row r="403">
      <c r="A403" s="2" t="inlineStr">
        <is>
          <t>BBB-000048-tjbzy</t>
        </is>
      </c>
      <c r="B403" s="2" t="inlineStr">
        <is>
          <t>2025-26 Finest ZACH LAVINE #86 Oil Spill Refractor Sacramento Kings Basketball</t>
        </is>
      </c>
      <c r="C403" s="3" t="n">
        <v>5.99</v>
      </c>
      <c r="D403" s="3" t="n">
        <v>2.49</v>
      </c>
      <c r="E403" s="3" t="n">
        <v>-3.5</v>
      </c>
      <c r="F403" s="4" t="n">
        <v>-58.4</v>
      </c>
      <c r="G403" s="2" t="inlineStr">
        <is>
          <t>🔵 Floored $2.49 — free ship or $0.99 ship?</t>
        </is>
      </c>
      <c r="H403" s="2" t="inlineStr">
        <is>
          <t>83%</t>
        </is>
      </c>
      <c r="I403" s="2">
        <f>HYPERLINK("https://www.ebay.com/sch/261328/i.html?_dcat=261328&amp;_fsrp=1&amp;rt=nc&amp;_from=R40&amp;_nkw=2025-26%20Finest%20ZACH%20LAVINE%20%2386%20Oil%20Spill%20Refractor%20Sacramento%20Kings%20Basketball&amp;_sacat=0&amp;_sop=15&amp;rt=nc&amp;LH_BIN=1", "Active")</f>
        <v/>
      </c>
      <c r="J403" s="2">
        <f>HYPERLINK("https://www.ebay.com/sch/261328/i.html?_from=R40&amp;_nkw=2025-26%20Finest%20ZACH%20LAVINE%20%2386%20Oil%20Spill%20Refractor%20Sacramento%20Kings%20Basketball&amp;_sacat=0&amp;LH_Sold=1&amp;LH_Complete=1&amp;_sop=13", "Completed")</f>
        <v/>
      </c>
      <c r="K403" s="2" t="inlineStr">
        <is>
          <t>2025-26 Topps Finest - Common Zach LaVine #86 Oil Spill Refractor</t>
        </is>
      </c>
    </row>
    <row r="404">
      <c r="A404" s="5" t="inlineStr">
        <is>
          <t>BBB-000051-tjc02</t>
        </is>
      </c>
      <c r="B404" s="5" t="inlineStr">
        <is>
          <t>2025-26 Finest ZACH LAVINE #86 Green Refractor Sacramento Kings #/75 Basketball</t>
        </is>
      </c>
      <c r="C404" s="6" t="n">
        <v>4.99</v>
      </c>
      <c r="D404" s="6" t="n">
        <v>5.79</v>
      </c>
      <c r="E404" s="6" t="n">
        <v>0.8</v>
      </c>
      <c r="F404" s="7" t="n">
        <v>16</v>
      </c>
      <c r="G404" s="5" t="inlineStr">
        <is>
          <t>⬆ Price Up</t>
        </is>
      </c>
      <c r="H404" s="5" t="inlineStr">
        <is>
          <t>100%</t>
        </is>
      </c>
      <c r="I404" s="5">
        <f>HYPERLINK("https://www.ebay.com/sch/261328/i.html?_dcat=261328&amp;_fsrp=1&amp;rt=nc&amp;_from=R40&amp;_nkw=2025-26%20Finest%20ZACH%20LAVINE%20%2386%20Green%20Refractor%20Sacramento%20Kings%20%23%2F75%20Basketball&amp;_sacat=0&amp;_sop=15&amp;rt=nc&amp;LH_BIN=1", "Active")</f>
        <v/>
      </c>
      <c r="J404" s="5">
        <f>HYPERLINK("https://www.ebay.com/sch/261328/i.html?_from=R40&amp;_nkw=2025-26%20Finest%20ZACH%20LAVINE%20%2386%20Green%20Refractor%20Sacramento%20Kings%20%23%2F75%20Basketball&amp;_sacat=0&amp;LH_Sold=1&amp;LH_Complete=1&amp;_sop=13", "Completed")</f>
        <v/>
      </c>
      <c r="K404" s="5" t="inlineStr">
        <is>
          <t>2025-26 Finest ZACH LAVINE #86 Green Refractor Sacramento Kings #/75 Basketball</t>
        </is>
      </c>
    </row>
    <row r="405">
      <c r="A405" s="5" t="inlineStr">
        <is>
          <t>BBB-000050-tjc01</t>
        </is>
      </c>
      <c r="B405" s="5" t="inlineStr">
        <is>
          <t>2025-26 Finest MALIK MONK #170 Sky Blue Ref Sacramento Kings #/250 Basketball</t>
        </is>
      </c>
      <c r="C405" s="6" t="n">
        <v>11.09</v>
      </c>
      <c r="D405" s="6" t="n">
        <v>11.69</v>
      </c>
      <c r="E405" s="6" t="n">
        <v>0.6</v>
      </c>
      <c r="F405" s="7" t="n">
        <v>5.4</v>
      </c>
      <c r="G405" s="5" t="inlineStr">
        <is>
          <t>⬆ Price Up</t>
        </is>
      </c>
      <c r="H405" s="5" t="inlineStr">
        <is>
          <t>100%</t>
        </is>
      </c>
      <c r="I405" s="5">
        <f>HYPERLINK("https://www.ebay.com/sch/261328/i.html?_dcat=261328&amp;_fsrp=1&amp;rt=nc&amp;_from=R40&amp;_nkw=2025-26%20Finest%20MALIK%20MONK%20%23170%20Sky%20Blue%20Ref%20Sacramento%20Kings%20%23%2F250%20Basketball&amp;_sacat=0&amp;_sop=15&amp;rt=nc&amp;LH_BIN=1", "Active")</f>
        <v/>
      </c>
      <c r="J405" s="5">
        <f>HYPERLINK("https://www.ebay.com/sch/261328/i.html?_from=R40&amp;_nkw=2025-26%20Finest%20MALIK%20MONK%20%23170%20Sky%20Blue%20Ref%20Sacramento%20Kings%20%23%2F250%20Basketball&amp;_sacat=0&amp;LH_Sold=1&amp;LH_Complete=1&amp;_sop=13", "Completed")</f>
        <v/>
      </c>
      <c r="K405" s="5" t="inlineStr">
        <is>
          <t>2025-26 Finest MALIK MONK #170 Sky Blue Ref Sacramento Kings #/250 Basketball</t>
        </is>
      </c>
    </row>
    <row r="406">
      <c r="A406" s="5" t="inlineStr">
        <is>
          <t>BBB-000052-tjc06</t>
        </is>
      </c>
      <c r="B406" s="5" t="inlineStr">
        <is>
          <t>2025-26 Finest MALIK MONK #170 Purple X-Fractor Sacramento Kings #/99 Basketball</t>
        </is>
      </c>
      <c r="C406" s="6" t="n">
        <v>6.09</v>
      </c>
      <c r="D406" s="6" t="n">
        <v>6.19</v>
      </c>
      <c r="E406" s="6" t="n">
        <v>0.1</v>
      </c>
      <c r="F406" s="7" t="n">
        <v>1.6</v>
      </c>
      <c r="G406" s="5" t="inlineStr">
        <is>
          <t>⬆ Price Up</t>
        </is>
      </c>
      <c r="H406" s="5" t="inlineStr">
        <is>
          <t>83%</t>
        </is>
      </c>
      <c r="I406" s="5">
        <f>HYPERLINK("https://www.ebay.com/sch/261328/i.html?_dcat=261328&amp;_fsrp=1&amp;rt=nc&amp;_from=R40&amp;_nkw=2025-26%20Finest%20MALIK%20MONK%20%23170%20Purple%20X-Fractor%20Sacramento%20Kings%20%23%2F99%20Basketball&amp;_sacat=0&amp;_sop=15&amp;rt=nc&amp;LH_BIN=1", "Active")</f>
        <v/>
      </c>
      <c r="J406" s="5">
        <f>HYPERLINK("https://www.ebay.com/sch/261328/i.html?_from=R40&amp;_nkw=2025-26%20Finest%20MALIK%20MONK%20%23170%20Purple%20X-Fractor%20Sacramento%20Kings%20%23%2F99%20Basketball&amp;_sacat=0&amp;LH_Sold=1&amp;LH_Complete=1&amp;_sop=13", "Completed")</f>
        <v/>
      </c>
      <c r="K406" s="5" t="inlineStr">
        <is>
          <t>2025-26 Topps Finest - Uncommon Malik Monk #170 Purple X-Fractor /99</t>
        </is>
      </c>
    </row>
    <row r="407">
      <c r="A407" s="8" t="inlineStr">
        <is>
          <t>BBB-000060-tjc0i</t>
        </is>
      </c>
      <c r="B407" s="8" t="inlineStr">
        <is>
          <t>2024-25 Panini Select CODY WILLIAMS #296 White Disco Prizm Utah Jazz #/75</t>
        </is>
      </c>
      <c r="C407" s="9" t="n">
        <v>21.29</v>
      </c>
      <c r="D407" s="9" t="n">
        <v>21.29</v>
      </c>
      <c r="E407" s="9" t="n">
        <v>0</v>
      </c>
      <c r="F407" s="10" t="n">
        <v>0</v>
      </c>
      <c r="G407" s="8" t="inlineStr">
        <is>
          <t>— No Change</t>
        </is>
      </c>
      <c r="H407" s="8" t="inlineStr">
        <is>
          <t>74%</t>
        </is>
      </c>
      <c r="I407" s="8">
        <f>HYPERLINK("https://www.ebay.com/sch/261328/i.html?_dcat=261328&amp;_fsrp=1&amp;rt=nc&amp;_from=R40&amp;_nkw=2024-25%20Panini%20Select%20CODY%20WILLIAMS%20%23296%20White%20Disco%20Prizm%20Utah%20Jazz%20%23%2F75&amp;_sacat=0&amp;_sop=15&amp;rt=nc&amp;LH_BIN=1", "Active")</f>
        <v/>
      </c>
      <c r="J407" s="8">
        <f>HYPERLINK("https://www.ebay.com/sch/261328/i.html?_from=R40&amp;_nkw=2024-25%20Panini%20Select%20CODY%20WILLIAMS%20%23296%20White%20Disco%20Prizm%20Utah%20Jazz%20%23%2F75&amp;_sacat=0&amp;LH_Sold=1&amp;LH_Complete=1&amp;_sop=13", "Completed")</f>
        <v/>
      </c>
      <c r="K407" s="8" t="inlineStr">
        <is>
          <t>Cody Williams (RC) 2024-25 Panini Select Courtside #296 ~ White Disco Prizm  /75</t>
        </is>
      </c>
    </row>
    <row r="408">
      <c r="A408" s="5" t="inlineStr">
        <is>
          <t>BBB-000062-tjc0l</t>
        </is>
      </c>
      <c r="B408" s="5" t="inlineStr">
        <is>
          <t>2025-26 Topps Chrome BEN SARAF #276 Green Wave Ref Brooklyn Nets #/99 Basketball</t>
        </is>
      </c>
      <c r="C408" s="6" t="n">
        <v>26.29</v>
      </c>
      <c r="D408" s="6" t="n">
        <v>26.49</v>
      </c>
      <c r="E408" s="6" t="n">
        <v>0.2</v>
      </c>
      <c r="F408" s="7" t="n">
        <v>0.8</v>
      </c>
      <c r="G408" s="5" t="inlineStr">
        <is>
          <t>⬆ Price Up</t>
        </is>
      </c>
      <c r="H408" s="5" t="inlineStr">
        <is>
          <t>100%</t>
        </is>
      </c>
      <c r="I408" s="5">
        <f>HYPERLINK("https://www.ebay.com/sch/261328/i.html?_dcat=261328&amp;_fsrp=1&amp;rt=nc&amp;_from=R40&amp;_nkw=2025-26%20Topps%20Chrome%20BEN%20SARAF%20%23276%20Green%20Wave%20Ref%20Brooklyn%20Nets%20%23%2F99%20Basketball&amp;_sacat=0&amp;_sop=15&amp;rt=nc&amp;LH_BIN=1", "Active")</f>
        <v/>
      </c>
      <c r="J408" s="5">
        <f>HYPERLINK("https://www.ebay.com/sch/261328/i.html?_from=R40&amp;_nkw=2025-26%20Topps%20Chrome%20BEN%20SARAF%20%23276%20Green%20Wave%20Ref%20Brooklyn%20Nets%20%23%2F99%20Basketball&amp;_sacat=0&amp;LH_Sold=1&amp;LH_Complete=1&amp;_sop=13", "Completed")</f>
        <v/>
      </c>
      <c r="K408" s="5" t="inlineStr">
        <is>
          <t>2025-26 Topps Chrome BEN SARAF #276 Green Wave Ref Brooklyn Nets #/99 Basketball</t>
        </is>
      </c>
    </row>
    <row r="409">
      <c r="A409" s="5" t="inlineStr">
        <is>
          <t>BBB-000063-tjc0m</t>
        </is>
      </c>
      <c r="B409" s="5" t="inlineStr">
        <is>
          <t>2025-26 Finest JOAN BERINGER #217 Sky Blue Ref Timberwolves #/150 Basketball</t>
        </is>
      </c>
      <c r="C409" s="6" t="n">
        <v>26.29</v>
      </c>
      <c r="D409" s="6" t="n">
        <v>34.39</v>
      </c>
      <c r="E409" s="6" t="n">
        <v>8.1</v>
      </c>
      <c r="F409" s="7" t="n">
        <v>30.8</v>
      </c>
      <c r="G409" s="5" t="inlineStr">
        <is>
          <t>⬆ Price Up</t>
        </is>
      </c>
      <c r="H409" s="5" t="inlineStr">
        <is>
          <t>100%</t>
        </is>
      </c>
      <c r="I409" s="5">
        <f>HYPERLINK("https://www.ebay.com/sch/261328/i.html?_dcat=261328&amp;_fsrp=1&amp;rt=nc&amp;_from=R40&amp;_nkw=2025-26%20Finest%20JOAN%20BERINGER%20%23217%20Sky%20Blue%20Ref%20Timberwolves%20%23%2F150%20Basketball&amp;_sacat=0&amp;_sop=15&amp;rt=nc&amp;LH_BIN=1", "Active")</f>
        <v/>
      </c>
      <c r="J409" s="5">
        <f>HYPERLINK("https://www.ebay.com/sch/261328/i.html?_from=R40&amp;_nkw=2025-26%20Finest%20JOAN%20BERINGER%20%23217%20Sky%20Blue%20Ref%20Timberwolves%20%23%2F150%20Basketball&amp;_sacat=0&amp;LH_Sold=1&amp;LH_Complete=1&amp;_sop=13", "Completed")</f>
        <v/>
      </c>
      <c r="K409" s="5" t="inlineStr">
        <is>
          <t>2025-26 Finest JOAN BERINGER #217 Sky Blue Ref Timberwolves #/150 Basketball</t>
        </is>
      </c>
    </row>
    <row r="410">
      <c r="A410" s="5" t="inlineStr">
        <is>
          <t>BBB-000066-tjc0q</t>
        </is>
      </c>
      <c r="B410" s="5" t="inlineStr">
        <is>
          <t>2025-26 Topps Chrome LONZO BALL #38 Teal Ref Chicago Bulls #/299 Basketball</t>
        </is>
      </c>
      <c r="C410" s="6" t="n">
        <v>2.99</v>
      </c>
      <c r="D410" s="6" t="n">
        <v>3.89</v>
      </c>
      <c r="E410" s="6" t="n">
        <v>0.9</v>
      </c>
      <c r="F410" s="7" t="n">
        <v>30.1</v>
      </c>
      <c r="G410" s="5" t="inlineStr">
        <is>
          <t>⬆ Price Up</t>
        </is>
      </c>
      <c r="H410" s="5" t="inlineStr">
        <is>
          <t>100%</t>
        </is>
      </c>
      <c r="I410" s="5">
        <f>HYPERLINK("https://www.ebay.com/sch/261328/i.html?_dcat=261328&amp;_fsrp=1&amp;rt=nc&amp;_from=R40&amp;_nkw=2025-26%20Topps%20Chrome%20LONZO%20BALL%20%2338%20Teal%20Ref%20Chicago%20Bulls%20%23%2F299%20Basketball&amp;_sacat=0&amp;_sop=15&amp;rt=nc&amp;LH_BIN=1", "Active")</f>
        <v/>
      </c>
      <c r="J410" s="5">
        <f>HYPERLINK("https://www.ebay.com/sch/261328/i.html?_from=R40&amp;_nkw=2025-26%20Topps%20Chrome%20LONZO%20BALL%20%2338%20Teal%20Ref%20Chicago%20Bulls%20%23%2F299%20Basketball&amp;_sacat=0&amp;LH_Sold=1&amp;LH_Complete=1&amp;_sop=13", "Completed")</f>
        <v/>
      </c>
      <c r="K410" s="5" t="inlineStr">
        <is>
          <t>2025-26 Topps Chrome LONZO BALL #38 Teal Ref Chicago Bulls #/299 Basketball</t>
        </is>
      </c>
    </row>
    <row r="411">
      <c r="A411" s="5" t="inlineStr">
        <is>
          <t>CDP-E328510</t>
        </is>
      </c>
      <c r="B411" s="5" t="inlineStr">
        <is>
          <t>THOMAS SORBER RC 2025-26 Topps Finest Oil Spill Rookie Card-#15 OKC Thunder</t>
        </is>
      </c>
      <c r="C411" s="6" t="n">
        <v>5.99</v>
      </c>
      <c r="D411" s="6" t="n">
        <v>6.79</v>
      </c>
      <c r="E411" s="6" t="n">
        <v>0.8</v>
      </c>
      <c r="F411" s="7" t="n">
        <v>13.4</v>
      </c>
      <c r="G411" s="5" t="inlineStr">
        <is>
          <t>⬆ Price Up</t>
        </is>
      </c>
      <c r="H411" s="5" t="inlineStr">
        <is>
          <t>100%</t>
        </is>
      </c>
      <c r="I411" s="5">
        <f>HYPERLINK("https://www.ebay.com/sch/261328/i.html?_dcat=261328&amp;_fsrp=1&amp;rt=nc&amp;_from=R40&amp;_nkw=THOMAS%20SORBER%20RC%202025-26%20Topps%20Finest%20Oil%20Spill%20Rookie%20Card-%2315%20OKC%20Thunder&amp;_sacat=0&amp;_sop=15&amp;rt=nc&amp;LH_BIN=1", "Active")</f>
        <v/>
      </c>
      <c r="J411" s="5">
        <f>HYPERLINK("https://www.ebay.com/sch/261328/i.html?_from=R40&amp;_nkw=THOMAS%20SORBER%20RC%202025-26%20Topps%20Finest%20Oil%20Spill%20Rookie%20Card-%2315%20OKC%20Thunder&amp;_sacat=0&amp;LH_Sold=1&amp;LH_Complete=1&amp;_sop=13", "Completed")</f>
        <v/>
      </c>
      <c r="K411" s="5" t="inlineStr">
        <is>
          <t>THOMAS SORBER RC 2025-26 Topps Finest Oil Spill Rookie Card-#15 OKC Thunder</t>
        </is>
      </c>
    </row>
    <row r="412">
      <c r="A412" s="2" t="inlineStr">
        <is>
          <t>BBA-000001-00078-67770</t>
        </is>
      </c>
      <c r="B412" s="2" t="inlineStr">
        <is>
          <t>2025 Bowman's Best JAC CAGLIANONE #TP-3 Top Prospects Royals</t>
        </is>
      </c>
      <c r="C412" s="3" t="n">
        <v>4.49</v>
      </c>
      <c r="D412" s="3" t="n">
        <v>2.49</v>
      </c>
      <c r="E412" s="3" t="n">
        <v>-2</v>
      </c>
      <c r="F412" s="4" t="n">
        <v>-44.5</v>
      </c>
      <c r="G412" s="2" t="inlineStr">
        <is>
          <t>🔵 Floored $2.49 — free ship or $0.99 ship?</t>
        </is>
      </c>
      <c r="H412" s="2" t="inlineStr">
        <is>
          <t>85%</t>
        </is>
      </c>
      <c r="I412" s="2">
        <f>HYPERLINK("https://www.ebay.com/sch/261328/i.html?_dcat=261328&amp;_fsrp=1&amp;rt=nc&amp;_from=R40&amp;_nkw=2025%20Bowman's%20Best%20JAC%20CAGLIANONE%20%23TP-3%20Top%20Prospects%20Royals&amp;_sacat=0&amp;_sop=15&amp;rt=nc&amp;LH_BIN=1", "Active")</f>
        <v/>
      </c>
      <c r="J412" s="2">
        <f>HYPERLINK("https://www.ebay.com/sch/261328/i.html?_from=R40&amp;_nkw=2025%20Bowman's%20Best%20JAC%20CAGLIANONE%20%23TP-3%20Top%20Prospects%20Royals&amp;_sacat=0&amp;LH_Sold=1&amp;LH_Complete=1&amp;_sop=13", "Completed")</f>
        <v/>
      </c>
      <c r="K412" s="2" t="inlineStr">
        <is>
          <t>2025 Bowman's Best Jac Caglianone #TP-3 Royals</t>
        </is>
      </c>
    </row>
    <row r="413">
      <c r="A413" s="2" t="inlineStr">
        <is>
          <t>BBA-000001-00069-39880</t>
        </is>
      </c>
      <c r="B413" s="2" t="inlineStr">
        <is>
          <t>2025 Bowman's Best MARCELO MAYER #5 RC Red Sox Rookie</t>
        </is>
      </c>
      <c r="C413" s="3" t="n">
        <v>4.99</v>
      </c>
      <c r="D413" s="3" t="n">
        <v>2.49</v>
      </c>
      <c r="E413" s="3" t="n">
        <v>-2.5</v>
      </c>
      <c r="F413" s="4" t="n">
        <v>-50.1</v>
      </c>
      <c r="G413" s="2" t="inlineStr">
        <is>
          <t>🔵 Floored $2.49 — free ship or $0.99 ship?</t>
        </is>
      </c>
      <c r="H413" s="2" t="inlineStr">
        <is>
          <t>74%</t>
        </is>
      </c>
      <c r="I413" s="2">
        <f>HYPERLINK("https://www.ebay.com/sch/261328/i.html?_dcat=261328&amp;_fsrp=1&amp;rt=nc&amp;_from=R40&amp;_nkw=2025%20Bowman's%20Best%20MARCELO%20MAYER%20%235%20RC%20Red%20Sox%20Rookie&amp;_sacat=0&amp;_sop=15&amp;rt=nc&amp;LH_BIN=1", "Active")</f>
        <v/>
      </c>
      <c r="J413" s="2">
        <f>HYPERLINK("https://www.ebay.com/sch/261328/i.html?_from=R40&amp;_nkw=2025%20Bowman's%20Best%20MARCELO%20MAYER%20%235%20RC%20Red%20Sox%20Rookie&amp;_sacat=0&amp;LH_Sold=1&amp;LH_Complete=1&amp;_sop=13", "Completed")</f>
        <v/>
      </c>
      <c r="K413" s="2" t="inlineStr">
        <is>
          <t>Marcelo Mayer Rookie Card RC 2025 Bowman’s Best Boston Red Sox #5</t>
        </is>
      </c>
    </row>
    <row r="414">
      <c r="A414" s="2" t="inlineStr">
        <is>
          <t>BBA-000001-00074-32887</t>
        </is>
      </c>
      <c r="B414" s="2" t="inlineStr">
        <is>
          <t>2025 Bowman's Best LEO DE VRIES #TP-26 Top Prospects Athletics</t>
        </is>
      </c>
      <c r="C414" s="3" t="n">
        <v>3.99</v>
      </c>
      <c r="D414" s="3" t="n">
        <v>2.49</v>
      </c>
      <c r="E414" s="3" t="n">
        <v>-1.5</v>
      </c>
      <c r="F414" s="4" t="n">
        <v>-37.6</v>
      </c>
      <c r="G414" s="2" t="inlineStr">
        <is>
          <t>🔵 Floored $2.49 — free ship or $0.99 ship?</t>
        </is>
      </c>
      <c r="H414" s="2" t="inlineStr">
        <is>
          <t>87%</t>
        </is>
      </c>
      <c r="I414" s="2">
        <f>HYPERLINK("https://www.ebay.com/sch/261328/i.html?_dcat=261328&amp;_fsrp=1&amp;rt=nc&amp;_from=R40&amp;_nkw=2025%20Bowman's%20Best%20LEO%20DE%20VRIES%20%23TP-26%20Top%20Prospects%20Athletics&amp;_sacat=0&amp;_sop=15&amp;rt=nc&amp;LH_BIN=1", "Active")</f>
        <v/>
      </c>
      <c r="J414" s="2">
        <f>HYPERLINK("https://www.ebay.com/sch/261328/i.html?_from=R40&amp;_nkw=2025%20Bowman's%20Best%20LEO%20DE%20VRIES%20%23TP-26%20Top%20Prospects%20Athletics&amp;_sacat=0&amp;LH_Sold=1&amp;LH_Complete=1&amp;_sop=13", "Completed")</f>
        <v/>
      </c>
      <c r="K414" s="2" t="inlineStr">
        <is>
          <t>2025 Bowman's Best Leo De Vries #TP-26 Top Prospects Refractor Athletics</t>
        </is>
      </c>
    </row>
    <row r="415">
      <c r="A415" s="2" t="inlineStr">
        <is>
          <t>BBA-000001-00073-26230</t>
        </is>
      </c>
      <c r="B415" s="2" t="inlineStr">
        <is>
          <t>2025 Bowman's Best CHARLIE CONDON #TP-8 Top Prospects Rockies</t>
        </is>
      </c>
      <c r="C415" s="3" t="n">
        <v>3.49</v>
      </c>
      <c r="D415" s="3" t="n">
        <v>2.49</v>
      </c>
      <c r="E415" s="3" t="n">
        <v>-1</v>
      </c>
      <c r="F415" s="4" t="n">
        <v>-28.7</v>
      </c>
      <c r="G415" s="2" t="inlineStr">
        <is>
          <t>🔵 Floored $2.49 — free ship or $0.99 ship?</t>
        </is>
      </c>
      <c r="H415" s="2" t="inlineStr">
        <is>
          <t>87%</t>
        </is>
      </c>
      <c r="I415" s="2">
        <f>HYPERLINK("https://www.ebay.com/sch/261328/i.html?_dcat=261328&amp;_fsrp=1&amp;rt=nc&amp;_from=R40&amp;_nkw=2025%20Bowman's%20Best%20CHARLIE%20CONDON%20%23TP-8%20Top%20Prospects%20Rockies&amp;_sacat=0&amp;_sop=15&amp;rt=nc&amp;LH_BIN=1", "Active")</f>
        <v/>
      </c>
      <c r="J415" s="2">
        <f>HYPERLINK("https://www.ebay.com/sch/261328/i.html?_from=R40&amp;_nkw=2025%20Bowman's%20Best%20CHARLIE%20CONDON%20%23TP-8%20Top%20Prospects%20Rockies&amp;_sacat=0&amp;LH_Sold=1&amp;LH_Complete=1&amp;_sop=13", "Completed")</f>
        <v/>
      </c>
      <c r="K415" s="2" t="inlineStr">
        <is>
          <t>2025 Bowman’s Best Charlie Condon Top Prospects #TP-8 Colorado Rockies</t>
        </is>
      </c>
    </row>
    <row r="416">
      <c r="A416" s="2" t="inlineStr">
        <is>
          <t>BBA-000001-00070-19592</t>
        </is>
      </c>
      <c r="B416" s="2" t="inlineStr">
        <is>
          <t>2025 Bowman's Best HYESEONG KIM #45 RC Dodgers Rookie</t>
        </is>
      </c>
      <c r="C416" s="3" t="n">
        <v>3.99</v>
      </c>
      <c r="D416" s="3" t="n">
        <v>2.49</v>
      </c>
      <c r="E416" s="3" t="n">
        <v>-1.5</v>
      </c>
      <c r="F416" s="4" t="n">
        <v>-37.6</v>
      </c>
      <c r="G416" s="2" t="inlineStr">
        <is>
          <t>🔵 Floored $2.49 — free ship or $0.99 ship?</t>
        </is>
      </c>
      <c r="H416" s="2" t="inlineStr">
        <is>
          <t>72%</t>
        </is>
      </c>
      <c r="I416" s="2">
        <f>HYPERLINK("https://www.ebay.com/sch/261328/i.html?_dcat=261328&amp;_fsrp=1&amp;rt=nc&amp;_from=R40&amp;_nkw=2025%20Bowman's%20Best%20HYESEONG%20KIM%20%2345%20RC%20Dodgers%20Rookie&amp;_sacat=0&amp;_sop=15&amp;rt=nc&amp;LH_BIN=1", "Active")</f>
        <v/>
      </c>
      <c r="J416" s="2">
        <f>HYPERLINK("https://www.ebay.com/sch/261328/i.html?_from=R40&amp;_nkw=2025%20Bowman's%20Best%20HYESEONG%20KIM%20%2345%20RC%20Dodgers%20Rookie&amp;_sacat=0&amp;LH_Sold=1&amp;LH_Complete=1&amp;_sop=13", "Completed")</f>
        <v/>
      </c>
      <c r="K416" s="2" t="inlineStr">
        <is>
          <t>⚾(pick) HYESEONG KIM RC 2025 Bowman's Best LA Dodgers #45 (refractor) QTY🔵⚪</t>
        </is>
      </c>
    </row>
    <row r="417">
      <c r="A417" s="2" t="inlineStr">
        <is>
          <t>BBA-000001-00080-37794</t>
        </is>
      </c>
      <c r="B417" s="2" t="inlineStr">
        <is>
          <t>2025 Bowman's Best ROMAN ANTHONY #TP-16 Top Prospects Red Sox</t>
        </is>
      </c>
      <c r="C417" s="3" t="n">
        <v>7.49</v>
      </c>
      <c r="D417" s="3" t="n">
        <v>2.49</v>
      </c>
      <c r="E417" s="3" t="n">
        <v>-5</v>
      </c>
      <c r="F417" s="4" t="n">
        <v>-66.8</v>
      </c>
      <c r="G417" s="2" t="inlineStr">
        <is>
          <t>🔵 Floored $2.49 — free ship or $0.99 ship?</t>
        </is>
      </c>
      <c r="H417" s="2" t="inlineStr">
        <is>
          <t>90%</t>
        </is>
      </c>
      <c r="I417" s="2">
        <f>HYPERLINK("https://www.ebay.com/sch/261328/i.html?_dcat=261328&amp;_fsrp=1&amp;rt=nc&amp;_from=R40&amp;_nkw=2025%20Bowman's%20Best%20ROMAN%20ANTHONY%20%23TP-16%20Top%20Prospects%20Red%20Sox&amp;_sacat=0&amp;_sop=15&amp;rt=nc&amp;LH_BIN=1", "Active")</f>
        <v/>
      </c>
      <c r="J417" s="2">
        <f>HYPERLINK("https://www.ebay.com/sch/261328/i.html?_from=R40&amp;_nkw=2025%20Bowman's%20Best%20ROMAN%20ANTHONY%20%23TP-16%20Top%20Prospects%20Red%20Sox&amp;_sacat=0&amp;LH_Sold=1&amp;LH_Complete=1&amp;_sop=13", "Completed")</f>
        <v/>
      </c>
      <c r="K417" s="2" t="inlineStr">
        <is>
          <t>2025 Bowman's Best Roman Anthony Top Prospects #TP-16 Red Sox</t>
        </is>
      </c>
    </row>
    <row r="418">
      <c r="A418" s="2" t="inlineStr">
        <is>
          <t>BBA-000001-00075-78100</t>
        </is>
      </c>
      <c r="B418" s="2" t="inlineStr">
        <is>
          <t>2025 Bowman's Best JACOB WILSON #31 RC Athletics Rookie</t>
        </is>
      </c>
      <c r="C418" s="3" t="n">
        <v>6</v>
      </c>
      <c r="D418" s="3" t="n">
        <v>2.49</v>
      </c>
      <c r="E418" s="3" t="n">
        <v>-3.51</v>
      </c>
      <c r="F418" s="4" t="n">
        <v>-58.5</v>
      </c>
      <c r="G418" s="2" t="inlineStr">
        <is>
          <t>🔵 Floored $2.49 — free ship or $0.99 ship?</t>
        </is>
      </c>
      <c r="H418" s="2" t="inlineStr">
        <is>
          <t>89%</t>
        </is>
      </c>
      <c r="I418" s="2">
        <f>HYPERLINK("https://www.ebay.com/sch/261328/i.html?_dcat=261328&amp;_fsrp=1&amp;rt=nc&amp;_from=R40&amp;_nkw=2025%20Bowman's%20Best%20JACOB%20WILSON%20%2331%20RC%20Athletics%20Rookie&amp;_sacat=0&amp;_sop=15&amp;rt=nc&amp;LH_BIN=1", "Active")</f>
        <v/>
      </c>
      <c r="J418" s="2">
        <f>HYPERLINK("https://www.ebay.com/sch/261328/i.html?_from=R40&amp;_nkw=2025%20Bowman's%20Best%20JACOB%20WILSON%20%2331%20RC%20Athletics%20Rookie&amp;_sacat=0&amp;LH_Sold=1&amp;LH_Complete=1&amp;_sop=13", "Completed")</f>
        <v/>
      </c>
      <c r="K418" s="2" t="inlineStr">
        <is>
          <t>2025 Bowman's Best #31 Jacob Wilson Rookie (RC) - Athletics</t>
        </is>
      </c>
    </row>
    <row r="419">
      <c r="A419" s="2" t="inlineStr">
        <is>
          <t>BBA-000001-00084-42585</t>
        </is>
      </c>
      <c r="B419" s="2" t="inlineStr">
        <is>
          <t>2025 Bowman's Best AARON JUDGE #38 Yankees</t>
        </is>
      </c>
      <c r="C419" s="3" t="n">
        <v>5.99</v>
      </c>
      <c r="D419" s="3" t="n">
        <v>2.49</v>
      </c>
      <c r="E419" s="3" t="n">
        <v>-3.5</v>
      </c>
      <c r="F419" s="4" t="n">
        <v>-58.4</v>
      </c>
      <c r="G419" s="2" t="inlineStr">
        <is>
          <t>🔵 Floored $2.49 — free ship or $0.99 ship?</t>
        </is>
      </c>
      <c r="H419" s="2" t="inlineStr">
        <is>
          <t>86%</t>
        </is>
      </c>
      <c r="I419" s="2">
        <f>HYPERLINK("https://www.ebay.com/sch/261328/i.html?_dcat=261328&amp;_fsrp=1&amp;rt=nc&amp;_from=R40&amp;_nkw=2025%20Bowman's%20Best%20AARON%20JUDGE%20%2338%20Yankees&amp;_sacat=0&amp;_sop=15&amp;rt=nc&amp;LH_BIN=1", "Active")</f>
        <v/>
      </c>
      <c r="J419" s="2">
        <f>HYPERLINK("https://www.ebay.com/sch/261328/i.html?_from=R40&amp;_nkw=2025%20Bowman's%20Best%20AARON%20JUDGE%20%2338%20Yankees&amp;_sacat=0&amp;LH_Sold=1&amp;LH_Complete=1&amp;_sop=13", "Completed")</f>
        <v/>
      </c>
      <c r="K419" s="2" t="inlineStr">
        <is>
          <t>2025 Bowman's Best  Aaron Judge New York Yankees #38</t>
        </is>
      </c>
    </row>
    <row r="420">
      <c r="A420" s="2" t="inlineStr">
        <is>
          <t>BBA-000001-00071-14349</t>
        </is>
      </c>
      <c r="B420" s="2" t="inlineStr">
        <is>
          <t>2025 Bowman's Best CARSON BENGE #TP-22 Top Prospects Mets</t>
        </is>
      </c>
      <c r="C420" s="3" t="n">
        <v>5.99</v>
      </c>
      <c r="D420" s="3" t="n">
        <v>2.49</v>
      </c>
      <c r="E420" s="3" t="n">
        <v>-3.5</v>
      </c>
      <c r="F420" s="4" t="n">
        <v>-58.4</v>
      </c>
      <c r="G420" s="2" t="inlineStr">
        <is>
          <t>🔵 Floored $2.49 — free ship or $0.99 ship?</t>
        </is>
      </c>
      <c r="H420" s="2" t="inlineStr">
        <is>
          <t>90%</t>
        </is>
      </c>
      <c r="I420" s="2">
        <f>HYPERLINK("https://www.ebay.com/sch/261328/i.html?_dcat=261328&amp;_fsrp=1&amp;rt=nc&amp;_from=R40&amp;_nkw=2025%20Bowman's%20Best%20CARSON%20BENGE%20%23TP-22%20Top%20Prospects%20Mets&amp;_sacat=0&amp;_sop=15&amp;rt=nc&amp;LH_BIN=1", "Active")</f>
        <v/>
      </c>
      <c r="J420" s="2">
        <f>HYPERLINK("https://www.ebay.com/sch/261328/i.html?_from=R40&amp;_nkw=2025%20Bowman's%20Best%20CARSON%20BENGE%20%23TP-22%20Top%20Prospects%20Mets&amp;_sacat=0&amp;LH_Sold=1&amp;LH_Complete=1&amp;_sop=13", "Completed")</f>
        <v/>
      </c>
      <c r="K420" s="2" t="inlineStr">
        <is>
          <t>2025 Bowman's Best Carson Benge Top Prospects #TP-22 Mets</t>
        </is>
      </c>
    </row>
    <row r="421">
      <c r="A421" s="2" t="inlineStr">
        <is>
          <t>BBA-000001-00085-40349</t>
        </is>
      </c>
      <c r="B421" s="2" t="inlineStr">
        <is>
          <t>2025 Bowman's Best GEORGE LOMBARD JR. #TP-23 Top Prospects Yankees</t>
        </is>
      </c>
      <c r="C421" s="3" t="n">
        <v>3.99</v>
      </c>
      <c r="D421" s="3" t="n">
        <v>2.49</v>
      </c>
      <c r="E421" s="3" t="n">
        <v>-1.5</v>
      </c>
      <c r="F421" s="4" t="n">
        <v>-37.6</v>
      </c>
      <c r="G421" s="2" t="inlineStr">
        <is>
          <t>🔵 Floored $2.49 — free ship or $0.99 ship?</t>
        </is>
      </c>
      <c r="H421" s="2" t="inlineStr">
        <is>
          <t>90%</t>
        </is>
      </c>
      <c r="I421" s="2">
        <f>HYPERLINK("https://www.ebay.com/sch/261328/i.html?_dcat=261328&amp;_fsrp=1&amp;rt=nc&amp;_from=R40&amp;_nkw=2025%20Bowman's%20Best%20GEORGE%20LOMBARD%20JR.%20%23TP-23%20Top%20Prospects%20Yankees&amp;_sacat=0&amp;_sop=15&amp;rt=nc&amp;LH_BIN=1", "Active")</f>
        <v/>
      </c>
      <c r="J421" s="2">
        <f>HYPERLINK("https://www.ebay.com/sch/261328/i.html?_from=R40&amp;_nkw=2025%20Bowman's%20Best%20GEORGE%20LOMBARD%20JR.%20%23TP-23%20Top%20Prospects%20Yankees&amp;_sacat=0&amp;LH_Sold=1&amp;LH_Complete=1&amp;_sop=13", "Completed")</f>
        <v/>
      </c>
      <c r="K421" s="2" t="inlineStr">
        <is>
          <t>2025 Bowman's Best George Lombard Jr. Top Prospects #TP-23 Yankees</t>
        </is>
      </c>
    </row>
    <row r="422">
      <c r="A422" s="2" t="inlineStr">
        <is>
          <t>Baseball_lot_1_03-16-26-00013-036836</t>
        </is>
      </c>
      <c r="B422" s="2" t="inlineStr">
        <is>
          <t>2025 Bowman's Best KRISTIAN CAMPBELL #11 RC Red Sox Rookie</t>
        </is>
      </c>
      <c r="C422" s="3" t="n">
        <v>3.99</v>
      </c>
      <c r="D422" s="3" t="n">
        <v>2.49</v>
      </c>
      <c r="E422" s="3" t="n">
        <v>-1.5</v>
      </c>
      <c r="F422" s="4" t="n">
        <v>-37.6</v>
      </c>
      <c r="G422" s="2" t="inlineStr">
        <is>
          <t>🔵 Floored $2.49 — free ship or $0.99 ship?</t>
        </is>
      </c>
      <c r="H422" s="2" t="inlineStr">
        <is>
          <t>75%</t>
        </is>
      </c>
      <c r="I422" s="2">
        <f>HYPERLINK("https://www.ebay.com/sch/261328/i.html?_dcat=261328&amp;_fsrp=1&amp;rt=nc&amp;_from=R40&amp;_nkw=2025%20Bowman's%20Best%20KRISTIAN%20CAMPBELL%20%2311%20RC%20Red%20Sox%20Rookie&amp;_sacat=0&amp;_sop=15&amp;rt=nc&amp;LH_BIN=1", "Active")</f>
        <v/>
      </c>
      <c r="J422" s="2">
        <f>HYPERLINK("https://www.ebay.com/sch/261328/i.html?_from=R40&amp;_nkw=2025%20Bowman's%20Best%20KRISTIAN%20CAMPBELL%20%2311%20RC%20Red%20Sox%20Rookie&amp;_sacat=0&amp;LH_Sold=1&amp;LH_Complete=1&amp;_sop=13", "Completed")</f>
        <v/>
      </c>
      <c r="K422" s="2" t="inlineStr">
        <is>
          <t>Kristian Campbell Chrome Rookie RC 2025 Bowman's Best Card #11 Boston Red Sox</t>
        </is>
      </c>
    </row>
    <row r="423">
      <c r="A423" s="5" t="inlineStr">
        <is>
          <t>Baseball_lot_1_03-16-26-00009-094611</t>
        </is>
      </c>
      <c r="B423" s="5" t="inlineStr">
        <is>
          <t>ELI WILLITS Chrome Top Prospect Rookie 2025 Bowman's Best Card #TP-20 Nationals</t>
        </is>
      </c>
      <c r="C423" s="6" t="n">
        <v>3.49</v>
      </c>
      <c r="D423" s="6" t="n">
        <v>4.39</v>
      </c>
      <c r="E423" s="6" t="n">
        <v>0.9</v>
      </c>
      <c r="F423" s="7" t="n">
        <v>25.8</v>
      </c>
      <c r="G423" s="5" t="inlineStr">
        <is>
          <t>⬆ Price Up</t>
        </is>
      </c>
      <c r="H423" s="5" t="inlineStr">
        <is>
          <t>100%</t>
        </is>
      </c>
      <c r="I423" s="5">
        <f>HYPERLINK("https://www.ebay.com/sch/261328/i.html?_dcat=261328&amp;_fsrp=1&amp;rt=nc&amp;_from=R40&amp;_nkw=ELI%20WILLITS%20Chrome%20Top%20Prospect%20Rookie%202025%20Bowman's%20Best%20Card%20%23TP-20%20Nationals&amp;_sacat=0&amp;_sop=15&amp;rt=nc&amp;LH_BIN=1", "Active")</f>
        <v/>
      </c>
      <c r="J423" s="5">
        <f>HYPERLINK("https://www.ebay.com/sch/261328/i.html?_from=R40&amp;_nkw=ELI%20WILLITS%20Chrome%20Top%20Prospect%20Rookie%202025%20Bowman's%20Best%20Card%20%23TP-20%20Nationals&amp;_sacat=0&amp;LH_Sold=1&amp;LH_Complete=1&amp;_sop=13", "Completed")</f>
        <v/>
      </c>
      <c r="K423" s="5" t="inlineStr">
        <is>
          <t>ELI WILLITS Chrome Top Prospect Rookie 2025 Bowman's Best Card #TP-20 Nationals</t>
        </is>
      </c>
    </row>
    <row r="424">
      <c r="A424" s="5" t="inlineStr">
        <is>
          <t>BBB-000086-trw78</t>
        </is>
      </c>
      <c r="B424" s="5" t="inlineStr">
        <is>
          <t>2025 Topps PRO Debut Jonathan Santucci #PDC-150 Chrome Gold Refractor Mets #/50</t>
        </is>
      </c>
      <c r="C424" s="6" t="n">
        <v>35.09</v>
      </c>
      <c r="D424" s="6" t="n">
        <v>42.89</v>
      </c>
      <c r="E424" s="6" t="n">
        <v>7.8</v>
      </c>
      <c r="F424" s="7" t="n">
        <v>22.2</v>
      </c>
      <c r="G424" s="5" t="inlineStr">
        <is>
          <t>⬆ Price Up</t>
        </is>
      </c>
      <c r="H424" s="5" t="inlineStr">
        <is>
          <t>100%</t>
        </is>
      </c>
      <c r="I424" s="5">
        <f>HYPERLINK("https://www.ebay.com/sch/261328/i.html?_dcat=261328&amp;_fsrp=1&amp;rt=nc&amp;_from=R40&amp;_nkw=2025%20Topps%20PRO%20Debut%20Jonathan%20Santucci%20%23PDC-150%20Chrome%20Gold%20Refractor%20Mets%20%23%2F50&amp;_sacat=0&amp;_sop=15&amp;rt=nc&amp;LH_BIN=1", "Active")</f>
        <v/>
      </c>
      <c r="J424" s="5">
        <f>HYPERLINK("https://www.ebay.com/sch/261328/i.html?_from=R40&amp;_nkw=2025%20Topps%20PRO%20Debut%20Jonathan%20Santucci%20%23PDC-150%20Chrome%20Gold%20Refractor%20Mets%20%23%2F50&amp;_sacat=0&amp;LH_Sold=1&amp;LH_Complete=1&amp;_sop=13", "Completed")</f>
        <v/>
      </c>
      <c r="K424" s="5" t="inlineStr">
        <is>
          <t>2025 Topps PRO Debut Jonathan Santucci #PDC-150 Chrome Gold Refractor Mets #/50</t>
        </is>
      </c>
    </row>
    <row r="425">
      <c r="A425" s="2" t="inlineStr">
        <is>
          <t>BBB-000089-trw7e</t>
        </is>
      </c>
      <c r="B425" s="2" t="inlineStr">
        <is>
          <t>2025 Topps Chrome COSMIC DENZEL CLARKE #147 Athletics</t>
        </is>
      </c>
      <c r="C425" s="3" t="n">
        <v>2.99</v>
      </c>
      <c r="D425" s="3" t="n">
        <v>2.49</v>
      </c>
      <c r="E425" s="3" t="n">
        <v>-0.5</v>
      </c>
      <c r="F425" s="4" t="n">
        <v>-16.7</v>
      </c>
      <c r="G425" s="2" t="inlineStr">
        <is>
          <t>🔵 Floored $2.49 — free ship or $0.99 ship?</t>
        </is>
      </c>
      <c r="H425" s="2" t="inlineStr">
        <is>
          <t>100%</t>
        </is>
      </c>
      <c r="I425" s="2">
        <f>HYPERLINK("https://www.ebay.com/sch/261328/i.html?_dcat=261328&amp;_fsrp=1&amp;rt=nc&amp;_from=R40&amp;_nkw=2025%20Topps%20Chrome%20COSMIC%20DENZEL%20CLARKE%20%23147%20Athletics&amp;_sacat=0&amp;_sop=15&amp;rt=nc&amp;LH_BIN=1", "Active")</f>
        <v/>
      </c>
      <c r="J425" s="2">
        <f>HYPERLINK("https://www.ebay.com/sch/261328/i.html?_from=R40&amp;_nkw=2025%20Topps%20Chrome%20COSMIC%20DENZEL%20CLARKE%20%23147%20Athletics&amp;_sacat=0&amp;LH_Sold=1&amp;LH_Complete=1&amp;_sop=13", "Completed")</f>
        <v/>
      </c>
      <c r="K425" s="2" t="inlineStr">
        <is>
          <t>2025 Topps Chrome Cosmic Denzel Clarke #147 Athletics</t>
        </is>
      </c>
    </row>
    <row r="426">
      <c r="A426" s="2" t="inlineStr">
        <is>
          <t>BBB-000090-trw7h</t>
        </is>
      </c>
      <c r="B426" s="2" t="inlineStr">
        <is>
          <t>2025 Topps Chrome COSMIC BRENT ROOKER #199 Athletics</t>
        </is>
      </c>
      <c r="C426" s="3" t="n">
        <v>2.99</v>
      </c>
      <c r="D426" s="3" t="n">
        <v>2.49</v>
      </c>
      <c r="E426" s="3" t="n">
        <v>-0.5</v>
      </c>
      <c r="F426" s="4" t="n">
        <v>-16.7</v>
      </c>
      <c r="G426" s="2" t="inlineStr">
        <is>
          <t>🔵 Floored $2.49 — free ship or $0.99 ship?</t>
        </is>
      </c>
      <c r="H426" s="2" t="inlineStr">
        <is>
          <t>86%</t>
        </is>
      </c>
      <c r="I426" s="2">
        <f>HYPERLINK("https://www.ebay.com/sch/261328/i.html?_dcat=261328&amp;_fsrp=1&amp;rt=nc&amp;_from=R40&amp;_nkw=2025%20Topps%20Chrome%20COSMIC%20BRENT%20ROOKER%20%23199%20Athletics&amp;_sacat=0&amp;_sop=15&amp;rt=nc&amp;LH_BIN=1", "Active")</f>
        <v/>
      </c>
      <c r="J426" s="2">
        <f>HYPERLINK("https://www.ebay.com/sch/261328/i.html?_from=R40&amp;_nkw=2025%20Topps%20Chrome%20COSMIC%20BRENT%20ROOKER%20%23199%20Athletics&amp;_sacat=0&amp;LH_Sold=1&amp;LH_Complete=1&amp;_sop=13", "Completed")</f>
        <v/>
      </c>
      <c r="K426" s="2" t="inlineStr">
        <is>
          <t>2025 Topps Chrome Cosmic #199 Brent Rooker</t>
        </is>
      </c>
    </row>
    <row r="427">
      <c r="A427" s="2" t="inlineStr">
        <is>
          <t>BBB-000091-trw7k</t>
        </is>
      </c>
      <c r="B427" s="2" t="inlineStr">
        <is>
          <t>2025 Topps Chrome COSMIC JACOB WILSON #139 Athletics</t>
        </is>
      </c>
      <c r="C427" s="3" t="n">
        <v>4.99</v>
      </c>
      <c r="D427" s="3" t="n">
        <v>2.49</v>
      </c>
      <c r="E427" s="3" t="n">
        <v>-2.5</v>
      </c>
      <c r="F427" s="4" t="n">
        <v>-50.1</v>
      </c>
      <c r="G427" s="2" t="inlineStr">
        <is>
          <t>🔵 Floored $2.49 — free ship or $0.99 ship?</t>
        </is>
      </c>
      <c r="H427" s="2" t="inlineStr">
        <is>
          <t>86%</t>
        </is>
      </c>
      <c r="I427" s="2">
        <f>HYPERLINK("https://www.ebay.com/sch/261328/i.html?_dcat=261328&amp;_fsrp=1&amp;rt=nc&amp;_from=R40&amp;_nkw=2025%20Topps%20Chrome%20COSMIC%20JACOB%20WILSON%20%23139%20Athletics&amp;_sacat=0&amp;_sop=15&amp;rt=nc&amp;LH_BIN=1", "Active")</f>
        <v/>
      </c>
      <c r="J427" s="2">
        <f>HYPERLINK("https://www.ebay.com/sch/261328/i.html?_from=R40&amp;_nkw=2025%20Topps%20Chrome%20COSMIC%20JACOB%20WILSON%20%23139%20Athletics&amp;_sacat=0&amp;LH_Sold=1&amp;LH_Complete=1&amp;_sop=13", "Completed")</f>
        <v/>
      </c>
      <c r="K427" s="2" t="inlineStr">
        <is>
          <t>2025 Topps Chrome Cosmic #139 Jacob Wilson</t>
        </is>
      </c>
    </row>
    <row r="428">
      <c r="A428" s="5" t="inlineStr">
        <is>
          <t>BBB-000093-trw7z</t>
        </is>
      </c>
      <c r="B428" s="5" t="inlineStr">
        <is>
          <t>2025 Topps Update DRAKE BALDWIN #U90-32 1990 Topps Baseball 35th Braves</t>
        </is>
      </c>
      <c r="C428" s="6" t="n">
        <v>1.99</v>
      </c>
      <c r="D428" s="6" t="n">
        <v>2.49</v>
      </c>
      <c r="E428" s="6" t="n">
        <v>0.5</v>
      </c>
      <c r="F428" s="7" t="n">
        <v>25.1</v>
      </c>
      <c r="G428" s="5" t="inlineStr">
        <is>
          <t>⬆ Price Up</t>
        </is>
      </c>
      <c r="H428" s="5" t="inlineStr">
        <is>
          <t>83%</t>
        </is>
      </c>
      <c r="I428" s="5">
        <f>HYPERLINK("https://www.ebay.com/sch/261328/i.html?_dcat=261328&amp;_fsrp=1&amp;rt=nc&amp;_from=R40&amp;_nkw=2025%20Topps%20Update%20DRAKE%20BALDWIN%20%23U90-32%201990%20Topps%20Baseball%2035th%20Braves&amp;_sacat=0&amp;_sop=15&amp;rt=nc&amp;LH_BIN=1", "Active")</f>
        <v/>
      </c>
      <c r="J428" s="5">
        <f>HYPERLINK("https://www.ebay.com/sch/261328/i.html?_from=R40&amp;_nkw=2025%20Topps%20Update%20DRAKE%20BALDWIN%20%23U90-32%201990%20Topps%20Baseball%2035th%20Braves&amp;_sacat=0&amp;LH_Sold=1&amp;LH_Complete=1&amp;_sop=13", "Completed")</f>
        <v/>
      </c>
      <c r="K428" s="5" t="inlineStr">
        <is>
          <t>2025 Topps Update Baseball 1990 Design 35th Anniversary You Pick</t>
        </is>
      </c>
    </row>
    <row r="429">
      <c r="A429" s="5" t="inlineStr">
        <is>
          <t>BBB-000099-trw88</t>
        </is>
      </c>
      <c r="B429" s="5" t="inlineStr">
        <is>
          <t>2025 Bowman's Best MAX CLARK #FG-16 2025 MLB All-Star Futures Game Tigers</t>
        </is>
      </c>
      <c r="C429" s="6" t="n">
        <v>1.99</v>
      </c>
      <c r="D429" s="6" t="n">
        <v>2.89</v>
      </c>
      <c r="E429" s="6" t="n">
        <v>0.9</v>
      </c>
      <c r="F429" s="7" t="n">
        <v>45.2</v>
      </c>
      <c r="G429" s="5" t="inlineStr">
        <is>
          <t>⬆ Price Up</t>
        </is>
      </c>
      <c r="H429" s="5" t="inlineStr">
        <is>
          <t>100%</t>
        </is>
      </c>
      <c r="I429" s="5">
        <f>HYPERLINK("https://www.ebay.com/sch/261328/i.html?_dcat=261328&amp;_fsrp=1&amp;rt=nc&amp;_from=R40&amp;_nkw=2025%20Bowman's%20Best%20MAX%20CLARK%20%23FG-16%202025%20MLB%20All-Star%20Futures%20Game%20Tigers&amp;_sacat=0&amp;_sop=15&amp;rt=nc&amp;LH_BIN=1", "Active")</f>
        <v/>
      </c>
      <c r="J429" s="5">
        <f>HYPERLINK("https://www.ebay.com/sch/261328/i.html?_from=R40&amp;_nkw=2025%20Bowman's%20Best%20MAX%20CLARK%20%23FG-16%202025%20MLB%20All-Star%20Futures%20Game%20Tigers&amp;_sacat=0&amp;LH_Sold=1&amp;LH_Complete=1&amp;_sop=13", "Completed")</f>
        <v/>
      </c>
      <c r="K429" s="5" t="inlineStr">
        <is>
          <t>2025 Bowman's Best MAX CLARK #FG-16 2025 MLB All-Star Futures Game Tigers</t>
        </is>
      </c>
    </row>
    <row r="430">
      <c r="A430" s="11" t="inlineStr">
        <is>
          <t>BBB-000100-tsgpf</t>
        </is>
      </c>
      <c r="B430" s="11" t="inlineStr">
        <is>
          <t>2024 Topps WYATT LANGFORD #700b All-Star Game Texas Rangers</t>
        </is>
      </c>
      <c r="C430" s="12" t="n">
        <v>3.49</v>
      </c>
      <c r="D430" s="12" t="n">
        <v>2.69</v>
      </c>
      <c r="E430" s="12" t="n">
        <v>-0.8</v>
      </c>
      <c r="F430" s="13" t="n">
        <v>-22.9</v>
      </c>
      <c r="G430" s="11" t="inlineStr">
        <is>
          <t>⬇ Price Down</t>
        </is>
      </c>
      <c r="H430" s="11" t="inlineStr">
        <is>
          <t>85%</t>
        </is>
      </c>
      <c r="I430" s="11">
        <f>HYPERLINK("https://www.ebay.com/sch/261328/i.html?_dcat=261328&amp;_fsrp=1&amp;rt=nc&amp;_from=R40&amp;_nkw=2024%20Topps%20WYATT%20LANGFORD%20%23700b%20All-Star%20Game%20Texas%20Rangers&amp;_sacat=0&amp;_sop=15&amp;rt=nc&amp;LH_BIN=1", "Active")</f>
        <v/>
      </c>
      <c r="J430" s="11">
        <f>HYPERLINK("https://www.ebay.com/sch/261328/i.html?_from=R40&amp;_nkw=2024%20Topps%20WYATT%20LANGFORD%20%23700b%20All-Star%20Game%20Texas%20Rangers&amp;_sacat=0&amp;LH_Sold=1&amp;LH_Complete=1&amp;_sop=13", "Completed")</f>
        <v/>
      </c>
      <c r="K430" s="11" t="inlineStr">
        <is>
          <t>2024 Topps #700b Wyatt Langford All-Star Game</t>
        </is>
      </c>
    </row>
    <row r="431">
      <c r="A431" s="2" t="inlineStr">
        <is>
          <t>BBB-000134-tsgqd</t>
        </is>
      </c>
      <c r="B431" s="2" t="inlineStr">
        <is>
          <t>2024 Topps JUSTIN VERLANDER #62 All-Star Game Houston Astros</t>
        </is>
      </c>
      <c r="C431" s="3" t="n">
        <v>3.49</v>
      </c>
      <c r="D431" s="3" t="n">
        <v>2.49</v>
      </c>
      <c r="E431" s="3" t="n">
        <v>-1</v>
      </c>
      <c r="F431" s="4" t="n">
        <v>-28.7</v>
      </c>
      <c r="G431" s="2" t="inlineStr">
        <is>
          <t>🔵 Floored $2.49 — free ship or $0.99 ship?</t>
        </is>
      </c>
      <c r="H431" s="2" t="inlineStr">
        <is>
          <t>87%</t>
        </is>
      </c>
      <c r="I431" s="2">
        <f>HYPERLINK("https://www.ebay.com/sch/261328/i.html?_dcat=261328&amp;_fsrp=1&amp;rt=nc&amp;_from=R40&amp;_nkw=2024%20Topps%20JUSTIN%20VERLANDER%20%2362%20All-Star%20Game%20Houston%20Astros&amp;_sacat=0&amp;_sop=15&amp;rt=nc&amp;LH_BIN=1", "Active")</f>
        <v/>
      </c>
      <c r="J431" s="2">
        <f>HYPERLINK("https://www.ebay.com/sch/261328/i.html?_from=R40&amp;_nkw=2024%20Topps%20JUSTIN%20VERLANDER%20%2362%20All-Star%20Game%20Houston%20Astros&amp;_sacat=0&amp;LH_Sold=1&amp;LH_Complete=1&amp;_sop=13", "Completed")</f>
        <v/>
      </c>
      <c r="K431" s="2" t="inlineStr">
        <is>
          <t>2024 Topps ASG All Star Game Foil # 62 Justin Verlander Houston Astros</t>
        </is>
      </c>
    </row>
    <row r="432">
      <c r="A432" s="11" t="inlineStr">
        <is>
          <t>BBB-000101-tsgpg</t>
        </is>
      </c>
      <c r="B432" s="11" t="inlineStr">
        <is>
          <t>2024 Topps JACKSON CHOURIO #698b All-Star Game Milwaukee Brewers</t>
        </is>
      </c>
      <c r="C432" s="12" t="n">
        <v>5.49</v>
      </c>
      <c r="D432" s="12" t="n">
        <v>4.39</v>
      </c>
      <c r="E432" s="12" t="n">
        <v>-1.1</v>
      </c>
      <c r="F432" s="13" t="n">
        <v>-20</v>
      </c>
      <c r="G432" s="11" t="inlineStr">
        <is>
          <t>⬇ Price Down</t>
        </is>
      </c>
      <c r="H432" s="11" t="inlineStr">
        <is>
          <t>84%</t>
        </is>
      </c>
      <c r="I432" s="11">
        <f>HYPERLINK("https://www.ebay.com/sch/261328/i.html?_dcat=261328&amp;_fsrp=1&amp;rt=nc&amp;_from=R40&amp;_nkw=2024%20Topps%20JACKSON%20CHOURIO%20%23698b%20All-Star%20Game%20Milwaukee%20Brewers&amp;_sacat=0&amp;_sop=15&amp;rt=nc&amp;LH_BIN=1", "Active")</f>
        <v/>
      </c>
      <c r="J432" s="11">
        <f>HYPERLINK("https://www.ebay.com/sch/261328/i.html?_from=R40&amp;_nkw=2024%20Topps%20JACKSON%20CHOURIO%20%23698b%20All-Star%20Game%20Milwaukee%20Brewers&amp;_sacat=0&amp;LH_Sold=1&amp;LH_Complete=1&amp;_sop=13", "Completed")</f>
        <v/>
      </c>
      <c r="K432" s="11" t="inlineStr">
        <is>
          <t>2024 Topps #698b Jackson Chourio All-Star Game Rookie Variation</t>
        </is>
      </c>
    </row>
    <row r="433">
      <c r="A433" s="5" t="inlineStr">
        <is>
          <t>BBB-000135-tsgqe</t>
        </is>
      </c>
      <c r="B433" s="5" t="inlineStr">
        <is>
          <t>2024 Topps EUGENIO SUÁREZ #231 All-Star Game Seattle Mariners</t>
        </is>
      </c>
      <c r="C433" s="6" t="n">
        <v>1.99</v>
      </c>
      <c r="D433" s="6" t="n">
        <v>2.49</v>
      </c>
      <c r="E433" s="6" t="n">
        <v>0.5</v>
      </c>
      <c r="F433" s="7" t="n">
        <v>25.1</v>
      </c>
      <c r="G433" s="5" t="inlineStr">
        <is>
          <t>⬆ Price Up</t>
        </is>
      </c>
      <c r="H433" s="5" t="inlineStr">
        <is>
          <t>64%</t>
        </is>
      </c>
      <c r="I433" s="5">
        <f>HYPERLINK("https://www.ebay.com/sch/261328/i.html?_dcat=261328&amp;_fsrp=1&amp;rt=nc&amp;_from=R40&amp;_nkw=2024%20Topps%20EUGENIO%20SU%C3%81REZ%20%23231%20All-Star%20Game%20Seattle%20Mariners&amp;_sacat=0&amp;_sop=15&amp;rt=nc&amp;LH_BIN=1", "Active")</f>
        <v/>
      </c>
      <c r="J433" s="5">
        <f>HYPERLINK("https://www.ebay.com/sch/261328/i.html?_from=R40&amp;_nkw=2024%20Topps%20EUGENIO%20SU%C3%81REZ%20%23231%20All-Star%20Game%20Seattle%20Mariners&amp;_sacat=0&amp;LH_Sold=1&amp;LH_Complete=1&amp;_sop=13", "Completed")</f>
        <v/>
      </c>
      <c r="K433" s="5" t="inlineStr">
        <is>
          <t>2024 Topps All Star Game ASG Foil Print #176-350 - Complete Your Set, You Pick</t>
        </is>
      </c>
    </row>
    <row r="434">
      <c r="A434" s="2" t="inlineStr">
        <is>
          <t>BBB-000136-tsgqf</t>
        </is>
      </c>
      <c r="B434" s="2" t="inlineStr">
        <is>
          <t>2024 Topps CHRIS MURPHY #73 All-Star Game Boston Red Sox</t>
        </is>
      </c>
      <c r="C434" s="3" t="n">
        <v>2.99</v>
      </c>
      <c r="D434" s="3" t="n">
        <v>2.49</v>
      </c>
      <c r="E434" s="3" t="n">
        <v>-0.5</v>
      </c>
      <c r="F434" s="4" t="n">
        <v>-16.7</v>
      </c>
      <c r="G434" s="2" t="inlineStr">
        <is>
          <t>🔵 Floored $2.49 — free ship or $0.99 ship?</t>
        </is>
      </c>
      <c r="H434" s="2" t="inlineStr">
        <is>
          <t>64%</t>
        </is>
      </c>
      <c r="I434" s="2">
        <f>HYPERLINK("https://www.ebay.com/sch/261328/i.html?_dcat=261328&amp;_fsrp=1&amp;rt=nc&amp;_from=R40&amp;_nkw=2024%20Topps%20CHRIS%20MURPHY%20%2373%20All-Star%20Game%20Boston%20Red%20Sox&amp;_sacat=0&amp;_sop=15&amp;rt=nc&amp;LH_BIN=1", "Active")</f>
        <v/>
      </c>
      <c r="J434" s="2">
        <f>HYPERLINK("https://www.ebay.com/sch/261328/i.html?_from=R40&amp;_nkw=2024%20Topps%20CHRIS%20MURPHY%20%2373%20All-Star%20Game%20Boston%20Red%20Sox&amp;_sacat=0&amp;LH_Sold=1&amp;LH_Complete=1&amp;_sop=13", "Completed")</f>
        <v/>
      </c>
      <c r="K434" s="2" t="inlineStr">
        <is>
          <t>2024 Topps All Star Game ASG Foil Print #1-175 - Complete Your Set, You Pick</t>
        </is>
      </c>
    </row>
    <row r="435">
      <c r="A435" s="2" t="inlineStr">
        <is>
          <t>BBB-000102-tsgph</t>
        </is>
      </c>
      <c r="B435" s="2" t="inlineStr">
        <is>
          <t>2024 Topps RONALD ACUÑA JR. #1 All-Star Game Atlanta Braves</t>
        </is>
      </c>
      <c r="C435" s="3" t="n">
        <v>2.5</v>
      </c>
      <c r="D435" s="3" t="n">
        <v>2.49</v>
      </c>
      <c r="E435" s="3" t="n">
        <v>-0.01</v>
      </c>
      <c r="F435" s="4" t="n">
        <v>-0.4</v>
      </c>
      <c r="G435" s="2" t="inlineStr">
        <is>
          <t>🔵 Floored $2.49 — free ship or $0.99 ship?</t>
        </is>
      </c>
      <c r="H435" s="2" t="inlineStr">
        <is>
          <t>61%</t>
        </is>
      </c>
      <c r="I435" s="2">
        <f>HYPERLINK("https://www.ebay.com/sch/261328/i.html?_dcat=261328&amp;_fsrp=1&amp;rt=nc&amp;_from=R40&amp;_nkw=2024%20Topps%20RONALD%20ACU%C3%91A%20JR.%20%231%20All-Star%20Game%20Atlanta%20Braves&amp;_sacat=0&amp;_sop=15&amp;rt=nc&amp;LH_BIN=1", "Active")</f>
        <v/>
      </c>
      <c r="J435" s="2">
        <f>HYPERLINK("https://www.ebay.com/sch/261328/i.html?_from=R40&amp;_nkw=2024%20Topps%20RONALD%20ACU%C3%91A%20JR.%20%231%20All-Star%20Game%20Atlanta%20Braves&amp;_sacat=0&amp;LH_Sold=1&amp;LH_Complete=1&amp;_sop=13", "Completed")</f>
        <v/>
      </c>
      <c r="K435" s="2" t="inlineStr">
        <is>
          <t>2024 Topps All Star Game ASG Foil Print #1-175 - Complete Your Set, You Pick</t>
        </is>
      </c>
    </row>
    <row r="436">
      <c r="A436" s="2" t="inlineStr">
        <is>
          <t>BBB-000103-tsgpi</t>
        </is>
      </c>
      <c r="B436" s="2" t="inlineStr">
        <is>
          <t>2024 Topps CRISTIAN JAVIER #269 All-Star Game Houston Astros</t>
        </is>
      </c>
      <c r="C436" s="3" t="n">
        <v>3.49</v>
      </c>
      <c r="D436" s="3" t="n">
        <v>2.49</v>
      </c>
      <c r="E436" s="3" t="n">
        <v>-1</v>
      </c>
      <c r="F436" s="4" t="n">
        <v>-28.7</v>
      </c>
      <c r="G436" s="2" t="inlineStr">
        <is>
          <t>🔵 Floored $2.49 — free ship or $0.99 ship?</t>
        </is>
      </c>
      <c r="H436" s="2" t="inlineStr">
        <is>
          <t>63%</t>
        </is>
      </c>
      <c r="I436" s="2">
        <f>HYPERLINK("https://www.ebay.com/sch/261328/i.html?_dcat=261328&amp;_fsrp=1&amp;rt=nc&amp;_from=R40&amp;_nkw=2024%20Topps%20CRISTIAN%20JAVIER%20%23269%20All-Star%20Game%20Houston%20Astros&amp;_sacat=0&amp;_sop=15&amp;rt=nc&amp;LH_BIN=1", "Active")</f>
        <v/>
      </c>
      <c r="J436" s="2">
        <f>HYPERLINK("https://www.ebay.com/sch/261328/i.html?_from=R40&amp;_nkw=2024%20Topps%20CRISTIAN%20JAVIER%20%23269%20All-Star%20Game%20Houston%20Astros&amp;_sacat=0&amp;LH_Sold=1&amp;LH_Complete=1&amp;_sop=13", "Completed")</f>
        <v/>
      </c>
      <c r="K436" s="2" t="inlineStr">
        <is>
          <t>2024 Topps All Star Game ASG Foil Print #176-350 - Complete Your Set, You Pick</t>
        </is>
      </c>
    </row>
    <row r="437">
      <c r="A437" s="2" t="inlineStr">
        <is>
          <t>BBB-000137-tsgqg</t>
        </is>
      </c>
      <c r="B437" s="2" t="inlineStr">
        <is>
          <t>2024 Topps NICK SENZEL #338 All-Star Game Cincinnati Reds</t>
        </is>
      </c>
      <c r="C437" s="3" t="n">
        <v>2.99</v>
      </c>
      <c r="D437" s="3" t="n">
        <v>2.49</v>
      </c>
      <c r="E437" s="3" t="n">
        <v>-0.5</v>
      </c>
      <c r="F437" s="4" t="n">
        <v>-16.7</v>
      </c>
      <c r="G437" s="2" t="inlineStr">
        <is>
          <t>🔵 Floored $2.49 — free ship or $0.99 ship?</t>
        </is>
      </c>
      <c r="H437" s="2" t="inlineStr">
        <is>
          <t>69%</t>
        </is>
      </c>
      <c r="I437" s="2">
        <f>HYPERLINK("https://www.ebay.com/sch/261328/i.html?_dcat=261328&amp;_fsrp=1&amp;rt=nc&amp;_from=R40&amp;_nkw=2024%20Topps%20NICK%20SENZEL%20%23338%20All-Star%20Game%20Cincinnati%20Reds&amp;_sacat=0&amp;_sop=15&amp;rt=nc&amp;LH_BIN=1", "Active")</f>
        <v/>
      </c>
      <c r="J437" s="2">
        <f>HYPERLINK("https://www.ebay.com/sch/261328/i.html?_from=R40&amp;_nkw=2024%20Topps%20NICK%20SENZEL%20%23338%20All-Star%20Game%20Cincinnati%20Reds&amp;_sacat=0&amp;LH_Sold=1&amp;LH_Complete=1&amp;_sop=13", "Completed")</f>
        <v/>
      </c>
      <c r="K437" s="2" t="inlineStr">
        <is>
          <t>2024 Topps All Star Game Parallel Pick Your Player Cincinnati Reds</t>
        </is>
      </c>
    </row>
    <row r="438">
      <c r="A438" s="5" t="inlineStr">
        <is>
          <t>BBB-000138-tsgqh</t>
        </is>
      </c>
      <c r="B438" s="5" t="inlineStr">
        <is>
          <t>2024 Topps MIKE YASTRZEMSKI #124 All-Star Game San Francisco Giants Football</t>
        </is>
      </c>
      <c r="C438" s="6" t="n">
        <v>3.49</v>
      </c>
      <c r="D438" s="6" t="n">
        <v>4.39</v>
      </c>
      <c r="E438" s="6" t="n">
        <v>0.9</v>
      </c>
      <c r="F438" s="7" t="n">
        <v>25.8</v>
      </c>
      <c r="G438" s="5" t="inlineStr">
        <is>
          <t>⬆ Price Up</t>
        </is>
      </c>
      <c r="H438" s="5" t="inlineStr">
        <is>
          <t>100%</t>
        </is>
      </c>
      <c r="I438" s="5">
        <f>HYPERLINK("https://www.ebay.com/sch/261328/i.html?_dcat=261328&amp;_fsrp=1&amp;rt=nc&amp;_from=R40&amp;_nkw=2024%20Topps%20MIKE%20YASTRZEMSKI%20%23124%20All-Star%20Game%20San%20Francisco%20Giants%20Football&amp;_sacat=0&amp;_sop=15&amp;rt=nc&amp;LH_BIN=1", "Active")</f>
        <v/>
      </c>
      <c r="J438" s="5">
        <f>HYPERLINK("https://www.ebay.com/sch/261328/i.html?_from=R40&amp;_nkw=2024%20Topps%20MIKE%20YASTRZEMSKI%20%23124%20All-Star%20Game%20San%20Francisco%20Giants%20Football&amp;_sacat=0&amp;LH_Sold=1&amp;LH_Complete=1&amp;_sop=13", "Completed")</f>
        <v/>
      </c>
      <c r="K438" s="5" t="inlineStr">
        <is>
          <t>2024 Topps MIKE YASTRZEMSKI #124 All-Star Game San Francisco Giants Football</t>
        </is>
      </c>
    </row>
    <row r="439">
      <c r="A439" s="5" t="inlineStr">
        <is>
          <t>BBB-000104-tsgpj</t>
        </is>
      </c>
      <c r="B439" s="5" t="inlineStr">
        <is>
          <t>2024 Topps NOLAN ARENADO #118 All-Star Game St. Louis Cardinals Football</t>
        </is>
      </c>
      <c r="C439" s="6" t="n">
        <v>2.99</v>
      </c>
      <c r="D439" s="6" t="n">
        <v>3.89</v>
      </c>
      <c r="E439" s="6" t="n">
        <v>0.9</v>
      </c>
      <c r="F439" s="7" t="n">
        <v>30.1</v>
      </c>
      <c r="G439" s="5" t="inlineStr">
        <is>
          <t>⬆ Price Up</t>
        </is>
      </c>
      <c r="H439" s="5" t="inlineStr">
        <is>
          <t>100%</t>
        </is>
      </c>
      <c r="I439" s="5">
        <f>HYPERLINK("https://www.ebay.com/sch/261328/i.html?_dcat=261328&amp;_fsrp=1&amp;rt=nc&amp;_from=R40&amp;_nkw=2024%20Topps%20NOLAN%20ARENADO%20%23118%20All-Star%20Game%20St.%20Louis%20Cardinals%20Football&amp;_sacat=0&amp;_sop=15&amp;rt=nc&amp;LH_BIN=1", "Active")</f>
        <v/>
      </c>
      <c r="J439" s="5">
        <f>HYPERLINK("https://www.ebay.com/sch/261328/i.html?_from=R40&amp;_nkw=2024%20Topps%20NOLAN%20ARENADO%20%23118%20All-Star%20Game%20St.%20Louis%20Cardinals%20Football&amp;_sacat=0&amp;LH_Sold=1&amp;LH_Complete=1&amp;_sop=13", "Completed")</f>
        <v/>
      </c>
      <c r="K439" s="5" t="inlineStr">
        <is>
          <t>2024 Topps NOLAN ARENADO #118 All-Star Game St. Louis Cardinals Football</t>
        </is>
      </c>
    </row>
    <row r="440">
      <c r="A440" s="8" t="inlineStr">
        <is>
          <t>BBB-000105-tsgpk</t>
        </is>
      </c>
      <c r="B440" s="8" t="inlineStr">
        <is>
          <t>2024 Topps GRAE KESSINGER #226 Houston Astros</t>
        </is>
      </c>
      <c r="C440" s="9" t="n">
        <v>2.49</v>
      </c>
      <c r="D440" s="9" t="n">
        <v>2.49</v>
      </c>
      <c r="E440" s="9" t="n">
        <v>0</v>
      </c>
      <c r="F440" s="10" t="n">
        <v>0</v>
      </c>
      <c r="G440" s="8" t="inlineStr">
        <is>
          <t>— No Change</t>
        </is>
      </c>
      <c r="H440" s="8" t="inlineStr">
        <is>
          <t>62%</t>
        </is>
      </c>
      <c r="I440" s="8">
        <f>HYPERLINK("https://www.ebay.com/sch/261328/i.html?_dcat=261328&amp;_fsrp=1&amp;rt=nc&amp;_from=R40&amp;_nkw=2024%20Topps%20GRAE%20KESSINGER%20%23226%20Houston%20Astros&amp;_sacat=0&amp;_sop=15&amp;rt=nc&amp;LH_BIN=1", "Active")</f>
        <v/>
      </c>
      <c r="J440" s="8">
        <f>HYPERLINK("https://www.ebay.com/sch/261328/i.html?_from=R40&amp;_nkw=2024%20Topps%20GRAE%20KESSINGER%20%23226%20Houston%20Astros&amp;_sacat=0&amp;LH_Sold=1&amp;LH_Complete=1&amp;_sop=13", "Completed")</f>
        <v/>
      </c>
      <c r="K440" s="8" t="inlineStr">
        <is>
          <t>2024 Topps Series 1 Baseball You Pick-Complete Your Set #176-350</t>
        </is>
      </c>
    </row>
    <row r="441">
      <c r="A441" s="2" t="inlineStr">
        <is>
          <t>BBB-000139-tsgqi</t>
        </is>
      </c>
      <c r="B441" s="2" t="inlineStr">
        <is>
          <t>2024 Topps OWEN WHITE #5 All-Star Game Texas Rangers</t>
        </is>
      </c>
      <c r="C441" s="3" t="n">
        <v>3.49</v>
      </c>
      <c r="D441" s="3" t="n">
        <v>2.49</v>
      </c>
      <c r="E441" s="3" t="n">
        <v>-1</v>
      </c>
      <c r="F441" s="4" t="n">
        <v>-28.7</v>
      </c>
      <c r="G441" s="2" t="inlineStr">
        <is>
          <t>🔵 Floored $2.49 — free ship or $0.99 ship?</t>
        </is>
      </c>
      <c r="H441" s="2" t="inlineStr">
        <is>
          <t>68%</t>
        </is>
      </c>
      <c r="I441" s="2">
        <f>HYPERLINK("https://www.ebay.com/sch/261328/i.html?_dcat=261328&amp;_fsrp=1&amp;rt=nc&amp;_from=R40&amp;_nkw=2024%20Topps%20OWEN%20WHITE%20%235%20All-Star%20Game%20Texas%20Rangers&amp;_sacat=0&amp;_sop=15&amp;rt=nc&amp;LH_BIN=1", "Active")</f>
        <v/>
      </c>
      <c r="J441" s="2">
        <f>HYPERLINK("https://www.ebay.com/sch/261328/i.html?_from=R40&amp;_nkw=2024%20Topps%20OWEN%20WHITE%20%235%20All-Star%20Game%20Texas%20Rangers&amp;_sacat=0&amp;LH_Sold=1&amp;LH_Complete=1&amp;_sop=13", "Completed")</f>
        <v/>
      </c>
      <c r="K441" s="2" t="inlineStr">
        <is>
          <t>2024 Topps All Star Game Parallel Pick Your Player Texas Rangers</t>
        </is>
      </c>
    </row>
    <row r="442">
      <c r="A442" s="2" t="inlineStr">
        <is>
          <t>BBB-000140-tsgqj</t>
        </is>
      </c>
      <c r="B442" s="2" t="inlineStr">
        <is>
          <t>2024 Topps RAFAEL DEVERS #22 All-Star Game Boston Red Sox</t>
        </is>
      </c>
      <c r="C442" s="3" t="n">
        <v>3.49</v>
      </c>
      <c r="D442" s="3" t="n">
        <v>2.49</v>
      </c>
      <c r="E442" s="3" t="n">
        <v>-1</v>
      </c>
      <c r="F442" s="4" t="n">
        <v>-28.7</v>
      </c>
      <c r="G442" s="2" t="inlineStr">
        <is>
          <t>🔵 Floored $2.49 — free ship or $0.99 ship?</t>
        </is>
      </c>
      <c r="H442" s="2" t="inlineStr">
        <is>
          <t>83%</t>
        </is>
      </c>
      <c r="I442" s="2">
        <f>HYPERLINK("https://www.ebay.com/sch/261328/i.html?_dcat=261328&amp;_fsrp=1&amp;rt=nc&amp;_from=R40&amp;_nkw=2024%20Topps%20RAFAEL%20DEVERS%20%2322%20All-Star%20Game%20Boston%20Red%20Sox&amp;_sacat=0&amp;_sop=15&amp;rt=nc&amp;LH_BIN=1", "Active")</f>
        <v/>
      </c>
      <c r="J442" s="2">
        <f>HYPERLINK("https://www.ebay.com/sch/261328/i.html?_from=R40&amp;_nkw=2024%20Topps%20RAFAEL%20DEVERS%20%2322%20All-Star%20Game%20Boston%20Red%20Sox&amp;_sacat=0&amp;LH_Sold=1&amp;LH_Complete=1&amp;_sop=13", "Completed")</f>
        <v/>
      </c>
      <c r="K442" s="2" t="inlineStr">
        <is>
          <t>2024 Topps Baseball All-Star Game Logo #22 Rafael Devers ASG Rainbow Foil SP</t>
        </is>
      </c>
    </row>
    <row r="443">
      <c r="A443" s="2" t="inlineStr">
        <is>
          <t>BBB-000106-tsgpl</t>
        </is>
      </c>
      <c r="B443" s="2" t="inlineStr">
        <is>
          <t>2024 Topps MERRILL KELLY #112 All-Star Game Arizona Diamondbacks</t>
        </is>
      </c>
      <c r="C443" s="3" t="n">
        <v>3.49</v>
      </c>
      <c r="D443" s="3" t="n">
        <v>2.49</v>
      </c>
      <c r="E443" s="3" t="n">
        <v>-1</v>
      </c>
      <c r="F443" s="4" t="n">
        <v>-28.7</v>
      </c>
      <c r="G443" s="2" t="inlineStr">
        <is>
          <t>🔵 Floored $2.49 — free ship or $0.99 ship?</t>
        </is>
      </c>
      <c r="H443" s="2" t="inlineStr">
        <is>
          <t>65%</t>
        </is>
      </c>
      <c r="I443" s="2">
        <f>HYPERLINK("https://www.ebay.com/sch/261328/i.html?_dcat=261328&amp;_fsrp=1&amp;rt=nc&amp;_from=R40&amp;_nkw=2024%20Topps%20MERRILL%20KELLY%20%23112%20All-Star%20Game%20Arizona%20Diamondbacks&amp;_sacat=0&amp;_sop=15&amp;rt=nc&amp;LH_BIN=1", "Active")</f>
        <v/>
      </c>
      <c r="J443" s="2">
        <f>HYPERLINK("https://www.ebay.com/sch/261328/i.html?_from=R40&amp;_nkw=2024%20Topps%20MERRILL%20KELLY%20%23112%20All-Star%20Game%20Arizona%20Diamondbacks&amp;_sacat=0&amp;LH_Sold=1&amp;LH_Complete=1&amp;_sop=13", "Completed")</f>
        <v/>
      </c>
      <c r="K443" s="2" t="inlineStr">
        <is>
          <t>2024 Topps All Star Game ASG Foil Print #1-175 - Complete Your Set, You Pick</t>
        </is>
      </c>
    </row>
    <row r="444">
      <c r="A444" s="2" t="inlineStr">
        <is>
          <t>BBB-000141-tsgqk</t>
        </is>
      </c>
      <c r="B444" s="2" t="inlineStr">
        <is>
          <t>2024 Topps ROYCE LEWIS #208 All-Star Game Minnesota Twins</t>
        </is>
      </c>
      <c r="C444" s="3" t="n">
        <v>3.49</v>
      </c>
      <c r="D444" s="3" t="n">
        <v>2.49</v>
      </c>
      <c r="E444" s="3" t="n">
        <v>-1</v>
      </c>
      <c r="F444" s="4" t="n">
        <v>-28.7</v>
      </c>
      <c r="G444" s="2" t="inlineStr">
        <is>
          <t>🔵 Floored $2.49 — free ship or $0.99 ship?</t>
        </is>
      </c>
      <c r="H444" s="2" t="inlineStr">
        <is>
          <t>84%</t>
        </is>
      </c>
      <c r="I444" s="2">
        <f>HYPERLINK("https://www.ebay.com/sch/261328/i.html?_dcat=261328&amp;_fsrp=1&amp;rt=nc&amp;_from=R40&amp;_nkw=2024%20Topps%20ROYCE%20LEWIS%20%23208%20All-Star%20Game%20Minnesota%20Twins&amp;_sacat=0&amp;_sop=15&amp;rt=nc&amp;LH_BIN=1", "Active")</f>
        <v/>
      </c>
      <c r="J444" s="2">
        <f>HYPERLINK("https://www.ebay.com/sch/261328/i.html?_from=R40&amp;_nkw=2024%20Topps%20ROYCE%20LEWIS%20%23208%20All-Star%20Game%20Minnesota%20Twins&amp;_sacat=0&amp;LH_Sold=1&amp;LH_Complete=1&amp;_sop=13", "Completed")</f>
        <v/>
      </c>
      <c r="K444" s="2" t="inlineStr">
        <is>
          <t>2024 Topps #208 Royce Lewis All-Star Game</t>
        </is>
      </c>
    </row>
    <row r="445">
      <c r="A445" s="2" t="inlineStr">
        <is>
          <t>BBB-000107-tsgpm</t>
        </is>
      </c>
      <c r="B445" s="2" t="inlineStr">
        <is>
          <t>2024 Topps LUIS ARRAEZ #299 All-Star Game Miami Marlins</t>
        </is>
      </c>
      <c r="C445" s="3" t="n">
        <v>3.49</v>
      </c>
      <c r="D445" s="3" t="n">
        <v>2.49</v>
      </c>
      <c r="E445" s="3" t="n">
        <v>-1</v>
      </c>
      <c r="F445" s="4" t="n">
        <v>-28.7</v>
      </c>
      <c r="G445" s="2" t="inlineStr">
        <is>
          <t>🔵 Floored $2.49 — free ship or $0.99 ship?</t>
        </is>
      </c>
      <c r="H445" s="2" t="inlineStr">
        <is>
          <t>82%</t>
        </is>
      </c>
      <c r="I445" s="2">
        <f>HYPERLINK("https://www.ebay.com/sch/261328/i.html?_dcat=261328&amp;_fsrp=1&amp;rt=nc&amp;_from=R40&amp;_nkw=2024%20Topps%20LUIS%20ARRAEZ%20%23299%20All-Star%20Game%20Miami%20Marlins&amp;_sacat=0&amp;_sop=15&amp;rt=nc&amp;LH_BIN=1", "Active")</f>
        <v/>
      </c>
      <c r="J445" s="2">
        <f>HYPERLINK("https://www.ebay.com/sch/261328/i.html?_from=R40&amp;_nkw=2024%20Topps%20LUIS%20ARRAEZ%20%23299%20All-Star%20Game%20Miami%20Marlins&amp;_sacat=0&amp;LH_Sold=1&amp;LH_Complete=1&amp;_sop=13", "Completed")</f>
        <v/>
      </c>
      <c r="K445" s="2" t="inlineStr">
        <is>
          <t>2024 Topps All Star Game Parallel Pick Your Player Miami Marlins</t>
        </is>
      </c>
    </row>
    <row r="446">
      <c r="A446" s="2" t="inlineStr">
        <is>
          <t>BBB-000108-tsgpn</t>
        </is>
      </c>
      <c r="B446" s="2" t="inlineStr">
        <is>
          <t>2024 Topps LEODY TAVERAS #199 All-Star Game Texas Rangers</t>
        </is>
      </c>
      <c r="C446" s="3" t="n">
        <v>3.49</v>
      </c>
      <c r="D446" s="3" t="n">
        <v>2.49</v>
      </c>
      <c r="E446" s="3" t="n">
        <v>-1</v>
      </c>
      <c r="F446" s="4" t="n">
        <v>-28.7</v>
      </c>
      <c r="G446" s="2" t="inlineStr">
        <is>
          <t>🔵 Floored $2.49 — free ship or $0.99 ship?</t>
        </is>
      </c>
      <c r="H446" s="2" t="inlineStr">
        <is>
          <t>70%</t>
        </is>
      </c>
      <c r="I446" s="2">
        <f>HYPERLINK("https://www.ebay.com/sch/261328/i.html?_dcat=261328&amp;_fsrp=1&amp;rt=nc&amp;_from=R40&amp;_nkw=2024%20Topps%20LEODY%20TAVERAS%20%23199%20All-Star%20Game%20Texas%20Rangers&amp;_sacat=0&amp;_sop=15&amp;rt=nc&amp;LH_BIN=1", "Active")</f>
        <v/>
      </c>
      <c r="J446" s="2">
        <f>HYPERLINK("https://www.ebay.com/sch/261328/i.html?_from=R40&amp;_nkw=2024%20Topps%20LEODY%20TAVERAS%20%23199%20All-Star%20Game%20Texas%20Rangers&amp;_sacat=0&amp;LH_Sold=1&amp;LH_Complete=1&amp;_sop=13", "Completed")</f>
        <v/>
      </c>
      <c r="K446" s="2" t="inlineStr">
        <is>
          <t>2024 Topps All Star Game Parallel Pick Your Player Texas Rangers</t>
        </is>
      </c>
    </row>
    <row r="447">
      <c r="A447" s="8" t="inlineStr">
        <is>
          <t>BBB-000109-tsgpo</t>
        </is>
      </c>
      <c r="B447" s="8" t="inlineStr">
        <is>
          <t>2024 Topps DANE MYERS #188 All-Star Game Marlins</t>
        </is>
      </c>
      <c r="C447" s="9" t="n">
        <v>2.49</v>
      </c>
      <c r="D447" s="9" t="n">
        <v>2.49</v>
      </c>
      <c r="E447" s="9" t="n">
        <v>0</v>
      </c>
      <c r="F447" s="10" t="n">
        <v>0</v>
      </c>
      <c r="G447" s="8" t="inlineStr">
        <is>
          <t>— No Change</t>
        </is>
      </c>
      <c r="H447" s="8" t="inlineStr">
        <is>
          <t>65%</t>
        </is>
      </c>
      <c r="I447" s="8">
        <f>HYPERLINK("https://www.ebay.com/sch/261328/i.html?_dcat=261328&amp;_fsrp=1&amp;rt=nc&amp;_from=R40&amp;_nkw=2024%20Topps%20DANE%20MYERS%20%23188%20All-Star%20Game%20Marlins&amp;_sacat=0&amp;_sop=15&amp;rt=nc&amp;LH_BIN=1", "Active")</f>
        <v/>
      </c>
      <c r="J447" s="8">
        <f>HYPERLINK("https://www.ebay.com/sch/261328/i.html?_from=R40&amp;_nkw=2024%20Topps%20DANE%20MYERS%20%23188%20All-Star%20Game%20Marlins&amp;_sacat=0&amp;LH_Sold=1&amp;LH_Complete=1&amp;_sop=13", "Completed")</f>
        <v/>
      </c>
      <c r="K447" s="8" t="inlineStr">
        <is>
          <t>2024 Topps All Star Game Parallel Pick Your Player Miami Marlins</t>
        </is>
      </c>
    </row>
    <row r="448">
      <c r="A448" s="8" t="inlineStr">
        <is>
          <t>BBB-000142-tsgql</t>
        </is>
      </c>
      <c r="B448" s="8" t="inlineStr">
        <is>
          <t>2024 Topps LUKE RALEY #181 All-Star Game Tampa Bay Rays</t>
        </is>
      </c>
      <c r="C448" s="9" t="n">
        <v>2.49</v>
      </c>
      <c r="D448" s="9" t="n">
        <v>2.49</v>
      </c>
      <c r="E448" s="9" t="n">
        <v>0</v>
      </c>
      <c r="F448" s="10" t="n">
        <v>0</v>
      </c>
      <c r="G448" s="8" t="inlineStr">
        <is>
          <t>— No Change</t>
        </is>
      </c>
      <c r="H448" s="8" t="inlineStr">
        <is>
          <t>63%</t>
        </is>
      </c>
      <c r="I448" s="8">
        <f>HYPERLINK("https://www.ebay.com/sch/261328/i.html?_dcat=261328&amp;_fsrp=1&amp;rt=nc&amp;_from=R40&amp;_nkw=2024%20Topps%20LUKE%20RALEY%20%23181%20All-Star%20Game%20Tampa%20Bay%20Rays&amp;_sacat=0&amp;_sop=15&amp;rt=nc&amp;LH_BIN=1", "Active")</f>
        <v/>
      </c>
      <c r="J448" s="8">
        <f>HYPERLINK("https://www.ebay.com/sch/261328/i.html?_from=R40&amp;_nkw=2024%20Topps%20LUKE%20RALEY%20%23181%20All-Star%20Game%20Tampa%20Bay%20Rays&amp;_sacat=0&amp;LH_Sold=1&amp;LH_Complete=1&amp;_sop=13", "Completed")</f>
        <v/>
      </c>
      <c r="K448" s="8" t="inlineStr">
        <is>
          <t>2024 Topps All Star Game ASG Foil Print #176-350 - Complete Your Set, You Pick</t>
        </is>
      </c>
    </row>
    <row r="449">
      <c r="A449" s="2" t="inlineStr">
        <is>
          <t>BBB-000143-tsgqm</t>
        </is>
      </c>
      <c r="B449" s="2" t="inlineStr">
        <is>
          <t>2024 Topps BYRON BUXTON #94 All-Star Game Minnesota Twins</t>
        </is>
      </c>
      <c r="C449" s="3" t="n">
        <v>3.49</v>
      </c>
      <c r="D449" s="3" t="n">
        <v>2.49</v>
      </c>
      <c r="E449" s="3" t="n">
        <v>-1</v>
      </c>
      <c r="F449" s="4" t="n">
        <v>-28.7</v>
      </c>
      <c r="G449" s="2" t="inlineStr">
        <is>
          <t>🔵 Floored $2.49 — free ship or $0.99 ship?</t>
        </is>
      </c>
      <c r="H449" s="2" t="inlineStr">
        <is>
          <t>63%</t>
        </is>
      </c>
      <c r="I449" s="2">
        <f>HYPERLINK("https://www.ebay.com/sch/261328/i.html?_dcat=261328&amp;_fsrp=1&amp;rt=nc&amp;_from=R40&amp;_nkw=2024%20Topps%20BYRON%20BUXTON%20%2394%20All-Star%20Game%20Minnesota%20Twins&amp;_sacat=0&amp;_sop=15&amp;rt=nc&amp;LH_BIN=1", "Active")</f>
        <v/>
      </c>
      <c r="J449" s="2">
        <f>HYPERLINK("https://www.ebay.com/sch/261328/i.html?_from=R40&amp;_nkw=2024%20Topps%20BYRON%20BUXTON%20%2394%20All-Star%20Game%20Minnesota%20Twins&amp;_sacat=0&amp;LH_Sold=1&amp;LH_Complete=1&amp;_sop=13", "Completed")</f>
        <v/>
      </c>
      <c r="K449" s="2" t="inlineStr">
        <is>
          <t>2024 Topps All Star Game ASG Foil Print #1-175 - Complete Your Set, You Pick</t>
        </is>
      </c>
    </row>
    <row r="450">
      <c r="A450" s="2" t="inlineStr">
        <is>
          <t>BBB-000144-tsgqn</t>
        </is>
      </c>
      <c r="B450" s="2" t="inlineStr">
        <is>
          <t>2024 Topps JORGE MATEO #42 All-Star Game Baltimore Orioles</t>
        </is>
      </c>
      <c r="C450" s="3" t="n">
        <v>3.49</v>
      </c>
      <c r="D450" s="3" t="n">
        <v>2.49</v>
      </c>
      <c r="E450" s="3" t="n">
        <v>-1</v>
      </c>
      <c r="F450" s="4" t="n">
        <v>-28.7</v>
      </c>
      <c r="G450" s="2" t="inlineStr">
        <is>
          <t>🔵 Floored $2.49 — free ship or $0.99 ship?</t>
        </is>
      </c>
      <c r="H450" s="2" t="inlineStr">
        <is>
          <t>69%</t>
        </is>
      </c>
      <c r="I450" s="2">
        <f>HYPERLINK("https://www.ebay.com/sch/261328/i.html?_dcat=261328&amp;_fsrp=1&amp;rt=nc&amp;_from=R40&amp;_nkw=2024%20Topps%20JORGE%20MATEO%20%2342%20All-Star%20Game%20Baltimore%20Orioles&amp;_sacat=0&amp;_sop=15&amp;rt=nc&amp;LH_BIN=1", "Active")</f>
        <v/>
      </c>
      <c r="J450" s="2">
        <f>HYPERLINK("https://www.ebay.com/sch/261328/i.html?_from=R40&amp;_nkw=2024%20Topps%20JORGE%20MATEO%20%2342%20All-Star%20Game%20Baltimore%20Orioles&amp;_sacat=0&amp;LH_Sold=1&amp;LH_Complete=1&amp;_sop=13", "Completed")</f>
        <v/>
      </c>
      <c r="K450" s="2" t="inlineStr">
        <is>
          <t>2024 Topps All Star Game Parallel Pick Your Player Baltimore Orioles</t>
        </is>
      </c>
    </row>
    <row r="451">
      <c r="A451" s="2" t="inlineStr">
        <is>
          <t>BBB-000110-tsgpp</t>
        </is>
      </c>
      <c r="B451" s="2" t="inlineStr">
        <is>
          <t>2024 Topps RYAN MOUNTCASTLE #34 All-Star Game Baltimore Orioles</t>
        </is>
      </c>
      <c r="C451" s="3" t="n">
        <v>2.99</v>
      </c>
      <c r="D451" s="3" t="n">
        <v>2.49</v>
      </c>
      <c r="E451" s="3" t="n">
        <v>-0.5</v>
      </c>
      <c r="F451" s="4" t="n">
        <v>-16.7</v>
      </c>
      <c r="G451" s="2" t="inlineStr">
        <is>
          <t>🔵 Floored $2.49 — free ship or $0.99 ship?</t>
        </is>
      </c>
      <c r="H451" s="2" t="inlineStr">
        <is>
          <t>82%</t>
        </is>
      </c>
      <c r="I451" s="2">
        <f>HYPERLINK("https://www.ebay.com/sch/261328/i.html?_dcat=261328&amp;_fsrp=1&amp;rt=nc&amp;_from=R40&amp;_nkw=2024%20Topps%20RYAN%20MOUNTCASTLE%20%2334%20All-Star%20Game%20Baltimore%20Orioles&amp;_sacat=0&amp;_sop=15&amp;rt=nc&amp;LH_BIN=1", "Active")</f>
        <v/>
      </c>
      <c r="J451" s="2">
        <f>HYPERLINK("https://www.ebay.com/sch/261328/i.html?_from=R40&amp;_nkw=2024%20Topps%20RYAN%20MOUNTCASTLE%20%2334%20All-Star%20Game%20Baltimore%20Orioles&amp;_sacat=0&amp;LH_Sold=1&amp;LH_Complete=1&amp;_sop=13", "Completed")</f>
        <v/>
      </c>
      <c r="K451" s="2" t="inlineStr">
        <is>
          <t>2024 Topps All Star Game Parallel Pick Your Player Baltimore Orioles</t>
        </is>
      </c>
    </row>
    <row r="452">
      <c r="A452" s="8" t="inlineStr">
        <is>
          <t>BBB-000145-tsgqo</t>
        </is>
      </c>
      <c r="B452" s="8" t="inlineStr">
        <is>
          <t>2024 Topps HOUSTON ASTROS #132 All-Star Game Houston Astros</t>
        </is>
      </c>
      <c r="C452" s="9" t="n">
        <v>2.49</v>
      </c>
      <c r="D452" s="9" t="n">
        <v>2.49</v>
      </c>
      <c r="E452" s="9" t="n">
        <v>0</v>
      </c>
      <c r="F452" s="10" t="n">
        <v>0</v>
      </c>
      <c r="G452" s="8" t="inlineStr">
        <is>
          <t>— No Change</t>
        </is>
      </c>
      <c r="H452" s="8" t="inlineStr">
        <is>
          <t>62%</t>
        </is>
      </c>
      <c r="I452" s="8">
        <f>HYPERLINK("https://www.ebay.com/sch/261328/i.html?_dcat=261328&amp;_fsrp=1&amp;rt=nc&amp;_from=R40&amp;_nkw=2024%20Topps%20HOUSTON%20ASTROS%20%23132%20All-Star%20Game%20Houston%20Astros&amp;_sacat=0&amp;_sop=15&amp;rt=nc&amp;LH_BIN=1", "Active")</f>
        <v/>
      </c>
      <c r="J452" s="8">
        <f>HYPERLINK("https://www.ebay.com/sch/261328/i.html?_from=R40&amp;_nkw=2024%20Topps%20HOUSTON%20ASTROS%20%23132%20All-Star%20Game%20Houston%20Astros&amp;_sacat=0&amp;LH_Sold=1&amp;LH_Complete=1&amp;_sop=13", "Completed")</f>
        <v/>
      </c>
      <c r="K452" s="8" t="inlineStr">
        <is>
          <t>2024 Topps All Star Game ASG Foil Print #1-175 - Complete Your Set, You Pick</t>
        </is>
      </c>
    </row>
    <row r="453">
      <c r="A453" s="2" t="inlineStr">
        <is>
          <t>BBB-000111-tsgpq</t>
        </is>
      </c>
      <c r="B453" s="2" t="inlineStr">
        <is>
          <t>2024 Topps WILLIAM CONTRERAS #61 All-Star Game Milwaukee Brewers</t>
        </is>
      </c>
      <c r="C453" s="3" t="n">
        <v>2.99</v>
      </c>
      <c r="D453" s="3" t="n">
        <v>2.49</v>
      </c>
      <c r="E453" s="3" t="n">
        <v>-0.5</v>
      </c>
      <c r="F453" s="4" t="n">
        <v>-16.7</v>
      </c>
      <c r="G453" s="2" t="inlineStr">
        <is>
          <t>🔵 Floored $2.49 — free ship or $0.99 ship?</t>
        </is>
      </c>
      <c r="H453" s="2" t="inlineStr">
        <is>
          <t>83%</t>
        </is>
      </c>
      <c r="I453" s="2">
        <f>HYPERLINK("https://www.ebay.com/sch/261328/i.html?_dcat=261328&amp;_fsrp=1&amp;rt=nc&amp;_from=R40&amp;_nkw=2024%20Topps%20WILLIAM%20CONTRERAS%20%2361%20All-Star%20Game%20Milwaukee%20Brewers&amp;_sacat=0&amp;_sop=15&amp;rt=nc&amp;LH_BIN=1", "Active")</f>
        <v/>
      </c>
      <c r="J453" s="2">
        <f>HYPERLINK("https://www.ebay.com/sch/261328/i.html?_from=R40&amp;_nkw=2024%20Topps%20WILLIAM%20CONTRERAS%20%2361%20All-Star%20Game%20Milwaukee%20Brewers&amp;_sacat=0&amp;LH_Sold=1&amp;LH_Complete=1&amp;_sop=13", "Completed")</f>
        <v/>
      </c>
      <c r="K453" s="2" t="inlineStr">
        <is>
          <t>2024 Topps All Star Game Parallel Pick Your Player Milwaukee Brewers</t>
        </is>
      </c>
    </row>
    <row r="454">
      <c r="A454" s="2" t="inlineStr">
        <is>
          <t>BBB-000112-tsgpr</t>
        </is>
      </c>
      <c r="B454" s="2" t="inlineStr">
        <is>
          <t>2024 Topps KYLE FINNEGAN #153 All-Star Game Washington Nationals</t>
        </is>
      </c>
      <c r="C454" s="3" t="n">
        <v>3.49</v>
      </c>
      <c r="D454" s="3" t="n">
        <v>2.49</v>
      </c>
      <c r="E454" s="3" t="n">
        <v>-1</v>
      </c>
      <c r="F454" s="4" t="n">
        <v>-28.7</v>
      </c>
      <c r="G454" s="2" t="inlineStr">
        <is>
          <t>🔵 Floored $2.49 — free ship or $0.99 ship?</t>
        </is>
      </c>
      <c r="H454" s="2" t="inlineStr">
        <is>
          <t>82%</t>
        </is>
      </c>
      <c r="I454" s="2">
        <f>HYPERLINK("https://www.ebay.com/sch/261328/i.html?_dcat=261328&amp;_fsrp=1&amp;rt=nc&amp;_from=R40&amp;_nkw=2024%20Topps%20KYLE%20FINNEGAN%20%23153%20All-Star%20Game%20Washington%20Nationals&amp;_sacat=0&amp;_sop=15&amp;rt=nc&amp;LH_BIN=1", "Active")</f>
        <v/>
      </c>
      <c r="J454" s="2">
        <f>HYPERLINK("https://www.ebay.com/sch/261328/i.html?_from=R40&amp;_nkw=2024%20Topps%20KYLE%20FINNEGAN%20%23153%20All-Star%20Game%20Washington%20Nationals&amp;_sacat=0&amp;LH_Sold=1&amp;LH_Complete=1&amp;_sop=13", "Completed")</f>
        <v/>
      </c>
      <c r="K454" s="2" t="inlineStr">
        <is>
          <t>2024 Topps All Star Game Parallel Pick Your Player Washington Nationals</t>
        </is>
      </c>
    </row>
    <row r="455">
      <c r="A455" s="5" t="inlineStr">
        <is>
          <t>BBB-000146-tsgqp</t>
        </is>
      </c>
      <c r="B455" s="5" t="inlineStr">
        <is>
          <t>2024 Topps J.D. DAVIS #64 All-Star Game San Francisco Giants Football</t>
        </is>
      </c>
      <c r="C455" s="6" t="n">
        <v>2.49</v>
      </c>
      <c r="D455" s="6" t="n">
        <v>2.89</v>
      </c>
      <c r="E455" s="6" t="n">
        <v>0.4</v>
      </c>
      <c r="F455" s="7" t="n">
        <v>16.1</v>
      </c>
      <c r="G455" s="5" t="inlineStr">
        <is>
          <t>⬆ Price Up</t>
        </is>
      </c>
      <c r="H455" s="5" t="inlineStr">
        <is>
          <t>61%</t>
        </is>
      </c>
      <c r="I455" s="5">
        <f>HYPERLINK("https://www.ebay.com/sch/261328/i.html?_dcat=261328&amp;_fsrp=1&amp;rt=nc&amp;_from=R40&amp;_nkw=2024%20Topps%20J.D.%20DAVIS%20%2364%20All-Star%20Game%20San%20Francisco%20Giants%20Football&amp;_sacat=0&amp;_sop=15&amp;rt=nc&amp;LH_BIN=1", "Active")</f>
        <v/>
      </c>
      <c r="J455" s="5">
        <f>HYPERLINK("https://www.ebay.com/sch/261328/i.html?_from=R40&amp;_nkw=2024%20Topps%20J.D.%20DAVIS%20%2364%20All-Star%20Game%20San%20Francisco%20Giants%20Football&amp;_sacat=0&amp;LH_Sold=1&amp;LH_Complete=1&amp;_sop=13", "Completed")</f>
        <v/>
      </c>
      <c r="K455" s="5" t="inlineStr">
        <is>
          <t>B6534- 2024 Topps Factory Set All-Star Game 1-250 -You Pick- 15+ FREE US SHIP</t>
        </is>
      </c>
    </row>
    <row r="456">
      <c r="A456" s="2" t="inlineStr">
        <is>
          <t>BBB-000113-tsgps</t>
        </is>
      </c>
      <c r="B456" s="2" t="inlineStr">
        <is>
          <t>2024 Topps PRELANDER BERROA #36 All-Star Game Seattle Mariners</t>
        </is>
      </c>
      <c r="C456" s="3" t="n">
        <v>3.49</v>
      </c>
      <c r="D456" s="3" t="n">
        <v>2.49</v>
      </c>
      <c r="E456" s="3" t="n">
        <v>-1</v>
      </c>
      <c r="F456" s="4" t="n">
        <v>-28.7</v>
      </c>
      <c r="G456" s="2" t="inlineStr">
        <is>
          <t>🔵 Floored $2.49 — free ship or $0.99 ship?</t>
        </is>
      </c>
      <c r="H456" s="2" t="inlineStr">
        <is>
          <t>63%</t>
        </is>
      </c>
      <c r="I456" s="2">
        <f>HYPERLINK("https://www.ebay.com/sch/261328/i.html?_dcat=261328&amp;_fsrp=1&amp;rt=nc&amp;_from=R40&amp;_nkw=2024%20Topps%20PRELANDER%20BERROA%20%2336%20All-Star%20Game%20Seattle%20Mariners&amp;_sacat=0&amp;_sop=15&amp;rt=nc&amp;LH_BIN=1", "Active")</f>
        <v/>
      </c>
      <c r="J456" s="2">
        <f>HYPERLINK("https://www.ebay.com/sch/261328/i.html?_from=R40&amp;_nkw=2024%20Topps%20PRELANDER%20BERROA%20%2336%20All-Star%20Game%20Seattle%20Mariners&amp;_sacat=0&amp;LH_Sold=1&amp;LH_Complete=1&amp;_sop=13", "Completed")</f>
        <v/>
      </c>
      <c r="K456" s="2" t="inlineStr">
        <is>
          <t>2024 Topps All Star Game ASG Foil Print #1-175 - Complete Your Set, You Pick</t>
        </is>
      </c>
    </row>
    <row r="457">
      <c r="A457" s="2" t="inlineStr">
        <is>
          <t>BBB-000147-tsgqq</t>
        </is>
      </c>
      <c r="B457" s="2" t="inlineStr">
        <is>
          <t>2024 Topps EVAN CARTER #280 All-Star Game Texas Rangers</t>
        </is>
      </c>
      <c r="C457" s="3" t="n">
        <v>3.49</v>
      </c>
      <c r="D457" s="3" t="n">
        <v>2.49</v>
      </c>
      <c r="E457" s="3" t="n">
        <v>-1</v>
      </c>
      <c r="F457" s="4" t="n">
        <v>-28.7</v>
      </c>
      <c r="G457" s="2" t="inlineStr">
        <is>
          <t>🔵 Floored $2.49 — free ship or $0.99 ship?</t>
        </is>
      </c>
      <c r="H457" s="2" t="inlineStr">
        <is>
          <t>85%</t>
        </is>
      </c>
      <c r="I457" s="2">
        <f>HYPERLINK("https://www.ebay.com/sch/261328/i.html?_dcat=261328&amp;_fsrp=1&amp;rt=nc&amp;_from=R40&amp;_nkw=2024%20Topps%20EVAN%20CARTER%20%23280%20All-Star%20Game%20Texas%20Rangers&amp;_sacat=0&amp;_sop=15&amp;rt=nc&amp;LH_BIN=1", "Active")</f>
        <v/>
      </c>
      <c r="J457" s="2">
        <f>HYPERLINK("https://www.ebay.com/sch/261328/i.html?_from=R40&amp;_nkw=2024%20Topps%20EVAN%20CARTER%20%23280%20All-Star%20Game%20Texas%20Rangers&amp;_sacat=0&amp;LH_Sold=1&amp;LH_Complete=1&amp;_sop=13", "Completed")</f>
        <v/>
      </c>
      <c r="K457" s="2" t="inlineStr">
        <is>
          <t>2024 Topps #280 Evan Carter All-Star Game</t>
        </is>
      </c>
    </row>
    <row r="458">
      <c r="A458" s="2" t="inlineStr">
        <is>
          <t>BBB-000114-tsgpt</t>
        </is>
      </c>
      <c r="B458" s="2" t="inlineStr">
        <is>
          <t>2024 Topps KENLEY JANSEN #267 All-Star Game Boston Red Sox</t>
        </is>
      </c>
      <c r="C458" s="3" t="n">
        <v>3.49</v>
      </c>
      <c r="D458" s="3" t="n">
        <v>2.49</v>
      </c>
      <c r="E458" s="3" t="n">
        <v>-1</v>
      </c>
      <c r="F458" s="4" t="n">
        <v>-28.7</v>
      </c>
      <c r="G458" s="2" t="inlineStr">
        <is>
          <t>🔵 Floored $2.49 — free ship or $0.99 ship?</t>
        </is>
      </c>
      <c r="H458" s="2" t="inlineStr">
        <is>
          <t>63%</t>
        </is>
      </c>
      <c r="I458" s="2">
        <f>HYPERLINK("https://www.ebay.com/sch/261328/i.html?_dcat=261328&amp;_fsrp=1&amp;rt=nc&amp;_from=R40&amp;_nkw=2024%20Topps%20KENLEY%20JANSEN%20%23267%20All-Star%20Game%20Boston%20Red%20Sox&amp;_sacat=0&amp;_sop=15&amp;rt=nc&amp;LH_BIN=1", "Active")</f>
        <v/>
      </c>
      <c r="J458" s="2">
        <f>HYPERLINK("https://www.ebay.com/sch/261328/i.html?_from=R40&amp;_nkw=2024%20Topps%20KENLEY%20JANSEN%20%23267%20All-Star%20Game%20Boston%20Red%20Sox&amp;_sacat=0&amp;LH_Sold=1&amp;LH_Complete=1&amp;_sop=13", "Completed")</f>
        <v/>
      </c>
      <c r="K458" s="2" t="inlineStr">
        <is>
          <t>2024 Topps All Star Game ASG Foil Print #176-350 - Complete Your Set, You Pick</t>
        </is>
      </c>
    </row>
    <row r="459">
      <c r="A459" s="2" t="inlineStr">
        <is>
          <t>BBB-000148-tsgqr</t>
        </is>
      </c>
      <c r="B459" s="2" t="inlineStr">
        <is>
          <t>2024 Topps MICHAEL HARRIS II #243 All-Star Game Atlanta Braves</t>
        </is>
      </c>
      <c r="C459" s="3" t="n">
        <v>3.49</v>
      </c>
      <c r="D459" s="3" t="n">
        <v>2.49</v>
      </c>
      <c r="E459" s="3" t="n">
        <v>-1</v>
      </c>
      <c r="F459" s="4" t="n">
        <v>-28.7</v>
      </c>
      <c r="G459" s="2" t="inlineStr">
        <is>
          <t>🔵 Floored $2.49 — free ship or $0.99 ship?</t>
        </is>
      </c>
      <c r="H459" s="2" t="inlineStr">
        <is>
          <t>87%</t>
        </is>
      </c>
      <c r="I459" s="2">
        <f>HYPERLINK("https://www.ebay.com/sch/261328/i.html?_dcat=261328&amp;_fsrp=1&amp;rt=nc&amp;_from=R40&amp;_nkw=2024%20Topps%20MICHAEL%20HARRIS%20II%20%23243%20All-Star%20Game%20Atlanta%20Braves&amp;_sacat=0&amp;_sop=15&amp;rt=nc&amp;LH_BIN=1", "Active")</f>
        <v/>
      </c>
      <c r="J459" s="2">
        <f>HYPERLINK("https://www.ebay.com/sch/261328/i.html?_from=R40&amp;_nkw=2024%20Topps%20MICHAEL%20HARRIS%20II%20%23243%20All-Star%20Game%20Atlanta%20Braves&amp;_sacat=0&amp;LH_Sold=1&amp;LH_Complete=1&amp;_sop=13", "Completed")</f>
        <v/>
      </c>
      <c r="K459" s="2" t="inlineStr">
        <is>
          <t>2024 Topps ASG All Star Game Foil # 243 Michael Harris II Atlanta Braves</t>
        </is>
      </c>
    </row>
    <row r="460">
      <c r="A460" s="2" t="inlineStr">
        <is>
          <t>BBB-000149-tsgqs</t>
        </is>
      </c>
      <c r="B460" s="2" t="inlineStr">
        <is>
          <t>2024 Topps FREDDY PERALTA #26 All-Star Game Milwaukee Brewers</t>
        </is>
      </c>
      <c r="C460" s="3" t="n">
        <v>3.49</v>
      </c>
      <c r="D460" s="3" t="n">
        <v>2.49</v>
      </c>
      <c r="E460" s="3" t="n">
        <v>-1</v>
      </c>
      <c r="F460" s="4" t="n">
        <v>-28.7</v>
      </c>
      <c r="G460" s="2" t="inlineStr">
        <is>
          <t>🔵 Floored $2.49 — free ship or $0.99 ship?</t>
        </is>
      </c>
      <c r="H460" s="2" t="inlineStr">
        <is>
          <t>83%</t>
        </is>
      </c>
      <c r="I460" s="2">
        <f>HYPERLINK("https://www.ebay.com/sch/261328/i.html?_dcat=261328&amp;_fsrp=1&amp;rt=nc&amp;_from=R40&amp;_nkw=2024%20Topps%20FREDDY%20PERALTA%20%2326%20All-Star%20Game%20Milwaukee%20Brewers&amp;_sacat=0&amp;_sop=15&amp;rt=nc&amp;LH_BIN=1", "Active")</f>
        <v/>
      </c>
      <c r="J460" s="2">
        <f>HYPERLINK("https://www.ebay.com/sch/261328/i.html?_from=R40&amp;_nkw=2024%20Topps%20FREDDY%20PERALTA%20%2326%20All-Star%20Game%20Milwaukee%20Brewers&amp;_sacat=0&amp;LH_Sold=1&amp;LH_Complete=1&amp;_sop=13", "Completed")</f>
        <v/>
      </c>
      <c r="K460" s="2" t="inlineStr">
        <is>
          <t>2024 Topps All Star Game Parallel Pick Your Player Milwaukee Brewers</t>
        </is>
      </c>
    </row>
    <row r="461">
      <c r="A461" s="2" t="inlineStr">
        <is>
          <t>BBB-000150-tsgqt</t>
        </is>
      </c>
      <c r="B461" s="2" t="inlineStr">
        <is>
          <t>2024 Topps CAVAN BIGGIO #47 All-Star Game Toronto Blue Jays</t>
        </is>
      </c>
      <c r="C461" s="3" t="n">
        <v>3.49</v>
      </c>
      <c r="D461" s="3" t="n">
        <v>2.49</v>
      </c>
      <c r="E461" s="3" t="n">
        <v>-1</v>
      </c>
      <c r="F461" s="4" t="n">
        <v>-28.7</v>
      </c>
      <c r="G461" s="2" t="inlineStr">
        <is>
          <t>🔵 Floored $2.49 — free ship or $0.99 ship?</t>
        </is>
      </c>
      <c r="H461" s="2" t="inlineStr">
        <is>
          <t>88%</t>
        </is>
      </c>
      <c r="I461" s="2">
        <f>HYPERLINK("https://www.ebay.com/sch/261328/i.html?_dcat=261328&amp;_fsrp=1&amp;rt=nc&amp;_from=R40&amp;_nkw=2024%20Topps%20CAVAN%20BIGGIO%20%2347%20All-Star%20Game%20Toronto%20Blue%20Jays&amp;_sacat=0&amp;_sop=15&amp;rt=nc&amp;LH_BIN=1", "Active")</f>
        <v/>
      </c>
      <c r="J461" s="2">
        <f>HYPERLINK("https://www.ebay.com/sch/261328/i.html?_from=R40&amp;_nkw=2024%20Topps%20CAVAN%20BIGGIO%20%2347%20All-Star%20Game%20Toronto%20Blue%20Jays&amp;_sacat=0&amp;LH_Sold=1&amp;LH_Complete=1&amp;_sop=13", "Completed")</f>
        <v/>
      </c>
      <c r="K461" s="2" t="inlineStr">
        <is>
          <t>2024 Topps Cavan Biggio #47 All-Star Game Foil Toronto Blue Jays</t>
        </is>
      </c>
    </row>
    <row r="462">
      <c r="A462" s="5" t="inlineStr">
        <is>
          <t>BBB-000115-tsgpu</t>
        </is>
      </c>
      <c r="B462" s="5" t="inlineStr">
        <is>
          <t>2024 Topps EDWIN DÍAZ #120 All-Star Game New York Mets</t>
        </is>
      </c>
      <c r="C462" s="6" t="n">
        <v>1.59</v>
      </c>
      <c r="D462" s="6" t="n">
        <v>2.49</v>
      </c>
      <c r="E462" s="6" t="n">
        <v>0.9</v>
      </c>
      <c r="F462" s="7" t="n">
        <v>56.6</v>
      </c>
      <c r="G462" s="5" t="inlineStr">
        <is>
          <t>⬆ Price Up</t>
        </is>
      </c>
      <c r="H462" s="5" t="inlineStr">
        <is>
          <t>64%</t>
        </is>
      </c>
      <c r="I462" s="5">
        <f>HYPERLINK("https://www.ebay.com/sch/261328/i.html?_dcat=261328&amp;_fsrp=1&amp;rt=nc&amp;_from=R40&amp;_nkw=2024%20Topps%20EDWIN%20D%C3%8DAZ%20%23120%20All-Star%20Game%20New%20York%20Mets&amp;_sacat=0&amp;_sop=15&amp;rt=nc&amp;LH_BIN=1", "Active")</f>
        <v/>
      </c>
      <c r="J462" s="5">
        <f>HYPERLINK("https://www.ebay.com/sch/261328/i.html?_from=R40&amp;_nkw=2024%20Topps%20EDWIN%20D%C3%8DAZ%20%23120%20All-Star%20Game%20New%20York%20Mets&amp;_sacat=0&amp;LH_Sold=1&amp;LH_Complete=1&amp;_sop=13", "Completed")</f>
        <v/>
      </c>
      <c r="K462" s="5" t="inlineStr">
        <is>
          <t>2024 Topps All Star Game ASG Foil Print #1-175 - Complete Your Set, You Pick</t>
        </is>
      </c>
    </row>
    <row r="463">
      <c r="A463" s="5" t="inlineStr">
        <is>
          <t>BBB-000116-tsgpv</t>
        </is>
      </c>
      <c r="B463" s="5" t="inlineStr">
        <is>
          <t>2024 Topps AL LEADERS HOME RUNS (OHTANI /GARCÍA /ROBERT JR.) #179 ASG Dodgers</t>
        </is>
      </c>
      <c r="C463" s="6" t="n">
        <v>4.49</v>
      </c>
      <c r="D463" s="6" t="n">
        <v>5.29</v>
      </c>
      <c r="E463" s="6" t="n">
        <v>0.8</v>
      </c>
      <c r="F463" s="7" t="n">
        <v>17.8</v>
      </c>
      <c r="G463" s="5" t="inlineStr">
        <is>
          <t>⬆ Price Up</t>
        </is>
      </c>
      <c r="H463" s="5" t="inlineStr">
        <is>
          <t>100%</t>
        </is>
      </c>
      <c r="I463" s="5">
        <f>HYPERLINK("https://www.ebay.com/sch/261328/i.html?_dcat=261328&amp;_fsrp=1&amp;rt=nc&amp;_from=R40&amp;_nkw=2024%20Topps%20AL%20LEADERS%20HOME%20RUNS%20(OHTANI%20%2FGARC%C3%8DA%20%2FROBERT%20JR.)%20%23179%20ASG%20Dodgers&amp;_sacat=0&amp;_sop=15&amp;rt=nc&amp;LH_BIN=1", "Active")</f>
        <v/>
      </c>
      <c r="J463" s="5">
        <f>HYPERLINK("https://www.ebay.com/sch/261328/i.html?_from=R40&amp;_nkw=2024%20Topps%20AL%20LEADERS%20HOME%20RUNS%20(OHTANI%20%2FGARC%C3%8DA%20%2FROBERT%20JR.)%20%23179%20ASG%20Dodgers&amp;_sacat=0&amp;LH_Sold=1&amp;LH_Complete=1&amp;_sop=13", "Completed")</f>
        <v/>
      </c>
      <c r="K463" s="5" t="inlineStr">
        <is>
          <t>2024 Topps AL LEADERS HOME RUNS (OHTANI /GARCÍA /ROBERT JR.) #179 ASG Dodgers</t>
        </is>
      </c>
    </row>
    <row r="464">
      <c r="A464" s="2" t="inlineStr">
        <is>
          <t>BBB-000151-tsgqu</t>
        </is>
      </c>
      <c r="B464" s="2" t="inlineStr">
        <is>
          <t>2024 Topps ZACH REMILLARD #222 All-Star Game Chicago White Sox</t>
        </is>
      </c>
      <c r="C464" s="3" t="n">
        <v>2.99</v>
      </c>
      <c r="D464" s="3" t="n">
        <v>2.49</v>
      </c>
      <c r="E464" s="3" t="n">
        <v>-0.5</v>
      </c>
      <c r="F464" s="4" t="n">
        <v>-16.7</v>
      </c>
      <c r="G464" s="2" t="inlineStr">
        <is>
          <t>🔵 Floored $2.49 — free ship or $0.99 ship?</t>
        </is>
      </c>
      <c r="H464" s="2" t="inlineStr">
        <is>
          <t>83%</t>
        </is>
      </c>
      <c r="I464" s="2">
        <f>HYPERLINK("https://www.ebay.com/sch/261328/i.html?_dcat=261328&amp;_fsrp=1&amp;rt=nc&amp;_from=R40&amp;_nkw=2024%20Topps%20ZACH%20REMILLARD%20%23222%20All-Star%20Game%20Chicago%20White%20Sox&amp;_sacat=0&amp;_sop=15&amp;rt=nc&amp;LH_BIN=1", "Active")</f>
        <v/>
      </c>
      <c r="J464" s="2">
        <f>HYPERLINK("https://www.ebay.com/sch/261328/i.html?_from=R40&amp;_nkw=2024%20Topps%20ZACH%20REMILLARD%20%23222%20All-Star%20Game%20Chicago%20White%20Sox&amp;_sacat=0&amp;LH_Sold=1&amp;LH_Complete=1&amp;_sop=13", "Completed")</f>
        <v/>
      </c>
      <c r="K464" s="2" t="inlineStr">
        <is>
          <t>2024 Topps All Star Game Parallel Pick Your Player Chicago White Sox</t>
        </is>
      </c>
    </row>
    <row r="465">
      <c r="A465" s="2" t="inlineStr">
        <is>
          <t>BBB-000117-tsgpw</t>
        </is>
      </c>
      <c r="B465" s="2" t="inlineStr">
        <is>
          <t>2024 Topps CHICAGO CUBS #165 All-Star Game Chicago Cubs</t>
        </is>
      </c>
      <c r="C465" s="3" t="n">
        <v>2.99</v>
      </c>
      <c r="D465" s="3" t="n">
        <v>2.49</v>
      </c>
      <c r="E465" s="3" t="n">
        <v>-0.5</v>
      </c>
      <c r="F465" s="4" t="n">
        <v>-16.7</v>
      </c>
      <c r="G465" s="2" t="inlineStr">
        <is>
          <t>🔵 Floored $2.49 — free ship or $0.99 ship?</t>
        </is>
      </c>
      <c r="H465" s="2" t="inlineStr">
        <is>
          <t>67%</t>
        </is>
      </c>
      <c r="I465" s="2">
        <f>HYPERLINK("https://www.ebay.com/sch/261328/i.html?_dcat=261328&amp;_fsrp=1&amp;rt=nc&amp;_from=R40&amp;_nkw=2024%20Topps%20CHICAGO%20CUBS%20%23165%20All-Star%20Game%20Chicago%20Cubs&amp;_sacat=0&amp;_sop=15&amp;rt=nc&amp;LH_BIN=1", "Active")</f>
        <v/>
      </c>
      <c r="J465" s="2">
        <f>HYPERLINK("https://www.ebay.com/sch/261328/i.html?_from=R40&amp;_nkw=2024%20Topps%20CHICAGO%20CUBS%20%23165%20All-Star%20Game%20Chicago%20Cubs&amp;_sacat=0&amp;LH_Sold=1&amp;LH_Complete=1&amp;_sop=13", "Completed")</f>
        <v/>
      </c>
      <c r="K465" s="2" t="inlineStr">
        <is>
          <t>2024 Topps All Star Game Parallel Pick Your Player Chicago Cubs</t>
        </is>
      </c>
    </row>
    <row r="466">
      <c r="A466" s="2" t="inlineStr">
        <is>
          <t>BBB-000118-tsgpx</t>
        </is>
      </c>
      <c r="B466" s="2" t="inlineStr">
        <is>
          <t>2024 Topps ADBERT ALZOLAY #129 All-Star Game Chicago Cubs</t>
        </is>
      </c>
      <c r="C466" s="3" t="n">
        <v>3.49</v>
      </c>
      <c r="D466" s="3" t="n">
        <v>2.49</v>
      </c>
      <c r="E466" s="3" t="n">
        <v>-1</v>
      </c>
      <c r="F466" s="4" t="n">
        <v>-28.7</v>
      </c>
      <c r="G466" s="2" t="inlineStr">
        <is>
          <t>🔵 Floored $2.49 — free ship or $0.99 ship?</t>
        </is>
      </c>
      <c r="H466" s="2" t="inlineStr">
        <is>
          <t>82%</t>
        </is>
      </c>
      <c r="I466" s="2">
        <f>HYPERLINK("https://www.ebay.com/sch/261328/i.html?_dcat=261328&amp;_fsrp=1&amp;rt=nc&amp;_from=R40&amp;_nkw=2024%20Topps%20ADBERT%20ALZOLAY%20%23129%20All-Star%20Game%20Chicago%20Cubs&amp;_sacat=0&amp;_sop=15&amp;rt=nc&amp;LH_BIN=1", "Active")</f>
        <v/>
      </c>
      <c r="J466" s="2">
        <f>HYPERLINK("https://www.ebay.com/sch/261328/i.html?_from=R40&amp;_nkw=2024%20Topps%20ADBERT%20ALZOLAY%20%23129%20All-Star%20Game%20Chicago%20Cubs&amp;_sacat=0&amp;LH_Sold=1&amp;LH_Complete=1&amp;_sop=13", "Completed")</f>
        <v/>
      </c>
      <c r="K466" s="2" t="inlineStr">
        <is>
          <t>2024 Topps All Star Game Parallel Pick Your Player Chicago Cubs</t>
        </is>
      </c>
    </row>
    <row r="467">
      <c r="A467" s="2" t="inlineStr">
        <is>
          <t>BBB-000152-tsgqv</t>
        </is>
      </c>
      <c r="B467" s="2" t="inlineStr">
        <is>
          <t>2024 Topps REID DETMERS #137 All-Star Game Los Angeles Angels</t>
        </is>
      </c>
      <c r="C467" s="3" t="n">
        <v>3.49</v>
      </c>
      <c r="D467" s="3" t="n">
        <v>2.49</v>
      </c>
      <c r="E467" s="3" t="n">
        <v>-1</v>
      </c>
      <c r="F467" s="4" t="n">
        <v>-28.7</v>
      </c>
      <c r="G467" s="2" t="inlineStr">
        <is>
          <t>🔵 Floored $2.49 — free ship or $0.99 ship?</t>
        </is>
      </c>
      <c r="H467" s="2" t="inlineStr">
        <is>
          <t>65%</t>
        </is>
      </c>
      <c r="I467" s="2">
        <f>HYPERLINK("https://www.ebay.com/sch/261328/i.html?_dcat=261328&amp;_fsrp=1&amp;rt=nc&amp;_from=R40&amp;_nkw=2024%20Topps%20REID%20DETMERS%20%23137%20All-Star%20Game%20Los%20Angeles%20Angels&amp;_sacat=0&amp;_sop=15&amp;rt=nc&amp;LH_BIN=1", "Active")</f>
        <v/>
      </c>
      <c r="J467" s="2">
        <f>HYPERLINK("https://www.ebay.com/sch/261328/i.html?_from=R40&amp;_nkw=2024%20Topps%20REID%20DETMERS%20%23137%20All-Star%20Game%20Los%20Angeles%20Angels&amp;_sacat=0&amp;LH_Sold=1&amp;LH_Complete=1&amp;_sop=13", "Completed")</f>
        <v/>
      </c>
      <c r="K467" s="2" t="inlineStr">
        <is>
          <t>2024 Topps All Star Game ASG Foil Print #1-175 - Complete Your Set, You Pick</t>
        </is>
      </c>
    </row>
    <row r="468">
      <c r="A468" s="2" t="inlineStr">
        <is>
          <t>BBB-000120-tsgpz</t>
        </is>
      </c>
      <c r="B468" s="2" t="inlineStr">
        <is>
          <t>2024 Topps Blue JAYS UNITE!: #167 ASG Blue Jays</t>
        </is>
      </c>
      <c r="C468" s="3" t="n">
        <v>4</v>
      </c>
      <c r="D468" s="3" t="n">
        <v>2.49</v>
      </c>
      <c r="E468" s="3" t="n">
        <v>-1.51</v>
      </c>
      <c r="F468" s="4" t="n">
        <v>-37.8</v>
      </c>
      <c r="G468" s="2" t="inlineStr">
        <is>
          <t>🔵 Floored $2.49 — free ship or $0.99 ship?</t>
        </is>
      </c>
      <c r="H468" s="2" t="inlineStr">
        <is>
          <t>63%</t>
        </is>
      </c>
      <c r="I468" s="2">
        <f>HYPERLINK("https://www.ebay.com/sch/261328/i.html?_dcat=261328&amp;_fsrp=1&amp;rt=nc&amp;_from=R40&amp;_nkw=2024%20Topps%20Blue%20JAYS%20UNITE!%3A%20%23167%20ASG%20Blue%20Jays&amp;_sacat=0&amp;_sop=15&amp;rt=nc&amp;LH_BIN=1", "Active")</f>
        <v/>
      </c>
      <c r="J468" s="2">
        <f>HYPERLINK("https://www.ebay.com/sch/261328/i.html?_from=R40&amp;_nkw=2024%20Topps%20Blue%20JAYS%20UNITE!%3A%20%23167%20ASG%20Blue%20Jays&amp;_sacat=0&amp;LH_Sold=1&amp;LH_Complete=1&amp;_sop=13", "Completed")</f>
        <v/>
      </c>
      <c r="K468" s="2" t="inlineStr">
        <is>
          <t>2024 Topps ASG All-Star Logo Foil Parallel #167 Toronto Blue Jays Unite! Varsho</t>
        </is>
      </c>
    </row>
    <row r="469">
      <c r="A469" s="5" t="inlineStr">
        <is>
          <t>BBB-000121-tsgq0</t>
        </is>
      </c>
      <c r="B469" s="5" t="inlineStr">
        <is>
          <t>2024 Topps ANDRÉS GIMÉNEZ #289 All-Star Game Cleveland Guardians</t>
        </is>
      </c>
      <c r="C469" s="6" t="n">
        <v>1.25</v>
      </c>
      <c r="D469" s="6" t="n">
        <v>2.49</v>
      </c>
      <c r="E469" s="6" t="n">
        <v>1.24</v>
      </c>
      <c r="F469" s="7" t="n">
        <v>99.2</v>
      </c>
      <c r="G469" s="5" t="inlineStr">
        <is>
          <t>⬆ Price Up</t>
        </is>
      </c>
      <c r="H469" s="5" t="inlineStr">
        <is>
          <t>67%</t>
        </is>
      </c>
      <c r="I469" s="5">
        <f>HYPERLINK("https://www.ebay.com/sch/261328/i.html?_dcat=261328&amp;_fsrp=1&amp;rt=nc&amp;_from=R40&amp;_nkw=2024%20Topps%20ANDR%C3%89S%20GIM%C3%89NEZ%20%23289%20All-Star%20Game%20Cleveland%20Guardians&amp;_sacat=0&amp;_sop=15&amp;rt=nc&amp;LH_BIN=1", "Active")</f>
        <v/>
      </c>
      <c r="J469" s="5">
        <f>HYPERLINK("https://www.ebay.com/sch/261328/i.html?_from=R40&amp;_nkw=2024%20Topps%20ANDR%C3%89S%20GIM%C3%89NEZ%20%23289%20All-Star%20Game%20Cleveland%20Guardians&amp;_sacat=0&amp;LH_Sold=1&amp;LH_Complete=1&amp;_sop=13", "Completed")</f>
        <v/>
      </c>
      <c r="K469" s="5" t="inlineStr">
        <is>
          <t>2024 Topps All Star Game Parallel Pick Your Player Cleveland Guardians</t>
        </is>
      </c>
    </row>
    <row r="470">
      <c r="A470" s="2" t="inlineStr">
        <is>
          <t>BBB-000119-tsgpy</t>
        </is>
      </c>
      <c r="B470" s="2" t="inlineStr">
        <is>
          <t>2024 Topps SETH BROWN #79 All-Star Game Oakland Athletics</t>
        </is>
      </c>
      <c r="C470" s="3" t="n">
        <v>2.99</v>
      </c>
      <c r="D470" s="3" t="n">
        <v>2.49</v>
      </c>
      <c r="E470" s="3" t="n">
        <v>-0.5</v>
      </c>
      <c r="F470" s="4" t="n">
        <v>-16.7</v>
      </c>
      <c r="G470" s="2" t="inlineStr">
        <is>
          <t>🔵 Floored $2.49 — free ship or $0.99 ship?</t>
        </is>
      </c>
      <c r="H470" s="2" t="inlineStr">
        <is>
          <t>66%</t>
        </is>
      </c>
      <c r="I470" s="2">
        <f>HYPERLINK("https://www.ebay.com/sch/261328/i.html?_dcat=261328&amp;_fsrp=1&amp;rt=nc&amp;_from=R40&amp;_nkw=2024%20Topps%20SETH%20BROWN%20%2379%20All-Star%20Game%20Oakland%20Athletics&amp;_sacat=0&amp;_sop=15&amp;rt=nc&amp;LH_BIN=1", "Active")</f>
        <v/>
      </c>
      <c r="J470" s="2">
        <f>HYPERLINK("https://www.ebay.com/sch/261328/i.html?_from=R40&amp;_nkw=2024%20Topps%20SETH%20BROWN%20%2379%20All-Star%20Game%20Oakland%20Athletics&amp;_sacat=0&amp;LH_Sold=1&amp;LH_Complete=1&amp;_sop=13", "Completed")</f>
        <v/>
      </c>
      <c r="K470" s="2" t="inlineStr">
        <is>
          <t>2024 Topps All Star Game ASG Foil Print #1-175 - Complete Your Set, You Pick</t>
        </is>
      </c>
    </row>
    <row r="471">
      <c r="A471" s="2" t="inlineStr">
        <is>
          <t>BBB-000122-tsgq1</t>
        </is>
      </c>
      <c r="B471" s="2" t="inlineStr">
        <is>
          <t>2024 Topps CONNOR JOE #303 All-Star Game Pittsburgh Pirates</t>
        </is>
      </c>
      <c r="C471" s="3" t="n">
        <v>3.49</v>
      </c>
      <c r="D471" s="3" t="n">
        <v>2.49</v>
      </c>
      <c r="E471" s="3" t="n">
        <v>-1</v>
      </c>
      <c r="F471" s="4" t="n">
        <v>-28.7</v>
      </c>
      <c r="G471" s="2" t="inlineStr">
        <is>
          <t>🔵 Floored $2.49 — free ship or $0.99 ship?</t>
        </is>
      </c>
      <c r="H471" s="2" t="inlineStr">
        <is>
          <t>67%</t>
        </is>
      </c>
      <c r="I471" s="2">
        <f>HYPERLINK("https://www.ebay.com/sch/261328/i.html?_dcat=261328&amp;_fsrp=1&amp;rt=nc&amp;_from=R40&amp;_nkw=2024%20Topps%20CONNOR%20JOE%20%23303%20All-Star%20Game%20Pittsburgh%20Pirates&amp;_sacat=0&amp;_sop=15&amp;rt=nc&amp;LH_BIN=1", "Active")</f>
        <v/>
      </c>
      <c r="J471" s="2">
        <f>HYPERLINK("https://www.ebay.com/sch/261328/i.html?_from=R40&amp;_nkw=2024%20Topps%20CONNOR%20JOE%20%23303%20All-Star%20Game%20Pittsburgh%20Pirates&amp;_sacat=0&amp;LH_Sold=1&amp;LH_Complete=1&amp;_sop=13", "Completed")</f>
        <v/>
      </c>
      <c r="K471" s="2" t="inlineStr">
        <is>
          <t>2024 Topps All Star Game ASG Foil Print #176-350 - Complete Your Set, You Pick</t>
        </is>
      </c>
    </row>
    <row r="472">
      <c r="A472" s="5" t="inlineStr">
        <is>
          <t>BBB-000123-tsgq2</t>
        </is>
      </c>
      <c r="B472" s="5" t="inlineStr">
        <is>
          <t>2024 Topps ENDY RODRÍGUEZ #3 All-Star Game Pittsburgh Pirates</t>
        </is>
      </c>
      <c r="C472" s="6" t="n">
        <v>1.59</v>
      </c>
      <c r="D472" s="6" t="n">
        <v>2.49</v>
      </c>
      <c r="E472" s="6" t="n">
        <v>0.9</v>
      </c>
      <c r="F472" s="7" t="n">
        <v>56.6</v>
      </c>
      <c r="G472" s="5" t="inlineStr">
        <is>
          <t>⬆ Price Up</t>
        </is>
      </c>
      <c r="H472" s="5" t="inlineStr">
        <is>
          <t>82%</t>
        </is>
      </c>
      <c r="I472" s="5">
        <f>HYPERLINK("https://www.ebay.com/sch/261328/i.html?_dcat=261328&amp;_fsrp=1&amp;rt=nc&amp;_from=R40&amp;_nkw=2024%20Topps%20ENDY%20RODR%C3%8DGUEZ%20%233%20All-Star%20Game%20Pittsburgh%20Pirates&amp;_sacat=0&amp;_sop=15&amp;rt=nc&amp;LH_BIN=1", "Active")</f>
        <v/>
      </c>
      <c r="J472" s="5">
        <f>HYPERLINK("https://www.ebay.com/sch/261328/i.html?_from=R40&amp;_nkw=2024%20Topps%20ENDY%20RODR%C3%8DGUEZ%20%233%20All-Star%20Game%20Pittsburgh%20Pirates&amp;_sacat=0&amp;LH_Sold=1&amp;LH_Complete=1&amp;_sop=13", "Completed")</f>
        <v/>
      </c>
      <c r="K472" s="5" t="inlineStr">
        <is>
          <t>2024 Topps All Star Game Parallel Pick Your Player Pittsburgh Pirates</t>
        </is>
      </c>
    </row>
    <row r="473">
      <c r="A473" s="11" t="inlineStr">
        <is>
          <t>BBB-000124-tsgq3</t>
        </is>
      </c>
      <c r="B473" s="11" t="inlineStr">
        <is>
          <t>2024 Topps ELLY DE LA CRUZ #141 All-Star Game Cincinnati Reds</t>
        </is>
      </c>
      <c r="C473" s="12" t="n">
        <v>9</v>
      </c>
      <c r="D473" s="12" t="n">
        <v>3.29</v>
      </c>
      <c r="E473" s="12" t="n">
        <v>-5.71</v>
      </c>
      <c r="F473" s="13" t="n">
        <v>-63.4</v>
      </c>
      <c r="G473" s="11" t="inlineStr">
        <is>
          <t>⬇ Price Down</t>
        </is>
      </c>
      <c r="H473" s="11" t="inlineStr">
        <is>
          <t>63%</t>
        </is>
      </c>
      <c r="I473" s="11">
        <f>HYPERLINK("https://www.ebay.com/sch/261328/i.html?_dcat=261328&amp;_fsrp=1&amp;rt=nc&amp;_from=R40&amp;_nkw=2024%20Topps%20ELLY%20DE%20LA%20CRUZ%20%23141%20All-Star%20Game%20Cincinnati%20Reds&amp;_sacat=0&amp;_sop=15&amp;rt=nc&amp;LH_BIN=1", "Active")</f>
        <v/>
      </c>
      <c r="J473" s="11">
        <f>HYPERLINK("https://www.ebay.com/sch/261328/i.html?_from=R40&amp;_nkw=2024%20Topps%20ELLY%20DE%20LA%20CRUZ%20%23141%20All-Star%20Game%20Cincinnati%20Reds&amp;_sacat=0&amp;LH_Sold=1&amp;LH_Complete=1&amp;_sop=13", "Completed")</f>
        <v/>
      </c>
      <c r="K473" s="11" t="inlineStr">
        <is>
          <t>Elly De La Cruz Baseball Cards Pick Your Card</t>
        </is>
      </c>
    </row>
    <row r="474">
      <c r="A474" s="2" t="inlineStr">
        <is>
          <t>BBB-000125-tsgq4</t>
        </is>
      </c>
      <c r="B474" s="2" t="inlineStr">
        <is>
          <t>2024 Topps DANIEL VOGELBACH #345 All-Star Game New York Mets</t>
        </is>
      </c>
      <c r="C474" s="3" t="n">
        <v>3.49</v>
      </c>
      <c r="D474" s="3" t="n">
        <v>2.49</v>
      </c>
      <c r="E474" s="3" t="n">
        <v>-1</v>
      </c>
      <c r="F474" s="4" t="n">
        <v>-28.7</v>
      </c>
      <c r="G474" s="2" t="inlineStr">
        <is>
          <t>🔵 Floored $2.49 — free ship or $0.99 ship?</t>
        </is>
      </c>
      <c r="H474" s="2" t="inlineStr">
        <is>
          <t>67%</t>
        </is>
      </c>
      <c r="I474" s="2">
        <f>HYPERLINK("https://www.ebay.com/sch/261328/i.html?_dcat=261328&amp;_fsrp=1&amp;rt=nc&amp;_from=R40&amp;_nkw=2024%20Topps%20DANIEL%20VOGELBACH%20%23345%20All-Star%20Game%20New%20York%20Mets&amp;_sacat=0&amp;_sop=15&amp;rt=nc&amp;LH_BIN=1", "Active")</f>
        <v/>
      </c>
      <c r="J474" s="2">
        <f>HYPERLINK("https://www.ebay.com/sch/261328/i.html?_from=R40&amp;_nkw=2024%20Topps%20DANIEL%20VOGELBACH%20%23345%20All-Star%20Game%20New%20York%20Mets&amp;_sacat=0&amp;LH_Sold=1&amp;LH_Complete=1&amp;_sop=13", "Completed")</f>
        <v/>
      </c>
      <c r="K474" s="2" t="inlineStr">
        <is>
          <t>2024 Topps All Star Game ASG Foil Print #176-350 - Complete Your Set, You Pick</t>
        </is>
      </c>
    </row>
    <row r="475">
      <c r="A475" s="11" t="inlineStr">
        <is>
          <t>BBB-000128-tsgq7</t>
        </is>
      </c>
      <c r="B475" s="11" t="inlineStr">
        <is>
          <t>2024 Topps JACKSON HOLLIDAY #697b All-Star Game Baltimore Orioles</t>
        </is>
      </c>
      <c r="C475" s="12" t="n">
        <v>9.59</v>
      </c>
      <c r="D475" s="12" t="n">
        <v>4.79</v>
      </c>
      <c r="E475" s="12" t="n">
        <v>-4.8</v>
      </c>
      <c r="F475" s="13" t="n">
        <v>-50.1</v>
      </c>
      <c r="G475" s="11" t="inlineStr">
        <is>
          <t>⬇ Price Down</t>
        </is>
      </c>
      <c r="H475" s="11" t="inlineStr">
        <is>
          <t>87%</t>
        </is>
      </c>
      <c r="I475" s="11">
        <f>HYPERLINK("https://www.ebay.com/sch/261328/i.html?_dcat=261328&amp;_fsrp=1&amp;rt=nc&amp;_from=R40&amp;_nkw=2024%20Topps%20JACKSON%20HOLLIDAY%20%23697b%20All-Star%20Game%20Baltimore%20Orioles&amp;_sacat=0&amp;_sop=15&amp;rt=nc&amp;LH_BIN=1", "Active")</f>
        <v/>
      </c>
      <c r="J475" s="11">
        <f>HYPERLINK("https://www.ebay.com/sch/261328/i.html?_from=R40&amp;_nkw=2024%20Topps%20JACKSON%20HOLLIDAY%20%23697b%20All-Star%20Game%20Baltimore%20Orioles&amp;_sacat=0&amp;LH_Sold=1&amp;LH_Complete=1&amp;_sop=13", "Completed")</f>
        <v/>
      </c>
      <c r="K475" s="11" t="inlineStr">
        <is>
          <t>2024 Jackson Holliday - #697b All-Star Game - Baltimore Orioles a7</t>
        </is>
      </c>
    </row>
    <row r="476">
      <c r="A476" s="2" t="inlineStr">
        <is>
          <t>BBB-000126-tsgq5</t>
        </is>
      </c>
      <c r="B476" s="2" t="inlineStr">
        <is>
          <t>2024 Topps TAYLOR WARD #332 All-Star Game Los Angeles Angels</t>
        </is>
      </c>
      <c r="C476" s="3" t="n">
        <v>3.99</v>
      </c>
      <c r="D476" s="3" t="n">
        <v>2.49</v>
      </c>
      <c r="E476" s="3" t="n">
        <v>-1.5</v>
      </c>
      <c r="F476" s="4" t="n">
        <v>-37.6</v>
      </c>
      <c r="G476" s="2" t="inlineStr">
        <is>
          <t>🔵 Floored $2.49 — free ship or $0.99 ship?</t>
        </is>
      </c>
      <c r="H476" s="2" t="inlineStr">
        <is>
          <t>63%</t>
        </is>
      </c>
      <c r="I476" s="2">
        <f>HYPERLINK("https://www.ebay.com/sch/261328/i.html?_dcat=261328&amp;_fsrp=1&amp;rt=nc&amp;_from=R40&amp;_nkw=2024%20Topps%20TAYLOR%20WARD%20%23332%20All-Star%20Game%20Los%20Angeles%20Angels&amp;_sacat=0&amp;_sop=15&amp;rt=nc&amp;LH_BIN=1", "Active")</f>
        <v/>
      </c>
      <c r="J476" s="2">
        <f>HYPERLINK("https://www.ebay.com/sch/261328/i.html?_from=R40&amp;_nkw=2024%20Topps%20TAYLOR%20WARD%20%23332%20All-Star%20Game%20Los%20Angeles%20Angels&amp;_sacat=0&amp;LH_Sold=1&amp;LH_Complete=1&amp;_sop=13", "Completed")</f>
        <v/>
      </c>
      <c r="K476" s="2" t="inlineStr">
        <is>
          <t>2024 Topps All Star Game ASG Foil Print #176-350 - Complete Your Set, You Pick</t>
        </is>
      </c>
    </row>
    <row r="477">
      <c r="A477" s="5" t="inlineStr">
        <is>
          <t>BBB-000129-tsgq8</t>
        </is>
      </c>
      <c r="B477" s="5" t="inlineStr">
        <is>
          <t>2024 Topps SHOHEI OHTANI #2 All-Star Game Bonus Los Angeles Dodgers</t>
        </is>
      </c>
      <c r="C477" s="6" t="n">
        <v>40</v>
      </c>
      <c r="D477" s="6" t="n">
        <v>47.69</v>
      </c>
      <c r="E477" s="6" t="n">
        <v>7.69</v>
      </c>
      <c r="F477" s="7" t="n">
        <v>19.2</v>
      </c>
      <c r="G477" s="5" t="inlineStr">
        <is>
          <t>⬆ Price Up</t>
        </is>
      </c>
      <c r="H477" s="5" t="inlineStr">
        <is>
          <t>100%</t>
        </is>
      </c>
      <c r="I477" s="5">
        <f>HYPERLINK("https://www.ebay.com/sch/261328/i.html?_dcat=261328&amp;_fsrp=1&amp;rt=nc&amp;_from=R40&amp;_nkw=2024%20Topps%20SHOHEI%20OHTANI%20%232%20All-Star%20Game%20Bonus%20Los%20Angeles%20Dodgers&amp;_sacat=0&amp;_sop=15&amp;rt=nc&amp;LH_BIN=1", "Active")</f>
        <v/>
      </c>
      <c r="J477" s="5">
        <f>HYPERLINK("https://www.ebay.com/sch/261328/i.html?_from=R40&amp;_nkw=2024%20Topps%20SHOHEI%20OHTANI%20%232%20All-Star%20Game%20Bonus%20Los%20Angeles%20Dodgers&amp;_sacat=0&amp;LH_Sold=1&amp;LH_Complete=1&amp;_sop=13", "Completed")</f>
        <v/>
      </c>
      <c r="K477" s="5" t="inlineStr">
        <is>
          <t>2024 Topps SHOHEI OHTANI #2 All-Star Game Bonus Los Angeles Dodgers</t>
        </is>
      </c>
    </row>
    <row r="478">
      <c r="A478" s="5" t="inlineStr">
        <is>
          <t>BBB-000130-tsgq9</t>
        </is>
      </c>
      <c r="B478" s="5" t="inlineStr">
        <is>
          <t>2024 Topps AARON JUDGE #4 All-Star Game Bonus New York Yankees</t>
        </is>
      </c>
      <c r="C478" s="6" t="n">
        <v>6.39</v>
      </c>
      <c r="D478" s="6" t="n">
        <v>7.19</v>
      </c>
      <c r="E478" s="6" t="n">
        <v>0.8</v>
      </c>
      <c r="F478" s="7" t="n">
        <v>12.5</v>
      </c>
      <c r="G478" s="5" t="inlineStr">
        <is>
          <t>⬆ Price Up</t>
        </is>
      </c>
      <c r="H478" s="5" t="inlineStr">
        <is>
          <t>100%</t>
        </is>
      </c>
      <c r="I478" s="5">
        <f>HYPERLINK("https://www.ebay.com/sch/261328/i.html?_dcat=261328&amp;_fsrp=1&amp;rt=nc&amp;_from=R40&amp;_nkw=2024%20Topps%20AARON%20JUDGE%20%234%20All-Star%20Game%20Bonus%20New%20York%20Yankees&amp;_sacat=0&amp;_sop=15&amp;rt=nc&amp;LH_BIN=1", "Active")</f>
        <v/>
      </c>
      <c r="J478" s="5">
        <f>HYPERLINK("https://www.ebay.com/sch/261328/i.html?_from=R40&amp;_nkw=2024%20Topps%20AARON%20JUDGE%20%234%20All-Star%20Game%20Bonus%20New%20York%20Yankees&amp;_sacat=0&amp;LH_Sold=1&amp;LH_Complete=1&amp;_sop=13", "Completed")</f>
        <v/>
      </c>
      <c r="K478" s="5" t="inlineStr">
        <is>
          <t>2024 Topps AARON JUDGE #4 All-Star Game Bonus New York Yankees</t>
        </is>
      </c>
    </row>
    <row r="479">
      <c r="A479" s="11" t="inlineStr">
        <is>
          <t>BBB-000127-tsgq6</t>
        </is>
      </c>
      <c r="B479" s="11" t="inlineStr">
        <is>
          <t>2024 Topps JACKSON MERRILL #699b All-Star Game San Diego Padres</t>
        </is>
      </c>
      <c r="C479" s="12" t="n">
        <v>22</v>
      </c>
      <c r="D479" s="12" t="n">
        <v>4.39</v>
      </c>
      <c r="E479" s="12" t="n">
        <v>-17.61</v>
      </c>
      <c r="F479" s="13" t="n">
        <v>-80</v>
      </c>
      <c r="G479" s="11" t="inlineStr">
        <is>
          <t>⬇ Price Down</t>
        </is>
      </c>
      <c r="H479" s="11" t="inlineStr">
        <is>
          <t>85%</t>
        </is>
      </c>
      <c r="I479" s="11">
        <f>HYPERLINK("https://www.ebay.com/sch/261328/i.html?_dcat=261328&amp;_fsrp=1&amp;rt=nc&amp;_from=R40&amp;_nkw=2024%20Topps%20JACKSON%20MERRILL%20%23699b%20All-Star%20Game%20San%20Diego%20Padres&amp;_sacat=0&amp;_sop=15&amp;rt=nc&amp;LH_BIN=1", "Active")</f>
        <v/>
      </c>
      <c r="J479" s="11">
        <f>HYPERLINK("https://www.ebay.com/sch/261328/i.html?_from=R40&amp;_nkw=2024%20Topps%20JACKSON%20MERRILL%20%23699b%20All-Star%20Game%20San%20Diego%20Padres&amp;_sacat=0&amp;LH_Sold=1&amp;LH_Complete=1&amp;_sop=13", "Completed")</f>
        <v/>
      </c>
      <c r="K479" s="11" t="inlineStr">
        <is>
          <t>2024 Topps #699b Jackson Merrill All-Star Game Rookie Variation</t>
        </is>
      </c>
    </row>
    <row r="480">
      <c r="A480" s="11" t="inlineStr">
        <is>
          <t>BBB-000131-tsgqa</t>
        </is>
      </c>
      <c r="B480" s="11" t="inlineStr">
        <is>
          <t>2024 Topps RONALD ACUNA JR. #5 All-Star Game Bonus Atlanta Braves</t>
        </is>
      </c>
      <c r="C480" s="12" t="n">
        <v>5.49</v>
      </c>
      <c r="D480" s="12" t="n">
        <v>3.89</v>
      </c>
      <c r="E480" s="12" t="n">
        <v>-1.6</v>
      </c>
      <c r="F480" s="13" t="n">
        <v>-29.1</v>
      </c>
      <c r="G480" s="11" t="inlineStr">
        <is>
          <t>⬇ Price Down</t>
        </is>
      </c>
      <c r="H480" s="11" t="inlineStr">
        <is>
          <t>90%</t>
        </is>
      </c>
      <c r="I480" s="11">
        <f>HYPERLINK("https://www.ebay.com/sch/261328/i.html?_dcat=261328&amp;_fsrp=1&amp;rt=nc&amp;_from=R40&amp;_nkw=2024%20Topps%20RONALD%20ACUNA%20JR.%20%235%20All-Star%20Game%20Bonus%20Atlanta%20Braves&amp;_sacat=0&amp;_sop=15&amp;rt=nc&amp;LH_BIN=1", "Active")</f>
        <v/>
      </c>
      <c r="J480" s="11">
        <f>HYPERLINK("https://www.ebay.com/sch/261328/i.html?_from=R40&amp;_nkw=2024%20Topps%20RONALD%20ACUNA%20JR.%20%235%20All-Star%20Game%20Bonus%20Atlanta%20Braves&amp;_sacat=0&amp;LH_Sold=1&amp;LH_Complete=1&amp;_sop=13", "Completed")</f>
        <v/>
      </c>
      <c r="K480" s="11" t="inlineStr">
        <is>
          <t>2024 Topps #5 Ronald Acuna Jr. All-Star Game Bonus Atlanta Braves</t>
        </is>
      </c>
    </row>
    <row r="481">
      <c r="A481" s="11" t="inlineStr">
        <is>
          <t>BBB-000132-tsgqb</t>
        </is>
      </c>
      <c r="B481" s="11" t="inlineStr">
        <is>
          <t>2024 Topps JULIO RODRIGUEZ #1 All-Star Game Bonus Seattle Mariners</t>
        </is>
      </c>
      <c r="C481" s="12" t="n">
        <v>4.99</v>
      </c>
      <c r="D481" s="12" t="n">
        <v>2.79</v>
      </c>
      <c r="E481" s="12" t="n">
        <v>-2.2</v>
      </c>
      <c r="F481" s="13" t="n">
        <v>-44.1</v>
      </c>
      <c r="G481" s="11" t="inlineStr">
        <is>
          <t>⬇ Price Down</t>
        </is>
      </c>
      <c r="H481" s="11" t="inlineStr">
        <is>
          <t>83%</t>
        </is>
      </c>
      <c r="I481" s="11">
        <f>HYPERLINK("https://www.ebay.com/sch/261328/i.html?_dcat=261328&amp;_fsrp=1&amp;rt=nc&amp;_from=R40&amp;_nkw=2024%20Topps%20JULIO%20RODRIGUEZ%20%231%20All-Star%20Game%20Bonus%20Seattle%20Mariners&amp;_sacat=0&amp;_sop=15&amp;rt=nc&amp;LH_BIN=1", "Active")</f>
        <v/>
      </c>
      <c r="J481" s="11">
        <f>HYPERLINK("https://www.ebay.com/sch/261328/i.html?_from=R40&amp;_nkw=2024%20Topps%20JULIO%20RODRIGUEZ%20%231%20All-Star%20Game%20Bonus%20Seattle%20Mariners&amp;_sacat=0&amp;LH_Sold=1&amp;LH_Complete=1&amp;_sop=13", "Completed")</f>
        <v/>
      </c>
      <c r="K481" s="11" t="inlineStr">
        <is>
          <t>2024 Topps Complete Set - All-Star Game Bonus Julio Rodriguez #1</t>
        </is>
      </c>
    </row>
    <row r="482">
      <c r="A482" s="11" t="inlineStr">
        <is>
          <t>BBB-000133-tsgqc</t>
        </is>
      </c>
      <c r="B482" s="11" t="inlineStr">
        <is>
          <t>2024 Topps MIKE TROUT #3 All-Star Game Bonus Los Angeles Angels</t>
        </is>
      </c>
      <c r="C482" s="12" t="n">
        <v>5.99</v>
      </c>
      <c r="D482" s="12" t="n">
        <v>4.29</v>
      </c>
      <c r="E482" s="12" t="n">
        <v>-1.7</v>
      </c>
      <c r="F482" s="13" t="n">
        <v>-28.4</v>
      </c>
      <c r="G482" s="11" t="inlineStr">
        <is>
          <t>⬇ Price Down</t>
        </is>
      </c>
      <c r="H482" s="11" t="inlineStr">
        <is>
          <t>87%</t>
        </is>
      </c>
      <c r="I482" s="11">
        <f>HYPERLINK("https://www.ebay.com/sch/261328/i.html?_dcat=261328&amp;_fsrp=1&amp;rt=nc&amp;_from=R40&amp;_nkw=2024%20Topps%20MIKE%20TROUT%20%233%20All-Star%20Game%20Bonus%20Los%20Angeles%20Angels&amp;_sacat=0&amp;_sop=15&amp;rt=nc&amp;LH_BIN=1", "Active")</f>
        <v/>
      </c>
      <c r="J482" s="11">
        <f>HYPERLINK("https://www.ebay.com/sch/261328/i.html?_from=R40&amp;_nkw=2024%20Topps%20MIKE%20TROUT%20%233%20All-Star%20Game%20Bonus%20Los%20Angeles%20Angels&amp;_sacat=0&amp;LH_Sold=1&amp;LH_Complete=1&amp;_sop=13", "Completed")</f>
        <v/>
      </c>
      <c r="K482" s="11" t="inlineStr">
        <is>
          <t>2024 Topps Complete Set All-Star Game Bonus Mike Trout #3 Los Angeles Angels</t>
        </is>
      </c>
    </row>
    <row r="483">
      <c r="A483" s="2" t="inlineStr">
        <is>
          <t>BBB-000156-tsksq</t>
        </is>
      </c>
      <c r="B483" s="2" t="inlineStr">
        <is>
          <t>2024 Topps HUNTER BROWN #30 All-Star Game Houston Astros</t>
        </is>
      </c>
      <c r="C483" s="3" t="n">
        <v>3.49</v>
      </c>
      <c r="D483" s="3" t="n">
        <v>2.49</v>
      </c>
      <c r="E483" s="3" t="n">
        <v>-1</v>
      </c>
      <c r="F483" s="4" t="n">
        <v>-28.7</v>
      </c>
      <c r="G483" s="2" t="inlineStr">
        <is>
          <t>🔵 Floored $2.49 — free ship or $0.99 ship?</t>
        </is>
      </c>
      <c r="H483" s="2" t="inlineStr">
        <is>
          <t>63%</t>
        </is>
      </c>
      <c r="I483" s="2">
        <f>HYPERLINK("https://www.ebay.com/sch/261328/i.html?_dcat=261328&amp;_fsrp=1&amp;rt=nc&amp;_from=R40&amp;_nkw=2024%20Topps%20HUNTER%20BROWN%20%2330%20All-Star%20Game%20Houston%20Astros&amp;_sacat=0&amp;_sop=15&amp;rt=nc&amp;LH_BIN=1", "Active")</f>
        <v/>
      </c>
      <c r="J483" s="2">
        <f>HYPERLINK("https://www.ebay.com/sch/261328/i.html?_from=R40&amp;_nkw=2024%20Topps%20HUNTER%20BROWN%20%2330%20All-Star%20Game%20Houston%20Astros&amp;_sacat=0&amp;LH_Sold=1&amp;LH_Complete=1&amp;_sop=13", "Completed")</f>
        <v/>
      </c>
      <c r="K483" s="2" t="inlineStr">
        <is>
          <t>2024 Topps All Star Game ASG Foil Print #1-175 - Complete Your Set, You Pick</t>
        </is>
      </c>
    </row>
    <row r="484">
      <c r="A484" s="2" t="inlineStr">
        <is>
          <t>BBB-000155-tsksp</t>
        </is>
      </c>
      <c r="B484" s="2" t="inlineStr">
        <is>
          <t>2024 Topps MITCH KELLER #230 All-Star Game Pittsburgh Pirates</t>
        </is>
      </c>
      <c r="C484" s="3" t="n">
        <v>3.49</v>
      </c>
      <c r="D484" s="3" t="n">
        <v>2.49</v>
      </c>
      <c r="E484" s="3" t="n">
        <v>-1</v>
      </c>
      <c r="F484" s="4" t="n">
        <v>-28.7</v>
      </c>
      <c r="G484" s="2" t="inlineStr">
        <is>
          <t>🔵 Floored $2.49 — free ship or $0.99 ship?</t>
        </is>
      </c>
      <c r="H484" s="2" t="inlineStr">
        <is>
          <t>83%</t>
        </is>
      </c>
      <c r="I484" s="2">
        <f>HYPERLINK("https://www.ebay.com/sch/261328/i.html?_dcat=261328&amp;_fsrp=1&amp;rt=nc&amp;_from=R40&amp;_nkw=2024%20Topps%20MITCH%20KELLER%20%23230%20All-Star%20Game%20Pittsburgh%20Pirates&amp;_sacat=0&amp;_sop=15&amp;rt=nc&amp;LH_BIN=1", "Active")</f>
        <v/>
      </c>
      <c r="J484" s="2">
        <f>HYPERLINK("https://www.ebay.com/sch/261328/i.html?_from=R40&amp;_nkw=2024%20Topps%20MITCH%20KELLER%20%23230%20All-Star%20Game%20Pittsburgh%20Pirates&amp;_sacat=0&amp;LH_Sold=1&amp;LH_Complete=1&amp;_sop=13", "Completed")</f>
        <v/>
      </c>
      <c r="K484" s="2" t="inlineStr">
        <is>
          <t>2024 Topps All Star Game Parallel Pick Your Player Pittsburgh Pirates</t>
        </is>
      </c>
    </row>
    <row r="485">
      <c r="A485" s="2" t="inlineStr">
        <is>
          <t>BBB-000153-tsksn</t>
        </is>
      </c>
      <c r="B485" s="2" t="inlineStr">
        <is>
          <t>2024 Topps CURTIS MEAD #82 All-Star Game Tampa Bay Rays</t>
        </is>
      </c>
      <c r="C485" s="3" t="n">
        <v>2.99</v>
      </c>
      <c r="D485" s="3" t="n">
        <v>2.49</v>
      </c>
      <c r="E485" s="3" t="n">
        <v>-0.5</v>
      </c>
      <c r="F485" s="4" t="n">
        <v>-16.7</v>
      </c>
      <c r="G485" s="2" t="inlineStr">
        <is>
          <t>🔵 Floored $2.49 — free ship or $0.99 ship?</t>
        </is>
      </c>
      <c r="H485" s="2" t="inlineStr">
        <is>
          <t>63%</t>
        </is>
      </c>
      <c r="I485" s="2">
        <f>HYPERLINK("https://www.ebay.com/sch/261328/i.html?_dcat=261328&amp;_fsrp=1&amp;rt=nc&amp;_from=R40&amp;_nkw=2024%20Topps%20CURTIS%20MEAD%20%2382%20All-Star%20Game%20Tampa%20Bay%20Rays&amp;_sacat=0&amp;_sop=15&amp;rt=nc&amp;LH_BIN=1", "Active")</f>
        <v/>
      </c>
      <c r="J485" s="2">
        <f>HYPERLINK("https://www.ebay.com/sch/261328/i.html?_from=R40&amp;_nkw=2024%20Topps%20CURTIS%20MEAD%20%2382%20All-Star%20Game%20Tampa%20Bay%20Rays&amp;_sacat=0&amp;LH_Sold=1&amp;LH_Complete=1&amp;_sop=13", "Completed")</f>
        <v/>
      </c>
      <c r="K485" s="2" t="inlineStr">
        <is>
          <t>2024 Topps All Star Game ASG Foil Print #1-175 - Complete Your Set, You Pick</t>
        </is>
      </c>
    </row>
    <row r="486">
      <c r="A486" s="2" t="inlineStr">
        <is>
          <t>BBB-000154-tskso</t>
        </is>
      </c>
      <c r="B486" s="2" t="inlineStr">
        <is>
          <t>2024 Topps MATT MCLAIN #327 All-Star Game Cincinnati Reds</t>
        </is>
      </c>
      <c r="C486" s="3" t="n">
        <v>3.49</v>
      </c>
      <c r="D486" s="3" t="n">
        <v>2.49</v>
      </c>
      <c r="E486" s="3" t="n">
        <v>-1</v>
      </c>
      <c r="F486" s="4" t="n">
        <v>-28.7</v>
      </c>
      <c r="G486" s="2" t="inlineStr">
        <is>
          <t>🔵 Floored $2.49 — free ship or $0.99 ship?</t>
        </is>
      </c>
      <c r="H486" s="2" t="inlineStr">
        <is>
          <t>69%</t>
        </is>
      </c>
      <c r="I486" s="2">
        <f>HYPERLINK("https://www.ebay.com/sch/261328/i.html?_dcat=261328&amp;_fsrp=1&amp;rt=nc&amp;_from=R40&amp;_nkw=2024%20Topps%20MATT%20MCLAIN%20%23327%20All-Star%20Game%20Cincinnati%20Reds&amp;_sacat=0&amp;_sop=15&amp;rt=nc&amp;LH_BIN=1", "Active")</f>
        <v/>
      </c>
      <c r="J486" s="2">
        <f>HYPERLINK("https://www.ebay.com/sch/261328/i.html?_from=R40&amp;_nkw=2024%20Topps%20MATT%20MCLAIN%20%23327%20All-Star%20Game%20Cincinnati%20Reds&amp;_sacat=0&amp;LH_Sold=1&amp;LH_Complete=1&amp;_sop=13", "Completed")</f>
        <v/>
      </c>
      <c r="K486" s="2" t="inlineStr">
        <is>
          <t>2024 Topps All Star Game FOIL ASG # 327 Matt McLain All Star Rookie Cup Reds</t>
        </is>
      </c>
    </row>
    <row r="487">
      <c r="A487" s="2" t="inlineStr">
        <is>
          <t>BBB-000159-tskst</t>
        </is>
      </c>
      <c r="B487" s="2" t="inlineStr">
        <is>
          <t>2024 Topps LOGAN O'HOPPE #298 All-Star Game Los Angeles Angels</t>
        </is>
      </c>
      <c r="C487" s="3" t="n">
        <v>3.49</v>
      </c>
      <c r="D487" s="3" t="n">
        <v>2.49</v>
      </c>
      <c r="E487" s="3" t="n">
        <v>-1</v>
      </c>
      <c r="F487" s="4" t="n">
        <v>-28.7</v>
      </c>
      <c r="G487" s="2" t="inlineStr">
        <is>
          <t>🔵 Floored $2.49 — free ship or $0.99 ship?</t>
        </is>
      </c>
      <c r="H487" s="2" t="inlineStr">
        <is>
          <t>76%</t>
        </is>
      </c>
      <c r="I487" s="2">
        <f>HYPERLINK("https://www.ebay.com/sch/261328/i.html?_dcat=261328&amp;_fsrp=1&amp;rt=nc&amp;_from=R40&amp;_nkw=2024%20Topps%20LOGAN%20O'HOPPE%20%23298%20All-Star%20Game%20Los%20Angeles%20Angels&amp;_sacat=0&amp;_sop=15&amp;rt=nc&amp;LH_BIN=1", "Active")</f>
        <v/>
      </c>
      <c r="J487" s="2">
        <f>HYPERLINK("https://www.ebay.com/sch/261328/i.html?_from=R40&amp;_nkw=2024%20Topps%20LOGAN%20O'HOPPE%20%23298%20All-Star%20Game%20Los%20Angeles%20Angels&amp;_sacat=0&amp;LH_Sold=1&amp;LH_Complete=1&amp;_sop=13", "Completed")</f>
        <v/>
      </c>
      <c r="K487" s="2" t="inlineStr">
        <is>
          <t>#298 Logan O'Hoppe Los Angeles Angels 2024 Topps All-Star Game Foil Future Stars</t>
        </is>
      </c>
    </row>
    <row r="488">
      <c r="A488" s="2" t="inlineStr">
        <is>
          <t>BBB-000157-tsksr</t>
        </is>
      </c>
      <c r="B488" s="2" t="inlineStr">
        <is>
          <t>2024 Topps ANDREW BENINTENDI #306 All-Star Game Chicago White Sox</t>
        </is>
      </c>
      <c r="C488" s="3" t="n">
        <v>3.49</v>
      </c>
      <c r="D488" s="3" t="n">
        <v>2.49</v>
      </c>
      <c r="E488" s="3" t="n">
        <v>-1</v>
      </c>
      <c r="F488" s="4" t="n">
        <v>-28.7</v>
      </c>
      <c r="G488" s="2" t="inlineStr">
        <is>
          <t>🔵 Floored $2.49 — free ship or $0.99 ship?</t>
        </is>
      </c>
      <c r="H488" s="2" t="inlineStr">
        <is>
          <t>66%</t>
        </is>
      </c>
      <c r="I488" s="2">
        <f>HYPERLINK("https://www.ebay.com/sch/261328/i.html?_dcat=261328&amp;_fsrp=1&amp;rt=nc&amp;_from=R40&amp;_nkw=2024%20Topps%20ANDREW%20BENINTENDI%20%23306%20All-Star%20Game%20Chicago%20White%20Sox&amp;_sacat=0&amp;_sop=15&amp;rt=nc&amp;LH_BIN=1", "Active")</f>
        <v/>
      </c>
      <c r="J488" s="2">
        <f>HYPERLINK("https://www.ebay.com/sch/261328/i.html?_from=R40&amp;_nkw=2024%20Topps%20ANDREW%20BENINTENDI%20%23306%20All-Star%20Game%20Chicago%20White%20Sox&amp;_sacat=0&amp;LH_Sold=1&amp;LH_Complete=1&amp;_sop=13", "Completed")</f>
        <v/>
      </c>
      <c r="K488" s="2" t="inlineStr">
        <is>
          <t>2024 Topps All Star Game Parallel Pick Your Player Chicago White Sox</t>
        </is>
      </c>
    </row>
    <row r="489">
      <c r="A489" s="5" t="inlineStr">
        <is>
          <t>BBB-000158-tskss</t>
        </is>
      </c>
      <c r="B489" s="5" t="inlineStr">
        <is>
          <t>2024 Topps RANGER SUÁREZ #229 All-Star Game Philadelphia Phillies</t>
        </is>
      </c>
      <c r="C489" s="6" t="n">
        <v>1.99</v>
      </c>
      <c r="D489" s="6" t="n">
        <v>2.49</v>
      </c>
      <c r="E489" s="6" t="n">
        <v>0.5</v>
      </c>
      <c r="F489" s="7" t="n">
        <v>25.1</v>
      </c>
      <c r="G489" s="5" t="inlineStr">
        <is>
          <t>⬆ Price Up</t>
        </is>
      </c>
      <c r="H489" s="5" t="inlineStr">
        <is>
          <t>82%</t>
        </is>
      </c>
      <c r="I489" s="5">
        <f>HYPERLINK("https://www.ebay.com/sch/261328/i.html?_dcat=261328&amp;_fsrp=1&amp;rt=nc&amp;_from=R40&amp;_nkw=2024%20Topps%20RANGER%20SU%C3%81REZ%20%23229%20All-Star%20Game%20Philadelphia%20Phillies&amp;_sacat=0&amp;_sop=15&amp;rt=nc&amp;LH_BIN=1", "Active")</f>
        <v/>
      </c>
      <c r="J489" s="5">
        <f>HYPERLINK("https://www.ebay.com/sch/261328/i.html?_from=R40&amp;_nkw=2024%20Topps%20RANGER%20SU%C3%81REZ%20%23229%20All-Star%20Game%20Philadelphia%20Phillies&amp;_sacat=0&amp;LH_Sold=1&amp;LH_Complete=1&amp;_sop=13", "Completed")</f>
        <v/>
      </c>
      <c r="K489" s="5" t="inlineStr">
        <is>
          <t>2024 Topps All Star Game Parallel Pick Your Player Philadelphia Phillies</t>
        </is>
      </c>
    </row>
    <row r="490">
      <c r="A490" s="2" t="inlineStr">
        <is>
          <t>BBB-000161-tsksv</t>
        </is>
      </c>
      <c r="B490" s="2" t="inlineStr">
        <is>
          <t>2024 Topps SHEA LANGELIERS #278 All-Star Game Oakland Athletics</t>
        </is>
      </c>
      <c r="C490" s="3" t="n">
        <v>3.49</v>
      </c>
      <c r="D490" s="3" t="n">
        <v>2.49</v>
      </c>
      <c r="E490" s="3" t="n">
        <v>-1</v>
      </c>
      <c r="F490" s="4" t="n">
        <v>-28.7</v>
      </c>
      <c r="G490" s="2" t="inlineStr">
        <is>
          <t>🔵 Floored $2.49 — free ship or $0.99 ship?</t>
        </is>
      </c>
      <c r="H490" s="2" t="inlineStr">
        <is>
          <t>64%</t>
        </is>
      </c>
      <c r="I490" s="2">
        <f>HYPERLINK("https://www.ebay.com/sch/261328/i.html?_dcat=261328&amp;_fsrp=1&amp;rt=nc&amp;_from=R40&amp;_nkw=2024%20Topps%20SHEA%20LANGELIERS%20%23278%20All-Star%20Game%20Oakland%20Athletics&amp;_sacat=0&amp;_sop=15&amp;rt=nc&amp;LH_BIN=1", "Active")</f>
        <v/>
      </c>
      <c r="J490" s="2">
        <f>HYPERLINK("https://www.ebay.com/sch/261328/i.html?_from=R40&amp;_nkw=2024%20Topps%20SHEA%20LANGELIERS%20%23278%20All-Star%20Game%20Oakland%20Athletics&amp;_sacat=0&amp;LH_Sold=1&amp;LH_Complete=1&amp;_sop=13", "Completed")</f>
        <v/>
      </c>
      <c r="K490" s="2" t="inlineStr">
        <is>
          <t>2024 Topps All Star Game ASG Foil Print #176-350 - Complete Your Set, You Pick</t>
        </is>
      </c>
    </row>
    <row r="491">
      <c r="A491" s="2" t="inlineStr">
        <is>
          <t>BBB-000160-tsksu</t>
        </is>
      </c>
      <c r="B491" s="2" t="inlineStr">
        <is>
          <t>2024 Topps JAMESON TAILLON #182 All-Star Game Chicago Cubs</t>
        </is>
      </c>
      <c r="C491" s="3" t="n">
        <v>3.49</v>
      </c>
      <c r="D491" s="3" t="n">
        <v>2.49</v>
      </c>
      <c r="E491" s="3" t="n">
        <v>-1</v>
      </c>
      <c r="F491" s="4" t="n">
        <v>-28.7</v>
      </c>
      <c r="G491" s="2" t="inlineStr">
        <is>
          <t>🔵 Floored $2.49 — free ship or $0.99 ship?</t>
        </is>
      </c>
      <c r="H491" s="2" t="inlineStr">
        <is>
          <t>67%</t>
        </is>
      </c>
      <c r="I491" s="2">
        <f>HYPERLINK("https://www.ebay.com/sch/261328/i.html?_dcat=261328&amp;_fsrp=1&amp;rt=nc&amp;_from=R40&amp;_nkw=2024%20Topps%20JAMESON%20TAILLON%20%23182%20All-Star%20Game%20Chicago%20Cubs&amp;_sacat=0&amp;_sop=15&amp;rt=nc&amp;LH_BIN=1", "Active")</f>
        <v/>
      </c>
      <c r="J491" s="2">
        <f>HYPERLINK("https://www.ebay.com/sch/261328/i.html?_from=R40&amp;_nkw=2024%20Topps%20JAMESON%20TAILLON%20%23182%20All-Star%20Game%20Chicago%20Cubs&amp;_sacat=0&amp;LH_Sold=1&amp;LH_Complete=1&amp;_sop=13", "Completed")</f>
        <v/>
      </c>
      <c r="K491" s="2" t="inlineStr">
        <is>
          <t>2024 Topps All Star Game Parallel Pick Your Player Chicago Cubs</t>
        </is>
      </c>
    </row>
    <row r="492">
      <c r="A492" s="5" t="inlineStr">
        <is>
          <t>BBB-000162-tsksw</t>
        </is>
      </c>
      <c r="B492" s="5" t="inlineStr">
        <is>
          <t>2024 Topps ELITES of the Game: Ohtani and Betts Share a Hug Mid-Game #138 ASG</t>
        </is>
      </c>
      <c r="C492" s="6" t="n">
        <v>1.99</v>
      </c>
      <c r="D492" s="6" t="n">
        <v>2.89</v>
      </c>
      <c r="E492" s="6" t="n">
        <v>0.9</v>
      </c>
      <c r="F492" s="7" t="n">
        <v>45.2</v>
      </c>
      <c r="G492" s="5" t="inlineStr">
        <is>
          <t>⬆ Price Up</t>
        </is>
      </c>
      <c r="H492" s="5" t="inlineStr">
        <is>
          <t>100%</t>
        </is>
      </c>
      <c r="I492" s="5">
        <f>HYPERLINK("https://www.ebay.com/sch/261328/i.html?_dcat=261328&amp;_fsrp=1&amp;rt=nc&amp;_from=R40&amp;_nkw=2024%20Topps%20ELITES%20of%20the%20Game%3A%20Ohtani%20and%20Betts%20Share%20a%20Hug%20Mid-Game%20%23138%20ASG&amp;_sacat=0&amp;_sop=15&amp;rt=nc&amp;LH_BIN=1", "Active")</f>
        <v/>
      </c>
      <c r="J492" s="5">
        <f>HYPERLINK("https://www.ebay.com/sch/261328/i.html?_from=R40&amp;_nkw=2024%20Topps%20ELITES%20of%20the%20Game%3A%20Ohtani%20and%20Betts%20Share%20a%20Hug%20Mid-Game%20%23138%20ASG&amp;_sacat=0&amp;LH_Sold=1&amp;LH_Complete=1&amp;_sop=13", "Completed")</f>
        <v/>
      </c>
      <c r="K492" s="5" t="inlineStr">
        <is>
          <t>2024 Topps ELITES of the Game: Ohtani and Betts Share a Hug Mid-Game #138 ASG</t>
        </is>
      </c>
    </row>
    <row r="493">
      <c r="A493" s="2" t="inlineStr">
        <is>
          <t>BBB-000164-tsksy</t>
        </is>
      </c>
      <c r="B493" s="2" t="inlineStr">
        <is>
          <t>2024 Topps ROWDY TELLEZ #343 All-Star Game Milwaukee Brewers</t>
        </is>
      </c>
      <c r="C493" s="3" t="n">
        <v>3.49</v>
      </c>
      <c r="D493" s="3" t="n">
        <v>2.49</v>
      </c>
      <c r="E493" s="3" t="n">
        <v>-1</v>
      </c>
      <c r="F493" s="4" t="n">
        <v>-28.7</v>
      </c>
      <c r="G493" s="2" t="inlineStr">
        <is>
          <t>🔵 Floored $2.49 — free ship or $0.99 ship?</t>
        </is>
      </c>
      <c r="H493" s="2" t="inlineStr">
        <is>
          <t>70%</t>
        </is>
      </c>
      <c r="I493" s="2">
        <f>HYPERLINK("https://www.ebay.com/sch/261328/i.html?_dcat=261328&amp;_fsrp=1&amp;rt=nc&amp;_from=R40&amp;_nkw=2024%20Topps%20ROWDY%20TELLEZ%20%23343%20All-Star%20Game%20Milwaukee%20Brewers&amp;_sacat=0&amp;_sop=15&amp;rt=nc&amp;LH_BIN=1", "Active")</f>
        <v/>
      </c>
      <c r="J493" s="2">
        <f>HYPERLINK("https://www.ebay.com/sch/261328/i.html?_from=R40&amp;_nkw=2024%20Topps%20ROWDY%20TELLEZ%20%23343%20All-Star%20Game%20Milwaukee%20Brewers&amp;_sacat=0&amp;LH_Sold=1&amp;LH_Complete=1&amp;_sop=13", "Completed")</f>
        <v/>
      </c>
      <c r="K493" s="2" t="inlineStr">
        <is>
          <t>2024 Topps All Star Game Parallel Pick Your Player Milwaukee Brewers</t>
        </is>
      </c>
    </row>
    <row r="494">
      <c r="A494" s="2" t="inlineStr">
        <is>
          <t>BBB-000163-tsksx</t>
        </is>
      </c>
      <c r="B494" s="2" t="inlineStr">
        <is>
          <t>2024 Topps TARIK SKUBAL #294 All-Star Game Detroit Tigers</t>
        </is>
      </c>
      <c r="C494" s="3" t="n">
        <v>3.49</v>
      </c>
      <c r="D494" s="3" t="n">
        <v>2.49</v>
      </c>
      <c r="E494" s="3" t="n">
        <v>-1</v>
      </c>
      <c r="F494" s="4" t="n">
        <v>-28.7</v>
      </c>
      <c r="G494" s="2" t="inlineStr">
        <is>
          <t>🔵 Floored $2.49 — free ship or $0.99 ship?</t>
        </is>
      </c>
      <c r="H494" s="2" t="inlineStr">
        <is>
          <t>62%</t>
        </is>
      </c>
      <c r="I494" s="2">
        <f>HYPERLINK("https://www.ebay.com/sch/261328/i.html?_dcat=261328&amp;_fsrp=1&amp;rt=nc&amp;_from=R40&amp;_nkw=2024%20Topps%20TARIK%20SKUBAL%20%23294%20All-Star%20Game%20Detroit%20Tigers&amp;_sacat=0&amp;_sop=15&amp;rt=nc&amp;LH_BIN=1", "Active")</f>
        <v/>
      </c>
      <c r="J494" s="2">
        <f>HYPERLINK("https://www.ebay.com/sch/261328/i.html?_from=R40&amp;_nkw=2024%20Topps%20TARIK%20SKUBAL%20%23294%20All-Star%20Game%20Detroit%20Tigers&amp;_sacat=0&amp;LH_Sold=1&amp;LH_Complete=1&amp;_sop=13", "Completed")</f>
        <v/>
      </c>
      <c r="K494" s="2" t="inlineStr">
        <is>
          <t>2024 Topps All-Star Game Set Singles  251-500 - You Pick  - Complete Your Set</t>
        </is>
      </c>
    </row>
    <row r="495">
      <c r="A495" s="2" t="inlineStr">
        <is>
          <t>BBB-000165-tsksz</t>
        </is>
      </c>
      <c r="B495" s="2" t="inlineStr">
        <is>
          <t>2024 Topps JOE JACQUES #187 All-Star Game Boston Red Sox</t>
        </is>
      </c>
      <c r="C495" s="3" t="n">
        <v>3.49</v>
      </c>
      <c r="D495" s="3" t="n">
        <v>2.49</v>
      </c>
      <c r="E495" s="3" t="n">
        <v>-1</v>
      </c>
      <c r="F495" s="4" t="n">
        <v>-28.7</v>
      </c>
      <c r="G495" s="2" t="inlineStr">
        <is>
          <t>🔵 Floored $2.49 — free ship or $0.99 ship?</t>
        </is>
      </c>
      <c r="H495" s="2" t="inlineStr">
        <is>
          <t>65%</t>
        </is>
      </c>
      <c r="I495" s="2">
        <f>HYPERLINK("https://www.ebay.com/sch/261328/i.html?_dcat=261328&amp;_fsrp=1&amp;rt=nc&amp;_from=R40&amp;_nkw=2024%20Topps%20JOE%20JACQUES%20%23187%20All-Star%20Game%20Boston%20Red%20Sox&amp;_sacat=0&amp;_sop=15&amp;rt=nc&amp;LH_BIN=1", "Active")</f>
        <v/>
      </c>
      <c r="J495" s="2">
        <f>HYPERLINK("https://www.ebay.com/sch/261328/i.html?_from=R40&amp;_nkw=2024%20Topps%20JOE%20JACQUES%20%23187%20All-Star%20Game%20Boston%20Red%20Sox&amp;_sacat=0&amp;LH_Sold=1&amp;LH_Complete=1&amp;_sop=13", "Completed")</f>
        <v/>
      </c>
      <c r="K495" s="2" t="inlineStr">
        <is>
          <t>2024 Topps All Star Game ASG Foil Print #176-350 - Complete Your Set, You Pick</t>
        </is>
      </c>
    </row>
    <row r="496">
      <c r="A496" s="2" t="inlineStr">
        <is>
          <t>BBB-000166-tskt0</t>
        </is>
      </c>
      <c r="B496" s="2" t="inlineStr">
        <is>
          <t>2024 Topps LUIS CASTILLO #54 All-Star Game Seattle Mariners</t>
        </is>
      </c>
      <c r="C496" s="3" t="n">
        <v>3.49</v>
      </c>
      <c r="D496" s="3" t="n">
        <v>2.49</v>
      </c>
      <c r="E496" s="3" t="n">
        <v>-1</v>
      </c>
      <c r="F496" s="4" t="n">
        <v>-28.7</v>
      </c>
      <c r="G496" s="2" t="inlineStr">
        <is>
          <t>🔵 Floored $2.49 — free ship or $0.99 ship?</t>
        </is>
      </c>
      <c r="H496" s="2" t="inlineStr">
        <is>
          <t>68%</t>
        </is>
      </c>
      <c r="I496" s="2">
        <f>HYPERLINK("https://www.ebay.com/sch/261328/i.html?_dcat=261328&amp;_fsrp=1&amp;rt=nc&amp;_from=R40&amp;_nkw=2024%20Topps%20LUIS%20CASTILLO%20%2354%20All-Star%20Game%20Seattle%20Mariners&amp;_sacat=0&amp;_sop=15&amp;rt=nc&amp;LH_BIN=1", "Active")</f>
        <v/>
      </c>
      <c r="J496" s="2">
        <f>HYPERLINK("https://www.ebay.com/sch/261328/i.html?_from=R40&amp;_nkw=2024%20Topps%20LUIS%20CASTILLO%20%2354%20All-Star%20Game%20Seattle%20Mariners&amp;_sacat=0&amp;LH_Sold=1&amp;LH_Complete=1&amp;_sop=13", "Completed")</f>
        <v/>
      </c>
      <c r="K496" s="2" t="inlineStr">
        <is>
          <t>2024 Topps All Star Game ASG Foil Print #1-175 - Complete Your Set, You Pick</t>
        </is>
      </c>
    </row>
    <row r="497">
      <c r="A497" s="5" t="inlineStr">
        <is>
          <t>BBB-000167-tskt1</t>
        </is>
      </c>
      <c r="B497" s="5" t="inlineStr">
        <is>
          <t>2024 Topps ANDY IBÁÑEZ #25 All-Star Game Detroit Tigers</t>
        </is>
      </c>
      <c r="C497" s="6" t="n">
        <v>1.99</v>
      </c>
      <c r="D497" s="6" t="n">
        <v>2.49</v>
      </c>
      <c r="E497" s="6" t="n">
        <v>0.5</v>
      </c>
      <c r="F497" s="7" t="n">
        <v>25.1</v>
      </c>
      <c r="G497" s="5" t="inlineStr">
        <is>
          <t>⬆ Price Up</t>
        </is>
      </c>
      <c r="H497" s="5" t="inlineStr">
        <is>
          <t>67%</t>
        </is>
      </c>
      <c r="I497" s="5">
        <f>HYPERLINK("https://www.ebay.com/sch/261328/i.html?_dcat=261328&amp;_fsrp=1&amp;rt=nc&amp;_from=R40&amp;_nkw=2024%20Topps%20ANDY%20IB%C3%81%C3%91EZ%20%2325%20All-Star%20Game%20Detroit%20Tigers&amp;_sacat=0&amp;_sop=15&amp;rt=nc&amp;LH_BIN=1", "Active")</f>
        <v/>
      </c>
      <c r="J497" s="5">
        <f>HYPERLINK("https://www.ebay.com/sch/261328/i.html?_from=R40&amp;_nkw=2024%20Topps%20ANDY%20IB%C3%81%C3%91EZ%20%2325%20All-Star%20Game%20Detroit%20Tigers&amp;_sacat=0&amp;LH_Sold=1&amp;LH_Complete=1&amp;_sop=13", "Completed")</f>
        <v/>
      </c>
      <c r="K497" s="5" t="inlineStr">
        <is>
          <t>2024 Topps All Star Game Parallel Pick Your Player Detroit Tigers</t>
        </is>
      </c>
    </row>
    <row r="498">
      <c r="A498" s="5" t="inlineStr">
        <is>
          <t>BBB-000168-tskt2</t>
        </is>
      </c>
      <c r="B498" s="5" t="inlineStr">
        <is>
          <t>2024 Topps LUIS MATOS #28 All-Star Game San Francisco Giants Football</t>
        </is>
      </c>
      <c r="C498" s="6" t="n">
        <v>2.99</v>
      </c>
      <c r="D498" s="6" t="n">
        <v>3.89</v>
      </c>
      <c r="E498" s="6" t="n">
        <v>0.9</v>
      </c>
      <c r="F498" s="7" t="n">
        <v>30.1</v>
      </c>
      <c r="G498" s="5" t="inlineStr">
        <is>
          <t>⬆ Price Up</t>
        </is>
      </c>
      <c r="H498" s="5" t="inlineStr">
        <is>
          <t>100%</t>
        </is>
      </c>
      <c r="I498" s="5">
        <f>HYPERLINK("https://www.ebay.com/sch/261328/i.html?_dcat=261328&amp;_fsrp=1&amp;rt=nc&amp;_from=R40&amp;_nkw=2024%20Topps%20LUIS%20MATOS%20%2328%20All-Star%20Game%20San%20Francisco%20Giants%20Football&amp;_sacat=0&amp;_sop=15&amp;rt=nc&amp;LH_BIN=1", "Active")</f>
        <v/>
      </c>
      <c r="J498" s="5">
        <f>HYPERLINK("https://www.ebay.com/sch/261328/i.html?_from=R40&amp;_nkw=2024%20Topps%20LUIS%20MATOS%20%2328%20All-Star%20Game%20San%20Francisco%20Giants%20Football&amp;_sacat=0&amp;LH_Sold=1&amp;LH_Complete=1&amp;_sop=13", "Completed")</f>
        <v/>
      </c>
      <c r="K498" s="5" t="inlineStr">
        <is>
          <t>2024 Topps LUIS MATOS #28 All-Star Game San Francisco Giants Football</t>
        </is>
      </c>
    </row>
    <row r="499">
      <c r="A499" s="2" t="inlineStr">
        <is>
          <t>BBB-000169-tskt3</t>
        </is>
      </c>
      <c r="B499" s="2" t="inlineStr">
        <is>
          <t>2024 Topps VLADIMIR GUERRERO JR. #330 All-Star Game Toronto Blue Jays</t>
        </is>
      </c>
      <c r="C499" s="3" t="n">
        <v>3.49</v>
      </c>
      <c r="D499" s="3" t="n">
        <v>2.49</v>
      </c>
      <c r="E499" s="3" t="n">
        <v>-1</v>
      </c>
      <c r="F499" s="4" t="n">
        <v>-28.7</v>
      </c>
      <c r="G499" s="2" t="inlineStr">
        <is>
          <t>🔵 Floored $2.49 — free ship or $0.99 ship?</t>
        </is>
      </c>
      <c r="H499" s="2" t="inlineStr">
        <is>
          <t>85%</t>
        </is>
      </c>
      <c r="I499" s="2">
        <f>HYPERLINK("https://www.ebay.com/sch/261328/i.html?_dcat=261328&amp;_fsrp=1&amp;rt=nc&amp;_from=R40&amp;_nkw=2024%20Topps%20VLADIMIR%20GUERRERO%20JR.%20%23330%20All-Star%20Game%20Toronto%20Blue%20Jays&amp;_sacat=0&amp;_sop=15&amp;rt=nc&amp;LH_BIN=1", "Active")</f>
        <v/>
      </c>
      <c r="J499" s="2">
        <f>HYPERLINK("https://www.ebay.com/sch/261328/i.html?_from=R40&amp;_nkw=2024%20Topps%20VLADIMIR%20GUERRERO%20JR.%20%23330%20All-Star%20Game%20Toronto%20Blue%20Jays&amp;_sacat=0&amp;LH_Sold=1&amp;LH_Complete=1&amp;_sop=13", "Completed")</f>
        <v/>
      </c>
      <c r="K499" s="2" t="inlineStr">
        <is>
          <t>2024 Topps #330 Vladimir Guerrero Jr. All-Star Game</t>
        </is>
      </c>
    </row>
    <row r="500">
      <c r="A500" s="2" t="inlineStr">
        <is>
          <t>BBB-000172-tskt6</t>
        </is>
      </c>
      <c r="B500" s="2" t="inlineStr">
        <is>
          <t>2024 Topps SAMAD TAYLOR #32 All-Star Game Kansas City Royals</t>
        </is>
      </c>
      <c r="C500" s="3" t="n">
        <v>3.49</v>
      </c>
      <c r="D500" s="3" t="n">
        <v>2.49</v>
      </c>
      <c r="E500" s="3" t="n">
        <v>-1</v>
      </c>
      <c r="F500" s="4" t="n">
        <v>-28.7</v>
      </c>
      <c r="G500" s="2" t="inlineStr">
        <is>
          <t>🔵 Floored $2.49 — free ship or $0.99 ship?</t>
        </is>
      </c>
      <c r="H500" s="2" t="inlineStr">
        <is>
          <t>65%</t>
        </is>
      </c>
      <c r="I500" s="2">
        <f>HYPERLINK("https://www.ebay.com/sch/261328/i.html?_dcat=261328&amp;_fsrp=1&amp;rt=nc&amp;_from=R40&amp;_nkw=2024%20Topps%20SAMAD%20TAYLOR%20%2332%20All-Star%20Game%20Kansas%20City%20Royals&amp;_sacat=0&amp;_sop=15&amp;rt=nc&amp;LH_BIN=1", "Active")</f>
        <v/>
      </c>
      <c r="J500" s="2">
        <f>HYPERLINK("https://www.ebay.com/sch/261328/i.html?_from=R40&amp;_nkw=2024%20Topps%20SAMAD%20TAYLOR%20%2332%20All-Star%20Game%20Kansas%20City%20Royals&amp;_sacat=0&amp;LH_Sold=1&amp;LH_Complete=1&amp;_sop=13", "Completed")</f>
        <v/>
      </c>
      <c r="K500" s="2" t="inlineStr">
        <is>
          <t>2024 Topps All Star Game ASG Foil Print #1-175 - Complete Your Set, You Pick</t>
        </is>
      </c>
    </row>
    <row r="501">
      <c r="A501" s="2" t="inlineStr">
        <is>
          <t>BBB-000170-tskt4</t>
        </is>
      </c>
      <c r="B501" s="2" t="inlineStr">
        <is>
          <t>2024 Topps BRADY SINGER #173 All-Star Game Kansas City Royals</t>
        </is>
      </c>
      <c r="C501" s="3" t="n">
        <v>3.49</v>
      </c>
      <c r="D501" s="3" t="n">
        <v>2.49</v>
      </c>
      <c r="E501" s="3" t="n">
        <v>-1</v>
      </c>
      <c r="F501" s="4" t="n">
        <v>-28.7</v>
      </c>
      <c r="G501" s="2" t="inlineStr">
        <is>
          <t>🔵 Floored $2.49 — free ship or $0.99 ship?</t>
        </is>
      </c>
      <c r="H501" s="2" t="inlineStr">
        <is>
          <t>66%</t>
        </is>
      </c>
      <c r="I501" s="2">
        <f>HYPERLINK("https://www.ebay.com/sch/261328/i.html?_dcat=261328&amp;_fsrp=1&amp;rt=nc&amp;_from=R40&amp;_nkw=2024%20Topps%20BRADY%20SINGER%20%23173%20All-Star%20Game%20Kansas%20City%20Royals&amp;_sacat=0&amp;_sop=15&amp;rt=nc&amp;LH_BIN=1", "Active")</f>
        <v/>
      </c>
      <c r="J501" s="2">
        <f>HYPERLINK("https://www.ebay.com/sch/261328/i.html?_from=R40&amp;_nkw=2024%20Topps%20BRADY%20SINGER%20%23173%20All-Star%20Game%20Kansas%20City%20Royals&amp;_sacat=0&amp;LH_Sold=1&amp;LH_Complete=1&amp;_sop=13", "Completed")</f>
        <v/>
      </c>
      <c r="K501" s="2" t="inlineStr">
        <is>
          <t>2024 Topps All Star Game ASG Foil Print #1-175 - Complete Your Set, You Pick</t>
        </is>
      </c>
    </row>
    <row r="502">
      <c r="A502" s="5" t="inlineStr">
        <is>
          <t>BBB-000174-tskt8</t>
        </is>
      </c>
      <c r="B502" s="5" t="inlineStr">
        <is>
          <t>2024 Topps HAROLD RAMÍREZ #256 All-Star Game Tampa Bay Rays</t>
        </is>
      </c>
      <c r="C502" s="6" t="n">
        <v>1.99</v>
      </c>
      <c r="D502" s="6" t="n">
        <v>2.49</v>
      </c>
      <c r="E502" s="6" t="n">
        <v>0.5</v>
      </c>
      <c r="F502" s="7" t="n">
        <v>25.1</v>
      </c>
      <c r="G502" s="5" t="inlineStr">
        <is>
          <t>⬆ Price Up</t>
        </is>
      </c>
      <c r="H502" s="5" t="inlineStr">
        <is>
          <t>69%</t>
        </is>
      </c>
      <c r="I502" s="5">
        <f>HYPERLINK("https://www.ebay.com/sch/261328/i.html?_dcat=261328&amp;_fsrp=1&amp;rt=nc&amp;_from=R40&amp;_nkw=2024%20Topps%20HAROLD%20RAM%C3%8DREZ%20%23256%20All-Star%20Game%20Tampa%20Bay%20Rays&amp;_sacat=0&amp;_sop=15&amp;rt=nc&amp;LH_BIN=1", "Active")</f>
        <v/>
      </c>
      <c r="J502" s="5">
        <f>HYPERLINK("https://www.ebay.com/sch/261328/i.html?_from=R40&amp;_nkw=2024%20Topps%20HAROLD%20RAM%C3%8DREZ%20%23256%20All-Star%20Game%20Tampa%20Bay%20Rays&amp;_sacat=0&amp;LH_Sold=1&amp;LH_Complete=1&amp;_sop=13", "Completed")</f>
        <v/>
      </c>
      <c r="K502" s="5" t="inlineStr">
        <is>
          <t>2024 Topps All Star Game Parallel Pick Your Player Tamba Bay Rays</t>
        </is>
      </c>
    </row>
    <row r="503">
      <c r="A503" s="2" t="inlineStr">
        <is>
          <t>BBB-000171-tskt5</t>
        </is>
      </c>
      <c r="B503" s="2" t="inlineStr">
        <is>
          <t>2024 Topps TYLER GLASNOW #89 All-Star Game Tampa Bay Rays</t>
        </is>
      </c>
      <c r="C503" s="3" t="n">
        <v>3.49</v>
      </c>
      <c r="D503" s="3" t="n">
        <v>2.49</v>
      </c>
      <c r="E503" s="3" t="n">
        <v>-1</v>
      </c>
      <c r="F503" s="4" t="n">
        <v>-28.7</v>
      </c>
      <c r="G503" s="2" t="inlineStr">
        <is>
          <t>🔵 Floored $2.49 — free ship or $0.99 ship?</t>
        </is>
      </c>
      <c r="H503" s="2" t="inlineStr">
        <is>
          <t>66%</t>
        </is>
      </c>
      <c r="I503" s="2">
        <f>HYPERLINK("https://www.ebay.com/sch/261328/i.html?_dcat=261328&amp;_fsrp=1&amp;rt=nc&amp;_from=R40&amp;_nkw=2024%20Topps%20TYLER%20GLASNOW%20%2389%20All-Star%20Game%20Tampa%20Bay%20Rays&amp;_sacat=0&amp;_sop=15&amp;rt=nc&amp;LH_BIN=1", "Active")</f>
        <v/>
      </c>
      <c r="J503" s="2">
        <f>HYPERLINK("https://www.ebay.com/sch/261328/i.html?_from=R40&amp;_nkw=2024%20Topps%20TYLER%20GLASNOW%20%2389%20All-Star%20Game%20Tampa%20Bay%20Rays&amp;_sacat=0&amp;LH_Sold=1&amp;LH_Complete=1&amp;_sop=13", "Completed")</f>
        <v/>
      </c>
      <c r="K503" s="2" t="inlineStr">
        <is>
          <t>2024 Topps All Star Game ASG Foil Print #1-175 - Complete Your Set, You Pick</t>
        </is>
      </c>
    </row>
    <row r="504">
      <c r="A504" s="2" t="inlineStr">
        <is>
          <t>BBB-000175-tskt9</t>
        </is>
      </c>
      <c r="B504" s="2" t="inlineStr">
        <is>
          <t>2024 Topps GRANT HARTWIG #130 All-Star Game New York Mets</t>
        </is>
      </c>
      <c r="C504" s="3" t="n">
        <v>3.49</v>
      </c>
      <c r="D504" s="3" t="n">
        <v>2.49</v>
      </c>
      <c r="E504" s="3" t="n">
        <v>-1</v>
      </c>
      <c r="F504" s="4" t="n">
        <v>-28.7</v>
      </c>
      <c r="G504" s="2" t="inlineStr">
        <is>
          <t>🔵 Floored $2.49 — free ship or $0.99 ship?</t>
        </is>
      </c>
      <c r="H504" s="2" t="inlineStr">
        <is>
          <t>66%</t>
        </is>
      </c>
      <c r="I504" s="2">
        <f>HYPERLINK("https://www.ebay.com/sch/261328/i.html?_dcat=261328&amp;_fsrp=1&amp;rt=nc&amp;_from=R40&amp;_nkw=2024%20Topps%20GRANT%20HARTWIG%20%23130%20All-Star%20Game%20New%20York%20Mets&amp;_sacat=0&amp;_sop=15&amp;rt=nc&amp;LH_BIN=1", "Active")</f>
        <v/>
      </c>
      <c r="J504" s="2">
        <f>HYPERLINK("https://www.ebay.com/sch/261328/i.html?_from=R40&amp;_nkw=2024%20Topps%20GRANT%20HARTWIG%20%23130%20All-Star%20Game%20New%20York%20Mets&amp;_sacat=0&amp;LH_Sold=1&amp;LH_Complete=1&amp;_sop=13", "Completed")</f>
        <v/>
      </c>
      <c r="K504" s="2" t="inlineStr">
        <is>
          <t>2024 Topps All Star Game ASG Foil Print #1-175 - Complete Your Set, You Pick</t>
        </is>
      </c>
    </row>
    <row r="505">
      <c r="A505" s="5" t="inlineStr">
        <is>
          <t>BBB-000176-tskta</t>
        </is>
      </c>
      <c r="B505" s="5" t="inlineStr">
        <is>
          <t>2024 Topps JULIO RODRÍGUEZ #44 All-Star Game Seattle Mariners</t>
        </is>
      </c>
      <c r="C505" s="6" t="n">
        <v>1.99</v>
      </c>
      <c r="D505" s="6" t="n">
        <v>2.49</v>
      </c>
      <c r="E505" s="6" t="n">
        <v>0.5</v>
      </c>
      <c r="F505" s="7" t="n">
        <v>25.1</v>
      </c>
      <c r="G505" s="5" t="inlineStr">
        <is>
          <t>⬆ Price Up</t>
        </is>
      </c>
      <c r="H505" s="5" t="inlineStr">
        <is>
          <t>63%</t>
        </is>
      </c>
      <c r="I505" s="5">
        <f>HYPERLINK("https://www.ebay.com/sch/261328/i.html?_dcat=261328&amp;_fsrp=1&amp;rt=nc&amp;_from=R40&amp;_nkw=2024%20Topps%20JULIO%20RODR%C3%8DGUEZ%20%2344%20All-Star%20Game%20Seattle%20Mariners&amp;_sacat=0&amp;_sop=15&amp;rt=nc&amp;LH_BIN=1", "Active")</f>
        <v/>
      </c>
      <c r="J505" s="5">
        <f>HYPERLINK("https://www.ebay.com/sch/261328/i.html?_from=R40&amp;_nkw=2024%20Topps%20JULIO%20RODR%C3%8DGUEZ%20%2344%20All-Star%20Game%20Seattle%20Mariners&amp;_sacat=0&amp;LH_Sold=1&amp;LH_Complete=1&amp;_sop=13", "Completed")</f>
        <v/>
      </c>
      <c r="K505" s="5" t="inlineStr">
        <is>
          <t>40% off! 2025 Topps Update Series- All-Star Game Rainbow Foil ASG - YOU PICK FS</t>
        </is>
      </c>
    </row>
    <row r="506">
      <c r="A506" s="5" t="inlineStr">
        <is>
          <t>BBB-000177-tsktb</t>
        </is>
      </c>
      <c r="B506" s="5" t="inlineStr">
        <is>
          <t>2024 Topps MAURICIO DUBÓN #326 All-Star Game Houston Astros</t>
        </is>
      </c>
      <c r="C506" s="6" t="n">
        <v>1.99</v>
      </c>
      <c r="D506" s="6" t="n">
        <v>2.49</v>
      </c>
      <c r="E506" s="6" t="n">
        <v>0.5</v>
      </c>
      <c r="F506" s="7" t="n">
        <v>25.1</v>
      </c>
      <c r="G506" s="5" t="inlineStr">
        <is>
          <t>⬆ Price Up</t>
        </is>
      </c>
      <c r="H506" s="5" t="inlineStr">
        <is>
          <t>88%</t>
        </is>
      </c>
      <c r="I506" s="5">
        <f>HYPERLINK("https://www.ebay.com/sch/261328/i.html?_dcat=261328&amp;_fsrp=1&amp;rt=nc&amp;_from=R40&amp;_nkw=2024%20Topps%20MAURICIO%20DUB%C3%93N%20%23326%20All-Star%20Game%20Houston%20Astros&amp;_sacat=0&amp;_sop=15&amp;rt=nc&amp;LH_BIN=1", "Active")</f>
        <v/>
      </c>
      <c r="J506" s="5">
        <f>HYPERLINK("https://www.ebay.com/sch/261328/i.html?_from=R40&amp;_nkw=2024%20Topps%20MAURICIO%20DUB%C3%93N%20%23326%20All-Star%20Game%20Houston%20Astros&amp;_sacat=0&amp;LH_Sold=1&amp;LH_Complete=1&amp;_sop=13", "Completed")</f>
        <v/>
      </c>
      <c r="K506" s="5" t="inlineStr">
        <is>
          <t>2024 Topps #326 Mauricio Dubón All-Star Game Foil Houston Astros</t>
        </is>
      </c>
    </row>
    <row r="507">
      <c r="A507" s="2" t="inlineStr">
        <is>
          <t>BBB-000173-tskt7</t>
        </is>
      </c>
      <c r="B507" s="2" t="inlineStr">
        <is>
          <t>2024 Topps BRAD KELLER #140 All-Star Game Kansas City Royals</t>
        </is>
      </c>
      <c r="C507" s="3" t="n">
        <v>3.49</v>
      </c>
      <c r="D507" s="3" t="n">
        <v>2.49</v>
      </c>
      <c r="E507" s="3" t="n">
        <v>-1</v>
      </c>
      <c r="F507" s="4" t="n">
        <v>-28.7</v>
      </c>
      <c r="G507" s="2" t="inlineStr">
        <is>
          <t>🔵 Floored $2.49 — free ship or $0.99 ship?</t>
        </is>
      </c>
      <c r="H507" s="2" t="inlineStr">
        <is>
          <t>65%</t>
        </is>
      </c>
      <c r="I507" s="2">
        <f>HYPERLINK("https://www.ebay.com/sch/261328/i.html?_dcat=261328&amp;_fsrp=1&amp;rt=nc&amp;_from=R40&amp;_nkw=2024%20Topps%20BRAD%20KELLER%20%23140%20All-Star%20Game%20Kansas%20City%20Royals&amp;_sacat=0&amp;_sop=15&amp;rt=nc&amp;LH_BIN=1", "Active")</f>
        <v/>
      </c>
      <c r="J507" s="2">
        <f>HYPERLINK("https://www.ebay.com/sch/261328/i.html?_from=R40&amp;_nkw=2024%20Topps%20BRAD%20KELLER%20%23140%20All-Star%20Game%20Kansas%20City%20Royals&amp;_sacat=0&amp;LH_Sold=1&amp;LH_Complete=1&amp;_sop=13", "Completed")</f>
        <v/>
      </c>
      <c r="K507" s="2" t="inlineStr">
        <is>
          <t>2024 Topps All Star Game ASG Foil Print #1-175 - Complete Your Set, You Pick</t>
        </is>
      </c>
    </row>
    <row r="508">
      <c r="A508" s="2" t="inlineStr">
        <is>
          <t>BBB-000180-tskte</t>
        </is>
      </c>
      <c r="B508" s="2" t="inlineStr">
        <is>
          <t>2024 Topps DANSBY SWANSON #164 All-Star Game Chicago Cubs</t>
        </is>
      </c>
      <c r="C508" s="3" t="n">
        <v>3.49</v>
      </c>
      <c r="D508" s="3" t="n">
        <v>2.49</v>
      </c>
      <c r="E508" s="3" t="n">
        <v>-1</v>
      </c>
      <c r="F508" s="4" t="n">
        <v>-28.7</v>
      </c>
      <c r="G508" s="2" t="inlineStr">
        <is>
          <t>🔵 Floored $2.49 — free ship or $0.99 ship?</t>
        </is>
      </c>
      <c r="H508" s="2" t="inlineStr">
        <is>
          <t>84%</t>
        </is>
      </c>
      <c r="I508" s="2">
        <f>HYPERLINK("https://www.ebay.com/sch/261328/i.html?_dcat=261328&amp;_fsrp=1&amp;rt=nc&amp;_from=R40&amp;_nkw=2024%20Topps%20DANSBY%20SWANSON%20%23164%20All-Star%20Game%20Chicago%20Cubs&amp;_sacat=0&amp;_sop=15&amp;rt=nc&amp;LH_BIN=1", "Active")</f>
        <v/>
      </c>
      <c r="J508" s="2">
        <f>HYPERLINK("https://www.ebay.com/sch/261328/i.html?_from=R40&amp;_nkw=2024%20Topps%20DANSBY%20SWANSON%20%23164%20All-Star%20Game%20Chicago%20Cubs&amp;_sacat=0&amp;LH_Sold=1&amp;LH_Complete=1&amp;_sop=13", "Completed")</f>
        <v/>
      </c>
      <c r="K508" s="2" t="inlineStr">
        <is>
          <t>2024 Topps ASG All Star Game Foil # 164 Dansby Swanson Chicago Cubs Baseball</t>
        </is>
      </c>
    </row>
    <row r="509">
      <c r="A509" s="5" t="inlineStr">
        <is>
          <t>BBB-000178-tsktc</t>
        </is>
      </c>
      <c r="B509" s="5" t="inlineStr">
        <is>
          <t>2024 Topps BRENDAN DONOVAN #7 All-Star Game St. Louis Cardinals Football</t>
        </is>
      </c>
      <c r="C509" s="6" t="n">
        <v>2.99</v>
      </c>
      <c r="D509" s="6" t="n">
        <v>3.89</v>
      </c>
      <c r="E509" s="6" t="n">
        <v>0.9</v>
      </c>
      <c r="F509" s="7" t="n">
        <v>30.1</v>
      </c>
      <c r="G509" s="5" t="inlineStr">
        <is>
          <t>⬆ Price Up</t>
        </is>
      </c>
      <c r="H509" s="5" t="inlineStr">
        <is>
          <t>100%</t>
        </is>
      </c>
      <c r="I509" s="5">
        <f>HYPERLINK("https://www.ebay.com/sch/261328/i.html?_dcat=261328&amp;_fsrp=1&amp;rt=nc&amp;_from=R40&amp;_nkw=2024%20Topps%20BRENDAN%20DONOVAN%20%237%20All-Star%20Game%20St.%20Louis%20Cardinals%20Football&amp;_sacat=0&amp;_sop=15&amp;rt=nc&amp;LH_BIN=1", "Active")</f>
        <v/>
      </c>
      <c r="J509" s="5">
        <f>HYPERLINK("https://www.ebay.com/sch/261328/i.html?_from=R40&amp;_nkw=2024%20Topps%20BRENDAN%20DONOVAN%20%237%20All-Star%20Game%20St.%20Louis%20Cardinals%20Football&amp;_sacat=0&amp;LH_Sold=1&amp;LH_Complete=1&amp;_sop=13", "Completed")</f>
        <v/>
      </c>
      <c r="K509" s="5" t="inlineStr">
        <is>
          <t>2024 Topps BRENDAN DONOVAN #7 All-Star Game St. Louis Cardinals Football</t>
        </is>
      </c>
    </row>
    <row r="510">
      <c r="A510" s="2" t="inlineStr">
        <is>
          <t>BBB-000181-tsktf</t>
        </is>
      </c>
      <c r="B510" s="2" t="inlineStr">
        <is>
          <t>2024 Topps NESTOR CORTES JR. #51 All-Star Game New York Yankees</t>
        </is>
      </c>
      <c r="C510" s="3" t="n">
        <v>3.49</v>
      </c>
      <c r="D510" s="3" t="n">
        <v>2.49</v>
      </c>
      <c r="E510" s="3" t="n">
        <v>-1</v>
      </c>
      <c r="F510" s="4" t="n">
        <v>-28.7</v>
      </c>
      <c r="G510" s="2" t="inlineStr">
        <is>
          <t>🔵 Floored $2.49 — free ship or $0.99 ship?</t>
        </is>
      </c>
      <c r="H510" s="2" t="inlineStr">
        <is>
          <t>86%</t>
        </is>
      </c>
      <c r="I510" s="2">
        <f>HYPERLINK("https://www.ebay.com/sch/261328/i.html?_dcat=261328&amp;_fsrp=1&amp;rt=nc&amp;_from=R40&amp;_nkw=2024%20Topps%20NESTOR%20CORTES%20JR.%20%2351%20All-Star%20Game%20New%20York%20Yankees&amp;_sacat=0&amp;_sop=15&amp;rt=nc&amp;LH_BIN=1", "Active")</f>
        <v/>
      </c>
      <c r="J510" s="2">
        <f>HYPERLINK("https://www.ebay.com/sch/261328/i.html?_from=R40&amp;_nkw=2024%20Topps%20NESTOR%20CORTES%20JR.%20%2351%20All-Star%20Game%20New%20York%20Yankees&amp;_sacat=0&amp;LH_Sold=1&amp;LH_Complete=1&amp;_sop=13", "Completed")</f>
        <v/>
      </c>
      <c r="K510" s="2" t="inlineStr">
        <is>
          <t>2024 Topps ASG All Star Game Foil # 51 Nestor Cortes Jr New York Yankees</t>
        </is>
      </c>
    </row>
    <row r="511">
      <c r="A511" s="2" t="inlineStr">
        <is>
          <t>BBB-000179-tsktd</t>
        </is>
      </c>
      <c r="B511" s="2" t="inlineStr">
        <is>
          <t>2024 Topps NICK ROBERTSON #13 All-Star Game Boston Red Sox</t>
        </is>
      </c>
      <c r="C511" s="3" t="n">
        <v>3.49</v>
      </c>
      <c r="D511" s="3" t="n">
        <v>2.49</v>
      </c>
      <c r="E511" s="3" t="n">
        <v>-1</v>
      </c>
      <c r="F511" s="4" t="n">
        <v>-28.7</v>
      </c>
      <c r="G511" s="2" t="inlineStr">
        <is>
          <t>🔵 Floored $2.49 — free ship or $0.99 ship?</t>
        </is>
      </c>
      <c r="H511" s="2" t="inlineStr">
        <is>
          <t>64%</t>
        </is>
      </c>
      <c r="I511" s="2">
        <f>HYPERLINK("https://www.ebay.com/sch/261328/i.html?_dcat=261328&amp;_fsrp=1&amp;rt=nc&amp;_from=R40&amp;_nkw=2024%20Topps%20NICK%20ROBERTSON%20%2313%20All-Star%20Game%20Boston%20Red%20Sox&amp;_sacat=0&amp;_sop=15&amp;rt=nc&amp;LH_BIN=1", "Active")</f>
        <v/>
      </c>
      <c r="J511" s="2">
        <f>HYPERLINK("https://www.ebay.com/sch/261328/i.html?_from=R40&amp;_nkw=2024%20Topps%20NICK%20ROBERTSON%20%2313%20All-Star%20Game%20Boston%20Red%20Sox&amp;_sacat=0&amp;LH_Sold=1&amp;LH_Complete=1&amp;_sop=13", "Completed")</f>
        <v/>
      </c>
      <c r="K511" s="2" t="inlineStr">
        <is>
          <t>2024 Topps All Star Game ASG Foil Print #1-175 - Complete Your Set, You Pick</t>
        </is>
      </c>
    </row>
    <row r="512">
      <c r="A512" s="5" t="inlineStr">
        <is>
          <t>BBB-000182-tsktg</t>
        </is>
      </c>
      <c r="B512" s="5" t="inlineStr">
        <is>
          <t>2024 Topps National League LEADERS WINS (SPENCER STRIDER/GALLEN/STEELE) #309 ASG</t>
        </is>
      </c>
      <c r="C512" s="6" t="n">
        <v>1.99</v>
      </c>
      <c r="D512" s="6" t="n">
        <v>2.89</v>
      </c>
      <c r="E512" s="6" t="n">
        <v>0.9</v>
      </c>
      <c r="F512" s="7" t="n">
        <v>45.2</v>
      </c>
      <c r="G512" s="5" t="inlineStr">
        <is>
          <t>⬆ Price Up</t>
        </is>
      </c>
      <c r="H512" s="5" t="inlineStr">
        <is>
          <t>100%</t>
        </is>
      </c>
      <c r="I512" s="5">
        <f>HYPERLINK("https://www.ebay.com/sch/261328/i.html?_dcat=261328&amp;_fsrp=1&amp;rt=nc&amp;_from=R40&amp;_nkw=2024%20Topps%20National%20League%20LEADERS%20WINS%20(SPENCER%20STRIDER%2FGALLEN%2FSTEELE)%20%23309%20ASG&amp;_sacat=0&amp;_sop=15&amp;rt=nc&amp;LH_BIN=1", "Active")</f>
        <v/>
      </c>
      <c r="J512" s="5">
        <f>HYPERLINK("https://www.ebay.com/sch/261328/i.html?_from=R40&amp;_nkw=2024%20Topps%20National%20League%20LEADERS%20WINS%20(SPENCER%20STRIDER%2FGALLEN%2FSTEELE)%20%23309%20ASG&amp;_sacat=0&amp;LH_Sold=1&amp;LH_Complete=1&amp;_sop=13", "Completed")</f>
        <v/>
      </c>
      <c r="K512" s="5" t="inlineStr">
        <is>
          <t>2024 Topps National League LEADERS WINS (SPENCER STRIDER/GALLEN/STEELE) #309 ASG</t>
        </is>
      </c>
    </row>
    <row r="513">
      <c r="A513" s="2" t="inlineStr">
        <is>
          <t>BBB-000183-tskth</t>
        </is>
      </c>
      <c r="B513" s="2" t="inlineStr">
        <is>
          <t>2024 Topps SAN DIEGO PADRES #2 All-Star Game San Diego Padres</t>
        </is>
      </c>
      <c r="C513" s="3" t="n">
        <v>2.99</v>
      </c>
      <c r="D513" s="3" t="n">
        <v>2.49</v>
      </c>
      <c r="E513" s="3" t="n">
        <v>-0.5</v>
      </c>
      <c r="F513" s="4" t="n">
        <v>-16.7</v>
      </c>
      <c r="G513" s="2" t="inlineStr">
        <is>
          <t>🔵 Floored $2.49 — free ship or $0.99 ship?</t>
        </is>
      </c>
      <c r="H513" s="2" t="inlineStr">
        <is>
          <t>84%</t>
        </is>
      </c>
      <c r="I513" s="2">
        <f>HYPERLINK("https://www.ebay.com/sch/261328/i.html?_dcat=261328&amp;_fsrp=1&amp;rt=nc&amp;_from=R40&amp;_nkw=2024%20Topps%20SAN%20DIEGO%20PADRES%20%232%20All-Star%20Game%20San%20Diego%20Padres&amp;_sacat=0&amp;_sop=15&amp;rt=nc&amp;LH_BIN=1", "Active")</f>
        <v/>
      </c>
      <c r="J513" s="2">
        <f>HYPERLINK("https://www.ebay.com/sch/261328/i.html?_from=R40&amp;_nkw=2024%20Topps%20SAN%20DIEGO%20PADRES%20%232%20All-Star%20Game%20San%20Diego%20Padres&amp;_sacat=0&amp;LH_Sold=1&amp;LH_Complete=1&amp;_sop=13", "Completed")</f>
        <v/>
      </c>
      <c r="K513" s="2" t="inlineStr">
        <is>
          <t>2024 Topps Update Series All Star Game-2 CARD ORDER MIN</t>
        </is>
      </c>
    </row>
    <row r="514">
      <c r="A514" s="2" t="inlineStr">
        <is>
          <t>BBB-000184-tskti</t>
        </is>
      </c>
      <c r="B514" s="2" t="inlineStr">
        <is>
          <t>2024 Topps HAYDEN WESNESKI #337 All-Star Game Chicago Cubs</t>
        </is>
      </c>
      <c r="C514" s="3" t="n">
        <v>3.49</v>
      </c>
      <c r="D514" s="3" t="n">
        <v>2.49</v>
      </c>
      <c r="E514" s="3" t="n">
        <v>-1</v>
      </c>
      <c r="F514" s="4" t="n">
        <v>-28.7</v>
      </c>
      <c r="G514" s="2" t="inlineStr">
        <is>
          <t>🔵 Floored $2.49 — free ship or $0.99 ship?</t>
        </is>
      </c>
      <c r="H514" s="2" t="inlineStr">
        <is>
          <t>66%</t>
        </is>
      </c>
      <c r="I514" s="2">
        <f>HYPERLINK("https://www.ebay.com/sch/261328/i.html?_dcat=261328&amp;_fsrp=1&amp;rt=nc&amp;_from=R40&amp;_nkw=2024%20Topps%20HAYDEN%20WESNESKI%20%23337%20All-Star%20Game%20Chicago%20Cubs&amp;_sacat=0&amp;_sop=15&amp;rt=nc&amp;LH_BIN=1", "Active")</f>
        <v/>
      </c>
      <c r="J514" s="2">
        <f>HYPERLINK("https://www.ebay.com/sch/261328/i.html?_from=R40&amp;_nkw=2024%20Topps%20HAYDEN%20WESNESKI%20%23337%20All-Star%20Game%20Chicago%20Cubs&amp;_sacat=0&amp;LH_Sold=1&amp;LH_Complete=1&amp;_sop=13", "Completed")</f>
        <v/>
      </c>
      <c r="K514" s="2" t="inlineStr">
        <is>
          <t>2024 Topps All Star Game Parallel Pick Your Player Chicago Cubs</t>
        </is>
      </c>
    </row>
    <row r="515">
      <c r="A515" s="5" t="inlineStr">
        <is>
          <t>BBB-000185-tsktj</t>
        </is>
      </c>
      <c r="B515" s="5" t="inlineStr">
        <is>
          <t>2024 Topps CAMILO DOVAL #213 All-Star Game San Francisco Giants Football</t>
        </is>
      </c>
      <c r="C515" s="6" t="n">
        <v>2.99</v>
      </c>
      <c r="D515" s="6" t="n">
        <v>3.89</v>
      </c>
      <c r="E515" s="6" t="n">
        <v>0.9</v>
      </c>
      <c r="F515" s="7" t="n">
        <v>30.1</v>
      </c>
      <c r="G515" s="5" t="inlineStr">
        <is>
          <t>⬆ Price Up</t>
        </is>
      </c>
      <c r="H515" s="5" t="inlineStr">
        <is>
          <t>100%</t>
        </is>
      </c>
      <c r="I515" s="5">
        <f>HYPERLINK("https://www.ebay.com/sch/261328/i.html?_dcat=261328&amp;_fsrp=1&amp;rt=nc&amp;_from=R40&amp;_nkw=2024%20Topps%20CAMILO%20DOVAL%20%23213%20All-Star%20Game%20San%20Francisco%20Giants%20Football&amp;_sacat=0&amp;_sop=15&amp;rt=nc&amp;LH_BIN=1", "Active")</f>
        <v/>
      </c>
      <c r="J515" s="5">
        <f>HYPERLINK("https://www.ebay.com/sch/261328/i.html?_from=R40&amp;_nkw=2024%20Topps%20CAMILO%20DOVAL%20%23213%20All-Star%20Game%20San%20Francisco%20Giants%20Football&amp;_sacat=0&amp;LH_Sold=1&amp;LH_Complete=1&amp;_sop=13", "Completed")</f>
        <v/>
      </c>
      <c r="K515" s="5" t="inlineStr">
        <is>
          <t>2024 Topps CAMILO DOVAL #213 All-Star Game San Francisco Giants Football</t>
        </is>
      </c>
    </row>
    <row r="516">
      <c r="A516" s="2" t="inlineStr">
        <is>
          <t>BBB-000186-tsktk</t>
        </is>
      </c>
      <c r="B516" s="2" t="inlineStr">
        <is>
          <t>2024 Topps RYAN PRESSLY #331 All-Star Game Houston Astros</t>
        </is>
      </c>
      <c r="C516" s="3" t="n">
        <v>3.49</v>
      </c>
      <c r="D516" s="3" t="n">
        <v>2.49</v>
      </c>
      <c r="E516" s="3" t="n">
        <v>-1</v>
      </c>
      <c r="F516" s="4" t="n">
        <v>-28.7</v>
      </c>
      <c r="G516" s="2" t="inlineStr">
        <is>
          <t>🔵 Floored $2.49 — free ship or $0.99 ship?</t>
        </is>
      </c>
      <c r="H516" s="2" t="inlineStr">
        <is>
          <t>65%</t>
        </is>
      </c>
      <c r="I516" s="2">
        <f>HYPERLINK("https://www.ebay.com/sch/261328/i.html?_dcat=261328&amp;_fsrp=1&amp;rt=nc&amp;_from=R40&amp;_nkw=2024%20Topps%20RYAN%20PRESSLY%20%23331%20All-Star%20Game%20Houston%20Astros&amp;_sacat=0&amp;_sop=15&amp;rt=nc&amp;LH_BIN=1", "Active")</f>
        <v/>
      </c>
      <c r="J516" s="2">
        <f>HYPERLINK("https://www.ebay.com/sch/261328/i.html?_from=R40&amp;_nkw=2024%20Topps%20RYAN%20PRESSLY%20%23331%20All-Star%20Game%20Houston%20Astros&amp;_sacat=0&amp;LH_Sold=1&amp;LH_Complete=1&amp;_sop=13", "Completed")</f>
        <v/>
      </c>
      <c r="K516" s="2" t="inlineStr">
        <is>
          <t>2024 Topps All Star Game ASG Foil Print #176-350 - Complete Your Set, You Pick</t>
        </is>
      </c>
    </row>
    <row r="517">
      <c r="A517" s="2" t="inlineStr">
        <is>
          <t>BBB-000187-tsktl</t>
        </is>
      </c>
      <c r="B517" s="2" t="inlineStr">
        <is>
          <t>2024 Topps MIGUEL CABRERA #201 All-Star Game Detroit Tigers</t>
        </is>
      </c>
      <c r="C517" s="3" t="n">
        <v>3.49</v>
      </c>
      <c r="D517" s="3" t="n">
        <v>2.49</v>
      </c>
      <c r="E517" s="3" t="n">
        <v>-1</v>
      </c>
      <c r="F517" s="4" t="n">
        <v>-28.7</v>
      </c>
      <c r="G517" s="2" t="inlineStr">
        <is>
          <t>🔵 Floored $2.49 — free ship or $0.99 ship?</t>
        </is>
      </c>
      <c r="H517" s="2" t="inlineStr">
        <is>
          <t>83%</t>
        </is>
      </c>
      <c r="I517" s="2">
        <f>HYPERLINK("https://www.ebay.com/sch/261328/i.html?_dcat=261328&amp;_fsrp=1&amp;rt=nc&amp;_from=R40&amp;_nkw=2024%20Topps%20MIGUEL%20CABRERA%20%23201%20All-Star%20Game%20Detroit%20Tigers&amp;_sacat=0&amp;_sop=15&amp;rt=nc&amp;LH_BIN=1", "Active")</f>
        <v/>
      </c>
      <c r="J517" s="2">
        <f>HYPERLINK("https://www.ebay.com/sch/261328/i.html?_from=R40&amp;_nkw=2024%20Topps%20MIGUEL%20CABRERA%20%23201%20All-Star%20Game%20Detroit%20Tigers&amp;_sacat=0&amp;LH_Sold=1&amp;LH_Complete=1&amp;_sop=13", "Completed")</f>
        <v/>
      </c>
      <c r="K517" s="2" t="inlineStr">
        <is>
          <t>2024 Topps All Star Game Parallel Pick Your Player Detroit Tigers</t>
        </is>
      </c>
    </row>
    <row r="518">
      <c r="A518" s="2" t="inlineStr">
        <is>
          <t>BBB-000188-tsktm</t>
        </is>
      </c>
      <c r="B518" s="2" t="inlineStr">
        <is>
          <t>2024 Topps BRYAN WOO #12 All-Star Game Seattle Mariners</t>
        </is>
      </c>
      <c r="C518" s="3" t="n">
        <v>3.49</v>
      </c>
      <c r="D518" s="3" t="n">
        <v>2.49</v>
      </c>
      <c r="E518" s="3" t="n">
        <v>-1</v>
      </c>
      <c r="F518" s="4" t="n">
        <v>-28.7</v>
      </c>
      <c r="G518" s="2" t="inlineStr">
        <is>
          <t>🔵 Floored $2.49 — free ship or $0.99 ship?</t>
        </is>
      </c>
      <c r="H518" s="2" t="inlineStr">
        <is>
          <t>87%</t>
        </is>
      </c>
      <c r="I518" s="2">
        <f>HYPERLINK("https://www.ebay.com/sch/261328/i.html?_dcat=261328&amp;_fsrp=1&amp;rt=nc&amp;_from=R40&amp;_nkw=2024%20Topps%20BRYAN%20WOO%20%2312%20All-Star%20Game%20Seattle%20Mariners&amp;_sacat=0&amp;_sop=15&amp;rt=nc&amp;LH_BIN=1", "Active")</f>
        <v/>
      </c>
      <c r="J518" s="2">
        <f>HYPERLINK("https://www.ebay.com/sch/261328/i.html?_from=R40&amp;_nkw=2024%20Topps%20BRYAN%20WOO%20%2312%20All-Star%20Game%20Seattle%20Mariners&amp;_sacat=0&amp;LH_Sold=1&amp;LH_Complete=1&amp;_sop=13", "Completed")</f>
        <v/>
      </c>
      <c r="K518" s="2" t="inlineStr">
        <is>
          <t>2024 Topps Bryan Woo #12 All-Star Game Foil RC Seattle Mariners</t>
        </is>
      </c>
    </row>
    <row r="519">
      <c r="A519" s="2" t="inlineStr">
        <is>
          <t>BBB-000189-tsktn</t>
        </is>
      </c>
      <c r="B519" s="2" t="inlineStr">
        <is>
          <t>2024 Topps SETH LUGO #291 All-Star Game San Diego Padres</t>
        </is>
      </c>
      <c r="C519" s="3" t="n">
        <v>3.49</v>
      </c>
      <c r="D519" s="3" t="n">
        <v>2.49</v>
      </c>
      <c r="E519" s="3" t="n">
        <v>-1</v>
      </c>
      <c r="F519" s="4" t="n">
        <v>-28.7</v>
      </c>
      <c r="G519" s="2" t="inlineStr">
        <is>
          <t>🔵 Floored $2.49 — free ship or $0.99 ship?</t>
        </is>
      </c>
      <c r="H519" s="2" t="inlineStr">
        <is>
          <t>86%</t>
        </is>
      </c>
      <c r="I519" s="2">
        <f>HYPERLINK("https://www.ebay.com/sch/261328/i.html?_dcat=261328&amp;_fsrp=1&amp;rt=nc&amp;_from=R40&amp;_nkw=2024%20Topps%20SETH%20LUGO%20%23291%20All-Star%20Game%20San%20Diego%20Padres&amp;_sacat=0&amp;_sop=15&amp;rt=nc&amp;LH_BIN=1", "Active")</f>
        <v/>
      </c>
      <c r="J519" s="2">
        <f>HYPERLINK("https://www.ebay.com/sch/261328/i.html?_from=R40&amp;_nkw=2024%20Topps%20SETH%20LUGO%20%23291%20All-Star%20Game%20San%20Diego%20Padres&amp;_sacat=0&amp;LH_Sold=1&amp;LH_Complete=1&amp;_sop=13", "Completed")</f>
        <v/>
      </c>
      <c r="K519" s="2" t="inlineStr">
        <is>
          <t>2024 Topps ASG All Star Game Foil # 291 Seth Lugo San Diego Padres</t>
        </is>
      </c>
    </row>
    <row r="520">
      <c r="A520" s="2" t="inlineStr">
        <is>
          <t>BBB-000191-tsktp</t>
        </is>
      </c>
      <c r="B520" s="2" t="inlineStr">
        <is>
          <t>2024 Topps GREGORY SANTOS #276 All-Star Game Chicago White Sox</t>
        </is>
      </c>
      <c r="C520" s="3" t="n">
        <v>3.49</v>
      </c>
      <c r="D520" s="3" t="n">
        <v>2.49</v>
      </c>
      <c r="E520" s="3" t="n">
        <v>-1</v>
      </c>
      <c r="F520" s="4" t="n">
        <v>-28.7</v>
      </c>
      <c r="G520" s="2" t="inlineStr">
        <is>
          <t>🔵 Floored $2.49 — free ship or $0.99 ship?</t>
        </is>
      </c>
      <c r="H520" s="2" t="inlineStr">
        <is>
          <t>68%</t>
        </is>
      </c>
      <c r="I520" s="2">
        <f>HYPERLINK("https://www.ebay.com/sch/261328/i.html?_dcat=261328&amp;_fsrp=1&amp;rt=nc&amp;_from=R40&amp;_nkw=2024%20Topps%20GREGORY%20SANTOS%20%23276%20All-Star%20Game%20Chicago%20White%20Sox&amp;_sacat=0&amp;_sop=15&amp;rt=nc&amp;LH_BIN=1", "Active")</f>
        <v/>
      </c>
      <c r="J520" s="2">
        <f>HYPERLINK("https://www.ebay.com/sch/261328/i.html?_from=R40&amp;_nkw=2024%20Topps%20GREGORY%20SANTOS%20%23276%20All-Star%20Game%20Chicago%20White%20Sox&amp;_sacat=0&amp;LH_Sold=1&amp;LH_Complete=1&amp;_sop=13", "Completed")</f>
        <v/>
      </c>
      <c r="K520" s="2" t="inlineStr">
        <is>
          <t>2024 Topps All Star Game Parallel Pick Your Player Chicago White Sox</t>
        </is>
      </c>
    </row>
    <row r="521">
      <c r="A521" s="2" t="inlineStr">
        <is>
          <t>BBB-000192-tsktq</t>
        </is>
      </c>
      <c r="B521" s="2" t="inlineStr">
        <is>
          <t>2024 Topps JP SEARS #80 All-Star Game Oakland Athletics</t>
        </is>
      </c>
      <c r="C521" s="3" t="n">
        <v>3.49</v>
      </c>
      <c r="D521" s="3" t="n">
        <v>2.49</v>
      </c>
      <c r="E521" s="3" t="n">
        <v>-1</v>
      </c>
      <c r="F521" s="4" t="n">
        <v>-28.7</v>
      </c>
      <c r="G521" s="2" t="inlineStr">
        <is>
          <t>🔵 Floored $2.49 — free ship or $0.99 ship?</t>
        </is>
      </c>
      <c r="H521" s="2" t="inlineStr">
        <is>
          <t>65%</t>
        </is>
      </c>
      <c r="I521" s="2">
        <f>HYPERLINK("https://www.ebay.com/sch/261328/i.html?_dcat=261328&amp;_fsrp=1&amp;rt=nc&amp;_from=R40&amp;_nkw=2024%20Topps%20JP%20SEARS%20%2380%20All-Star%20Game%20Oakland%20Athletics&amp;_sacat=0&amp;_sop=15&amp;rt=nc&amp;LH_BIN=1", "Active")</f>
        <v/>
      </c>
      <c r="J521" s="2">
        <f>HYPERLINK("https://www.ebay.com/sch/261328/i.html?_from=R40&amp;_nkw=2024%20Topps%20JP%20SEARS%20%2380%20All-Star%20Game%20Oakland%20Athletics&amp;_sacat=0&amp;LH_Sold=1&amp;LH_Complete=1&amp;_sop=13", "Completed")</f>
        <v/>
      </c>
      <c r="K521" s="2" t="inlineStr">
        <is>
          <t>2024 Topps All Star Game ASG Foil Print #1-175 - Complete Your Set, You Pick</t>
        </is>
      </c>
    </row>
    <row r="522">
      <c r="A522" s="2" t="inlineStr">
        <is>
          <t>BBB-000190-tskto</t>
        </is>
      </c>
      <c r="B522" s="2" t="inlineStr">
        <is>
          <t>2024 Topps BRENDAN RODGERS #322 All-Star Game Colorado Rockies</t>
        </is>
      </c>
      <c r="C522" s="3" t="n">
        <v>3.49</v>
      </c>
      <c r="D522" s="3" t="n">
        <v>2.49</v>
      </c>
      <c r="E522" s="3" t="n">
        <v>-1</v>
      </c>
      <c r="F522" s="4" t="n">
        <v>-28.7</v>
      </c>
      <c r="G522" s="2" t="inlineStr">
        <is>
          <t>🔵 Floored $2.49 — free ship or $0.99 ship?</t>
        </is>
      </c>
      <c r="H522" s="2" t="inlineStr">
        <is>
          <t>73%</t>
        </is>
      </c>
      <c r="I522" s="2">
        <f>HYPERLINK("https://www.ebay.com/sch/261328/i.html?_dcat=261328&amp;_fsrp=1&amp;rt=nc&amp;_from=R40&amp;_nkw=2024%20Topps%20BRENDAN%20RODGERS%20%23322%20All-Star%20Game%20Colorado%20Rockies&amp;_sacat=0&amp;_sop=15&amp;rt=nc&amp;LH_BIN=1", "Active")</f>
        <v/>
      </c>
      <c r="J522" s="2">
        <f>HYPERLINK("https://www.ebay.com/sch/261328/i.html?_from=R40&amp;_nkw=2024%20Topps%20BRENDAN%20RODGERS%20%23322%20All-Star%20Game%20Colorado%20Rockies&amp;_sacat=0&amp;LH_Sold=1&amp;LH_Complete=1&amp;_sop=13", "Completed")</f>
        <v/>
      </c>
      <c r="K522" s="2" t="inlineStr">
        <is>
          <t>Brendan Rodgers ASG 2024 Topps All Star Game Foil #322</t>
        </is>
      </c>
    </row>
    <row r="523">
      <c r="A523" s="2" t="inlineStr">
        <is>
          <t>BBB-000193-tsktr</t>
        </is>
      </c>
      <c r="B523" s="2" t="inlineStr">
        <is>
          <t>2024 Topps ZAC GALLEN #110 All-Star Game Arizona Diamondbacks</t>
        </is>
      </c>
      <c r="C523" s="3" t="n">
        <v>3.49</v>
      </c>
      <c r="D523" s="3" t="n">
        <v>2.49</v>
      </c>
      <c r="E523" s="3" t="n">
        <v>-1</v>
      </c>
      <c r="F523" s="4" t="n">
        <v>-28.7</v>
      </c>
      <c r="G523" s="2" t="inlineStr">
        <is>
          <t>🔵 Floored $2.49 — free ship or $0.99 ship?</t>
        </is>
      </c>
      <c r="H523" s="2" t="inlineStr">
        <is>
          <t>64%</t>
        </is>
      </c>
      <c r="I523" s="2">
        <f>HYPERLINK("https://www.ebay.com/sch/261328/i.html?_dcat=261328&amp;_fsrp=1&amp;rt=nc&amp;_from=R40&amp;_nkw=2024%20Topps%20ZAC%20GALLEN%20%23110%20All-Star%20Game%20Arizona%20Diamondbacks&amp;_sacat=0&amp;_sop=15&amp;rt=nc&amp;LH_BIN=1", "Active")</f>
        <v/>
      </c>
      <c r="J523" s="2">
        <f>HYPERLINK("https://www.ebay.com/sch/261328/i.html?_from=R40&amp;_nkw=2024%20Topps%20ZAC%20GALLEN%20%23110%20All-Star%20Game%20Arizona%20Diamondbacks&amp;_sacat=0&amp;LH_Sold=1&amp;LH_Complete=1&amp;_sop=13", "Completed")</f>
        <v/>
      </c>
      <c r="K523" s="2" t="inlineStr">
        <is>
          <t>2024 Topps All Star Game ASG Foil Print #1-175 - Complete Your Set, You Pick</t>
        </is>
      </c>
    </row>
    <row r="524">
      <c r="A524" s="2" t="inlineStr">
        <is>
          <t>BBB-000194-tskts</t>
        </is>
      </c>
      <c r="B524" s="2" t="inlineStr">
        <is>
          <t>2024 Topps TONY GONSOLIN #87 All-Star Game Los Angeles Dodgers</t>
        </is>
      </c>
      <c r="C524" s="3" t="n">
        <v>3.49</v>
      </c>
      <c r="D524" s="3" t="n">
        <v>2.49</v>
      </c>
      <c r="E524" s="3" t="n">
        <v>-1</v>
      </c>
      <c r="F524" s="4" t="n">
        <v>-28.7</v>
      </c>
      <c r="G524" s="2" t="inlineStr">
        <is>
          <t>🔵 Floored $2.49 — free ship or $0.99 ship?</t>
        </is>
      </c>
      <c r="H524" s="2" t="inlineStr">
        <is>
          <t>67%</t>
        </is>
      </c>
      <c r="I524" s="2">
        <f>HYPERLINK("https://www.ebay.com/sch/261328/i.html?_dcat=261328&amp;_fsrp=1&amp;rt=nc&amp;_from=R40&amp;_nkw=2024%20Topps%20TONY%20GONSOLIN%20%2387%20All-Star%20Game%20Los%20Angeles%20Dodgers&amp;_sacat=0&amp;_sop=15&amp;rt=nc&amp;LH_BIN=1", "Active")</f>
        <v/>
      </c>
      <c r="J524" s="2">
        <f>HYPERLINK("https://www.ebay.com/sch/261328/i.html?_from=R40&amp;_nkw=2024%20Topps%20TONY%20GONSOLIN%20%2387%20All-Star%20Game%20Los%20Angeles%20Dodgers&amp;_sacat=0&amp;LH_Sold=1&amp;LH_Complete=1&amp;_sop=13", "Completed")</f>
        <v/>
      </c>
      <c r="K524" s="2" t="inlineStr">
        <is>
          <t>2024 Topps All Star Game Parallel Pick Your Player Los Angeles Dodgers</t>
        </is>
      </c>
    </row>
    <row r="525">
      <c r="A525" s="2" t="inlineStr">
        <is>
          <t>BBB-000196-tsktu</t>
        </is>
      </c>
      <c r="B525" s="2" t="inlineStr">
        <is>
          <t>2024 Topps MATT WALDRON #162 All-Star Game San Diego Padres</t>
        </is>
      </c>
      <c r="C525" s="3" t="n">
        <v>3.49</v>
      </c>
      <c r="D525" s="3" t="n">
        <v>2.49</v>
      </c>
      <c r="E525" s="3" t="n">
        <v>-1</v>
      </c>
      <c r="F525" s="4" t="n">
        <v>-28.7</v>
      </c>
      <c r="G525" s="2" t="inlineStr">
        <is>
          <t>🔵 Floored $2.49 — free ship or $0.99 ship?</t>
        </is>
      </c>
      <c r="H525" s="2" t="inlineStr">
        <is>
          <t>68%</t>
        </is>
      </c>
      <c r="I525" s="2">
        <f>HYPERLINK("https://www.ebay.com/sch/261328/i.html?_dcat=261328&amp;_fsrp=1&amp;rt=nc&amp;_from=R40&amp;_nkw=2024%20Topps%20MATT%20WALDRON%20%23162%20All-Star%20Game%20San%20Diego%20Padres&amp;_sacat=0&amp;_sop=15&amp;rt=nc&amp;LH_BIN=1", "Active")</f>
        <v/>
      </c>
      <c r="J525" s="2">
        <f>HYPERLINK("https://www.ebay.com/sch/261328/i.html?_from=R40&amp;_nkw=2024%20Topps%20MATT%20WALDRON%20%23162%20All-Star%20Game%20San%20Diego%20Padres&amp;_sacat=0&amp;LH_Sold=1&amp;LH_Complete=1&amp;_sop=13", "Completed")</f>
        <v/>
      </c>
      <c r="K525" s="2" t="inlineStr">
        <is>
          <t>2024 Topps All Star Game Parallel Pick Your Player San Diego Padres</t>
        </is>
      </c>
    </row>
    <row r="526">
      <c r="A526" s="2" t="inlineStr">
        <is>
          <t>BBB-000195-tsktt</t>
        </is>
      </c>
      <c r="B526" s="2" t="inlineStr">
        <is>
          <t>2024 Topps JONAH HEIM #235 All-Star Game Texas Rangers</t>
        </is>
      </c>
      <c r="C526" s="3" t="n">
        <v>3.49</v>
      </c>
      <c r="D526" s="3" t="n">
        <v>2.49</v>
      </c>
      <c r="E526" s="3" t="n">
        <v>-1</v>
      </c>
      <c r="F526" s="4" t="n">
        <v>-28.7</v>
      </c>
      <c r="G526" s="2" t="inlineStr">
        <is>
          <t>🔵 Floored $2.49 — free ship or $0.99 ship?</t>
        </is>
      </c>
      <c r="H526" s="2" t="inlineStr">
        <is>
          <t>67%</t>
        </is>
      </c>
      <c r="I526" s="2">
        <f>HYPERLINK("https://www.ebay.com/sch/261328/i.html?_dcat=261328&amp;_fsrp=1&amp;rt=nc&amp;_from=R40&amp;_nkw=2024%20Topps%20JONAH%20HEIM%20%23235%20All-Star%20Game%20Texas%20Rangers&amp;_sacat=0&amp;_sop=15&amp;rt=nc&amp;LH_BIN=1", "Active")</f>
        <v/>
      </c>
      <c r="J526" s="2">
        <f>HYPERLINK("https://www.ebay.com/sch/261328/i.html?_from=R40&amp;_nkw=2024%20Topps%20JONAH%20HEIM%20%23235%20All-Star%20Game%20Texas%20Rangers&amp;_sacat=0&amp;LH_Sold=1&amp;LH_Complete=1&amp;_sop=13", "Completed")</f>
        <v/>
      </c>
      <c r="K526" s="2" t="inlineStr">
        <is>
          <t>2024 Topps All Star Game Parallel Pick Your Player Texas Rangers</t>
        </is>
      </c>
    </row>
    <row r="527">
      <c r="A527" s="2" t="inlineStr">
        <is>
          <t>BBB-000197-tsktv</t>
        </is>
      </c>
      <c r="B527" s="2" t="inlineStr">
        <is>
          <t>2024 Topps CHARLIE MORTON #221 All-Star Game Atlanta Braves</t>
        </is>
      </c>
      <c r="C527" s="3" t="n">
        <v>3.49</v>
      </c>
      <c r="D527" s="3" t="n">
        <v>2.49</v>
      </c>
      <c r="E527" s="3" t="n">
        <v>-1</v>
      </c>
      <c r="F527" s="4" t="n">
        <v>-28.7</v>
      </c>
      <c r="G527" s="2" t="inlineStr">
        <is>
          <t>🔵 Floored $2.49 — free ship or $0.99 ship?</t>
        </is>
      </c>
      <c r="H527" s="2" t="inlineStr">
        <is>
          <t>63%</t>
        </is>
      </c>
      <c r="I527" s="2">
        <f>HYPERLINK("https://www.ebay.com/sch/261328/i.html?_dcat=261328&amp;_fsrp=1&amp;rt=nc&amp;_from=R40&amp;_nkw=2024%20Topps%20CHARLIE%20MORTON%20%23221%20All-Star%20Game%20Atlanta%20Braves&amp;_sacat=0&amp;_sop=15&amp;rt=nc&amp;LH_BIN=1", "Active")</f>
        <v/>
      </c>
      <c r="J527" s="2">
        <f>HYPERLINK("https://www.ebay.com/sch/261328/i.html?_from=R40&amp;_nkw=2024%20Topps%20CHARLIE%20MORTON%20%23221%20All-Star%20Game%20Atlanta%20Braves&amp;_sacat=0&amp;LH_Sold=1&amp;LH_Complete=1&amp;_sop=13", "Completed")</f>
        <v/>
      </c>
      <c r="K527" s="2" t="inlineStr">
        <is>
          <t>2024 Topps All Star Game ASG Foil Print #176-350 - Complete Your Set, You Pick</t>
        </is>
      </c>
    </row>
    <row r="528">
      <c r="A528" s="2" t="inlineStr">
        <is>
          <t>BBB-000198-tsktw</t>
        </is>
      </c>
      <c r="B528" s="2" t="inlineStr">
        <is>
          <t>2024 Topps WILLY ADAMES #33 All-Star Game Milwaukee Brewers</t>
        </is>
      </c>
      <c r="C528" s="3" t="n">
        <v>3.49</v>
      </c>
      <c r="D528" s="3" t="n">
        <v>2.49</v>
      </c>
      <c r="E528" s="3" t="n">
        <v>-1</v>
      </c>
      <c r="F528" s="4" t="n">
        <v>-28.7</v>
      </c>
      <c r="G528" s="2" t="inlineStr">
        <is>
          <t>🔵 Floored $2.49 — free ship or $0.99 ship?</t>
        </is>
      </c>
      <c r="H528" s="2" t="inlineStr">
        <is>
          <t>82%</t>
        </is>
      </c>
      <c r="I528" s="2">
        <f>HYPERLINK("https://www.ebay.com/sch/261328/i.html?_dcat=261328&amp;_fsrp=1&amp;rt=nc&amp;_from=R40&amp;_nkw=2024%20Topps%20WILLY%20ADAMES%20%2333%20All-Star%20Game%20Milwaukee%20Brewers&amp;_sacat=0&amp;_sop=15&amp;rt=nc&amp;LH_BIN=1", "Active")</f>
        <v/>
      </c>
      <c r="J528" s="2">
        <f>HYPERLINK("https://www.ebay.com/sch/261328/i.html?_from=R40&amp;_nkw=2024%20Topps%20WILLY%20ADAMES%20%2333%20All-Star%20Game%20Milwaukee%20Brewers&amp;_sacat=0&amp;LH_Sold=1&amp;LH_Complete=1&amp;_sop=13", "Completed")</f>
        <v/>
      </c>
      <c r="K528" s="2" t="inlineStr">
        <is>
          <t>2024 Topps All Star Game Parallel Pick Your Player Milwaukee Brewers</t>
        </is>
      </c>
    </row>
    <row r="529">
      <c r="A529" s="2" t="inlineStr">
        <is>
          <t>BBB-000199-tsktx</t>
        </is>
      </c>
      <c r="B529" s="2" t="inlineStr">
        <is>
          <t>2024 Topps JOEY MENESES #142 All-Star Game Washington Nationals</t>
        </is>
      </c>
      <c r="C529" s="3" t="n">
        <v>3.49</v>
      </c>
      <c r="D529" s="3" t="n">
        <v>2.49</v>
      </c>
      <c r="E529" s="3" t="n">
        <v>-1</v>
      </c>
      <c r="F529" s="4" t="n">
        <v>-28.7</v>
      </c>
      <c r="G529" s="2" t="inlineStr">
        <is>
          <t>🔵 Floored $2.49 — free ship or $0.99 ship?</t>
        </is>
      </c>
      <c r="H529" s="2" t="inlineStr">
        <is>
          <t>68%</t>
        </is>
      </c>
      <c r="I529" s="2">
        <f>HYPERLINK("https://www.ebay.com/sch/261328/i.html?_dcat=261328&amp;_fsrp=1&amp;rt=nc&amp;_from=R40&amp;_nkw=2024%20Topps%20JOEY%20MENESES%20%23142%20All-Star%20Game%20Washington%20Nationals&amp;_sacat=0&amp;_sop=15&amp;rt=nc&amp;LH_BIN=1", "Active")</f>
        <v/>
      </c>
      <c r="J529" s="2">
        <f>HYPERLINK("https://www.ebay.com/sch/261328/i.html?_from=R40&amp;_nkw=2024%20Topps%20JOEY%20MENESES%20%23142%20All-Star%20Game%20Washington%20Nationals&amp;_sacat=0&amp;LH_Sold=1&amp;LH_Complete=1&amp;_sop=13", "Completed")</f>
        <v/>
      </c>
      <c r="K529" s="2" t="inlineStr">
        <is>
          <t>2024 Topps All Star Game Parallel Pick Your Player Washington Nationals</t>
        </is>
      </c>
    </row>
    <row r="530">
      <c r="A530" s="2" t="inlineStr">
        <is>
          <t>BBB-000201-tsktz</t>
        </is>
      </c>
      <c r="B530" s="2" t="inlineStr">
        <is>
          <t>2024 Topps KUTTER CRAWFORD #316 All-Star Game Boston Red Sox</t>
        </is>
      </c>
      <c r="C530" s="3" t="n">
        <v>3.49</v>
      </c>
      <c r="D530" s="3" t="n">
        <v>2.49</v>
      </c>
      <c r="E530" s="3" t="n">
        <v>-1</v>
      </c>
      <c r="F530" s="4" t="n">
        <v>-28.7</v>
      </c>
      <c r="G530" s="2" t="inlineStr">
        <is>
          <t>🔵 Floored $2.49 — free ship or $0.99 ship?</t>
        </is>
      </c>
      <c r="H530" s="2" t="inlineStr">
        <is>
          <t>67%</t>
        </is>
      </c>
      <c r="I530" s="2">
        <f>HYPERLINK("https://www.ebay.com/sch/261328/i.html?_dcat=261328&amp;_fsrp=1&amp;rt=nc&amp;_from=R40&amp;_nkw=2024%20Topps%20KUTTER%20CRAWFORD%20%23316%20All-Star%20Game%20Boston%20Red%20Sox&amp;_sacat=0&amp;_sop=15&amp;rt=nc&amp;LH_BIN=1", "Active")</f>
        <v/>
      </c>
      <c r="J530" s="2">
        <f>HYPERLINK("https://www.ebay.com/sch/261328/i.html?_from=R40&amp;_nkw=2024%20Topps%20KUTTER%20CRAWFORD%20%23316%20All-Star%20Game%20Boston%20Red%20Sox&amp;_sacat=0&amp;LH_Sold=1&amp;LH_Complete=1&amp;_sop=13", "Completed")</f>
        <v/>
      </c>
      <c r="K530" s="2" t="inlineStr">
        <is>
          <t>2024 Topps All Star Game ASG Foil Print #176-350 - Complete Your Set, You Pick</t>
        </is>
      </c>
    </row>
    <row r="531">
      <c r="A531" s="2" t="inlineStr">
        <is>
          <t>BBB-000200-tskty</t>
        </is>
      </c>
      <c r="B531" s="2" t="inlineStr">
        <is>
          <t>2024 Topps TREY CABBAGE #321 All-Star Game Los Angeles Angels</t>
        </is>
      </c>
      <c r="C531" s="3" t="n">
        <v>3.49</v>
      </c>
      <c r="D531" s="3" t="n">
        <v>2.49</v>
      </c>
      <c r="E531" s="3" t="n">
        <v>-1</v>
      </c>
      <c r="F531" s="4" t="n">
        <v>-28.7</v>
      </c>
      <c r="G531" s="2" t="inlineStr">
        <is>
          <t>🔵 Floored $2.49 — free ship or $0.99 ship?</t>
        </is>
      </c>
      <c r="H531" s="2" t="inlineStr">
        <is>
          <t>62%</t>
        </is>
      </c>
      <c r="I531" s="2">
        <f>HYPERLINK("https://www.ebay.com/sch/261328/i.html?_dcat=261328&amp;_fsrp=1&amp;rt=nc&amp;_from=R40&amp;_nkw=2024%20Topps%20TREY%20CABBAGE%20%23321%20All-Star%20Game%20Los%20Angeles%20Angels&amp;_sacat=0&amp;_sop=15&amp;rt=nc&amp;LH_BIN=1", "Active")</f>
        <v/>
      </c>
      <c r="J531" s="2">
        <f>HYPERLINK("https://www.ebay.com/sch/261328/i.html?_from=R40&amp;_nkw=2024%20Topps%20TREY%20CABBAGE%20%23321%20All-Star%20Game%20Los%20Angeles%20Angels&amp;_sacat=0&amp;LH_Sold=1&amp;LH_Complete=1&amp;_sop=13", "Completed")</f>
        <v/>
      </c>
      <c r="K531" s="2" t="inlineStr">
        <is>
          <t>2024 Topps All Star Game ASG Foil Print #176-350 - Complete Your Set, You Pick</t>
        </is>
      </c>
    </row>
    <row r="532">
      <c r="A532" s="2" t="inlineStr">
        <is>
          <t>BBB-000202-tsku0</t>
        </is>
      </c>
      <c r="B532" s="2" t="inlineStr">
        <is>
          <t>2024 Topps KODAI SENGA #292 All-Star Game New York Mets</t>
        </is>
      </c>
      <c r="C532" s="3" t="n">
        <v>3.49</v>
      </c>
      <c r="D532" s="3" t="n">
        <v>2.49</v>
      </c>
      <c r="E532" s="3" t="n">
        <v>-1</v>
      </c>
      <c r="F532" s="4" t="n">
        <v>-28.7</v>
      </c>
      <c r="G532" s="2" t="inlineStr">
        <is>
          <t>🔵 Floored $2.49 — free ship or $0.99 ship?</t>
        </is>
      </c>
      <c r="H532" s="2" t="inlineStr">
        <is>
          <t>85%</t>
        </is>
      </c>
      <c r="I532" s="2">
        <f>HYPERLINK("https://www.ebay.com/sch/261328/i.html?_dcat=261328&amp;_fsrp=1&amp;rt=nc&amp;_from=R40&amp;_nkw=2024%20Topps%20KODAI%20SENGA%20%23292%20All-Star%20Game%20New%20York%20Mets&amp;_sacat=0&amp;_sop=15&amp;rt=nc&amp;LH_BIN=1", "Active")</f>
        <v/>
      </c>
      <c r="J532" s="2">
        <f>HYPERLINK("https://www.ebay.com/sch/261328/i.html?_from=R40&amp;_nkw=2024%20Topps%20KODAI%20SENGA%20%23292%20All-Star%20Game%20New%20York%20Mets&amp;_sacat=0&amp;LH_Sold=1&amp;LH_Complete=1&amp;_sop=13", "Completed")</f>
        <v/>
      </c>
      <c r="K532" s="2" t="inlineStr">
        <is>
          <t>2024 Topps #292 Kodai Senga All-Star Game</t>
        </is>
      </c>
    </row>
    <row r="533">
      <c r="A533" s="2" t="inlineStr">
        <is>
          <t>BBB-000204-tsku2</t>
        </is>
      </c>
      <c r="B533" s="2" t="inlineStr">
        <is>
          <t>2024 Topps BALTIMORE ORIOLES #192 All-Star Game Baltimore Orioles</t>
        </is>
      </c>
      <c r="C533" s="3" t="n">
        <v>3.49</v>
      </c>
      <c r="D533" s="3" t="n">
        <v>2.49</v>
      </c>
      <c r="E533" s="3" t="n">
        <v>-1</v>
      </c>
      <c r="F533" s="4" t="n">
        <v>-28.7</v>
      </c>
      <c r="G533" s="2" t="inlineStr">
        <is>
          <t>🔵 Floored $2.49 — free ship or $0.99 ship?</t>
        </is>
      </c>
      <c r="H533" s="2" t="inlineStr">
        <is>
          <t>70%</t>
        </is>
      </c>
      <c r="I533" s="2">
        <f>HYPERLINK("https://www.ebay.com/sch/261328/i.html?_dcat=261328&amp;_fsrp=1&amp;rt=nc&amp;_from=R40&amp;_nkw=2024%20Topps%20BALTIMORE%20ORIOLES%20%23192%20All-Star%20Game%20Baltimore%20Orioles&amp;_sacat=0&amp;_sop=15&amp;rt=nc&amp;LH_BIN=1", "Active")</f>
        <v/>
      </c>
      <c r="J533" s="2">
        <f>HYPERLINK("https://www.ebay.com/sch/261328/i.html?_from=R40&amp;_nkw=2024%20Topps%20BALTIMORE%20ORIOLES%20%23192%20All-Star%20Game%20Baltimore%20Orioles&amp;_sacat=0&amp;LH_Sold=1&amp;LH_Complete=1&amp;_sop=13", "Completed")</f>
        <v/>
      </c>
      <c r="K533" s="2" t="inlineStr">
        <is>
          <t>2024 Topps All Star Game Parallel Pick Your Player Baltimore Orioles</t>
        </is>
      </c>
    </row>
    <row r="534">
      <c r="A534" s="5" t="inlineStr">
        <is>
          <t>BBB-000203-tsku1</t>
        </is>
      </c>
      <c r="B534" s="5" t="inlineStr">
        <is>
          <t>2024 Topps NL BATTING LEADERS (ARRAEZ/ACUÑA JR./FREEMAN) #206 ASG</t>
        </is>
      </c>
      <c r="C534" s="6" t="n">
        <v>2.99</v>
      </c>
      <c r="D534" s="6" t="n">
        <v>3.89</v>
      </c>
      <c r="E534" s="6" t="n">
        <v>0.9</v>
      </c>
      <c r="F534" s="7" t="n">
        <v>30.1</v>
      </c>
      <c r="G534" s="5" t="inlineStr">
        <is>
          <t>⬆ Price Up</t>
        </is>
      </c>
      <c r="H534" s="5" t="inlineStr">
        <is>
          <t>100%</t>
        </is>
      </c>
      <c r="I534" s="5">
        <f>HYPERLINK("https://www.ebay.com/sch/261328/i.html?_dcat=261328&amp;_fsrp=1&amp;rt=nc&amp;_from=R40&amp;_nkw=2024%20Topps%20NL%20BATTING%20LEADERS%20(ARRAEZ%2FACU%C3%91A%20JR.%2FFREEMAN)%20%23206%20ASG&amp;_sacat=0&amp;_sop=15&amp;rt=nc&amp;LH_BIN=1", "Active")</f>
        <v/>
      </c>
      <c r="J534" s="5">
        <f>HYPERLINK("https://www.ebay.com/sch/261328/i.html?_from=R40&amp;_nkw=2024%20Topps%20NL%20BATTING%20LEADERS%20(ARRAEZ%2FACU%C3%91A%20JR.%2FFREEMAN)%20%23206%20ASG&amp;_sacat=0&amp;LH_Sold=1&amp;LH_Complete=1&amp;_sop=13", "Completed")</f>
        <v/>
      </c>
      <c r="K534" s="5" t="inlineStr">
        <is>
          <t>2024 Topps NL BATTING LEADERS (ARRAEZ/ACUÑA JR./FREEMAN) #206 ASG</t>
        </is>
      </c>
    </row>
    <row r="535">
      <c r="A535" s="2" t="inlineStr">
        <is>
          <t>BBB-000205-tsku3</t>
        </is>
      </c>
      <c r="B535" s="2" t="inlineStr">
        <is>
          <t>2024 Topps ASTROS NO-NO: VALDEZ THROWS Gem in Houston #329 All-Star Game Astros</t>
        </is>
      </c>
      <c r="C535" s="3" t="n">
        <v>3.49</v>
      </c>
      <c r="D535" s="3" t="n">
        <v>2.49</v>
      </c>
      <c r="E535" s="3" t="n">
        <v>-1</v>
      </c>
      <c r="F535" s="4" t="n">
        <v>-28.7</v>
      </c>
      <c r="G535" s="2" t="inlineStr">
        <is>
          <t>🔵 Floored $2.49 — free ship or $0.99 ship?</t>
        </is>
      </c>
      <c r="H535" s="2" t="inlineStr">
        <is>
          <t>86%</t>
        </is>
      </c>
      <c r="I535" s="2">
        <f>HYPERLINK("https://www.ebay.com/sch/261328/i.html?_dcat=261328&amp;_fsrp=1&amp;rt=nc&amp;_from=R40&amp;_nkw=2024%20Topps%20ASTROS%20NO-NO%3A%20VALDEZ%20THROWS%20Gem%20in%20Houston%20%23329%20All-Star%20Game%20Astros&amp;_sacat=0&amp;_sop=15&amp;rt=nc&amp;LH_BIN=1", "Active")</f>
        <v/>
      </c>
      <c r="J535" s="2">
        <f>HYPERLINK("https://www.ebay.com/sch/261328/i.html?_from=R40&amp;_nkw=2024%20Topps%20ASTROS%20NO-NO%3A%20VALDEZ%20THROWS%20Gem%20in%20Houston%20%23329%20All-Star%20Game%20Astros&amp;_sacat=0&amp;LH_Sold=1&amp;LH_Complete=1&amp;_sop=13", "Completed")</f>
        <v/>
      </c>
      <c r="K535" s="2" t="inlineStr">
        <is>
          <t>2024 Topps #329 Astros No-No: Valdez Throws Gem in Houston All-Star Game Foil</t>
        </is>
      </c>
    </row>
    <row r="536">
      <c r="A536" s="5" t="inlineStr">
        <is>
          <t>BBB-000208-tsku6</t>
        </is>
      </c>
      <c r="B536" s="5" t="inlineStr">
        <is>
          <t>2024 Topps EURY PÉREZ #197 All-Star Game Miami Marlins</t>
        </is>
      </c>
      <c r="C536" s="6" t="n">
        <v>1.99</v>
      </c>
      <c r="D536" s="6" t="n">
        <v>2.49</v>
      </c>
      <c r="E536" s="6" t="n">
        <v>0.5</v>
      </c>
      <c r="F536" s="7" t="n">
        <v>25.1</v>
      </c>
      <c r="G536" s="5" t="inlineStr">
        <is>
          <t>⬆ Price Up</t>
        </is>
      </c>
      <c r="H536" s="5" t="inlineStr">
        <is>
          <t>82%</t>
        </is>
      </c>
      <c r="I536" s="5">
        <f>HYPERLINK("https://www.ebay.com/sch/261328/i.html?_dcat=261328&amp;_fsrp=1&amp;rt=nc&amp;_from=R40&amp;_nkw=2024%20Topps%20EURY%20P%C3%89REZ%20%23197%20All-Star%20Game%20Miami%20Marlins&amp;_sacat=0&amp;_sop=15&amp;rt=nc&amp;LH_BIN=1", "Active")</f>
        <v/>
      </c>
      <c r="J536" s="5">
        <f>HYPERLINK("https://www.ebay.com/sch/261328/i.html?_from=R40&amp;_nkw=2024%20Topps%20EURY%20P%C3%89REZ%20%23197%20All-Star%20Game%20Miami%20Marlins&amp;_sacat=0&amp;LH_Sold=1&amp;LH_Complete=1&amp;_sop=13", "Completed")</f>
        <v/>
      </c>
      <c r="K536" s="5" t="inlineStr">
        <is>
          <t>2024 Topps All Star Game Parallel Pick Your Player Miami Marlins</t>
        </is>
      </c>
    </row>
    <row r="537">
      <c r="A537" s="2" t="inlineStr">
        <is>
          <t>BBB-000207-tsku5</t>
        </is>
      </c>
      <c r="B537" s="2" t="inlineStr">
        <is>
          <t>2024 Topps JOHAN OVIEDO #65 All-Star Game Pittsburgh Pirates</t>
        </is>
      </c>
      <c r="C537" s="3" t="n">
        <v>3.49</v>
      </c>
      <c r="D537" s="3" t="n">
        <v>2.49</v>
      </c>
      <c r="E537" s="3" t="n">
        <v>-1</v>
      </c>
      <c r="F537" s="4" t="n">
        <v>-28.7</v>
      </c>
      <c r="G537" s="2" t="inlineStr">
        <is>
          <t>🔵 Floored $2.49 — free ship or $0.99 ship?</t>
        </is>
      </c>
      <c r="H537" s="2" t="inlineStr">
        <is>
          <t>68%</t>
        </is>
      </c>
      <c r="I537" s="2">
        <f>HYPERLINK("https://www.ebay.com/sch/261328/i.html?_dcat=261328&amp;_fsrp=1&amp;rt=nc&amp;_from=R40&amp;_nkw=2024%20Topps%20JOHAN%20OVIEDO%20%2365%20All-Star%20Game%20Pittsburgh%20Pirates&amp;_sacat=0&amp;_sop=15&amp;rt=nc&amp;LH_BIN=1", "Active")</f>
        <v/>
      </c>
      <c r="J537" s="2">
        <f>HYPERLINK("https://www.ebay.com/sch/261328/i.html?_from=R40&amp;_nkw=2024%20Topps%20JOHAN%20OVIEDO%20%2365%20All-Star%20Game%20Pittsburgh%20Pirates&amp;_sacat=0&amp;LH_Sold=1&amp;LH_Complete=1&amp;_sop=13", "Completed")</f>
        <v/>
      </c>
      <c r="K537" s="2" t="inlineStr">
        <is>
          <t>2024 Topps All Star Game ASG Foil Print #1-175 - Complete Your Set, You Pick</t>
        </is>
      </c>
    </row>
    <row r="538">
      <c r="A538" s="2" t="inlineStr">
        <is>
          <t>BBB-000206-tsku4</t>
        </is>
      </c>
      <c r="B538" s="2" t="inlineStr">
        <is>
          <t>2024 Topps SHANE BIEBER #107 All-Star Game Cleveland Guardians</t>
        </is>
      </c>
      <c r="C538" s="3" t="n">
        <v>3.49</v>
      </c>
      <c r="D538" s="3" t="n">
        <v>2.49</v>
      </c>
      <c r="E538" s="3" t="n">
        <v>-1</v>
      </c>
      <c r="F538" s="4" t="n">
        <v>-28.7</v>
      </c>
      <c r="G538" s="2" t="inlineStr">
        <is>
          <t>🔵 Floored $2.49 — free ship or $0.99 ship?</t>
        </is>
      </c>
      <c r="H538" s="2" t="inlineStr">
        <is>
          <t>68%</t>
        </is>
      </c>
      <c r="I538" s="2">
        <f>HYPERLINK("https://www.ebay.com/sch/261328/i.html?_dcat=261328&amp;_fsrp=1&amp;rt=nc&amp;_from=R40&amp;_nkw=2024%20Topps%20SHANE%20BIEBER%20%23107%20All-Star%20Game%20Cleveland%20Guardians&amp;_sacat=0&amp;_sop=15&amp;rt=nc&amp;LH_BIN=1", "Active")</f>
        <v/>
      </c>
      <c r="J538" s="2">
        <f>HYPERLINK("https://www.ebay.com/sch/261328/i.html?_from=R40&amp;_nkw=2024%20Topps%20SHANE%20BIEBER%20%23107%20All-Star%20Game%20Cleveland%20Guardians&amp;_sacat=0&amp;LH_Sold=1&amp;LH_Complete=1&amp;_sop=13", "Completed")</f>
        <v/>
      </c>
      <c r="K538" s="2" t="inlineStr">
        <is>
          <t>2024 Topps All Star Game Parallel Pick Your Player Cleveland Guardians</t>
        </is>
      </c>
    </row>
    <row r="539">
      <c r="A539" s="2" t="inlineStr">
        <is>
          <t>BBA-000001-00014-28086</t>
        </is>
      </c>
      <c r="B539" s="2" t="inlineStr">
        <is>
          <t>2025-26 Topps Chrome JA MORANT #SF-2 Sleek Finishers Grizzlies Basketball</t>
        </is>
      </c>
      <c r="C539" s="3" t="n">
        <v>2.99</v>
      </c>
      <c r="D539" s="3" t="n">
        <v>2.49</v>
      </c>
      <c r="E539" s="3" t="n">
        <v>-0.5</v>
      </c>
      <c r="F539" s="4" t="n">
        <v>-16.7</v>
      </c>
      <c r="G539" s="2" t="inlineStr">
        <is>
          <t>🔵 Floored $2.49 — free ship or $0.99 ship?</t>
        </is>
      </c>
      <c r="H539" s="2" t="inlineStr">
        <is>
          <t>86%</t>
        </is>
      </c>
      <c r="I539" s="2">
        <f>HYPERLINK("https://www.ebay.com/sch/261328/i.html?_dcat=261328&amp;_fsrp=1&amp;rt=nc&amp;_from=R40&amp;_nkw=2025-26%20Topps%20Chrome%20JA%20MORANT%20%23SF-2%20Sleek%20Finishers%20Grizzlies%20Basketball&amp;_sacat=0&amp;_sop=15&amp;rt=nc&amp;LH_BIN=1", "Active")</f>
        <v/>
      </c>
      <c r="J539" s="2">
        <f>HYPERLINK("https://www.ebay.com/sch/261328/i.html?_from=R40&amp;_nkw=2025-26%20Topps%20Chrome%20JA%20MORANT%20%23SF-2%20Sleek%20Finishers%20Grizzlies%20Basketball&amp;_sacat=0&amp;LH_Sold=1&amp;LH_Complete=1&amp;_sop=13", "Completed")</f>
        <v/>
      </c>
      <c r="K539" s="2" t="inlineStr">
        <is>
          <t>2025-26 Topps Chrome Ja Morant - Sleek Finishers #SF-2 Memphis Grizzlies</t>
        </is>
      </c>
    </row>
    <row r="540">
      <c r="A540" s="11" t="inlineStr">
        <is>
          <t>BBA-000001-00003-46835</t>
        </is>
      </c>
      <c r="B540" s="11" t="inlineStr">
        <is>
          <t>2025-26 Topps Chrome JEREMY SOCHAN #239 Negative Refractor Spurs Basketball</t>
        </is>
      </c>
      <c r="C540" s="12" t="n">
        <v>3.99</v>
      </c>
      <c r="D540" s="12" t="n">
        <v>3.39</v>
      </c>
      <c r="E540" s="12" t="n">
        <v>-0.6</v>
      </c>
      <c r="F540" s="13" t="n">
        <v>-15</v>
      </c>
      <c r="G540" s="11" t="inlineStr">
        <is>
          <t>⬇ Price Down</t>
        </is>
      </c>
      <c r="H540" s="11" t="inlineStr">
        <is>
          <t>87%</t>
        </is>
      </c>
      <c r="I540" s="11">
        <f>HYPERLINK("https://www.ebay.com/sch/261328/i.html?_dcat=261328&amp;_fsrp=1&amp;rt=nc&amp;_from=R40&amp;_nkw=2025-26%20Topps%20Chrome%20JEREMY%20SOCHAN%20%23239%20Negative%20Refractor%20Spurs%20Basketball&amp;_sacat=0&amp;_sop=15&amp;rt=nc&amp;LH_BIN=1", "Active")</f>
        <v/>
      </c>
      <c r="J540" s="11">
        <f>HYPERLINK("https://www.ebay.com/sch/261328/i.html?_from=R40&amp;_nkw=2025-26%20Topps%20Chrome%20JEREMY%20SOCHAN%20%23239%20Negative%20Refractor%20Spurs%20Basketball&amp;_sacat=0&amp;LH_Sold=1&amp;LH_Complete=1&amp;_sop=13", "Completed")</f>
        <v/>
      </c>
      <c r="K540" s="11" t="inlineStr">
        <is>
          <t>2025-26 Topps Chrome JEREMY SOCHAN #239 Negative Refractor San Antonio Spurs</t>
        </is>
      </c>
    </row>
    <row r="541">
      <c r="A541" s="2" t="inlineStr">
        <is>
          <t>BBA-000001-00006-30822</t>
        </is>
      </c>
      <c r="B541" s="2" t="inlineStr">
        <is>
          <t>2025-26 Topps Chrome JASE RICHARDSON #275 RC Magic Rookie Basketball</t>
        </is>
      </c>
      <c r="C541" s="3" t="n">
        <v>2.99</v>
      </c>
      <c r="D541" s="3" t="n">
        <v>2.49</v>
      </c>
      <c r="E541" s="3" t="n">
        <v>-0.5</v>
      </c>
      <c r="F541" s="4" t="n">
        <v>-16.7</v>
      </c>
      <c r="G541" s="2" t="inlineStr">
        <is>
          <t>🔵 Floored $2.49 — free ship or $0.99 ship?</t>
        </is>
      </c>
      <c r="H541" s="2" t="inlineStr">
        <is>
          <t>70%</t>
        </is>
      </c>
      <c r="I541" s="2">
        <f>HYPERLINK("https://www.ebay.com/sch/261328/i.html?_dcat=261328&amp;_fsrp=1&amp;rt=nc&amp;_from=R40&amp;_nkw=2025-26%20Topps%20Chrome%20JASE%20RICHARDSON%20%23275%20RC%20Magic%20Rookie%20Basketball&amp;_sacat=0&amp;_sop=15&amp;rt=nc&amp;LH_BIN=1", "Active")</f>
        <v/>
      </c>
      <c r="J541" s="2">
        <f>HYPERLINK("https://www.ebay.com/sch/261328/i.html?_from=R40&amp;_nkw=2025-26%20Topps%20Chrome%20JASE%20RICHARDSON%20%23275%20RC%20Magic%20Rookie%20Basketball&amp;_sacat=0&amp;LH_Sold=1&amp;LH_Complete=1&amp;_sop=13", "Completed")</f>
        <v/>
      </c>
      <c r="K541" s="2" t="inlineStr">
        <is>
          <t>2025-26 Topps Chrome Complete Your Set You Pick Basketball Rookie Card #251-300</t>
        </is>
      </c>
    </row>
    <row r="542">
      <c r="A542" s="2" t="inlineStr">
        <is>
          <t>BBA-000001-00004-87008</t>
        </is>
      </c>
      <c r="B542" s="2" t="inlineStr">
        <is>
          <t>2025-26 Topps Chrome ZACCHARIE RISACHER #2 Hawks Basketball</t>
        </is>
      </c>
      <c r="C542" s="3" t="n">
        <v>2.99</v>
      </c>
      <c r="D542" s="3" t="n">
        <v>2.49</v>
      </c>
      <c r="E542" s="3" t="n">
        <v>-0.5</v>
      </c>
      <c r="F542" s="4" t="n">
        <v>-16.7</v>
      </c>
      <c r="G542" s="2" t="inlineStr">
        <is>
          <t>🔵 Floored $2.49 — free ship or $0.99 ship?</t>
        </is>
      </c>
      <c r="H542" s="2" t="inlineStr">
        <is>
          <t>66%</t>
        </is>
      </c>
      <c r="I542" s="2">
        <f>HYPERLINK("https://www.ebay.com/sch/261328/i.html?_dcat=261328&amp;_fsrp=1&amp;rt=nc&amp;_from=R40&amp;_nkw=2025-26%20Topps%20Chrome%20ZACCHARIE%20RISACHER%20%232%20Hawks%20Basketball&amp;_sacat=0&amp;_sop=15&amp;rt=nc&amp;LH_BIN=1", "Active")</f>
        <v/>
      </c>
      <c r="J542" s="2">
        <f>HYPERLINK("https://www.ebay.com/sch/261328/i.html?_from=R40&amp;_nkw=2025-26%20Topps%20Chrome%20ZACCHARIE%20RISACHER%20%232%20Hawks%20Basketball&amp;_sacat=0&amp;LH_Sold=1&amp;LH_Complete=1&amp;_sop=13", "Completed")</f>
        <v/>
      </c>
      <c r="K542" s="2" t="inlineStr">
        <is>
          <t>2025-26 Topps Chrome Basketball BASE 1-200 You Pick the Card - Complete Your Set</t>
        </is>
      </c>
    </row>
    <row r="543">
      <c r="A543" s="2" t="inlineStr">
        <is>
          <t>BBA-000001-00011-92213</t>
        </is>
      </c>
      <c r="B543" s="2" t="inlineStr">
        <is>
          <t>2025-26 Topps Chrome JARACE WALKER #53 Pulsar Refractor Pacers Basketball</t>
        </is>
      </c>
      <c r="C543" s="3" t="n">
        <v>2.99</v>
      </c>
      <c r="D543" s="3" t="n">
        <v>2.49</v>
      </c>
      <c r="E543" s="3" t="n">
        <v>-0.5</v>
      </c>
      <c r="F543" s="4" t="n">
        <v>-16.7</v>
      </c>
      <c r="G543" s="2" t="inlineStr">
        <is>
          <t>🔵 Floored $2.49 — free ship or $0.99 ship?</t>
        </is>
      </c>
      <c r="H543" s="2" t="inlineStr">
        <is>
          <t>66%</t>
        </is>
      </c>
      <c r="I543" s="2">
        <f>HYPERLINK("https://www.ebay.com/sch/261328/i.html?_dcat=261328&amp;_fsrp=1&amp;rt=nc&amp;_from=R40&amp;_nkw=2025-26%20Topps%20Chrome%20JARACE%20WALKER%20%2353%20Pulsar%20Refractor%20Pacers%20Basketball&amp;_sacat=0&amp;_sop=15&amp;rt=nc&amp;LH_BIN=1", "Active")</f>
        <v/>
      </c>
      <c r="J543" s="2">
        <f>HYPERLINK("https://www.ebay.com/sch/261328/i.html?_from=R40&amp;_nkw=2025-26%20Topps%20Chrome%20JARACE%20WALKER%20%2353%20Pulsar%20Refractor%20Pacers%20Basketball&amp;_sacat=0&amp;LH_Sold=1&amp;LH_Complete=1&amp;_sop=13", "Completed")</f>
        <v/>
      </c>
      <c r="K543" s="2" t="inlineStr">
        <is>
          <t>2025-26 Topps Chrome Basketball PULSAR REFRACTOR 1-200 You Pick - 2 Card Minimum</t>
        </is>
      </c>
    </row>
    <row r="544">
      <c r="A544" s="2" t="inlineStr">
        <is>
          <t>BBA-000001-00016-53624</t>
        </is>
      </c>
      <c r="B544" s="2" t="inlineStr">
        <is>
          <t>2025-26 Topps Chrome BONES HYLAND #90 Pulsar Refractor Timberwolves Basketball</t>
        </is>
      </c>
      <c r="C544" s="3" t="n">
        <v>3.49</v>
      </c>
      <c r="D544" s="3" t="n">
        <v>2.49</v>
      </c>
      <c r="E544" s="3" t="n">
        <v>-1</v>
      </c>
      <c r="F544" s="4" t="n">
        <v>-28.7</v>
      </c>
      <c r="G544" s="2" t="inlineStr">
        <is>
          <t>🔵 Floored $2.49 — free ship or $0.99 ship?</t>
        </is>
      </c>
      <c r="H544" s="2" t="inlineStr">
        <is>
          <t>67%</t>
        </is>
      </c>
      <c r="I544" s="2">
        <f>HYPERLINK("https://www.ebay.com/sch/261328/i.html?_dcat=261328&amp;_fsrp=1&amp;rt=nc&amp;_from=R40&amp;_nkw=2025-26%20Topps%20Chrome%20BONES%20HYLAND%20%2390%20Pulsar%20Refractor%20Timberwolves%20Basketball&amp;_sacat=0&amp;_sop=15&amp;rt=nc&amp;LH_BIN=1", "Active")</f>
        <v/>
      </c>
      <c r="J544" s="2">
        <f>HYPERLINK("https://www.ebay.com/sch/261328/i.html?_from=R40&amp;_nkw=2025-26%20Topps%20Chrome%20BONES%20HYLAND%20%2390%20Pulsar%20Refractor%20Timberwolves%20Basketball&amp;_sacat=0&amp;LH_Sold=1&amp;LH_Complete=1&amp;_sop=13", "Completed")</f>
        <v/>
      </c>
      <c r="K544" s="2" t="inlineStr">
        <is>
          <t>2025-26 Topps Chrome Basketball PULSAR REFRACTOR 1-200 You Pick - 2 Card Minimum</t>
        </is>
      </c>
    </row>
    <row r="545">
      <c r="A545" s="2" t="inlineStr">
        <is>
          <t>BBA-000001-00015-07409</t>
        </is>
      </c>
      <c r="B545" s="2" t="inlineStr">
        <is>
          <t>2025-26 Topps Chrome ANTHONY EDWARDS #IP-5 Inspirational Timberwolves Basketball</t>
        </is>
      </c>
      <c r="C545" s="3" t="n">
        <v>2.99</v>
      </c>
      <c r="D545" s="3" t="n">
        <v>2.49</v>
      </c>
      <c r="E545" s="3" t="n">
        <v>-0.5</v>
      </c>
      <c r="F545" s="4" t="n">
        <v>-16.7</v>
      </c>
      <c r="G545" s="2" t="inlineStr">
        <is>
          <t>🔵 Floored $2.49 — free ship or $0.99 ship?</t>
        </is>
      </c>
      <c r="H545" s="2" t="inlineStr">
        <is>
          <t>87%</t>
        </is>
      </c>
      <c r="I545" s="2">
        <f>HYPERLINK("https://www.ebay.com/sch/261328/i.html?_dcat=261328&amp;_fsrp=1&amp;rt=nc&amp;_from=R40&amp;_nkw=2025-26%20Topps%20Chrome%20ANTHONY%20EDWARDS%20%23IP-5%20Inspirational%20Timberwolves%20Basketball&amp;_sacat=0&amp;_sop=15&amp;rt=nc&amp;LH_BIN=1", "Active")</f>
        <v/>
      </c>
      <c r="J545" s="2">
        <f>HYPERLINK("https://www.ebay.com/sch/261328/i.html?_from=R40&amp;_nkw=2025-26%20Topps%20Chrome%20ANTHONY%20EDWARDS%20%23IP-5%20Inspirational%20Timberwolves%20Basketball&amp;_sacat=0&amp;LH_Sold=1&amp;LH_Complete=1&amp;_sop=13", "Completed")</f>
        <v/>
      </c>
      <c r="K545" s="2" t="inlineStr">
        <is>
          <t>2025-26 Topps Chrome - Inspirational Anthony Edwards #IP-5 Timberwolves</t>
        </is>
      </c>
    </row>
    <row r="546">
      <c r="A546" s="2" t="inlineStr">
        <is>
          <t>BBA-000001-00001-29805</t>
        </is>
      </c>
      <c r="B546" s="2" t="inlineStr">
        <is>
          <t>2025-26 Topps Chrome RYAN KALKBRENNER #284 RC Hornets Rookie Basketball</t>
        </is>
      </c>
      <c r="C546" s="3" t="n">
        <v>2.99</v>
      </c>
      <c r="D546" s="3" t="n">
        <v>2.49</v>
      </c>
      <c r="E546" s="3" t="n">
        <v>-0.5</v>
      </c>
      <c r="F546" s="4" t="n">
        <v>-16.7</v>
      </c>
      <c r="G546" s="2" t="inlineStr">
        <is>
          <t>🔵 Floored $2.49 — free ship or $0.99 ship?</t>
        </is>
      </c>
      <c r="H546" s="2" t="inlineStr">
        <is>
          <t>68%</t>
        </is>
      </c>
      <c r="I546" s="2">
        <f>HYPERLINK("https://www.ebay.com/sch/261328/i.html?_dcat=261328&amp;_fsrp=1&amp;rt=nc&amp;_from=R40&amp;_nkw=2025-26%20Topps%20Chrome%20RYAN%20KALKBRENNER%20%23284%20RC%20Hornets%20Rookie%20Basketball&amp;_sacat=0&amp;_sop=15&amp;rt=nc&amp;LH_BIN=1", "Active")</f>
        <v/>
      </c>
      <c r="J546" s="2">
        <f>HYPERLINK("https://www.ebay.com/sch/261328/i.html?_from=R40&amp;_nkw=2025-26%20Topps%20Chrome%20RYAN%20KALKBRENNER%20%23284%20RC%20Hornets%20Rookie%20Basketball&amp;_sacat=0&amp;LH_Sold=1&amp;LH_Complete=1&amp;_sop=13", "Completed")</f>
        <v/>
      </c>
      <c r="K546" s="2" t="inlineStr">
        <is>
          <t>2025-26 Topps Chrome Complete Your Set You Pick Basketball Rookie Card #251-300</t>
        </is>
      </c>
    </row>
    <row r="547">
      <c r="A547" s="2" t="inlineStr">
        <is>
          <t>BBA-000001-00012-02696</t>
        </is>
      </c>
      <c r="B547" s="2" t="inlineStr">
        <is>
          <t>2025-26 Topps Chrome JIMMY BUTLER III #GT-2 Go Time Warriors Basketball</t>
        </is>
      </c>
      <c r="C547" s="3" t="n">
        <v>2.99</v>
      </c>
      <c r="D547" s="3" t="n">
        <v>2.49</v>
      </c>
      <c r="E547" s="3" t="n">
        <v>-0.5</v>
      </c>
      <c r="F547" s="4" t="n">
        <v>-16.7</v>
      </c>
      <c r="G547" s="2" t="inlineStr">
        <is>
          <t>🔵 Floored $2.49 — free ship or $0.99 ship?</t>
        </is>
      </c>
      <c r="H547" s="2" t="inlineStr">
        <is>
          <t>87%</t>
        </is>
      </c>
      <c r="I547" s="2">
        <f>HYPERLINK("https://www.ebay.com/sch/261328/i.html?_dcat=261328&amp;_fsrp=1&amp;rt=nc&amp;_from=R40&amp;_nkw=2025-26%20Topps%20Chrome%20JIMMY%20BUTLER%20III%20%23GT-2%20Go%20Time%20Warriors%20Basketball&amp;_sacat=0&amp;_sop=15&amp;rt=nc&amp;LH_BIN=1", "Active")</f>
        <v/>
      </c>
      <c r="J547" s="2">
        <f>HYPERLINK("https://www.ebay.com/sch/261328/i.html?_from=R40&amp;_nkw=2025-26%20Topps%20Chrome%20JIMMY%20BUTLER%20III%20%23GT-2%20Go%20Time%20Warriors%20Basketball&amp;_sacat=0&amp;LH_Sold=1&amp;LH_Complete=1&amp;_sop=13", "Completed")</f>
        <v/>
      </c>
      <c r="K547" s="2" t="inlineStr">
        <is>
          <t>2025-26 Topps Chrome Jimmy Butler III Go Time #GT-2 Golden State Warriors NBA</t>
        </is>
      </c>
    </row>
    <row r="548">
      <c r="A548" s="2" t="inlineStr">
        <is>
          <t>BBA-000001-00009-19743</t>
        </is>
      </c>
      <c r="B548" s="2" t="inlineStr">
        <is>
          <t>2025-26 Topps Chrome SHAEDON SHARPE #150 Trail Blazers Basketball</t>
        </is>
      </c>
      <c r="C548" s="3" t="n">
        <v>2.99</v>
      </c>
      <c r="D548" s="3" t="n">
        <v>2.49</v>
      </c>
      <c r="E548" s="3" t="n">
        <v>-0.5</v>
      </c>
      <c r="F548" s="4" t="n">
        <v>-16.7</v>
      </c>
      <c r="G548" s="2" t="inlineStr">
        <is>
          <t>🔵 Floored $2.49 — free ship or $0.99 ship?</t>
        </is>
      </c>
      <c r="H548" s="2" t="inlineStr">
        <is>
          <t>68%</t>
        </is>
      </c>
      <c r="I548" s="2">
        <f>HYPERLINK("https://www.ebay.com/sch/261328/i.html?_dcat=261328&amp;_fsrp=1&amp;rt=nc&amp;_from=R40&amp;_nkw=2025-26%20Topps%20Chrome%20SHAEDON%20SHARPE%20%23150%20Trail%20Blazers%20Basketball&amp;_sacat=0&amp;_sop=15&amp;rt=nc&amp;LH_BIN=1", "Active")</f>
        <v/>
      </c>
      <c r="J548" s="2">
        <f>HYPERLINK("https://www.ebay.com/sch/261328/i.html?_from=R40&amp;_nkw=2025-26%20Topps%20Chrome%20SHAEDON%20SHARPE%20%23150%20Trail%20Blazers%20Basketball&amp;_sacat=0&amp;LH_Sold=1&amp;LH_Complete=1&amp;_sop=13", "Completed")</f>
        <v/>
      </c>
      <c r="K548" s="2" t="inlineStr">
        <is>
          <t>2025-26 Topps Chrome Basketball BASE 1-200 You Pick the Card - Complete Your Set</t>
        </is>
      </c>
    </row>
    <row r="549">
      <c r="A549" s="2" t="inlineStr">
        <is>
          <t>BBA-000001-00008-49656</t>
        </is>
      </c>
      <c r="B549" s="2" t="inlineStr">
        <is>
          <t>2025-26 Topps Chrome SPENCER DINWIDDIE #13 Pulsar Refractor Mavericks Basketball</t>
        </is>
      </c>
      <c r="C549" s="3" t="n">
        <v>2.99</v>
      </c>
      <c r="D549" s="3" t="n">
        <v>2.49</v>
      </c>
      <c r="E549" s="3" t="n">
        <v>-0.5</v>
      </c>
      <c r="F549" s="4" t="n">
        <v>-16.7</v>
      </c>
      <c r="G549" s="2" t="inlineStr">
        <is>
          <t>🔵 Floored $2.49 — free ship or $0.99 ship?</t>
        </is>
      </c>
      <c r="H549" s="2" t="inlineStr">
        <is>
          <t>67%</t>
        </is>
      </c>
      <c r="I549" s="2">
        <f>HYPERLINK("https://www.ebay.com/sch/261328/i.html?_dcat=261328&amp;_fsrp=1&amp;rt=nc&amp;_from=R40&amp;_nkw=2025-26%20Topps%20Chrome%20SPENCER%20DINWIDDIE%20%2313%20Pulsar%20Refractor%20Mavericks%20Basketball&amp;_sacat=0&amp;_sop=15&amp;rt=nc&amp;LH_BIN=1", "Active")</f>
        <v/>
      </c>
      <c r="J549" s="2">
        <f>HYPERLINK("https://www.ebay.com/sch/261328/i.html?_from=R40&amp;_nkw=2025-26%20Topps%20Chrome%20SPENCER%20DINWIDDIE%20%2313%20Pulsar%20Refractor%20Mavericks%20Basketball&amp;_sacat=0&amp;LH_Sold=1&amp;LH_Complete=1&amp;_sop=13", "Completed")</f>
        <v/>
      </c>
      <c r="K549" s="2" t="inlineStr">
        <is>
          <t>2025-26 Topps Chrome Basketball REFRACTORS/PULSAR (BUY 3 GET 1) You Pick/Choose</t>
        </is>
      </c>
    </row>
    <row r="550">
      <c r="A550" s="2" t="inlineStr">
        <is>
          <t>BBA-000001-00005-05141</t>
        </is>
      </c>
      <c r="B550" s="2" t="inlineStr">
        <is>
          <t>2025-26 Topps Chrome KHAMAN MALUACH #260 RC Suns Rookie Basketball</t>
        </is>
      </c>
      <c r="C550" s="3" t="n">
        <v>2.99</v>
      </c>
      <c r="D550" s="3" t="n">
        <v>2.49</v>
      </c>
      <c r="E550" s="3" t="n">
        <v>-0.5</v>
      </c>
      <c r="F550" s="4" t="n">
        <v>-16.7</v>
      </c>
      <c r="G550" s="2" t="inlineStr">
        <is>
          <t>🔵 Floored $2.49 — free ship or $0.99 ship?</t>
        </is>
      </c>
      <c r="H550" s="2" t="inlineStr">
        <is>
          <t>84%</t>
        </is>
      </c>
      <c r="I550" s="2">
        <f>HYPERLINK("https://www.ebay.com/sch/261328/i.html?_dcat=261328&amp;_fsrp=1&amp;rt=nc&amp;_from=R40&amp;_nkw=2025-26%20Topps%20Chrome%20KHAMAN%20MALUACH%20%23260%20RC%20Suns%20Rookie%20Basketball&amp;_sacat=0&amp;_sop=15&amp;rt=nc&amp;LH_BIN=1", "Active")</f>
        <v/>
      </c>
      <c r="J550" s="2">
        <f>HYPERLINK("https://www.ebay.com/sch/261328/i.html?_from=R40&amp;_nkw=2025-26%20Topps%20Chrome%20KHAMAN%20MALUACH%20%23260%20RC%20Suns%20Rookie%20Basketball&amp;_sacat=0&amp;LH_Sold=1&amp;LH_Complete=1&amp;_sop=13", "Completed")</f>
        <v/>
      </c>
      <c r="K550" s="2" t="inlineStr">
        <is>
          <t>2025-26 Topps Chrome #260 Khaman Maluach Rookie Card (RC) Phoenix Suns</t>
        </is>
      </c>
    </row>
    <row r="551">
      <c r="A551" s="2" t="inlineStr">
        <is>
          <t>BBA-000001-00010-79941</t>
        </is>
      </c>
      <c r="B551" s="2" t="inlineStr">
        <is>
          <t>2025-26 Topps Chrome SION JAMES #283 RC Hornets Rookie Basketball</t>
        </is>
      </c>
      <c r="C551" s="3" t="n">
        <v>2.99</v>
      </c>
      <c r="D551" s="3" t="n">
        <v>2.49</v>
      </c>
      <c r="E551" s="3" t="n">
        <v>-0.5</v>
      </c>
      <c r="F551" s="4" t="n">
        <v>-16.7</v>
      </c>
      <c r="G551" s="2" t="inlineStr">
        <is>
          <t>🔵 Floored $2.49 — free ship or $0.99 ship?</t>
        </is>
      </c>
      <c r="H551" s="2" t="inlineStr">
        <is>
          <t>68%</t>
        </is>
      </c>
      <c r="I551" s="2">
        <f>HYPERLINK("https://www.ebay.com/sch/261328/i.html?_dcat=261328&amp;_fsrp=1&amp;rt=nc&amp;_from=R40&amp;_nkw=2025-26%20Topps%20Chrome%20SION%20JAMES%20%23283%20RC%20Hornets%20Rookie%20Basketball&amp;_sacat=0&amp;_sop=15&amp;rt=nc&amp;LH_BIN=1", "Active")</f>
        <v/>
      </c>
      <c r="J551" s="2">
        <f>HYPERLINK("https://www.ebay.com/sch/261328/i.html?_from=R40&amp;_nkw=2025-26%20Topps%20Chrome%20SION%20JAMES%20%23283%20RC%20Hornets%20Rookie%20Basketball&amp;_sacat=0&amp;LH_Sold=1&amp;LH_Complete=1&amp;_sop=13", "Completed")</f>
        <v/>
      </c>
      <c r="K551" s="2" t="inlineStr">
        <is>
          <t>2025-26 Topps Chrome Complete Your Set You Pick Basketball Rookie Card #251-300</t>
        </is>
      </c>
    </row>
    <row r="552">
      <c r="A552" s="2" t="inlineStr">
        <is>
          <t>BBA-000001-00013-47641</t>
        </is>
      </c>
      <c r="B552" s="2" t="inlineStr">
        <is>
          <t>2025-26 Topps Chrome PAOLO BANCHERO #BD-14 Ball of Duty Magic Basketball</t>
        </is>
      </c>
      <c r="C552" s="3" t="n">
        <v>2.99</v>
      </c>
      <c r="D552" s="3" t="n">
        <v>2.49</v>
      </c>
      <c r="E552" s="3" t="n">
        <v>-0.5</v>
      </c>
      <c r="F552" s="4" t="n">
        <v>-16.7</v>
      </c>
      <c r="G552" s="2" t="inlineStr">
        <is>
          <t>🔵 Floored $2.49 — free ship or $0.99 ship?</t>
        </is>
      </c>
      <c r="H552" s="2" t="inlineStr">
        <is>
          <t>77%</t>
        </is>
      </c>
      <c r="I552" s="2">
        <f>HYPERLINK("https://www.ebay.com/sch/261328/i.html?_dcat=261328&amp;_fsrp=1&amp;rt=nc&amp;_from=R40&amp;_nkw=2025-26%20Topps%20Chrome%20PAOLO%20BANCHERO%20%23BD-14%20Ball%20of%20Duty%20Magic%20Basketball&amp;_sacat=0&amp;_sop=15&amp;rt=nc&amp;LH_BIN=1", "Active")</f>
        <v/>
      </c>
      <c r="J552" s="2">
        <f>HYPERLINK("https://www.ebay.com/sch/261328/i.html?_from=R40&amp;_nkw=2025-26%20Topps%20Chrome%20PAOLO%20BANCHERO%20%23BD-14%20Ball%20of%20Duty%20Magic%20Basketball&amp;_sacat=0&amp;LH_Sold=1&amp;LH_Complete=1&amp;_sop=13", "Completed")</f>
        <v/>
      </c>
      <c r="K552" s="2" t="inlineStr">
        <is>
          <t>Paolo Banchero Topps Chrome 2025-26 Ball Of Duty Orlando Magic #BD-14</t>
        </is>
      </c>
    </row>
    <row r="553">
      <c r="A553" s="2" t="inlineStr">
        <is>
          <t>BBA-000001-00007-21753</t>
        </is>
      </c>
      <c r="B553" s="2" t="inlineStr">
        <is>
          <t>2025-26 Topps Chrome JAIME JAQUEZ JR. #161 Pulsar Refractor Heat Basketball</t>
        </is>
      </c>
      <c r="C553" s="3" t="n">
        <v>2.99</v>
      </c>
      <c r="D553" s="3" t="n">
        <v>2.49</v>
      </c>
      <c r="E553" s="3" t="n">
        <v>-0.5</v>
      </c>
      <c r="F553" s="4" t="n">
        <v>-16.7</v>
      </c>
      <c r="G553" s="2" t="inlineStr">
        <is>
          <t>🔵 Floored $2.49 — free ship or $0.99 ship?</t>
        </is>
      </c>
      <c r="H553" s="2" t="inlineStr">
        <is>
          <t>86%</t>
        </is>
      </c>
      <c r="I553" s="2">
        <f>HYPERLINK("https://www.ebay.com/sch/261328/i.html?_dcat=261328&amp;_fsrp=1&amp;rt=nc&amp;_from=R40&amp;_nkw=2025-26%20Topps%20Chrome%20JAIME%20JAQUEZ%20JR.%20%23161%20Pulsar%20Refractor%20Heat%20Basketball&amp;_sacat=0&amp;_sop=15&amp;rt=nc&amp;LH_BIN=1", "Active")</f>
        <v/>
      </c>
      <c r="J553" s="2">
        <f>HYPERLINK("https://www.ebay.com/sch/261328/i.html?_from=R40&amp;_nkw=2025-26%20Topps%20Chrome%20JAIME%20JAQUEZ%20JR.%20%23161%20Pulsar%20Refractor%20Heat%20Basketball&amp;_sacat=0&amp;LH_Sold=1&amp;LH_Complete=1&amp;_sop=13", "Completed")</f>
        <v/>
      </c>
      <c r="K553" s="2" t="inlineStr">
        <is>
          <t>2025-26 Topps Chrome #161 Jaime Jaquez Jr. Pulsar Refractor Miami Heat</t>
        </is>
      </c>
    </row>
    <row r="554">
      <c r="A554" s="2" t="inlineStr">
        <is>
          <t>BBA-000100-00007-43894</t>
        </is>
      </c>
      <c r="B554" s="2" t="inlineStr">
        <is>
          <t>2024 Topps CINCINNATI REDS #238 All Star Game</t>
        </is>
      </c>
      <c r="C554" s="3" t="n">
        <v>2.99</v>
      </c>
      <c r="D554" s="3" t="n">
        <v>2.49</v>
      </c>
      <c r="E554" s="3" t="n">
        <v>-0.5</v>
      </c>
      <c r="F554" s="4" t="n">
        <v>-16.7</v>
      </c>
      <c r="G554" s="2" t="inlineStr">
        <is>
          <t>🔵 Floored $2.49 — free ship or $0.99 ship?</t>
        </is>
      </c>
      <c r="H554" s="2" t="inlineStr">
        <is>
          <t>60%</t>
        </is>
      </c>
      <c r="I554" s="2">
        <f>HYPERLINK("https://www.ebay.com/sch/261328/i.html?_dcat=261328&amp;_fsrp=1&amp;rt=nc&amp;_from=R40&amp;_nkw=2024%20Topps%20CINCINNATI%20REDS%20%23238%20All%20Star%20Game&amp;_sacat=0&amp;_sop=15&amp;rt=nc&amp;LH_BIN=1", "Active")</f>
        <v/>
      </c>
      <c r="J554" s="2">
        <f>HYPERLINK("https://www.ebay.com/sch/261328/i.html?_from=R40&amp;_nkw=2024%20Topps%20CINCINNATI%20REDS%20%23238%20All%20Star%20Game&amp;_sacat=0&amp;LH_Sold=1&amp;LH_Complete=1&amp;_sop=13", "Completed")</f>
        <v/>
      </c>
      <c r="K554" s="2" t="inlineStr">
        <is>
          <t>2024 Topps All Star Game Parallel Pick Your Player Cincinnati Reds</t>
        </is>
      </c>
    </row>
    <row r="555">
      <c r="A555" s="5" t="inlineStr">
        <is>
          <t>BBA-000100-00006-52544</t>
        </is>
      </c>
      <c r="B555" s="5" t="inlineStr">
        <is>
          <t>2024 Topps WILMER FLORES #234 All Star Game Giants Football</t>
        </is>
      </c>
      <c r="C555" s="6" t="n">
        <v>2.99</v>
      </c>
      <c r="D555" s="6" t="n">
        <v>3.89</v>
      </c>
      <c r="E555" s="6" t="n">
        <v>0.9</v>
      </c>
      <c r="F555" s="7" t="n">
        <v>30.1</v>
      </c>
      <c r="G555" s="5" t="inlineStr">
        <is>
          <t>⬆ Price Up</t>
        </is>
      </c>
      <c r="H555" s="5" t="inlineStr">
        <is>
          <t>100%</t>
        </is>
      </c>
      <c r="I555" s="5">
        <f>HYPERLINK("https://www.ebay.com/sch/261328/i.html?_dcat=261328&amp;_fsrp=1&amp;rt=nc&amp;_from=R40&amp;_nkw=2024%20Topps%20WILMER%20FLORES%20%23234%20All%20Star%20Game%20Giants%20Football&amp;_sacat=0&amp;_sop=15&amp;rt=nc&amp;LH_BIN=1", "Active")</f>
        <v/>
      </c>
      <c r="J555" s="5">
        <f>HYPERLINK("https://www.ebay.com/sch/261328/i.html?_from=R40&amp;_nkw=2024%20Topps%20WILMER%20FLORES%20%23234%20All%20Star%20Game%20Giants%20Football&amp;_sacat=0&amp;LH_Sold=1&amp;LH_Complete=1&amp;_sop=13", "Completed")</f>
        <v/>
      </c>
      <c r="K555" s="5" t="inlineStr">
        <is>
          <t>2024 Topps WILMER FLORES #234 All Star Game Giants Football</t>
        </is>
      </c>
    </row>
    <row r="556">
      <c r="A556" s="2" t="inlineStr">
        <is>
          <t>BBA-000100-00033-42432</t>
        </is>
      </c>
      <c r="B556" s="2" t="inlineStr">
        <is>
          <t>2024 Topps AUSTIN HAYS #307 All Star Game Orioles</t>
        </is>
      </c>
      <c r="C556" s="3" t="n">
        <v>3.49</v>
      </c>
      <c r="D556" s="3" t="n">
        <v>2.49</v>
      </c>
      <c r="E556" s="3" t="n">
        <v>-1</v>
      </c>
      <c r="F556" s="4" t="n">
        <v>-28.7</v>
      </c>
      <c r="G556" s="2" t="inlineStr">
        <is>
          <t>🔵 Floored $2.49 — free ship or $0.99 ship?</t>
        </is>
      </c>
      <c r="H556" s="2" t="inlineStr">
        <is>
          <t>65%</t>
        </is>
      </c>
      <c r="I556" s="2">
        <f>HYPERLINK("https://www.ebay.com/sch/261328/i.html?_dcat=261328&amp;_fsrp=1&amp;rt=nc&amp;_from=R40&amp;_nkw=2024%20Topps%20AUSTIN%20HAYS%20%23307%20All%20Star%20Game%20Orioles&amp;_sacat=0&amp;_sop=15&amp;rt=nc&amp;LH_BIN=1", "Active")</f>
        <v/>
      </c>
      <c r="J556" s="2">
        <f>HYPERLINK("https://www.ebay.com/sch/261328/i.html?_from=R40&amp;_nkw=2024%20Topps%20AUSTIN%20HAYS%20%23307%20All%20Star%20Game%20Orioles&amp;_sacat=0&amp;LH_Sold=1&amp;LH_Complete=1&amp;_sop=13", "Completed")</f>
        <v/>
      </c>
      <c r="K556" s="2" t="inlineStr">
        <is>
          <t>2024 Topps All Star Game Parallel Pick Your Player Baltimore Orioles</t>
        </is>
      </c>
    </row>
    <row r="557">
      <c r="A557" s="2" t="inlineStr">
        <is>
          <t>BBA-000100-00002-63526</t>
        </is>
      </c>
      <c r="B557" s="2" t="inlineStr">
        <is>
          <t>2024 Topps DEAN KREMER #336 All Star Game Orioles</t>
        </is>
      </c>
      <c r="C557" s="3" t="n">
        <v>3.49</v>
      </c>
      <c r="D557" s="3" t="n">
        <v>2.49</v>
      </c>
      <c r="E557" s="3" t="n">
        <v>-1</v>
      </c>
      <c r="F557" s="4" t="n">
        <v>-28.7</v>
      </c>
      <c r="G557" s="2" t="inlineStr">
        <is>
          <t>🔵 Floored $2.49 — free ship or $0.99 ship?</t>
        </is>
      </c>
      <c r="H557" s="2" t="inlineStr">
        <is>
          <t>67%</t>
        </is>
      </c>
      <c r="I557" s="2">
        <f>HYPERLINK("https://www.ebay.com/sch/261328/i.html?_dcat=261328&amp;_fsrp=1&amp;rt=nc&amp;_from=R40&amp;_nkw=2024%20Topps%20DEAN%20KREMER%20%23336%20All%20Star%20Game%20Orioles&amp;_sacat=0&amp;_sop=15&amp;rt=nc&amp;LH_BIN=1", "Active")</f>
        <v/>
      </c>
      <c r="J557" s="2">
        <f>HYPERLINK("https://www.ebay.com/sch/261328/i.html?_from=R40&amp;_nkw=2024%20Topps%20DEAN%20KREMER%20%23336%20All%20Star%20Game%20Orioles&amp;_sacat=0&amp;LH_Sold=1&amp;LH_Complete=1&amp;_sop=13", "Completed")</f>
        <v/>
      </c>
      <c r="K557" s="2" t="inlineStr">
        <is>
          <t>2024 Topps All Star Game Parallel Pick Your Player Baltimore Orioles</t>
        </is>
      </c>
    </row>
    <row r="558">
      <c r="A558" s="2" t="inlineStr">
        <is>
          <t>BBA-000100-00019-14952</t>
        </is>
      </c>
      <c r="B558" s="2" t="inlineStr">
        <is>
          <t>2024 Topps CARMEN MLODZINSKI #31 All Star Game RC Pirates Rookie</t>
        </is>
      </c>
      <c r="C558" s="3" t="n">
        <v>3.49</v>
      </c>
      <c r="D558" s="3" t="n">
        <v>2.49</v>
      </c>
      <c r="E558" s="3" t="n">
        <v>-1</v>
      </c>
      <c r="F558" s="4" t="n">
        <v>-28.7</v>
      </c>
      <c r="G558" s="2" t="inlineStr">
        <is>
          <t>🔵 Floored $2.49 — free ship or $0.99 ship?</t>
        </is>
      </c>
      <c r="H558" s="2" t="inlineStr">
        <is>
          <t>64%</t>
        </is>
      </c>
      <c r="I558" s="2">
        <f>HYPERLINK("https://www.ebay.com/sch/261328/i.html?_dcat=261328&amp;_fsrp=1&amp;rt=nc&amp;_from=R40&amp;_nkw=2024%20Topps%20CARMEN%20MLODZINSKI%20%2331%20All%20Star%20Game%20RC%20Pirates%20Rookie&amp;_sacat=0&amp;_sop=15&amp;rt=nc&amp;LH_BIN=1", "Active")</f>
        <v/>
      </c>
      <c r="J558" s="2">
        <f>HYPERLINK("https://www.ebay.com/sch/261328/i.html?_from=R40&amp;_nkw=2024%20Topps%20CARMEN%20MLODZINSKI%20%2331%20All%20Star%20Game%20RC%20Pirates%20Rookie&amp;_sacat=0&amp;LH_Sold=1&amp;LH_Complete=1&amp;_sop=13", "Completed")</f>
        <v/>
      </c>
      <c r="K558" s="2" t="inlineStr">
        <is>
          <t>2024 Topps All-Star Game Set Singles  1-250 - You Pick  - Complete Your Set</t>
        </is>
      </c>
    </row>
    <row r="559">
      <c r="A559" s="2" t="inlineStr">
        <is>
          <t>BBA-000100-00015-30601</t>
        </is>
      </c>
      <c r="B559" s="2" t="inlineStr">
        <is>
          <t>2024 Topps DAVID HAMILTON #202 All Star Game RC Red Sox Rookie</t>
        </is>
      </c>
      <c r="C559" s="3" t="n">
        <v>3.49</v>
      </c>
      <c r="D559" s="3" t="n">
        <v>2.49</v>
      </c>
      <c r="E559" s="3" t="n">
        <v>-1</v>
      </c>
      <c r="F559" s="4" t="n">
        <v>-28.7</v>
      </c>
      <c r="G559" s="2" t="inlineStr">
        <is>
          <t>🔵 Floored $2.49 — free ship or $0.99 ship?</t>
        </is>
      </c>
      <c r="H559" s="2" t="inlineStr">
        <is>
          <t>67%</t>
        </is>
      </c>
      <c r="I559" s="2">
        <f>HYPERLINK("https://www.ebay.com/sch/261328/i.html?_dcat=261328&amp;_fsrp=1&amp;rt=nc&amp;_from=R40&amp;_nkw=2024%20Topps%20DAVID%20HAMILTON%20%23202%20All%20Star%20Game%20RC%20Red%20Sox%20Rookie&amp;_sacat=0&amp;_sop=15&amp;rt=nc&amp;LH_BIN=1", "Active")</f>
        <v/>
      </c>
      <c r="J559" s="2">
        <f>HYPERLINK("https://www.ebay.com/sch/261328/i.html?_from=R40&amp;_nkw=2024%20Topps%20DAVID%20HAMILTON%20%23202%20All%20Star%20Game%20RC%20Red%20Sox%20Rookie&amp;_sacat=0&amp;LH_Sold=1&amp;LH_Complete=1&amp;_sop=13", "Completed")</f>
        <v/>
      </c>
      <c r="K559" s="2" t="inlineStr">
        <is>
          <t>2024 Topps All Star Game ASG Foil Print #176-350 - Complete Your Set, You Pick</t>
        </is>
      </c>
    </row>
    <row r="560">
      <c r="A560" s="2" t="inlineStr">
        <is>
          <t>BBA-000100-00016-27899</t>
        </is>
      </c>
      <c r="B560" s="2" t="inlineStr">
        <is>
          <t>2024 Topps FRAMBER VALDEZ #220 All Star Game Astros</t>
        </is>
      </c>
      <c r="C560" s="3" t="n">
        <v>3.49</v>
      </c>
      <c r="D560" s="3" t="n">
        <v>2.49</v>
      </c>
      <c r="E560" s="3" t="n">
        <v>-1</v>
      </c>
      <c r="F560" s="4" t="n">
        <v>-28.7</v>
      </c>
      <c r="G560" s="2" t="inlineStr">
        <is>
          <t>🔵 Floored $2.49 — free ship or $0.99 ship?</t>
        </is>
      </c>
      <c r="H560" s="2" t="inlineStr">
        <is>
          <t>62%</t>
        </is>
      </c>
      <c r="I560" s="2">
        <f>HYPERLINK("https://www.ebay.com/sch/261328/i.html?_dcat=261328&amp;_fsrp=1&amp;rt=nc&amp;_from=R40&amp;_nkw=2024%20Topps%20FRAMBER%20VALDEZ%20%23220%20All%20Star%20Game%20Astros&amp;_sacat=0&amp;_sop=15&amp;rt=nc&amp;LH_BIN=1", "Active")</f>
        <v/>
      </c>
      <c r="J560" s="2">
        <f>HYPERLINK("https://www.ebay.com/sch/261328/i.html?_from=R40&amp;_nkw=2024%20Topps%20FRAMBER%20VALDEZ%20%23220%20All%20Star%20Game%20Astros&amp;_sacat=0&amp;LH_Sold=1&amp;LH_Complete=1&amp;_sop=13", "Completed")</f>
        <v/>
      </c>
      <c r="K560" s="2" t="inlineStr">
        <is>
          <t>2024 Topps All Star Game ASG Foil Print #176-350 - Complete Your Set, You Pick</t>
        </is>
      </c>
    </row>
    <row r="561">
      <c r="A561" s="5" t="inlineStr">
        <is>
          <t>BBA-000100-00024-06826</t>
        </is>
      </c>
      <c r="B561" s="5" t="inlineStr">
        <is>
          <t>2024 Topps NEW YORK SMILES: METS HEAVY HITTERS SHARE a Laugh C #38 All Star Game</t>
        </is>
      </c>
      <c r="C561" s="6" t="n">
        <v>3.49</v>
      </c>
      <c r="D561" s="6" t="n">
        <v>4.39</v>
      </c>
      <c r="E561" s="6" t="n">
        <v>0.9</v>
      </c>
      <c r="F561" s="7" t="n">
        <v>25.8</v>
      </c>
      <c r="G561" s="5" t="inlineStr">
        <is>
          <t>⬆ Price Up</t>
        </is>
      </c>
      <c r="H561" s="5" t="inlineStr">
        <is>
          <t>100%</t>
        </is>
      </c>
      <c r="I561" s="5">
        <f>HYPERLINK("https://www.ebay.com/sch/261328/i.html?_dcat=261328&amp;_fsrp=1&amp;rt=nc&amp;_from=R40&amp;_nkw=2024%20Topps%20NEW%20YORK%20SMILES%3A%20METS%20HEAVY%20HITTERS%20SHARE%20a%20Laugh%20C%20%2338%20All%20Star%20Game&amp;_sacat=0&amp;_sop=15&amp;rt=nc&amp;LH_BIN=1", "Active")</f>
        <v/>
      </c>
      <c r="J561" s="5">
        <f>HYPERLINK("https://www.ebay.com/sch/261328/i.html?_from=R40&amp;_nkw=2024%20Topps%20NEW%20YORK%20SMILES%3A%20METS%20HEAVY%20HITTERS%20SHARE%20a%20Laugh%20C%20%2338%20All%20Star%20Game&amp;_sacat=0&amp;LH_Sold=1&amp;LH_Complete=1&amp;_sop=13", "Completed")</f>
        <v/>
      </c>
      <c r="K561" s="5" t="inlineStr">
        <is>
          <t>2024 Topps NEW YORK SMILES: METS HEAVY HITTERS SHARE a Laugh C #38 All Star Game</t>
        </is>
      </c>
    </row>
    <row r="562">
      <c r="A562" s="2" t="inlineStr">
        <is>
          <t>BBA-000100-00023-33744</t>
        </is>
      </c>
      <c r="B562" s="2" t="inlineStr">
        <is>
          <t>2024 Topps DANIEL PALENCIA #178 All Star Game RC Cubs Rookie</t>
        </is>
      </c>
      <c r="C562" s="3" t="n">
        <v>3.49</v>
      </c>
      <c r="D562" s="3" t="n">
        <v>2.49</v>
      </c>
      <c r="E562" s="3" t="n">
        <v>-1</v>
      </c>
      <c r="F562" s="4" t="n">
        <v>-28.7</v>
      </c>
      <c r="G562" s="2" t="inlineStr">
        <is>
          <t>🔵 Floored $2.49 — free ship or $0.99 ship?</t>
        </is>
      </c>
      <c r="H562" s="2" t="inlineStr">
        <is>
          <t>69%</t>
        </is>
      </c>
      <c r="I562" s="2">
        <f>HYPERLINK("https://www.ebay.com/sch/261328/i.html?_dcat=261328&amp;_fsrp=1&amp;rt=nc&amp;_from=R40&amp;_nkw=2024%20Topps%20DANIEL%20PALENCIA%20%23178%20All%20Star%20Game%20RC%20Cubs%20Rookie&amp;_sacat=0&amp;_sop=15&amp;rt=nc&amp;LH_BIN=1", "Active")</f>
        <v/>
      </c>
      <c r="J562" s="2">
        <f>HYPERLINK("https://www.ebay.com/sch/261328/i.html?_from=R40&amp;_nkw=2024%20Topps%20DANIEL%20PALENCIA%20%23178%20All%20Star%20Game%20RC%20Cubs%20Rookie&amp;_sacat=0&amp;LH_Sold=1&amp;LH_Complete=1&amp;_sop=13", "Completed")</f>
        <v/>
      </c>
      <c r="K562" s="2" t="inlineStr">
        <is>
          <t>2024 Topps All Star Game ASG Foil Print #176-350 - Complete Your Set, You Pick</t>
        </is>
      </c>
    </row>
    <row r="563">
      <c r="A563" t="inlineStr">
        <is>
          <t>BBA-000100-00034-41413</t>
        </is>
      </c>
      <c r="B563" t="inlineStr">
        <is>
          <t>2024 Topps JHOAN DURAN #227 All Star Game Twins</t>
        </is>
      </c>
      <c r="C563" s="14" t="n">
        <v>3.49</v>
      </c>
      <c r="D563" s="14" t="n"/>
      <c r="E563" s="14" t="inlineStr"/>
      <c r="F563" s="15" t="inlineStr"/>
      <c r="G563" t="inlineStr">
        <is>
          <t>? No price data</t>
        </is>
      </c>
      <c r="H563" t="inlineStr">
        <is>
          <t>59%</t>
        </is>
      </c>
      <c r="I563">
        <f>HYPERLINK("https://www.ebay.com/sch/261328/i.html?_dcat=261328&amp;_fsrp=1&amp;rt=nc&amp;_from=R40&amp;_nkw=2024%20Topps%20JHOAN%20DURAN%20%23227%20All%20Star%20Game%20Twins&amp;_sacat=0&amp;_sop=15&amp;rt=nc&amp;LH_BIN=1", "Active")</f>
        <v/>
      </c>
      <c r="J563">
        <f>HYPERLINK("https://www.ebay.com/sch/261328/i.html?_from=R40&amp;_nkw=2024%20Topps%20JHOAN%20DURAN%20%23227%20All%20Star%20Game%20Twins&amp;_sacat=0&amp;LH_Sold=1&amp;LH_Complete=1&amp;_sop=13", "Completed")</f>
        <v/>
      </c>
      <c r="K563" t="inlineStr">
        <is>
          <t>2024 Topps All Star Game ASG Foil Print #176-350 - Complete Your Set, You Pick</t>
        </is>
      </c>
    </row>
    <row r="564">
      <c r="A564" s="2" t="inlineStr">
        <is>
          <t>BBA-000100-00017-97762</t>
        </is>
      </c>
      <c r="B564" s="2" t="inlineStr">
        <is>
          <t>2024 Topps MIKE TROUT #27 All Star Game Angels</t>
        </is>
      </c>
      <c r="C564" s="3" t="n">
        <v>3.49</v>
      </c>
      <c r="D564" s="3" t="n">
        <v>2.49</v>
      </c>
      <c r="E564" s="3" t="n">
        <v>-1</v>
      </c>
      <c r="F564" s="4" t="n">
        <v>-28.7</v>
      </c>
      <c r="G564" s="2" t="inlineStr">
        <is>
          <t>🔵 Floored $2.49 — free ship or $0.99 ship?</t>
        </is>
      </c>
      <c r="H564" s="2" t="inlineStr">
        <is>
          <t>66%</t>
        </is>
      </c>
      <c r="I564" s="2">
        <f>HYPERLINK("https://www.ebay.com/sch/261328/i.html?_dcat=261328&amp;_fsrp=1&amp;rt=nc&amp;_from=R40&amp;_nkw=2024%20Topps%20MIKE%20TROUT%20%2327%20All%20Star%20Game%20Angels&amp;_sacat=0&amp;_sop=15&amp;rt=nc&amp;LH_BIN=1", "Active")</f>
        <v/>
      </c>
      <c r="J564" s="2">
        <f>HYPERLINK("https://www.ebay.com/sch/261328/i.html?_from=R40&amp;_nkw=2024%20Topps%20MIKE%20TROUT%20%2327%20All%20Star%20Game%20Angels&amp;_sacat=0&amp;LH_Sold=1&amp;LH_Complete=1&amp;_sop=13", "Completed")</f>
        <v/>
      </c>
      <c r="K564" s="2" t="inlineStr">
        <is>
          <t>2024 TOPPS ALL STAR GAME FOIL STAMPED ASG CARD ANGELS MIKE TROUT #27</t>
        </is>
      </c>
    </row>
    <row r="565">
      <c r="A565" s="5" t="inlineStr">
        <is>
          <t>BBA-000100-00018-57479</t>
        </is>
      </c>
      <c r="B565" s="5" t="inlineStr">
        <is>
          <t>2024 Topps TYLER O'NEILL #169 All Star Game Cardinals Football</t>
        </is>
      </c>
      <c r="C565" s="6" t="n">
        <v>2.99</v>
      </c>
      <c r="D565" s="6" t="n">
        <v>3.89</v>
      </c>
      <c r="E565" s="6" t="n">
        <v>0.9</v>
      </c>
      <c r="F565" s="7" t="n">
        <v>30.1</v>
      </c>
      <c r="G565" s="5" t="inlineStr">
        <is>
          <t>⬆ Price Up</t>
        </is>
      </c>
      <c r="H565" s="5" t="inlineStr">
        <is>
          <t>100%</t>
        </is>
      </c>
      <c r="I565" s="5">
        <f>HYPERLINK("https://www.ebay.com/sch/261328/i.html?_dcat=261328&amp;_fsrp=1&amp;rt=nc&amp;_from=R40&amp;_nkw=2024%20Topps%20TYLER%20O'NEILL%20%23169%20All%20Star%20Game%20Cardinals%20Football&amp;_sacat=0&amp;_sop=15&amp;rt=nc&amp;LH_BIN=1", "Active")</f>
        <v/>
      </c>
      <c r="J565" s="5">
        <f>HYPERLINK("https://www.ebay.com/sch/261328/i.html?_from=R40&amp;_nkw=2024%20Topps%20TYLER%20O'NEILL%20%23169%20All%20Star%20Game%20Cardinals%20Football&amp;_sacat=0&amp;LH_Sold=1&amp;LH_Complete=1&amp;_sop=13", "Completed")</f>
        <v/>
      </c>
      <c r="K565" s="5" t="inlineStr">
        <is>
          <t>2024 Topps TYLER O'NEILL #169 All Star Game Cardinals Football</t>
        </is>
      </c>
    </row>
    <row r="566">
      <c r="A566" s="2" t="inlineStr">
        <is>
          <t>BBA-000100-00026-58196</t>
        </is>
      </c>
      <c r="B566" s="2" t="inlineStr">
        <is>
          <t>2024 Topps GERRIT COLE #100 All Star Game Yankees</t>
        </is>
      </c>
      <c r="C566" s="3" t="n">
        <v>3.49</v>
      </c>
      <c r="D566" s="3" t="n">
        <v>2.49</v>
      </c>
      <c r="E566" s="3" t="n">
        <v>-1</v>
      </c>
      <c r="F566" s="4" t="n">
        <v>-28.7</v>
      </c>
      <c r="G566" s="2" t="inlineStr">
        <is>
          <t>🔵 Floored $2.49 — free ship or $0.99 ship?</t>
        </is>
      </c>
      <c r="H566" s="2" t="inlineStr">
        <is>
          <t>67%</t>
        </is>
      </c>
      <c r="I566" s="2">
        <f>HYPERLINK("https://www.ebay.com/sch/261328/i.html?_dcat=261328&amp;_fsrp=1&amp;rt=nc&amp;_from=R40&amp;_nkw=2024%20Topps%20GERRIT%20COLE%20%23100%20All%20Star%20Game%20Yankees&amp;_sacat=0&amp;_sop=15&amp;rt=nc&amp;LH_BIN=1", "Active")</f>
        <v/>
      </c>
      <c r="J566" s="2">
        <f>HYPERLINK("https://www.ebay.com/sch/261328/i.html?_from=R40&amp;_nkw=2024%20Topps%20GERRIT%20COLE%20%23100%20All%20Star%20Game%20Yankees&amp;_sacat=0&amp;LH_Sold=1&amp;LH_Complete=1&amp;_sop=13", "Completed")</f>
        <v/>
      </c>
      <c r="K566" s="2" t="inlineStr">
        <is>
          <t>2024 Topps All Star Game Parallel Pick Your Player New York Yankees</t>
        </is>
      </c>
    </row>
    <row r="567">
      <c r="A567" s="2" t="inlineStr">
        <is>
          <t>BBA-000100-00025-91539</t>
        </is>
      </c>
      <c r="B567" s="2" t="inlineStr">
        <is>
          <t>2024 Topps NICO HOERNER #204 All Star Game Cubs</t>
        </is>
      </c>
      <c r="C567" s="3" t="n">
        <v>3.49</v>
      </c>
      <c r="D567" s="3" t="n">
        <v>2.49</v>
      </c>
      <c r="E567" s="3" t="n">
        <v>-1</v>
      </c>
      <c r="F567" s="4" t="n">
        <v>-28.7</v>
      </c>
      <c r="G567" s="2" t="inlineStr">
        <is>
          <t>🔵 Floored $2.49 — free ship or $0.99 ship?</t>
        </is>
      </c>
      <c r="H567" s="2" t="inlineStr">
        <is>
          <t>65%</t>
        </is>
      </c>
      <c r="I567" s="2">
        <f>HYPERLINK("https://www.ebay.com/sch/261328/i.html?_dcat=261328&amp;_fsrp=1&amp;rt=nc&amp;_from=R40&amp;_nkw=2024%20Topps%20NICO%20HOERNER%20%23204%20All%20Star%20Game%20Cubs&amp;_sacat=0&amp;_sop=15&amp;rt=nc&amp;LH_BIN=1", "Active")</f>
        <v/>
      </c>
      <c r="J567" s="2">
        <f>HYPERLINK("https://www.ebay.com/sch/261328/i.html?_from=R40&amp;_nkw=2024%20Topps%20NICO%20HOERNER%20%23204%20All%20Star%20Game%20Cubs&amp;_sacat=0&amp;LH_Sold=1&amp;LH_Complete=1&amp;_sop=13", "Completed")</f>
        <v/>
      </c>
      <c r="K567" s="2" t="inlineStr">
        <is>
          <t>2024 Topps All Star Game Parallel Pick Your Player Chicago Cubs</t>
        </is>
      </c>
    </row>
    <row r="568">
      <c r="A568" s="2" t="inlineStr">
        <is>
          <t>BBA-000100-00030-13492</t>
        </is>
      </c>
      <c r="B568" s="2" t="inlineStr">
        <is>
          <t>2024 Topps MARK VIENTOS #78 All Star Game Mets</t>
        </is>
      </c>
      <c r="C568" s="3" t="n">
        <v>3.49</v>
      </c>
      <c r="D568" s="3" t="n">
        <v>2.49</v>
      </c>
      <c r="E568" s="3" t="n">
        <v>-1</v>
      </c>
      <c r="F568" s="4" t="n">
        <v>-28.7</v>
      </c>
      <c r="G568" s="2" t="inlineStr">
        <is>
          <t>🔵 Floored $2.49 — free ship or $0.99 ship?</t>
        </is>
      </c>
      <c r="H568" s="2" t="inlineStr">
        <is>
          <t>82%</t>
        </is>
      </c>
      <c r="I568" s="2">
        <f>HYPERLINK("https://www.ebay.com/sch/261328/i.html?_dcat=261328&amp;_fsrp=1&amp;rt=nc&amp;_from=R40&amp;_nkw=2024%20Topps%20MARK%20VIENTOS%20%2378%20All%20Star%20Game%20Mets&amp;_sacat=0&amp;_sop=15&amp;rt=nc&amp;LH_BIN=1", "Active")</f>
        <v/>
      </c>
      <c r="J568" s="2">
        <f>HYPERLINK("https://www.ebay.com/sch/261328/i.html?_from=R40&amp;_nkw=2024%20Topps%20MARK%20VIENTOS%20%2378%20All%20Star%20Game%20Mets&amp;_sacat=0&amp;LH_Sold=1&amp;LH_Complete=1&amp;_sop=13", "Completed")</f>
        <v/>
      </c>
      <c r="K568" s="2" t="inlineStr">
        <is>
          <t>2024 Topps ASG All Star Game Foil # 78 Mark Vientos New York Mets Baseball</t>
        </is>
      </c>
    </row>
    <row r="569">
      <c r="A569" s="2" t="inlineStr">
        <is>
          <t>BBA-000100-00012-74596</t>
        </is>
      </c>
      <c r="B569" s="2" t="inlineStr">
        <is>
          <t>2024 Topps FREDDIE FREEMAN #102 All Star Game Dodgers</t>
        </is>
      </c>
      <c r="C569" s="3" t="n">
        <v>3.49</v>
      </c>
      <c r="D569" s="3" t="n">
        <v>2.49</v>
      </c>
      <c r="E569" s="3" t="n">
        <v>-1</v>
      </c>
      <c r="F569" s="4" t="n">
        <v>-28.7</v>
      </c>
      <c r="G569" s="2" t="inlineStr">
        <is>
          <t>🔵 Floored $2.49 — free ship or $0.99 ship?</t>
        </is>
      </c>
      <c r="H569" s="2" t="inlineStr">
        <is>
          <t>64%</t>
        </is>
      </c>
      <c r="I569" s="2">
        <f>HYPERLINK("https://www.ebay.com/sch/261328/i.html?_dcat=261328&amp;_fsrp=1&amp;rt=nc&amp;_from=R40&amp;_nkw=2024%20Topps%20FREDDIE%20FREEMAN%20%23102%20All%20Star%20Game%20Dodgers&amp;_sacat=0&amp;_sop=15&amp;rt=nc&amp;LH_BIN=1", "Active")</f>
        <v/>
      </c>
      <c r="J569" s="2">
        <f>HYPERLINK("https://www.ebay.com/sch/261328/i.html?_from=R40&amp;_nkw=2024%20Topps%20FREDDIE%20FREEMAN%20%23102%20All%20Star%20Game%20Dodgers&amp;_sacat=0&amp;LH_Sold=1&amp;LH_Complete=1&amp;_sop=13", "Completed")</f>
        <v/>
      </c>
      <c r="K569" s="2" t="inlineStr">
        <is>
          <t>2024 Topps All Star Game Parallel Pick Your Player Los Angeles Dodgers</t>
        </is>
      </c>
    </row>
    <row r="570">
      <c r="A570" s="2" t="inlineStr">
        <is>
          <t>BBA-000100-00022-51179</t>
        </is>
      </c>
      <c r="B570" s="2" t="inlineStr">
        <is>
          <t>2024 Topps JON GRAY #16 All Star Game Rangers</t>
        </is>
      </c>
      <c r="C570" s="3" t="n">
        <v>2.99</v>
      </c>
      <c r="D570" s="3" t="n">
        <v>2.49</v>
      </c>
      <c r="E570" s="3" t="n">
        <v>-0.5</v>
      </c>
      <c r="F570" s="4" t="n">
        <v>-16.7</v>
      </c>
      <c r="G570" s="2" t="inlineStr">
        <is>
          <t>🔵 Floored $2.49 — free ship or $0.99 ship?</t>
        </is>
      </c>
      <c r="H570" s="2" t="inlineStr">
        <is>
          <t>66%</t>
        </is>
      </c>
      <c r="I570" s="2">
        <f>HYPERLINK("https://www.ebay.com/sch/261328/i.html?_dcat=261328&amp;_fsrp=1&amp;rt=nc&amp;_from=R40&amp;_nkw=2024%20Topps%20JON%20GRAY%20%2316%20All%20Star%20Game%20Rangers&amp;_sacat=0&amp;_sop=15&amp;rt=nc&amp;LH_BIN=1", "Active")</f>
        <v/>
      </c>
      <c r="J570" s="2">
        <f>HYPERLINK("https://www.ebay.com/sch/261328/i.html?_from=R40&amp;_nkw=2024%20Topps%20JON%20GRAY%20%2316%20All%20Star%20Game%20Rangers&amp;_sacat=0&amp;LH_Sold=1&amp;LH_Complete=1&amp;_sop=13", "Completed")</f>
        <v/>
      </c>
      <c r="K570" s="2" t="inlineStr">
        <is>
          <t>2024 Topps All Star Game Parallel Pick Your Player Texas Rangers</t>
        </is>
      </c>
    </row>
    <row r="571">
      <c r="A571" s="2" t="inlineStr">
        <is>
          <t>BBA-000100-00013-53637</t>
        </is>
      </c>
      <c r="B571" s="2" t="inlineStr">
        <is>
          <t>2024 Topps GRIFFIN CANNING #69 All Star Game Angels</t>
        </is>
      </c>
      <c r="C571" s="3" t="n">
        <v>3.49</v>
      </c>
      <c r="D571" s="3" t="n">
        <v>2.49</v>
      </c>
      <c r="E571" s="3" t="n">
        <v>-1</v>
      </c>
      <c r="F571" s="4" t="n">
        <v>-28.7</v>
      </c>
      <c r="G571" s="2" t="inlineStr">
        <is>
          <t>🔵 Floored $2.49 — free ship or $0.99 ship?</t>
        </is>
      </c>
      <c r="H571" s="2" t="inlineStr">
        <is>
          <t>60%</t>
        </is>
      </c>
      <c r="I571" s="2">
        <f>HYPERLINK("https://www.ebay.com/sch/261328/i.html?_dcat=261328&amp;_fsrp=1&amp;rt=nc&amp;_from=R40&amp;_nkw=2024%20Topps%20GRIFFIN%20CANNING%20%2369%20All%20Star%20Game%20Angels&amp;_sacat=0&amp;_sop=15&amp;rt=nc&amp;LH_BIN=1", "Active")</f>
        <v/>
      </c>
      <c r="J571" s="2">
        <f>HYPERLINK("https://www.ebay.com/sch/261328/i.html?_from=R40&amp;_nkw=2024%20Topps%20GRIFFIN%20CANNING%20%2369%20All%20Star%20Game%20Angels&amp;_sacat=0&amp;LH_Sold=1&amp;LH_Complete=1&amp;_sop=13", "Completed")</f>
        <v/>
      </c>
      <c r="K571" s="2" t="inlineStr">
        <is>
          <t>2024 Topps All Star Game ASG Foil Print #1-175 - Complete Your Set, You Pick</t>
        </is>
      </c>
    </row>
    <row r="572">
      <c r="A572" s="5" t="inlineStr">
        <is>
          <t>BBA-000100-00021-43803</t>
        </is>
      </c>
      <c r="B572" s="5" t="inlineStr">
        <is>
          <t>2024 Topps JAZZ CHISHOLM JR. #223 All Star Game Marlins Basketball</t>
        </is>
      </c>
      <c r="C572" s="6" t="n">
        <v>3.49</v>
      </c>
      <c r="D572" s="6" t="n">
        <v>4.39</v>
      </c>
      <c r="E572" s="6" t="n">
        <v>0.9</v>
      </c>
      <c r="F572" s="7" t="n">
        <v>25.8</v>
      </c>
      <c r="G572" s="5" t="inlineStr">
        <is>
          <t>⬆ Price Up</t>
        </is>
      </c>
      <c r="H572" s="5" t="inlineStr">
        <is>
          <t>100%</t>
        </is>
      </c>
      <c r="I572" s="5">
        <f>HYPERLINK("https://www.ebay.com/sch/261328/i.html?_dcat=261328&amp;_fsrp=1&amp;rt=nc&amp;_from=R40&amp;_nkw=2024%20Topps%20JAZZ%20CHISHOLM%20JR.%20%23223%20All%20Star%20Game%20Marlins%20Basketball&amp;_sacat=0&amp;_sop=15&amp;rt=nc&amp;LH_BIN=1", "Active")</f>
        <v/>
      </c>
      <c r="J572" s="5">
        <f>HYPERLINK("https://www.ebay.com/sch/261328/i.html?_from=R40&amp;_nkw=2024%20Topps%20JAZZ%20CHISHOLM%20JR.%20%23223%20All%20Star%20Game%20Marlins%20Basketball&amp;_sacat=0&amp;LH_Sold=1&amp;LH_Complete=1&amp;_sop=13", "Completed")</f>
        <v/>
      </c>
      <c r="K572" s="5" t="inlineStr">
        <is>
          <t>2024 Topps JAZZ CHISHOLM JR. #223 All Star Game Marlins Basketball</t>
        </is>
      </c>
    </row>
    <row r="573">
      <c r="A573" s="2" t="inlineStr">
        <is>
          <t>BBA-000100-00004-52278</t>
        </is>
      </c>
      <c r="B573" s="2" t="inlineStr">
        <is>
          <t>2024 Topps MICHAEL KOPECH #109 All Star Game White Sox</t>
        </is>
      </c>
      <c r="C573" s="3" t="n">
        <v>3.49</v>
      </c>
      <c r="D573" s="3" t="n">
        <v>2.49</v>
      </c>
      <c r="E573" s="3" t="n">
        <v>-1</v>
      </c>
      <c r="F573" s="4" t="n">
        <v>-28.7</v>
      </c>
      <c r="G573" s="2" t="inlineStr">
        <is>
          <t>🔵 Floored $2.49 — free ship or $0.99 ship?</t>
        </is>
      </c>
      <c r="H573" s="2" t="inlineStr">
        <is>
          <t>70%</t>
        </is>
      </c>
      <c r="I573" s="2">
        <f>HYPERLINK("https://www.ebay.com/sch/261328/i.html?_dcat=261328&amp;_fsrp=1&amp;rt=nc&amp;_from=R40&amp;_nkw=2024%20Topps%20MICHAEL%20KOPECH%20%23109%20All%20Star%20Game%20White%20Sox&amp;_sacat=0&amp;_sop=15&amp;rt=nc&amp;LH_BIN=1", "Active")</f>
        <v/>
      </c>
      <c r="J573" s="2">
        <f>HYPERLINK("https://www.ebay.com/sch/261328/i.html?_from=R40&amp;_nkw=2024%20Topps%20MICHAEL%20KOPECH%20%23109%20All%20Star%20Game%20White%20Sox&amp;_sacat=0&amp;LH_Sold=1&amp;LH_Complete=1&amp;_sop=13", "Completed")</f>
        <v/>
      </c>
      <c r="K573" s="2" t="inlineStr">
        <is>
          <t>2024 Topps All Star Game Parallel Pick Your Player Chicago White Sox</t>
        </is>
      </c>
    </row>
    <row r="574">
      <c r="A574" s="2" t="inlineStr">
        <is>
          <t>BBA-000100-00028-74849</t>
        </is>
      </c>
      <c r="B574" s="2" t="inlineStr">
        <is>
          <t>2024 Topps SEATTLE MARINERS #241 All Star Game</t>
        </is>
      </c>
      <c r="C574" s="3" t="n">
        <v>3.49</v>
      </c>
      <c r="D574" s="3" t="n">
        <v>2.49</v>
      </c>
      <c r="E574" s="3" t="n">
        <v>-1</v>
      </c>
      <c r="F574" s="4" t="n">
        <v>-28.7</v>
      </c>
      <c r="G574" s="2" t="inlineStr">
        <is>
          <t>🔵 Floored $2.49 — free ship or $0.99 ship?</t>
        </is>
      </c>
      <c r="H574" s="2" t="inlineStr">
        <is>
          <t>70%</t>
        </is>
      </c>
      <c r="I574" s="2">
        <f>HYPERLINK("https://www.ebay.com/sch/261328/i.html?_dcat=261328&amp;_fsrp=1&amp;rt=nc&amp;_from=R40&amp;_nkw=2024%20Topps%20SEATTLE%20MARINERS%20%23241%20All%20Star%20Game&amp;_sacat=0&amp;_sop=15&amp;rt=nc&amp;LH_BIN=1", "Active")</f>
        <v/>
      </c>
      <c r="J574" s="2">
        <f>HYPERLINK("https://www.ebay.com/sch/261328/i.html?_from=R40&amp;_nkw=2024%20Topps%20SEATTLE%20MARINERS%20%23241%20All%20Star%20Game&amp;_sacat=0&amp;LH_Sold=1&amp;LH_Complete=1&amp;_sop=13", "Completed")</f>
        <v/>
      </c>
      <c r="K574" s="2" t="inlineStr">
        <is>
          <t>Seattle Mariners 2024 Topps ASG Foil Stamped #241 All-Star Game SET EXCLUSIVE</t>
        </is>
      </c>
    </row>
    <row r="575">
      <c r="A575" s="2" t="inlineStr">
        <is>
          <t>BBA-000100-00009-96736</t>
        </is>
      </c>
      <c r="B575" s="2" t="inlineStr">
        <is>
          <t>2024 Topps NICK FORTES #81 All Star Game Marlins</t>
        </is>
      </c>
      <c r="C575" s="3" t="n">
        <v>3.49</v>
      </c>
      <c r="D575" s="3" t="n">
        <v>2.49</v>
      </c>
      <c r="E575" s="3" t="n">
        <v>-1</v>
      </c>
      <c r="F575" s="4" t="n">
        <v>-28.7</v>
      </c>
      <c r="G575" s="2" t="inlineStr">
        <is>
          <t>🔵 Floored $2.49 — free ship or $0.99 ship?</t>
        </is>
      </c>
      <c r="H575" s="2" t="inlineStr">
        <is>
          <t>66%</t>
        </is>
      </c>
      <c r="I575" s="2">
        <f>HYPERLINK("https://www.ebay.com/sch/261328/i.html?_dcat=261328&amp;_fsrp=1&amp;rt=nc&amp;_from=R40&amp;_nkw=2024%20Topps%20NICK%20FORTES%20%2381%20All%20Star%20Game%20Marlins&amp;_sacat=0&amp;_sop=15&amp;rt=nc&amp;LH_BIN=1", "Active")</f>
        <v/>
      </c>
      <c r="J575" s="2">
        <f>HYPERLINK("https://www.ebay.com/sch/261328/i.html?_from=R40&amp;_nkw=2024%20Topps%20NICK%20FORTES%20%2381%20All%20Star%20Game%20Marlins&amp;_sacat=0&amp;LH_Sold=1&amp;LH_Complete=1&amp;_sop=13", "Completed")</f>
        <v/>
      </c>
      <c r="K575" s="2" t="inlineStr">
        <is>
          <t>2024 Topps All Star Game Parallel Pick Your Player Miami Marlins</t>
        </is>
      </c>
    </row>
    <row r="576">
      <c r="A576" s="2" t="inlineStr">
        <is>
          <t>BBA-000100-00005-06616</t>
        </is>
      </c>
      <c r="B576" s="2" t="inlineStr">
        <is>
          <t>2024 Topps EMMET SHEEHAN #283 All Star Game RC Dodgers Rookie</t>
        </is>
      </c>
      <c r="C576" s="3" t="n">
        <v>3.49</v>
      </c>
      <c r="D576" s="3" t="n">
        <v>2.49</v>
      </c>
      <c r="E576" s="3" t="n">
        <v>-1</v>
      </c>
      <c r="F576" s="4" t="n">
        <v>-28.7</v>
      </c>
      <c r="G576" s="2" t="inlineStr">
        <is>
          <t>🔵 Floored $2.49 — free ship or $0.99 ship?</t>
        </is>
      </c>
      <c r="H576" s="2" t="inlineStr">
        <is>
          <t>65%</t>
        </is>
      </c>
      <c r="I576" s="2">
        <f>HYPERLINK("https://www.ebay.com/sch/261328/i.html?_dcat=261328&amp;_fsrp=1&amp;rt=nc&amp;_from=R40&amp;_nkw=2024%20Topps%20EMMET%20SHEEHAN%20%23283%20All%20Star%20Game%20RC%20Dodgers%20Rookie&amp;_sacat=0&amp;_sop=15&amp;rt=nc&amp;LH_BIN=1", "Active")</f>
        <v/>
      </c>
      <c r="J576" s="2">
        <f>HYPERLINK("https://www.ebay.com/sch/261328/i.html?_from=R40&amp;_nkw=2024%20Topps%20EMMET%20SHEEHAN%20%23283%20All%20Star%20Game%20RC%20Dodgers%20Rookie&amp;_sacat=0&amp;LH_Sold=1&amp;LH_Complete=1&amp;_sop=13", "Completed")</f>
        <v/>
      </c>
      <c r="K576" s="2" t="inlineStr">
        <is>
          <t>2024 Topps All Star Game ASG Foil Print #176-350 - Complete Your Set, You Pick</t>
        </is>
      </c>
    </row>
    <row r="577">
      <c r="A577" s="2" t="inlineStr">
        <is>
          <t>BBA-000100-00001-74749</t>
        </is>
      </c>
      <c r="B577" s="2" t="inlineStr">
        <is>
          <t>2024 Topps CHRISTIAN ENCARNACION-STRAND #219 All Star Game RC Reds Rookie</t>
        </is>
      </c>
      <c r="C577" s="3" t="n">
        <v>3.49</v>
      </c>
      <c r="D577" s="3" t="n">
        <v>2.49</v>
      </c>
      <c r="E577" s="3" t="n">
        <v>-1</v>
      </c>
      <c r="F577" s="4" t="n">
        <v>-28.7</v>
      </c>
      <c r="G577" s="2" t="inlineStr">
        <is>
          <t>🔵 Floored $2.49 — free ship or $0.99 ship?</t>
        </is>
      </c>
      <c r="H577" s="2" t="inlineStr">
        <is>
          <t>87%</t>
        </is>
      </c>
      <c r="I577" s="2">
        <f>HYPERLINK("https://www.ebay.com/sch/261328/i.html?_dcat=261328&amp;_fsrp=1&amp;rt=nc&amp;_from=R40&amp;_nkw=2024%20Topps%20CHRISTIAN%20ENCARNACION-STRAND%20%23219%20All%20Star%20Game%20RC%20Reds%20Rookie&amp;_sacat=0&amp;_sop=15&amp;rt=nc&amp;LH_BIN=1", "Active")</f>
        <v/>
      </c>
      <c r="J577" s="2">
        <f>HYPERLINK("https://www.ebay.com/sch/261328/i.html?_from=R40&amp;_nkw=2024%20Topps%20CHRISTIAN%20ENCARNACION-STRAND%20%23219%20All%20Star%20Game%20RC%20Reds%20Rookie&amp;_sacat=0&amp;LH_Sold=1&amp;LH_Complete=1&amp;_sop=13", "Completed")</f>
        <v/>
      </c>
      <c r="K577" s="2" t="inlineStr">
        <is>
          <t>2024 Topps ASG All-Star Game Foil Christian Encarnacion-Strand Reds #219 RC</t>
        </is>
      </c>
    </row>
    <row r="578">
      <c r="A578" s="2" t="inlineStr">
        <is>
          <t>BBA-000100-00035-56823</t>
        </is>
      </c>
      <c r="B578" s="2" t="inlineStr">
        <is>
          <t>2024 Topps DANE DUNNING #348 All Star Game Rangers</t>
        </is>
      </c>
      <c r="C578" s="3" t="n">
        <v>3.49</v>
      </c>
      <c r="D578" s="3" t="n">
        <v>2.49</v>
      </c>
      <c r="E578" s="3" t="n">
        <v>-1</v>
      </c>
      <c r="F578" s="4" t="n">
        <v>-28.7</v>
      </c>
      <c r="G578" s="2" t="inlineStr">
        <is>
          <t>🔵 Floored $2.49 — free ship or $0.99 ship?</t>
        </is>
      </c>
      <c r="H578" s="2" t="inlineStr">
        <is>
          <t>63%</t>
        </is>
      </c>
      <c r="I578" s="2">
        <f>HYPERLINK("https://www.ebay.com/sch/261328/i.html?_dcat=261328&amp;_fsrp=1&amp;rt=nc&amp;_from=R40&amp;_nkw=2024%20Topps%20DANE%20DUNNING%20%23348%20All%20Star%20Game%20Rangers&amp;_sacat=0&amp;_sop=15&amp;rt=nc&amp;LH_BIN=1", "Active")</f>
        <v/>
      </c>
      <c r="J578" s="2">
        <f>HYPERLINK("https://www.ebay.com/sch/261328/i.html?_from=R40&amp;_nkw=2024%20Topps%20DANE%20DUNNING%20%23348%20All%20Star%20Game%20Rangers&amp;_sacat=0&amp;LH_Sold=1&amp;LH_Complete=1&amp;_sop=13", "Completed")</f>
        <v/>
      </c>
      <c r="K578" s="2" t="inlineStr">
        <is>
          <t>2024 Topps All Star Game Parallel Pick Your Player Texas Rangers</t>
        </is>
      </c>
    </row>
    <row r="579">
      <c r="A579" s="2" t="inlineStr">
        <is>
          <t>BBA-000100-00011-18932</t>
        </is>
      </c>
      <c r="B579" s="2" t="inlineStr">
        <is>
          <t>2024 Topps ABNER URIBE #310 All Star Game RC Brewers Rookie</t>
        </is>
      </c>
      <c r="C579" s="3" t="n">
        <v>3.49</v>
      </c>
      <c r="D579" s="3" t="n">
        <v>2.49</v>
      </c>
      <c r="E579" s="3" t="n">
        <v>-1</v>
      </c>
      <c r="F579" s="4" t="n">
        <v>-28.7</v>
      </c>
      <c r="G579" s="2" t="inlineStr">
        <is>
          <t>🔵 Floored $2.49 — free ship or $0.99 ship?</t>
        </is>
      </c>
      <c r="H579" s="2" t="inlineStr">
        <is>
          <t>64%</t>
        </is>
      </c>
      <c r="I579" s="2">
        <f>HYPERLINK("https://www.ebay.com/sch/261328/i.html?_dcat=261328&amp;_fsrp=1&amp;rt=nc&amp;_from=R40&amp;_nkw=2024%20Topps%20ABNER%20URIBE%20%23310%20All%20Star%20Game%20RC%20Brewers%20Rookie&amp;_sacat=0&amp;_sop=15&amp;rt=nc&amp;LH_BIN=1", "Active")</f>
        <v/>
      </c>
      <c r="J579" s="2">
        <f>HYPERLINK("https://www.ebay.com/sch/261328/i.html?_from=R40&amp;_nkw=2024%20Topps%20ABNER%20URIBE%20%23310%20All%20Star%20Game%20RC%20Brewers%20Rookie&amp;_sacat=0&amp;LH_Sold=1&amp;LH_Complete=1&amp;_sop=13", "Completed")</f>
        <v/>
      </c>
      <c r="K579" s="2" t="inlineStr">
        <is>
          <t>2024 Topps All Star Game ASG Foil Print #176-350 - Complete Your Set, You Pick</t>
        </is>
      </c>
    </row>
    <row r="580">
      <c r="A580" s="2" t="inlineStr">
        <is>
          <t>BBA-000100-00008-43968</t>
        </is>
      </c>
      <c r="B580" s="2" t="inlineStr">
        <is>
          <t>2024 Topps SPENCER STRIDER #11 All Star Game Braves</t>
        </is>
      </c>
      <c r="C580" s="3" t="n">
        <v>3.49</v>
      </c>
      <c r="D580" s="3" t="n">
        <v>2.49</v>
      </c>
      <c r="E580" s="3" t="n">
        <v>-1</v>
      </c>
      <c r="F580" s="4" t="n">
        <v>-28.7</v>
      </c>
      <c r="G580" s="2" t="inlineStr">
        <is>
          <t>🔵 Floored $2.49 — free ship or $0.99 ship?</t>
        </is>
      </c>
      <c r="H580" s="2" t="inlineStr">
        <is>
          <t>67%</t>
        </is>
      </c>
      <c r="I580" s="2">
        <f>HYPERLINK("https://www.ebay.com/sch/261328/i.html?_dcat=261328&amp;_fsrp=1&amp;rt=nc&amp;_from=R40&amp;_nkw=2024%20Topps%20SPENCER%20STRIDER%20%2311%20All%20Star%20Game%20Braves&amp;_sacat=0&amp;_sop=15&amp;rt=nc&amp;LH_BIN=1", "Active")</f>
        <v/>
      </c>
      <c r="J580" s="2">
        <f>HYPERLINK("https://www.ebay.com/sch/261328/i.html?_from=R40&amp;_nkw=2024%20Topps%20SPENCER%20STRIDER%20%2311%20All%20Star%20Game%20Braves&amp;_sacat=0&amp;LH_Sold=1&amp;LH_Complete=1&amp;_sop=13", "Completed")</f>
        <v/>
      </c>
      <c r="K580" s="2" t="inlineStr">
        <is>
          <t>2024 Topps All Star Game Parallel Pick Your Player Atlanta Braves</t>
        </is>
      </c>
    </row>
    <row r="581">
      <c r="A581" s="2" t="inlineStr">
        <is>
          <t>BBA-000100-00003-49137</t>
        </is>
      </c>
      <c r="B581" s="2" t="inlineStr">
        <is>
          <t>2024 Topps JJ BLEDAY #147 All Star Game Athletics</t>
        </is>
      </c>
      <c r="C581" s="3" t="n">
        <v>3.49</v>
      </c>
      <c r="D581" s="3" t="n">
        <v>2.49</v>
      </c>
      <c r="E581" s="3" t="n">
        <v>-1</v>
      </c>
      <c r="F581" s="4" t="n">
        <v>-28.7</v>
      </c>
      <c r="G581" s="2" t="inlineStr">
        <is>
          <t>🔵 Floored $2.49 — free ship or $0.99 ship?</t>
        </is>
      </c>
      <c r="H581" s="2" t="inlineStr">
        <is>
          <t>63%</t>
        </is>
      </c>
      <c r="I581" s="2">
        <f>HYPERLINK("https://www.ebay.com/sch/261328/i.html?_dcat=261328&amp;_fsrp=1&amp;rt=nc&amp;_from=R40&amp;_nkw=2024%20Topps%20JJ%20BLEDAY%20%23147%20All%20Star%20Game%20Athletics&amp;_sacat=0&amp;_sop=15&amp;rt=nc&amp;LH_BIN=1", "Active")</f>
        <v/>
      </c>
      <c r="J581" s="2">
        <f>HYPERLINK("https://www.ebay.com/sch/261328/i.html?_from=R40&amp;_nkw=2024%20Topps%20JJ%20BLEDAY%20%23147%20All%20Star%20Game%20Athletics&amp;_sacat=0&amp;LH_Sold=1&amp;LH_Complete=1&amp;_sop=13", "Completed")</f>
        <v/>
      </c>
      <c r="K581" s="2" t="inlineStr">
        <is>
          <t>2024 Topps All Star Game ASG Foil Print #1-175 - Complete Your Set, You Pick</t>
        </is>
      </c>
    </row>
    <row r="582">
      <c r="A582" s="2" t="inlineStr">
        <is>
          <t>BBA-000100-00014-80555</t>
        </is>
      </c>
      <c r="B582" s="2" t="inlineStr">
        <is>
          <t>2024 Topps JOSH LOWE #253 All Star Game Rays</t>
        </is>
      </c>
      <c r="C582" s="3" t="n">
        <v>2.99</v>
      </c>
      <c r="D582" s="3" t="n">
        <v>2.49</v>
      </c>
      <c r="E582" s="3" t="n">
        <v>-0.5</v>
      </c>
      <c r="F582" s="4" t="n">
        <v>-16.7</v>
      </c>
      <c r="G582" s="2" t="inlineStr">
        <is>
          <t>🔵 Floored $2.49 — free ship or $0.99 ship?</t>
        </is>
      </c>
      <c r="H582" s="2" t="inlineStr">
        <is>
          <t>64%</t>
        </is>
      </c>
      <c r="I582" s="2">
        <f>HYPERLINK("https://www.ebay.com/sch/261328/i.html?_dcat=261328&amp;_fsrp=1&amp;rt=nc&amp;_from=R40&amp;_nkw=2024%20Topps%20JOSH%20LOWE%20%23253%20All%20Star%20Game%20Rays&amp;_sacat=0&amp;_sop=15&amp;rt=nc&amp;LH_BIN=1", "Active")</f>
        <v/>
      </c>
      <c r="J582" s="2">
        <f>HYPERLINK("https://www.ebay.com/sch/261328/i.html?_from=R40&amp;_nkw=2024%20Topps%20JOSH%20LOWE%20%23253%20All%20Star%20Game%20Rays&amp;_sacat=0&amp;LH_Sold=1&amp;LH_Complete=1&amp;_sop=13", "Completed")</f>
        <v/>
      </c>
      <c r="K582" s="2" t="inlineStr">
        <is>
          <t>2024 Topps All Star Game ASG Foil Print #176-350 - Complete Your Set, You Pick</t>
        </is>
      </c>
    </row>
    <row r="583">
      <c r="A583" s="2" t="inlineStr">
        <is>
          <t>BBA-000100-00032-84852</t>
        </is>
      </c>
      <c r="B583" s="2" t="inlineStr">
        <is>
          <t>2024 Topps PHILADELPHIA PHILLIES #126 All Star Game</t>
        </is>
      </c>
      <c r="C583" s="3" t="n">
        <v>3.49</v>
      </c>
      <c r="D583" s="3" t="n">
        <v>2.49</v>
      </c>
      <c r="E583" s="3" t="n">
        <v>-1</v>
      </c>
      <c r="F583" s="4" t="n">
        <v>-28.7</v>
      </c>
      <c r="G583" s="2" t="inlineStr">
        <is>
          <t>🔵 Floored $2.49 — free ship or $0.99 ship?</t>
        </is>
      </c>
      <c r="H583" s="2" t="inlineStr">
        <is>
          <t>66%</t>
        </is>
      </c>
      <c r="I583" s="2">
        <f>HYPERLINK("https://www.ebay.com/sch/261328/i.html?_dcat=261328&amp;_fsrp=1&amp;rt=nc&amp;_from=R40&amp;_nkw=2024%20Topps%20PHILADELPHIA%20PHILLIES%20%23126%20All%20Star%20Game&amp;_sacat=0&amp;_sop=15&amp;rt=nc&amp;LH_BIN=1", "Active")</f>
        <v/>
      </c>
      <c r="J583" s="2">
        <f>HYPERLINK("https://www.ebay.com/sch/261328/i.html?_from=R40&amp;_nkw=2024%20Topps%20PHILADELPHIA%20PHILLIES%20%23126%20All%20Star%20Game&amp;_sacat=0&amp;LH_Sold=1&amp;LH_Complete=1&amp;_sop=13", "Completed")</f>
        <v/>
      </c>
      <c r="K583" s="2" t="inlineStr">
        <is>
          <t>2024 Topps All Star Game Parallel Pick Your Player Philadelphia Phillies</t>
        </is>
      </c>
    </row>
    <row r="584">
      <c r="A584" s="2" t="inlineStr">
        <is>
          <t>BBA-000100-00020-18400</t>
        </is>
      </c>
      <c r="B584" s="2" t="inlineStr">
        <is>
          <t>2024 Topps CHRISTIAN WALKER #63 All Star Game Diamondbacks</t>
        </is>
      </c>
      <c r="C584" s="3" t="n">
        <v>3.49</v>
      </c>
      <c r="D584" s="3" t="n">
        <v>2.49</v>
      </c>
      <c r="E584" s="3" t="n">
        <v>-1</v>
      </c>
      <c r="F584" s="4" t="n">
        <v>-28.7</v>
      </c>
      <c r="G584" s="2" t="inlineStr">
        <is>
          <t>🔵 Floored $2.49 — free ship or $0.99 ship?</t>
        </is>
      </c>
      <c r="H584" s="2" t="inlineStr">
        <is>
          <t>62%</t>
        </is>
      </c>
      <c r="I584" s="2">
        <f>HYPERLINK("https://www.ebay.com/sch/261328/i.html?_dcat=261328&amp;_fsrp=1&amp;rt=nc&amp;_from=R40&amp;_nkw=2024%20Topps%20CHRISTIAN%20WALKER%20%2363%20All%20Star%20Game%20Diamondbacks&amp;_sacat=0&amp;_sop=15&amp;rt=nc&amp;LH_BIN=1", "Active")</f>
        <v/>
      </c>
      <c r="J584" s="2">
        <f>HYPERLINK("https://www.ebay.com/sch/261328/i.html?_from=R40&amp;_nkw=2024%20Topps%20CHRISTIAN%20WALKER%20%2363%20All%20Star%20Game%20Diamondbacks&amp;_sacat=0&amp;LH_Sold=1&amp;LH_Complete=1&amp;_sop=13", "Completed")</f>
        <v/>
      </c>
      <c r="K584" s="2" t="inlineStr">
        <is>
          <t>2024 Topps All Star Game ASG Foil Print #1-175 - Complete Your Set, You Pick</t>
        </is>
      </c>
    </row>
    <row r="585">
      <c r="A585" s="2" t="inlineStr">
        <is>
          <t>BBA-000100-00010-71634</t>
        </is>
      </c>
      <c r="B585" s="2" t="inlineStr">
        <is>
          <t>2024 Topps JORDAN ROMANO #101 All Star Game Blue Jays</t>
        </is>
      </c>
      <c r="C585" s="3" t="n">
        <v>3.49</v>
      </c>
      <c r="D585" s="3" t="n">
        <v>2.49</v>
      </c>
      <c r="E585" s="3" t="n">
        <v>-1</v>
      </c>
      <c r="F585" s="4" t="n">
        <v>-28.7</v>
      </c>
      <c r="G585" s="2" t="inlineStr">
        <is>
          <t>🔵 Floored $2.49 — free ship or $0.99 ship?</t>
        </is>
      </c>
      <c r="H585" s="2" t="inlineStr">
        <is>
          <t>65%</t>
        </is>
      </c>
      <c r="I585" s="2">
        <f>HYPERLINK("https://www.ebay.com/sch/261328/i.html?_dcat=261328&amp;_fsrp=1&amp;rt=nc&amp;_from=R40&amp;_nkw=2024%20Topps%20JORDAN%20ROMANO%20%23101%20All%20Star%20Game%20Blue%20Jays&amp;_sacat=0&amp;_sop=15&amp;rt=nc&amp;LH_BIN=1", "Active")</f>
        <v/>
      </c>
      <c r="J585" s="2">
        <f>HYPERLINK("https://www.ebay.com/sch/261328/i.html?_from=R40&amp;_nkw=2024%20Topps%20JORDAN%20ROMANO%20%23101%20All%20Star%20Game%20Blue%20Jays&amp;_sacat=0&amp;LH_Sold=1&amp;LH_Complete=1&amp;_sop=13", "Completed")</f>
        <v/>
      </c>
      <c r="K585" s="2" t="inlineStr">
        <is>
          <t>2024 Topps All Star Game ASG Foil Print #1-175 - Complete Your Set, You Pick</t>
        </is>
      </c>
    </row>
    <row r="586">
      <c r="A586" s="2" t="inlineStr">
        <is>
          <t>BBA-000100-00029-41404</t>
        </is>
      </c>
      <c r="B586" s="2" t="inlineStr">
        <is>
          <t>2024 Topps CONNOR WONG #104 All Star Game Red Sox</t>
        </is>
      </c>
      <c r="C586" s="3" t="n">
        <v>3.49</v>
      </c>
      <c r="D586" s="3" t="n">
        <v>2.49</v>
      </c>
      <c r="E586" s="3" t="n">
        <v>-1</v>
      </c>
      <c r="F586" s="4" t="n">
        <v>-28.7</v>
      </c>
      <c r="G586" s="2" t="inlineStr">
        <is>
          <t>🔵 Floored $2.49 — free ship or $0.99 ship?</t>
        </is>
      </c>
      <c r="H586" s="2" t="inlineStr">
        <is>
          <t>61%</t>
        </is>
      </c>
      <c r="I586" s="2">
        <f>HYPERLINK("https://www.ebay.com/sch/261328/i.html?_dcat=261328&amp;_fsrp=1&amp;rt=nc&amp;_from=R40&amp;_nkw=2024%20Topps%20CONNOR%20WONG%20%23104%20All%20Star%20Game%20Red%20Sox&amp;_sacat=0&amp;_sop=15&amp;rt=nc&amp;LH_BIN=1", "Active")</f>
        <v/>
      </c>
      <c r="J586" s="2">
        <f>HYPERLINK("https://www.ebay.com/sch/261328/i.html?_from=R40&amp;_nkw=2024%20Topps%20CONNOR%20WONG%20%23104%20All%20Star%20Game%20Red%20Sox&amp;_sacat=0&amp;LH_Sold=1&amp;LH_Complete=1&amp;_sop=13", "Completed")</f>
        <v/>
      </c>
      <c r="K586" s="2" t="inlineStr">
        <is>
          <t>2024 Topps All Star Game ASG Foil Print #1-175 - Complete Your Set, You Pick</t>
        </is>
      </c>
    </row>
    <row r="587">
      <c r="A587" s="2" t="inlineStr">
        <is>
          <t>BBA-000100-00006-81975</t>
        </is>
      </c>
      <c r="B587" s="2" t="inlineStr">
        <is>
          <t>2021 Panini Contenders Draft PICKS JAVONTE WILLIAMS #22 School Colors RC Rookie</t>
        </is>
      </c>
      <c r="C587" s="3" t="n">
        <v>3.99</v>
      </c>
      <c r="D587" s="3" t="n">
        <v>2.49</v>
      </c>
      <c r="E587" s="3" t="n">
        <v>-1.5</v>
      </c>
      <c r="F587" s="4" t="n">
        <v>-37.6</v>
      </c>
      <c r="G587" s="2" t="inlineStr">
        <is>
          <t>🔵 Floored $2.49 — free ship or $0.99 ship?</t>
        </is>
      </c>
      <c r="H587" s="2" t="inlineStr">
        <is>
          <t>88%</t>
        </is>
      </c>
      <c r="I587" s="2">
        <f>HYPERLINK("https://www.ebay.com/sch/261328/i.html?_dcat=261328&amp;_fsrp=1&amp;rt=nc&amp;_from=R40&amp;_nkw=2021%20Panini%20Contenders%20Draft%20PICKS%20JAVONTE%20WILLIAMS%20%2322%20School%20Colors%20RC%20Rookie&amp;_sacat=0&amp;_sop=15&amp;rt=nc&amp;LH_BIN=1", "Active")</f>
        <v/>
      </c>
      <c r="J587" s="2">
        <f>HYPERLINK("https://www.ebay.com/sch/261328/i.html?_from=R40&amp;_nkw=2021%20Panini%20Contenders%20Draft%20PICKS%20JAVONTE%20WILLIAMS%20%2322%20School%20Colors%20RC%20Rookie&amp;_sacat=0&amp;LH_Sold=1&amp;LH_Complete=1&amp;_sop=13", "Completed")</f>
        <v/>
      </c>
      <c r="K587" s="2" t="inlineStr">
        <is>
          <t>2021 Contenders Draft Picks JAVONTE WILLIAMS RC School Colors #22 Rookie!</t>
        </is>
      </c>
    </row>
    <row r="588">
      <c r="A588" s="5" t="inlineStr">
        <is>
          <t>BBA-000100-00007-22598</t>
        </is>
      </c>
      <c r="B588" s="5" t="inlineStr">
        <is>
          <t>2021 Panini Select ZACH ERTZ #228 Red and Blue Prizm Die Cut Club Cardinals</t>
        </is>
      </c>
      <c r="C588" s="6" t="n">
        <v>3.49</v>
      </c>
      <c r="D588" s="6" t="n">
        <v>4.39</v>
      </c>
      <c r="E588" s="6" t="n">
        <v>0.9</v>
      </c>
      <c r="F588" s="7" t="n">
        <v>25.8</v>
      </c>
      <c r="G588" s="5" t="inlineStr">
        <is>
          <t>⬆ Price Up</t>
        </is>
      </c>
      <c r="H588" s="5" t="inlineStr">
        <is>
          <t>100%</t>
        </is>
      </c>
      <c r="I588" s="5">
        <f>HYPERLINK("https://www.ebay.com/sch/261328/i.html?_dcat=261328&amp;_fsrp=1&amp;rt=nc&amp;_from=R40&amp;_nkw=2021%20Panini%20Select%20ZACH%20ERTZ%20%23228%20Red%20and%20Blue%20Prizm%20Die%20Cut%20Club%20Cardinals&amp;_sacat=0&amp;_sop=15&amp;rt=nc&amp;LH_BIN=1", "Active")</f>
        <v/>
      </c>
      <c r="J588" s="5">
        <f>HYPERLINK("https://www.ebay.com/sch/261328/i.html?_from=R40&amp;_nkw=2021%20Panini%20Select%20ZACH%20ERTZ%20%23228%20Red%20and%20Blue%20Prizm%20Die%20Cut%20Club%20Cardinals&amp;_sacat=0&amp;LH_Sold=1&amp;LH_Complete=1&amp;_sop=13", "Completed")</f>
        <v/>
      </c>
      <c r="K588" s="5" t="inlineStr">
        <is>
          <t>2021 Panini Select ZACH ERTZ #228 Red and Blue Prizm Die Cut Club Cardinals</t>
        </is>
      </c>
    </row>
    <row r="589">
      <c r="A589" s="2" t="inlineStr">
        <is>
          <t>BBA-000100-00016-05271</t>
        </is>
      </c>
      <c r="B589" s="2" t="inlineStr">
        <is>
          <t>2022 Panini Prizm BERNIE KOSAR #74 Green Browns Football</t>
        </is>
      </c>
      <c r="C589" s="3" t="n">
        <v>3.99</v>
      </c>
      <c r="D589" s="3" t="n">
        <v>2.49</v>
      </c>
      <c r="E589" s="3" t="n">
        <v>-1.5</v>
      </c>
      <c r="F589" s="4" t="n">
        <v>-37.6</v>
      </c>
      <c r="G589" s="2" t="inlineStr">
        <is>
          <t>🔵 Floored $2.49 — free ship or $0.99 ship?</t>
        </is>
      </c>
      <c r="H589" s="2" t="inlineStr">
        <is>
          <t>84%</t>
        </is>
      </c>
      <c r="I589" s="2">
        <f>HYPERLINK("https://www.ebay.com/sch/261328/i.html?_dcat=261328&amp;_fsrp=1&amp;rt=nc&amp;_from=R40&amp;_nkw=2022%20Panini%20Prizm%20BERNIE%20KOSAR%20%2374%20Green%20Browns%20Football&amp;_sacat=0&amp;_sop=15&amp;rt=nc&amp;LH_BIN=1", "Active")</f>
        <v/>
      </c>
      <c r="J589" s="2">
        <f>HYPERLINK("https://www.ebay.com/sch/261328/i.html?_from=R40&amp;_nkw=2022%20Panini%20Prizm%20BERNIE%20KOSAR%20%2374%20Green%20Browns%20Football&amp;_sacat=0&amp;LH_Sold=1&amp;LH_Complete=1&amp;_sop=13", "Completed")</f>
        <v/>
      </c>
      <c r="K589" s="2" t="inlineStr">
        <is>
          <t>2022 Prizm Green Prizm Browns Bernie Kosar #74</t>
        </is>
      </c>
    </row>
    <row r="590">
      <c r="A590" s="2" t="inlineStr">
        <is>
          <t>BBA-000100-00015-74683</t>
        </is>
      </c>
      <c r="B590" s="2" t="inlineStr">
        <is>
          <t>2023 Panini Donruss SHAQ THOMPSON #45 Press Proof Green Panthers</t>
        </is>
      </c>
      <c r="C590" s="3" t="n">
        <v>3.49</v>
      </c>
      <c r="D590" s="3" t="n">
        <v>2.49</v>
      </c>
      <c r="E590" s="3" t="n">
        <v>-1</v>
      </c>
      <c r="F590" s="4" t="n">
        <v>-28.7</v>
      </c>
      <c r="G590" s="2" t="inlineStr">
        <is>
          <t>🔵 Floored $2.49 — free ship or $0.99 ship?</t>
        </is>
      </c>
      <c r="H590" s="2" t="inlineStr">
        <is>
          <t>78%</t>
        </is>
      </c>
      <c r="I590" s="2">
        <f>HYPERLINK("https://www.ebay.com/sch/261328/i.html?_dcat=261328&amp;_fsrp=1&amp;rt=nc&amp;_from=R40&amp;_nkw=2023%20Panini%20Donruss%20SHAQ%20THOMPSON%20%2345%20Press%20Proof%20Green%20Panthers&amp;_sacat=0&amp;_sop=15&amp;rt=nc&amp;LH_BIN=1", "Active")</f>
        <v/>
      </c>
      <c r="J590" s="2">
        <f>HYPERLINK("https://www.ebay.com/sch/261328/i.html?_from=R40&amp;_nkw=2023%20Panini%20Donruss%20SHAQ%20THOMPSON%20%2345%20Press%20Proof%20Green%20Panthers&amp;_sacat=0&amp;LH_Sold=1&amp;LH_Complete=1&amp;_sop=13", "Completed")</f>
        <v/>
      </c>
      <c r="K590" s="2" t="inlineStr">
        <is>
          <t>Shaq Thompson 2023 Donruss #45 Press Proof Green Carolina Panthers</t>
        </is>
      </c>
    </row>
    <row r="591">
      <c r="A591" s="2" t="inlineStr">
        <is>
          <t>BBA-000100-00021-06602</t>
        </is>
      </c>
      <c r="B591" s="2" t="inlineStr">
        <is>
          <t>2023 Panini MOSAIC CLINTON PORTIS #249 Mosaic Redskins</t>
        </is>
      </c>
      <c r="C591" s="3" t="n">
        <v>3.49</v>
      </c>
      <c r="D591" s="3" t="n">
        <v>2.49</v>
      </c>
      <c r="E591" s="3" t="n">
        <v>-1</v>
      </c>
      <c r="F591" s="4" t="n">
        <v>-28.7</v>
      </c>
      <c r="G591" s="2" t="inlineStr">
        <is>
          <t>🔵 Floored $2.49 — free ship or $0.99 ship?</t>
        </is>
      </c>
      <c r="H591" s="2" t="inlineStr">
        <is>
          <t>61%</t>
        </is>
      </c>
      <c r="I591" s="2">
        <f>HYPERLINK("https://www.ebay.com/sch/261328/i.html?_dcat=261328&amp;_fsrp=1&amp;rt=nc&amp;_from=R40&amp;_nkw=2023%20Panini%20MOSAIC%20CLINTON%20PORTIS%20%23249%20Mosaic%20Redskins&amp;_sacat=0&amp;_sop=15&amp;rt=nc&amp;LH_BIN=1", "Active")</f>
        <v/>
      </c>
      <c r="J591" s="2">
        <f>HYPERLINK("https://www.ebay.com/sch/261328/i.html?_from=R40&amp;_nkw=2023%20Panini%20MOSAIC%20CLINTON%20PORTIS%20%23249%20Mosaic%20Redskins&amp;_sacat=0&amp;LH_Sold=1&amp;LH_Complete=1&amp;_sop=13", "Completed")</f>
        <v/>
      </c>
      <c r="K591" s="2" t="inlineStr">
        <is>
          <t>2023 Mosaic Football BASE Complete Your Set You Pick Card #1-250 PYC</t>
        </is>
      </c>
    </row>
    <row r="592">
      <c r="A592" s="2" t="inlineStr">
        <is>
          <t>BBA-000100-00024-17747</t>
        </is>
      </c>
      <c r="B592" s="2" t="inlineStr">
        <is>
          <t>2020 Panini Prizm Draft PICKS JAVON KINLAW #161 Prizms Red RC Gamecocks Rookie</t>
        </is>
      </c>
      <c r="C592" s="3" t="n">
        <v>3.99</v>
      </c>
      <c r="D592" s="3" t="n">
        <v>2.49</v>
      </c>
      <c r="E592" s="3" t="n">
        <v>-1.5</v>
      </c>
      <c r="F592" s="4" t="n">
        <v>-37.6</v>
      </c>
      <c r="G592" s="2" t="inlineStr">
        <is>
          <t>🔵 Floored $2.49 — free ship or $0.99 ship?</t>
        </is>
      </c>
      <c r="H592" s="2" t="inlineStr">
        <is>
          <t>89%</t>
        </is>
      </c>
      <c r="I592" s="2">
        <f>HYPERLINK("https://www.ebay.com/sch/261328/i.html?_dcat=261328&amp;_fsrp=1&amp;rt=nc&amp;_from=R40&amp;_nkw=2020%20Panini%20Prizm%20Draft%20PICKS%20JAVON%20KINLAW%20%23161%20Prizms%20Red%20RC%20Gamecocks%20Rookie&amp;_sacat=0&amp;_sop=15&amp;rt=nc&amp;LH_BIN=1", "Active")</f>
        <v/>
      </c>
      <c r="J592" s="2">
        <f>HYPERLINK("https://www.ebay.com/sch/261328/i.html?_from=R40&amp;_nkw=2020%20Panini%20Prizm%20Draft%20PICKS%20JAVON%20KINLAW%20%23161%20Prizms%20Red%20RC%20Gamecocks%20Rookie&amp;_sacat=0&amp;LH_Sold=1&amp;LH_Complete=1&amp;_sop=13", "Completed")</f>
        <v/>
      </c>
      <c r="K592" s="2" t="inlineStr">
        <is>
          <t>2020  Panini Prizm Draft Picks #161 Javon Kinlaw Red Prizm RC Rookie Gamecocks</t>
        </is>
      </c>
    </row>
    <row r="593">
      <c r="A593" s="2" t="inlineStr">
        <is>
          <t>BBA-000100-00014-14112</t>
        </is>
      </c>
      <c r="B593" s="2" t="inlineStr">
        <is>
          <t>2020 Panini PLAYBOOK NICK BOSA #96 49ers Football</t>
        </is>
      </c>
      <c r="C593" s="3" t="n">
        <v>2.99</v>
      </c>
      <c r="D593" s="3" t="n">
        <v>2.49</v>
      </c>
      <c r="E593" s="3" t="n">
        <v>-0.5</v>
      </c>
      <c r="F593" s="4" t="n">
        <v>-16.7</v>
      </c>
      <c r="G593" s="2" t="inlineStr">
        <is>
          <t>🔵 Floored $2.49 — free ship or $0.99 ship?</t>
        </is>
      </c>
      <c r="H593" s="2" t="inlineStr">
        <is>
          <t>84%</t>
        </is>
      </c>
      <c r="I593" s="2">
        <f>HYPERLINK("https://www.ebay.com/sch/261328/i.html?_dcat=261328&amp;_fsrp=1&amp;rt=nc&amp;_from=R40&amp;_nkw=2020%20Panini%20PLAYBOOK%20NICK%20BOSA%20%2396%2049ers%20Football&amp;_sacat=0&amp;_sop=15&amp;rt=nc&amp;LH_BIN=1", "Active")</f>
        <v/>
      </c>
      <c r="J593" s="2">
        <f>HYPERLINK("https://www.ebay.com/sch/261328/i.html?_from=R40&amp;_nkw=2020%20Panini%20PLAYBOOK%20NICK%20BOSA%20%2396%2049ers%20Football&amp;_sacat=0&amp;LH_Sold=1&amp;LH_Complete=1&amp;_sop=13", "Completed")</f>
        <v/>
      </c>
      <c r="K593" s="2" t="inlineStr">
        <is>
          <t>2020 Panini Playbook nick bosa San Francisco 49ers #96 Base</t>
        </is>
      </c>
    </row>
    <row r="594">
      <c r="A594" s="2" t="inlineStr">
        <is>
          <t>BBA-000100-00019-76258</t>
        </is>
      </c>
      <c r="B594" s="2" t="inlineStr">
        <is>
          <t>2023 Panini Prizm CORDARRELLE PATTERSON #12 Pink Falcons Football</t>
        </is>
      </c>
      <c r="C594" s="3" t="n">
        <v>3.49</v>
      </c>
      <c r="D594" s="3" t="n">
        <v>2.49</v>
      </c>
      <c r="E594" s="3" t="n">
        <v>-1</v>
      </c>
      <c r="F594" s="4" t="n">
        <v>-28.7</v>
      </c>
      <c r="G594" s="2" t="inlineStr">
        <is>
          <t>🔵 Floored $2.49 — free ship or $0.99 ship?</t>
        </is>
      </c>
      <c r="H594" s="2" t="inlineStr">
        <is>
          <t>86%</t>
        </is>
      </c>
      <c r="I594" s="2">
        <f>HYPERLINK("https://www.ebay.com/sch/261328/i.html?_dcat=261328&amp;_fsrp=1&amp;rt=nc&amp;_from=R40&amp;_nkw=2023%20Panini%20Prizm%20CORDARRELLE%20PATTERSON%20%2312%20Pink%20Falcons%20Football&amp;_sacat=0&amp;_sop=15&amp;rt=nc&amp;LH_BIN=1", "Active")</f>
        <v/>
      </c>
      <c r="J594" s="2">
        <f>HYPERLINK("https://www.ebay.com/sch/261328/i.html?_from=R40&amp;_nkw=2023%20Panini%20Prizm%20CORDARRELLE%20PATTERSON%20%2312%20Pink%20Falcons%20Football&amp;_sacat=0&amp;LH_Sold=1&amp;LH_Complete=1&amp;_sop=13", "Completed")</f>
        <v/>
      </c>
      <c r="K594" s="2" t="inlineStr">
        <is>
          <t>2023 Panini Prizm Pink Prizm Cordarrelle Patterson #12 Atlanta Falcons</t>
        </is>
      </c>
    </row>
    <row r="595">
      <c r="A595" s="2" t="inlineStr">
        <is>
          <t>BBA-000100-00017-28485</t>
        </is>
      </c>
      <c r="B595" s="2" t="inlineStr">
        <is>
          <t>2021 Panini MOSAIC JEREMY CHINN #38 Prizm Reactive Orange Panthers</t>
        </is>
      </c>
      <c r="C595" s="3" t="n">
        <v>3.49</v>
      </c>
      <c r="D595" s="3" t="n">
        <v>2.49</v>
      </c>
      <c r="E595" s="3" t="n">
        <v>-1</v>
      </c>
      <c r="F595" s="4" t="n">
        <v>-28.7</v>
      </c>
      <c r="G595" s="2" t="inlineStr">
        <is>
          <t>🔵 Floored $2.49 — free ship or $0.99 ship?</t>
        </is>
      </c>
      <c r="H595" s="2" t="inlineStr">
        <is>
          <t>68%</t>
        </is>
      </c>
      <c r="I595" s="2">
        <f>HYPERLINK("https://www.ebay.com/sch/261328/i.html?_dcat=261328&amp;_fsrp=1&amp;rt=nc&amp;_from=R40&amp;_nkw=2021%20Panini%20MOSAIC%20JEREMY%20CHINN%20%2338%20Prizm%20Reactive%20Orange%20Panthers&amp;_sacat=0&amp;_sop=15&amp;rt=nc&amp;LH_BIN=1", "Active")</f>
        <v/>
      </c>
      <c r="J595" s="2">
        <f>HYPERLINK("https://www.ebay.com/sch/261328/i.html?_from=R40&amp;_nkw=2021%20Panini%20MOSAIC%20JEREMY%20CHINN%20%2338%20Prizm%20Reactive%20Orange%20Panthers&amp;_sacat=0&amp;LH_Sold=1&amp;LH_Complete=1&amp;_sop=13", "Completed")</f>
        <v/>
      </c>
      <c r="K595" s="2" t="inlineStr">
        <is>
          <t>2021 Mosaic Football Veteran REACTIVE ORANGE PRIZMS You Pick - 2 Card Minimum</t>
        </is>
      </c>
    </row>
    <row r="596">
      <c r="A596" s="2" t="inlineStr">
        <is>
          <t>BBA-000100-00008-58375</t>
        </is>
      </c>
      <c r="B596" s="2" t="inlineStr">
        <is>
          <t>2023 Panini Prizm DORIAN WILLIAMS #309 Pink RC Bills Rookie Football</t>
        </is>
      </c>
      <c r="C596" s="3" t="n">
        <v>3.49</v>
      </c>
      <c r="D596" s="3" t="n">
        <v>2.49</v>
      </c>
      <c r="E596" s="3" t="n">
        <v>-1</v>
      </c>
      <c r="F596" s="4" t="n">
        <v>-28.7</v>
      </c>
      <c r="G596" s="2" t="inlineStr">
        <is>
          <t>🔵 Floored $2.49 — free ship or $0.99 ship?</t>
        </is>
      </c>
      <c r="H596" s="2" t="inlineStr">
        <is>
          <t>66%</t>
        </is>
      </c>
      <c r="I596" s="2">
        <f>HYPERLINK("https://www.ebay.com/sch/261328/i.html?_dcat=261328&amp;_fsrp=1&amp;rt=nc&amp;_from=R40&amp;_nkw=2023%20Panini%20Prizm%20DORIAN%20WILLIAMS%20%23309%20Pink%20RC%20Bills%20Rookie%20Football&amp;_sacat=0&amp;_sop=15&amp;rt=nc&amp;LH_BIN=1", "Active")</f>
        <v/>
      </c>
      <c r="J596" s="2">
        <f>HYPERLINK("https://www.ebay.com/sch/261328/i.html?_from=R40&amp;_nkw=2023%20Panini%20Prizm%20DORIAN%20WILLIAMS%20%23309%20Pink%20RC%20Bills%20Rookie%20Football&amp;_sacat=0&amp;LH_Sold=1&amp;LH_Complete=1&amp;_sop=13", "Completed")</f>
        <v/>
      </c>
      <c r="K596" s="2" t="inlineStr">
        <is>
          <t>2023 Prizm Football PINK PRIZMS with Rookies You Pick - 2 Card Minimum</t>
        </is>
      </c>
    </row>
    <row r="597">
      <c r="A597" s="2" t="inlineStr">
        <is>
          <t>BBA-000100-00020-67366</t>
        </is>
      </c>
      <c r="B597" s="2" t="inlineStr">
        <is>
          <t>2024 Panini TOTALLY Certified Cooper Kupp #9 Intriguing Players Rams Football</t>
        </is>
      </c>
      <c r="C597" s="3" t="n">
        <v>3.49</v>
      </c>
      <c r="D597" s="3" t="n">
        <v>2.49</v>
      </c>
      <c r="E597" s="3" t="n">
        <v>-1</v>
      </c>
      <c r="F597" s="4" t="n">
        <v>-28.7</v>
      </c>
      <c r="G597" s="2" t="inlineStr">
        <is>
          <t>🔵 Floored $2.49 — free ship or $0.99 ship?</t>
        </is>
      </c>
      <c r="H597" s="2" t="inlineStr">
        <is>
          <t>86%</t>
        </is>
      </c>
      <c r="I597" s="2">
        <f>HYPERLINK("https://www.ebay.com/sch/261328/i.html?_dcat=261328&amp;_fsrp=1&amp;rt=nc&amp;_from=R40&amp;_nkw=2024%20Panini%20TOTALLY%20Certified%20Cooper%20Kupp%20%239%20Intriguing%20Players%20Rams%20Football&amp;_sacat=0&amp;_sop=15&amp;rt=nc&amp;LH_BIN=1", "Active")</f>
        <v/>
      </c>
      <c r="J597" s="2">
        <f>HYPERLINK("https://www.ebay.com/sch/261328/i.html?_from=R40&amp;_nkw=2024%20Panini%20TOTALLY%20Certified%20Cooper%20Kupp%20%239%20Intriguing%20Players%20Rams%20Football&amp;_sacat=0&amp;LH_Sold=1&amp;LH_Complete=1&amp;_sop=13", "Completed")</f>
        <v/>
      </c>
      <c r="K597" s="2" t="inlineStr">
        <is>
          <t>2024 Totally Certified Football Mirror Intriguing Players Cooper Kupp #9 Rams</t>
        </is>
      </c>
    </row>
    <row r="598">
      <c r="A598" s="2" t="inlineStr">
        <is>
          <t>BBA-000100-00009-82696</t>
        </is>
      </c>
      <c r="B598" s="2" t="inlineStr">
        <is>
          <t>2022 Panini ZENITH DAVID MONTGOMERY #41 Retail Bears Football</t>
        </is>
      </c>
      <c r="C598" s="3" t="n">
        <v>3.49</v>
      </c>
      <c r="D598" s="3" t="n">
        <v>2.49</v>
      </c>
      <c r="E598" s="3" t="n">
        <v>-1</v>
      </c>
      <c r="F598" s="4" t="n">
        <v>-28.7</v>
      </c>
      <c r="G598" s="2" t="inlineStr">
        <is>
          <t>🔵 Floored $2.49 — free ship or $0.99 ship?</t>
        </is>
      </c>
      <c r="H598" s="2" t="inlineStr">
        <is>
          <t>85%</t>
        </is>
      </c>
      <c r="I598" s="2">
        <f>HYPERLINK("https://www.ebay.com/sch/261328/i.html?_dcat=261328&amp;_fsrp=1&amp;rt=nc&amp;_from=R40&amp;_nkw=2022%20Panini%20ZENITH%20DAVID%20MONTGOMERY%20%2341%20Retail%20Bears%20Football&amp;_sacat=0&amp;_sop=15&amp;rt=nc&amp;LH_BIN=1", "Active")</f>
        <v/>
      </c>
      <c r="J598" s="2">
        <f>HYPERLINK("https://www.ebay.com/sch/261328/i.html?_from=R40&amp;_nkw=2022%20Panini%20ZENITH%20DAVID%20MONTGOMERY%20%2341%20Retail%20Bears%20Football&amp;_sacat=0&amp;LH_Sold=1&amp;LH_Complete=1&amp;_sop=13", "Completed")</f>
        <v/>
      </c>
      <c r="K598" s="2" t="inlineStr">
        <is>
          <t>2022 Zenith Retail #41 David Montgomery - Chicago Bears</t>
        </is>
      </c>
    </row>
    <row r="599">
      <c r="A599" s="2" t="inlineStr">
        <is>
          <t>BBA-000100-00010-49652</t>
        </is>
      </c>
      <c r="B599" s="2" t="inlineStr">
        <is>
          <t>2014 Topps HARRY DOUGLAS #13 1000 Yard Club Falcons Football</t>
        </is>
      </c>
      <c r="C599" s="3" t="n">
        <v>3.49</v>
      </c>
      <c r="D599" s="3" t="n">
        <v>2.49</v>
      </c>
      <c r="E599" s="3" t="n">
        <v>-1</v>
      </c>
      <c r="F599" s="4" t="n">
        <v>-28.7</v>
      </c>
      <c r="G599" s="2" t="inlineStr">
        <is>
          <t>🔵 Floored $2.49 — free ship or $0.99 ship?</t>
        </is>
      </c>
      <c r="H599" s="2" t="inlineStr">
        <is>
          <t>86%</t>
        </is>
      </c>
      <c r="I599" s="2">
        <f>HYPERLINK("https://www.ebay.com/sch/261328/i.html?_dcat=261328&amp;_fsrp=1&amp;rt=nc&amp;_from=R40&amp;_nkw=2014%20Topps%20HARRY%20DOUGLAS%20%2313%201000%20Yard%20Club%20Falcons%20Football&amp;_sacat=0&amp;_sop=15&amp;rt=nc&amp;LH_BIN=1", "Active")</f>
        <v/>
      </c>
      <c r="J599" s="2">
        <f>HYPERLINK("https://www.ebay.com/sch/261328/i.html?_from=R40&amp;_nkw=2014%20Topps%20HARRY%20DOUGLAS%20%2313%201000%20Yard%20Club%20Falcons%20Football&amp;_sacat=0&amp;LH_Sold=1&amp;LH_Complete=1&amp;_sop=13", "Completed")</f>
        <v/>
      </c>
      <c r="K599" s="2" t="inlineStr">
        <is>
          <t>2014 Topps #13 Harry Douglas 1000 Yard Club Card Atlanta Falcons</t>
        </is>
      </c>
    </row>
    <row r="600">
      <c r="A600" s="2" t="inlineStr">
        <is>
          <t>BBA-000100-00033-90215</t>
        </is>
      </c>
      <c r="B600" s="2" t="inlineStr">
        <is>
          <t>2024 Panini Prizm ED MCCAFFREY #90 Silver Broncos Football</t>
        </is>
      </c>
      <c r="C600" s="3" t="n">
        <v>3.49</v>
      </c>
      <c r="D600" s="3" t="n">
        <v>2.49</v>
      </c>
      <c r="E600" s="3" t="n">
        <v>-1</v>
      </c>
      <c r="F600" s="4" t="n">
        <v>-28.7</v>
      </c>
      <c r="G600" s="2" t="inlineStr">
        <is>
          <t>🔵 Floored $2.49 — free ship or $0.99 ship?</t>
        </is>
      </c>
      <c r="H600" s="2" t="inlineStr">
        <is>
          <t>61%</t>
        </is>
      </c>
      <c r="I600" s="2">
        <f>HYPERLINK("https://www.ebay.com/sch/261328/i.html?_dcat=261328&amp;_fsrp=1&amp;rt=nc&amp;_from=R40&amp;_nkw=2024%20Panini%20Prizm%20ED%20MCCAFFREY%20%2390%20Silver%20Broncos%20Football&amp;_sacat=0&amp;_sop=15&amp;rt=nc&amp;LH_BIN=1", "Active")</f>
        <v/>
      </c>
      <c r="J600" s="2">
        <f>HYPERLINK("https://www.ebay.com/sch/261328/i.html?_from=R40&amp;_nkw=2024%20Panini%20Prizm%20ED%20MCCAFFREY%20%2390%20Silver%20Broncos%20Football&amp;_sacat=0&amp;LH_Sold=1&amp;LH_Complete=1&amp;_sop=13", "Completed")</f>
        <v/>
      </c>
      <c r="K600" s="2" t="inlineStr">
        <is>
          <t>2024 Prizm Football SILVER PRIZMS 1-250 You Pick - 2 Card Minimum</t>
        </is>
      </c>
    </row>
    <row r="601">
      <c r="A601" s="2" t="inlineStr">
        <is>
          <t>BBA-000100-00004-78466</t>
        </is>
      </c>
      <c r="B601" s="2" t="inlineStr">
        <is>
          <t>2022 Panini Donruss ELITE JALEN TOLBERT #158 Pink RC Cowboys Rookie Football</t>
        </is>
      </c>
      <c r="C601" s="3" t="n">
        <v>3.49</v>
      </c>
      <c r="D601" s="3" t="n">
        <v>2.49</v>
      </c>
      <c r="E601" s="3" t="n">
        <v>-1</v>
      </c>
      <c r="F601" s="4" t="n">
        <v>-28.7</v>
      </c>
      <c r="G601" s="2" t="inlineStr">
        <is>
          <t>🔵 Floored $2.49 — free ship or $0.99 ship?</t>
        </is>
      </c>
      <c r="H601" s="2" t="inlineStr">
        <is>
          <t>68%</t>
        </is>
      </c>
      <c r="I601" s="2">
        <f>HYPERLINK("https://www.ebay.com/sch/261328/i.html?_dcat=261328&amp;_fsrp=1&amp;rt=nc&amp;_from=R40&amp;_nkw=2022%20Panini%20Donruss%20ELITE%20JALEN%20TOLBERT%20%23158%20Pink%20RC%20Cowboys%20Rookie%20Football&amp;_sacat=0&amp;_sop=15&amp;rt=nc&amp;LH_BIN=1", "Active")</f>
        <v/>
      </c>
      <c r="J601" s="2">
        <f>HYPERLINK("https://www.ebay.com/sch/261328/i.html?_from=R40&amp;_nkw=2022%20Panini%20Donruss%20ELITE%20JALEN%20TOLBERT%20%23158%20Pink%20RC%20Cowboys%20Rookie%20Football&amp;_sacat=0&amp;LH_Sold=1&amp;LH_Complete=1&amp;_sop=13", "Completed")</f>
        <v/>
      </c>
      <c r="K601" s="2" t="inlineStr">
        <is>
          <t>2022 Elite Football Green Pink Vets, RC's, Parallels Pick From List.</t>
        </is>
      </c>
    </row>
    <row r="602">
      <c r="A602" t="inlineStr">
        <is>
          <t>BBA-000100-00026-20150</t>
        </is>
      </c>
      <c r="B602" t="inlineStr">
        <is>
          <t>2023 Panini Prizm ZAY JONES #141 Green Jaguars Football</t>
        </is>
      </c>
      <c r="C602" s="14" t="n">
        <v>3.49</v>
      </c>
      <c r="D602" s="14" t="n"/>
      <c r="E602" s="14" t="inlineStr"/>
      <c r="F602" s="15" t="inlineStr"/>
      <c r="G602" t="inlineStr">
        <is>
          <t>? No price data</t>
        </is>
      </c>
      <c r="H602" t="inlineStr">
        <is>
          <t>57%</t>
        </is>
      </c>
      <c r="I602">
        <f>HYPERLINK("https://www.ebay.com/sch/261328/i.html?_dcat=261328&amp;_fsrp=1&amp;rt=nc&amp;_from=R40&amp;_nkw=2023%20Panini%20Prizm%20ZAY%20JONES%20%23141%20Green%20Jaguars%20Football&amp;_sacat=0&amp;_sop=15&amp;rt=nc&amp;LH_BIN=1", "Active")</f>
        <v/>
      </c>
      <c r="J602">
        <f>HYPERLINK("https://www.ebay.com/sch/261328/i.html?_from=R40&amp;_nkw=2023%20Panini%20Prizm%20ZAY%20JONES%20%23141%20Green%20Jaguars%20Football&amp;_sacat=0&amp;LH_Sold=1&amp;LH_Complete=1&amp;_sop=13", "Completed")</f>
        <v/>
      </c>
      <c r="K602" t="inlineStr">
        <is>
          <t>2023 Prizm Football GREEN PRIZMS 1-250 You Pick - 2 Card Minimum</t>
        </is>
      </c>
    </row>
    <row r="603">
      <c r="A603" s="2" t="inlineStr">
        <is>
          <t>BBA-000100-00030-56533</t>
        </is>
      </c>
      <c r="B603" s="2" t="inlineStr">
        <is>
          <t>2022 Panini MOSAIC FRED TAYLOR #93 Mosaic Camo Pink Jaguars Football</t>
        </is>
      </c>
      <c r="C603" s="3" t="n">
        <v>3.49</v>
      </c>
      <c r="D603" s="3" t="n">
        <v>2.49</v>
      </c>
      <c r="E603" s="3" t="n">
        <v>-1</v>
      </c>
      <c r="F603" s="4" t="n">
        <v>-28.7</v>
      </c>
      <c r="G603" s="2" t="inlineStr">
        <is>
          <t>🔵 Floored $2.49 — free ship or $0.99 ship?</t>
        </is>
      </c>
      <c r="H603" s="2" t="inlineStr">
        <is>
          <t>73%</t>
        </is>
      </c>
      <c r="I603" s="2">
        <f>HYPERLINK("https://www.ebay.com/sch/261328/i.html?_dcat=261328&amp;_fsrp=1&amp;rt=nc&amp;_from=R40&amp;_nkw=2022%20Panini%20MOSAIC%20FRED%20TAYLOR%20%2393%20Mosaic%20Camo%20Pink%20Jaguars%20Football&amp;_sacat=0&amp;_sop=15&amp;rt=nc&amp;LH_BIN=1", "Active")</f>
        <v/>
      </c>
      <c r="J603" s="2">
        <f>HYPERLINK("https://www.ebay.com/sch/261328/i.html?_from=R40&amp;_nkw=2022%20Panini%20MOSAIC%20FRED%20TAYLOR%20%2393%20Mosaic%20Camo%20Pink%20Jaguars%20Football&amp;_sacat=0&amp;LH_Sold=1&amp;LH_Complete=1&amp;_sop=13", "Completed")</f>
        <v/>
      </c>
      <c r="K603" s="2" t="inlineStr">
        <is>
          <t>🏈2022 Mosaic Football Fred Taylor #93 Pink Camo Jacksonville Jaguars</t>
        </is>
      </c>
    </row>
    <row r="604">
      <c r="A604" s="2" t="inlineStr">
        <is>
          <t>BBA-000100-00001-55061</t>
        </is>
      </c>
      <c r="B604" s="2" t="inlineStr">
        <is>
          <t>2022 Panini Chronicles DESMOND RIDDER #PA-4 RC Falcons Rookie Football</t>
        </is>
      </c>
      <c r="C604" s="3" t="n">
        <v>3.49</v>
      </c>
      <c r="D604" s="3" t="n">
        <v>2.49</v>
      </c>
      <c r="E604" s="3" t="n">
        <v>-1</v>
      </c>
      <c r="F604" s="4" t="n">
        <v>-28.7</v>
      </c>
      <c r="G604" s="2" t="inlineStr">
        <is>
          <t>🔵 Floored $2.49 — free ship or $0.99 ship?</t>
        </is>
      </c>
      <c r="H604" s="2" t="inlineStr">
        <is>
          <t>84%</t>
        </is>
      </c>
      <c r="I604" s="2">
        <f>HYPERLINK("https://www.ebay.com/sch/261328/i.html?_dcat=261328&amp;_fsrp=1&amp;rt=nc&amp;_from=R40&amp;_nkw=2022%20Panini%20Chronicles%20DESMOND%20RIDDER%20%23PA-4%20RC%20Falcons%20Rookie%20Football&amp;_sacat=0&amp;_sop=15&amp;rt=nc&amp;LH_BIN=1", "Active")</f>
        <v/>
      </c>
      <c r="J604" s="2">
        <f>HYPERLINK("https://www.ebay.com/sch/261328/i.html?_from=R40&amp;_nkw=2022%20Panini%20Chronicles%20DESMOND%20RIDDER%20%23PA-4%20RC%20Falcons%20Rookie%20Football&amp;_sacat=0&amp;LH_Sold=1&amp;LH_Complete=1&amp;_sop=13", "Completed")</f>
        <v/>
      </c>
      <c r="K604" s="2" t="inlineStr">
        <is>
          <t>2022 Chronicles Prestige Desmond Ridder RC #PA-4 Falcons Rookie</t>
        </is>
      </c>
    </row>
    <row r="605">
      <c r="A605" s="2" t="inlineStr">
        <is>
          <t>BBA-000100-00041-21370</t>
        </is>
      </c>
      <c r="B605" s="2" t="inlineStr">
        <is>
          <t>2021 Panini Contenders FLETCHER COX #81 Season Ticket Eagles Football</t>
        </is>
      </c>
      <c r="C605" s="3" t="n">
        <v>3.49</v>
      </c>
      <c r="D605" s="3" t="n">
        <v>2.49</v>
      </c>
      <c r="E605" s="3" t="n">
        <v>-1</v>
      </c>
      <c r="F605" s="4" t="n">
        <v>-28.7</v>
      </c>
      <c r="G605" s="2" t="inlineStr">
        <is>
          <t>🔵 Floored $2.49 — free ship or $0.99 ship?</t>
        </is>
      </c>
      <c r="H605" s="2" t="inlineStr">
        <is>
          <t>83%</t>
        </is>
      </c>
      <c r="I605" s="2">
        <f>HYPERLINK("https://www.ebay.com/sch/261328/i.html?_dcat=261328&amp;_fsrp=1&amp;rt=nc&amp;_from=R40&amp;_nkw=2021%20Panini%20Contenders%20FLETCHER%20COX%20%2381%20Season%20Ticket%20Eagles%20Football&amp;_sacat=0&amp;_sop=15&amp;rt=nc&amp;LH_BIN=1", "Active")</f>
        <v/>
      </c>
      <c r="J605" s="2">
        <f>HYPERLINK("https://www.ebay.com/sch/261328/i.html?_from=R40&amp;_nkw=2021%20Panini%20Contenders%20FLETCHER%20COX%20%2381%20Season%20Ticket%20Eagles%20Football&amp;_sacat=0&amp;LH_Sold=1&amp;LH_Complete=1&amp;_sop=13", "Completed")</f>
        <v/>
      </c>
      <c r="K605" s="2" t="inlineStr">
        <is>
          <t>2021 PANINI CONTENDERS FOOTBALL SEASON TICKET BASE CARDS YOU PICK #1-100</t>
        </is>
      </c>
    </row>
    <row r="606">
      <c r="A606" s="2" t="inlineStr">
        <is>
          <t>BBA-000100-00005-77214</t>
        </is>
      </c>
      <c r="B606" s="2" t="inlineStr">
        <is>
          <t>2024 Panini Select KIMANI VIDAL #15 Concourse Silver Prizm Die-Cut RC Chargers</t>
        </is>
      </c>
      <c r="C606" s="3" t="n">
        <v>3.49</v>
      </c>
      <c r="D606" s="3" t="n">
        <v>2.49</v>
      </c>
      <c r="E606" s="3" t="n">
        <v>-1</v>
      </c>
      <c r="F606" s="4" t="n">
        <v>-28.7</v>
      </c>
      <c r="G606" s="2" t="inlineStr">
        <is>
          <t>🔵 Floored $2.49 — free ship or $0.99 ship?</t>
        </is>
      </c>
      <c r="H606" s="2" t="inlineStr">
        <is>
          <t>74%</t>
        </is>
      </c>
      <c r="I606" s="2">
        <f>HYPERLINK("https://www.ebay.com/sch/261328/i.html?_dcat=261328&amp;_fsrp=1&amp;rt=nc&amp;_from=R40&amp;_nkw=2024%20Panini%20Select%20KIMANI%20VIDAL%20%2315%20Concourse%20Silver%20Prizm%20Die-Cut%20RC%20Chargers&amp;_sacat=0&amp;_sop=15&amp;rt=nc&amp;LH_BIN=1", "Active")</f>
        <v/>
      </c>
      <c r="J606" s="2">
        <f>HYPERLINK("https://www.ebay.com/sch/261328/i.html?_from=R40&amp;_nkw=2024%20Panini%20Select%20KIMANI%20VIDAL%20%2315%20Concourse%20Silver%20Prizm%20Die-Cut%20RC%20Chargers&amp;_sacat=0&amp;LH_Sold=1&amp;LH_Complete=1&amp;_sop=13", "Completed")</f>
        <v/>
      </c>
      <c r="K606" s="2" t="inlineStr">
        <is>
          <t>Kimani Vidal RC #15 Silver Prizm Die Cut NFL Chargers Rookie</t>
        </is>
      </c>
    </row>
    <row r="607">
      <c r="A607" s="2" t="inlineStr">
        <is>
          <t>BBA-000100-00037-90862</t>
        </is>
      </c>
      <c r="B607" s="2" t="inlineStr">
        <is>
          <t>2023 Panini MOSAIC JOE GREENE #210 Mosaic Steelers Football</t>
        </is>
      </c>
      <c r="C607" s="3" t="n">
        <v>3.49</v>
      </c>
      <c r="D607" s="3" t="n">
        <v>2.49</v>
      </c>
      <c r="E607" s="3" t="n">
        <v>-1</v>
      </c>
      <c r="F607" s="4" t="n">
        <v>-28.7</v>
      </c>
      <c r="G607" s="2" t="inlineStr">
        <is>
          <t>🔵 Floored $2.49 — free ship or $0.99 ship?</t>
        </is>
      </c>
      <c r="H607" s="2" t="inlineStr">
        <is>
          <t>64%</t>
        </is>
      </c>
      <c r="I607" s="2">
        <f>HYPERLINK("https://www.ebay.com/sch/261328/i.html?_dcat=261328&amp;_fsrp=1&amp;rt=nc&amp;_from=R40&amp;_nkw=2023%20Panini%20MOSAIC%20JOE%20GREENE%20%23210%20Mosaic%20Steelers%20Football&amp;_sacat=0&amp;_sop=15&amp;rt=nc&amp;LH_BIN=1", "Active")</f>
        <v/>
      </c>
      <c r="J607" s="2">
        <f>HYPERLINK("https://www.ebay.com/sch/261328/i.html?_from=R40&amp;_nkw=2023%20Panini%20MOSAIC%20JOE%20GREENE%20%23210%20Mosaic%20Steelers%20Football&amp;_sacat=0&amp;LH_Sold=1&amp;LH_Complete=1&amp;_sop=13", "Completed")</f>
        <v/>
      </c>
      <c r="K607" s="2" t="inlineStr">
        <is>
          <t>2023 Mosaic Football BASE Complete Your Set You Pick Card #1-250 PYC</t>
        </is>
      </c>
    </row>
    <row r="608">
      <c r="A608" t="inlineStr">
        <is>
          <t>BBA-000100-00013-60152</t>
        </is>
      </c>
      <c r="B608" t="inlineStr">
        <is>
          <t>1999 PACIFIC AURORA MIKE ALSTOTT #137 Buccaneers Football</t>
        </is>
      </c>
      <c r="C608" s="14" t="n">
        <v>4.49</v>
      </c>
      <c r="D608" s="14" t="n"/>
      <c r="E608" s="14" t="inlineStr"/>
      <c r="F608" s="15" t="inlineStr"/>
      <c r="G608" t="inlineStr">
        <is>
          <t>? No price data</t>
        </is>
      </c>
      <c r="H608" t="inlineStr">
        <is>
          <t>59%</t>
        </is>
      </c>
      <c r="I608">
        <f>HYPERLINK("https://www.ebay.com/sch/261328/i.html?_dcat=261328&amp;_fsrp=1&amp;rt=nc&amp;_from=R40&amp;_nkw=1999%20PACIFIC%20AURORA%20MIKE%20ALSTOTT%20%23137%20Buccaneers%20Football&amp;_sacat=0&amp;_sop=15&amp;rt=nc&amp;LH_BIN=1", "Active")</f>
        <v/>
      </c>
      <c r="J608">
        <f>HYPERLINK("https://www.ebay.com/sch/261328/i.html?_from=R40&amp;_nkw=1999%20PACIFIC%20AURORA%20MIKE%20ALSTOTT%20%23137%20Buccaneers%20Football&amp;_sacat=0&amp;LH_Sold=1&amp;LH_Complete=1&amp;_sop=13", "Completed")</f>
        <v/>
      </c>
      <c r="K608" t="inlineStr">
        <is>
          <t>Tampa Bay Buccaneers Cards You Pick -- Get 40% off Details Inside A6</t>
        </is>
      </c>
    </row>
    <row r="609">
      <c r="A609" s="2" t="inlineStr">
        <is>
          <t>BBA-000100-00027-23352</t>
        </is>
      </c>
      <c r="B609" s="2" t="inlineStr">
        <is>
          <t>2022 Panini Select BOBBY WAGNER #7 Black and Green Prizm Die Cut Concourse Rams</t>
        </is>
      </c>
      <c r="C609" s="3" t="n">
        <v>3.49</v>
      </c>
      <c r="D609" s="3" t="n">
        <v>2.49</v>
      </c>
      <c r="E609" s="3" t="n">
        <v>-1</v>
      </c>
      <c r="F609" s="4" t="n">
        <v>-28.7</v>
      </c>
      <c r="G609" s="2" t="inlineStr">
        <is>
          <t>🔵 Floored $2.49 — free ship or $0.99 ship?</t>
        </is>
      </c>
      <c r="H609" s="2" t="inlineStr">
        <is>
          <t>86%</t>
        </is>
      </c>
      <c r="I609" s="2">
        <f>HYPERLINK("https://www.ebay.com/sch/261328/i.html?_dcat=261328&amp;_fsrp=1&amp;rt=nc&amp;_from=R40&amp;_nkw=2022%20Panini%20Select%20BOBBY%20WAGNER%20%237%20Black%20and%20Green%20Prizm%20Die%20Cut%20Concourse%20Rams&amp;_sacat=0&amp;_sop=15&amp;rt=nc&amp;LH_BIN=1", "Active")</f>
        <v/>
      </c>
      <c r="J609" s="2">
        <f>HYPERLINK("https://www.ebay.com/sch/261328/i.html?_from=R40&amp;_nkw=2022%20Panini%20Select%20BOBBY%20WAGNER%20%237%20Black%20and%20Green%20Prizm%20Die%20Cut%20Concourse%20Rams&amp;_sacat=0&amp;LH_Sold=1&amp;LH_Complete=1&amp;_sop=13", "Completed")</f>
        <v/>
      </c>
      <c r="K609" s="2" t="inlineStr">
        <is>
          <t>2022 Panini Select Football #7 Bobby Wagner Black and Green Prizm Die Cut Rams</t>
        </is>
      </c>
    </row>
    <row r="610">
      <c r="A610" s="2" t="inlineStr">
        <is>
          <t>BBA-000100-00031-25591</t>
        </is>
      </c>
      <c r="B610" s="2" t="inlineStr">
        <is>
          <t>2021 Panini Chronicles ASANTE SAMUEL JR. #GK-38 Gridiron Kings RC Chargers</t>
        </is>
      </c>
      <c r="C610" s="3" t="n">
        <v>3.49</v>
      </c>
      <c r="D610" s="3" t="n">
        <v>2.49</v>
      </c>
      <c r="E610" s="3" t="n">
        <v>-1</v>
      </c>
      <c r="F610" s="4" t="n">
        <v>-28.7</v>
      </c>
      <c r="G610" s="2" t="inlineStr">
        <is>
          <t>🔵 Floored $2.49 — free ship or $0.99 ship?</t>
        </is>
      </c>
      <c r="H610" s="2" t="inlineStr">
        <is>
          <t>77%</t>
        </is>
      </c>
      <c r="I610" s="2">
        <f>HYPERLINK("https://www.ebay.com/sch/261328/i.html?_dcat=261328&amp;_fsrp=1&amp;rt=nc&amp;_from=R40&amp;_nkw=2021%20Panini%20Chronicles%20ASANTE%20SAMUEL%20JR.%20%23GK-38%20Gridiron%20Kings%20RC%20Chargers&amp;_sacat=0&amp;_sop=15&amp;rt=nc&amp;LH_BIN=1", "Active")</f>
        <v/>
      </c>
      <c r="J610" s="2">
        <f>HYPERLINK("https://www.ebay.com/sch/261328/i.html?_from=R40&amp;_nkw=2021%20Panini%20Chronicles%20ASANTE%20SAMUEL%20JR.%20%23GK-38%20Gridiron%20Kings%20RC%20Chargers&amp;_sacat=0&amp;LH_Sold=1&amp;LH_Complete=1&amp;_sop=13", "Completed")</f>
        <v/>
      </c>
      <c r="K610" s="2" t="inlineStr">
        <is>
          <t>Asante Samuel jr 2021 Chronicles Gridiron Kings RC #GK38 Los Angeles Chargers</t>
        </is>
      </c>
    </row>
    <row r="611">
      <c r="A611" t="inlineStr">
        <is>
          <t>BBA-000100-00003-78582</t>
        </is>
      </c>
      <c r="B611" t="inlineStr">
        <is>
          <t>1999 PACIFIC AURORA DEDRIC WARD #103 Jets Football</t>
        </is>
      </c>
      <c r="C611" s="14" t="n">
        <v>3.49</v>
      </c>
      <c r="D611" s="14" t="n"/>
      <c r="E611" s="14" t="inlineStr"/>
      <c r="F611" s="15" t="inlineStr"/>
      <c r="G611" t="inlineStr">
        <is>
          <t>? No price data</t>
        </is>
      </c>
      <c r="H611" t="inlineStr">
        <is>
          <t>57%</t>
        </is>
      </c>
      <c r="I611">
        <f>HYPERLINK("https://www.ebay.com/sch/261328/i.html?_dcat=261328&amp;_fsrp=1&amp;rt=nc&amp;_from=R40&amp;_nkw=1999%20PACIFIC%20AURORA%20DEDRIC%20WARD%20%23103%20Jets%20Football&amp;_sacat=0&amp;_sop=15&amp;rt=nc&amp;LH_BIN=1", "Active")</f>
        <v/>
      </c>
      <c r="J611">
        <f>HYPERLINK("https://www.ebay.com/sch/261328/i.html?_from=R40&amp;_nkw=1999%20PACIFIC%20AURORA%20DEDRIC%20WARD%20%23103%20Jets%20Football&amp;_sacat=0&amp;LH_Sold=1&amp;LH_Complete=1&amp;_sop=13", "Completed")</f>
        <v/>
      </c>
      <c r="K611" t="inlineStr">
        <is>
          <t>New York Jets Football Cards - Choose from 100s Player Quantity Discount - Pt 4</t>
        </is>
      </c>
    </row>
    <row r="612">
      <c r="A612" s="2" t="inlineStr">
        <is>
          <t>BBA-000100-00039-04821</t>
        </is>
      </c>
      <c r="B612" s="2" t="inlineStr">
        <is>
          <t>2024 Panini Donruss Optic RASHEE RICE #97 Chiefs Football</t>
        </is>
      </c>
      <c r="C612" s="3" t="n">
        <v>3.49</v>
      </c>
      <c r="D612" s="3" t="n">
        <v>2.49</v>
      </c>
      <c r="E612" s="3" t="n">
        <v>-1</v>
      </c>
      <c r="F612" s="4" t="n">
        <v>-28.7</v>
      </c>
      <c r="G612" s="2" t="inlineStr">
        <is>
          <t>🔵 Floored $2.49 — free ship or $0.99 ship?</t>
        </is>
      </c>
      <c r="H612" s="2" t="inlineStr">
        <is>
          <t>70%</t>
        </is>
      </c>
      <c r="I612" s="2">
        <f>HYPERLINK("https://www.ebay.com/sch/261328/i.html?_dcat=261328&amp;_fsrp=1&amp;rt=nc&amp;_from=R40&amp;_nkw=2024%20Panini%20Donruss%20Optic%20RASHEE%20RICE%20%2397%20Chiefs%20Football&amp;_sacat=0&amp;_sop=15&amp;rt=nc&amp;LH_BIN=1", "Active")</f>
        <v/>
      </c>
      <c r="J612" s="2">
        <f>HYPERLINK("https://www.ebay.com/sch/261328/i.html?_from=R40&amp;_nkw=2024%20Panini%20Donruss%20Optic%20RASHEE%20RICE%20%2397%20Chiefs%20Football&amp;_sacat=0&amp;LH_Sold=1&amp;LH_Complete=1&amp;_sop=13", "Completed")</f>
        <v/>
      </c>
      <c r="K612" s="2" t="inlineStr">
        <is>
          <t>Rashee Rice 2024 Donruss Optic #97 Chiefs NFL READ FREE SHIPPING AutographDen</t>
        </is>
      </c>
    </row>
    <row r="613">
      <c r="A613" s="2" t="inlineStr">
        <is>
          <t>BBA-000100-00038-37670</t>
        </is>
      </c>
      <c r="B613" s="2" t="inlineStr">
        <is>
          <t>2023 Panini MOSAIC QUINNEN WILLIAMS #77 Camo Pink Mosaic Jets Football</t>
        </is>
      </c>
      <c r="C613" s="3" t="n">
        <v>3.49</v>
      </c>
      <c r="D613" s="3" t="n">
        <v>2.49</v>
      </c>
      <c r="E613" s="3" t="n">
        <v>-1</v>
      </c>
      <c r="F613" s="4" t="n">
        <v>-28.7</v>
      </c>
      <c r="G613" s="2" t="inlineStr">
        <is>
          <t>🔵 Floored $2.49 — free ship or $0.99 ship?</t>
        </is>
      </c>
      <c r="H613" s="2" t="inlineStr">
        <is>
          <t>60%</t>
        </is>
      </c>
      <c r="I613" s="2">
        <f>HYPERLINK("https://www.ebay.com/sch/261328/i.html?_dcat=261328&amp;_fsrp=1&amp;rt=nc&amp;_from=R40&amp;_nkw=2023%20Panini%20MOSAIC%20QUINNEN%20WILLIAMS%20%2377%20Camo%20Pink%20Mosaic%20Jets%20Football&amp;_sacat=0&amp;_sop=15&amp;rt=nc&amp;LH_BIN=1", "Active")</f>
        <v/>
      </c>
      <c r="J613" s="2">
        <f>HYPERLINK("https://www.ebay.com/sch/261328/i.html?_from=R40&amp;_nkw=2023%20Panini%20MOSAIC%20QUINNEN%20WILLIAMS%20%2377%20Camo%20Pink%20Mosaic%20Jets%20Football&amp;_sacat=0&amp;LH_Sold=1&amp;LH_Complete=1&amp;_sop=13", "Completed")</f>
        <v/>
      </c>
      <c r="K613" s="2" t="inlineStr">
        <is>
          <t>2023 Mosaic Football CAMO PINK PRIZMS 1-250 You Pick - 2 Card Minimum</t>
        </is>
      </c>
    </row>
    <row r="614">
      <c r="A614" s="2" t="inlineStr">
        <is>
          <t>BBA-000100-00022-87411</t>
        </is>
      </c>
      <c r="B614" s="2" t="inlineStr">
        <is>
          <t>2023 Panini MOSAIC FLETCHER COX #197 Camo Pink Mosaic Eagles Football</t>
        </is>
      </c>
      <c r="C614" s="3" t="n">
        <v>3.49</v>
      </c>
      <c r="D614" s="3" t="n">
        <v>2.49</v>
      </c>
      <c r="E614" s="3" t="n">
        <v>-1</v>
      </c>
      <c r="F614" s="4" t="n">
        <v>-28.7</v>
      </c>
      <c r="G614" s="2" t="inlineStr">
        <is>
          <t>🔵 Floored $2.49 — free ship or $0.99 ship?</t>
        </is>
      </c>
      <c r="H614" s="2" t="inlineStr">
        <is>
          <t>62%</t>
        </is>
      </c>
      <c r="I614" s="2">
        <f>HYPERLINK("https://www.ebay.com/sch/261328/i.html?_dcat=261328&amp;_fsrp=1&amp;rt=nc&amp;_from=R40&amp;_nkw=2023%20Panini%20MOSAIC%20FLETCHER%20COX%20%23197%20Camo%20Pink%20Mosaic%20Eagles%20Football&amp;_sacat=0&amp;_sop=15&amp;rt=nc&amp;LH_BIN=1", "Active")</f>
        <v/>
      </c>
      <c r="J614" s="2">
        <f>HYPERLINK("https://www.ebay.com/sch/261328/i.html?_from=R40&amp;_nkw=2023%20Panini%20MOSAIC%20FLETCHER%20COX%20%23197%20Camo%20Pink%20Mosaic%20Eagles%20Football&amp;_sacat=0&amp;LH_Sold=1&amp;LH_Complete=1&amp;_sop=13", "Completed")</f>
        <v/>
      </c>
      <c r="K614" s="2" t="inlineStr">
        <is>
          <t>2023 Mosaic Football CAMO PINK PRIZMS 1-250 You Pick - 2 Card Minimum</t>
        </is>
      </c>
    </row>
    <row r="615">
      <c r="A615" s="2" t="inlineStr">
        <is>
          <t>BBA-000100-00036-96742</t>
        </is>
      </c>
      <c r="B615" s="2" t="inlineStr">
        <is>
          <t>2023 Panini Prizm TONY POLLARD #H-11 Hype Cowboys Football</t>
        </is>
      </c>
      <c r="C615" s="3" t="n">
        <v>3.49</v>
      </c>
      <c r="D615" s="3" t="n">
        <v>2.49</v>
      </c>
      <c r="E615" s="3" t="n">
        <v>-1</v>
      </c>
      <c r="F615" s="4" t="n">
        <v>-28.7</v>
      </c>
      <c r="G615" s="2" t="inlineStr">
        <is>
          <t>🔵 Floored $2.49 — free ship or $0.99 ship?</t>
        </is>
      </c>
      <c r="H615" s="2" t="inlineStr">
        <is>
          <t>84%</t>
        </is>
      </c>
      <c r="I615" s="2">
        <f>HYPERLINK("https://www.ebay.com/sch/261328/i.html?_dcat=261328&amp;_fsrp=1&amp;rt=nc&amp;_from=R40&amp;_nkw=2023%20Panini%20Prizm%20TONY%20POLLARD%20%23H-11%20Hype%20Cowboys%20Football&amp;_sacat=0&amp;_sop=15&amp;rt=nc&amp;LH_BIN=1", "Active")</f>
        <v/>
      </c>
      <c r="J615" s="2">
        <f>HYPERLINK("https://www.ebay.com/sch/261328/i.html?_from=R40&amp;_nkw=2023%20Panini%20Prizm%20TONY%20POLLARD%20%23H-11%20Hype%20Cowboys%20Football&amp;_sacat=0&amp;LH_Sold=1&amp;LH_Complete=1&amp;_sop=13", "Completed")</f>
        <v/>
      </c>
      <c r="K615" s="2" t="inlineStr">
        <is>
          <t>2023 PRIZM- HYPE INSERT- TONY POLLARD #H-11 COWBOYS</t>
        </is>
      </c>
    </row>
    <row r="616">
      <c r="A616" s="2" t="inlineStr">
        <is>
          <t>BBA-000100-00029-95653</t>
        </is>
      </c>
      <c r="B616" s="2" t="inlineStr">
        <is>
          <t>2023 Panini Donruss Optic DREW SANDERS #230 Purple Shock Prizm RC Rated Rookie</t>
        </is>
      </c>
      <c r="C616" s="3" t="n">
        <v>3.49</v>
      </c>
      <c r="D616" s="3" t="n">
        <v>2.49</v>
      </c>
      <c r="E616" s="3" t="n">
        <v>-1</v>
      </c>
      <c r="F616" s="4" t="n">
        <v>-28.7</v>
      </c>
      <c r="G616" s="2" t="inlineStr">
        <is>
          <t>🔵 Floored $2.49 — free ship or $0.99 ship?</t>
        </is>
      </c>
      <c r="H616" s="2" t="inlineStr">
        <is>
          <t>90%</t>
        </is>
      </c>
      <c r="I616" s="2">
        <f>HYPERLINK("https://www.ebay.com/sch/261328/i.html?_dcat=261328&amp;_fsrp=1&amp;rt=nc&amp;_from=R40&amp;_nkw=2023%20Panini%20Donruss%20Optic%20DREW%20SANDERS%20%23230%20Purple%20Shock%20Prizm%20RC%20Rated%20Rookie&amp;_sacat=0&amp;_sop=15&amp;rt=nc&amp;LH_BIN=1", "Active")</f>
        <v/>
      </c>
      <c r="J616" s="2">
        <f>HYPERLINK("https://www.ebay.com/sch/261328/i.html?_from=R40&amp;_nkw=2023%20Panini%20Donruss%20Optic%20DREW%20SANDERS%20%23230%20Purple%20Shock%20Prizm%20RC%20Rated%20Rookie&amp;_sacat=0&amp;LH_Sold=1&amp;LH_Complete=1&amp;_sop=13", "Completed")</f>
        <v/>
      </c>
      <c r="K616" s="2" t="inlineStr">
        <is>
          <t>2023 Panini Donruss Optic - Rated Rookie Drew Sanders #230 Purple Shock Prizm RC</t>
        </is>
      </c>
    </row>
    <row r="617">
      <c r="A617" s="5" t="inlineStr">
        <is>
          <t>BBA-000100-00034-32255</t>
        </is>
      </c>
      <c r="B617" s="5" t="inlineStr">
        <is>
          <t>2024 Panini Prizm ZACH CHARBONNET #264 Pink Wave Seahawks Basketball</t>
        </is>
      </c>
      <c r="C617" s="6" t="n">
        <v>3.49</v>
      </c>
      <c r="D617" s="6" t="n">
        <v>3.89</v>
      </c>
      <c r="E617" s="6" t="n">
        <v>0.4</v>
      </c>
      <c r="F617" s="7" t="n">
        <v>11.5</v>
      </c>
      <c r="G617" s="5" t="inlineStr">
        <is>
          <t>⬆ Price Up</t>
        </is>
      </c>
      <c r="H617" s="5" t="inlineStr">
        <is>
          <t>88%</t>
        </is>
      </c>
      <c r="I617" s="5">
        <f>HYPERLINK("https://www.ebay.com/sch/261328/i.html?_dcat=261328&amp;_fsrp=1&amp;rt=nc&amp;_from=R40&amp;_nkw=2024%20Panini%20Prizm%20ZACH%20CHARBONNET%20%23264%20Pink%20Wave%20Seahawks%20Basketball&amp;_sacat=0&amp;_sop=15&amp;rt=nc&amp;LH_BIN=1", "Active")</f>
        <v/>
      </c>
      <c r="J617" s="5">
        <f>HYPERLINK("https://www.ebay.com/sch/261328/i.html?_from=R40&amp;_nkw=2024%20Panini%20Prizm%20ZACH%20CHARBONNET%20%23264%20Pink%20Wave%20Seahawks%20Basketball&amp;_sacat=0&amp;LH_Sold=1&amp;LH_Complete=1&amp;_sop=13", "Completed")</f>
        <v/>
      </c>
      <c r="K617" s="5" t="inlineStr">
        <is>
          <t>2024 Panini Prizm ZACH CHARBONNET #264 Pink Wave Seattle Seahawks Basketball</t>
        </is>
      </c>
    </row>
    <row r="618">
      <c r="A618" s="2" t="inlineStr">
        <is>
          <t>BBA-000100-00012-58323</t>
        </is>
      </c>
      <c r="B618" s="2" t="inlineStr">
        <is>
          <t>1999 PACIFIC AURORA DARNAY SCOTT #34 Bengals Football</t>
        </is>
      </c>
      <c r="C618" s="3" t="n">
        <v>3.49</v>
      </c>
      <c r="D618" s="3" t="n">
        <v>2.49</v>
      </c>
      <c r="E618" s="3" t="n">
        <v>-1</v>
      </c>
      <c r="F618" s="4" t="n">
        <v>-28.7</v>
      </c>
      <c r="G618" s="2" t="inlineStr">
        <is>
          <t>🔵 Floored $2.49 — free ship or $0.99 ship?</t>
        </is>
      </c>
      <c r="H618" s="2" t="inlineStr">
        <is>
          <t>61%</t>
        </is>
      </c>
      <c r="I618" s="2">
        <f>HYPERLINK("https://www.ebay.com/sch/261328/i.html?_dcat=261328&amp;_fsrp=1&amp;rt=nc&amp;_from=R40&amp;_nkw=1999%20PACIFIC%20AURORA%20DARNAY%20SCOTT%20%2334%20Bengals%20Football&amp;_sacat=0&amp;_sop=15&amp;rt=nc&amp;LH_BIN=1", "Active")</f>
        <v/>
      </c>
      <c r="J618" s="2">
        <f>HYPERLINK("https://www.ebay.com/sch/261328/i.html?_from=R40&amp;_nkw=1999%20PACIFIC%20AURORA%20DARNAY%20SCOTT%20%2334%20Bengals%20Football&amp;_sacat=0&amp;LH_Sold=1&amp;LH_Complete=1&amp;_sop=13", "Completed")</f>
        <v/>
      </c>
      <c r="K618" s="2" t="inlineStr">
        <is>
          <t>Cincinnati Bengals Football Cards - Choose from 100s Player Qty Discount - Pt 2</t>
        </is>
      </c>
    </row>
    <row r="619">
      <c r="A619" s="2" t="inlineStr">
        <is>
          <t>BBA-000100-00023-76507</t>
        </is>
      </c>
      <c r="B619" s="2" t="inlineStr">
        <is>
          <t>2023 Panini Prizm BOBBY OKEREKE #124 Green Wave Giants Football</t>
        </is>
      </c>
      <c r="C619" s="3" t="n">
        <v>3.49</v>
      </c>
      <c r="D619" s="3" t="n">
        <v>2.49</v>
      </c>
      <c r="E619" s="3" t="n">
        <v>-1</v>
      </c>
      <c r="F619" s="4" t="n">
        <v>-28.7</v>
      </c>
      <c r="G619" s="2" t="inlineStr">
        <is>
          <t>🔵 Floored $2.49 — free ship or $0.99 ship?</t>
        </is>
      </c>
      <c r="H619" s="2" t="inlineStr">
        <is>
          <t>66%</t>
        </is>
      </c>
      <c r="I619" s="2">
        <f>HYPERLINK("https://www.ebay.com/sch/261328/i.html?_dcat=261328&amp;_fsrp=1&amp;rt=nc&amp;_from=R40&amp;_nkw=2023%20Panini%20Prizm%20BOBBY%20OKEREKE%20%23124%20Green%20Wave%20Giants%20Football&amp;_sacat=0&amp;_sop=15&amp;rt=nc&amp;LH_BIN=1", "Active")</f>
        <v/>
      </c>
      <c r="J619" s="2">
        <f>HYPERLINK("https://www.ebay.com/sch/261328/i.html?_from=R40&amp;_nkw=2023%20Panini%20Prizm%20BOBBY%20OKEREKE%20%23124%20Green%20Wave%20Giants%20Football&amp;_sacat=0&amp;LH_Sold=1&amp;LH_Complete=1&amp;_sop=13", "Completed")</f>
        <v/>
      </c>
      <c r="K619" s="2" t="inlineStr">
        <is>
          <t>2023 Panini Prizm Football Silver, Green Wave &amp; Red White Blue YOU PICK</t>
        </is>
      </c>
    </row>
    <row r="620">
      <c r="A620" s="5" t="inlineStr">
        <is>
          <t>BBA-000100-00018-00630</t>
        </is>
      </c>
      <c r="B620" s="5" t="inlineStr">
        <is>
          <t>1995 Skybox IMPACT JOEY GALLOWAY #176 RC Seahawks Rookie Basketball</t>
        </is>
      </c>
      <c r="C620" s="6" t="n">
        <v>3.49</v>
      </c>
      <c r="D620" s="6" t="n">
        <v>4.39</v>
      </c>
      <c r="E620" s="6" t="n">
        <v>0.9</v>
      </c>
      <c r="F620" s="7" t="n">
        <v>25.8</v>
      </c>
      <c r="G620" s="5" t="inlineStr">
        <is>
          <t>⬆ Price Up</t>
        </is>
      </c>
      <c r="H620" s="5" t="inlineStr">
        <is>
          <t>100%</t>
        </is>
      </c>
      <c r="I620" s="5">
        <f>HYPERLINK("https://www.ebay.com/sch/261328/i.html?_dcat=261328&amp;_fsrp=1&amp;rt=nc&amp;_from=R40&amp;_nkw=1995%20Skybox%20IMPACT%20JOEY%20GALLOWAY%20%23176%20RC%20Seahawks%20Rookie%20Basketball&amp;_sacat=0&amp;_sop=15&amp;rt=nc&amp;LH_BIN=1", "Active")</f>
        <v/>
      </c>
      <c r="J620" s="5">
        <f>HYPERLINK("https://www.ebay.com/sch/261328/i.html?_from=R40&amp;_nkw=1995%20Skybox%20IMPACT%20JOEY%20GALLOWAY%20%23176%20RC%20Seahawks%20Rookie%20Basketball&amp;_sacat=0&amp;LH_Sold=1&amp;LH_Complete=1&amp;_sop=13", "Completed")</f>
        <v/>
      </c>
      <c r="K620" s="5" t="inlineStr">
        <is>
          <t>1995 Skybox IMPACT JOEY GALLOWAY #176 RC Seahawks Rookie Basketball</t>
        </is>
      </c>
    </row>
    <row r="621">
      <c r="A621" s="2" t="inlineStr">
        <is>
          <t>BBA-000100-00028-11305</t>
        </is>
      </c>
      <c r="B621" s="2" t="inlineStr">
        <is>
          <t>2024 Panini Select AJ BARNER #103 Premier Silver Prizm RC Seahawks Rookie</t>
        </is>
      </c>
      <c r="C621" s="3" t="n">
        <v>3.49</v>
      </c>
      <c r="D621" s="3" t="n">
        <v>2.49</v>
      </c>
      <c r="E621" s="3" t="n">
        <v>-1</v>
      </c>
      <c r="F621" s="4" t="n">
        <v>-28.7</v>
      </c>
      <c r="G621" s="2" t="inlineStr">
        <is>
          <t>🔵 Floored $2.49 — free ship or $0.99 ship?</t>
        </is>
      </c>
      <c r="H621" s="2" t="inlineStr">
        <is>
          <t>83%</t>
        </is>
      </c>
      <c r="I621" s="2">
        <f>HYPERLINK("https://www.ebay.com/sch/261328/i.html?_dcat=261328&amp;_fsrp=1&amp;rt=nc&amp;_from=R40&amp;_nkw=2024%20Panini%20Select%20AJ%20BARNER%20%23103%20Premier%20Silver%20Prizm%20RC%20Seahawks%20Rookie&amp;_sacat=0&amp;_sop=15&amp;rt=nc&amp;LH_BIN=1", "Active")</f>
        <v/>
      </c>
      <c r="J621" s="2">
        <f>HYPERLINK("https://www.ebay.com/sch/261328/i.html?_from=R40&amp;_nkw=2024%20Panini%20Select%20AJ%20BARNER%20%23103%20Premier%20Silver%20Prizm%20RC%20Seahawks%20Rookie&amp;_sacat=0&amp;LH_Sold=1&amp;LH_Complete=1&amp;_sop=13", "Completed")</f>
        <v/>
      </c>
      <c r="K621" s="2" t="inlineStr">
        <is>
          <t>2024 Select Aj Barner RC  Premier Level Seattle Seahawks Rookie #103 Base</t>
        </is>
      </c>
    </row>
    <row r="622">
      <c r="A622" s="2" t="inlineStr">
        <is>
          <t>BBA-000100-00040-83784</t>
        </is>
      </c>
      <c r="B622" s="2" t="inlineStr">
        <is>
          <t>2021 Panini Contenders KHALIL MACK #16 Season Ticket Bears Football</t>
        </is>
      </c>
      <c r="C622" s="3" t="n">
        <v>3.49</v>
      </c>
      <c r="D622" s="3" t="n">
        <v>2.49</v>
      </c>
      <c r="E622" s="3" t="n">
        <v>-1</v>
      </c>
      <c r="F622" s="4" t="n">
        <v>-28.7</v>
      </c>
      <c r="G622" s="2" t="inlineStr">
        <is>
          <t>🔵 Floored $2.49 — free ship or $0.99 ship?</t>
        </is>
      </c>
      <c r="H622" s="2" t="inlineStr">
        <is>
          <t>84%</t>
        </is>
      </c>
      <c r="I622" s="2">
        <f>HYPERLINK("https://www.ebay.com/sch/261328/i.html?_dcat=261328&amp;_fsrp=1&amp;rt=nc&amp;_from=R40&amp;_nkw=2021%20Panini%20Contenders%20KHALIL%20MACK%20%2316%20Season%20Ticket%20Bears%20Football&amp;_sacat=0&amp;_sop=15&amp;rt=nc&amp;LH_BIN=1", "Active")</f>
        <v/>
      </c>
      <c r="J622" s="2">
        <f>HYPERLINK("https://www.ebay.com/sch/261328/i.html?_from=R40&amp;_nkw=2021%20Panini%20Contenders%20KHALIL%20MACK%20%2316%20Season%20Ticket%20Bears%20Football&amp;_sacat=0&amp;LH_Sold=1&amp;LH_Complete=1&amp;_sop=13", "Completed")</f>
        <v/>
      </c>
      <c r="K622" s="2" t="inlineStr">
        <is>
          <t>2021 PANINI CONTENDERS FOOTBALL SEASON TICKET BASE CARDS YOU PICK #1-100</t>
        </is>
      </c>
    </row>
    <row r="623">
      <c r="A623" s="2" t="inlineStr">
        <is>
          <t>BBA-000100-00035-06271</t>
        </is>
      </c>
      <c r="B623" s="2" t="inlineStr">
        <is>
          <t>2019 Panini Donruss ELITE SAMMY WATKINS #15 Green Chiefs Football</t>
        </is>
      </c>
      <c r="C623" s="3" t="n">
        <v>3.99</v>
      </c>
      <c r="D623" s="3" t="n">
        <v>2.49</v>
      </c>
      <c r="E623" s="3" t="n">
        <v>-1.5</v>
      </c>
      <c r="F623" s="4" t="n">
        <v>-37.6</v>
      </c>
      <c r="G623" s="2" t="inlineStr">
        <is>
          <t>🔵 Floored $2.49 — free ship or $0.99 ship?</t>
        </is>
      </c>
      <c r="H623" s="2" t="inlineStr">
        <is>
          <t>83%</t>
        </is>
      </c>
      <c r="I623" s="2">
        <f>HYPERLINK("https://www.ebay.com/sch/261328/i.html?_dcat=261328&amp;_fsrp=1&amp;rt=nc&amp;_from=R40&amp;_nkw=2019%20Panini%20Donruss%20ELITE%20SAMMY%20WATKINS%20%2315%20Green%20Chiefs%20Football&amp;_sacat=0&amp;_sop=15&amp;rt=nc&amp;LH_BIN=1", "Active")</f>
        <v/>
      </c>
      <c r="J623" s="2">
        <f>HYPERLINK("https://www.ebay.com/sch/261328/i.html?_from=R40&amp;_nkw=2019%20Panini%20Donruss%20ELITE%20SAMMY%20WATKINS%20%2315%20Green%20Chiefs%20Football&amp;_sacat=0&amp;LH_Sold=1&amp;LH_Complete=1&amp;_sop=13", "Completed")</f>
        <v/>
      </c>
      <c r="K623" s="2" t="inlineStr">
        <is>
          <t>2019 Donruss Elite Sammy Watkins 15 Kansas City Chiefs</t>
        </is>
      </c>
    </row>
    <row r="624">
      <c r="A624" s="2" t="inlineStr">
        <is>
          <t>BBA-000100-00032-61345</t>
        </is>
      </c>
      <c r="B624" s="2" t="inlineStr">
        <is>
          <t>2021 Panini Chronicles KENNETH GAINWELL #REV-13 Revolution Rapture Eagles</t>
        </is>
      </c>
      <c r="C624" s="3" t="n">
        <v>3.49</v>
      </c>
      <c r="D624" s="3" t="n">
        <v>2.49</v>
      </c>
      <c r="E624" s="3" t="n">
        <v>-1</v>
      </c>
      <c r="F624" s="4" t="n">
        <v>-28.7</v>
      </c>
      <c r="G624" s="2" t="inlineStr">
        <is>
          <t>🔵 Floored $2.49 — free ship or $0.99 ship?</t>
        </is>
      </c>
      <c r="H624" s="2" t="inlineStr">
        <is>
          <t>85%</t>
        </is>
      </c>
      <c r="I624" s="2">
        <f>HYPERLINK("https://www.ebay.com/sch/261328/i.html?_dcat=261328&amp;_fsrp=1&amp;rt=nc&amp;_from=R40&amp;_nkw=2021%20Panini%20Chronicles%20KENNETH%20GAINWELL%20%23REV-13%20Revolution%20Rapture%20Eagles&amp;_sacat=0&amp;_sop=15&amp;rt=nc&amp;LH_BIN=1", "Active")</f>
        <v/>
      </c>
      <c r="J624" s="2">
        <f>HYPERLINK("https://www.ebay.com/sch/261328/i.html?_from=R40&amp;_nkw=2021%20Panini%20Chronicles%20KENNETH%20GAINWELL%20%23REV-13%20Revolution%20Rapture%20Eagles&amp;_sacat=0&amp;LH_Sold=1&amp;LH_Complete=1&amp;_sop=13", "Completed")</f>
        <v/>
      </c>
      <c r="K624" s="2" t="inlineStr">
        <is>
          <t>2021 Panini Chronicles Kenneth Gainwell #REV-13 RC Philadelphia Eagles</t>
        </is>
      </c>
    </row>
    <row r="625">
      <c r="A625" s="2" t="inlineStr">
        <is>
          <t>Baseball_ASG_batch_3-00027-066513</t>
        </is>
      </c>
      <c r="B625" s="2" t="inlineStr">
        <is>
          <t>2024 Topps AL LEADERS ERA GERRIT COLE SONNY GRAY KYLE BRADISH #324 All Star Game</t>
        </is>
      </c>
      <c r="C625" s="3" t="n">
        <v>2.99</v>
      </c>
      <c r="D625" s="3" t="n">
        <v>2.49</v>
      </c>
      <c r="E625" s="3" t="n">
        <v>-0.5</v>
      </c>
      <c r="F625" s="4" t="n">
        <v>-16.7</v>
      </c>
      <c r="G625" s="2" t="inlineStr">
        <is>
          <t>🔵 Floored $2.49 — free ship or $0.99 ship?</t>
        </is>
      </c>
      <c r="H625" s="2" t="inlineStr">
        <is>
          <t>63%</t>
        </is>
      </c>
      <c r="I625" s="2">
        <f>HYPERLINK("https://www.ebay.com/sch/261328/i.html?_dcat=261328&amp;_fsrp=1&amp;rt=nc&amp;_from=R40&amp;_nkw=2024%20Topps%20AL%20LEADERS%20ERA%20GERRIT%20COLE%20SONNY%20GRAY%20KYLE%20BRADISH%20%23324%20All%20Star%20Game&amp;_sacat=0&amp;_sop=15&amp;rt=nc&amp;LH_BIN=1", "Active")</f>
        <v/>
      </c>
      <c r="J625" s="2">
        <f>HYPERLINK("https://www.ebay.com/sch/261328/i.html?_from=R40&amp;_nkw=2024%20Topps%20AL%20LEADERS%20ERA%20GERRIT%20COLE%20SONNY%20GRAY%20KYLE%20BRADISH%20%23324%20All%20Star%20Game&amp;_sacat=0&amp;LH_Sold=1&amp;LH_Complete=1&amp;_sop=13", "Completed")</f>
        <v/>
      </c>
      <c r="K625" s="2" t="inlineStr">
        <is>
          <t>2024 Topps ASG All Star Game Foil (Choose your Card)</t>
        </is>
      </c>
    </row>
    <row r="626">
      <c r="A626" s="5" t="inlineStr">
        <is>
          <t>Baseball_ASG_batch_3-00031-061722</t>
        </is>
      </c>
      <c r="B626" s="5" t="inlineStr">
        <is>
          <t>2024 Topps NL LEADERS RUNS BATTED In Olson/Alonso/Albies #293 All Star Game</t>
        </is>
      </c>
      <c r="C626" s="6" t="n">
        <v>2.99</v>
      </c>
      <c r="D626" s="6" t="n">
        <v>3.89</v>
      </c>
      <c r="E626" s="6" t="n">
        <v>0.9</v>
      </c>
      <c r="F626" s="7" t="n">
        <v>30.1</v>
      </c>
      <c r="G626" s="5" t="inlineStr">
        <is>
          <t>⬆ Price Up</t>
        </is>
      </c>
      <c r="H626" s="5" t="inlineStr">
        <is>
          <t>100%</t>
        </is>
      </c>
      <c r="I626" s="5">
        <f>HYPERLINK("https://www.ebay.com/sch/261328/i.html?_dcat=261328&amp;_fsrp=1&amp;rt=nc&amp;_from=R40&amp;_nkw=2024%20Topps%20NL%20LEADERS%20RUNS%20BATTED%20In%20Olson%2FAlonso%2FAlbies%20%23293%20All%20Star%20Game&amp;_sacat=0&amp;_sop=15&amp;rt=nc&amp;LH_BIN=1", "Active")</f>
        <v/>
      </c>
      <c r="J626" s="5">
        <f>HYPERLINK("https://www.ebay.com/sch/261328/i.html?_from=R40&amp;_nkw=2024%20Topps%20NL%20LEADERS%20RUNS%20BATTED%20In%20Olson%2FAlonso%2FAlbies%20%23293%20All%20Star%20Game&amp;_sacat=0&amp;LH_Sold=1&amp;LH_Complete=1&amp;_sop=13", "Completed")</f>
        <v/>
      </c>
      <c r="K626" s="5" t="inlineStr">
        <is>
          <t>2024 Topps NL LEADERS RUNS BATTED In Olson/Alonso/Albies #293 All Star Game</t>
        </is>
      </c>
    </row>
    <row r="627">
      <c r="A627" s="11" t="inlineStr">
        <is>
          <t>BBA-000100-00003-67631</t>
        </is>
      </c>
      <c r="B627" s="11" t="inlineStr">
        <is>
          <t>2025 Bowman's Best KRISTIAN CAMPBELL #11 Mini-Diamond Refractor /299 RC Rookie</t>
        </is>
      </c>
      <c r="C627" s="12" t="n">
        <v>12</v>
      </c>
      <c r="D627" s="12" t="n">
        <v>3.19</v>
      </c>
      <c r="E627" s="12" t="n">
        <v>-8.81</v>
      </c>
      <c r="F627" s="13" t="n">
        <v>-73.40000000000001</v>
      </c>
      <c r="G627" s="11" t="inlineStr">
        <is>
          <t>⬇ Price Down</t>
        </is>
      </c>
      <c r="H627" s="11" t="inlineStr">
        <is>
          <t>88%</t>
        </is>
      </c>
      <c r="I627" s="11">
        <f>HYPERLINK("https://www.ebay.com/sch/261328/i.html?_dcat=261328&amp;_fsrp=1&amp;rt=nc&amp;_from=R40&amp;_nkw=2025%20Bowman's%20Best%20KRISTIAN%20CAMPBELL%20%2311%20Mini-Diamond%20Refractor%20%2F299%20RC%20Rookie&amp;_sacat=0&amp;_sop=15&amp;rt=nc&amp;LH_BIN=1", "Active")</f>
        <v/>
      </c>
      <c r="J627" s="11">
        <f>HYPERLINK("https://www.ebay.com/sch/261328/i.html?_from=R40&amp;_nkw=2025%20Bowman's%20Best%20KRISTIAN%20CAMPBELL%20%2311%20Mini-Diamond%20Refractor%20%2F299%20RC%20Rookie&amp;_sacat=0&amp;LH_Sold=1&amp;LH_Complete=1&amp;_sop=13", "Completed")</f>
        <v/>
      </c>
      <c r="K627" s="11" t="inlineStr">
        <is>
          <t>2025 Bowman's Best Kristian Campbell Mini-Diamond Refractor /299 RC #11 Red Sox</t>
        </is>
      </c>
    </row>
    <row r="628">
      <c r="A628" s="5" t="inlineStr">
        <is>
          <t>BBA-000100-00002-27285</t>
        </is>
      </c>
      <c r="B628" s="5" t="inlineStr">
        <is>
          <t>2025 Panini Prizm Draft PICKS EMEKA EGBUKA #85 Gold Cracked Ice RC Buckeyes</t>
        </is>
      </c>
      <c r="C628" s="6" t="n">
        <v>3.99</v>
      </c>
      <c r="D628" s="6" t="n">
        <v>4.79</v>
      </c>
      <c r="E628" s="6" t="n">
        <v>0.8</v>
      </c>
      <c r="F628" s="7" t="n">
        <v>20.1</v>
      </c>
      <c r="G628" s="5" t="inlineStr">
        <is>
          <t>⬆ Price Up</t>
        </is>
      </c>
      <c r="H628" s="5" t="inlineStr">
        <is>
          <t>100%</t>
        </is>
      </c>
      <c r="I628" s="5">
        <f>HYPERLINK("https://www.ebay.com/sch/261328/i.html?_dcat=261328&amp;_fsrp=1&amp;rt=nc&amp;_from=R40&amp;_nkw=2025%20Panini%20Prizm%20Draft%20PICKS%20EMEKA%20EGBUKA%20%2385%20Gold%20Cracked%20Ice%20RC%20Buckeyes&amp;_sacat=0&amp;_sop=15&amp;rt=nc&amp;LH_BIN=1", "Active")</f>
        <v/>
      </c>
      <c r="J628" s="5">
        <f>HYPERLINK("https://www.ebay.com/sch/261328/i.html?_from=R40&amp;_nkw=2025%20Panini%20Prizm%20Draft%20PICKS%20EMEKA%20EGBUKA%20%2385%20Gold%20Cracked%20Ice%20RC%20Buckeyes&amp;_sacat=0&amp;LH_Sold=1&amp;LH_Complete=1&amp;_sop=13", "Completed")</f>
        <v/>
      </c>
      <c r="K628" s="5" t="inlineStr">
        <is>
          <t>2025 Panini Prizm Draft PICKS EMEKA EGBUKA #85 Gold Cracked Ice RC Buckeyes</t>
        </is>
      </c>
    </row>
    <row r="629">
      <c r="A629" s="5" t="inlineStr">
        <is>
          <t>BBA-000100-00001-12596</t>
        </is>
      </c>
      <c r="B629" s="5" t="inlineStr">
        <is>
          <t>2025 Panini Prizm Draft PICKS WILL HOWARD #83 Gold Cracked Ice RC Buckeyes</t>
        </is>
      </c>
      <c r="C629" s="6" t="n">
        <v>2.99</v>
      </c>
      <c r="D629" s="6" t="n">
        <v>3.89</v>
      </c>
      <c r="E629" s="6" t="n">
        <v>0.9</v>
      </c>
      <c r="F629" s="7" t="n">
        <v>30.1</v>
      </c>
      <c r="G629" s="5" t="inlineStr">
        <is>
          <t>⬆ Price Up</t>
        </is>
      </c>
      <c r="H629" s="5" t="inlineStr">
        <is>
          <t>100%</t>
        </is>
      </c>
      <c r="I629" s="5">
        <f>HYPERLINK("https://www.ebay.com/sch/261328/i.html?_dcat=261328&amp;_fsrp=1&amp;rt=nc&amp;_from=R40&amp;_nkw=2025%20Panini%20Prizm%20Draft%20PICKS%20WILL%20HOWARD%20%2383%20Gold%20Cracked%20Ice%20RC%20Buckeyes&amp;_sacat=0&amp;_sop=15&amp;rt=nc&amp;LH_BIN=1", "Active")</f>
        <v/>
      </c>
      <c r="J629" s="5">
        <f>HYPERLINK("https://www.ebay.com/sch/261328/i.html?_from=R40&amp;_nkw=2025%20Panini%20Prizm%20Draft%20PICKS%20WILL%20HOWARD%20%2383%20Gold%20Cracked%20Ice%20RC%20Buckeyes&amp;_sacat=0&amp;LH_Sold=1&amp;LH_Complete=1&amp;_sop=13", "Completed")</f>
        <v/>
      </c>
      <c r="K629" s="5" t="inlineStr">
        <is>
          <t>2025 Panini Prizm Draft PICKS WILL HOWARD #83 Gold Cracked Ice RC Buckeyes</t>
        </is>
      </c>
    </row>
    <row r="630">
      <c r="A630" s="2" t="inlineStr">
        <is>
          <t>BBA-000100-00004-67614</t>
        </is>
      </c>
      <c r="B630" s="2" t="inlineStr">
        <is>
          <t>2025 Bowman's Best KRISTIAN CAMPBELL #11 Refractor RC Red Sox Rookie</t>
        </is>
      </c>
      <c r="C630" s="3" t="n">
        <v>3.49</v>
      </c>
      <c r="D630" s="3" t="n">
        <v>2.49</v>
      </c>
      <c r="E630" s="3" t="n">
        <v>-1</v>
      </c>
      <c r="F630" s="4" t="n">
        <v>-28.7</v>
      </c>
      <c r="G630" s="2" t="inlineStr">
        <is>
          <t>🔵 Floored $2.49 — free ship or $0.99 ship?</t>
        </is>
      </c>
      <c r="H630" s="2" t="inlineStr">
        <is>
          <t>88%</t>
        </is>
      </c>
      <c r="I630" s="2">
        <f>HYPERLINK("https://www.ebay.com/sch/261328/i.html?_dcat=261328&amp;_fsrp=1&amp;rt=nc&amp;_from=R40&amp;_nkw=2025%20Bowman's%20Best%20KRISTIAN%20CAMPBELL%20%2311%20Refractor%20RC%20Red%20Sox%20Rookie&amp;_sacat=0&amp;_sop=15&amp;rt=nc&amp;LH_BIN=1", "Active")</f>
        <v/>
      </c>
      <c r="J630" s="2">
        <f>HYPERLINK("https://www.ebay.com/sch/261328/i.html?_from=R40&amp;_nkw=2025%20Bowman's%20Best%20KRISTIAN%20CAMPBELL%20%2311%20Refractor%20RC%20Red%20Sox%20Rookie&amp;_sacat=0&amp;LH_Sold=1&amp;LH_Complete=1&amp;_sop=13", "Completed")</f>
        <v/>
      </c>
      <c r="K630" s="2" t="inlineStr">
        <is>
          <t>2025 Bowman's Best Kristian Campbell #11 Refractor RC Boston Red Sox</t>
        </is>
      </c>
    </row>
    <row r="631">
      <c r="A631" s="5" t="inlineStr">
        <is>
          <t>Pookie-000002</t>
        </is>
      </c>
      <c r="B631" s="5" t="inlineStr">
        <is>
          <t>2025 Bowman Chrome Sapphire BO BICHETTE #56 Blue Jays Basketball</t>
        </is>
      </c>
      <c r="C631" s="6" t="n">
        <v>5.49</v>
      </c>
      <c r="D631" s="6" t="n">
        <v>6.29</v>
      </c>
      <c r="E631" s="6" t="n">
        <v>0.8</v>
      </c>
      <c r="F631" s="7" t="n">
        <v>14.6</v>
      </c>
      <c r="G631" s="5" t="inlineStr">
        <is>
          <t>⬆ Price Up</t>
        </is>
      </c>
      <c r="H631" s="5" t="inlineStr">
        <is>
          <t>100%</t>
        </is>
      </c>
      <c r="I631" s="5">
        <f>HYPERLINK("https://www.ebay.com/sch/261328/i.html?_dcat=261328&amp;_fsrp=1&amp;rt=nc&amp;_from=R40&amp;_nkw=2025%20Bowman%20Chrome%20Sapphire%20BO%20BICHETTE%20%2356%20Blue%20Jays%20Basketball&amp;_sacat=0&amp;_sop=15&amp;rt=nc&amp;LH_BIN=1", "Active")</f>
        <v/>
      </c>
      <c r="J631" s="5">
        <f>HYPERLINK("https://www.ebay.com/sch/261328/i.html?_from=R40&amp;_nkw=2025%20Bowman%20Chrome%20Sapphire%20BO%20BICHETTE%20%2356%20Blue%20Jays%20Basketball&amp;_sacat=0&amp;LH_Sold=1&amp;LH_Complete=1&amp;_sop=13", "Completed")</f>
        <v/>
      </c>
      <c r="K631" s="5" t="inlineStr">
        <is>
          <t>2025 Bowman Chrome Sapphire BO BICHETTE #56 Blue Jays Basketball</t>
        </is>
      </c>
    </row>
    <row r="632">
      <c r="A632" s="11" t="inlineStr">
        <is>
          <t>Martinez_whatnot_baseball_03-23-26-00006-040410</t>
        </is>
      </c>
      <c r="B632" s="11" t="inlineStr">
        <is>
          <t>2025 Bowman Chrome Mega Box ROKI SASAKI #12 Mojo Refractor RC Dodgers Rookie</t>
        </is>
      </c>
      <c r="C632" s="12" t="n">
        <v>4.99</v>
      </c>
      <c r="D632" s="12" t="n">
        <v>2.69</v>
      </c>
      <c r="E632" s="12" t="n">
        <v>-2.3</v>
      </c>
      <c r="F632" s="13" t="n">
        <v>-46.1</v>
      </c>
      <c r="G632" s="11" t="inlineStr">
        <is>
          <t>⬇ Price Down</t>
        </is>
      </c>
      <c r="H632" s="11" t="inlineStr">
        <is>
          <t>88%</t>
        </is>
      </c>
      <c r="I632" s="11">
        <f>HYPERLINK("https://www.ebay.com/sch/261328/i.html?_dcat=261328&amp;_fsrp=1&amp;rt=nc&amp;_from=R40&amp;_nkw=2025%20Bowman%20Chrome%20Mega%20Box%20ROKI%20SASAKI%20%2312%20Mojo%20Refractor%20RC%20Dodgers%20Rookie&amp;_sacat=0&amp;_sop=15&amp;rt=nc&amp;LH_BIN=1", "Active")</f>
        <v/>
      </c>
      <c r="J632" s="11">
        <f>HYPERLINK("https://www.ebay.com/sch/261328/i.html?_from=R40&amp;_nkw=2025%20Bowman%20Chrome%20Mega%20Box%20ROKI%20SASAKI%20%2312%20Mojo%20Refractor%20RC%20Dodgers%20Rookie&amp;_sacat=0&amp;LH_Sold=1&amp;LH_Complete=1&amp;_sop=13", "Completed")</f>
        <v/>
      </c>
      <c r="K632" s="11" t="inlineStr">
        <is>
          <t>2025 Bowman Chrome #12 Roki Sasaki LA Dodgers Mega Box Mojo Refractor RC</t>
        </is>
      </c>
    </row>
    <row r="633">
      <c r="A633" s="2" t="inlineStr">
        <is>
          <t>BBB-000212-ukky3</t>
        </is>
      </c>
      <c r="B633" s="2" t="inlineStr">
        <is>
          <t>2024 Topps Inception NICK LOFTIN #29 Green Kansas City Royals</t>
        </is>
      </c>
      <c r="C633" s="3" t="n">
        <v>2.99</v>
      </c>
      <c r="D633" s="3" t="n">
        <v>2.49</v>
      </c>
      <c r="E633" s="3" t="n">
        <v>-0.5</v>
      </c>
      <c r="F633" s="4" t="n">
        <v>-16.7</v>
      </c>
      <c r="G633" s="2" t="inlineStr">
        <is>
          <t>🔵 Floored $2.49 — free ship or $0.99 ship?</t>
        </is>
      </c>
      <c r="H633" s="2" t="inlineStr">
        <is>
          <t>84%</t>
        </is>
      </c>
      <c r="I633" s="2">
        <f>HYPERLINK("https://www.ebay.com/sch/261328/i.html?_dcat=261328&amp;_fsrp=1&amp;rt=nc&amp;_from=R40&amp;_nkw=2024%20Topps%20Inception%20NICK%20LOFTIN%20%2329%20Green%20Kansas%20City%20Royals&amp;_sacat=0&amp;_sop=15&amp;rt=nc&amp;LH_BIN=1", "Active")</f>
        <v/>
      </c>
      <c r="J633" s="2">
        <f>HYPERLINK("https://www.ebay.com/sch/261328/i.html?_from=R40&amp;_nkw=2024%20Topps%20Inception%20NICK%20LOFTIN%20%2329%20Green%20Kansas%20City%20Royals&amp;_sacat=0&amp;LH_Sold=1&amp;LH_Complete=1&amp;_sop=13", "Completed")</f>
        <v/>
      </c>
      <c r="K633" s="2" t="inlineStr">
        <is>
          <t>2024 Topps Inception - Nick Loftin #29 Green (RC)</t>
        </is>
      </c>
    </row>
    <row r="634">
      <c r="A634" s="5" t="inlineStr">
        <is>
          <t>BBB-000215-ukky8</t>
        </is>
      </c>
      <c r="B634" s="5" t="inlineStr">
        <is>
          <t>2025 Topps AL LEADERS (SKUBAL/BERRÍOS /LUGO) #151</t>
        </is>
      </c>
      <c r="C634" s="6" t="n">
        <v>0.99</v>
      </c>
      <c r="D634" s="6" t="n">
        <v>2.49</v>
      </c>
      <c r="E634" s="6" t="n">
        <v>1.5</v>
      </c>
      <c r="F634" s="7" t="n">
        <v>151.5</v>
      </c>
      <c r="G634" s="5" t="inlineStr">
        <is>
          <t>⬆ Price Up</t>
        </is>
      </c>
      <c r="H634" s="5" t="inlineStr">
        <is>
          <t>72%</t>
        </is>
      </c>
      <c r="I634" s="5">
        <f>HYPERLINK("https://www.ebay.com/sch/261328/i.html?_dcat=261328&amp;_fsrp=1&amp;rt=nc&amp;_from=R40&amp;_nkw=2025%20Topps%20AL%20LEADERS%20(SKUBAL%2FBERR%C3%8DOS%20%2FLUGO)%20%23151&amp;_sacat=0&amp;_sop=15&amp;rt=nc&amp;LH_BIN=1", "Active")</f>
        <v/>
      </c>
      <c r="J634" s="5">
        <f>HYPERLINK("https://www.ebay.com/sch/261328/i.html?_from=R40&amp;_nkw=2025%20Topps%20AL%20LEADERS%20(SKUBAL%2FBERR%C3%8DOS%20%2FLUGO)%20%23151&amp;_sacat=0&amp;LH_Sold=1&amp;LH_Complete=1&amp;_sop=13", "Completed")</f>
        <v/>
      </c>
      <c r="K634" s="5" t="inlineStr">
        <is>
          <t>⚾️ 2025 Topps Series 1 - AL Wins Leaders - Skubal/Berríos/ Lugo #151</t>
        </is>
      </c>
    </row>
    <row r="635">
      <c r="A635" s="11" t="inlineStr">
        <is>
          <t>BBB-000218-ukkyb</t>
        </is>
      </c>
      <c r="B635" s="11" t="inlineStr">
        <is>
          <t>2025 Bowman Chrome JAMES WOOD #29b Washington Nationals</t>
        </is>
      </c>
      <c r="C635" s="12" t="n">
        <v>4.99</v>
      </c>
      <c r="D635" s="12" t="n">
        <v>2.89</v>
      </c>
      <c r="E635" s="12" t="n">
        <v>-2.1</v>
      </c>
      <c r="F635" s="13" t="n">
        <v>-42.1</v>
      </c>
      <c r="G635" s="11" t="inlineStr">
        <is>
          <t>⬇ Price Down</t>
        </is>
      </c>
      <c r="H635" s="11" t="inlineStr">
        <is>
          <t>82%</t>
        </is>
      </c>
      <c r="I635" s="11">
        <f>HYPERLINK("https://www.ebay.com/sch/261328/i.html?_dcat=261328&amp;_fsrp=1&amp;rt=nc&amp;_from=R40&amp;_nkw=2025%20Bowman%20Chrome%20JAMES%20WOOD%20%2329b%20Washington%20Nationals&amp;_sacat=0&amp;_sop=15&amp;rt=nc&amp;LH_BIN=1", "Active")</f>
        <v/>
      </c>
      <c r="J635" s="11">
        <f>HYPERLINK("https://www.ebay.com/sch/261328/i.html?_from=R40&amp;_nkw=2025%20Bowman%20Chrome%20JAMES%20WOOD%20%2329b%20Washington%20Nationals&amp;_sacat=0&amp;LH_Sold=1&amp;LH_Complete=1&amp;_sop=13", "Completed")</f>
        <v/>
      </c>
      <c r="K635" s="11" t="inlineStr">
        <is>
          <t>2025 Bowman Chrome James Wood #29b</t>
        </is>
      </c>
    </row>
    <row r="636">
      <c r="A636" s="11" t="inlineStr">
        <is>
          <t>BBB-000219-ukkyc</t>
        </is>
      </c>
      <c r="B636" s="11" t="inlineStr">
        <is>
          <t>2025 Bowman Chrome AYDEN JOHNSON #BCP-197 Prospects Mini-Diamond Athletics</t>
        </is>
      </c>
      <c r="C636" s="12" t="n">
        <v>3.49</v>
      </c>
      <c r="D636" s="12" t="n">
        <v>2.69</v>
      </c>
      <c r="E636" s="12" t="n">
        <v>-0.8</v>
      </c>
      <c r="F636" s="13" t="n">
        <v>-22.9</v>
      </c>
      <c r="G636" s="11" t="inlineStr">
        <is>
          <t>⬇ Price Down</t>
        </is>
      </c>
      <c r="H636" s="11" t="inlineStr">
        <is>
          <t>87%</t>
        </is>
      </c>
      <c r="I636" s="11">
        <f>HYPERLINK("https://www.ebay.com/sch/261328/i.html?_dcat=261328&amp;_fsrp=1&amp;rt=nc&amp;_from=R40&amp;_nkw=2025%20Bowman%20Chrome%20AYDEN%20JOHNSON%20%23BCP-197%20Prospects%20Mini-Diamond%20Athletics&amp;_sacat=0&amp;_sop=15&amp;rt=nc&amp;LH_BIN=1", "Active")</f>
        <v/>
      </c>
      <c r="J636" s="11">
        <f>HYPERLINK("https://www.ebay.com/sch/261328/i.html?_from=R40&amp;_nkw=2025%20Bowman%20Chrome%20AYDEN%20JOHNSON%20%23BCP-197%20Prospects%20Mini-Diamond%20Athletics&amp;_sacat=0&amp;LH_Sold=1&amp;LH_Complete=1&amp;_sop=13", "Completed")</f>
        <v/>
      </c>
      <c r="K636" s="11" t="inlineStr">
        <is>
          <t>2025 Bowman Chrome #BCP-197 Ayden Johnson Prospects Mini-Diamond</t>
        </is>
      </c>
    </row>
    <row r="637">
      <c r="A637" s="2" t="inlineStr">
        <is>
          <t>BBB-000220-ukkye</t>
        </is>
      </c>
      <c r="B637" s="2" t="inlineStr">
        <is>
          <t>2025 Bowman Chrome ETHAN SALAS #BCP-169 Prospects Shimmer San Diego Padres</t>
        </is>
      </c>
      <c r="C637" s="3" t="n">
        <v>3.99</v>
      </c>
      <c r="D637" s="3" t="n">
        <v>2.49</v>
      </c>
      <c r="E637" s="3" t="n">
        <v>-1.5</v>
      </c>
      <c r="F637" s="4" t="n">
        <v>-37.6</v>
      </c>
      <c r="G637" s="2" t="inlineStr">
        <is>
          <t>🔵 Floored $2.49 — free ship or $0.99 ship?</t>
        </is>
      </c>
      <c r="H637" s="2" t="inlineStr">
        <is>
          <t>85%</t>
        </is>
      </c>
      <c r="I637" s="2">
        <f>HYPERLINK("https://www.ebay.com/sch/261328/i.html?_dcat=261328&amp;_fsrp=1&amp;rt=nc&amp;_from=R40&amp;_nkw=2025%20Bowman%20Chrome%20ETHAN%20SALAS%20%23BCP-169%20Prospects%20Shimmer%20San%20Diego%20Padres&amp;_sacat=0&amp;_sop=15&amp;rt=nc&amp;LH_BIN=1", "Active")</f>
        <v/>
      </c>
      <c r="J637" s="2">
        <f>HYPERLINK("https://www.ebay.com/sch/261328/i.html?_from=R40&amp;_nkw=2025%20Bowman%20Chrome%20ETHAN%20SALAS%20%23BCP-169%20Prospects%20Shimmer%20San%20Diego%20Padres&amp;_sacat=0&amp;LH_Sold=1&amp;LH_Complete=1&amp;_sop=13", "Completed")</f>
        <v/>
      </c>
      <c r="K637" s="2" t="inlineStr">
        <is>
          <t>2025 Bowman Chrome #BCP-169 Ethan Salas Prospects Shimmer</t>
        </is>
      </c>
    </row>
    <row r="638">
      <c r="A638" s="2" t="inlineStr">
        <is>
          <t>BBB-000221-ukkyf</t>
        </is>
      </c>
      <c r="B638" s="2" t="inlineStr">
        <is>
          <t>2025 Bowman DAWEL JOSEPH #BCP-8 Chrome Prospects Reptilian Refractor Mariners</t>
        </is>
      </c>
      <c r="C638" s="3" t="n">
        <v>2.99</v>
      </c>
      <c r="D638" s="3" t="n">
        <v>2.49</v>
      </c>
      <c r="E638" s="3" t="n">
        <v>-0.5</v>
      </c>
      <c r="F638" s="4" t="n">
        <v>-16.7</v>
      </c>
      <c r="G638" s="2" t="inlineStr">
        <is>
          <t>🔵 Floored $2.49 — free ship or $0.99 ship?</t>
        </is>
      </c>
      <c r="H638" s="2" t="inlineStr">
        <is>
          <t>69%</t>
        </is>
      </c>
      <c r="I638" s="2">
        <f>HYPERLINK("https://www.ebay.com/sch/261328/i.html?_dcat=261328&amp;_fsrp=1&amp;rt=nc&amp;_from=R40&amp;_nkw=2025%20Bowman%20DAWEL%20JOSEPH%20%23BCP-8%20Chrome%20Prospects%20Reptilian%20Refractor%20Mariners&amp;_sacat=0&amp;_sop=15&amp;rt=nc&amp;LH_BIN=1", "Active")</f>
        <v/>
      </c>
      <c r="J638" s="2">
        <f>HYPERLINK("https://www.ebay.com/sch/261328/i.html?_from=R40&amp;_nkw=2025%20Bowman%20DAWEL%20JOSEPH%20%23BCP-8%20Chrome%20Prospects%20Reptilian%20Refractor%20Mariners&amp;_sacat=0&amp;LH_Sold=1&amp;LH_Complete=1&amp;_sop=13", "Completed")</f>
        <v/>
      </c>
      <c r="K638" s="2" t="inlineStr">
        <is>
          <t>🔥2025 Bowman Chrome Prospects Reptilian ~8125 - Free Ship - Buy More &amp; Save!🔥</t>
        </is>
      </c>
    </row>
    <row r="639">
      <c r="A639" s="8" t="inlineStr">
        <is>
          <t>BBB-000223-ukkyj</t>
        </is>
      </c>
      <c r="B639" s="8" t="inlineStr">
        <is>
          <t>2025 Bowman VLADIMIR GUERRERO JR. #27 Chrome Base Set Mega Refractor Blue Jays</t>
        </is>
      </c>
      <c r="C639" s="9" t="n">
        <v>2.49</v>
      </c>
      <c r="D639" s="9" t="n">
        <v>2.49</v>
      </c>
      <c r="E639" s="9" t="n">
        <v>0</v>
      </c>
      <c r="F639" s="10" t="n">
        <v>0</v>
      </c>
      <c r="G639" s="8" t="inlineStr">
        <is>
          <t>— No Change</t>
        </is>
      </c>
      <c r="H639" s="8" t="inlineStr">
        <is>
          <t>65%</t>
        </is>
      </c>
      <c r="I639" s="8">
        <f>HYPERLINK("https://www.ebay.com/sch/261328/i.html?_dcat=261328&amp;_fsrp=1&amp;rt=nc&amp;_from=R40&amp;_nkw=2025%20Bowman%20VLADIMIR%20GUERRERO%20JR.%20%2327%20Chrome%20Base%20Set%20Mega%20Refractor%20Blue%20Jays&amp;_sacat=0&amp;_sop=15&amp;rt=nc&amp;LH_BIN=1", "Active")</f>
        <v/>
      </c>
      <c r="J639" s="8">
        <f>HYPERLINK("https://www.ebay.com/sch/261328/i.html?_from=R40&amp;_nkw=2025%20Bowman%20VLADIMIR%20GUERRERO%20JR.%20%2327%20Chrome%20Base%20Set%20Mega%20Refractor%20Blue%20Jays&amp;_sacat=0&amp;LH_Sold=1&amp;LH_Complete=1&amp;_sop=13", "Completed")</f>
        <v/>
      </c>
      <c r="K639" s="8" t="inlineStr">
        <is>
          <t>2025 Bowman Mega Box Chrome MOJO REFRACTORS You Pick  - 2 Card Minimum</t>
        </is>
      </c>
    </row>
    <row r="640">
      <c r="A640" s="2" t="inlineStr">
        <is>
          <t>BBB-000224-ukkyl</t>
        </is>
      </c>
      <c r="B640" s="2" t="inlineStr">
        <is>
          <t>2025 Topps JARREN DURAN #ATT-8 2024 All Topps Team Boston Red Sox</t>
        </is>
      </c>
      <c r="C640" s="3" t="n">
        <v>2.99</v>
      </c>
      <c r="D640" s="3" t="n">
        <v>2.49</v>
      </c>
      <c r="E640" s="3" t="n">
        <v>-0.5</v>
      </c>
      <c r="F640" s="4" t="n">
        <v>-16.7</v>
      </c>
      <c r="G640" s="2" t="inlineStr">
        <is>
          <t>🔵 Floored $2.49 — free ship or $0.99 ship?</t>
        </is>
      </c>
      <c r="H640" s="2" t="inlineStr">
        <is>
          <t>85%</t>
        </is>
      </c>
      <c r="I640" s="2">
        <f>HYPERLINK("https://www.ebay.com/sch/261328/i.html?_dcat=261328&amp;_fsrp=1&amp;rt=nc&amp;_from=R40&amp;_nkw=2025%20Topps%20JARREN%20DURAN%20%23ATT-8%202024%20All%20Topps%20Team%20Boston%20Red%20Sox&amp;_sacat=0&amp;_sop=15&amp;rt=nc&amp;LH_BIN=1", "Active")</f>
        <v/>
      </c>
      <c r="J640" s="2">
        <f>HYPERLINK("https://www.ebay.com/sch/261328/i.html?_from=R40&amp;_nkw=2025%20Topps%20JARREN%20DURAN%20%23ATT-8%202024%20All%20Topps%20Team%20Boston%20Red%20Sox&amp;_sacat=0&amp;LH_Sold=1&amp;LH_Complete=1&amp;_sop=13", "Completed")</f>
        <v/>
      </c>
      <c r="K640" s="2" t="inlineStr">
        <is>
          <t>2025 Topps #ATT-8 Jarren Duran 2024 All Topps Team</t>
        </is>
      </c>
    </row>
    <row r="641">
      <c r="A641" s="11" t="inlineStr">
        <is>
          <t>BBB-000222-ukkyh</t>
        </is>
      </c>
      <c r="B641" s="11" t="inlineStr">
        <is>
          <t>2025 Bowman JACKSON JOBE #50 Bowman Chrome Red Rookie Logo Detroit Tigers RC</t>
        </is>
      </c>
      <c r="C641" s="12" t="n">
        <v>3.99</v>
      </c>
      <c r="D641" s="12" t="n">
        <v>3.69</v>
      </c>
      <c r="E641" s="12" t="n">
        <v>-0.3</v>
      </c>
      <c r="F641" s="13" t="n">
        <v>-7.5</v>
      </c>
      <c r="G641" s="11" t="inlineStr">
        <is>
          <t>⬇ Price Down</t>
        </is>
      </c>
      <c r="H641" s="11" t="inlineStr">
        <is>
          <t>86%</t>
        </is>
      </c>
      <c r="I641" s="11">
        <f>HYPERLINK("https://www.ebay.com/sch/261328/i.html?_dcat=261328&amp;_fsrp=1&amp;rt=nc&amp;_from=R40&amp;_nkw=2025%20Bowman%20JACKSON%20JOBE%20%2350%20Bowman%20Chrome%20Red%20Rookie%20Logo%20Detroit%20Tigers%20RC&amp;_sacat=0&amp;_sop=15&amp;rt=nc&amp;LH_BIN=1", "Active")</f>
        <v/>
      </c>
      <c r="J641" s="11">
        <f>HYPERLINK("https://www.ebay.com/sch/261328/i.html?_from=R40&amp;_nkw=2025%20Bowman%20JACKSON%20JOBE%20%2350%20Bowman%20Chrome%20Red%20Rookie%20Logo%20Detroit%20Tigers%20RC&amp;_sacat=0&amp;LH_Sold=1&amp;LH_Complete=1&amp;_sop=13", "Completed")</f>
        <v/>
      </c>
      <c r="K641" s="11" t="inlineStr">
        <is>
          <t>2025 Bowman #50 Jackson Jobe Bowman Chrome Red Rookie Logo RC A6</t>
        </is>
      </c>
    </row>
    <row r="642">
      <c r="A642" s="5" t="inlineStr">
        <is>
          <t>BBB-000226-ukkyn</t>
        </is>
      </c>
      <c r="B642" s="5" t="inlineStr">
        <is>
          <t>2025 Topps PRO Debut Jeral Perez #PDC-24 Chrome Blue Refractor Ballers #/150</t>
        </is>
      </c>
      <c r="C642" s="6" t="n">
        <v>1.99</v>
      </c>
      <c r="D642" s="6" t="n">
        <v>2.89</v>
      </c>
      <c r="E642" s="6" t="n">
        <v>0.9</v>
      </c>
      <c r="F642" s="7" t="n">
        <v>45.2</v>
      </c>
      <c r="G642" s="5" t="inlineStr">
        <is>
          <t>⬆ Price Up</t>
        </is>
      </c>
      <c r="H642" s="5" t="inlineStr">
        <is>
          <t>100%</t>
        </is>
      </c>
      <c r="I642" s="5">
        <f>HYPERLINK("https://www.ebay.com/sch/261328/i.html?_dcat=261328&amp;_fsrp=1&amp;rt=nc&amp;_from=R40&amp;_nkw=2025%20Topps%20PRO%20Debut%20Jeral%20Perez%20%23PDC-24%20Chrome%20Blue%20Refractor%20Ballers%20%23%2F150&amp;_sacat=0&amp;_sop=15&amp;rt=nc&amp;LH_BIN=1", "Active")</f>
        <v/>
      </c>
      <c r="J642" s="5">
        <f>HYPERLINK("https://www.ebay.com/sch/261328/i.html?_from=R40&amp;_nkw=2025%20Topps%20PRO%20Debut%20Jeral%20Perez%20%23PDC-24%20Chrome%20Blue%20Refractor%20Ballers%20%23%2F150&amp;_sacat=0&amp;LH_Sold=1&amp;LH_Complete=1&amp;_sop=13", "Completed")</f>
        <v/>
      </c>
      <c r="K642" s="5" t="inlineStr">
        <is>
          <t>2025 Topps PRO Debut Jeral Perez #PDC-24 Chrome Blue Refractor Ballers #/150</t>
        </is>
      </c>
    </row>
    <row r="643">
      <c r="A643" s="5" t="inlineStr">
        <is>
          <t>BBB-000228-ukkyr</t>
        </is>
      </c>
      <c r="B643" s="5" t="inlineStr">
        <is>
          <t>2025 Bowman Chrome BO BICHETTE #56 Green Geometric Toronto Blue Jays #/99</t>
        </is>
      </c>
      <c r="C643" s="6" t="n">
        <v>5.99</v>
      </c>
      <c r="D643" s="6" t="n">
        <v>6.79</v>
      </c>
      <c r="E643" s="6" t="n">
        <v>0.8</v>
      </c>
      <c r="F643" s="7" t="n">
        <v>13.4</v>
      </c>
      <c r="G643" s="5" t="inlineStr">
        <is>
          <t>⬆ Price Up</t>
        </is>
      </c>
      <c r="H643" s="5" t="inlineStr">
        <is>
          <t>100%</t>
        </is>
      </c>
      <c r="I643" s="5">
        <f>HYPERLINK("https://www.ebay.com/sch/261328/i.html?_dcat=261328&amp;_fsrp=1&amp;rt=nc&amp;_from=R40&amp;_nkw=2025%20Bowman%20Chrome%20BO%20BICHETTE%20%2356%20Green%20Geometric%20Toronto%20Blue%20Jays%20%23%2F99&amp;_sacat=0&amp;_sop=15&amp;rt=nc&amp;LH_BIN=1", "Active")</f>
        <v/>
      </c>
      <c r="J643" s="5">
        <f>HYPERLINK("https://www.ebay.com/sch/261328/i.html?_from=R40&amp;_nkw=2025%20Bowman%20Chrome%20BO%20BICHETTE%20%2356%20Green%20Geometric%20Toronto%20Blue%20Jays%20%23%2F99&amp;_sacat=0&amp;LH_Sold=1&amp;LH_Complete=1&amp;_sop=13", "Completed")</f>
        <v/>
      </c>
      <c r="K643" s="5" t="inlineStr">
        <is>
          <t>2025 Bowman Chrome BO BICHETTE #56 Green Geometric Toronto Blue Jays #/99</t>
        </is>
      </c>
    </row>
    <row r="644">
      <c r="A644" s="5" t="inlineStr">
        <is>
          <t>BBB-000229-ukkyt</t>
        </is>
      </c>
      <c r="B644" s="5" t="inlineStr">
        <is>
          <t>2025 Bowman Chrome JHOAN DE LA CRUZ #BCP-223 Prospects Speckle Padres #/299</t>
        </is>
      </c>
      <c r="C644" s="6" t="n">
        <v>3.99</v>
      </c>
      <c r="D644" s="6" t="n">
        <v>4.79</v>
      </c>
      <c r="E644" s="6" t="n">
        <v>0.8</v>
      </c>
      <c r="F644" s="7" t="n">
        <v>20.1</v>
      </c>
      <c r="G644" s="5" t="inlineStr">
        <is>
          <t>⬆ Price Up</t>
        </is>
      </c>
      <c r="H644" s="5" t="inlineStr">
        <is>
          <t>100%</t>
        </is>
      </c>
      <c r="I644" s="5">
        <f>HYPERLINK("https://www.ebay.com/sch/261328/i.html?_dcat=261328&amp;_fsrp=1&amp;rt=nc&amp;_from=R40&amp;_nkw=2025%20Bowman%20Chrome%20JHOAN%20DE%20LA%20CRUZ%20%23BCP-223%20Prospects%20Speckle%20Padres%20%23%2F299&amp;_sacat=0&amp;_sop=15&amp;rt=nc&amp;LH_BIN=1", "Active")</f>
        <v/>
      </c>
      <c r="J644" s="5">
        <f>HYPERLINK("https://www.ebay.com/sch/261328/i.html?_from=R40&amp;_nkw=2025%20Bowman%20Chrome%20JHOAN%20DE%20LA%20CRUZ%20%23BCP-223%20Prospects%20Speckle%20Padres%20%23%2F299&amp;_sacat=0&amp;LH_Sold=1&amp;LH_Complete=1&amp;_sop=13", "Completed")</f>
        <v/>
      </c>
      <c r="K644" s="5" t="inlineStr">
        <is>
          <t>2025 Bowman Chrome JHOAN DE LA CRUZ #BCP-223 Prospects Speckle Padres #/299</t>
        </is>
      </c>
    </row>
    <row r="645">
      <c r="A645" s="8" t="inlineStr">
        <is>
          <t>BBB-000233-ukkyy</t>
        </is>
      </c>
      <c r="B645" s="8" t="inlineStr">
        <is>
          <t>2025 Topps Chrome Update KYLE TUCKER #ASGC-16 2025 All-Star Game Chicago Cubs</t>
        </is>
      </c>
      <c r="C645" s="9" t="n">
        <v>2.49</v>
      </c>
      <c r="D645" s="9" t="n">
        <v>2.49</v>
      </c>
      <c r="E645" s="9" t="n">
        <v>0</v>
      </c>
      <c r="F645" s="10" t="n">
        <v>0</v>
      </c>
      <c r="G645" s="8" t="inlineStr">
        <is>
          <t>— No Change</t>
        </is>
      </c>
      <c r="H645" s="8" t="inlineStr">
        <is>
          <t>87%</t>
        </is>
      </c>
      <c r="I645" s="8">
        <f>HYPERLINK("https://www.ebay.com/sch/261328/i.html?_dcat=261328&amp;_fsrp=1&amp;rt=nc&amp;_from=R40&amp;_nkw=2025%20Topps%20Chrome%20Update%20KYLE%20TUCKER%20%23ASGC-16%202025%20All-Star%20Game%20Chicago%20Cubs&amp;_sacat=0&amp;_sop=15&amp;rt=nc&amp;LH_BIN=1", "Active")</f>
        <v/>
      </c>
      <c r="J645" s="8">
        <f>HYPERLINK("https://www.ebay.com/sch/261328/i.html?_from=R40&amp;_nkw=2025%20Topps%20Chrome%20Update%20KYLE%20TUCKER%20%23ASGC-16%202025%20All-Star%20Game%20Chicago%20Cubs&amp;_sacat=0&amp;LH_Sold=1&amp;LH_Complete=1&amp;_sop=13", "Completed")</f>
        <v/>
      </c>
      <c r="K645" s="8" t="inlineStr">
        <is>
          <t>2025 Topps Chrome Update #ASGC-16 Kyle Tucker 2025 All-Star Game</t>
        </is>
      </c>
    </row>
    <row r="646">
      <c r="A646" s="2" t="inlineStr">
        <is>
          <t>BBB-000232-ukkyx</t>
        </is>
      </c>
      <c r="B646" s="2" t="inlineStr">
        <is>
          <t>2025 Topps Chrome Update MATT SHAW #PP-26 Power Players Chicago Cubs</t>
        </is>
      </c>
      <c r="C646" s="3" t="n">
        <v>3.49</v>
      </c>
      <c r="D646" s="3" t="n">
        <v>2.49</v>
      </c>
      <c r="E646" s="3" t="n">
        <v>-1</v>
      </c>
      <c r="F646" s="4" t="n">
        <v>-28.7</v>
      </c>
      <c r="G646" s="2" t="inlineStr">
        <is>
          <t>🔵 Floored $2.49 — free ship or $0.99 ship?</t>
        </is>
      </c>
      <c r="H646" s="2" t="inlineStr">
        <is>
          <t>86%</t>
        </is>
      </c>
      <c r="I646" s="2">
        <f>HYPERLINK("https://www.ebay.com/sch/261328/i.html?_dcat=261328&amp;_fsrp=1&amp;rt=nc&amp;_from=R40&amp;_nkw=2025%20Topps%20Chrome%20Update%20MATT%20SHAW%20%23PP-26%20Power%20Players%20Chicago%20Cubs&amp;_sacat=0&amp;_sop=15&amp;rt=nc&amp;LH_BIN=1", "Active")</f>
        <v/>
      </c>
      <c r="J646" s="2">
        <f>HYPERLINK("https://www.ebay.com/sch/261328/i.html?_from=R40&amp;_nkw=2025%20Topps%20Chrome%20Update%20MATT%20SHAW%20%23PP-26%20Power%20Players%20Chicago%20Cubs&amp;_sacat=0&amp;LH_Sold=1&amp;LH_Complete=1&amp;_sop=13", "Completed")</f>
        <v/>
      </c>
      <c r="K646" s="2" t="inlineStr">
        <is>
          <t>2025 Topps Chrome Update #PP-26 Matt Shaw Power Players</t>
        </is>
      </c>
    </row>
    <row r="647">
      <c r="A647" s="8" t="inlineStr">
        <is>
          <t>BBB-000235-ukkz1</t>
        </is>
      </c>
      <c r="B647" s="8" t="inlineStr">
        <is>
          <t>2025 Bowman Chrome SANTIAGO LEON #BCP-247 Prospects Minnesota Twins</t>
        </is>
      </c>
      <c r="C647" s="9" t="n">
        <v>2.49</v>
      </c>
      <c r="D647" s="9" t="n">
        <v>2.49</v>
      </c>
      <c r="E647" s="9" t="n">
        <v>0</v>
      </c>
      <c r="F647" s="10" t="n">
        <v>0</v>
      </c>
      <c r="G647" s="8" t="inlineStr">
        <is>
          <t>— No Change</t>
        </is>
      </c>
      <c r="H647" s="8" t="inlineStr">
        <is>
          <t>88%</t>
        </is>
      </c>
      <c r="I647" s="8">
        <f>HYPERLINK("https://www.ebay.com/sch/261328/i.html?_dcat=261328&amp;_fsrp=1&amp;rt=nc&amp;_from=R40&amp;_nkw=2025%20Bowman%20Chrome%20SANTIAGO%20LEON%20%23BCP-247%20Prospects%20Minnesota%20Twins&amp;_sacat=0&amp;_sop=15&amp;rt=nc&amp;LH_BIN=1", "Active")</f>
        <v/>
      </c>
      <c r="J647" s="8">
        <f>HYPERLINK("https://www.ebay.com/sch/261328/i.html?_from=R40&amp;_nkw=2025%20Bowman%20Chrome%20SANTIAGO%20LEON%20%23BCP-247%20Prospects%20Minnesota%20Twins&amp;_sacat=0&amp;LH_Sold=1&amp;LH_Complete=1&amp;_sop=13", "Completed")</f>
        <v/>
      </c>
      <c r="K647" s="8" t="inlineStr">
        <is>
          <t>2025 1st Bowman Chrome #BCP-247 Santiago Leon Prospects Mojo Minnesota Twins</t>
        </is>
      </c>
    </row>
    <row r="648">
      <c r="A648" s="2" t="inlineStr">
        <is>
          <t>BBB-000234-ukkyz</t>
        </is>
      </c>
      <c r="B648" s="2" t="inlineStr">
        <is>
          <t>2025 Bowman SPENCER SCHWELLENBACH #78 Bowman Chrome Red Rookie Logo Braves RC</t>
        </is>
      </c>
      <c r="C648" s="3" t="n">
        <v>11.99</v>
      </c>
      <c r="D648" s="3" t="n">
        <v>2.49</v>
      </c>
      <c r="E648" s="3" t="n">
        <v>-9.5</v>
      </c>
      <c r="F648" s="4" t="n">
        <v>-79.2</v>
      </c>
      <c r="G648" s="2" t="inlineStr">
        <is>
          <t>🔵 Floored $2.49 — free ship or $0.99 ship?</t>
        </is>
      </c>
      <c r="H648" s="2" t="inlineStr">
        <is>
          <t>77%</t>
        </is>
      </c>
      <c r="I648" s="2">
        <f>HYPERLINK("https://www.ebay.com/sch/261328/i.html?_dcat=261328&amp;_fsrp=1&amp;rt=nc&amp;_from=R40&amp;_nkw=2025%20Bowman%20SPENCER%20SCHWELLENBACH%20%2378%20Bowman%20Chrome%20Red%20Rookie%20Logo%20Braves%20RC&amp;_sacat=0&amp;_sop=15&amp;rt=nc&amp;LH_BIN=1", "Active")</f>
        <v/>
      </c>
      <c r="J648" s="2">
        <f>HYPERLINK("https://www.ebay.com/sch/261328/i.html?_from=R40&amp;_nkw=2025%20Bowman%20SPENCER%20SCHWELLENBACH%20%2378%20Bowman%20Chrome%20Red%20Rookie%20Logo%20Braves%20RC&amp;_sacat=0&amp;LH_Sold=1&amp;LH_Complete=1&amp;_sop=13", "Completed")</f>
        <v/>
      </c>
      <c r="K648" s="2" t="inlineStr">
        <is>
          <t>Spencer Schwellenbach Rookie Red Logo RC 2025 Bowman Chrome #78 Braves</t>
        </is>
      </c>
    </row>
    <row r="649">
      <c r="A649" s="2" t="inlineStr">
        <is>
          <t>BBB-000236-ukkz2</t>
        </is>
      </c>
      <c r="B649" s="2" t="inlineStr">
        <is>
          <t>2025 Bowman Chrome TEILON SERRANO #BCP-188 Prospects Minnesota Twins</t>
        </is>
      </c>
      <c r="C649" s="3" t="n">
        <v>2.99</v>
      </c>
      <c r="D649" s="3" t="n">
        <v>2.49</v>
      </c>
      <c r="E649" s="3" t="n">
        <v>-0.5</v>
      </c>
      <c r="F649" s="4" t="n">
        <v>-16.7</v>
      </c>
      <c r="G649" s="2" t="inlineStr">
        <is>
          <t>🔵 Floored $2.49 — free ship or $0.99 ship?</t>
        </is>
      </c>
      <c r="H649" s="2" t="inlineStr">
        <is>
          <t>63%</t>
        </is>
      </c>
      <c r="I649" s="2">
        <f>HYPERLINK("https://www.ebay.com/sch/261328/i.html?_dcat=261328&amp;_fsrp=1&amp;rt=nc&amp;_from=R40&amp;_nkw=2025%20Bowman%20Chrome%20TEILON%20SERRANO%20%23BCP-188%20Prospects%20Minnesota%20Twins&amp;_sacat=0&amp;_sop=15&amp;rt=nc&amp;LH_BIN=1", "Active")</f>
        <v/>
      </c>
      <c r="J649" s="2">
        <f>HYPERLINK("https://www.ebay.com/sch/261328/i.html?_from=R40&amp;_nkw=2025%20Bowman%20Chrome%20TEILON%20SERRANO%20%23BCP-188%20Prospects%20Minnesota%20Twins&amp;_sacat=0&amp;LH_Sold=1&amp;LH_Complete=1&amp;_sop=13", "Completed")</f>
        <v/>
      </c>
      <c r="K649" s="2" t="inlineStr">
        <is>
          <t>2025 Bowman Chrome Baseball Base You Pick Singles!</t>
        </is>
      </c>
    </row>
    <row r="650">
      <c r="A650" s="5" t="inlineStr">
        <is>
          <t>BBB-000239-ukkz7</t>
        </is>
      </c>
      <c r="B650" s="5" t="inlineStr">
        <is>
          <t>2025 Topps PRO Debut Kyle Teel #PD-185 Purple Foil Charlotte Knights #/299</t>
        </is>
      </c>
      <c r="C650" s="6" t="n">
        <v>2.5</v>
      </c>
      <c r="D650" s="6" t="n">
        <v>2.89</v>
      </c>
      <c r="E650" s="6" t="n">
        <v>0.39</v>
      </c>
      <c r="F650" s="7" t="n">
        <v>15.6</v>
      </c>
      <c r="G650" s="5" t="inlineStr">
        <is>
          <t>⬆ Price Up</t>
        </is>
      </c>
      <c r="H650" s="5" t="inlineStr">
        <is>
          <t>78%</t>
        </is>
      </c>
      <c r="I650" s="5">
        <f>HYPERLINK("https://www.ebay.com/sch/261328/i.html?_dcat=261328&amp;_fsrp=1&amp;rt=nc&amp;_from=R40&amp;_nkw=2025%20Topps%20PRO%20Debut%20Kyle%20Teel%20%23PD-185%20Purple%20Foil%20Charlotte%20Knights%20%23%2F299&amp;_sacat=0&amp;_sop=15&amp;rt=nc&amp;LH_BIN=1", "Active")</f>
        <v/>
      </c>
      <c r="J650" s="5">
        <f>HYPERLINK("https://www.ebay.com/sch/261328/i.html?_from=R40&amp;_nkw=2025%20Topps%20PRO%20Debut%20Kyle%20Teel%20%23PD-185%20Purple%20Foil%20Charlotte%20Knights%20%23%2F299&amp;_sacat=0&amp;LH_Sold=1&amp;LH_Complete=1&amp;_sop=13", "Completed")</f>
        <v/>
      </c>
      <c r="K650" s="5" t="inlineStr">
        <is>
          <t>Kyle Teel 2025 Topps Pro Debut Purple Foil /299 #PD-185 Knights White Sox</t>
        </is>
      </c>
    </row>
    <row r="651">
      <c r="A651" s="8" t="inlineStr">
        <is>
          <t>BBB-000240-ukkz8</t>
        </is>
      </c>
      <c r="B651" s="8" t="inlineStr">
        <is>
          <t>2025 Bowman Chrome JACKSON HOLLIDAY #16 Aqua Geometric Baltimore Orioles #/125</t>
        </is>
      </c>
      <c r="C651" s="9" t="n">
        <v>10.59</v>
      </c>
      <c r="D651" s="9" t="n">
        <v>10.59</v>
      </c>
      <c r="E651" s="9" t="n">
        <v>0</v>
      </c>
      <c r="F651" s="10" t="n">
        <v>0</v>
      </c>
      <c r="G651" s="8" t="inlineStr">
        <is>
          <t>— No Change</t>
        </is>
      </c>
      <c r="H651" s="8" t="inlineStr">
        <is>
          <t>72%</t>
        </is>
      </c>
      <c r="I651" s="8">
        <f>HYPERLINK("https://www.ebay.com/sch/261328/i.html?_dcat=261328&amp;_fsrp=1&amp;rt=nc&amp;_from=R40&amp;_nkw=2025%20Bowman%20Chrome%20JACKSON%20HOLLIDAY%20%2316%20Aqua%20Geometric%20Baltimore%20Orioles%20%23%2F125&amp;_sacat=0&amp;_sop=15&amp;rt=nc&amp;LH_BIN=1", "Active")</f>
        <v/>
      </c>
      <c r="J651" s="8">
        <f>HYPERLINK("https://www.ebay.com/sch/261328/i.html?_from=R40&amp;_nkw=2025%20Bowman%20Chrome%20JACKSON%20HOLLIDAY%20%2316%20Aqua%20Geometric%20Baltimore%20Orioles%20%23%2F125&amp;_sacat=0&amp;LH_Sold=1&amp;LH_Complete=1&amp;_sop=13", "Completed")</f>
        <v/>
      </c>
      <c r="K651" s="8" t="inlineStr">
        <is>
          <t>(7785) Jackson Holliday #4/125 2025 Bowman Chrome Aqua Geometric Orioles</t>
        </is>
      </c>
    </row>
    <row r="652">
      <c r="A652" s="5" t="inlineStr">
        <is>
          <t>BBB-000242-ukkzb</t>
        </is>
      </c>
      <c r="B652" s="5" t="inlineStr">
        <is>
          <t>2024 Topps PRO Debut Kristian Campbell #PD-7 Greenville Drive</t>
        </is>
      </c>
      <c r="C652" s="6" t="n">
        <v>1.49</v>
      </c>
      <c r="D652" s="6" t="n">
        <v>2.49</v>
      </c>
      <c r="E652" s="6" t="n">
        <v>1</v>
      </c>
      <c r="F652" s="7" t="n">
        <v>67.09999999999999</v>
      </c>
      <c r="G652" s="5" t="inlineStr">
        <is>
          <t>⬆ Price Up</t>
        </is>
      </c>
      <c r="H652" s="5" t="inlineStr">
        <is>
          <t>88%</t>
        </is>
      </c>
      <c r="I652" s="5">
        <f>HYPERLINK("https://www.ebay.com/sch/261328/i.html?_dcat=261328&amp;_fsrp=1&amp;rt=nc&amp;_from=R40&amp;_nkw=2024%20Topps%20PRO%20Debut%20Kristian%20Campbell%20%23PD-7%20Greenville%20Drive&amp;_sacat=0&amp;_sop=15&amp;rt=nc&amp;LH_BIN=1", "Active")</f>
        <v/>
      </c>
      <c r="J652" s="5">
        <f>HYPERLINK("https://www.ebay.com/sch/261328/i.html?_from=R40&amp;_nkw=2024%20Topps%20PRO%20Debut%20Kristian%20Campbell%20%23PD-7%20Greenville%20Drive&amp;_sacat=0&amp;LH_Sold=1&amp;LH_Complete=1&amp;_sop=13", "Completed")</f>
        <v/>
      </c>
      <c r="K652" s="5" t="inlineStr">
        <is>
          <t>2024 Topps Pro Debut #PD-7 Kristian Campbell Greenville Drive (A5)</t>
        </is>
      </c>
    </row>
    <row r="653">
      <c r="A653" s="2" t="inlineStr">
        <is>
          <t>BBB-000241-ukkz9</t>
        </is>
      </c>
      <c r="B653" s="2" t="inlineStr">
        <is>
          <t>2024 Bowman MAX CLARK #PP-12 Prospect Power-Up Detroit Tigers</t>
        </is>
      </c>
      <c r="C653" s="3" t="n">
        <v>4</v>
      </c>
      <c r="D653" s="3" t="n">
        <v>2.49</v>
      </c>
      <c r="E653" s="3" t="n">
        <v>-1.51</v>
      </c>
      <c r="F653" s="4" t="n">
        <v>-37.8</v>
      </c>
      <c r="G653" s="2" t="inlineStr">
        <is>
          <t>🔵 Floored $2.49 — free ship or $0.99 ship?</t>
        </is>
      </c>
      <c r="H653" s="2" t="inlineStr">
        <is>
          <t>74%</t>
        </is>
      </c>
      <c r="I653" s="2">
        <f>HYPERLINK("https://www.ebay.com/sch/261328/i.html?_dcat=261328&amp;_fsrp=1&amp;rt=nc&amp;_from=R40&amp;_nkw=2024%20Bowman%20MAX%20CLARK%20%23PP-12%20Prospect%20Power-Up%20Detroit%20Tigers&amp;_sacat=0&amp;_sop=15&amp;rt=nc&amp;LH_BIN=1", "Active")</f>
        <v/>
      </c>
      <c r="J653" s="2">
        <f>HYPERLINK("https://www.ebay.com/sch/261328/i.html?_from=R40&amp;_nkw=2024%20Bowman%20MAX%20CLARK%20%23PP-12%20Prospect%20Power-Up%20Detroit%20Tigers&amp;_sacat=0&amp;LH_Sold=1&amp;LH_Complete=1&amp;_sop=13", "Completed")</f>
        <v/>
      </c>
      <c r="K653" s="2" t="inlineStr">
        <is>
          <t>Max Clark 2024 Bowman Chrome Prospect Power Up #PP-12 Rookie RC</t>
        </is>
      </c>
    </row>
    <row r="654">
      <c r="A654" s="5" t="inlineStr">
        <is>
          <t>BBB-000243-ukkzc</t>
        </is>
      </c>
      <c r="B654" s="5" t="inlineStr">
        <is>
          <t>2025 Bowman Chrome #1 Jacob Wilson Red Rookie Logo Refractor RC</t>
        </is>
      </c>
      <c r="C654" s="6" t="n">
        <v>3.99</v>
      </c>
      <c r="D654" s="6" t="n">
        <v>4.79</v>
      </c>
      <c r="E654" s="6" t="n">
        <v>0.8</v>
      </c>
      <c r="F654" s="7" t="n">
        <v>20.1</v>
      </c>
      <c r="G654" s="5" t="inlineStr">
        <is>
          <t>⬆ Price Up</t>
        </is>
      </c>
      <c r="H654" s="5" t="inlineStr">
        <is>
          <t>100%</t>
        </is>
      </c>
      <c r="I654" s="5">
        <f>HYPERLINK("https://www.ebay.com/sch/261328/i.html?_dcat=261328&amp;_fsrp=1&amp;rt=nc&amp;_from=R40&amp;_nkw=2025%20Bowman%20Chrome%20%231%20Jacob%20Wilson%20Red%20Rookie%20Logo%20Refractor%20RC&amp;_sacat=0&amp;_sop=15&amp;rt=nc&amp;LH_BIN=1", "Active")</f>
        <v/>
      </c>
      <c r="J654" s="5">
        <f>HYPERLINK("https://www.ebay.com/sch/261328/i.html?_from=R40&amp;_nkw=2025%20Bowman%20Chrome%20%231%20Jacob%20Wilson%20Red%20Rookie%20Logo%20Refractor%20RC&amp;_sacat=0&amp;LH_Sold=1&amp;LH_Complete=1&amp;_sop=13", "Completed")</f>
        <v/>
      </c>
      <c r="K654" s="5" t="inlineStr">
        <is>
          <t>2025 Bowman Chrome #1 Jacob Wilson Red Rookie Logo Refractor RC</t>
        </is>
      </c>
    </row>
    <row r="655">
      <c r="A655" s="5" t="inlineStr">
        <is>
          <t>BBB-000244-ukkze</t>
        </is>
      </c>
      <c r="B655" s="5" t="inlineStr">
        <is>
          <t>2025 Bowman Chrome JAKOB CHRISTIAN #BCP-157 Prospects Geometric Giants #/499</t>
        </is>
      </c>
      <c r="C655" s="6" t="n">
        <v>2.99</v>
      </c>
      <c r="D655" s="6" t="n">
        <v>3.89</v>
      </c>
      <c r="E655" s="6" t="n">
        <v>0.9</v>
      </c>
      <c r="F655" s="7" t="n">
        <v>30.1</v>
      </c>
      <c r="G655" s="5" t="inlineStr">
        <is>
          <t>⬆ Price Up</t>
        </is>
      </c>
      <c r="H655" s="5" t="inlineStr">
        <is>
          <t>100%</t>
        </is>
      </c>
      <c r="I655" s="5">
        <f>HYPERLINK("https://www.ebay.com/sch/261328/i.html?_dcat=261328&amp;_fsrp=1&amp;rt=nc&amp;_from=R40&amp;_nkw=2025%20Bowman%20Chrome%20JAKOB%20CHRISTIAN%20%23BCP-157%20Prospects%20Geometric%20Giants%20%23%2F499&amp;_sacat=0&amp;_sop=15&amp;rt=nc&amp;LH_BIN=1", "Active")</f>
        <v/>
      </c>
      <c r="J655" s="5">
        <f>HYPERLINK("https://www.ebay.com/sch/261328/i.html?_from=R40&amp;_nkw=2025%20Bowman%20Chrome%20JAKOB%20CHRISTIAN%20%23BCP-157%20Prospects%20Geometric%20Giants%20%23%2F499&amp;_sacat=0&amp;LH_Sold=1&amp;LH_Complete=1&amp;_sop=13", "Completed")</f>
        <v/>
      </c>
      <c r="K655" s="5" t="inlineStr">
        <is>
          <t>2025 Bowman Chrome JAKOB CHRISTIAN #BCP-157 Prospects Geometric Giants #/499</t>
        </is>
      </c>
    </row>
    <row r="656">
      <c r="A656" s="5" t="inlineStr">
        <is>
          <t>BBB-000245-ukkzf</t>
        </is>
      </c>
      <c r="B656" s="5" t="inlineStr">
        <is>
          <t>2025 Bowman Chrome #61b Luke Keaschall Red Rookie Minnesota Twins RC</t>
        </is>
      </c>
      <c r="C656" s="6" t="n">
        <v>2.99</v>
      </c>
      <c r="D656" s="6" t="n">
        <v>3.89</v>
      </c>
      <c r="E656" s="6" t="n">
        <v>0.9</v>
      </c>
      <c r="F656" s="7" t="n">
        <v>30.1</v>
      </c>
      <c r="G656" s="5" t="inlineStr">
        <is>
          <t>⬆ Price Up</t>
        </is>
      </c>
      <c r="H656" s="5" t="inlineStr">
        <is>
          <t>100%</t>
        </is>
      </c>
      <c r="I656" s="5">
        <f>HYPERLINK("https://www.ebay.com/sch/261328/i.html?_dcat=261328&amp;_fsrp=1&amp;rt=nc&amp;_from=R40&amp;_nkw=2025%20Bowman%20Chrome%20%2361b%20Luke%20Keaschall%20Red%20Rookie%20Minnesota%20Twins%20RC&amp;_sacat=0&amp;_sop=15&amp;rt=nc&amp;LH_BIN=1", "Active")</f>
        <v/>
      </c>
      <c r="J656" s="5">
        <f>HYPERLINK("https://www.ebay.com/sch/261328/i.html?_from=R40&amp;_nkw=2025%20Bowman%20Chrome%20%2361b%20Luke%20Keaschall%20Red%20Rookie%20Minnesota%20Twins%20RC&amp;_sacat=0&amp;LH_Sold=1&amp;LH_Complete=1&amp;_sop=13", "Completed")</f>
        <v/>
      </c>
      <c r="K656" s="5" t="inlineStr">
        <is>
          <t>2025 Bowman Chrome #61b Luke Keaschall Red Rookie Minnesota Twins RC</t>
        </is>
      </c>
    </row>
    <row r="657">
      <c r="A657" s="2" t="inlineStr">
        <is>
          <t>BBB-000246-ukkzh</t>
        </is>
      </c>
      <c r="B657" s="2" t="inlineStr">
        <is>
          <t>2025 Bowman Chrome JAKE MANGUM #50b Tampa Bay Rays</t>
        </is>
      </c>
      <c r="C657" s="3" t="n">
        <v>2.99</v>
      </c>
      <c r="D657" s="3" t="n">
        <v>2.49</v>
      </c>
      <c r="E657" s="3" t="n">
        <v>-0.5</v>
      </c>
      <c r="F657" s="4" t="n">
        <v>-16.7</v>
      </c>
      <c r="G657" s="2" t="inlineStr">
        <is>
          <t>🔵 Floored $2.49 — free ship or $0.99 ship?</t>
        </is>
      </c>
      <c r="H657" s="2" t="inlineStr">
        <is>
          <t>86%</t>
        </is>
      </c>
      <c r="I657" s="2">
        <f>HYPERLINK("https://www.ebay.com/sch/261328/i.html?_dcat=261328&amp;_fsrp=1&amp;rt=nc&amp;_from=R40&amp;_nkw=2025%20Bowman%20Chrome%20JAKE%20MANGUM%20%2350b%20Tampa%20Bay%20Rays&amp;_sacat=0&amp;_sop=15&amp;rt=nc&amp;LH_BIN=1", "Active")</f>
        <v/>
      </c>
      <c r="J657" s="2">
        <f>HYPERLINK("https://www.ebay.com/sch/261328/i.html?_from=R40&amp;_nkw=2025%20Bowman%20Chrome%20JAKE%20MANGUM%20%2350b%20Tampa%20Bay%20Rays&amp;_sacat=0&amp;LH_Sold=1&amp;LH_Complete=1&amp;_sop=13", "Completed")</f>
        <v/>
      </c>
      <c r="K657" s="2" t="inlineStr">
        <is>
          <t>2025 Bowman Chrome #50b Jake Mangum Red Rookie Tampa Bay Rays</t>
        </is>
      </c>
    </row>
    <row r="658">
      <c r="A658" s="8" t="inlineStr">
        <is>
          <t>BBB-000247-ukkzi</t>
        </is>
      </c>
      <c r="B658" s="8" t="inlineStr">
        <is>
          <t>2025 Bowman Chrome KUMAR ROCKER #98b Texas Rangers</t>
        </is>
      </c>
      <c r="C658" s="9" t="n">
        <v>2.49</v>
      </c>
      <c r="D658" s="9" t="n">
        <v>2.49</v>
      </c>
      <c r="E658" s="9" t="n">
        <v>0</v>
      </c>
      <c r="F658" s="10" t="n">
        <v>0</v>
      </c>
      <c r="G658" s="8" t="inlineStr">
        <is>
          <t>— No Change</t>
        </is>
      </c>
      <c r="H658" s="8" t="inlineStr">
        <is>
          <t>90%</t>
        </is>
      </c>
      <c r="I658" s="8">
        <f>HYPERLINK("https://www.ebay.com/sch/261328/i.html?_dcat=261328&amp;_fsrp=1&amp;rt=nc&amp;_from=R40&amp;_nkw=2025%20Bowman%20Chrome%20KUMAR%20ROCKER%20%2398b%20Texas%20Rangers&amp;_sacat=0&amp;_sop=15&amp;rt=nc&amp;LH_BIN=1", "Active")</f>
        <v/>
      </c>
      <c r="J658" s="8">
        <f>HYPERLINK("https://www.ebay.com/sch/261328/i.html?_from=R40&amp;_nkw=2025%20Bowman%20Chrome%20KUMAR%20ROCKER%20%2398b%20Texas%20Rangers&amp;_sacat=0&amp;LH_Sold=1&amp;LH_Complete=1&amp;_sop=13", "Completed")</f>
        <v/>
      </c>
      <c r="K658" s="8" t="inlineStr">
        <is>
          <t>2025 Bowman Chrome #98b Kumar Rocker Texas Rangers</t>
        </is>
      </c>
    </row>
    <row r="659">
      <c r="A659" s="5" t="inlineStr">
        <is>
          <t>BBB-000248-ukkzj</t>
        </is>
      </c>
      <c r="B659" s="5" t="inlineStr">
        <is>
          <t>2025 Bowman Chrome CADE HORTON #10b Chicago Cubs Basketball</t>
        </is>
      </c>
      <c r="C659" s="6" t="n">
        <v>2.99</v>
      </c>
      <c r="D659" s="6" t="n">
        <v>3.89</v>
      </c>
      <c r="E659" s="6" t="n">
        <v>0.9</v>
      </c>
      <c r="F659" s="7" t="n">
        <v>30.1</v>
      </c>
      <c r="G659" s="5" t="inlineStr">
        <is>
          <t>⬆ Price Up</t>
        </is>
      </c>
      <c r="H659" s="5" t="inlineStr">
        <is>
          <t>100%</t>
        </is>
      </c>
      <c r="I659" s="5">
        <f>HYPERLINK("https://www.ebay.com/sch/261328/i.html?_dcat=261328&amp;_fsrp=1&amp;rt=nc&amp;_from=R40&amp;_nkw=2025%20Bowman%20Chrome%20CADE%20HORTON%20%2310b%20Chicago%20Cubs%20Basketball&amp;_sacat=0&amp;_sop=15&amp;rt=nc&amp;LH_BIN=1", "Active")</f>
        <v/>
      </c>
      <c r="J659" s="5">
        <f>HYPERLINK("https://www.ebay.com/sch/261328/i.html?_from=R40&amp;_nkw=2025%20Bowman%20Chrome%20CADE%20HORTON%20%2310b%20Chicago%20Cubs%20Basketball&amp;_sacat=0&amp;LH_Sold=1&amp;LH_Complete=1&amp;_sop=13", "Completed")</f>
        <v/>
      </c>
      <c r="K659" s="5" t="inlineStr">
        <is>
          <t>2025 Bowman Chrome CADE HORTON #10b Chicago Cubs Basketball</t>
        </is>
      </c>
    </row>
    <row r="660">
      <c r="A660" t="inlineStr">
        <is>
          <t>BBB-000249-ukkzl</t>
        </is>
      </c>
      <c r="B660" t="inlineStr">
        <is>
          <t>2025 Bowman Chrome MATT SHAW #46 Chicago Cubs</t>
        </is>
      </c>
      <c r="C660" s="14" t="n">
        <v>2.99</v>
      </c>
      <c r="D660" s="14" t="n"/>
      <c r="E660" s="14" t="inlineStr"/>
      <c r="F660" s="15" t="inlineStr"/>
      <c r="G660" t="inlineStr">
        <is>
          <t>? No price data</t>
        </is>
      </c>
      <c r="H660" t="inlineStr">
        <is>
          <t>59%</t>
        </is>
      </c>
      <c r="I660">
        <f>HYPERLINK("https://www.ebay.com/sch/261328/i.html?_dcat=261328&amp;_fsrp=1&amp;rt=nc&amp;_from=R40&amp;_nkw=2025%20Bowman%20Chrome%20MATT%20SHAW%20%2346%20Chicago%20Cubs&amp;_sacat=0&amp;_sop=15&amp;rt=nc&amp;LH_BIN=1", "Active")</f>
        <v/>
      </c>
      <c r="J660">
        <f>HYPERLINK("https://www.ebay.com/sch/261328/i.html?_from=R40&amp;_nkw=2025%20Bowman%20Chrome%20MATT%20SHAW%20%2346%20Chicago%20Cubs&amp;_sacat=0&amp;LH_Sold=1&amp;LH_Complete=1&amp;_sop=13", "Completed")</f>
        <v/>
      </c>
      <c r="K660" t="inlineStr">
        <is>
          <t>2025 Bowman Chrome Singles - You Pick! - No Minimums!</t>
        </is>
      </c>
    </row>
    <row r="661">
      <c r="A661" s="8" t="inlineStr">
        <is>
          <t>BBB-000250-ukkzn</t>
        </is>
      </c>
      <c r="B661" s="8" t="inlineStr">
        <is>
          <t>2025 Bowman Chrome JUAN TOMAS #BCP-230 Prospects Chicago Cubs</t>
        </is>
      </c>
      <c r="C661" s="9" t="n">
        <v>2.49</v>
      </c>
      <c r="D661" s="9" t="n">
        <v>2.49</v>
      </c>
      <c r="E661" s="9" t="n">
        <v>0</v>
      </c>
      <c r="F661" s="10" t="n">
        <v>0</v>
      </c>
      <c r="G661" s="8" t="inlineStr">
        <is>
          <t>— No Change</t>
        </is>
      </c>
      <c r="H661" s="8" t="inlineStr">
        <is>
          <t>83%</t>
        </is>
      </c>
      <c r="I661" s="8">
        <f>HYPERLINK("https://www.ebay.com/sch/261328/i.html?_dcat=261328&amp;_fsrp=1&amp;rt=nc&amp;_from=R40&amp;_nkw=2025%20Bowman%20Chrome%20JUAN%20TOMAS%20%23BCP-230%20Prospects%20Chicago%20Cubs&amp;_sacat=0&amp;_sop=15&amp;rt=nc&amp;LH_BIN=1", "Active")</f>
        <v/>
      </c>
      <c r="J661" s="8">
        <f>HYPERLINK("https://www.ebay.com/sch/261328/i.html?_from=R40&amp;_nkw=2025%20Bowman%20Chrome%20JUAN%20TOMAS%20%23BCP-230%20Prospects%20Chicago%20Cubs&amp;_sacat=0&amp;LH_Sold=1&amp;LH_Complete=1&amp;_sop=13", "Completed")</f>
        <v/>
      </c>
      <c r="K661" s="8" t="inlineStr">
        <is>
          <t>2025 Bowman Chrome - Prospects Juan Tomas #BCP-230 Mojo Refractor (RC)</t>
        </is>
      </c>
    </row>
    <row r="662">
      <c r="A662" s="5" t="inlineStr">
        <is>
          <t>BBB-000251-ukkzo</t>
        </is>
      </c>
      <c r="B662" s="5" t="inlineStr">
        <is>
          <t>2025 Bowman JESUS TILLERO #BP-117 Prospects Los Angeles Dodgers</t>
        </is>
      </c>
      <c r="C662" s="6" t="n">
        <v>1.99</v>
      </c>
      <c r="D662" s="6" t="n">
        <v>2.49</v>
      </c>
      <c r="E662" s="6" t="n">
        <v>0.5</v>
      </c>
      <c r="F662" s="7" t="n">
        <v>25.1</v>
      </c>
      <c r="G662" s="5" t="inlineStr">
        <is>
          <t>⬆ Price Up</t>
        </is>
      </c>
      <c r="H662" s="5" t="inlineStr">
        <is>
          <t>88%</t>
        </is>
      </c>
      <c r="I662" s="5">
        <f>HYPERLINK("https://www.ebay.com/sch/261328/i.html?_dcat=261328&amp;_fsrp=1&amp;rt=nc&amp;_from=R40&amp;_nkw=2025%20Bowman%20JESUS%20TILLERO%20%23BP-117%20Prospects%20Los%20Angeles%20Dodgers&amp;_sacat=0&amp;_sop=15&amp;rt=nc&amp;LH_BIN=1", "Active")</f>
        <v/>
      </c>
      <c r="J662" s="5">
        <f>HYPERLINK("https://www.ebay.com/sch/261328/i.html?_from=R40&amp;_nkw=2025%20Bowman%20JESUS%20TILLERO%20%23BP-117%20Prospects%20Los%20Angeles%20Dodgers&amp;_sacat=0&amp;LH_Sold=1&amp;LH_Complete=1&amp;_sop=13", "Completed")</f>
        <v/>
      </c>
      <c r="K662" s="5" t="inlineStr">
        <is>
          <t>2025 Bowman - Prospects Jesus Tillero #BP-117 (RC) Los Angeles Dodgers</t>
        </is>
      </c>
    </row>
    <row r="663">
      <c r="A663" s="5" t="inlineStr">
        <is>
          <t>BBB-000253-ukkzr</t>
        </is>
      </c>
      <c r="B663" s="5" t="inlineStr">
        <is>
          <t>2025 Bowman LUISANGEL ACUÑA #83 New York Mets</t>
        </is>
      </c>
      <c r="C663" s="6" t="n">
        <v>1.02</v>
      </c>
      <c r="D663" s="6" t="n">
        <v>2.49</v>
      </c>
      <c r="E663" s="6" t="n">
        <v>1.47</v>
      </c>
      <c r="F663" s="7" t="n">
        <v>144.1</v>
      </c>
      <c r="G663" s="5" t="inlineStr">
        <is>
          <t>⬆ Price Up</t>
        </is>
      </c>
      <c r="H663" s="5" t="inlineStr">
        <is>
          <t>60%</t>
        </is>
      </c>
      <c r="I663" s="5">
        <f>HYPERLINK("https://www.ebay.com/sch/261328/i.html?_dcat=261328&amp;_fsrp=1&amp;rt=nc&amp;_from=R40&amp;_nkw=2025%20Bowman%20LUISANGEL%20ACU%C3%91A%20%2383%20New%20York%20Mets&amp;_sacat=0&amp;_sop=15&amp;rt=nc&amp;LH_BIN=1", "Active")</f>
        <v/>
      </c>
      <c r="J663" s="5">
        <f>HYPERLINK("https://www.ebay.com/sch/261328/i.html?_from=R40&amp;_nkw=2025%20Bowman%20LUISANGEL%20ACU%C3%91A%20%2383%20New%20York%20Mets&amp;_sacat=0&amp;LH_Sold=1&amp;LH_Complete=1&amp;_sop=13", "Completed")</f>
        <v/>
      </c>
      <c r="K663" s="5" t="inlineStr">
        <is>
          <t>2025 Bowman Baseball Paper RC's &amp; Vets #1-100: You Pick- Complete Your Set</t>
        </is>
      </c>
    </row>
    <row r="664">
      <c r="A664" s="2" t="inlineStr">
        <is>
          <t>BBB-000254-ukkzt</t>
        </is>
      </c>
      <c r="B664" s="2" t="inlineStr">
        <is>
          <t>2025 Bowman THOMAS SAGGESE #57 Bowman Chrome Red Rookie Logo St. Louis Cardinals</t>
        </is>
      </c>
      <c r="C664" s="3" t="n">
        <v>2.99</v>
      </c>
      <c r="D664" s="3" t="n">
        <v>2.49</v>
      </c>
      <c r="E664" s="3" t="n">
        <v>-0.5</v>
      </c>
      <c r="F664" s="4" t="n">
        <v>-16.7</v>
      </c>
      <c r="G664" s="2" t="inlineStr">
        <is>
          <t>🔵 Floored $2.49 — free ship or $0.99 ship?</t>
        </is>
      </c>
      <c r="H664" s="2" t="inlineStr">
        <is>
          <t>85%</t>
        </is>
      </c>
      <c r="I664" s="2">
        <f>HYPERLINK("https://www.ebay.com/sch/261328/i.html?_dcat=261328&amp;_fsrp=1&amp;rt=nc&amp;_from=R40&amp;_nkw=2025%20Bowman%20THOMAS%20SAGGESE%20%2357%20Bowman%20Chrome%20Red%20Rookie%20Logo%20St.%20Louis%20Cardinals&amp;_sacat=0&amp;_sop=15&amp;rt=nc&amp;LH_BIN=1", "Active")</f>
        <v/>
      </c>
      <c r="J664" s="2">
        <f>HYPERLINK("https://www.ebay.com/sch/261328/i.html?_from=R40&amp;_nkw=2025%20Bowman%20THOMAS%20SAGGESE%20%2357%20Bowman%20Chrome%20Red%20Rookie%20Logo%20St.%20Louis%20Cardinals&amp;_sacat=0&amp;LH_Sold=1&amp;LH_Complete=1&amp;_sop=13", "Completed")</f>
        <v/>
      </c>
      <c r="K664" s="2" t="inlineStr">
        <is>
          <t>2025 Bowman #57 Thomas Saggese Bowman Chrome Red Rookie Logo</t>
        </is>
      </c>
    </row>
    <row r="665">
      <c r="A665" s="5" t="inlineStr">
        <is>
          <t>BBB-000257-ukkzy</t>
        </is>
      </c>
      <c r="B665" s="5" t="inlineStr">
        <is>
          <t>2024 Finest JASSON DOMÍNGUEZ #FRD-1 Finest Rookies Design Variations Yankees RC</t>
        </is>
      </c>
      <c r="C665" s="6" t="n">
        <v>1.5</v>
      </c>
      <c r="D665" s="6" t="n">
        <v>2.49</v>
      </c>
      <c r="E665" s="6" t="n">
        <v>0.99</v>
      </c>
      <c r="F665" s="7" t="n">
        <v>66</v>
      </c>
      <c r="G665" s="5" t="inlineStr">
        <is>
          <t>⬆ Price Up</t>
        </is>
      </c>
      <c r="H665" s="5" t="inlineStr">
        <is>
          <t>100%</t>
        </is>
      </c>
      <c r="I665" s="5">
        <f>HYPERLINK("https://www.ebay.com/sch/261328/i.html?_dcat=261328&amp;_fsrp=1&amp;rt=nc&amp;_from=R40&amp;_nkw=2024%20Finest%20JASSON%20DOM%C3%8DNGUEZ%20%23FRD-1%20Finest%20Rookies%20Design%20Variations%20Yankees%20RC&amp;_sacat=0&amp;_sop=15&amp;rt=nc&amp;LH_BIN=1", "Active")</f>
        <v/>
      </c>
      <c r="J665" s="5">
        <f>HYPERLINK("https://www.ebay.com/sch/261328/i.html?_from=R40&amp;_nkw=2024%20Finest%20JASSON%20DOM%C3%8DNGUEZ%20%23FRD-1%20Finest%20Rookies%20Design%20Variations%20Yankees%20RC&amp;_sacat=0&amp;LH_Sold=1&amp;LH_Complete=1&amp;_sop=13", "Completed")</f>
        <v/>
      </c>
      <c r="K665" s="5" t="inlineStr">
        <is>
          <t>2024 Finest JASSON DOMÍNGUEZ #FRD-1 Finest Rookies Design Variations Yankees RC</t>
        </is>
      </c>
    </row>
    <row r="666">
      <c r="A666" s="5" t="inlineStr">
        <is>
          <t>BBB-000260-ukl04</t>
        </is>
      </c>
      <c r="B666" s="5" t="inlineStr">
        <is>
          <t>2025 Topps PRO Debut Caleb Durbin #PD-160 Nashville Sounds #/125</t>
        </is>
      </c>
      <c r="C666" s="6" t="n">
        <v>2.99</v>
      </c>
      <c r="D666" s="6" t="n">
        <v>3.89</v>
      </c>
      <c r="E666" s="6" t="n">
        <v>0.9</v>
      </c>
      <c r="F666" s="7" t="n">
        <v>30.1</v>
      </c>
      <c r="G666" s="5" t="inlineStr">
        <is>
          <t>⬆ Price Up</t>
        </is>
      </c>
      <c r="H666" s="5" t="inlineStr">
        <is>
          <t>100%</t>
        </is>
      </c>
      <c r="I666" s="5">
        <f>HYPERLINK("https://www.ebay.com/sch/261328/i.html?_dcat=261328&amp;_fsrp=1&amp;rt=nc&amp;_from=R40&amp;_nkw=2025%20Topps%20PRO%20Debut%20Caleb%20Durbin%20%23PD-160%20Nashville%20Sounds%20%23%2F125&amp;_sacat=0&amp;_sop=15&amp;rt=nc&amp;LH_BIN=1", "Active")</f>
        <v/>
      </c>
      <c r="J666" s="5">
        <f>HYPERLINK("https://www.ebay.com/sch/261328/i.html?_from=R40&amp;_nkw=2025%20Topps%20PRO%20Debut%20Caleb%20Durbin%20%23PD-160%20Nashville%20Sounds%20%23%2F125&amp;_sacat=0&amp;LH_Sold=1&amp;LH_Complete=1&amp;_sop=13", "Completed")</f>
        <v/>
      </c>
      <c r="K666" s="5" t="inlineStr">
        <is>
          <t>2025 Topps PRO Debut Caleb Durbin #PD-160 Nashville Sounds #/125</t>
        </is>
      </c>
    </row>
    <row r="667">
      <c r="A667" s="5" t="inlineStr">
        <is>
          <t>BBB-000263-ukl0f</t>
        </is>
      </c>
      <c r="B667" s="5" t="inlineStr">
        <is>
          <t>2025 Topps PRO Debut Arjun Nimmala #PDC-30</t>
        </is>
      </c>
      <c r="C667" s="6" t="n">
        <v>2.38</v>
      </c>
      <c r="D667" s="6" t="n">
        <v>2.49</v>
      </c>
      <c r="E667" s="6" t="n">
        <v>0.11</v>
      </c>
      <c r="F667" s="7" t="n">
        <v>4.6</v>
      </c>
      <c r="G667" s="5" t="inlineStr">
        <is>
          <t>⬆ Price Up</t>
        </is>
      </c>
      <c r="H667" s="5" t="inlineStr">
        <is>
          <t>69%</t>
        </is>
      </c>
      <c r="I667" s="5">
        <f>HYPERLINK("https://www.ebay.com/sch/261328/i.html?_dcat=261328&amp;_fsrp=1&amp;rt=nc&amp;_from=R40&amp;_nkw=2025%20Topps%20PRO%20Debut%20Arjun%20Nimmala%20%23PDC-30&amp;_sacat=0&amp;_sop=15&amp;rt=nc&amp;LH_BIN=1", "Active")</f>
        <v/>
      </c>
      <c r="J667" s="5">
        <f>HYPERLINK("https://www.ebay.com/sch/261328/i.html?_from=R40&amp;_nkw=2025%20Topps%20PRO%20Debut%20Arjun%20Nimmala%20%23PDC-30&amp;_sacat=0&amp;LH_Sold=1&amp;LH_Complete=1&amp;_sop=13", "Completed")</f>
        <v/>
      </c>
      <c r="K667" s="5" t="inlineStr">
        <is>
          <t>Arjun Nimmala 2025 Topps Pro Debut #PDC-30 Chrome Card Dunedin Blue Jays</t>
        </is>
      </c>
    </row>
    <row r="668">
      <c r="A668" s="2" t="inlineStr">
        <is>
          <t>BBB-000258-ukkzz</t>
        </is>
      </c>
      <c r="B668" s="2" t="inlineStr">
        <is>
          <t>2025 Finest NICK KURTZ #10 Athletics</t>
        </is>
      </c>
      <c r="C668" s="3" t="n">
        <v>4.49</v>
      </c>
      <c r="D668" s="3" t="n">
        <v>2.49</v>
      </c>
      <c r="E668" s="3" t="n">
        <v>-2</v>
      </c>
      <c r="F668" s="4" t="n">
        <v>-44.5</v>
      </c>
      <c r="G668" s="2" t="inlineStr">
        <is>
          <t>🔵 Floored $2.49 — free ship or $0.99 ship?</t>
        </is>
      </c>
      <c r="H668" s="2" t="inlineStr"/>
      <c r="I668" s="2">
        <f>HYPERLINK("https://www.ebay.com/sch/261328/i.html?_dcat=261328&amp;_fsrp=1&amp;rt=nc&amp;_from=R40&amp;_nkw=2025%20Finest%20NICK%20KURTZ%20%2310%20Athletics&amp;_sacat=0&amp;_sop=15&amp;rt=nc&amp;LH_BIN=1", "Active")</f>
        <v/>
      </c>
      <c r="J668" s="2">
        <f>HYPERLINK("https://www.ebay.com/sch/261328/i.html?_from=R40&amp;_nkw=2025%20Finest%20NICK%20KURTZ%20%2310%20Athletics&amp;_sacat=0&amp;LH_Sold=1&amp;LH_Complete=1&amp;_sop=13", "Completed")</f>
        <v/>
      </c>
      <c r="K668" s="2" t="inlineStr">
        <is>
          <t>No Close Result Found</t>
        </is>
      </c>
    </row>
    <row r="669">
      <c r="A669" s="8" t="inlineStr">
        <is>
          <t>BBB-000259-ukl01</t>
        </is>
      </c>
      <c r="B669" s="8" t="inlineStr">
        <is>
          <t>2025 Bowman ADAEL AMADOR #31 Bowman Chrome Red Rookie Logo Colorado Rockies RC</t>
        </is>
      </c>
      <c r="C669" s="9" t="n">
        <v>2.49</v>
      </c>
      <c r="D669" s="9" t="n">
        <v>2.49</v>
      </c>
      <c r="E669" s="9" t="n">
        <v>0</v>
      </c>
      <c r="F669" s="10" t="n">
        <v>0</v>
      </c>
      <c r="G669" s="8" t="inlineStr">
        <is>
          <t>— No Change</t>
        </is>
      </c>
      <c r="H669" s="8" t="inlineStr">
        <is>
          <t>83%</t>
        </is>
      </c>
      <c r="I669" s="8">
        <f>HYPERLINK("https://www.ebay.com/sch/261328/i.html?_dcat=261328&amp;_fsrp=1&amp;rt=nc&amp;_from=R40&amp;_nkw=2025%20Bowman%20ADAEL%20AMADOR%20%2331%20Bowman%20Chrome%20Red%20Rookie%20Logo%20Colorado%20Rockies%20RC&amp;_sacat=0&amp;_sop=15&amp;rt=nc&amp;LH_BIN=1", "Active")</f>
        <v/>
      </c>
      <c r="J669" s="8">
        <f>HYPERLINK("https://www.ebay.com/sch/261328/i.html?_from=R40&amp;_nkw=2025%20Bowman%20ADAEL%20AMADOR%20%2331%20Bowman%20Chrome%20Red%20Rookie%20Logo%20Colorado%20Rockies%20RC&amp;_sacat=0&amp;LH_Sold=1&amp;LH_Complete=1&amp;_sop=13", "Completed")</f>
        <v/>
      </c>
      <c r="K669" s="8" t="inlineStr">
        <is>
          <t>2025 Bowman &amp; Bowman Chrome RED ROOKIE RC LOGO REFRACTORS You Pick UPDATED 10/21</t>
        </is>
      </c>
    </row>
    <row r="670">
      <c r="A670" s="11" t="inlineStr">
        <is>
          <t>BBB-000214-ukky6</t>
        </is>
      </c>
      <c r="B670" s="11" t="inlineStr">
        <is>
          <t>2025 Bowman RIVER RYAN #69 Bowman Chrome Red Rookie Logo Los Angeles Dodgers RC</t>
        </is>
      </c>
      <c r="C670" s="12" t="n">
        <v>5.99</v>
      </c>
      <c r="D670" s="12" t="n">
        <v>2.79</v>
      </c>
      <c r="E670" s="12" t="n">
        <v>-3.2</v>
      </c>
      <c r="F670" s="13" t="n">
        <v>-53.4</v>
      </c>
      <c r="G670" s="11" t="inlineStr">
        <is>
          <t>⬇ Price Down</t>
        </is>
      </c>
      <c r="H670" s="11" t="inlineStr">
        <is>
          <t>74%</t>
        </is>
      </c>
      <c r="I670" s="11">
        <f>HYPERLINK("https://www.ebay.com/sch/261328/i.html?_dcat=261328&amp;_fsrp=1&amp;rt=nc&amp;_from=R40&amp;_nkw=2025%20Bowman%20RIVER%20RYAN%20%2369%20Bowman%20Chrome%20Red%20Rookie%20Logo%20Los%20Angeles%20Dodgers%20RC&amp;_sacat=0&amp;_sop=15&amp;rt=nc&amp;LH_BIN=1", "Active")</f>
        <v/>
      </c>
      <c r="J670" s="11">
        <f>HYPERLINK("https://www.ebay.com/sch/261328/i.html?_from=R40&amp;_nkw=2025%20Bowman%20RIVER%20RYAN%20%2369%20Bowman%20Chrome%20Red%20Rookie%20Logo%20Los%20Angeles%20Dodgers%20RC&amp;_sacat=0&amp;LH_Sold=1&amp;LH_Complete=1&amp;_sop=13", "Completed")</f>
        <v/>
      </c>
      <c r="K670" s="11" t="inlineStr">
        <is>
          <t>River Ryan 2025 Bowman Chrome #69 Red Rookie RC Logo Refractor Redemption SP Hot</t>
        </is>
      </c>
    </row>
    <row r="671">
      <c r="A671" s="5" t="inlineStr">
        <is>
          <t>BBB-000238-ukkz5</t>
        </is>
      </c>
      <c r="B671" s="5" t="inlineStr">
        <is>
          <t>2025 Topps Update CADE HORTON #US140 Chicago Cubs Basketball</t>
        </is>
      </c>
      <c r="C671" s="6" t="n">
        <v>3.99</v>
      </c>
      <c r="D671" s="6" t="n">
        <v>4.79</v>
      </c>
      <c r="E671" s="6" t="n">
        <v>0.8</v>
      </c>
      <c r="F671" s="7" t="n">
        <v>20.1</v>
      </c>
      <c r="G671" s="5" t="inlineStr">
        <is>
          <t>⬆ Price Up</t>
        </is>
      </c>
      <c r="H671" s="5" t="inlineStr">
        <is>
          <t>100%</t>
        </is>
      </c>
      <c r="I671" s="5">
        <f>HYPERLINK("https://www.ebay.com/sch/261328/i.html?_dcat=261328&amp;_fsrp=1&amp;rt=nc&amp;_from=R40&amp;_nkw=2025%20Topps%20Update%20CADE%20HORTON%20%23US140%20Chicago%20Cubs%20Basketball&amp;_sacat=0&amp;_sop=15&amp;rt=nc&amp;LH_BIN=1", "Active")</f>
        <v/>
      </c>
      <c r="J671" s="5">
        <f>HYPERLINK("https://www.ebay.com/sch/261328/i.html?_from=R40&amp;_nkw=2025%20Topps%20Update%20CADE%20HORTON%20%23US140%20Chicago%20Cubs%20Basketball&amp;_sacat=0&amp;LH_Sold=1&amp;LH_Complete=1&amp;_sop=13", "Completed")</f>
        <v/>
      </c>
      <c r="K671" s="5" t="inlineStr">
        <is>
          <t>2025 Topps Update CADE HORTON #US140 Chicago Cubs Basketball</t>
        </is>
      </c>
    </row>
    <row r="672">
      <c r="A672" s="2" t="inlineStr">
        <is>
          <t>BBB-000230-ukkyu</t>
        </is>
      </c>
      <c r="B672" s="2" t="inlineStr">
        <is>
          <t>2025 Bowman Chrome COREY SEAGER #45 Geometric Texas Rangers #/499</t>
        </is>
      </c>
      <c r="C672" s="3" t="n">
        <v>2.99</v>
      </c>
      <c r="D672" s="3" t="n">
        <v>2.49</v>
      </c>
      <c r="E672" s="3" t="n">
        <v>-0.5</v>
      </c>
      <c r="F672" s="4" t="n">
        <v>-16.7</v>
      </c>
      <c r="G672" s="2" t="inlineStr">
        <is>
          <t>🔵 Floored $2.49 — free ship or $0.99 ship?</t>
        </is>
      </c>
      <c r="H672" s="2" t="inlineStr">
        <is>
          <t>86%</t>
        </is>
      </c>
      <c r="I672" s="2">
        <f>HYPERLINK("https://www.ebay.com/sch/261328/i.html?_dcat=261328&amp;_fsrp=1&amp;rt=nc&amp;_from=R40&amp;_nkw=2025%20Bowman%20Chrome%20COREY%20SEAGER%20%2345%20Geometric%20Texas%20Rangers%20%23%2F499&amp;_sacat=0&amp;_sop=15&amp;rt=nc&amp;LH_BIN=1", "Active")</f>
        <v/>
      </c>
      <c r="J672" s="2">
        <f>HYPERLINK("https://www.ebay.com/sch/261328/i.html?_from=R40&amp;_nkw=2025%20Bowman%20Chrome%20COREY%20SEAGER%20%2345%20Geometric%20Texas%20Rangers%20%23%2F499&amp;_sacat=0&amp;LH_Sold=1&amp;LH_Complete=1&amp;_sop=13", "Completed")</f>
        <v/>
      </c>
      <c r="K672" s="2" t="inlineStr">
        <is>
          <t>2025 Bowman Chrome #45 Corey Seager Geometric #/499</t>
        </is>
      </c>
    </row>
    <row r="673">
      <c r="A673" s="5" t="inlineStr">
        <is>
          <t>BBB-000216-ukky9</t>
        </is>
      </c>
      <c r="B673" s="5" t="inlineStr">
        <is>
          <t>2025 Topps Chrome National JESUS MADE #TP-15 Bowman Chrome Prospects Brewers</t>
        </is>
      </c>
      <c r="C673" s="6" t="n">
        <v>11.59</v>
      </c>
      <c r="D673" s="6" t="n">
        <v>12.19</v>
      </c>
      <c r="E673" s="6" t="n">
        <v>0.6</v>
      </c>
      <c r="F673" s="7" t="n">
        <v>5.2</v>
      </c>
      <c r="G673" s="5" t="inlineStr">
        <is>
          <t>⬆ Price Up</t>
        </is>
      </c>
      <c r="H673" s="5" t="inlineStr">
        <is>
          <t>100%</t>
        </is>
      </c>
      <c r="I673" s="5">
        <f>HYPERLINK("https://www.ebay.com/sch/261328/i.html?_dcat=261328&amp;_fsrp=1&amp;rt=nc&amp;_from=R40&amp;_nkw=2025%20Topps%20Chrome%20National%20JESUS%20MADE%20%23TP-15%20Bowman%20Chrome%20Prospects%20Brewers&amp;_sacat=0&amp;_sop=15&amp;rt=nc&amp;LH_BIN=1", "Active")</f>
        <v/>
      </c>
      <c r="J673" s="5">
        <f>HYPERLINK("https://www.ebay.com/sch/261328/i.html?_from=R40&amp;_nkw=2025%20Topps%20Chrome%20National%20JESUS%20MADE%20%23TP-15%20Bowman%20Chrome%20Prospects%20Brewers&amp;_sacat=0&amp;LH_Sold=1&amp;LH_Complete=1&amp;_sop=13", "Completed")</f>
        <v/>
      </c>
      <c r="K673" s="5" t="inlineStr">
        <is>
          <t>2025 Topps Chrome National JESUS MADE #TP-15 Bowman Chrome Prospects Brewers</t>
        </is>
      </c>
    </row>
    <row r="674">
      <c r="A674" s="5" t="inlineStr">
        <is>
          <t>BBB-000217-ukkya</t>
        </is>
      </c>
      <c r="B674" s="5" t="inlineStr">
        <is>
          <t>2025 Topps Chrome National SPORTS Collectors Aaron Judge #MLB-25 Yankees</t>
        </is>
      </c>
      <c r="C674" s="6" t="n">
        <v>14.99</v>
      </c>
      <c r="D674" s="6" t="n">
        <v>15.49</v>
      </c>
      <c r="E674" s="6" t="n">
        <v>0.5</v>
      </c>
      <c r="F674" s="7" t="n">
        <v>3.3</v>
      </c>
      <c r="G674" s="5" t="inlineStr">
        <is>
          <t>⬆ Price Up</t>
        </is>
      </c>
      <c r="H674" s="5" t="inlineStr">
        <is>
          <t>100%</t>
        </is>
      </c>
      <c r="I674" s="5">
        <f>HYPERLINK("https://www.ebay.com/sch/261328/i.html?_dcat=261328&amp;_fsrp=1&amp;rt=nc&amp;_from=R40&amp;_nkw=2025%20Topps%20Chrome%20National%20SPORTS%20Collectors%20Aaron%20Judge%20%23MLB-25%20Yankees&amp;_sacat=0&amp;_sop=15&amp;rt=nc&amp;LH_BIN=1", "Active")</f>
        <v/>
      </c>
      <c r="J674" s="5">
        <f>HYPERLINK("https://www.ebay.com/sch/261328/i.html?_from=R40&amp;_nkw=2025%20Topps%20Chrome%20National%20SPORTS%20Collectors%20Aaron%20Judge%20%23MLB-25%20Yankees&amp;_sacat=0&amp;LH_Sold=1&amp;LH_Complete=1&amp;_sop=13", "Completed")</f>
        <v/>
      </c>
      <c r="K674" s="5" t="inlineStr">
        <is>
          <t>2025 Topps Chrome National SPORTS Collectors Aaron Judge #MLB-25 Yankees</t>
        </is>
      </c>
    </row>
    <row r="675">
      <c r="A675" s="5" t="inlineStr">
        <is>
          <t>CDP-3E18AFB</t>
        </is>
      </c>
      <c r="B675" s="5" t="inlineStr">
        <is>
          <t>2024 Bowman - SHOHEI OHTANI #33 Dodgers ROY Graded 10</t>
        </is>
      </c>
      <c r="C675" s="6" t="n">
        <v>31.19</v>
      </c>
      <c r="D675" s="6" t="n">
        <v>39.19</v>
      </c>
      <c r="E675" s="6" t="n">
        <v>8</v>
      </c>
      <c r="F675" s="7" t="n">
        <v>25.6</v>
      </c>
      <c r="G675" s="5" t="inlineStr">
        <is>
          <t>⬆ Price Up</t>
        </is>
      </c>
      <c r="H675" s="5" t="inlineStr">
        <is>
          <t>100%</t>
        </is>
      </c>
      <c r="I675" s="5">
        <f>HYPERLINK("https://www.ebay.com/sch/261328/i.html?_dcat=261328&amp;_fsrp=1&amp;rt=nc&amp;_from=R40&amp;_nkw=2024%20Bowman%20-%20SHOHEI%20OHTANI%20%2333%20Dodgers%20ROY%20Graded%2010&amp;_sacat=0&amp;_sop=15&amp;rt=nc&amp;LH_BIN=1", "Active")</f>
        <v/>
      </c>
      <c r="J675" s="5">
        <f>HYPERLINK("https://www.ebay.com/sch/261328/i.html?_from=R40&amp;_nkw=2024%20Bowman%20-%20SHOHEI%20OHTANI%20%2333%20Dodgers%20ROY%20Graded%2010&amp;_sacat=0&amp;LH_Sold=1&amp;LH_Complete=1&amp;_sop=13", "Completed")</f>
        <v/>
      </c>
      <c r="K675" s="5" t="inlineStr">
        <is>
          <t>2024 Bowman - SHOHEI OHTANI #33 Dodgers ROY Graded 10</t>
        </is>
      </c>
    </row>
    <row r="676">
      <c r="A676" s="11" t="inlineStr">
        <is>
          <t>BBB-000283-unddy</t>
        </is>
      </c>
      <c r="B676" s="11" t="inlineStr">
        <is>
          <t>2024 Bowman Draft Sapphire Edition JOSIAH ROMEO #BDC-184 Oakland Athletics</t>
        </is>
      </c>
      <c r="C676" s="12" t="n">
        <v>3.99</v>
      </c>
      <c r="D676" s="12" t="n">
        <v>2.69</v>
      </c>
      <c r="E676" s="12" t="n">
        <v>-1.3</v>
      </c>
      <c r="F676" s="13" t="n">
        <v>-32.6</v>
      </c>
      <c r="G676" s="11" t="inlineStr">
        <is>
          <t>⬇ Price Down</t>
        </is>
      </c>
      <c r="H676" s="11" t="inlineStr">
        <is>
          <t>64%</t>
        </is>
      </c>
      <c r="I676" s="11">
        <f>HYPERLINK("https://www.ebay.com/sch/261328/i.html?_dcat=261328&amp;_fsrp=1&amp;rt=nc&amp;_from=R40&amp;_nkw=2024%20Bowman%20Draft%20Sapphire%20Edition%20JOSIAH%20ROMEO%20%23BDC-184%20Oakland%20Athletics&amp;_sacat=0&amp;_sop=15&amp;rt=nc&amp;LH_BIN=1", "Active")</f>
        <v/>
      </c>
      <c r="J676" s="11">
        <f>HYPERLINK("https://www.ebay.com/sch/261328/i.html?_from=R40&amp;_nkw=2024%20Bowman%20Draft%20Sapphire%20Edition%20JOSIAH%20ROMEO%20%23BDC-184%20Oakland%20Athletics&amp;_sacat=0&amp;LH_Sold=1&amp;LH_Complete=1&amp;_sop=13", "Completed")</f>
        <v/>
      </c>
      <c r="K676" s="11" t="inlineStr">
        <is>
          <t>🔥2024 Bowman Draft Sapphire Edition - You Pick - Free Ship - Buy More &amp; Save!🔥</t>
        </is>
      </c>
    </row>
    <row r="677">
      <c r="A677" s="5" t="inlineStr">
        <is>
          <t>BBB-000282-unddt</t>
        </is>
      </c>
      <c r="B677" s="5" t="inlineStr">
        <is>
          <t>2024 Bowman Draft Chrome CHRIS CORTEZ Sapphire #BDC-77 1st Bowman RC Rookie</t>
        </is>
      </c>
      <c r="C677" s="6" t="n">
        <v>3.49</v>
      </c>
      <c r="D677" s="6" t="n">
        <v>4.39</v>
      </c>
      <c r="E677" s="6" t="n">
        <v>0.9</v>
      </c>
      <c r="F677" s="7" t="n">
        <v>25.8</v>
      </c>
      <c r="G677" s="5" t="inlineStr">
        <is>
          <t>⬆ Price Up</t>
        </is>
      </c>
      <c r="H677" s="5" t="inlineStr">
        <is>
          <t>100%</t>
        </is>
      </c>
      <c r="I677" s="5">
        <f>HYPERLINK("https://www.ebay.com/sch/261328/i.html?_dcat=261328&amp;_fsrp=1&amp;rt=nc&amp;_from=R40&amp;_nkw=2024%20Bowman%20Draft%20Chrome%20CHRIS%20CORTEZ%20Sapphire%20%23BDC-77%201st%20Bowman%20RC%20Rookie&amp;_sacat=0&amp;_sop=15&amp;rt=nc&amp;LH_BIN=1", "Active")</f>
        <v/>
      </c>
      <c r="J677" s="5">
        <f>HYPERLINK("https://www.ebay.com/sch/261328/i.html?_from=R40&amp;_nkw=2024%20Bowman%20Draft%20Chrome%20CHRIS%20CORTEZ%20Sapphire%20%23BDC-77%201st%20Bowman%20RC%20Rookie&amp;_sacat=0&amp;LH_Sold=1&amp;LH_Complete=1&amp;_sop=13", "Completed")</f>
        <v/>
      </c>
      <c r="K677" s="5" t="inlineStr">
        <is>
          <t>2024 Bowman Draft Chrome CHRIS CORTEZ Sapphire #BDC-77 1st Bowman RC Rookie</t>
        </is>
      </c>
    </row>
    <row r="678">
      <c r="A678" s="5" t="inlineStr">
        <is>
          <t>BBB-000276-unddi</t>
        </is>
      </c>
      <c r="B678" s="5" t="inlineStr">
        <is>
          <t>2025 Bowman Sapphire Edition ZACK SHOWALTER #BCP-74 St. Louis Cardinals Football</t>
        </is>
      </c>
      <c r="C678" s="6" t="n">
        <v>2.99</v>
      </c>
      <c r="D678" s="6" t="n">
        <v>3.89</v>
      </c>
      <c r="E678" s="6" t="n">
        <v>0.9</v>
      </c>
      <c r="F678" s="7" t="n">
        <v>30.1</v>
      </c>
      <c r="G678" s="5" t="inlineStr">
        <is>
          <t>⬆ Price Up</t>
        </is>
      </c>
      <c r="H678" s="5" t="inlineStr">
        <is>
          <t>100%</t>
        </is>
      </c>
      <c r="I678" s="5">
        <f>HYPERLINK("https://www.ebay.com/sch/261328/i.html?_dcat=261328&amp;_fsrp=1&amp;rt=nc&amp;_from=R40&amp;_nkw=2025%20Bowman%20Sapphire%20Edition%20ZACK%20SHOWALTER%20%23BCP-74%20St.%20Louis%20Cardinals%20Football&amp;_sacat=0&amp;_sop=15&amp;rt=nc&amp;LH_BIN=1", "Active")</f>
        <v/>
      </c>
      <c r="J678" s="5">
        <f>HYPERLINK("https://www.ebay.com/sch/261328/i.html?_from=R40&amp;_nkw=2025%20Bowman%20Sapphire%20Edition%20ZACK%20SHOWALTER%20%23BCP-74%20St.%20Louis%20Cardinals%20Football&amp;_sacat=0&amp;LH_Sold=1&amp;LH_Complete=1&amp;_sop=13", "Completed")</f>
        <v/>
      </c>
      <c r="K678" s="5" t="inlineStr">
        <is>
          <t>2025 Bowman Sapphire Edition ZACK SHOWALTER #BCP-74 St. Louis Cardinals Football</t>
        </is>
      </c>
    </row>
    <row r="679">
      <c r="A679" s="5" t="inlineStr">
        <is>
          <t>BBB-000280-unddp</t>
        </is>
      </c>
      <c r="B679" s="5" t="inlineStr">
        <is>
          <t>2024 Bowman Draft Sapphire Edition RODNEY Green #BDC-187 Oakland Athletics</t>
        </is>
      </c>
      <c r="C679" s="6" t="n">
        <v>1.99</v>
      </c>
      <c r="D679" s="6" t="n">
        <v>2.89</v>
      </c>
      <c r="E679" s="6" t="n">
        <v>0.9</v>
      </c>
      <c r="F679" s="7" t="n">
        <v>45.2</v>
      </c>
      <c r="G679" s="5" t="inlineStr">
        <is>
          <t>⬆ Price Up</t>
        </is>
      </c>
      <c r="H679" s="5" t="inlineStr">
        <is>
          <t>100%</t>
        </is>
      </c>
      <c r="I679" s="5">
        <f>HYPERLINK("https://www.ebay.com/sch/261328/i.html?_dcat=261328&amp;_fsrp=1&amp;rt=nc&amp;_from=R40&amp;_nkw=2024%20Bowman%20Draft%20Sapphire%20Edition%20RODNEY%20Green%20%23BDC-187%20Oakland%20Athletics&amp;_sacat=0&amp;_sop=15&amp;rt=nc&amp;LH_BIN=1", "Active")</f>
        <v/>
      </c>
      <c r="J679" s="5">
        <f>HYPERLINK("https://www.ebay.com/sch/261328/i.html?_from=R40&amp;_nkw=2024%20Bowman%20Draft%20Sapphire%20Edition%20RODNEY%20Green%20%23BDC-187%20Oakland%20Athletics&amp;_sacat=0&amp;LH_Sold=1&amp;LH_Complete=1&amp;_sop=13", "Completed")</f>
        <v/>
      </c>
      <c r="K679" s="5" t="inlineStr">
        <is>
          <t>2024 Bowman Draft Sapphire Edition RODNEY Green #BDC-187 Oakland Athletics</t>
        </is>
      </c>
    </row>
    <row r="680">
      <c r="A680" s="2" t="inlineStr">
        <is>
          <t>BBB-000275-unddg</t>
        </is>
      </c>
      <c r="B680" s="2" t="inlineStr">
        <is>
          <t>2025 Bowman Sapphire Edition SAMMY HERNANDEZ #BCP-66 St. Louis Cardinals</t>
        </is>
      </c>
      <c r="C680" s="3" t="n">
        <v>3.99</v>
      </c>
      <c r="D680" s="3" t="n">
        <v>2.49</v>
      </c>
      <c r="E680" s="3" t="n">
        <v>-1.5</v>
      </c>
      <c r="F680" s="4" t="n">
        <v>-37.6</v>
      </c>
      <c r="G680" s="2" t="inlineStr">
        <is>
          <t>🔵 Floored $2.49 — free ship or $0.99 ship?</t>
        </is>
      </c>
      <c r="H680" s="2" t="inlineStr">
        <is>
          <t>83%</t>
        </is>
      </c>
      <c r="I680" s="2">
        <f>HYPERLINK("https://www.ebay.com/sch/261328/i.html?_dcat=261328&amp;_fsrp=1&amp;rt=nc&amp;_from=R40&amp;_nkw=2025%20Bowman%20Sapphire%20Edition%20SAMMY%20HERNANDEZ%20%23BCP-66%20St.%20Louis%20Cardinals&amp;_sacat=0&amp;_sop=15&amp;rt=nc&amp;LH_BIN=1", "Active")</f>
        <v/>
      </c>
      <c r="J680" s="2">
        <f>HYPERLINK("https://www.ebay.com/sch/261328/i.html?_from=R40&amp;_nkw=2025%20Bowman%20Sapphire%20Edition%20SAMMY%20HERNANDEZ%20%23BCP-66%20St.%20Louis%20Cardinals&amp;_sacat=0&amp;LH_Sold=1&amp;LH_Complete=1&amp;_sop=13", "Completed")</f>
        <v/>
      </c>
      <c r="K680" s="2" t="inlineStr">
        <is>
          <t>2025 Bowman Sapphire Edition Chrome Prospects Sammy Hernandez #BCP-66 (RC)</t>
        </is>
      </c>
    </row>
    <row r="681">
      <c r="A681" s="11" t="inlineStr">
        <is>
          <t>BBB-000267-undd1</t>
        </is>
      </c>
      <c r="B681" s="11" t="inlineStr">
        <is>
          <t>2025 Bowman Sapphire Edition HAGEN SMITH #BCP-44 Chicago White Sox</t>
        </is>
      </c>
      <c r="C681" s="12" t="n">
        <v>4.99</v>
      </c>
      <c r="D681" s="12" t="n">
        <v>2.89</v>
      </c>
      <c r="E681" s="12" t="n">
        <v>-2.1</v>
      </c>
      <c r="F681" s="13" t="n">
        <v>-42.1</v>
      </c>
      <c r="G681" s="11" t="inlineStr">
        <is>
          <t>⬇ Price Down</t>
        </is>
      </c>
      <c r="H681" s="11" t="inlineStr">
        <is>
          <t>89%</t>
        </is>
      </c>
      <c r="I681" s="11">
        <f>HYPERLINK("https://www.ebay.com/sch/261328/i.html?_dcat=261328&amp;_fsrp=1&amp;rt=nc&amp;_from=R40&amp;_nkw=2025%20Bowman%20Sapphire%20Edition%20HAGEN%20SMITH%20%23BCP-44%20Chicago%20White%20Sox&amp;_sacat=0&amp;_sop=15&amp;rt=nc&amp;LH_BIN=1", "Active")</f>
        <v/>
      </c>
      <c r="J681" s="11">
        <f>HYPERLINK("https://www.ebay.com/sch/261328/i.html?_from=R40&amp;_nkw=2025%20Bowman%20Sapphire%20Edition%20HAGEN%20SMITH%20%23BCP-44%20Chicago%20White%20Sox&amp;_sacat=0&amp;LH_Sold=1&amp;LH_Complete=1&amp;_sop=13", "Completed")</f>
        <v/>
      </c>
      <c r="K681" s="11" t="inlineStr">
        <is>
          <t>2025 Bowman Sapphire Edition - Hagen Smith #BCP-44 Chicago White Sox</t>
        </is>
      </c>
    </row>
    <row r="682">
      <c r="A682" s="11" t="inlineStr">
        <is>
          <t>BBB-000273-unddc</t>
        </is>
      </c>
      <c r="B682" s="11" t="inlineStr">
        <is>
          <t>2025 Bowman Sapphire Edition SEAVER King #BCP-93 Washington Nationals</t>
        </is>
      </c>
      <c r="C682" s="12" t="n">
        <v>5.49</v>
      </c>
      <c r="D682" s="12" t="n">
        <v>2.69</v>
      </c>
      <c r="E682" s="12" t="n">
        <v>-2.8</v>
      </c>
      <c r="F682" s="13" t="n">
        <v>-51</v>
      </c>
      <c r="G682" s="11" t="inlineStr">
        <is>
          <t>⬇ Price Down</t>
        </is>
      </c>
      <c r="H682" s="11" t="inlineStr">
        <is>
          <t>84%</t>
        </is>
      </c>
      <c r="I682" s="11">
        <f>HYPERLINK("https://www.ebay.com/sch/261328/i.html?_dcat=261328&amp;_fsrp=1&amp;rt=nc&amp;_from=R40&amp;_nkw=2025%20Bowman%20Sapphire%20Edition%20SEAVER%20King%20%23BCP-93%20Washington%20Nationals&amp;_sacat=0&amp;_sop=15&amp;rt=nc&amp;LH_BIN=1", "Active")</f>
        <v/>
      </c>
      <c r="J682" s="11">
        <f>HYPERLINK("https://www.ebay.com/sch/261328/i.html?_from=R40&amp;_nkw=2025%20Bowman%20Sapphire%20Edition%20SEAVER%20King%20%23BCP-93%20Washington%20Nationals&amp;_sacat=0&amp;LH_Sold=1&amp;LH_Complete=1&amp;_sop=13", "Completed")</f>
        <v/>
      </c>
      <c r="K682" s="11" t="inlineStr">
        <is>
          <t>2025 Bowman Sapphire Edition #BCP-93 Seaver King</t>
        </is>
      </c>
    </row>
    <row r="683">
      <c r="A683" s="11" t="inlineStr">
        <is>
          <t>BBB-000270-undd6</t>
        </is>
      </c>
      <c r="B683" s="11" t="inlineStr">
        <is>
          <t>2025 Bowman Sapphire Edition LUCAS RAMIREZ #BCP-135 Los Angeles Angels</t>
        </is>
      </c>
      <c r="C683" s="12" t="n">
        <v>11.19</v>
      </c>
      <c r="D683" s="12" t="n">
        <v>10.19</v>
      </c>
      <c r="E683" s="12" t="n">
        <v>-1</v>
      </c>
      <c r="F683" s="13" t="n">
        <v>-8.9</v>
      </c>
      <c r="G683" s="11" t="inlineStr">
        <is>
          <t>⬇ Price Down</t>
        </is>
      </c>
      <c r="H683" s="11" t="inlineStr">
        <is>
          <t>86%</t>
        </is>
      </c>
      <c r="I683" s="11">
        <f>HYPERLINK("https://www.ebay.com/sch/261328/i.html?_dcat=261328&amp;_fsrp=1&amp;rt=nc&amp;_from=R40&amp;_nkw=2025%20Bowman%20Sapphire%20Edition%20LUCAS%20RAMIREZ%20%23BCP-135%20Los%20Angeles%20Angels&amp;_sacat=0&amp;_sop=15&amp;rt=nc&amp;LH_BIN=1", "Active")</f>
        <v/>
      </c>
      <c r="J683" s="11">
        <f>HYPERLINK("https://www.ebay.com/sch/261328/i.html?_from=R40&amp;_nkw=2025%20Bowman%20Sapphire%20Edition%20LUCAS%20RAMIREZ%20%23BCP-135%20Los%20Angeles%20Angels&amp;_sacat=0&amp;LH_Sold=1&amp;LH_Complete=1&amp;_sop=13", "Completed")</f>
        <v/>
      </c>
      <c r="K683" s="11" t="inlineStr">
        <is>
          <t>2025 Bowman Sapphire Edition #BCP-135 Lucas Ramirez 1st Prospect Angels</t>
        </is>
      </c>
    </row>
    <row r="684">
      <c r="A684" s="5" t="inlineStr">
        <is>
          <t>BBB-000269-undd4</t>
        </is>
      </c>
      <c r="B684" s="5" t="inlineStr">
        <is>
          <t>2025 Bowman Sapphire Edition QUINN MATHEWS #BCP-25 St. Louis Cardinals Football</t>
        </is>
      </c>
      <c r="C684" s="6" t="n">
        <v>5.99</v>
      </c>
      <c r="D684" s="6" t="n">
        <v>6.79</v>
      </c>
      <c r="E684" s="6" t="n">
        <v>0.8</v>
      </c>
      <c r="F684" s="7" t="n">
        <v>13.4</v>
      </c>
      <c r="G684" s="5" t="inlineStr">
        <is>
          <t>⬆ Price Up</t>
        </is>
      </c>
      <c r="H684" s="5" t="inlineStr">
        <is>
          <t>100%</t>
        </is>
      </c>
      <c r="I684" s="5">
        <f>HYPERLINK("https://www.ebay.com/sch/261328/i.html?_dcat=261328&amp;_fsrp=1&amp;rt=nc&amp;_from=R40&amp;_nkw=2025%20Bowman%20Sapphire%20Edition%20QUINN%20MATHEWS%20%23BCP-25%20St.%20Louis%20Cardinals%20Football&amp;_sacat=0&amp;_sop=15&amp;rt=nc&amp;LH_BIN=1", "Active")</f>
        <v/>
      </c>
      <c r="J684" s="5">
        <f>HYPERLINK("https://www.ebay.com/sch/261328/i.html?_from=R40&amp;_nkw=2025%20Bowman%20Sapphire%20Edition%20QUINN%20MATHEWS%20%23BCP-25%20St.%20Louis%20Cardinals%20Football&amp;_sacat=0&amp;LH_Sold=1&amp;LH_Complete=1&amp;_sop=13", "Completed")</f>
        <v/>
      </c>
      <c r="K684" s="5" t="inlineStr">
        <is>
          <t>2025 Bowman Sapphire Edition QUINN MATHEWS #BCP-25 St. Louis Cardinals Football</t>
        </is>
      </c>
    </row>
    <row r="685">
      <c r="A685" s="5" t="inlineStr">
        <is>
          <t>BBB-000268-undd3</t>
        </is>
      </c>
      <c r="B685" s="5" t="inlineStr">
        <is>
          <t>2025 Bowman Sapphire Edition JAVIER MOGOLLON #BCP-68 Chicago White Sox</t>
        </is>
      </c>
      <c r="C685" s="6" t="n">
        <v>2.99</v>
      </c>
      <c r="D685" s="6" t="n">
        <v>3.19</v>
      </c>
      <c r="E685" s="6" t="n">
        <v>0.2</v>
      </c>
      <c r="F685" s="7" t="n">
        <v>6.7</v>
      </c>
      <c r="G685" s="5" t="inlineStr">
        <is>
          <t>⬆ Price Up</t>
        </is>
      </c>
      <c r="H685" s="5" t="inlineStr">
        <is>
          <t>85%</t>
        </is>
      </c>
      <c r="I685" s="5">
        <f>HYPERLINK("https://www.ebay.com/sch/261328/i.html?_dcat=261328&amp;_fsrp=1&amp;rt=nc&amp;_from=R40&amp;_nkw=2025%20Bowman%20Sapphire%20Edition%20JAVIER%20MOGOLLON%20%23BCP-68%20Chicago%20White%20Sox&amp;_sacat=0&amp;_sop=15&amp;rt=nc&amp;LH_BIN=1", "Active")</f>
        <v/>
      </c>
      <c r="J685" s="5">
        <f>HYPERLINK("https://www.ebay.com/sch/261328/i.html?_from=R40&amp;_nkw=2025%20Bowman%20Sapphire%20Edition%20JAVIER%20MOGOLLON%20%23BCP-68%20Chicago%20White%20Sox&amp;_sacat=0&amp;LH_Sold=1&amp;LH_Complete=1&amp;_sop=13", "Completed")</f>
        <v/>
      </c>
      <c r="K685" s="5" t="inlineStr">
        <is>
          <t>2025 Bowman Sapphire Edition #BCP-68 Javier Mogollon</t>
        </is>
      </c>
    </row>
    <row r="686">
      <c r="A686" s="5" t="inlineStr">
        <is>
          <t>BBB-000266-undcz</t>
        </is>
      </c>
      <c r="B686" s="5" t="inlineStr">
        <is>
          <t>2025 Bowman Sapphire Edition CHEN-WEI LIN #BCP-141 St. Louis Cardinals Football</t>
        </is>
      </c>
      <c r="C686" s="6" t="n">
        <v>5.49</v>
      </c>
      <c r="D686" s="6" t="n">
        <v>6.29</v>
      </c>
      <c r="E686" s="6" t="n">
        <v>0.8</v>
      </c>
      <c r="F686" s="7" t="n">
        <v>14.6</v>
      </c>
      <c r="G686" s="5" t="inlineStr">
        <is>
          <t>⬆ Price Up</t>
        </is>
      </c>
      <c r="H686" s="5" t="inlineStr">
        <is>
          <t>100%</t>
        </is>
      </c>
      <c r="I686" s="5">
        <f>HYPERLINK("https://www.ebay.com/sch/261328/i.html?_dcat=261328&amp;_fsrp=1&amp;rt=nc&amp;_from=R40&amp;_nkw=2025%20Bowman%20Sapphire%20Edition%20CHEN-WEI%20LIN%20%23BCP-141%20St.%20Louis%20Cardinals%20Football&amp;_sacat=0&amp;_sop=15&amp;rt=nc&amp;LH_BIN=1", "Active")</f>
        <v/>
      </c>
      <c r="J686" s="5">
        <f>HYPERLINK("https://www.ebay.com/sch/261328/i.html?_from=R40&amp;_nkw=2025%20Bowman%20Sapphire%20Edition%20CHEN-WEI%20LIN%20%23BCP-141%20St.%20Louis%20Cardinals%20Football&amp;_sacat=0&amp;LH_Sold=1&amp;LH_Complete=1&amp;_sop=13", "Completed")</f>
        <v/>
      </c>
      <c r="K686" s="5" t="inlineStr">
        <is>
          <t>2025 Bowman Sapphire Edition CHEN-WEI LIN #BCP-141 St. Louis Cardinals Football</t>
        </is>
      </c>
    </row>
    <row r="687">
      <c r="A687" s="5" t="inlineStr">
        <is>
          <t>BBB-000264-undcv</t>
        </is>
      </c>
      <c r="B687" s="5" t="inlineStr">
        <is>
          <t>2025 Bowman Sapphire Edition TINK HENCE #BCP-101 St. Louis Cardinals Football</t>
        </is>
      </c>
      <c r="C687" s="6" t="n">
        <v>2.99</v>
      </c>
      <c r="D687" s="6" t="n">
        <v>3.89</v>
      </c>
      <c r="E687" s="6" t="n">
        <v>0.9</v>
      </c>
      <c r="F687" s="7" t="n">
        <v>30.1</v>
      </c>
      <c r="G687" s="5" t="inlineStr">
        <is>
          <t>⬆ Price Up</t>
        </is>
      </c>
      <c r="H687" s="5" t="inlineStr">
        <is>
          <t>100%</t>
        </is>
      </c>
      <c r="I687" s="5">
        <f>HYPERLINK("https://www.ebay.com/sch/261328/i.html?_dcat=261328&amp;_fsrp=1&amp;rt=nc&amp;_from=R40&amp;_nkw=2025%20Bowman%20Sapphire%20Edition%20TINK%20HENCE%20%23BCP-101%20St.%20Louis%20Cardinals%20Football&amp;_sacat=0&amp;_sop=15&amp;rt=nc&amp;LH_BIN=1", "Active")</f>
        <v/>
      </c>
      <c r="J687" s="5">
        <f>HYPERLINK("https://www.ebay.com/sch/261328/i.html?_from=R40&amp;_nkw=2025%20Bowman%20Sapphire%20Edition%20TINK%20HENCE%20%23BCP-101%20St.%20Louis%20Cardinals%20Football&amp;_sacat=0&amp;LH_Sold=1&amp;LH_Complete=1&amp;_sop=13", "Completed")</f>
        <v/>
      </c>
      <c r="K687" s="5" t="inlineStr">
        <is>
          <t>2025 Bowman Sapphire Edition TINK HENCE #BCP-101 St. Louis Cardinals Football</t>
        </is>
      </c>
    </row>
    <row r="688">
      <c r="A688" s="11" t="inlineStr">
        <is>
          <t>BBA-000100-00006-23353</t>
        </is>
      </c>
      <c r="B688" s="11" t="inlineStr">
        <is>
          <t>2021 Topps JOHNNY BENCH #70LP-JB 70th Anniversary Logo Patch Series 1 Reds</t>
        </is>
      </c>
      <c r="C688" s="12" t="n">
        <v>4.29</v>
      </c>
      <c r="D688" s="12" t="n">
        <v>4.19</v>
      </c>
      <c r="E688" s="12" t="n">
        <v>-0.1</v>
      </c>
      <c r="F688" s="13" t="n">
        <v>-2.3</v>
      </c>
      <c r="G688" s="11" t="inlineStr">
        <is>
          <t>⬇ Price Down</t>
        </is>
      </c>
      <c r="H688" s="11" t="inlineStr">
        <is>
          <t>77%</t>
        </is>
      </c>
      <c r="I688" s="11">
        <f>HYPERLINK("https://www.ebay.com/sch/261328/i.html?_dcat=261328&amp;_fsrp=1&amp;rt=nc&amp;_from=R40&amp;_nkw=2021%20Topps%20JOHNNY%20BENCH%20%2370LP-JB%2070th%20Anniversary%20Logo%20Patch%20Series%201%20Reds&amp;_sacat=0&amp;_sop=15&amp;rt=nc&amp;LH_BIN=1", "Active")</f>
        <v/>
      </c>
      <c r="J688" s="11">
        <f>HYPERLINK("https://www.ebay.com/sch/261328/i.html?_from=R40&amp;_nkw=2021%20Topps%20JOHNNY%20BENCH%20%2370LP-JB%2070th%20Anniversary%20Logo%20Patch%20Series%201%20Reds&amp;_sacat=0&amp;LH_Sold=1&amp;LH_Complete=1&amp;_sop=13", "Completed")</f>
        <v/>
      </c>
      <c r="K688" s="11" t="inlineStr">
        <is>
          <t>Topps 2021 Series 1 Johnny Bench Reds 70th Anniversary Logo Patch 70LP-JB</t>
        </is>
      </c>
    </row>
    <row r="689">
      <c r="A689" s="2" t="inlineStr">
        <is>
          <t>BBA-000100-00016-89776</t>
        </is>
      </c>
      <c r="B689" s="2" t="inlineStr">
        <is>
          <t>2025-26 Topps Chrome JEREMIAH FEARS #257 RC Pelicans Rookie Basketball</t>
        </is>
      </c>
      <c r="C689" s="3" t="n">
        <v>2.99</v>
      </c>
      <c r="D689" s="3" t="n">
        <v>2.49</v>
      </c>
      <c r="E689" s="3" t="n">
        <v>-0.5</v>
      </c>
      <c r="F689" s="4" t="n">
        <v>-16.7</v>
      </c>
      <c r="G689" s="2" t="inlineStr">
        <is>
          <t>🔵 Floored $2.49 — free ship or $0.99 ship?</t>
        </is>
      </c>
      <c r="H689" s="2" t="inlineStr">
        <is>
          <t>86%</t>
        </is>
      </c>
      <c r="I689" s="2">
        <f>HYPERLINK("https://www.ebay.com/sch/261328/i.html?_dcat=261328&amp;_fsrp=1&amp;rt=nc&amp;_from=R40&amp;_nkw=2025-26%20Topps%20Chrome%20JEREMIAH%20FEARS%20%23257%20RC%20Pelicans%20Rookie%20Basketball&amp;_sacat=0&amp;_sop=15&amp;rt=nc&amp;LH_BIN=1", "Active")</f>
        <v/>
      </c>
      <c r="J689" s="2">
        <f>HYPERLINK("https://www.ebay.com/sch/261328/i.html?_from=R40&amp;_nkw=2025-26%20Topps%20Chrome%20JEREMIAH%20FEARS%20%23257%20RC%20Pelicans%20Rookie%20Basketball&amp;_sacat=0&amp;LH_Sold=1&amp;LH_Complete=1&amp;_sop=13", "Completed")</f>
        <v/>
      </c>
      <c r="K689" s="2" t="inlineStr">
        <is>
          <t>2025-26 Topps Chrome Jeremiah Fears #257 (RC) New Orleans Pelicans</t>
        </is>
      </c>
    </row>
    <row r="690">
      <c r="A690" s="5" t="inlineStr">
        <is>
          <t>BBA-000100-00003-87874</t>
        </is>
      </c>
      <c r="B690" s="5" t="inlineStr">
        <is>
          <t>2025 Bowman Draft MATTHEW MIURA #BD-57 Sky Blue Border /499 1st Prospect</t>
        </is>
      </c>
      <c r="C690" s="6" t="n">
        <v>4.99</v>
      </c>
      <c r="D690" s="6" t="n">
        <v>5.79</v>
      </c>
      <c r="E690" s="6" t="n">
        <v>0.8</v>
      </c>
      <c r="F690" s="7" t="n">
        <v>16</v>
      </c>
      <c r="G690" s="5" t="inlineStr">
        <is>
          <t>⬆ Price Up</t>
        </is>
      </c>
      <c r="H690" s="5" t="inlineStr">
        <is>
          <t>100%</t>
        </is>
      </c>
      <c r="I690" s="5">
        <f>HYPERLINK("https://www.ebay.com/sch/261328/i.html?_dcat=261328&amp;_fsrp=1&amp;rt=nc&amp;_from=R40&amp;_nkw=2025%20Bowman%20Draft%20MATTHEW%20MIURA%20%23BD-57%20Sky%20Blue%20Border%20%2F499%201st%20Prospect&amp;_sacat=0&amp;_sop=15&amp;rt=nc&amp;LH_BIN=1", "Active")</f>
        <v/>
      </c>
      <c r="J690" s="5">
        <f>HYPERLINK("https://www.ebay.com/sch/261328/i.html?_from=R40&amp;_nkw=2025%20Bowman%20Draft%20MATTHEW%20MIURA%20%23BD-57%20Sky%20Blue%20Border%20%2F499%201st%20Prospect&amp;_sacat=0&amp;LH_Sold=1&amp;LH_Complete=1&amp;_sop=13", "Completed")</f>
        <v/>
      </c>
      <c r="K690" s="5" t="inlineStr">
        <is>
          <t>2025 Bowman Draft MATTHEW MIURA #BD-57 Sky Blue Border /499 1st Prospect</t>
        </is>
      </c>
    </row>
    <row r="691">
      <c r="A691" s="2" t="inlineStr">
        <is>
          <t>BBA-000100-00017-33342</t>
        </is>
      </c>
      <c r="B691" s="2" t="inlineStr">
        <is>
          <t>2025-26 Topps Chrome JEREMIAH FEARS #D-7 Destiny RC Pelicans Rookie Basketball</t>
        </is>
      </c>
      <c r="C691" s="3" t="n">
        <v>2.99</v>
      </c>
      <c r="D691" s="3" t="n">
        <v>2.49</v>
      </c>
      <c r="E691" s="3" t="n">
        <v>-0.5</v>
      </c>
      <c r="F691" s="4" t="n">
        <v>-16.7</v>
      </c>
      <c r="G691" s="2" t="inlineStr">
        <is>
          <t>🔵 Floored $2.49 — free ship or $0.99 ship?</t>
        </is>
      </c>
      <c r="H691" s="2" t="inlineStr">
        <is>
          <t>86%</t>
        </is>
      </c>
      <c r="I691" s="2">
        <f>HYPERLINK("https://www.ebay.com/sch/261328/i.html?_dcat=261328&amp;_fsrp=1&amp;rt=nc&amp;_from=R40&amp;_nkw=2025-26%20Topps%20Chrome%20JEREMIAH%20FEARS%20%23D-7%20Destiny%20RC%20Pelicans%20Rookie%20Basketball&amp;_sacat=0&amp;_sop=15&amp;rt=nc&amp;LH_BIN=1", "Active")</f>
        <v/>
      </c>
      <c r="J691" s="2">
        <f>HYPERLINK("https://www.ebay.com/sch/261328/i.html?_from=R40&amp;_nkw=2025-26%20Topps%20Chrome%20JEREMIAH%20FEARS%20%23D-7%20Destiny%20RC%20Pelicans%20Rookie%20Basketball&amp;_sacat=0&amp;LH_Sold=1&amp;LH_Complete=1&amp;_sop=13", "Completed")</f>
        <v/>
      </c>
      <c r="K691" s="2" t="inlineStr">
        <is>
          <t>2025-26 Topps Chrome Jeremiah Fears - Destiny #D-7 (RC) New Orleans Pelicans</t>
        </is>
      </c>
    </row>
    <row r="692">
      <c r="A692" s="2" t="inlineStr">
        <is>
          <t>BBA-000100-00010-19905</t>
        </is>
      </c>
      <c r="B692" s="2" t="inlineStr">
        <is>
          <t>2026 Topps NICK KURTZ #97 Athletics</t>
        </is>
      </c>
      <c r="C692" s="3" t="n">
        <v>4.49</v>
      </c>
      <c r="D692" s="3" t="n">
        <v>2.49</v>
      </c>
      <c r="E692" s="3" t="n">
        <v>-2</v>
      </c>
      <c r="F692" s="4" t="n">
        <v>-44.5</v>
      </c>
      <c r="G692" s="2" t="inlineStr">
        <is>
          <t>🔵 Floored $2.49 — free ship or $0.99 ship?</t>
        </is>
      </c>
      <c r="H692" s="2" t="inlineStr">
        <is>
          <t>84%</t>
        </is>
      </c>
      <c r="I692" s="2">
        <f>HYPERLINK("https://www.ebay.com/sch/261328/i.html?_dcat=261328&amp;_fsrp=1&amp;rt=nc&amp;_from=R40&amp;_nkw=2026%20Topps%20NICK%20KURTZ%20%2397%20Athletics&amp;_sacat=0&amp;_sop=15&amp;rt=nc&amp;LH_BIN=1", "Active")</f>
        <v/>
      </c>
      <c r="J692" s="2">
        <f>HYPERLINK("https://www.ebay.com/sch/261328/i.html?_from=R40&amp;_nkw=2026%20Topps%20NICK%20KURTZ%20%2397%20Athletics&amp;_sacat=0&amp;LH_Sold=1&amp;LH_Complete=1&amp;_sop=13", "Completed")</f>
        <v/>
      </c>
      <c r="K692" s="2" t="inlineStr">
        <is>
          <t>2026 Topps #97 Nick Kurtz</t>
        </is>
      </c>
    </row>
    <row r="693">
      <c r="A693" s="2" t="inlineStr">
        <is>
          <t>BBA-000100-00005-84502</t>
        </is>
      </c>
      <c r="B693" s="2" t="inlineStr">
        <is>
          <t>2026 Topps PAUL SKENES #TOG-14 Titans Of The Game Pirates Football</t>
        </is>
      </c>
      <c r="C693" s="3" t="n">
        <v>3.49</v>
      </c>
      <c r="D693" s="3" t="n">
        <v>2.49</v>
      </c>
      <c r="E693" s="3" t="n">
        <v>-1</v>
      </c>
      <c r="F693" s="4" t="n">
        <v>-28.7</v>
      </c>
      <c r="G693" s="2" t="inlineStr">
        <is>
          <t>🔵 Floored $2.49 — free ship or $0.99 ship?</t>
        </is>
      </c>
      <c r="H693" s="2" t="inlineStr">
        <is>
          <t>84%</t>
        </is>
      </c>
      <c r="I693" s="2">
        <f>HYPERLINK("https://www.ebay.com/sch/261328/i.html?_dcat=261328&amp;_fsrp=1&amp;rt=nc&amp;_from=R40&amp;_nkw=2026%20Topps%20PAUL%20SKENES%20%23TOG-14%20Titans%20Of%20The%20Game%20Pirates%20Football&amp;_sacat=0&amp;_sop=15&amp;rt=nc&amp;LH_BIN=1", "Active")</f>
        <v/>
      </c>
      <c r="J693" s="2">
        <f>HYPERLINK("https://www.ebay.com/sch/261328/i.html?_from=R40&amp;_nkw=2026%20Topps%20PAUL%20SKENES%20%23TOG-14%20Titans%20Of%20The%20Game%20Pirates%20Football&amp;_sacat=0&amp;LH_Sold=1&amp;LH_Complete=1&amp;_sop=13", "Completed")</f>
        <v/>
      </c>
      <c r="K693" s="2" t="inlineStr">
        <is>
          <t>2026 Topps Series 1 - Paul Skenes - Titans of the Game #TOG-14 - Pirates</t>
        </is>
      </c>
    </row>
    <row r="694">
      <c r="A694" s="5" t="inlineStr">
        <is>
          <t>BBA-000100-00019-89864</t>
        </is>
      </c>
      <c r="B694" s="5" t="inlineStr">
        <is>
          <t>2024 Bowman Draft NICK KURTZ #BIA-3 In Action Mini Diamond Refractor /150 READ</t>
        </is>
      </c>
      <c r="C694" s="6" t="n">
        <v>31.19</v>
      </c>
      <c r="D694" s="6" t="n">
        <v>39.19</v>
      </c>
      <c r="E694" s="6" t="n">
        <v>8</v>
      </c>
      <c r="F694" s="7" t="n">
        <v>25.6</v>
      </c>
      <c r="G694" s="5" t="inlineStr">
        <is>
          <t>⬆ Price Up</t>
        </is>
      </c>
      <c r="H694" s="5" t="inlineStr">
        <is>
          <t>100%</t>
        </is>
      </c>
      <c r="I694" s="5">
        <f>HYPERLINK("https://www.ebay.com/sch/261328/i.html?_dcat=261328&amp;_fsrp=1&amp;rt=nc&amp;_from=R40&amp;_nkw=2024%20Bowman%20Draft%20NICK%20KURTZ%20%23BIA-3%20In%20Action%20Mini%20Diamond%20Refractor%20%2F150%20READ&amp;_sacat=0&amp;_sop=15&amp;rt=nc&amp;LH_BIN=1", "Active")</f>
        <v/>
      </c>
      <c r="J694" s="5">
        <f>HYPERLINK("https://www.ebay.com/sch/261328/i.html?_from=R40&amp;_nkw=2024%20Bowman%20Draft%20NICK%20KURTZ%20%23BIA-3%20In%20Action%20Mini%20Diamond%20Refractor%20%2F150%20READ&amp;_sacat=0&amp;LH_Sold=1&amp;LH_Complete=1&amp;_sop=13", "Completed")</f>
        <v/>
      </c>
      <c r="K694" s="5" t="inlineStr">
        <is>
          <t>2024 Bowman Draft NICK KURTZ #BIA-3 In Action Mini Diamond Refractor /150 READ</t>
        </is>
      </c>
    </row>
    <row r="695">
      <c r="A695" s="5" t="inlineStr">
        <is>
          <t>BBB-000291-undee</t>
        </is>
      </c>
      <c r="B695" s="5" t="inlineStr">
        <is>
          <t>NOLAN SAILORS 2025 Bowman Draft #BDC-86 1st Chrome Sapphire Refractor</t>
        </is>
      </c>
      <c r="C695" s="6" t="n">
        <v>8.19</v>
      </c>
      <c r="D695" s="6" t="n">
        <v>8.890000000000001</v>
      </c>
      <c r="E695" s="6" t="n">
        <v>0.7</v>
      </c>
      <c r="F695" s="7" t="n">
        <v>8.5</v>
      </c>
      <c r="G695" s="5" t="inlineStr">
        <is>
          <t>⬆ Price Up</t>
        </is>
      </c>
      <c r="H695" s="5" t="inlineStr">
        <is>
          <t>100%</t>
        </is>
      </c>
      <c r="I695" s="5">
        <f>HYPERLINK("https://www.ebay.com/sch/261328/i.html?_dcat=261328&amp;_fsrp=1&amp;rt=nc&amp;_from=R40&amp;_nkw=NOLAN%20SAILORS%202025%20Bowman%20Draft%20%23BDC-86%201st%20Chrome%20Sapphire%20Refractor&amp;_sacat=0&amp;_sop=15&amp;rt=nc&amp;LH_BIN=1", "Active")</f>
        <v/>
      </c>
      <c r="J695" s="5">
        <f>HYPERLINK("https://www.ebay.com/sch/261328/i.html?_from=R40&amp;_nkw=NOLAN%20SAILORS%202025%20Bowman%20Draft%20%23BDC-86%201st%20Chrome%20Sapphire%20Refractor&amp;_sacat=0&amp;LH_Sold=1&amp;LH_Complete=1&amp;_sop=13", "Completed")</f>
        <v/>
      </c>
      <c r="K695" s="5" t="inlineStr">
        <is>
          <t>NOLAN SAILORS 2025 Bowman Draft #BDC-86 1st Chrome Sapphire Refractor</t>
        </is>
      </c>
    </row>
    <row r="696">
      <c r="A696" s="2" t="inlineStr">
        <is>
          <t>BBB-000296-undep</t>
        </is>
      </c>
      <c r="B696" s="2" t="inlineStr">
        <is>
          <t>2024 Bowman Draft Sapphire Edition TANNER JONES #BDC-195 Kansas City Royals</t>
        </is>
      </c>
      <c r="C696" s="3" t="n">
        <v>3.49</v>
      </c>
      <c r="D696" s="3" t="n">
        <v>2.49</v>
      </c>
      <c r="E696" s="3" t="n">
        <v>-1</v>
      </c>
      <c r="F696" s="4" t="n">
        <v>-28.7</v>
      </c>
      <c r="G696" s="2" t="inlineStr">
        <is>
          <t>🔵 Floored $2.49 — free ship or $0.99 ship?</t>
        </is>
      </c>
      <c r="H696" s="2" t="inlineStr">
        <is>
          <t>69%</t>
        </is>
      </c>
      <c r="I696" s="2">
        <f>HYPERLINK("https://www.ebay.com/sch/261328/i.html?_dcat=261328&amp;_fsrp=1&amp;rt=nc&amp;_from=R40&amp;_nkw=2024%20Bowman%20Draft%20Sapphire%20Edition%20TANNER%20JONES%20%23BDC-195%20Kansas%20City%20Royals&amp;_sacat=0&amp;_sop=15&amp;rt=nc&amp;LH_BIN=1", "Active")</f>
        <v/>
      </c>
      <c r="J696" s="2">
        <f>HYPERLINK("https://www.ebay.com/sch/261328/i.html?_from=R40&amp;_nkw=2024%20Bowman%20Draft%20Sapphire%20Edition%20TANNER%20JONES%20%23BDC-195%20Kansas%20City%20Royals&amp;_sacat=0&amp;LH_Sold=1&amp;LH_Complete=1&amp;_sop=13", "Completed")</f>
        <v/>
      </c>
      <c r="K696" s="2" t="inlineStr">
        <is>
          <t>2024 Bowman Draft Sapphire Edition #BDC-1 - BDC-200 You Pick Complete Your Set!</t>
        </is>
      </c>
    </row>
    <row r="697">
      <c r="A697" s="5" t="inlineStr">
        <is>
          <t>BBB-000293-undei</t>
        </is>
      </c>
      <c r="B697" s="5" t="inlineStr">
        <is>
          <t>2025 Bowman Draft #BDC-46 Trevor Cohen Sapphire</t>
        </is>
      </c>
      <c r="C697" s="6" t="n">
        <v>2.51</v>
      </c>
      <c r="D697" s="6" t="n">
        <v>3.39</v>
      </c>
      <c r="E697" s="6" t="n">
        <v>0.88</v>
      </c>
      <c r="F697" s="7" t="n">
        <v>35.1</v>
      </c>
      <c r="G697" s="5" t="inlineStr">
        <is>
          <t>⬆ Price Up</t>
        </is>
      </c>
      <c r="H697" s="5" t="inlineStr">
        <is>
          <t>100%</t>
        </is>
      </c>
      <c r="I697" s="5">
        <f>HYPERLINK("https://www.ebay.com/sch/261328/i.html?_dcat=261328&amp;_fsrp=1&amp;rt=nc&amp;_from=R40&amp;_nkw=2025%20Bowman%20Draft%20%23BDC-46%20Trevor%20Cohen%20Sapphire&amp;_sacat=0&amp;_sop=15&amp;rt=nc&amp;LH_BIN=1", "Active")</f>
        <v/>
      </c>
      <c r="J697" s="5">
        <f>HYPERLINK("https://www.ebay.com/sch/261328/i.html?_from=R40&amp;_nkw=2025%20Bowman%20Draft%20%23BDC-46%20Trevor%20Cohen%20Sapphire&amp;_sacat=0&amp;LH_Sold=1&amp;LH_Complete=1&amp;_sop=13", "Completed")</f>
        <v/>
      </c>
      <c r="K697" s="5" t="inlineStr">
        <is>
          <t>2025 Bowman Draft #BDC-46 Trevor Cohen Sapphire</t>
        </is>
      </c>
    </row>
    <row r="698">
      <c r="A698" s="5" t="inlineStr">
        <is>
          <t>BBB-000292-undeg</t>
        </is>
      </c>
      <c r="B698" s="5" t="inlineStr">
        <is>
          <t>2025 Bowman Draft TREVOR COHEN #BDC-46 Chrome San Francisco Giants Football</t>
        </is>
      </c>
      <c r="C698" s="6" t="n">
        <v>4.99</v>
      </c>
      <c r="D698" s="6" t="n">
        <v>5.79</v>
      </c>
      <c r="E698" s="6" t="n">
        <v>0.8</v>
      </c>
      <c r="F698" s="7" t="n">
        <v>16</v>
      </c>
      <c r="G698" s="5" t="inlineStr">
        <is>
          <t>⬆ Price Up</t>
        </is>
      </c>
      <c r="H698" s="5" t="inlineStr">
        <is>
          <t>100%</t>
        </is>
      </c>
      <c r="I698" s="5">
        <f>HYPERLINK("https://www.ebay.com/sch/261328/i.html?_dcat=261328&amp;_fsrp=1&amp;rt=nc&amp;_from=R40&amp;_nkw=2025%20Bowman%20Draft%20TREVOR%20COHEN%20%23BDC-46%20Chrome%20San%20Francisco%20Giants%20Football&amp;_sacat=0&amp;_sop=15&amp;rt=nc&amp;LH_BIN=1", "Active")</f>
        <v/>
      </c>
      <c r="J698" s="5">
        <f>HYPERLINK("https://www.ebay.com/sch/261328/i.html?_from=R40&amp;_nkw=2025%20Bowman%20Draft%20TREVOR%20COHEN%20%23BDC-46%20Chrome%20San%20Francisco%20Giants%20Football&amp;_sacat=0&amp;LH_Sold=1&amp;LH_Complete=1&amp;_sop=13", "Completed")</f>
        <v/>
      </c>
      <c r="K698" s="5" t="inlineStr">
        <is>
          <t>2025 Bowman Draft TREVOR COHEN #BDC-46 Chrome San Francisco Giants Football</t>
        </is>
      </c>
    </row>
    <row r="699">
      <c r="A699" s="2" t="inlineStr">
        <is>
          <t>BBB-000290-undec</t>
        </is>
      </c>
      <c r="B699" s="2" t="inlineStr">
        <is>
          <t>2024 Bowman Draft Sapphire Edition CHRIS CORTEZ #BDC-77 Los Angeles Angels</t>
        </is>
      </c>
      <c r="C699" s="3" t="n">
        <v>3.49</v>
      </c>
      <c r="D699" s="3" t="n">
        <v>2.49</v>
      </c>
      <c r="E699" s="3" t="n">
        <v>-1</v>
      </c>
      <c r="F699" s="4" t="n">
        <v>-28.7</v>
      </c>
      <c r="G699" s="2" t="inlineStr">
        <is>
          <t>🔵 Floored $2.49 — free ship or $0.99 ship?</t>
        </is>
      </c>
      <c r="H699" s="2" t="inlineStr">
        <is>
          <t>88%</t>
        </is>
      </c>
      <c r="I699" s="2">
        <f>HYPERLINK("https://www.ebay.com/sch/261328/i.html?_dcat=261328&amp;_fsrp=1&amp;rt=nc&amp;_from=R40&amp;_nkw=2024%20Bowman%20Draft%20Sapphire%20Edition%20CHRIS%20CORTEZ%20%23BDC-77%20Los%20Angeles%20Angels&amp;_sacat=0&amp;_sop=15&amp;rt=nc&amp;LH_BIN=1", "Active")</f>
        <v/>
      </c>
      <c r="J699" s="2">
        <f>HYPERLINK("https://www.ebay.com/sch/261328/i.html?_from=R40&amp;_nkw=2024%20Bowman%20Draft%20Sapphire%20Edition%20CHRIS%20CORTEZ%20%23BDC-77%20Los%20Angeles%20Angels&amp;_sacat=0&amp;LH_Sold=1&amp;LH_Complete=1&amp;_sop=13", "Completed")</f>
        <v/>
      </c>
      <c r="K699" s="2" t="inlineStr">
        <is>
          <t>2024 Bowman Draft Chrome Chris Cortez Sapphire Edition BDC77 Los Angeles Angels</t>
        </is>
      </c>
    </row>
    <row r="700">
      <c r="A700" s="2" t="inlineStr">
        <is>
          <t>BBB-000288-unde9</t>
        </is>
      </c>
      <c r="B700" s="2" t="inlineStr">
        <is>
          <t>2024 Bowman Draft Sapphire Edition L.P. LANGEVIN #BDC-183 Kansas City Royals</t>
        </is>
      </c>
      <c r="C700" s="3" t="n">
        <v>3.49</v>
      </c>
      <c r="D700" s="3" t="n">
        <v>2.49</v>
      </c>
      <c r="E700" s="3" t="n">
        <v>-1</v>
      </c>
      <c r="F700" s="4" t="n">
        <v>-28.7</v>
      </c>
      <c r="G700" s="2" t="inlineStr">
        <is>
          <t>🔵 Floored $2.49 — free ship or $0.99 ship?</t>
        </is>
      </c>
      <c r="H700" s="2" t="inlineStr">
        <is>
          <t>67%</t>
        </is>
      </c>
      <c r="I700" s="2">
        <f>HYPERLINK("https://www.ebay.com/sch/261328/i.html?_dcat=261328&amp;_fsrp=1&amp;rt=nc&amp;_from=R40&amp;_nkw=2024%20Bowman%20Draft%20Sapphire%20Edition%20L.P.%20LANGEVIN%20%23BDC-183%20Kansas%20City%20Royals&amp;_sacat=0&amp;_sop=15&amp;rt=nc&amp;LH_BIN=1", "Active")</f>
        <v/>
      </c>
      <c r="J700" s="2">
        <f>HYPERLINK("https://www.ebay.com/sch/261328/i.html?_from=R40&amp;_nkw=2024%20Bowman%20Draft%20Sapphire%20Edition%20L.P.%20LANGEVIN%20%23BDC-183%20Kansas%20City%20Royals&amp;_sacat=0&amp;LH_Sold=1&amp;LH_Complete=1&amp;_sop=13", "Completed")</f>
        <v/>
      </c>
      <c r="K700" s="2" t="inlineStr">
        <is>
          <t>2024 Bowman Draft Sapphire Edition #BDC-1 - BDC-200 You Pick Complete Your Set!</t>
        </is>
      </c>
    </row>
    <row r="701">
      <c r="A701" s="5" t="inlineStr">
        <is>
          <t>BBB-000295a-undem</t>
        </is>
      </c>
      <c r="B701" s="5" t="inlineStr">
        <is>
          <t>2025 Bowman Draft #BDC-66 Mason Morris sapphire Reds</t>
        </is>
      </c>
      <c r="C701" s="6" t="n">
        <v>2</v>
      </c>
      <c r="D701" s="6" t="n">
        <v>2.89</v>
      </c>
      <c r="E701" s="6" t="n">
        <v>0.89</v>
      </c>
      <c r="F701" s="7" t="n">
        <v>44.5</v>
      </c>
      <c r="G701" s="5" t="inlineStr">
        <is>
          <t>⬆ Price Up</t>
        </is>
      </c>
      <c r="H701" s="5" t="inlineStr">
        <is>
          <t>100%</t>
        </is>
      </c>
      <c r="I701" s="5">
        <f>HYPERLINK("https://www.ebay.com/sch/261328/i.html?_dcat=261328&amp;_fsrp=1&amp;rt=nc&amp;_from=R40&amp;_nkw=2025%20Bowman%20Draft%20%23BDC-66%20Mason%20Morris%20sapphire%20Reds&amp;_sacat=0&amp;_sop=15&amp;rt=nc&amp;LH_BIN=1", "Active")</f>
        <v/>
      </c>
      <c r="J701" s="5">
        <f>HYPERLINK("https://www.ebay.com/sch/261328/i.html?_from=R40&amp;_nkw=2025%20Bowman%20Draft%20%23BDC-66%20Mason%20Morris%20sapphire%20Reds&amp;_sacat=0&amp;LH_Sold=1&amp;LH_Complete=1&amp;_sop=13", "Completed")</f>
        <v/>
      </c>
      <c r="K701" s="5" t="inlineStr">
        <is>
          <t>2025 Bowman Draft #BDC-66 Mason Morris sapphire Reds</t>
        </is>
      </c>
    </row>
    <row r="702">
      <c r="A702" s="11" t="inlineStr">
        <is>
          <t>BBA-000100-00011-11439</t>
        </is>
      </c>
      <c r="B702" s="11" t="inlineStr">
        <is>
          <t>2025 Panini Prizm Draft PICKS EMEKA EGBUKA #85 Gold Ice RC Buckeyes Rookie</t>
        </is>
      </c>
      <c r="C702" s="12" t="n">
        <v>4.99</v>
      </c>
      <c r="D702" s="12" t="n">
        <v>4.39</v>
      </c>
      <c r="E702" s="12" t="n">
        <v>-0.6</v>
      </c>
      <c r="F702" s="13" t="n">
        <v>-12</v>
      </c>
      <c r="G702" s="11" t="inlineStr">
        <is>
          <t>⬇ Price Down</t>
        </is>
      </c>
      <c r="H702" s="11" t="inlineStr">
        <is>
          <t>87%</t>
        </is>
      </c>
      <c r="I702" s="11">
        <f>HYPERLINK("https://www.ebay.com/sch/261328/i.html?_dcat=261328&amp;_fsrp=1&amp;rt=nc&amp;_from=R40&amp;_nkw=2025%20Panini%20Prizm%20Draft%20PICKS%20EMEKA%20EGBUKA%20%2385%20Gold%20Ice%20RC%20Buckeyes%20Rookie&amp;_sacat=0&amp;_sop=15&amp;rt=nc&amp;LH_BIN=1", "Active")</f>
        <v/>
      </c>
      <c r="J702" s="11">
        <f>HYPERLINK("https://www.ebay.com/sch/261328/i.html?_from=R40&amp;_nkw=2025%20Panini%20Prizm%20Draft%20PICKS%20EMEKA%20EGBUKA%20%2385%20Gold%20Ice%20RC%20Buckeyes%20Rookie&amp;_sacat=0&amp;LH_Sold=1&amp;LH_Complete=1&amp;_sop=13", "Completed")</f>
        <v/>
      </c>
      <c r="K702" s="11" t="inlineStr">
        <is>
          <t>2025 Prizm Draft Picks #85 Emeka Egbuka Prizm Gold Ice RC Ohio State Buckeyes</t>
        </is>
      </c>
    </row>
    <row r="703">
      <c r="A703" s="2" t="inlineStr">
        <is>
          <t>BBA-000100-00009-52597</t>
        </is>
      </c>
      <c r="B703" s="2" t="inlineStr">
        <is>
          <t>2025-26 Topps Chrome JEREMIAH FEARS #YQ-7 Youthquake RC Pelicans Rookie</t>
        </is>
      </c>
      <c r="C703" s="3" t="n">
        <v>2.99</v>
      </c>
      <c r="D703" s="3" t="n">
        <v>2.49</v>
      </c>
      <c r="E703" s="3" t="n">
        <v>-0.5</v>
      </c>
      <c r="F703" s="4" t="n">
        <v>-16.7</v>
      </c>
      <c r="G703" s="2" t="inlineStr">
        <is>
          <t>🔵 Floored $2.49 — free ship or $0.99 ship?</t>
        </is>
      </c>
      <c r="H703" s="2" t="inlineStr">
        <is>
          <t>86%</t>
        </is>
      </c>
      <c r="I703" s="2">
        <f>HYPERLINK("https://www.ebay.com/sch/261328/i.html?_dcat=261328&amp;_fsrp=1&amp;rt=nc&amp;_from=R40&amp;_nkw=2025-26%20Topps%20Chrome%20JEREMIAH%20FEARS%20%23YQ-7%20Youthquake%20RC%20Pelicans%20Rookie&amp;_sacat=0&amp;_sop=15&amp;rt=nc&amp;LH_BIN=1", "Active")</f>
        <v/>
      </c>
      <c r="J703" s="2">
        <f>HYPERLINK("https://www.ebay.com/sch/261328/i.html?_from=R40&amp;_nkw=2025-26%20Topps%20Chrome%20JEREMIAH%20FEARS%20%23YQ-7%20Youthquake%20RC%20Pelicans%20Rookie&amp;_sacat=0&amp;LH_Sold=1&amp;LH_Complete=1&amp;_sop=13", "Completed")</f>
        <v/>
      </c>
      <c r="K703" s="2" t="inlineStr">
        <is>
          <t>2025-26 Topps Chrome Jeremiah Fears - Youthquake #YQ-7 (RC) New Orleans Pelicans</t>
        </is>
      </c>
    </row>
    <row r="704">
      <c r="A704" s="2" t="inlineStr">
        <is>
          <t>BBA-000100-00004-11727</t>
        </is>
      </c>
      <c r="B704" s="2" t="inlineStr">
        <is>
          <t>2026 Topps JOSE SORIANO #319 Sandglitter Angels</t>
        </is>
      </c>
      <c r="C704" s="3" t="n">
        <v>3.49</v>
      </c>
      <c r="D704" s="3" t="n">
        <v>2.49</v>
      </c>
      <c r="E704" s="3" t="n">
        <v>-1</v>
      </c>
      <c r="F704" s="4" t="n">
        <v>-28.7</v>
      </c>
      <c r="G704" s="2" t="inlineStr">
        <is>
          <t>🔵 Floored $2.49 — free ship or $0.99 ship?</t>
        </is>
      </c>
      <c r="H704" s="2" t="inlineStr">
        <is>
          <t>88%</t>
        </is>
      </c>
      <c r="I704" s="2">
        <f>HYPERLINK("https://www.ebay.com/sch/261328/i.html?_dcat=261328&amp;_fsrp=1&amp;rt=nc&amp;_from=R40&amp;_nkw=2026%20Topps%20JOSE%20SORIANO%20%23319%20Sandglitter%20Angels&amp;_sacat=0&amp;_sop=15&amp;rt=nc&amp;LH_BIN=1", "Active")</f>
        <v/>
      </c>
      <c r="J704" s="2">
        <f>HYPERLINK("https://www.ebay.com/sch/261328/i.html?_from=R40&amp;_nkw=2026%20Topps%20JOSE%20SORIANO%20%23319%20Sandglitter%20Angels&amp;_sacat=0&amp;LH_Sold=1&amp;LH_Complete=1&amp;_sop=13", "Completed")</f>
        <v/>
      </c>
      <c r="K704" s="2" t="inlineStr">
        <is>
          <t>2026 Topps - Jose Soriano #319 Sandglitter - Angels</t>
        </is>
      </c>
    </row>
    <row r="705">
      <c r="A705" t="inlineStr">
        <is>
          <t>BBA-000100-00007-96828</t>
        </is>
      </c>
      <c r="B705" t="inlineStr">
        <is>
          <t>2026 Topps ELLY DE LA CRUZ #150 Reds</t>
        </is>
      </c>
      <c r="C705" s="14" t="n">
        <v>2.99</v>
      </c>
      <c r="D705" s="14" t="n"/>
      <c r="E705" s="14" t="inlineStr"/>
      <c r="F705" s="15" t="inlineStr"/>
      <c r="G705" t="inlineStr">
        <is>
          <t>? No price data</t>
        </is>
      </c>
      <c r="H705" t="inlineStr">
        <is>
          <t>59%</t>
        </is>
      </c>
      <c r="I705">
        <f>HYPERLINK("https://www.ebay.com/sch/261328/i.html?_dcat=261328&amp;_fsrp=1&amp;rt=nc&amp;_from=R40&amp;_nkw=2026%20Topps%20ELLY%20DE%20LA%20CRUZ%20%23150%20Reds&amp;_sacat=0&amp;_sop=15&amp;rt=nc&amp;LH_BIN=1", "Active")</f>
        <v/>
      </c>
      <c r="J705">
        <f>HYPERLINK("https://www.ebay.com/sch/261328/i.html?_from=R40&amp;_nkw=2026%20Topps%20ELLY%20DE%20LA%20CRUZ%20%23150%20Reds&amp;_sacat=0&amp;LH_Sold=1&amp;LH_Complete=1&amp;_sop=13", "Completed")</f>
        <v/>
      </c>
      <c r="K705" t="inlineStr">
        <is>
          <t>2026 Topps Series 1 Base Card Singles #1 - 175 - You Pick - Complete Your Set</t>
        </is>
      </c>
    </row>
    <row r="706">
      <c r="A706" s="11" t="inlineStr">
        <is>
          <t>BBA-000100-00010-84681</t>
        </is>
      </c>
      <c r="B706" s="11" t="inlineStr">
        <is>
          <t>2025 Panini Prizm Draft PICKS WILL HOWARD #83 Gold Ice RC Buckeyes Rookie</t>
        </is>
      </c>
      <c r="C706" s="12" t="n">
        <v>4.49</v>
      </c>
      <c r="D706" s="12" t="n">
        <v>4.39</v>
      </c>
      <c r="E706" s="12" t="n">
        <v>-0.1</v>
      </c>
      <c r="F706" s="13" t="n">
        <v>-2.2</v>
      </c>
      <c r="G706" s="11" t="inlineStr">
        <is>
          <t>⬇ Price Down</t>
        </is>
      </c>
      <c r="H706" s="11" t="inlineStr">
        <is>
          <t>86%</t>
        </is>
      </c>
      <c r="I706" s="11">
        <f>HYPERLINK("https://www.ebay.com/sch/261328/i.html?_dcat=261328&amp;_fsrp=1&amp;rt=nc&amp;_from=R40&amp;_nkw=2025%20Panini%20Prizm%20Draft%20PICKS%20WILL%20HOWARD%20%2383%20Gold%20Ice%20RC%20Buckeyes%20Rookie&amp;_sacat=0&amp;_sop=15&amp;rt=nc&amp;LH_BIN=1", "Active")</f>
        <v/>
      </c>
      <c r="J706" s="11">
        <f>HYPERLINK("https://www.ebay.com/sch/261328/i.html?_from=R40&amp;_nkw=2025%20Panini%20Prizm%20Draft%20PICKS%20WILL%20HOWARD%20%2383%20Gold%20Ice%20RC%20Buckeyes%20Rookie&amp;_sacat=0&amp;LH_Sold=1&amp;LH_Complete=1&amp;_sop=13", "Completed")</f>
        <v/>
      </c>
      <c r="K706" s="11" t="inlineStr">
        <is>
          <t>2025 Prizm Draft Picks Will Howard #83 Gold Ice Prizm RC Ohio State Buckeyes OSU</t>
        </is>
      </c>
    </row>
    <row r="707">
      <c r="A707" s="2" t="inlineStr">
        <is>
          <t>BBA-000100-00006-42991</t>
        </is>
      </c>
      <c r="B707" s="2" t="inlineStr">
        <is>
          <t>2025-26 Topps Finest CAM THOMAS #25 Common Nets Basketball</t>
        </is>
      </c>
      <c r="C707" s="3" t="n">
        <v>2.99</v>
      </c>
      <c r="D707" s="3" t="n">
        <v>2.49</v>
      </c>
      <c r="E707" s="3" t="n">
        <v>-0.5</v>
      </c>
      <c r="F707" s="4" t="n">
        <v>-16.7</v>
      </c>
      <c r="G707" s="2" t="inlineStr">
        <is>
          <t>🔵 Floored $2.49 — free ship or $0.99 ship?</t>
        </is>
      </c>
      <c r="H707" s="2" t="inlineStr">
        <is>
          <t>86%</t>
        </is>
      </c>
      <c r="I707" s="2">
        <f>HYPERLINK("https://www.ebay.com/sch/261328/i.html?_dcat=261328&amp;_fsrp=1&amp;rt=nc&amp;_from=R40&amp;_nkw=2025-26%20Topps%20Finest%20CAM%20THOMAS%20%2325%20Common%20Nets%20Basketball&amp;_sacat=0&amp;_sop=15&amp;rt=nc&amp;LH_BIN=1", "Active")</f>
        <v/>
      </c>
      <c r="J707" s="2">
        <f>HYPERLINK("https://www.ebay.com/sch/261328/i.html?_from=R40&amp;_nkw=2025-26%20Topps%20Finest%20CAM%20THOMAS%20%2325%20Common%20Nets%20Basketball&amp;_sacat=0&amp;LH_Sold=1&amp;LH_Complete=1&amp;_sop=13", "Completed")</f>
        <v/>
      </c>
      <c r="K707" s="2" t="inlineStr">
        <is>
          <t>2025-26 Topps Finest Cam Thomas #25 Common Nets</t>
        </is>
      </c>
    </row>
    <row r="708">
      <c r="A708" s="2" t="inlineStr">
        <is>
          <t>BBA-000100-00005-90190</t>
        </is>
      </c>
      <c r="B708" s="2" t="inlineStr">
        <is>
          <t>2026 Topps MACKENZIE GORE #14 Rainbow Foil Nationals</t>
        </is>
      </c>
      <c r="C708" s="3" t="n">
        <v>3.49</v>
      </c>
      <c r="D708" s="3" t="n">
        <v>2.49</v>
      </c>
      <c r="E708" s="3" t="n">
        <v>-1</v>
      </c>
      <c r="F708" s="4" t="n">
        <v>-28.7</v>
      </c>
      <c r="G708" s="2" t="inlineStr">
        <is>
          <t>🔵 Floored $2.49 — free ship or $0.99 ship?</t>
        </is>
      </c>
      <c r="H708" s="2" t="inlineStr">
        <is>
          <t>84%</t>
        </is>
      </c>
      <c r="I708" s="2">
        <f>HYPERLINK("https://www.ebay.com/sch/261328/i.html?_dcat=261328&amp;_fsrp=1&amp;rt=nc&amp;_from=R40&amp;_nkw=2026%20Topps%20MACKENZIE%20GORE%20%2314%20Rainbow%20Foil%20Nationals&amp;_sacat=0&amp;_sop=15&amp;rt=nc&amp;LH_BIN=1", "Active")</f>
        <v/>
      </c>
      <c r="J708" s="2">
        <f>HYPERLINK("https://www.ebay.com/sch/261328/i.html?_from=R40&amp;_nkw=2026%20Topps%20MACKENZIE%20GORE%20%2314%20Rainbow%20Foil%20Nationals&amp;_sacat=0&amp;LH_Sold=1&amp;LH_Complete=1&amp;_sop=13", "Completed")</f>
        <v/>
      </c>
      <c r="K708" s="2" t="inlineStr">
        <is>
          <t>2026 Topps Series 1 #14 MacKenzie Gore Rainbow Foil - Washington Nationals</t>
        </is>
      </c>
    </row>
    <row r="709">
      <c r="A709" s="2" t="inlineStr">
        <is>
          <t>BBA-000100-00014-04902</t>
        </is>
      </c>
      <c r="B709" s="2" t="inlineStr">
        <is>
          <t>2025 Bowman Draft GEORGE LOMBARD JR. #PP-3 Chrome Prized Prospect Mojo Refractor</t>
        </is>
      </c>
      <c r="C709" s="3" t="n">
        <v>3.99</v>
      </c>
      <c r="D709" s="3" t="n">
        <v>2.49</v>
      </c>
      <c r="E709" s="3" t="n">
        <v>-1.5</v>
      </c>
      <c r="F709" s="4" t="n">
        <v>-37.6</v>
      </c>
      <c r="G709" s="2" t="inlineStr">
        <is>
          <t>🔵 Floored $2.49 — free ship or $0.99 ship?</t>
        </is>
      </c>
      <c r="H709" s="2" t="inlineStr">
        <is>
          <t>90%</t>
        </is>
      </c>
      <c r="I709" s="2">
        <f>HYPERLINK("https://www.ebay.com/sch/261328/i.html?_dcat=261328&amp;_fsrp=1&amp;rt=nc&amp;_from=R40&amp;_nkw=2025%20Bowman%20Draft%20GEORGE%20LOMBARD%20JR.%20%23PP-3%20Chrome%20Prized%20Prospect%20Mojo%20Refractor&amp;_sacat=0&amp;_sop=15&amp;rt=nc&amp;LH_BIN=1", "Active")</f>
        <v/>
      </c>
      <c r="J709" s="2">
        <f>HYPERLINK("https://www.ebay.com/sch/261328/i.html?_from=R40&amp;_nkw=2025%20Bowman%20Draft%20GEORGE%20LOMBARD%20JR.%20%23PP-3%20Chrome%20Prized%20Prospect%20Mojo%20Refractor&amp;_sacat=0&amp;LH_Sold=1&amp;LH_Complete=1&amp;_sop=13", "Completed")</f>
        <v/>
      </c>
      <c r="K709" s="2" t="inlineStr">
        <is>
          <t>2025 Bowman Draft Chrome Prized Prospects Mojo Refractor George Lombard Jr #PP-3</t>
        </is>
      </c>
    </row>
    <row r="710">
      <c r="A710" s="2" t="inlineStr">
        <is>
          <t>MISC-0001-00004-08468</t>
        </is>
      </c>
      <c r="B710" s="2" t="inlineStr">
        <is>
          <t>2025 Topps Chrome Update RYAN JEFFERS #AC-RJ Auto Purple Speckle Refractor /299</t>
        </is>
      </c>
      <c r="C710" s="3" t="n">
        <v>9.99</v>
      </c>
      <c r="D710" s="3" t="n">
        <v>2.49</v>
      </c>
      <c r="E710" s="3" t="n">
        <v>-7.5</v>
      </c>
      <c r="F710" s="4" t="n">
        <v>-75.09999999999999</v>
      </c>
      <c r="G710" s="2" t="inlineStr">
        <is>
          <t>🔵 Floored $2.49 — free ship or $0.99 ship?</t>
        </is>
      </c>
      <c r="H710" s="2" t="inlineStr"/>
      <c r="I710" s="2">
        <f>HYPERLINK("https://www.ebay.com/sch/261328/i.html?_dcat=261328&amp;_fsrp=1&amp;rt=nc&amp;_from=R40&amp;_nkw=2025%20Topps%20Chrome%20Update%20RYAN%20JEFFERS%20%23AC-RJ%20Auto%20Purple%20Speckle%20Refractor%20%2F299&amp;_sacat=0&amp;_sop=15&amp;rt=nc&amp;LH_BIN=1", "Active")</f>
        <v/>
      </c>
      <c r="J710" s="2">
        <f>HYPERLINK("https://www.ebay.com/sch/261328/i.html?_from=R40&amp;_nkw=2025%20Topps%20Chrome%20Update%20RYAN%20JEFFERS%20%23AC-RJ%20Auto%20Purple%20Speckle%20Refractor%20%2F299&amp;_sacat=0&amp;LH_Sold=1&amp;LH_Complete=1&amp;_sop=13", "Completed")</f>
        <v/>
      </c>
      <c r="K710" s="2" t="inlineStr">
        <is>
          <t>No Close Result Found</t>
        </is>
      </c>
    </row>
    <row r="711">
      <c r="A711" s="5" t="inlineStr">
        <is>
          <t>MISC-0001-00013-46366</t>
        </is>
      </c>
      <c r="B711" s="5" t="inlineStr">
        <is>
          <t>2025 Bowman Draft SEAN YOUNGERMAN #BDC-104 Chrome Yellow Reptilian Refractor /75</t>
        </is>
      </c>
      <c r="C711" s="6" t="n">
        <v>26.29</v>
      </c>
      <c r="D711" s="6" t="n">
        <v>26.49</v>
      </c>
      <c r="E711" s="6" t="n">
        <v>0.2</v>
      </c>
      <c r="F711" s="7" t="n">
        <v>0.8</v>
      </c>
      <c r="G711" s="5" t="inlineStr">
        <is>
          <t>⬆ Price Up</t>
        </is>
      </c>
      <c r="H711" s="5" t="inlineStr">
        <is>
          <t>100%</t>
        </is>
      </c>
      <c r="I711" s="5">
        <f>HYPERLINK("https://www.ebay.com/sch/261328/i.html?_dcat=261328&amp;_fsrp=1&amp;rt=nc&amp;_from=R40&amp;_nkw=2025%20Bowman%20Draft%20SEAN%20YOUNGERMAN%20%23BDC-104%20Chrome%20Yellow%20Reptilian%20Refractor%20%2F75&amp;_sacat=0&amp;_sop=15&amp;rt=nc&amp;LH_BIN=1", "Active")</f>
        <v/>
      </c>
      <c r="J711" s="5">
        <f>HYPERLINK("https://www.ebay.com/sch/261328/i.html?_from=R40&amp;_nkw=2025%20Bowman%20Draft%20SEAN%20YOUNGERMAN%20%23BDC-104%20Chrome%20Yellow%20Reptilian%20Refractor%20%2F75&amp;_sacat=0&amp;LH_Sold=1&amp;LH_Complete=1&amp;_sop=13", "Completed")</f>
        <v/>
      </c>
      <c r="K711" s="5" t="inlineStr">
        <is>
          <t>2025 Bowman Draft SEAN YOUNGERMAN #BDC-104 Chrome Yellow Reptilian Refractor /75</t>
        </is>
      </c>
    </row>
    <row r="712">
      <c r="A712" s="5" t="inlineStr">
        <is>
          <t>MISC-0001-00015-36622</t>
        </is>
      </c>
      <c r="B712" s="5" t="inlineStr">
        <is>
          <t>2025 Topps COSMIC Chrome Dylan Crews #SN-11 Stella Nova RC Nationals Rookie</t>
        </is>
      </c>
      <c r="C712" s="6" t="n">
        <v>9.19</v>
      </c>
      <c r="D712" s="6" t="n">
        <v>9.890000000000001</v>
      </c>
      <c r="E712" s="6" t="n">
        <v>0.7</v>
      </c>
      <c r="F712" s="7" t="n">
        <v>7.6</v>
      </c>
      <c r="G712" s="5" t="inlineStr">
        <is>
          <t>⬆ Price Up</t>
        </is>
      </c>
      <c r="H712" s="5" t="inlineStr">
        <is>
          <t>100%</t>
        </is>
      </c>
      <c r="I712" s="5">
        <f>HYPERLINK("https://www.ebay.com/sch/261328/i.html?_dcat=261328&amp;_fsrp=1&amp;rt=nc&amp;_from=R40&amp;_nkw=2025%20Topps%20COSMIC%20Chrome%20Dylan%20Crews%20%23SN-11%20Stella%20Nova%20RC%20Nationals%20Rookie&amp;_sacat=0&amp;_sop=15&amp;rt=nc&amp;LH_BIN=1", "Active")</f>
        <v/>
      </c>
      <c r="J712" s="5">
        <f>HYPERLINK("https://www.ebay.com/sch/261328/i.html?_from=R40&amp;_nkw=2025%20Topps%20COSMIC%20Chrome%20Dylan%20Crews%20%23SN-11%20Stella%20Nova%20RC%20Nationals%20Rookie&amp;_sacat=0&amp;LH_Sold=1&amp;LH_Complete=1&amp;_sop=13", "Completed")</f>
        <v/>
      </c>
      <c r="K712" s="5" t="inlineStr">
        <is>
          <t>2025 Topps COSMIC Chrome Dylan Crews #SN-11 Stella Nova RC Nationals Rookie</t>
        </is>
      </c>
    </row>
    <row r="713">
      <c r="A713" s="5" t="inlineStr">
        <is>
          <t>MISC-0001-00014-94747</t>
        </is>
      </c>
      <c r="B713" s="5" t="inlineStr">
        <is>
          <t>2025 Topps Update NICK KURTZ #US201 Rainbow Foil Athletics ROY, RC Rookie</t>
        </is>
      </c>
      <c r="C713" s="6" t="n">
        <v>12.09</v>
      </c>
      <c r="D713" s="6" t="n">
        <v>12.69</v>
      </c>
      <c r="E713" s="6" t="n">
        <v>0.6</v>
      </c>
      <c r="F713" s="7" t="n">
        <v>5</v>
      </c>
      <c r="G713" s="5" t="inlineStr">
        <is>
          <t>⬆ Price Up</t>
        </is>
      </c>
      <c r="H713" s="5" t="inlineStr">
        <is>
          <t>100%</t>
        </is>
      </c>
      <c r="I713" s="5">
        <f>HYPERLINK("https://www.ebay.com/sch/261328/i.html?_dcat=261328&amp;_fsrp=1&amp;rt=nc&amp;_from=R40&amp;_nkw=2025%20Topps%20Update%20NICK%20KURTZ%20%23US201%20Rainbow%20Foil%20Athletics%20ROY%2C%20RC%20Rookie&amp;_sacat=0&amp;_sop=15&amp;rt=nc&amp;LH_BIN=1", "Active")</f>
        <v/>
      </c>
      <c r="J713" s="5">
        <f>HYPERLINK("https://www.ebay.com/sch/261328/i.html?_from=R40&amp;_nkw=2025%20Topps%20Update%20NICK%20KURTZ%20%23US201%20Rainbow%20Foil%20Athletics%20ROY%2C%20RC%20Rookie&amp;_sacat=0&amp;LH_Sold=1&amp;LH_Complete=1&amp;_sop=13", "Completed")</f>
        <v/>
      </c>
      <c r="K713" s="5" t="inlineStr">
        <is>
          <t>2025 Topps Update NICK KURTZ #US201 Rainbow Foil Athletics ROY, RC Rookie</t>
        </is>
      </c>
    </row>
    <row r="714">
      <c r="A714" s="5" t="inlineStr">
        <is>
          <t>EBAYRE-0001-00002-36357</t>
        </is>
      </c>
      <c r="B714" s="5" t="inlineStr">
        <is>
          <t>2025 Bowman JJ WETHERHOLT #GL-17 Greatness Loading Chrome Cardinals Football</t>
        </is>
      </c>
      <c r="C714" s="6" t="n">
        <v>3.99</v>
      </c>
      <c r="D714" s="6" t="n">
        <v>4.79</v>
      </c>
      <c r="E714" s="6" t="n">
        <v>0.8</v>
      </c>
      <c r="F714" s="7" t="n">
        <v>20.1</v>
      </c>
      <c r="G714" s="5" t="inlineStr">
        <is>
          <t>⬆ Price Up</t>
        </is>
      </c>
      <c r="H714" s="5" t="inlineStr">
        <is>
          <t>100%</t>
        </is>
      </c>
      <c r="I714" s="5">
        <f>HYPERLINK("https://www.ebay.com/sch/261328/i.html?_dcat=261328&amp;_fsrp=1&amp;rt=nc&amp;_from=R40&amp;_nkw=2025%20Bowman%20JJ%20WETHERHOLT%20%23GL-17%20Greatness%20Loading%20Chrome%20Cardinals%20Football&amp;_sacat=0&amp;_sop=15&amp;rt=nc&amp;LH_BIN=1", "Active")</f>
        <v/>
      </c>
      <c r="J714" s="5">
        <f>HYPERLINK("https://www.ebay.com/sch/261328/i.html?_from=R40&amp;_nkw=2025%20Bowman%20JJ%20WETHERHOLT%20%23GL-17%20Greatness%20Loading%20Chrome%20Cardinals%20Football&amp;_sacat=0&amp;LH_Sold=1&amp;LH_Complete=1&amp;_sop=13", "Completed")</f>
        <v/>
      </c>
      <c r="K714" s="5" t="inlineStr">
        <is>
          <t>2025 Bowman JJ WETHERHOLT #GL-17 Greatness Loading Chrome Cardinals Football</t>
        </is>
      </c>
    </row>
    <row r="715">
      <c r="A715" s="2" t="inlineStr">
        <is>
          <t>EBAYRE-0001-00043-56245</t>
        </is>
      </c>
      <c r="B715" s="2" t="inlineStr">
        <is>
          <t>2025 Topps Stadium Club JACOB WILSON #33 RC Athletics Rookie</t>
        </is>
      </c>
      <c r="C715" s="3" t="n">
        <v>2.99</v>
      </c>
      <c r="D715" s="3" t="n">
        <v>2.49</v>
      </c>
      <c r="E715" s="3" t="n">
        <v>-0.5</v>
      </c>
      <c r="F715" s="4" t="n">
        <v>-16.7</v>
      </c>
      <c r="G715" s="2" t="inlineStr">
        <is>
          <t>🔵 Floored $2.49 — free ship or $0.99 ship?</t>
        </is>
      </c>
      <c r="H715" s="2" t="inlineStr">
        <is>
          <t>65%</t>
        </is>
      </c>
      <c r="I715" s="2">
        <f>HYPERLINK("https://www.ebay.com/sch/261328/i.html?_dcat=261328&amp;_fsrp=1&amp;rt=nc&amp;_from=R40&amp;_nkw=2025%20Topps%20Stadium%20Club%20JACOB%20WILSON%20%2333%20RC%20Athletics%20Rookie&amp;_sacat=0&amp;_sop=15&amp;rt=nc&amp;LH_BIN=1", "Active")</f>
        <v/>
      </c>
      <c r="J715" s="2">
        <f>HYPERLINK("https://www.ebay.com/sch/261328/i.html?_from=R40&amp;_nkw=2025%20Topps%20Stadium%20Club%20JACOB%20WILSON%20%2333%20RC%20Athletics%20Rookie&amp;_sacat=0&amp;LH_Sold=1&amp;LH_Complete=1&amp;_sop=13", "Completed")</f>
        <v/>
      </c>
      <c r="K715" s="2" t="inlineStr">
        <is>
          <t>2025 Topps Stadium Club #1-100 Pick Your Card PYC Ohtani Ripken Trout Maddux RC</t>
        </is>
      </c>
    </row>
    <row r="716">
      <c r="A716" s="8" t="inlineStr">
        <is>
          <t>EBAYRE-0001-00020-86313</t>
        </is>
      </c>
      <c r="B716" s="8" t="inlineStr">
        <is>
          <t>2025 Bowman Draft ANDREW SALAS #BDC-34 Chrome Purple Geometric Refractor /250</t>
        </is>
      </c>
      <c r="C716" s="9" t="n">
        <v>4.79</v>
      </c>
      <c r="D716" s="9" t="n">
        <v>4.79</v>
      </c>
      <c r="E716" s="9" t="n">
        <v>0</v>
      </c>
      <c r="F716" s="10" t="n">
        <v>0</v>
      </c>
      <c r="G716" s="8" t="inlineStr">
        <is>
          <t>— No Change</t>
        </is>
      </c>
      <c r="H716" s="8" t="inlineStr">
        <is>
          <t>89%</t>
        </is>
      </c>
      <c r="I716" s="8">
        <f>HYPERLINK("https://www.ebay.com/sch/261328/i.html?_dcat=261328&amp;_fsrp=1&amp;rt=nc&amp;_from=R40&amp;_nkw=2025%20Bowman%20Draft%20ANDREW%20SALAS%20%23BDC-34%20Chrome%20Purple%20Geometric%20Refractor%20%2F250&amp;_sacat=0&amp;_sop=15&amp;rt=nc&amp;LH_BIN=1", "Active")</f>
        <v/>
      </c>
      <c r="J716" s="8">
        <f>HYPERLINK("https://www.ebay.com/sch/261328/i.html?_from=R40&amp;_nkw=2025%20Bowman%20Draft%20ANDREW%20SALAS%20%23BDC-34%20Chrome%20Purple%20Geometric%20Refractor%20%2F250&amp;_sacat=0&amp;LH_Sold=1&amp;LH_Complete=1&amp;_sop=13", "Completed")</f>
        <v/>
      </c>
      <c r="K716" s="8" t="inlineStr">
        <is>
          <t>2025 Bowman Draft - Chrome Andrew Salas #BDC-34 Purple Geometric Refractor /250</t>
        </is>
      </c>
    </row>
    <row r="717">
      <c r="A717" s="2" t="inlineStr">
        <is>
          <t>EBAYRE-0001-00041-74105</t>
        </is>
      </c>
      <c r="B717" s="2" t="inlineStr">
        <is>
          <t>2025 Topps Stadium Club JAMES WOOD #ICE-11 In Case Of Emergency RC Nationals</t>
        </is>
      </c>
      <c r="C717" s="3" t="n">
        <v>2.99</v>
      </c>
      <c r="D717" s="3" t="n">
        <v>2.49</v>
      </c>
      <c r="E717" s="3" t="n">
        <v>-0.5</v>
      </c>
      <c r="F717" s="4" t="n">
        <v>-16.7</v>
      </c>
      <c r="G717" s="2" t="inlineStr">
        <is>
          <t>🔵 Floored $2.49 — free ship or $0.99 ship?</t>
        </is>
      </c>
      <c r="H717" s="2" t="inlineStr">
        <is>
          <t>77%</t>
        </is>
      </c>
      <c r="I717" s="2">
        <f>HYPERLINK("https://www.ebay.com/sch/261328/i.html?_dcat=261328&amp;_fsrp=1&amp;rt=nc&amp;_from=R40&amp;_nkw=2025%20Topps%20Stadium%20Club%20JAMES%20WOOD%20%23ICE-11%20In%20Case%20Of%20Emergency%20RC%20Nationals&amp;_sacat=0&amp;_sop=15&amp;rt=nc&amp;LH_BIN=1", "Active")</f>
        <v/>
      </c>
      <c r="J717" s="2">
        <f>HYPERLINK("https://www.ebay.com/sch/261328/i.html?_from=R40&amp;_nkw=2025%20Topps%20Stadium%20Club%20JAMES%20WOOD%20%23ICE-11%20In%20Case%20Of%20Emergency%20RC%20Nationals&amp;_sacat=0&amp;LH_Sold=1&amp;LH_Complete=1&amp;_sop=13", "Completed")</f>
        <v/>
      </c>
      <c r="K717" s="2" t="inlineStr">
        <is>
          <t>JAMES WOOD RC 2025 STADIUM CLUB IN CASE OF EMERGENCY #ICE11 WASHINGTON NATIONALS</t>
        </is>
      </c>
    </row>
    <row r="718">
      <c r="A718" s="2" t="inlineStr">
        <is>
          <t>EBAYRE-0001-00038-55107</t>
        </is>
      </c>
      <c r="B718" s="2" t="inlineStr">
        <is>
          <t>2025 Topps Stadium Club JACKSON HOLLIDAY #YK-12 Yours For The Taking Orioles</t>
        </is>
      </c>
      <c r="C718" s="3" t="n">
        <v>2.99</v>
      </c>
      <c r="D718" s="3" t="n">
        <v>2.49</v>
      </c>
      <c r="E718" s="3" t="n">
        <v>-0.5</v>
      </c>
      <c r="F718" s="4" t="n">
        <v>-16.7</v>
      </c>
      <c r="G718" s="2" t="inlineStr">
        <is>
          <t>🔵 Floored $2.49 — free ship or $0.99 ship?</t>
        </is>
      </c>
      <c r="H718" s="2" t="inlineStr">
        <is>
          <t>89%</t>
        </is>
      </c>
      <c r="I718" s="2">
        <f>HYPERLINK("https://www.ebay.com/sch/261328/i.html?_dcat=261328&amp;_fsrp=1&amp;rt=nc&amp;_from=R40&amp;_nkw=2025%20Topps%20Stadium%20Club%20JACKSON%20HOLLIDAY%20%23YK-12%20Yours%20For%20The%20Taking%20Orioles&amp;_sacat=0&amp;_sop=15&amp;rt=nc&amp;LH_BIN=1", "Active")</f>
        <v/>
      </c>
      <c r="J718" s="2">
        <f>HYPERLINK("https://www.ebay.com/sch/261328/i.html?_from=R40&amp;_nkw=2025%20Topps%20Stadium%20Club%20JACKSON%20HOLLIDAY%20%23YK-12%20Yours%20For%20The%20Taking%20Orioles&amp;_sacat=0&amp;LH_Sold=1&amp;LH_Complete=1&amp;_sop=13", "Completed")</f>
        <v/>
      </c>
      <c r="K718" s="2" t="inlineStr">
        <is>
          <t>2025 Stadium Club Jackson Holliday Yours for  the Taking #YK-12 Orioles</t>
        </is>
      </c>
    </row>
    <row r="719">
      <c r="A719" s="2" t="inlineStr">
        <is>
          <t>EBAYRE-0001-00050-80085</t>
        </is>
      </c>
      <c r="B719" s="2" t="inlineStr">
        <is>
          <t>2025 Topps Stadium Club ELLY DE LA CRUZ #YK-20 Yours For The Taking Reds</t>
        </is>
      </c>
      <c r="C719" s="3" t="n">
        <v>2.99</v>
      </c>
      <c r="D719" s="3" t="n">
        <v>2.49</v>
      </c>
      <c r="E719" s="3" t="n">
        <v>-0.5</v>
      </c>
      <c r="F719" s="4" t="n">
        <v>-16.7</v>
      </c>
      <c r="G719" s="2" t="inlineStr">
        <is>
          <t>🔵 Floored $2.49 — free ship or $0.99 ship?</t>
        </is>
      </c>
      <c r="H719" s="2" t="inlineStr">
        <is>
          <t>83%</t>
        </is>
      </c>
      <c r="I719" s="2">
        <f>HYPERLINK("https://www.ebay.com/sch/261328/i.html?_dcat=261328&amp;_fsrp=1&amp;rt=nc&amp;_from=R40&amp;_nkw=2025%20Topps%20Stadium%20Club%20ELLY%20DE%20LA%20CRUZ%20%23YK-20%20Yours%20For%20The%20Taking%20Reds&amp;_sacat=0&amp;_sop=15&amp;rt=nc&amp;LH_BIN=1", "Active")</f>
        <v/>
      </c>
      <c r="J719" s="2">
        <f>HYPERLINK("https://www.ebay.com/sch/261328/i.html?_from=R40&amp;_nkw=2025%20Topps%20Stadium%20Club%20ELLY%20DE%20LA%20CRUZ%20%23YK-20%20Yours%20For%20The%20Taking%20Reds&amp;_sacat=0&amp;LH_Sold=1&amp;LH_Complete=1&amp;_sop=13", "Completed")</f>
        <v/>
      </c>
      <c r="K719" s="2" t="inlineStr">
        <is>
          <t>2025 Elly De La Cruz - #YK-20 Yours for the Taking - Cincinnati Reds a57</t>
        </is>
      </c>
    </row>
    <row r="720">
      <c r="A720" s="5" t="inlineStr">
        <is>
          <t>EBAYRE-0001-00028-90832</t>
        </is>
      </c>
      <c r="B720" s="5" t="inlineStr">
        <is>
          <t>2025 Bowman's Best MASYN WINN #44 Wave Refractor Cardinals Football</t>
        </is>
      </c>
      <c r="C720" s="6" t="n">
        <v>2.99</v>
      </c>
      <c r="D720" s="6" t="n">
        <v>3.89</v>
      </c>
      <c r="E720" s="6" t="n">
        <v>0.9</v>
      </c>
      <c r="F720" s="7" t="n">
        <v>30.1</v>
      </c>
      <c r="G720" s="5" t="inlineStr">
        <is>
          <t>⬆ Price Up</t>
        </is>
      </c>
      <c r="H720" s="5" t="inlineStr">
        <is>
          <t>100%</t>
        </is>
      </c>
      <c r="I720" s="5">
        <f>HYPERLINK("https://www.ebay.com/sch/261328/i.html?_dcat=261328&amp;_fsrp=1&amp;rt=nc&amp;_from=R40&amp;_nkw=2025%20Bowman's%20Best%20MASYN%20WINN%20%2344%20Wave%20Refractor%20Cardinals%20Football&amp;_sacat=0&amp;_sop=15&amp;rt=nc&amp;LH_BIN=1", "Active")</f>
        <v/>
      </c>
      <c r="J720" s="5">
        <f>HYPERLINK("https://www.ebay.com/sch/261328/i.html?_from=R40&amp;_nkw=2025%20Bowman's%20Best%20MASYN%20WINN%20%2344%20Wave%20Refractor%20Cardinals%20Football&amp;_sacat=0&amp;LH_Sold=1&amp;LH_Complete=1&amp;_sop=13", "Completed")</f>
        <v/>
      </c>
      <c r="K720" s="5" t="inlineStr">
        <is>
          <t>2025 Bowman's Best MASYN WINN #44 Wave Refractor Cardinals Football</t>
        </is>
      </c>
    </row>
    <row r="721">
      <c r="A721" s="2" t="inlineStr">
        <is>
          <t>EBAYRE-0001-00023-20888</t>
        </is>
      </c>
      <c r="B721" s="2" t="inlineStr">
        <is>
          <t>2025 Bowman Draft GRIFFIN HUGUS #CPA-GH Chrome Auto 1st Prospect Mariners</t>
        </is>
      </c>
      <c r="C721" s="3" t="n">
        <v>9.99</v>
      </c>
      <c r="D721" s="3" t="n">
        <v>2.49</v>
      </c>
      <c r="E721" s="3" t="n">
        <v>-7.5</v>
      </c>
      <c r="F721" s="4" t="n">
        <v>-75.09999999999999</v>
      </c>
      <c r="G721" s="2" t="inlineStr">
        <is>
          <t>🔵 Floored $2.49 — free ship or $0.99 ship?</t>
        </is>
      </c>
      <c r="H721" s="2" t="inlineStr"/>
      <c r="I721" s="2">
        <f>HYPERLINK("https://www.ebay.com/sch/261328/i.html?_dcat=261328&amp;_fsrp=1&amp;rt=nc&amp;_from=R40&amp;_nkw=2025%20Bowman%20Draft%20GRIFFIN%20HUGUS%20%23CPA-GH%20Chrome%20Auto%201st%20Prospect%20Mariners&amp;_sacat=0&amp;_sop=15&amp;rt=nc&amp;LH_BIN=1", "Active")</f>
        <v/>
      </c>
      <c r="J721" s="2">
        <f>HYPERLINK("https://www.ebay.com/sch/261328/i.html?_from=R40&amp;_nkw=2025%20Bowman%20Draft%20GRIFFIN%20HUGUS%20%23CPA-GH%20Chrome%20Auto%201st%20Prospect%20Mariners&amp;_sacat=0&amp;LH_Sold=1&amp;LH_Complete=1&amp;_sop=13", "Completed")</f>
        <v/>
      </c>
      <c r="K721" s="2" t="inlineStr">
        <is>
          <t>No Close Result Found</t>
        </is>
      </c>
    </row>
    <row r="722">
      <c r="A722" s="11" t="inlineStr">
        <is>
          <t>EBAYRE-0001-00032-20104</t>
        </is>
      </c>
      <c r="B722" s="11" t="inlineStr">
        <is>
          <t>2025 Bowman's Best CAL RALEIGH #P-11 Pixel Portraits Mariners</t>
        </is>
      </c>
      <c r="C722" s="12" t="n">
        <v>4.99</v>
      </c>
      <c r="D722" s="12" t="n">
        <v>2.69</v>
      </c>
      <c r="E722" s="12" t="n">
        <v>-2.3</v>
      </c>
      <c r="F722" s="13" t="n">
        <v>-46.1</v>
      </c>
      <c r="G722" s="11" t="inlineStr">
        <is>
          <t>⬇ Price Down</t>
        </is>
      </c>
      <c r="H722" s="11" t="inlineStr">
        <is>
          <t>77%</t>
        </is>
      </c>
      <c r="I722" s="11">
        <f>HYPERLINK("https://www.ebay.com/sch/261328/i.html?_dcat=261328&amp;_fsrp=1&amp;rt=nc&amp;_from=R40&amp;_nkw=2025%20Bowman's%20Best%20CAL%20RALEIGH%20%23P-11%20Pixel%20Portraits%20Mariners&amp;_sacat=0&amp;_sop=15&amp;rt=nc&amp;LH_BIN=1", "Active")</f>
        <v/>
      </c>
      <c r="J722" s="11">
        <f>HYPERLINK("https://www.ebay.com/sch/261328/i.html?_from=R40&amp;_nkw=2025%20Bowman's%20Best%20CAL%20RALEIGH%20%23P-11%20Pixel%20Portraits%20Mariners&amp;_sacat=0&amp;LH_Sold=1&amp;LH_Complete=1&amp;_sop=13", "Completed")</f>
        <v/>
      </c>
      <c r="K722" s="11" t="inlineStr">
        <is>
          <t>Cal Raleigh; 2025 Bowmans Best; Pixel Portraits; P-11; Seattle Mariners</t>
        </is>
      </c>
    </row>
    <row r="723">
      <c r="A723" s="2" t="inlineStr">
        <is>
          <t>EBAYRE-0001-00035-23120</t>
        </is>
      </c>
      <c r="B723" s="2" t="inlineStr">
        <is>
          <t>2025 Topps Stadium Club CAL RALEIGH #SS-18 Savage Sluggers Mariners</t>
        </is>
      </c>
      <c r="C723" s="3" t="n">
        <v>2.99</v>
      </c>
      <c r="D723" s="3" t="n">
        <v>2.49</v>
      </c>
      <c r="E723" s="3" t="n">
        <v>-0.5</v>
      </c>
      <c r="F723" s="4" t="n">
        <v>-16.7</v>
      </c>
      <c r="G723" s="2" t="inlineStr">
        <is>
          <t>🔵 Floored $2.49 — free ship or $0.99 ship?</t>
        </is>
      </c>
      <c r="H723" s="2" t="inlineStr">
        <is>
          <t>86%</t>
        </is>
      </c>
      <c r="I723" s="2">
        <f>HYPERLINK("https://www.ebay.com/sch/261328/i.html?_dcat=261328&amp;_fsrp=1&amp;rt=nc&amp;_from=R40&amp;_nkw=2025%20Topps%20Stadium%20Club%20CAL%20RALEIGH%20%23SS-18%20Savage%20Sluggers%20Mariners&amp;_sacat=0&amp;_sop=15&amp;rt=nc&amp;LH_BIN=1", "Active")</f>
        <v/>
      </c>
      <c r="J723" s="2">
        <f>HYPERLINK("https://www.ebay.com/sch/261328/i.html?_from=R40&amp;_nkw=2025%20Topps%20Stadium%20Club%20CAL%20RALEIGH%20%23SS-18%20Savage%20Sluggers%20Mariners&amp;_sacat=0&amp;LH_Sold=1&amp;LH_Complete=1&amp;_sop=13", "Completed")</f>
        <v/>
      </c>
      <c r="K723" s="2" t="inlineStr">
        <is>
          <t>2025 Stadium Club #SS-18 Cal Raleigh Savage Sluggers Card Seattle Mariners</t>
        </is>
      </c>
    </row>
    <row r="724">
      <c r="A724" s="2" t="inlineStr">
        <is>
          <t>EBAYRE-0001-00033-30171</t>
        </is>
      </c>
      <c r="B724" s="2" t="inlineStr">
        <is>
          <t>2025 Topps Stadium Club JUAN SOTO #YK-24 Yours For The Taking Mets</t>
        </is>
      </c>
      <c r="C724" s="3" t="n">
        <v>2.99</v>
      </c>
      <c r="D724" s="3" t="n">
        <v>2.49</v>
      </c>
      <c r="E724" s="3" t="n">
        <v>-0.5</v>
      </c>
      <c r="F724" s="4" t="n">
        <v>-16.7</v>
      </c>
      <c r="G724" s="2" t="inlineStr">
        <is>
          <t>🔵 Floored $2.49 — free ship or $0.99 ship?</t>
        </is>
      </c>
      <c r="H724" s="2" t="inlineStr">
        <is>
          <t>88%</t>
        </is>
      </c>
      <c r="I724" s="2">
        <f>HYPERLINK("https://www.ebay.com/sch/261328/i.html?_dcat=261328&amp;_fsrp=1&amp;rt=nc&amp;_from=R40&amp;_nkw=2025%20Topps%20Stadium%20Club%20JUAN%20SOTO%20%23YK-24%20Yours%20For%20The%20Taking%20Mets&amp;_sacat=0&amp;_sop=15&amp;rt=nc&amp;LH_BIN=1", "Active")</f>
        <v/>
      </c>
      <c r="J724" s="2">
        <f>HYPERLINK("https://www.ebay.com/sch/261328/i.html?_from=R40&amp;_nkw=2025%20Topps%20Stadium%20Club%20JUAN%20SOTO%20%23YK-24%20Yours%20For%20The%20Taking%20Mets&amp;_sacat=0&amp;LH_Sold=1&amp;LH_Complete=1&amp;_sop=13", "Completed")</f>
        <v/>
      </c>
      <c r="K724" s="2" t="inlineStr">
        <is>
          <t>2025 Topps Stadium Club Juan Soto Yours For The Taking Insert Mets YK-24</t>
        </is>
      </c>
    </row>
    <row r="725">
      <c r="A725" s="2" t="inlineStr">
        <is>
          <t>EBAYRE-0001-00036-79937</t>
        </is>
      </c>
      <c r="B725" s="2" t="inlineStr">
        <is>
          <t>2025 Topps Stadium Club DEREK JETER #ICE-7 In Case Of Emergency Yankees</t>
        </is>
      </c>
      <c r="C725" s="3" t="n">
        <v>2.99</v>
      </c>
      <c r="D725" s="3" t="n">
        <v>2.49</v>
      </c>
      <c r="E725" s="3" t="n">
        <v>-0.5</v>
      </c>
      <c r="F725" s="4" t="n">
        <v>-16.7</v>
      </c>
      <c r="G725" s="2" t="inlineStr">
        <is>
          <t>🔵 Floored $2.49 — free ship or $0.99 ship?</t>
        </is>
      </c>
      <c r="H725" s="2" t="inlineStr">
        <is>
          <t>86%</t>
        </is>
      </c>
      <c r="I725" s="2">
        <f>HYPERLINK("https://www.ebay.com/sch/261328/i.html?_dcat=261328&amp;_fsrp=1&amp;rt=nc&amp;_from=R40&amp;_nkw=2025%20Topps%20Stadium%20Club%20DEREK%20JETER%20%23ICE-7%20In%20Case%20Of%20Emergency%20Yankees&amp;_sacat=0&amp;_sop=15&amp;rt=nc&amp;LH_BIN=1", "Active")</f>
        <v/>
      </c>
      <c r="J725" s="2">
        <f>HYPERLINK("https://www.ebay.com/sch/261328/i.html?_from=R40&amp;_nkw=2025%20Topps%20Stadium%20Club%20DEREK%20JETER%20%23ICE-7%20In%20Case%20Of%20Emergency%20Yankees&amp;_sacat=0&amp;LH_Sold=1&amp;LH_Complete=1&amp;_sop=13", "Completed")</f>
        <v/>
      </c>
      <c r="K725" s="2" t="inlineStr">
        <is>
          <t>2025 Stadium Club Derek Jeter Card In Case of Emergency New York Yankees #ICE-7</t>
        </is>
      </c>
    </row>
    <row r="726">
      <c r="A726" s="5" t="inlineStr">
        <is>
          <t>EBAYRE-0001-00018-77395</t>
        </is>
      </c>
      <c r="B726" s="5" t="inlineStr">
        <is>
          <t>2025 Bowman Draft Sapphire MAX BELYEU #BDC-5 Chrome 1st Prospect Rockies</t>
        </is>
      </c>
      <c r="C726" s="6" t="n">
        <v>8.19</v>
      </c>
      <c r="D726" s="6" t="n">
        <v>8.890000000000001</v>
      </c>
      <c r="E726" s="6" t="n">
        <v>0.7</v>
      </c>
      <c r="F726" s="7" t="n">
        <v>8.5</v>
      </c>
      <c r="G726" s="5" t="inlineStr">
        <is>
          <t>⬆ Price Up</t>
        </is>
      </c>
      <c r="H726" s="5" t="inlineStr">
        <is>
          <t>100%</t>
        </is>
      </c>
      <c r="I726" s="5">
        <f>HYPERLINK("https://www.ebay.com/sch/261328/i.html?_dcat=261328&amp;_fsrp=1&amp;rt=nc&amp;_from=R40&amp;_nkw=2025%20Bowman%20Draft%20Sapphire%20MAX%20BELYEU%20%23BDC-5%20Chrome%201st%20Prospect%20Rockies&amp;_sacat=0&amp;_sop=15&amp;rt=nc&amp;LH_BIN=1", "Active")</f>
        <v/>
      </c>
      <c r="J726" s="5">
        <f>HYPERLINK("https://www.ebay.com/sch/261328/i.html?_from=R40&amp;_nkw=2025%20Bowman%20Draft%20Sapphire%20MAX%20BELYEU%20%23BDC-5%20Chrome%201st%20Prospect%20Rockies&amp;_sacat=0&amp;LH_Sold=1&amp;LH_Complete=1&amp;_sop=13", "Completed")</f>
        <v/>
      </c>
      <c r="K726" s="5" t="inlineStr">
        <is>
          <t>2025 Bowman Draft Sapphire MAX BELYEU #BDC-5 Chrome 1st Prospect Rockies</t>
        </is>
      </c>
    </row>
    <row r="727">
      <c r="A727" s="5" t="inlineStr">
        <is>
          <t>EBAYRE-0001-00008-50285</t>
        </is>
      </c>
      <c r="B727" s="5" t="inlineStr">
        <is>
          <t>2025 Bowman Draft DANTE NORI #BD-33 Green Border 25/99 Phillies</t>
        </is>
      </c>
      <c r="C727" s="6" t="n">
        <v>9.19</v>
      </c>
      <c r="D727" s="6" t="n">
        <v>9.890000000000001</v>
      </c>
      <c r="E727" s="6" t="n">
        <v>0.7</v>
      </c>
      <c r="F727" s="7" t="n">
        <v>7.6</v>
      </c>
      <c r="G727" s="5" t="inlineStr">
        <is>
          <t>⬆ Price Up</t>
        </is>
      </c>
      <c r="H727" s="5" t="inlineStr">
        <is>
          <t>100%</t>
        </is>
      </c>
      <c r="I727" s="5">
        <f>HYPERLINK("https://www.ebay.com/sch/261328/i.html?_dcat=261328&amp;_fsrp=1&amp;rt=nc&amp;_from=R40&amp;_nkw=2025%20Bowman%20Draft%20DANTE%20NORI%20%23BD-33%20Green%20Border%2025%2F99%20Phillies&amp;_sacat=0&amp;_sop=15&amp;rt=nc&amp;LH_BIN=1", "Active")</f>
        <v/>
      </c>
      <c r="J727" s="5">
        <f>HYPERLINK("https://www.ebay.com/sch/261328/i.html?_from=R40&amp;_nkw=2025%20Bowman%20Draft%20DANTE%20NORI%20%23BD-33%20Green%20Border%2025%2F99%20Phillies&amp;_sacat=0&amp;LH_Sold=1&amp;LH_Complete=1&amp;_sop=13", "Completed")</f>
        <v/>
      </c>
      <c r="K727" s="5" t="inlineStr">
        <is>
          <t>2025 Bowman Draft DANTE NORI #BD-33 Green Border 25/99 Phillies</t>
        </is>
      </c>
    </row>
    <row r="728">
      <c r="A728" s="11" t="inlineStr">
        <is>
          <t>EBAYRE-0001-00025-81338</t>
        </is>
      </c>
      <c r="B728" s="11" t="inlineStr">
        <is>
          <t>2025 Bowman Chrome JESUS MADE #IT-14 It Came to the League Brewers</t>
        </is>
      </c>
      <c r="C728" s="12" t="n">
        <v>4.49</v>
      </c>
      <c r="D728" s="12" t="n">
        <v>3.59</v>
      </c>
      <c r="E728" s="12" t="n">
        <v>-0.9</v>
      </c>
      <c r="F728" s="13" t="n">
        <v>-20</v>
      </c>
      <c r="G728" s="11" t="inlineStr">
        <is>
          <t>⬇ Price Down</t>
        </is>
      </c>
      <c r="H728" s="11" t="inlineStr">
        <is>
          <t>88%</t>
        </is>
      </c>
      <c r="I728" s="11">
        <f>HYPERLINK("https://www.ebay.com/sch/261328/i.html?_dcat=261328&amp;_fsrp=1&amp;rt=nc&amp;_from=R40&amp;_nkw=2025%20Bowman%20Chrome%20JESUS%20MADE%20%23IT-14%20It%20Came%20to%20the%20League%20Brewers&amp;_sacat=0&amp;_sop=15&amp;rt=nc&amp;LH_BIN=1", "Active")</f>
        <v/>
      </c>
      <c r="J728" s="11">
        <f>HYPERLINK("https://www.ebay.com/sch/261328/i.html?_from=R40&amp;_nkw=2025%20Bowman%20Chrome%20JESUS%20MADE%20%23IT-14%20It%20Came%20to%20the%20League%20Brewers&amp;_sacat=0&amp;LH_Sold=1&amp;LH_Complete=1&amp;_sop=13", "Completed")</f>
        <v/>
      </c>
      <c r="K728" s="11" t="inlineStr">
        <is>
          <t>2025 Bowman Chrome #IT-14 Jesus Made It Came To The League Insert - Brewers</t>
        </is>
      </c>
    </row>
    <row r="729">
      <c r="A729" s="2" t="inlineStr">
        <is>
          <t>EBAYRE-0001-00046-87484</t>
        </is>
      </c>
      <c r="B729" s="2" t="inlineStr">
        <is>
          <t>2025 Topps Stadium Club JACKSON CHOURIO #YK-13 Yours For The Taking Brewers</t>
        </is>
      </c>
      <c r="C729" s="3" t="n">
        <v>2.99</v>
      </c>
      <c r="D729" s="3" t="n">
        <v>2.49</v>
      </c>
      <c r="E729" s="3" t="n">
        <v>-0.5</v>
      </c>
      <c r="F729" s="4" t="n">
        <v>-16.7</v>
      </c>
      <c r="G729" s="2" t="inlineStr">
        <is>
          <t>🔵 Floored $2.49 — free ship or $0.99 ship?</t>
        </is>
      </c>
      <c r="H729" s="2" t="inlineStr">
        <is>
          <t>89%</t>
        </is>
      </c>
      <c r="I729" s="2">
        <f>HYPERLINK("https://www.ebay.com/sch/261328/i.html?_dcat=261328&amp;_fsrp=1&amp;rt=nc&amp;_from=R40&amp;_nkw=2025%20Topps%20Stadium%20Club%20JACKSON%20CHOURIO%20%23YK-13%20Yours%20For%20The%20Taking%20Brewers&amp;_sacat=0&amp;_sop=15&amp;rt=nc&amp;LH_BIN=1", "Active")</f>
        <v/>
      </c>
      <c r="J729" s="2">
        <f>HYPERLINK("https://www.ebay.com/sch/261328/i.html?_from=R40&amp;_nkw=2025%20Topps%20Stadium%20Club%20JACKSON%20CHOURIO%20%23YK-13%20Yours%20For%20The%20Taking%20Brewers&amp;_sacat=0&amp;LH_Sold=1&amp;LH_Complete=1&amp;_sop=13", "Completed")</f>
        <v/>
      </c>
      <c r="K729" s="2" t="inlineStr">
        <is>
          <t>2025 Topps Stadium Club - Jackson Chourio Yours for the Taking #YK-13 Brewers</t>
        </is>
      </c>
    </row>
    <row r="730">
      <c r="A730" s="11" t="inlineStr">
        <is>
          <t>EBAYRE-0001-00001-28471</t>
        </is>
      </c>
      <c r="B730" s="11" t="inlineStr">
        <is>
          <t>2025 Bowman Draft TANNER FRANKLIN #BDC-90 Chrome Refractor 1st Prospect</t>
        </is>
      </c>
      <c r="C730" s="12" t="n">
        <v>2.99</v>
      </c>
      <c r="D730" s="12" t="n">
        <v>2.79</v>
      </c>
      <c r="E730" s="12" t="n">
        <v>-0.2</v>
      </c>
      <c r="F730" s="13" t="n">
        <v>-6.7</v>
      </c>
      <c r="G730" s="11" t="inlineStr">
        <is>
          <t>⬇ Price Down</t>
        </is>
      </c>
      <c r="H730" s="11" t="inlineStr">
        <is>
          <t>66%</t>
        </is>
      </c>
      <c r="I730" s="11">
        <f>HYPERLINK("https://www.ebay.com/sch/261328/i.html?_dcat=261328&amp;_fsrp=1&amp;rt=nc&amp;_from=R40&amp;_nkw=2025%20Bowman%20Draft%20TANNER%20FRANKLIN%20%23BDC-90%20Chrome%20Refractor%201st%20Prospect&amp;_sacat=0&amp;_sop=15&amp;rt=nc&amp;LH_BIN=1", "Active")</f>
        <v/>
      </c>
      <c r="J730" s="11">
        <f>HYPERLINK("https://www.ebay.com/sch/261328/i.html?_from=R40&amp;_nkw=2025%20Bowman%20Draft%20TANNER%20FRANKLIN%20%23BDC-90%20Chrome%20Refractor%201st%20Prospect&amp;_sacat=0&amp;LH_Sold=1&amp;LH_Complete=1&amp;_sop=13", "Completed")</f>
        <v/>
      </c>
      <c r="K730" s="11" t="inlineStr">
        <is>
          <t>2025 MLB BOWMAN DRAFT CHROME ~ YOU PICK Complete Your Set ~ 1st Prospect #1-200</t>
        </is>
      </c>
    </row>
    <row r="731">
      <c r="A731" s="2" t="inlineStr">
        <is>
          <t>EBAYRE-0001-00048-93077</t>
        </is>
      </c>
      <c r="B731" s="2" t="inlineStr">
        <is>
          <t>2025 Bowman Draft JAMIE ARNOLD #PP-11 Chrome Prized Prospects Athletics</t>
        </is>
      </c>
      <c r="C731" s="3" t="n">
        <v>2.99</v>
      </c>
      <c r="D731" s="3" t="n">
        <v>2.49</v>
      </c>
      <c r="E731" s="3" t="n">
        <v>-0.5</v>
      </c>
      <c r="F731" s="4" t="n">
        <v>-16.7</v>
      </c>
      <c r="G731" s="2" t="inlineStr">
        <is>
          <t>🔵 Floored $2.49 — free ship or $0.99 ship?</t>
        </is>
      </c>
      <c r="H731" s="2" t="inlineStr">
        <is>
          <t>86%</t>
        </is>
      </c>
      <c r="I731" s="2">
        <f>HYPERLINK("https://www.ebay.com/sch/261328/i.html?_dcat=261328&amp;_fsrp=1&amp;rt=nc&amp;_from=R40&amp;_nkw=2025%20Bowman%20Draft%20JAMIE%20ARNOLD%20%23PP-11%20Chrome%20Prized%20Prospects%20Athletics&amp;_sacat=0&amp;_sop=15&amp;rt=nc&amp;LH_BIN=1", "Active")</f>
        <v/>
      </c>
      <c r="J731" s="2">
        <f>HYPERLINK("https://www.ebay.com/sch/261328/i.html?_from=R40&amp;_nkw=2025%20Bowman%20Draft%20JAMIE%20ARNOLD%20%23PP-11%20Chrome%20Prized%20Prospects%20Athletics&amp;_sacat=0&amp;LH_Sold=1&amp;LH_Complete=1&amp;_sop=13", "Completed")</f>
        <v/>
      </c>
      <c r="K731" s="2" t="inlineStr">
        <is>
          <t>2025 Bowman Draft Chrome Prized Prospects #PP-11 Jamie Arnold Mojo Refractor</t>
        </is>
      </c>
    </row>
    <row r="732">
      <c r="A732" s="2" t="inlineStr">
        <is>
          <t>EBAYRE-0001-00040-55885</t>
        </is>
      </c>
      <c r="B732" s="2" t="inlineStr">
        <is>
          <t>2025 Topps Stadium Club KRISTIAN CAMPBELL #ICE-23 In Case Of Emergency RC Rookie</t>
        </is>
      </c>
      <c r="C732" s="3" t="n">
        <v>2.99</v>
      </c>
      <c r="D732" s="3" t="n">
        <v>2.49</v>
      </c>
      <c r="E732" s="3" t="n">
        <v>-0.5</v>
      </c>
      <c r="F732" s="4" t="n">
        <v>-16.7</v>
      </c>
      <c r="G732" s="2" t="inlineStr">
        <is>
          <t>🔵 Floored $2.49 — free ship or $0.99 ship?</t>
        </is>
      </c>
      <c r="H732" s="2" t="inlineStr">
        <is>
          <t>88%</t>
        </is>
      </c>
      <c r="I732" s="2">
        <f>HYPERLINK("https://www.ebay.com/sch/261328/i.html?_dcat=261328&amp;_fsrp=1&amp;rt=nc&amp;_from=R40&amp;_nkw=2025%20Topps%20Stadium%20Club%20KRISTIAN%20CAMPBELL%20%23ICE-23%20In%20Case%20Of%20Emergency%20RC%20Rookie&amp;_sacat=0&amp;_sop=15&amp;rt=nc&amp;LH_BIN=1", "Active")</f>
        <v/>
      </c>
      <c r="J732" s="2">
        <f>HYPERLINK("https://www.ebay.com/sch/261328/i.html?_from=R40&amp;_nkw=2025%20Topps%20Stadium%20Club%20KRISTIAN%20CAMPBELL%20%23ICE-23%20In%20Case%20Of%20Emergency%20RC%20Rookie&amp;_sacat=0&amp;LH_Sold=1&amp;LH_Complete=1&amp;_sop=13", "Completed")</f>
        <v/>
      </c>
      <c r="K732" s="2" t="inlineStr">
        <is>
          <t>2025 Topps Stadium Club - In Case of Emergency Kristian Campbell #ICE-23 (RC)</t>
        </is>
      </c>
    </row>
    <row r="733">
      <c r="A733" s="2" t="inlineStr">
        <is>
          <t>EBAYRE-0001-00034-08333</t>
        </is>
      </c>
      <c r="B733" s="2" t="inlineStr">
        <is>
          <t>2025 Topps Stadium Club ELLY DE LA CRUZ #16 Reds</t>
        </is>
      </c>
      <c r="C733" s="3" t="n">
        <v>2.99</v>
      </c>
      <c r="D733" s="3" t="n">
        <v>2.49</v>
      </c>
      <c r="E733" s="3" t="n">
        <v>-0.5</v>
      </c>
      <c r="F733" s="4" t="n">
        <v>-16.7</v>
      </c>
      <c r="G733" s="2" t="inlineStr">
        <is>
          <t>🔵 Floored $2.49 — free ship or $0.99 ship?</t>
        </is>
      </c>
      <c r="H733" s="2" t="inlineStr">
        <is>
          <t>67%</t>
        </is>
      </c>
      <c r="I733" s="2">
        <f>HYPERLINK("https://www.ebay.com/sch/261328/i.html?_dcat=261328&amp;_fsrp=1&amp;rt=nc&amp;_from=R40&amp;_nkw=2025%20Topps%20Stadium%20Club%20ELLY%20DE%20LA%20CRUZ%20%2316%20Reds&amp;_sacat=0&amp;_sop=15&amp;rt=nc&amp;LH_BIN=1", "Active")</f>
        <v/>
      </c>
      <c r="J733" s="2">
        <f>HYPERLINK("https://www.ebay.com/sch/261328/i.html?_from=R40&amp;_nkw=2025%20Topps%20Stadium%20Club%20ELLY%20DE%20LA%20CRUZ%20%2316%20Reds&amp;_sacat=0&amp;LH_Sold=1&amp;LH_Complete=1&amp;_sop=13", "Completed")</f>
        <v/>
      </c>
      <c r="K733" s="2" t="inlineStr">
        <is>
          <t>2025 Topps Stadium Club - Cincinnati Reds BUY 2 GET 2 FREE!</t>
        </is>
      </c>
    </row>
    <row r="734">
      <c r="A734" s="2" t="inlineStr">
        <is>
          <t>EBAYRE-0001-00042-34556</t>
        </is>
      </c>
      <c r="B734" s="2" t="inlineStr">
        <is>
          <t>2025 Topps Stadium Club YORDAN ALVAREZ #SS-25 Savage Sluggers Astros</t>
        </is>
      </c>
      <c r="C734" s="3" t="n">
        <v>2.99</v>
      </c>
      <c r="D734" s="3" t="n">
        <v>2.49</v>
      </c>
      <c r="E734" s="3" t="n">
        <v>-0.5</v>
      </c>
      <c r="F734" s="4" t="n">
        <v>-16.7</v>
      </c>
      <c r="G734" s="2" t="inlineStr">
        <is>
          <t>🔵 Floored $2.49 — free ship or $0.99 ship?</t>
        </is>
      </c>
      <c r="H734" s="2" t="inlineStr">
        <is>
          <t>80%</t>
        </is>
      </c>
      <c r="I734" s="2">
        <f>HYPERLINK("https://www.ebay.com/sch/261328/i.html?_dcat=261328&amp;_fsrp=1&amp;rt=nc&amp;_from=R40&amp;_nkw=2025%20Topps%20Stadium%20Club%20YORDAN%20ALVAREZ%20%23SS-25%20Savage%20Sluggers%20Astros&amp;_sacat=0&amp;_sop=15&amp;rt=nc&amp;LH_BIN=1", "Active")</f>
        <v/>
      </c>
      <c r="J734" s="2">
        <f>HYPERLINK("https://www.ebay.com/sch/261328/i.html?_from=R40&amp;_nkw=2025%20Topps%20Stadium%20Club%20YORDAN%20ALVAREZ%20%23SS-25%20Savage%20Sluggers%20Astros&amp;_sacat=0&amp;LH_Sold=1&amp;LH_Complete=1&amp;_sop=13", "Completed")</f>
        <v/>
      </c>
      <c r="K734" s="2" t="inlineStr">
        <is>
          <t>Yordan Alvarez 2025 Topps Stadium Club Savage Sluggers #SS-25 Houston Astros</t>
        </is>
      </c>
    </row>
    <row r="735">
      <c r="A735" s="2" t="inlineStr">
        <is>
          <t>EBAYRE-0001-00037-49177</t>
        </is>
      </c>
      <c r="B735" s="2" t="inlineStr">
        <is>
          <t>2025 Topps Stadium Club FERNANDO TATIS JR. #YK-25 Yours For The Taking Padres</t>
        </is>
      </c>
      <c r="C735" s="3" t="n">
        <v>2.99</v>
      </c>
      <c r="D735" s="3" t="n">
        <v>2.49</v>
      </c>
      <c r="E735" s="3" t="n">
        <v>-0.5</v>
      </c>
      <c r="F735" s="4" t="n">
        <v>-16.7</v>
      </c>
      <c r="G735" s="2" t="inlineStr">
        <is>
          <t>🔵 Floored $2.49 — free ship or $0.99 ship?</t>
        </is>
      </c>
      <c r="H735" s="2" t="inlineStr">
        <is>
          <t>88%</t>
        </is>
      </c>
      <c r="I735" s="2">
        <f>HYPERLINK("https://www.ebay.com/sch/261328/i.html?_dcat=261328&amp;_fsrp=1&amp;rt=nc&amp;_from=R40&amp;_nkw=2025%20Topps%20Stadium%20Club%20FERNANDO%20TATIS%20JR.%20%23YK-25%20Yours%20For%20The%20Taking%20Padres&amp;_sacat=0&amp;_sop=15&amp;rt=nc&amp;LH_BIN=1", "Active")</f>
        <v/>
      </c>
      <c r="J735" s="2">
        <f>HYPERLINK("https://www.ebay.com/sch/261328/i.html?_from=R40&amp;_nkw=2025%20Topps%20Stadium%20Club%20FERNANDO%20TATIS%20JR.%20%23YK-25%20Yours%20For%20The%20Taking%20Padres&amp;_sacat=0&amp;LH_Sold=1&amp;LH_Complete=1&amp;_sop=13", "Completed")</f>
        <v/>
      </c>
      <c r="K735" s="2" t="inlineStr">
        <is>
          <t>2025 Stadium Club Yours for the Taking #YK-25 Fernando Tatis Jr. Padres 6951</t>
        </is>
      </c>
    </row>
    <row r="736">
      <c r="A736" s="2" t="inlineStr">
        <is>
          <t>EBAYRE-0001-00045-98087</t>
        </is>
      </c>
      <c r="B736" s="2" t="inlineStr">
        <is>
          <t>2025 Topps Stadium Club WADE BOGGS #ICE-17 In Case Of Emergency Red Sox</t>
        </is>
      </c>
      <c r="C736" s="3" t="n">
        <v>2.99</v>
      </c>
      <c r="D736" s="3" t="n">
        <v>2.49</v>
      </c>
      <c r="E736" s="3" t="n">
        <v>-0.5</v>
      </c>
      <c r="F736" s="4" t="n">
        <v>-16.7</v>
      </c>
      <c r="G736" s="2" t="inlineStr">
        <is>
          <t>🔵 Floored $2.49 — free ship or $0.99 ship?</t>
        </is>
      </c>
      <c r="H736" s="2" t="inlineStr">
        <is>
          <t>87%</t>
        </is>
      </c>
      <c r="I736" s="2">
        <f>HYPERLINK("https://www.ebay.com/sch/261328/i.html?_dcat=261328&amp;_fsrp=1&amp;rt=nc&amp;_from=R40&amp;_nkw=2025%20Topps%20Stadium%20Club%20WADE%20BOGGS%20%23ICE-17%20In%20Case%20Of%20Emergency%20Red%20Sox&amp;_sacat=0&amp;_sop=15&amp;rt=nc&amp;LH_BIN=1", "Active")</f>
        <v/>
      </c>
      <c r="J736" s="2">
        <f>HYPERLINK("https://www.ebay.com/sch/261328/i.html?_from=R40&amp;_nkw=2025%20Topps%20Stadium%20Club%20WADE%20BOGGS%20%23ICE-17%20In%20Case%20Of%20Emergency%20Red%20Sox&amp;_sacat=0&amp;LH_Sold=1&amp;LH_Complete=1&amp;_sop=13", "Completed")</f>
        <v/>
      </c>
      <c r="K736" s="2" t="inlineStr">
        <is>
          <t>2025 Stadium Club #ICE-17 Wade Boggs In Case of Emergency Card Boston Red Sox</t>
        </is>
      </c>
    </row>
    <row r="737">
      <c r="A737" s="2" t="inlineStr">
        <is>
          <t>EBAYRE-0001-00004-28260</t>
        </is>
      </c>
      <c r="B737" s="2" t="inlineStr">
        <is>
          <t>2025 Bowman Draft ANDREW SALAS #BIA-28 In Action Marlins</t>
        </is>
      </c>
      <c r="C737" s="3" t="n">
        <v>3.49</v>
      </c>
      <c r="D737" s="3" t="n">
        <v>2.49</v>
      </c>
      <c r="E737" s="3" t="n">
        <v>-1</v>
      </c>
      <c r="F737" s="4" t="n">
        <v>-28.7</v>
      </c>
      <c r="G737" s="2" t="inlineStr">
        <is>
          <t>🔵 Floored $2.49 — free ship or $0.99 ship?</t>
        </is>
      </c>
      <c r="H737" s="2" t="inlineStr">
        <is>
          <t>88%</t>
        </is>
      </c>
      <c r="I737" s="2">
        <f>HYPERLINK("https://www.ebay.com/sch/261328/i.html?_dcat=261328&amp;_fsrp=1&amp;rt=nc&amp;_from=R40&amp;_nkw=2025%20Bowman%20Draft%20ANDREW%20SALAS%20%23BIA-28%20In%20Action%20Marlins&amp;_sacat=0&amp;_sop=15&amp;rt=nc&amp;LH_BIN=1", "Active")</f>
        <v/>
      </c>
      <c r="J737" s="2">
        <f>HYPERLINK("https://www.ebay.com/sch/261328/i.html?_from=R40&amp;_nkw=2025%20Bowman%20Draft%20ANDREW%20SALAS%20%23BIA-28%20In%20Action%20Marlins&amp;_sacat=0&amp;LH_Sold=1&amp;LH_Complete=1&amp;_sop=13", "Completed")</f>
        <v/>
      </c>
      <c r="K737" s="2" t="inlineStr">
        <is>
          <t>2025 Bowman Draft Andrew Salas In Action Insert #BIA-28 Marlins</t>
        </is>
      </c>
    </row>
    <row r="738">
      <c r="A738" s="5" t="inlineStr">
        <is>
          <t>EBAYRE-0001-00029-55264</t>
        </is>
      </c>
      <c r="B738" s="5" t="inlineStr">
        <is>
          <t>2025 Bowman's Best JJ WETHERHOLT #TP-14 Top Prospects Cardinals Football</t>
        </is>
      </c>
      <c r="C738" s="6" t="n">
        <v>5.49</v>
      </c>
      <c r="D738" s="6" t="n">
        <v>6.29</v>
      </c>
      <c r="E738" s="6" t="n">
        <v>0.8</v>
      </c>
      <c r="F738" s="7" t="n">
        <v>14.6</v>
      </c>
      <c r="G738" s="5" t="inlineStr">
        <is>
          <t>⬆ Price Up</t>
        </is>
      </c>
      <c r="H738" s="5" t="inlineStr">
        <is>
          <t>100%</t>
        </is>
      </c>
      <c r="I738" s="5">
        <f>HYPERLINK("https://www.ebay.com/sch/261328/i.html?_dcat=261328&amp;_fsrp=1&amp;rt=nc&amp;_from=R40&amp;_nkw=2025%20Bowman's%20Best%20JJ%20WETHERHOLT%20%23TP-14%20Top%20Prospects%20Cardinals%20Football&amp;_sacat=0&amp;_sop=15&amp;rt=nc&amp;LH_BIN=1", "Active")</f>
        <v/>
      </c>
      <c r="J738" s="5">
        <f>HYPERLINK("https://www.ebay.com/sch/261328/i.html?_from=R40&amp;_nkw=2025%20Bowman's%20Best%20JJ%20WETHERHOLT%20%23TP-14%20Top%20Prospects%20Cardinals%20Football&amp;_sacat=0&amp;LH_Sold=1&amp;LH_Complete=1&amp;_sop=13", "Completed")</f>
        <v/>
      </c>
      <c r="K738" s="5" t="inlineStr">
        <is>
          <t>2025 Bowman's Best JJ WETHERHOLT #TP-14 Top Prospects Cardinals Football</t>
        </is>
      </c>
    </row>
    <row r="739">
      <c r="A739" s="5" t="inlineStr">
        <is>
          <t>EBAYRE-0001-00015-96498</t>
        </is>
      </c>
      <c r="B739" s="5" t="inlineStr">
        <is>
          <t>2025 Bowman Chrome Sapphire CRISTOPHER ACOSTA #BCP-176 Yellow Refractor /75 USA</t>
        </is>
      </c>
      <c r="C739" s="6" t="n">
        <v>15.99</v>
      </c>
      <c r="D739" s="6" t="n">
        <v>16.49</v>
      </c>
      <c r="E739" s="6" t="n">
        <v>0.5</v>
      </c>
      <c r="F739" s="7" t="n">
        <v>3.1</v>
      </c>
      <c r="G739" s="5" t="inlineStr">
        <is>
          <t>⬆ Price Up</t>
        </is>
      </c>
      <c r="H739" s="5" t="inlineStr">
        <is>
          <t>100%</t>
        </is>
      </c>
      <c r="I739" s="5">
        <f>HYPERLINK("https://www.ebay.com/sch/261328/i.html?_dcat=261328&amp;_fsrp=1&amp;rt=nc&amp;_from=R40&amp;_nkw=2025%20Bowman%20Chrome%20Sapphire%20CRISTOPHER%20ACOSTA%20%23BCP-176%20Yellow%20Refractor%20%2F75%20USA&amp;_sacat=0&amp;_sop=15&amp;rt=nc&amp;LH_BIN=1", "Active")</f>
        <v/>
      </c>
      <c r="J739" s="5">
        <f>HYPERLINK("https://www.ebay.com/sch/261328/i.html?_from=R40&amp;_nkw=2025%20Bowman%20Chrome%20Sapphire%20CRISTOPHER%20ACOSTA%20%23BCP-176%20Yellow%20Refractor%20%2F75%20USA&amp;_sacat=0&amp;LH_Sold=1&amp;LH_Complete=1&amp;_sop=13", "Completed")</f>
        <v/>
      </c>
      <c r="K739" s="5" t="inlineStr">
        <is>
          <t>2025 Bowman Chrome Sapphire CRISTOPHER ACOSTA #BCP-176 Yellow Refractor /75 USA</t>
        </is>
      </c>
    </row>
    <row r="740">
      <c r="A740" s="5" t="inlineStr">
        <is>
          <t>EBAYRE-0001-00019-57993</t>
        </is>
      </c>
      <c r="B740" s="5" t="inlineStr">
        <is>
          <t>2025 Bowman Draft MAX WILLIAMS #BDC-68 Chrome Purple Geometric Refractor /250</t>
        </is>
      </c>
      <c r="C740" s="6" t="n">
        <v>7.19</v>
      </c>
      <c r="D740" s="6" t="n">
        <v>7.89</v>
      </c>
      <c r="E740" s="6" t="n">
        <v>0.7</v>
      </c>
      <c r="F740" s="7" t="n">
        <v>9.699999999999999</v>
      </c>
      <c r="G740" s="5" t="inlineStr">
        <is>
          <t>⬆ Price Up</t>
        </is>
      </c>
      <c r="H740" s="5" t="inlineStr">
        <is>
          <t>100%</t>
        </is>
      </c>
      <c r="I740" s="5">
        <f>HYPERLINK("https://www.ebay.com/sch/261328/i.html?_dcat=261328&amp;_fsrp=1&amp;rt=nc&amp;_from=R40&amp;_nkw=2025%20Bowman%20Draft%20MAX%20WILLIAMS%20%23BDC-68%20Chrome%20Purple%20Geometric%20Refractor%20%2F250&amp;_sacat=0&amp;_sop=15&amp;rt=nc&amp;LH_BIN=1", "Active")</f>
        <v/>
      </c>
      <c r="J740" s="5">
        <f>HYPERLINK("https://www.ebay.com/sch/261328/i.html?_from=R40&amp;_nkw=2025%20Bowman%20Draft%20MAX%20WILLIAMS%20%23BDC-68%20Chrome%20Purple%20Geometric%20Refractor%20%2F250&amp;_sacat=0&amp;LH_Sold=1&amp;LH_Complete=1&amp;_sop=13", "Completed")</f>
        <v/>
      </c>
      <c r="K740" s="5" t="inlineStr">
        <is>
          <t>2025 Bowman Draft MAX WILLIAMS #BDC-68 Chrome Purple Geometric Refractor /250</t>
        </is>
      </c>
    </row>
    <row r="741">
      <c r="A741" s="11" t="inlineStr">
        <is>
          <t>EBAYRE-0001-00027-99967</t>
        </is>
      </c>
      <c r="B741" s="11" t="inlineStr">
        <is>
          <t>2025 Bowman Draft JJ WETHERHOLT #PP-18 Chrome Prized Prospects Cardinals</t>
        </is>
      </c>
      <c r="C741" s="12" t="n">
        <v>3.99</v>
      </c>
      <c r="D741" s="12" t="n">
        <v>3.09</v>
      </c>
      <c r="E741" s="12" t="n">
        <v>-0.9</v>
      </c>
      <c r="F741" s="13" t="n">
        <v>-22.6</v>
      </c>
      <c r="G741" s="11" t="inlineStr">
        <is>
          <t>⬇ Price Down</t>
        </is>
      </c>
      <c r="H741" s="11" t="inlineStr">
        <is>
          <t>88%</t>
        </is>
      </c>
      <c r="I741" s="11">
        <f>HYPERLINK("https://www.ebay.com/sch/261328/i.html?_dcat=261328&amp;_fsrp=1&amp;rt=nc&amp;_from=R40&amp;_nkw=2025%20Bowman%20Draft%20JJ%20WETHERHOLT%20%23PP-18%20Chrome%20Prized%20Prospects%20Cardinals&amp;_sacat=0&amp;_sop=15&amp;rt=nc&amp;LH_BIN=1", "Active")</f>
        <v/>
      </c>
      <c r="J741" s="11">
        <f>HYPERLINK("https://www.ebay.com/sch/261328/i.html?_from=R40&amp;_nkw=2025%20Bowman%20Draft%20JJ%20WETHERHOLT%20%23PP-18%20Chrome%20Prized%20Prospects%20Cardinals&amp;_sacat=0&amp;LH_Sold=1&amp;LH_Complete=1&amp;_sop=13", "Completed")</f>
        <v/>
      </c>
      <c r="K741" s="11" t="inlineStr">
        <is>
          <t>2025 Bowman Draft Chrome  JJ WETHERHOLT  Prized Prospects  #PP-18 Mojo Cardinals</t>
        </is>
      </c>
    </row>
    <row r="742">
      <c r="A742" s="11" t="inlineStr">
        <is>
          <t>EBAYRE-0001-00014-92773</t>
        </is>
      </c>
      <c r="B742" s="11" t="inlineStr">
        <is>
          <t>2025 Bowman Chrome JOSE ANDERSON #BCP-193 Green Refractor /99 1st Prospect</t>
        </is>
      </c>
      <c r="C742" s="12" t="n">
        <v>9.69</v>
      </c>
      <c r="D742" s="12" t="n">
        <v>6.19</v>
      </c>
      <c r="E742" s="12" t="n">
        <v>-3.5</v>
      </c>
      <c r="F742" s="13" t="n">
        <v>-36.1</v>
      </c>
      <c r="G742" s="11" t="inlineStr">
        <is>
          <t>⬇ Price Down</t>
        </is>
      </c>
      <c r="H742" s="11" t="inlineStr">
        <is>
          <t>79%</t>
        </is>
      </c>
      <c r="I742" s="11">
        <f>HYPERLINK("https://www.ebay.com/sch/261328/i.html?_dcat=261328&amp;_fsrp=1&amp;rt=nc&amp;_from=R40&amp;_nkw=2025%20Bowman%20Chrome%20JOSE%20ANDERSON%20%23BCP-193%20Green%20Refractor%20%2F99%201st%20Prospect&amp;_sacat=0&amp;_sop=15&amp;rt=nc&amp;LH_BIN=1", "Active")</f>
        <v/>
      </c>
      <c r="J742" s="11">
        <f>HYPERLINK("https://www.ebay.com/sch/261328/i.html?_from=R40&amp;_nkw=2025%20Bowman%20Chrome%20JOSE%20ANDERSON%20%23BCP-193%20Green%20Refractor%20%2F99%201st%20Prospect&amp;_sacat=0&amp;LH_Sold=1&amp;LH_Complete=1&amp;_sop=13", "Completed")</f>
        <v/>
      </c>
      <c r="K742" s="11" t="inlineStr">
        <is>
          <t>Jose Anderson RC 2025 Bowman Chrome GREEN REFRACTOR 59/99 #BCP-193 Prospect z42</t>
        </is>
      </c>
    </row>
    <row r="743">
      <c r="A743" s="2" t="inlineStr">
        <is>
          <t>EBAYRE-0001-00049-76082</t>
        </is>
      </c>
      <c r="B743" s="2" t="inlineStr">
        <is>
          <t>2025 Topps Stadium Club REGGIE JACKSON #SS-11 Savage Sluggers Athletics</t>
        </is>
      </c>
      <c r="C743" s="3" t="n">
        <v>2.99</v>
      </c>
      <c r="D743" s="3" t="n">
        <v>2.49</v>
      </c>
      <c r="E743" s="3" t="n">
        <v>-0.5</v>
      </c>
      <c r="F743" s="4" t="n">
        <v>-16.7</v>
      </c>
      <c r="G743" s="2" t="inlineStr">
        <is>
          <t>🔵 Floored $2.49 — free ship or $0.99 ship?</t>
        </is>
      </c>
      <c r="H743" s="2" t="inlineStr">
        <is>
          <t>80%</t>
        </is>
      </c>
      <c r="I743" s="2">
        <f>HYPERLINK("https://www.ebay.com/sch/261328/i.html?_dcat=261328&amp;_fsrp=1&amp;rt=nc&amp;_from=R40&amp;_nkw=2025%20Topps%20Stadium%20Club%20REGGIE%20JACKSON%20%23SS-11%20Savage%20Sluggers%20Athletics&amp;_sacat=0&amp;_sop=15&amp;rt=nc&amp;LH_BIN=1", "Active")</f>
        <v/>
      </c>
      <c r="J743" s="2">
        <f>HYPERLINK("https://www.ebay.com/sch/261328/i.html?_from=R40&amp;_nkw=2025%20Topps%20Stadium%20Club%20REGGIE%20JACKSON%20%23SS-11%20Savage%20Sluggers%20Athletics&amp;_sacat=0&amp;LH_Sold=1&amp;LH_Complete=1&amp;_sop=13", "Completed")</f>
        <v/>
      </c>
      <c r="K743" s="2" t="inlineStr">
        <is>
          <t>Reggie Jackson 2025 Topps Stadium Club Savage Sluggers #SS-11 Oakland Athletics</t>
        </is>
      </c>
    </row>
    <row r="744">
      <c r="A744" s="5" t="inlineStr">
        <is>
          <t>EBAYRE-0001-00006-71692</t>
        </is>
      </c>
      <c r="B744" s="5" t="inlineStr">
        <is>
          <t>2025 Bowman Draft COOPER FLEMMING #BDC-166 Chrome Refractor 1st Prospect Rays</t>
        </is>
      </c>
      <c r="C744" s="6" t="n">
        <v>2.99</v>
      </c>
      <c r="D744" s="6" t="n">
        <v>3.89</v>
      </c>
      <c r="E744" s="6" t="n">
        <v>0.9</v>
      </c>
      <c r="F744" s="7" t="n">
        <v>30.1</v>
      </c>
      <c r="G744" s="5" t="inlineStr">
        <is>
          <t>⬆ Price Up</t>
        </is>
      </c>
      <c r="H744" s="5" t="inlineStr">
        <is>
          <t>100%</t>
        </is>
      </c>
      <c r="I744" s="5">
        <f>HYPERLINK("https://www.ebay.com/sch/261328/i.html?_dcat=261328&amp;_fsrp=1&amp;rt=nc&amp;_from=R40&amp;_nkw=2025%20Bowman%20Draft%20COOPER%20FLEMMING%20%23BDC-166%20Chrome%20Refractor%201st%20Prospect%20Rays&amp;_sacat=0&amp;_sop=15&amp;rt=nc&amp;LH_BIN=1", "Active")</f>
        <v/>
      </c>
      <c r="J744" s="5">
        <f>HYPERLINK("https://www.ebay.com/sch/261328/i.html?_from=R40&amp;_nkw=2025%20Bowman%20Draft%20COOPER%20FLEMMING%20%23BDC-166%20Chrome%20Refractor%201st%20Prospect%20Rays&amp;_sacat=0&amp;LH_Sold=1&amp;LH_Complete=1&amp;_sop=13", "Completed")</f>
        <v/>
      </c>
      <c r="K744" s="5" t="inlineStr">
        <is>
          <t>2025 Bowman Draft COOPER FLEMMING #BDC-166 Chrome Refractor 1st Prospect Rays</t>
        </is>
      </c>
    </row>
    <row r="745">
      <c r="A745" s="5" t="inlineStr">
        <is>
          <t>EBAYRE-0001-00026-37508</t>
        </is>
      </c>
      <c r="B745" s="5" t="inlineStr">
        <is>
          <t>2025 Bowman Draft JJ WETHERHOLT #A-12 Axis Chrome Cardinals Football</t>
        </is>
      </c>
      <c r="C745" s="6" t="n">
        <v>3.99</v>
      </c>
      <c r="D745" s="6" t="n">
        <v>4.79</v>
      </c>
      <c r="E745" s="6" t="n">
        <v>0.8</v>
      </c>
      <c r="F745" s="7" t="n">
        <v>20.1</v>
      </c>
      <c r="G745" s="5" t="inlineStr">
        <is>
          <t>⬆ Price Up</t>
        </is>
      </c>
      <c r="H745" s="5" t="inlineStr">
        <is>
          <t>100%</t>
        </is>
      </c>
      <c r="I745" s="5">
        <f>HYPERLINK("https://www.ebay.com/sch/261328/i.html?_dcat=261328&amp;_fsrp=1&amp;rt=nc&amp;_from=R40&amp;_nkw=2025%20Bowman%20Draft%20JJ%20WETHERHOLT%20%23A-12%20Axis%20Chrome%20Cardinals%20Football&amp;_sacat=0&amp;_sop=15&amp;rt=nc&amp;LH_BIN=1", "Active")</f>
        <v/>
      </c>
      <c r="J745" s="5">
        <f>HYPERLINK("https://www.ebay.com/sch/261328/i.html?_from=R40&amp;_nkw=2025%20Bowman%20Draft%20JJ%20WETHERHOLT%20%23A-12%20Axis%20Chrome%20Cardinals%20Football&amp;_sacat=0&amp;LH_Sold=1&amp;LH_Complete=1&amp;_sop=13", "Completed")</f>
        <v/>
      </c>
      <c r="K745" s="5" t="inlineStr">
        <is>
          <t>2025 Bowman Draft JJ WETHERHOLT #A-12 Axis Chrome Cardinals Football</t>
        </is>
      </c>
    </row>
    <row r="746">
      <c r="A746" s="2" t="inlineStr">
        <is>
          <t>EBAYRE-0001-00044-51059</t>
        </is>
      </c>
      <c r="B746" s="2" t="inlineStr">
        <is>
          <t>2025 Topps Stadium Club COBY MAYO #SS-22 Savage Sluggers RC Orioles Rookie</t>
        </is>
      </c>
      <c r="C746" s="3" t="n">
        <v>2.99</v>
      </c>
      <c r="D746" s="3" t="n">
        <v>2.49</v>
      </c>
      <c r="E746" s="3" t="n">
        <v>-0.5</v>
      </c>
      <c r="F746" s="4" t="n">
        <v>-16.7</v>
      </c>
      <c r="G746" s="2" t="inlineStr">
        <is>
          <t>🔵 Floored $2.49 — free ship or $0.99 ship?</t>
        </is>
      </c>
      <c r="H746" s="2" t="inlineStr">
        <is>
          <t>86%</t>
        </is>
      </c>
      <c r="I746" s="2">
        <f>HYPERLINK("https://www.ebay.com/sch/261328/i.html?_dcat=261328&amp;_fsrp=1&amp;rt=nc&amp;_from=R40&amp;_nkw=2025%20Topps%20Stadium%20Club%20COBY%20MAYO%20%23SS-22%20Savage%20Sluggers%20RC%20Orioles%20Rookie&amp;_sacat=0&amp;_sop=15&amp;rt=nc&amp;LH_BIN=1", "Active")</f>
        <v/>
      </c>
      <c r="J746" s="2">
        <f>HYPERLINK("https://www.ebay.com/sch/261328/i.html?_from=R40&amp;_nkw=2025%20Topps%20Stadium%20Club%20COBY%20MAYO%20%23SS-22%20Savage%20Sluggers%20RC%20Orioles%20Rookie&amp;_sacat=0&amp;LH_Sold=1&amp;LH_Complete=1&amp;_sop=13", "Completed")</f>
        <v/>
      </c>
      <c r="K746" s="2" t="inlineStr">
        <is>
          <t>2025 Stadium Club #SS-22 Coby Mayo Savage Sluggers Baltimore Orioles RC</t>
        </is>
      </c>
    </row>
    <row r="747">
      <c r="A747" s="2" t="inlineStr">
        <is>
          <t>EBAYRE-0001-00002-70378</t>
        </is>
      </c>
      <c r="B747" s="2" t="inlineStr">
        <is>
          <t>2025 Bowman Draft JACK GUREVITCH #BDC-150 Chrome Refractor 1st Prospect</t>
        </is>
      </c>
      <c r="C747" s="3" t="n">
        <v>2.99</v>
      </c>
      <c r="D747" s="3" t="n">
        <v>2.49</v>
      </c>
      <c r="E747" s="3" t="n">
        <v>-0.5</v>
      </c>
      <c r="F747" s="4" t="n">
        <v>-16.7</v>
      </c>
      <c r="G747" s="2" t="inlineStr">
        <is>
          <t>🔵 Floored $2.49 — free ship or $0.99 ship?</t>
        </is>
      </c>
      <c r="H747" s="2" t="inlineStr">
        <is>
          <t>70%</t>
        </is>
      </c>
      <c r="I747" s="2">
        <f>HYPERLINK("https://www.ebay.com/sch/261328/i.html?_dcat=261328&amp;_fsrp=1&amp;rt=nc&amp;_from=R40&amp;_nkw=2025%20Bowman%20Draft%20JACK%20GUREVITCH%20%23BDC-150%20Chrome%20Refractor%201st%20Prospect&amp;_sacat=0&amp;_sop=15&amp;rt=nc&amp;LH_BIN=1", "Active")</f>
        <v/>
      </c>
      <c r="J747" s="2">
        <f>HYPERLINK("https://www.ebay.com/sch/261328/i.html?_from=R40&amp;_nkw=2025%20Bowman%20Draft%20JACK%20GUREVITCH%20%23BDC-150%20Chrome%20Refractor%201st%20Prospect&amp;_sacat=0&amp;LH_Sold=1&amp;LH_Complete=1&amp;_sop=13", "Completed")</f>
        <v/>
      </c>
      <c r="K747" s="2" t="inlineStr">
        <is>
          <t>2025 Bowman Draft Chrome Pick Your Card BDC 1st Bowman MLB Prospect RC Refractor</t>
        </is>
      </c>
    </row>
    <row r="748">
      <c r="A748" s="2" t="inlineStr">
        <is>
          <t>EBAYRE-0001-00039-32809</t>
        </is>
      </c>
      <c r="B748" s="2" t="inlineStr">
        <is>
          <t>2025 Topps Stadium Club DYLAN CREWS #102 RC Nationals Rookie</t>
        </is>
      </c>
      <c r="C748" s="3" t="n">
        <v>2.99</v>
      </c>
      <c r="D748" s="3" t="n">
        <v>2.49</v>
      </c>
      <c r="E748" s="3" t="n">
        <v>-0.5</v>
      </c>
      <c r="F748" s="4" t="n">
        <v>-16.7</v>
      </c>
      <c r="G748" s="2" t="inlineStr">
        <is>
          <t>🔵 Floored $2.49 — free ship or $0.99 ship?</t>
        </is>
      </c>
      <c r="H748" s="2" t="inlineStr">
        <is>
          <t>86%</t>
        </is>
      </c>
      <c r="I748" s="2">
        <f>HYPERLINK("https://www.ebay.com/sch/261328/i.html?_dcat=261328&amp;_fsrp=1&amp;rt=nc&amp;_from=R40&amp;_nkw=2025%20Topps%20Stadium%20Club%20DYLAN%20CREWS%20%23102%20RC%20Nationals%20Rookie&amp;_sacat=0&amp;_sop=15&amp;rt=nc&amp;LH_BIN=1", "Active")</f>
        <v/>
      </c>
      <c r="J748" s="2">
        <f>HYPERLINK("https://www.ebay.com/sch/261328/i.html?_from=R40&amp;_nkw=2025%20Topps%20Stadium%20Club%20DYLAN%20CREWS%20%23102%20RC%20Nationals%20Rookie&amp;_sacat=0&amp;LH_Sold=1&amp;LH_Complete=1&amp;_sop=13", "Completed")</f>
        <v/>
      </c>
      <c r="K748" s="2" t="inlineStr">
        <is>
          <t>2025 Dylan Crews Topps Stadium Club RC Rookie Card Washington Nationals #102</t>
        </is>
      </c>
    </row>
    <row r="749">
      <c r="A749" s="2" t="inlineStr">
        <is>
          <t>EBAYRE-0001-00005-49828</t>
        </is>
      </c>
      <c r="B749" s="2" t="inlineStr">
        <is>
          <t>2025 Bowman Draft DOMINIC FRITTON #BDC-189 Chrome 1st Prospect Rays</t>
        </is>
      </c>
      <c r="C749" s="3" t="n">
        <v>2.99</v>
      </c>
      <c r="D749" s="3" t="n">
        <v>2.49</v>
      </c>
      <c r="E749" s="3" t="n">
        <v>-0.5</v>
      </c>
      <c r="F749" s="4" t="n">
        <v>-16.7</v>
      </c>
      <c r="G749" s="2" t="inlineStr">
        <is>
          <t>🔵 Floored $2.49 — free ship or $0.99 ship?</t>
        </is>
      </c>
      <c r="H749" s="2" t="inlineStr">
        <is>
          <t>85%</t>
        </is>
      </c>
      <c r="I749" s="2">
        <f>HYPERLINK("https://www.ebay.com/sch/261328/i.html?_dcat=261328&amp;_fsrp=1&amp;rt=nc&amp;_from=R40&amp;_nkw=2025%20Bowman%20Draft%20DOMINIC%20FRITTON%20%23BDC-189%20Chrome%201st%20Prospect%20Rays&amp;_sacat=0&amp;_sop=15&amp;rt=nc&amp;LH_BIN=1", "Active")</f>
        <v/>
      </c>
      <c r="J749" s="2">
        <f>HYPERLINK("https://www.ebay.com/sch/261328/i.html?_from=R40&amp;_nkw=2025%20Bowman%20Draft%20DOMINIC%20FRITTON%20%23BDC-189%20Chrome%201st%20Prospect%20Rays&amp;_sacat=0&amp;LH_Sold=1&amp;LH_Complete=1&amp;_sop=13", "Completed")</f>
        <v/>
      </c>
      <c r="K749" s="2" t="inlineStr">
        <is>
          <t>2025 Bowman Draft DOMINIC FRITTON 1st Bowman Chrome #BDC-189 Tampa Bay Rays</t>
        </is>
      </c>
    </row>
    <row r="750">
      <c r="A750" s="5" t="inlineStr">
        <is>
          <t>EBAYRE-0001-00051-01817</t>
        </is>
      </c>
      <c r="B750" s="5" t="inlineStr">
        <is>
          <t>2025 Bowman's Best RAFAEL DEVERS #21 Purple Refractor 239/250 Giants Football</t>
        </is>
      </c>
      <c r="C750" s="6" t="n">
        <v>4.49</v>
      </c>
      <c r="D750" s="6" t="n">
        <v>5.29</v>
      </c>
      <c r="E750" s="6" t="n">
        <v>0.8</v>
      </c>
      <c r="F750" s="7" t="n">
        <v>17.8</v>
      </c>
      <c r="G750" s="5" t="inlineStr">
        <is>
          <t>⬆ Price Up</t>
        </is>
      </c>
      <c r="H750" s="5" t="inlineStr">
        <is>
          <t>100%</t>
        </is>
      </c>
      <c r="I750" s="5">
        <f>HYPERLINK("https://www.ebay.com/sch/261328/i.html?_dcat=261328&amp;_fsrp=1&amp;rt=nc&amp;_from=R40&amp;_nkw=2025%20Bowman's%20Best%20RAFAEL%20DEVERS%20%2321%20Purple%20Refractor%20239%2F250%20Giants%20Football&amp;_sacat=0&amp;_sop=15&amp;rt=nc&amp;LH_BIN=1", "Active")</f>
        <v/>
      </c>
      <c r="J750" s="5">
        <f>HYPERLINK("https://www.ebay.com/sch/261328/i.html?_from=R40&amp;_nkw=2025%20Bowman's%20Best%20RAFAEL%20DEVERS%20%2321%20Purple%20Refractor%20239%2F250%20Giants%20Football&amp;_sacat=0&amp;LH_Sold=1&amp;LH_Complete=1&amp;_sop=13", "Completed")</f>
        <v/>
      </c>
      <c r="K750" s="5" t="inlineStr">
        <is>
          <t>2025 Bowman's Best RAFAEL DEVERS #21 Purple Refractor 239/250 Giants Football</t>
        </is>
      </c>
    </row>
    <row r="751">
      <c r="A751" s="2" t="inlineStr">
        <is>
          <t>RBM-0001-00017-72164</t>
        </is>
      </c>
      <c r="B751" s="2" t="inlineStr">
        <is>
          <t>2021-22 Panini Prizm Draft PICKS CADE CUNNINGHAM #1 RC Cowboys Rookie Basketball</t>
        </is>
      </c>
      <c r="C751" s="3" t="n">
        <v>3.49</v>
      </c>
      <c r="D751" s="3" t="n">
        <v>2.49</v>
      </c>
      <c r="E751" s="3" t="n">
        <v>-1</v>
      </c>
      <c r="F751" s="4" t="n">
        <v>-28.7</v>
      </c>
      <c r="G751" s="2" t="inlineStr">
        <is>
          <t>🔵 Floored $2.49 — free ship or $0.99 ship?</t>
        </is>
      </c>
      <c r="H751" s="2" t="inlineStr">
        <is>
          <t>87%</t>
        </is>
      </c>
      <c r="I751" s="2">
        <f>HYPERLINK("https://www.ebay.com/sch/261328/i.html?_dcat=261328&amp;_fsrp=1&amp;rt=nc&amp;_from=R40&amp;_nkw=2021-22%20Panini%20Prizm%20Draft%20PICKS%20CADE%20CUNNINGHAM%20%231%20RC%20Cowboys%20Rookie%20Basketball&amp;_sacat=0&amp;_sop=15&amp;rt=nc&amp;LH_BIN=1", "Active")</f>
        <v/>
      </c>
      <c r="J751" s="2">
        <f>HYPERLINK("https://www.ebay.com/sch/261328/i.html?_from=R40&amp;_nkw=2021-22%20Panini%20Prizm%20Draft%20PICKS%20CADE%20CUNNINGHAM%20%231%20RC%20Cowboys%20Rookie%20Basketball&amp;_sacat=0&amp;LH_Sold=1&amp;LH_Complete=1&amp;_sop=13", "Completed")</f>
        <v/>
      </c>
      <c r="K751" s="2" t="inlineStr">
        <is>
          <t>2021-22 Panini Prizm Draft Picks #1 Cade Cunningham RC Rookie OSU Cowboys</t>
        </is>
      </c>
    </row>
    <row r="752">
      <c r="A752" s="5" t="inlineStr">
        <is>
          <t>RBM-0001-00023-35549</t>
        </is>
      </c>
      <c r="B752" s="5" t="inlineStr">
        <is>
          <t>2024 Panini WNBA Prizm SOPHIE CUNNINGHAM #117 Cracked Ice Mercury</t>
        </is>
      </c>
      <c r="C752" s="6" t="n">
        <v>8.49</v>
      </c>
      <c r="D752" s="6" t="n">
        <v>9.19</v>
      </c>
      <c r="E752" s="6" t="n">
        <v>0.7</v>
      </c>
      <c r="F752" s="7" t="n">
        <v>8.199999999999999</v>
      </c>
      <c r="G752" s="5" t="inlineStr">
        <is>
          <t>⬆ Price Up</t>
        </is>
      </c>
      <c r="H752" s="5" t="inlineStr">
        <is>
          <t>100%</t>
        </is>
      </c>
      <c r="I752" s="5">
        <f>HYPERLINK("https://www.ebay.com/sch/261328/i.html?_dcat=261328&amp;_fsrp=1&amp;rt=nc&amp;_from=R40&amp;_nkw=2024%20Panini%20WNBA%20Prizm%20SOPHIE%20CUNNINGHAM%20%23117%20Cracked%20Ice%20Mercury&amp;_sacat=0&amp;_sop=15&amp;rt=nc&amp;LH_BIN=1", "Active")</f>
        <v/>
      </c>
      <c r="J752" s="5">
        <f>HYPERLINK("https://www.ebay.com/sch/261328/i.html?_from=R40&amp;_nkw=2024%20Panini%20WNBA%20Prizm%20SOPHIE%20CUNNINGHAM%20%23117%20Cracked%20Ice%20Mercury&amp;_sacat=0&amp;LH_Sold=1&amp;LH_Complete=1&amp;_sop=13", "Completed")</f>
        <v/>
      </c>
      <c r="K752" s="5" t="inlineStr">
        <is>
          <t>2024 Panini WNBA Prizm SOPHIE CUNNINGHAM #117 Cracked Ice Mercury</t>
        </is>
      </c>
    </row>
    <row r="753">
      <c r="A753" s="2" t="inlineStr">
        <is>
          <t>RBM-0001-00025-07425</t>
        </is>
      </c>
      <c r="B753" s="2" t="inlineStr">
        <is>
          <t>2023-24 Panini MOSAIC LUKA DONCIC #2 Elevate Mosaic Mavericks Basketball</t>
        </is>
      </c>
      <c r="C753" s="3" t="n">
        <v>3.49</v>
      </c>
      <c r="D753" s="3" t="n">
        <v>2.49</v>
      </c>
      <c r="E753" s="3" t="n">
        <v>-1</v>
      </c>
      <c r="F753" s="4" t="n">
        <v>-28.7</v>
      </c>
      <c r="G753" s="2" t="inlineStr">
        <is>
          <t>🔵 Floored $2.49 — free ship or $0.99 ship?</t>
        </is>
      </c>
      <c r="H753" s="2" t="inlineStr">
        <is>
          <t>76%</t>
        </is>
      </c>
      <c r="I753" s="2">
        <f>HYPERLINK("https://www.ebay.com/sch/261328/i.html?_dcat=261328&amp;_fsrp=1&amp;rt=nc&amp;_from=R40&amp;_nkw=2023-24%20Panini%20MOSAIC%20LUKA%20DONCIC%20%232%20Elevate%20Mosaic%20Mavericks%20Basketball&amp;_sacat=0&amp;_sop=15&amp;rt=nc&amp;LH_BIN=1", "Active")</f>
        <v/>
      </c>
      <c r="J753" s="2">
        <f>HYPERLINK("https://www.ebay.com/sch/261328/i.html?_from=R40&amp;_nkw=2023-24%20Panini%20MOSAIC%20LUKA%20DONCIC%20%232%20Elevate%20Mosaic%20Mavericks%20Basketball&amp;_sacat=0&amp;LH_Sold=1&amp;LH_Complete=1&amp;_sop=13", "Completed")</f>
        <v/>
      </c>
      <c r="K753" s="2" t="inlineStr">
        <is>
          <t>Luka Doncic 2023-24 Mosaic ELEVATE INSERT CARD#2 Dallas Mavericks</t>
        </is>
      </c>
    </row>
    <row r="754">
      <c r="A754" s="2" t="inlineStr">
        <is>
          <t>RBM-0001-00001-73612</t>
        </is>
      </c>
      <c r="B754" s="2" t="inlineStr">
        <is>
          <t>2024-25 Panini Select JARED MCCAIN #82 Concourse Blue Retail RC 76ers Rookie</t>
        </is>
      </c>
      <c r="C754" s="3" t="n">
        <v>3.49</v>
      </c>
      <c r="D754" s="3" t="n">
        <v>2.49</v>
      </c>
      <c r="E754" s="3" t="n">
        <v>-1</v>
      </c>
      <c r="F754" s="4" t="n">
        <v>-28.7</v>
      </c>
      <c r="G754" s="2" t="inlineStr">
        <is>
          <t>🔵 Floored $2.49 — free ship or $0.99 ship?</t>
        </is>
      </c>
      <c r="H754" s="2" t="inlineStr">
        <is>
          <t>86%</t>
        </is>
      </c>
      <c r="I754" s="2">
        <f>HYPERLINK("https://www.ebay.com/sch/261328/i.html?_dcat=261328&amp;_fsrp=1&amp;rt=nc&amp;_from=R40&amp;_nkw=2024-25%20Panini%20Select%20JARED%20MCCAIN%20%2382%20Concourse%20Blue%20Retail%20RC%2076ers%20Rookie&amp;_sacat=0&amp;_sop=15&amp;rt=nc&amp;LH_BIN=1", "Active")</f>
        <v/>
      </c>
      <c r="J754" s="2">
        <f>HYPERLINK("https://www.ebay.com/sch/261328/i.html?_from=R40&amp;_nkw=2024-25%20Panini%20Select%20JARED%20MCCAIN%20%2382%20Concourse%20Blue%20Retail%20RC%2076ers%20Rookie&amp;_sacat=0&amp;LH_Sold=1&amp;LH_Complete=1&amp;_sop=13", "Completed")</f>
        <v/>
      </c>
      <c r="K754" s="2" t="inlineStr">
        <is>
          <t>2024-25 Panini Select #82 Jared McCain Rookie RC Retail Blue 76ers NM-MINT++</t>
        </is>
      </c>
    </row>
    <row r="755">
      <c r="A755" s="2" t="inlineStr">
        <is>
          <t>RBM-0001-00022-49742</t>
        </is>
      </c>
      <c r="B755" s="2" t="inlineStr">
        <is>
          <t>2024-25 Bowman University Chrome ACE BAILEY #SS-2 Social Studies</t>
        </is>
      </c>
      <c r="C755" s="3" t="n">
        <v>3.49</v>
      </c>
      <c r="D755" s="3" t="n">
        <v>2.49</v>
      </c>
      <c r="E755" s="3" t="n">
        <v>-1</v>
      </c>
      <c r="F755" s="4" t="n">
        <v>-28.7</v>
      </c>
      <c r="G755" s="2" t="inlineStr">
        <is>
          <t>🔵 Floored $2.49 — free ship or $0.99 ship?</t>
        </is>
      </c>
      <c r="H755" s="2" t="inlineStr">
        <is>
          <t>86%</t>
        </is>
      </c>
      <c r="I755" s="2">
        <f>HYPERLINK("https://www.ebay.com/sch/261328/i.html?_dcat=261328&amp;_fsrp=1&amp;rt=nc&amp;_from=R40&amp;_nkw=2024-25%20Bowman%20University%20Chrome%20ACE%20BAILEY%20%23SS-2%20Social%20Studies&amp;_sacat=0&amp;_sop=15&amp;rt=nc&amp;LH_BIN=1", "Active")</f>
        <v/>
      </c>
      <c r="J755" s="2">
        <f>HYPERLINK("https://www.ebay.com/sch/261328/i.html?_from=R40&amp;_nkw=2024-25%20Bowman%20University%20Chrome%20ACE%20BAILEY%20%23SS-2%20Social%20Studies&amp;_sacat=0&amp;LH_Sold=1&amp;LH_Complete=1&amp;_sop=13", "Completed")</f>
        <v/>
      </c>
      <c r="K755" s="2" t="inlineStr">
        <is>
          <t>2024-25 Bowman University Chrome Basketball #SS2 Ace Bailey Social Studies Card</t>
        </is>
      </c>
    </row>
    <row r="756">
      <c r="A756" s="2" t="inlineStr">
        <is>
          <t>RBM-0001-00002-44008</t>
        </is>
      </c>
      <c r="B756" s="2" t="inlineStr">
        <is>
          <t>2023-24 Panini MOSAIC STEPHEN CURRY #6 Elevate Mosaic Warriors Basketball</t>
        </is>
      </c>
      <c r="C756" s="3" t="n">
        <v>3.99</v>
      </c>
      <c r="D756" s="3" t="n">
        <v>2.49</v>
      </c>
      <c r="E756" s="3" t="n">
        <v>-1.5</v>
      </c>
      <c r="F756" s="4" t="n">
        <v>-37.6</v>
      </c>
      <c r="G756" s="2" t="inlineStr">
        <is>
          <t>🔵 Floored $2.49 — free ship or $0.99 ship?</t>
        </is>
      </c>
      <c r="H756" s="2" t="inlineStr">
        <is>
          <t>74%</t>
        </is>
      </c>
      <c r="I756" s="2">
        <f>HYPERLINK("https://www.ebay.com/sch/261328/i.html?_dcat=261328&amp;_fsrp=1&amp;rt=nc&amp;_from=R40&amp;_nkw=2023-24%20Panini%20MOSAIC%20STEPHEN%20CURRY%20%236%20Elevate%20Mosaic%20Warriors%20Basketball&amp;_sacat=0&amp;_sop=15&amp;rt=nc&amp;LH_BIN=1", "Active")</f>
        <v/>
      </c>
      <c r="J756" s="2">
        <f>HYPERLINK("https://www.ebay.com/sch/261328/i.html?_from=R40&amp;_nkw=2023-24%20Panini%20MOSAIC%20STEPHEN%20CURRY%20%236%20Elevate%20Mosaic%20Warriors%20Basketball&amp;_sacat=0&amp;LH_Sold=1&amp;LH_Complete=1&amp;_sop=13", "Completed")</f>
        <v/>
      </c>
      <c r="K756" s="2" t="inlineStr">
        <is>
          <t>Stephen Curry  2023-24 Mosaic ELEVATE #6 Golden State Warriors</t>
        </is>
      </c>
    </row>
    <row r="757">
      <c r="A757" s="2" t="inlineStr">
        <is>
          <t>RBM-0001-00006-03877</t>
        </is>
      </c>
      <c r="B757" s="2" t="inlineStr">
        <is>
          <t>2023-24 Panini Donruss TYRESE HALIBURTON #8 Green Laser Holo Pacers Basketball</t>
        </is>
      </c>
      <c r="C757" s="3" t="n">
        <v>3.99</v>
      </c>
      <c r="D757" s="3" t="n">
        <v>2.49</v>
      </c>
      <c r="E757" s="3" t="n">
        <v>-1.5</v>
      </c>
      <c r="F757" s="4" t="n">
        <v>-37.6</v>
      </c>
      <c r="G757" s="2" t="inlineStr">
        <is>
          <t>🔵 Floored $2.49 — free ship or $0.99 ship?</t>
        </is>
      </c>
      <c r="H757" s="2" t="inlineStr">
        <is>
          <t>79%</t>
        </is>
      </c>
      <c r="I757" s="2">
        <f>HYPERLINK("https://www.ebay.com/sch/261328/i.html?_dcat=261328&amp;_fsrp=1&amp;rt=nc&amp;_from=R40&amp;_nkw=2023-24%20Panini%20Donruss%20TYRESE%20HALIBURTON%20%238%20Green%20Laser%20Holo%20Pacers%20Basketball&amp;_sacat=0&amp;_sop=15&amp;rt=nc&amp;LH_BIN=1", "Active")</f>
        <v/>
      </c>
      <c r="J757" s="2">
        <f>HYPERLINK("https://www.ebay.com/sch/261328/i.html?_from=R40&amp;_nkw=2023-24%20Panini%20Donruss%20TYRESE%20HALIBURTON%20%238%20Green%20Laser%20Holo%20Pacers%20Basketball&amp;_sacat=0&amp;LH_Sold=1&amp;LH_Complete=1&amp;_sop=13", "Completed")</f>
        <v/>
      </c>
      <c r="K757" s="2" t="inlineStr">
        <is>
          <t>Tyrese Haliburton 2023-24 Panini Donruss #8 Holo Green Laser Pacers</t>
        </is>
      </c>
    </row>
    <row r="758">
      <c r="A758" s="2" t="inlineStr">
        <is>
          <t>RBM-0001-00021-90433</t>
        </is>
      </c>
      <c r="B758" s="2" t="inlineStr">
        <is>
          <t>2023 Skybox Metal Universe CHAMPIONSHIP JJ STARLING #032 Auto Silver</t>
        </is>
      </c>
      <c r="C758" s="3" t="n">
        <v>10</v>
      </c>
      <c r="D758" s="3" t="n">
        <v>2.49</v>
      </c>
      <c r="E758" s="3" t="n">
        <v>-7.51</v>
      </c>
      <c r="F758" s="4" t="n">
        <v>-75.09999999999999</v>
      </c>
      <c r="G758" s="2" t="inlineStr">
        <is>
          <t>🔵 Floored $2.49 — free ship or $0.99 ship?</t>
        </is>
      </c>
      <c r="H758" s="2" t="inlineStr"/>
      <c r="I758" s="2">
        <f>HYPERLINK("https://www.ebay.com/sch/261328/i.html?_dcat=261328&amp;_fsrp=1&amp;rt=nc&amp;_from=R40&amp;_nkw=2023%20Skybox%20Metal%20Universe%20CHAMPIONSHIP%20JJ%20STARLING%20%23032%20Auto%20Silver&amp;_sacat=0&amp;_sop=15&amp;rt=nc&amp;LH_BIN=1", "Active")</f>
        <v/>
      </c>
      <c r="J758" s="2">
        <f>HYPERLINK("https://www.ebay.com/sch/261328/i.html?_from=R40&amp;_nkw=2023%20Skybox%20Metal%20Universe%20CHAMPIONSHIP%20JJ%20STARLING%20%23032%20Auto%20Silver&amp;_sacat=0&amp;LH_Sold=1&amp;LH_Complete=1&amp;_sop=13", "Completed")</f>
        <v/>
      </c>
      <c r="K758" s="2" t="inlineStr">
        <is>
          <t>No Close Result Found</t>
        </is>
      </c>
    </row>
    <row r="759">
      <c r="A759" s="2" t="inlineStr">
        <is>
          <t>RBM-0001-00026-99381</t>
        </is>
      </c>
      <c r="B759" s="2" t="inlineStr">
        <is>
          <t>2023-24 Panini PHOENIX NAJI MARSHALL #CS-NMA Crusade Signatures Auto Pelicans</t>
        </is>
      </c>
      <c r="C759" s="3" t="n">
        <v>6.49</v>
      </c>
      <c r="D759" s="3" t="n">
        <v>2.49</v>
      </c>
      <c r="E759" s="3" t="n">
        <v>-4</v>
      </c>
      <c r="F759" s="4" t="n">
        <v>-61.6</v>
      </c>
      <c r="G759" s="2" t="inlineStr">
        <is>
          <t>🔵 Floored $2.49 — free ship or $0.99 ship?</t>
        </is>
      </c>
      <c r="H759" s="2" t="inlineStr"/>
      <c r="I759" s="2">
        <f>HYPERLINK("https://www.ebay.com/sch/261328/i.html?_dcat=261328&amp;_fsrp=1&amp;rt=nc&amp;_from=R40&amp;_nkw=2023-24%20Panini%20PHOENIX%20NAJI%20MARSHALL%20%23CS-NMA%20Crusade%20Signatures%20Auto%20Pelicans&amp;_sacat=0&amp;_sop=15&amp;rt=nc&amp;LH_BIN=1", "Active")</f>
        <v/>
      </c>
      <c r="J759" s="2">
        <f>HYPERLINK("https://www.ebay.com/sch/261328/i.html?_from=R40&amp;_nkw=2023-24%20Panini%20PHOENIX%20NAJI%20MARSHALL%20%23CS-NMA%20Crusade%20Signatures%20Auto%20Pelicans&amp;_sacat=0&amp;LH_Sold=1&amp;LH_Complete=1&amp;_sop=13", "Completed")</f>
        <v/>
      </c>
      <c r="K759" s="2" t="inlineStr">
        <is>
          <t>No Close Result Found</t>
        </is>
      </c>
    </row>
    <row r="760">
      <c r="A760" s="2" t="inlineStr">
        <is>
          <t>RBM-0001-00005-65853</t>
        </is>
      </c>
      <c r="B760" s="2" t="inlineStr">
        <is>
          <t>2021-22 Panini Donruss Optic KEVIN DURANT #25 Express Lane Nets Basketball</t>
        </is>
      </c>
      <c r="C760" s="3" t="n">
        <v>3.49</v>
      </c>
      <c r="D760" s="3" t="n">
        <v>2.49</v>
      </c>
      <c r="E760" s="3" t="n">
        <v>-1</v>
      </c>
      <c r="F760" s="4" t="n">
        <v>-28.7</v>
      </c>
      <c r="G760" s="2" t="inlineStr">
        <is>
          <t>🔵 Floored $2.49 — free ship or $0.99 ship?</t>
        </is>
      </c>
      <c r="H760" s="2" t="inlineStr">
        <is>
          <t>84%</t>
        </is>
      </c>
      <c r="I760" s="2">
        <f>HYPERLINK("https://www.ebay.com/sch/261328/i.html?_dcat=261328&amp;_fsrp=1&amp;rt=nc&amp;_from=R40&amp;_nkw=2021-22%20Panini%20Donruss%20Optic%20KEVIN%20DURANT%20%2325%20Express%20Lane%20Nets%20Basketball&amp;_sacat=0&amp;_sop=15&amp;rt=nc&amp;LH_BIN=1", "Active")</f>
        <v/>
      </c>
      <c r="J760" s="2">
        <f>HYPERLINK("https://www.ebay.com/sch/261328/i.html?_from=R40&amp;_nkw=2021-22%20Panini%20Donruss%20Optic%20KEVIN%20DURANT%20%2325%20Express%20Lane%20Nets%20Basketball&amp;_sacat=0&amp;LH_Sold=1&amp;LH_Complete=1&amp;_sop=13", "Completed")</f>
        <v/>
      </c>
      <c r="K760" s="2" t="inlineStr">
        <is>
          <t>2021-22 Panini Optic KEVIN DURANT Express Lane Insert Nets Thunders Suns NBA</t>
        </is>
      </c>
    </row>
    <row r="761">
      <c r="A761" s="2" t="inlineStr">
        <is>
          <t>RBM-0001-00007-16760</t>
        </is>
      </c>
      <c r="B761" s="2" t="inlineStr">
        <is>
          <t>2024 Panini Prizm Draft PICKS COLLEGIATE JOHNNY JUZANG #S-JJZ Signatures Auto</t>
        </is>
      </c>
      <c r="C761" s="3" t="n">
        <v>5.49</v>
      </c>
      <c r="D761" s="3" t="n">
        <v>2.49</v>
      </c>
      <c r="E761" s="3" t="n">
        <v>-3</v>
      </c>
      <c r="F761" s="4" t="n">
        <v>-54.6</v>
      </c>
      <c r="G761" s="2" t="inlineStr">
        <is>
          <t>🔵 Floored $2.49 — free ship or $0.99 ship?</t>
        </is>
      </c>
      <c r="H761" s="2" t="inlineStr"/>
      <c r="I761" s="2">
        <f>HYPERLINK("https://www.ebay.com/sch/261328/i.html?_dcat=261328&amp;_fsrp=1&amp;rt=nc&amp;_from=R40&amp;_nkw=2024%20Panini%20Prizm%20Draft%20PICKS%20COLLEGIATE%20JOHNNY%20JUZANG%20%23S-JJZ%20Signatures%20Auto&amp;_sacat=0&amp;_sop=15&amp;rt=nc&amp;LH_BIN=1", "Active")</f>
        <v/>
      </c>
      <c r="J761" s="2">
        <f>HYPERLINK("https://www.ebay.com/sch/261328/i.html?_from=R40&amp;_nkw=2024%20Panini%20Prizm%20Draft%20PICKS%20COLLEGIATE%20JOHNNY%20JUZANG%20%23S-JJZ%20Signatures%20Auto&amp;_sacat=0&amp;LH_Sold=1&amp;LH_Complete=1&amp;_sop=13", "Completed")</f>
        <v/>
      </c>
      <c r="K761" s="2" t="inlineStr">
        <is>
          <t>No Close Result Found</t>
        </is>
      </c>
    </row>
    <row r="762">
      <c r="A762" s="2" t="inlineStr">
        <is>
          <t>RBM-0001-00019-67085</t>
        </is>
      </c>
      <c r="B762" s="2" t="inlineStr">
        <is>
          <t>2024-25 Panini Prizm MONOPOLY STEPHON CASTLE #75 RC Spurs Rookie Basketball</t>
        </is>
      </c>
      <c r="C762" s="3" t="n">
        <v>3.49</v>
      </c>
      <c r="D762" s="3" t="n">
        <v>2.49</v>
      </c>
      <c r="E762" s="3" t="n">
        <v>-1</v>
      </c>
      <c r="F762" s="4" t="n">
        <v>-28.7</v>
      </c>
      <c r="G762" s="2" t="inlineStr">
        <is>
          <t>🔵 Floored $2.49 — free ship or $0.99 ship?</t>
        </is>
      </c>
      <c r="H762" s="2" t="inlineStr">
        <is>
          <t>78%</t>
        </is>
      </c>
      <c r="I762" s="2">
        <f>HYPERLINK("https://www.ebay.com/sch/261328/i.html?_dcat=261328&amp;_fsrp=1&amp;rt=nc&amp;_from=R40&amp;_nkw=2024-25%20Panini%20Prizm%20MONOPOLY%20STEPHON%20CASTLE%20%2375%20RC%20Spurs%20Rookie%20Basketball&amp;_sacat=0&amp;_sop=15&amp;rt=nc&amp;LH_BIN=1", "Active")</f>
        <v/>
      </c>
      <c r="J762" s="2">
        <f>HYPERLINK("https://www.ebay.com/sch/261328/i.html?_from=R40&amp;_nkw=2024-25%20Panini%20Prizm%20MONOPOLY%20STEPHON%20CASTLE%20%2375%20RC%20Spurs%20Rookie%20Basketball&amp;_sacat=0&amp;LH_Sold=1&amp;LH_Complete=1&amp;_sop=13", "Completed")</f>
        <v/>
      </c>
      <c r="K762" s="2" t="inlineStr">
        <is>
          <t>Stephon Castle 2024-25 Panini Prizm Monopoly #75 Rookie San Antonio Spurs RC</t>
        </is>
      </c>
    </row>
    <row r="763">
      <c r="A763" s="2" t="inlineStr">
        <is>
          <t>RBM-0001-00018-19396</t>
        </is>
      </c>
      <c r="B763" s="2" t="inlineStr">
        <is>
          <t>2024-25 Panini MOSAIC JAYLEN BROWN #19 Jam Masters Green Mosaic Celtics</t>
        </is>
      </c>
      <c r="C763" s="3" t="n">
        <v>3.99</v>
      </c>
      <c r="D763" s="3" t="n">
        <v>2.49</v>
      </c>
      <c r="E763" s="3" t="n">
        <v>-1.5</v>
      </c>
      <c r="F763" s="4" t="n">
        <v>-37.6</v>
      </c>
      <c r="G763" s="2" t="inlineStr">
        <is>
          <t>🔵 Floored $2.49 — free ship or $0.99 ship?</t>
        </is>
      </c>
      <c r="H763" s="2" t="inlineStr">
        <is>
          <t>85%</t>
        </is>
      </c>
      <c r="I763" s="2">
        <f>HYPERLINK("https://www.ebay.com/sch/261328/i.html?_dcat=261328&amp;_fsrp=1&amp;rt=nc&amp;_from=R40&amp;_nkw=2024-25%20Panini%20MOSAIC%20JAYLEN%20BROWN%20%2319%20Jam%20Masters%20Green%20Mosaic%20Celtics&amp;_sacat=0&amp;_sop=15&amp;rt=nc&amp;LH_BIN=1", "Active")</f>
        <v/>
      </c>
      <c r="J763" s="2">
        <f>HYPERLINK("https://www.ebay.com/sch/261328/i.html?_from=R40&amp;_nkw=2024-25%20Panini%20MOSAIC%20JAYLEN%20BROWN%20%2319%20Jam%20Masters%20Green%20Mosaic%20Celtics&amp;_sacat=0&amp;LH_Sold=1&amp;LH_Complete=1&amp;_sop=13", "Completed")</f>
        <v/>
      </c>
      <c r="K763" s="2" t="inlineStr">
        <is>
          <t>2024-25 Mosaic Basketball #19 - JAM MASTERS GREEN MOSAIC - Jaylen Brown Celtics</t>
        </is>
      </c>
    </row>
    <row r="764">
      <c r="A764" s="2" t="inlineStr">
        <is>
          <t>RBM-0001-00016-49175</t>
        </is>
      </c>
      <c r="B764" s="2" t="inlineStr">
        <is>
          <t>2024-25 Bowman University Chrome DYLAN HARPER #22</t>
        </is>
      </c>
      <c r="C764" s="3" t="n">
        <v>3.49</v>
      </c>
      <c r="D764" s="3" t="n">
        <v>2.49</v>
      </c>
      <c r="E764" s="3" t="n">
        <v>-1</v>
      </c>
      <c r="F764" s="4" t="n">
        <v>-28.7</v>
      </c>
      <c r="G764" s="2" t="inlineStr">
        <is>
          <t>🔵 Floored $2.49 — free ship or $0.99 ship?</t>
        </is>
      </c>
      <c r="H764" s="2" t="inlineStr">
        <is>
          <t>90%</t>
        </is>
      </c>
      <c r="I764" s="2">
        <f>HYPERLINK("https://www.ebay.com/sch/261328/i.html?_dcat=261328&amp;_fsrp=1&amp;rt=nc&amp;_from=R40&amp;_nkw=2024-25%20Bowman%20University%20Chrome%20DYLAN%20HARPER%20%2322&amp;_sacat=0&amp;_sop=15&amp;rt=nc&amp;LH_BIN=1", "Active")</f>
        <v/>
      </c>
      <c r="J764" s="2">
        <f>HYPERLINK("https://www.ebay.com/sch/261328/i.html?_from=R40&amp;_nkw=2024-25%20Bowman%20University%20Chrome%20DYLAN%20HARPER%20%2322&amp;_sacat=0&amp;LH_Sold=1&amp;LH_Complete=1&amp;_sop=13", "Completed")</f>
        <v/>
      </c>
      <c r="K764" s="2" t="inlineStr">
        <is>
          <t>2024-25 Bowman University Chrome #22 Dylan Harper</t>
        </is>
      </c>
    </row>
    <row r="765">
      <c r="A765" s="11" t="inlineStr">
        <is>
          <t>RBM-0001-00010-65910</t>
        </is>
      </c>
      <c r="B765" s="11" t="inlineStr">
        <is>
          <t>2023-24 Topps Finest RIP HAMILTON #14 Blue Refractor /150 Pistons Basketball</t>
        </is>
      </c>
      <c r="C765" s="12" t="n">
        <v>4.99</v>
      </c>
      <c r="D765" s="12" t="n">
        <v>3.89</v>
      </c>
      <c r="E765" s="12" t="n">
        <v>-1.1</v>
      </c>
      <c r="F765" s="13" t="n">
        <v>-22</v>
      </c>
      <c r="G765" s="11" t="inlineStr">
        <is>
          <t>⬇ Price Down</t>
        </is>
      </c>
      <c r="H765" s="11" t="inlineStr">
        <is>
          <t>87%</t>
        </is>
      </c>
      <c r="I765" s="11">
        <f>HYPERLINK("https://www.ebay.com/sch/261328/i.html?_dcat=261328&amp;_fsrp=1&amp;rt=nc&amp;_from=R40&amp;_nkw=2023-24%20Topps%20Finest%20RIP%20HAMILTON%20%2314%20Blue%20Refractor%20%2F150%20Pistons%20Basketball&amp;_sacat=0&amp;_sop=15&amp;rt=nc&amp;LH_BIN=1", "Active")</f>
        <v/>
      </c>
      <c r="J765" s="11">
        <f>HYPERLINK("https://www.ebay.com/sch/261328/i.html?_from=R40&amp;_nkw=2023-24%20Topps%20Finest%20RIP%20HAMILTON%20%2314%20Blue%20Refractor%20%2F150%20Pistons%20Basketball&amp;_sacat=0&amp;LH_Sold=1&amp;LH_Complete=1&amp;_sop=13", "Completed")</f>
        <v/>
      </c>
      <c r="K765" s="11" t="inlineStr">
        <is>
          <t>2023-24 Finest RIP HAMILTON #14 Blue Refractors Detroit Pistons Basketball</t>
        </is>
      </c>
    </row>
    <row r="766">
      <c r="A766" s="5" t="inlineStr">
        <is>
          <t>RBM-0001-00015-26978</t>
        </is>
      </c>
      <c r="B766" s="5" t="inlineStr">
        <is>
          <t>2025-26 Topps THOMAS SORBER #NL-15 No Limit Purple Rainbow /250 RC Thunder</t>
        </is>
      </c>
      <c r="C766" s="6" t="n">
        <v>3.49</v>
      </c>
      <c r="D766" s="6" t="n">
        <v>4.39</v>
      </c>
      <c r="E766" s="6" t="n">
        <v>0.9</v>
      </c>
      <c r="F766" s="7" t="n">
        <v>25.8</v>
      </c>
      <c r="G766" s="5" t="inlineStr">
        <is>
          <t>⬆ Price Up</t>
        </is>
      </c>
      <c r="H766" s="5" t="inlineStr">
        <is>
          <t>100%</t>
        </is>
      </c>
      <c r="I766" s="5">
        <f>HYPERLINK("https://www.ebay.com/sch/261328/i.html?_dcat=261328&amp;_fsrp=1&amp;rt=nc&amp;_from=R40&amp;_nkw=2025-26%20Topps%20THOMAS%20SORBER%20%23NL-15%20No%20Limit%20Purple%20Rainbow%20%2F250%20RC%20Thunder&amp;_sacat=0&amp;_sop=15&amp;rt=nc&amp;LH_BIN=1", "Active")</f>
        <v/>
      </c>
      <c r="J766" s="5">
        <f>HYPERLINK("https://www.ebay.com/sch/261328/i.html?_from=R40&amp;_nkw=2025-26%20Topps%20THOMAS%20SORBER%20%23NL-15%20No%20Limit%20Purple%20Rainbow%20%2F250%20RC%20Thunder&amp;_sacat=0&amp;LH_Sold=1&amp;LH_Complete=1&amp;_sop=13", "Completed")</f>
        <v/>
      </c>
      <c r="K766" s="5" t="inlineStr">
        <is>
          <t>2025-26 Topps THOMAS SORBER #NL-15 No Limit Purple Rainbow /250 RC Thunder</t>
        </is>
      </c>
    </row>
    <row r="767">
      <c r="A767" s="2" t="inlineStr">
        <is>
          <t>RBM-0001-00030-08027</t>
        </is>
      </c>
      <c r="B767" s="2" t="inlineStr">
        <is>
          <t>2024-25 Bowman University Chrome ACE BAILEY #1</t>
        </is>
      </c>
      <c r="C767" s="3" t="n">
        <v>3.49</v>
      </c>
      <c r="D767" s="3" t="n">
        <v>2.49</v>
      </c>
      <c r="E767" s="3" t="n">
        <v>-1</v>
      </c>
      <c r="F767" s="4" t="n">
        <v>-28.7</v>
      </c>
      <c r="G767" s="2" t="inlineStr">
        <is>
          <t>🔵 Floored $2.49 — free ship or $0.99 ship?</t>
        </is>
      </c>
      <c r="H767" s="2" t="inlineStr">
        <is>
          <t>69%</t>
        </is>
      </c>
      <c r="I767" s="2">
        <f>HYPERLINK("https://www.ebay.com/sch/261328/i.html?_dcat=261328&amp;_fsrp=1&amp;rt=nc&amp;_from=R40&amp;_nkw=2024-25%20Bowman%20University%20Chrome%20ACE%20BAILEY%20%231&amp;_sacat=0&amp;_sop=15&amp;rt=nc&amp;LH_BIN=1", "Active")</f>
        <v/>
      </c>
      <c r="J767" s="2">
        <f>HYPERLINK("https://www.ebay.com/sch/261328/i.html?_from=R40&amp;_nkw=2024-25%20Bowman%20University%20Chrome%20ACE%20BAILEY%20%231&amp;_sacat=0&amp;LH_Sold=1&amp;LH_Complete=1&amp;_sop=13", "Completed")</f>
        <v/>
      </c>
      <c r="K767" s="2" t="inlineStr">
        <is>
          <t>2024-25 Bowman Chrome U University Basketball (BUY 3 GET 1) You Pick-Choose</t>
        </is>
      </c>
    </row>
    <row r="768">
      <c r="A768" s="2" t="inlineStr">
        <is>
          <t>RBM-0001-00027-17703</t>
        </is>
      </c>
      <c r="B768" s="2" t="inlineStr">
        <is>
          <t>2024-25 Bowman University Chrome JEREMY FEARS #ALT-8 Spartans</t>
        </is>
      </c>
      <c r="C768" s="3" t="n">
        <v>3.49</v>
      </c>
      <c r="D768" s="3" t="n">
        <v>2.49</v>
      </c>
      <c r="E768" s="3" t="n">
        <v>-1</v>
      </c>
      <c r="F768" s="4" t="n">
        <v>-28.7</v>
      </c>
      <c r="G768" s="2" t="inlineStr">
        <is>
          <t>🔵 Floored $2.49 — free ship or $0.99 ship?</t>
        </is>
      </c>
      <c r="H768" s="2" t="inlineStr">
        <is>
          <t>86%</t>
        </is>
      </c>
      <c r="I768" s="2">
        <f>HYPERLINK("https://www.ebay.com/sch/261328/i.html?_dcat=261328&amp;_fsrp=1&amp;rt=nc&amp;_from=R40&amp;_nkw=2024-25%20Bowman%20University%20Chrome%20JEREMY%20FEARS%20%23ALT-8%20Spartans&amp;_sacat=0&amp;_sop=15&amp;rt=nc&amp;LH_BIN=1", "Active")</f>
        <v/>
      </c>
      <c r="J768" s="2">
        <f>HYPERLINK("https://www.ebay.com/sch/261328/i.html?_from=R40&amp;_nkw=2024-25%20Bowman%20University%20Chrome%20JEREMY%20FEARS%20%23ALT-8%20Spartans&amp;_sacat=0&amp;LH_Sold=1&amp;LH_Complete=1&amp;_sop=13", "Completed")</f>
        <v/>
      </c>
      <c r="K768" s="2" t="inlineStr">
        <is>
          <t>2024-25 Bowman University Chrome Jeremy Fears Michigan State Spartans #ALT-8</t>
        </is>
      </c>
    </row>
    <row r="769">
      <c r="A769" s="5" t="inlineStr">
        <is>
          <t>RBM-0001-00011-77722</t>
        </is>
      </c>
      <c r="B769" s="5" t="inlineStr">
        <is>
          <t>2025-26 Topps VJ EDGECOMBE #NL-3 No Limit RC 76ers Rookie Basketball</t>
        </is>
      </c>
      <c r="C769" s="6" t="n">
        <v>3.99</v>
      </c>
      <c r="D769" s="6" t="n">
        <v>4.19</v>
      </c>
      <c r="E769" s="6" t="n">
        <v>0.2</v>
      </c>
      <c r="F769" s="7" t="n">
        <v>5</v>
      </c>
      <c r="G769" s="5" t="inlineStr">
        <is>
          <t>⬆ Price Up</t>
        </is>
      </c>
      <c r="H769" s="5" t="inlineStr">
        <is>
          <t>77%</t>
        </is>
      </c>
      <c r="I769" s="5">
        <f>HYPERLINK("https://www.ebay.com/sch/261328/i.html?_dcat=261328&amp;_fsrp=1&amp;rt=nc&amp;_from=R40&amp;_nkw=2025-26%20Topps%20VJ%20EDGECOMBE%20%23NL-3%20No%20Limit%20RC%2076ers%20Rookie%20Basketball&amp;_sacat=0&amp;_sop=15&amp;rt=nc&amp;LH_BIN=1", "Active")</f>
        <v/>
      </c>
      <c r="J769" s="5">
        <f>HYPERLINK("https://www.ebay.com/sch/261328/i.html?_from=R40&amp;_nkw=2025-26%20Topps%20VJ%20EDGECOMBE%20%23NL-3%20No%20Limit%20RC%2076ers%20Rookie%20Basketball&amp;_sacat=0&amp;LH_Sold=1&amp;LH_Complete=1&amp;_sop=13", "Completed")</f>
        <v/>
      </c>
      <c r="K769" s="5" t="inlineStr">
        <is>
          <t>VJ Edgecombe 2025-26 Topps - No Limit Rookie RC #NL-3 Philadelphia 76ers</t>
        </is>
      </c>
    </row>
    <row r="770">
      <c r="A770" s="2" t="inlineStr">
        <is>
          <t>RBM-0001-00032-97977</t>
        </is>
      </c>
      <c r="B770" s="2" t="inlineStr">
        <is>
          <t>2022-23 Panini Prizm ALTON LISTER #PNM-ALT Penmanship Auto Supersonics</t>
        </is>
      </c>
      <c r="C770" s="3" t="n">
        <v>6.09</v>
      </c>
      <c r="D770" s="3" t="n">
        <v>2.49</v>
      </c>
      <c r="E770" s="3" t="n">
        <v>-3.6</v>
      </c>
      <c r="F770" s="4" t="n">
        <v>-59.1</v>
      </c>
      <c r="G770" s="2" t="inlineStr">
        <is>
          <t>🔵 Floored $2.49 — free ship or $0.99 ship?</t>
        </is>
      </c>
      <c r="H770" s="2" t="inlineStr"/>
      <c r="I770" s="2">
        <f>HYPERLINK("https://www.ebay.com/sch/261328/i.html?_dcat=261328&amp;_fsrp=1&amp;rt=nc&amp;_from=R40&amp;_nkw=2022-23%20Panini%20Prizm%20ALTON%20LISTER%20%23PNM-ALT%20Penmanship%20Auto%20Supersonics&amp;_sacat=0&amp;_sop=15&amp;rt=nc&amp;LH_BIN=1", "Active")</f>
        <v/>
      </c>
      <c r="J770" s="2">
        <f>HYPERLINK("https://www.ebay.com/sch/261328/i.html?_from=R40&amp;_nkw=2022-23%20Panini%20Prizm%20ALTON%20LISTER%20%23PNM-ALT%20Penmanship%20Auto%20Supersonics&amp;_sacat=0&amp;LH_Sold=1&amp;LH_Complete=1&amp;_sop=13", "Completed")</f>
        <v/>
      </c>
      <c r="K770" s="2" t="inlineStr">
        <is>
          <t>No Close Result Found</t>
        </is>
      </c>
    </row>
    <row r="771">
      <c r="A771" s="5" t="inlineStr">
        <is>
          <t>RBM-0001-00004-44705</t>
        </is>
      </c>
      <c r="B771" s="5" t="inlineStr">
        <is>
          <t>2025-26 Topps SCOTTIE BARNES #SA-28 Stars of the NBA Green Rainbow /99 Raptors</t>
        </is>
      </c>
      <c r="C771" s="6" t="n">
        <v>3.99</v>
      </c>
      <c r="D771" s="6" t="n">
        <v>4.79</v>
      </c>
      <c r="E771" s="6" t="n">
        <v>0.8</v>
      </c>
      <c r="F771" s="7" t="n">
        <v>20.1</v>
      </c>
      <c r="G771" s="5" t="inlineStr">
        <is>
          <t>⬆ Price Up</t>
        </is>
      </c>
      <c r="H771" s="5" t="inlineStr">
        <is>
          <t>100%</t>
        </is>
      </c>
      <c r="I771" s="5">
        <f>HYPERLINK("https://www.ebay.com/sch/261328/i.html?_dcat=261328&amp;_fsrp=1&amp;rt=nc&amp;_from=R40&amp;_nkw=2025-26%20Topps%20SCOTTIE%20BARNES%20%23SA-28%20Stars%20of%20the%20NBA%20Green%20Rainbow%20%2F99%20Raptors&amp;_sacat=0&amp;_sop=15&amp;rt=nc&amp;LH_BIN=1", "Active")</f>
        <v/>
      </c>
      <c r="J771" s="5">
        <f>HYPERLINK("https://www.ebay.com/sch/261328/i.html?_from=R40&amp;_nkw=2025-26%20Topps%20SCOTTIE%20BARNES%20%23SA-28%20Stars%20of%20the%20NBA%20Green%20Rainbow%20%2F99%20Raptors&amp;_sacat=0&amp;LH_Sold=1&amp;LH_Complete=1&amp;_sop=13", "Completed")</f>
        <v/>
      </c>
      <c r="K771" s="5" t="inlineStr">
        <is>
          <t>2025-26 Topps SCOTTIE BARNES #SA-28 Stars of the NBA Green Rainbow /99 Raptors</t>
        </is>
      </c>
    </row>
    <row r="772">
      <c r="A772" s="11" t="inlineStr">
        <is>
          <t>RBM-0001-00013-53574</t>
        </is>
      </c>
      <c r="B772" s="11" t="inlineStr">
        <is>
          <t>2024 Panini WNBA Prizm JACY SHELDON #141 Silver RC Wings Rookie</t>
        </is>
      </c>
      <c r="C772" s="12" t="n">
        <v>5.49</v>
      </c>
      <c r="D772" s="12" t="n">
        <v>2.89</v>
      </c>
      <c r="E772" s="12" t="n">
        <v>-2.6</v>
      </c>
      <c r="F772" s="13" t="n">
        <v>-47.4</v>
      </c>
      <c r="G772" s="11" t="inlineStr">
        <is>
          <t>⬇ Price Down</t>
        </is>
      </c>
      <c r="H772" s="11" t="inlineStr">
        <is>
          <t>86%</t>
        </is>
      </c>
      <c r="I772" s="11">
        <f>HYPERLINK("https://www.ebay.com/sch/261328/i.html?_dcat=261328&amp;_fsrp=1&amp;rt=nc&amp;_from=R40&amp;_nkw=2024%20Panini%20WNBA%20Prizm%20JACY%20SHELDON%20%23141%20Silver%20RC%20Wings%20Rookie&amp;_sacat=0&amp;_sop=15&amp;rt=nc&amp;LH_BIN=1", "Active")</f>
        <v/>
      </c>
      <c r="J772" s="11">
        <f>HYPERLINK("https://www.ebay.com/sch/261328/i.html?_from=R40&amp;_nkw=2024%20Panini%20WNBA%20Prizm%20JACY%20SHELDON%20%23141%20Silver%20RC%20Wings%20Rookie&amp;_sacat=0&amp;LH_Sold=1&amp;LH_Complete=1&amp;_sop=13", "Completed")</f>
        <v/>
      </c>
      <c r="K772" s="11" t="inlineStr">
        <is>
          <t>2024 Panini Prizm WNBA Jacy Sheldon Silver Cracked Prizm Rookie RC #141 Wings</t>
        </is>
      </c>
    </row>
    <row r="773">
      <c r="A773" s="5" t="inlineStr">
        <is>
          <t>RBM-0001-00031-74978</t>
        </is>
      </c>
      <c r="B773" s="5" t="inlineStr">
        <is>
          <t>2025-26 Topps AMEN THOMPSON #TC-AT 1980-81 Chrome Mojo Ref Rockets Basketball</t>
        </is>
      </c>
      <c r="C773" s="6" t="n">
        <v>3.49</v>
      </c>
      <c r="D773" s="6" t="n">
        <v>4.39</v>
      </c>
      <c r="E773" s="6" t="n">
        <v>0.9</v>
      </c>
      <c r="F773" s="7" t="n">
        <v>25.8</v>
      </c>
      <c r="G773" s="5" t="inlineStr">
        <is>
          <t>⬆ Price Up</t>
        </is>
      </c>
      <c r="H773" s="5" t="inlineStr">
        <is>
          <t>100%</t>
        </is>
      </c>
      <c r="I773" s="5">
        <f>HYPERLINK("https://www.ebay.com/sch/261328/i.html?_dcat=261328&amp;_fsrp=1&amp;rt=nc&amp;_from=R40&amp;_nkw=2025-26%20Topps%20AMEN%20THOMPSON%20%23TC-AT%201980-81%20Chrome%20Mojo%20Ref%20Rockets%20Basketball&amp;_sacat=0&amp;_sop=15&amp;rt=nc&amp;LH_BIN=1", "Active")</f>
        <v/>
      </c>
      <c r="J773" s="5">
        <f>HYPERLINK("https://www.ebay.com/sch/261328/i.html?_from=R40&amp;_nkw=2025-26%20Topps%20AMEN%20THOMPSON%20%23TC-AT%201980-81%20Chrome%20Mojo%20Ref%20Rockets%20Basketball&amp;_sacat=0&amp;LH_Sold=1&amp;LH_Complete=1&amp;_sop=13", "Completed")</f>
        <v/>
      </c>
      <c r="K773" s="5" t="inlineStr">
        <is>
          <t>2025-26 Topps AMEN THOMPSON #TC-AT 1980-81 Chrome Mojo Ref Rockets Basketball</t>
        </is>
      </c>
    </row>
    <row r="774">
      <c r="A774" s="5" t="inlineStr">
        <is>
          <t>RBM-0001-00003-37987</t>
        </is>
      </c>
      <c r="B774" s="5" t="inlineStr">
        <is>
          <t>2024-25 Panini MOSAIC VICTOR WEMBANYAMA #288 Premium Mosaic City Edition Spurs</t>
        </is>
      </c>
      <c r="C774" s="6" t="n">
        <v>4.49</v>
      </c>
      <c r="D774" s="6" t="n">
        <v>5.29</v>
      </c>
      <c r="E774" s="6" t="n">
        <v>0.8</v>
      </c>
      <c r="F774" s="7" t="n">
        <v>17.8</v>
      </c>
      <c r="G774" s="5" t="inlineStr">
        <is>
          <t>⬆ Price Up</t>
        </is>
      </c>
      <c r="H774" s="5" t="inlineStr">
        <is>
          <t>100%</t>
        </is>
      </c>
      <c r="I774" s="5">
        <f>HYPERLINK("https://www.ebay.com/sch/261328/i.html?_dcat=261328&amp;_fsrp=1&amp;rt=nc&amp;_from=R40&amp;_nkw=2024-25%20Panini%20MOSAIC%20VICTOR%20WEMBANYAMA%20%23288%20Premium%20Mosaic%20City%20Edition%20Spurs&amp;_sacat=0&amp;_sop=15&amp;rt=nc&amp;LH_BIN=1", "Active")</f>
        <v/>
      </c>
      <c r="J774" s="5">
        <f>HYPERLINK("https://www.ebay.com/sch/261328/i.html?_from=R40&amp;_nkw=2024-25%20Panini%20MOSAIC%20VICTOR%20WEMBANYAMA%20%23288%20Premium%20Mosaic%20City%20Edition%20Spurs&amp;_sacat=0&amp;LH_Sold=1&amp;LH_Complete=1&amp;_sop=13", "Completed")</f>
        <v/>
      </c>
      <c r="K774" s="5" t="inlineStr">
        <is>
          <t>2024-25 Panini MOSAIC VICTOR WEMBANYAMA #288 Premium Mosaic City Edition Spurs</t>
        </is>
      </c>
    </row>
    <row r="775">
      <c r="A775" s="5" t="inlineStr">
        <is>
          <t>RBM-0001-00009-23389</t>
        </is>
      </c>
      <c r="B775" s="5" t="inlineStr">
        <is>
          <t>2025 Bowman's Best JOSUAR GONZALEZ #TP-13 Top Prospects Ref Giants Football</t>
        </is>
      </c>
      <c r="C775" s="6" t="n">
        <v>2.99</v>
      </c>
      <c r="D775" s="6" t="n">
        <v>3.89</v>
      </c>
      <c r="E775" s="6" t="n">
        <v>0.9</v>
      </c>
      <c r="F775" s="7" t="n">
        <v>30.1</v>
      </c>
      <c r="G775" s="5" t="inlineStr">
        <is>
          <t>⬆ Price Up</t>
        </is>
      </c>
      <c r="H775" s="5" t="inlineStr">
        <is>
          <t>100%</t>
        </is>
      </c>
      <c r="I775" s="5">
        <f>HYPERLINK("https://www.ebay.com/sch/261328/i.html?_dcat=261328&amp;_fsrp=1&amp;rt=nc&amp;_from=R40&amp;_nkw=2025%20Bowman's%20Best%20JOSUAR%20GONZALEZ%20%23TP-13%20Top%20Prospects%20Ref%20Giants%20Football&amp;_sacat=0&amp;_sop=15&amp;rt=nc&amp;LH_BIN=1", "Active")</f>
        <v/>
      </c>
      <c r="J775" s="5">
        <f>HYPERLINK("https://www.ebay.com/sch/261328/i.html?_from=R40&amp;_nkw=2025%20Bowman's%20Best%20JOSUAR%20GONZALEZ%20%23TP-13%20Top%20Prospects%20Ref%20Giants%20Football&amp;_sacat=0&amp;LH_Sold=1&amp;LH_Complete=1&amp;_sop=13", "Completed")</f>
        <v/>
      </c>
      <c r="K775" s="5" t="inlineStr">
        <is>
          <t>2025 Bowman's Best JOSUAR GONZALEZ #TP-13 Top Prospects Ref Giants Football</t>
        </is>
      </c>
    </row>
    <row r="776">
      <c r="A776" s="2" t="inlineStr">
        <is>
          <t>RBM-0001-00014-05240</t>
        </is>
      </c>
      <c r="B776" s="2" t="inlineStr">
        <is>
          <t>2025 Bowman's Best JULIO RODRIGUEZ #49 Refractor Mariners</t>
        </is>
      </c>
      <c r="C776" s="3" t="n">
        <v>3.99</v>
      </c>
      <c r="D776" s="3" t="n">
        <v>2.49</v>
      </c>
      <c r="E776" s="3" t="n">
        <v>-1.5</v>
      </c>
      <c r="F776" s="4" t="n">
        <v>-37.6</v>
      </c>
      <c r="G776" s="2" t="inlineStr">
        <is>
          <t>🔵 Floored $2.49 — free ship or $0.99 ship?</t>
        </is>
      </c>
      <c r="H776" s="2" t="inlineStr">
        <is>
          <t>76%</t>
        </is>
      </c>
      <c r="I776" s="2">
        <f>HYPERLINK("https://www.ebay.com/sch/261328/i.html?_dcat=261328&amp;_fsrp=1&amp;rt=nc&amp;_from=R40&amp;_nkw=2025%20Bowman's%20Best%20JULIO%20RODRIGUEZ%20%2349%20Refractor%20Mariners&amp;_sacat=0&amp;_sop=15&amp;rt=nc&amp;LH_BIN=1", "Active")</f>
        <v/>
      </c>
      <c r="J776" s="2">
        <f>HYPERLINK("https://www.ebay.com/sch/261328/i.html?_from=R40&amp;_nkw=2025%20Bowman's%20Best%20JULIO%20RODRIGUEZ%20%2349%20Refractor%20Mariners&amp;_sacat=0&amp;LH_Sold=1&amp;LH_Complete=1&amp;_sop=13", "Completed")</f>
        <v/>
      </c>
      <c r="K776" s="2" t="inlineStr">
        <is>
          <t>Julio Rodriguez 2025 Bowmans Best #49  Seattle Mariners</t>
        </is>
      </c>
    </row>
    <row r="777">
      <c r="A777" s="5" t="inlineStr">
        <is>
          <t>RBM-0001-00010-24187</t>
        </is>
      </c>
      <c r="B777" s="5" t="inlineStr">
        <is>
          <t>2025 Bowman's Best BRYCE ELDRIDGE #TP-15 Top Prospects Refractor Giants Football</t>
        </is>
      </c>
      <c r="C777" s="6" t="n">
        <v>2.99</v>
      </c>
      <c r="D777" s="6" t="n">
        <v>3.89</v>
      </c>
      <c r="E777" s="6" t="n">
        <v>0.9</v>
      </c>
      <c r="F777" s="7" t="n">
        <v>30.1</v>
      </c>
      <c r="G777" s="5" t="inlineStr">
        <is>
          <t>⬆ Price Up</t>
        </is>
      </c>
      <c r="H777" s="5" t="inlineStr">
        <is>
          <t>100%</t>
        </is>
      </c>
      <c r="I777" s="5">
        <f>HYPERLINK("https://www.ebay.com/sch/261328/i.html?_dcat=261328&amp;_fsrp=1&amp;rt=nc&amp;_from=R40&amp;_nkw=2025%20Bowman's%20Best%20BRYCE%20ELDRIDGE%20%23TP-15%20Top%20Prospects%20Refractor%20Giants%20Football&amp;_sacat=0&amp;_sop=15&amp;rt=nc&amp;LH_BIN=1", "Active")</f>
        <v/>
      </c>
      <c r="J777" s="5">
        <f>HYPERLINK("https://www.ebay.com/sch/261328/i.html?_from=R40&amp;_nkw=2025%20Bowman's%20Best%20BRYCE%20ELDRIDGE%20%23TP-15%20Top%20Prospects%20Refractor%20Giants%20Football&amp;_sacat=0&amp;LH_Sold=1&amp;LH_Complete=1&amp;_sop=13", "Completed")</f>
        <v/>
      </c>
      <c r="K777" s="5" t="inlineStr">
        <is>
          <t>2025 Bowman's Best BRYCE ELDRIDGE #TP-15 Top Prospects Refractor Giants Football</t>
        </is>
      </c>
    </row>
    <row r="778">
      <c r="A778" s="5" t="inlineStr">
        <is>
          <t>RBM-0001-00011-15674</t>
        </is>
      </c>
      <c r="B778" s="5" t="inlineStr">
        <is>
          <t>2025 Bowman's Best JUNG HOO LEE #7 Refractor Giants Football</t>
        </is>
      </c>
      <c r="C778" s="6" t="n">
        <v>2.99</v>
      </c>
      <c r="D778" s="6" t="n">
        <v>3.89</v>
      </c>
      <c r="E778" s="6" t="n">
        <v>0.9</v>
      </c>
      <c r="F778" s="7" t="n">
        <v>30.1</v>
      </c>
      <c r="G778" s="5" t="inlineStr">
        <is>
          <t>⬆ Price Up</t>
        </is>
      </c>
      <c r="H778" s="5" t="inlineStr">
        <is>
          <t>100%</t>
        </is>
      </c>
      <c r="I778" s="5">
        <f>HYPERLINK("https://www.ebay.com/sch/261328/i.html?_dcat=261328&amp;_fsrp=1&amp;rt=nc&amp;_from=R40&amp;_nkw=2025%20Bowman's%20Best%20JUNG%20HOO%20LEE%20%237%20Refractor%20Giants%20Football&amp;_sacat=0&amp;_sop=15&amp;rt=nc&amp;LH_BIN=1", "Active")</f>
        <v/>
      </c>
      <c r="J778" s="5">
        <f>HYPERLINK("https://www.ebay.com/sch/261328/i.html?_from=R40&amp;_nkw=2025%20Bowman's%20Best%20JUNG%20HOO%20LEE%20%237%20Refractor%20Giants%20Football&amp;_sacat=0&amp;LH_Sold=1&amp;LH_Complete=1&amp;_sop=13", "Completed")</f>
        <v/>
      </c>
      <c r="K778" s="5" t="inlineStr">
        <is>
          <t>2025 Bowman's Best JUNG HOO LEE #7 Refractor Giants Football</t>
        </is>
      </c>
    </row>
    <row r="779">
      <c r="A779" s="5" t="inlineStr">
        <is>
          <t>RBM-0001-00018-34591</t>
        </is>
      </c>
      <c r="B779" s="5" t="inlineStr">
        <is>
          <t>2025 Bowman's Best RAFAEL DEVERS #21 Refractor Giants Football</t>
        </is>
      </c>
      <c r="C779" s="6" t="n">
        <v>3.99</v>
      </c>
      <c r="D779" s="6" t="n">
        <v>4.79</v>
      </c>
      <c r="E779" s="6" t="n">
        <v>0.8</v>
      </c>
      <c r="F779" s="7" t="n">
        <v>20.1</v>
      </c>
      <c r="G779" s="5" t="inlineStr">
        <is>
          <t>⬆ Price Up</t>
        </is>
      </c>
      <c r="H779" s="5" t="inlineStr">
        <is>
          <t>100%</t>
        </is>
      </c>
      <c r="I779" s="5">
        <f>HYPERLINK("https://www.ebay.com/sch/261328/i.html?_dcat=261328&amp;_fsrp=1&amp;rt=nc&amp;_from=R40&amp;_nkw=2025%20Bowman's%20Best%20RAFAEL%20DEVERS%20%2321%20Refractor%20Giants%20Football&amp;_sacat=0&amp;_sop=15&amp;rt=nc&amp;LH_BIN=1", "Active")</f>
        <v/>
      </c>
      <c r="J779" s="5">
        <f>HYPERLINK("https://www.ebay.com/sch/261328/i.html?_from=R40&amp;_nkw=2025%20Bowman's%20Best%20RAFAEL%20DEVERS%20%2321%20Refractor%20Giants%20Football&amp;_sacat=0&amp;LH_Sold=1&amp;LH_Complete=1&amp;_sop=13", "Completed")</f>
        <v/>
      </c>
      <c r="K779" s="5" t="inlineStr">
        <is>
          <t>2025 Bowman's Best RAFAEL DEVERS #21 Refractor Giants Football</t>
        </is>
      </c>
    </row>
    <row r="780">
      <c r="A780" s="5" t="inlineStr">
        <is>
          <t>RBM-0001-00003-40364</t>
        </is>
      </c>
      <c r="B780" s="5" t="inlineStr">
        <is>
          <t>2025 Bowman Draft PICO KOHN #BDC-52 Chrome Refractor 1st Prospect Yankees</t>
        </is>
      </c>
      <c r="C780" s="6" t="n">
        <v>2.99</v>
      </c>
      <c r="D780" s="6" t="n">
        <v>3.89</v>
      </c>
      <c r="E780" s="6" t="n">
        <v>0.9</v>
      </c>
      <c r="F780" s="7" t="n">
        <v>30.1</v>
      </c>
      <c r="G780" s="5" t="inlineStr">
        <is>
          <t>⬆ Price Up</t>
        </is>
      </c>
      <c r="H780" s="5" t="inlineStr">
        <is>
          <t>100%</t>
        </is>
      </c>
      <c r="I780" s="5">
        <f>HYPERLINK("https://www.ebay.com/sch/261328/i.html?_dcat=261328&amp;_fsrp=1&amp;rt=nc&amp;_from=R40&amp;_nkw=2025%20Bowman%20Draft%20PICO%20KOHN%20%23BDC-52%20Chrome%20Refractor%201st%20Prospect%20Yankees&amp;_sacat=0&amp;_sop=15&amp;rt=nc&amp;LH_BIN=1", "Active")</f>
        <v/>
      </c>
      <c r="J780" s="5">
        <f>HYPERLINK("https://www.ebay.com/sch/261328/i.html?_from=R40&amp;_nkw=2025%20Bowman%20Draft%20PICO%20KOHN%20%23BDC-52%20Chrome%20Refractor%201st%20Prospect%20Yankees&amp;_sacat=0&amp;LH_Sold=1&amp;LH_Complete=1&amp;_sop=13", "Completed")</f>
        <v/>
      </c>
      <c r="K780" s="5" t="inlineStr">
        <is>
          <t>2025 Bowman Draft PICO KOHN #BDC-52 Chrome Refractor 1st Prospect Yankees</t>
        </is>
      </c>
    </row>
    <row r="781">
      <c r="A781" s="2" t="inlineStr">
        <is>
          <t>RBM-0001-00005-66044</t>
        </is>
      </c>
      <c r="B781" s="2" t="inlineStr">
        <is>
          <t>2025 Bowman's Best CAL RALEIGH #55 Refractor Mariners</t>
        </is>
      </c>
      <c r="C781" s="3" t="n">
        <v>3.49</v>
      </c>
      <c r="D781" s="3" t="n">
        <v>2.49</v>
      </c>
      <c r="E781" s="3" t="n">
        <v>-1</v>
      </c>
      <c r="F781" s="4" t="n">
        <v>-28.7</v>
      </c>
      <c r="G781" s="2" t="inlineStr">
        <is>
          <t>🔵 Floored $2.49 — free ship or $0.99 ship?</t>
        </is>
      </c>
      <c r="H781" s="2" t="inlineStr">
        <is>
          <t>73%</t>
        </is>
      </c>
      <c r="I781" s="2">
        <f>HYPERLINK("https://www.ebay.com/sch/261328/i.html?_dcat=261328&amp;_fsrp=1&amp;rt=nc&amp;_from=R40&amp;_nkw=2025%20Bowman's%20Best%20CAL%20RALEIGH%20%2355%20Refractor%20Mariners&amp;_sacat=0&amp;_sop=15&amp;rt=nc&amp;LH_BIN=1", "Active")</f>
        <v/>
      </c>
      <c r="J781" s="2">
        <f>HYPERLINK("https://www.ebay.com/sch/261328/i.html?_from=R40&amp;_nkw=2025%20Bowman's%20Best%20CAL%20RALEIGH%20%2355%20Refractor%20Mariners&amp;_sacat=0&amp;LH_Sold=1&amp;LH_Complete=1&amp;_sop=13", "Completed")</f>
        <v/>
      </c>
      <c r="K781" s="2" t="inlineStr">
        <is>
          <t>Cal Raleigh Chrome Refractor 2025 Bowman's Best Baseball #55 Seattle Mariners</t>
        </is>
      </c>
    </row>
    <row r="782">
      <c r="A782" s="11" t="inlineStr">
        <is>
          <t>RBM-0001-00002-63468</t>
        </is>
      </c>
      <c r="B782" s="11" t="inlineStr">
        <is>
          <t>2025 Bowman Draft KONNOR GRIFFIN #BDC-102 Chrome Pirates</t>
        </is>
      </c>
      <c r="C782" s="12" t="n">
        <v>6</v>
      </c>
      <c r="D782" s="12" t="n">
        <v>2.59</v>
      </c>
      <c r="E782" s="12" t="n">
        <v>-3.41</v>
      </c>
      <c r="F782" s="13" t="n">
        <v>-56.8</v>
      </c>
      <c r="G782" s="11" t="inlineStr">
        <is>
          <t>⬇ Price Down</t>
        </is>
      </c>
      <c r="H782" s="11" t="inlineStr">
        <is>
          <t>89%</t>
        </is>
      </c>
      <c r="I782" s="11">
        <f>HYPERLINK("https://www.ebay.com/sch/261328/i.html?_dcat=261328&amp;_fsrp=1&amp;rt=nc&amp;_from=R40&amp;_nkw=2025%20Bowman%20Draft%20KONNOR%20GRIFFIN%20%23BDC-102%20Chrome%20Pirates&amp;_sacat=0&amp;_sop=15&amp;rt=nc&amp;LH_BIN=1", "Active")</f>
        <v/>
      </c>
      <c r="J782" s="11">
        <f>HYPERLINK("https://www.ebay.com/sch/261328/i.html?_from=R40&amp;_nkw=2025%20Bowman%20Draft%20KONNOR%20GRIFFIN%20%23BDC-102%20Chrome%20Pirates&amp;_sacat=0&amp;LH_Sold=1&amp;LH_Complete=1&amp;_sop=13", "Completed")</f>
        <v/>
      </c>
      <c r="K782" s="11" t="inlineStr">
        <is>
          <t>2025 Bowman Draft Konnor Griffin Chrome BDC-102 - Pirates</t>
        </is>
      </c>
    </row>
    <row r="783">
      <c r="A783" s="11" t="inlineStr">
        <is>
          <t>RBM-0001-00001-92493</t>
        </is>
      </c>
      <c r="B783" s="11" t="inlineStr">
        <is>
          <t>2025 Bowman Draft KONNOR GRIFFIN #PP-17 Chrome Prized Prospects Pirates</t>
        </is>
      </c>
      <c r="C783" s="12" t="n">
        <v>11</v>
      </c>
      <c r="D783" s="12" t="n">
        <v>4.19</v>
      </c>
      <c r="E783" s="12" t="n">
        <v>-6.81</v>
      </c>
      <c r="F783" s="13" t="n">
        <v>-61.9</v>
      </c>
      <c r="G783" s="11" t="inlineStr">
        <is>
          <t>⬇ Price Down</t>
        </is>
      </c>
      <c r="H783" s="11" t="inlineStr">
        <is>
          <t>90%</t>
        </is>
      </c>
      <c r="I783" s="11">
        <f>HYPERLINK("https://www.ebay.com/sch/261328/i.html?_dcat=261328&amp;_fsrp=1&amp;rt=nc&amp;_from=R40&amp;_nkw=2025%20Bowman%20Draft%20KONNOR%20GRIFFIN%20%23PP-17%20Chrome%20Prized%20Prospects%20Pirates&amp;_sacat=0&amp;_sop=15&amp;rt=nc&amp;LH_BIN=1", "Active")</f>
        <v/>
      </c>
      <c r="J783" s="11">
        <f>HYPERLINK("https://www.ebay.com/sch/261328/i.html?_from=R40&amp;_nkw=2025%20Bowman%20Draft%20KONNOR%20GRIFFIN%20%23PP-17%20Chrome%20Prized%20Prospects%20Pirates&amp;_sacat=0&amp;LH_Sold=1&amp;LH_Complete=1&amp;_sop=13", "Completed")</f>
        <v/>
      </c>
      <c r="K783" s="11" t="inlineStr">
        <is>
          <t>2025 Bowman Draft Chrome Prized Prospects KONNOR GRIFFIN Pirates #PP-17</t>
        </is>
      </c>
    </row>
    <row r="784">
      <c r="A784" s="5" t="inlineStr">
        <is>
          <t>RBM-0001-00021-75645</t>
        </is>
      </c>
      <c r="B784" s="5" t="inlineStr">
        <is>
          <t>2025 Bowman's Best JULIO RODRIGUEZ #49 Mini Diamond Refractor 120/299 Mariners</t>
        </is>
      </c>
      <c r="C784" s="6" t="n">
        <v>9.19</v>
      </c>
      <c r="D784" s="6" t="n">
        <v>9.890000000000001</v>
      </c>
      <c r="E784" s="6" t="n">
        <v>0.7</v>
      </c>
      <c r="F784" s="7" t="n">
        <v>7.6</v>
      </c>
      <c r="G784" s="5" t="inlineStr">
        <is>
          <t>⬆ Price Up</t>
        </is>
      </c>
      <c r="H784" s="5" t="inlineStr">
        <is>
          <t>100%</t>
        </is>
      </c>
      <c r="I784" s="5">
        <f>HYPERLINK("https://www.ebay.com/sch/261328/i.html?_dcat=261328&amp;_fsrp=1&amp;rt=nc&amp;_from=R40&amp;_nkw=2025%20Bowman's%20Best%20JULIO%20RODRIGUEZ%20%2349%20Mini%20Diamond%20Refractor%20120%2F299%20Mariners&amp;_sacat=0&amp;_sop=15&amp;rt=nc&amp;LH_BIN=1", "Active")</f>
        <v/>
      </c>
      <c r="J784" s="5">
        <f>HYPERLINK("https://www.ebay.com/sch/261328/i.html?_from=R40&amp;_nkw=2025%20Bowman's%20Best%20JULIO%20RODRIGUEZ%20%2349%20Mini%20Diamond%20Refractor%20120%2F299%20Mariners&amp;_sacat=0&amp;LH_Sold=1&amp;LH_Complete=1&amp;_sop=13", "Completed")</f>
        <v/>
      </c>
      <c r="K784" s="5" t="inlineStr">
        <is>
          <t>2025 Bowman's Best JULIO RODRIGUEZ #49 Mini Diamond Refractor 120/299 Mariners</t>
        </is>
      </c>
    </row>
    <row r="785">
      <c r="A785" s="2" t="inlineStr">
        <is>
          <t>RBM-0001-00003-58537</t>
        </is>
      </c>
      <c r="B785" s="2" t="inlineStr">
        <is>
          <t>2025 Bowman Draft LANDON HODGE #CPA-LHO Chrome Auto HTA Choice Refractor /150</t>
        </is>
      </c>
      <c r="C785" s="3" t="n">
        <v>20.29</v>
      </c>
      <c r="D785" s="3" t="n">
        <v>2.49</v>
      </c>
      <c r="E785" s="3" t="n">
        <v>-17.8</v>
      </c>
      <c r="F785" s="4" t="n">
        <v>-87.7</v>
      </c>
      <c r="G785" s="2" t="inlineStr">
        <is>
          <t>🔵 Floored $2.49 — free ship or $0.99 ship?</t>
        </is>
      </c>
      <c r="H785" s="2" t="inlineStr"/>
      <c r="I785" s="2">
        <f>HYPERLINK("https://www.ebay.com/sch/261328/i.html?_dcat=261328&amp;_fsrp=1&amp;rt=nc&amp;_from=R40&amp;_nkw=2025%20Bowman%20Draft%20LANDON%20HODGE%20%23CPA-LHO%20Chrome%20Auto%20HTA%20Choice%20Refractor%20%2F150&amp;_sacat=0&amp;_sop=15&amp;rt=nc&amp;LH_BIN=1", "Active")</f>
        <v/>
      </c>
      <c r="J785" s="2">
        <f>HYPERLINK("https://www.ebay.com/sch/261328/i.html?_from=R40&amp;_nkw=2025%20Bowman%20Draft%20LANDON%20HODGE%20%23CPA-LHO%20Chrome%20Auto%20HTA%20Choice%20Refractor%20%2F150&amp;_sacat=0&amp;LH_Sold=1&amp;LH_Complete=1&amp;_sop=13", "Completed")</f>
        <v/>
      </c>
      <c r="K785" s="2" t="inlineStr">
        <is>
          <t>No Close Result Found</t>
        </is>
      </c>
    </row>
    <row r="786">
      <c r="A786" s="11" t="inlineStr">
        <is>
          <t>RBM-0001-00024-99146</t>
        </is>
      </c>
      <c r="B786" s="11" t="inlineStr">
        <is>
          <t>2025 Topps Chrome Update CARSON MCCUSKER #USC155 Purple RayWave Refractor /250</t>
        </is>
      </c>
      <c r="C786" s="12" t="n">
        <v>4.99</v>
      </c>
      <c r="D786" s="12" t="n">
        <v>2.79</v>
      </c>
      <c r="E786" s="12" t="n">
        <v>-2.2</v>
      </c>
      <c r="F786" s="13" t="n">
        <v>-44.1</v>
      </c>
      <c r="G786" s="11" t="inlineStr">
        <is>
          <t>⬇ Price Down</t>
        </is>
      </c>
      <c r="H786" s="11" t="inlineStr">
        <is>
          <t>100%</t>
        </is>
      </c>
      <c r="I786" s="11">
        <f>HYPERLINK("https://www.ebay.com/sch/261328/i.html?_dcat=261328&amp;_fsrp=1&amp;rt=nc&amp;_from=R40&amp;_nkw=2025%20Topps%20Chrome%20Update%20CARSON%20MCCUSKER%20%23USC155%20Purple%20RayWave%20Refractor%20%2F250&amp;_sacat=0&amp;_sop=15&amp;rt=nc&amp;LH_BIN=1", "Active")</f>
        <v/>
      </c>
      <c r="J786" s="11">
        <f>HYPERLINK("https://www.ebay.com/sch/261328/i.html?_from=R40&amp;_nkw=2025%20Topps%20Chrome%20Update%20CARSON%20MCCUSKER%20%23USC155%20Purple%20RayWave%20Refractor%20%2F250&amp;_sacat=0&amp;LH_Sold=1&amp;LH_Complete=1&amp;_sop=13", "Completed")</f>
        <v/>
      </c>
      <c r="K786" s="11" t="inlineStr">
        <is>
          <t>2025 Topps Chrome Update Carson McCusker #USC155 Purple RayWave Refractor /250</t>
        </is>
      </c>
    </row>
    <row r="787">
      <c r="A787" s="11" t="inlineStr">
        <is>
          <t>RBM-0001-00011-38283</t>
        </is>
      </c>
      <c r="B787" s="11" t="inlineStr">
        <is>
          <t>2025-26 Topps Finest ANTHONY EDWARDS #FI-2 Finishers Timberwolves Basketball</t>
        </is>
      </c>
      <c r="C787" s="12" t="n">
        <v>5.99</v>
      </c>
      <c r="D787" s="12" t="n">
        <v>4.99</v>
      </c>
      <c r="E787" s="12" t="n">
        <v>-1</v>
      </c>
      <c r="F787" s="13" t="n">
        <v>-16.7</v>
      </c>
      <c r="G787" s="11" t="inlineStr">
        <is>
          <t>⬇ Price Down</t>
        </is>
      </c>
      <c r="H787" s="11" t="inlineStr">
        <is>
          <t>79%</t>
        </is>
      </c>
      <c r="I787" s="11">
        <f>HYPERLINK("https://www.ebay.com/sch/261328/i.html?_dcat=261328&amp;_fsrp=1&amp;rt=nc&amp;_from=R40&amp;_nkw=2025-26%20Topps%20Finest%20ANTHONY%20EDWARDS%20%23FI-2%20Finishers%20Timberwolves%20Basketball&amp;_sacat=0&amp;_sop=15&amp;rt=nc&amp;LH_BIN=1", "Active")</f>
        <v/>
      </c>
      <c r="J787" s="11">
        <f>HYPERLINK("https://www.ebay.com/sch/261328/i.html?_from=R40&amp;_nkw=2025-26%20Topps%20Finest%20ANTHONY%20EDWARDS%20%23FI-2%20Finishers%20Timberwolves%20Basketball&amp;_sacat=0&amp;LH_Sold=1&amp;LH_Complete=1&amp;_sop=13", "Completed")</f>
        <v/>
      </c>
      <c r="K787" s="11" t="inlineStr">
        <is>
          <t>Topps 2025-26 Finest Finishers Anthony Edwards FI-2 Timberwolves</t>
        </is>
      </c>
    </row>
    <row r="788">
      <c r="A788" s="11" t="inlineStr">
        <is>
          <t>RBM-0001-00001-06005</t>
        </is>
      </c>
      <c r="B788" s="11" t="inlineStr">
        <is>
          <t>2025-26 Topps Finest WALTER CLAYTON JR. #F-18 First RC Jazz Rookie Basketball</t>
        </is>
      </c>
      <c r="C788" s="12" t="n">
        <v>5.99</v>
      </c>
      <c r="D788" s="12" t="n">
        <v>3.29</v>
      </c>
      <c r="E788" s="12" t="n">
        <v>-2.7</v>
      </c>
      <c r="F788" s="13" t="n">
        <v>-45.1</v>
      </c>
      <c r="G788" s="11" t="inlineStr">
        <is>
          <t>⬇ Price Down</t>
        </is>
      </c>
      <c r="H788" s="11" t="inlineStr">
        <is>
          <t>84%</t>
        </is>
      </c>
      <c r="I788" s="11">
        <f>HYPERLINK("https://www.ebay.com/sch/261328/i.html?_dcat=261328&amp;_fsrp=1&amp;rt=nc&amp;_from=R40&amp;_nkw=2025-26%20Topps%20Finest%20WALTER%20CLAYTON%20JR.%20%23F-18%20First%20RC%20Jazz%20Rookie%20Basketball&amp;_sacat=0&amp;_sop=15&amp;rt=nc&amp;LH_BIN=1", "Active")</f>
        <v/>
      </c>
      <c r="J788" s="11">
        <f>HYPERLINK("https://www.ebay.com/sch/261328/i.html?_from=R40&amp;_nkw=2025-26%20Topps%20Finest%20WALTER%20CLAYTON%20JR.%20%23F-18%20First%20RC%20Jazz%20Rookie%20Basketball&amp;_sacat=0&amp;LH_Sold=1&amp;LH_Complete=1&amp;_sop=13", "Completed")</f>
        <v/>
      </c>
      <c r="K788" s="11" t="inlineStr">
        <is>
          <t>2025-26 Topps Finest - First Walter Clayton Jr. #F-18 X-Fractor (RC) Utah Jazz</t>
        </is>
      </c>
    </row>
    <row r="789">
      <c r="A789" s="5" t="inlineStr">
        <is>
          <t>RBM-0001-00023-88928</t>
        </is>
      </c>
      <c r="B789" s="5" t="inlineStr">
        <is>
          <t>2025-26 Topps Chrome DWIGHT POWELL #223 Negative Refractor Mavericks Basketball</t>
        </is>
      </c>
      <c r="C789" s="6" t="n">
        <v>2.99</v>
      </c>
      <c r="D789" s="6" t="n">
        <v>3.89</v>
      </c>
      <c r="E789" s="6" t="n">
        <v>0.9</v>
      </c>
      <c r="F789" s="7" t="n">
        <v>30.1</v>
      </c>
      <c r="G789" s="5" t="inlineStr">
        <is>
          <t>⬆ Price Up</t>
        </is>
      </c>
      <c r="H789" s="5" t="inlineStr">
        <is>
          <t>100%</t>
        </is>
      </c>
      <c r="I789" s="5">
        <f>HYPERLINK("https://www.ebay.com/sch/261328/i.html?_dcat=261328&amp;_fsrp=1&amp;rt=nc&amp;_from=R40&amp;_nkw=2025-26%20Topps%20Chrome%20DWIGHT%20POWELL%20%23223%20Negative%20Refractor%20Mavericks%20Basketball&amp;_sacat=0&amp;_sop=15&amp;rt=nc&amp;LH_BIN=1", "Active")</f>
        <v/>
      </c>
      <c r="J789" s="5">
        <f>HYPERLINK("https://www.ebay.com/sch/261328/i.html?_from=R40&amp;_nkw=2025-26%20Topps%20Chrome%20DWIGHT%20POWELL%20%23223%20Negative%20Refractor%20Mavericks%20Basketball&amp;_sacat=0&amp;LH_Sold=1&amp;LH_Complete=1&amp;_sop=13", "Completed")</f>
        <v/>
      </c>
      <c r="K789" s="5" t="inlineStr">
        <is>
          <t>2025-26 Topps Chrome DWIGHT POWELL #223 Negative Refractor Mavericks Basketball</t>
        </is>
      </c>
    </row>
    <row r="790">
      <c r="A790" s="11" t="inlineStr">
        <is>
          <t>RBM-0001-00010-61937</t>
        </is>
      </c>
      <c r="B790" s="11" t="inlineStr">
        <is>
          <t>2025-26 Topps Chrome VJ EDGECOMBE #SY-13 Serenity RC 76ers Rookie Basketball</t>
        </is>
      </c>
      <c r="C790" s="12" t="n">
        <v>3.99</v>
      </c>
      <c r="D790" s="12" t="n">
        <v>3.09</v>
      </c>
      <c r="E790" s="12" t="n">
        <v>-0.9</v>
      </c>
      <c r="F790" s="13" t="n">
        <v>-22.6</v>
      </c>
      <c r="G790" s="11" t="inlineStr">
        <is>
          <t>⬇ Price Down</t>
        </is>
      </c>
      <c r="H790" s="11" t="inlineStr">
        <is>
          <t>85%</t>
        </is>
      </c>
      <c r="I790" s="11">
        <f>HYPERLINK("https://www.ebay.com/sch/261328/i.html?_dcat=261328&amp;_fsrp=1&amp;rt=nc&amp;_from=R40&amp;_nkw=2025-26%20Topps%20Chrome%20VJ%20EDGECOMBE%20%23SY-13%20Serenity%20RC%2076ers%20Rookie%20Basketball&amp;_sacat=0&amp;_sop=15&amp;rt=nc&amp;LH_BIN=1", "Active")</f>
        <v/>
      </c>
      <c r="J790" s="11">
        <f>HYPERLINK("https://www.ebay.com/sch/261328/i.html?_from=R40&amp;_nkw=2025-26%20Topps%20Chrome%20VJ%20EDGECOMBE%20%23SY-13%20Serenity%20RC%2076ers%20Rookie%20Basketball&amp;_sacat=0&amp;LH_Sold=1&amp;LH_Complete=1&amp;_sop=13", "Completed")</f>
        <v/>
      </c>
      <c r="K790" s="11" t="inlineStr">
        <is>
          <t>2025-26 Topps Chrome - Serenity VJ Edgecombe #SY-13 (RC) - Philadelphia 76ers</t>
        </is>
      </c>
    </row>
    <row r="791">
      <c r="A791" s="2" t="inlineStr">
        <is>
          <t>RBM-0001-00009-18168</t>
        </is>
      </c>
      <c r="B791" s="2" t="inlineStr">
        <is>
          <t>2025-26 Topps Chrome VJ EDGECOMBE #AC-13 Activators RC 76ers Rookie Basketball</t>
        </is>
      </c>
      <c r="C791" s="3" t="n">
        <v>3.49</v>
      </c>
      <c r="D791" s="3" t="n">
        <v>2.49</v>
      </c>
      <c r="E791" s="3" t="n">
        <v>-1</v>
      </c>
      <c r="F791" s="4" t="n">
        <v>-28.7</v>
      </c>
      <c r="G791" s="2" t="inlineStr">
        <is>
          <t>🔵 Floored $2.49 — free ship or $0.99 ship?</t>
        </is>
      </c>
      <c r="H791" s="2" t="inlineStr">
        <is>
          <t>87%</t>
        </is>
      </c>
      <c r="I791" s="2">
        <f>HYPERLINK("https://www.ebay.com/sch/261328/i.html?_dcat=261328&amp;_fsrp=1&amp;rt=nc&amp;_from=R40&amp;_nkw=2025-26%20Topps%20Chrome%20VJ%20EDGECOMBE%20%23AC-13%20Activators%20RC%2076ers%20Rookie%20Basketball&amp;_sacat=0&amp;_sop=15&amp;rt=nc&amp;LH_BIN=1", "Active")</f>
        <v/>
      </c>
      <c r="J791" s="2">
        <f>HYPERLINK("https://www.ebay.com/sch/261328/i.html?_from=R40&amp;_nkw=2025-26%20Topps%20Chrome%20VJ%20EDGECOMBE%20%23AC-13%20Activators%20RC%2076ers%20Rookie%20Basketball&amp;_sacat=0&amp;LH_Sold=1&amp;LH_Complete=1&amp;_sop=13", "Completed")</f>
        <v/>
      </c>
      <c r="K791" s="2" t="inlineStr">
        <is>
          <t>2025-26 Topps Chrome Activators VJ Edgecombe #AC-13 (RC) Rookie 76ers</t>
        </is>
      </c>
    </row>
    <row r="792">
      <c r="A792" s="11" t="inlineStr">
        <is>
          <t>RBM-0001-00005-94643</t>
        </is>
      </c>
      <c r="B792" s="11" t="inlineStr">
        <is>
          <t>2025-26 Topps Finest CARTER BRYANT #14 Common RC Spurs Rookie Basketball</t>
        </is>
      </c>
      <c r="C792" s="12" t="n">
        <v>3.99</v>
      </c>
      <c r="D792" s="12" t="n">
        <v>2.89</v>
      </c>
      <c r="E792" s="12" t="n">
        <v>-1.1</v>
      </c>
      <c r="F792" s="13" t="n">
        <v>-27.6</v>
      </c>
      <c r="G792" s="11" t="inlineStr">
        <is>
          <t>⬇ Price Down</t>
        </is>
      </c>
      <c r="H792" s="11" t="inlineStr">
        <is>
          <t>70%</t>
        </is>
      </c>
      <c r="I792" s="11">
        <f>HYPERLINK("https://www.ebay.com/sch/261328/i.html?_dcat=261328&amp;_fsrp=1&amp;rt=nc&amp;_from=R40&amp;_nkw=2025-26%20Topps%20Finest%20CARTER%20BRYANT%20%2314%20Common%20RC%20Spurs%20Rookie%20Basketball&amp;_sacat=0&amp;_sop=15&amp;rt=nc&amp;LH_BIN=1", "Active")</f>
        <v/>
      </c>
      <c r="J792" s="11">
        <f>HYPERLINK("https://www.ebay.com/sch/261328/i.html?_from=R40&amp;_nkw=2025-26%20Topps%20Finest%20CARTER%20BRYANT%20%2314%20Common%20RC%20Spurs%20Rookie%20Basketball&amp;_sacat=0&amp;LH_Sold=1&amp;LH_Complete=1&amp;_sop=13", "Completed")</f>
        <v/>
      </c>
      <c r="K792" s="11" t="inlineStr">
        <is>
          <t>2025-26 Topps Finest - Carter Bryant #14 (RC) - Spurs Rookie - Free Shipping</t>
        </is>
      </c>
    </row>
    <row r="793">
      <c r="A793" s="2" t="inlineStr">
        <is>
          <t>RBM-0001-00008-07433</t>
        </is>
      </c>
      <c r="B793" s="2" t="inlineStr">
        <is>
          <t>2025-26 Topps Chrome VJ EDGECOMBE #VS-8 Voices RC 76ers Rookie Basketball</t>
        </is>
      </c>
      <c r="C793" s="3" t="n">
        <v>3.49</v>
      </c>
      <c r="D793" s="3" t="n">
        <v>2.49</v>
      </c>
      <c r="E793" s="3" t="n">
        <v>-1</v>
      </c>
      <c r="F793" s="4" t="n">
        <v>-28.7</v>
      </c>
      <c r="G793" s="2" t="inlineStr">
        <is>
          <t>🔵 Floored $2.49 — free ship or $0.99 ship?</t>
        </is>
      </c>
      <c r="H793" s="2" t="inlineStr">
        <is>
          <t>85%</t>
        </is>
      </c>
      <c r="I793" s="2">
        <f>HYPERLINK("https://www.ebay.com/sch/261328/i.html?_dcat=261328&amp;_fsrp=1&amp;rt=nc&amp;_from=R40&amp;_nkw=2025-26%20Topps%20Chrome%20VJ%20EDGECOMBE%20%23VS-8%20Voices%20RC%2076ers%20Rookie%20Basketball&amp;_sacat=0&amp;_sop=15&amp;rt=nc&amp;LH_BIN=1", "Active")</f>
        <v/>
      </c>
      <c r="J793" s="2">
        <f>HYPERLINK("https://www.ebay.com/sch/261328/i.html?_from=R40&amp;_nkw=2025-26%20Topps%20Chrome%20VJ%20EDGECOMBE%20%23VS-8%20Voices%20RC%2076ers%20Rookie%20Basketball&amp;_sacat=0&amp;LH_Sold=1&amp;LH_Complete=1&amp;_sop=13", "Completed")</f>
        <v/>
      </c>
      <c r="K793" s="2" t="inlineStr">
        <is>
          <t>2025-26 Topps Chrome Voices #VS-8 VJ Edgecombe RC Philadelphia 76ers</t>
        </is>
      </c>
    </row>
    <row r="794">
      <c r="A794" s="2" t="inlineStr">
        <is>
          <t>RBM-0001-00007-14448</t>
        </is>
      </c>
      <c r="B794" s="2" t="inlineStr">
        <is>
          <t>2025-26 Topps Chrome MAXIME RAYNAUD #293 RC Kings Rookie Basketball</t>
        </is>
      </c>
      <c r="C794" s="3" t="n">
        <v>2.99</v>
      </c>
      <c r="D794" s="3" t="n">
        <v>2.49</v>
      </c>
      <c r="E794" s="3" t="n">
        <v>-0.5</v>
      </c>
      <c r="F794" s="4" t="n">
        <v>-16.7</v>
      </c>
      <c r="G794" s="2" t="inlineStr">
        <is>
          <t>🔵 Floored $2.49 — free ship or $0.99 ship?</t>
        </is>
      </c>
      <c r="H794" s="2" t="inlineStr">
        <is>
          <t>76%</t>
        </is>
      </c>
      <c r="I794" s="2">
        <f>HYPERLINK("https://www.ebay.com/sch/261328/i.html?_dcat=261328&amp;_fsrp=1&amp;rt=nc&amp;_from=R40&amp;_nkw=2025-26%20Topps%20Chrome%20MAXIME%20RAYNAUD%20%23293%20RC%20Kings%20Rookie%20Basketball&amp;_sacat=0&amp;_sop=15&amp;rt=nc&amp;LH_BIN=1", "Active")</f>
        <v/>
      </c>
      <c r="J794" s="2">
        <f>HYPERLINK("https://www.ebay.com/sch/261328/i.html?_from=R40&amp;_nkw=2025-26%20Topps%20Chrome%20MAXIME%20RAYNAUD%20%23293%20RC%20Kings%20Rookie%20Basketball&amp;_sacat=0&amp;LH_Sold=1&amp;LH_Complete=1&amp;_sop=13", "Completed")</f>
        <v/>
      </c>
      <c r="K794" s="2" t="inlineStr">
        <is>
          <t>Maxime Raynaud 2025-26 Topps Chrome #293 (RC) - Sacramento Kings</t>
        </is>
      </c>
    </row>
    <row r="795">
      <c r="A795" s="5" t="inlineStr">
        <is>
          <t>RBM-0001-00020-22374</t>
        </is>
      </c>
      <c r="B795" s="5" t="inlineStr">
        <is>
          <t>2025-26 Topps Chrome IMMANUEL QUICKLEY #212 Negative Ref Raptors Basketball</t>
        </is>
      </c>
      <c r="C795" s="6" t="n">
        <v>3.99</v>
      </c>
      <c r="D795" s="6" t="n">
        <v>4.79</v>
      </c>
      <c r="E795" s="6" t="n">
        <v>0.8</v>
      </c>
      <c r="F795" s="7" t="n">
        <v>20.1</v>
      </c>
      <c r="G795" s="5" t="inlineStr">
        <is>
          <t>⬆ Price Up</t>
        </is>
      </c>
      <c r="H795" s="5" t="inlineStr">
        <is>
          <t>100%</t>
        </is>
      </c>
      <c r="I795" s="5">
        <f>HYPERLINK("https://www.ebay.com/sch/261328/i.html?_dcat=261328&amp;_fsrp=1&amp;rt=nc&amp;_from=R40&amp;_nkw=2025-26%20Topps%20Chrome%20IMMANUEL%20QUICKLEY%20%23212%20Negative%20Ref%20Raptors%20Basketball&amp;_sacat=0&amp;_sop=15&amp;rt=nc&amp;LH_BIN=1", "Active")</f>
        <v/>
      </c>
      <c r="J795" s="5">
        <f>HYPERLINK("https://www.ebay.com/sch/261328/i.html?_from=R40&amp;_nkw=2025-26%20Topps%20Chrome%20IMMANUEL%20QUICKLEY%20%23212%20Negative%20Ref%20Raptors%20Basketball&amp;_sacat=0&amp;LH_Sold=1&amp;LH_Complete=1&amp;_sop=13", "Completed")</f>
        <v/>
      </c>
      <c r="K795" s="5" t="inlineStr">
        <is>
          <t>2025-26 Topps Chrome IMMANUEL QUICKLEY #212 Negative Ref Raptors Basketball</t>
        </is>
      </c>
    </row>
    <row r="796">
      <c r="A796" s="11" t="inlineStr">
        <is>
          <t>RBM-0002-00005-68857</t>
        </is>
      </c>
      <c r="B796" s="11" t="inlineStr">
        <is>
          <t>2025 Bowman's Best KONNOR GRIFFIN #P-15 Pixel Portraits Pirates</t>
        </is>
      </c>
      <c r="C796" s="12" t="n">
        <v>19.99</v>
      </c>
      <c r="D796" s="12" t="n">
        <v>8.09</v>
      </c>
      <c r="E796" s="12" t="n">
        <v>-11.9</v>
      </c>
      <c r="F796" s="13" t="n">
        <v>-59.5</v>
      </c>
      <c r="G796" s="11" t="inlineStr">
        <is>
          <t>⬇ Price Down</t>
        </is>
      </c>
      <c r="H796" s="11" t="inlineStr">
        <is>
          <t>87%</t>
        </is>
      </c>
      <c r="I796" s="11">
        <f>HYPERLINK("https://www.ebay.com/sch/261328/i.html?_dcat=261328&amp;_fsrp=1&amp;rt=nc&amp;_from=R40&amp;_nkw=2025%20Bowman's%20Best%20KONNOR%20GRIFFIN%20%23P-15%20Pixel%20Portraits%20Pirates&amp;_sacat=0&amp;_sop=15&amp;rt=nc&amp;LH_BIN=1", "Active")</f>
        <v/>
      </c>
      <c r="J796" s="11">
        <f>HYPERLINK("https://www.ebay.com/sch/261328/i.html?_from=R40&amp;_nkw=2025%20Bowman's%20Best%20KONNOR%20GRIFFIN%20%23P-15%20Pixel%20Portraits%20Pirates&amp;_sacat=0&amp;LH_Sold=1&amp;LH_Complete=1&amp;_sop=13", "Completed")</f>
        <v/>
      </c>
      <c r="K796" s="11" t="inlineStr">
        <is>
          <t>2025 Bowman's Best Pixel Portrait Konnor Griffin #P-15 Pittsburgh Pirates</t>
        </is>
      </c>
    </row>
    <row r="797">
      <c r="A797" s="2" t="inlineStr">
        <is>
          <t>RBM-0002-00003-58775</t>
        </is>
      </c>
      <c r="B797" s="2" t="inlineStr">
        <is>
          <t>2025 Bowman's Best MAX CLARK #TP-1 Top Prospects Refractor Tigers</t>
        </is>
      </c>
      <c r="C797" s="3" t="n">
        <v>3.99</v>
      </c>
      <c r="D797" s="3" t="n">
        <v>2.49</v>
      </c>
      <c r="E797" s="3" t="n">
        <v>-1.5</v>
      </c>
      <c r="F797" s="4" t="n">
        <v>-37.6</v>
      </c>
      <c r="G797" s="2" t="inlineStr">
        <is>
          <t>🔵 Floored $2.49 — free ship or $0.99 ship?</t>
        </is>
      </c>
      <c r="H797" s="2" t="inlineStr">
        <is>
          <t>77%</t>
        </is>
      </c>
      <c r="I797" s="2">
        <f>HYPERLINK("https://www.ebay.com/sch/261328/i.html?_dcat=261328&amp;_fsrp=1&amp;rt=nc&amp;_from=R40&amp;_nkw=2025%20Bowman's%20Best%20MAX%20CLARK%20%23TP-1%20Top%20Prospects%20Refractor%20Tigers&amp;_sacat=0&amp;_sop=15&amp;rt=nc&amp;LH_BIN=1", "Active")</f>
        <v/>
      </c>
      <c r="J797" s="2">
        <f>HYPERLINK("https://www.ebay.com/sch/261328/i.html?_from=R40&amp;_nkw=2025%20Bowman's%20Best%20MAX%20CLARK%20%23TP-1%20Top%20Prospects%20Refractor%20Tigers&amp;_sacat=0&amp;LH_Sold=1&amp;LH_Complete=1&amp;_sop=13", "Completed")</f>
        <v/>
      </c>
      <c r="K797" s="2" t="inlineStr">
        <is>
          <t>Bowman's Best 2025 Top Prospects Max Clark TP-1 Detroit Tigers Refractor base</t>
        </is>
      </c>
    </row>
    <row r="798">
      <c r="A798" s="5" t="inlineStr">
        <is>
          <t>RBM-0002-00001-05873</t>
        </is>
      </c>
      <c r="B798" s="5" t="inlineStr">
        <is>
          <t>2025 Bowman's Best KEVIN MCGONIGLE #FG-18 MLB All-Star Futures Game AL</t>
        </is>
      </c>
      <c r="C798" s="6" t="n">
        <v>4.99</v>
      </c>
      <c r="D798" s="6" t="n">
        <v>5.79</v>
      </c>
      <c r="E798" s="6" t="n">
        <v>0.8</v>
      </c>
      <c r="F798" s="7" t="n">
        <v>16</v>
      </c>
      <c r="G798" s="5" t="inlineStr">
        <is>
          <t>⬆ Price Up</t>
        </is>
      </c>
      <c r="H798" s="5" t="inlineStr">
        <is>
          <t>100%</t>
        </is>
      </c>
      <c r="I798" s="5">
        <f>HYPERLINK("https://www.ebay.com/sch/261328/i.html?_dcat=261328&amp;_fsrp=1&amp;rt=nc&amp;_from=R40&amp;_nkw=2025%20Bowman's%20Best%20KEVIN%20MCGONIGLE%20%23FG-18%20MLB%20All-Star%20Futures%20Game%20AL&amp;_sacat=0&amp;_sop=15&amp;rt=nc&amp;LH_BIN=1", "Active")</f>
        <v/>
      </c>
      <c r="J798" s="5">
        <f>HYPERLINK("https://www.ebay.com/sch/261328/i.html?_from=R40&amp;_nkw=2025%20Bowman's%20Best%20KEVIN%20MCGONIGLE%20%23FG-18%20MLB%20All-Star%20Futures%20Game%20AL&amp;_sacat=0&amp;LH_Sold=1&amp;LH_Complete=1&amp;_sop=13", "Completed")</f>
        <v/>
      </c>
      <c r="K798" s="5" t="inlineStr">
        <is>
          <t>2025 Bowman's Best KEVIN MCGONIGLE #FG-18 MLB All-Star Futures Game AL</t>
        </is>
      </c>
    </row>
    <row r="799">
      <c r="A799" s="2" t="inlineStr">
        <is>
          <t>RBM-0002-00038-10987</t>
        </is>
      </c>
      <c r="B799" s="2" t="inlineStr">
        <is>
          <t>2025 Bowman's Best CAM SMITH #C-19 Circuitry RC Astros Rookie</t>
        </is>
      </c>
      <c r="C799" s="3" t="n">
        <v>4.99</v>
      </c>
      <c r="D799" s="3" t="n">
        <v>2.49</v>
      </c>
      <c r="E799" s="3" t="n">
        <v>-2.5</v>
      </c>
      <c r="F799" s="4" t="n">
        <v>-50.1</v>
      </c>
      <c r="G799" s="2" t="inlineStr">
        <is>
          <t>🔵 Floored $2.49 — free ship or $0.99 ship?</t>
        </is>
      </c>
      <c r="H799" s="2" t="inlineStr">
        <is>
          <t>90%</t>
        </is>
      </c>
      <c r="I799" s="2">
        <f>HYPERLINK("https://www.ebay.com/sch/261328/i.html?_dcat=261328&amp;_fsrp=1&amp;rt=nc&amp;_from=R40&amp;_nkw=2025%20Bowman's%20Best%20CAM%20SMITH%20%23C-19%20Circuitry%20RC%20Astros%20Rookie&amp;_sacat=0&amp;_sop=15&amp;rt=nc&amp;LH_BIN=1", "Active")</f>
        <v/>
      </c>
      <c r="J799" s="2">
        <f>HYPERLINK("https://www.ebay.com/sch/261328/i.html?_from=R40&amp;_nkw=2025%20Bowman's%20Best%20CAM%20SMITH%20%23C-19%20Circuitry%20RC%20Astros%20Rookie&amp;_sacat=0&amp;LH_Sold=1&amp;LH_Complete=1&amp;_sop=13", "Completed")</f>
        <v/>
      </c>
      <c r="K799" s="2" t="inlineStr">
        <is>
          <t>2025 Bowman's Best Cam Smith Circuitry RC Rookie #C-19 Astros</t>
        </is>
      </c>
    </row>
    <row r="800">
      <c r="A800" s="5" t="inlineStr">
        <is>
          <t>RBM-0002-00062-21407</t>
        </is>
      </c>
      <c r="B800" s="5" t="inlineStr">
        <is>
          <t>2026 Topps JAC CAGLIANONE #SMLB-24 Stars of MLB Crackleboard Foil RC Royals</t>
        </is>
      </c>
      <c r="C800" s="6" t="n">
        <v>3.49</v>
      </c>
      <c r="D800" s="6" t="n">
        <v>4.39</v>
      </c>
      <c r="E800" s="6" t="n">
        <v>0.9</v>
      </c>
      <c r="F800" s="7" t="n">
        <v>25.8</v>
      </c>
      <c r="G800" s="5" t="inlineStr">
        <is>
          <t>⬆ Price Up</t>
        </is>
      </c>
      <c r="H800" s="5" t="inlineStr">
        <is>
          <t>100%</t>
        </is>
      </c>
      <c r="I800" s="5">
        <f>HYPERLINK("https://www.ebay.com/sch/261328/i.html?_dcat=261328&amp;_fsrp=1&amp;rt=nc&amp;_from=R40&amp;_nkw=2026%20Topps%20JAC%20CAGLIANONE%20%23SMLB-24%20Stars%20of%20MLB%20Crackleboard%20Foil%20RC%20Royals&amp;_sacat=0&amp;_sop=15&amp;rt=nc&amp;LH_BIN=1", "Active")</f>
        <v/>
      </c>
      <c r="J800" s="5">
        <f>HYPERLINK("https://www.ebay.com/sch/261328/i.html?_from=R40&amp;_nkw=2026%20Topps%20JAC%20CAGLIANONE%20%23SMLB-24%20Stars%20of%20MLB%20Crackleboard%20Foil%20RC%20Royals&amp;_sacat=0&amp;LH_Sold=1&amp;LH_Complete=1&amp;_sop=13", "Completed")</f>
        <v/>
      </c>
      <c r="K800" s="5" t="inlineStr">
        <is>
          <t>2026 Topps JAC CAGLIANONE #SMLB-24 Stars of MLB Crackleboard Foil RC Royals</t>
        </is>
      </c>
    </row>
    <row r="801">
      <c r="A801" s="5" t="inlineStr">
        <is>
          <t>RBM-0002-00043-32979</t>
        </is>
      </c>
      <c r="B801" s="5" t="inlineStr">
        <is>
          <t>2025 Bowman Draft THEO GILLEN #BD-121 Green Border 30/99 Rays</t>
        </is>
      </c>
      <c r="C801" s="6" t="n">
        <v>6.79</v>
      </c>
      <c r="D801" s="6" t="n">
        <v>7.59</v>
      </c>
      <c r="E801" s="6" t="n">
        <v>0.8</v>
      </c>
      <c r="F801" s="7" t="n">
        <v>11.8</v>
      </c>
      <c r="G801" s="5" t="inlineStr">
        <is>
          <t>⬆ Price Up</t>
        </is>
      </c>
      <c r="H801" s="5" t="inlineStr">
        <is>
          <t>100%</t>
        </is>
      </c>
      <c r="I801" s="5">
        <f>HYPERLINK("https://www.ebay.com/sch/261328/i.html?_dcat=261328&amp;_fsrp=1&amp;rt=nc&amp;_from=R40&amp;_nkw=2025%20Bowman%20Draft%20THEO%20GILLEN%20%23BD-121%20Green%20Border%2030%2F99%20Rays&amp;_sacat=0&amp;_sop=15&amp;rt=nc&amp;LH_BIN=1", "Active")</f>
        <v/>
      </c>
      <c r="J801" s="5">
        <f>HYPERLINK("https://www.ebay.com/sch/261328/i.html?_from=R40&amp;_nkw=2025%20Bowman%20Draft%20THEO%20GILLEN%20%23BD-121%20Green%20Border%2030%2F99%20Rays&amp;_sacat=0&amp;LH_Sold=1&amp;LH_Complete=1&amp;_sop=13", "Completed")</f>
        <v/>
      </c>
      <c r="K801" s="5" t="inlineStr">
        <is>
          <t>2025 Bowman Draft THEO GILLEN #BD-121 Green Border 30/99 Rays</t>
        </is>
      </c>
    </row>
    <row r="802">
      <c r="A802" s="5" t="inlineStr">
        <is>
          <t>RBM-0002-00046-68102</t>
        </is>
      </c>
      <c r="B802" s="5" t="inlineStr">
        <is>
          <t>2025 Bowman Chrome BRYCE BOETTCHER #BCP-243 Purple Refractor /250 1st Prospect</t>
        </is>
      </c>
      <c r="C802" s="6" t="n">
        <v>3.99</v>
      </c>
      <c r="D802" s="6" t="n">
        <v>4.59</v>
      </c>
      <c r="E802" s="6" t="n">
        <v>0.6</v>
      </c>
      <c r="F802" s="7" t="n">
        <v>15</v>
      </c>
      <c r="G802" s="5" t="inlineStr">
        <is>
          <t>⬆ Price Up</t>
        </is>
      </c>
      <c r="H802" s="5" t="inlineStr">
        <is>
          <t>79%</t>
        </is>
      </c>
      <c r="I802" s="5">
        <f>HYPERLINK("https://www.ebay.com/sch/261328/i.html?_dcat=261328&amp;_fsrp=1&amp;rt=nc&amp;_from=R40&amp;_nkw=2025%20Bowman%20Chrome%20BRYCE%20BOETTCHER%20%23BCP-243%20Purple%20Refractor%20%2F250%201st%20Prospect&amp;_sacat=0&amp;_sop=15&amp;rt=nc&amp;LH_BIN=1", "Active")</f>
        <v/>
      </c>
      <c r="J802" s="5">
        <f>HYPERLINK("https://www.ebay.com/sch/261328/i.html?_from=R40&amp;_nkw=2025%20Bowman%20Chrome%20BRYCE%20BOETTCHER%20%23BCP-243%20Purple%20Refractor%20%2F250%201st%20Prospect&amp;_sacat=0&amp;LH_Sold=1&amp;LH_Complete=1&amp;_sop=13", "Completed")</f>
        <v/>
      </c>
      <c r="K802" s="5" t="inlineStr">
        <is>
          <t>Bryce Boettcher 2025 Bowman Chrome 1st Purple Shimmer Refractor /250 #BCP-243</t>
        </is>
      </c>
    </row>
    <row r="803">
      <c r="A803" s="5" t="inlineStr">
        <is>
          <t>RBM-0002-00021-56785</t>
        </is>
      </c>
      <c r="B803" s="5" t="inlineStr">
        <is>
          <t>2025-26 Topps Finest MATAS BUZELIS #236 Rare Blue Ref 54/99 Bulls Basketball</t>
        </is>
      </c>
      <c r="C803" s="6" t="n">
        <v>45.69</v>
      </c>
      <c r="D803" s="6" t="n">
        <v>53.19</v>
      </c>
      <c r="E803" s="6" t="n">
        <v>7.5</v>
      </c>
      <c r="F803" s="7" t="n">
        <v>16.4</v>
      </c>
      <c r="G803" s="5" t="inlineStr">
        <is>
          <t>⬆ Price Up</t>
        </is>
      </c>
      <c r="H803" s="5" t="inlineStr">
        <is>
          <t>100%</t>
        </is>
      </c>
      <c r="I803" s="5">
        <f>HYPERLINK("https://www.ebay.com/sch/261328/i.html?_dcat=261328&amp;_fsrp=1&amp;rt=nc&amp;_from=R40&amp;_nkw=2025-26%20Topps%20Finest%20MATAS%20BUZELIS%20%23236%20Rare%20Blue%20Ref%2054%2F99%20Bulls%20Basketball&amp;_sacat=0&amp;_sop=15&amp;rt=nc&amp;LH_BIN=1", "Active")</f>
        <v/>
      </c>
      <c r="J803" s="5">
        <f>HYPERLINK("https://www.ebay.com/sch/261328/i.html?_from=R40&amp;_nkw=2025-26%20Topps%20Finest%20MATAS%20BUZELIS%20%23236%20Rare%20Blue%20Ref%2054%2F99%20Bulls%20Basketball&amp;_sacat=0&amp;LH_Sold=1&amp;LH_Complete=1&amp;_sop=13", "Completed")</f>
        <v/>
      </c>
      <c r="K803" s="5" t="inlineStr">
        <is>
          <t>2025-26 Topps Finest MATAS BUZELIS #236 Rare Blue Ref 54/99 Bulls Basketball</t>
        </is>
      </c>
    </row>
    <row r="804">
      <c r="A804" s="11" t="inlineStr">
        <is>
          <t>RBM-0002-00002-90915</t>
        </is>
      </c>
      <c r="B804" s="11" t="inlineStr">
        <is>
          <t>2025-26 Topps Finest CEDRIC COWARD #11 Oil Spill Refractor RC Grizzlies Rookie</t>
        </is>
      </c>
      <c r="C804" s="12" t="n">
        <v>5.99</v>
      </c>
      <c r="D804" s="12" t="n">
        <v>5.29</v>
      </c>
      <c r="E804" s="12" t="n">
        <v>-0.7</v>
      </c>
      <c r="F804" s="13" t="n">
        <v>-11.7</v>
      </c>
      <c r="G804" s="11" t="inlineStr">
        <is>
          <t>⬇ Price Down</t>
        </is>
      </c>
      <c r="H804" s="11" t="inlineStr">
        <is>
          <t>80%</t>
        </is>
      </c>
      <c r="I804" s="11">
        <f>HYPERLINK("https://www.ebay.com/sch/261328/i.html?_dcat=261328&amp;_fsrp=1&amp;rt=nc&amp;_from=R40&amp;_nkw=2025-26%20Topps%20Finest%20CEDRIC%20COWARD%20%2311%20Oil%20Spill%20Refractor%20RC%20Grizzlies%20Rookie&amp;_sacat=0&amp;_sop=15&amp;rt=nc&amp;LH_BIN=1", "Active")</f>
        <v/>
      </c>
      <c r="J804" s="11">
        <f>HYPERLINK("https://www.ebay.com/sch/261328/i.html?_from=R40&amp;_nkw=2025-26%20Topps%20Finest%20CEDRIC%20COWARD%20%2311%20Oil%20Spill%20Refractor%20RC%20Grizzlies%20Rookie&amp;_sacat=0&amp;LH_Sold=1&amp;LH_Complete=1&amp;_sop=13", "Completed")</f>
        <v/>
      </c>
      <c r="K804" s="11" t="inlineStr">
        <is>
          <t>Cedric Coward 2025-26 Topps Finest Common Oil Spill Refractor RC #11 Grizzlies</t>
        </is>
      </c>
    </row>
    <row r="805">
      <c r="A805" s="5" t="inlineStr">
        <is>
          <t>RBM-0002-00022-22017</t>
        </is>
      </c>
      <c r="B805" s="5" t="inlineStr">
        <is>
          <t>2025-26 Topps Finest ZACH LAVINE #169 Uncommon Sky Blue Refractor 78/250 Kings</t>
        </is>
      </c>
      <c r="C805" s="6" t="n">
        <v>10.09</v>
      </c>
      <c r="D805" s="6" t="n">
        <v>10.79</v>
      </c>
      <c r="E805" s="6" t="n">
        <v>0.7</v>
      </c>
      <c r="F805" s="7" t="n">
        <v>6.9</v>
      </c>
      <c r="G805" s="5" t="inlineStr">
        <is>
          <t>⬆ Price Up</t>
        </is>
      </c>
      <c r="H805" s="5" t="inlineStr">
        <is>
          <t>100%</t>
        </is>
      </c>
      <c r="I805" s="5">
        <f>HYPERLINK("https://www.ebay.com/sch/261328/i.html?_dcat=261328&amp;_fsrp=1&amp;rt=nc&amp;_from=R40&amp;_nkw=2025-26%20Topps%20Finest%20ZACH%20LAVINE%20%23169%20Uncommon%20Sky%20Blue%20Refractor%2078%2F250%20Kings&amp;_sacat=0&amp;_sop=15&amp;rt=nc&amp;LH_BIN=1", "Active")</f>
        <v/>
      </c>
      <c r="J805" s="5">
        <f>HYPERLINK("https://www.ebay.com/sch/261328/i.html?_from=R40&amp;_nkw=2025-26%20Topps%20Finest%20ZACH%20LAVINE%20%23169%20Uncommon%20Sky%20Blue%20Refractor%2078%2F250%20Kings&amp;_sacat=0&amp;LH_Sold=1&amp;LH_Complete=1&amp;_sop=13", "Completed")</f>
        <v/>
      </c>
      <c r="K805" s="5" t="inlineStr">
        <is>
          <t>2025-26 Topps Finest ZACH LAVINE #169 Uncommon Sky Blue Refractor 78/250 Kings</t>
        </is>
      </c>
    </row>
    <row r="806">
      <c r="A806" s="5" t="inlineStr">
        <is>
          <t>RBM-0002-00013-74744</t>
        </is>
      </c>
      <c r="B806" s="5" t="inlineStr">
        <is>
          <t>2025-26 Topps Finest DERIK QUEEN #A-13 Arrivals RC Pelicans Rookie Basketball</t>
        </is>
      </c>
      <c r="C806" s="6" t="n">
        <v>2.49</v>
      </c>
      <c r="D806" s="6" t="n">
        <v>2.79</v>
      </c>
      <c r="E806" s="6" t="n">
        <v>0.3</v>
      </c>
      <c r="F806" s="7" t="n">
        <v>12</v>
      </c>
      <c r="G806" s="5" t="inlineStr">
        <is>
          <t>⬆ Price Up</t>
        </is>
      </c>
      <c r="H806" s="5" t="inlineStr">
        <is>
          <t>86%</t>
        </is>
      </c>
      <c r="I806" s="5">
        <f>HYPERLINK("https://www.ebay.com/sch/261328/i.html?_dcat=261328&amp;_fsrp=1&amp;rt=nc&amp;_from=R40&amp;_nkw=2025-26%20Topps%20Finest%20DERIK%20QUEEN%20%23A-13%20Arrivals%20RC%20Pelicans%20Rookie%20Basketball&amp;_sacat=0&amp;_sop=15&amp;rt=nc&amp;LH_BIN=1", "Active")</f>
        <v/>
      </c>
      <c r="J806" s="5">
        <f>HYPERLINK("https://www.ebay.com/sch/261328/i.html?_from=R40&amp;_nkw=2025-26%20Topps%20Finest%20DERIK%20QUEEN%20%23A-13%20Arrivals%20RC%20Pelicans%20Rookie%20Basketball&amp;_sacat=0&amp;LH_Sold=1&amp;LH_Complete=1&amp;_sop=13", "Completed")</f>
        <v/>
      </c>
      <c r="K806" s="5" t="inlineStr">
        <is>
          <t>2025-26 Topps Finest - Arrivals Derik Queen #A-13 (RC) New Orleans Pelicans</t>
        </is>
      </c>
    </row>
    <row r="807">
      <c r="A807" s="5" t="inlineStr">
        <is>
          <t>RBM-0002-00018-94688</t>
        </is>
      </c>
      <c r="B807" s="5" t="inlineStr">
        <is>
          <t>2025-26 Topps Chrome NIQUE CLIFFORD #274 RayWave Ref RC Kings Rookie Basketball</t>
        </is>
      </c>
      <c r="C807" s="6" t="n">
        <v>3.99</v>
      </c>
      <c r="D807" s="6" t="n">
        <v>4.79</v>
      </c>
      <c r="E807" s="6" t="n">
        <v>0.8</v>
      </c>
      <c r="F807" s="7" t="n">
        <v>20.1</v>
      </c>
      <c r="G807" s="5" t="inlineStr">
        <is>
          <t>⬆ Price Up</t>
        </is>
      </c>
      <c r="H807" s="5" t="inlineStr">
        <is>
          <t>100%</t>
        </is>
      </c>
      <c r="I807" s="5">
        <f>HYPERLINK("https://www.ebay.com/sch/261328/i.html?_dcat=261328&amp;_fsrp=1&amp;rt=nc&amp;_from=R40&amp;_nkw=2025-26%20Topps%20Chrome%20NIQUE%20CLIFFORD%20%23274%20RayWave%20Ref%20RC%20Kings%20Rookie%20Basketball&amp;_sacat=0&amp;_sop=15&amp;rt=nc&amp;LH_BIN=1", "Active")</f>
        <v/>
      </c>
      <c r="J807" s="5">
        <f>HYPERLINK("https://www.ebay.com/sch/261328/i.html?_from=R40&amp;_nkw=2025-26%20Topps%20Chrome%20NIQUE%20CLIFFORD%20%23274%20RayWave%20Ref%20RC%20Kings%20Rookie%20Basketball&amp;_sacat=0&amp;LH_Sold=1&amp;LH_Complete=1&amp;_sop=13", "Completed")</f>
        <v/>
      </c>
      <c r="K807" s="5" t="inlineStr">
        <is>
          <t>2025-26 Topps Chrome NIQUE CLIFFORD #274 RayWave Ref RC Kings Rookie Basketball</t>
        </is>
      </c>
    </row>
    <row r="808">
      <c r="A808" s="11" t="inlineStr">
        <is>
          <t>RBM-0002-00010-06844</t>
        </is>
      </c>
      <c r="B808" s="11" t="inlineStr">
        <is>
          <t>2025-26 Topps Finest DEJOUNTE MURRAY #97 Oil Spill Refractor Pelicans Basketball</t>
        </is>
      </c>
      <c r="C808" s="12" t="n">
        <v>2.99</v>
      </c>
      <c r="D808" s="12" t="n">
        <v>2.89</v>
      </c>
      <c r="E808" s="12" t="n">
        <v>-0.1</v>
      </c>
      <c r="F808" s="13" t="n">
        <v>-3.3</v>
      </c>
      <c r="G808" s="11" t="inlineStr">
        <is>
          <t>⬇ Price Down</t>
        </is>
      </c>
      <c r="H808" s="11" t="inlineStr">
        <is>
          <t>80%</t>
        </is>
      </c>
      <c r="I808" s="11">
        <f>HYPERLINK("https://www.ebay.com/sch/261328/i.html?_dcat=261328&amp;_fsrp=1&amp;rt=nc&amp;_from=R40&amp;_nkw=2025-26%20Topps%20Finest%20DEJOUNTE%20MURRAY%20%2397%20Oil%20Spill%20Refractor%20Pelicans%20Basketball&amp;_sacat=0&amp;_sop=15&amp;rt=nc&amp;LH_BIN=1", "Active")</f>
        <v/>
      </c>
      <c r="J808" s="11">
        <f>HYPERLINK("https://www.ebay.com/sch/261328/i.html?_from=R40&amp;_nkw=2025-26%20Topps%20Finest%20DEJOUNTE%20MURRAY%20%2397%20Oil%20Spill%20Refractor%20Pelicans%20Basketball&amp;_sacat=0&amp;LH_Sold=1&amp;LH_Complete=1&amp;_sop=13", "Completed")</f>
        <v/>
      </c>
      <c r="K808" s="11" t="inlineStr">
        <is>
          <t>Dejounte Murray 2025-26 Topps Finest NBA #97 Oil Spill Refractor Pelicans</t>
        </is>
      </c>
    </row>
    <row r="809">
      <c r="A809" s="5" t="inlineStr">
        <is>
          <t>RBM-0002-00008-91659</t>
        </is>
      </c>
      <c r="B809" s="5" t="inlineStr">
        <is>
          <t>2025-26 Topps Finest ZACH LAVINE #286 Rare Kings Basketball</t>
        </is>
      </c>
      <c r="C809" s="6" t="n">
        <v>3.39</v>
      </c>
      <c r="D809" s="6" t="n">
        <v>3.49</v>
      </c>
      <c r="E809" s="6" t="n">
        <v>0.1</v>
      </c>
      <c r="F809" s="7" t="n">
        <v>2.9</v>
      </c>
      <c r="G809" s="5" t="inlineStr">
        <is>
          <t>⬆ Price Up</t>
        </is>
      </c>
      <c r="H809" s="5" t="inlineStr">
        <is>
          <t>86%</t>
        </is>
      </c>
      <c r="I809" s="5">
        <f>HYPERLINK("https://www.ebay.com/sch/261328/i.html?_dcat=261328&amp;_fsrp=1&amp;rt=nc&amp;_from=R40&amp;_nkw=2025-26%20Topps%20Finest%20ZACH%20LAVINE%20%23286%20Rare%20Kings%20Basketball&amp;_sacat=0&amp;_sop=15&amp;rt=nc&amp;LH_BIN=1", "Active")</f>
        <v/>
      </c>
      <c r="J809" s="5">
        <f>HYPERLINK("https://www.ebay.com/sch/261328/i.html?_from=R40&amp;_nkw=2025-26%20Topps%20Finest%20ZACH%20LAVINE%20%23286%20Rare%20Kings%20Basketball&amp;_sacat=0&amp;LH_Sold=1&amp;LH_Complete=1&amp;_sop=13", "Completed")</f>
        <v/>
      </c>
      <c r="K809" s="5" t="inlineStr">
        <is>
          <t>2025-26 Topps Finest Zach LaVine Refractor Rare #286 Kings</t>
        </is>
      </c>
    </row>
    <row r="810">
      <c r="A810" s="2" t="inlineStr">
        <is>
          <t>RBM-0002-00011-73797</t>
        </is>
      </c>
      <c r="B810" s="2" t="inlineStr">
        <is>
          <t>2025-26 Topps Finest JEREMIAH FEARS #F-7 First RC Pelicans Rookie Basketball</t>
        </is>
      </c>
      <c r="C810" s="3" t="n">
        <v>4.49</v>
      </c>
      <c r="D810" s="3" t="n">
        <v>2.49</v>
      </c>
      <c r="E810" s="3" t="n">
        <v>-2</v>
      </c>
      <c r="F810" s="4" t="n">
        <v>-44.5</v>
      </c>
      <c r="G810" s="2" t="inlineStr">
        <is>
          <t>🔵 Floored $2.49 — free ship or $0.99 ship?</t>
        </is>
      </c>
      <c r="H810" s="2" t="inlineStr">
        <is>
          <t>86%</t>
        </is>
      </c>
      <c r="I810" s="2">
        <f>HYPERLINK("https://www.ebay.com/sch/261328/i.html?_dcat=261328&amp;_fsrp=1&amp;rt=nc&amp;_from=R40&amp;_nkw=2025-26%20Topps%20Finest%20JEREMIAH%20FEARS%20%23F-7%20First%20RC%20Pelicans%20Rookie%20Basketball&amp;_sacat=0&amp;_sop=15&amp;rt=nc&amp;LH_BIN=1", "Active")</f>
        <v/>
      </c>
      <c r="J810" s="2">
        <f>HYPERLINK("https://www.ebay.com/sch/261328/i.html?_from=R40&amp;_nkw=2025-26%20Topps%20Finest%20JEREMIAH%20FEARS%20%23F-7%20First%20RC%20Pelicans%20Rookie%20Basketball&amp;_sacat=0&amp;LH_Sold=1&amp;LH_Complete=1&amp;_sop=13", "Completed")</f>
        <v/>
      </c>
      <c r="K810" s="2" t="inlineStr">
        <is>
          <t>2025-26 Topps Finest - First Jeremiah Fears #F-7 (RC) New Orleans Pelicans</t>
        </is>
      </c>
    </row>
    <row r="811">
      <c r="A811" s="5" t="inlineStr">
        <is>
          <t>RBM-0002-00003-00544</t>
        </is>
      </c>
      <c r="B811" s="5" t="inlineStr">
        <is>
          <t>2025-26 Topps Finest DYLAN HARPER #A-2 Arrivals RC Spurs Rookie Basketball</t>
        </is>
      </c>
      <c r="C811" s="6" t="n">
        <v>10.39</v>
      </c>
      <c r="D811" s="6" t="n">
        <v>10.99</v>
      </c>
      <c r="E811" s="6" t="n">
        <v>0.6</v>
      </c>
      <c r="F811" s="7" t="n">
        <v>5.8</v>
      </c>
      <c r="G811" s="5" t="inlineStr">
        <is>
          <t>⬆ Price Up</t>
        </is>
      </c>
      <c r="H811" s="5" t="inlineStr">
        <is>
          <t>86%</t>
        </is>
      </c>
      <c r="I811" s="5">
        <f>HYPERLINK("https://www.ebay.com/sch/261328/i.html?_dcat=261328&amp;_fsrp=1&amp;rt=nc&amp;_from=R40&amp;_nkw=2025-26%20Topps%20Finest%20DYLAN%20HARPER%20%23A-2%20Arrivals%20RC%20Spurs%20Rookie%20Basketball&amp;_sacat=0&amp;_sop=15&amp;rt=nc&amp;LH_BIN=1", "Active")</f>
        <v/>
      </c>
      <c r="J811" s="5">
        <f>HYPERLINK("https://www.ebay.com/sch/261328/i.html?_from=R40&amp;_nkw=2025-26%20Topps%20Finest%20DYLAN%20HARPER%20%23A-2%20Arrivals%20RC%20Spurs%20Rookie%20Basketball&amp;_sacat=0&amp;LH_Sold=1&amp;LH_Complete=1&amp;_sop=13", "Completed")</f>
        <v/>
      </c>
      <c r="K811" s="5" t="inlineStr">
        <is>
          <t>2025-26 Topps Finest Arrivals #A-2 Dylan Harper RC Spurs NBA Insert 🔥</t>
        </is>
      </c>
    </row>
    <row r="812">
      <c r="A812" s="11" t="inlineStr">
        <is>
          <t>RBM-0002-00014-78299</t>
        </is>
      </c>
      <c r="B812" s="11" t="inlineStr">
        <is>
          <t>2025-26 Topps Finest VINCE CARTER #M-20 Muse Refractor Raptors Basketball</t>
        </is>
      </c>
      <c r="C812" s="12" t="n">
        <v>3.89</v>
      </c>
      <c r="D812" s="12" t="n">
        <v>3.69</v>
      </c>
      <c r="E812" s="12" t="n">
        <v>-0.2</v>
      </c>
      <c r="F812" s="13" t="n">
        <v>-5.1</v>
      </c>
      <c r="G812" s="11" t="inlineStr">
        <is>
          <t>⬇ Price Down</t>
        </is>
      </c>
      <c r="H812" s="11" t="inlineStr">
        <is>
          <t>87%</t>
        </is>
      </c>
      <c r="I812" s="11">
        <f>HYPERLINK("https://www.ebay.com/sch/261328/i.html?_dcat=261328&amp;_fsrp=1&amp;rt=nc&amp;_from=R40&amp;_nkw=2025-26%20Topps%20Finest%20VINCE%20CARTER%20%23M-20%20Muse%20Refractor%20Raptors%20Basketball&amp;_sacat=0&amp;_sop=15&amp;rt=nc&amp;LH_BIN=1", "Active")</f>
        <v/>
      </c>
      <c r="J812" s="11">
        <f>HYPERLINK("https://www.ebay.com/sch/261328/i.html?_from=R40&amp;_nkw=2025-26%20Topps%20Finest%20VINCE%20CARTER%20%23M-20%20Muse%20Refractor%20Raptors%20Basketball&amp;_sacat=0&amp;LH_Sold=1&amp;LH_Complete=1&amp;_sop=13", "Completed")</f>
        <v/>
      </c>
      <c r="K812" s="11" t="inlineStr">
        <is>
          <t>2025-26 Topps Finest Basketball Muse #M-20 Vince Carter REFRACTOR Raptors</t>
        </is>
      </c>
    </row>
    <row r="813">
      <c r="A813" s="11" t="inlineStr">
        <is>
          <t>RBM-0002-00020-90627</t>
        </is>
      </c>
      <c r="B813" s="11" t="inlineStr">
        <is>
          <t>2025-26 Topps Finest DENNIS RODMAN #M-18 Muse Bulls Basketball</t>
        </is>
      </c>
      <c r="C813" s="12" t="n">
        <v>3.99</v>
      </c>
      <c r="D813" s="12" t="n">
        <v>2.59</v>
      </c>
      <c r="E813" s="12" t="n">
        <v>-1.4</v>
      </c>
      <c r="F813" s="13" t="n">
        <v>-35.1</v>
      </c>
      <c r="G813" s="11" t="inlineStr">
        <is>
          <t>⬇ Price Down</t>
        </is>
      </c>
      <c r="H813" s="11" t="inlineStr">
        <is>
          <t>73%</t>
        </is>
      </c>
      <c r="I813" s="11">
        <f>HYPERLINK("https://www.ebay.com/sch/261328/i.html?_dcat=261328&amp;_fsrp=1&amp;rt=nc&amp;_from=R40&amp;_nkw=2025-26%20Topps%20Finest%20DENNIS%20RODMAN%20%23M-18%20Muse%20Bulls%20Basketball&amp;_sacat=0&amp;_sop=15&amp;rt=nc&amp;LH_BIN=1", "Active")</f>
        <v/>
      </c>
      <c r="J813" s="11">
        <f>HYPERLINK("https://www.ebay.com/sch/261328/i.html?_from=R40&amp;_nkw=2025-26%20Topps%20Finest%20DENNIS%20RODMAN%20%23M-18%20Muse%20Bulls%20Basketball&amp;_sacat=0&amp;LH_Sold=1&amp;LH_Complete=1&amp;_sop=13", "Completed")</f>
        <v/>
      </c>
      <c r="K813" s="11" t="inlineStr">
        <is>
          <t>Dennis Rodman 2025-26 Finest #M-18 Muse Chicago Bulls</t>
        </is>
      </c>
    </row>
    <row r="814">
      <c r="A814" s="8" t="inlineStr">
        <is>
          <t>RBM-0002-00007-76194</t>
        </is>
      </c>
      <c r="B814" s="8" t="inlineStr">
        <is>
          <t>2025 Topps Chrome Sapphire BOGDAN BOGDANOVIC #92 Purple Refractor /75</t>
        </is>
      </c>
      <c r="C814" s="9" t="n">
        <v>10.99</v>
      </c>
      <c r="D814" s="9" t="n">
        <v>10.99</v>
      </c>
      <c r="E814" s="9" t="n">
        <v>0</v>
      </c>
      <c r="F814" s="10" t="n">
        <v>0</v>
      </c>
      <c r="G814" s="8" t="inlineStr">
        <is>
          <t>— No Change</t>
        </is>
      </c>
      <c r="H814" s="8" t="inlineStr">
        <is>
          <t>89%</t>
        </is>
      </c>
      <c r="I814" s="8">
        <f>HYPERLINK("https://www.ebay.com/sch/261328/i.html?_dcat=261328&amp;_fsrp=1&amp;rt=nc&amp;_from=R40&amp;_nkw=2025%20Topps%20Chrome%20Sapphire%20BOGDAN%20BOGDANOVIC%20%2392%20Purple%20Refractor%20%2F75&amp;_sacat=0&amp;_sop=15&amp;rt=nc&amp;LH_BIN=1", "Active")</f>
        <v/>
      </c>
      <c r="J814" s="8">
        <f>HYPERLINK("https://www.ebay.com/sch/261328/i.html?_from=R40&amp;_nkw=2025%20Topps%20Chrome%20Sapphire%20BOGDAN%20BOGDANOVIC%20%2392%20Purple%20Refractor%20%2F75&amp;_sacat=0&amp;LH_Sold=1&amp;LH_Complete=1&amp;_sop=13", "Completed")</f>
        <v/>
      </c>
      <c r="K814" s="8" t="inlineStr">
        <is>
          <t>2025-26 Topps Chrome Sapphire Purple Refractor Bogdan Bogdanovic 38/75 #92</t>
        </is>
      </c>
    </row>
    <row r="815">
      <c r="A815" s="2" t="inlineStr">
        <is>
          <t>RBM-0002-00015-10654</t>
        </is>
      </c>
      <c r="B815" s="2" t="inlineStr">
        <is>
          <t>2025-26 Topps Finest CEDRIC COWARD #11 Common RC Grizzlies Rookie Basketball</t>
        </is>
      </c>
      <c r="C815" s="3" t="n">
        <v>3.49</v>
      </c>
      <c r="D815" s="3" t="n">
        <v>2.49</v>
      </c>
      <c r="E815" s="3" t="n">
        <v>-1</v>
      </c>
      <c r="F815" s="4" t="n">
        <v>-28.7</v>
      </c>
      <c r="G815" s="2" t="inlineStr">
        <is>
          <t>🔵 Floored $2.49 — free ship or $0.99 ship?</t>
        </is>
      </c>
      <c r="H815" s="2" t="inlineStr">
        <is>
          <t>75%</t>
        </is>
      </c>
      <c r="I815" s="2">
        <f>HYPERLINK("https://www.ebay.com/sch/261328/i.html?_dcat=261328&amp;_fsrp=1&amp;rt=nc&amp;_from=R40&amp;_nkw=2025-26%20Topps%20Finest%20CEDRIC%20COWARD%20%2311%20Common%20RC%20Grizzlies%20Rookie%20Basketball&amp;_sacat=0&amp;_sop=15&amp;rt=nc&amp;LH_BIN=1", "Active")</f>
        <v/>
      </c>
      <c r="J815" s="2">
        <f>HYPERLINK("https://www.ebay.com/sch/261328/i.html?_from=R40&amp;_nkw=2025-26%20Topps%20Finest%20CEDRIC%20COWARD%20%2311%20Common%20RC%20Grizzlies%20Rookie%20Basketball&amp;_sacat=0&amp;LH_Sold=1&amp;LH_Complete=1&amp;_sop=13", "Completed")</f>
        <v/>
      </c>
      <c r="K815" s="2" t="inlineStr">
        <is>
          <t>Cedric Coward RC Rookie 2025-26 Topps Finest #11 Memphis Grizzlies</t>
        </is>
      </c>
    </row>
    <row r="816">
      <c r="A816" s="2" t="inlineStr">
        <is>
          <t>RBM-0002-00016-12717</t>
        </is>
      </c>
      <c r="B816" s="2" t="inlineStr">
        <is>
          <t>2025-26 Topps Finest DERIK QUEEN #13 Common RC Pelicans Rookie Basketball</t>
        </is>
      </c>
      <c r="C816" s="3" t="n">
        <v>3.99</v>
      </c>
      <c r="D816" s="3" t="n">
        <v>2.49</v>
      </c>
      <c r="E816" s="3" t="n">
        <v>-1.5</v>
      </c>
      <c r="F816" s="4" t="n">
        <v>-37.6</v>
      </c>
      <c r="G816" s="2" t="inlineStr">
        <is>
          <t>🔵 Floored $2.49 — free ship or $0.99 ship?</t>
        </is>
      </c>
      <c r="H816" s="2" t="inlineStr">
        <is>
          <t>76%</t>
        </is>
      </c>
      <c r="I816" s="2">
        <f>HYPERLINK("https://www.ebay.com/sch/261328/i.html?_dcat=261328&amp;_fsrp=1&amp;rt=nc&amp;_from=R40&amp;_nkw=2025-26%20Topps%20Finest%20DERIK%20QUEEN%20%2313%20Common%20RC%20Pelicans%20Rookie%20Basketball&amp;_sacat=0&amp;_sop=15&amp;rt=nc&amp;LH_BIN=1", "Active")</f>
        <v/>
      </c>
      <c r="J816" s="2">
        <f>HYPERLINK("https://www.ebay.com/sch/261328/i.html?_from=R40&amp;_nkw=2025-26%20Topps%20Finest%20DERIK%20QUEEN%20%2313%20Common%20RC%20Pelicans%20Rookie%20Basketball&amp;_sacat=0&amp;LH_Sold=1&amp;LH_Complete=1&amp;_sop=13", "Completed")</f>
        <v/>
      </c>
      <c r="K816" s="2" t="inlineStr">
        <is>
          <t>Derik Queen 2025-26 Topps Finest Rookie RC #13 - New Orleans Pelicans</t>
        </is>
      </c>
    </row>
    <row r="817">
      <c r="A817" s="2" t="inlineStr">
        <is>
          <t>RBM-0002-00017-00768</t>
        </is>
      </c>
      <c r="B817" s="2" t="inlineStr">
        <is>
          <t>2025-26 Topps Finest TRACY MCGRADY #199 Uncommon Magic Basketball</t>
        </is>
      </c>
      <c r="C817" s="3" t="n">
        <v>3.49</v>
      </c>
      <c r="D817" s="3" t="n">
        <v>2.49</v>
      </c>
      <c r="E817" s="3" t="n">
        <v>-1</v>
      </c>
      <c r="F817" s="4" t="n">
        <v>-28.7</v>
      </c>
      <c r="G817" s="2" t="inlineStr">
        <is>
          <t>🔵 Floored $2.49 — free ship or $0.99 ship?</t>
        </is>
      </c>
      <c r="H817" s="2" t="inlineStr">
        <is>
          <t>77%</t>
        </is>
      </c>
      <c r="I817" s="2">
        <f>HYPERLINK("https://www.ebay.com/sch/261328/i.html?_dcat=261328&amp;_fsrp=1&amp;rt=nc&amp;_from=R40&amp;_nkw=2025-26%20Topps%20Finest%20TRACY%20MCGRADY%20%23199%20Uncommon%20Magic%20Basketball&amp;_sacat=0&amp;_sop=15&amp;rt=nc&amp;LH_BIN=1", "Active")</f>
        <v/>
      </c>
      <c r="J817" s="2">
        <f>HYPERLINK("https://www.ebay.com/sch/261328/i.html?_from=R40&amp;_nkw=2025-26%20Topps%20Finest%20TRACY%20MCGRADY%20%23199%20Uncommon%20Magic%20Basketball&amp;_sacat=0&amp;LH_Sold=1&amp;LH_Complete=1&amp;_sop=13", "Completed")</f>
        <v/>
      </c>
      <c r="K817" s="2" t="inlineStr">
        <is>
          <t>Tracy McGrady Uncommon 2025-26 Topps Finest #199 Orlando Magic</t>
        </is>
      </c>
    </row>
    <row r="818">
      <c r="A818" s="11" t="inlineStr">
        <is>
          <t>RBM-0001-00004-24129</t>
        </is>
      </c>
      <c r="B818" s="11" t="inlineStr">
        <is>
          <t>2025 Bowman's Best KONNOR GRIFFIN #TP-27 Top Prospects Refractor Pirates</t>
        </is>
      </c>
      <c r="C818" s="12" t="n">
        <v>8.69</v>
      </c>
      <c r="D818" s="12" t="n">
        <v>7.99</v>
      </c>
      <c r="E818" s="12" t="n">
        <v>-0.7</v>
      </c>
      <c r="F818" s="13" t="n">
        <v>-8.1</v>
      </c>
      <c r="G818" s="11" t="inlineStr">
        <is>
          <t>⬇ Price Down</t>
        </is>
      </c>
      <c r="H818" s="11" t="inlineStr">
        <is>
          <t>88%</t>
        </is>
      </c>
      <c r="I818" s="11">
        <f>HYPERLINK("https://www.ebay.com/sch/261328/i.html?_dcat=261328&amp;_fsrp=1&amp;rt=nc&amp;_from=R40&amp;_nkw=2025%20Bowman's%20Best%20KONNOR%20GRIFFIN%20%23TP-27%20Top%20Prospects%20Refractor%20Pirates&amp;_sacat=0&amp;_sop=15&amp;rt=nc&amp;LH_BIN=1", "Active")</f>
        <v/>
      </c>
      <c r="J818" s="11">
        <f>HYPERLINK("https://www.ebay.com/sch/261328/i.html?_from=R40&amp;_nkw=2025%20Bowman's%20Best%20KONNOR%20GRIFFIN%20%23TP-27%20Top%20Prospects%20Refractor%20Pirates&amp;_sacat=0&amp;LH_Sold=1&amp;LH_Complete=1&amp;_sop=13", "Completed")</f>
        <v/>
      </c>
      <c r="K818" s="11" t="inlineStr">
        <is>
          <t>2025 Topps Bowman's Best Konnor Griffin Pittsburgh Pirates #TP-27 Refractor</t>
        </is>
      </c>
    </row>
    <row r="819">
      <c r="A819" s="2" t="inlineStr">
        <is>
          <t>RBM-0002-00003-57529</t>
        </is>
      </c>
      <c r="B819" s="2" t="inlineStr">
        <is>
          <t>2025 Bowman's Best CHANDLER SIMPSON #66 Refractor RC Rays Rookie</t>
        </is>
      </c>
      <c r="C819" s="3" t="n">
        <v>2.99</v>
      </c>
      <c r="D819" s="3" t="n">
        <v>2.49</v>
      </c>
      <c r="E819" s="3" t="n">
        <v>-0.5</v>
      </c>
      <c r="F819" s="4" t="n">
        <v>-16.7</v>
      </c>
      <c r="G819" s="2" t="inlineStr">
        <is>
          <t>🔵 Floored $2.49 — free ship or $0.99 ship?</t>
        </is>
      </c>
      <c r="H819" s="2" t="inlineStr">
        <is>
          <t>85%</t>
        </is>
      </c>
      <c r="I819" s="2">
        <f>HYPERLINK("https://www.ebay.com/sch/261328/i.html?_dcat=261328&amp;_fsrp=1&amp;rt=nc&amp;_from=R40&amp;_nkw=2025%20Bowman's%20Best%20CHANDLER%20SIMPSON%20%2366%20Refractor%20RC%20Rays%20Rookie&amp;_sacat=0&amp;_sop=15&amp;rt=nc&amp;LH_BIN=1", "Active")</f>
        <v/>
      </c>
      <c r="J819" s="2">
        <f>HYPERLINK("https://www.ebay.com/sch/261328/i.html?_from=R40&amp;_nkw=2025%20Bowman's%20Best%20CHANDLER%20SIMPSON%20%2366%20Refractor%20RC%20Rays%20Rookie&amp;_sacat=0&amp;LH_Sold=1&amp;LH_Complete=1&amp;_sop=13", "Completed")</f>
        <v/>
      </c>
      <c r="K819" s="2" t="inlineStr">
        <is>
          <t>2025 Topps Bowman's Best #66 Chandler Simpson Refractor Chrome RC Tampa Bay Rays</t>
        </is>
      </c>
    </row>
    <row r="820">
      <c r="A820" s="11" t="inlineStr">
        <is>
          <t>RBM-0002-00008-56373</t>
        </is>
      </c>
      <c r="B820" s="11" t="inlineStr">
        <is>
          <t>2025 Bowman Chrome JESUS MADE #MR-3 Meteoric Rise Brewers</t>
        </is>
      </c>
      <c r="C820" s="12" t="n">
        <v>4.99</v>
      </c>
      <c r="D820" s="12" t="n">
        <v>3.19</v>
      </c>
      <c r="E820" s="12" t="n">
        <v>-1.8</v>
      </c>
      <c r="F820" s="13" t="n">
        <v>-36.1</v>
      </c>
      <c r="G820" s="11" t="inlineStr">
        <is>
          <t>⬇ Price Down</t>
        </is>
      </c>
      <c r="H820" s="11" t="inlineStr">
        <is>
          <t>75%</t>
        </is>
      </c>
      <c r="I820" s="11">
        <f>HYPERLINK("https://www.ebay.com/sch/261328/i.html?_dcat=261328&amp;_fsrp=1&amp;rt=nc&amp;_from=R40&amp;_nkw=2025%20Bowman%20Chrome%20JESUS%20MADE%20%23MR-3%20Meteoric%20Rise%20Brewers&amp;_sacat=0&amp;_sop=15&amp;rt=nc&amp;LH_BIN=1", "Active")</f>
        <v/>
      </c>
      <c r="J820" s="11">
        <f>HYPERLINK("https://www.ebay.com/sch/261328/i.html?_from=R40&amp;_nkw=2025%20Bowman%20Chrome%20JESUS%20MADE%20%23MR-3%20Meteoric%20Rise%20Brewers&amp;_sacat=0&amp;LH_Sold=1&amp;LH_Complete=1&amp;_sop=13", "Completed")</f>
        <v/>
      </c>
      <c r="K820" s="11" t="inlineStr">
        <is>
          <t>Topps 2025 Bowman Chrome Meteoric Rise Insert MR-3 Jesús Made Brewers</t>
        </is>
      </c>
    </row>
    <row r="821">
      <c r="A821" s="5" t="inlineStr">
        <is>
          <t>RBM-0002-00002-03310</t>
        </is>
      </c>
      <c r="B821" s="5" t="inlineStr">
        <is>
          <t>2025 Bowman's Best KYLE TUCKER #2 Refractor Cubs Football</t>
        </is>
      </c>
      <c r="C821" s="6" t="n">
        <v>2.49</v>
      </c>
      <c r="D821" s="6" t="n">
        <v>3.39</v>
      </c>
      <c r="E821" s="6" t="n">
        <v>0.9</v>
      </c>
      <c r="F821" s="7" t="n">
        <v>36.1</v>
      </c>
      <c r="G821" s="5" t="inlineStr">
        <is>
          <t>⬆ Price Up</t>
        </is>
      </c>
      <c r="H821" s="5" t="inlineStr">
        <is>
          <t>100%</t>
        </is>
      </c>
      <c r="I821" s="5">
        <f>HYPERLINK("https://www.ebay.com/sch/261328/i.html?_dcat=261328&amp;_fsrp=1&amp;rt=nc&amp;_from=R40&amp;_nkw=2025%20Bowman's%20Best%20KYLE%20TUCKER%20%232%20Refractor%20Cubs%20Football&amp;_sacat=0&amp;_sop=15&amp;rt=nc&amp;LH_BIN=1", "Active")</f>
        <v/>
      </c>
      <c r="J821" s="5">
        <f>HYPERLINK("https://www.ebay.com/sch/261328/i.html?_from=R40&amp;_nkw=2025%20Bowman's%20Best%20KYLE%20TUCKER%20%232%20Refractor%20Cubs%20Football&amp;_sacat=0&amp;LH_Sold=1&amp;LH_Complete=1&amp;_sop=13", "Completed")</f>
        <v/>
      </c>
      <c r="K821" s="5" t="inlineStr">
        <is>
          <t>2025 Bowman's Best KYLE TUCKER #2 Refractor Cubs Football</t>
        </is>
      </c>
    </row>
    <row r="822">
      <c r="A822" s="5" t="inlineStr">
        <is>
          <t>RBM-0002-00013-33380</t>
        </is>
      </c>
      <c r="B822" s="5" t="inlineStr">
        <is>
          <t>2025 Bowman's Best CHANDLER SIMPSON #66 Wave Refractor RC Rays Rookie</t>
        </is>
      </c>
      <c r="C822" s="6" t="n">
        <v>2.99</v>
      </c>
      <c r="D822" s="6" t="n">
        <v>3.29</v>
      </c>
      <c r="E822" s="6" t="n">
        <v>0.3</v>
      </c>
      <c r="F822" s="7" t="n">
        <v>10</v>
      </c>
      <c r="G822" s="5" t="inlineStr">
        <is>
          <t>⬆ Price Up</t>
        </is>
      </c>
      <c r="H822" s="5" t="inlineStr">
        <is>
          <t>85%</t>
        </is>
      </c>
      <c r="I822" s="5">
        <f>HYPERLINK("https://www.ebay.com/sch/261328/i.html?_dcat=261328&amp;_fsrp=1&amp;rt=nc&amp;_from=R40&amp;_nkw=2025%20Bowman's%20Best%20CHANDLER%20SIMPSON%20%2366%20Wave%20Refractor%20RC%20Rays%20Rookie&amp;_sacat=0&amp;_sop=15&amp;rt=nc&amp;LH_BIN=1", "Active")</f>
        <v/>
      </c>
      <c r="J822" s="5">
        <f>HYPERLINK("https://www.ebay.com/sch/261328/i.html?_from=R40&amp;_nkw=2025%20Bowman's%20Best%20CHANDLER%20SIMPSON%20%2366%20Wave%20Refractor%20RC%20Rays%20Rookie&amp;_sacat=0&amp;LH_Sold=1&amp;LH_Complete=1&amp;_sop=13", "Completed")</f>
        <v/>
      </c>
      <c r="K822" s="5" t="inlineStr">
        <is>
          <t>2025 Bowman Best Wave Refractor Chandler Simpson RC #66 Tampa Bay Rays</t>
        </is>
      </c>
    </row>
    <row r="823">
      <c r="A823" s="5" t="inlineStr">
        <is>
          <t>RBM-0002-00009-29115</t>
        </is>
      </c>
      <c r="B823" s="5" t="inlineStr">
        <is>
          <t>2025 Bowman Chrome BRYCE ELDRIDGE #MM-15 Melt Mashers Giants Football</t>
        </is>
      </c>
      <c r="C823" s="6" t="n">
        <v>4.99</v>
      </c>
      <c r="D823" s="6" t="n">
        <v>5.79</v>
      </c>
      <c r="E823" s="6" t="n">
        <v>0.8</v>
      </c>
      <c r="F823" s="7" t="n">
        <v>16</v>
      </c>
      <c r="G823" s="5" t="inlineStr">
        <is>
          <t>⬆ Price Up</t>
        </is>
      </c>
      <c r="H823" s="5" t="inlineStr">
        <is>
          <t>100%</t>
        </is>
      </c>
      <c r="I823" s="5">
        <f>HYPERLINK("https://www.ebay.com/sch/261328/i.html?_dcat=261328&amp;_fsrp=1&amp;rt=nc&amp;_from=R40&amp;_nkw=2025%20Bowman%20Chrome%20BRYCE%20ELDRIDGE%20%23MM-15%20Melt%20Mashers%20Giants%20Football&amp;_sacat=0&amp;_sop=15&amp;rt=nc&amp;LH_BIN=1", "Active")</f>
        <v/>
      </c>
      <c r="J823" s="5">
        <f>HYPERLINK("https://www.ebay.com/sch/261328/i.html?_from=R40&amp;_nkw=2025%20Bowman%20Chrome%20BRYCE%20ELDRIDGE%20%23MM-15%20Melt%20Mashers%20Giants%20Football&amp;_sacat=0&amp;LH_Sold=1&amp;LH_Complete=1&amp;_sop=13", "Completed")</f>
        <v/>
      </c>
      <c r="K823" s="5" t="inlineStr">
        <is>
          <t>2025 Bowman Chrome BRYCE ELDRIDGE #MM-15 Melt Mashers Giants Football</t>
        </is>
      </c>
    </row>
    <row r="824">
      <c r="A824" s="2" t="inlineStr">
        <is>
          <t>RBM-0002-00006-81183</t>
        </is>
      </c>
      <c r="B824" s="2" t="inlineStr">
        <is>
          <t>2025 Bowman Chrome CAM SMITH #IT-9 It Came to the League RC Astros Rookie</t>
        </is>
      </c>
      <c r="C824" s="3" t="n">
        <v>3.49</v>
      </c>
      <c r="D824" s="3" t="n">
        <v>2.49</v>
      </c>
      <c r="E824" s="3" t="n">
        <v>-1</v>
      </c>
      <c r="F824" s="4" t="n">
        <v>-28.7</v>
      </c>
      <c r="G824" s="2" t="inlineStr">
        <is>
          <t>🔵 Floored $2.49 — free ship or $0.99 ship?</t>
        </is>
      </c>
      <c r="H824" s="2" t="inlineStr">
        <is>
          <t>87%</t>
        </is>
      </c>
      <c r="I824" s="2">
        <f>HYPERLINK("https://www.ebay.com/sch/261328/i.html?_dcat=261328&amp;_fsrp=1&amp;rt=nc&amp;_from=R40&amp;_nkw=2025%20Bowman%20Chrome%20CAM%20SMITH%20%23IT-9%20It%20Came%20to%20the%20League%20RC%20Astros%20Rookie&amp;_sacat=0&amp;_sop=15&amp;rt=nc&amp;LH_BIN=1", "Active")</f>
        <v/>
      </c>
      <c r="J824" s="2">
        <f>HYPERLINK("https://www.ebay.com/sch/261328/i.html?_from=R40&amp;_nkw=2025%20Bowman%20Chrome%20CAM%20SMITH%20%23IT-9%20It%20Came%20to%20the%20League%20RC%20Astros%20Rookie&amp;_sacat=0&amp;LH_Sold=1&amp;LH_Complete=1&amp;_sop=13", "Completed")</f>
        <v/>
      </c>
      <c r="K824" s="2" t="inlineStr">
        <is>
          <t>2025 Bowman Chrome - It Came to the League Cam Smith #IT-9 (RC) Astros</t>
        </is>
      </c>
    </row>
    <row r="825">
      <c r="A825" s="2" t="inlineStr">
        <is>
          <t>RBM-0002-00007-75404</t>
        </is>
      </c>
      <c r="B825" s="2" t="inlineStr">
        <is>
          <t>2025 Bowman Chrome COOPER PRATT #MM-9 Melt Mashers Brewers</t>
        </is>
      </c>
      <c r="C825" s="3" t="n">
        <v>3.49</v>
      </c>
      <c r="D825" s="3" t="n">
        <v>2.49</v>
      </c>
      <c r="E825" s="3" t="n">
        <v>-1</v>
      </c>
      <c r="F825" s="4" t="n">
        <v>-28.7</v>
      </c>
      <c r="G825" s="2" t="inlineStr">
        <is>
          <t>🔵 Floored $2.49 — free ship or $0.99 ship?</t>
        </is>
      </c>
      <c r="H825" s="2" t="inlineStr">
        <is>
          <t>68%</t>
        </is>
      </c>
      <c r="I825" s="2">
        <f>HYPERLINK("https://www.ebay.com/sch/261328/i.html?_dcat=261328&amp;_fsrp=1&amp;rt=nc&amp;_from=R40&amp;_nkw=2025%20Bowman%20Chrome%20COOPER%20PRATT%20%23MM-9%20Melt%20Mashers%20Brewers&amp;_sacat=0&amp;_sop=15&amp;rt=nc&amp;LH_BIN=1", "Active")</f>
        <v/>
      </c>
      <c r="J825" s="2">
        <f>HYPERLINK("https://www.ebay.com/sch/261328/i.html?_from=R40&amp;_nkw=2025%20Bowman%20Chrome%20COOPER%20PRATT%20%23MM-9%20Melt%20Mashers%20Brewers&amp;_sacat=0&amp;LH_Sold=1&amp;LH_Complete=1&amp;_sop=13", "Completed")</f>
        <v/>
      </c>
      <c r="K825" s="2" t="inlineStr">
        <is>
          <t>2025 Bowman Chrome Inserts - Pick Your Card - Complete Your Set!</t>
        </is>
      </c>
    </row>
    <row r="826">
      <c r="A826" s="5" t="inlineStr">
        <is>
          <t>RBM-0002-00005-67835</t>
        </is>
      </c>
      <c r="B826" s="5" t="inlineStr">
        <is>
          <t>2025 Bowman's Best LIAM DOYLE #P-3 Pixel Portraits Cardinals Football</t>
        </is>
      </c>
      <c r="C826" s="6" t="n">
        <v>4.99</v>
      </c>
      <c r="D826" s="6" t="n">
        <v>5.79</v>
      </c>
      <c r="E826" s="6" t="n">
        <v>0.8</v>
      </c>
      <c r="F826" s="7" t="n">
        <v>16</v>
      </c>
      <c r="G826" s="5" t="inlineStr">
        <is>
          <t>⬆ Price Up</t>
        </is>
      </c>
      <c r="H826" s="5" t="inlineStr">
        <is>
          <t>100%</t>
        </is>
      </c>
      <c r="I826" s="5">
        <f>HYPERLINK("https://www.ebay.com/sch/261328/i.html?_dcat=261328&amp;_fsrp=1&amp;rt=nc&amp;_from=R40&amp;_nkw=2025%20Bowman's%20Best%20LIAM%20DOYLE%20%23P-3%20Pixel%20Portraits%20Cardinals%20Football&amp;_sacat=0&amp;_sop=15&amp;rt=nc&amp;LH_BIN=1", "Active")</f>
        <v/>
      </c>
      <c r="J826" s="5">
        <f>HYPERLINK("https://www.ebay.com/sch/261328/i.html?_from=R40&amp;_nkw=2025%20Bowman's%20Best%20LIAM%20DOYLE%20%23P-3%20Pixel%20Portraits%20Cardinals%20Football&amp;_sacat=0&amp;LH_Sold=1&amp;LH_Complete=1&amp;_sop=13", "Completed")</f>
        <v/>
      </c>
      <c r="K826" s="5" t="inlineStr">
        <is>
          <t>2025 Bowman's Best LIAM DOYLE #P-3 Pixel Portraits Cardinals Football</t>
        </is>
      </c>
    </row>
    <row r="827">
      <c r="A827" s="2" t="inlineStr">
        <is>
          <t>RBM-0002-00011-05353</t>
        </is>
      </c>
      <c r="B827" s="2" t="inlineStr">
        <is>
          <t>2025 Bowman Chrome LUISANGEL ACUNA #32 Red RC Variation Mets Rookie</t>
        </is>
      </c>
      <c r="C827" s="3" t="n">
        <v>2.99</v>
      </c>
      <c r="D827" s="3" t="n">
        <v>2.49</v>
      </c>
      <c r="E827" s="3" t="n">
        <v>-0.5</v>
      </c>
      <c r="F827" s="4" t="n">
        <v>-16.7</v>
      </c>
      <c r="G827" s="2" t="inlineStr">
        <is>
          <t>🔵 Floored $2.49 — free ship or $0.99 ship?</t>
        </is>
      </c>
      <c r="H827" s="2" t="inlineStr">
        <is>
          <t>86%</t>
        </is>
      </c>
      <c r="I827" s="2">
        <f>HYPERLINK("https://www.ebay.com/sch/261328/i.html?_dcat=261328&amp;_fsrp=1&amp;rt=nc&amp;_from=R40&amp;_nkw=2025%20Bowman%20Chrome%20LUISANGEL%20ACUNA%20%2332%20Red%20RC%20Variation%20Mets%20Rookie&amp;_sacat=0&amp;_sop=15&amp;rt=nc&amp;LH_BIN=1", "Active")</f>
        <v/>
      </c>
      <c r="J827" s="2">
        <f>HYPERLINK("https://www.ebay.com/sch/261328/i.html?_from=R40&amp;_nkw=2025%20Bowman%20Chrome%20LUISANGEL%20ACUNA%20%2332%20Red%20RC%20Variation%20Mets%20Rookie&amp;_sacat=0&amp;LH_Sold=1&amp;LH_Complete=1&amp;_sop=13", "Completed")</f>
        <v/>
      </c>
      <c r="K827" s="2" t="inlineStr">
        <is>
          <t>2025 Bowman Rookie Red RC Variation Luisangel Acuna #83 (RC) New York Mets</t>
        </is>
      </c>
    </row>
    <row r="828">
      <c r="A828" s="2" t="inlineStr">
        <is>
          <t>RBM-0002-00010-18822</t>
        </is>
      </c>
      <c r="B828" s="2" t="inlineStr">
        <is>
          <t>2019 Topps Chrome MICHAEL KOPECH #17 Sepia Refractor RC White Sox Rookie</t>
        </is>
      </c>
      <c r="C828" s="3" t="n">
        <v>2.99</v>
      </c>
      <c r="D828" s="3" t="n">
        <v>2.49</v>
      </c>
      <c r="E828" s="3" t="n">
        <v>-0.5</v>
      </c>
      <c r="F828" s="4" t="n">
        <v>-16.7</v>
      </c>
      <c r="G828" s="2" t="inlineStr">
        <is>
          <t>🔵 Floored $2.49 — free ship or $0.99 ship?</t>
        </is>
      </c>
      <c r="H828" s="2" t="inlineStr">
        <is>
          <t>64%</t>
        </is>
      </c>
      <c r="I828" s="2">
        <f>HYPERLINK("https://www.ebay.com/sch/261328/i.html?_dcat=261328&amp;_fsrp=1&amp;rt=nc&amp;_from=R40&amp;_nkw=2019%20Topps%20Chrome%20MICHAEL%20KOPECH%20%2317%20Sepia%20Refractor%20RC%20White%20Sox%20Rookie&amp;_sacat=0&amp;_sop=15&amp;rt=nc&amp;LH_BIN=1", "Active")</f>
        <v/>
      </c>
      <c r="J828" s="2">
        <f>HYPERLINK("https://www.ebay.com/sch/261328/i.html?_from=R40&amp;_nkw=2019%20Topps%20Chrome%20MICHAEL%20KOPECH%20%2317%20Sepia%20Refractor%20RC%20White%20Sox%20Rookie&amp;_sacat=0&amp;LH_Sold=1&amp;LH_Complete=1&amp;_sop=13", "Completed")</f>
        <v/>
      </c>
      <c r="K828" s="2" t="inlineStr">
        <is>
          <t>2019 Topps Chrome Baseball (Refractors: Base, Prism, Sepia) - Multi-Discount</t>
        </is>
      </c>
    </row>
    <row r="829">
      <c r="A829" s="2" t="inlineStr">
        <is>
          <t>RBM-0002-00005-48467</t>
        </is>
      </c>
      <c r="B829" s="2" t="inlineStr">
        <is>
          <t>2024 Topps Chrome Update YARIEL RODRIGUEZ #AC-YR Auto Aqua Wave Refractor /199</t>
        </is>
      </c>
      <c r="C829" s="3" t="n">
        <v>6.49</v>
      </c>
      <c r="D829" s="3" t="n">
        <v>2.49</v>
      </c>
      <c r="E829" s="3" t="n">
        <v>-4</v>
      </c>
      <c r="F829" s="4" t="n">
        <v>-61.6</v>
      </c>
      <c r="G829" s="2" t="inlineStr">
        <is>
          <t>🔵 Floored $2.49 — free ship or $0.99 ship?</t>
        </is>
      </c>
      <c r="H829" s="2" t="inlineStr"/>
      <c r="I829" s="2">
        <f>HYPERLINK("https://www.ebay.com/sch/261328/i.html?_dcat=261328&amp;_fsrp=1&amp;rt=nc&amp;_from=R40&amp;_nkw=2024%20Topps%20Chrome%20Update%20YARIEL%20RODRIGUEZ%20%23AC-YR%20Auto%20Aqua%20Wave%20Refractor%20%2F199&amp;_sacat=0&amp;_sop=15&amp;rt=nc&amp;LH_BIN=1", "Active")</f>
        <v/>
      </c>
      <c r="J829" s="2">
        <f>HYPERLINK("https://www.ebay.com/sch/261328/i.html?_from=R40&amp;_nkw=2024%20Topps%20Chrome%20Update%20YARIEL%20RODRIGUEZ%20%23AC-YR%20Auto%20Aqua%20Wave%20Refractor%20%2F199&amp;_sacat=0&amp;LH_Sold=1&amp;LH_Complete=1&amp;_sop=13", "Completed")</f>
        <v/>
      </c>
      <c r="K829" s="2" t="inlineStr">
        <is>
          <t>No Close Result Found</t>
        </is>
      </c>
    </row>
    <row r="830">
      <c r="A830" s="11" t="inlineStr">
        <is>
          <t>RBM-0002-00003-06400</t>
        </is>
      </c>
      <c r="B830" s="11" t="inlineStr">
        <is>
          <t>2024 Bowman JAMES WOOD #BP-91 Prospects Purple /250 Nationals</t>
        </is>
      </c>
      <c r="C830" s="12" t="n">
        <v>6.49</v>
      </c>
      <c r="D830" s="12" t="n">
        <v>5.19</v>
      </c>
      <c r="E830" s="12" t="n">
        <v>-1.3</v>
      </c>
      <c r="F830" s="13" t="n">
        <v>-20</v>
      </c>
      <c r="G830" s="11" t="inlineStr">
        <is>
          <t>⬇ Price Down</t>
        </is>
      </c>
      <c r="H830" s="11" t="inlineStr">
        <is>
          <t>86%</t>
        </is>
      </c>
      <c r="I830" s="11">
        <f>HYPERLINK("https://www.ebay.com/sch/261328/i.html?_dcat=261328&amp;_fsrp=1&amp;rt=nc&amp;_from=R40&amp;_nkw=2024%20Bowman%20JAMES%20WOOD%20%23BP-91%20Prospects%20Purple%20%2F250%20Nationals&amp;_sacat=0&amp;_sop=15&amp;rt=nc&amp;LH_BIN=1", "Active")</f>
        <v/>
      </c>
      <c r="J830" s="11">
        <f>HYPERLINK("https://www.ebay.com/sch/261328/i.html?_from=R40&amp;_nkw=2024%20Bowman%20JAMES%20WOOD%20%23BP-91%20Prospects%20Purple%20%2F250%20Nationals&amp;_sacat=0&amp;LH_Sold=1&amp;LH_Complete=1&amp;_sop=13", "Completed")</f>
        <v/>
      </c>
      <c r="K830" s="11" t="inlineStr">
        <is>
          <t>2024 Bowman James Wood /250 Purple Pattern #BP-91 Paper Prospects Nationals</t>
        </is>
      </c>
    </row>
    <row r="831">
      <c r="A831" s="11" t="inlineStr">
        <is>
          <t>RBM-0002-00004-08697</t>
        </is>
      </c>
      <c r="B831" s="11" t="inlineStr">
        <is>
          <t>2025 Topps Chrome Update NICK KURTZ #NT-5 Night Terrors RC Athletics Rookie</t>
        </is>
      </c>
      <c r="C831" s="12" t="n">
        <v>4.99</v>
      </c>
      <c r="D831" s="12" t="n">
        <v>3.29</v>
      </c>
      <c r="E831" s="12" t="n">
        <v>-1.7</v>
      </c>
      <c r="F831" s="13" t="n">
        <v>-34.1</v>
      </c>
      <c r="G831" s="11" t="inlineStr">
        <is>
          <t>⬇ Price Down</t>
        </is>
      </c>
      <c r="H831" s="11" t="inlineStr">
        <is>
          <t>80%</t>
        </is>
      </c>
      <c r="I831" s="11">
        <f>HYPERLINK("https://www.ebay.com/sch/261328/i.html?_dcat=261328&amp;_fsrp=1&amp;rt=nc&amp;_from=R40&amp;_nkw=2025%20Topps%20Chrome%20Update%20NICK%20KURTZ%20%23NT-5%20Night%20Terrors%20RC%20Athletics%20Rookie&amp;_sacat=0&amp;_sop=15&amp;rt=nc&amp;LH_BIN=1", "Active")</f>
        <v/>
      </c>
      <c r="J831" s="11">
        <f>HYPERLINK("https://www.ebay.com/sch/261328/i.html?_from=R40&amp;_nkw=2025%20Topps%20Chrome%20Update%20NICK%20KURTZ%20%23NT-5%20Night%20Terrors%20RC%20Athletics%20Rookie&amp;_sacat=0&amp;LH_Sold=1&amp;LH_Complete=1&amp;_sop=13", "Completed")</f>
        <v/>
      </c>
      <c r="K831" s="11" t="inlineStr">
        <is>
          <t>Topps Chrome Update 2025 Night Terrors Nick Kurtz #NT-5 RC Athletics</t>
        </is>
      </c>
    </row>
    <row r="832">
      <c r="A832" s="11" t="inlineStr">
        <is>
          <t>RBM-0002-00008-25995</t>
        </is>
      </c>
      <c r="B832" s="11" t="inlineStr">
        <is>
          <t>2025 Bowman Chrome JAMES WOOD #MM-4 Melt Mashers RC Nationals Rookie</t>
        </is>
      </c>
      <c r="C832" s="12" t="n">
        <v>5.99</v>
      </c>
      <c r="D832" s="12" t="n">
        <v>2.89</v>
      </c>
      <c r="E832" s="12" t="n">
        <v>-3.1</v>
      </c>
      <c r="F832" s="13" t="n">
        <v>-51.8</v>
      </c>
      <c r="G832" s="11" t="inlineStr">
        <is>
          <t>⬇ Price Down</t>
        </is>
      </c>
      <c r="H832" s="11" t="inlineStr">
        <is>
          <t>80%</t>
        </is>
      </c>
      <c r="I832" s="11">
        <f>HYPERLINK("https://www.ebay.com/sch/261328/i.html?_dcat=261328&amp;_fsrp=1&amp;rt=nc&amp;_from=R40&amp;_nkw=2025%20Bowman%20Chrome%20JAMES%20WOOD%20%23MM-4%20Melt%20Mashers%20RC%20Nationals%20Rookie&amp;_sacat=0&amp;_sop=15&amp;rt=nc&amp;LH_BIN=1", "Active")</f>
        <v/>
      </c>
      <c r="J832" s="11">
        <f>HYPERLINK("https://www.ebay.com/sch/261328/i.html?_from=R40&amp;_nkw=2025%20Bowman%20Chrome%20JAMES%20WOOD%20%23MM-4%20Melt%20Mashers%20RC%20Nationals%20Rookie&amp;_sacat=0&amp;LH_Sold=1&amp;LH_Complete=1&amp;_sop=13", "Completed")</f>
        <v/>
      </c>
      <c r="K832" s="11" t="inlineStr">
        <is>
          <t>James Wood 2025 Bowman Chrome RC Melt Mashers Insert MM-4 Nationals</t>
        </is>
      </c>
    </row>
    <row r="833">
      <c r="A833" s="5" t="inlineStr">
        <is>
          <t>RBM-0002-00009-87409</t>
        </is>
      </c>
      <c r="B833" s="5" t="inlineStr">
        <is>
          <t>2025 Topps JACE JUNG #80 Easter Holiday Tin Border RC Tigers Rookie</t>
        </is>
      </c>
      <c r="C833" s="6" t="n">
        <v>2.99</v>
      </c>
      <c r="D833" s="6" t="n">
        <v>3.89</v>
      </c>
      <c r="E833" s="6" t="n">
        <v>0.9</v>
      </c>
      <c r="F833" s="7" t="n">
        <v>30.1</v>
      </c>
      <c r="G833" s="5" t="inlineStr">
        <is>
          <t>⬆ Price Up</t>
        </is>
      </c>
      <c r="H833" s="5" t="inlineStr">
        <is>
          <t>100%</t>
        </is>
      </c>
      <c r="I833" s="5">
        <f>HYPERLINK("https://www.ebay.com/sch/261328/i.html?_dcat=261328&amp;_fsrp=1&amp;rt=nc&amp;_from=R40&amp;_nkw=2025%20Topps%20JACE%20JUNG%20%2380%20Easter%20Holiday%20Tin%20Border%20RC%20Tigers%20Rookie&amp;_sacat=0&amp;_sop=15&amp;rt=nc&amp;LH_BIN=1", "Active")</f>
        <v/>
      </c>
      <c r="J833" s="5">
        <f>HYPERLINK("https://www.ebay.com/sch/261328/i.html?_from=R40&amp;_nkw=2025%20Topps%20JACE%20JUNG%20%2380%20Easter%20Holiday%20Tin%20Border%20RC%20Tigers%20Rookie&amp;_sacat=0&amp;LH_Sold=1&amp;LH_Complete=1&amp;_sop=13", "Completed")</f>
        <v/>
      </c>
      <c r="K833" s="5" t="inlineStr">
        <is>
          <t>2025 Topps JACE JUNG #80 Easter Holiday Tin Border RC Tigers Rookie</t>
        </is>
      </c>
    </row>
    <row r="834">
      <c r="A834" s="11" t="inlineStr">
        <is>
          <t>RBM-0002-00007-09774</t>
        </is>
      </c>
      <c r="B834" s="11" t="inlineStr">
        <is>
          <t>2025 Bowman Chrome ROMAN ANTHONY #MM-13 Melt Mashers Red Sox</t>
        </is>
      </c>
      <c r="C834" s="12" t="n">
        <v>10.99</v>
      </c>
      <c r="D834" s="12" t="n">
        <v>3.39</v>
      </c>
      <c r="E834" s="12" t="n">
        <v>-7.6</v>
      </c>
      <c r="F834" s="13" t="n">
        <v>-69.2</v>
      </c>
      <c r="G834" s="11" t="inlineStr">
        <is>
          <t>⬇ Price Down</t>
        </is>
      </c>
      <c r="H834" s="11" t="inlineStr">
        <is>
          <t>90%</t>
        </is>
      </c>
      <c r="I834" s="11">
        <f>HYPERLINK("https://www.ebay.com/sch/261328/i.html?_dcat=261328&amp;_fsrp=1&amp;rt=nc&amp;_from=R40&amp;_nkw=2025%20Bowman%20Chrome%20ROMAN%20ANTHONY%20%23MM-13%20Melt%20Mashers%20Red%20Sox&amp;_sacat=0&amp;_sop=15&amp;rt=nc&amp;LH_BIN=1", "Active")</f>
        <v/>
      </c>
      <c r="J834" s="11">
        <f>HYPERLINK("https://www.ebay.com/sch/261328/i.html?_from=R40&amp;_nkw=2025%20Bowman%20Chrome%20ROMAN%20ANTHONY%20%23MM-13%20Melt%20Mashers%20Red%20Sox&amp;_sacat=0&amp;LH_Sold=1&amp;LH_Complete=1&amp;_sop=13", "Completed")</f>
        <v/>
      </c>
      <c r="K834" s="11" t="inlineStr">
        <is>
          <t>2025 Bowman Chrome Roman Anthony Melt Mashers #MM-13 Red Sox</t>
        </is>
      </c>
    </row>
    <row r="835">
      <c r="A835" s="2" t="inlineStr">
        <is>
          <t>RBM-0002-00011-76485</t>
        </is>
      </c>
      <c r="B835" s="2" t="inlineStr">
        <is>
          <t>2025 Topps ARCHIVES MATT OLSON #95C-3 1995 Cyberstats Braves</t>
        </is>
      </c>
      <c r="C835" s="3" t="n">
        <v>2.99</v>
      </c>
      <c r="D835" s="3" t="n">
        <v>2.49</v>
      </c>
      <c r="E835" s="3" t="n">
        <v>-0.5</v>
      </c>
      <c r="F835" s="4" t="n">
        <v>-16.7</v>
      </c>
      <c r="G835" s="2" t="inlineStr">
        <is>
          <t>🔵 Floored $2.49 — free ship or $0.99 ship?</t>
        </is>
      </c>
      <c r="H835" s="2" t="inlineStr">
        <is>
          <t>86%</t>
        </is>
      </c>
      <c r="I835" s="2">
        <f>HYPERLINK("https://www.ebay.com/sch/261328/i.html?_dcat=261328&amp;_fsrp=1&amp;rt=nc&amp;_from=R40&amp;_nkw=2025%20Topps%20ARCHIVES%20MATT%20OLSON%20%2395C-3%201995%20Cyberstats%20Braves&amp;_sacat=0&amp;_sop=15&amp;rt=nc&amp;LH_BIN=1", "Active")</f>
        <v/>
      </c>
      <c r="J835" s="2">
        <f>HYPERLINK("https://www.ebay.com/sch/261328/i.html?_from=R40&amp;_nkw=2025%20Topps%20ARCHIVES%20MATT%20OLSON%20%2395C-3%201995%20Cyberstats%20Braves&amp;_sacat=0&amp;LH_Sold=1&amp;LH_Complete=1&amp;_sop=13", "Completed")</f>
        <v/>
      </c>
      <c r="K835" s="2" t="inlineStr">
        <is>
          <t>2025 Topps Archives Matt Olson 1995 Topps Cyberstats #95C-3 Atlanta Braves</t>
        </is>
      </c>
    </row>
    <row r="836">
      <c r="A836" s="2" t="inlineStr">
        <is>
          <t>JIMWH-0001-00004-40361</t>
        </is>
      </c>
      <c r="B836" s="2" t="inlineStr">
        <is>
          <t>2021 Bowman ZAC VEEN #CPA-ZV Chrome Prospect Auto Rockies</t>
        </is>
      </c>
      <c r="C836" s="3" t="n">
        <v>40.09</v>
      </c>
      <c r="D836" s="3" t="n">
        <v>2.49</v>
      </c>
      <c r="E836" s="3" t="n">
        <v>-37.6</v>
      </c>
      <c r="F836" s="4" t="n">
        <v>-93.8</v>
      </c>
      <c r="G836" s="2" t="inlineStr">
        <is>
          <t>🔵 Floored $2.49 — free ship or $0.99 ship?</t>
        </is>
      </c>
      <c r="H836" s="2" t="inlineStr"/>
      <c r="I836" s="2">
        <f>HYPERLINK("https://www.ebay.com/sch/261328/i.html?_dcat=261328&amp;_fsrp=1&amp;rt=nc&amp;_from=R40&amp;_nkw=2021%20Bowman%20ZAC%20VEEN%20%23CPA-ZV%20Chrome%20Prospect%20Auto%20Rockies&amp;_sacat=0&amp;_sop=15&amp;rt=nc&amp;LH_BIN=1", "Active")</f>
        <v/>
      </c>
      <c r="J836" s="2">
        <f>HYPERLINK("https://www.ebay.com/sch/261328/i.html?_from=R40&amp;_nkw=2021%20Bowman%20ZAC%20VEEN%20%23CPA-ZV%20Chrome%20Prospect%20Auto%20Rockies&amp;_sacat=0&amp;LH_Sold=1&amp;LH_Complete=1&amp;_sop=13", "Completed")</f>
        <v/>
      </c>
      <c r="K836" s="2" t="inlineStr">
        <is>
          <t>No Close Result Found</t>
        </is>
      </c>
    </row>
    <row r="837">
      <c r="A837" s="11" t="inlineStr">
        <is>
          <t>JIMWH-0001-00002-12403</t>
        </is>
      </c>
      <c r="B837" s="11" t="inlineStr">
        <is>
          <t>2021 Bowman ZAC VEEN #BCP-3 Chrome Prospects Fuchsia Shimmer Refractor /199</t>
        </is>
      </c>
      <c r="C837" s="12" t="n">
        <v>9.99</v>
      </c>
      <c r="D837" s="12" t="n">
        <v>2.89</v>
      </c>
      <c r="E837" s="12" t="n">
        <v>-7.1</v>
      </c>
      <c r="F837" s="13" t="n">
        <v>-71.09999999999999</v>
      </c>
      <c r="G837" s="11" t="inlineStr">
        <is>
          <t>⬇ Price Down</t>
        </is>
      </c>
      <c r="H837" s="11" t="inlineStr">
        <is>
          <t>87%</t>
        </is>
      </c>
      <c r="I837" s="11">
        <f>HYPERLINK("https://www.ebay.com/sch/261328/i.html?_dcat=261328&amp;_fsrp=1&amp;rt=nc&amp;_from=R40&amp;_nkw=2021%20Bowman%20ZAC%20VEEN%20%23BCP-3%20Chrome%20Prospects%20Fuchsia%20Shimmer%20Refractor%20%2F199&amp;_sacat=0&amp;_sop=15&amp;rt=nc&amp;LH_BIN=1", "Active")</f>
        <v/>
      </c>
      <c r="J837" s="11">
        <f>HYPERLINK("https://www.ebay.com/sch/261328/i.html?_from=R40&amp;_nkw=2021%20Bowman%20ZAC%20VEEN%20%23BCP-3%20Chrome%20Prospects%20Fuchsia%20Shimmer%20Refractor%20%2F199&amp;_sacat=0&amp;LH_Sold=1&amp;LH_Complete=1&amp;_sop=13", "Completed")</f>
        <v/>
      </c>
      <c r="K837" s="11" t="inlineStr">
        <is>
          <t>2021 Bowman #BCP-3 Zac Veen Chrome Prospects Fuchsia Shimmer Refractor Excellent</t>
        </is>
      </c>
    </row>
    <row r="838">
      <c r="A838" s="5" t="inlineStr">
        <is>
          <t>MISC-0001-00019-02849</t>
        </is>
      </c>
      <c r="B838" s="5" t="inlineStr">
        <is>
          <t>2025 Bowman Chrome CADEN POWELL #BCP-212 1st Prospect Astros Basketball</t>
        </is>
      </c>
      <c r="C838" s="6" t="n">
        <v>2.49</v>
      </c>
      <c r="D838" s="6" t="n">
        <v>3.39</v>
      </c>
      <c r="E838" s="6" t="n">
        <v>0.9</v>
      </c>
      <c r="F838" s="7" t="n">
        <v>36.1</v>
      </c>
      <c r="G838" s="5" t="inlineStr">
        <is>
          <t>⬆ Price Up</t>
        </is>
      </c>
      <c r="H838" s="5" t="inlineStr">
        <is>
          <t>100%</t>
        </is>
      </c>
      <c r="I838" s="5">
        <f>HYPERLINK("https://www.ebay.com/sch/261328/i.html?_dcat=261328&amp;_fsrp=1&amp;rt=nc&amp;_from=R40&amp;_nkw=2025%20Bowman%20Chrome%20CADEN%20POWELL%20%23BCP-212%201st%20Prospect%20Astros%20Basketball&amp;_sacat=0&amp;_sop=15&amp;rt=nc&amp;LH_BIN=1", "Active")</f>
        <v/>
      </c>
      <c r="J838" s="5">
        <f>HYPERLINK("https://www.ebay.com/sch/261328/i.html?_from=R40&amp;_nkw=2025%20Bowman%20Chrome%20CADEN%20POWELL%20%23BCP-212%201st%20Prospect%20Astros%20Basketball&amp;_sacat=0&amp;LH_Sold=1&amp;LH_Complete=1&amp;_sop=13", "Completed")</f>
        <v/>
      </c>
      <c r="K838" s="5" t="inlineStr">
        <is>
          <t>2025 Bowman Chrome CADEN POWELL #BCP-212 1st Prospect Astros Basketball</t>
        </is>
      </c>
    </row>
    <row r="839">
      <c r="A839" s="5" t="inlineStr">
        <is>
          <t>MISC-0001-00013-56155</t>
        </is>
      </c>
      <c r="B839" s="5" t="inlineStr">
        <is>
          <t>2025 Bowman Chrome BO Davidson #BCP-206 1st Prospect Giants Football</t>
        </is>
      </c>
      <c r="C839" s="6" t="n">
        <v>2.99</v>
      </c>
      <c r="D839" s="6" t="n">
        <v>3.89</v>
      </c>
      <c r="E839" s="6" t="n">
        <v>0.9</v>
      </c>
      <c r="F839" s="7" t="n">
        <v>30.1</v>
      </c>
      <c r="G839" s="5" t="inlineStr">
        <is>
          <t>⬆ Price Up</t>
        </is>
      </c>
      <c r="H839" s="5" t="inlineStr">
        <is>
          <t>100%</t>
        </is>
      </c>
      <c r="I839" s="5">
        <f>HYPERLINK("https://www.ebay.com/sch/261328/i.html?_dcat=261328&amp;_fsrp=1&amp;rt=nc&amp;_from=R40&amp;_nkw=2025%20Bowman%20Chrome%20BO%20Davidson%20%23BCP-206%201st%20Prospect%20Giants%20Football&amp;_sacat=0&amp;_sop=15&amp;rt=nc&amp;LH_BIN=1", "Active")</f>
        <v/>
      </c>
      <c r="J839" s="5">
        <f>HYPERLINK("https://www.ebay.com/sch/261328/i.html?_from=R40&amp;_nkw=2025%20Bowman%20Chrome%20BO%20Davidson%20%23BCP-206%201st%20Prospect%20Giants%20Football&amp;_sacat=0&amp;LH_Sold=1&amp;LH_Complete=1&amp;_sop=13", "Completed")</f>
        <v/>
      </c>
      <c r="K839" s="5" t="inlineStr">
        <is>
          <t>2025 Bowman Chrome BO Davidson #BCP-206 1st Prospect Giants Football</t>
        </is>
      </c>
    </row>
    <row r="840">
      <c r="A840" s="5" t="inlineStr">
        <is>
          <t>MISC-0001-00011-39335</t>
        </is>
      </c>
      <c r="B840" s="5" t="inlineStr">
        <is>
          <t>2025 Bowman Chrome CHRISTOPHER SUERO #BCP-191 1st Prospect Mets</t>
        </is>
      </c>
      <c r="C840" s="6" t="n">
        <v>1.99</v>
      </c>
      <c r="D840" s="6" t="n">
        <v>2.49</v>
      </c>
      <c r="E840" s="6" t="n">
        <v>0.5</v>
      </c>
      <c r="F840" s="7" t="n">
        <v>25.1</v>
      </c>
      <c r="G840" s="5" t="inlineStr">
        <is>
          <t>⬆ Price Up</t>
        </is>
      </c>
      <c r="H840" s="5" t="inlineStr">
        <is>
          <t>77%</t>
        </is>
      </c>
      <c r="I840" s="5">
        <f>HYPERLINK("https://www.ebay.com/sch/261328/i.html?_dcat=261328&amp;_fsrp=1&amp;rt=nc&amp;_from=R40&amp;_nkw=2025%20Bowman%20Chrome%20CHRISTOPHER%20SUERO%20%23BCP-191%201st%20Prospect%20Mets&amp;_sacat=0&amp;_sop=15&amp;rt=nc&amp;LH_BIN=1", "Active")</f>
        <v/>
      </c>
      <c r="J840" s="5">
        <f>HYPERLINK("https://www.ebay.com/sch/261328/i.html?_from=R40&amp;_nkw=2025%20Bowman%20Chrome%20CHRISTOPHER%20SUERO%20%23BCP-191%201st%20Prospect%20Mets&amp;_sacat=0&amp;LH_Sold=1&amp;LH_Complete=1&amp;_sop=13", "Completed")</f>
        <v/>
      </c>
      <c r="K840" s="5" t="inlineStr">
        <is>
          <t>Topps 2025 Bowman Chrome Prospects 1st Bowman Christopher Suero BCP-191 Mets</t>
        </is>
      </c>
    </row>
    <row r="841">
      <c r="A841" s="5" t="inlineStr">
        <is>
          <t>MISC-0001-00016-32765</t>
        </is>
      </c>
      <c r="B841" s="5" t="inlineStr">
        <is>
          <t>2025 Bowman Chrome DJEAN MACARES #BCP-237 1st Prospect Giants Football</t>
        </is>
      </c>
      <c r="C841" s="6" t="n">
        <v>2.99</v>
      </c>
      <c r="D841" s="6" t="n">
        <v>3.89</v>
      </c>
      <c r="E841" s="6" t="n">
        <v>0.9</v>
      </c>
      <c r="F841" s="7" t="n">
        <v>30.1</v>
      </c>
      <c r="G841" s="5" t="inlineStr">
        <is>
          <t>⬆ Price Up</t>
        </is>
      </c>
      <c r="H841" s="5" t="inlineStr">
        <is>
          <t>100%</t>
        </is>
      </c>
      <c r="I841" s="5">
        <f>HYPERLINK("https://www.ebay.com/sch/261328/i.html?_dcat=261328&amp;_fsrp=1&amp;rt=nc&amp;_from=R40&amp;_nkw=2025%20Bowman%20Chrome%20DJEAN%20MACARES%20%23BCP-237%201st%20Prospect%20Giants%20Football&amp;_sacat=0&amp;_sop=15&amp;rt=nc&amp;LH_BIN=1", "Active")</f>
        <v/>
      </c>
      <c r="J841" s="5">
        <f>HYPERLINK("https://www.ebay.com/sch/261328/i.html?_from=R40&amp;_nkw=2025%20Bowman%20Chrome%20DJEAN%20MACARES%20%23BCP-237%201st%20Prospect%20Giants%20Football&amp;_sacat=0&amp;LH_Sold=1&amp;LH_Complete=1&amp;_sop=13", "Completed")</f>
        <v/>
      </c>
      <c r="K841" s="5" t="inlineStr">
        <is>
          <t>2025 Bowman Chrome DJEAN MACARES #BCP-237 1st Prospect Giants Football</t>
        </is>
      </c>
    </row>
    <row r="842">
      <c r="A842" s="2" t="inlineStr">
        <is>
          <t>MISC-0001-00009-43297</t>
        </is>
      </c>
      <c r="B842" s="2" t="inlineStr">
        <is>
          <t>2026 Topps PAUL SKENES #TOG-14 Titans Of The Game Football</t>
        </is>
      </c>
      <c r="C842" s="3" t="n">
        <v>3.49</v>
      </c>
      <c r="D842" s="3" t="n">
        <v>2.49</v>
      </c>
      <c r="E842" s="3" t="n">
        <v>-1</v>
      </c>
      <c r="F842" s="4" t="n">
        <v>-28.7</v>
      </c>
      <c r="G842" s="2" t="inlineStr">
        <is>
          <t>🔵 Floored $2.49 — free ship or $0.99 ship?</t>
        </is>
      </c>
      <c r="H842" s="2" t="inlineStr">
        <is>
          <t>82%</t>
        </is>
      </c>
      <c r="I842" s="2">
        <f>HYPERLINK("https://www.ebay.com/sch/261328/i.html?_dcat=261328&amp;_fsrp=1&amp;rt=nc&amp;_from=R40&amp;_nkw=2026%20Topps%20PAUL%20SKENES%20%23TOG-14%20Titans%20Of%20The%20Game%20Football&amp;_sacat=0&amp;_sop=15&amp;rt=nc&amp;LH_BIN=1", "Active")</f>
        <v/>
      </c>
      <c r="J842" s="2">
        <f>HYPERLINK("https://www.ebay.com/sch/261328/i.html?_from=R40&amp;_nkw=2026%20Topps%20PAUL%20SKENES%20%23TOG-14%20Titans%20Of%20The%20Game%20Football&amp;_sacat=0&amp;LH_Sold=1&amp;LH_Complete=1&amp;_sop=13", "Completed")</f>
        <v/>
      </c>
      <c r="K842" s="2" t="inlineStr">
        <is>
          <t>2026 Topps Series 1 - Paul Skenes - Titans of the Game #TOG-14 - Pirates</t>
        </is>
      </c>
    </row>
    <row r="843">
      <c r="A843" s="8" t="inlineStr">
        <is>
          <t>MISC-0001-00018-56284</t>
        </is>
      </c>
      <c r="B843" s="8" t="inlineStr">
        <is>
          <t>2025 Bowman Chrome TSUNG-CHE CHENG #86 RC Pirates Rookie</t>
        </is>
      </c>
      <c r="C843" s="9" t="n">
        <v>2.49</v>
      </c>
      <c r="D843" s="9" t="n">
        <v>2.49</v>
      </c>
      <c r="E843" s="9" t="n">
        <v>0</v>
      </c>
      <c r="F843" s="10" t="n">
        <v>0</v>
      </c>
      <c r="G843" s="8" t="inlineStr">
        <is>
          <t>— No Change</t>
        </is>
      </c>
      <c r="H843" s="8" t="inlineStr">
        <is>
          <t>60%</t>
        </is>
      </c>
      <c r="I843" s="8">
        <f>HYPERLINK("https://www.ebay.com/sch/261328/i.html?_dcat=261328&amp;_fsrp=1&amp;rt=nc&amp;_from=R40&amp;_nkw=2025%20Bowman%20Chrome%20TSUNG-CHE%20CHENG%20%2386%20RC%20Pirates%20Rookie&amp;_sacat=0&amp;_sop=15&amp;rt=nc&amp;LH_BIN=1", "Active")</f>
        <v/>
      </c>
      <c r="J843" s="8">
        <f>HYPERLINK("https://www.ebay.com/sch/261328/i.html?_from=R40&amp;_nkw=2025%20Bowman%20Chrome%20TSUNG-CHE%20CHENG%20%2386%20RC%20Pirates%20Rookie&amp;_sacat=0&amp;LH_Sold=1&amp;LH_Complete=1&amp;_sop=13", "Completed")</f>
        <v/>
      </c>
      <c r="K843" s="8" t="inlineStr">
        <is>
          <t>🔥2025 Bowman Chrome - Prospects BCP153-BCP252 &amp; Base 1-100 - U Pick Free Ship🔥</t>
        </is>
      </c>
    </row>
    <row r="844">
      <c r="A844" s="8" t="inlineStr">
        <is>
          <t>MISC-0001-00005-46071</t>
        </is>
      </c>
      <c r="B844" s="8" t="inlineStr">
        <is>
          <t>2025 Bowman Chrome JOSE ANDERSON #BCP-193 1st Prospect Brewers</t>
        </is>
      </c>
      <c r="C844" s="9" t="n">
        <v>2.49</v>
      </c>
      <c r="D844" s="9" t="n">
        <v>2.49</v>
      </c>
      <c r="E844" s="9" t="n">
        <v>0</v>
      </c>
      <c r="F844" s="10" t="n">
        <v>0</v>
      </c>
      <c r="G844" s="8" t="inlineStr">
        <is>
          <t>— No Change</t>
        </is>
      </c>
      <c r="H844" s="8" t="inlineStr">
        <is>
          <t>83%</t>
        </is>
      </c>
      <c r="I844" s="8">
        <f>HYPERLINK("https://www.ebay.com/sch/261328/i.html?_dcat=261328&amp;_fsrp=1&amp;rt=nc&amp;_from=R40&amp;_nkw=2025%20Bowman%20Chrome%20JOSE%20ANDERSON%20%23BCP-193%201st%20Prospect%20Brewers&amp;_sacat=0&amp;_sop=15&amp;rt=nc&amp;LH_BIN=1", "Active")</f>
        <v/>
      </c>
      <c r="J844" s="8">
        <f>HYPERLINK("https://www.ebay.com/sch/261328/i.html?_from=R40&amp;_nkw=2025%20Bowman%20Chrome%20JOSE%20ANDERSON%20%23BCP-193%201st%20Prospect%20Brewers&amp;_sacat=0&amp;LH_Sold=1&amp;LH_Complete=1&amp;_sop=13", "Completed")</f>
        <v/>
      </c>
      <c r="K844" s="8" t="inlineStr">
        <is>
          <t>2025 Bowman Chrome #BCP-193 Jose Anderson 1st Bowman Milwaukee Brewers MLB</t>
        </is>
      </c>
    </row>
    <row r="845">
      <c r="A845" s="2" t="inlineStr">
        <is>
          <t>MISC-0001-00023-41601</t>
        </is>
      </c>
      <c r="B845" s="2" t="inlineStr">
        <is>
          <t>2025 Bowman Chrome LOGAN HENDERSON #92 RC Brewers Rookie</t>
        </is>
      </c>
      <c r="C845" s="3" t="n">
        <v>2.99</v>
      </c>
      <c r="D845" s="3" t="n">
        <v>2.49</v>
      </c>
      <c r="E845" s="3" t="n">
        <v>-0.5</v>
      </c>
      <c r="F845" s="4" t="n">
        <v>-16.7</v>
      </c>
      <c r="G845" s="2" t="inlineStr">
        <is>
          <t>🔵 Floored $2.49 — free ship or $0.99 ship?</t>
        </is>
      </c>
      <c r="H845" s="2" t="inlineStr">
        <is>
          <t>65%</t>
        </is>
      </c>
      <c r="I845" s="2">
        <f>HYPERLINK("https://www.ebay.com/sch/261328/i.html?_dcat=261328&amp;_fsrp=1&amp;rt=nc&amp;_from=R40&amp;_nkw=2025%20Bowman%20Chrome%20LOGAN%20HENDERSON%20%2392%20RC%20Brewers%20Rookie&amp;_sacat=0&amp;_sop=15&amp;rt=nc&amp;LH_BIN=1", "Active")</f>
        <v/>
      </c>
      <c r="J845" s="2">
        <f>HYPERLINK("https://www.ebay.com/sch/261328/i.html?_from=R40&amp;_nkw=2025%20Bowman%20Chrome%20LOGAN%20HENDERSON%20%2392%20RC%20Brewers%20Rookie&amp;_sacat=0&amp;LH_Sold=1&amp;LH_Complete=1&amp;_sop=13", "Completed")</f>
        <v/>
      </c>
      <c r="K845" s="2" t="inlineStr">
        <is>
          <t>2025 Bowman Chrome BASE with RED Rookie Variations You Pick - 2 Card Minimum</t>
        </is>
      </c>
    </row>
    <row r="846">
      <c r="A846" s="8" t="inlineStr">
        <is>
          <t>MISC-0001-00001-06710</t>
        </is>
      </c>
      <c r="B846" s="8" t="inlineStr">
        <is>
          <t>2025 Bowman Draft KORBYN DICKERSON #BDC-69 Chrome 1st Prospect Mariners</t>
        </is>
      </c>
      <c r="C846" s="9" t="n">
        <v>2.49</v>
      </c>
      <c r="D846" s="9" t="n">
        <v>2.49</v>
      </c>
      <c r="E846" s="9" t="n">
        <v>0</v>
      </c>
      <c r="F846" s="10" t="n">
        <v>0</v>
      </c>
      <c r="G846" s="8" t="inlineStr">
        <is>
          <t>— No Change</t>
        </is>
      </c>
      <c r="H846" s="8" t="inlineStr">
        <is>
          <t>88%</t>
        </is>
      </c>
      <c r="I846" s="8">
        <f>HYPERLINK("https://www.ebay.com/sch/261328/i.html?_dcat=261328&amp;_fsrp=1&amp;rt=nc&amp;_from=R40&amp;_nkw=2025%20Bowman%20Draft%20KORBYN%20DICKERSON%20%23BDC-69%20Chrome%201st%20Prospect%20Mariners&amp;_sacat=0&amp;_sop=15&amp;rt=nc&amp;LH_BIN=1", "Active")</f>
        <v/>
      </c>
      <c r="J846" s="8">
        <f>HYPERLINK("https://www.ebay.com/sch/261328/i.html?_from=R40&amp;_nkw=2025%20Bowman%20Draft%20KORBYN%20DICKERSON%20%23BDC-69%20Chrome%201st%20Prospect%20Mariners&amp;_sacat=0&amp;LH_Sold=1&amp;LH_Complete=1&amp;_sop=13", "Completed")</f>
        <v/>
      </c>
      <c r="K846" s="8" t="inlineStr">
        <is>
          <t>2025 BOWMAN DRAFT CHROME 1st PROSPECT CARD MARINERS KORBYN DICKERSON BDC-69</t>
        </is>
      </c>
    </row>
    <row r="847">
      <c r="A847" s="5" t="inlineStr">
        <is>
          <t>MISC-0001-00020-92577</t>
        </is>
      </c>
      <c r="B847" s="5" t="inlineStr">
        <is>
          <t>2025 Bowman Chrome LUISANGEL ACUNA #32 RC Mets Rookie</t>
        </is>
      </c>
      <c r="C847" s="6" t="n">
        <v>1.99</v>
      </c>
      <c r="D847" s="6" t="n">
        <v>2.49</v>
      </c>
      <c r="E847" s="6" t="n">
        <v>0.5</v>
      </c>
      <c r="F847" s="7" t="n">
        <v>25.1</v>
      </c>
      <c r="G847" s="5" t="inlineStr">
        <is>
          <t>⬆ Price Up</t>
        </is>
      </c>
      <c r="H847" s="5" t="inlineStr">
        <is>
          <t>85%</t>
        </is>
      </c>
      <c r="I847" s="5">
        <f>HYPERLINK("https://www.ebay.com/sch/261328/i.html?_dcat=261328&amp;_fsrp=1&amp;rt=nc&amp;_from=R40&amp;_nkw=2025%20Bowman%20Chrome%20LUISANGEL%20ACUNA%20%2332%20RC%20Mets%20Rookie&amp;_sacat=0&amp;_sop=15&amp;rt=nc&amp;LH_BIN=1", "Active")</f>
        <v/>
      </c>
      <c r="J847" s="5">
        <f>HYPERLINK("https://www.ebay.com/sch/261328/i.html?_from=R40&amp;_nkw=2025%20Bowman%20Chrome%20LUISANGEL%20ACUNA%20%2332%20RC%20Mets%20Rookie&amp;_sacat=0&amp;LH_Sold=1&amp;LH_Complete=1&amp;_sop=13", "Completed")</f>
        <v/>
      </c>
      <c r="K847" s="5" t="inlineStr">
        <is>
          <t>2025 Bowman Chrome Luisangel Acuna #32 RC New York Mets Free Shipping</t>
        </is>
      </c>
    </row>
    <row r="848">
      <c r="A848" s="5" t="inlineStr">
        <is>
          <t>MISC-0001-00006-03028</t>
        </is>
      </c>
      <c r="B848" s="5" t="inlineStr">
        <is>
          <t>2025 Bowman Chrome CRISTOPHER ACOSTA #BCP-176 1st Prospect Brewers USA</t>
        </is>
      </c>
      <c r="C848" s="6" t="n">
        <v>2.49</v>
      </c>
      <c r="D848" s="6" t="n">
        <v>3.39</v>
      </c>
      <c r="E848" s="6" t="n">
        <v>0.9</v>
      </c>
      <c r="F848" s="7" t="n">
        <v>36.1</v>
      </c>
      <c r="G848" s="5" t="inlineStr">
        <is>
          <t>⬆ Price Up</t>
        </is>
      </c>
      <c r="H848" s="5" t="inlineStr">
        <is>
          <t>100%</t>
        </is>
      </c>
      <c r="I848" s="5">
        <f>HYPERLINK("https://www.ebay.com/sch/261328/i.html?_dcat=261328&amp;_fsrp=1&amp;rt=nc&amp;_from=R40&amp;_nkw=2025%20Bowman%20Chrome%20CRISTOPHER%20ACOSTA%20%23BCP-176%201st%20Prospect%20Brewers%20USA&amp;_sacat=0&amp;_sop=15&amp;rt=nc&amp;LH_BIN=1", "Active")</f>
        <v/>
      </c>
      <c r="J848" s="5">
        <f>HYPERLINK("https://www.ebay.com/sch/261328/i.html?_from=R40&amp;_nkw=2025%20Bowman%20Chrome%20CRISTOPHER%20ACOSTA%20%23BCP-176%201st%20Prospect%20Brewers%20USA&amp;_sacat=0&amp;LH_Sold=1&amp;LH_Complete=1&amp;_sop=13", "Completed")</f>
        <v/>
      </c>
      <c r="K848" s="5" t="inlineStr">
        <is>
          <t>2025 Bowman Chrome CRISTOPHER ACOSTA #BCP-176 1st Prospect Brewers USA</t>
        </is>
      </c>
    </row>
    <row r="849">
      <c r="A849" s="2" t="inlineStr">
        <is>
          <t>MISC-0001-00022-25957</t>
        </is>
      </c>
      <c r="B849" s="2" t="inlineStr">
        <is>
          <t>2025 Bowman Chrome BRYCE BOETTCHER #BCP-243 1st Prospect Astros</t>
        </is>
      </c>
      <c r="C849" s="3" t="n">
        <v>2.99</v>
      </c>
      <c r="D849" s="3" t="n">
        <v>2.49</v>
      </c>
      <c r="E849" s="3" t="n">
        <v>-0.5</v>
      </c>
      <c r="F849" s="4" t="n">
        <v>-16.7</v>
      </c>
      <c r="G849" s="2" t="inlineStr">
        <is>
          <t>🔵 Floored $2.49 — free ship or $0.99 ship?</t>
        </is>
      </c>
      <c r="H849" s="2" t="inlineStr">
        <is>
          <t>79%</t>
        </is>
      </c>
      <c r="I849" s="2">
        <f>HYPERLINK("https://www.ebay.com/sch/261328/i.html?_dcat=261328&amp;_fsrp=1&amp;rt=nc&amp;_from=R40&amp;_nkw=2025%20Bowman%20Chrome%20BRYCE%20BOETTCHER%20%23BCP-243%201st%20Prospect%20Astros&amp;_sacat=0&amp;_sop=15&amp;rt=nc&amp;LH_BIN=1", "Active")</f>
        <v/>
      </c>
      <c r="J849" s="2">
        <f>HYPERLINK("https://www.ebay.com/sch/261328/i.html?_from=R40&amp;_nkw=2025%20Bowman%20Chrome%20BRYCE%20BOETTCHER%20%23BCP-243%201st%20Prospect%20Astros&amp;_sacat=0&amp;LH_Sold=1&amp;LH_Complete=1&amp;_sop=13", "Completed")</f>
        <v/>
      </c>
      <c r="K849" s="2" t="inlineStr">
        <is>
          <t>Bryce Boettcher 2025 Bowman Chrome 1st Prospects #BCP-243 Houston Astros</t>
        </is>
      </c>
    </row>
    <row r="850">
      <c r="A850" s="5" t="inlineStr">
        <is>
          <t>MISC-0001-00008-55919</t>
        </is>
      </c>
      <c r="B850" s="5" t="inlineStr">
        <is>
          <t>2025 Bowman Chrome JAKOB CHRISTIAN #BCP-157 1st Prospect Giants Football</t>
        </is>
      </c>
      <c r="C850" s="6" t="n">
        <v>2.49</v>
      </c>
      <c r="D850" s="6" t="n">
        <v>3.39</v>
      </c>
      <c r="E850" s="6" t="n">
        <v>0.9</v>
      </c>
      <c r="F850" s="7" t="n">
        <v>36.1</v>
      </c>
      <c r="G850" s="5" t="inlineStr">
        <is>
          <t>⬆ Price Up</t>
        </is>
      </c>
      <c r="H850" s="5" t="inlineStr">
        <is>
          <t>100%</t>
        </is>
      </c>
      <c r="I850" s="5">
        <f>HYPERLINK("https://www.ebay.com/sch/261328/i.html?_dcat=261328&amp;_fsrp=1&amp;rt=nc&amp;_from=R40&amp;_nkw=2025%20Bowman%20Chrome%20JAKOB%20CHRISTIAN%20%23BCP-157%201st%20Prospect%20Giants%20Football&amp;_sacat=0&amp;_sop=15&amp;rt=nc&amp;LH_BIN=1", "Active")</f>
        <v/>
      </c>
      <c r="J850" s="5">
        <f>HYPERLINK("https://www.ebay.com/sch/261328/i.html?_from=R40&amp;_nkw=2025%20Bowman%20Chrome%20JAKOB%20CHRISTIAN%20%23BCP-157%201st%20Prospect%20Giants%20Football&amp;_sacat=0&amp;LH_Sold=1&amp;LH_Complete=1&amp;_sop=13", "Completed")</f>
        <v/>
      </c>
      <c r="K850" s="5" t="inlineStr">
        <is>
          <t>2025 Bowman Chrome JAKOB CHRISTIAN #BCP-157 1st Prospect Giants Football</t>
        </is>
      </c>
    </row>
    <row r="851">
      <c r="A851" s="2" t="inlineStr">
        <is>
          <t>MISC-0001-00014-16242</t>
        </is>
      </c>
      <c r="B851" s="2" t="inlineStr">
        <is>
          <t>2025 Bowman Chrome ROBERT HIPWELL #BCP-238 Mini Diamond Refractor 1st Prospect</t>
        </is>
      </c>
      <c r="C851" s="3" t="n">
        <v>2.99</v>
      </c>
      <c r="D851" s="3" t="n">
        <v>2.49</v>
      </c>
      <c r="E851" s="3" t="n">
        <v>-0.5</v>
      </c>
      <c r="F851" s="4" t="n">
        <v>-16.7</v>
      </c>
      <c r="G851" s="2" t="inlineStr">
        <is>
          <t>🔵 Floored $2.49 — free ship or $0.99 ship?</t>
        </is>
      </c>
      <c r="H851" s="2" t="inlineStr">
        <is>
          <t>82%</t>
        </is>
      </c>
      <c r="I851" s="2">
        <f>HYPERLINK("https://www.ebay.com/sch/261328/i.html?_dcat=261328&amp;_fsrp=1&amp;rt=nc&amp;_from=R40&amp;_nkw=2025%20Bowman%20Chrome%20ROBERT%20HIPWELL%20%23BCP-238%20Mini%20Diamond%20Refractor%201st%20Prospect&amp;_sacat=0&amp;_sop=15&amp;rt=nc&amp;LH_BIN=1", "Active")</f>
        <v/>
      </c>
      <c r="J851" s="2">
        <f>HYPERLINK("https://www.ebay.com/sch/261328/i.html?_from=R40&amp;_nkw=2025%20Bowman%20Chrome%20ROBERT%20HIPWELL%20%23BCP-238%20Mini%20Diamond%20Refractor%201st%20Prospect&amp;_sacat=0&amp;LH_Sold=1&amp;LH_Complete=1&amp;_sop=13", "Completed")</f>
        <v/>
      </c>
      <c r="K851" s="2" t="inlineStr">
        <is>
          <t>Bowman Chrome 2025 Mini Diamond Refractor Robert Hipwell Prospects 1st BCP-238</t>
        </is>
      </c>
    </row>
    <row r="852">
      <c r="A852" s="11" t="inlineStr">
        <is>
          <t>MISC-0001-00010-15278</t>
        </is>
      </c>
      <c r="B852" s="11" t="inlineStr">
        <is>
          <t>2025 Bowman Chrome MARCO DINGES #BCP-183 1st Prospect Brewers</t>
        </is>
      </c>
      <c r="C852" s="12" t="n">
        <v>3.49</v>
      </c>
      <c r="D852" s="12" t="n">
        <v>2.89</v>
      </c>
      <c r="E852" s="12" t="n">
        <v>-0.6</v>
      </c>
      <c r="F852" s="13" t="n">
        <v>-17.2</v>
      </c>
      <c r="G852" s="11" t="inlineStr">
        <is>
          <t>⬇ Price Down</t>
        </is>
      </c>
      <c r="H852" s="11" t="inlineStr">
        <is>
          <t>66%</t>
        </is>
      </c>
      <c r="I852" s="11">
        <f>HYPERLINK("https://www.ebay.com/sch/261328/i.html?_dcat=261328&amp;_fsrp=1&amp;rt=nc&amp;_from=R40&amp;_nkw=2025%20Bowman%20Chrome%20MARCO%20DINGES%20%23BCP-183%201st%20Prospect%20Brewers&amp;_sacat=0&amp;_sop=15&amp;rt=nc&amp;LH_BIN=1", "Active")</f>
        <v/>
      </c>
      <c r="J852" s="11">
        <f>HYPERLINK("https://www.ebay.com/sch/261328/i.html?_from=R40&amp;_nkw=2025%20Bowman%20Chrome%20MARCO%20DINGES%20%23BCP-183%201st%20Prospect%20Brewers&amp;_sacat=0&amp;LH_Sold=1&amp;LH_Complete=1&amp;_sop=13", "Completed")</f>
        <v/>
      </c>
      <c r="K852" s="11" t="inlineStr">
        <is>
          <t>2025 Bowman Chrome Baseball - Base, Rookies, Prospects, &amp; 1st Bowmans A14</t>
        </is>
      </c>
    </row>
    <row r="853">
      <c r="A853" s="5" t="inlineStr">
        <is>
          <t>MISC-0001-00007-69085</t>
        </is>
      </c>
      <c r="B853" s="5" t="inlineStr">
        <is>
          <t>2025 Bowman Chrome ROBERT HIPWELL #BCP-238 1st Prospect Giants Football</t>
        </is>
      </c>
      <c r="C853" s="6" t="n">
        <v>2.49</v>
      </c>
      <c r="D853" s="6" t="n">
        <v>3.39</v>
      </c>
      <c r="E853" s="6" t="n">
        <v>0.9</v>
      </c>
      <c r="F853" s="7" t="n">
        <v>36.1</v>
      </c>
      <c r="G853" s="5" t="inlineStr">
        <is>
          <t>⬆ Price Up</t>
        </is>
      </c>
      <c r="H853" s="5" t="inlineStr">
        <is>
          <t>100%</t>
        </is>
      </c>
      <c r="I853" s="5">
        <f>HYPERLINK("https://www.ebay.com/sch/261328/i.html?_dcat=261328&amp;_fsrp=1&amp;rt=nc&amp;_from=R40&amp;_nkw=2025%20Bowman%20Chrome%20ROBERT%20HIPWELL%20%23BCP-238%201st%20Prospect%20Giants%20Football&amp;_sacat=0&amp;_sop=15&amp;rt=nc&amp;LH_BIN=1", "Active")</f>
        <v/>
      </c>
      <c r="J853" s="5">
        <f>HYPERLINK("https://www.ebay.com/sch/261328/i.html?_from=R40&amp;_nkw=2025%20Bowman%20Chrome%20ROBERT%20HIPWELL%20%23BCP-238%201st%20Prospect%20Giants%20Football&amp;_sacat=0&amp;LH_Sold=1&amp;LH_Complete=1&amp;_sop=13", "Completed")</f>
        <v/>
      </c>
      <c r="K853" s="5" t="inlineStr">
        <is>
          <t>2025 Bowman Chrome ROBERT HIPWELL #BCP-238 1st Prospect Giants Football</t>
        </is>
      </c>
    </row>
    <row r="854">
      <c r="A854" s="2" t="inlineStr">
        <is>
          <t>BBRB-0003-00009-99200</t>
        </is>
      </c>
      <c r="B854" s="2" t="inlineStr">
        <is>
          <t>2023 Topps SHOHEI OHTANI #SMLB-21 Stars of MLB Angels</t>
        </is>
      </c>
      <c r="C854" s="3" t="n">
        <v>4.49</v>
      </c>
      <c r="D854" s="3" t="n">
        <v>2.49</v>
      </c>
      <c r="E854" s="3" t="n">
        <v>-2</v>
      </c>
      <c r="F854" s="4" t="n">
        <v>-44.5</v>
      </c>
      <c r="G854" s="2" t="inlineStr">
        <is>
          <t>🔵 Floored $2.49 — free ship or $0.99 ship?</t>
        </is>
      </c>
      <c r="H854" s="2" t="inlineStr">
        <is>
          <t>61%</t>
        </is>
      </c>
      <c r="I854" s="2">
        <f>HYPERLINK("https://www.ebay.com/sch/261328/i.html?_dcat=261328&amp;_fsrp=1&amp;rt=nc&amp;_from=R40&amp;_nkw=2023%20Topps%20SHOHEI%20OHTANI%20%23SMLB-21%20Stars%20of%20MLB%20Angels&amp;_sacat=0&amp;_sop=15&amp;rt=nc&amp;LH_BIN=1", "Active")</f>
        <v/>
      </c>
      <c r="J854" s="2">
        <f>HYPERLINK("https://www.ebay.com/sch/261328/i.html?_from=R40&amp;_nkw=2023%20Topps%20SHOHEI%20OHTANI%20%23SMLB-21%20Stars%20of%20MLB%20Angels&amp;_sacat=0&amp;LH_Sold=1&amp;LH_Complete=1&amp;_sop=13", "Completed")</f>
        <v/>
      </c>
      <c r="K854" s="2" t="inlineStr">
        <is>
          <t>2023 Topps Series 1 Pick Your Card - Inserts</t>
        </is>
      </c>
    </row>
    <row r="855">
      <c r="A855" s="5" t="inlineStr">
        <is>
          <t>BBRB-0003-00007-61781</t>
        </is>
      </c>
      <c r="B855" s="5" t="inlineStr">
        <is>
          <t>2024 Topps Now SHOHEI OHTANI SB #50 Stolen Base Historic 50/50 Season 50 Dodgers</t>
        </is>
      </c>
      <c r="C855" s="6" t="n">
        <v>11.09</v>
      </c>
      <c r="D855" s="6" t="n">
        <v>11.69</v>
      </c>
      <c r="E855" s="6" t="n">
        <v>0.6</v>
      </c>
      <c r="F855" s="7" t="n">
        <v>5.4</v>
      </c>
      <c r="G855" s="5" t="inlineStr">
        <is>
          <t>⬆ Price Up</t>
        </is>
      </c>
      <c r="H855" s="5" t="inlineStr">
        <is>
          <t>100%</t>
        </is>
      </c>
      <c r="I855" s="5">
        <f>HYPERLINK("https://www.ebay.com/sch/261328/i.html?_dcat=261328&amp;_fsrp=1&amp;rt=nc&amp;_from=R40&amp;_nkw=2024%20Topps%20Now%20SHOHEI%20OHTANI%20SB%20%2350%20Stolen%20Base%20Historic%2050%2F50%20Season%2050%20Dodgers&amp;_sacat=0&amp;_sop=15&amp;rt=nc&amp;LH_BIN=1", "Active")</f>
        <v/>
      </c>
      <c r="J855" s="5">
        <f>HYPERLINK("https://www.ebay.com/sch/261328/i.html?_from=R40&amp;_nkw=2024%20Topps%20Now%20SHOHEI%20OHTANI%20SB%20%2350%20Stolen%20Base%20Historic%2050%2F50%20Season%2050%20Dodgers&amp;_sacat=0&amp;LH_Sold=1&amp;LH_Complete=1&amp;_sop=13", "Completed")</f>
        <v/>
      </c>
      <c r="K855" s="5" t="inlineStr">
        <is>
          <t>2024 Topps Now SHOHEI OHTANI SB #50 Stolen Base Historic 50/50 Season 50 Dodgers</t>
        </is>
      </c>
    </row>
    <row r="856">
      <c r="A856" s="5" t="inlineStr">
        <is>
          <t>BBRB-0003-00008-50259</t>
        </is>
      </c>
      <c r="B856" s="5" t="inlineStr">
        <is>
          <t>2024 Topps Now SHOHEI OHTANI SB #1 Stolen Base Historic 50/50 Season 1 Dodgers</t>
        </is>
      </c>
      <c r="C856" s="6" t="n">
        <v>21.49</v>
      </c>
      <c r="D856" s="6" t="n">
        <v>21.79</v>
      </c>
      <c r="E856" s="6" t="n">
        <v>0.3</v>
      </c>
      <c r="F856" s="7" t="n">
        <v>1.4</v>
      </c>
      <c r="G856" s="5" t="inlineStr">
        <is>
          <t>⬆ Price Up</t>
        </is>
      </c>
      <c r="H856" s="5" t="inlineStr">
        <is>
          <t>100%</t>
        </is>
      </c>
      <c r="I856" s="5">
        <f>HYPERLINK("https://www.ebay.com/sch/261328/i.html?_dcat=261328&amp;_fsrp=1&amp;rt=nc&amp;_from=R40&amp;_nkw=2024%20Topps%20Now%20SHOHEI%20OHTANI%20SB%20%231%20Stolen%20Base%20Historic%2050%2F50%20Season%201%20Dodgers&amp;_sacat=0&amp;_sop=15&amp;rt=nc&amp;LH_BIN=1", "Active")</f>
        <v/>
      </c>
      <c r="J856" s="5">
        <f>HYPERLINK("https://www.ebay.com/sch/261328/i.html?_from=R40&amp;_nkw=2024%20Topps%20Now%20SHOHEI%20OHTANI%20SB%20%231%20Stolen%20Base%20Historic%2050%2F50%20Season%201%20Dodgers&amp;_sacat=0&amp;LH_Sold=1&amp;LH_Complete=1&amp;_sop=13", "Completed")</f>
        <v/>
      </c>
      <c r="K856" s="5" t="inlineStr">
        <is>
          <t>2024 Topps Now SHOHEI OHTANI SB #1 Stolen Base Historic 50/50 Season 1 Dodgers</t>
        </is>
      </c>
    </row>
    <row r="857">
      <c r="A857" s="2" t="inlineStr">
        <is>
          <t>j9yym-1DE2F8E</t>
        </is>
      </c>
      <c r="B857" s="2" t="inlineStr">
        <is>
          <t>2021-22 Topps Tier ONE Bundesliga Auto Relics Ondrej Duda #ATOR-OD 1 #/10</t>
        </is>
      </c>
      <c r="C857" s="3" t="n">
        <v>75</v>
      </c>
      <c r="D857" s="3" t="n">
        <v>2.49</v>
      </c>
      <c r="E857" s="3" t="n">
        <v>-72.51000000000001</v>
      </c>
      <c r="F857" s="4" t="n">
        <v>-96.7</v>
      </c>
      <c r="G857" s="2" t="inlineStr">
        <is>
          <t>🔵 Floored $2.49 — free ship or $0.99 ship?</t>
        </is>
      </c>
      <c r="H857" s="2" t="inlineStr"/>
      <c r="I857" s="2">
        <f>HYPERLINK("https://www.ebay.com/sch/261328/i.html?_dcat=261328&amp;_fsrp=1&amp;rt=nc&amp;_from=R40&amp;_nkw=2021-22%20Topps%20Tier%20ONE%20Bundesliga%20Auto%20Relics%20Ondrej%20Duda%20%23ATOR-OD%201%20%23%2F10&amp;_sacat=0&amp;_sop=15&amp;rt=nc&amp;LH_BIN=1", "Active")</f>
        <v/>
      </c>
      <c r="J857" s="2">
        <f>HYPERLINK("https://www.ebay.com/sch/261328/i.html?_from=R40&amp;_nkw=2021-22%20Topps%20Tier%20ONE%20Bundesliga%20Auto%20Relics%20Ondrej%20Duda%20%23ATOR-OD%201%20%23%2F10&amp;_sacat=0&amp;LH_Sold=1&amp;LH_Complete=1&amp;_sop=13", "Completed")</f>
        <v/>
      </c>
      <c r="K857" s="2" t="inlineStr">
        <is>
          <t>No Close Result Found</t>
        </is>
      </c>
    </row>
    <row r="858">
      <c r="A858" s="5" t="inlineStr">
        <is>
          <t>BBTBR-0001-00001-79255</t>
        </is>
      </c>
      <c r="B858" s="5" t="inlineStr">
        <is>
          <t>2025-26 Topps Finest ACE BAILEY #5 Common Green Refractor 23/75 RC Jazz Rookie</t>
        </is>
      </c>
      <c r="C858" s="6" t="n">
        <v>45.69</v>
      </c>
      <c r="D858" s="6" t="n">
        <v>53.19</v>
      </c>
      <c r="E858" s="6" t="n">
        <v>7.5</v>
      </c>
      <c r="F858" s="7" t="n">
        <v>16.4</v>
      </c>
      <c r="G858" s="5" t="inlineStr">
        <is>
          <t>⬆ Price Up</t>
        </is>
      </c>
      <c r="H858" s="5" t="inlineStr">
        <is>
          <t>100%</t>
        </is>
      </c>
      <c r="I858" s="5">
        <f>HYPERLINK("https://www.ebay.com/sch/261328/i.html?_dcat=261328&amp;_fsrp=1&amp;rt=nc&amp;_from=R40&amp;_nkw=2025-26%20Topps%20Finest%20ACE%20BAILEY%20%235%20Common%20Green%20Refractor%2023%2F75%20RC%20Jazz%20Rookie&amp;_sacat=0&amp;_sop=15&amp;rt=nc&amp;LH_BIN=1", "Active")</f>
        <v/>
      </c>
      <c r="J858" s="5">
        <f>HYPERLINK("https://www.ebay.com/sch/261328/i.html?_from=R40&amp;_nkw=2025-26%20Topps%20Finest%20ACE%20BAILEY%20%235%20Common%20Green%20Refractor%2023%2F75%20RC%20Jazz%20Rookie&amp;_sacat=0&amp;LH_Sold=1&amp;LH_Complete=1&amp;_sop=13", "Completed")</f>
        <v/>
      </c>
      <c r="K858" s="5" t="inlineStr">
        <is>
          <t>2025-26 Topps Finest ACE BAILEY #5 Common Green Refractor 23/75 RC Jazz Rookie</t>
        </is>
      </c>
    </row>
    <row r="859">
      <c r="A859" s="5" t="inlineStr">
        <is>
          <t>MISC-0002-00027-97598</t>
        </is>
      </c>
      <c r="B859" s="5" t="inlineStr">
        <is>
          <t>2024 Bowman CURTIS MEAD #28 Neon Green 156/399 RC Rays Rookie</t>
        </is>
      </c>
      <c r="C859" s="6" t="n">
        <v>3.99</v>
      </c>
      <c r="D859" s="6" t="n">
        <v>4.79</v>
      </c>
      <c r="E859" s="6" t="n">
        <v>0.8</v>
      </c>
      <c r="F859" s="7" t="n">
        <v>20.1</v>
      </c>
      <c r="G859" s="5" t="inlineStr">
        <is>
          <t>⬆ Price Up</t>
        </is>
      </c>
      <c r="H859" s="5" t="inlineStr">
        <is>
          <t>100%</t>
        </is>
      </c>
      <c r="I859" s="5">
        <f>HYPERLINK("https://www.ebay.com/sch/261328/i.html?_dcat=261328&amp;_fsrp=1&amp;rt=nc&amp;_from=R40&amp;_nkw=2024%20Bowman%20CURTIS%20MEAD%20%2328%20Neon%20Green%20156%2F399%20RC%20Rays%20Rookie&amp;_sacat=0&amp;_sop=15&amp;rt=nc&amp;LH_BIN=1", "Active")</f>
        <v/>
      </c>
      <c r="J859" s="5">
        <f>HYPERLINK("https://www.ebay.com/sch/261328/i.html?_from=R40&amp;_nkw=2024%20Bowman%20CURTIS%20MEAD%20%2328%20Neon%20Green%20156%2F399%20RC%20Rays%20Rookie&amp;_sacat=0&amp;LH_Sold=1&amp;LH_Complete=1&amp;_sop=13", "Completed")</f>
        <v/>
      </c>
      <c r="K859" s="5" t="inlineStr">
        <is>
          <t>2024 Bowman CURTIS MEAD #28 Neon Green 156/399 RC Rays Rookie</t>
        </is>
      </c>
    </row>
    <row r="860">
      <c r="A860" s="2" t="inlineStr">
        <is>
          <t>MISC-0002-00019-53297</t>
        </is>
      </c>
      <c r="B860" s="2" t="inlineStr">
        <is>
          <t>2024 Topps Heritage JUNIOR CAMINERO #267 RC Rays Rookie</t>
        </is>
      </c>
      <c r="C860" s="3" t="n">
        <v>2.99</v>
      </c>
      <c r="D860" s="3" t="n">
        <v>2.49</v>
      </c>
      <c r="E860" s="3" t="n">
        <v>-0.5</v>
      </c>
      <c r="F860" s="4" t="n">
        <v>-16.7</v>
      </c>
      <c r="G860" s="2" t="inlineStr">
        <is>
          <t>🔵 Floored $2.49 — free ship or $0.99 ship?</t>
        </is>
      </c>
      <c r="H860" s="2" t="inlineStr">
        <is>
          <t>72%</t>
        </is>
      </c>
      <c r="I860" s="2">
        <f>HYPERLINK("https://www.ebay.com/sch/261328/i.html?_dcat=261328&amp;_fsrp=1&amp;rt=nc&amp;_from=R40&amp;_nkw=2024%20Topps%20Heritage%20JUNIOR%20CAMINERO%20%23267%20RC%20Rays%20Rookie&amp;_sacat=0&amp;_sop=15&amp;rt=nc&amp;LH_BIN=1", "Active")</f>
        <v/>
      </c>
      <c r="J860" s="2">
        <f>HYPERLINK("https://www.ebay.com/sch/261328/i.html?_from=R40&amp;_nkw=2024%20Topps%20Heritage%20JUNIOR%20CAMINERO%20%23267%20RC%20Rays%20Rookie&amp;_sacat=0&amp;LH_Sold=1&amp;LH_Complete=1&amp;_sop=13", "Completed")</f>
        <v/>
      </c>
      <c r="K860" s="2" t="inlineStr">
        <is>
          <t>Khalil Herbert Rookie 2024 Topps Heritage #267 RC Rays</t>
        </is>
      </c>
    </row>
    <row r="861">
      <c r="A861" s="2" t="inlineStr">
        <is>
          <t>MISC-0002-00026-10377</t>
        </is>
      </c>
      <c r="B861" s="2" t="inlineStr">
        <is>
          <t>2023 Topps CORBIN CARROLL #401 RC Diamondbacks Rookie</t>
        </is>
      </c>
      <c r="C861" s="3" t="n">
        <v>3.49</v>
      </c>
      <c r="D861" s="3" t="n">
        <v>2.49</v>
      </c>
      <c r="E861" s="3" t="n">
        <v>-1</v>
      </c>
      <c r="F861" s="4" t="n">
        <v>-28.7</v>
      </c>
      <c r="G861" s="2" t="inlineStr">
        <is>
          <t>🔵 Floored $2.49 — free ship or $0.99 ship?</t>
        </is>
      </c>
      <c r="H861" s="2" t="inlineStr">
        <is>
          <t>85%</t>
        </is>
      </c>
      <c r="I861" s="2">
        <f>HYPERLINK("https://www.ebay.com/sch/261328/i.html?_dcat=261328&amp;_fsrp=1&amp;rt=nc&amp;_from=R40&amp;_nkw=2023%20Topps%20CORBIN%20CARROLL%20%23401%20RC%20Diamondbacks%20Rookie&amp;_sacat=0&amp;_sop=15&amp;rt=nc&amp;LH_BIN=1", "Active")</f>
        <v/>
      </c>
      <c r="J861" s="2">
        <f>HYPERLINK("https://www.ebay.com/sch/261328/i.html?_from=R40&amp;_nkw=2023%20Topps%20CORBIN%20CARROLL%20%23401%20RC%20Diamondbacks%20Rookie&amp;_sacat=0&amp;LH_Sold=1&amp;LH_Complete=1&amp;_sop=13", "Completed")</f>
        <v/>
      </c>
      <c r="K861" s="2" t="inlineStr">
        <is>
          <t>2023 Topps Series 2 Corbin Carroll Rookie RC #401 Arizona Diamondbacks</t>
        </is>
      </c>
    </row>
    <row r="862">
      <c r="A862" s="5" t="inlineStr">
        <is>
          <t>MISC-0002-00024-98746</t>
        </is>
      </c>
      <c r="B862" s="5" t="inlineStr">
        <is>
          <t>2024 Topps Chrome KETEL MARTE #35 Purple Speckle Refractor 294/299 Diamondbacks</t>
        </is>
      </c>
      <c r="C862" s="6" t="n">
        <v>5.49</v>
      </c>
      <c r="D862" s="6" t="n">
        <v>6.29</v>
      </c>
      <c r="E862" s="6" t="n">
        <v>0.8</v>
      </c>
      <c r="F862" s="7" t="n">
        <v>14.6</v>
      </c>
      <c r="G862" s="5" t="inlineStr">
        <is>
          <t>⬆ Price Up</t>
        </is>
      </c>
      <c r="H862" s="5" t="inlineStr">
        <is>
          <t>100%</t>
        </is>
      </c>
      <c r="I862" s="5">
        <f>HYPERLINK("https://www.ebay.com/sch/261328/i.html?_dcat=261328&amp;_fsrp=1&amp;rt=nc&amp;_from=R40&amp;_nkw=2024%20Topps%20Chrome%20KETEL%20MARTE%20%2335%20Purple%20Speckle%20Refractor%20294%2F299%20Diamondbacks&amp;_sacat=0&amp;_sop=15&amp;rt=nc&amp;LH_BIN=1", "Active")</f>
        <v/>
      </c>
      <c r="J862" s="5">
        <f>HYPERLINK("https://www.ebay.com/sch/261328/i.html?_from=R40&amp;_nkw=2024%20Topps%20Chrome%20KETEL%20MARTE%20%2335%20Purple%20Speckle%20Refractor%20294%2F299%20Diamondbacks&amp;_sacat=0&amp;LH_Sold=1&amp;LH_Complete=1&amp;_sop=13", "Completed")</f>
        <v/>
      </c>
      <c r="K862" s="5" t="inlineStr">
        <is>
          <t>2024 Topps Chrome KETEL MARTE #35 Purple Speckle Refractor 294/299 Diamondbacks</t>
        </is>
      </c>
    </row>
    <row r="863">
      <c r="A863" s="2" t="inlineStr">
        <is>
          <t>MISC-0002-00030-85662</t>
        </is>
      </c>
      <c r="B863" s="2" t="inlineStr">
        <is>
          <t>2020 Topps Update MIKE TROUT #U-243 Angels</t>
        </is>
      </c>
      <c r="C863" s="3" t="n">
        <v>3.49</v>
      </c>
      <c r="D863" s="3" t="n">
        <v>2.49</v>
      </c>
      <c r="E863" s="3" t="n">
        <v>-1</v>
      </c>
      <c r="F863" s="4" t="n">
        <v>-28.7</v>
      </c>
      <c r="G863" s="2" t="inlineStr">
        <is>
          <t>🔵 Floored $2.49 — free ship or $0.99 ship?</t>
        </is>
      </c>
      <c r="H863" s="2" t="inlineStr">
        <is>
          <t>60%</t>
        </is>
      </c>
      <c r="I863" s="2">
        <f>HYPERLINK("https://www.ebay.com/sch/261328/i.html?_dcat=261328&amp;_fsrp=1&amp;rt=nc&amp;_from=R40&amp;_nkw=2020%20Topps%20Update%20MIKE%20TROUT%20%23U-243%20Angels&amp;_sacat=0&amp;_sop=15&amp;rt=nc&amp;LH_BIN=1", "Active")</f>
        <v/>
      </c>
      <c r="J863" s="2">
        <f>HYPERLINK("https://www.ebay.com/sch/261328/i.html?_from=R40&amp;_nkw=2020%20Topps%20Update%20MIKE%20TROUT%20%23U-243%20Angels&amp;_sacat=0&amp;LH_Sold=1&amp;LH_Complete=1&amp;_sop=13", "Completed")</f>
        <v/>
      </c>
      <c r="K863" s="2" t="inlineStr">
        <is>
          <t>2020 Topps update singles #'s U-151 thru U-300 *Free Shipping* build your lot</t>
        </is>
      </c>
    </row>
    <row r="864">
      <c r="A864" s="11" t="inlineStr">
        <is>
          <t>MISC-0002-00011-84730</t>
        </is>
      </c>
      <c r="B864" s="11" t="inlineStr">
        <is>
          <t>2024 Topps Chrome YOSHINOBU YAMAMOTO #18 RC Dodgers Rookie</t>
        </is>
      </c>
      <c r="C864" s="12" t="n">
        <v>5.99</v>
      </c>
      <c r="D864" s="12" t="n">
        <v>2.69</v>
      </c>
      <c r="E864" s="12" t="n">
        <v>-3.3</v>
      </c>
      <c r="F864" s="13" t="n">
        <v>-55.1</v>
      </c>
      <c r="G864" s="11" t="inlineStr">
        <is>
          <t>⬇ Price Down</t>
        </is>
      </c>
      <c r="H864" s="11" t="inlineStr">
        <is>
          <t>73%</t>
        </is>
      </c>
      <c r="I864" s="11">
        <f>HYPERLINK("https://www.ebay.com/sch/261328/i.html?_dcat=261328&amp;_fsrp=1&amp;rt=nc&amp;_from=R40&amp;_nkw=2024%20Topps%20Chrome%20YOSHINOBU%20YAMAMOTO%20%2318%20RC%20Dodgers%20Rookie&amp;_sacat=0&amp;_sop=15&amp;rt=nc&amp;LH_BIN=1", "Active")</f>
        <v/>
      </c>
      <c r="J864" s="11">
        <f>HYPERLINK("https://www.ebay.com/sch/261328/i.html?_from=R40&amp;_nkw=2024%20Topps%20Chrome%20YOSHINOBU%20YAMAMOTO%20%2318%20RC%20Dodgers%20Rookie&amp;_sacat=0&amp;LH_Sold=1&amp;LH_Complete=1&amp;_sop=13", "Completed")</f>
        <v/>
      </c>
      <c r="K864" s="11" t="inlineStr">
        <is>
          <t>YOSHINOBU YAMAMOTO 2024 TOPPS CHROME BASEBALL #18 RC Los Angeles Dodgers</t>
        </is>
      </c>
    </row>
    <row r="865">
      <c r="A865" s="5" t="inlineStr">
        <is>
          <t>MISC-0002-00022-86722</t>
        </is>
      </c>
      <c r="B865" s="5" t="inlineStr">
        <is>
          <t>2025 Topps DYLAN CREWS #SMLB-30 Stars of MLB RC Nationals Rookie</t>
        </is>
      </c>
      <c r="C865" s="6" t="n">
        <v>1.99</v>
      </c>
      <c r="D865" s="6" t="n">
        <v>2.49</v>
      </c>
      <c r="E865" s="6" t="n">
        <v>0.5</v>
      </c>
      <c r="F865" s="7" t="n">
        <v>25.1</v>
      </c>
      <c r="G865" s="5" t="inlineStr">
        <is>
          <t>⬆ Price Up</t>
        </is>
      </c>
      <c r="H865" s="5" t="inlineStr">
        <is>
          <t>74%</t>
        </is>
      </c>
      <c r="I865" s="5">
        <f>HYPERLINK("https://www.ebay.com/sch/261328/i.html?_dcat=261328&amp;_fsrp=1&amp;rt=nc&amp;_from=R40&amp;_nkw=2025%20Topps%20DYLAN%20CREWS%20%23SMLB-30%20Stars%20of%20MLB%20RC%20Nationals%20Rookie&amp;_sacat=0&amp;_sop=15&amp;rt=nc&amp;LH_BIN=1", "Active")</f>
        <v/>
      </c>
      <c r="J865" s="5">
        <f>HYPERLINK("https://www.ebay.com/sch/261328/i.html?_from=R40&amp;_nkw=2025%20Topps%20DYLAN%20CREWS%20%23SMLB-30%20Stars%20of%20MLB%20RC%20Nationals%20Rookie&amp;_sacat=0&amp;LH_Sold=1&amp;LH_Complete=1&amp;_sop=13", "Completed")</f>
        <v/>
      </c>
      <c r="K865" s="5" t="inlineStr">
        <is>
          <t>Dylan Crews Stars of MLB #SMLB-30 RC Nationals 2025 Topps Series 1</t>
        </is>
      </c>
    </row>
    <row r="866">
      <c r="A866" s="5" t="inlineStr">
        <is>
          <t>MISC-0002-00017-82278</t>
        </is>
      </c>
      <c r="B866" s="5" t="inlineStr">
        <is>
          <t>2024 Topps Chrome ONEIL CRUZ #98 Purple Sonar Refractor 155/275 Pirates</t>
        </is>
      </c>
      <c r="C866" s="6" t="n">
        <v>6.49</v>
      </c>
      <c r="D866" s="6" t="n">
        <v>7.29</v>
      </c>
      <c r="E866" s="6" t="n">
        <v>0.8</v>
      </c>
      <c r="F866" s="7" t="n">
        <v>12.3</v>
      </c>
      <c r="G866" s="5" t="inlineStr">
        <is>
          <t>⬆ Price Up</t>
        </is>
      </c>
      <c r="H866" s="5" t="inlineStr">
        <is>
          <t>100%</t>
        </is>
      </c>
      <c r="I866" s="5">
        <f>HYPERLINK("https://www.ebay.com/sch/261328/i.html?_dcat=261328&amp;_fsrp=1&amp;rt=nc&amp;_from=R40&amp;_nkw=2024%20Topps%20Chrome%20ONEIL%20CRUZ%20%2398%20Purple%20Sonar%20Refractor%20155%2F275%20Pirates&amp;_sacat=0&amp;_sop=15&amp;rt=nc&amp;LH_BIN=1", "Active")</f>
        <v/>
      </c>
      <c r="J866" s="5">
        <f>HYPERLINK("https://www.ebay.com/sch/261328/i.html?_from=R40&amp;_nkw=2024%20Topps%20Chrome%20ONEIL%20CRUZ%20%2398%20Purple%20Sonar%20Refractor%20155%2F275%20Pirates&amp;_sacat=0&amp;LH_Sold=1&amp;LH_Complete=1&amp;_sop=13", "Completed")</f>
        <v/>
      </c>
      <c r="K866" s="5" t="inlineStr">
        <is>
          <t>2024 Topps Chrome ONEIL CRUZ #98 Purple Sonar Refractor 155/275 Pirates</t>
        </is>
      </c>
    </row>
    <row r="867">
      <c r="A867" s="5" t="inlineStr">
        <is>
          <t>MISC-0002-00013-08641</t>
        </is>
      </c>
      <c r="B867" s="5" t="inlineStr">
        <is>
          <t>2024 Bowman Mega Box JORDAN WESTBURG #42 Mojo Fuchsia Refractor 9/299 Orioles</t>
        </is>
      </c>
      <c r="C867" s="6" t="n">
        <v>3.49</v>
      </c>
      <c r="D867" s="6" t="n">
        <v>4.39</v>
      </c>
      <c r="E867" s="6" t="n">
        <v>0.9</v>
      </c>
      <c r="F867" s="7" t="n">
        <v>25.8</v>
      </c>
      <c r="G867" s="5" t="inlineStr">
        <is>
          <t>⬆ Price Up</t>
        </is>
      </c>
      <c r="H867" s="5" t="inlineStr">
        <is>
          <t>100%</t>
        </is>
      </c>
      <c r="I867" s="5">
        <f>HYPERLINK("https://www.ebay.com/sch/261328/i.html?_dcat=261328&amp;_fsrp=1&amp;rt=nc&amp;_from=R40&amp;_nkw=2024%20Bowman%20Mega%20Box%20JORDAN%20WESTBURG%20%2342%20Mojo%20Fuchsia%20Refractor%209%2F299%20Orioles&amp;_sacat=0&amp;_sop=15&amp;rt=nc&amp;LH_BIN=1", "Active")</f>
        <v/>
      </c>
      <c r="J867" s="5">
        <f>HYPERLINK("https://www.ebay.com/sch/261328/i.html?_from=R40&amp;_nkw=2024%20Bowman%20Mega%20Box%20JORDAN%20WESTBURG%20%2342%20Mojo%20Fuchsia%20Refractor%209%2F299%20Orioles&amp;_sacat=0&amp;LH_Sold=1&amp;LH_Complete=1&amp;_sop=13", "Completed")</f>
        <v/>
      </c>
      <c r="K867" s="5" t="inlineStr">
        <is>
          <t>2024 Bowman Mega Box JORDAN WESTBURG #42 Mojo Fuchsia Refractor 9/299 Orioles</t>
        </is>
      </c>
    </row>
    <row r="868">
      <c r="A868" t="inlineStr">
        <is>
          <t>MISC-0002-00023-41119</t>
        </is>
      </c>
      <c r="B868" t="inlineStr">
        <is>
          <t>2024 Panini Prizm RHETT LOWDER #65 Green Ice Reds</t>
        </is>
      </c>
      <c r="C868" s="14" t="n">
        <v>3.99</v>
      </c>
      <c r="D868" s="14" t="n"/>
      <c r="E868" s="14" t="inlineStr"/>
      <c r="F868" s="15" t="inlineStr"/>
      <c r="G868" t="inlineStr">
        <is>
          <t>? No price data</t>
        </is>
      </c>
      <c r="H868" t="inlineStr">
        <is>
          <t>58%</t>
        </is>
      </c>
      <c r="I868">
        <f>HYPERLINK("https://www.ebay.com/sch/261328/i.html?_dcat=261328&amp;_fsrp=1&amp;rt=nc&amp;_from=R40&amp;_nkw=2024%20Panini%20Prizm%20RHETT%20LOWDER%20%2365%20Green%20Ice%20Reds&amp;_sacat=0&amp;_sop=15&amp;rt=nc&amp;LH_BIN=1", "Active")</f>
        <v/>
      </c>
      <c r="J868">
        <f>HYPERLINK("https://www.ebay.com/sch/261328/i.html?_from=R40&amp;_nkw=2024%20Panini%20Prizm%20RHETT%20LOWDER%20%2365%20Green%20Ice%20Reds&amp;_sacat=0&amp;LH_Sold=1&amp;LH_Complete=1&amp;_sop=13", "Completed")</f>
        <v/>
      </c>
      <c r="K868" t="inlineStr">
        <is>
          <t>RHETT LOWDER PRIZM ROOKIE RC PROSEPCTS GREEN CRACKED ICE REFRACTOR REDS #65 2024</t>
        </is>
      </c>
    </row>
    <row r="869">
      <c r="A869" s="2" t="inlineStr">
        <is>
          <t>MISC-0002-00015-71706</t>
        </is>
      </c>
      <c r="B869" s="2" t="inlineStr">
        <is>
          <t>2021 Bowman 1st Edition ANTHONY VOLPE #BFE-85 Yankees</t>
        </is>
      </c>
      <c r="C869" s="3" t="n">
        <v>4.49</v>
      </c>
      <c r="D869" s="3" t="n">
        <v>2.49</v>
      </c>
      <c r="E869" s="3" t="n">
        <v>-2</v>
      </c>
      <c r="F869" s="4" t="n">
        <v>-44.5</v>
      </c>
      <c r="G869" s="2" t="inlineStr">
        <is>
          <t>🔵 Floored $2.49 — free ship or $0.99 ship?</t>
        </is>
      </c>
      <c r="H869" s="2" t="inlineStr">
        <is>
          <t>62%</t>
        </is>
      </c>
      <c r="I869" s="2">
        <f>HYPERLINK("https://www.ebay.com/sch/261328/i.html?_dcat=261328&amp;_fsrp=1&amp;rt=nc&amp;_from=R40&amp;_nkw=2021%20Bowman%201st%20Edition%20ANTHONY%20VOLPE%20%23BFE-85%20Yankees&amp;_sacat=0&amp;_sop=15&amp;rt=nc&amp;LH_BIN=1", "Active")</f>
        <v/>
      </c>
      <c r="J869" s="2">
        <f>HYPERLINK("https://www.ebay.com/sch/261328/i.html?_from=R40&amp;_nkw=2021%20Bowman%201st%20Edition%20ANTHONY%20VOLPE%20%23BFE-85%20Yankees&amp;_sacat=0&amp;LH_Sold=1&amp;LH_Complete=1&amp;_sop=13", "Completed")</f>
        <v/>
      </c>
      <c r="K869" s="2" t="inlineStr">
        <is>
          <t>2021 BOWMAN 1st EDITION Complete Your Set! Rookies RC BFE 1-150 UPick Free Ship!</t>
        </is>
      </c>
    </row>
    <row r="870">
      <c r="A870" s="5" t="inlineStr">
        <is>
          <t>MISC-0002-00010-41454</t>
        </is>
      </c>
      <c r="B870" s="5" t="inlineStr">
        <is>
          <t>2024 Bowman Chrome MASYN WINN #61 Mega Box Aqua Ref 98/299 RC Cardinals Rookie</t>
        </is>
      </c>
      <c r="C870" s="6" t="n">
        <v>11.09</v>
      </c>
      <c r="D870" s="6" t="n">
        <v>11.69</v>
      </c>
      <c r="E870" s="6" t="n">
        <v>0.6</v>
      </c>
      <c r="F870" s="7" t="n">
        <v>5.4</v>
      </c>
      <c r="G870" s="5" t="inlineStr">
        <is>
          <t>⬆ Price Up</t>
        </is>
      </c>
      <c r="H870" s="5" t="inlineStr">
        <is>
          <t>100%</t>
        </is>
      </c>
      <c r="I870" s="5">
        <f>HYPERLINK("https://www.ebay.com/sch/261328/i.html?_dcat=261328&amp;_fsrp=1&amp;rt=nc&amp;_from=R40&amp;_nkw=2024%20Bowman%20Chrome%20MASYN%20WINN%20%2361%20Mega%20Box%20Aqua%20Ref%2098%2F299%20RC%20Cardinals%20Rookie&amp;_sacat=0&amp;_sop=15&amp;rt=nc&amp;LH_BIN=1", "Active")</f>
        <v/>
      </c>
      <c r="J870" s="5">
        <f>HYPERLINK("https://www.ebay.com/sch/261328/i.html?_from=R40&amp;_nkw=2024%20Bowman%20Chrome%20MASYN%20WINN%20%2361%20Mega%20Box%20Aqua%20Ref%2098%2F299%20RC%20Cardinals%20Rookie&amp;_sacat=0&amp;LH_Sold=1&amp;LH_Complete=1&amp;_sop=13", "Completed")</f>
        <v/>
      </c>
      <c r="K870" s="5" t="inlineStr">
        <is>
          <t>2024 Bowman Chrome MASYN WINN #61 Mega Box Aqua Ref 98/299 RC Cardinals Rookie</t>
        </is>
      </c>
    </row>
    <row r="871">
      <c r="A871" t="inlineStr">
        <is>
          <t>MISC-0002-00020-56361</t>
        </is>
      </c>
      <c r="B871" t="inlineStr">
        <is>
          <t>2022 Bowman MIKE TROUT #32 Angels</t>
        </is>
      </c>
      <c r="C871" s="14" t="n">
        <v>3.49</v>
      </c>
      <c r="D871" s="14" t="n"/>
      <c r="E871" s="14" t="inlineStr"/>
      <c r="F871" s="15" t="inlineStr"/>
      <c r="G871" t="inlineStr">
        <is>
          <t>? No price data</t>
        </is>
      </c>
      <c r="H871" t="inlineStr">
        <is>
          <t>59%</t>
        </is>
      </c>
      <c r="I871">
        <f>HYPERLINK("https://www.ebay.com/sch/261328/i.html?_dcat=261328&amp;_fsrp=1&amp;rt=nc&amp;_from=R40&amp;_nkw=2022%20Bowman%20MIKE%20TROUT%20%2332%20Angels&amp;_sacat=0&amp;_sop=15&amp;rt=nc&amp;LH_BIN=1", "Active")</f>
        <v/>
      </c>
      <c r="J871">
        <f>HYPERLINK("https://www.ebay.com/sch/261328/i.html?_from=R40&amp;_nkw=2022%20Bowman%20MIKE%20TROUT%20%2332%20Angels&amp;_sacat=0&amp;LH_Sold=1&amp;LH_Complete=1&amp;_sop=13", "Completed")</f>
        <v/>
      </c>
      <c r="K871" t="inlineStr">
        <is>
          <t>2022 Bowman Baseball Base You Pick Card Complete Your Set #1-100 With Rookies</t>
        </is>
      </c>
    </row>
    <row r="872">
      <c r="A872" s="2" t="inlineStr">
        <is>
          <t>Refresh-0002-00016-52031</t>
        </is>
      </c>
      <c r="B872" s="2" t="inlineStr">
        <is>
          <t>2022-23 Panini FLUX ZION WILLIAMSON #115 Pelicans Basketball</t>
        </is>
      </c>
      <c r="C872" s="3" t="n">
        <v>3.49</v>
      </c>
      <c r="D872" s="3" t="n">
        <v>2.49</v>
      </c>
      <c r="E872" s="3" t="n">
        <v>-1</v>
      </c>
      <c r="F872" s="4" t="n">
        <v>-28.7</v>
      </c>
      <c r="G872" s="2" t="inlineStr">
        <is>
          <t>🔵 Floored $2.49 — free ship or $0.99 ship?</t>
        </is>
      </c>
      <c r="H872" s="2" t="inlineStr">
        <is>
          <t>78%</t>
        </is>
      </c>
      <c r="I872" s="2">
        <f>HYPERLINK("https://www.ebay.com/sch/261328/i.html?_dcat=261328&amp;_fsrp=1&amp;rt=nc&amp;_from=R40&amp;_nkw=2022-23%20Panini%20FLUX%20ZION%20WILLIAMSON%20%23115%20Pelicans%20Basketball&amp;_sacat=0&amp;_sop=15&amp;rt=nc&amp;LH_BIN=1", "Active")</f>
        <v/>
      </c>
      <c r="J872" s="2">
        <f>HYPERLINK("https://www.ebay.com/sch/261328/i.html?_from=R40&amp;_nkw=2022-23%20Panini%20FLUX%20ZION%20WILLIAMSON%20%23115%20Pelicans%20Basketball&amp;_sacat=0&amp;LH_Sold=1&amp;LH_Complete=1&amp;_sop=13", "Completed")</f>
        <v/>
      </c>
      <c r="K872" s="2" t="inlineStr">
        <is>
          <t>ZION WILLIAMSON 2022-23 Panini Flux Basketball #115 New Orleans Pelicans</t>
        </is>
      </c>
    </row>
    <row r="873">
      <c r="A873" s="5" t="inlineStr">
        <is>
          <t>Refresh-0002-00026-89756</t>
        </is>
      </c>
      <c r="B873" s="5" t="inlineStr">
        <is>
          <t>2024 Panini Prizm Draft PICKS COLLEGIATE BRONNY JAMES JR. #3 Fearless Silver RC</t>
        </is>
      </c>
      <c r="C873" s="6" t="n">
        <v>3.49</v>
      </c>
      <c r="D873" s="6" t="n">
        <v>4.39</v>
      </c>
      <c r="E873" s="6" t="n">
        <v>0.9</v>
      </c>
      <c r="F873" s="7" t="n">
        <v>25.8</v>
      </c>
      <c r="G873" s="5" t="inlineStr">
        <is>
          <t>⬆ Price Up</t>
        </is>
      </c>
      <c r="H873" s="5" t="inlineStr">
        <is>
          <t>100%</t>
        </is>
      </c>
      <c r="I873" s="5">
        <f>HYPERLINK("https://www.ebay.com/sch/261328/i.html?_dcat=261328&amp;_fsrp=1&amp;rt=nc&amp;_from=R40&amp;_nkw=2024%20Panini%20Prizm%20Draft%20PICKS%20COLLEGIATE%20BRONNY%20JAMES%20JR.%20%233%20Fearless%20Silver%20RC&amp;_sacat=0&amp;_sop=15&amp;rt=nc&amp;LH_BIN=1", "Active")</f>
        <v/>
      </c>
      <c r="J873" s="5">
        <f>HYPERLINK("https://www.ebay.com/sch/261328/i.html?_from=R40&amp;_nkw=2024%20Panini%20Prizm%20Draft%20PICKS%20COLLEGIATE%20BRONNY%20JAMES%20JR.%20%233%20Fearless%20Silver%20RC&amp;_sacat=0&amp;LH_Sold=1&amp;LH_Complete=1&amp;_sop=13", "Completed")</f>
        <v/>
      </c>
      <c r="K873" s="5" t="inlineStr">
        <is>
          <t>2024 Panini Prizm Draft PICKS COLLEGIATE BRONNY JAMES JR. #3 Fearless Silver RC</t>
        </is>
      </c>
    </row>
    <row r="874">
      <c r="A874" s="2" t="inlineStr">
        <is>
          <t>Refresh-0002-00045-60744</t>
        </is>
      </c>
      <c r="B874" s="2" t="inlineStr">
        <is>
          <t>2022-23 Panini HOOPS JUSTIN HOLIDAY #GS-JHD Great SIGnificance Auto Hawks</t>
        </is>
      </c>
      <c r="C874" s="3" t="n">
        <v>6.49</v>
      </c>
      <c r="D874" s="3" t="n">
        <v>2.49</v>
      </c>
      <c r="E874" s="3" t="n">
        <v>-4</v>
      </c>
      <c r="F874" s="4" t="n">
        <v>-61.6</v>
      </c>
      <c r="G874" s="2" t="inlineStr">
        <is>
          <t>🔵 Floored $2.49 — free ship or $0.99 ship?</t>
        </is>
      </c>
      <c r="H874" s="2" t="inlineStr"/>
      <c r="I874" s="2">
        <f>HYPERLINK("https://www.ebay.com/sch/261328/i.html?_dcat=261328&amp;_fsrp=1&amp;rt=nc&amp;_from=R40&amp;_nkw=2022-23%20Panini%20HOOPS%20JUSTIN%20HOLIDAY%20%23GS-JHD%20Great%20SIGnificance%20Auto%20Hawks&amp;_sacat=0&amp;_sop=15&amp;rt=nc&amp;LH_BIN=1", "Active")</f>
        <v/>
      </c>
      <c r="J874" s="2">
        <f>HYPERLINK("https://www.ebay.com/sch/261328/i.html?_from=R40&amp;_nkw=2022-23%20Panini%20HOOPS%20JUSTIN%20HOLIDAY%20%23GS-JHD%20Great%20SIGnificance%20Auto%20Hawks&amp;_sacat=0&amp;LH_Sold=1&amp;LH_Complete=1&amp;_sop=13", "Completed")</f>
        <v/>
      </c>
      <c r="K874" s="2" t="inlineStr">
        <is>
          <t>No Close Result Found</t>
        </is>
      </c>
    </row>
    <row r="875">
      <c r="A875" s="5" t="inlineStr">
        <is>
          <t>Refresh-0002-00005-03897</t>
        </is>
      </c>
      <c r="B875" s="5" t="inlineStr">
        <is>
          <t>2024-25 Panini HOOPS DENNIS SCHRODER #60 Storm /299 Nets Basketball</t>
        </is>
      </c>
      <c r="C875" s="6" t="n">
        <v>4.49</v>
      </c>
      <c r="D875" s="6" t="n">
        <v>5.29</v>
      </c>
      <c r="E875" s="6" t="n">
        <v>0.8</v>
      </c>
      <c r="F875" s="7" t="n">
        <v>17.8</v>
      </c>
      <c r="G875" s="5" t="inlineStr">
        <is>
          <t>⬆ Price Up</t>
        </is>
      </c>
      <c r="H875" s="5" t="inlineStr">
        <is>
          <t>100%</t>
        </is>
      </c>
      <c r="I875" s="5">
        <f>HYPERLINK("https://www.ebay.com/sch/261328/i.html?_dcat=261328&amp;_fsrp=1&amp;rt=nc&amp;_from=R40&amp;_nkw=2024-25%20Panini%20HOOPS%20DENNIS%20SCHRODER%20%2360%20Storm%20%2F299%20Nets%20Basketball&amp;_sacat=0&amp;_sop=15&amp;rt=nc&amp;LH_BIN=1", "Active")</f>
        <v/>
      </c>
      <c r="J875" s="5">
        <f>HYPERLINK("https://www.ebay.com/sch/261328/i.html?_from=R40&amp;_nkw=2024-25%20Panini%20HOOPS%20DENNIS%20SCHRODER%20%2360%20Storm%20%2F299%20Nets%20Basketball&amp;_sacat=0&amp;LH_Sold=1&amp;LH_Complete=1&amp;_sop=13", "Completed")</f>
        <v/>
      </c>
      <c r="K875" s="5" t="inlineStr">
        <is>
          <t>2024-25 Panini HOOPS DENNIS SCHRODER #60 Storm /299 Nets Basketball</t>
        </is>
      </c>
    </row>
    <row r="876">
      <c r="A876" s="5" t="inlineStr">
        <is>
          <t>Refresh-0002-00017-51777</t>
        </is>
      </c>
      <c r="B876" s="5" t="inlineStr">
        <is>
          <t>2025-26 Topps LIAM MCNEELEY #TC-LM 1980-81 Chrome Mojo Ref RC Hornets Rookie</t>
        </is>
      </c>
      <c r="C876" s="6" t="n">
        <v>2.99</v>
      </c>
      <c r="D876" s="6" t="n">
        <v>3.89</v>
      </c>
      <c r="E876" s="6" t="n">
        <v>0.9</v>
      </c>
      <c r="F876" s="7" t="n">
        <v>30.1</v>
      </c>
      <c r="G876" s="5" t="inlineStr">
        <is>
          <t>⬆ Price Up</t>
        </is>
      </c>
      <c r="H876" s="5" t="inlineStr">
        <is>
          <t>100%</t>
        </is>
      </c>
      <c r="I876" s="5">
        <f>HYPERLINK("https://www.ebay.com/sch/261328/i.html?_dcat=261328&amp;_fsrp=1&amp;rt=nc&amp;_from=R40&amp;_nkw=2025-26%20Topps%20LIAM%20MCNEELEY%20%23TC-LM%201980-81%20Chrome%20Mojo%20Ref%20RC%20Hornets%20Rookie&amp;_sacat=0&amp;_sop=15&amp;rt=nc&amp;LH_BIN=1", "Active")</f>
        <v/>
      </c>
      <c r="J876" s="5">
        <f>HYPERLINK("https://www.ebay.com/sch/261328/i.html?_from=R40&amp;_nkw=2025-26%20Topps%20LIAM%20MCNEELEY%20%23TC-LM%201980-81%20Chrome%20Mojo%20Ref%20RC%20Hornets%20Rookie&amp;_sacat=0&amp;LH_Sold=1&amp;LH_Complete=1&amp;_sop=13", "Completed")</f>
        <v/>
      </c>
      <c r="K876" s="5" t="inlineStr">
        <is>
          <t>2025-26 Topps LIAM MCNEELEY #TC-LM 1980-81 Chrome Mojo Ref RC Hornets Rookie</t>
        </is>
      </c>
    </row>
    <row r="877">
      <c r="A877" s="2" t="inlineStr">
        <is>
          <t>Refresh-0002-00042-96637</t>
        </is>
      </c>
      <c r="B877" s="2" t="inlineStr">
        <is>
          <t>2024-25 Panini MOSAIC JARED MCCAIN #17 Thunder Road Mosaic RC 76ers Rookie</t>
        </is>
      </c>
      <c r="C877" s="3" t="n">
        <v>3.49</v>
      </c>
      <c r="D877" s="3" t="n">
        <v>2.49</v>
      </c>
      <c r="E877" s="3" t="n">
        <v>-1</v>
      </c>
      <c r="F877" s="4" t="n">
        <v>-28.7</v>
      </c>
      <c r="G877" s="2" t="inlineStr">
        <is>
          <t>🔵 Floored $2.49 — free ship or $0.99 ship?</t>
        </is>
      </c>
      <c r="H877" s="2" t="inlineStr">
        <is>
          <t>85%</t>
        </is>
      </c>
      <c r="I877" s="2">
        <f>HYPERLINK("https://www.ebay.com/sch/261328/i.html?_dcat=261328&amp;_fsrp=1&amp;rt=nc&amp;_from=R40&amp;_nkw=2024-25%20Panini%20MOSAIC%20JARED%20MCCAIN%20%2317%20Thunder%20Road%20Mosaic%20RC%2076ers%20Rookie&amp;_sacat=0&amp;_sop=15&amp;rt=nc&amp;LH_BIN=1", "Active")</f>
        <v/>
      </c>
      <c r="J877" s="2">
        <f>HYPERLINK("https://www.ebay.com/sch/261328/i.html?_from=R40&amp;_nkw=2024-25%20Panini%20MOSAIC%20JARED%20MCCAIN%20%2317%20Thunder%20Road%20Mosaic%20RC%2076ers%20Rookie&amp;_sacat=0&amp;LH_Sold=1&amp;LH_Complete=1&amp;_sop=13", "Completed")</f>
        <v/>
      </c>
      <c r="K877" s="2" t="inlineStr">
        <is>
          <t>2024-25 Panini Mosaic - Thunder Road Jared McCain #17 (RC) Philadelphia 76ers</t>
        </is>
      </c>
    </row>
    <row r="878">
      <c r="A878" s="11" t="inlineStr">
        <is>
          <t>Refresh-0002-00010-77273</t>
        </is>
      </c>
      <c r="B878" s="11" t="inlineStr">
        <is>
          <t>2025-26 Topps Chrome BUDDY HIELD #215 Yellow Basketball Refractor /275 Warriors</t>
        </is>
      </c>
      <c r="C878" s="12" t="n">
        <v>4.99</v>
      </c>
      <c r="D878" s="12" t="n">
        <v>3.69</v>
      </c>
      <c r="E878" s="12" t="n">
        <v>-1.3</v>
      </c>
      <c r="F878" s="13" t="n">
        <v>-26.1</v>
      </c>
      <c r="G878" s="11" t="inlineStr">
        <is>
          <t>⬇ Price Down</t>
        </is>
      </c>
      <c r="H878" s="11" t="inlineStr">
        <is>
          <t>79%</t>
        </is>
      </c>
      <c r="I878" s="11">
        <f>HYPERLINK("https://www.ebay.com/sch/261328/i.html?_dcat=261328&amp;_fsrp=1&amp;rt=nc&amp;_from=R40&amp;_nkw=2025-26%20Topps%20Chrome%20BUDDY%20HIELD%20%23215%20Yellow%20Basketball%20Refractor%20%2F275%20Warriors&amp;_sacat=0&amp;_sop=15&amp;rt=nc&amp;LH_BIN=1", "Active")</f>
        <v/>
      </c>
      <c r="J878" s="11">
        <f>HYPERLINK("https://www.ebay.com/sch/261328/i.html?_from=R40&amp;_nkw=2025-26%20Topps%20Chrome%20BUDDY%20HIELD%20%23215%20Yellow%20Basketball%20Refractor%20%2F275%20Warriors&amp;_sacat=0&amp;LH_Sold=1&amp;LH_Complete=1&amp;_sop=13", "Completed")</f>
        <v/>
      </c>
      <c r="K878" s="11" t="inlineStr">
        <is>
          <t>Topps 2025-26 Chrome Buddy Hield Warriors Yellow Refractor #215 /275</t>
        </is>
      </c>
    </row>
    <row r="879">
      <c r="A879" s="2" t="inlineStr">
        <is>
          <t>Refresh-0002-00015-78594</t>
        </is>
      </c>
      <c r="B879" s="2" t="inlineStr">
        <is>
          <t>2020-21 Panini Prizm STEPHEN CURRY #159 Warriors Basketball</t>
        </is>
      </c>
      <c r="C879" s="3" t="n">
        <v>3.49</v>
      </c>
      <c r="D879" s="3" t="n">
        <v>2.49</v>
      </c>
      <c r="E879" s="3" t="n">
        <v>-1</v>
      </c>
      <c r="F879" s="4" t="n">
        <v>-28.7</v>
      </c>
      <c r="G879" s="2" t="inlineStr">
        <is>
          <t>🔵 Floored $2.49 — free ship or $0.99 ship?</t>
        </is>
      </c>
      <c r="H879" s="2" t="inlineStr">
        <is>
          <t>77%</t>
        </is>
      </c>
      <c r="I879" s="2">
        <f>HYPERLINK("https://www.ebay.com/sch/261328/i.html?_dcat=261328&amp;_fsrp=1&amp;rt=nc&amp;_from=R40&amp;_nkw=2020-21%20Panini%20Prizm%20STEPHEN%20CURRY%20%23159%20Warriors%20Basketball&amp;_sacat=0&amp;_sop=15&amp;rt=nc&amp;LH_BIN=1", "Active")</f>
        <v/>
      </c>
      <c r="J879" s="2">
        <f>HYPERLINK("https://www.ebay.com/sch/261328/i.html?_from=R40&amp;_nkw=2020-21%20Panini%20Prizm%20STEPHEN%20CURRY%20%23159%20Warriors%20Basketball&amp;_sacat=0&amp;LH_Sold=1&amp;LH_Complete=1&amp;_sop=13", "Completed")</f>
        <v/>
      </c>
      <c r="K879" s="2" t="inlineStr">
        <is>
          <t>Stephen Curry #159 2020-21 Panini Prizm Golden State Warriors</t>
        </is>
      </c>
    </row>
    <row r="880">
      <c r="A880" s="11" t="inlineStr">
        <is>
          <t>Refresh-0002-00024-12022</t>
        </is>
      </c>
      <c r="B880" s="11" t="inlineStr">
        <is>
          <t>2020-21 Panini Chronicles TYRESE HALIBURTON #241 Green RC Kings Rookie</t>
        </is>
      </c>
      <c r="C880" s="12" t="n">
        <v>3.99</v>
      </c>
      <c r="D880" s="12" t="n">
        <v>3.89</v>
      </c>
      <c r="E880" s="12" t="n">
        <v>-0.1</v>
      </c>
      <c r="F880" s="13" t="n">
        <v>-2.5</v>
      </c>
      <c r="G880" s="11" t="inlineStr">
        <is>
          <t>⬇ Price Down</t>
        </is>
      </c>
      <c r="H880" s="11" t="inlineStr">
        <is>
          <t>85%</t>
        </is>
      </c>
      <c r="I880" s="11">
        <f>HYPERLINK("https://www.ebay.com/sch/261328/i.html?_dcat=261328&amp;_fsrp=1&amp;rt=nc&amp;_from=R40&amp;_nkw=2020-21%20Panini%20Chronicles%20TYRESE%20HALIBURTON%20%23241%20Green%20RC%20Kings%20Rookie&amp;_sacat=0&amp;_sop=15&amp;rt=nc&amp;LH_BIN=1", "Active")</f>
        <v/>
      </c>
      <c r="J880" s="11">
        <f>HYPERLINK("https://www.ebay.com/sch/261328/i.html?_from=R40&amp;_nkw=2020-21%20Panini%20Chronicles%20TYRESE%20HALIBURTON%20%23241%20Green%20RC%20Kings%20Rookie&amp;_sacat=0&amp;LH_Sold=1&amp;LH_Complete=1&amp;_sop=13", "Completed")</f>
        <v/>
      </c>
      <c r="K880" s="11" t="inlineStr">
        <is>
          <t>2020-21 Panini Chronicles Marquee Tyrese Haliburton RC Green Parallel #241 kings</t>
        </is>
      </c>
    </row>
    <row r="881">
      <c r="A881" s="8" t="inlineStr">
        <is>
          <t>Refresh-0002-00003-04154</t>
        </is>
      </c>
      <c r="B881" s="8" t="inlineStr">
        <is>
          <t>2023-24 Panini MOSAIC TYRESE HALIBURTON #289 City Edition Pacers Basketball</t>
        </is>
      </c>
      <c r="C881" s="9" t="n">
        <v>2.49</v>
      </c>
      <c r="D881" s="9" t="n">
        <v>2.49</v>
      </c>
      <c r="E881" s="9" t="n">
        <v>0</v>
      </c>
      <c r="F881" s="10" t="n">
        <v>0</v>
      </c>
      <c r="G881" s="8" t="inlineStr">
        <is>
          <t>— No Change</t>
        </is>
      </c>
      <c r="H881" s="8" t="inlineStr">
        <is>
          <t>69%</t>
        </is>
      </c>
      <c r="I881" s="8">
        <f>HYPERLINK("https://www.ebay.com/sch/261328/i.html?_dcat=261328&amp;_fsrp=1&amp;rt=nc&amp;_from=R40&amp;_nkw=2023-24%20Panini%20MOSAIC%20TYRESE%20HALIBURTON%20%23289%20City%20Edition%20Pacers%20Basketball&amp;_sacat=0&amp;_sop=15&amp;rt=nc&amp;LH_BIN=1", "Active")</f>
        <v/>
      </c>
      <c r="J881" s="8">
        <f>HYPERLINK("https://www.ebay.com/sch/261328/i.html?_from=R40&amp;_nkw=2023-24%20Panini%20MOSAIC%20TYRESE%20HALIBURTON%20%23289%20City%20Edition%20Pacers%20Basketball&amp;_sacat=0&amp;LH_Sold=1&amp;LH_Complete=1&amp;_sop=13", "Completed")</f>
        <v/>
      </c>
      <c r="K881" s="8" t="inlineStr">
        <is>
          <t>2023-24 Mosaic TYRESE HALIBURTON #2  Pacers</t>
        </is>
      </c>
    </row>
    <row r="882">
      <c r="A882" s="2" t="inlineStr">
        <is>
          <t>Refresh-0002-00023-69135</t>
        </is>
      </c>
      <c r="B882" s="2" t="inlineStr">
        <is>
          <t>2021-22 Panini Prizm Draft PICKS ANTHONY EDWARDS #65 Bulldogs Basketball</t>
        </is>
      </c>
      <c r="C882" s="3" t="n">
        <v>3.99</v>
      </c>
      <c r="D882" s="3" t="n">
        <v>2.49</v>
      </c>
      <c r="E882" s="3" t="n">
        <v>-1.5</v>
      </c>
      <c r="F882" s="4" t="n">
        <v>-37.6</v>
      </c>
      <c r="G882" s="2" t="inlineStr">
        <is>
          <t>🔵 Floored $2.49 — free ship or $0.99 ship?</t>
        </is>
      </c>
      <c r="H882" s="2" t="inlineStr">
        <is>
          <t>69%</t>
        </is>
      </c>
      <c r="I882" s="2">
        <f>HYPERLINK("https://www.ebay.com/sch/261328/i.html?_dcat=261328&amp;_fsrp=1&amp;rt=nc&amp;_from=R40&amp;_nkw=2021-22%20Panini%20Prizm%20Draft%20PICKS%20ANTHONY%20EDWARDS%20%2365%20Bulldogs%20Basketball&amp;_sacat=0&amp;_sop=15&amp;rt=nc&amp;LH_BIN=1", "Active")</f>
        <v/>
      </c>
      <c r="J882" s="2">
        <f>HYPERLINK("https://www.ebay.com/sch/261328/i.html?_from=R40&amp;_nkw=2021-22%20Panini%20Prizm%20Draft%20PICKS%20ANTHONY%20EDWARDS%20%2365%20Bulldogs%20Basketball&amp;_sacat=0&amp;LH_Sold=1&amp;LH_Complete=1&amp;_sop=13", "Completed")</f>
        <v/>
      </c>
      <c r="K882" s="2" t="inlineStr">
        <is>
          <t>2021 Panini Prizm Draft Picks Basketball Base &amp; Parallels Pick Your Card</t>
        </is>
      </c>
    </row>
    <row r="883">
      <c r="A883" s="2" t="inlineStr">
        <is>
          <t>Refresh-0002-00008-99661</t>
        </is>
      </c>
      <c r="B883" s="2" t="inlineStr">
        <is>
          <t>2023-24 Panini Donruss Optic JAYSON TATUM #140 Celtics Basketball</t>
        </is>
      </c>
      <c r="C883" s="3" t="n">
        <v>2.99</v>
      </c>
      <c r="D883" s="3" t="n">
        <v>2.49</v>
      </c>
      <c r="E883" s="3" t="n">
        <v>-0.5</v>
      </c>
      <c r="F883" s="4" t="n">
        <v>-16.7</v>
      </c>
      <c r="G883" s="2" t="inlineStr">
        <is>
          <t>🔵 Floored $2.49 — free ship or $0.99 ship?</t>
        </is>
      </c>
      <c r="H883" s="2" t="inlineStr">
        <is>
          <t>86%</t>
        </is>
      </c>
      <c r="I883" s="2">
        <f>HYPERLINK("https://www.ebay.com/sch/261328/i.html?_dcat=261328&amp;_fsrp=1&amp;rt=nc&amp;_from=R40&amp;_nkw=2023-24%20Panini%20Donruss%20Optic%20JAYSON%20TATUM%20%23140%20Celtics%20Basketball&amp;_sacat=0&amp;_sop=15&amp;rt=nc&amp;LH_BIN=1", "Active")</f>
        <v/>
      </c>
      <c r="J883" s="2">
        <f>HYPERLINK("https://www.ebay.com/sch/261328/i.html?_from=R40&amp;_nkw=2023-24%20Panini%20Donruss%20Optic%20JAYSON%20TATUM%20%23140%20Celtics%20Basketball&amp;_sacat=0&amp;LH_Sold=1&amp;LH_Complete=1&amp;_sop=13", "Completed")</f>
        <v/>
      </c>
      <c r="K883" s="2" t="inlineStr">
        <is>
          <t>2023-24 Panini Donruss Optic - Jayson Tatum #140 Boston Celtics</t>
        </is>
      </c>
    </row>
    <row r="884">
      <c r="A884" s="11" t="inlineStr">
        <is>
          <t>Refresh-0002-00014-69793</t>
        </is>
      </c>
      <c r="B884" s="11" t="inlineStr">
        <is>
          <t>2024-25 Panini HOOPS VICTOR WEMBANYAMA #10 Frequent Flyers Winter Spurs</t>
        </is>
      </c>
      <c r="C884" s="12" t="n">
        <v>4.49</v>
      </c>
      <c r="D884" s="12" t="n">
        <v>2.89</v>
      </c>
      <c r="E884" s="12" t="n">
        <v>-1.6</v>
      </c>
      <c r="F884" s="13" t="n">
        <v>-35.6</v>
      </c>
      <c r="G884" s="11" t="inlineStr">
        <is>
          <t>⬇ Price Down</t>
        </is>
      </c>
      <c r="H884" s="11" t="inlineStr">
        <is>
          <t>72%</t>
        </is>
      </c>
      <c r="I884" s="11">
        <f>HYPERLINK("https://www.ebay.com/sch/261328/i.html?_dcat=261328&amp;_fsrp=1&amp;rt=nc&amp;_from=R40&amp;_nkw=2024-25%20Panini%20HOOPS%20VICTOR%20WEMBANYAMA%20%2310%20Frequent%20Flyers%20Winter%20Spurs&amp;_sacat=0&amp;_sop=15&amp;rt=nc&amp;LH_BIN=1", "Active")</f>
        <v/>
      </c>
      <c r="J884" s="11">
        <f>HYPERLINK("https://www.ebay.com/sch/261328/i.html?_from=R40&amp;_nkw=2024-25%20Panini%20HOOPS%20VICTOR%20WEMBANYAMA%20%2310%20Frequent%20Flyers%20Winter%20Spurs&amp;_sacat=0&amp;LH_Sold=1&amp;LH_Complete=1&amp;_sop=13", "Completed")</f>
        <v/>
      </c>
      <c r="K884" s="11" t="inlineStr">
        <is>
          <t>Victor Wembanyama Frequent Flyers #10  2024 Panini NBA Hoops - San Antonio Spurs</t>
        </is>
      </c>
    </row>
    <row r="885">
      <c r="A885" s="2" t="inlineStr">
        <is>
          <t>Refresh-0002-00043-41130</t>
        </is>
      </c>
      <c r="B885" s="2" t="inlineStr">
        <is>
          <t>2024 Panini Prizm Draft PICKS COLLEGIATE STEPHEN CURRY #77 Basketball</t>
        </is>
      </c>
      <c r="C885" s="3" t="n">
        <v>3.49</v>
      </c>
      <c r="D885" s="3" t="n">
        <v>2.49</v>
      </c>
      <c r="E885" s="3" t="n">
        <v>-1</v>
      </c>
      <c r="F885" s="4" t="n">
        <v>-28.7</v>
      </c>
      <c r="G885" s="2" t="inlineStr">
        <is>
          <t>🔵 Floored $2.49 — free ship or $0.99 ship?</t>
        </is>
      </c>
      <c r="H885" s="2" t="inlineStr">
        <is>
          <t>82%</t>
        </is>
      </c>
      <c r="I885" s="2">
        <f>HYPERLINK("https://www.ebay.com/sch/261328/i.html?_dcat=261328&amp;_fsrp=1&amp;rt=nc&amp;_from=R40&amp;_nkw=2024%20Panini%20Prizm%20Draft%20PICKS%20COLLEGIATE%20STEPHEN%20CURRY%20%2377%20Basketball&amp;_sacat=0&amp;_sop=15&amp;rt=nc&amp;LH_BIN=1", "Active")</f>
        <v/>
      </c>
      <c r="J885" s="2">
        <f>HYPERLINK("https://www.ebay.com/sch/261328/i.html?_from=R40&amp;_nkw=2024%20Panini%20Prizm%20Draft%20PICKS%20COLLEGIATE%20STEPHEN%20CURRY%20%2377%20Basketball&amp;_sacat=0&amp;LH_Sold=1&amp;LH_Complete=1&amp;_sop=13", "Completed")</f>
        <v/>
      </c>
      <c r="K885" s="2" t="inlineStr">
        <is>
          <t>2024 Collegiate Panini Prizm Draft Picks Singles Set Builder U Pick, UD 3/16/25</t>
        </is>
      </c>
    </row>
    <row r="886">
      <c r="A886" s="5" t="inlineStr">
        <is>
          <t>Refresh-0002-00034-25758</t>
        </is>
      </c>
      <c r="B886" s="5" t="inlineStr">
        <is>
          <t>2025-26 Topps ACE BAILEY #205 RC Jazz Rookie Basketball</t>
        </is>
      </c>
      <c r="C886" s="6" t="n">
        <v>1.99</v>
      </c>
      <c r="D886" s="6" t="n">
        <v>2.49</v>
      </c>
      <c r="E886" s="6" t="n">
        <v>0.5</v>
      </c>
      <c r="F886" s="7" t="n">
        <v>25.1</v>
      </c>
      <c r="G886" s="5" t="inlineStr">
        <is>
          <t>⬆ Price Up</t>
        </is>
      </c>
      <c r="H886" s="5" t="inlineStr">
        <is>
          <t>64%</t>
        </is>
      </c>
      <c r="I886" s="5">
        <f>HYPERLINK("https://www.ebay.com/sch/261328/i.html?_dcat=261328&amp;_fsrp=1&amp;rt=nc&amp;_from=R40&amp;_nkw=2025-26%20Topps%20ACE%20BAILEY%20%23205%20RC%20Jazz%20Rookie%20Basketball&amp;_sacat=0&amp;_sop=15&amp;rt=nc&amp;LH_BIN=1", "Active")</f>
        <v/>
      </c>
      <c r="J886" s="5">
        <f>HYPERLINK("https://www.ebay.com/sch/261328/i.html?_from=R40&amp;_nkw=2025-26%20Topps%20ACE%20BAILEY%20%23205%20RC%20Jazz%20Rookie%20Basketball&amp;_sacat=0&amp;LH_Sold=1&amp;LH_Complete=1&amp;_sop=13", "Completed")</f>
        <v/>
      </c>
      <c r="K886" s="5" t="inlineStr">
        <is>
          <t>(2 CARD MINIMUM) 2025-26 Topps Basketball Base/Vet/RC/Legends COMPLETE YOUR SET</t>
        </is>
      </c>
    </row>
    <row r="887">
      <c r="A887" s="5" t="inlineStr">
        <is>
          <t>Refresh-0002-00035-79814</t>
        </is>
      </c>
      <c r="B887" s="5" t="inlineStr">
        <is>
          <t>2024 Panini Prizm Draft PICKS COLLEGIATE REED SHEPPARD #2 Deep Space Silver RC</t>
        </is>
      </c>
      <c r="C887" s="6" t="n">
        <v>2.99</v>
      </c>
      <c r="D887" s="6" t="n">
        <v>3.89</v>
      </c>
      <c r="E887" s="6" t="n">
        <v>0.9</v>
      </c>
      <c r="F887" s="7" t="n">
        <v>30.1</v>
      </c>
      <c r="G887" s="5" t="inlineStr">
        <is>
          <t>⬆ Price Up</t>
        </is>
      </c>
      <c r="H887" s="5" t="inlineStr">
        <is>
          <t>100%</t>
        </is>
      </c>
      <c r="I887" s="5">
        <f>HYPERLINK("https://www.ebay.com/sch/261328/i.html?_dcat=261328&amp;_fsrp=1&amp;rt=nc&amp;_from=R40&amp;_nkw=2024%20Panini%20Prizm%20Draft%20PICKS%20COLLEGIATE%20REED%20SHEPPARD%20%232%20Deep%20Space%20Silver%20RC&amp;_sacat=0&amp;_sop=15&amp;rt=nc&amp;LH_BIN=1", "Active")</f>
        <v/>
      </c>
      <c r="J887" s="5">
        <f>HYPERLINK("https://www.ebay.com/sch/261328/i.html?_from=R40&amp;_nkw=2024%20Panini%20Prizm%20Draft%20PICKS%20COLLEGIATE%20REED%20SHEPPARD%20%232%20Deep%20Space%20Silver%20RC&amp;_sacat=0&amp;LH_Sold=1&amp;LH_Complete=1&amp;_sop=13", "Completed")</f>
        <v/>
      </c>
      <c r="K887" s="5" t="inlineStr">
        <is>
          <t>2024 Panini Prizm Draft PICKS COLLEGIATE REED SHEPPARD #2 Deep Space Silver RC</t>
        </is>
      </c>
    </row>
    <row r="888">
      <c r="A888" s="2" t="inlineStr">
        <is>
          <t>Refresh-0002-00039-31810</t>
        </is>
      </c>
      <c r="B888" s="2" t="inlineStr">
        <is>
          <t>2025-26 Topps DONOVAN MITCHELL #TC-DM 1980-81 Chrome Mojo Refractor Cavaliers</t>
        </is>
      </c>
      <c r="C888" s="3" t="n">
        <v>2.99</v>
      </c>
      <c r="D888" s="3" t="n">
        <v>2.49</v>
      </c>
      <c r="E888" s="3" t="n">
        <v>-0.5</v>
      </c>
      <c r="F888" s="4" t="n">
        <v>-16.7</v>
      </c>
      <c r="G888" s="2" t="inlineStr">
        <is>
          <t>🔵 Floored $2.49 — free ship or $0.99 ship?</t>
        </is>
      </c>
      <c r="H888" s="2" t="inlineStr">
        <is>
          <t>89%</t>
        </is>
      </c>
      <c r="I888" s="2">
        <f>HYPERLINK("https://www.ebay.com/sch/261328/i.html?_dcat=261328&amp;_fsrp=1&amp;rt=nc&amp;_from=R40&amp;_nkw=2025-26%20Topps%20DONOVAN%20MITCHELL%20%23TC-DM%201980-81%20Chrome%20Mojo%20Refractor%20Cavaliers&amp;_sacat=0&amp;_sop=15&amp;rt=nc&amp;LH_BIN=1", "Active")</f>
        <v/>
      </c>
      <c r="J888" s="2">
        <f>HYPERLINK("https://www.ebay.com/sch/261328/i.html?_from=R40&amp;_nkw=2025-26%20Topps%20DONOVAN%20MITCHELL%20%23TC-DM%201980-81%20Chrome%20Mojo%20Refractor%20Cavaliers&amp;_sacat=0&amp;LH_Sold=1&amp;LH_Complete=1&amp;_sop=13", "Completed")</f>
        <v/>
      </c>
      <c r="K888" s="2" t="inlineStr">
        <is>
          <t>2025-26 Topps Donovan Mitchell 1980-81 Chrome Mojo Refractor #TC-DM Cavaliers 🔥</t>
        </is>
      </c>
    </row>
    <row r="889">
      <c r="A889" s="2" t="inlineStr">
        <is>
          <t>Refresh-0002-00025-34034</t>
        </is>
      </c>
      <c r="B889" s="2" t="inlineStr">
        <is>
          <t>2023-24 Panini Donruss Optic ZION WILLIAMSON #35 Hyper Pink Prizm Pelicans</t>
        </is>
      </c>
      <c r="C889" s="3" t="n">
        <v>2.99</v>
      </c>
      <c r="D889" s="3" t="n">
        <v>2.49</v>
      </c>
      <c r="E889" s="3" t="n">
        <v>-0.5</v>
      </c>
      <c r="F889" s="4" t="n">
        <v>-16.7</v>
      </c>
      <c r="G889" s="2" t="inlineStr">
        <is>
          <t>🔵 Floored $2.49 — free ship or $0.99 ship?</t>
        </is>
      </c>
      <c r="H889" s="2" t="inlineStr">
        <is>
          <t>64%</t>
        </is>
      </c>
      <c r="I889" s="2">
        <f>HYPERLINK("https://www.ebay.com/sch/261328/i.html?_dcat=261328&amp;_fsrp=1&amp;rt=nc&amp;_from=R40&amp;_nkw=2023-24%20Panini%20Donruss%20Optic%20ZION%20WILLIAMSON%20%2335%20Hyper%20Pink%20Prizm%20Pelicans&amp;_sacat=0&amp;_sop=15&amp;rt=nc&amp;LH_BIN=1", "Active")</f>
        <v/>
      </c>
      <c r="J889" s="2">
        <f>HYPERLINK("https://www.ebay.com/sch/261328/i.html?_from=R40&amp;_nkw=2023-24%20Panini%20Donruss%20Optic%20ZION%20WILLIAMSON%20%2335%20Hyper%20Pink%20Prizm%20Pelicans&amp;_sacat=0&amp;LH_Sold=1&amp;LH_Complete=1&amp;_sop=13", "Completed")</f>
        <v/>
      </c>
      <c r="K889" s="2" t="inlineStr">
        <is>
          <t>2023-24 Donruss Optic PINK HYPER Prizm Your Choice $2 or 2 Card Minimum YOU PICK</t>
        </is>
      </c>
    </row>
    <row r="890">
      <c r="A890" s="2" t="inlineStr">
        <is>
          <t>Refresh-0002-00011-21871</t>
        </is>
      </c>
      <c r="B890" s="2" t="inlineStr">
        <is>
          <t>2025-26 Topps KON KNUEPPEL #204 RC Hornets Rookie Basketball</t>
        </is>
      </c>
      <c r="C890" s="3" t="n">
        <v>3.99</v>
      </c>
      <c r="D890" s="3" t="n">
        <v>2.49</v>
      </c>
      <c r="E890" s="3" t="n">
        <v>-1.5</v>
      </c>
      <c r="F890" s="4" t="n">
        <v>-37.6</v>
      </c>
      <c r="G890" s="2" t="inlineStr">
        <is>
          <t>🔵 Floored $2.49 — free ship or $0.99 ship?</t>
        </is>
      </c>
      <c r="H890" s="2" t="inlineStr">
        <is>
          <t>84%</t>
        </is>
      </c>
      <c r="I890" s="2">
        <f>HYPERLINK("https://www.ebay.com/sch/261328/i.html?_dcat=261328&amp;_fsrp=1&amp;rt=nc&amp;_from=R40&amp;_nkw=2025-26%20Topps%20KON%20KNUEPPEL%20%23204%20RC%20Hornets%20Rookie%20Basketball&amp;_sacat=0&amp;_sop=15&amp;rt=nc&amp;LH_BIN=1", "Active")</f>
        <v/>
      </c>
      <c r="J890" s="2">
        <f>HYPERLINK("https://www.ebay.com/sch/261328/i.html?_from=R40&amp;_nkw=2025-26%20Topps%20KON%20KNUEPPEL%20%23204%20RC%20Hornets%20Rookie%20Basketball&amp;_sacat=0&amp;LH_Sold=1&amp;LH_Complete=1&amp;_sop=13", "Completed")</f>
        <v/>
      </c>
      <c r="K890" s="2" t="inlineStr">
        <is>
          <t>2025 Topps KON KNUEPPEL #204 RC Charlotte Hornets NM</t>
        </is>
      </c>
    </row>
    <row r="891">
      <c r="A891" s="8" t="inlineStr">
        <is>
          <t>Refresh-0002-00018-36524</t>
        </is>
      </c>
      <c r="B891" s="8" t="inlineStr">
        <is>
          <t>2020-21 Panini Prizm CARMELO ANTHONY #154 Trail Blazers Basketball</t>
        </is>
      </c>
      <c r="C891" s="9" t="n">
        <v>2.49</v>
      </c>
      <c r="D891" s="9" t="n">
        <v>2.49</v>
      </c>
      <c r="E891" s="9" t="n">
        <v>0</v>
      </c>
      <c r="F891" s="10" t="n">
        <v>0</v>
      </c>
      <c r="G891" s="8" t="inlineStr">
        <is>
          <t>— No Change</t>
        </is>
      </c>
      <c r="H891" s="8" t="inlineStr">
        <is>
          <t>64%</t>
        </is>
      </c>
      <c r="I891" s="8">
        <f>HYPERLINK("https://www.ebay.com/sch/261328/i.html?_dcat=261328&amp;_fsrp=1&amp;rt=nc&amp;_from=R40&amp;_nkw=2020-21%20Panini%20Prizm%20CARMELO%20ANTHONY%20%23154%20Trail%20Blazers%20Basketball&amp;_sacat=0&amp;_sop=15&amp;rt=nc&amp;LH_BIN=1", "Active")</f>
        <v/>
      </c>
      <c r="J891" s="8">
        <f>HYPERLINK("https://www.ebay.com/sch/261328/i.html?_from=R40&amp;_nkw=2020-21%20Panini%20Prizm%20CARMELO%20ANTHONY%20%23154%20Trail%20Blazers%20Basketball&amp;_sacat=0&amp;LH_Sold=1&amp;LH_Complete=1&amp;_sop=13", "Completed")</f>
        <v/>
      </c>
      <c r="K891" s="8" t="inlineStr">
        <is>
          <t>2020-21 PANINI PRIZM Base #1-250 Complete Your Set $2 or 2 Card Minimum YOU PICK</t>
        </is>
      </c>
    </row>
    <row r="892">
      <c r="A892" s="2" t="inlineStr">
        <is>
          <t>Refresh-0002-00041-96935</t>
        </is>
      </c>
      <c r="B892" s="2" t="inlineStr">
        <is>
          <t>2024-25 Panini Donruss Optic ALEXANDRE SARR #9 My House Holo RC Wizards Rookie</t>
        </is>
      </c>
      <c r="C892" s="3" t="n">
        <v>2.99</v>
      </c>
      <c r="D892" s="3" t="n">
        <v>2.49</v>
      </c>
      <c r="E892" s="3" t="n">
        <v>-0.5</v>
      </c>
      <c r="F892" s="4" t="n">
        <v>-16.7</v>
      </c>
      <c r="G892" s="2" t="inlineStr">
        <is>
          <t>🔵 Floored $2.49 — free ship or $0.99 ship?</t>
        </is>
      </c>
      <c r="H892" s="2" t="inlineStr">
        <is>
          <t>88%</t>
        </is>
      </c>
      <c r="I892" s="2">
        <f>HYPERLINK("https://www.ebay.com/sch/261328/i.html?_dcat=261328&amp;_fsrp=1&amp;rt=nc&amp;_from=R40&amp;_nkw=2024-25%20Panini%20Donruss%20Optic%20ALEXANDRE%20SARR%20%239%20My%20House%20Holo%20RC%20Wizards%20Rookie&amp;_sacat=0&amp;_sop=15&amp;rt=nc&amp;LH_BIN=1", "Active")</f>
        <v/>
      </c>
      <c r="J892" s="2">
        <f>HYPERLINK("https://www.ebay.com/sch/261328/i.html?_from=R40&amp;_nkw=2024-25%20Panini%20Donruss%20Optic%20ALEXANDRE%20SARR%20%239%20My%20House%20Holo%20RC%20Wizards%20Rookie&amp;_sacat=0&amp;LH_Sold=1&amp;LH_Complete=1&amp;_sop=13", "Completed")</f>
        <v/>
      </c>
      <c r="K892" s="2" t="inlineStr">
        <is>
          <t>2024-25 Panini Donruss Optic Alexandre Sarr #9 My House Holo RC Wizards</t>
        </is>
      </c>
    </row>
    <row r="893">
      <c r="A893" s="2" t="inlineStr">
        <is>
          <t>Refresh-0002-00007-00636</t>
        </is>
      </c>
      <c r="B893" s="2" t="inlineStr">
        <is>
          <t>2025-26 Topps ACE BAILEY #NL-5 No Limit RC Jazz Rookie Basketball</t>
        </is>
      </c>
      <c r="C893" s="3" t="n">
        <v>5.49</v>
      </c>
      <c r="D893" s="3" t="n">
        <v>2.49</v>
      </c>
      <c r="E893" s="3" t="n">
        <v>-3</v>
      </c>
      <c r="F893" s="4" t="n">
        <v>-54.6</v>
      </c>
      <c r="G893" s="2" t="inlineStr">
        <is>
          <t>🔵 Floored $2.49 — free ship or $0.99 ship?</t>
        </is>
      </c>
      <c r="H893" s="2" t="inlineStr">
        <is>
          <t>85%</t>
        </is>
      </c>
      <c r="I893" s="2">
        <f>HYPERLINK("https://www.ebay.com/sch/261328/i.html?_dcat=261328&amp;_fsrp=1&amp;rt=nc&amp;_from=R40&amp;_nkw=2025-26%20Topps%20ACE%20BAILEY%20%23NL-5%20No%20Limit%20RC%20Jazz%20Rookie%20Basketball&amp;_sacat=0&amp;_sop=15&amp;rt=nc&amp;LH_BIN=1", "Active")</f>
        <v/>
      </c>
      <c r="J893" s="2">
        <f>HYPERLINK("https://www.ebay.com/sch/261328/i.html?_from=R40&amp;_nkw=2025-26%20Topps%20ACE%20BAILEY%20%23NL-5%20No%20Limit%20RC%20Jazz%20Rookie%20Basketball&amp;_sacat=0&amp;LH_Sold=1&amp;LH_Complete=1&amp;_sop=13", "Completed")</f>
        <v/>
      </c>
      <c r="K893" s="2" t="inlineStr">
        <is>
          <t>2025-26 Topps Ace Bailey #NL-5 No Limit SP RC Utah Jazz</t>
        </is>
      </c>
    </row>
    <row r="894">
      <c r="A894" s="5" t="inlineStr">
        <is>
          <t>Refresh-0002-00009-60951</t>
        </is>
      </c>
      <c r="B894" s="5" t="inlineStr">
        <is>
          <t>2025-26 Topps NOA ESSENGUE #TC-NE 1980-81 Chrome Mojo Refractor RC Bulls Rookie</t>
        </is>
      </c>
      <c r="C894" s="6" t="n">
        <v>2.49</v>
      </c>
      <c r="D894" s="6" t="n">
        <v>3.39</v>
      </c>
      <c r="E894" s="6" t="n">
        <v>0.9</v>
      </c>
      <c r="F894" s="7" t="n">
        <v>36.1</v>
      </c>
      <c r="G894" s="5" t="inlineStr">
        <is>
          <t>⬆ Price Up</t>
        </is>
      </c>
      <c r="H894" s="5" t="inlineStr">
        <is>
          <t>100%</t>
        </is>
      </c>
      <c r="I894" s="5">
        <f>HYPERLINK("https://www.ebay.com/sch/261328/i.html?_dcat=261328&amp;_fsrp=1&amp;rt=nc&amp;_from=R40&amp;_nkw=2025-26%20Topps%20NOA%20ESSENGUE%20%23TC-NE%201980-81%20Chrome%20Mojo%20Refractor%20RC%20Bulls%20Rookie&amp;_sacat=0&amp;_sop=15&amp;rt=nc&amp;LH_BIN=1", "Active")</f>
        <v/>
      </c>
      <c r="J894" s="5">
        <f>HYPERLINK("https://www.ebay.com/sch/261328/i.html?_from=R40&amp;_nkw=2025-26%20Topps%20NOA%20ESSENGUE%20%23TC-NE%201980-81%20Chrome%20Mojo%20Refractor%20RC%20Bulls%20Rookie&amp;_sacat=0&amp;LH_Sold=1&amp;LH_Complete=1&amp;_sop=13", "Completed")</f>
        <v/>
      </c>
      <c r="K894" s="5" t="inlineStr">
        <is>
          <t>2025-26 Topps NOA ESSENGUE #TC-NE 1980-81 Chrome Mojo Refractor RC Bulls Rookie</t>
        </is>
      </c>
    </row>
    <row r="895">
      <c r="A895" s="5" t="inlineStr">
        <is>
          <t>Refresh-0002-00027-14509</t>
        </is>
      </c>
      <c r="B895" s="5" t="inlineStr">
        <is>
          <t>2024 Panini Prizm Draft PICKS COLLEGIATE CAMERON BRINK #89b RC VAR Rookie</t>
        </is>
      </c>
      <c r="C895" s="6" t="n">
        <v>2.99</v>
      </c>
      <c r="D895" s="6" t="n">
        <v>3.89</v>
      </c>
      <c r="E895" s="6" t="n">
        <v>0.9</v>
      </c>
      <c r="F895" s="7" t="n">
        <v>30.1</v>
      </c>
      <c r="G895" s="5" t="inlineStr">
        <is>
          <t>⬆ Price Up</t>
        </is>
      </c>
      <c r="H895" s="5" t="inlineStr">
        <is>
          <t>100%</t>
        </is>
      </c>
      <c r="I895" s="5">
        <f>HYPERLINK("https://www.ebay.com/sch/261328/i.html?_dcat=261328&amp;_fsrp=1&amp;rt=nc&amp;_from=R40&amp;_nkw=2024%20Panini%20Prizm%20Draft%20PICKS%20COLLEGIATE%20CAMERON%20BRINK%20%2389b%20RC%20VAR%20Rookie&amp;_sacat=0&amp;_sop=15&amp;rt=nc&amp;LH_BIN=1", "Active")</f>
        <v/>
      </c>
      <c r="J895" s="5">
        <f>HYPERLINK("https://www.ebay.com/sch/261328/i.html?_from=R40&amp;_nkw=2024%20Panini%20Prizm%20Draft%20PICKS%20COLLEGIATE%20CAMERON%20BRINK%20%2389b%20RC%20VAR%20Rookie&amp;_sacat=0&amp;LH_Sold=1&amp;LH_Complete=1&amp;_sop=13", "Completed")</f>
        <v/>
      </c>
      <c r="K895" s="5" t="inlineStr">
        <is>
          <t>2024 Panini Prizm Draft PICKS COLLEGIATE CAMERON BRINK #89b RC VAR Rookie</t>
        </is>
      </c>
    </row>
    <row r="896">
      <c r="A896" s="5" t="inlineStr">
        <is>
          <t>Refresh-0002-00044-41719</t>
        </is>
      </c>
      <c r="B896" s="5" t="inlineStr">
        <is>
          <t>2014-15 Panini Select JOAKIM NOAH #33 Prizms Red 109/149 Bulls Basketball</t>
        </is>
      </c>
      <c r="C896" s="6" t="n">
        <v>7.19</v>
      </c>
      <c r="D896" s="6" t="n">
        <v>7.89</v>
      </c>
      <c r="E896" s="6" t="n">
        <v>0.7</v>
      </c>
      <c r="F896" s="7" t="n">
        <v>9.699999999999999</v>
      </c>
      <c r="G896" s="5" t="inlineStr">
        <is>
          <t>⬆ Price Up</t>
        </is>
      </c>
      <c r="H896" s="5" t="inlineStr">
        <is>
          <t>100%</t>
        </is>
      </c>
      <c r="I896" s="5">
        <f>HYPERLINK("https://www.ebay.com/sch/261328/i.html?_dcat=261328&amp;_fsrp=1&amp;rt=nc&amp;_from=R40&amp;_nkw=2014-15%20Panini%20Select%20JOAKIM%20NOAH%20%2333%20Prizms%20Red%20109%2F149%20Bulls%20Basketball&amp;_sacat=0&amp;_sop=15&amp;rt=nc&amp;LH_BIN=1", "Active")</f>
        <v/>
      </c>
      <c r="J896" s="5">
        <f>HYPERLINK("https://www.ebay.com/sch/261328/i.html?_from=R40&amp;_nkw=2014-15%20Panini%20Select%20JOAKIM%20NOAH%20%2333%20Prizms%20Red%20109%2F149%20Bulls%20Basketball&amp;_sacat=0&amp;LH_Sold=1&amp;LH_Complete=1&amp;_sop=13", "Completed")</f>
        <v/>
      </c>
      <c r="K896" s="5" t="inlineStr">
        <is>
          <t>2014-15 Panini Select JOAKIM NOAH #33 Prizms Red 109/149 Bulls Basketball</t>
        </is>
      </c>
    </row>
    <row r="897">
      <c r="A897" s="11" t="inlineStr">
        <is>
          <t>Refresh-0002-00028-01970</t>
        </is>
      </c>
      <c r="B897" s="11" t="inlineStr">
        <is>
          <t>2024 Panini Prizm Draft PICKS COLLEGIATE CAMERON BRINK #89 RC Cardinal Rookie</t>
        </is>
      </c>
      <c r="C897" s="12" t="n">
        <v>3.99</v>
      </c>
      <c r="D897" s="12" t="n">
        <v>3.29</v>
      </c>
      <c r="E897" s="12" t="n">
        <v>-0.7</v>
      </c>
      <c r="F897" s="13" t="n">
        <v>-17.5</v>
      </c>
      <c r="G897" s="11" t="inlineStr">
        <is>
          <t>⬇ Price Down</t>
        </is>
      </c>
      <c r="H897" s="11" t="inlineStr">
        <is>
          <t>88%</t>
        </is>
      </c>
      <c r="I897" s="11">
        <f>HYPERLINK("https://www.ebay.com/sch/261328/i.html?_dcat=261328&amp;_fsrp=1&amp;rt=nc&amp;_from=R40&amp;_nkw=2024%20Panini%20Prizm%20Draft%20PICKS%20COLLEGIATE%20CAMERON%20BRINK%20%2389%20RC%20Cardinal%20Rookie&amp;_sacat=0&amp;_sop=15&amp;rt=nc&amp;LH_BIN=1", "Active")</f>
        <v/>
      </c>
      <c r="J897" s="11">
        <f>HYPERLINK("https://www.ebay.com/sch/261328/i.html?_from=R40&amp;_nkw=2024%20Panini%20Prizm%20Draft%20PICKS%20COLLEGIATE%20CAMERON%20BRINK%20%2389%20RC%20Cardinal%20Rookie&amp;_sacat=0&amp;LH_Sold=1&amp;LH_Complete=1&amp;_sop=13", "Completed")</f>
        <v/>
      </c>
      <c r="K897" s="11" t="inlineStr">
        <is>
          <t>2024 Panini Prizm Draft Picks Collegiate Cameron Brink #89 RC Cardinal</t>
        </is>
      </c>
    </row>
    <row r="898">
      <c r="A898" s="2" t="inlineStr">
        <is>
          <t>Refresh-0002-00038-17093</t>
        </is>
      </c>
      <c r="B898" s="2" t="inlineStr">
        <is>
          <t>2025-26 Topps FRANZ WAGNER #TC-FW 1980-81 Chrome Mojo Refractor Magic Basketball</t>
        </is>
      </c>
      <c r="C898" s="3" t="n">
        <v>2.99</v>
      </c>
      <c r="D898" s="3" t="n">
        <v>2.49</v>
      </c>
      <c r="E898" s="3" t="n">
        <v>-0.5</v>
      </c>
      <c r="F898" s="4" t="n">
        <v>-16.7</v>
      </c>
      <c r="G898" s="2" t="inlineStr">
        <is>
          <t>🔵 Floored $2.49 — free ship or $0.99 ship?</t>
        </is>
      </c>
      <c r="H898" s="2" t="inlineStr">
        <is>
          <t>87%</t>
        </is>
      </c>
      <c r="I898" s="2">
        <f>HYPERLINK("https://www.ebay.com/sch/261328/i.html?_dcat=261328&amp;_fsrp=1&amp;rt=nc&amp;_from=R40&amp;_nkw=2025-26%20Topps%20FRANZ%20WAGNER%20%23TC-FW%201980-81%20Chrome%20Mojo%20Refractor%20Magic%20Basketball&amp;_sacat=0&amp;_sop=15&amp;rt=nc&amp;LH_BIN=1", "Active")</f>
        <v/>
      </c>
      <c r="J898" s="2">
        <f>HYPERLINK("https://www.ebay.com/sch/261328/i.html?_from=R40&amp;_nkw=2025-26%20Topps%20FRANZ%20WAGNER%20%23TC-FW%201980-81%20Chrome%20Mojo%20Refractor%20Magic%20Basketball&amp;_sacat=0&amp;LH_Sold=1&amp;LH_Complete=1&amp;_sop=13", "Completed")</f>
        <v/>
      </c>
      <c r="K898" s="2" t="inlineStr">
        <is>
          <t>2025-26 Topps Franz Wagner #TC-FW 1980-81 Chrome Mojo Refractor Magic!</t>
        </is>
      </c>
    </row>
    <row r="899">
      <c r="A899" s="2" t="inlineStr">
        <is>
          <t>Refresh-0002-00037-77919</t>
        </is>
      </c>
      <c r="B899" s="2" t="inlineStr">
        <is>
          <t>2024-25 Panini Donruss Optic ROBERT WILLIAMS III #139 Holo Prizm Trail Blazers</t>
        </is>
      </c>
      <c r="C899" s="3" t="n">
        <v>3.49</v>
      </c>
      <c r="D899" s="3" t="n">
        <v>2.49</v>
      </c>
      <c r="E899" s="3" t="n">
        <v>-1</v>
      </c>
      <c r="F899" s="4" t="n">
        <v>-28.7</v>
      </c>
      <c r="G899" s="2" t="inlineStr">
        <is>
          <t>🔵 Floored $2.49 — free ship or $0.99 ship?</t>
        </is>
      </c>
      <c r="H899" s="2" t="inlineStr">
        <is>
          <t>66%</t>
        </is>
      </c>
      <c r="I899" s="2">
        <f>HYPERLINK("https://www.ebay.com/sch/261328/i.html?_dcat=261328&amp;_fsrp=1&amp;rt=nc&amp;_from=R40&amp;_nkw=2024-25%20Panini%20Donruss%20Optic%20ROBERT%20WILLIAMS%20III%20%23139%20Holo%20Prizm%20Trail%20Blazers&amp;_sacat=0&amp;_sop=15&amp;rt=nc&amp;LH_BIN=1", "Active")</f>
        <v/>
      </c>
      <c r="J899" s="2">
        <f>HYPERLINK("https://www.ebay.com/sch/261328/i.html?_from=R40&amp;_nkw=2024-25%20Panini%20Donruss%20Optic%20ROBERT%20WILLIAMS%20III%20%23139%20Holo%20Prizm%20Trail%20Blazers&amp;_sacat=0&amp;LH_Sold=1&amp;LH_Complete=1&amp;_sop=13", "Completed")</f>
        <v/>
      </c>
      <c r="K899" s="2" t="inlineStr">
        <is>
          <t>2024-25  Donruss Optic Basketball Silver Holo #1-300 COMPLETE your set You Pick</t>
        </is>
      </c>
    </row>
    <row r="900">
      <c r="A900" s="2" t="inlineStr">
        <is>
          <t>Refresh-0002-00012-89406</t>
        </is>
      </c>
      <c r="B900" s="2" t="inlineStr">
        <is>
          <t>2024-25 Panini Donruss Optic JALEN BRUNSON #12 My House Knicks Basketball</t>
        </is>
      </c>
      <c r="C900" s="3" t="n">
        <v>3.99</v>
      </c>
      <c r="D900" s="3" t="n">
        <v>2.49</v>
      </c>
      <c r="E900" s="3" t="n">
        <v>-1.5</v>
      </c>
      <c r="F900" s="4" t="n">
        <v>-37.6</v>
      </c>
      <c r="G900" s="2" t="inlineStr">
        <is>
          <t>🔵 Floored $2.49 — free ship or $0.99 ship?</t>
        </is>
      </c>
      <c r="H900" s="2" t="inlineStr">
        <is>
          <t>85%</t>
        </is>
      </c>
      <c r="I900" s="2">
        <f>HYPERLINK("https://www.ebay.com/sch/261328/i.html?_dcat=261328&amp;_fsrp=1&amp;rt=nc&amp;_from=R40&amp;_nkw=2024-25%20Panini%20Donruss%20Optic%20JALEN%20BRUNSON%20%2312%20My%20House%20Knicks%20Basketball&amp;_sacat=0&amp;_sop=15&amp;rt=nc&amp;LH_BIN=1", "Active")</f>
        <v/>
      </c>
      <c r="J900" s="2">
        <f>HYPERLINK("https://www.ebay.com/sch/261328/i.html?_from=R40&amp;_nkw=2024-25%20Panini%20Donruss%20Optic%20JALEN%20BRUNSON%20%2312%20My%20House%20Knicks%20Basketball&amp;_sacat=0&amp;LH_Sold=1&amp;LH_Complete=1&amp;_sop=13", "Completed")</f>
        <v/>
      </c>
      <c r="K900" s="2" t="inlineStr">
        <is>
          <t>2024-25 Donruss Optic My House #12 Jalen Brunson New York Knicks</t>
        </is>
      </c>
    </row>
    <row r="901">
      <c r="A901" s="2" t="inlineStr">
        <is>
          <t>Refresh-0002-00019-10381</t>
        </is>
      </c>
      <c r="B901" s="2" t="inlineStr">
        <is>
          <t>2023-24 Panini PHOENIX GIANNIS ANTETOKOUNMPO #10 Paragon Bucks Basketball</t>
        </is>
      </c>
      <c r="C901" s="3" t="n">
        <v>3.49</v>
      </c>
      <c r="D901" s="3" t="n">
        <v>2.49</v>
      </c>
      <c r="E901" s="3" t="n">
        <v>-1</v>
      </c>
      <c r="F901" s="4" t="n">
        <v>-28.7</v>
      </c>
      <c r="G901" s="2" t="inlineStr">
        <is>
          <t>🔵 Floored $2.49 — free ship or $0.99 ship?</t>
        </is>
      </c>
      <c r="H901" s="2" t="inlineStr">
        <is>
          <t>78%</t>
        </is>
      </c>
      <c r="I901" s="2">
        <f>HYPERLINK("https://www.ebay.com/sch/261328/i.html?_dcat=261328&amp;_fsrp=1&amp;rt=nc&amp;_from=R40&amp;_nkw=2023-24%20Panini%20PHOENIX%20GIANNIS%20ANTETOKOUNMPO%20%2310%20Paragon%20Bucks%20Basketball&amp;_sacat=0&amp;_sop=15&amp;rt=nc&amp;LH_BIN=1", "Active")</f>
        <v/>
      </c>
      <c r="J901" s="2">
        <f>HYPERLINK("https://www.ebay.com/sch/261328/i.html?_from=R40&amp;_nkw=2023-24%20Panini%20PHOENIX%20GIANNIS%20ANTETOKOUNMPO%20%2310%20Paragon%20Bucks%20Basketball&amp;_sacat=0&amp;LH_Sold=1&amp;LH_Complete=1&amp;_sop=13", "Completed")</f>
        <v/>
      </c>
      <c r="K901" s="2" t="inlineStr">
        <is>
          <t>Giannis Antetokounmpo 2023-24 Panini Phoenix Paragon #10 Milwaukee Bucks</t>
        </is>
      </c>
    </row>
    <row r="902">
      <c r="A902" s="5" t="inlineStr">
        <is>
          <t>Refresh-0002-00029-19591</t>
        </is>
      </c>
      <c r="B902" s="5" t="inlineStr">
        <is>
          <t>2024 Panini Prizm Draft PICKS COLLEGIATE ZACCHARIE RISACHER #21 New Recruits RC</t>
        </is>
      </c>
      <c r="C902" s="6" t="n">
        <v>3.49</v>
      </c>
      <c r="D902" s="6" t="n">
        <v>4.39</v>
      </c>
      <c r="E902" s="6" t="n">
        <v>0.9</v>
      </c>
      <c r="F902" s="7" t="n">
        <v>25.8</v>
      </c>
      <c r="G902" s="5" t="inlineStr">
        <is>
          <t>⬆ Price Up</t>
        </is>
      </c>
      <c r="H902" s="5" t="inlineStr">
        <is>
          <t>100%</t>
        </is>
      </c>
      <c r="I902" s="5">
        <f>HYPERLINK("https://www.ebay.com/sch/261328/i.html?_dcat=261328&amp;_fsrp=1&amp;rt=nc&amp;_from=R40&amp;_nkw=2024%20Panini%20Prizm%20Draft%20PICKS%20COLLEGIATE%20ZACCHARIE%20RISACHER%20%2321%20New%20Recruits%20RC&amp;_sacat=0&amp;_sop=15&amp;rt=nc&amp;LH_BIN=1", "Active")</f>
        <v/>
      </c>
      <c r="J902" s="5">
        <f>HYPERLINK("https://www.ebay.com/sch/261328/i.html?_from=R40&amp;_nkw=2024%20Panini%20Prizm%20Draft%20PICKS%20COLLEGIATE%20ZACCHARIE%20RISACHER%20%2321%20New%20Recruits%20RC&amp;_sacat=0&amp;LH_Sold=1&amp;LH_Complete=1&amp;_sop=13", "Completed")</f>
        <v/>
      </c>
      <c r="K902" s="5" t="inlineStr">
        <is>
          <t>2024 Panini Prizm Draft PICKS COLLEGIATE ZACCHARIE RISACHER #21 New Recruits RC</t>
        </is>
      </c>
    </row>
    <row r="903">
      <c r="A903" s="8" t="inlineStr">
        <is>
          <t>Refresh-0002-00033-71270</t>
        </is>
      </c>
      <c r="B903" s="8" t="inlineStr">
        <is>
          <t>2022-23 Panini FLUX JAYLEN BROWN #62 Celtics Basketball</t>
        </is>
      </c>
      <c r="C903" s="9" t="n">
        <v>2.49</v>
      </c>
      <c r="D903" s="9" t="n">
        <v>2.49</v>
      </c>
      <c r="E903" s="9" t="n">
        <v>0</v>
      </c>
      <c r="F903" s="10" t="n">
        <v>0</v>
      </c>
      <c r="G903" s="8" t="inlineStr">
        <is>
          <t>— No Change</t>
        </is>
      </c>
      <c r="H903" s="8" t="inlineStr">
        <is>
          <t>85%</t>
        </is>
      </c>
      <c r="I903" s="8">
        <f>HYPERLINK("https://www.ebay.com/sch/261328/i.html?_dcat=261328&amp;_fsrp=1&amp;rt=nc&amp;_from=R40&amp;_nkw=2022-23%20Panini%20FLUX%20JAYLEN%20BROWN%20%2362%20Celtics%20Basketball&amp;_sacat=0&amp;_sop=15&amp;rt=nc&amp;LH_BIN=1", "Active")</f>
        <v/>
      </c>
      <c r="J903" s="8">
        <f>HYPERLINK("https://www.ebay.com/sch/261328/i.html?_from=R40&amp;_nkw=2022-23%20Panini%20FLUX%20JAYLEN%20BROWN%20%2362%20Celtics%20Basketball&amp;_sacat=0&amp;LH_Sold=1&amp;LH_Complete=1&amp;_sop=13", "Completed")</f>
        <v/>
      </c>
      <c r="K903" s="8" t="inlineStr">
        <is>
          <t>2022-23 Panini Flux ~ Jaylen Brown ~ Base ~ 62 ~ Celtics</t>
        </is>
      </c>
    </row>
    <row r="904">
      <c r="A904" s="11" t="inlineStr">
        <is>
          <t>Refresh-0002-00001-32193</t>
        </is>
      </c>
      <c r="B904" s="11" t="inlineStr">
        <is>
          <t>2019-20 Panini ILLUSIONS DEVIN BOOKER #16 Shining Stars Emerald Suns Basketball</t>
        </is>
      </c>
      <c r="C904" s="12" t="n">
        <v>4.49</v>
      </c>
      <c r="D904" s="12" t="n">
        <v>3.39</v>
      </c>
      <c r="E904" s="12" t="n">
        <v>-1.1</v>
      </c>
      <c r="F904" s="13" t="n">
        <v>-24.5</v>
      </c>
      <c r="G904" s="11" t="inlineStr">
        <is>
          <t>⬇ Price Down</t>
        </is>
      </c>
      <c r="H904" s="11" t="inlineStr">
        <is>
          <t>77%</t>
        </is>
      </c>
      <c r="I904" s="11">
        <f>HYPERLINK("https://www.ebay.com/sch/261328/i.html?_dcat=261328&amp;_fsrp=1&amp;rt=nc&amp;_from=R40&amp;_nkw=2019-20%20Panini%20ILLUSIONS%20DEVIN%20BOOKER%20%2316%20Shining%20Stars%20Emerald%20Suns%20Basketball&amp;_sacat=0&amp;_sop=15&amp;rt=nc&amp;LH_BIN=1", "Active")</f>
        <v/>
      </c>
      <c r="J904" s="11">
        <f>HYPERLINK("https://www.ebay.com/sch/261328/i.html?_from=R40&amp;_nkw=2019-20%20Panini%20ILLUSIONS%20DEVIN%20BOOKER%20%2316%20Shining%20Stars%20Emerald%20Suns%20Basketball&amp;_sacat=0&amp;LH_Sold=1&amp;LH_Complete=1&amp;_sop=13", "Completed")</f>
        <v/>
      </c>
      <c r="K904" s="11" t="inlineStr">
        <is>
          <t>Devin Booker 2019-20 Panini Illusions Shining Stars Emerald Green Suns #16 🔥</t>
        </is>
      </c>
    </row>
    <row r="905">
      <c r="A905" s="2" t="inlineStr">
        <is>
          <t>Refresh-0002-00004-29502</t>
        </is>
      </c>
      <c r="B905" s="2" t="inlineStr">
        <is>
          <t>2021-22 Panini Prizm JONATHAN KUMINGA #7 Instant Impact RC Warriors Rookie</t>
        </is>
      </c>
      <c r="C905" s="3" t="n">
        <v>2.99</v>
      </c>
      <c r="D905" s="3" t="n">
        <v>2.49</v>
      </c>
      <c r="E905" s="3" t="n">
        <v>-0.5</v>
      </c>
      <c r="F905" s="4" t="n">
        <v>-16.7</v>
      </c>
      <c r="G905" s="2" t="inlineStr">
        <is>
          <t>🔵 Floored $2.49 — free ship or $0.99 ship?</t>
        </is>
      </c>
      <c r="H905" s="2" t="inlineStr">
        <is>
          <t>85%</t>
        </is>
      </c>
      <c r="I905" s="2">
        <f>HYPERLINK("https://www.ebay.com/sch/261328/i.html?_dcat=261328&amp;_fsrp=1&amp;rt=nc&amp;_from=R40&amp;_nkw=2021-22%20Panini%20Prizm%20JONATHAN%20KUMINGA%20%237%20Instant%20Impact%20RC%20Warriors%20Rookie&amp;_sacat=0&amp;_sop=15&amp;rt=nc&amp;LH_BIN=1", "Active")</f>
        <v/>
      </c>
      <c r="J905" s="2">
        <f>HYPERLINK("https://www.ebay.com/sch/261328/i.html?_from=R40&amp;_nkw=2021-22%20Panini%20Prizm%20JONATHAN%20KUMINGA%20%237%20Instant%20Impact%20RC%20Warriors%20Rookie&amp;_sacat=0&amp;LH_Sold=1&amp;LH_Complete=1&amp;_sop=13", "Completed")</f>
        <v/>
      </c>
      <c r="K905" s="2" t="inlineStr">
        <is>
          <t>2021-22 PRIZM Basketball Jonathan Kuminga INSTANT IMPACT RC Rookie Warriors</t>
        </is>
      </c>
    </row>
    <row r="906">
      <c r="A906" s="2" t="inlineStr">
        <is>
          <t>Refresh-0002-00020-30791</t>
        </is>
      </c>
      <c r="B906" s="2" t="inlineStr">
        <is>
          <t>2021-22 Panini Prizm Draft PICKS STEPHEN CURRY #56 Basketball</t>
        </is>
      </c>
      <c r="C906" s="3" t="n">
        <v>2.99</v>
      </c>
      <c r="D906" s="3" t="n">
        <v>2.49</v>
      </c>
      <c r="E906" s="3" t="n">
        <v>-0.5</v>
      </c>
      <c r="F906" s="4" t="n">
        <v>-16.7</v>
      </c>
      <c r="G906" s="2" t="inlineStr">
        <is>
          <t>🔵 Floored $2.49 — free ship or $0.99 ship?</t>
        </is>
      </c>
      <c r="H906" s="2" t="inlineStr">
        <is>
          <t>82%</t>
        </is>
      </c>
      <c r="I906" s="2">
        <f>HYPERLINK("https://www.ebay.com/sch/261328/i.html?_dcat=261328&amp;_fsrp=1&amp;rt=nc&amp;_from=R40&amp;_nkw=2021-22%20Panini%20Prizm%20Draft%20PICKS%20STEPHEN%20CURRY%20%2356%20Basketball&amp;_sacat=0&amp;_sop=15&amp;rt=nc&amp;LH_BIN=1", "Active")</f>
        <v/>
      </c>
      <c r="J906" s="2">
        <f>HYPERLINK("https://www.ebay.com/sch/261328/i.html?_from=R40&amp;_nkw=2021-22%20Panini%20Prizm%20Draft%20PICKS%20STEPHEN%20CURRY%20%2356%20Basketball&amp;_sacat=0&amp;LH_Sold=1&amp;LH_Complete=1&amp;_sop=13", "Completed")</f>
        <v/>
      </c>
      <c r="K906" s="2" t="inlineStr">
        <is>
          <t>2021 panini prizm draft picks basketball complete your base set *PYC*</t>
        </is>
      </c>
    </row>
    <row r="907">
      <c r="A907" s="2" t="inlineStr">
        <is>
          <t>Refresh-0002-00040-84885</t>
        </is>
      </c>
      <c r="B907" s="2" t="inlineStr">
        <is>
          <t>2024-25 Panini Donruss Optic SHAI GILGEOUS-ALEXANDER #6 My House Thunder</t>
        </is>
      </c>
      <c r="C907" s="3" t="n">
        <v>3.49</v>
      </c>
      <c r="D907" s="3" t="n">
        <v>2.49</v>
      </c>
      <c r="E907" s="3" t="n">
        <v>-1</v>
      </c>
      <c r="F907" s="4" t="n">
        <v>-28.7</v>
      </c>
      <c r="G907" s="2" t="inlineStr">
        <is>
          <t>🔵 Floored $2.49 — free ship or $0.99 ship?</t>
        </is>
      </c>
      <c r="H907" s="2" t="inlineStr">
        <is>
          <t>86%</t>
        </is>
      </c>
      <c r="I907" s="2">
        <f>HYPERLINK("https://www.ebay.com/sch/261328/i.html?_dcat=261328&amp;_fsrp=1&amp;rt=nc&amp;_from=R40&amp;_nkw=2024-25%20Panini%20Donruss%20Optic%20SHAI%20GILGEOUS-ALEXANDER%20%236%20My%20House%20Thunder&amp;_sacat=0&amp;_sop=15&amp;rt=nc&amp;LH_BIN=1", "Active")</f>
        <v/>
      </c>
      <c r="J907" s="2">
        <f>HYPERLINK("https://www.ebay.com/sch/261328/i.html?_from=R40&amp;_nkw=2024-25%20Panini%20Donruss%20Optic%20SHAI%20GILGEOUS-ALEXANDER%20%236%20My%20House%20Thunder&amp;_sacat=0&amp;LH_Sold=1&amp;LH_Complete=1&amp;_sop=13", "Completed")</f>
        <v/>
      </c>
      <c r="K907" s="2" t="inlineStr">
        <is>
          <t>2024-25 Donruss Optic #6 Shai Gilgeous-Alexander Splash! Oklahoma City Thunder</t>
        </is>
      </c>
    </row>
    <row r="908">
      <c r="A908" s="5" t="inlineStr">
        <is>
          <t>Refresh-0002-00022-62633</t>
        </is>
      </c>
      <c r="B908" s="5" t="inlineStr">
        <is>
          <t>2025-26 Topps THOMAS SORBER #TC-TS 1980-81 Chrome Mojo Ref RC Thunder Rookie</t>
        </is>
      </c>
      <c r="C908" s="6" t="n">
        <v>2.49</v>
      </c>
      <c r="D908" s="6" t="n">
        <v>3.39</v>
      </c>
      <c r="E908" s="6" t="n">
        <v>0.9</v>
      </c>
      <c r="F908" s="7" t="n">
        <v>36.1</v>
      </c>
      <c r="G908" s="5" t="inlineStr">
        <is>
          <t>⬆ Price Up</t>
        </is>
      </c>
      <c r="H908" s="5" t="inlineStr">
        <is>
          <t>100%</t>
        </is>
      </c>
      <c r="I908" s="5">
        <f>HYPERLINK("https://www.ebay.com/sch/261328/i.html?_dcat=261328&amp;_fsrp=1&amp;rt=nc&amp;_from=R40&amp;_nkw=2025-26%20Topps%20THOMAS%20SORBER%20%23TC-TS%201980-81%20Chrome%20Mojo%20Ref%20RC%20Thunder%20Rookie&amp;_sacat=0&amp;_sop=15&amp;rt=nc&amp;LH_BIN=1", "Active")</f>
        <v/>
      </c>
      <c r="J908" s="5">
        <f>HYPERLINK("https://www.ebay.com/sch/261328/i.html?_from=R40&amp;_nkw=2025-26%20Topps%20THOMAS%20SORBER%20%23TC-TS%201980-81%20Chrome%20Mojo%20Ref%20RC%20Thunder%20Rookie&amp;_sacat=0&amp;LH_Sold=1&amp;LH_Complete=1&amp;_sop=13", "Completed")</f>
        <v/>
      </c>
      <c r="K908" s="5" t="inlineStr">
        <is>
          <t>2025-26 Topps THOMAS SORBER #TC-TS 1980-81 Chrome Mojo Ref RC Thunder Rookie</t>
        </is>
      </c>
    </row>
    <row r="909">
      <c r="A909" s="2" t="inlineStr">
        <is>
          <t>Refresh-0002-00006-58434</t>
        </is>
      </c>
      <c r="B909" s="2" t="inlineStr">
        <is>
          <t>2023-24 Panini Donruss Optic TYRESE HALIBURTON #27 Pacers Basketball</t>
        </is>
      </c>
      <c r="C909" s="3" t="n">
        <v>3.49</v>
      </c>
      <c r="D909" s="3" t="n">
        <v>2.49</v>
      </c>
      <c r="E909" s="3" t="n">
        <v>-1</v>
      </c>
      <c r="F909" s="4" t="n">
        <v>-28.7</v>
      </c>
      <c r="G909" s="2" t="inlineStr">
        <is>
          <t>🔵 Floored $2.49 — free ship or $0.99 ship?</t>
        </is>
      </c>
      <c r="H909" s="2" t="inlineStr">
        <is>
          <t>63%</t>
        </is>
      </c>
      <c r="I909" s="2">
        <f>HYPERLINK("https://www.ebay.com/sch/261328/i.html?_dcat=261328&amp;_fsrp=1&amp;rt=nc&amp;_from=R40&amp;_nkw=2023-24%20Panini%20Donruss%20Optic%20TYRESE%20HALIBURTON%20%2327%20Pacers%20Basketball&amp;_sacat=0&amp;_sop=15&amp;rt=nc&amp;LH_BIN=1", "Active")</f>
        <v/>
      </c>
      <c r="J909" s="2">
        <f>HYPERLINK("https://www.ebay.com/sch/261328/i.html?_from=R40&amp;_nkw=2023-24%20Panini%20Donruss%20Optic%20TYRESE%20HALIBURTON%20%2327%20Pacers%20Basketball&amp;_sacat=0&amp;LH_Sold=1&amp;LH_Complete=1&amp;_sop=13", "Completed")</f>
        <v/>
      </c>
      <c r="K909" s="2" t="inlineStr">
        <is>
          <t>2023-24 Donruss OPTIC #1-200 Complete Your Set $2 or 2 Card Minimum YOU PICK!</t>
        </is>
      </c>
    </row>
    <row r="910">
      <c r="A910" s="2" t="inlineStr">
        <is>
          <t>Refresh-0002-00031-63066</t>
        </is>
      </c>
      <c r="B910" s="2" t="inlineStr">
        <is>
          <t>2024 Panini Donruss Optic PACOME DADIET #264 Holo Prizm RC Rated Rookie</t>
        </is>
      </c>
      <c r="C910" s="3" t="n">
        <v>3.49</v>
      </c>
      <c r="D910" s="3" t="n">
        <v>2.49</v>
      </c>
      <c r="E910" s="3" t="n">
        <v>-1</v>
      </c>
      <c r="F910" s="4" t="n">
        <v>-28.7</v>
      </c>
      <c r="G910" s="2" t="inlineStr">
        <is>
          <t>🔵 Floored $2.49 — free ship or $0.99 ship?</t>
        </is>
      </c>
      <c r="H910" s="2" t="inlineStr">
        <is>
          <t>88%</t>
        </is>
      </c>
      <c r="I910" s="2">
        <f>HYPERLINK("https://www.ebay.com/sch/261328/i.html?_dcat=261328&amp;_fsrp=1&amp;rt=nc&amp;_from=R40&amp;_nkw=2024%20Panini%20Donruss%20Optic%20PACOME%20DADIET%20%23264%20Holo%20Prizm%20RC%20Rated%20Rookie&amp;_sacat=0&amp;_sop=15&amp;rt=nc&amp;LH_BIN=1", "Active")</f>
        <v/>
      </c>
      <c r="J910" s="2">
        <f>HYPERLINK("https://www.ebay.com/sch/261328/i.html?_from=R40&amp;_nkw=2024%20Panini%20Donruss%20Optic%20PACOME%20DADIET%20%23264%20Holo%20Prizm%20RC%20Rated%20Rookie&amp;_sacat=0&amp;LH_Sold=1&amp;LH_Complete=1&amp;_sop=13", "Completed")</f>
        <v/>
      </c>
      <c r="K910" s="2" t="inlineStr">
        <is>
          <t>2024-25 Panini Donruss Optic - Rated Rookie Pacome Dadiet #264 Holo Prizm (RC)</t>
        </is>
      </c>
    </row>
    <row r="911">
      <c r="A911" s="2" t="inlineStr">
        <is>
          <t>Refresh-0002-00021-44469</t>
        </is>
      </c>
      <c r="B911" s="2" t="inlineStr">
        <is>
          <t>2024-25 Panini Prizm DEVIN CARTER #231 Orange Ice RC Kings Rookie Basketball</t>
        </is>
      </c>
      <c r="C911" s="3" t="n">
        <v>2.99</v>
      </c>
      <c r="D911" s="3" t="n">
        <v>2.49</v>
      </c>
      <c r="E911" s="3" t="n">
        <v>-0.5</v>
      </c>
      <c r="F911" s="4" t="n">
        <v>-16.7</v>
      </c>
      <c r="G911" s="2" t="inlineStr">
        <is>
          <t>🔵 Floored $2.49 — free ship or $0.99 ship?</t>
        </is>
      </c>
      <c r="H911" s="2" t="inlineStr">
        <is>
          <t>85%</t>
        </is>
      </c>
      <c r="I911" s="2">
        <f>HYPERLINK("https://www.ebay.com/sch/261328/i.html?_dcat=261328&amp;_fsrp=1&amp;rt=nc&amp;_from=R40&amp;_nkw=2024-25%20Panini%20Prizm%20DEVIN%20CARTER%20%23231%20Orange%20Ice%20RC%20Kings%20Rookie%20Basketball&amp;_sacat=0&amp;_sop=15&amp;rt=nc&amp;LH_BIN=1", "Active")</f>
        <v/>
      </c>
      <c r="J911" s="2">
        <f>HYPERLINK("https://www.ebay.com/sch/261328/i.html?_from=R40&amp;_nkw=2024-25%20Panini%20Prizm%20DEVIN%20CARTER%20%23231%20Orange%20Ice%20RC%20Kings%20Rookie%20Basketball&amp;_sacat=0&amp;LH_Sold=1&amp;LH_Complete=1&amp;_sop=13", "Completed")</f>
        <v/>
      </c>
      <c r="K911" s="2" t="inlineStr">
        <is>
          <t>2024-25 Panini Prizm Devin Carter #231 (RC) Orange Ice Prizm Kings</t>
        </is>
      </c>
    </row>
    <row r="912">
      <c r="A912" s="2" t="inlineStr">
        <is>
          <t>Refresh-0002-00002-24910</t>
        </is>
      </c>
      <c r="B912" s="2" t="inlineStr">
        <is>
          <t>2024-25 Panini Prizm MONOPOLY VICTOR WEMBANYAMA #73 Spurs Basketball</t>
        </is>
      </c>
      <c r="C912" s="3" t="n">
        <v>3.49</v>
      </c>
      <c r="D912" s="3" t="n">
        <v>2.49</v>
      </c>
      <c r="E912" s="3" t="n">
        <v>-1</v>
      </c>
      <c r="F912" s="4" t="n">
        <v>-28.7</v>
      </c>
      <c r="G912" s="2" t="inlineStr">
        <is>
          <t>🔵 Floored $2.49 — free ship or $0.99 ship?</t>
        </is>
      </c>
      <c r="H912" s="2" t="inlineStr">
        <is>
          <t>83%</t>
        </is>
      </c>
      <c r="I912" s="2">
        <f>HYPERLINK("https://www.ebay.com/sch/261328/i.html?_dcat=261328&amp;_fsrp=1&amp;rt=nc&amp;_from=R40&amp;_nkw=2024-25%20Panini%20Prizm%20MONOPOLY%20VICTOR%20WEMBANYAMA%20%2373%20Spurs%20Basketball&amp;_sacat=0&amp;_sop=15&amp;rt=nc&amp;LH_BIN=1", "Active")</f>
        <v/>
      </c>
      <c r="J912" s="2">
        <f>HYPERLINK("https://www.ebay.com/sch/261328/i.html?_from=R40&amp;_nkw=2024-25%20Panini%20Prizm%20MONOPOLY%20VICTOR%20WEMBANYAMA%20%2373%20Spurs%20Basketball&amp;_sacat=0&amp;LH_Sold=1&amp;LH_Complete=1&amp;_sop=13", "Completed")</f>
        <v/>
      </c>
      <c r="K912" s="2" t="inlineStr">
        <is>
          <t>2024-25 NBA Panini Prizm Basketball Monopoly Select From List/You Pick Base/RCs+</t>
        </is>
      </c>
    </row>
    <row r="913">
      <c r="A913" s="2" t="inlineStr">
        <is>
          <t>Refresh-0002-00030-90861</t>
        </is>
      </c>
      <c r="B913" s="2" t="inlineStr">
        <is>
          <t>2024 Panini Prizm Draft PICKS COLLEGIATE STEPHEN CURRY #19 Fearless Basketball</t>
        </is>
      </c>
      <c r="C913" s="3" t="n">
        <v>3.49</v>
      </c>
      <c r="D913" s="3" t="n">
        <v>2.49</v>
      </c>
      <c r="E913" s="3" t="n">
        <v>-1</v>
      </c>
      <c r="F913" s="4" t="n">
        <v>-28.7</v>
      </c>
      <c r="G913" s="2" t="inlineStr">
        <is>
          <t>🔵 Floored $2.49 — free ship or $0.99 ship?</t>
        </is>
      </c>
      <c r="H913" s="2" t="inlineStr">
        <is>
          <t>87%</t>
        </is>
      </c>
      <c r="I913" s="2">
        <f>HYPERLINK("https://www.ebay.com/sch/261328/i.html?_dcat=261328&amp;_fsrp=1&amp;rt=nc&amp;_from=R40&amp;_nkw=2024%20Panini%20Prizm%20Draft%20PICKS%20COLLEGIATE%20STEPHEN%20CURRY%20%2319%20Fearless%20Basketball&amp;_sacat=0&amp;_sop=15&amp;rt=nc&amp;LH_BIN=1", "Active")</f>
        <v/>
      </c>
      <c r="J913" s="2">
        <f>HYPERLINK("https://www.ebay.com/sch/261328/i.html?_from=R40&amp;_nkw=2024%20Panini%20Prizm%20Draft%20PICKS%20COLLEGIATE%20STEPHEN%20CURRY%20%2319%20Fearless%20Basketball&amp;_sacat=0&amp;LH_Sold=1&amp;LH_Complete=1&amp;_sop=13", "Completed")</f>
        <v/>
      </c>
      <c r="K913" s="2" t="inlineStr">
        <is>
          <t>2024 Panini Prizm Draft Picks Collegiate Stephen Curry Fearless #19</t>
        </is>
      </c>
    </row>
    <row r="914">
      <c r="A914" s="2" t="inlineStr">
        <is>
          <t>Refresh-0002-00046-36964</t>
        </is>
      </c>
      <c r="B914" s="2" t="inlineStr">
        <is>
          <t>2022-23 Panini FLUX BAM ADEBAYO #7 D Lux Heat Basketball</t>
        </is>
      </c>
      <c r="C914" s="3" t="n">
        <v>3.99</v>
      </c>
      <c r="D914" s="3" t="n">
        <v>2.49</v>
      </c>
      <c r="E914" s="3" t="n">
        <v>-1.5</v>
      </c>
      <c r="F914" s="4" t="n">
        <v>-37.6</v>
      </c>
      <c r="G914" s="2" t="inlineStr">
        <is>
          <t>🔵 Floored $2.49 — free ship or $0.99 ship?</t>
        </is>
      </c>
      <c r="H914" s="2" t="inlineStr">
        <is>
          <t>85%</t>
        </is>
      </c>
      <c r="I914" s="2">
        <f>HYPERLINK("https://www.ebay.com/sch/261328/i.html?_dcat=261328&amp;_fsrp=1&amp;rt=nc&amp;_from=R40&amp;_nkw=2022-23%20Panini%20FLUX%20BAM%20ADEBAYO%20%237%20D%20Lux%20Heat%20Basketball&amp;_sacat=0&amp;_sop=15&amp;rt=nc&amp;LH_BIN=1", "Active")</f>
        <v/>
      </c>
      <c r="J914" s="2">
        <f>HYPERLINK("https://www.ebay.com/sch/261328/i.html?_from=R40&amp;_nkw=2022-23%20Panini%20FLUX%20BAM%20ADEBAYO%20%237%20D%20Lux%20Heat%20Basketball&amp;_sacat=0&amp;LH_Sold=1&amp;LH_Complete=1&amp;_sop=13", "Completed")</f>
        <v/>
      </c>
      <c r="K914" s="2" t="inlineStr">
        <is>
          <t>2022-23 Bam Adebayo Panini Flux DLUX Insert #7 Miami Heat</t>
        </is>
      </c>
    </row>
    <row r="915">
      <c r="A915" s="5" t="inlineStr">
        <is>
          <t>Refresh-0002-00013-91105</t>
        </is>
      </c>
      <c r="B915" s="5" t="inlineStr">
        <is>
          <t>2024 Panini Prizm Draft PICKS COLLEGIATE REED SHEPPARD #13 New Recruits RC</t>
        </is>
      </c>
      <c r="C915" s="6" t="n">
        <v>3.99</v>
      </c>
      <c r="D915" s="6" t="n">
        <v>4.79</v>
      </c>
      <c r="E915" s="6" t="n">
        <v>0.8</v>
      </c>
      <c r="F915" s="7" t="n">
        <v>20.1</v>
      </c>
      <c r="G915" s="5" t="inlineStr">
        <is>
          <t>⬆ Price Up</t>
        </is>
      </c>
      <c r="H915" s="5" t="inlineStr">
        <is>
          <t>100%</t>
        </is>
      </c>
      <c r="I915" s="5">
        <f>HYPERLINK("https://www.ebay.com/sch/261328/i.html?_dcat=261328&amp;_fsrp=1&amp;rt=nc&amp;_from=R40&amp;_nkw=2024%20Panini%20Prizm%20Draft%20PICKS%20COLLEGIATE%20REED%20SHEPPARD%20%2313%20New%20Recruits%20RC&amp;_sacat=0&amp;_sop=15&amp;rt=nc&amp;LH_BIN=1", "Active")</f>
        <v/>
      </c>
      <c r="J915" s="5">
        <f>HYPERLINK("https://www.ebay.com/sch/261328/i.html?_from=R40&amp;_nkw=2024%20Panini%20Prizm%20Draft%20PICKS%20COLLEGIATE%20REED%20SHEPPARD%20%2313%20New%20Recruits%20RC&amp;_sacat=0&amp;LH_Sold=1&amp;LH_Complete=1&amp;_sop=13", "Completed")</f>
        <v/>
      </c>
      <c r="K915" s="5" t="inlineStr">
        <is>
          <t>2024 Panini Prizm Draft PICKS COLLEGIATE REED SHEPPARD #13 New Recruits RC</t>
        </is>
      </c>
    </row>
    <row r="916">
      <c r="A916" s="11" t="inlineStr">
        <is>
          <t>Refresh-0002-00001-84687</t>
        </is>
      </c>
      <c r="B916" s="11" t="inlineStr">
        <is>
          <t>2025 Bowman Draft KONNOR GRIFFIN Chrome Refractor #BDC-102 Pirates</t>
        </is>
      </c>
      <c r="C916" s="12" t="n">
        <v>18</v>
      </c>
      <c r="D916" s="12" t="n">
        <v>6.59</v>
      </c>
      <c r="E916" s="12" t="n">
        <v>-11.41</v>
      </c>
      <c r="F916" s="13" t="n">
        <v>-63.4</v>
      </c>
      <c r="G916" s="11" t="inlineStr">
        <is>
          <t>⬇ Price Down</t>
        </is>
      </c>
      <c r="H916" s="11" t="inlineStr">
        <is>
          <t>89%</t>
        </is>
      </c>
      <c r="I916" s="11">
        <f>HYPERLINK("https://www.ebay.com/sch/261328/i.html?_dcat=261328&amp;_fsrp=1&amp;rt=nc&amp;_from=R40&amp;_nkw=2025%20Bowman%20Draft%20KONNOR%20GRIFFIN%20Chrome%20Refractor%20%23BDC-102%20Pirates&amp;_sacat=0&amp;_sop=15&amp;rt=nc&amp;LH_BIN=1", "Active")</f>
        <v/>
      </c>
      <c r="J916" s="11">
        <f>HYPERLINK("https://www.ebay.com/sch/261328/i.html?_from=R40&amp;_nkw=2025%20Bowman%20Draft%20KONNOR%20GRIFFIN%20Chrome%20Refractor%20%23BDC-102%20Pirates&amp;_sacat=0&amp;LH_Sold=1&amp;LH_Complete=1&amp;_sop=13", "Completed")</f>
        <v/>
      </c>
      <c r="K916" s="11" t="inlineStr">
        <is>
          <t>2025 Bowman Draft - Chrome Konnor Griffin #BDC-102 Refractor Pirates</t>
        </is>
      </c>
    </row>
    <row r="917">
      <c r="A917" s="5" t="inlineStr">
        <is>
          <t>Refresh-0002-00002-79555</t>
        </is>
      </c>
      <c r="B917" s="5" t="inlineStr">
        <is>
          <t>2025 Bowman Draft DANTE NORI #BDC-33 Chrome Blue Refractor 53/150 Phillies</t>
        </is>
      </c>
      <c r="C917" s="6" t="n">
        <v>21.49</v>
      </c>
      <c r="D917" s="6" t="n">
        <v>21.79</v>
      </c>
      <c r="E917" s="6" t="n">
        <v>0.3</v>
      </c>
      <c r="F917" s="7" t="n">
        <v>1.4</v>
      </c>
      <c r="G917" s="5" t="inlineStr">
        <is>
          <t>⬆ Price Up</t>
        </is>
      </c>
      <c r="H917" s="5" t="inlineStr">
        <is>
          <t>100%</t>
        </is>
      </c>
      <c r="I917" s="5">
        <f>HYPERLINK("https://www.ebay.com/sch/261328/i.html?_dcat=261328&amp;_fsrp=1&amp;rt=nc&amp;_from=R40&amp;_nkw=2025%20Bowman%20Draft%20DANTE%20NORI%20%23BDC-33%20Chrome%20Blue%20Refractor%2053%2F150%20Phillies&amp;_sacat=0&amp;_sop=15&amp;rt=nc&amp;LH_BIN=1", "Active")</f>
        <v/>
      </c>
      <c r="J917" s="5">
        <f>HYPERLINK("https://www.ebay.com/sch/261328/i.html?_from=R40&amp;_nkw=2025%20Bowman%20Draft%20DANTE%20NORI%20%23BDC-33%20Chrome%20Blue%20Refractor%2053%2F150%20Phillies&amp;_sacat=0&amp;LH_Sold=1&amp;LH_Complete=1&amp;_sop=13", "Completed")</f>
        <v/>
      </c>
      <c r="K917" s="5" t="inlineStr">
        <is>
          <t>2025 Bowman Draft DANTE NORI #BDC-33 Chrome Blue Refractor 53/150 Phillies</t>
        </is>
      </c>
    </row>
    <row r="918">
      <c r="A918" s="2" t="inlineStr">
        <is>
          <t>Refresh-0002-00013-19954</t>
        </is>
      </c>
      <c r="B918" s="2" t="inlineStr">
        <is>
          <t>2025 Bowman Draft TIM PIASENTIN #CPA-TP Chrome Auto 1st Prospect Blue Jays</t>
        </is>
      </c>
      <c r="C918" s="3" t="n">
        <v>21.49</v>
      </c>
      <c r="D918" s="3" t="n">
        <v>2.49</v>
      </c>
      <c r="E918" s="3" t="n">
        <v>-19</v>
      </c>
      <c r="F918" s="4" t="n">
        <v>-88.40000000000001</v>
      </c>
      <c r="G918" s="2" t="inlineStr">
        <is>
          <t>🔵 Floored $2.49 — free ship or $0.99 ship?</t>
        </is>
      </c>
      <c r="H918" s="2" t="inlineStr"/>
      <c r="I918" s="2">
        <f>HYPERLINK("https://www.ebay.com/sch/261328/i.html?_dcat=261328&amp;_fsrp=1&amp;rt=nc&amp;_from=R40&amp;_nkw=2025%20Bowman%20Draft%20TIM%20PIASENTIN%20%23CPA-TP%20Chrome%20Auto%201st%20Prospect%20Blue%20Jays&amp;_sacat=0&amp;_sop=15&amp;rt=nc&amp;LH_BIN=1", "Active")</f>
        <v/>
      </c>
      <c r="J918" s="2">
        <f>HYPERLINK("https://www.ebay.com/sch/261328/i.html?_from=R40&amp;_nkw=2025%20Bowman%20Draft%20TIM%20PIASENTIN%20%23CPA-TP%20Chrome%20Auto%201st%20Prospect%20Blue%20Jays&amp;_sacat=0&amp;LH_Sold=1&amp;LH_Complete=1&amp;_sop=13", "Completed")</f>
        <v/>
      </c>
      <c r="K918" s="2" t="inlineStr">
        <is>
          <t>No Close Result Found</t>
        </is>
      </c>
    </row>
    <row r="919">
      <c r="A919" s="2" t="inlineStr">
        <is>
          <t>Refresh-0002-00023-74402</t>
        </is>
      </c>
      <c r="B919" s="2" t="inlineStr">
        <is>
          <t>2025 Bowman's Best WALKER JANEK #B25-WJA Best of Auto Astros</t>
        </is>
      </c>
      <c r="C919" s="3" t="n">
        <v>9.19</v>
      </c>
      <c r="D919" s="3" t="n">
        <v>2.49</v>
      </c>
      <c r="E919" s="3" t="n">
        <v>-6.7</v>
      </c>
      <c r="F919" s="4" t="n">
        <v>-72.90000000000001</v>
      </c>
      <c r="G919" s="2" t="inlineStr">
        <is>
          <t>🔵 Floored $2.49 — free ship or $0.99 ship?</t>
        </is>
      </c>
      <c r="H919" s="2" t="inlineStr"/>
      <c r="I919" s="2">
        <f>HYPERLINK("https://www.ebay.com/sch/261328/i.html?_dcat=261328&amp;_fsrp=1&amp;rt=nc&amp;_from=R40&amp;_nkw=2025%20Bowman's%20Best%20WALKER%20JANEK%20%23B25-WJA%20Best%20of%20Auto%20Astros&amp;_sacat=0&amp;_sop=15&amp;rt=nc&amp;LH_BIN=1", "Active")</f>
        <v/>
      </c>
      <c r="J919" s="2">
        <f>HYPERLINK("https://www.ebay.com/sch/261328/i.html?_from=R40&amp;_nkw=2025%20Bowman's%20Best%20WALKER%20JANEK%20%23B25-WJA%20Best%20of%20Auto%20Astros&amp;_sacat=0&amp;LH_Sold=1&amp;LH_Complete=1&amp;_sop=13", "Completed")</f>
        <v/>
      </c>
      <c r="K919" s="2" t="inlineStr">
        <is>
          <t>No Close Result Found</t>
        </is>
      </c>
    </row>
    <row r="920">
      <c r="A920" s="5" t="inlineStr">
        <is>
          <t>Refresh-0002-00011-30105</t>
        </is>
      </c>
      <c r="B920" s="5" t="inlineStr">
        <is>
          <t>2025 Bowman's Best CORBIN CARROLL #8 Blue Refractor 67/150 Diamondbacks</t>
        </is>
      </c>
      <c r="C920" s="6" t="n">
        <v>7.19</v>
      </c>
      <c r="D920" s="6" t="n">
        <v>7.89</v>
      </c>
      <c r="E920" s="6" t="n">
        <v>0.7</v>
      </c>
      <c r="F920" s="7" t="n">
        <v>9.699999999999999</v>
      </c>
      <c r="G920" s="5" t="inlineStr">
        <is>
          <t>⬆ Price Up</t>
        </is>
      </c>
      <c r="H920" s="5" t="inlineStr">
        <is>
          <t>100%</t>
        </is>
      </c>
      <c r="I920" s="5">
        <f>HYPERLINK("https://www.ebay.com/sch/261328/i.html?_dcat=261328&amp;_fsrp=1&amp;rt=nc&amp;_from=R40&amp;_nkw=2025%20Bowman's%20Best%20CORBIN%20CARROLL%20%238%20Blue%20Refractor%2067%2F150%20Diamondbacks&amp;_sacat=0&amp;_sop=15&amp;rt=nc&amp;LH_BIN=1", "Active")</f>
        <v/>
      </c>
      <c r="J920" s="5">
        <f>HYPERLINK("https://www.ebay.com/sch/261328/i.html?_from=R40&amp;_nkw=2025%20Bowman's%20Best%20CORBIN%20CARROLL%20%238%20Blue%20Refractor%2067%2F150%20Diamondbacks&amp;_sacat=0&amp;LH_Sold=1&amp;LH_Complete=1&amp;_sop=13", "Completed")</f>
        <v/>
      </c>
      <c r="K920" s="5" t="inlineStr">
        <is>
          <t>2025 Bowman's Best CORBIN CARROLL #8 Blue Refractor 67/150 Diamondbacks</t>
        </is>
      </c>
    </row>
    <row r="921">
      <c r="A921" s="11" t="inlineStr">
        <is>
          <t>Refresh-0002-00018-84489</t>
        </is>
      </c>
      <c r="B921" s="11" t="inlineStr">
        <is>
          <t>2025 Bowman's Best BYRON BUXTON #48 Gold Lava Refractor /50 Twins</t>
        </is>
      </c>
      <c r="C921" s="12" t="n">
        <v>10.99</v>
      </c>
      <c r="D921" s="12" t="n">
        <v>8.59</v>
      </c>
      <c r="E921" s="12" t="n">
        <v>-2.4</v>
      </c>
      <c r="F921" s="13" t="n">
        <v>-21.8</v>
      </c>
      <c r="G921" s="11" t="inlineStr">
        <is>
          <t>⬇ Price Down</t>
        </is>
      </c>
      <c r="H921" s="11" t="inlineStr">
        <is>
          <t>100%</t>
        </is>
      </c>
      <c r="I921" s="11">
        <f>HYPERLINK("https://www.ebay.com/sch/261328/i.html?_dcat=261328&amp;_fsrp=1&amp;rt=nc&amp;_from=R40&amp;_nkw=2025%20Bowman's%20Best%20BYRON%20BUXTON%20%2348%20Gold%20Lava%20Refractor%20%2F50%20Twins&amp;_sacat=0&amp;_sop=15&amp;rt=nc&amp;LH_BIN=1", "Active")</f>
        <v/>
      </c>
      <c r="J921" s="11">
        <f>HYPERLINK("https://www.ebay.com/sch/261328/i.html?_from=R40&amp;_nkw=2025%20Bowman's%20Best%20BYRON%20BUXTON%20%2348%20Gold%20Lava%20Refractor%20%2F50%20Twins&amp;_sacat=0&amp;LH_Sold=1&amp;LH_Complete=1&amp;_sop=13", "Completed")</f>
        <v/>
      </c>
      <c r="K921" s="11" t="inlineStr">
        <is>
          <t>2025 Bowman's Best Byron Buxton #48 Gold Lava Refractor /50 Twins</t>
        </is>
      </c>
    </row>
    <row r="922">
      <c r="A922" s="5" t="inlineStr">
        <is>
          <t>Refresh-0002-00013-28586</t>
        </is>
      </c>
      <c r="B922" s="5" t="inlineStr">
        <is>
          <t>2025 Bowman Draft JARED THOMAS #BDC-147 Chrome Yellow Cracked Ice Refractor /75</t>
        </is>
      </c>
      <c r="C922" s="6" t="n">
        <v>11.09</v>
      </c>
      <c r="D922" s="6" t="n">
        <v>11.69</v>
      </c>
      <c r="E922" s="6" t="n">
        <v>0.6</v>
      </c>
      <c r="F922" s="7" t="n">
        <v>5.4</v>
      </c>
      <c r="G922" s="5" t="inlineStr">
        <is>
          <t>⬆ Price Up</t>
        </is>
      </c>
      <c r="H922" s="5" t="inlineStr">
        <is>
          <t>100%</t>
        </is>
      </c>
      <c r="I922" s="5">
        <f>HYPERLINK("https://www.ebay.com/sch/261328/i.html?_dcat=261328&amp;_fsrp=1&amp;rt=nc&amp;_from=R40&amp;_nkw=2025%20Bowman%20Draft%20JARED%20THOMAS%20%23BDC-147%20Chrome%20Yellow%20Cracked%20Ice%20Refractor%20%2F75&amp;_sacat=0&amp;_sop=15&amp;rt=nc&amp;LH_BIN=1", "Active")</f>
        <v/>
      </c>
      <c r="J922" s="5">
        <f>HYPERLINK("https://www.ebay.com/sch/261328/i.html?_from=R40&amp;_nkw=2025%20Bowman%20Draft%20JARED%20THOMAS%20%23BDC-147%20Chrome%20Yellow%20Cracked%20Ice%20Refractor%20%2F75&amp;_sacat=0&amp;LH_Sold=1&amp;LH_Complete=1&amp;_sop=13", "Completed")</f>
        <v/>
      </c>
      <c r="K922" s="5" t="inlineStr">
        <is>
          <t>2025 Bowman Draft JARED THOMAS #BDC-147 Chrome Yellow Cracked Ice Refractor /75</t>
        </is>
      </c>
    </row>
    <row r="923">
      <c r="A923" s="2" t="inlineStr">
        <is>
          <t>Refresh-0002-00009-30387</t>
        </is>
      </c>
      <c r="B923" s="2" t="inlineStr">
        <is>
          <t>2025 Bowman's Best MIKE TROUT #26 Refractor Angels</t>
        </is>
      </c>
      <c r="C923" s="3" t="n">
        <v>3.49</v>
      </c>
      <c r="D923" s="3" t="n">
        <v>2.49</v>
      </c>
      <c r="E923" s="3" t="n">
        <v>-1</v>
      </c>
      <c r="F923" s="4" t="n">
        <v>-28.7</v>
      </c>
      <c r="G923" s="2" t="inlineStr">
        <is>
          <t>🔵 Floored $2.49 — free ship or $0.99 ship?</t>
        </is>
      </c>
      <c r="H923" s="2" t="inlineStr">
        <is>
          <t>87%</t>
        </is>
      </c>
      <c r="I923" s="2">
        <f>HYPERLINK("https://www.ebay.com/sch/261328/i.html?_dcat=261328&amp;_fsrp=1&amp;rt=nc&amp;_from=R40&amp;_nkw=2025%20Bowman's%20Best%20MIKE%20TROUT%20%2326%20Refractor%20Angels&amp;_sacat=0&amp;_sop=15&amp;rt=nc&amp;LH_BIN=1", "Active")</f>
        <v/>
      </c>
      <c r="J923" s="2">
        <f>HYPERLINK("https://www.ebay.com/sch/261328/i.html?_from=R40&amp;_nkw=2025%20Bowman's%20Best%20MIKE%20TROUT%20%2326%20Refractor%20Angels&amp;_sacat=0&amp;LH_Sold=1&amp;LH_Complete=1&amp;_sop=13", "Completed")</f>
        <v/>
      </c>
      <c r="K923" s="2" t="inlineStr">
        <is>
          <t>2025 Bowman's Best - Mike Trout #26 - Refractor - LA Angels</t>
        </is>
      </c>
    </row>
    <row r="924">
      <c r="A924" s="2" t="inlineStr">
        <is>
          <t>Refresh-0002-00020-28338</t>
        </is>
      </c>
      <c r="B924" s="2" t="inlineStr">
        <is>
          <t>2025 Bowman's Best JARED THOMAS #B25-JTH Best of Auto Rockies</t>
        </is>
      </c>
      <c r="C924" s="3" t="n">
        <v>7.19</v>
      </c>
      <c r="D924" s="3" t="n">
        <v>2.49</v>
      </c>
      <c r="E924" s="3" t="n">
        <v>-4.7</v>
      </c>
      <c r="F924" s="4" t="n">
        <v>-65.40000000000001</v>
      </c>
      <c r="G924" s="2" t="inlineStr">
        <is>
          <t>🔵 Floored $2.49 — free ship or $0.99 ship?</t>
        </is>
      </c>
      <c r="H924" s="2" t="inlineStr"/>
      <c r="I924" s="2">
        <f>HYPERLINK("https://www.ebay.com/sch/261328/i.html?_dcat=261328&amp;_fsrp=1&amp;rt=nc&amp;_from=R40&amp;_nkw=2025%20Bowman's%20Best%20JARED%20THOMAS%20%23B25-JTH%20Best%20of%20Auto%20Rockies&amp;_sacat=0&amp;_sop=15&amp;rt=nc&amp;LH_BIN=1", "Active")</f>
        <v/>
      </c>
      <c r="J924" s="2">
        <f>HYPERLINK("https://www.ebay.com/sch/261328/i.html?_from=R40&amp;_nkw=2025%20Bowman's%20Best%20JARED%20THOMAS%20%23B25-JTH%20Best%20of%20Auto%20Rockies&amp;_sacat=0&amp;LH_Sold=1&amp;LH_Complete=1&amp;_sop=13", "Completed")</f>
        <v/>
      </c>
      <c r="K924" s="2" t="inlineStr">
        <is>
          <t>No Close Result Found</t>
        </is>
      </c>
    </row>
    <row r="925">
      <c r="A925" s="2" t="inlineStr">
        <is>
          <t>Refresh-0002-00001-65747</t>
        </is>
      </c>
      <c r="B925" s="2" t="inlineStr">
        <is>
          <t>2025 Bowman's Best ERIC BITONTI #B25-EBI Best of Auto Brewers</t>
        </is>
      </c>
      <c r="C925" s="3" t="n">
        <v>7.69</v>
      </c>
      <c r="D925" s="3" t="n">
        <v>2.49</v>
      </c>
      <c r="E925" s="3" t="n">
        <v>-5.2</v>
      </c>
      <c r="F925" s="4" t="n">
        <v>-67.59999999999999</v>
      </c>
      <c r="G925" s="2" t="inlineStr">
        <is>
          <t>🔵 Floored $2.49 — free ship or $0.99 ship?</t>
        </is>
      </c>
      <c r="H925" s="2" t="inlineStr"/>
      <c r="I925" s="2">
        <f>HYPERLINK("https://www.ebay.com/sch/261328/i.html?_dcat=261328&amp;_fsrp=1&amp;rt=nc&amp;_from=R40&amp;_nkw=2025%20Bowman's%20Best%20ERIC%20BITONTI%20%23B25-EBI%20Best%20of%20Auto%20Brewers&amp;_sacat=0&amp;_sop=15&amp;rt=nc&amp;LH_BIN=1", "Active")</f>
        <v/>
      </c>
      <c r="J925" s="2">
        <f>HYPERLINK("https://www.ebay.com/sch/261328/i.html?_from=R40&amp;_nkw=2025%20Bowman's%20Best%20ERIC%20BITONTI%20%23B25-EBI%20Best%20of%20Auto%20Brewers&amp;_sacat=0&amp;LH_Sold=1&amp;LH_Complete=1&amp;_sop=13", "Completed")</f>
        <v/>
      </c>
      <c r="K925" s="2" t="inlineStr">
        <is>
          <t>No Close Result Found</t>
        </is>
      </c>
    </row>
    <row r="926">
      <c r="A926" s="2" t="inlineStr">
        <is>
          <t>Refresh-0002-00003-08094</t>
        </is>
      </c>
      <c r="B926" s="2" t="inlineStr">
        <is>
          <t>2025 Bowman's Best JOSWA LUGO #B25-JLU Best of Auto Angels</t>
        </is>
      </c>
      <c r="C926" s="3" t="n">
        <v>5.99</v>
      </c>
      <c r="D926" s="3" t="n">
        <v>2.49</v>
      </c>
      <c r="E926" s="3" t="n">
        <v>-3.5</v>
      </c>
      <c r="F926" s="4" t="n">
        <v>-58.4</v>
      </c>
      <c r="G926" s="2" t="inlineStr">
        <is>
          <t>🔵 Floored $2.49 — free ship or $0.99 ship?</t>
        </is>
      </c>
      <c r="H926" s="2" t="inlineStr"/>
      <c r="I926" s="2">
        <f>HYPERLINK("https://www.ebay.com/sch/261328/i.html?_dcat=261328&amp;_fsrp=1&amp;rt=nc&amp;_from=R40&amp;_nkw=2025%20Bowman's%20Best%20JOSWA%20LUGO%20%23B25-JLU%20Best%20of%20Auto%20Angels&amp;_sacat=0&amp;_sop=15&amp;rt=nc&amp;LH_BIN=1", "Active")</f>
        <v/>
      </c>
      <c r="J926" s="2">
        <f>HYPERLINK("https://www.ebay.com/sch/261328/i.html?_from=R40&amp;_nkw=2025%20Bowman's%20Best%20JOSWA%20LUGO%20%23B25-JLU%20Best%20of%20Auto%20Angels&amp;_sacat=0&amp;LH_Sold=1&amp;LH_Complete=1&amp;_sop=13", "Completed")</f>
        <v/>
      </c>
      <c r="K926" s="2" t="inlineStr">
        <is>
          <t>No Close Result Found</t>
        </is>
      </c>
    </row>
    <row r="927">
      <c r="A927" s="11" t="inlineStr">
        <is>
          <t>RB_Batch-0005-00017-01745</t>
        </is>
      </c>
      <c r="B927" s="11" t="inlineStr">
        <is>
          <t>2025 Bowman's Best JESUS MADE #BP-20 Performance Brewers</t>
        </is>
      </c>
      <c r="C927" s="12" t="n">
        <v>4.99</v>
      </c>
      <c r="D927" s="12" t="n">
        <v>2.89</v>
      </c>
      <c r="E927" s="12" t="n">
        <v>-2.1</v>
      </c>
      <c r="F927" s="13" t="n">
        <v>-42.1</v>
      </c>
      <c r="G927" s="11" t="inlineStr">
        <is>
          <t>⬇ Price Down</t>
        </is>
      </c>
      <c r="H927" s="11" t="inlineStr">
        <is>
          <t>65%</t>
        </is>
      </c>
      <c r="I927" s="11">
        <f>HYPERLINK("https://www.ebay.com/sch/261328/i.html?_dcat=261328&amp;_fsrp=1&amp;rt=nc&amp;_from=R40&amp;_nkw=2025%20Bowman's%20Best%20JESUS%20MADE%20%23BP-20%20Performance%20Brewers&amp;_sacat=0&amp;_sop=15&amp;rt=nc&amp;LH_BIN=1", "Active")</f>
        <v/>
      </c>
      <c r="J927" s="11">
        <f>HYPERLINK("https://www.ebay.com/sch/261328/i.html?_from=R40&amp;_nkw=2025%20Bowman's%20Best%20JESUS%20MADE%20%23BP-20%20Performance%20Brewers&amp;_sacat=0&amp;LH_Sold=1&amp;LH_Complete=1&amp;_sop=13", "Completed")</f>
        <v/>
      </c>
      <c r="K927" s="11" t="inlineStr">
        <is>
          <t>2025 Bowman Best Performance insert refractor Singles - Free Shipping</t>
        </is>
      </c>
    </row>
    <row r="928">
      <c r="A928" s="11" t="inlineStr">
        <is>
          <t>RB_Batch-0005-00044-68067</t>
        </is>
      </c>
      <c r="B928" s="11" t="inlineStr">
        <is>
          <t>2026 Topps Heritage AARON JUDGE #RA-AJ Ready and Action Yankees</t>
        </is>
      </c>
      <c r="C928" s="12" t="n">
        <v>3.99</v>
      </c>
      <c r="D928" s="12" t="n">
        <v>2.69</v>
      </c>
      <c r="E928" s="12" t="n">
        <v>-1.3</v>
      </c>
      <c r="F928" s="13" t="n">
        <v>-32.6</v>
      </c>
      <c r="G928" s="11" t="inlineStr">
        <is>
          <t>⬇ Price Down</t>
        </is>
      </c>
      <c r="H928" s="11" t="inlineStr">
        <is>
          <t>87%</t>
        </is>
      </c>
      <c r="I928" s="11">
        <f>HYPERLINK("https://www.ebay.com/sch/261328/i.html?_dcat=261328&amp;_fsrp=1&amp;rt=nc&amp;_from=R40&amp;_nkw=2026%20Topps%20Heritage%20AARON%20JUDGE%20%23RA-AJ%20Ready%20and%20Action%20Yankees&amp;_sacat=0&amp;_sop=15&amp;rt=nc&amp;LH_BIN=1", "Active")</f>
        <v/>
      </c>
      <c r="J928" s="11">
        <f>HYPERLINK("https://www.ebay.com/sch/261328/i.html?_from=R40&amp;_nkw=2026%20Topps%20Heritage%20AARON%20JUDGE%20%23RA-AJ%20Ready%20and%20Action%20Yankees&amp;_sacat=0&amp;LH_Sold=1&amp;LH_Complete=1&amp;_sop=13", "Completed")</f>
        <v/>
      </c>
      <c r="K928" s="11" t="inlineStr">
        <is>
          <t>2026 Topps Heritage - Ready and Action Aaron Judge #RA-AJ New York Yankees</t>
        </is>
      </c>
    </row>
    <row r="929">
      <c r="A929" s="2" t="inlineStr">
        <is>
          <t>RB_Batch-0005-00001-41338</t>
        </is>
      </c>
      <c r="B929" s="2" t="inlineStr">
        <is>
          <t>2025 Bowman's Best CHASE DOLLANDER #30 Refractor RC Rockies Rookie</t>
        </is>
      </c>
      <c r="C929" s="3" t="n">
        <v>2.99</v>
      </c>
      <c r="D929" s="3" t="n">
        <v>2.49</v>
      </c>
      <c r="E929" s="3" t="n">
        <v>-0.5</v>
      </c>
      <c r="F929" s="4" t="n">
        <v>-16.7</v>
      </c>
      <c r="G929" s="2" t="inlineStr">
        <is>
          <t>🔵 Floored $2.49 — free ship or $0.99 ship?</t>
        </is>
      </c>
      <c r="H929" s="2" t="inlineStr">
        <is>
          <t>78%</t>
        </is>
      </c>
      <c r="I929" s="2">
        <f>HYPERLINK("https://www.ebay.com/sch/261328/i.html?_dcat=261328&amp;_fsrp=1&amp;rt=nc&amp;_from=R40&amp;_nkw=2025%20Bowman's%20Best%20CHASE%20DOLLANDER%20%2330%20Refractor%20RC%20Rockies%20Rookie&amp;_sacat=0&amp;_sop=15&amp;rt=nc&amp;LH_BIN=1", "Active")</f>
        <v/>
      </c>
      <c r="J929" s="2">
        <f>HYPERLINK("https://www.ebay.com/sch/261328/i.html?_from=R40&amp;_nkw=2025%20Bowman's%20Best%20CHASE%20DOLLANDER%20%2330%20Refractor%20RC%20Rockies%20Rookie&amp;_sacat=0&amp;LH_Sold=1&amp;LH_Complete=1&amp;_sop=13", "Completed")</f>
        <v/>
      </c>
      <c r="K929" s="2" t="inlineStr">
        <is>
          <t>Chase Dollander 2025 Bowman's Best Refractor #30 (RC) - Colorado Rockies</t>
        </is>
      </c>
    </row>
    <row r="930">
      <c r="A930" s="11" t="inlineStr">
        <is>
          <t>RB_Batch-0005-00055-79730</t>
        </is>
      </c>
      <c r="B930" s="11" t="inlineStr">
        <is>
          <t>2025 Bowman's Best CORBIN CARROLL #BP-3 Performance Mini Diamond Refractor</t>
        </is>
      </c>
      <c r="C930" s="12" t="n">
        <v>5.09</v>
      </c>
      <c r="D930" s="12" t="n">
        <v>4.69</v>
      </c>
      <c r="E930" s="12" t="n">
        <v>-0.4</v>
      </c>
      <c r="F930" s="13" t="n">
        <v>-7.9</v>
      </c>
      <c r="G930" s="11" t="inlineStr">
        <is>
          <t>⬇ Price Down</t>
        </is>
      </c>
      <c r="H930" s="11" t="inlineStr">
        <is>
          <t>83%</t>
        </is>
      </c>
      <c r="I930" s="11">
        <f>HYPERLINK("https://www.ebay.com/sch/261328/i.html?_dcat=261328&amp;_fsrp=1&amp;rt=nc&amp;_from=R40&amp;_nkw=2025%20Bowman's%20Best%20CORBIN%20CARROLL%20%23BP-3%20Performance%20Mini%20Diamond%20Refractor&amp;_sacat=0&amp;_sop=15&amp;rt=nc&amp;LH_BIN=1", "Active")</f>
        <v/>
      </c>
      <c r="J930" s="11">
        <f>HYPERLINK("https://www.ebay.com/sch/261328/i.html?_from=R40&amp;_nkw=2025%20Bowman's%20Best%20CORBIN%20CARROLL%20%23BP-3%20Performance%20Mini%20Diamond%20Refractor&amp;_sacat=0&amp;LH_Sold=1&amp;LH_Complete=1&amp;_sop=13", "Completed")</f>
        <v/>
      </c>
      <c r="K930" s="11" t="inlineStr">
        <is>
          <t>Corbin Carroll 2025 Bowman's Best Performance Mini Diamond Refractor #BP-3</t>
        </is>
      </c>
    </row>
    <row r="931">
      <c r="A931" s="5" t="inlineStr">
        <is>
          <t>RB_Batch-0005-00020-86355</t>
        </is>
      </c>
      <c r="B931" s="5" t="inlineStr">
        <is>
          <t>2025 Bowman's Best MARCELO MAYER #BS-3 Showpieces Mini Diamond Ref RC Rookie</t>
        </is>
      </c>
      <c r="C931" s="6" t="n">
        <v>14.99</v>
      </c>
      <c r="D931" s="6" t="n">
        <v>15.49</v>
      </c>
      <c r="E931" s="6" t="n">
        <v>0.5</v>
      </c>
      <c r="F931" s="7" t="n">
        <v>3.3</v>
      </c>
      <c r="G931" s="5" t="inlineStr">
        <is>
          <t>⬆ Price Up</t>
        </is>
      </c>
      <c r="H931" s="5" t="inlineStr">
        <is>
          <t>100%</t>
        </is>
      </c>
      <c r="I931" s="5">
        <f>HYPERLINK("https://www.ebay.com/sch/261328/i.html?_dcat=261328&amp;_fsrp=1&amp;rt=nc&amp;_from=R40&amp;_nkw=2025%20Bowman's%20Best%20MARCELO%20MAYER%20%23BS-3%20Showpieces%20Mini%20Diamond%20Ref%20RC%20Rookie&amp;_sacat=0&amp;_sop=15&amp;rt=nc&amp;LH_BIN=1", "Active")</f>
        <v/>
      </c>
      <c r="J931" s="5">
        <f>HYPERLINK("https://www.ebay.com/sch/261328/i.html?_from=R40&amp;_nkw=2025%20Bowman's%20Best%20MARCELO%20MAYER%20%23BS-3%20Showpieces%20Mini%20Diamond%20Ref%20RC%20Rookie&amp;_sacat=0&amp;LH_Sold=1&amp;LH_Complete=1&amp;_sop=13", "Completed")</f>
        <v/>
      </c>
      <c r="K931" s="5" t="inlineStr">
        <is>
          <t>2025 Bowman's Best MARCELO MAYER #BS-3 Showpieces Mini Diamond Ref RC Rookie</t>
        </is>
      </c>
    </row>
    <row r="932">
      <c r="A932" s="11" t="inlineStr">
        <is>
          <t>RB_Batch-0005-00016-45389</t>
        </is>
      </c>
      <c r="B932" s="11" t="inlineStr">
        <is>
          <t>2025 Bowman's Best JESUS MADE #TP-17 Top Prospects Refractor Brewers</t>
        </is>
      </c>
      <c r="C932" s="12" t="n">
        <v>4.99</v>
      </c>
      <c r="D932" s="12" t="n">
        <v>2.79</v>
      </c>
      <c r="E932" s="12" t="n">
        <v>-2.2</v>
      </c>
      <c r="F932" s="13" t="n">
        <v>-44.1</v>
      </c>
      <c r="G932" s="11" t="inlineStr">
        <is>
          <t>⬇ Price Down</t>
        </is>
      </c>
      <c r="H932" s="11" t="inlineStr">
        <is>
          <t>84%</t>
        </is>
      </c>
      <c r="I932" s="11">
        <f>HYPERLINK("https://www.ebay.com/sch/261328/i.html?_dcat=261328&amp;_fsrp=1&amp;rt=nc&amp;_from=R40&amp;_nkw=2025%20Bowman's%20Best%20JESUS%20MADE%20%23TP-17%20Top%20Prospects%20Refractor%20Brewers&amp;_sacat=0&amp;_sop=15&amp;rt=nc&amp;LH_BIN=1", "Active")</f>
        <v/>
      </c>
      <c r="J932" s="11">
        <f>HYPERLINK("https://www.ebay.com/sch/261328/i.html?_from=R40&amp;_nkw=2025%20Bowman's%20Best%20JESUS%20MADE%20%23TP-17%20Top%20Prospects%20Refractor%20Brewers&amp;_sacat=0&amp;LH_Sold=1&amp;LH_Complete=1&amp;_sop=13", "Completed")</f>
        <v/>
      </c>
      <c r="K932" s="11" t="inlineStr">
        <is>
          <t>2025 Bowman’s Best Jesus Made #TP-17 Base Milwaukee Brewers Top Prospect</t>
        </is>
      </c>
    </row>
    <row r="933">
      <c r="A933" s="2" t="inlineStr">
        <is>
          <t>RB_Batch-0005-00032-80043</t>
        </is>
      </c>
      <c r="B933" s="2" t="inlineStr">
        <is>
          <t>2025 Bowman's Best GEORGE LOMBARD JR. #FG-19 MLB All-Star Futures Game AL</t>
        </is>
      </c>
      <c r="C933" s="3" t="n">
        <v>3.99</v>
      </c>
      <c r="D933" s="3" t="n">
        <v>2.49</v>
      </c>
      <c r="E933" s="3" t="n">
        <v>-1.5</v>
      </c>
      <c r="F933" s="4" t="n">
        <v>-37.6</v>
      </c>
      <c r="G933" s="2" t="inlineStr">
        <is>
          <t>🔵 Floored $2.49 — free ship or $0.99 ship?</t>
        </is>
      </c>
      <c r="H933" s="2" t="inlineStr">
        <is>
          <t>89%</t>
        </is>
      </c>
      <c r="I933" s="2">
        <f>HYPERLINK("https://www.ebay.com/sch/261328/i.html?_dcat=261328&amp;_fsrp=1&amp;rt=nc&amp;_from=R40&amp;_nkw=2025%20Bowman's%20Best%20GEORGE%20LOMBARD%20JR.%20%23FG-19%20MLB%20All-Star%20Futures%20Game%20AL&amp;_sacat=0&amp;_sop=15&amp;rt=nc&amp;LH_BIN=1", "Active")</f>
        <v/>
      </c>
      <c r="J933" s="2">
        <f>HYPERLINK("https://www.ebay.com/sch/261328/i.html?_from=R40&amp;_nkw=2025%20Bowman's%20Best%20GEORGE%20LOMBARD%20JR.%20%23FG-19%20MLB%20All-Star%20Futures%20Game%20AL&amp;_sacat=0&amp;LH_Sold=1&amp;LH_Complete=1&amp;_sop=13", "Completed")</f>
        <v/>
      </c>
      <c r="K933" s="2" t="inlineStr">
        <is>
          <t>2025 Bowman's Best - George Lombard Jr. MLB All-Star Futures Game #FG-19 AL</t>
        </is>
      </c>
    </row>
    <row r="934">
      <c r="A934" s="11" t="inlineStr">
        <is>
          <t>RB_Batch-0005-00025-63899</t>
        </is>
      </c>
      <c r="B934" s="11" t="inlineStr">
        <is>
          <t>2025 Bowman's Best MIKE TROUT #BP-22 Performance Angels</t>
        </is>
      </c>
      <c r="C934" s="12" t="n">
        <v>4.49</v>
      </c>
      <c r="D934" s="12" t="n">
        <v>2.69</v>
      </c>
      <c r="E934" s="12" t="n">
        <v>-1.8</v>
      </c>
      <c r="F934" s="13" t="n">
        <v>-40.1</v>
      </c>
      <c r="G934" s="11" t="inlineStr">
        <is>
          <t>⬇ Price Down</t>
        </is>
      </c>
      <c r="H934" s="11" t="inlineStr">
        <is>
          <t>68%</t>
        </is>
      </c>
      <c r="I934" s="11">
        <f>HYPERLINK("https://www.ebay.com/sch/261328/i.html?_dcat=261328&amp;_fsrp=1&amp;rt=nc&amp;_from=R40&amp;_nkw=2025%20Bowman's%20Best%20MIKE%20TROUT%20%23BP-22%20Performance%20Angels&amp;_sacat=0&amp;_sop=15&amp;rt=nc&amp;LH_BIN=1", "Active")</f>
        <v/>
      </c>
      <c r="J934" s="11">
        <f>HYPERLINK("https://www.ebay.com/sch/261328/i.html?_from=R40&amp;_nkw=2025%20Bowman's%20Best%20MIKE%20TROUT%20%23BP-22%20Performance%20Angels&amp;_sacat=0&amp;LH_Sold=1&amp;LH_Complete=1&amp;_sop=13", "Completed")</f>
        <v/>
      </c>
      <c r="K934" s="11" t="inlineStr">
        <is>
          <t>2025 Bowman Best Performance insert refractor Singles - Free Shipping</t>
        </is>
      </c>
    </row>
    <row r="935">
      <c r="A935" s="5" t="inlineStr">
        <is>
          <t>RB_Batch-0005-00054-62366</t>
        </is>
      </c>
      <c r="B935" s="5" t="inlineStr">
        <is>
          <t>2025 Bowman's Best JJ WETHERHOLT #BS-11 Showpieces Cardinals Football</t>
        </is>
      </c>
      <c r="C935" s="6" t="n">
        <v>14.99</v>
      </c>
      <c r="D935" s="6" t="n">
        <v>15.49</v>
      </c>
      <c r="E935" s="6" t="n">
        <v>0.5</v>
      </c>
      <c r="F935" s="7" t="n">
        <v>3.3</v>
      </c>
      <c r="G935" s="5" t="inlineStr">
        <is>
          <t>⬆ Price Up</t>
        </is>
      </c>
      <c r="H935" s="5" t="inlineStr">
        <is>
          <t>100%</t>
        </is>
      </c>
      <c r="I935" s="5">
        <f>HYPERLINK("https://www.ebay.com/sch/261328/i.html?_dcat=261328&amp;_fsrp=1&amp;rt=nc&amp;_from=R40&amp;_nkw=2025%20Bowman's%20Best%20JJ%20WETHERHOLT%20%23BS-11%20Showpieces%20Cardinals%20Football&amp;_sacat=0&amp;_sop=15&amp;rt=nc&amp;LH_BIN=1", "Active")</f>
        <v/>
      </c>
      <c r="J935" s="5">
        <f>HYPERLINK("https://www.ebay.com/sch/261328/i.html?_from=R40&amp;_nkw=2025%20Bowman's%20Best%20JJ%20WETHERHOLT%20%23BS-11%20Showpieces%20Cardinals%20Football&amp;_sacat=0&amp;LH_Sold=1&amp;LH_Complete=1&amp;_sop=13", "Completed")</f>
        <v/>
      </c>
      <c r="K935" s="5" t="inlineStr">
        <is>
          <t>2025 Bowman's Best JJ WETHERHOLT #BS-11 Showpieces Cardinals Football</t>
        </is>
      </c>
    </row>
    <row r="936">
      <c r="A936" s="2" t="inlineStr">
        <is>
          <t>RB_Batch-0005-00028-70614</t>
        </is>
      </c>
      <c r="B936" s="2" t="inlineStr">
        <is>
          <t>2025 Bowman's Best AGUSTIN RAMIREZ #16 Refractor RC Marlins Rookie</t>
        </is>
      </c>
      <c r="C936" s="3" t="n">
        <v>2.99</v>
      </c>
      <c r="D936" s="3" t="n">
        <v>2.49</v>
      </c>
      <c r="E936" s="3" t="n">
        <v>-0.5</v>
      </c>
      <c r="F936" s="4" t="n">
        <v>-16.7</v>
      </c>
      <c r="G936" s="2" t="inlineStr">
        <is>
          <t>🔵 Floored $2.49 — free ship or $0.99 ship?</t>
        </is>
      </c>
      <c r="H936" s="2" t="inlineStr">
        <is>
          <t>71%</t>
        </is>
      </c>
      <c r="I936" s="2">
        <f>HYPERLINK("https://www.ebay.com/sch/261328/i.html?_dcat=261328&amp;_fsrp=1&amp;rt=nc&amp;_from=R40&amp;_nkw=2025%20Bowman's%20Best%20AGUSTIN%20RAMIREZ%20%2316%20Refractor%20RC%20Marlins%20Rookie&amp;_sacat=0&amp;_sop=15&amp;rt=nc&amp;LH_BIN=1", "Active")</f>
        <v/>
      </c>
      <c r="J936" s="2">
        <f>HYPERLINK("https://www.ebay.com/sch/261328/i.html?_from=R40&amp;_nkw=2025%20Bowman's%20Best%20AGUSTIN%20RAMIREZ%20%2316%20Refractor%20RC%20Marlins%20Rookie&amp;_sacat=0&amp;LH_Sold=1&amp;LH_Complete=1&amp;_sop=13", "Completed")</f>
        <v/>
      </c>
      <c r="K936" s="2" t="inlineStr">
        <is>
          <t>Agustin Ramirez Chrome Refractor Rookie RC 2025 Bowman's Best Card #16 Marlins</t>
        </is>
      </c>
    </row>
    <row r="937">
      <c r="A937" s="5" t="inlineStr">
        <is>
          <t>RB_Batch-0005-00045-98597</t>
        </is>
      </c>
      <c r="B937" s="5" t="inlineStr">
        <is>
          <t>2026 Topps BRYCE MILLER #331 Yellow Holo Foil 123/399 Mariners</t>
        </is>
      </c>
      <c r="C937" s="6" t="n">
        <v>3.99</v>
      </c>
      <c r="D937" s="6" t="n">
        <v>4.79</v>
      </c>
      <c r="E937" s="6" t="n">
        <v>0.8</v>
      </c>
      <c r="F937" s="7" t="n">
        <v>20.1</v>
      </c>
      <c r="G937" s="5" t="inlineStr">
        <is>
          <t>⬆ Price Up</t>
        </is>
      </c>
      <c r="H937" s="5" t="inlineStr">
        <is>
          <t>100%</t>
        </is>
      </c>
      <c r="I937" s="5">
        <f>HYPERLINK("https://www.ebay.com/sch/261328/i.html?_dcat=261328&amp;_fsrp=1&amp;rt=nc&amp;_from=R40&amp;_nkw=2026%20Topps%20BRYCE%20MILLER%20%23331%20Yellow%20Holo%20Foil%20123%2F399%20Mariners&amp;_sacat=0&amp;_sop=15&amp;rt=nc&amp;LH_BIN=1", "Active")</f>
        <v/>
      </c>
      <c r="J937" s="5">
        <f>HYPERLINK("https://www.ebay.com/sch/261328/i.html?_from=R40&amp;_nkw=2026%20Topps%20BRYCE%20MILLER%20%23331%20Yellow%20Holo%20Foil%20123%2F399%20Mariners&amp;_sacat=0&amp;LH_Sold=1&amp;LH_Complete=1&amp;_sop=13", "Completed")</f>
        <v/>
      </c>
      <c r="K937" s="5" t="inlineStr">
        <is>
          <t>2026 Topps BRYCE MILLER #331 Yellow Holo Foil 123/399 Mariners</t>
        </is>
      </c>
    </row>
    <row r="938">
      <c r="A938" s="5" t="inlineStr">
        <is>
          <t>RB_Batch-0005-00013-61337</t>
        </is>
      </c>
      <c r="B938" s="5" t="inlineStr">
        <is>
          <t>2025 Bowman's Best JJ WETHERHOLT #TP-14 Top Prospects Ref Cardinals Football</t>
        </is>
      </c>
      <c r="C938" s="6" t="n">
        <v>7.99</v>
      </c>
      <c r="D938" s="6" t="n">
        <v>8.69</v>
      </c>
      <c r="E938" s="6" t="n">
        <v>0.7</v>
      </c>
      <c r="F938" s="7" t="n">
        <v>8.800000000000001</v>
      </c>
      <c r="G938" s="5" t="inlineStr">
        <is>
          <t>⬆ Price Up</t>
        </is>
      </c>
      <c r="H938" s="5" t="inlineStr">
        <is>
          <t>100%</t>
        </is>
      </c>
      <c r="I938" s="5">
        <f>HYPERLINK("https://www.ebay.com/sch/261328/i.html?_dcat=261328&amp;_fsrp=1&amp;rt=nc&amp;_from=R40&amp;_nkw=2025%20Bowman's%20Best%20JJ%20WETHERHOLT%20%23TP-14%20Top%20Prospects%20Ref%20Cardinals%20Football&amp;_sacat=0&amp;_sop=15&amp;rt=nc&amp;LH_BIN=1", "Active")</f>
        <v/>
      </c>
      <c r="J938" s="5">
        <f>HYPERLINK("https://www.ebay.com/sch/261328/i.html?_from=R40&amp;_nkw=2025%20Bowman's%20Best%20JJ%20WETHERHOLT%20%23TP-14%20Top%20Prospects%20Ref%20Cardinals%20Football&amp;_sacat=0&amp;LH_Sold=1&amp;LH_Complete=1&amp;_sop=13", "Completed")</f>
        <v/>
      </c>
      <c r="K938" s="5" t="inlineStr">
        <is>
          <t>2025 Bowman's Best JJ WETHERHOLT #TP-14 Top Prospects Ref Cardinals Football</t>
        </is>
      </c>
    </row>
    <row r="939">
      <c r="A939" s="2" t="inlineStr">
        <is>
          <t>RB_Batch-0005-00003-57150</t>
        </is>
      </c>
      <c r="B939" s="2" t="inlineStr">
        <is>
          <t>2025 Bowman's Best MARCELO MAYER #5 Refractor RC Red Sox Rookie</t>
        </is>
      </c>
      <c r="C939" s="3" t="n">
        <v>3.49</v>
      </c>
      <c r="D939" s="3" t="n">
        <v>2.49</v>
      </c>
      <c r="E939" s="3" t="n">
        <v>-1</v>
      </c>
      <c r="F939" s="4" t="n">
        <v>-28.7</v>
      </c>
      <c r="G939" s="2" t="inlineStr">
        <is>
          <t>🔵 Floored $2.49 — free ship or $0.99 ship?</t>
        </is>
      </c>
      <c r="H939" s="2" t="inlineStr">
        <is>
          <t>80%</t>
        </is>
      </c>
      <c r="I939" s="2">
        <f>HYPERLINK("https://www.ebay.com/sch/261328/i.html?_dcat=261328&amp;_fsrp=1&amp;rt=nc&amp;_from=R40&amp;_nkw=2025%20Bowman's%20Best%20MARCELO%20MAYER%20%235%20Refractor%20RC%20Red%20Sox%20Rookie&amp;_sacat=0&amp;_sop=15&amp;rt=nc&amp;LH_BIN=1", "Active")</f>
        <v/>
      </c>
      <c r="J939" s="2">
        <f>HYPERLINK("https://www.ebay.com/sch/261328/i.html?_from=R40&amp;_nkw=2025%20Bowman's%20Best%20MARCELO%20MAYER%20%235%20Refractor%20RC%20Red%20Sox%20Rookie&amp;_sacat=0&amp;LH_Sold=1&amp;LH_Complete=1&amp;_sop=13", "Completed")</f>
        <v/>
      </c>
      <c r="K939" s="2" t="inlineStr">
        <is>
          <t>Marcelo Mayer 2025 Bowman's Best #5 Refractor RC Rookie Boston Red Sox</t>
        </is>
      </c>
    </row>
    <row r="940">
      <c r="A940" s="11" t="inlineStr">
        <is>
          <t>RB_Batch-0005-00039-94644</t>
        </is>
      </c>
      <c r="B940" s="11" t="inlineStr">
        <is>
          <t>2025 Bowman's Best JR RITCHIE #FG-9 MLB All-Star Futures Game NL</t>
        </is>
      </c>
      <c r="C940" s="12" t="n">
        <v>3.99</v>
      </c>
      <c r="D940" s="12" t="n">
        <v>2.89</v>
      </c>
      <c r="E940" s="12" t="n">
        <v>-1.1</v>
      </c>
      <c r="F940" s="13" t="n">
        <v>-27.6</v>
      </c>
      <c r="G940" s="11" t="inlineStr">
        <is>
          <t>⬇ Price Down</t>
        </is>
      </c>
      <c r="H940" s="11" t="inlineStr">
        <is>
          <t>100%</t>
        </is>
      </c>
      <c r="I940" s="11">
        <f>HYPERLINK("https://www.ebay.com/sch/261328/i.html?_dcat=261328&amp;_fsrp=1&amp;rt=nc&amp;_from=R40&amp;_nkw=2025%20Bowman's%20Best%20JR%20RITCHIE%20%23FG-9%20MLB%20All-Star%20Futures%20Game%20NL&amp;_sacat=0&amp;_sop=15&amp;rt=nc&amp;LH_BIN=1", "Active")</f>
        <v/>
      </c>
      <c r="J940" s="11">
        <f>HYPERLINK("https://www.ebay.com/sch/261328/i.html?_from=R40&amp;_nkw=2025%20Bowman's%20Best%20JR%20RITCHIE%20%23FG-9%20MLB%20All-Star%20Futures%20Game%20NL&amp;_sacat=0&amp;LH_Sold=1&amp;LH_Complete=1&amp;_sop=13", "Completed")</f>
        <v/>
      </c>
      <c r="K940" s="11" t="inlineStr">
        <is>
          <t>2025 Bowman's Best JR Ritchie #FG-9 MLB All-Star Futures Game NL</t>
        </is>
      </c>
    </row>
    <row r="941">
      <c r="A941" s="2" t="inlineStr">
        <is>
          <t>RB_Batch-0005-00026-98814</t>
        </is>
      </c>
      <c r="B941" s="2" t="inlineStr">
        <is>
          <t>2025 Bowman's Best MATT OLSON #20 Refractor Braves</t>
        </is>
      </c>
      <c r="C941" s="3" t="n">
        <v>2.99</v>
      </c>
      <c r="D941" s="3" t="n">
        <v>2.49</v>
      </c>
      <c r="E941" s="3" t="n">
        <v>-0.5</v>
      </c>
      <c r="F941" s="4" t="n">
        <v>-16.7</v>
      </c>
      <c r="G941" s="2" t="inlineStr">
        <is>
          <t>🔵 Floored $2.49 — free ship or $0.99 ship?</t>
        </is>
      </c>
      <c r="H941" s="2" t="inlineStr">
        <is>
          <t>100%</t>
        </is>
      </c>
      <c r="I941" s="2">
        <f>HYPERLINK("https://www.ebay.com/sch/261328/i.html?_dcat=261328&amp;_fsrp=1&amp;rt=nc&amp;_from=R40&amp;_nkw=2025%20Bowman's%20Best%20MATT%20OLSON%20%2320%20Refractor%20Braves&amp;_sacat=0&amp;_sop=15&amp;rt=nc&amp;LH_BIN=1", "Active")</f>
        <v/>
      </c>
      <c r="J941" s="2">
        <f>HYPERLINK("https://www.ebay.com/sch/261328/i.html?_from=R40&amp;_nkw=2025%20Bowman's%20Best%20MATT%20OLSON%20%2320%20Refractor%20Braves&amp;_sacat=0&amp;LH_Sold=1&amp;LH_Complete=1&amp;_sop=13", "Completed")</f>
        <v/>
      </c>
      <c r="K941" s="2" t="inlineStr">
        <is>
          <t>2025 Bowman's Best Matt Olson #20 Refractor Braves</t>
        </is>
      </c>
    </row>
    <row r="942">
      <c r="A942" s="2" t="inlineStr">
        <is>
          <t>RB_Batch-0005-00029-78872</t>
        </is>
      </c>
      <c r="B942" s="2" t="inlineStr">
        <is>
          <t>2026 Topps KRIS BUBIC #58 Rainbow Foil Royals</t>
        </is>
      </c>
      <c r="C942" s="3" t="n">
        <v>3.49</v>
      </c>
      <c r="D942" s="3" t="n">
        <v>2.49</v>
      </c>
      <c r="E942" s="3" t="n">
        <v>-1</v>
      </c>
      <c r="F942" s="4" t="n">
        <v>-28.7</v>
      </c>
      <c r="G942" s="2" t="inlineStr">
        <is>
          <t>🔵 Floored $2.49 — free ship or $0.99 ship?</t>
        </is>
      </c>
      <c r="H942" s="2" t="inlineStr">
        <is>
          <t>64%</t>
        </is>
      </c>
      <c r="I942" s="2">
        <f>HYPERLINK("https://www.ebay.com/sch/261328/i.html?_dcat=261328&amp;_fsrp=1&amp;rt=nc&amp;_from=R40&amp;_nkw=2026%20Topps%20KRIS%20BUBIC%20%2358%20Rainbow%20Foil%20Royals&amp;_sacat=0&amp;_sop=15&amp;rt=nc&amp;LH_BIN=1", "Active")</f>
        <v/>
      </c>
      <c r="J942" s="2">
        <f>HYPERLINK("https://www.ebay.com/sch/261328/i.html?_from=R40&amp;_nkw=2026%20Topps%20KRIS%20BUBIC%20%2358%20Rainbow%20Foil%20Royals&amp;_sacat=0&amp;LH_Sold=1&amp;LH_Complete=1&amp;_sop=13", "Completed")</f>
        <v/>
      </c>
      <c r="K942" s="2" t="inlineStr">
        <is>
          <t>2026 Topps Series 1 Baseball  #1-250 - Pick Your Card - Ships Free</t>
        </is>
      </c>
    </row>
    <row r="943">
      <c r="A943" s="11" t="inlineStr">
        <is>
          <t>RB_Batch-0005-00007-80964</t>
        </is>
      </c>
      <c r="B943" s="11" t="inlineStr">
        <is>
          <t>2026 Topps Collector's Kit Exclusive ROMAN ANTHONY #MLB-2 Rainbow Foil RC Rookie</t>
        </is>
      </c>
      <c r="C943" s="12" t="n">
        <v>5.99</v>
      </c>
      <c r="D943" s="12" t="n">
        <v>2.99</v>
      </c>
      <c r="E943" s="12" t="n">
        <v>-3</v>
      </c>
      <c r="F943" s="13" t="n">
        <v>-50.1</v>
      </c>
      <c r="G943" s="11" t="inlineStr">
        <is>
          <t>⬇ Price Down</t>
        </is>
      </c>
      <c r="H943" s="11" t="inlineStr">
        <is>
          <t>87%</t>
        </is>
      </c>
      <c r="I943" s="11">
        <f>HYPERLINK("https://www.ebay.com/sch/261328/i.html?_dcat=261328&amp;_fsrp=1&amp;rt=nc&amp;_from=R40&amp;_nkw=2026%20Topps%20Collector's%20Kit%20Exclusive%20ROMAN%20ANTHONY%20%23MLB-2%20Rainbow%20Foil%20RC%20Rookie&amp;_sacat=0&amp;_sop=15&amp;rt=nc&amp;LH_BIN=1", "Active")</f>
        <v/>
      </c>
      <c r="J943" s="11">
        <f>HYPERLINK("https://www.ebay.com/sch/261328/i.html?_from=R40&amp;_nkw=2026%20Topps%20Collector's%20Kit%20Exclusive%20ROMAN%20ANTHONY%20%23MLB-2%20Rainbow%20Foil%20RC%20Rookie&amp;_sacat=0&amp;LH_Sold=1&amp;LH_Complete=1&amp;_sop=13", "Completed")</f>
        <v/>
      </c>
      <c r="K943" s="11" t="inlineStr">
        <is>
          <t>2026 Topps Collectors Kit Exclusive Roman Anthony RC Rainbow Foil (#MLB-2)</t>
        </is>
      </c>
    </row>
    <row r="944">
      <c r="A944" s="2" t="inlineStr">
        <is>
          <t>RB_Batch-0005-00040-03022</t>
        </is>
      </c>
      <c r="B944" s="2" t="inlineStr">
        <is>
          <t>2025 Bowman's Best CAM SMITH #29 RC Astros Rookie</t>
        </is>
      </c>
      <c r="C944" s="3" t="n">
        <v>2.99</v>
      </c>
      <c r="D944" s="3" t="n">
        <v>2.49</v>
      </c>
      <c r="E944" s="3" t="n">
        <v>-0.5</v>
      </c>
      <c r="F944" s="4" t="n">
        <v>-16.7</v>
      </c>
      <c r="G944" s="2" t="inlineStr">
        <is>
          <t>🔵 Floored $2.49 — free ship or $0.99 ship?</t>
        </is>
      </c>
      <c r="H944" s="2" t="inlineStr">
        <is>
          <t>71%</t>
        </is>
      </c>
      <c r="I944" s="2">
        <f>HYPERLINK("https://www.ebay.com/sch/261328/i.html?_dcat=261328&amp;_fsrp=1&amp;rt=nc&amp;_from=R40&amp;_nkw=2025%20Bowman's%20Best%20CAM%20SMITH%20%2329%20RC%20Astros%20Rookie&amp;_sacat=0&amp;_sop=15&amp;rt=nc&amp;LH_BIN=1", "Active")</f>
        <v/>
      </c>
      <c r="J944" s="2">
        <f>HYPERLINK("https://www.ebay.com/sch/261328/i.html?_from=R40&amp;_nkw=2025%20Bowman's%20Best%20CAM%20SMITH%20%2329%20RC%20Astros%20Rookie&amp;_sacat=0&amp;LH_Sold=1&amp;LH_Complete=1&amp;_sop=13", "Completed")</f>
        <v/>
      </c>
      <c r="K944" s="2" t="inlineStr">
        <is>
          <t>Cam Smith Chrome Rookie RC 2025 Bowman's Best Baseball Card #29 Houston Astros</t>
        </is>
      </c>
    </row>
    <row r="945">
      <c r="A945" s="11" t="inlineStr">
        <is>
          <t>RB_Batch-0005-00005-48251</t>
        </is>
      </c>
      <c r="B945" s="11" t="inlineStr">
        <is>
          <t>2025 Bowman's Best MARCELO MAYER #P-18 Pixel Portraits RC Red Sox Rookie</t>
        </is>
      </c>
      <c r="C945" s="12" t="n">
        <v>5.99</v>
      </c>
      <c r="D945" s="12" t="n">
        <v>3.09</v>
      </c>
      <c r="E945" s="12" t="n">
        <v>-2.9</v>
      </c>
      <c r="F945" s="13" t="n">
        <v>-48.4</v>
      </c>
      <c r="G945" s="11" t="inlineStr">
        <is>
          <t>⬇ Price Down</t>
        </is>
      </c>
      <c r="H945" s="11" t="inlineStr">
        <is>
          <t>88%</t>
        </is>
      </c>
      <c r="I945" s="11">
        <f>HYPERLINK("https://www.ebay.com/sch/261328/i.html?_dcat=261328&amp;_fsrp=1&amp;rt=nc&amp;_from=R40&amp;_nkw=2025%20Bowman's%20Best%20MARCELO%20MAYER%20%23P-18%20Pixel%20Portraits%20RC%20Red%20Sox%20Rookie&amp;_sacat=0&amp;_sop=15&amp;rt=nc&amp;LH_BIN=1", "Active")</f>
        <v/>
      </c>
      <c r="J945" s="11">
        <f>HYPERLINK("https://www.ebay.com/sch/261328/i.html?_from=R40&amp;_nkw=2025%20Bowman's%20Best%20MARCELO%20MAYER%20%23P-18%20Pixel%20Portraits%20RC%20Red%20Sox%20Rookie&amp;_sacat=0&amp;LH_Sold=1&amp;LH_Complete=1&amp;_sop=13", "Completed")</f>
        <v/>
      </c>
      <c r="K945" s="11" t="inlineStr">
        <is>
          <t>2025 Bowman's Best Marcelo Mayer P-18 Pixel Portraits Rookie RC Red Sox #P-18</t>
        </is>
      </c>
    </row>
    <row r="946">
      <c r="A946" s="5" t="inlineStr">
        <is>
          <t>RB_Batch-0005-00023-83538</t>
        </is>
      </c>
      <c r="B946" s="5" t="inlineStr">
        <is>
          <t>2026 Topps BO JACKSON #91C-5 1991 Chrome Silver Pack Mojo Refractor Royals</t>
        </is>
      </c>
      <c r="C946" s="6" t="n">
        <v>4.99</v>
      </c>
      <c r="D946" s="6" t="n">
        <v>5.19</v>
      </c>
      <c r="E946" s="6" t="n">
        <v>0.2</v>
      </c>
      <c r="F946" s="7" t="n">
        <v>4</v>
      </c>
      <c r="G946" s="5" t="inlineStr">
        <is>
          <t>⬆ Price Up</t>
        </is>
      </c>
      <c r="H946" s="5" t="inlineStr">
        <is>
          <t>81%</t>
        </is>
      </c>
      <c r="I946" s="5">
        <f>HYPERLINK("https://www.ebay.com/sch/261328/i.html?_dcat=261328&amp;_fsrp=1&amp;rt=nc&amp;_from=R40&amp;_nkw=2026%20Topps%20BO%20JACKSON%20%2391C-5%201991%20Chrome%20Silver%20Pack%20Mojo%20Refractor%20Royals&amp;_sacat=0&amp;_sop=15&amp;rt=nc&amp;LH_BIN=1", "Active")</f>
        <v/>
      </c>
      <c r="J946" s="5">
        <f>HYPERLINK("https://www.ebay.com/sch/261328/i.html?_from=R40&amp;_nkw=2026%20Topps%20BO%20JACKSON%20%2391C-5%201991%20Chrome%20Silver%20Pack%20Mojo%20Refractor%20Royals&amp;_sacat=0&amp;LH_Sold=1&amp;LH_Complete=1&amp;_sop=13", "Completed")</f>
        <v/>
      </c>
      <c r="K946" s="5" t="inlineStr">
        <is>
          <t>Bo Jackson 2026 Topps 1991 Chrome Silver Pack Mojo Refractor #91C-5 Royals</t>
        </is>
      </c>
    </row>
    <row r="947">
      <c r="A947" s="11" t="inlineStr">
        <is>
          <t>RB_Batch-0005-00024-97415</t>
        </is>
      </c>
      <c r="B947" s="11" t="inlineStr">
        <is>
          <t>2025 Bowman's Best JJ WETHERHOLT #FG-5 MLB All-Star Futures Game NL</t>
        </is>
      </c>
      <c r="C947" s="12" t="n">
        <v>5.99</v>
      </c>
      <c r="D947" s="12" t="n">
        <v>5.19</v>
      </c>
      <c r="E947" s="12" t="n">
        <v>-0.8</v>
      </c>
      <c r="F947" s="13" t="n">
        <v>-13.4</v>
      </c>
      <c r="G947" s="11" t="inlineStr">
        <is>
          <t>⬇ Price Down</t>
        </is>
      </c>
      <c r="H947" s="11" t="inlineStr">
        <is>
          <t>90%</t>
        </is>
      </c>
      <c r="I947" s="11">
        <f>HYPERLINK("https://www.ebay.com/sch/261328/i.html?_dcat=261328&amp;_fsrp=1&amp;rt=nc&amp;_from=R40&amp;_nkw=2025%20Bowman's%20Best%20JJ%20WETHERHOLT%20%23FG-5%20MLB%20All-Star%20Futures%20Game%20NL&amp;_sacat=0&amp;_sop=15&amp;rt=nc&amp;LH_BIN=1", "Active")</f>
        <v/>
      </c>
      <c r="J947" s="11">
        <f>HYPERLINK("https://www.ebay.com/sch/261328/i.html?_from=R40&amp;_nkw=2025%20Bowman's%20Best%20JJ%20WETHERHOLT%20%23FG-5%20MLB%20All-Star%20Futures%20Game%20NL&amp;_sacat=0&amp;LH_Sold=1&amp;LH_Complete=1&amp;_sop=13", "Completed")</f>
        <v/>
      </c>
      <c r="K947" s="11" t="inlineStr">
        <is>
          <t>2025 Bowman's Best JJ Wetherholt MLB All-Star Futures Game #FG-5 NL</t>
        </is>
      </c>
    </row>
    <row r="948">
      <c r="A948" s="2" t="inlineStr">
        <is>
          <t>RB_Batch-0005-00002-73077</t>
        </is>
      </c>
      <c r="B948" s="2" t="inlineStr">
        <is>
          <t>2025 Bowman's Best BYRON BUXTON #48 Refractor Twins</t>
        </is>
      </c>
      <c r="C948" s="3" t="n">
        <v>2.99</v>
      </c>
      <c r="D948" s="3" t="n">
        <v>2.49</v>
      </c>
      <c r="E948" s="3" t="n">
        <v>-0.5</v>
      </c>
      <c r="F948" s="4" t="n">
        <v>-16.7</v>
      </c>
      <c r="G948" s="2" t="inlineStr">
        <is>
          <t>🔵 Floored $2.49 — free ship or $0.99 ship?</t>
        </is>
      </c>
      <c r="H948" s="2" t="inlineStr">
        <is>
          <t>62%</t>
        </is>
      </c>
      <c r="I948" s="2">
        <f>HYPERLINK("https://www.ebay.com/sch/261328/i.html?_dcat=261328&amp;_fsrp=1&amp;rt=nc&amp;_from=R40&amp;_nkw=2025%20Bowman's%20Best%20BYRON%20BUXTON%20%2348%20Refractor%20Twins&amp;_sacat=0&amp;_sop=15&amp;rt=nc&amp;LH_BIN=1", "Active")</f>
        <v/>
      </c>
      <c r="J948" s="2">
        <f>HYPERLINK("https://www.ebay.com/sch/261328/i.html?_from=R40&amp;_nkw=2025%20Bowman's%20Best%20BYRON%20BUXTON%20%2348%20Refractor%20Twins&amp;_sacat=0&amp;LH_Sold=1&amp;LH_Complete=1&amp;_sop=13", "Completed")</f>
        <v/>
      </c>
      <c r="K948" s="2" t="inlineStr">
        <is>
          <t>2025 Bowman Best Baseball - Base, Refractors, Inserts - Pick From List</t>
        </is>
      </c>
    </row>
    <row r="949">
      <c r="A949" s="2" t="inlineStr">
        <is>
          <t>RB_Batch-0005-00011-73204</t>
        </is>
      </c>
      <c r="B949" s="2" t="inlineStr">
        <is>
          <t>2025 Bowman's Best SLADE CALDWELL #TP-30 Top Prospects Refractor Diamondbacks</t>
        </is>
      </c>
      <c r="C949" s="3" t="n">
        <v>3.49</v>
      </c>
      <c r="D949" s="3" t="n">
        <v>2.49</v>
      </c>
      <c r="E949" s="3" t="n">
        <v>-1</v>
      </c>
      <c r="F949" s="4" t="n">
        <v>-28.7</v>
      </c>
      <c r="G949" s="2" t="inlineStr">
        <is>
          <t>🔵 Floored $2.49 — free ship or $0.99 ship?</t>
        </is>
      </c>
      <c r="H949" s="2" t="inlineStr">
        <is>
          <t>86%</t>
        </is>
      </c>
      <c r="I949" s="2">
        <f>HYPERLINK("https://www.ebay.com/sch/261328/i.html?_dcat=261328&amp;_fsrp=1&amp;rt=nc&amp;_from=R40&amp;_nkw=2025%20Bowman's%20Best%20SLADE%20CALDWELL%20%23TP-30%20Top%20Prospects%20Refractor%20Diamondbacks&amp;_sacat=0&amp;_sop=15&amp;rt=nc&amp;LH_BIN=1", "Active")</f>
        <v/>
      </c>
      <c r="J949" s="2">
        <f>HYPERLINK("https://www.ebay.com/sch/261328/i.html?_from=R40&amp;_nkw=2025%20Bowman's%20Best%20SLADE%20CALDWELL%20%23TP-30%20Top%20Prospects%20Refractor%20Diamondbacks&amp;_sacat=0&amp;LH_Sold=1&amp;LH_Complete=1&amp;_sop=13", "Completed")</f>
        <v/>
      </c>
      <c r="K949" s="2" t="inlineStr">
        <is>
          <t>2025 Bowman's Best Slade Caldwell Wave Refractor #TP-30 Arizona Diamondbacks</t>
        </is>
      </c>
    </row>
    <row r="950">
      <c r="A950" s="5" t="inlineStr">
        <is>
          <t>RB_Batch-0005-00031-97486</t>
        </is>
      </c>
      <c r="B950" s="5" t="inlineStr">
        <is>
          <t>2025 Bowman's Best JAZZ CHISHOLM JR. #28 Refractor Yankees Basketball</t>
        </is>
      </c>
      <c r="C950" s="6" t="n">
        <v>3.49</v>
      </c>
      <c r="D950" s="6" t="n">
        <v>4.39</v>
      </c>
      <c r="E950" s="6" t="n">
        <v>0.9</v>
      </c>
      <c r="F950" s="7" t="n">
        <v>25.8</v>
      </c>
      <c r="G950" s="5" t="inlineStr">
        <is>
          <t>⬆ Price Up</t>
        </is>
      </c>
      <c r="H950" s="5" t="inlineStr">
        <is>
          <t>100%</t>
        </is>
      </c>
      <c r="I950" s="5">
        <f>HYPERLINK("https://www.ebay.com/sch/261328/i.html?_dcat=261328&amp;_fsrp=1&amp;rt=nc&amp;_from=R40&amp;_nkw=2025%20Bowman's%20Best%20JAZZ%20CHISHOLM%20JR.%20%2328%20Refractor%20Yankees%20Basketball&amp;_sacat=0&amp;_sop=15&amp;rt=nc&amp;LH_BIN=1", "Active")</f>
        <v/>
      </c>
      <c r="J950" s="5">
        <f>HYPERLINK("https://www.ebay.com/sch/261328/i.html?_from=R40&amp;_nkw=2025%20Bowman's%20Best%20JAZZ%20CHISHOLM%20JR.%20%2328%20Refractor%20Yankees%20Basketball&amp;_sacat=0&amp;LH_Sold=1&amp;LH_Complete=1&amp;_sop=13", "Completed")</f>
        <v/>
      </c>
      <c r="K950" s="5" t="inlineStr">
        <is>
          <t>2025 Bowman's Best JAZZ CHISHOLM JR. #28 Refractor Yankees Basketball</t>
        </is>
      </c>
    </row>
    <row r="951">
      <c r="A951" s="2" t="inlineStr">
        <is>
          <t>RB_Batch-0005-00042-75023</t>
        </is>
      </c>
      <c r="B951" s="2" t="inlineStr">
        <is>
          <t>2026 Topps Heritage SHOHEI OHTANI #290 NL All-Stars Los Angeles Dodgers</t>
        </is>
      </c>
      <c r="C951" s="3" t="n">
        <v>3.99</v>
      </c>
      <c r="D951" s="3" t="n">
        <v>2.49</v>
      </c>
      <c r="E951" s="3" t="n">
        <v>-1.5</v>
      </c>
      <c r="F951" s="4" t="n">
        <v>-37.6</v>
      </c>
      <c r="G951" s="2" t="inlineStr">
        <is>
          <t>🔵 Floored $2.49 — free ship or $0.99 ship?</t>
        </is>
      </c>
      <c r="H951" s="2" t="inlineStr">
        <is>
          <t>78%</t>
        </is>
      </c>
      <c r="I951" s="2">
        <f>HYPERLINK("https://www.ebay.com/sch/261328/i.html?_dcat=261328&amp;_fsrp=1&amp;rt=nc&amp;_from=R40&amp;_nkw=2026%20Topps%20Heritage%20SHOHEI%20OHTANI%20%23290%20NL%20All-Stars%20Los%20Angeles%20Dodgers&amp;_sacat=0&amp;_sop=15&amp;rt=nc&amp;LH_BIN=1", "Active")</f>
        <v/>
      </c>
      <c r="J951" s="2">
        <f>HYPERLINK("https://www.ebay.com/sch/261328/i.html?_from=R40&amp;_nkw=2026%20Topps%20Heritage%20SHOHEI%20OHTANI%20%23290%20NL%20All-Stars%20Los%20Angeles%20Dodgers&amp;_sacat=0&amp;LH_Sold=1&amp;LH_Complete=1&amp;_sop=13", "Completed")</f>
        <v/>
      </c>
      <c r="K951" s="2" t="inlineStr">
        <is>
          <t>Topps 2026 Heritage NL All-Stars Shohei Ohtani Los Angeles Dodgers Card #290</t>
        </is>
      </c>
    </row>
    <row r="952">
      <c r="A952" s="2" t="inlineStr">
        <is>
          <t>RB_Batch-0005-00006-12283</t>
        </is>
      </c>
      <c r="B952" s="2" t="inlineStr">
        <is>
          <t>2025 Bowman's Best JULIO RODRIGUEZ #C-6 Circuitry Mariners</t>
        </is>
      </c>
      <c r="C952" s="3" t="n">
        <v>5.99</v>
      </c>
      <c r="D952" s="3" t="n">
        <v>2.49</v>
      </c>
      <c r="E952" s="3" t="n">
        <v>-3.5</v>
      </c>
      <c r="F952" s="4" t="n">
        <v>-58.4</v>
      </c>
      <c r="G952" s="2" t="inlineStr">
        <is>
          <t>🔵 Floored $2.49 — free ship or $0.99 ship?</t>
        </is>
      </c>
      <c r="H952" s="2" t="inlineStr">
        <is>
          <t>68%</t>
        </is>
      </c>
      <c r="I952" s="2">
        <f>HYPERLINK("https://www.ebay.com/sch/261328/i.html?_dcat=261328&amp;_fsrp=1&amp;rt=nc&amp;_from=R40&amp;_nkw=2025%20Bowman's%20Best%20JULIO%20RODRIGUEZ%20%23C-6%20Circuitry%20Mariners&amp;_sacat=0&amp;_sop=15&amp;rt=nc&amp;LH_BIN=1", "Active")</f>
        <v/>
      </c>
      <c r="J952" s="2">
        <f>HYPERLINK("https://www.ebay.com/sch/261328/i.html?_from=R40&amp;_nkw=2025%20Bowman's%20Best%20JULIO%20RODRIGUEZ%20%23C-6%20Circuitry%20Mariners&amp;_sacat=0&amp;LH_Sold=1&amp;LH_Complete=1&amp;_sop=13", "Completed")</f>
        <v/>
      </c>
      <c r="K952" s="2" t="inlineStr">
        <is>
          <t>2025 Bowman Best Circuitry insert refractor Singles - Free Shipping</t>
        </is>
      </c>
    </row>
    <row r="953">
      <c r="A953" s="5" t="inlineStr">
        <is>
          <t>RB_Batch-0005-00043-72874</t>
        </is>
      </c>
      <c r="B953" s="5" t="inlineStr">
        <is>
          <t>2026 Topps Collector's Kit Exclusive JAC CAGLIANONE #MLB-3 Wave Foil RC Rookie</t>
        </is>
      </c>
      <c r="C953" s="6" t="n">
        <v>12.09</v>
      </c>
      <c r="D953" s="6" t="n">
        <v>12.69</v>
      </c>
      <c r="E953" s="6" t="n">
        <v>0.6</v>
      </c>
      <c r="F953" s="7" t="n">
        <v>5</v>
      </c>
      <c r="G953" s="5" t="inlineStr">
        <is>
          <t>⬆ Price Up</t>
        </is>
      </c>
      <c r="H953" s="5" t="inlineStr">
        <is>
          <t>100%</t>
        </is>
      </c>
      <c r="I953" s="5">
        <f>HYPERLINK("https://www.ebay.com/sch/261328/i.html?_dcat=261328&amp;_fsrp=1&amp;rt=nc&amp;_from=R40&amp;_nkw=2026%20Topps%20Collector's%20Kit%20Exclusive%20JAC%20CAGLIANONE%20%23MLB-3%20Wave%20Foil%20RC%20Rookie&amp;_sacat=0&amp;_sop=15&amp;rt=nc&amp;LH_BIN=1", "Active")</f>
        <v/>
      </c>
      <c r="J953" s="5">
        <f>HYPERLINK("https://www.ebay.com/sch/261328/i.html?_from=R40&amp;_nkw=2026%20Topps%20Collector's%20Kit%20Exclusive%20JAC%20CAGLIANONE%20%23MLB-3%20Wave%20Foil%20RC%20Rookie&amp;_sacat=0&amp;LH_Sold=1&amp;LH_Complete=1&amp;_sop=13", "Completed")</f>
        <v/>
      </c>
      <c r="K953" s="5" t="inlineStr">
        <is>
          <t>2026 Topps Collector's Kit Exclusive JAC CAGLIANONE #MLB-3 Wave Foil RC Rookie</t>
        </is>
      </c>
    </row>
    <row r="954">
      <c r="A954" s="11" t="inlineStr">
        <is>
          <t>RB_Batch-0005-00015-14096</t>
        </is>
      </c>
      <c r="B954" s="11" t="inlineStr">
        <is>
          <t>2025 Bowman's Best JAC CAGLIANONE #TP-3 Top Prospects Refractor Royals</t>
        </is>
      </c>
      <c r="C954" s="12" t="n">
        <v>4.99</v>
      </c>
      <c r="D954" s="12" t="n">
        <v>2.79</v>
      </c>
      <c r="E954" s="12" t="n">
        <v>-2.2</v>
      </c>
      <c r="F954" s="13" t="n">
        <v>-44.1</v>
      </c>
      <c r="G954" s="11" t="inlineStr">
        <is>
          <t>⬇ Price Down</t>
        </is>
      </c>
      <c r="H954" s="11" t="inlineStr">
        <is>
          <t>78%</t>
        </is>
      </c>
      <c r="I954" s="11">
        <f>HYPERLINK("https://www.ebay.com/sch/261328/i.html?_dcat=261328&amp;_fsrp=1&amp;rt=nc&amp;_from=R40&amp;_nkw=2025%20Bowman's%20Best%20JAC%20CAGLIANONE%20%23TP-3%20Top%20Prospects%20Refractor%20Royals&amp;_sacat=0&amp;_sop=15&amp;rt=nc&amp;LH_BIN=1", "Active")</f>
        <v/>
      </c>
      <c r="J954" s="11">
        <f>HYPERLINK("https://www.ebay.com/sch/261328/i.html?_from=R40&amp;_nkw=2025%20Bowman's%20Best%20JAC%20CAGLIANONE%20%23TP-3%20Top%20Prospects%20Refractor%20Royals&amp;_sacat=0&amp;LH_Sold=1&amp;LH_Complete=1&amp;_sop=13", "Completed")</f>
        <v/>
      </c>
      <c r="K954" s="11" t="inlineStr">
        <is>
          <t>Jac Caglianone REFRACTOR 2025 Bowman's Best Top Prospects #TP-3 KC ROYALS</t>
        </is>
      </c>
    </row>
    <row r="955">
      <c r="A955" s="2" t="inlineStr">
        <is>
          <t>RB_Batch-0005-00035-22093</t>
        </is>
      </c>
      <c r="B955" s="2" t="inlineStr">
        <is>
          <t>2025 Bowman's Best RONALD ACUNA JR. #13 Refractor Braves</t>
        </is>
      </c>
      <c r="C955" s="3" t="n">
        <v>4.49</v>
      </c>
      <c r="D955" s="3" t="n">
        <v>2.49</v>
      </c>
      <c r="E955" s="3" t="n">
        <v>-2</v>
      </c>
      <c r="F955" s="4" t="n">
        <v>-44.5</v>
      </c>
      <c r="G955" s="2" t="inlineStr">
        <is>
          <t>🔵 Floored $2.49 — free ship or $0.99 ship?</t>
        </is>
      </c>
      <c r="H955" s="2" t="inlineStr">
        <is>
          <t>89%</t>
        </is>
      </c>
      <c r="I955" s="2">
        <f>HYPERLINK("https://www.ebay.com/sch/261328/i.html?_dcat=261328&amp;_fsrp=1&amp;rt=nc&amp;_from=R40&amp;_nkw=2025%20Bowman's%20Best%20RONALD%20ACUNA%20JR.%20%2313%20Refractor%20Braves&amp;_sacat=0&amp;_sop=15&amp;rt=nc&amp;LH_BIN=1", "Active")</f>
        <v/>
      </c>
      <c r="J955" s="2">
        <f>HYPERLINK("https://www.ebay.com/sch/261328/i.html?_from=R40&amp;_nkw=2025%20Bowman's%20Best%20RONALD%20ACUNA%20JR.%20%2313%20Refractor%20Braves&amp;_sacat=0&amp;LH_Sold=1&amp;LH_Complete=1&amp;_sop=13", "Completed")</f>
        <v/>
      </c>
      <c r="K955" s="2" t="inlineStr">
        <is>
          <t>2025 Bowman's Best Ronald Acuna Jr. #13 Refractor - Braves</t>
        </is>
      </c>
    </row>
    <row r="956">
      <c r="A956" s="5" t="inlineStr">
        <is>
          <t>RB_Batch-0005-00052-85906</t>
        </is>
      </c>
      <c r="B956" s="5" t="inlineStr">
        <is>
          <t>2025 Bowman's Best #13 Spencer Schwellenbach Blue Refractor 142/150 Braves</t>
        </is>
      </c>
      <c r="C956" s="6" t="n">
        <v>6.69</v>
      </c>
      <c r="D956" s="6" t="n">
        <v>7.49</v>
      </c>
      <c r="E956" s="6" t="n">
        <v>0.8</v>
      </c>
      <c r="F956" s="7" t="n">
        <v>12</v>
      </c>
      <c r="G956" s="5" t="inlineStr">
        <is>
          <t>⬆ Price Up</t>
        </is>
      </c>
      <c r="H956" s="5" t="inlineStr">
        <is>
          <t>100%</t>
        </is>
      </c>
      <c r="I956" s="5">
        <f>HYPERLINK("https://www.ebay.com/sch/261328/i.html?_dcat=261328&amp;_fsrp=1&amp;rt=nc&amp;_from=R40&amp;_nkw=2025%20Bowman's%20Best%20%2313%20Spencer%20Schwellenbach%20Blue%20Refractor%20142%2F150%20Braves&amp;_sacat=0&amp;_sop=15&amp;rt=nc&amp;LH_BIN=1", "Active")</f>
        <v/>
      </c>
      <c r="J956" s="5">
        <f>HYPERLINK("https://www.ebay.com/sch/261328/i.html?_from=R40&amp;_nkw=2025%20Bowman's%20Best%20%2313%20Spencer%20Schwellenbach%20Blue%20Refractor%20142%2F150%20Braves&amp;_sacat=0&amp;LH_Sold=1&amp;LH_Complete=1&amp;_sop=13", "Completed")</f>
        <v/>
      </c>
      <c r="K956" s="5" t="inlineStr">
        <is>
          <t>2025 Bowman's Best #13 Spencer Schwellenbach Blue Refractor 142/150 Braves</t>
        </is>
      </c>
    </row>
    <row r="957">
      <c r="A957" s="5" t="inlineStr">
        <is>
          <t>RB_Batch-0005-00041-86252</t>
        </is>
      </c>
      <c r="B957" s="5" t="inlineStr">
        <is>
          <t>2025 Bowman IKE IRISH #PP-8 Chrome Prized Prospects Mini Diamond Refractor /150</t>
        </is>
      </c>
      <c r="C957" s="6" t="n">
        <v>10.09</v>
      </c>
      <c r="D957" s="6" t="n">
        <v>10.79</v>
      </c>
      <c r="E957" s="6" t="n">
        <v>0.7</v>
      </c>
      <c r="F957" s="7" t="n">
        <v>6.9</v>
      </c>
      <c r="G957" s="5" t="inlineStr">
        <is>
          <t>⬆ Price Up</t>
        </is>
      </c>
      <c r="H957" s="5" t="inlineStr">
        <is>
          <t>100%</t>
        </is>
      </c>
      <c r="I957" s="5">
        <f>HYPERLINK("https://www.ebay.com/sch/261328/i.html?_dcat=261328&amp;_fsrp=1&amp;rt=nc&amp;_from=R40&amp;_nkw=2025%20Bowman%20IKE%20IRISH%20%23PP-8%20Chrome%20Prized%20Prospects%20Mini%20Diamond%20Refractor%20%2F150&amp;_sacat=0&amp;_sop=15&amp;rt=nc&amp;LH_BIN=1", "Active")</f>
        <v/>
      </c>
      <c r="J957" s="5">
        <f>HYPERLINK("https://www.ebay.com/sch/261328/i.html?_from=R40&amp;_nkw=2025%20Bowman%20IKE%20IRISH%20%23PP-8%20Chrome%20Prized%20Prospects%20Mini%20Diamond%20Refractor%20%2F150&amp;_sacat=0&amp;LH_Sold=1&amp;LH_Complete=1&amp;_sop=13", "Completed")</f>
        <v/>
      </c>
      <c r="K957" s="5" t="inlineStr">
        <is>
          <t>2025 Bowman IKE IRISH #PP-8 Chrome Prized Prospects Mini Diamond Refractor /150</t>
        </is>
      </c>
    </row>
    <row r="958">
      <c r="A958" s="2" t="inlineStr">
        <is>
          <t>RB_Batch-0005-00047-53053</t>
        </is>
      </c>
      <c r="B958" s="2" t="inlineStr">
        <is>
          <t>2025 Topps Chrome Update ZAC VEEN #USC186 Refractor RC Rockies Rookie</t>
        </is>
      </c>
      <c r="C958" s="3" t="n">
        <v>2.99</v>
      </c>
      <c r="D958" s="3" t="n">
        <v>2.49</v>
      </c>
      <c r="E958" s="3" t="n">
        <v>-0.5</v>
      </c>
      <c r="F958" s="4" t="n">
        <v>-16.7</v>
      </c>
      <c r="G958" s="2" t="inlineStr">
        <is>
          <t>🔵 Floored $2.49 — free ship or $0.99 ship?</t>
        </is>
      </c>
      <c r="H958" s="2" t="inlineStr">
        <is>
          <t>87%</t>
        </is>
      </c>
      <c r="I958" s="2">
        <f>HYPERLINK("https://www.ebay.com/sch/261328/i.html?_dcat=261328&amp;_fsrp=1&amp;rt=nc&amp;_from=R40&amp;_nkw=2025%20Topps%20Chrome%20Update%20ZAC%20VEEN%20%23USC186%20Refractor%20RC%20Rockies%20Rookie&amp;_sacat=0&amp;_sop=15&amp;rt=nc&amp;LH_BIN=1", "Active")</f>
        <v/>
      </c>
      <c r="J958" s="2">
        <f>HYPERLINK("https://www.ebay.com/sch/261328/i.html?_from=R40&amp;_nkw=2025%20Topps%20Chrome%20Update%20ZAC%20VEEN%20%23USC186%20Refractor%20RC%20Rockies%20Rookie&amp;_sacat=0&amp;LH_Sold=1&amp;LH_Complete=1&amp;_sop=13", "Completed")</f>
        <v/>
      </c>
      <c r="K958" s="2" t="inlineStr">
        <is>
          <t>2025 Topps Chrome Update Refractors Zac Veen Rookie #USC186 RC Colorado Rockies</t>
        </is>
      </c>
    </row>
    <row r="959">
      <c r="A959" s="11" t="inlineStr">
        <is>
          <t>RB_Batch-0005-00010-92929</t>
        </is>
      </c>
      <c r="B959" s="11" t="inlineStr">
        <is>
          <t>2026 Topps BOBBY WITT JR. #91C-19 1991 Chrome Silver Pack Mojo Refractor Royals</t>
        </is>
      </c>
      <c r="C959" s="12" t="n">
        <v>5.99</v>
      </c>
      <c r="D959" s="12" t="n">
        <v>4.79</v>
      </c>
      <c r="E959" s="12" t="n">
        <v>-1.2</v>
      </c>
      <c r="F959" s="13" t="n">
        <v>-20</v>
      </c>
      <c r="G959" s="11" t="inlineStr">
        <is>
          <t>⬇ Price Down</t>
        </is>
      </c>
      <c r="H959" s="11" t="inlineStr">
        <is>
          <t>89%</t>
        </is>
      </c>
      <c r="I959" s="11">
        <f>HYPERLINK("https://www.ebay.com/sch/261328/i.html?_dcat=261328&amp;_fsrp=1&amp;rt=nc&amp;_from=R40&amp;_nkw=2026%20Topps%20BOBBY%20WITT%20JR.%20%2391C-19%201991%20Chrome%20Silver%20Pack%20Mojo%20Refractor%20Royals&amp;_sacat=0&amp;_sop=15&amp;rt=nc&amp;LH_BIN=1", "Active")</f>
        <v/>
      </c>
      <c r="J959" s="11">
        <f>HYPERLINK("https://www.ebay.com/sch/261328/i.html?_from=R40&amp;_nkw=2026%20Topps%20BOBBY%20WITT%20JR.%20%2391C-19%201991%20Chrome%20Silver%20Pack%20Mojo%20Refractor%20Royals&amp;_sacat=0&amp;LH_Sold=1&amp;LH_Complete=1&amp;_sop=13", "Completed")</f>
        <v/>
      </c>
      <c r="K959" s="11" t="inlineStr">
        <is>
          <t>2026 Topps Bobby Witt Jr. 1991 Chrome Silver Pack Mojo Refractor #91C-19 Royals</t>
        </is>
      </c>
    </row>
    <row r="960">
      <c r="A960" s="8" t="inlineStr">
        <is>
          <t>RB_Batch-0005-00046-09121</t>
        </is>
      </c>
      <c r="B960" s="8" t="inlineStr">
        <is>
          <t>2026 Topps Heritage Chrome Refractor #161 - Carson Williams - Rays Rookie RC!</t>
        </is>
      </c>
      <c r="C960" s="9" t="n">
        <v>2.99</v>
      </c>
      <c r="D960" s="9" t="n">
        <v>2.99</v>
      </c>
      <c r="E960" s="9" t="n">
        <v>0</v>
      </c>
      <c r="F960" s="10" t="n">
        <v>0</v>
      </c>
      <c r="G960" s="8" t="inlineStr">
        <is>
          <t>— No Change</t>
        </is>
      </c>
      <c r="H960" s="8" t="inlineStr">
        <is>
          <t>86%</t>
        </is>
      </c>
      <c r="I960" s="8">
        <f>HYPERLINK("https://www.ebay.com/sch/261328/i.html?_dcat=261328&amp;_fsrp=1&amp;rt=nc&amp;_from=R40&amp;_nkw=2026%20Topps%20Heritage%20Chrome%20Refractor%20%23161%20-%20Carson%20Williams%20-%20Rays%20Rookie%20RC!&amp;_sacat=0&amp;_sop=15&amp;rt=nc&amp;LH_BIN=1", "Active")</f>
        <v/>
      </c>
      <c r="J960" s="8">
        <f>HYPERLINK("https://www.ebay.com/sch/261328/i.html?_from=R40&amp;_nkw=2026%20Topps%20Heritage%20Chrome%20Refractor%20%23161%20-%20Carson%20Williams%20-%20Rays%20Rookie%20RC!&amp;_sacat=0&amp;LH_Sold=1&amp;LH_Complete=1&amp;_sop=13", "Completed")</f>
        <v/>
      </c>
      <c r="K960" s="8" t="inlineStr">
        <is>
          <t>2026 Topps Heritage Carson Williams #161 Refractor - Tampa Bay Rays Rookie RC</t>
        </is>
      </c>
    </row>
    <row r="961">
      <c r="A961" s="11" t="inlineStr">
        <is>
          <t>RB_Batch-0005-00030-09043</t>
        </is>
      </c>
      <c r="B961" s="11" t="inlineStr">
        <is>
          <t>2025 Bowman's Best GEORGE LOMBARD JR. #TP-23 Top Prospects Refractor Yankees</t>
        </is>
      </c>
      <c r="C961" s="12" t="n">
        <v>4.49</v>
      </c>
      <c r="D961" s="12" t="n">
        <v>2.69</v>
      </c>
      <c r="E961" s="12" t="n">
        <v>-1.8</v>
      </c>
      <c r="F961" s="13" t="n">
        <v>-40.1</v>
      </c>
      <c r="G961" s="11" t="inlineStr">
        <is>
          <t>⬇ Price Down</t>
        </is>
      </c>
      <c r="H961" s="11" t="inlineStr">
        <is>
          <t>90%</t>
        </is>
      </c>
      <c r="I961" s="11">
        <f>HYPERLINK("https://www.ebay.com/sch/261328/i.html?_dcat=261328&amp;_fsrp=1&amp;rt=nc&amp;_from=R40&amp;_nkw=2025%20Bowman's%20Best%20GEORGE%20LOMBARD%20JR.%20%23TP-23%20Top%20Prospects%20Refractor%20Yankees&amp;_sacat=0&amp;_sop=15&amp;rt=nc&amp;LH_BIN=1", "Active")</f>
        <v/>
      </c>
      <c r="J961" s="11">
        <f>HYPERLINK("https://www.ebay.com/sch/261328/i.html?_from=R40&amp;_nkw=2025%20Bowman's%20Best%20GEORGE%20LOMBARD%20JR.%20%23TP-23%20Top%20Prospects%20Refractor%20Yankees&amp;_sacat=0&amp;LH_Sold=1&amp;LH_Complete=1&amp;_sop=13", "Completed")</f>
        <v/>
      </c>
      <c r="K961" s="11" t="inlineStr">
        <is>
          <t>2025 Bowman's Best George Lombard Jr. Top Prospects #TP-23 Refractor Yankees</t>
        </is>
      </c>
    </row>
    <row r="962">
      <c r="A962" s="11" t="inlineStr">
        <is>
          <t>RB_Batch-0005-00008-38868</t>
        </is>
      </c>
      <c r="B962" s="11" t="inlineStr">
        <is>
          <t>2026 Topps Collector's Kit Exclusive JAC CAGLIANONE #MLB-3 Rainbow Foil RC</t>
        </is>
      </c>
      <c r="C962" s="12" t="n">
        <v>4.99</v>
      </c>
      <c r="D962" s="12" t="n">
        <v>2.69</v>
      </c>
      <c r="E962" s="12" t="n">
        <v>-2.3</v>
      </c>
      <c r="F962" s="13" t="n">
        <v>-46.1</v>
      </c>
      <c r="G962" s="11" t="inlineStr">
        <is>
          <t>⬇ Price Down</t>
        </is>
      </c>
      <c r="H962" s="11" t="inlineStr">
        <is>
          <t>86%</t>
        </is>
      </c>
      <c r="I962" s="11">
        <f>HYPERLINK("https://www.ebay.com/sch/261328/i.html?_dcat=261328&amp;_fsrp=1&amp;rt=nc&amp;_from=R40&amp;_nkw=2026%20Topps%20Collector's%20Kit%20Exclusive%20JAC%20CAGLIANONE%20%23MLB-3%20Rainbow%20Foil%20RC&amp;_sacat=0&amp;_sop=15&amp;rt=nc&amp;LH_BIN=1", "Active")</f>
        <v/>
      </c>
      <c r="J962" s="11">
        <f>HYPERLINK("https://www.ebay.com/sch/261328/i.html?_from=R40&amp;_nkw=2026%20Topps%20Collector's%20Kit%20Exclusive%20JAC%20CAGLIANONE%20%23MLB-3%20Rainbow%20Foil%20RC&amp;_sacat=0&amp;LH_Sold=1&amp;LH_Complete=1&amp;_sop=13", "Completed")</f>
        <v/>
      </c>
      <c r="K962" s="11" t="inlineStr">
        <is>
          <t>2026 Topps Collectors Kit Jac Caglianone Rainbow Foil RC #MLB-3 KC Royals</t>
        </is>
      </c>
    </row>
    <row r="963">
      <c r="A963" s="11" t="inlineStr">
        <is>
          <t>RB_Batch-0005-00051-39338</t>
        </is>
      </c>
      <c r="B963" s="11" t="inlineStr">
        <is>
          <t>2025 Bowman's Best ROMAN ANTHONY #TP-16 Top Prospects Refractor Red Sox</t>
        </is>
      </c>
      <c r="C963" s="12" t="n">
        <v>6.29</v>
      </c>
      <c r="D963" s="12" t="n">
        <v>2.69</v>
      </c>
      <c r="E963" s="12" t="n">
        <v>-3.6</v>
      </c>
      <c r="F963" s="13" t="n">
        <v>-57.2</v>
      </c>
      <c r="G963" s="11" t="inlineStr">
        <is>
          <t>⬇ Price Down</t>
        </is>
      </c>
      <c r="H963" s="11" t="inlineStr">
        <is>
          <t>100%</t>
        </is>
      </c>
      <c r="I963" s="11">
        <f>HYPERLINK("https://www.ebay.com/sch/261328/i.html?_dcat=261328&amp;_fsrp=1&amp;rt=nc&amp;_from=R40&amp;_nkw=2025%20Bowman's%20Best%20ROMAN%20ANTHONY%20%23TP-16%20Top%20Prospects%20Refractor%20Red%20Sox&amp;_sacat=0&amp;_sop=15&amp;rt=nc&amp;LH_BIN=1", "Active")</f>
        <v/>
      </c>
      <c r="J963" s="11">
        <f>HYPERLINK("https://www.ebay.com/sch/261328/i.html?_from=R40&amp;_nkw=2025%20Bowman's%20Best%20ROMAN%20ANTHONY%20%23TP-16%20Top%20Prospects%20Refractor%20Red%20Sox&amp;_sacat=0&amp;LH_Sold=1&amp;LH_Complete=1&amp;_sop=13", "Completed")</f>
        <v/>
      </c>
      <c r="K963" s="11" t="inlineStr">
        <is>
          <t>2025 Bowman's Best Roman Anthony #TP-16 Top Prospects Refractor Red Sox</t>
        </is>
      </c>
    </row>
    <row r="964">
      <c r="A964" s="2" t="inlineStr">
        <is>
          <t>RB_Batch-0005-00021-21963</t>
        </is>
      </c>
      <c r="B964" s="2" t="inlineStr">
        <is>
          <t>2025 Bowman's Best CHARLIE CONDON #TP-8 Top Prospects Refractor Rockies</t>
        </is>
      </c>
      <c r="C964" s="3" t="n">
        <v>3.49</v>
      </c>
      <c r="D964" s="3" t="n">
        <v>2.49</v>
      </c>
      <c r="E964" s="3" t="n">
        <v>-1</v>
      </c>
      <c r="F964" s="4" t="n">
        <v>-28.7</v>
      </c>
      <c r="G964" s="2" t="inlineStr">
        <is>
          <t>🔵 Floored $2.49 — free ship or $0.99 ship?</t>
        </is>
      </c>
      <c r="H964" s="2" t="inlineStr">
        <is>
          <t>89%</t>
        </is>
      </c>
      <c r="I964" s="2">
        <f>HYPERLINK("https://www.ebay.com/sch/261328/i.html?_dcat=261328&amp;_fsrp=1&amp;rt=nc&amp;_from=R40&amp;_nkw=2025%20Bowman's%20Best%20CHARLIE%20CONDON%20%23TP-8%20Top%20Prospects%20Refractor%20Rockies&amp;_sacat=0&amp;_sop=15&amp;rt=nc&amp;LH_BIN=1", "Active")</f>
        <v/>
      </c>
      <c r="J964" s="2">
        <f>HYPERLINK("https://www.ebay.com/sch/261328/i.html?_from=R40&amp;_nkw=2025%20Bowman's%20Best%20CHARLIE%20CONDON%20%23TP-8%20Top%20Prospects%20Refractor%20Rockies&amp;_sacat=0&amp;LH_Sold=1&amp;LH_Complete=1&amp;_sop=13", "Completed")</f>
        <v/>
      </c>
      <c r="K964" s="2" t="inlineStr">
        <is>
          <t>2025 Bowman’s Best Charlie Condon Top Prospects Refractor #TP-8 Rockies</t>
        </is>
      </c>
    </row>
    <row r="965">
      <c r="A965" s="11" t="inlineStr">
        <is>
          <t>RB_Batch-0005-00037-13206</t>
        </is>
      </c>
      <c r="B965" s="11" t="inlineStr">
        <is>
          <t>2025 Bowman's Best BOBBY WITT JR. #C-1 Circuitry Royals</t>
        </is>
      </c>
      <c r="C965" s="12" t="n">
        <v>4.99</v>
      </c>
      <c r="D965" s="12" t="n">
        <v>2.79</v>
      </c>
      <c r="E965" s="12" t="n">
        <v>-2.2</v>
      </c>
      <c r="F965" s="13" t="n">
        <v>-44.1</v>
      </c>
      <c r="G965" s="11" t="inlineStr">
        <is>
          <t>⬇ Price Down</t>
        </is>
      </c>
      <c r="H965" s="11" t="inlineStr">
        <is>
          <t>86%</t>
        </is>
      </c>
      <c r="I965" s="11">
        <f>HYPERLINK("https://www.ebay.com/sch/261328/i.html?_dcat=261328&amp;_fsrp=1&amp;rt=nc&amp;_from=R40&amp;_nkw=2025%20Bowman's%20Best%20BOBBY%20WITT%20JR.%20%23C-1%20Circuitry%20Royals&amp;_sacat=0&amp;_sop=15&amp;rt=nc&amp;LH_BIN=1", "Active")</f>
        <v/>
      </c>
      <c r="J965" s="11">
        <f>HYPERLINK("https://www.ebay.com/sch/261328/i.html?_from=R40&amp;_nkw=2025%20Bowman's%20Best%20BOBBY%20WITT%20JR.%20%23C-1%20Circuitry%20Royals&amp;_sacat=0&amp;LH_Sold=1&amp;LH_Complete=1&amp;_sop=13", "Completed")</f>
        <v/>
      </c>
      <c r="K965" s="11" t="inlineStr">
        <is>
          <t>2025 Bowman's Best #C-1 Bobby Witt Jr. Circuitry Kansas City Royals</t>
        </is>
      </c>
    </row>
    <row r="966">
      <c r="A966" s="11" t="inlineStr">
        <is>
          <t>RB_Batch-0005-00034-99877</t>
        </is>
      </c>
      <c r="B966" s="11" t="inlineStr">
        <is>
          <t>2025 Bowman's Best SPENCER SCHWELLENBACH #68 Refractor RC Braves Rookie</t>
        </is>
      </c>
      <c r="C966" s="12" t="n">
        <v>3.99</v>
      </c>
      <c r="D966" s="12" t="n">
        <v>2.69</v>
      </c>
      <c r="E966" s="12" t="n">
        <v>-1.3</v>
      </c>
      <c r="F966" s="13" t="n">
        <v>-32.6</v>
      </c>
      <c r="G966" s="11" t="inlineStr">
        <is>
          <t>⬇ Price Down</t>
        </is>
      </c>
      <c r="H966" s="11" t="inlineStr">
        <is>
          <t>75%</t>
        </is>
      </c>
      <c r="I966" s="11">
        <f>HYPERLINK("https://www.ebay.com/sch/261328/i.html?_dcat=261328&amp;_fsrp=1&amp;rt=nc&amp;_from=R40&amp;_nkw=2025%20Bowman's%20Best%20SPENCER%20SCHWELLENBACH%20%2368%20Refractor%20RC%20Braves%20Rookie&amp;_sacat=0&amp;_sop=15&amp;rt=nc&amp;LH_BIN=1", "Active")</f>
        <v/>
      </c>
      <c r="J966" s="11">
        <f>HYPERLINK("https://www.ebay.com/sch/261328/i.html?_from=R40&amp;_nkw=2025%20Bowman's%20Best%20SPENCER%20SCHWELLENBACH%20%2368%20Refractor%20RC%20Braves%20Rookie&amp;_sacat=0&amp;LH_Sold=1&amp;LH_Complete=1&amp;_sop=13", "Completed")</f>
        <v/>
      </c>
      <c r="K966" s="11" t="inlineStr">
        <is>
          <t>Spencer Schwellenbach 25 Bowman's Best 68 Refractor RC - Atlanta Braves</t>
        </is>
      </c>
    </row>
    <row r="967">
      <c r="A967" s="5" t="inlineStr">
        <is>
          <t>RB_Batch-0005-00009-86171</t>
        </is>
      </c>
      <c r="B967" s="5" t="inlineStr">
        <is>
          <t>2026 Topps STEPHEN KOLEK #48 Yellow Rainbow Foil 169/399 Royals</t>
        </is>
      </c>
      <c r="C967" s="6" t="n">
        <v>3.99</v>
      </c>
      <c r="D967" s="6" t="n">
        <v>4.79</v>
      </c>
      <c r="E967" s="6" t="n">
        <v>0.8</v>
      </c>
      <c r="F967" s="7" t="n">
        <v>20.1</v>
      </c>
      <c r="G967" s="5" t="inlineStr">
        <is>
          <t>⬆ Price Up</t>
        </is>
      </c>
      <c r="H967" s="5" t="inlineStr">
        <is>
          <t>100%</t>
        </is>
      </c>
      <c r="I967" s="5">
        <f>HYPERLINK("https://www.ebay.com/sch/261328/i.html?_dcat=261328&amp;_fsrp=1&amp;rt=nc&amp;_from=R40&amp;_nkw=2026%20Topps%20STEPHEN%20KOLEK%20%2348%20Yellow%20Rainbow%20Foil%20169%2F399%20Royals&amp;_sacat=0&amp;_sop=15&amp;rt=nc&amp;LH_BIN=1", "Active")</f>
        <v/>
      </c>
      <c r="J967" s="5">
        <f>HYPERLINK("https://www.ebay.com/sch/261328/i.html?_from=R40&amp;_nkw=2026%20Topps%20STEPHEN%20KOLEK%20%2348%20Yellow%20Rainbow%20Foil%20169%2F399%20Royals&amp;_sacat=0&amp;LH_Sold=1&amp;LH_Complete=1&amp;_sop=13", "Completed")</f>
        <v/>
      </c>
      <c r="K967" s="5" t="inlineStr">
        <is>
          <t>2026 Topps STEPHEN KOLEK #48 Yellow Rainbow Foil 169/399 Royals</t>
        </is>
      </c>
    </row>
    <row r="968">
      <c r="A968" s="5" t="inlineStr">
        <is>
          <t>RB_Batch-0005-00022-55676</t>
        </is>
      </c>
      <c r="B968" s="5" t="inlineStr">
        <is>
          <t>2025 Bowman's Best MASYN WINN #44 Refractor Cardinals Football</t>
        </is>
      </c>
      <c r="C968" s="6" t="n">
        <v>2.99</v>
      </c>
      <c r="D968" s="6" t="n">
        <v>3.89</v>
      </c>
      <c r="E968" s="6" t="n">
        <v>0.9</v>
      </c>
      <c r="F968" s="7" t="n">
        <v>30.1</v>
      </c>
      <c r="G968" s="5" t="inlineStr">
        <is>
          <t>⬆ Price Up</t>
        </is>
      </c>
      <c r="H968" s="5" t="inlineStr">
        <is>
          <t>89%</t>
        </is>
      </c>
      <c r="I968" s="5">
        <f>HYPERLINK("https://www.ebay.com/sch/261328/i.html?_dcat=261328&amp;_fsrp=1&amp;rt=nc&amp;_from=R40&amp;_nkw=2025%20Bowman's%20Best%20MASYN%20WINN%20%2344%20Refractor%20Cardinals%20Football&amp;_sacat=0&amp;_sop=15&amp;rt=nc&amp;LH_BIN=1", "Active")</f>
        <v/>
      </c>
      <c r="J968" s="5">
        <f>HYPERLINK("https://www.ebay.com/sch/261328/i.html?_from=R40&amp;_nkw=2025%20Bowman's%20Best%20MASYN%20WINN%20%2344%20Refractor%20Cardinals%20Football&amp;_sacat=0&amp;LH_Sold=1&amp;LH_Complete=1&amp;_sop=13", "Completed")</f>
        <v/>
      </c>
      <c r="K968" s="5" t="inlineStr">
        <is>
          <t>2025 Bowman's Best MASYN WINN #44 Wave Refractor Cardinals Football</t>
        </is>
      </c>
    </row>
    <row r="969">
      <c r="A969" s="11" t="inlineStr">
        <is>
          <t>RB_Batch-0005-00027-34560</t>
        </is>
      </c>
      <c r="B969" s="11" t="inlineStr">
        <is>
          <t>2023 Bowman's Best SPENCER JONES #TP-5 Top Prospects Refractor Yankees</t>
        </is>
      </c>
      <c r="C969" s="12" t="n">
        <v>5.49</v>
      </c>
      <c r="D969" s="12" t="n">
        <v>5.29</v>
      </c>
      <c r="E969" s="12" t="n">
        <v>-0.2</v>
      </c>
      <c r="F969" s="13" t="n">
        <v>-3.6</v>
      </c>
      <c r="G969" s="11" t="inlineStr">
        <is>
          <t>⬇ Price Down</t>
        </is>
      </c>
      <c r="H969" s="11" t="inlineStr">
        <is>
          <t>64%</t>
        </is>
      </c>
      <c r="I969" s="11">
        <f>HYPERLINK("https://www.ebay.com/sch/261328/i.html?_dcat=261328&amp;_fsrp=1&amp;rt=nc&amp;_from=R40&amp;_nkw=2023%20Bowman's%20Best%20SPENCER%20JONES%20%23TP-5%20Top%20Prospects%20Refractor%20Yankees&amp;_sacat=0&amp;_sop=15&amp;rt=nc&amp;LH_BIN=1", "Active")</f>
        <v/>
      </c>
      <c r="J969" s="11">
        <f>HYPERLINK("https://www.ebay.com/sch/261328/i.html?_from=R40&amp;_nkw=2023%20Bowman's%20Best%20SPENCER%20JONES%20%23TP-5%20Top%20Prospects%20Refractor%20Yankees&amp;_sacat=0&amp;LH_Sold=1&amp;LH_Complete=1&amp;_sop=13", "Completed")</f>
        <v/>
      </c>
      <c r="K969" s="11" t="inlineStr">
        <is>
          <t>2023 BOWMAN'S BEST BASEBALL CARDS #1-70, #TP1-TP30 &amp; REFRACTOR PICK YOUR CARD</t>
        </is>
      </c>
    </row>
    <row r="970">
      <c r="A970" s="2" t="inlineStr">
        <is>
          <t>RB_Batch-0006-00019-96080</t>
        </is>
      </c>
      <c r="B970" s="2" t="inlineStr">
        <is>
          <t>2024-25 Panini Donruss Optic SHAI GILGEOUS-ALEXANDER #6 My House Holo Thunder</t>
        </is>
      </c>
      <c r="C970" s="3" t="n">
        <v>3.99</v>
      </c>
      <c r="D970" s="3" t="n">
        <v>2.49</v>
      </c>
      <c r="E970" s="3" t="n">
        <v>-1.5</v>
      </c>
      <c r="F970" s="4" t="n">
        <v>-37.6</v>
      </c>
      <c r="G970" s="2" t="inlineStr">
        <is>
          <t>🔵 Floored $2.49 — free ship or $0.99 ship?</t>
        </is>
      </c>
      <c r="H970" s="2" t="inlineStr">
        <is>
          <t>85%</t>
        </is>
      </c>
      <c r="I970" s="2">
        <f>HYPERLINK("https://www.ebay.com/sch/261328/i.html?_dcat=261328&amp;_fsrp=1&amp;rt=nc&amp;_from=R40&amp;_nkw=2024-25%20Panini%20Donruss%20Optic%20SHAI%20GILGEOUS-ALEXANDER%20%236%20My%20House%20Holo%20Thunder&amp;_sacat=0&amp;_sop=15&amp;rt=nc&amp;LH_BIN=1", "Active")</f>
        <v/>
      </c>
      <c r="J970" s="2">
        <f>HYPERLINK("https://www.ebay.com/sch/261328/i.html?_from=R40&amp;_nkw=2024-25%20Panini%20Donruss%20Optic%20SHAI%20GILGEOUS-ALEXANDER%20%236%20My%20House%20Holo%20Thunder&amp;_sacat=0&amp;LH_Sold=1&amp;LH_Complete=1&amp;_sop=13", "Completed")</f>
        <v/>
      </c>
      <c r="K970" s="2" t="inlineStr">
        <is>
          <t>2024-25 Optic My House Shai Gilgeous-Alexander #6 Holo OKC Thunder</t>
        </is>
      </c>
    </row>
    <row r="971">
      <c r="A971" s="2" t="inlineStr">
        <is>
          <t>RB_Batch-0006-00016-50145</t>
        </is>
      </c>
      <c r="B971" s="2" t="inlineStr">
        <is>
          <t>2024 Panini Donruss Optic BUB CARRINGTON #273 Hyper Pink Prizm RC Rated Rookie</t>
        </is>
      </c>
      <c r="C971" s="3" t="n">
        <v>3.49</v>
      </c>
      <c r="D971" s="3" t="n">
        <v>2.49</v>
      </c>
      <c r="E971" s="3" t="n">
        <v>-1</v>
      </c>
      <c r="F971" s="4" t="n">
        <v>-28.7</v>
      </c>
      <c r="G971" s="2" t="inlineStr">
        <is>
          <t>🔵 Floored $2.49 — free ship or $0.99 ship?</t>
        </is>
      </c>
      <c r="H971" s="2" t="inlineStr">
        <is>
          <t>87%</t>
        </is>
      </c>
      <c r="I971" s="2">
        <f>HYPERLINK("https://www.ebay.com/sch/261328/i.html?_dcat=261328&amp;_fsrp=1&amp;rt=nc&amp;_from=R40&amp;_nkw=2024%20Panini%20Donruss%20Optic%20BUB%20CARRINGTON%20%23273%20Hyper%20Pink%20Prizm%20RC%20Rated%20Rookie&amp;_sacat=0&amp;_sop=15&amp;rt=nc&amp;LH_BIN=1", "Active")</f>
        <v/>
      </c>
      <c r="J971" s="2">
        <f>HYPERLINK("https://www.ebay.com/sch/261328/i.html?_from=R40&amp;_nkw=2024%20Panini%20Donruss%20Optic%20BUB%20CARRINGTON%20%23273%20Hyper%20Pink%20Prizm%20RC%20Rated%20Rookie&amp;_sacat=0&amp;LH_Sold=1&amp;LH_Complete=1&amp;_sop=13", "Completed")</f>
        <v/>
      </c>
      <c r="K971" s="2" t="inlineStr">
        <is>
          <t>2024-25 Donruss Optic #273 Bub Carrington Rated Rookie Hyper Pink Prizm RC</t>
        </is>
      </c>
    </row>
    <row r="972">
      <c r="A972" s="11" t="inlineStr">
        <is>
          <t>RB_Batch-0006-00012-93979</t>
        </is>
      </c>
      <c r="B972" s="11" t="inlineStr">
        <is>
          <t>2024 Panini Donruss Optic RYAN DUNN #279 Hyper Blue Prizm /175 RC Rated Rookie</t>
        </is>
      </c>
      <c r="C972" s="12" t="n">
        <v>3.49</v>
      </c>
      <c r="D972" s="12" t="n">
        <v>3.29</v>
      </c>
      <c r="E972" s="12" t="n">
        <v>-0.2</v>
      </c>
      <c r="F972" s="13" t="n">
        <v>-5.7</v>
      </c>
      <c r="G972" s="11" t="inlineStr">
        <is>
          <t>⬇ Price Down</t>
        </is>
      </c>
      <c r="H972" s="11" t="inlineStr">
        <is>
          <t>100%</t>
        </is>
      </c>
      <c r="I972" s="11">
        <f>HYPERLINK("https://www.ebay.com/sch/261328/i.html?_dcat=261328&amp;_fsrp=1&amp;rt=nc&amp;_from=R40&amp;_nkw=2024%20Panini%20Donruss%20Optic%20RYAN%20DUNN%20%23279%20Hyper%20Blue%20Prizm%20%2F175%20RC%20Rated%20Rookie&amp;_sacat=0&amp;_sop=15&amp;rt=nc&amp;LH_BIN=1", "Active")</f>
        <v/>
      </c>
      <c r="J972" s="11">
        <f>HYPERLINK("https://www.ebay.com/sch/261328/i.html?_from=R40&amp;_nkw=2024%20Panini%20Donruss%20Optic%20RYAN%20DUNN%20%23279%20Hyper%20Blue%20Prizm%20%2F175%20RC%20Rated%20Rookie&amp;_sacat=0&amp;LH_Sold=1&amp;LH_Complete=1&amp;_sop=13", "Completed")</f>
        <v/>
      </c>
      <c r="K972" s="11" t="inlineStr">
        <is>
          <t>2024 Panini Donruss Optic Ryan Dunn #279 Hyper Blue Prizm /175 RC Rated Rookie</t>
        </is>
      </c>
    </row>
    <row r="973">
      <c r="A973" s="2" t="inlineStr">
        <is>
          <t>RB_Batch-0006-00035-91776</t>
        </is>
      </c>
      <c r="B973" s="2" t="inlineStr">
        <is>
          <t>2026 Topps Collector's Kit Exclusive ACE BAILEY #NBA-8 Rainbow Foil RC Rookie</t>
        </is>
      </c>
      <c r="C973" s="3" t="n">
        <v>4.99</v>
      </c>
      <c r="D973" s="3" t="n">
        <v>2.49</v>
      </c>
      <c r="E973" s="3" t="n">
        <v>-2.5</v>
      </c>
      <c r="F973" s="4" t="n">
        <v>-50.1</v>
      </c>
      <c r="G973" s="2" t="inlineStr">
        <is>
          <t>🔵 Floored $2.49 — free ship or $0.99 ship?</t>
        </is>
      </c>
      <c r="H973" s="2" t="inlineStr">
        <is>
          <t>90%</t>
        </is>
      </c>
      <c r="I973" s="2">
        <f>HYPERLINK("https://www.ebay.com/sch/261328/i.html?_dcat=261328&amp;_fsrp=1&amp;rt=nc&amp;_from=R40&amp;_nkw=2026%20Topps%20Collector's%20Kit%20Exclusive%20ACE%20BAILEY%20%23NBA-8%20Rainbow%20Foil%20RC%20Rookie&amp;_sacat=0&amp;_sop=15&amp;rt=nc&amp;LH_BIN=1", "Active")</f>
        <v/>
      </c>
      <c r="J973" s="2">
        <f>HYPERLINK("https://www.ebay.com/sch/261328/i.html?_from=R40&amp;_nkw=2026%20Topps%20Collector's%20Kit%20Exclusive%20ACE%20BAILEY%20%23NBA-8%20Rainbow%20Foil%20RC%20Rookie&amp;_sacat=0&amp;LH_Sold=1&amp;LH_Complete=1&amp;_sop=13", "Completed")</f>
        <v/>
      </c>
      <c r="K973" s="2" t="inlineStr">
        <is>
          <t>2026 Topps Collector's Kit Exclusive Ace Bailey RC Rainbow Foil Rookie #NBA-8</t>
        </is>
      </c>
    </row>
    <row r="974">
      <c r="A974" s="11" t="inlineStr">
        <is>
          <t>RB_Batch-0006-00011-36239</t>
        </is>
      </c>
      <c r="B974" s="11" t="inlineStr">
        <is>
          <t>2024 Panini Donruss Optic DONOVAN CLINGAN #272 Holo Prizm RC Rated Rookie</t>
        </is>
      </c>
      <c r="C974" s="12" t="n">
        <v>4.49</v>
      </c>
      <c r="D974" s="12" t="n">
        <v>2.59</v>
      </c>
      <c r="E974" s="12" t="n">
        <v>-1.9</v>
      </c>
      <c r="F974" s="13" t="n">
        <v>-42.3</v>
      </c>
      <c r="G974" s="11" t="inlineStr">
        <is>
          <t>⬇ Price Down</t>
        </is>
      </c>
      <c r="H974" s="11" t="inlineStr">
        <is>
          <t>88%</t>
        </is>
      </c>
      <c r="I974" s="11">
        <f>HYPERLINK("https://www.ebay.com/sch/261328/i.html?_dcat=261328&amp;_fsrp=1&amp;rt=nc&amp;_from=R40&amp;_nkw=2024%20Panini%20Donruss%20Optic%20DONOVAN%20CLINGAN%20%23272%20Holo%20Prizm%20RC%20Rated%20Rookie&amp;_sacat=0&amp;_sop=15&amp;rt=nc&amp;LH_BIN=1", "Active")</f>
        <v/>
      </c>
      <c r="J974" s="11">
        <f>HYPERLINK("https://www.ebay.com/sch/261328/i.html?_from=R40&amp;_nkw=2024%20Panini%20Donruss%20Optic%20DONOVAN%20CLINGAN%20%23272%20Holo%20Prizm%20RC%20Rated%20Rookie&amp;_sacat=0&amp;LH_Sold=1&amp;LH_Complete=1&amp;_sop=13", "Completed")</f>
        <v/>
      </c>
      <c r="K974" s="11" t="inlineStr">
        <is>
          <t>2024-25 Panini Donruss Optic - Rated Rookie Donovan Clingan #272 Holo Prizm (RC)</t>
        </is>
      </c>
    </row>
    <row r="975">
      <c r="A975" s="11" t="inlineStr">
        <is>
          <t>RB_Batch-0006-00006-94968</t>
        </is>
      </c>
      <c r="B975" s="11" t="inlineStr">
        <is>
          <t>2024-25 Panini Donruss Optic ISAIAH COLLIER #295 Holo Prizm RC Rated Rookie Jazz</t>
        </is>
      </c>
      <c r="C975" s="12" t="n">
        <v>4.49</v>
      </c>
      <c r="D975" s="12" t="n">
        <v>2.69</v>
      </c>
      <c r="E975" s="12" t="n">
        <v>-1.8</v>
      </c>
      <c r="F975" s="13" t="n">
        <v>-40.1</v>
      </c>
      <c r="G975" s="11" t="inlineStr">
        <is>
          <t>⬇ Price Down</t>
        </is>
      </c>
      <c r="H975" s="11" t="inlineStr">
        <is>
          <t>84%</t>
        </is>
      </c>
      <c r="I975" s="11">
        <f>HYPERLINK("https://www.ebay.com/sch/261328/i.html?_dcat=261328&amp;_fsrp=1&amp;rt=nc&amp;_from=R40&amp;_nkw=2024-25%20Panini%20Donruss%20Optic%20ISAIAH%20COLLIER%20%23295%20Holo%20Prizm%20RC%20Rated%20Rookie%20Jazz&amp;_sacat=0&amp;_sop=15&amp;rt=nc&amp;LH_BIN=1", "Active")</f>
        <v/>
      </c>
      <c r="J975" s="11">
        <f>HYPERLINK("https://www.ebay.com/sch/261328/i.html?_from=R40&amp;_nkw=2024-25%20Panini%20Donruss%20Optic%20ISAIAH%20COLLIER%20%23295%20Holo%20Prizm%20RC%20Rated%20Rookie%20Jazz&amp;_sacat=0&amp;LH_Sold=1&amp;LH_Complete=1&amp;_sop=13", "Completed")</f>
        <v/>
      </c>
      <c r="K975" s="11" t="inlineStr">
        <is>
          <t>2024-25 Donruss Optic #295 Isaiah Collier Holo RC Utah Jazz</t>
        </is>
      </c>
    </row>
    <row r="976">
      <c r="A976" s="11" t="inlineStr">
        <is>
          <t>RB_Batch-0006-00033-33760</t>
        </is>
      </c>
      <c r="B976" s="11" t="inlineStr">
        <is>
          <t>2024-25 Panini Donruss Optic STEPHON CASTLE #16 My House Holo RC Spurs Rookie</t>
        </is>
      </c>
      <c r="C976" s="12" t="n">
        <v>5.99</v>
      </c>
      <c r="D976" s="12" t="n">
        <v>4.09</v>
      </c>
      <c r="E976" s="12" t="n">
        <v>-1.9</v>
      </c>
      <c r="F976" s="13" t="n">
        <v>-31.7</v>
      </c>
      <c r="G976" s="11" t="inlineStr">
        <is>
          <t>⬇ Price Down</t>
        </is>
      </c>
      <c r="H976" s="11" t="inlineStr">
        <is>
          <t>88%</t>
        </is>
      </c>
      <c r="I976" s="11">
        <f>HYPERLINK("https://www.ebay.com/sch/261328/i.html?_dcat=261328&amp;_fsrp=1&amp;rt=nc&amp;_from=R40&amp;_nkw=2024-25%20Panini%20Donruss%20Optic%20STEPHON%20CASTLE%20%2316%20My%20House%20Holo%20RC%20Spurs%20Rookie&amp;_sacat=0&amp;_sop=15&amp;rt=nc&amp;LH_BIN=1", "Active")</f>
        <v/>
      </c>
      <c r="J976" s="11">
        <f>HYPERLINK("https://www.ebay.com/sch/261328/i.html?_from=R40&amp;_nkw=2024-25%20Panini%20Donruss%20Optic%20STEPHON%20CASTLE%20%2316%20My%20House%20Holo%20RC%20Spurs%20Rookie&amp;_sacat=0&amp;LH_Sold=1&amp;LH_Complete=1&amp;_sop=13", "Completed")</f>
        <v/>
      </c>
      <c r="K976" s="11" t="inlineStr">
        <is>
          <t>2024-25 Donruss Optic #16 Stephon Castle My House Prizm Holo Rookie RC Spurs</t>
        </is>
      </c>
    </row>
    <row r="977">
      <c r="A977" s="11" t="inlineStr">
        <is>
          <t>RB_Batch-0006-00025-96616</t>
        </is>
      </c>
      <c r="B977" s="11" t="inlineStr">
        <is>
          <t>2025 Panini CAITLIN CLARK CHRONICLED #69 Dress For Success Holo Fever</t>
        </is>
      </c>
      <c r="C977" s="12" t="n">
        <v>4.49</v>
      </c>
      <c r="D977" s="12" t="n">
        <v>3.59</v>
      </c>
      <c r="E977" s="12" t="n">
        <v>-0.9</v>
      </c>
      <c r="F977" s="13" t="n">
        <v>-20</v>
      </c>
      <c r="G977" s="11" t="inlineStr">
        <is>
          <t>⬇ Price Down</t>
        </is>
      </c>
      <c r="H977" s="11" t="inlineStr">
        <is>
          <t>70%</t>
        </is>
      </c>
      <c r="I977" s="11">
        <f>HYPERLINK("https://www.ebay.com/sch/261328/i.html?_dcat=261328&amp;_fsrp=1&amp;rt=nc&amp;_from=R40&amp;_nkw=2025%20Panini%20CAITLIN%20CLARK%20CHRONICLED%20%2369%20Dress%20For%20Success%20Holo%20Fever&amp;_sacat=0&amp;_sop=15&amp;rt=nc&amp;LH_BIN=1", "Active")</f>
        <v/>
      </c>
      <c r="J977" s="11">
        <f>HYPERLINK("https://www.ebay.com/sch/261328/i.html?_from=R40&amp;_nkw=2025%20Panini%20CAITLIN%20CLARK%20CHRONICLED%20%2369%20Dress%20For%20Success%20Holo%20Fever&amp;_sacat=0&amp;LH_Sold=1&amp;LH_Complete=1&amp;_sop=13", "Completed")</f>
        <v/>
      </c>
      <c r="K977" s="11" t="inlineStr">
        <is>
          <t>2025 Panini Caitlin Clark Chronicled Holos and Base - Indian Fever - You Pick</t>
        </is>
      </c>
    </row>
    <row r="978">
      <c r="A978" s="2" t="inlineStr">
        <is>
          <t>RB_Batch-0006-00031-90941</t>
        </is>
      </c>
      <c r="B978" s="2" t="inlineStr">
        <is>
          <t>2026 Topps Collector's Kit Exclusive EGOR DEMIN #NBA-9 Rainbow Foil RC Rookie</t>
        </is>
      </c>
      <c r="C978" s="3" t="n">
        <v>4.99</v>
      </c>
      <c r="D978" s="3" t="n">
        <v>2.49</v>
      </c>
      <c r="E978" s="3" t="n">
        <v>-2.5</v>
      </c>
      <c r="F978" s="4" t="n">
        <v>-50.1</v>
      </c>
      <c r="G978" s="2" t="inlineStr">
        <is>
          <t>🔵 Floored $2.49 — free ship or $0.99 ship?</t>
        </is>
      </c>
      <c r="H978" s="2" t="inlineStr">
        <is>
          <t>88%</t>
        </is>
      </c>
      <c r="I978" s="2">
        <f>HYPERLINK("https://www.ebay.com/sch/261328/i.html?_dcat=261328&amp;_fsrp=1&amp;rt=nc&amp;_from=R40&amp;_nkw=2026%20Topps%20Collector's%20Kit%20Exclusive%20EGOR%20DEMIN%20%23NBA-9%20Rainbow%20Foil%20RC%20Rookie&amp;_sacat=0&amp;_sop=15&amp;rt=nc&amp;LH_BIN=1", "Active")</f>
        <v/>
      </c>
      <c r="J978" s="2">
        <f>HYPERLINK("https://www.ebay.com/sch/261328/i.html?_from=R40&amp;_nkw=2026%20Topps%20Collector's%20Kit%20Exclusive%20EGOR%20DEMIN%20%23NBA-9%20Rainbow%20Foil%20RC%20Rookie&amp;_sacat=0&amp;LH_Sold=1&amp;LH_Complete=1&amp;_sop=13", "Completed")</f>
        <v/>
      </c>
      <c r="K978" s="2" t="inlineStr">
        <is>
          <t>2026 Topps Collector's Kit Exclusive Egor Demin Rainbow Foil RC #NBA-9 Nets</t>
        </is>
      </c>
    </row>
    <row r="979">
      <c r="A979" s="11" t="inlineStr">
        <is>
          <t>RB_Batch-0006-00026-14749</t>
        </is>
      </c>
      <c r="B979" s="11" t="inlineStr">
        <is>
          <t>2025 Panini CAITLIN CLARK CHRONICLED #36 WNBA Green Laser Fever</t>
        </is>
      </c>
      <c r="C979" s="12" t="n">
        <v>35.29</v>
      </c>
      <c r="D979" s="12" t="n">
        <v>32.39</v>
      </c>
      <c r="E979" s="12" t="n">
        <v>-2.9</v>
      </c>
      <c r="F979" s="13" t="n">
        <v>-8.199999999999999</v>
      </c>
      <c r="G979" s="11" t="inlineStr">
        <is>
          <t>⬇ Price Down</t>
        </is>
      </c>
      <c r="H979" s="11" t="inlineStr">
        <is>
          <t>88%</t>
        </is>
      </c>
      <c r="I979" s="11">
        <f>HYPERLINK("https://www.ebay.com/sch/261328/i.html?_dcat=261328&amp;_fsrp=1&amp;rt=nc&amp;_from=R40&amp;_nkw=2025%20Panini%20CAITLIN%20CLARK%20CHRONICLED%20%2336%20WNBA%20Green%20Laser%20Fever&amp;_sacat=0&amp;_sop=15&amp;rt=nc&amp;LH_BIN=1", "Active")</f>
        <v/>
      </c>
      <c r="J979" s="11">
        <f>HYPERLINK("https://www.ebay.com/sch/261328/i.html?_from=R40&amp;_nkw=2025%20Panini%20CAITLIN%20CLARK%20CHRONICLED%20%2336%20WNBA%20Green%20Laser%20Fever&amp;_sacat=0&amp;LH_Sold=1&amp;LH_Complete=1&amp;_sop=13", "Completed")</f>
        <v/>
      </c>
      <c r="K979" s="11" t="inlineStr">
        <is>
          <t>2025 Panini Caitlin Clark Chronicled Green Laser Indiana Fever #36</t>
        </is>
      </c>
    </row>
    <row r="980">
      <c r="A980" s="2" t="inlineStr">
        <is>
          <t>RB_Batch-0006-00004-65627</t>
        </is>
      </c>
      <c r="B980" s="2" t="inlineStr">
        <is>
          <t>2024 Panini Donruss Optic ZACCHARIE RISACHER #268 Holo Prizm RC Rated Rookie</t>
        </is>
      </c>
      <c r="C980" s="3" t="n">
        <v>3.99</v>
      </c>
      <c r="D980" s="3" t="n">
        <v>2.49</v>
      </c>
      <c r="E980" s="3" t="n">
        <v>-1.5</v>
      </c>
      <c r="F980" s="4" t="n">
        <v>-37.6</v>
      </c>
      <c r="G980" s="2" t="inlineStr">
        <is>
          <t>🔵 Floored $2.49 — free ship or $0.99 ship?</t>
        </is>
      </c>
      <c r="H980" s="2" t="inlineStr">
        <is>
          <t>83%</t>
        </is>
      </c>
      <c r="I980" s="2">
        <f>HYPERLINK("https://www.ebay.com/sch/261328/i.html?_dcat=261328&amp;_fsrp=1&amp;rt=nc&amp;_from=R40&amp;_nkw=2024%20Panini%20Donruss%20Optic%20ZACCHARIE%20RISACHER%20%23268%20Holo%20Prizm%20RC%20Rated%20Rookie&amp;_sacat=0&amp;_sop=15&amp;rt=nc&amp;LH_BIN=1", "Active")</f>
        <v/>
      </c>
      <c r="J980" s="2">
        <f>HYPERLINK("https://www.ebay.com/sch/261328/i.html?_from=R40&amp;_nkw=2024%20Panini%20Donruss%20Optic%20ZACCHARIE%20RISACHER%20%23268%20Holo%20Prizm%20RC%20Rated%20Rookie&amp;_sacat=0&amp;LH_Sold=1&amp;LH_Complete=1&amp;_sop=13", "Completed")</f>
        <v/>
      </c>
      <c r="K980" s="2" t="inlineStr">
        <is>
          <t>2024-25 Donruss Optic - Zaccharie Risacher (RC) #268 Holo Prizm Atlanta Hawks</t>
        </is>
      </c>
    </row>
    <row r="981">
      <c r="A981" s="5" t="inlineStr">
        <is>
          <t>RB_Batch-0006-00022-28745</t>
        </is>
      </c>
      <c r="B981" s="5" t="inlineStr">
        <is>
          <t>2025 Panini CAITLIN CLARK CHRONICLED #38 WNBA Holo Fever</t>
        </is>
      </c>
      <c r="C981" s="6" t="n">
        <v>3.99</v>
      </c>
      <c r="D981" s="6" t="n">
        <v>4.49</v>
      </c>
      <c r="E981" s="6" t="n">
        <v>0.5</v>
      </c>
      <c r="F981" s="7" t="n">
        <v>12.5</v>
      </c>
      <c r="G981" s="5" t="inlineStr">
        <is>
          <t>⬆ Price Up</t>
        </is>
      </c>
      <c r="H981" s="5" t="inlineStr">
        <is>
          <t>87%</t>
        </is>
      </c>
      <c r="I981" s="5">
        <f>HYPERLINK("https://www.ebay.com/sch/261328/i.html?_dcat=261328&amp;_fsrp=1&amp;rt=nc&amp;_from=R40&amp;_nkw=2025%20Panini%20CAITLIN%20CLARK%20CHRONICLED%20%2338%20WNBA%20Holo%20Fever&amp;_sacat=0&amp;_sop=15&amp;rt=nc&amp;LH_BIN=1", "Active")</f>
        <v/>
      </c>
      <c r="J981" s="5">
        <f>HYPERLINK("https://www.ebay.com/sch/261328/i.html?_from=R40&amp;_nkw=2025%20Panini%20CAITLIN%20CLARK%20CHRONICLED%20%2338%20WNBA%20Holo%20Fever&amp;_sacat=0&amp;LH_Sold=1&amp;LH_Complete=1&amp;_sop=13", "Completed")</f>
        <v/>
      </c>
      <c r="K981" s="5" t="inlineStr">
        <is>
          <t>2025 Panini Chronicled Caitlin Clark HOLO FOIL # 38 Fever</t>
        </is>
      </c>
    </row>
    <row r="982">
      <c r="A982" s="11" t="inlineStr">
        <is>
          <t>RB_Batch-0006-00029-46916</t>
        </is>
      </c>
      <c r="B982" s="11" t="inlineStr">
        <is>
          <t>2024-25 Panini Prizm DECA BUB CARRINGTON #145 RC Wizards Rookie Basketball</t>
        </is>
      </c>
      <c r="C982" s="12" t="n">
        <v>4.49</v>
      </c>
      <c r="D982" s="12" t="n">
        <v>2.89</v>
      </c>
      <c r="E982" s="12" t="n">
        <v>-1.6</v>
      </c>
      <c r="F982" s="13" t="n">
        <v>-35.6</v>
      </c>
      <c r="G982" s="11" t="inlineStr">
        <is>
          <t>⬇ Price Down</t>
        </is>
      </c>
      <c r="H982" s="11" t="inlineStr">
        <is>
          <t>86%</t>
        </is>
      </c>
      <c r="I982" s="11">
        <f>HYPERLINK("https://www.ebay.com/sch/261328/i.html?_dcat=261328&amp;_fsrp=1&amp;rt=nc&amp;_from=R40&amp;_nkw=2024-25%20Panini%20Prizm%20DECA%20BUB%20CARRINGTON%20%23145%20RC%20Wizards%20Rookie%20Basketball&amp;_sacat=0&amp;_sop=15&amp;rt=nc&amp;LH_BIN=1", "Active")</f>
        <v/>
      </c>
      <c r="J982" s="11">
        <f>HYPERLINK("https://www.ebay.com/sch/261328/i.html?_from=R40&amp;_nkw=2024-25%20Panini%20Prizm%20DECA%20BUB%20CARRINGTON%20%23145%20RC%20Wizards%20Rookie%20Basketball&amp;_sacat=0&amp;LH_Sold=1&amp;LH_Complete=1&amp;_sop=13", "Completed")</f>
        <v/>
      </c>
      <c r="K982" s="11" t="inlineStr">
        <is>
          <t>2024-25 Panini Prizm Deca #145 Bub Carrington Rc Wizards Base</t>
        </is>
      </c>
    </row>
    <row r="983">
      <c r="A983" s="5" t="inlineStr">
        <is>
          <t>RB_Batch-0006-00028-14441</t>
        </is>
      </c>
      <c r="B983" s="5" t="inlineStr">
        <is>
          <t>2025 Panini CAITLIN CLARK CHRONICLED #72 Shoe Game Holo Fever</t>
        </is>
      </c>
      <c r="C983" s="6" t="n">
        <v>5.49</v>
      </c>
      <c r="D983" s="6" t="n">
        <v>6.29</v>
      </c>
      <c r="E983" s="6" t="n">
        <v>0.8</v>
      </c>
      <c r="F983" s="7" t="n">
        <v>14.6</v>
      </c>
      <c r="G983" s="5" t="inlineStr">
        <is>
          <t>⬆ Price Up</t>
        </is>
      </c>
      <c r="H983" s="5" t="inlineStr">
        <is>
          <t>100%</t>
        </is>
      </c>
      <c r="I983" s="5">
        <f>HYPERLINK("https://www.ebay.com/sch/261328/i.html?_dcat=261328&amp;_fsrp=1&amp;rt=nc&amp;_from=R40&amp;_nkw=2025%20Panini%20CAITLIN%20CLARK%20CHRONICLED%20%2372%20Shoe%20Game%20Holo%20Fever&amp;_sacat=0&amp;_sop=15&amp;rt=nc&amp;LH_BIN=1", "Active")</f>
        <v/>
      </c>
      <c r="J983" s="5">
        <f>HYPERLINK("https://www.ebay.com/sch/261328/i.html?_from=R40&amp;_nkw=2025%20Panini%20CAITLIN%20CLARK%20CHRONICLED%20%2372%20Shoe%20Game%20Holo%20Fever&amp;_sacat=0&amp;LH_Sold=1&amp;LH_Complete=1&amp;_sop=13", "Completed")</f>
        <v/>
      </c>
      <c r="K983" s="5" t="inlineStr">
        <is>
          <t>2025 Panini CAITLIN CLARK CHRONICLED #72 Shoe Game Holo Fever</t>
        </is>
      </c>
    </row>
    <row r="984">
      <c r="A984" s="2" t="inlineStr">
        <is>
          <t>RB_Batch-0006-00015-48867</t>
        </is>
      </c>
      <c r="B984" s="2" t="inlineStr">
        <is>
          <t>2024 Panini Donruss Optic DONOVAN CLINGAN #11 White Hot Rookies Holo RC</t>
        </is>
      </c>
      <c r="C984" s="3" t="n">
        <v>3.49</v>
      </c>
      <c r="D984" s="3" t="n">
        <v>2.49</v>
      </c>
      <c r="E984" s="3" t="n">
        <v>-1</v>
      </c>
      <c r="F984" s="4" t="n">
        <v>-28.7</v>
      </c>
      <c r="G984" s="2" t="inlineStr">
        <is>
          <t>🔵 Floored $2.49 — free ship or $0.99 ship?</t>
        </is>
      </c>
      <c r="H984" s="2" t="inlineStr">
        <is>
          <t>85%</t>
        </is>
      </c>
      <c r="I984" s="2">
        <f>HYPERLINK("https://www.ebay.com/sch/261328/i.html?_dcat=261328&amp;_fsrp=1&amp;rt=nc&amp;_from=R40&amp;_nkw=2024%20Panini%20Donruss%20Optic%20DONOVAN%20CLINGAN%20%2311%20White%20Hot%20Rookies%20Holo%20RC&amp;_sacat=0&amp;_sop=15&amp;rt=nc&amp;LH_BIN=1", "Active")</f>
        <v/>
      </c>
      <c r="J984" s="2">
        <f>HYPERLINK("https://www.ebay.com/sch/261328/i.html?_from=R40&amp;_nkw=2024%20Panini%20Donruss%20Optic%20DONOVAN%20CLINGAN%20%2311%20White%20Hot%20Rookies%20Holo%20RC&amp;_sacat=0&amp;LH_Sold=1&amp;LH_Complete=1&amp;_sop=13", "Completed")</f>
        <v/>
      </c>
      <c r="K984" s="2" t="inlineStr">
        <is>
          <t>2024-25 Donruss Optic #11 Donovan Clingan RC White Hot Rookies Holo Purple POR</t>
        </is>
      </c>
    </row>
    <row r="985">
      <c r="A985" s="5" t="inlineStr">
        <is>
          <t>RB_Batch-0006-00013-98961</t>
        </is>
      </c>
      <c r="B985" s="5" t="inlineStr">
        <is>
          <t>2024-25 Panini Donruss Optic KELLY OLYNYK #152 Checkerboard Prizm Raptors</t>
        </is>
      </c>
      <c r="C985" s="6" t="n">
        <v>3.49</v>
      </c>
      <c r="D985" s="6" t="n">
        <v>4.39</v>
      </c>
      <c r="E985" s="6" t="n">
        <v>0.9</v>
      </c>
      <c r="F985" s="7" t="n">
        <v>25.8</v>
      </c>
      <c r="G985" s="5" t="inlineStr">
        <is>
          <t>⬆ Price Up</t>
        </is>
      </c>
      <c r="H985" s="5" t="inlineStr">
        <is>
          <t>100%</t>
        </is>
      </c>
      <c r="I985" s="5">
        <f>HYPERLINK("https://www.ebay.com/sch/261328/i.html?_dcat=261328&amp;_fsrp=1&amp;rt=nc&amp;_from=R40&amp;_nkw=2024-25%20Panini%20Donruss%20Optic%20KELLY%20OLYNYK%20%23152%20Checkerboard%20Prizm%20Raptors&amp;_sacat=0&amp;_sop=15&amp;rt=nc&amp;LH_BIN=1", "Active")</f>
        <v/>
      </c>
      <c r="J985" s="5">
        <f>HYPERLINK("https://www.ebay.com/sch/261328/i.html?_from=R40&amp;_nkw=2024-25%20Panini%20Donruss%20Optic%20KELLY%20OLYNYK%20%23152%20Checkerboard%20Prizm%20Raptors&amp;_sacat=0&amp;LH_Sold=1&amp;LH_Complete=1&amp;_sop=13", "Completed")</f>
        <v/>
      </c>
      <c r="K985" s="5" t="inlineStr">
        <is>
          <t>2024-25 Panini Donruss Optic KELLY OLYNYK #152 Checkerboard Prizm Raptors</t>
        </is>
      </c>
    </row>
    <row r="986">
      <c r="A986" s="2" t="inlineStr">
        <is>
          <t>RB_Batch-0006-00003-03463</t>
        </is>
      </c>
      <c r="B986" s="2" t="inlineStr">
        <is>
          <t>2024 Panini Donruss Optic JAYLEN WELLS #252 Holo Prizm RC Rated Rookie</t>
        </is>
      </c>
      <c r="C986" s="3" t="n">
        <v>3.49</v>
      </c>
      <c r="D986" s="3" t="n">
        <v>2.49</v>
      </c>
      <c r="E986" s="3" t="n">
        <v>-1</v>
      </c>
      <c r="F986" s="4" t="n">
        <v>-28.7</v>
      </c>
      <c r="G986" s="2" t="inlineStr">
        <is>
          <t>🔵 Floored $2.49 — free ship or $0.99 ship?</t>
        </is>
      </c>
      <c r="H986" s="2" t="inlineStr">
        <is>
          <t>84%</t>
        </is>
      </c>
      <c r="I986" s="2">
        <f>HYPERLINK("https://www.ebay.com/sch/261328/i.html?_dcat=261328&amp;_fsrp=1&amp;rt=nc&amp;_from=R40&amp;_nkw=2024%20Panini%20Donruss%20Optic%20JAYLEN%20WELLS%20%23252%20Holo%20Prizm%20RC%20Rated%20Rookie&amp;_sacat=0&amp;_sop=15&amp;rt=nc&amp;LH_BIN=1", "Active")</f>
        <v/>
      </c>
      <c r="J986" s="2">
        <f>HYPERLINK("https://www.ebay.com/sch/261328/i.html?_from=R40&amp;_nkw=2024%20Panini%20Donruss%20Optic%20JAYLEN%20WELLS%20%23252%20Holo%20Prizm%20RC%20Rated%20Rookie&amp;_sacat=0&amp;LH_Sold=1&amp;LH_Complete=1&amp;_sop=13", "Completed")</f>
        <v/>
      </c>
      <c r="K986" s="2" t="inlineStr">
        <is>
          <t>2024-25 Donruss Optic Jaylen Wells Holo Rookie RC #252 Grizzlies</t>
        </is>
      </c>
    </row>
    <row r="987">
      <c r="A987" s="11" t="inlineStr">
        <is>
          <t>RB_Batch-0006-00002-81045</t>
        </is>
      </c>
      <c r="B987" s="11" t="inlineStr">
        <is>
          <t>2024-25 Panini Donruss Optic STEPHON CASTLE #14 Splash! Holo RC Spurs Rookie</t>
        </is>
      </c>
      <c r="C987" s="12" t="n">
        <v>5.49</v>
      </c>
      <c r="D987" s="12" t="n">
        <v>3.29</v>
      </c>
      <c r="E987" s="12" t="n">
        <v>-2.2</v>
      </c>
      <c r="F987" s="13" t="n">
        <v>-40.1</v>
      </c>
      <c r="G987" s="11" t="inlineStr">
        <is>
          <t>⬇ Price Down</t>
        </is>
      </c>
      <c r="H987" s="11" t="inlineStr">
        <is>
          <t>88%</t>
        </is>
      </c>
      <c r="I987" s="11">
        <f>HYPERLINK("https://www.ebay.com/sch/261328/i.html?_dcat=261328&amp;_fsrp=1&amp;rt=nc&amp;_from=R40&amp;_nkw=2024-25%20Panini%20Donruss%20Optic%20STEPHON%20CASTLE%20%2314%20Splash!%20Holo%20RC%20Spurs%20Rookie&amp;_sacat=0&amp;_sop=15&amp;rt=nc&amp;LH_BIN=1", "Active")</f>
        <v/>
      </c>
      <c r="J987" s="11">
        <f>HYPERLINK("https://www.ebay.com/sch/261328/i.html?_from=R40&amp;_nkw=2024-25%20Panini%20Donruss%20Optic%20STEPHON%20CASTLE%20%2314%20Splash!%20Holo%20RC%20Spurs%20Rookie&amp;_sacat=0&amp;LH_Sold=1&amp;LH_Complete=1&amp;_sop=13", "Completed")</f>
        <v/>
      </c>
      <c r="K987" s="11" t="inlineStr">
        <is>
          <t>2024-25 Donruss Optic Splash! Holo #14 Stephon Castle ROOKIE RC SPURS</t>
        </is>
      </c>
    </row>
    <row r="988">
      <c r="A988" s="5" t="inlineStr">
        <is>
          <t>RB_Batch-0006-00010-32511</t>
        </is>
      </c>
      <c r="B988" s="5" t="inlineStr">
        <is>
          <t>2024-25 Panini Donruss Optic JAKOB POELTL #65 Hyper Orange Prizm 249/299 Raptors</t>
        </is>
      </c>
      <c r="C988" s="6" t="n">
        <v>3.49</v>
      </c>
      <c r="D988" s="6" t="n">
        <v>4.39</v>
      </c>
      <c r="E988" s="6" t="n">
        <v>0.9</v>
      </c>
      <c r="F988" s="7" t="n">
        <v>25.8</v>
      </c>
      <c r="G988" s="5" t="inlineStr">
        <is>
          <t>⬆ Price Up</t>
        </is>
      </c>
      <c r="H988" s="5" t="inlineStr">
        <is>
          <t>100%</t>
        </is>
      </c>
      <c r="I988" s="5">
        <f>HYPERLINK("https://www.ebay.com/sch/261328/i.html?_dcat=261328&amp;_fsrp=1&amp;rt=nc&amp;_from=R40&amp;_nkw=2024-25%20Panini%20Donruss%20Optic%20JAKOB%20POELTL%20%2365%20Hyper%20Orange%20Prizm%20249%2F299%20Raptors&amp;_sacat=0&amp;_sop=15&amp;rt=nc&amp;LH_BIN=1", "Active")</f>
        <v/>
      </c>
      <c r="J988" s="5">
        <f>HYPERLINK("https://www.ebay.com/sch/261328/i.html?_from=R40&amp;_nkw=2024-25%20Panini%20Donruss%20Optic%20JAKOB%20POELTL%20%2365%20Hyper%20Orange%20Prizm%20249%2F299%20Raptors&amp;_sacat=0&amp;LH_Sold=1&amp;LH_Complete=1&amp;_sop=13", "Completed")</f>
        <v/>
      </c>
      <c r="K988" s="5" t="inlineStr">
        <is>
          <t>2024-25 Panini Donruss Optic JAKOB POELTL #65 Hyper Orange Prizm 249/299 Raptors</t>
        </is>
      </c>
    </row>
    <row r="989">
      <c r="A989" s="2" t="inlineStr">
        <is>
          <t>RB_Batch-0006-00018-95767</t>
        </is>
      </c>
      <c r="B989" s="2" t="inlineStr">
        <is>
          <t>2026 Topps Collector's Kit Exclusive KEVIN DURANT #NBA-10 Rainbow Foil</t>
        </is>
      </c>
      <c r="C989" s="3" t="n">
        <v>3.49</v>
      </c>
      <c r="D989" s="3" t="n">
        <v>2.49</v>
      </c>
      <c r="E989" s="3" t="n">
        <v>-1</v>
      </c>
      <c r="F989" s="4" t="n">
        <v>-28.7</v>
      </c>
      <c r="G989" s="2" t="inlineStr">
        <is>
          <t>🔵 Floored $2.49 — free ship or $0.99 ship?</t>
        </is>
      </c>
      <c r="H989" s="2" t="inlineStr">
        <is>
          <t>84%</t>
        </is>
      </c>
      <c r="I989" s="2">
        <f>HYPERLINK("https://www.ebay.com/sch/261328/i.html?_dcat=261328&amp;_fsrp=1&amp;rt=nc&amp;_from=R40&amp;_nkw=2026%20Topps%20Collector's%20Kit%20Exclusive%20KEVIN%20DURANT%20%23NBA-10%20Rainbow%20Foil&amp;_sacat=0&amp;_sop=15&amp;rt=nc&amp;LH_BIN=1", "Active")</f>
        <v/>
      </c>
      <c r="J989" s="2">
        <f>HYPERLINK("https://www.ebay.com/sch/261328/i.html?_from=R40&amp;_nkw=2026%20Topps%20Collector's%20Kit%20Exclusive%20KEVIN%20DURANT%20%23NBA-10%20Rainbow%20Foil&amp;_sacat=0&amp;LH_Sold=1&amp;LH_Complete=1&amp;_sop=13", "Completed")</f>
        <v/>
      </c>
      <c r="K989" s="2" t="inlineStr">
        <is>
          <t>2026 TOPPS Collectors Kit Kevin Durant #NBA-10 Rainbow Foil - Houston Rockets</t>
        </is>
      </c>
    </row>
    <row r="990">
      <c r="A990" s="2" t="inlineStr">
        <is>
          <t>RB_Batch-0006-00017-16673</t>
        </is>
      </c>
      <c r="B990" s="2" t="inlineStr">
        <is>
          <t>2024 Panini Donruss Optic KYLE FILIPOWSKI #300 Hyper Pink Prizm RC Rated Rookie</t>
        </is>
      </c>
      <c r="C990" s="3" t="n">
        <v>3.49</v>
      </c>
      <c r="D990" s="3" t="n">
        <v>2.49</v>
      </c>
      <c r="E990" s="3" t="n">
        <v>-1</v>
      </c>
      <c r="F990" s="4" t="n">
        <v>-28.7</v>
      </c>
      <c r="G990" s="2" t="inlineStr">
        <is>
          <t>🔵 Floored $2.49 — free ship or $0.99 ship?</t>
        </is>
      </c>
      <c r="H990" s="2" t="inlineStr">
        <is>
          <t>78%</t>
        </is>
      </c>
      <c r="I990" s="2">
        <f>HYPERLINK("https://www.ebay.com/sch/261328/i.html?_dcat=261328&amp;_fsrp=1&amp;rt=nc&amp;_from=R40&amp;_nkw=2024%20Panini%20Donruss%20Optic%20KYLE%20FILIPOWSKI%20%23300%20Hyper%20Pink%20Prizm%20RC%20Rated%20Rookie&amp;_sacat=0&amp;_sop=15&amp;rt=nc&amp;LH_BIN=1", "Active")</f>
        <v/>
      </c>
      <c r="J990" s="2">
        <f>HYPERLINK("https://www.ebay.com/sch/261328/i.html?_from=R40&amp;_nkw=2024%20Panini%20Donruss%20Optic%20KYLE%20FILIPOWSKI%20%23300%20Hyper%20Pink%20Prizm%20RC%20Rated%20Rookie&amp;_sacat=0&amp;LH_Sold=1&amp;LH_Complete=1&amp;_sop=13", "Completed")</f>
        <v/>
      </c>
      <c r="K990" s="2" t="inlineStr">
        <is>
          <t>Kyle Filipowski 2024-25 Donruss Optic Pink Hyper Prizm RC Rated Rookie #300 Utah</t>
        </is>
      </c>
    </row>
    <row r="991">
      <c r="A991" s="11" t="inlineStr">
        <is>
          <t>RB_Batch-0006-00020-23225</t>
        </is>
      </c>
      <c r="B991" s="11" t="inlineStr">
        <is>
          <t>2024-25 Panini Donruss Optic SHAI GILGEOUS-ALEXANDER #6 Splash! Holo Thunder</t>
        </is>
      </c>
      <c r="C991" s="12" t="n">
        <v>3.99</v>
      </c>
      <c r="D991" s="12" t="n">
        <v>2.69</v>
      </c>
      <c r="E991" s="12" t="n">
        <v>-1.3</v>
      </c>
      <c r="F991" s="13" t="n">
        <v>-32.6</v>
      </c>
      <c r="G991" s="11" t="inlineStr">
        <is>
          <t>⬇ Price Down</t>
        </is>
      </c>
      <c r="H991" s="11" t="inlineStr">
        <is>
          <t>77%</t>
        </is>
      </c>
      <c r="I991" s="11">
        <f>HYPERLINK("https://www.ebay.com/sch/261328/i.html?_dcat=261328&amp;_fsrp=1&amp;rt=nc&amp;_from=R40&amp;_nkw=2024-25%20Panini%20Donruss%20Optic%20SHAI%20GILGEOUS-ALEXANDER%20%236%20Splash!%20Holo%20Thunder&amp;_sacat=0&amp;_sop=15&amp;rt=nc&amp;LH_BIN=1", "Active")</f>
        <v/>
      </c>
      <c r="J991" s="11">
        <f>HYPERLINK("https://www.ebay.com/sch/261328/i.html?_from=R40&amp;_nkw=2024-25%20Panini%20Donruss%20Optic%20SHAI%20GILGEOUS-ALEXANDER%20%236%20Splash!%20Holo%20Thunder&amp;_sacat=0&amp;LH_Sold=1&amp;LH_Complete=1&amp;_sop=13", "Completed")</f>
        <v/>
      </c>
      <c r="K991" s="11" t="inlineStr">
        <is>
          <t>Panini Donruss Optic Splash! Holo Shai Gilgeous-Alexander #6 2024-25 Thunder</t>
        </is>
      </c>
    </row>
    <row r="992">
      <c r="A992" s="2" t="inlineStr">
        <is>
          <t>RB_Batch-0006-00001-28978</t>
        </is>
      </c>
      <c r="B992" s="2" t="inlineStr">
        <is>
          <t>2024 Panini Donruss Optic CAM SPENCER #269 Hyper Pink Prizm RC Rated Rookie</t>
        </is>
      </c>
      <c r="C992" s="3" t="n">
        <v>3.49</v>
      </c>
      <c r="D992" s="3" t="n">
        <v>2.49</v>
      </c>
      <c r="E992" s="3" t="n">
        <v>-1</v>
      </c>
      <c r="F992" s="4" t="n">
        <v>-28.7</v>
      </c>
      <c r="G992" s="2" t="inlineStr">
        <is>
          <t>🔵 Floored $2.49 — free ship or $0.99 ship?</t>
        </is>
      </c>
      <c r="H992" s="2" t="inlineStr">
        <is>
          <t>78%</t>
        </is>
      </c>
      <c r="I992" s="2">
        <f>HYPERLINK("https://www.ebay.com/sch/261328/i.html?_dcat=261328&amp;_fsrp=1&amp;rt=nc&amp;_from=R40&amp;_nkw=2024%20Panini%20Donruss%20Optic%20CAM%20SPENCER%20%23269%20Hyper%20Pink%20Prizm%20RC%20Rated%20Rookie&amp;_sacat=0&amp;_sop=15&amp;rt=nc&amp;LH_BIN=1", "Active")</f>
        <v/>
      </c>
      <c r="J992" s="2">
        <f>HYPERLINK("https://www.ebay.com/sch/261328/i.html?_from=R40&amp;_nkw=2024%20Panini%20Donruss%20Optic%20CAM%20SPENCER%20%23269%20Hyper%20Pink%20Prizm%20RC%20Rated%20Rookie&amp;_sacat=0&amp;LH_Sold=1&amp;LH_Complete=1&amp;_sop=13", "Completed")</f>
        <v/>
      </c>
      <c r="K992" s="2" t="inlineStr">
        <is>
          <t>Cam Spencer 2024-25 Donruss Optic Pink Hyper Prizm RC Rated Rookie #269 Memphis</t>
        </is>
      </c>
    </row>
    <row r="993">
      <c r="A993" s="2" t="inlineStr">
        <is>
          <t>RB_Batch-0006-00007-08773</t>
        </is>
      </c>
      <c r="B993" s="2" t="inlineStr">
        <is>
          <t>2024-25 Panini Donruss Optic LUKA DONCIC #1 Splash! Holo Mavericks Basketball</t>
        </is>
      </c>
      <c r="C993" s="3" t="n">
        <v>3.49</v>
      </c>
      <c r="D993" s="3" t="n">
        <v>2.49</v>
      </c>
      <c r="E993" s="3" t="n">
        <v>-1</v>
      </c>
      <c r="F993" s="4" t="n">
        <v>-28.7</v>
      </c>
      <c r="G993" s="2" t="inlineStr">
        <is>
          <t>🔵 Floored $2.49 — free ship or $0.99 ship?</t>
        </is>
      </c>
      <c r="H993" s="2" t="inlineStr">
        <is>
          <t>77%</t>
        </is>
      </c>
      <c r="I993" s="2">
        <f>HYPERLINK("https://www.ebay.com/sch/261328/i.html?_dcat=261328&amp;_fsrp=1&amp;rt=nc&amp;_from=R40&amp;_nkw=2024-25%20Panini%20Donruss%20Optic%20LUKA%20DONCIC%20%231%20Splash!%20Holo%20Mavericks%20Basketball&amp;_sacat=0&amp;_sop=15&amp;rt=nc&amp;LH_BIN=1", "Active")</f>
        <v/>
      </c>
      <c r="J993" s="2">
        <f>HYPERLINK("https://www.ebay.com/sch/261328/i.html?_from=R40&amp;_nkw=2024-25%20Panini%20Donruss%20Optic%20LUKA%20DONCIC%20%231%20Splash!%20Holo%20Mavericks%20Basketball&amp;_sacat=0&amp;LH_Sold=1&amp;LH_Complete=1&amp;_sop=13", "Completed")</f>
        <v/>
      </c>
      <c r="K993" s="2" t="inlineStr">
        <is>
          <t>Luka Doncic | 2024-25 Donruss Optic #1 Splash! Holo | Dallas Mavericks</t>
        </is>
      </c>
    </row>
    <row r="994">
      <c r="A994" s="2" t="inlineStr">
        <is>
          <t>RB_Batch-0006-00014-80054</t>
        </is>
      </c>
      <c r="B994" s="2" t="inlineStr">
        <is>
          <t>2024-25 Panini Donruss Optic MATAS BUZELIS #15 My House Holo RC Bulls Rookie</t>
        </is>
      </c>
      <c r="C994" s="3" t="n">
        <v>3.49</v>
      </c>
      <c r="D994" s="3" t="n">
        <v>2.49</v>
      </c>
      <c r="E994" s="3" t="n">
        <v>-1</v>
      </c>
      <c r="F994" s="4" t="n">
        <v>-28.7</v>
      </c>
      <c r="G994" s="2" t="inlineStr">
        <is>
          <t>🔵 Floored $2.49 — free ship or $0.99 ship?</t>
        </is>
      </c>
      <c r="H994" s="2" t="inlineStr">
        <is>
          <t>88%</t>
        </is>
      </c>
      <c r="I994" s="2">
        <f>HYPERLINK("https://www.ebay.com/sch/261328/i.html?_dcat=261328&amp;_fsrp=1&amp;rt=nc&amp;_from=R40&amp;_nkw=2024-25%20Panini%20Donruss%20Optic%20MATAS%20BUZELIS%20%2315%20My%20House%20Holo%20RC%20Bulls%20Rookie&amp;_sacat=0&amp;_sop=15&amp;rt=nc&amp;LH_BIN=1", "Active")</f>
        <v/>
      </c>
      <c r="J994" s="2">
        <f>HYPERLINK("https://www.ebay.com/sch/261328/i.html?_from=R40&amp;_nkw=2024-25%20Panini%20Donruss%20Optic%20MATAS%20BUZELIS%20%2315%20My%20House%20Holo%20RC%20Bulls%20Rookie&amp;_sacat=0&amp;LH_Sold=1&amp;LH_Complete=1&amp;_sop=13", "Completed")</f>
        <v/>
      </c>
      <c r="K994" s="2" t="inlineStr">
        <is>
          <t>2024-25 Donruss Optic Matas Buzelis My House RC Holo Rookie #15 Bulls</t>
        </is>
      </c>
    </row>
    <row r="995">
      <c r="A995" s="5" t="inlineStr">
        <is>
          <t>RB_Batch-0006-00008-62703</t>
        </is>
      </c>
      <c r="B995" s="5" t="inlineStr">
        <is>
          <t>2024-25 Panini Donruss Optic JA MORANT #106 Hyper Orange Prizm 120/299 Grizzlies</t>
        </is>
      </c>
      <c r="C995" s="6" t="n">
        <v>3.99</v>
      </c>
      <c r="D995" s="6" t="n">
        <v>4.79</v>
      </c>
      <c r="E995" s="6" t="n">
        <v>0.8</v>
      </c>
      <c r="F995" s="7" t="n">
        <v>20.1</v>
      </c>
      <c r="G995" s="5" t="inlineStr">
        <is>
          <t>⬆ Price Up</t>
        </is>
      </c>
      <c r="H995" s="5" t="inlineStr">
        <is>
          <t>100%</t>
        </is>
      </c>
      <c r="I995" s="5">
        <f>HYPERLINK("https://www.ebay.com/sch/261328/i.html?_dcat=261328&amp;_fsrp=1&amp;rt=nc&amp;_from=R40&amp;_nkw=2024-25%20Panini%20Donruss%20Optic%20JA%20MORANT%20%23106%20Hyper%20Orange%20Prizm%20120%2F299%20Grizzlies&amp;_sacat=0&amp;_sop=15&amp;rt=nc&amp;LH_BIN=1", "Active")</f>
        <v/>
      </c>
      <c r="J995" s="5">
        <f>HYPERLINK("https://www.ebay.com/sch/261328/i.html?_from=R40&amp;_nkw=2024-25%20Panini%20Donruss%20Optic%20JA%20MORANT%20%23106%20Hyper%20Orange%20Prizm%20120%2F299%20Grizzlies&amp;_sacat=0&amp;LH_Sold=1&amp;LH_Complete=1&amp;_sop=13", "Completed")</f>
        <v/>
      </c>
      <c r="K995" s="5" t="inlineStr">
        <is>
          <t>2024-25 Panini Donruss Optic JA MORANT #106 Hyper Orange Prizm 120/299 Grizzlies</t>
        </is>
      </c>
    </row>
    <row r="996">
      <c r="A996" s="11" t="inlineStr">
        <is>
          <t>RB_Batch-0006-00021-68104</t>
        </is>
      </c>
      <c r="B996" s="11" t="inlineStr">
        <is>
          <t>2024-25 Panini Donruss Optic MATAS BUZELIS #10 White Hot Rookies Holo RC Bulls</t>
        </is>
      </c>
      <c r="C996" s="12" t="n">
        <v>3.99</v>
      </c>
      <c r="D996" s="12" t="n">
        <v>2.79</v>
      </c>
      <c r="E996" s="12" t="n">
        <v>-1.2</v>
      </c>
      <c r="F996" s="13" t="n">
        <v>-30.1</v>
      </c>
      <c r="G996" s="11" t="inlineStr">
        <is>
          <t>⬇ Price Down</t>
        </is>
      </c>
      <c r="H996" s="11" t="inlineStr">
        <is>
          <t>88%</t>
        </is>
      </c>
      <c r="I996" s="11">
        <f>HYPERLINK("https://www.ebay.com/sch/261328/i.html?_dcat=261328&amp;_fsrp=1&amp;rt=nc&amp;_from=R40&amp;_nkw=2024-25%20Panini%20Donruss%20Optic%20MATAS%20BUZELIS%20%2310%20White%20Hot%20Rookies%20Holo%20RC%20Bulls&amp;_sacat=0&amp;_sop=15&amp;rt=nc&amp;LH_BIN=1", "Active")</f>
        <v/>
      </c>
      <c r="J996" s="11">
        <f>HYPERLINK("https://www.ebay.com/sch/261328/i.html?_from=R40&amp;_nkw=2024-25%20Panini%20Donruss%20Optic%20MATAS%20BUZELIS%20%2310%20White%20Hot%20Rookies%20Holo%20RC%20Bulls&amp;_sacat=0&amp;LH_Sold=1&amp;LH_Complete=1&amp;_sop=13", "Completed")</f>
        <v/>
      </c>
      <c r="K996" s="11" t="inlineStr">
        <is>
          <t>2024-25 Donruss Optic Matas Buzelis White Hot Rookies Holo RC #10 Bulls</t>
        </is>
      </c>
    </row>
    <row r="997">
      <c r="A997" s="2" t="inlineStr">
        <is>
          <t>RB_Batch-0006-00005-43654</t>
        </is>
      </c>
      <c r="B997" s="2" t="inlineStr">
        <is>
          <t>2024 Panini Donruss Optic REED SHEPPARD #255 Hyper Pink Prizm RC Rated Rookie</t>
        </is>
      </c>
      <c r="C997" s="3" t="n">
        <v>5.99</v>
      </c>
      <c r="D997" s="3" t="n">
        <v>2.49</v>
      </c>
      <c r="E997" s="3" t="n">
        <v>-3.5</v>
      </c>
      <c r="F997" s="4" t="n">
        <v>-58.4</v>
      </c>
      <c r="G997" s="2" t="inlineStr">
        <is>
          <t>🔵 Floored $2.49 — free ship or $0.99 ship?</t>
        </is>
      </c>
      <c r="H997" s="2" t="inlineStr">
        <is>
          <t>85%</t>
        </is>
      </c>
      <c r="I997" s="2">
        <f>HYPERLINK("https://www.ebay.com/sch/261328/i.html?_dcat=261328&amp;_fsrp=1&amp;rt=nc&amp;_from=R40&amp;_nkw=2024%20Panini%20Donruss%20Optic%20REED%20SHEPPARD%20%23255%20Hyper%20Pink%20Prizm%20RC%20Rated%20Rookie&amp;_sacat=0&amp;_sop=15&amp;rt=nc&amp;LH_BIN=1", "Active")</f>
        <v/>
      </c>
      <c r="J997" s="2">
        <f>HYPERLINK("https://www.ebay.com/sch/261328/i.html?_from=R40&amp;_nkw=2024%20Panini%20Donruss%20Optic%20REED%20SHEPPARD%20%23255%20Hyper%20Pink%20Prizm%20RC%20Rated%20Rookie&amp;_sacat=0&amp;LH_Sold=1&amp;LH_Complete=1&amp;_sop=13", "Completed")</f>
        <v/>
      </c>
      <c r="K997" s="2" t="inlineStr">
        <is>
          <t>2024-25  Donruss Optic - Rated Rookie Reed Sheppard #255 Pink Hyper Prizm (RC)</t>
        </is>
      </c>
    </row>
    <row r="998">
      <c r="A998" s="5" t="inlineStr">
        <is>
          <t>RB_Batch-0006-00030-53344</t>
        </is>
      </c>
      <c r="B998" s="5" t="inlineStr">
        <is>
          <t>2025-26 Topps Chrome ACE BAILEY #YQ-5 Youthquake Ref RC Jazz Rookie Basketball</t>
        </is>
      </c>
      <c r="C998" s="6" t="n">
        <v>4.99</v>
      </c>
      <c r="D998" s="6" t="n">
        <v>5.79</v>
      </c>
      <c r="E998" s="6" t="n">
        <v>0.8</v>
      </c>
      <c r="F998" s="7" t="n">
        <v>16</v>
      </c>
      <c r="G998" s="5" t="inlineStr">
        <is>
          <t>⬆ Price Up</t>
        </is>
      </c>
      <c r="H998" s="5" t="inlineStr">
        <is>
          <t>100%</t>
        </is>
      </c>
      <c r="I998" s="5">
        <f>HYPERLINK("https://www.ebay.com/sch/261328/i.html?_dcat=261328&amp;_fsrp=1&amp;rt=nc&amp;_from=R40&amp;_nkw=2025-26%20Topps%20Chrome%20ACE%20BAILEY%20%23YQ-5%20Youthquake%20Ref%20RC%20Jazz%20Rookie%20Basketball&amp;_sacat=0&amp;_sop=15&amp;rt=nc&amp;LH_BIN=1", "Active")</f>
        <v/>
      </c>
      <c r="J998" s="5">
        <f>HYPERLINK("https://www.ebay.com/sch/261328/i.html?_from=R40&amp;_nkw=2025-26%20Topps%20Chrome%20ACE%20BAILEY%20%23YQ-5%20Youthquake%20Ref%20RC%20Jazz%20Rookie%20Basketball&amp;_sacat=0&amp;LH_Sold=1&amp;LH_Complete=1&amp;_sop=13", "Completed")</f>
        <v/>
      </c>
      <c r="K998" s="5" t="inlineStr">
        <is>
          <t>2025-26 Topps Chrome ACE BAILEY #YQ-5 Youthquake Ref RC Jazz Rookie Basketball</t>
        </is>
      </c>
    </row>
    <row r="999">
      <c r="A999" s="11" t="inlineStr">
        <is>
          <t>Refresh-0002-00007-43934</t>
        </is>
      </c>
      <c r="B999" s="11" t="inlineStr">
        <is>
          <t>2025-26 Topps Finest KON KNUEPPEL #F-4 First RC Hornets Rookie Basketball</t>
        </is>
      </c>
      <c r="C999" s="12" t="n">
        <v>14.49</v>
      </c>
      <c r="D999" s="12" t="n">
        <v>13.39</v>
      </c>
      <c r="E999" s="12" t="n">
        <v>-1.1</v>
      </c>
      <c r="F999" s="13" t="n">
        <v>-7.6</v>
      </c>
      <c r="G999" s="11" t="inlineStr">
        <is>
          <t>⬇ Price Down</t>
        </is>
      </c>
      <c r="H999" s="11" t="inlineStr">
        <is>
          <t>86%</t>
        </is>
      </c>
      <c r="I999" s="11">
        <f>HYPERLINK("https://www.ebay.com/sch/261328/i.html?_dcat=261328&amp;_fsrp=1&amp;rt=nc&amp;_from=R40&amp;_nkw=2025-26%20Topps%20Finest%20KON%20KNUEPPEL%20%23F-4%20First%20RC%20Hornets%20Rookie%20Basketball&amp;_sacat=0&amp;_sop=15&amp;rt=nc&amp;LH_BIN=1", "Active")</f>
        <v/>
      </c>
      <c r="J999" s="11">
        <f>HYPERLINK("https://www.ebay.com/sch/261328/i.html?_from=R40&amp;_nkw=2025-26%20Topps%20Finest%20KON%20KNUEPPEL%20%23F-4%20First%20RC%20Hornets%20Rookie%20Basketball&amp;_sacat=0&amp;LH_Sold=1&amp;LH_Complete=1&amp;_sop=13", "Completed")</f>
        <v/>
      </c>
      <c r="K999" s="11" t="inlineStr">
        <is>
          <t>2025-26 TOPPS FINEST NBA #F-4 Kon Knueppel Charlotte Hornets RC First</t>
        </is>
      </c>
    </row>
    <row r="1000">
      <c r="A1000" s="11" t="inlineStr">
        <is>
          <t>RBM-0002-00041-49198-69385FB</t>
        </is>
      </c>
      <c r="B1000" s="11" t="inlineStr">
        <is>
          <t>2025 Bowman's Best KADE ANDERSON #TP-6 Top Prospects Refractor Mariners</t>
        </is>
      </c>
      <c r="C1000" s="12" t="n">
        <v>6.99</v>
      </c>
      <c r="D1000" s="12" t="n">
        <v>3.29</v>
      </c>
      <c r="E1000" s="12" t="n">
        <v>-3.7</v>
      </c>
      <c r="F1000" s="13" t="n">
        <v>-52.9</v>
      </c>
      <c r="G1000" s="11" t="inlineStr">
        <is>
          <t>⬇ Price Down</t>
        </is>
      </c>
      <c r="H1000" s="11" t="inlineStr">
        <is>
          <t>81%</t>
        </is>
      </c>
      <c r="I1000" s="11">
        <f>HYPERLINK("https://www.ebay.com/sch/261328/i.html?_dcat=261328&amp;_fsrp=1&amp;rt=nc&amp;_from=R40&amp;_nkw=2025%20Bowman's%20Best%20KADE%20ANDERSON%20%23TP-6%20Top%20Prospects%20Refractor%20Mariners&amp;_sacat=0&amp;_sop=15&amp;rt=nc&amp;LH_BIN=1", "Active")</f>
        <v/>
      </c>
      <c r="J1000" s="11">
        <f>HYPERLINK("https://www.ebay.com/sch/261328/i.html?_from=R40&amp;_nkw=2025%20Bowman's%20Best%20KADE%20ANDERSON%20%23TP-6%20Top%20Prospects%20Refractor%20Mariners&amp;_sacat=0&amp;LH_Sold=1&amp;LH_Complete=1&amp;_sop=13", "Completed")</f>
        <v/>
      </c>
      <c r="K1000" s="11" t="inlineStr">
        <is>
          <t>Topps 2025 Bowman's Best Top Prospects Kade Anderson Refractor #TP-6 Mariners</t>
        </is>
      </c>
    </row>
    <row r="1001">
      <c r="A1001" s="5" t="inlineStr">
        <is>
          <t>BLZ_Batch-0001-00001-21387</t>
        </is>
      </c>
      <c r="B1001" s="5" t="inlineStr">
        <is>
          <t>2025-26 Topps Finest DOMINIQUE WILKINS #M-21 Muse Orange Refractor /25 Hawks</t>
        </is>
      </c>
      <c r="C1001" s="6" t="n">
        <v>44.99</v>
      </c>
      <c r="D1001" s="6" t="n">
        <v>56.59</v>
      </c>
      <c r="E1001" s="6" t="n">
        <v>11.6</v>
      </c>
      <c r="F1001" s="7" t="n">
        <v>25.8</v>
      </c>
      <c r="G1001" s="5" t="inlineStr">
        <is>
          <t>⬆ Price Up</t>
        </is>
      </c>
      <c r="H1001" s="5" t="inlineStr">
        <is>
          <t>100%</t>
        </is>
      </c>
      <c r="I1001" s="5">
        <f>HYPERLINK("https://www.ebay.com/sch/261328/i.html?_dcat=261328&amp;_fsrp=1&amp;rt=nc&amp;_from=R40&amp;_nkw=2025-26%20Topps%20Finest%20DOMINIQUE%20WILKINS%20%23M-21%20Muse%20Orange%20Refractor%20%2F25%20Hawks&amp;_sacat=0&amp;_sop=15&amp;rt=nc&amp;LH_BIN=1", "Active")</f>
        <v/>
      </c>
      <c r="J1001" s="5">
        <f>HYPERLINK("https://www.ebay.com/sch/261328/i.html?_from=R40&amp;_nkw=2025-26%20Topps%20Finest%20DOMINIQUE%20WILKINS%20%23M-21%20Muse%20Orange%20Refractor%20%2F25%20Hawks&amp;_sacat=0&amp;LH_Sold=1&amp;LH_Complete=1&amp;_sop=13", "Completed")</f>
        <v/>
      </c>
      <c r="K1001" s="5" t="inlineStr">
        <is>
          <t>2025-26 Topps Finest DOMINIQUE WILKINS #M-21 Muse Orange Refractor /25 Hawks</t>
        </is>
      </c>
    </row>
    <row r="1002">
      <c r="A1002" s="2" t="inlineStr">
        <is>
          <t>BLZ_Batch-0001-00002-28081</t>
        </is>
      </c>
      <c r="B1002" s="2" t="inlineStr">
        <is>
          <t>2025-26 Topps KON KNUEPPEL #CC-4 Clutch City Prospects RC Hornets Rookie</t>
        </is>
      </c>
      <c r="C1002" s="3" t="n">
        <v>2.99</v>
      </c>
      <c r="D1002" s="3" t="n">
        <v>2.49</v>
      </c>
      <c r="E1002" s="3" t="n">
        <v>-0.5</v>
      </c>
      <c r="F1002" s="4" t="n">
        <v>-16.7</v>
      </c>
      <c r="G1002" s="2" t="inlineStr">
        <is>
          <t>🔵 Floored $2.49 — free ship or $0.99 ship?</t>
        </is>
      </c>
      <c r="H1002" s="2" t="inlineStr">
        <is>
          <t>88%</t>
        </is>
      </c>
      <c r="I1002" s="2">
        <f>HYPERLINK("https://www.ebay.com/sch/261328/i.html?_dcat=261328&amp;_fsrp=1&amp;rt=nc&amp;_from=R40&amp;_nkw=2025-26%20Topps%20KON%20KNUEPPEL%20%23CC-4%20Clutch%20City%20Prospects%20RC%20Hornets%20Rookie&amp;_sacat=0&amp;_sop=15&amp;rt=nc&amp;LH_BIN=1", "Active")</f>
        <v/>
      </c>
      <c r="J1002" s="2">
        <f>HYPERLINK("https://www.ebay.com/sch/261328/i.html?_from=R40&amp;_nkw=2025-26%20Topps%20KON%20KNUEPPEL%20%23CC-4%20Clutch%20City%20Prospects%20RC%20Hornets%20Rookie&amp;_sacat=0&amp;LH_Sold=1&amp;LH_Complete=1&amp;_sop=13", "Completed")</f>
        <v/>
      </c>
      <c r="K1002" s="2" t="inlineStr">
        <is>
          <t>2025-26 Topps Kon Knueppel Clutch City Prospects RC #CC-4 Hornets</t>
        </is>
      </c>
    </row>
    <row r="1003">
      <c r="A1003" s="5" t="inlineStr">
        <is>
          <t>Whatnot0415-0001-00001-62471</t>
        </is>
      </c>
      <c r="B1003" s="5" t="inlineStr">
        <is>
          <t>2025-26 Topps Chrome BEN SHEPPARD #94 Green Wave Ref 13/99 Pacers Basketball</t>
        </is>
      </c>
      <c r="C1003" s="6" t="n">
        <v>4.49</v>
      </c>
      <c r="D1003" s="6" t="n">
        <v>5.29</v>
      </c>
      <c r="E1003" s="6" t="n">
        <v>0.8</v>
      </c>
      <c r="F1003" s="7" t="n">
        <v>17.8</v>
      </c>
      <c r="G1003" s="5" t="inlineStr">
        <is>
          <t>⬆ Price Up</t>
        </is>
      </c>
      <c r="H1003" s="5" t="inlineStr">
        <is>
          <t>100%</t>
        </is>
      </c>
      <c r="I1003" s="5">
        <f>HYPERLINK("https://www.ebay.com/sch/261328/i.html?_dcat=261328&amp;_fsrp=1&amp;rt=nc&amp;_from=R40&amp;_nkw=2025-26%20Topps%20Chrome%20BEN%20SHEPPARD%20%2394%20Green%20Wave%20Ref%2013%2F99%20Pacers%20Basketball&amp;_sacat=0&amp;_sop=15&amp;rt=nc&amp;LH_BIN=1", "Active")</f>
        <v/>
      </c>
      <c r="J1003" s="5">
        <f>HYPERLINK("https://www.ebay.com/sch/261328/i.html?_from=R40&amp;_nkw=2025-26%20Topps%20Chrome%20BEN%20SHEPPARD%20%2394%20Green%20Wave%20Ref%2013%2F99%20Pacers%20Basketball&amp;_sacat=0&amp;LH_Sold=1&amp;LH_Complete=1&amp;_sop=13", "Completed")</f>
        <v/>
      </c>
      <c r="K1003" s="5" t="inlineStr">
        <is>
          <t>2025-26 Topps Chrome BEN SHEPPARD #94 Green Wave Ref 13/99 Pacers Basketball</t>
        </is>
      </c>
    </row>
    <row r="1004">
      <c r="A1004" s="11" t="inlineStr">
        <is>
          <t>Refresh-0002-00019-35100</t>
        </is>
      </c>
      <c r="B1004" s="11" t="inlineStr">
        <is>
          <t>2026 Topps Collectors Kit Exclusive SHOHEI OHTANI Foil Holo #MLB-1</t>
        </is>
      </c>
      <c r="C1004" s="12" t="n">
        <v>5.39</v>
      </c>
      <c r="D1004" s="12" t="n">
        <v>4.59</v>
      </c>
      <c r="E1004" s="12" t="n">
        <v>-0.8</v>
      </c>
      <c r="F1004" s="13" t="n">
        <v>-14.8</v>
      </c>
      <c r="G1004" s="11" t="inlineStr">
        <is>
          <t>⬇ Price Down</t>
        </is>
      </c>
      <c r="H1004" s="11" t="inlineStr">
        <is>
          <t>90%</t>
        </is>
      </c>
      <c r="I1004" s="11">
        <f>HYPERLINK("https://www.ebay.com/sch/261328/i.html?_dcat=261328&amp;_fsrp=1&amp;rt=nc&amp;_from=R40&amp;_nkw=2026%20Topps%20Collectors%20Kit%20Exclusive%20SHOHEI%20OHTANI%20Foil%20Holo%20%23MLB-1&amp;_sacat=0&amp;_sop=15&amp;rt=nc&amp;LH_BIN=1", "Active")</f>
        <v/>
      </c>
      <c r="J1004" s="11">
        <f>HYPERLINK("https://www.ebay.com/sch/261328/i.html?_from=R40&amp;_nkw=2026%20Topps%20Collectors%20Kit%20Exclusive%20SHOHEI%20OHTANI%20Foil%20Holo%20%23MLB-1&amp;_sacat=0&amp;LH_Sold=1&amp;LH_Complete=1&amp;_sop=13", "Completed")</f>
        <v/>
      </c>
      <c r="K1004" s="11" t="inlineStr">
        <is>
          <t>2026 Topps Collector’s Kit Exclusive Shohei Ohtani Holo Foil #MLB-1</t>
        </is>
      </c>
    </row>
    <row r="1005">
      <c r="A1005" s="8" t="inlineStr">
        <is>
          <t>BBB-000032-tjbzb-144A929</t>
        </is>
      </c>
      <c r="B1005" s="8" t="inlineStr">
        <is>
          <t>2025-26 Finest TYLER HERRO #50 Oil Spill Refractor Miami Heat Basketball</t>
        </is>
      </c>
      <c r="C1005" s="9" t="n">
        <v>2.49</v>
      </c>
      <c r="D1005" s="9" t="n">
        <v>2.49</v>
      </c>
      <c r="E1005" s="9" t="n">
        <v>0</v>
      </c>
      <c r="F1005" s="10" t="n">
        <v>0</v>
      </c>
      <c r="G1005" s="8" t="inlineStr">
        <is>
          <t>— No Change</t>
        </is>
      </c>
      <c r="H1005" s="8" t="inlineStr">
        <is>
          <t>86%</t>
        </is>
      </c>
      <c r="I1005" s="8">
        <f>HYPERLINK("https://www.ebay.com/sch/261328/i.html?_dcat=261328&amp;_fsrp=1&amp;rt=nc&amp;_from=R40&amp;_nkw=2025-26%20Finest%20TYLER%20HERRO%20%2350%20Oil%20Spill%20Refractor%20Miami%20Heat%20Basketball&amp;_sacat=0&amp;_sop=15&amp;rt=nc&amp;LH_BIN=1", "Active")</f>
        <v/>
      </c>
      <c r="J1005" s="8">
        <f>HYPERLINK("https://www.ebay.com/sch/261328/i.html?_from=R40&amp;_nkw=2025-26%20Finest%20TYLER%20HERRO%20%2350%20Oil%20Spill%20Refractor%20Miami%20Heat%20Basketball&amp;_sacat=0&amp;LH_Sold=1&amp;LH_Complete=1&amp;_sop=13", "Completed")</f>
        <v/>
      </c>
      <c r="K1005" s="8" t="inlineStr">
        <is>
          <t>2025-26 Topps Finest #50 Tyler Herro Oil Spill Refractor Miami Heat Bucks</t>
        </is>
      </c>
    </row>
    <row r="1006">
      <c r="A1006" s="2" t="inlineStr">
        <is>
          <t>CRUZ-WHT-0001</t>
        </is>
      </c>
      <c r="B1006" s="2" t="inlineStr">
        <is>
          <t>2025 Bowman Draft J.D. THOMPSON #BDC-14 Chrome Purple Refractor /250 1st</t>
        </is>
      </c>
      <c r="C1006" s="3" t="n">
        <v>9.69</v>
      </c>
      <c r="D1006" s="3" t="n">
        <v>2.49</v>
      </c>
      <c r="E1006" s="3" t="n">
        <v>-7.2</v>
      </c>
      <c r="F1006" s="4" t="n">
        <v>-74.3</v>
      </c>
      <c r="G1006" s="2" t="inlineStr">
        <is>
          <t>🔵 Floored $2.49 — free ship or $0.99 ship?</t>
        </is>
      </c>
      <c r="H1006" s="2" t="inlineStr"/>
      <c r="I1006" s="2">
        <f>HYPERLINK("https://www.ebay.com/sch/261328/i.html?_dcat=261328&amp;_fsrp=1&amp;rt=nc&amp;_from=R40&amp;_nkw=2025%20Bowman%20Draft%20J.D.%20THOMPSON%20%23BDC-14%20Chrome%20Purple%20Refractor%20%2F250%201st&amp;_sacat=0&amp;_sop=15&amp;rt=nc&amp;LH_BIN=1", "Active")</f>
        <v/>
      </c>
      <c r="J1006" s="2">
        <f>HYPERLINK("https://www.ebay.com/sch/261328/i.html?_from=R40&amp;_nkw=2025%20Bowman%20Draft%20J.D.%20THOMPSON%20%23BDC-14%20Chrome%20Purple%20Refractor%20%2F250%201st&amp;_sacat=0&amp;LH_Sold=1&amp;LH_Complete=1&amp;_sop=13", "Completed")</f>
        <v/>
      </c>
      <c r="K1006" s="2" t="inlineStr">
        <is>
          <t>No Close Result Found</t>
        </is>
      </c>
    </row>
    <row r="1007">
      <c r="A1007" s="2" t="inlineStr">
        <is>
          <t>RBBaseball-0004-00004-76852</t>
        </is>
      </c>
      <c r="B1007" s="2" t="inlineStr">
        <is>
          <t>2024 Panini Flawless RAFAEL PALMEIRO #FA-RP Auto /15 Rangers</t>
        </is>
      </c>
      <c r="C1007" s="3" t="n">
        <v>48</v>
      </c>
      <c r="D1007" s="3" t="n">
        <v>2.49</v>
      </c>
      <c r="E1007" s="3" t="n">
        <v>-45.51</v>
      </c>
      <c r="F1007" s="4" t="n">
        <v>-94.8</v>
      </c>
      <c r="G1007" s="2" t="inlineStr">
        <is>
          <t>🔵 Floored $2.49 — free ship or $0.99 ship?</t>
        </is>
      </c>
      <c r="H1007" s="2" t="inlineStr"/>
      <c r="I1007" s="2">
        <f>HYPERLINK("https://www.ebay.com/sch/261328/i.html?_dcat=261328&amp;_fsrp=1&amp;rt=nc&amp;_from=R40&amp;_nkw=2024%20Panini%20Flawless%20RAFAEL%20PALMEIRO%20%23FA-RP%20Auto%20%2F15%20Rangers&amp;_sacat=0&amp;_sop=15&amp;rt=nc&amp;LH_BIN=1", "Active")</f>
        <v/>
      </c>
      <c r="J1007" s="2">
        <f>HYPERLINK("https://www.ebay.com/sch/261328/i.html?_from=R40&amp;_nkw=2024%20Panini%20Flawless%20RAFAEL%20PALMEIRO%20%23FA-RP%20Auto%20%2F15%20Rangers&amp;_sacat=0&amp;LH_Sold=1&amp;LH_Complete=1&amp;_sop=13", "Completed")</f>
        <v/>
      </c>
      <c r="K1007" s="2" t="inlineStr">
        <is>
          <t>No Close Result Found</t>
        </is>
      </c>
    </row>
    <row r="1008">
      <c r="A1008" s="5" t="inlineStr">
        <is>
          <t>WHTBaseball-0002-00001-51462</t>
        </is>
      </c>
      <c r="B1008" s="5" t="inlineStr">
        <is>
          <t>2025 Bowman Draft Sapphire JB MIDDLETON #BDC-78 Chrome 1st Prospect Rockies</t>
        </is>
      </c>
      <c r="C1008" s="6" t="n">
        <v>8.19</v>
      </c>
      <c r="D1008" s="6" t="n">
        <v>8.890000000000001</v>
      </c>
      <c r="E1008" s="6" t="n">
        <v>0.7</v>
      </c>
      <c r="F1008" s="7" t="n">
        <v>8.5</v>
      </c>
      <c r="G1008" s="5" t="inlineStr">
        <is>
          <t>⬆ Price Up</t>
        </is>
      </c>
      <c r="H1008" s="5" t="inlineStr">
        <is>
          <t>100%</t>
        </is>
      </c>
      <c r="I1008" s="5">
        <f>HYPERLINK("https://www.ebay.com/sch/261328/i.html?_dcat=261328&amp;_fsrp=1&amp;rt=nc&amp;_from=R40&amp;_nkw=2025%20Bowman%20Draft%20Sapphire%20JB%20MIDDLETON%20%23BDC-78%20Chrome%201st%20Prospect%20Rockies&amp;_sacat=0&amp;_sop=15&amp;rt=nc&amp;LH_BIN=1", "Active")</f>
        <v/>
      </c>
      <c r="J1008" s="5">
        <f>HYPERLINK("https://www.ebay.com/sch/261328/i.html?_from=R40&amp;_nkw=2025%20Bowman%20Draft%20Sapphire%20JB%20MIDDLETON%20%23BDC-78%20Chrome%201st%20Prospect%20Rockies&amp;_sacat=0&amp;LH_Sold=1&amp;LH_Complete=1&amp;_sop=13", "Completed")</f>
        <v/>
      </c>
      <c r="K1008" s="5" t="inlineStr">
        <is>
          <t>2025 Bowman Draft Sapphire JB MIDDLETON #BDC-78 Chrome 1st Prospect Rockies</t>
        </is>
      </c>
    </row>
    <row r="1009">
      <c r="A1009" s="5" t="inlineStr">
        <is>
          <t>MISC-0002-00032-61738</t>
        </is>
      </c>
      <c r="B1009" s="5" t="inlineStr">
        <is>
          <t>2025 Topps HOLIDAY MIKE TROUT #H50 Blue Metallic Glitter Angels</t>
        </is>
      </c>
      <c r="C1009" s="6" t="n">
        <v>3.19</v>
      </c>
      <c r="D1009" s="6" t="n">
        <v>3.29</v>
      </c>
      <c r="E1009" s="6" t="n">
        <v>0.1</v>
      </c>
      <c r="F1009" s="7" t="n">
        <v>3.1</v>
      </c>
      <c r="G1009" s="5" t="inlineStr">
        <is>
          <t>⬆ Price Up</t>
        </is>
      </c>
      <c r="H1009" s="5" t="inlineStr">
        <is>
          <t>87%</t>
        </is>
      </c>
      <c r="I1009" s="5">
        <f>HYPERLINK("https://www.ebay.com/sch/261328/i.html?_dcat=261328&amp;_fsrp=1&amp;rt=nc&amp;_from=R40&amp;_nkw=2025%20Topps%20HOLIDAY%20MIKE%20TROUT%20%23H50%20Blue%20Metallic%20Glitter%20Angels&amp;_sacat=0&amp;_sop=15&amp;rt=nc&amp;LH_BIN=1", "Active")</f>
        <v/>
      </c>
      <c r="J1009" s="5">
        <f>HYPERLINK("https://www.ebay.com/sch/261328/i.html?_from=R40&amp;_nkw=2025%20Topps%20HOLIDAY%20MIKE%20TROUT%20%23H50%20Blue%20Metallic%20Glitter%20Angels&amp;_sacat=0&amp;LH_Sold=1&amp;LH_Complete=1&amp;_sop=13", "Completed")</f>
        <v/>
      </c>
      <c r="K1009" s="5" t="inlineStr">
        <is>
          <t>2025 Topps Holiday - Mike Trout #H50 Holiday Blue Metallic Glitter Angels</t>
        </is>
      </c>
    </row>
    <row r="1010">
      <c r="A1010" s="5" t="inlineStr">
        <is>
          <t>MISC-0002-00003-88013</t>
        </is>
      </c>
      <c r="B1010" s="5" t="inlineStr">
        <is>
          <t>2022 Panini Prizm Premier League CHRISTIAN PULISIC #118 Choice Red /30 PSA 10</t>
        </is>
      </c>
      <c r="C1010" s="6" t="n">
        <v>204.19</v>
      </c>
      <c r="D1010" s="6" t="n">
        <v>210.29</v>
      </c>
      <c r="E1010" s="6" t="n">
        <v>6.1</v>
      </c>
      <c r="F1010" s="7" t="n">
        <v>3</v>
      </c>
      <c r="G1010" s="5" t="inlineStr">
        <is>
          <t>⬆ Price Up</t>
        </is>
      </c>
      <c r="H1010" s="5" t="inlineStr">
        <is>
          <t>100%</t>
        </is>
      </c>
      <c r="I1010" s="5">
        <f>HYPERLINK("https://www.ebay.com/sch/261328/i.html?_dcat=261328&amp;_fsrp=1&amp;rt=nc&amp;_from=R40&amp;_nkw=2022%20Panini%20Prizm%20Premier%20League%20CHRISTIAN%20PULISIC%20%23118%20Choice%20Red%20%2F30%20PSA%2010&amp;_sacat=0&amp;_sop=15&amp;rt=nc&amp;LH_BIN=1", "Active")</f>
        <v/>
      </c>
      <c r="J1010" s="5">
        <f>HYPERLINK("https://www.ebay.com/sch/261328/i.html?_from=R40&amp;_nkw=2022%20Panini%20Prizm%20Premier%20League%20CHRISTIAN%20PULISIC%20%23118%20Choice%20Red%20%2F30%20PSA%2010&amp;_sacat=0&amp;LH_Sold=1&amp;LH_Complete=1&amp;_sop=13", "Completed")</f>
        <v/>
      </c>
      <c r="K1010" s="5" t="inlineStr">
        <is>
          <t>2022 Panini Prizm Premier League CHRISTIAN PULISIC #118 Choice Red /30 PSA 10</t>
        </is>
      </c>
    </row>
    <row r="1011">
      <c r="A1011" s="11" t="inlineStr">
        <is>
          <t>MISC-0002-00009-37429</t>
        </is>
      </c>
      <c r="B1011" s="11" t="inlineStr">
        <is>
          <t>2025 Topps Chrome Update Sapphire CAM SMITH #USC19 Astros</t>
        </is>
      </c>
      <c r="C1011" s="12" t="n">
        <v>6.49</v>
      </c>
      <c r="D1011" s="12" t="n">
        <v>5.19</v>
      </c>
      <c r="E1011" s="12" t="n">
        <v>-1.3</v>
      </c>
      <c r="F1011" s="13" t="n">
        <v>-20</v>
      </c>
      <c r="G1011" s="11" t="inlineStr">
        <is>
          <t>⬇ Price Down</t>
        </is>
      </c>
      <c r="H1011" s="11" t="inlineStr">
        <is>
          <t>74%</t>
        </is>
      </c>
      <c r="I1011" s="11">
        <f>HYPERLINK("https://www.ebay.com/sch/261328/i.html?_dcat=261328&amp;_fsrp=1&amp;rt=nc&amp;_from=R40&amp;_nkw=2025%20Topps%20Chrome%20Update%20Sapphire%20CAM%20SMITH%20%23USC19%20Astros&amp;_sacat=0&amp;_sop=15&amp;rt=nc&amp;LH_BIN=1", "Active")</f>
        <v/>
      </c>
      <c r="J1011" s="11">
        <f>HYPERLINK("https://www.ebay.com/sch/261328/i.html?_from=R40&amp;_nkw=2025%20Topps%20Chrome%20Update%20Sapphire%20CAM%20SMITH%20%23USC19%20Astros&amp;_sacat=0&amp;LH_Sold=1&amp;LH_Complete=1&amp;_sop=13", "Completed")</f>
        <v/>
      </c>
      <c r="K1011" s="11" t="inlineStr">
        <is>
          <t>Cam Smith 2025 Topps Chrome Update Series Sapphire Rookie #USC19 Houston Astros</t>
        </is>
      </c>
    </row>
    <row r="1012">
      <c r="A1012" s="11" t="inlineStr">
        <is>
          <t>MISC-0002-00003-90757</t>
        </is>
      </c>
      <c r="B1012" s="11" t="inlineStr">
        <is>
          <t>2025 Topps Now AARON JUDGE SHOHEI OHTANI MVP HOMERS SAME INNING #239</t>
        </is>
      </c>
      <c r="C1012" s="12" t="n">
        <v>7.09</v>
      </c>
      <c r="D1012" s="12" t="n">
        <v>5.49</v>
      </c>
      <c r="E1012" s="12" t="n">
        <v>-1.6</v>
      </c>
      <c r="F1012" s="13" t="n">
        <v>-22.6</v>
      </c>
      <c r="G1012" s="11" t="inlineStr">
        <is>
          <t>⬇ Price Down</t>
        </is>
      </c>
      <c r="H1012" s="11" t="inlineStr">
        <is>
          <t>76%</t>
        </is>
      </c>
      <c r="I1012" s="11">
        <f>HYPERLINK("https://www.ebay.com/sch/261328/i.html?_dcat=261328&amp;_fsrp=1&amp;rt=nc&amp;_from=R40&amp;_nkw=2025%20Topps%20Now%20AARON%20JUDGE%20SHOHEI%20OHTANI%20MVP%20HOMERS%20SAME%20INNING%20%23239&amp;_sacat=0&amp;_sop=15&amp;rt=nc&amp;LH_BIN=1", "Active")</f>
        <v/>
      </c>
      <c r="J1012" s="11">
        <f>HYPERLINK("https://www.ebay.com/sch/261328/i.html?_from=R40&amp;_nkw=2025%20Topps%20Now%20AARON%20JUDGE%20SHOHEI%20OHTANI%20MVP%20HOMERS%20SAME%20INNING%20%23239&amp;_sacat=0&amp;LH_Sold=1&amp;LH_Complete=1&amp;_sop=13", "Completed")</f>
        <v/>
      </c>
      <c r="K1012" s="11" t="inlineStr">
        <is>
          <t>2025 Topps #239  Now Aaron Judge/Shohei Ohtani MVP Homers Same Inning /16516</t>
        </is>
      </c>
    </row>
    <row r="1013">
      <c r="A1013" s="2" t="inlineStr">
        <is>
          <t>MISC-0002-00016-30315</t>
        </is>
      </c>
      <c r="B1013" s="2" t="inlineStr">
        <is>
          <t>2026 Topps JAC CAGLIANONE #138 RC Royals Rookie</t>
        </is>
      </c>
      <c r="C1013" s="3" t="n">
        <v>3.49</v>
      </c>
      <c r="D1013" s="3" t="n">
        <v>2.49</v>
      </c>
      <c r="E1013" s="3" t="n">
        <v>-1</v>
      </c>
      <c r="F1013" s="4" t="n">
        <v>-28.7</v>
      </c>
      <c r="G1013" s="2" t="inlineStr">
        <is>
          <t>🔵 Floored $2.49 — free ship or $0.99 ship?</t>
        </is>
      </c>
      <c r="H1013" s="2" t="inlineStr">
        <is>
          <t>61%</t>
        </is>
      </c>
      <c r="I1013" s="2">
        <f>HYPERLINK("https://www.ebay.com/sch/261328/i.html?_dcat=261328&amp;_fsrp=1&amp;rt=nc&amp;_from=R40&amp;_nkw=2026%20Topps%20JAC%20CAGLIANONE%20%23138%20RC%20Royals%20Rookie&amp;_sacat=0&amp;_sop=15&amp;rt=nc&amp;LH_BIN=1", "Active")</f>
        <v/>
      </c>
      <c r="J1013" s="2">
        <f>HYPERLINK("https://www.ebay.com/sch/261328/i.html?_from=R40&amp;_nkw=2026%20Topps%20JAC%20CAGLIANONE%20%23138%20RC%20Royals%20Rookie&amp;_sacat=0&amp;LH_Sold=1&amp;LH_Complete=1&amp;_sop=13", "Completed")</f>
        <v/>
      </c>
      <c r="K1013" s="2" t="inlineStr">
        <is>
          <t>2026 Topps Series 1 Elite Rookies Pick Your Card Roman Anthony Misiorowski RC</t>
        </is>
      </c>
    </row>
    <row r="1014">
      <c r="A1014" s="5" t="inlineStr">
        <is>
          <t>MISC-0002-00007-33697</t>
        </is>
      </c>
      <c r="B1014" s="5" t="inlineStr">
        <is>
          <t>2025 Bowman's Best CAM SMITH #29 Lazer Refractor 314/350 RC Astros Rookie</t>
        </is>
      </c>
      <c r="C1014" s="6" t="n">
        <v>5.99</v>
      </c>
      <c r="D1014" s="6" t="n">
        <v>6.79</v>
      </c>
      <c r="E1014" s="6" t="n">
        <v>0.8</v>
      </c>
      <c r="F1014" s="7" t="n">
        <v>13.4</v>
      </c>
      <c r="G1014" s="5" t="inlineStr">
        <is>
          <t>⬆ Price Up</t>
        </is>
      </c>
      <c r="H1014" s="5" t="inlineStr">
        <is>
          <t>100%</t>
        </is>
      </c>
      <c r="I1014" s="5">
        <f>HYPERLINK("https://www.ebay.com/sch/261328/i.html?_dcat=261328&amp;_fsrp=1&amp;rt=nc&amp;_from=R40&amp;_nkw=2025%20Bowman's%20Best%20CAM%20SMITH%20%2329%20Lazer%20Refractor%20314%2F350%20RC%20Astros%20Rookie&amp;_sacat=0&amp;_sop=15&amp;rt=nc&amp;LH_BIN=1", "Active")</f>
        <v/>
      </c>
      <c r="J1014" s="5">
        <f>HYPERLINK("https://www.ebay.com/sch/261328/i.html?_from=R40&amp;_nkw=2025%20Bowman's%20Best%20CAM%20SMITH%20%2329%20Lazer%20Refractor%20314%2F350%20RC%20Astros%20Rookie&amp;_sacat=0&amp;LH_Sold=1&amp;LH_Complete=1&amp;_sop=13", "Completed")</f>
        <v/>
      </c>
      <c r="K1014" s="5" t="inlineStr">
        <is>
          <t>2025 Bowman's Best CAM SMITH #29 Lazer Refractor 314/350 RC Astros Rookie</t>
        </is>
      </c>
    </row>
    <row r="1015">
      <c r="A1015" s="2" t="inlineStr">
        <is>
          <t>MISC-0002-00013-17413</t>
        </is>
      </c>
      <c r="B1015" s="2" t="inlineStr">
        <is>
          <t>2025 Bowman's Best KETEL MARTE #62 Refractor Diamondbacks</t>
        </is>
      </c>
      <c r="C1015" s="3" t="n">
        <v>2.99</v>
      </c>
      <c r="D1015" s="3" t="n">
        <v>2.49</v>
      </c>
      <c r="E1015" s="3" t="n">
        <v>-0.5</v>
      </c>
      <c r="F1015" s="4" t="n">
        <v>-16.7</v>
      </c>
      <c r="G1015" s="2" t="inlineStr">
        <is>
          <t>🔵 Floored $2.49 — free ship or $0.99 ship?</t>
        </is>
      </c>
      <c r="H1015" s="2" t="inlineStr">
        <is>
          <t>100%</t>
        </is>
      </c>
      <c r="I1015" s="2">
        <f>HYPERLINK("https://www.ebay.com/sch/261328/i.html?_dcat=261328&amp;_fsrp=1&amp;rt=nc&amp;_from=R40&amp;_nkw=2025%20Bowman's%20Best%20KETEL%20MARTE%20%2362%20Refractor%20Diamondbacks&amp;_sacat=0&amp;_sop=15&amp;rt=nc&amp;LH_BIN=1", "Active")</f>
        <v/>
      </c>
      <c r="J1015" s="2">
        <f>HYPERLINK("https://www.ebay.com/sch/261328/i.html?_from=R40&amp;_nkw=2025%20Bowman's%20Best%20KETEL%20MARTE%20%2362%20Refractor%20Diamondbacks&amp;_sacat=0&amp;LH_Sold=1&amp;LH_Complete=1&amp;_sop=13", "Completed")</f>
        <v/>
      </c>
      <c r="K1015" s="2" t="inlineStr">
        <is>
          <t>2025 Bowman's Best Ketel Marte #62 Refractor Diamondbacks</t>
        </is>
      </c>
    </row>
    <row r="1016">
      <c r="A1016" s="11" t="inlineStr">
        <is>
          <t>MISC-0002-00001-61747</t>
        </is>
      </c>
      <c r="B1016" s="11" t="inlineStr">
        <is>
          <t>2025 Bowman Draft IKE IRISH #PP-8 Chrome Prized Prospects Mojo Refractor Orioles</t>
        </is>
      </c>
      <c r="C1016" s="12" t="n">
        <v>2.99</v>
      </c>
      <c r="D1016" s="12" t="n">
        <v>2.89</v>
      </c>
      <c r="E1016" s="12" t="n">
        <v>-0.1</v>
      </c>
      <c r="F1016" s="13" t="n">
        <v>-3.3</v>
      </c>
      <c r="G1016" s="11" t="inlineStr">
        <is>
          <t>⬇ Price Down</t>
        </is>
      </c>
      <c r="H1016" s="11" t="inlineStr">
        <is>
          <t>78%</t>
        </is>
      </c>
      <c r="I1016" s="11">
        <f>HYPERLINK("https://www.ebay.com/sch/261328/i.html?_dcat=261328&amp;_fsrp=1&amp;rt=nc&amp;_from=R40&amp;_nkw=2025%20Bowman%20Draft%20IKE%20IRISH%20%23PP-8%20Chrome%20Prized%20Prospects%20Mojo%20Refractor%20Orioles&amp;_sacat=0&amp;_sop=15&amp;rt=nc&amp;LH_BIN=1", "Active")</f>
        <v/>
      </c>
      <c r="J1016" s="11">
        <f>HYPERLINK("https://www.ebay.com/sch/261328/i.html?_from=R40&amp;_nkw=2025%20Bowman%20Draft%20IKE%20IRISH%20%23PP-8%20Chrome%20Prized%20Prospects%20Mojo%20Refractor%20Orioles&amp;_sacat=0&amp;LH_Sold=1&amp;LH_Complete=1&amp;_sop=13", "Completed")</f>
        <v/>
      </c>
      <c r="K1016" s="11" t="inlineStr">
        <is>
          <t>IKE IRISH #PP-8 PRIZED PROS MOJO REF 2025 BOWMAN CHROME DRAFT BALTIMORE ORIOLES</t>
        </is>
      </c>
    </row>
    <row r="1017">
      <c r="A1017" s="2" t="inlineStr">
        <is>
          <t>MISC-0002-00011-28533</t>
        </is>
      </c>
      <c r="B1017" s="2" t="inlineStr">
        <is>
          <t>2026 Topps Collector's Kit Exclusive FRANCISCO LINDOR #MLB-4 Rainbow Foil</t>
        </is>
      </c>
      <c r="C1017" s="3" t="n">
        <v>3.49</v>
      </c>
      <c r="D1017" s="3" t="n">
        <v>2.49</v>
      </c>
      <c r="E1017" s="3" t="n">
        <v>-1</v>
      </c>
      <c r="F1017" s="4" t="n">
        <v>-28.7</v>
      </c>
      <c r="G1017" s="2" t="inlineStr">
        <is>
          <t>🔵 Floored $2.49 — free ship or $0.99 ship?</t>
        </is>
      </c>
      <c r="H1017" s="2" t="inlineStr">
        <is>
          <t>100%</t>
        </is>
      </c>
      <c r="I1017" s="2">
        <f>HYPERLINK("https://www.ebay.com/sch/261328/i.html?_dcat=261328&amp;_fsrp=1&amp;rt=nc&amp;_from=R40&amp;_nkw=2026%20Topps%20Collector's%20Kit%20Exclusive%20FRANCISCO%20LINDOR%20%23MLB-4%20Rainbow%20Foil&amp;_sacat=0&amp;_sop=15&amp;rt=nc&amp;LH_BIN=1", "Active")</f>
        <v/>
      </c>
      <c r="J1017" s="2">
        <f>HYPERLINK("https://www.ebay.com/sch/261328/i.html?_from=R40&amp;_nkw=2026%20Topps%20Collector's%20Kit%20Exclusive%20FRANCISCO%20LINDOR%20%23MLB-4%20Rainbow%20Foil&amp;_sacat=0&amp;LH_Sold=1&amp;LH_Complete=1&amp;_sop=13", "Completed")</f>
        <v/>
      </c>
      <c r="K1017" s="2" t="inlineStr">
        <is>
          <t>2026 Topps Collector's Kit Exclusive Francisco Lindor #MLB-4 Rainbow Foil</t>
        </is>
      </c>
    </row>
    <row r="1018">
      <c r="A1018" s="5" t="inlineStr">
        <is>
          <t>MISC-0002-00012-75919</t>
        </is>
      </c>
      <c r="B1018" s="5" t="inlineStr">
        <is>
          <t>2025 Bowman Draft JARED THOMAS #BDC-147 Chrome Yellow Geometric Refractor /75</t>
        </is>
      </c>
      <c r="C1018" s="6" t="n">
        <v>10.09</v>
      </c>
      <c r="D1018" s="6" t="n">
        <v>10.79</v>
      </c>
      <c r="E1018" s="6" t="n">
        <v>0.7</v>
      </c>
      <c r="F1018" s="7" t="n">
        <v>6.9</v>
      </c>
      <c r="G1018" s="5" t="inlineStr">
        <is>
          <t>⬆ Price Up</t>
        </is>
      </c>
      <c r="H1018" s="5" t="inlineStr">
        <is>
          <t>100%</t>
        </is>
      </c>
      <c r="I1018" s="5">
        <f>HYPERLINK("https://www.ebay.com/sch/261328/i.html?_dcat=261328&amp;_fsrp=1&amp;rt=nc&amp;_from=R40&amp;_nkw=2025%20Bowman%20Draft%20JARED%20THOMAS%20%23BDC-147%20Chrome%20Yellow%20Geometric%20Refractor%20%2F75&amp;_sacat=0&amp;_sop=15&amp;rt=nc&amp;LH_BIN=1", "Active")</f>
        <v/>
      </c>
      <c r="J1018" s="5">
        <f>HYPERLINK("https://www.ebay.com/sch/261328/i.html?_from=R40&amp;_nkw=2025%20Bowman%20Draft%20JARED%20THOMAS%20%23BDC-147%20Chrome%20Yellow%20Geometric%20Refractor%20%2F75&amp;_sacat=0&amp;LH_Sold=1&amp;LH_Complete=1&amp;_sop=13", "Completed")</f>
        <v/>
      </c>
      <c r="K1018" s="5" t="inlineStr">
        <is>
          <t>2025 Bowman Draft JARED THOMAS #BDC-147 Chrome Yellow Geometric Refractor /75</t>
        </is>
      </c>
    </row>
    <row r="1019">
      <c r="A1019" s="2" t="inlineStr">
        <is>
          <t>MISC-0002-00015-14735</t>
        </is>
      </c>
      <c r="B1019" s="2" t="inlineStr">
        <is>
          <t>2025 Bowman's Best CHRISTIAN MOORE #TP-2 Top Prospects Refractor Angels</t>
        </is>
      </c>
      <c r="C1019" s="3" t="n">
        <v>3.49</v>
      </c>
      <c r="D1019" s="3" t="n">
        <v>2.49</v>
      </c>
      <c r="E1019" s="3" t="n">
        <v>-1</v>
      </c>
      <c r="F1019" s="4" t="n">
        <v>-28.7</v>
      </c>
      <c r="G1019" s="2" t="inlineStr">
        <is>
          <t>🔵 Floored $2.49 — free ship or $0.99 ship?</t>
        </is>
      </c>
      <c r="H1019" s="2" t="inlineStr">
        <is>
          <t>76%</t>
        </is>
      </c>
      <c r="I1019" s="2">
        <f>HYPERLINK("https://www.ebay.com/sch/261328/i.html?_dcat=261328&amp;_fsrp=1&amp;rt=nc&amp;_from=R40&amp;_nkw=2025%20Bowman's%20Best%20CHRISTIAN%20MOORE%20%23TP-2%20Top%20Prospects%20Refractor%20Angels&amp;_sacat=0&amp;_sop=15&amp;rt=nc&amp;LH_BIN=1", "Active")</f>
        <v/>
      </c>
      <c r="J1019" s="2">
        <f>HYPERLINK("https://www.ebay.com/sch/261328/i.html?_from=R40&amp;_nkw=2025%20Bowman's%20Best%20CHRISTIAN%20MOORE%20%23TP-2%20Top%20Prospects%20Refractor%20Angels&amp;_sacat=0&amp;LH_Sold=1&amp;LH_Complete=1&amp;_sop=13", "Completed")</f>
        <v/>
      </c>
      <c r="K1019" s="2" t="inlineStr">
        <is>
          <t>Christian Moore 2025 Bowman’s Best #TP-2 REFRACTOR - Angels</t>
        </is>
      </c>
    </row>
    <row r="1020">
      <c r="A1020" s="2" t="inlineStr">
        <is>
          <t>MISC-0002-00014-39180</t>
        </is>
      </c>
      <c r="B1020" s="2" t="inlineStr">
        <is>
          <t>2025 Bowman's Best LUKE KEASCHALL #70 Refractor RC Twins Rookie</t>
        </is>
      </c>
      <c r="C1020" s="3" t="n">
        <v>2.99</v>
      </c>
      <c r="D1020" s="3" t="n">
        <v>2.49</v>
      </c>
      <c r="E1020" s="3" t="n">
        <v>-0.5</v>
      </c>
      <c r="F1020" s="4" t="n">
        <v>-16.7</v>
      </c>
      <c r="G1020" s="2" t="inlineStr">
        <is>
          <t>🔵 Floored $2.49 — free ship or $0.99 ship?</t>
        </is>
      </c>
      <c r="H1020" s="2" t="inlineStr">
        <is>
          <t>85%</t>
        </is>
      </c>
      <c r="I1020" s="2">
        <f>HYPERLINK("https://www.ebay.com/sch/261328/i.html?_dcat=261328&amp;_fsrp=1&amp;rt=nc&amp;_from=R40&amp;_nkw=2025%20Bowman's%20Best%20LUKE%20KEASCHALL%20%2370%20Refractor%20RC%20Twins%20Rookie&amp;_sacat=0&amp;_sop=15&amp;rt=nc&amp;LH_BIN=1", "Active")</f>
        <v/>
      </c>
      <c r="J1020" s="2">
        <f>HYPERLINK("https://www.ebay.com/sch/261328/i.html?_from=R40&amp;_nkw=2025%20Bowman's%20Best%20LUKE%20KEASCHALL%20%2370%20Refractor%20RC%20Twins%20Rookie&amp;_sacat=0&amp;LH_Sold=1&amp;LH_Complete=1&amp;_sop=13", "Completed")</f>
        <v/>
      </c>
      <c r="K1020" s="2" t="inlineStr">
        <is>
          <t>2025 Bowman's Best Luke Keaschall Refractor (RC) MLB TWINS BASEBALL SP ROOKIE</t>
        </is>
      </c>
    </row>
    <row r="1021">
      <c r="A1021" s="11" t="inlineStr">
        <is>
          <t>MISC-0002-00004-49744</t>
        </is>
      </c>
      <c r="B1021" s="11" t="inlineStr">
        <is>
          <t>2025 Bowman's Best CORBIN CARROLL #8 Aqua Refractor /199 Diamondbacks</t>
        </is>
      </c>
      <c r="C1021" s="12" t="n">
        <v>4.99</v>
      </c>
      <c r="D1021" s="12" t="n">
        <v>4.19</v>
      </c>
      <c r="E1021" s="12" t="n">
        <v>-0.8</v>
      </c>
      <c r="F1021" s="13" t="n">
        <v>-16</v>
      </c>
      <c r="G1021" s="11" t="inlineStr">
        <is>
          <t>⬇ Price Down</t>
        </is>
      </c>
      <c r="H1021" s="11" t="inlineStr">
        <is>
          <t>89%</t>
        </is>
      </c>
      <c r="I1021" s="11">
        <f>HYPERLINK("https://www.ebay.com/sch/261328/i.html?_dcat=261328&amp;_fsrp=1&amp;rt=nc&amp;_from=R40&amp;_nkw=2025%20Bowman's%20Best%20CORBIN%20CARROLL%20%238%20Aqua%20Refractor%20%2F199%20Diamondbacks&amp;_sacat=0&amp;_sop=15&amp;rt=nc&amp;LH_BIN=1", "Active")</f>
        <v/>
      </c>
      <c r="J1021" s="11">
        <f>HYPERLINK("https://www.ebay.com/sch/261328/i.html?_from=R40&amp;_nkw=2025%20Bowman's%20Best%20CORBIN%20CARROLL%20%238%20Aqua%20Refractor%20%2F199%20Diamondbacks&amp;_sacat=0&amp;LH_Sold=1&amp;LH_Complete=1&amp;_sop=13", "Completed")</f>
        <v/>
      </c>
      <c r="K1021" s="11" t="inlineStr">
        <is>
          <t>2025 Bowman's Best Corbin Carroll #8 Aqua Lava Refractor /199 DIAMONDBACKS</t>
        </is>
      </c>
    </row>
    <row r="1022">
      <c r="A1022" s="5" t="inlineStr">
        <is>
          <t>MISC-0002-00006-95693</t>
        </is>
      </c>
      <c r="B1022" s="5" t="inlineStr">
        <is>
          <t>2025 Bowman's Best CAM SMITH #29 Purple Blue Refractor /250 RC Astros Rookie</t>
        </is>
      </c>
      <c r="C1022" s="6" t="n">
        <v>6.79</v>
      </c>
      <c r="D1022" s="6" t="n">
        <v>7.59</v>
      </c>
      <c r="E1022" s="6" t="n">
        <v>0.8</v>
      </c>
      <c r="F1022" s="7" t="n">
        <v>11.8</v>
      </c>
      <c r="G1022" s="5" t="inlineStr">
        <is>
          <t>⬆ Price Up</t>
        </is>
      </c>
      <c r="H1022" s="5" t="inlineStr">
        <is>
          <t>100%</t>
        </is>
      </c>
      <c r="I1022" s="5">
        <f>HYPERLINK("https://www.ebay.com/sch/261328/i.html?_dcat=261328&amp;_fsrp=1&amp;rt=nc&amp;_from=R40&amp;_nkw=2025%20Bowman's%20Best%20CAM%20SMITH%20%2329%20Purple%20Blue%20Refractor%20%2F250%20RC%20Astros%20Rookie&amp;_sacat=0&amp;_sop=15&amp;rt=nc&amp;LH_BIN=1", "Active")</f>
        <v/>
      </c>
      <c r="J1022" s="5">
        <f>HYPERLINK("https://www.ebay.com/sch/261328/i.html?_from=R40&amp;_nkw=2025%20Bowman's%20Best%20CAM%20SMITH%20%2329%20Purple%20Blue%20Refractor%20%2F250%20RC%20Astros%20Rookie&amp;_sacat=0&amp;LH_Sold=1&amp;LH_Complete=1&amp;_sop=13", "Completed")</f>
        <v/>
      </c>
      <c r="K1022" s="5" t="inlineStr">
        <is>
          <t>2025 Bowman's Best CAM SMITH #29 Purple Blue Refractor /250 RC Astros Rookie</t>
        </is>
      </c>
    </row>
    <row r="1023">
      <c r="A1023" s="5" t="inlineStr">
        <is>
          <t>RB-0007-00005-45231</t>
        </is>
      </c>
      <c r="B1023" s="5" t="inlineStr">
        <is>
          <t>2025 Bowman Draft BILLY CARLSON #BDC-10 Chrome Mojo Refractor 1st Prospect</t>
        </is>
      </c>
      <c r="C1023" s="6" t="n">
        <v>3.99</v>
      </c>
      <c r="D1023" s="6" t="n">
        <v>4.09</v>
      </c>
      <c r="E1023" s="6" t="n">
        <v>0.1</v>
      </c>
      <c r="F1023" s="7" t="n">
        <v>2.5</v>
      </c>
      <c r="G1023" s="5" t="inlineStr">
        <is>
          <t>⬆ Price Up</t>
        </is>
      </c>
      <c r="H1023" s="5" t="inlineStr">
        <is>
          <t>78%</t>
        </is>
      </c>
      <c r="I1023" s="5">
        <f>HYPERLINK("https://www.ebay.com/sch/261328/i.html?_dcat=261328&amp;_fsrp=1&amp;rt=nc&amp;_from=R40&amp;_nkw=2025%20Bowman%20Draft%20BILLY%20CARLSON%20%23BDC-10%20Chrome%20Mojo%20Refractor%201st%20Prospect&amp;_sacat=0&amp;_sop=15&amp;rt=nc&amp;LH_BIN=1", "Active")</f>
        <v/>
      </c>
      <c r="J1023" s="5">
        <f>HYPERLINK("https://www.ebay.com/sch/261328/i.html?_from=R40&amp;_nkw=2025%20Bowman%20Draft%20BILLY%20CARLSON%20%23BDC-10%20Chrome%20Mojo%20Refractor%201st%20Prospect&amp;_sacat=0&amp;LH_Sold=1&amp;LH_Complete=1&amp;_sop=13", "Completed")</f>
        <v/>
      </c>
      <c r="K1023" s="5" t="inlineStr">
        <is>
          <t>Billy Carlson 2025 Bowman Draft Chrome Mojo Refractor 1st Prospect Card #BDC-10</t>
        </is>
      </c>
    </row>
    <row r="1024">
      <c r="A1024" s="8" t="inlineStr">
        <is>
          <t>RB-0007-00027-26789</t>
        </is>
      </c>
      <c r="B1024" s="8" t="inlineStr">
        <is>
          <t>2025-26 Topps Chrome EGOR DEMIN #SF-29 Sleek Finishers RC Nets Rookie Basketball</t>
        </is>
      </c>
      <c r="C1024" s="9" t="n">
        <v>2.49</v>
      </c>
      <c r="D1024" s="9" t="n">
        <v>2.49</v>
      </c>
      <c r="E1024" s="9" t="n">
        <v>0</v>
      </c>
      <c r="F1024" s="10" t="n">
        <v>0</v>
      </c>
      <c r="G1024" s="8" t="inlineStr">
        <is>
          <t>— No Change</t>
        </is>
      </c>
      <c r="H1024" s="8" t="inlineStr">
        <is>
          <t>86%</t>
        </is>
      </c>
      <c r="I1024" s="8">
        <f>HYPERLINK("https://www.ebay.com/sch/261328/i.html?_dcat=261328&amp;_fsrp=1&amp;rt=nc&amp;_from=R40&amp;_nkw=2025-26%20Topps%20Chrome%20EGOR%20DEMIN%20%23SF-29%20Sleek%20Finishers%20RC%20Nets%20Rookie%20Basketball&amp;_sacat=0&amp;_sop=15&amp;rt=nc&amp;LH_BIN=1", "Active")</f>
        <v/>
      </c>
      <c r="J1024" s="8">
        <f>HYPERLINK("https://www.ebay.com/sch/261328/i.html?_from=R40&amp;_nkw=2025-26%20Topps%20Chrome%20EGOR%20DEMIN%20%23SF-29%20Sleek%20Finishers%20RC%20Nets%20Rookie%20Basketball&amp;_sacat=0&amp;LH_Sold=1&amp;LH_Complete=1&amp;_sop=13", "Completed")</f>
        <v/>
      </c>
      <c r="K1024" s="8" t="inlineStr">
        <is>
          <t>2025 Topps Chrome Egor Demin Rookie (RC) Sleek Finishers #SF-29 Brooklyn Nets</t>
        </is>
      </c>
    </row>
    <row r="1025">
      <c r="A1025" s="5" t="inlineStr">
        <is>
          <t>RB-0007-00026-85645</t>
        </is>
      </c>
      <c r="B1025" s="5" t="inlineStr">
        <is>
          <t>2025-26 Topps Chrome BEN SARAF #276 RC Nets Rookie Basketball</t>
        </is>
      </c>
      <c r="C1025" s="6" t="n">
        <v>1.99</v>
      </c>
      <c r="D1025" s="6" t="n">
        <v>2.49</v>
      </c>
      <c r="E1025" s="6" t="n">
        <v>0.5</v>
      </c>
      <c r="F1025" s="7" t="n">
        <v>25.1</v>
      </c>
      <c r="G1025" s="5" t="inlineStr">
        <is>
          <t>⬆ Price Up</t>
        </is>
      </c>
      <c r="H1025" s="5" t="inlineStr">
        <is>
          <t>66%</t>
        </is>
      </c>
      <c r="I1025" s="5">
        <f>HYPERLINK("https://www.ebay.com/sch/261328/i.html?_dcat=261328&amp;_fsrp=1&amp;rt=nc&amp;_from=R40&amp;_nkw=2025-26%20Topps%20Chrome%20BEN%20SARAF%20%23276%20RC%20Nets%20Rookie%20Basketball&amp;_sacat=0&amp;_sop=15&amp;rt=nc&amp;LH_BIN=1", "Active")</f>
        <v/>
      </c>
      <c r="J1025" s="5">
        <f>HYPERLINK("https://www.ebay.com/sch/261328/i.html?_from=R40&amp;_nkw=2025-26%20Topps%20Chrome%20BEN%20SARAF%20%23276%20RC%20Nets%20Rookie%20Basketball&amp;_sacat=0&amp;LH_Sold=1&amp;LH_Complete=1&amp;_sop=13", "Completed")</f>
        <v/>
      </c>
      <c r="K1025" s="5" t="inlineStr">
        <is>
          <t>2025-26 Topps Chrome Complete Your Set You Pick Basketball Rookie Card #251-300</t>
        </is>
      </c>
    </row>
    <row r="1026">
      <c r="A1026" s="5" t="inlineStr">
        <is>
          <t>RB-0007-00022-09016</t>
        </is>
      </c>
      <c r="B1026" s="5" t="inlineStr">
        <is>
          <t>2025-26 Topps Finest ISAIAH COLLIER #162 Uncommon Geometric Ref Jazz Basketball</t>
        </is>
      </c>
      <c r="C1026" s="6" t="n">
        <v>4.99</v>
      </c>
      <c r="D1026" s="6" t="n">
        <v>5.79</v>
      </c>
      <c r="E1026" s="6" t="n">
        <v>0.8</v>
      </c>
      <c r="F1026" s="7" t="n">
        <v>16</v>
      </c>
      <c r="G1026" s="5" t="inlineStr">
        <is>
          <t>⬆ Price Up</t>
        </is>
      </c>
      <c r="H1026" s="5" t="inlineStr">
        <is>
          <t>100%</t>
        </is>
      </c>
      <c r="I1026" s="5">
        <f>HYPERLINK("https://www.ebay.com/sch/261328/i.html?_dcat=261328&amp;_fsrp=1&amp;rt=nc&amp;_from=R40&amp;_nkw=2025-26%20Topps%20Finest%20ISAIAH%20COLLIER%20%23162%20Uncommon%20Geometric%20Ref%20Jazz%20Basketball&amp;_sacat=0&amp;_sop=15&amp;rt=nc&amp;LH_BIN=1", "Active")</f>
        <v/>
      </c>
      <c r="J1026" s="5">
        <f>HYPERLINK("https://www.ebay.com/sch/261328/i.html?_from=R40&amp;_nkw=2025-26%20Topps%20Finest%20ISAIAH%20COLLIER%20%23162%20Uncommon%20Geometric%20Ref%20Jazz%20Basketball&amp;_sacat=0&amp;LH_Sold=1&amp;LH_Complete=1&amp;_sop=13", "Completed")</f>
        <v/>
      </c>
      <c r="K1026" s="5" t="inlineStr">
        <is>
          <t>2025-26 Topps Finest ISAIAH COLLIER #162 Uncommon Geometric Ref Jazz Basketball</t>
        </is>
      </c>
    </row>
    <row r="1027">
      <c r="A1027" s="2" t="inlineStr">
        <is>
          <t>RB-0007-00013-96995</t>
        </is>
      </c>
      <c r="B1027" s="2" t="inlineStr">
        <is>
          <t>2025-26 Topps Finest KEL'EL WARE #51 Common Oil Spill Refractor Heat Basketball</t>
        </is>
      </c>
      <c r="C1027" s="3" t="n">
        <v>7.99</v>
      </c>
      <c r="D1027" s="3" t="n">
        <v>2.49</v>
      </c>
      <c r="E1027" s="3" t="n">
        <v>-5.5</v>
      </c>
      <c r="F1027" s="4" t="n">
        <v>-68.8</v>
      </c>
      <c r="G1027" s="2" t="inlineStr">
        <is>
          <t>🔵 Floored $2.49 — free ship or $0.99 ship?</t>
        </is>
      </c>
      <c r="H1027" s="2" t="inlineStr">
        <is>
          <t>85%</t>
        </is>
      </c>
      <c r="I1027" s="2">
        <f>HYPERLINK("https://www.ebay.com/sch/261328/i.html?_dcat=261328&amp;_fsrp=1&amp;rt=nc&amp;_from=R40&amp;_nkw=2025-26%20Topps%20Finest%20KEL'EL%20WARE%20%2351%20Common%20Oil%20Spill%20Refractor%20Heat%20Basketball&amp;_sacat=0&amp;_sop=15&amp;rt=nc&amp;LH_BIN=1", "Active")</f>
        <v/>
      </c>
      <c r="J1027" s="2">
        <f>HYPERLINK("https://www.ebay.com/sch/261328/i.html?_from=R40&amp;_nkw=2025-26%20Topps%20Finest%20KEL'EL%20WARE%20%2351%20Common%20Oil%20Spill%20Refractor%20Heat%20Basketball&amp;_sacat=0&amp;LH_Sold=1&amp;LH_Complete=1&amp;_sop=13", "Completed")</f>
        <v/>
      </c>
      <c r="K1027" s="2" t="inlineStr">
        <is>
          <t>2025-26 Topps Finest KEL’EL WARE #51 OIL SPILL Refractor SP Heat</t>
        </is>
      </c>
    </row>
    <row r="1028">
      <c r="A1028" s="2" t="inlineStr">
        <is>
          <t>RB-0007-00017-69839</t>
        </is>
      </c>
      <c r="B1028" s="2" t="inlineStr">
        <is>
          <t>2025-26 Topps Finest RAY ALLEN #200 Uncommon Supersonics</t>
        </is>
      </c>
      <c r="C1028" s="3" t="n">
        <v>4</v>
      </c>
      <c r="D1028" s="3" t="n">
        <v>2.49</v>
      </c>
      <c r="E1028" s="3" t="n">
        <v>-1.51</v>
      </c>
      <c r="F1028" s="4" t="n">
        <v>-37.8</v>
      </c>
      <c r="G1028" s="2" t="inlineStr">
        <is>
          <t>🔵 Floored $2.49 — free ship or $0.99 ship?</t>
        </is>
      </c>
      <c r="H1028" s="2" t="inlineStr">
        <is>
          <t>86%</t>
        </is>
      </c>
      <c r="I1028" s="2">
        <f>HYPERLINK("https://www.ebay.com/sch/261328/i.html?_dcat=261328&amp;_fsrp=1&amp;rt=nc&amp;_from=R40&amp;_nkw=2025-26%20Topps%20Finest%20RAY%20ALLEN%20%23200%20Uncommon%20Supersonics&amp;_sacat=0&amp;_sop=15&amp;rt=nc&amp;LH_BIN=1", "Active")</f>
        <v/>
      </c>
      <c r="J1028" s="2">
        <f>HYPERLINK("https://www.ebay.com/sch/261328/i.html?_from=R40&amp;_nkw=2025-26%20Topps%20Finest%20RAY%20ALLEN%20%23200%20Uncommon%20Supersonics&amp;_sacat=0&amp;LH_Sold=1&amp;LH_Complete=1&amp;_sop=13", "Completed")</f>
        <v/>
      </c>
      <c r="K1028" s="2" t="inlineStr">
        <is>
          <t>2025-26 Topps Finest Ray Allen Uncommon Seattle SuperSonics</t>
        </is>
      </c>
    </row>
    <row r="1029">
      <c r="A1029" s="11" t="inlineStr">
        <is>
          <t>RB-0007-00023-63320</t>
        </is>
      </c>
      <c r="B1029" s="11" t="inlineStr">
        <is>
          <t>2025-26 Topps Finest PAUL PIERCE #M-14 Muse Refractor Celtics Basketball</t>
        </is>
      </c>
      <c r="C1029" s="12" t="n">
        <v>5.99</v>
      </c>
      <c r="D1029" s="12" t="n">
        <v>2.89</v>
      </c>
      <c r="E1029" s="12" t="n">
        <v>-3.1</v>
      </c>
      <c r="F1029" s="13" t="n">
        <v>-51.8</v>
      </c>
      <c r="G1029" s="11" t="inlineStr">
        <is>
          <t>⬇ Price Down</t>
        </is>
      </c>
      <c r="H1029" s="11" t="inlineStr">
        <is>
          <t>79%</t>
        </is>
      </c>
      <c r="I1029" s="11">
        <f>HYPERLINK("https://www.ebay.com/sch/261328/i.html?_dcat=261328&amp;_fsrp=1&amp;rt=nc&amp;_from=R40&amp;_nkw=2025-26%20Topps%20Finest%20PAUL%20PIERCE%20%23M-14%20Muse%20Refractor%20Celtics%20Basketball&amp;_sacat=0&amp;_sop=15&amp;rt=nc&amp;LH_BIN=1", "Active")</f>
        <v/>
      </c>
      <c r="J1029" s="11">
        <f>HYPERLINK("https://www.ebay.com/sch/261328/i.html?_from=R40&amp;_nkw=2025-26%20Topps%20Finest%20PAUL%20PIERCE%20%23M-14%20Muse%20Refractor%20Celtics%20Basketball&amp;_sacat=0&amp;LH_Sold=1&amp;LH_Complete=1&amp;_sop=13", "Completed")</f>
        <v/>
      </c>
      <c r="K1029" s="11" t="inlineStr">
        <is>
          <t>Paul Pierce 2025-26 Topps Finest Muse Refractor #M-14 Boston Celtics</t>
        </is>
      </c>
    </row>
    <row r="1030">
      <c r="A1030" s="5" t="inlineStr">
        <is>
          <t>RB-0007-00012-77822</t>
        </is>
      </c>
      <c r="B1030" s="5" t="inlineStr">
        <is>
          <t>2025-26 Topps Finest WALTER CLAYTON JR. #18 Common RC Jazz Rookie Basketball</t>
        </is>
      </c>
      <c r="C1030" s="6" t="n">
        <v>1.99</v>
      </c>
      <c r="D1030" s="6" t="n">
        <v>2.49</v>
      </c>
      <c r="E1030" s="6" t="n">
        <v>0.5</v>
      </c>
      <c r="F1030" s="7" t="n">
        <v>25.1</v>
      </c>
      <c r="G1030" s="5" t="inlineStr">
        <is>
          <t>⬆ Price Up</t>
        </is>
      </c>
      <c r="H1030" s="5" t="inlineStr">
        <is>
          <t>87%</t>
        </is>
      </c>
      <c r="I1030" s="5">
        <f>HYPERLINK("https://www.ebay.com/sch/261328/i.html?_dcat=261328&amp;_fsrp=1&amp;rt=nc&amp;_from=R40&amp;_nkw=2025-26%20Topps%20Finest%20WALTER%20CLAYTON%20JR.%20%2318%20Common%20RC%20Jazz%20Rookie%20Basketball&amp;_sacat=0&amp;_sop=15&amp;rt=nc&amp;LH_BIN=1", "Active")</f>
        <v/>
      </c>
      <c r="J1030" s="5">
        <f>HYPERLINK("https://www.ebay.com/sch/261328/i.html?_from=R40&amp;_nkw=2025-26%20Topps%20Finest%20WALTER%20CLAYTON%20JR.%20%2318%20Common%20RC%20Jazz%20Rookie%20Basketball&amp;_sacat=0&amp;LH_Sold=1&amp;LH_Complete=1&amp;_sop=13", "Completed")</f>
        <v/>
      </c>
      <c r="K1030" s="5" t="inlineStr">
        <is>
          <t>2025-26 Topps Finest Walter Clayton Jr. Common RC #18 Jazz Rookie</t>
        </is>
      </c>
    </row>
    <row r="1031">
      <c r="A1031" s="11" t="inlineStr">
        <is>
          <t>RB-0007-00014-14672</t>
        </is>
      </c>
      <c r="B1031" s="11" t="inlineStr">
        <is>
          <t>2025-26 Topps Finest NIQUE CLIFFORD #113 Uncommon RC Kings Rookie Basketball</t>
        </is>
      </c>
      <c r="C1031" s="12" t="n">
        <v>3.99</v>
      </c>
      <c r="D1031" s="12" t="n">
        <v>2.89</v>
      </c>
      <c r="E1031" s="12" t="n">
        <v>-1.1</v>
      </c>
      <c r="F1031" s="13" t="n">
        <v>-27.6</v>
      </c>
      <c r="G1031" s="11" t="inlineStr">
        <is>
          <t>⬇ Price Down</t>
        </is>
      </c>
      <c r="H1031" s="11" t="inlineStr">
        <is>
          <t>87%</t>
        </is>
      </c>
      <c r="I1031" s="11">
        <f>HYPERLINK("https://www.ebay.com/sch/261328/i.html?_dcat=261328&amp;_fsrp=1&amp;rt=nc&amp;_from=R40&amp;_nkw=2025-26%20Topps%20Finest%20NIQUE%20CLIFFORD%20%23113%20Uncommon%20RC%20Kings%20Rookie%20Basketball&amp;_sacat=0&amp;_sop=15&amp;rt=nc&amp;LH_BIN=1", "Active")</f>
        <v/>
      </c>
      <c r="J1031" s="11">
        <f>HYPERLINK("https://www.ebay.com/sch/261328/i.html?_from=R40&amp;_nkw=2025-26%20Topps%20Finest%20NIQUE%20CLIFFORD%20%23113%20Uncommon%20RC%20Kings%20Rookie%20Basketball&amp;_sacat=0&amp;LH_Sold=1&amp;LH_Complete=1&amp;_sop=13", "Completed")</f>
        <v/>
      </c>
      <c r="K1031" s="11" t="inlineStr">
        <is>
          <t>2025-26 Topps Finest Nique Clifford RC #113 UNCOMMON Sacramento Kings Rookie</t>
        </is>
      </c>
    </row>
    <row r="1032">
      <c r="A1032" s="2" t="inlineStr">
        <is>
          <t>RB-0007-00010-48800</t>
        </is>
      </c>
      <c r="B1032" s="2" t="inlineStr">
        <is>
          <t>2025-26 Topps Finest THOMAS SORBER #F-15 First RC Thunder Rookie Basketball</t>
        </is>
      </c>
      <c r="C1032" s="3" t="n">
        <v>2.99</v>
      </c>
      <c r="D1032" s="3" t="n">
        <v>2.49</v>
      </c>
      <c r="E1032" s="3" t="n">
        <v>-0.5</v>
      </c>
      <c r="F1032" s="4" t="n">
        <v>-16.7</v>
      </c>
      <c r="G1032" s="2" t="inlineStr">
        <is>
          <t>🔵 Floored $2.49 — free ship or $0.99 ship?</t>
        </is>
      </c>
      <c r="H1032" s="2" t="inlineStr">
        <is>
          <t>87%</t>
        </is>
      </c>
      <c r="I1032" s="2">
        <f>HYPERLINK("https://www.ebay.com/sch/261328/i.html?_dcat=261328&amp;_fsrp=1&amp;rt=nc&amp;_from=R40&amp;_nkw=2025-26%20Topps%20Finest%20THOMAS%20SORBER%20%23F-15%20First%20RC%20Thunder%20Rookie%20Basketball&amp;_sacat=0&amp;_sop=15&amp;rt=nc&amp;LH_BIN=1", "Active")</f>
        <v/>
      </c>
      <c r="J1032" s="2">
        <f>HYPERLINK("https://www.ebay.com/sch/261328/i.html?_from=R40&amp;_nkw=2025-26%20Topps%20Finest%20THOMAS%20SORBER%20%23F-15%20First%20RC%20Thunder%20Rookie%20Basketball&amp;_sacat=0&amp;LH_Sold=1&amp;LH_Complete=1&amp;_sop=13", "Completed")</f>
        <v/>
      </c>
      <c r="K1032" s="2" t="inlineStr">
        <is>
          <t>2025-26 Topps Finest First Thomas Sorber #F-15 Oklahoma City Thunder Rookie RC</t>
        </is>
      </c>
    </row>
    <row r="1033">
      <c r="A1033" s="5" t="inlineStr">
        <is>
          <t>RB-0007-00003-06246</t>
        </is>
      </c>
      <c r="B1033" s="5" t="inlineStr">
        <is>
          <t>2025-26 Topps Finest KAWHI LEONARD #77 Oil Spill Refractor Clippers Basketball</t>
        </is>
      </c>
      <c r="C1033" s="6" t="n">
        <v>2.99</v>
      </c>
      <c r="D1033" s="6" t="n">
        <v>3.89</v>
      </c>
      <c r="E1033" s="6" t="n">
        <v>0.9</v>
      </c>
      <c r="F1033" s="7" t="n">
        <v>30.1</v>
      </c>
      <c r="G1033" s="5" t="inlineStr">
        <is>
          <t>⬆ Price Up</t>
        </is>
      </c>
      <c r="H1033" s="5" t="inlineStr">
        <is>
          <t>100%</t>
        </is>
      </c>
      <c r="I1033" s="5">
        <f>HYPERLINK("https://www.ebay.com/sch/261328/i.html?_dcat=261328&amp;_fsrp=1&amp;rt=nc&amp;_from=R40&amp;_nkw=2025-26%20Topps%20Finest%20KAWHI%20LEONARD%20%2377%20Oil%20Spill%20Refractor%20Clippers%20Basketball&amp;_sacat=0&amp;_sop=15&amp;rt=nc&amp;LH_BIN=1", "Active")</f>
        <v/>
      </c>
      <c r="J1033" s="5">
        <f>HYPERLINK("https://www.ebay.com/sch/261328/i.html?_from=R40&amp;_nkw=2025-26%20Topps%20Finest%20KAWHI%20LEONARD%20%2377%20Oil%20Spill%20Refractor%20Clippers%20Basketball&amp;_sacat=0&amp;LH_Sold=1&amp;LH_Complete=1&amp;_sop=13", "Completed")</f>
        <v/>
      </c>
      <c r="K1033" s="5" t="inlineStr">
        <is>
          <t>2025-26 Topps Finest KAWHI LEONARD #77 Oil Spill Refractor Clippers Basketball</t>
        </is>
      </c>
    </row>
    <row r="1034">
      <c r="A1034" s="5" t="inlineStr">
        <is>
          <t>RB-0007-00004-73904</t>
        </is>
      </c>
      <c r="B1034" s="5" t="inlineStr">
        <is>
          <t>2025-26 Topps Finest NAZ REID #64 Common Purple X-Fractor 106/150 Timberwolves</t>
        </is>
      </c>
      <c r="C1034" s="6" t="n">
        <v>9.19</v>
      </c>
      <c r="D1034" s="6" t="n">
        <v>9.890000000000001</v>
      </c>
      <c r="E1034" s="6" t="n">
        <v>0.7</v>
      </c>
      <c r="F1034" s="7" t="n">
        <v>7.6</v>
      </c>
      <c r="G1034" s="5" t="inlineStr">
        <is>
          <t>⬆ Price Up</t>
        </is>
      </c>
      <c r="H1034" s="5" t="inlineStr">
        <is>
          <t>100%</t>
        </is>
      </c>
      <c r="I1034" s="5">
        <f>HYPERLINK("https://www.ebay.com/sch/261328/i.html?_dcat=261328&amp;_fsrp=1&amp;rt=nc&amp;_from=R40&amp;_nkw=2025-26%20Topps%20Finest%20NAZ%20REID%20%2364%20Common%20Purple%20X-Fractor%20106%2F150%20Timberwolves&amp;_sacat=0&amp;_sop=15&amp;rt=nc&amp;LH_BIN=1", "Active")</f>
        <v/>
      </c>
      <c r="J1034" s="5">
        <f>HYPERLINK("https://www.ebay.com/sch/261328/i.html?_from=R40&amp;_nkw=2025-26%20Topps%20Finest%20NAZ%20REID%20%2364%20Common%20Purple%20X-Fractor%20106%2F150%20Timberwolves&amp;_sacat=0&amp;LH_Sold=1&amp;LH_Complete=1&amp;_sop=13", "Completed")</f>
        <v/>
      </c>
      <c r="K1034" s="5" t="inlineStr">
        <is>
          <t>2025-26 Topps Finest NAZ REID #64 Common Purple X-Fractor 106/150 Timberwolves</t>
        </is>
      </c>
    </row>
    <row r="1035">
      <c r="A1035" s="11" t="inlineStr">
        <is>
          <t>RB-0007-00016-81656</t>
        </is>
      </c>
      <c r="B1035" s="11" t="inlineStr">
        <is>
          <t>2025-26 Topps Finest JULIUS RANDLE #65 Common Oil Spill Refractor Timberwolves</t>
        </is>
      </c>
      <c r="C1035" s="12" t="n">
        <v>3.49</v>
      </c>
      <c r="D1035" s="12" t="n">
        <v>2.69</v>
      </c>
      <c r="E1035" s="12" t="n">
        <v>-0.8</v>
      </c>
      <c r="F1035" s="13" t="n">
        <v>-22.9</v>
      </c>
      <c r="G1035" s="11" t="inlineStr">
        <is>
          <t>⬇ Price Down</t>
        </is>
      </c>
      <c r="H1035" s="11" t="inlineStr">
        <is>
          <t>100%</t>
        </is>
      </c>
      <c r="I1035" s="11">
        <f>HYPERLINK("https://www.ebay.com/sch/261328/i.html?_dcat=261328&amp;_fsrp=1&amp;rt=nc&amp;_from=R40&amp;_nkw=2025-26%20Topps%20Finest%20JULIUS%20RANDLE%20%2365%20Common%20Oil%20Spill%20Refractor%20Timberwolves&amp;_sacat=0&amp;_sop=15&amp;rt=nc&amp;LH_BIN=1", "Active")</f>
        <v/>
      </c>
      <c r="J1035" s="11">
        <f>HYPERLINK("https://www.ebay.com/sch/261328/i.html?_from=R40&amp;_nkw=2025-26%20Topps%20Finest%20JULIUS%20RANDLE%20%2365%20Common%20Oil%20Spill%20Refractor%20Timberwolves&amp;_sacat=0&amp;LH_Sold=1&amp;LH_Complete=1&amp;_sop=13", "Completed")</f>
        <v/>
      </c>
      <c r="K1035" s="11" t="inlineStr">
        <is>
          <t>2025-26 Topps Finest JULIUS RANDLE #65 Common Oil Spill Refractor Timberwolves</t>
        </is>
      </c>
    </row>
    <row r="1036">
      <c r="A1036" s="11" t="inlineStr">
        <is>
          <t>RB-0007-00021-17884</t>
        </is>
      </c>
      <c r="B1036" s="11" t="inlineStr">
        <is>
          <t>2025-26 Topps Finest SHAI GILGEOUS-ALEXANDER #66 Common Thunder Basketball</t>
        </is>
      </c>
      <c r="C1036" s="12" t="n">
        <v>9</v>
      </c>
      <c r="D1036" s="12" t="n">
        <v>3.29</v>
      </c>
      <c r="E1036" s="12" t="n">
        <v>-5.71</v>
      </c>
      <c r="F1036" s="13" t="n">
        <v>-63.4</v>
      </c>
      <c r="G1036" s="11" t="inlineStr">
        <is>
          <t>⬇ Price Down</t>
        </is>
      </c>
      <c r="H1036" s="11" t="inlineStr">
        <is>
          <t>86%</t>
        </is>
      </c>
      <c r="I1036" s="11">
        <f>HYPERLINK("https://www.ebay.com/sch/261328/i.html?_dcat=261328&amp;_fsrp=1&amp;rt=nc&amp;_from=R40&amp;_nkw=2025-26%20Topps%20Finest%20SHAI%20GILGEOUS-ALEXANDER%20%2366%20Common%20Thunder%20Basketball&amp;_sacat=0&amp;_sop=15&amp;rt=nc&amp;LH_BIN=1", "Active")</f>
        <v/>
      </c>
      <c r="J1036" s="11">
        <f>HYPERLINK("https://www.ebay.com/sch/261328/i.html?_from=R40&amp;_nkw=2025-26%20Topps%20Finest%20SHAI%20GILGEOUS-ALEXANDER%20%2366%20Common%20Thunder%20Basketball&amp;_sacat=0&amp;LH_Sold=1&amp;LH_Complete=1&amp;_sop=13", "Completed")</f>
        <v/>
      </c>
      <c r="K1036" s="11" t="inlineStr">
        <is>
          <t>2025-26 Topps Finest Shai Gilgeous-Alexander Common Refractor #66 Thunder</t>
        </is>
      </c>
    </row>
    <row r="1037">
      <c r="A1037" s="8" t="inlineStr">
        <is>
          <t>RB-0007-00011-28281</t>
        </is>
      </c>
      <c r="B1037" s="8" t="inlineStr">
        <is>
          <t>2025-26 Topps Finest DERON WILLIAMS #M-24 Muse Refractor Jazz Basketball</t>
        </is>
      </c>
      <c r="C1037" s="9" t="n">
        <v>3.89</v>
      </c>
      <c r="D1037" s="9" t="n">
        <v>3.89</v>
      </c>
      <c r="E1037" s="9" t="n">
        <v>0</v>
      </c>
      <c r="F1037" s="10" t="n">
        <v>0</v>
      </c>
      <c r="G1037" s="8" t="inlineStr">
        <is>
          <t>— No Change</t>
        </is>
      </c>
      <c r="H1037" s="8" t="inlineStr">
        <is>
          <t>84%</t>
        </is>
      </c>
      <c r="I1037" s="8">
        <f>HYPERLINK("https://www.ebay.com/sch/261328/i.html?_dcat=261328&amp;_fsrp=1&amp;rt=nc&amp;_from=R40&amp;_nkw=2025-26%20Topps%20Finest%20DERON%20WILLIAMS%20%23M-24%20Muse%20Refractor%20Jazz%20Basketball&amp;_sacat=0&amp;_sop=15&amp;rt=nc&amp;LH_BIN=1", "Active")</f>
        <v/>
      </c>
      <c r="J1037" s="8">
        <f>HYPERLINK("https://www.ebay.com/sch/261328/i.html?_from=R40&amp;_nkw=2025-26%20Topps%20Finest%20DERON%20WILLIAMS%20%23M-24%20Muse%20Refractor%20Jazz%20Basketball&amp;_sacat=0&amp;LH_Sold=1&amp;LH_Complete=1&amp;_sop=13", "Completed")</f>
        <v/>
      </c>
      <c r="K1037" s="8" t="inlineStr">
        <is>
          <t>2025-26 Finest Muse Sky Blue Refractor #M-24 Deron Williams #/150 Utah Jazz</t>
        </is>
      </c>
    </row>
    <row r="1038">
      <c r="A1038" s="11" t="inlineStr">
        <is>
          <t>RB-0007-00009-73714</t>
        </is>
      </c>
      <c r="B1038" s="11" t="inlineStr">
        <is>
          <t>2025 Topps Finest YANIC KONAN-NIEDERHAUSER #A-30 Arrivals Refractor RC Rookie</t>
        </is>
      </c>
      <c r="C1038" s="12" t="n">
        <v>4.99</v>
      </c>
      <c r="D1038" s="12" t="n">
        <v>2.99</v>
      </c>
      <c r="E1038" s="12" t="n">
        <v>-2</v>
      </c>
      <c r="F1038" s="13" t="n">
        <v>-40.1</v>
      </c>
      <c r="G1038" s="11" t="inlineStr">
        <is>
          <t>⬇ Price Down</t>
        </is>
      </c>
      <c r="H1038" s="11" t="inlineStr">
        <is>
          <t>88%</t>
        </is>
      </c>
      <c r="I1038" s="11">
        <f>HYPERLINK("https://www.ebay.com/sch/261328/i.html?_dcat=261328&amp;_fsrp=1&amp;rt=nc&amp;_from=R40&amp;_nkw=2025%20Topps%20Finest%20YANIC%20KONAN-NIEDERHAUSER%20%23A-30%20Arrivals%20Refractor%20RC%20Rookie&amp;_sacat=0&amp;_sop=15&amp;rt=nc&amp;LH_BIN=1", "Active")</f>
        <v/>
      </c>
      <c r="J1038" s="11">
        <f>HYPERLINK("https://www.ebay.com/sch/261328/i.html?_from=R40&amp;_nkw=2025%20Topps%20Finest%20YANIC%20KONAN-NIEDERHAUSER%20%23A-30%20Arrivals%20Refractor%20RC%20Rookie&amp;_sacat=0&amp;LH_Sold=1&amp;LH_Complete=1&amp;_sop=13", "Completed")</f>
        <v/>
      </c>
      <c r="K1038" s="11" t="inlineStr">
        <is>
          <t>2025-26 Topps Finest Arrivals Yanic Konan-Niederhauser #A-30 Refractor RC</t>
        </is>
      </c>
    </row>
    <row r="1039">
      <c r="A1039" s="5" t="inlineStr">
        <is>
          <t>RB-0007-00028-33938</t>
        </is>
      </c>
      <c r="B1039" s="5" t="inlineStr">
        <is>
          <t>2025-26 Topps Chrome DRAKE POWELL #GR-17 Generation Rising RC Nets Rookie</t>
        </is>
      </c>
      <c r="C1039" s="6" t="n">
        <v>2.49</v>
      </c>
      <c r="D1039" s="6" t="n">
        <v>2.69</v>
      </c>
      <c r="E1039" s="6" t="n">
        <v>0.2</v>
      </c>
      <c r="F1039" s="7" t="n">
        <v>8</v>
      </c>
      <c r="G1039" s="5" t="inlineStr">
        <is>
          <t>⬆ Price Up</t>
        </is>
      </c>
      <c r="H1039" s="5" t="inlineStr">
        <is>
          <t>90%</t>
        </is>
      </c>
      <c r="I1039" s="5">
        <f>HYPERLINK("https://www.ebay.com/sch/261328/i.html?_dcat=261328&amp;_fsrp=1&amp;rt=nc&amp;_from=R40&amp;_nkw=2025-26%20Topps%20Chrome%20DRAKE%20POWELL%20%23GR-17%20Generation%20Rising%20RC%20Nets%20Rookie&amp;_sacat=0&amp;_sop=15&amp;rt=nc&amp;LH_BIN=1", "Active")</f>
        <v/>
      </c>
      <c r="J1039" s="5">
        <f>HYPERLINK("https://www.ebay.com/sch/261328/i.html?_from=R40&amp;_nkw=2025-26%20Topps%20Chrome%20DRAKE%20POWELL%20%23GR-17%20Generation%20Rising%20RC%20Nets%20Rookie&amp;_sacat=0&amp;LH_Sold=1&amp;LH_Complete=1&amp;_sop=13", "Completed")</f>
        <v/>
      </c>
      <c r="K1039" s="5" t="inlineStr">
        <is>
          <t>2025-26 Topps Chrome Drake Powell Generation Rising RC Rookie #GR-17 Nets</t>
        </is>
      </c>
    </row>
    <row r="1040">
      <c r="A1040" s="8" t="inlineStr">
        <is>
          <t>RB-0007-00020-28051</t>
        </is>
      </c>
      <c r="B1040" s="8" t="inlineStr">
        <is>
          <t>2025-26 Topps Finest CHAZ LANIER #F-27 First RC Pistons Rookie Basketball</t>
        </is>
      </c>
      <c r="C1040" s="9" t="n">
        <v>2.49</v>
      </c>
      <c r="D1040" s="9" t="n">
        <v>2.49</v>
      </c>
      <c r="E1040" s="9" t="n">
        <v>0</v>
      </c>
      <c r="F1040" s="10" t="n">
        <v>0</v>
      </c>
      <c r="G1040" s="8" t="inlineStr">
        <is>
          <t>— No Change</t>
        </is>
      </c>
      <c r="H1040" s="8" t="inlineStr">
        <is>
          <t>85%</t>
        </is>
      </c>
      <c r="I1040" s="8">
        <f>HYPERLINK("https://www.ebay.com/sch/261328/i.html?_dcat=261328&amp;_fsrp=1&amp;rt=nc&amp;_from=R40&amp;_nkw=2025-26%20Topps%20Finest%20CHAZ%20LANIER%20%23F-27%20First%20RC%20Pistons%20Rookie%20Basketball&amp;_sacat=0&amp;_sop=15&amp;rt=nc&amp;LH_BIN=1", "Active")</f>
        <v/>
      </c>
      <c r="J1040" s="8">
        <f>HYPERLINK("https://www.ebay.com/sch/261328/i.html?_from=R40&amp;_nkw=2025-26%20Topps%20Finest%20CHAZ%20LANIER%20%23F-27%20First%20RC%20Pistons%20Rookie%20Basketball&amp;_sacat=0&amp;LH_Sold=1&amp;LH_Complete=1&amp;_sop=13", "Completed")</f>
        <v/>
      </c>
      <c r="K1040" s="8" t="inlineStr">
        <is>
          <t>2025-26 Topps Finest - First Chaz Lanier #F-27 Rookie Card (RC) Detroit Pistons</t>
        </is>
      </c>
    </row>
    <row r="1041">
      <c r="A1041" s="5" t="inlineStr">
        <is>
          <t>RB-0007-00018-91473</t>
        </is>
      </c>
      <c r="B1041" s="5" t="inlineStr">
        <is>
          <t>2025-26 Topps Chrome ACE BAILEY #GR-5 Generation Rising RC Jazz Rookie</t>
        </is>
      </c>
      <c r="C1041" s="6" t="n">
        <v>2.99</v>
      </c>
      <c r="D1041" s="6" t="n">
        <v>3.29</v>
      </c>
      <c r="E1041" s="6" t="n">
        <v>0.3</v>
      </c>
      <c r="F1041" s="7" t="n">
        <v>10</v>
      </c>
      <c r="G1041" s="5" t="inlineStr">
        <is>
          <t>⬆ Price Up</t>
        </is>
      </c>
      <c r="H1041" s="5" t="inlineStr">
        <is>
          <t>87%</t>
        </is>
      </c>
      <c r="I1041" s="5">
        <f>HYPERLINK("https://www.ebay.com/sch/261328/i.html?_dcat=261328&amp;_fsrp=1&amp;rt=nc&amp;_from=R40&amp;_nkw=2025-26%20Topps%20Chrome%20ACE%20BAILEY%20%23GR-5%20Generation%20Rising%20RC%20Jazz%20Rookie&amp;_sacat=0&amp;_sop=15&amp;rt=nc&amp;LH_BIN=1", "Active")</f>
        <v/>
      </c>
      <c r="J1041" s="5">
        <f>HYPERLINK("https://www.ebay.com/sch/261328/i.html?_from=R40&amp;_nkw=2025-26%20Topps%20Chrome%20ACE%20BAILEY%20%23GR-5%20Generation%20Rising%20RC%20Jazz%20Rookie&amp;_sacat=0&amp;LH_Sold=1&amp;LH_Complete=1&amp;_sop=13", "Completed")</f>
        <v/>
      </c>
      <c r="K1041" s="5" t="inlineStr">
        <is>
          <t>2025-26 Topps Chrome Generation Rising Ace Bailey #GR-5 (RC) Utah Jazz</t>
        </is>
      </c>
    </row>
    <row r="1042">
      <c r="A1042" s="2" t="inlineStr">
        <is>
          <t>RB-0007-00024-94565</t>
        </is>
      </c>
      <c r="B1042" s="2" t="inlineStr">
        <is>
          <t>2025-26 Topps Chrome DANNY WOLF #GR-13 Generation Rising RC Nets Rookie</t>
        </is>
      </c>
      <c r="C1042" s="3" t="n">
        <v>2.99</v>
      </c>
      <c r="D1042" s="3" t="n">
        <v>2.49</v>
      </c>
      <c r="E1042" s="3" t="n">
        <v>-0.5</v>
      </c>
      <c r="F1042" s="4" t="n">
        <v>-16.7</v>
      </c>
      <c r="G1042" s="2" t="inlineStr">
        <is>
          <t>🔵 Floored $2.49 — free ship or $0.99 ship?</t>
        </is>
      </c>
      <c r="H1042" s="2" t="inlineStr">
        <is>
          <t>88%</t>
        </is>
      </c>
      <c r="I1042" s="2">
        <f>HYPERLINK("https://www.ebay.com/sch/261328/i.html?_dcat=261328&amp;_fsrp=1&amp;rt=nc&amp;_from=R40&amp;_nkw=2025-26%20Topps%20Chrome%20DANNY%20WOLF%20%23GR-13%20Generation%20Rising%20RC%20Nets%20Rookie&amp;_sacat=0&amp;_sop=15&amp;rt=nc&amp;LH_BIN=1", "Active")</f>
        <v/>
      </c>
      <c r="J1042" s="2">
        <f>HYPERLINK("https://www.ebay.com/sch/261328/i.html?_from=R40&amp;_nkw=2025-26%20Topps%20Chrome%20DANNY%20WOLF%20%23GR-13%20Generation%20Rising%20RC%20Nets%20Rookie&amp;_sacat=0&amp;LH_Sold=1&amp;LH_Complete=1&amp;_sop=13", "Completed")</f>
        <v/>
      </c>
      <c r="K1042" s="2" t="inlineStr">
        <is>
          <t>2025-26 Topps Chrome Danny Wolf #GR-13 Generation Rising RC Brooklyn Nets</t>
        </is>
      </c>
    </row>
    <row r="1043">
      <c r="A1043" s="8" t="inlineStr">
        <is>
          <t>RB-0007-00015-72617</t>
        </is>
      </c>
      <c r="B1043" s="8" t="inlineStr">
        <is>
          <t>2025-26 Topps Finest DWYANE WADE #M-8 Muse Heat Basketball</t>
        </is>
      </c>
      <c r="C1043" s="9" t="n">
        <v>2.49</v>
      </c>
      <c r="D1043" s="9" t="n">
        <v>2.49</v>
      </c>
      <c r="E1043" s="9" t="n">
        <v>0</v>
      </c>
      <c r="F1043" s="10" t="n">
        <v>0</v>
      </c>
      <c r="G1043" s="8" t="inlineStr">
        <is>
          <t>— No Change</t>
        </is>
      </c>
      <c r="H1043" s="8" t="inlineStr">
        <is>
          <t>87%</t>
        </is>
      </c>
      <c r="I1043" s="8">
        <f>HYPERLINK("https://www.ebay.com/sch/261328/i.html?_dcat=261328&amp;_fsrp=1&amp;rt=nc&amp;_from=R40&amp;_nkw=2025-26%20Topps%20Finest%20DWYANE%20WADE%20%23M-8%20Muse%20Heat%20Basketball&amp;_sacat=0&amp;_sop=15&amp;rt=nc&amp;LH_BIN=1", "Active")</f>
        <v/>
      </c>
      <c r="J1043" s="8">
        <f>HYPERLINK("https://www.ebay.com/sch/261328/i.html?_from=R40&amp;_nkw=2025-26%20Topps%20Finest%20DWYANE%20WADE%20%23M-8%20Muse%20Heat%20Basketball&amp;_sacat=0&amp;LH_Sold=1&amp;LH_Complete=1&amp;_sop=13", "Completed")</f>
        <v/>
      </c>
      <c r="K1043" s="8" t="inlineStr">
        <is>
          <t>2025-26 Topps Finest Muse Dwyane Wade #M-8 Base Miami Heat</t>
        </is>
      </c>
    </row>
    <row r="1044">
      <c r="A1044" s="11" t="inlineStr">
        <is>
          <t>MISC-0002-00017-11980</t>
        </is>
      </c>
      <c r="B1044" s="11" t="inlineStr">
        <is>
          <t>2025 Bowman's Best KEVIN MCGONIGLE #TP-28 Top Prospects Refractor Tigers</t>
        </is>
      </c>
      <c r="C1044" s="12" t="n">
        <v>6.19</v>
      </c>
      <c r="D1044" s="12" t="n">
        <v>5.39</v>
      </c>
      <c r="E1044" s="12" t="n">
        <v>-0.8</v>
      </c>
      <c r="F1044" s="13" t="n">
        <v>-12.9</v>
      </c>
      <c r="G1044" s="11" t="inlineStr">
        <is>
          <t>⬇ Price Down</t>
        </is>
      </c>
      <c r="H1044" s="11" t="inlineStr">
        <is>
          <t>89%</t>
        </is>
      </c>
      <c r="I1044" s="11">
        <f>HYPERLINK("https://www.ebay.com/sch/261328/i.html?_dcat=261328&amp;_fsrp=1&amp;rt=nc&amp;_from=R40&amp;_nkw=2025%20Bowman's%20Best%20KEVIN%20MCGONIGLE%20%23TP-28%20Top%20Prospects%20Refractor%20Tigers&amp;_sacat=0&amp;_sop=15&amp;rt=nc&amp;LH_BIN=1", "Active")</f>
        <v/>
      </c>
      <c r="J1044" s="11">
        <f>HYPERLINK("https://www.ebay.com/sch/261328/i.html?_from=R40&amp;_nkw=2025%20Bowman's%20Best%20KEVIN%20MCGONIGLE%20%23TP-28%20Top%20Prospects%20Refractor%20Tigers&amp;_sacat=0&amp;LH_Sold=1&amp;LH_Complete=1&amp;_sop=13", "Completed")</f>
        <v/>
      </c>
      <c r="K1044" s="11" t="inlineStr">
        <is>
          <t>2025 Bowmans Best Kevin Mcgonigle Top Prospect Refractor #TP-28 Tigers</t>
        </is>
      </c>
    </row>
    <row r="1045">
      <c r="A1045" s="2" t="inlineStr">
        <is>
          <t>COLL-0001-00002-55420</t>
        </is>
      </c>
      <c r="B1045" s="2" t="inlineStr">
        <is>
          <t>2026 Topps Heritage COBY MAYO #49 Chrome Orioles</t>
        </is>
      </c>
      <c r="C1045" s="3" t="n">
        <v>3.49</v>
      </c>
      <c r="D1045" s="3" t="n">
        <v>2.49</v>
      </c>
      <c r="E1045" s="3" t="n">
        <v>-1</v>
      </c>
      <c r="F1045" s="4" t="n">
        <v>-28.7</v>
      </c>
      <c r="G1045" s="2" t="inlineStr">
        <is>
          <t>🔵 Floored $2.49 — free ship or $0.99 ship?</t>
        </is>
      </c>
      <c r="H1045" s="2" t="inlineStr">
        <is>
          <t>70%</t>
        </is>
      </c>
      <c r="I1045" s="2">
        <f>HYPERLINK("https://www.ebay.com/sch/261328/i.html?_dcat=261328&amp;_fsrp=1&amp;rt=nc&amp;_from=R40&amp;_nkw=2026%20Topps%20Heritage%20COBY%20MAYO%20%2349%20Chrome%20Orioles&amp;_sacat=0&amp;_sop=15&amp;rt=nc&amp;LH_BIN=1", "Active")</f>
        <v/>
      </c>
      <c r="J1045" s="2">
        <f>HYPERLINK("https://www.ebay.com/sch/261328/i.html?_from=R40&amp;_nkw=2026%20Topps%20Heritage%20COBY%20MAYO%20%2349%20Chrome%20Orioles&amp;_sacat=0&amp;LH_Sold=1&amp;LH_Complete=1&amp;_sop=13", "Completed")</f>
        <v/>
      </c>
      <c r="K1045" s="2" t="inlineStr">
        <is>
          <t>Coby Mayo ⚾️ 2026 Topps Heritage - #49 Chrome⚾️ Baltimore Orioles 3rd Baseman⚾️</t>
        </is>
      </c>
    </row>
    <row r="1046">
      <c r="A1046" s="2" t="inlineStr">
        <is>
          <t>COLL-0001-00001-47756</t>
        </is>
      </c>
      <c r="B1046" s="2" t="inlineStr">
        <is>
          <t>2026 Topps JONAH TONG #4 Sandglitter RC Mets Rookie</t>
        </is>
      </c>
      <c r="C1046" s="3" t="n">
        <v>6.49</v>
      </c>
      <c r="D1046" s="3" t="n">
        <v>2.49</v>
      </c>
      <c r="E1046" s="3" t="n">
        <v>-4</v>
      </c>
      <c r="F1046" s="4" t="n">
        <v>-61.6</v>
      </c>
      <c r="G1046" s="2" t="inlineStr">
        <is>
          <t>🔵 Floored $2.49 — free ship or $0.99 ship?</t>
        </is>
      </c>
      <c r="H1046" s="2" t="inlineStr">
        <is>
          <t>85%</t>
        </is>
      </c>
      <c r="I1046" s="2">
        <f>HYPERLINK("https://www.ebay.com/sch/261328/i.html?_dcat=261328&amp;_fsrp=1&amp;rt=nc&amp;_from=R40&amp;_nkw=2026%20Topps%20JONAH%20TONG%20%234%20Sandglitter%20RC%20Mets%20Rookie&amp;_sacat=0&amp;_sop=15&amp;rt=nc&amp;LH_BIN=1", "Active")</f>
        <v/>
      </c>
      <c r="J1046" s="2">
        <f>HYPERLINK("https://www.ebay.com/sch/261328/i.html?_from=R40&amp;_nkw=2026%20Topps%20JONAH%20TONG%20%234%20Sandglitter%20RC%20Mets%20Rookie&amp;_sacat=0&amp;LH_Sold=1&amp;LH_Complete=1&amp;_sop=13", "Completed")</f>
        <v/>
      </c>
      <c r="K1046" s="2" t="inlineStr">
        <is>
          <t>2026 Topps Series 1 - JONAH TONG #4 Sandglitter (RC) New York Mets</t>
        </is>
      </c>
    </row>
    <row r="1047">
      <c r="A1047" s="11" t="inlineStr">
        <is>
          <t>COLL-0001-00010-30824</t>
        </is>
      </c>
      <c r="B1047" s="11" t="inlineStr">
        <is>
          <t>2026 Topps Collector's Kit Exclusive VICTOR WEMBANYAMA #NBA-7 Wave Foil Spurs</t>
        </is>
      </c>
      <c r="C1047" s="12" t="n">
        <v>13.49</v>
      </c>
      <c r="D1047" s="12" t="n">
        <v>12.59</v>
      </c>
      <c r="E1047" s="12" t="n">
        <v>-0.9</v>
      </c>
      <c r="F1047" s="13" t="n">
        <v>-6.7</v>
      </c>
      <c r="G1047" s="11" t="inlineStr">
        <is>
          <t>⬇ Price Down</t>
        </is>
      </c>
      <c r="H1047" s="11" t="inlineStr">
        <is>
          <t>85%</t>
        </is>
      </c>
      <c r="I1047" s="11">
        <f>HYPERLINK("https://www.ebay.com/sch/261328/i.html?_dcat=261328&amp;_fsrp=1&amp;rt=nc&amp;_from=R40&amp;_nkw=2026%20Topps%20Collector's%20Kit%20Exclusive%20VICTOR%20WEMBANYAMA%20%23NBA-7%20Wave%20Foil%20Spurs&amp;_sacat=0&amp;_sop=15&amp;rt=nc&amp;LH_BIN=1", "Active")</f>
        <v/>
      </c>
      <c r="J1047" s="11">
        <f>HYPERLINK("https://www.ebay.com/sch/261328/i.html?_from=R40&amp;_nkw=2026%20Topps%20Collector's%20Kit%20Exclusive%20VICTOR%20WEMBANYAMA%20%23NBA-7%20Wave%20Foil%20Spurs&amp;_sacat=0&amp;LH_Sold=1&amp;LH_Complete=1&amp;_sop=13", "Completed")</f>
        <v/>
      </c>
      <c r="K1047" s="11" t="inlineStr">
        <is>
          <t>2026 Topps Collector’s Kit Victor Wembanyama #NBA-7 Wave Foil San Antonio Spurs</t>
        </is>
      </c>
    </row>
    <row r="1048">
      <c r="A1048" s="5" t="inlineStr">
        <is>
          <t>COLL-0001-00005-55780</t>
        </is>
      </c>
      <c r="B1048" s="5" t="inlineStr">
        <is>
          <t>2026 Topps Heritage KYLE TUCKER #187 Chrome Cubs Football</t>
        </is>
      </c>
      <c r="C1048" s="6" t="n">
        <v>3.49</v>
      </c>
      <c r="D1048" s="6" t="n">
        <v>4.39</v>
      </c>
      <c r="E1048" s="6" t="n">
        <v>0.9</v>
      </c>
      <c r="F1048" s="7" t="n">
        <v>25.8</v>
      </c>
      <c r="G1048" s="5" t="inlineStr">
        <is>
          <t>⬆ Price Up</t>
        </is>
      </c>
      <c r="H1048" s="5" t="inlineStr">
        <is>
          <t>100%</t>
        </is>
      </c>
      <c r="I1048" s="5">
        <f>HYPERLINK("https://www.ebay.com/sch/261328/i.html?_dcat=261328&amp;_fsrp=1&amp;rt=nc&amp;_from=R40&amp;_nkw=2026%20Topps%20Heritage%20KYLE%20TUCKER%20%23187%20Chrome%20Cubs%20Football&amp;_sacat=0&amp;_sop=15&amp;rt=nc&amp;LH_BIN=1", "Active")</f>
        <v/>
      </c>
      <c r="J1048" s="5">
        <f>HYPERLINK("https://www.ebay.com/sch/261328/i.html?_from=R40&amp;_nkw=2026%20Topps%20Heritage%20KYLE%20TUCKER%20%23187%20Chrome%20Cubs%20Football&amp;_sacat=0&amp;LH_Sold=1&amp;LH_Complete=1&amp;_sop=13", "Completed")</f>
        <v/>
      </c>
      <c r="K1048" s="5" t="inlineStr">
        <is>
          <t>2026 Topps Heritage KYLE TUCKER #187 Chrome Cubs Football</t>
        </is>
      </c>
    </row>
    <row r="1049">
      <c r="A1049" s="11" t="inlineStr">
        <is>
          <t>COLL-0001-00004-65879</t>
        </is>
      </c>
      <c r="B1049" s="11" t="inlineStr">
        <is>
          <t>2026 Topps JAVIER BAEZ #144 Aqua Rainbow Foil Tigers</t>
        </is>
      </c>
      <c r="C1049" s="12" t="n">
        <v>3.49</v>
      </c>
      <c r="D1049" s="12" t="n">
        <v>2.79</v>
      </c>
      <c r="E1049" s="12" t="n">
        <v>-0.7</v>
      </c>
      <c r="F1049" s="13" t="n">
        <v>-20.1</v>
      </c>
      <c r="G1049" s="11" t="inlineStr">
        <is>
          <t>⬇ Price Down</t>
        </is>
      </c>
      <c r="H1049" s="11" t="inlineStr">
        <is>
          <t>84%</t>
        </is>
      </c>
      <c r="I1049" s="11">
        <f>HYPERLINK("https://www.ebay.com/sch/261328/i.html?_dcat=261328&amp;_fsrp=1&amp;rt=nc&amp;_from=R40&amp;_nkw=2026%20Topps%20JAVIER%20BAEZ%20%23144%20Aqua%20Rainbow%20Foil%20Tigers&amp;_sacat=0&amp;_sop=15&amp;rt=nc&amp;LH_BIN=1", "Active")</f>
        <v/>
      </c>
      <c r="J1049" s="11">
        <f>HYPERLINK("https://www.ebay.com/sch/261328/i.html?_from=R40&amp;_nkw=2026%20Topps%20JAVIER%20BAEZ%20%23144%20Aqua%20Rainbow%20Foil%20Tigers&amp;_sacat=0&amp;LH_Sold=1&amp;LH_Complete=1&amp;_sop=13", "Completed")</f>
        <v/>
      </c>
      <c r="K1049" s="11" t="inlineStr">
        <is>
          <t>2026 Topps Series 1 Baseball - Javier Baez #144 - Aqua Rainbow Foil - Tigers</t>
        </is>
      </c>
    </row>
    <row r="1050">
      <c r="A1050" s="11" t="inlineStr">
        <is>
          <t>COLL-0001-00006-73319</t>
        </is>
      </c>
      <c r="B1050" s="11" t="inlineStr">
        <is>
          <t>2026 Topps Heritage EMMET SHEEHAN #178 Chrome Pink Sparkle Refractor Dodgers</t>
        </is>
      </c>
      <c r="C1050" s="12" t="n">
        <v>3.99</v>
      </c>
      <c r="D1050" s="12" t="n">
        <v>2.89</v>
      </c>
      <c r="E1050" s="12" t="n">
        <v>-1.1</v>
      </c>
      <c r="F1050" s="13" t="n">
        <v>-27.6</v>
      </c>
      <c r="G1050" s="11" t="inlineStr">
        <is>
          <t>⬇ Price Down</t>
        </is>
      </c>
      <c r="H1050" s="11" t="inlineStr">
        <is>
          <t>90%</t>
        </is>
      </c>
      <c r="I1050" s="11">
        <f>HYPERLINK("https://www.ebay.com/sch/261328/i.html?_dcat=261328&amp;_fsrp=1&amp;rt=nc&amp;_from=R40&amp;_nkw=2026%20Topps%20Heritage%20EMMET%20SHEEHAN%20%23178%20Chrome%20Pink%20Sparkle%20Refractor%20Dodgers&amp;_sacat=0&amp;_sop=15&amp;rt=nc&amp;LH_BIN=1", "Active")</f>
        <v/>
      </c>
      <c r="J1050" s="11">
        <f>HYPERLINK("https://www.ebay.com/sch/261328/i.html?_from=R40&amp;_nkw=2026%20Topps%20Heritage%20EMMET%20SHEEHAN%20%23178%20Chrome%20Pink%20Sparkle%20Refractor%20Dodgers&amp;_sacat=0&amp;LH_Sold=1&amp;LH_Complete=1&amp;_sop=13", "Completed")</f>
        <v/>
      </c>
      <c r="K1050" s="11" t="inlineStr">
        <is>
          <t>2026 Topps Heritage #178 Emmet Sheehan Chrome Pink Sparkle Refractors Dodgers</t>
        </is>
      </c>
    </row>
    <row r="1051">
      <c r="A1051" s="2" t="inlineStr">
        <is>
          <t>COLL-0001-00007-49290</t>
        </is>
      </c>
      <c r="B1051" s="2" t="inlineStr">
        <is>
          <t>2026 Topps Collector's Kit Exclusive EGOR DEMIN #NBA-9 Rainbow Foil RC Nets</t>
        </is>
      </c>
      <c r="C1051" s="3" t="n">
        <v>3.49</v>
      </c>
      <c r="D1051" s="3" t="n">
        <v>2.49</v>
      </c>
      <c r="E1051" s="3" t="n">
        <v>-1</v>
      </c>
      <c r="F1051" s="4" t="n">
        <v>-28.7</v>
      </c>
      <c r="G1051" s="2" t="inlineStr">
        <is>
          <t>🔵 Floored $2.49 — free ship or $0.99 ship?</t>
        </is>
      </c>
      <c r="H1051" s="2" t="inlineStr">
        <is>
          <t>90%</t>
        </is>
      </c>
      <c r="I1051" s="2">
        <f>HYPERLINK("https://www.ebay.com/sch/261328/i.html?_dcat=261328&amp;_fsrp=1&amp;rt=nc&amp;_from=R40&amp;_nkw=2026%20Topps%20Collector's%20Kit%20Exclusive%20EGOR%20DEMIN%20%23NBA-9%20Rainbow%20Foil%20RC%20Nets&amp;_sacat=0&amp;_sop=15&amp;rt=nc&amp;LH_BIN=1", "Active")</f>
        <v/>
      </c>
      <c r="J1051" s="2">
        <f>HYPERLINK("https://www.ebay.com/sch/261328/i.html?_from=R40&amp;_nkw=2026%20Topps%20Collector's%20Kit%20Exclusive%20EGOR%20DEMIN%20%23NBA-9%20Rainbow%20Foil%20RC%20Nets&amp;_sacat=0&amp;LH_Sold=1&amp;LH_Complete=1&amp;_sop=13", "Completed")</f>
        <v/>
      </c>
      <c r="K1051" s="2" t="inlineStr">
        <is>
          <t>2026 Topps Collector's Kit Exclusive Egor Demin Rainbow Foil RC #NBA-9 Nets</t>
        </is>
      </c>
    </row>
    <row r="1052">
      <c r="A1052" s="2" t="inlineStr">
        <is>
          <t>COLL-0001-00003-32963</t>
        </is>
      </c>
      <c r="B1052" s="2" t="inlineStr">
        <is>
          <t>2026 Topps Heritage SANDY ALCANTARA #76 Chrome Marlins</t>
        </is>
      </c>
      <c r="C1052" s="3" t="n">
        <v>3.49</v>
      </c>
      <c r="D1052" s="3" t="n">
        <v>2.49</v>
      </c>
      <c r="E1052" s="3" t="n">
        <v>-1</v>
      </c>
      <c r="F1052" s="4" t="n">
        <v>-28.7</v>
      </c>
      <c r="G1052" s="2" t="inlineStr">
        <is>
          <t>🔵 Floored $2.49 — free ship or $0.99 ship?</t>
        </is>
      </c>
      <c r="H1052" s="2" t="inlineStr">
        <is>
          <t>84%</t>
        </is>
      </c>
      <c r="I1052" s="2">
        <f>HYPERLINK("https://www.ebay.com/sch/261328/i.html?_dcat=261328&amp;_fsrp=1&amp;rt=nc&amp;_from=R40&amp;_nkw=2026%20Topps%20Heritage%20SANDY%20ALCANTARA%20%2376%20Chrome%20Marlins&amp;_sacat=0&amp;_sop=15&amp;rt=nc&amp;LH_BIN=1", "Active")</f>
        <v/>
      </c>
      <c r="J1052" s="2">
        <f>HYPERLINK("https://www.ebay.com/sch/261328/i.html?_from=R40&amp;_nkw=2026%20Topps%20Heritage%20SANDY%20ALCANTARA%20%2376%20Chrome%20Marlins&amp;_sacat=0&amp;LH_Sold=1&amp;LH_Complete=1&amp;_sop=13", "Completed")</f>
        <v/>
      </c>
      <c r="K1052" s="2" t="inlineStr">
        <is>
          <t>2026 Topps Heritage - Sandy Alcantara #76 Chrome Blue Sparkle Refractor Marlins</t>
        </is>
      </c>
    </row>
    <row r="1053">
      <c r="A1053" s="11" t="inlineStr">
        <is>
          <t>COLL-0001-00003-36882</t>
        </is>
      </c>
      <c r="B1053" s="11" t="inlineStr">
        <is>
          <t>2025 Bowman Chrome Sapphire LEO DE VRIES #BCP-204 Prospects Padres</t>
        </is>
      </c>
      <c r="C1053" s="12" t="n">
        <v>5.99</v>
      </c>
      <c r="D1053" s="12" t="n">
        <v>5.29</v>
      </c>
      <c r="E1053" s="12" t="n">
        <v>-0.7</v>
      </c>
      <c r="F1053" s="13" t="n">
        <v>-11.7</v>
      </c>
      <c r="G1053" s="11" t="inlineStr">
        <is>
          <t>⬇ Price Down</t>
        </is>
      </c>
      <c r="H1053" s="11" t="inlineStr">
        <is>
          <t>87%</t>
        </is>
      </c>
      <c r="I1053" s="11">
        <f>HYPERLINK("https://www.ebay.com/sch/261328/i.html?_dcat=261328&amp;_fsrp=1&amp;rt=nc&amp;_from=R40&amp;_nkw=2025%20Bowman%20Chrome%20Sapphire%20LEO%20DE%20VRIES%20%23BCP-204%20Prospects%20Padres&amp;_sacat=0&amp;_sop=15&amp;rt=nc&amp;LH_BIN=1", "Active")</f>
        <v/>
      </c>
      <c r="J1053" s="11">
        <f>HYPERLINK("https://www.ebay.com/sch/261328/i.html?_from=R40&amp;_nkw=2025%20Bowman%20Chrome%20Sapphire%20LEO%20DE%20VRIES%20%23BCP-204%20Prospects%20Padres&amp;_sacat=0&amp;LH_Sold=1&amp;LH_Complete=1&amp;_sop=13", "Completed")</f>
        <v/>
      </c>
      <c r="K1053" s="11" t="inlineStr">
        <is>
          <t>2025 Bowman Chrome Prospects Sapphire #BCP204 Leo De Vries San Diego Padres</t>
        </is>
      </c>
    </row>
    <row r="1054">
      <c r="A1054" s="11" t="inlineStr">
        <is>
          <t>RB_Batch-0005-00014-94530</t>
        </is>
      </c>
      <c r="B1054" s="11" t="inlineStr">
        <is>
          <t>2025 Topps Chrome Sapphire CAM SMITH Rookie Houston Astros RC #USC145</t>
        </is>
      </c>
      <c r="C1054" s="12" t="n">
        <v>8.09</v>
      </c>
      <c r="D1054" s="12" t="n">
        <v>6.19</v>
      </c>
      <c r="E1054" s="12" t="n">
        <v>-1.9</v>
      </c>
      <c r="F1054" s="13" t="n">
        <v>-23.5</v>
      </c>
      <c r="G1054" s="11" t="inlineStr">
        <is>
          <t>⬇ Price Down</t>
        </is>
      </c>
      <c r="H1054" s="11" t="inlineStr">
        <is>
          <t>84%</t>
        </is>
      </c>
      <c r="I1054" s="11">
        <f>HYPERLINK("https://www.ebay.com/sch/261328/i.html?_dcat=261328&amp;_fsrp=1&amp;rt=nc&amp;_from=R40&amp;_nkw=2025%20Topps%20Chrome%20Sapphire%20CAM%20SMITH%20Rookie%20Houston%20Astros%20RC%20%23USC145&amp;_sacat=0&amp;_sop=15&amp;rt=nc&amp;LH_BIN=1", "Active")</f>
        <v/>
      </c>
      <c r="J1054" s="11">
        <f>HYPERLINK("https://www.ebay.com/sch/261328/i.html?_from=R40&amp;_nkw=2025%20Topps%20Chrome%20Sapphire%20CAM%20SMITH%20Rookie%20Houston%20Astros%20RC%20%23USC145&amp;_sacat=0&amp;LH_Sold=1&amp;LH_Complete=1&amp;_sop=13", "Completed")</f>
        <v/>
      </c>
      <c r="K1054" s="11" t="inlineStr">
        <is>
          <t>2025 Topps Chrome Update Series Sapphire Edition - Cam Smith #USC145 (RC)</t>
        </is>
      </c>
    </row>
    <row r="1055">
      <c r="A1055" s="8" t="inlineStr">
        <is>
          <t>GABED-0001-00009-18517</t>
        </is>
      </c>
      <c r="B1055" s="8" t="inlineStr">
        <is>
          <t>2025 Topps Chrome JEFFERY SIMMONS #289 Titans Football</t>
        </is>
      </c>
      <c r="C1055" s="9" t="n">
        <v>2.49</v>
      </c>
      <c r="D1055" s="9" t="n">
        <v>2.49</v>
      </c>
      <c r="E1055" s="9" t="n">
        <v>0</v>
      </c>
      <c r="F1055" s="10" t="n">
        <v>0</v>
      </c>
      <c r="G1055" s="8" t="inlineStr">
        <is>
          <t>— No Change</t>
        </is>
      </c>
      <c r="H1055" s="8" t="inlineStr">
        <is>
          <t>65%</t>
        </is>
      </c>
      <c r="I1055" s="8">
        <f>HYPERLINK("https://www.ebay.com/sch/261328/i.html?_dcat=261328&amp;_fsrp=1&amp;rt=nc&amp;_from=R40&amp;_nkw=2025%20Topps%20Chrome%20JEFFERY%20SIMMONS%20%23289%20Titans%20Football&amp;_sacat=0&amp;_sop=15&amp;rt=nc&amp;LH_BIN=1", "Active")</f>
        <v/>
      </c>
      <c r="J1055" s="8">
        <f>HYPERLINK("https://www.ebay.com/sch/261328/i.html?_from=R40&amp;_nkw=2025%20Topps%20Chrome%20JEFFERY%20SIMMONS%20%23289%20Titans%20Football&amp;_sacat=0&amp;LH_Sold=1&amp;LH_Complete=1&amp;_sop=13", "Completed")</f>
        <v/>
      </c>
      <c r="K1055" s="8" t="inlineStr">
        <is>
          <t>2025 Topps Chrome Football Base Vets You Pick Complete Your Set #201-300</t>
        </is>
      </c>
    </row>
    <row r="1056">
      <c r="A1056" s="8" t="inlineStr">
        <is>
          <t>GABED-0001-00011-10052</t>
        </is>
      </c>
      <c r="B1056" s="8" t="inlineStr">
        <is>
          <t>2025 Topps Chrome TEZ JOHNSON #342 Rookie RC Buccaneers Football</t>
        </is>
      </c>
      <c r="C1056" s="9" t="n">
        <v>2.49</v>
      </c>
      <c r="D1056" s="9" t="n">
        <v>2.49</v>
      </c>
      <c r="E1056" s="9" t="n">
        <v>0</v>
      </c>
      <c r="F1056" s="10" t="n">
        <v>0</v>
      </c>
      <c r="G1056" s="8" t="inlineStr">
        <is>
          <t>— No Change</t>
        </is>
      </c>
      <c r="H1056" s="8" t="inlineStr">
        <is>
          <t>63%</t>
        </is>
      </c>
      <c r="I1056" s="8">
        <f>HYPERLINK("https://www.ebay.com/sch/261328/i.html?_dcat=261328&amp;_fsrp=1&amp;rt=nc&amp;_from=R40&amp;_nkw=2025%20Topps%20Chrome%20TEZ%20JOHNSON%20%23342%20Rookie%20RC%20Buccaneers%20Football&amp;_sacat=0&amp;_sop=15&amp;rt=nc&amp;LH_BIN=1", "Active")</f>
        <v/>
      </c>
      <c r="J1056" s="8">
        <f>HYPERLINK("https://www.ebay.com/sch/261328/i.html?_from=R40&amp;_nkw=2025%20Topps%20Chrome%20TEZ%20JOHNSON%20%23342%20Rookie%20RC%20Buccaneers%20Football&amp;_sacat=0&amp;LH_Sold=1&amp;LH_Complete=1&amp;_sop=13", "Completed")</f>
        <v/>
      </c>
      <c r="K1056" s="8" t="inlineStr">
        <is>
          <t>2025 Topps Chrome Football - Rookies - You Pick - Complete Your Set: #301-400</t>
        </is>
      </c>
    </row>
    <row r="1057">
      <c r="A1057" s="2" t="inlineStr">
        <is>
          <t>GABED-0001-00005-56783</t>
        </is>
      </c>
      <c r="B1057" s="2" t="inlineStr">
        <is>
          <t>2025 Topps Chrome JEREMY CHINN #184 Prism Refractor Raiders Football</t>
        </is>
      </c>
      <c r="C1057" s="3" t="n">
        <v>2.99</v>
      </c>
      <c r="D1057" s="3" t="n">
        <v>2.49</v>
      </c>
      <c r="E1057" s="3" t="n">
        <v>-0.5</v>
      </c>
      <c r="F1057" s="4" t="n">
        <v>-16.7</v>
      </c>
      <c r="G1057" s="2" t="inlineStr">
        <is>
          <t>🔵 Floored $2.49 — free ship or $0.99 ship?</t>
        </is>
      </c>
      <c r="H1057" s="2" t="inlineStr">
        <is>
          <t>77%</t>
        </is>
      </c>
      <c r="I1057" s="2">
        <f>HYPERLINK("https://www.ebay.com/sch/261328/i.html?_dcat=261328&amp;_fsrp=1&amp;rt=nc&amp;_from=R40&amp;_nkw=2025%20Topps%20Chrome%20JEREMY%20CHINN%20%23184%20Prism%20Refractor%20Raiders%20Football&amp;_sacat=0&amp;_sop=15&amp;rt=nc&amp;LH_BIN=1", "Active")</f>
        <v/>
      </c>
      <c r="J1057" s="2">
        <f>HYPERLINK("https://www.ebay.com/sch/261328/i.html?_from=R40&amp;_nkw=2025%20Topps%20Chrome%20JEREMY%20CHINN%20%23184%20Prism%20Refractor%20Raiders%20Football&amp;_sacat=0&amp;LH_Sold=1&amp;LH_Complete=1&amp;_sop=13", "Completed")</f>
        <v/>
      </c>
      <c r="K1057" s="2" t="inlineStr">
        <is>
          <t>Jeremy Chinn 2025 Topps Chrome #184 Prism Refractor Las Vegas Raiders</t>
        </is>
      </c>
    </row>
    <row r="1058">
      <c r="A1058" s="2" t="inlineStr">
        <is>
          <t>GABED-0001-00004-69649</t>
        </is>
      </c>
      <c r="B1058" s="2" t="inlineStr">
        <is>
          <t>2025 Topps Chrome BROCK BOWERS #ACT-10 All Team Refractor Raiders Football</t>
        </is>
      </c>
      <c r="C1058" s="3" t="n">
        <v>5.99</v>
      </c>
      <c r="D1058" s="3" t="n">
        <v>2.49</v>
      </c>
      <c r="E1058" s="3" t="n">
        <v>-3.5</v>
      </c>
      <c r="F1058" s="4" t="n">
        <v>-58.4</v>
      </c>
      <c r="G1058" s="2" t="inlineStr">
        <is>
          <t>🔵 Floored $2.49 — free ship or $0.99 ship?</t>
        </is>
      </c>
      <c r="H1058" s="2" t="inlineStr">
        <is>
          <t>86%</t>
        </is>
      </c>
      <c r="I1058" s="2">
        <f>HYPERLINK("https://www.ebay.com/sch/261328/i.html?_dcat=261328&amp;_fsrp=1&amp;rt=nc&amp;_from=R40&amp;_nkw=2025%20Topps%20Chrome%20BROCK%20BOWERS%20%23ACT-10%20All%20Team%20Refractor%20Raiders%20Football&amp;_sacat=0&amp;_sop=15&amp;rt=nc&amp;LH_BIN=1", "Active")</f>
        <v/>
      </c>
      <c r="J1058" s="2">
        <f>HYPERLINK("https://www.ebay.com/sch/261328/i.html?_from=R40&amp;_nkw=2025%20Topps%20Chrome%20BROCK%20BOWERS%20%23ACT-10%20All%20Team%20Refractor%20Raiders%20Football&amp;_sacat=0&amp;LH_Sold=1&amp;LH_Complete=1&amp;_sop=13", "Completed")</f>
        <v/>
      </c>
      <c r="K1058" s="2" t="inlineStr">
        <is>
          <t>2025 Topps Chrome #ACT-10 Brock Bowers REFRACTOR All Chrome Team Raiders Insert</t>
        </is>
      </c>
    </row>
    <row r="1059">
      <c r="A1059" s="8" t="inlineStr">
        <is>
          <t>GABED-0001-00013-02552</t>
        </is>
      </c>
      <c r="B1059" s="8" t="inlineStr">
        <is>
          <t>2025 Topps Chrome CHRIS GODWIN #283 Buccaneers Football</t>
        </is>
      </c>
      <c r="C1059" s="9" t="n">
        <v>2.49</v>
      </c>
      <c r="D1059" s="9" t="n">
        <v>2.49</v>
      </c>
      <c r="E1059" s="9" t="n">
        <v>0</v>
      </c>
      <c r="F1059" s="10" t="n">
        <v>0</v>
      </c>
      <c r="G1059" s="8" t="inlineStr">
        <is>
          <t>— No Change</t>
        </is>
      </c>
      <c r="H1059" s="8" t="inlineStr">
        <is>
          <t>65%</t>
        </is>
      </c>
      <c r="I1059" s="8">
        <f>HYPERLINK("https://www.ebay.com/sch/261328/i.html?_dcat=261328&amp;_fsrp=1&amp;rt=nc&amp;_from=R40&amp;_nkw=2025%20Topps%20Chrome%20CHRIS%20GODWIN%20%23283%20Buccaneers%20Football&amp;_sacat=0&amp;_sop=15&amp;rt=nc&amp;LH_BIN=1", "Active")</f>
        <v/>
      </c>
      <c r="J1059" s="8">
        <f>HYPERLINK("https://www.ebay.com/sch/261328/i.html?_from=R40&amp;_nkw=2025%20Topps%20Chrome%20CHRIS%20GODWIN%20%23283%20Buccaneers%20Football&amp;_sacat=0&amp;LH_Sold=1&amp;LH_Complete=1&amp;_sop=13", "Completed")</f>
        <v/>
      </c>
      <c r="K1059" s="8" t="inlineStr">
        <is>
          <t>2025 Topps Chrome Football Base Vets You Pick Complete Your Set #201-300</t>
        </is>
      </c>
    </row>
    <row r="1060">
      <c r="A1060" s="8" t="inlineStr">
        <is>
          <t>GABED-0001-00008-71969</t>
        </is>
      </c>
      <c r="B1060" s="8" t="inlineStr">
        <is>
          <t>2025 Topps Chrome JONATHAN TAYLOR #130 Colts Football</t>
        </is>
      </c>
      <c r="C1060" s="9" t="n">
        <v>2.49</v>
      </c>
      <c r="D1060" s="9" t="n">
        <v>2.49</v>
      </c>
      <c r="E1060" s="9" t="n">
        <v>0</v>
      </c>
      <c r="F1060" s="10" t="n">
        <v>0</v>
      </c>
      <c r="G1060" s="8" t="inlineStr">
        <is>
          <t>— No Change</t>
        </is>
      </c>
      <c r="H1060" s="8" t="inlineStr">
        <is>
          <t>62%</t>
        </is>
      </c>
      <c r="I1060" s="8">
        <f>HYPERLINK("https://www.ebay.com/sch/261328/i.html?_dcat=261328&amp;_fsrp=1&amp;rt=nc&amp;_from=R40&amp;_nkw=2025%20Topps%20Chrome%20JONATHAN%20TAYLOR%20%23130%20Colts%20Football&amp;_sacat=0&amp;_sop=15&amp;rt=nc&amp;LH_BIN=1", "Active")</f>
        <v/>
      </c>
      <c r="J1060" s="8">
        <f>HYPERLINK("https://www.ebay.com/sch/261328/i.html?_from=R40&amp;_nkw=2025%20Topps%20Chrome%20JONATHAN%20TAYLOR%20%23130%20Colts%20Football&amp;_sacat=0&amp;LH_Sold=1&amp;LH_Complete=1&amp;_sop=13", "Completed")</f>
        <v/>
      </c>
      <c r="K1060" s="8" t="inlineStr">
        <is>
          <t>2025 Topps Chrome Football BASE 1-250 You Pick - 2 Card Minimum</t>
        </is>
      </c>
    </row>
    <row r="1061">
      <c r="A1061" s="8" t="inlineStr">
        <is>
          <t>GABED-0001-00010-98908</t>
        </is>
      </c>
      <c r="B1061" s="8" t="inlineStr">
        <is>
          <t>2025 Topps Chrome BAKER MAYFIELD #281 Buccaneers Football</t>
        </is>
      </c>
      <c r="C1061" s="9" t="n">
        <v>2.49</v>
      </c>
      <c r="D1061" s="9" t="n">
        <v>2.49</v>
      </c>
      <c r="E1061" s="9" t="n">
        <v>0</v>
      </c>
      <c r="F1061" s="10" t="n">
        <v>0</v>
      </c>
      <c r="G1061" s="8" t="inlineStr">
        <is>
          <t>— No Change</t>
        </is>
      </c>
      <c r="H1061" s="8" t="inlineStr">
        <is>
          <t>68%</t>
        </is>
      </c>
      <c r="I1061" s="8">
        <f>HYPERLINK("https://www.ebay.com/sch/261328/i.html?_dcat=261328&amp;_fsrp=1&amp;rt=nc&amp;_from=R40&amp;_nkw=2025%20Topps%20Chrome%20BAKER%20MAYFIELD%20%23281%20Buccaneers%20Football&amp;_sacat=0&amp;_sop=15&amp;rt=nc&amp;LH_BIN=1", "Active")</f>
        <v/>
      </c>
      <c r="J1061" s="8">
        <f>HYPERLINK("https://www.ebay.com/sch/261328/i.html?_from=R40&amp;_nkw=2025%20Topps%20Chrome%20BAKER%20MAYFIELD%20%23281%20Buccaneers%20Football&amp;_sacat=0&amp;LH_Sold=1&amp;LH_Complete=1&amp;_sop=13", "Completed")</f>
        <v/>
      </c>
      <c r="K1061" s="8" t="inlineStr">
        <is>
          <t>2025 Topps Chrome Football Base Vets You Pick Complete Your Set #201-300</t>
        </is>
      </c>
    </row>
    <row r="1062">
      <c r="A1062" s="2" t="inlineStr">
        <is>
          <t>GABED-0001-00001-83274</t>
        </is>
      </c>
      <c r="B1062" s="2" t="inlineStr">
        <is>
          <t>2025 Topps Chrome TYLER WARREN #PP-35 Power Players RC Colts Rookie Football</t>
        </is>
      </c>
      <c r="C1062" s="3" t="n">
        <v>2.99</v>
      </c>
      <c r="D1062" s="3" t="n">
        <v>2.49</v>
      </c>
      <c r="E1062" s="3" t="n">
        <v>-0.5</v>
      </c>
      <c r="F1062" s="4" t="n">
        <v>-16.7</v>
      </c>
      <c r="G1062" s="2" t="inlineStr">
        <is>
          <t>🔵 Floored $2.49 — free ship or $0.99 ship?</t>
        </is>
      </c>
      <c r="H1062" s="2" t="inlineStr">
        <is>
          <t>77%</t>
        </is>
      </c>
      <c r="I1062" s="2">
        <f>HYPERLINK("https://www.ebay.com/sch/261328/i.html?_dcat=261328&amp;_fsrp=1&amp;rt=nc&amp;_from=R40&amp;_nkw=2025%20Topps%20Chrome%20TYLER%20WARREN%20%23PP-35%20Power%20Players%20RC%20Colts%20Rookie%20Football&amp;_sacat=0&amp;_sop=15&amp;rt=nc&amp;LH_BIN=1", "Active")</f>
        <v/>
      </c>
      <c r="J1062" s="2">
        <f>HYPERLINK("https://www.ebay.com/sch/261328/i.html?_from=R40&amp;_nkw=2025%20Topps%20Chrome%20TYLER%20WARREN%20%23PP-35%20Power%20Players%20RC%20Colts%20Rookie%20Football&amp;_sacat=0&amp;LH_Sold=1&amp;LH_Complete=1&amp;_sop=13", "Completed")</f>
        <v/>
      </c>
      <c r="K1062" s="2" t="inlineStr">
        <is>
          <t>Topps 2025 Topps Chrome Power Players Tyler Warren RC #PP-35 Colts Insert</t>
        </is>
      </c>
    </row>
    <row r="1063">
      <c r="A1063" s="8" t="inlineStr">
        <is>
          <t>GABED-0001-00006-00535</t>
        </is>
      </c>
      <c r="B1063" s="8" t="inlineStr">
        <is>
          <t>2025 Topps Chrome BO JACKSON #LOG-17 Legends of the Gridiron Raiders Football</t>
        </is>
      </c>
      <c r="C1063" s="9" t="n">
        <v>2.49</v>
      </c>
      <c r="D1063" s="9" t="n">
        <v>2.49</v>
      </c>
      <c r="E1063" s="9" t="n">
        <v>0</v>
      </c>
      <c r="F1063" s="10" t="n">
        <v>0</v>
      </c>
      <c r="G1063" s="8" t="inlineStr">
        <is>
          <t>— No Change</t>
        </is>
      </c>
      <c r="H1063" s="8" t="inlineStr">
        <is>
          <t>88%</t>
        </is>
      </c>
      <c r="I1063" s="8">
        <f>HYPERLINK("https://www.ebay.com/sch/261328/i.html?_dcat=261328&amp;_fsrp=1&amp;rt=nc&amp;_from=R40&amp;_nkw=2025%20Topps%20Chrome%20BO%20JACKSON%20%23LOG-17%20Legends%20of%20the%20Gridiron%20Raiders%20Football&amp;_sacat=0&amp;_sop=15&amp;rt=nc&amp;LH_BIN=1", "Active")</f>
        <v/>
      </c>
      <c r="J1063" s="8">
        <f>HYPERLINK("https://www.ebay.com/sch/261328/i.html?_from=R40&amp;_nkw=2025%20Topps%20Chrome%20BO%20JACKSON%20%23LOG-17%20Legends%20of%20the%20Gridiron%20Raiders%20Football&amp;_sacat=0&amp;LH_Sold=1&amp;LH_Complete=1&amp;_sop=13", "Completed")</f>
        <v/>
      </c>
      <c r="K1063" s="8" t="inlineStr">
        <is>
          <t>2025 Topps Chrome - Legends Of The Gridiron Bo Jackson #LOG-17 Raiders</t>
        </is>
      </c>
    </row>
    <row r="1064">
      <c r="A1064" s="2" t="inlineStr">
        <is>
          <t>GABED-0001-00012-64283</t>
        </is>
      </c>
      <c r="B1064" s="2" t="inlineStr">
        <is>
          <t>2025 Topps Chrome TOM BRADY #F15-35 Fortune 15 Buccaneers Football</t>
        </is>
      </c>
      <c r="C1064" s="3" t="n">
        <v>3.99</v>
      </c>
      <c r="D1064" s="3" t="n">
        <v>2.49</v>
      </c>
      <c r="E1064" s="3" t="n">
        <v>-1.5</v>
      </c>
      <c r="F1064" s="4" t="n">
        <v>-37.6</v>
      </c>
      <c r="G1064" s="2" t="inlineStr">
        <is>
          <t>🔵 Floored $2.49 — free ship or $0.99 ship?</t>
        </is>
      </c>
      <c r="H1064" s="2" t="inlineStr">
        <is>
          <t>75%</t>
        </is>
      </c>
      <c r="I1064" s="2">
        <f>HYPERLINK("https://www.ebay.com/sch/261328/i.html?_dcat=261328&amp;_fsrp=1&amp;rt=nc&amp;_from=R40&amp;_nkw=2025%20Topps%20Chrome%20TOM%20BRADY%20%23F15-35%20Fortune%2015%20Buccaneers%20Football&amp;_sacat=0&amp;_sop=15&amp;rt=nc&amp;LH_BIN=1", "Active")</f>
        <v/>
      </c>
      <c r="J1064" s="2">
        <f>HYPERLINK("https://www.ebay.com/sch/261328/i.html?_from=R40&amp;_nkw=2025%20Topps%20Chrome%20TOM%20BRADY%20%23F15-35%20Fortune%2015%20Buccaneers%20Football&amp;_sacat=0&amp;LH_Sold=1&amp;LH_Complete=1&amp;_sop=13", "Completed")</f>
        <v/>
      </c>
      <c r="K1064" s="2" t="inlineStr">
        <is>
          <t>Topps Chrome 2025 Tom Brady Fortune 15 Insert #F15-35 Tampa Bay Buccaneers</t>
        </is>
      </c>
    </row>
    <row r="1065">
      <c r="A1065" s="8" t="inlineStr">
        <is>
          <t>GABED-0001-00007-12220</t>
        </is>
      </c>
      <c r="B1065" s="8" t="inlineStr">
        <is>
          <t>2025 Topps Chrome KOLTON MILLER #183 Raiders Football</t>
        </is>
      </c>
      <c r="C1065" s="9" t="n">
        <v>2.49</v>
      </c>
      <c r="D1065" s="9" t="n">
        <v>2.49</v>
      </c>
      <c r="E1065" s="9" t="n">
        <v>0</v>
      </c>
      <c r="F1065" s="10" t="n">
        <v>0</v>
      </c>
      <c r="G1065" s="8" t="inlineStr">
        <is>
          <t>— No Change</t>
        </is>
      </c>
      <c r="H1065" s="8" t="inlineStr">
        <is>
          <t>65%</t>
        </is>
      </c>
      <c r="I1065" s="8">
        <f>HYPERLINK("https://www.ebay.com/sch/261328/i.html?_dcat=261328&amp;_fsrp=1&amp;rt=nc&amp;_from=R40&amp;_nkw=2025%20Topps%20Chrome%20KOLTON%20MILLER%20%23183%20Raiders%20Football&amp;_sacat=0&amp;_sop=15&amp;rt=nc&amp;LH_BIN=1", "Active")</f>
        <v/>
      </c>
      <c r="J1065" s="8">
        <f>HYPERLINK("https://www.ebay.com/sch/261328/i.html?_from=R40&amp;_nkw=2025%20Topps%20Chrome%20KOLTON%20MILLER%20%23183%20Raiders%20Football&amp;_sacat=0&amp;LH_Sold=1&amp;LH_Complete=1&amp;_sop=13", "Completed")</f>
        <v/>
      </c>
      <c r="K1065" s="8" t="inlineStr">
        <is>
          <t>2025 Topps Chrome Football Base Vets You Pick Complete Your Set #1-200</t>
        </is>
      </c>
    </row>
    <row r="1066">
      <c r="A1066" s="8" t="inlineStr">
        <is>
          <t>GABED-0001-00014-09283</t>
        </is>
      </c>
      <c r="B1066" s="8" t="inlineStr">
        <is>
          <t>2025 Topps Chrome MAXX CROSBY #180 Raiders Football</t>
        </is>
      </c>
      <c r="C1066" s="9" t="n">
        <v>2.49</v>
      </c>
      <c r="D1066" s="9" t="n">
        <v>2.49</v>
      </c>
      <c r="E1066" s="9" t="n">
        <v>0</v>
      </c>
      <c r="F1066" s="10" t="n">
        <v>0</v>
      </c>
      <c r="G1066" s="8" t="inlineStr">
        <is>
          <t>— No Change</t>
        </is>
      </c>
      <c r="H1066" s="8" t="inlineStr">
        <is>
          <t>68%</t>
        </is>
      </c>
      <c r="I1066" s="8">
        <f>HYPERLINK("https://www.ebay.com/sch/261328/i.html?_dcat=261328&amp;_fsrp=1&amp;rt=nc&amp;_from=R40&amp;_nkw=2025%20Topps%20Chrome%20MAXX%20CROSBY%20%23180%20Raiders%20Football&amp;_sacat=0&amp;_sop=15&amp;rt=nc&amp;LH_BIN=1", "Active")</f>
        <v/>
      </c>
      <c r="J1066" s="8">
        <f>HYPERLINK("https://www.ebay.com/sch/261328/i.html?_from=R40&amp;_nkw=2025%20Topps%20Chrome%20MAXX%20CROSBY%20%23180%20Raiders%20Football&amp;_sacat=0&amp;LH_Sold=1&amp;LH_Complete=1&amp;_sop=13", "Completed")</f>
        <v/>
      </c>
      <c r="K1066" s="8" t="inlineStr">
        <is>
          <t>2025 Topps Chrome Football BASE 1-250 You Pick - 2 Card Minimum</t>
        </is>
      </c>
    </row>
    <row r="1067">
      <c r="A1067" s="2" t="inlineStr">
        <is>
          <t>GABED-0001-00003-90200</t>
        </is>
      </c>
      <c r="B1067" s="2" t="inlineStr">
        <is>
          <t>2025 Topps Chrome JEREMY CHINN #184 Pulsar Refractor Raiders Football</t>
        </is>
      </c>
      <c r="C1067" s="3" t="n">
        <v>2.99</v>
      </c>
      <c r="D1067" s="3" t="n">
        <v>2.49</v>
      </c>
      <c r="E1067" s="3" t="n">
        <v>-0.5</v>
      </c>
      <c r="F1067" s="4" t="n">
        <v>-16.7</v>
      </c>
      <c r="G1067" s="2" t="inlineStr">
        <is>
          <t>🔵 Floored $2.49 — free ship or $0.99 ship?</t>
        </is>
      </c>
      <c r="H1067" s="2" t="inlineStr">
        <is>
          <t>79%</t>
        </is>
      </c>
      <c r="I1067" s="2">
        <f>HYPERLINK("https://www.ebay.com/sch/261328/i.html?_dcat=261328&amp;_fsrp=1&amp;rt=nc&amp;_from=R40&amp;_nkw=2025%20Topps%20Chrome%20JEREMY%20CHINN%20%23184%20Pulsar%20Refractor%20Raiders%20Football&amp;_sacat=0&amp;_sop=15&amp;rt=nc&amp;LH_BIN=1", "Active")</f>
        <v/>
      </c>
      <c r="J1067" s="2">
        <f>HYPERLINK("https://www.ebay.com/sch/261328/i.html?_from=R40&amp;_nkw=2025%20Topps%20Chrome%20JEREMY%20CHINN%20%23184%20Pulsar%20Refractor%20Raiders%20Football&amp;_sacat=0&amp;LH_Sold=1&amp;LH_Complete=1&amp;_sop=13", "Completed")</f>
        <v/>
      </c>
      <c r="K1067" s="2" t="inlineStr">
        <is>
          <t>Jeremy Chinn Pulsar Refractor 2025 Topps Chrome Football #184 Las Vegas Raiders</t>
        </is>
      </c>
    </row>
    <row r="1068">
      <c r="A1068" s="5" t="inlineStr">
        <is>
          <t>GABED-0001-00002-16536</t>
        </is>
      </c>
      <c r="B1068" s="5" t="inlineStr">
        <is>
          <t>2025 Topps Chrome CADE OTTON #284 Pulsar Refractor Buccaneers Basketball</t>
        </is>
      </c>
      <c r="C1068" s="6" t="n">
        <v>2.49</v>
      </c>
      <c r="D1068" s="6" t="n">
        <v>3.39</v>
      </c>
      <c r="E1068" s="6" t="n">
        <v>0.9</v>
      </c>
      <c r="F1068" s="7" t="n">
        <v>36.1</v>
      </c>
      <c r="G1068" s="5" t="inlineStr">
        <is>
          <t>⬆ Price Up</t>
        </is>
      </c>
      <c r="H1068" s="5" t="inlineStr">
        <is>
          <t>100%</t>
        </is>
      </c>
      <c r="I1068" s="5">
        <f>HYPERLINK("https://www.ebay.com/sch/261328/i.html?_dcat=261328&amp;_fsrp=1&amp;rt=nc&amp;_from=R40&amp;_nkw=2025%20Topps%20Chrome%20CADE%20OTTON%20%23284%20Pulsar%20Refractor%20Buccaneers%20Basketball&amp;_sacat=0&amp;_sop=15&amp;rt=nc&amp;LH_BIN=1", "Active")</f>
        <v/>
      </c>
      <c r="J1068" s="5">
        <f>HYPERLINK("https://www.ebay.com/sch/261328/i.html?_from=R40&amp;_nkw=2025%20Topps%20Chrome%20CADE%20OTTON%20%23284%20Pulsar%20Refractor%20Buccaneers%20Basketball&amp;_sacat=0&amp;LH_Sold=1&amp;LH_Complete=1&amp;_sop=13", "Completed")</f>
        <v/>
      </c>
      <c r="K1068" s="5" t="inlineStr">
        <is>
          <t>2025 Topps Chrome CADE OTTON #284 Pulsar Refractor Buccaneers Basketball</t>
        </is>
      </c>
    </row>
    <row r="1069">
      <c r="A1069" s="11" t="inlineStr">
        <is>
          <t>GABED-0001-00004-49772</t>
        </is>
      </c>
      <c r="B1069" s="11" t="inlineStr">
        <is>
          <t>2025 Panini Prizm FIFA Club World Cup WOO-YOUNG JUNG #193 Teal Seismic /49</t>
        </is>
      </c>
      <c r="C1069" s="12" t="n">
        <v>10.69</v>
      </c>
      <c r="D1069" s="12" t="n">
        <v>8.69</v>
      </c>
      <c r="E1069" s="12" t="n">
        <v>-2</v>
      </c>
      <c r="F1069" s="13" t="n">
        <v>-18.7</v>
      </c>
      <c r="G1069" s="11" t="inlineStr">
        <is>
          <t>⬇ Price Down</t>
        </is>
      </c>
      <c r="H1069" s="11" t="inlineStr">
        <is>
          <t>88%</t>
        </is>
      </c>
      <c r="I1069" s="11">
        <f>HYPERLINK("https://www.ebay.com/sch/261328/i.html?_dcat=261328&amp;_fsrp=1&amp;rt=nc&amp;_from=R40&amp;_nkw=2025%20Panini%20Prizm%20FIFA%20Club%20World%20Cup%20WOO-YOUNG%20JUNG%20%23193%20Teal%20Seismic%20%2F49&amp;_sacat=0&amp;_sop=15&amp;rt=nc&amp;LH_BIN=1", "Active")</f>
        <v/>
      </c>
      <c r="J1069" s="11">
        <f>HYPERLINK("https://www.ebay.com/sch/261328/i.html?_from=R40&amp;_nkw=2025%20Panini%20Prizm%20FIFA%20Club%20World%20Cup%20WOO-YOUNG%20JUNG%20%23193%20Teal%20Seismic%20%2F49&amp;_sacat=0&amp;LH_Sold=1&amp;LH_Complete=1&amp;_sop=13", "Completed")</f>
        <v/>
      </c>
      <c r="K1069" s="11" t="inlineStr">
        <is>
          <t>2025 Prizm FIFA Club World Cup Woo-Young Jung #193 Teal Seismic /49</t>
        </is>
      </c>
    </row>
    <row r="1070">
      <c r="A1070" s="5" t="inlineStr">
        <is>
          <t>GABED-0001-00005-05746</t>
        </is>
      </c>
      <c r="B1070" s="5" t="inlineStr">
        <is>
          <t>2024-25 Panini Prizm COPA AMERICA LUIS ABRAM #92 Blue Wave /199</t>
        </is>
      </c>
      <c r="C1070" s="6" t="n">
        <v>6.49</v>
      </c>
      <c r="D1070" s="6" t="n">
        <v>7.29</v>
      </c>
      <c r="E1070" s="6" t="n">
        <v>0.8</v>
      </c>
      <c r="F1070" s="7" t="n">
        <v>12.3</v>
      </c>
      <c r="G1070" s="5" t="inlineStr">
        <is>
          <t>⬆ Price Up</t>
        </is>
      </c>
      <c r="H1070" s="5" t="inlineStr">
        <is>
          <t>100%</t>
        </is>
      </c>
      <c r="I1070" s="5">
        <f>HYPERLINK("https://www.ebay.com/sch/261328/i.html?_dcat=261328&amp;_fsrp=1&amp;rt=nc&amp;_from=R40&amp;_nkw=2024-25%20Panini%20Prizm%20COPA%20AMERICA%20LUIS%20ABRAM%20%2392%20Blue%20Wave%20%2F199&amp;_sacat=0&amp;_sop=15&amp;rt=nc&amp;LH_BIN=1", "Active")</f>
        <v/>
      </c>
      <c r="J1070" s="5">
        <f>HYPERLINK("https://www.ebay.com/sch/261328/i.html?_from=R40&amp;_nkw=2024-25%20Panini%20Prizm%20COPA%20AMERICA%20LUIS%20ABRAM%20%2392%20Blue%20Wave%20%2F199&amp;_sacat=0&amp;LH_Sold=1&amp;LH_Complete=1&amp;_sop=13", "Completed")</f>
        <v/>
      </c>
      <c r="K1070" s="5" t="inlineStr">
        <is>
          <t>2024-25 Panini Prizm COPA AMERICA LUIS ABRAM #92 Blue Wave /199</t>
        </is>
      </c>
    </row>
    <row r="1071">
      <c r="A1071" s="5" t="inlineStr">
        <is>
          <t>GABED-0001-00002-14030</t>
        </is>
      </c>
      <c r="B1071" s="5" t="inlineStr">
        <is>
          <t>2025 Panini Prizm FIFA Club World Cup OUSSAMA IDRISSI #147 Orange Seismic /199</t>
        </is>
      </c>
      <c r="C1071" s="6" t="n">
        <v>15.99</v>
      </c>
      <c r="D1071" s="6" t="n">
        <v>16.49</v>
      </c>
      <c r="E1071" s="6" t="n">
        <v>0.5</v>
      </c>
      <c r="F1071" s="7" t="n">
        <v>3.1</v>
      </c>
      <c r="G1071" s="5" t="inlineStr">
        <is>
          <t>⬆ Price Up</t>
        </is>
      </c>
      <c r="H1071" s="5" t="inlineStr">
        <is>
          <t>100%</t>
        </is>
      </c>
      <c r="I1071" s="5">
        <f>HYPERLINK("https://www.ebay.com/sch/261328/i.html?_dcat=261328&amp;_fsrp=1&amp;rt=nc&amp;_from=R40&amp;_nkw=2025%20Panini%20Prizm%20FIFA%20Club%20World%20Cup%20OUSSAMA%20IDRISSI%20%23147%20Orange%20Seismic%20%2F199&amp;_sacat=0&amp;_sop=15&amp;rt=nc&amp;LH_BIN=1", "Active")</f>
        <v/>
      </c>
      <c r="J1071" s="5">
        <f>HYPERLINK("https://www.ebay.com/sch/261328/i.html?_from=R40&amp;_nkw=2025%20Panini%20Prizm%20FIFA%20Club%20World%20Cup%20OUSSAMA%20IDRISSI%20%23147%20Orange%20Seismic%20%2F199&amp;_sacat=0&amp;LH_Sold=1&amp;LH_Complete=1&amp;_sop=13", "Completed")</f>
        <v/>
      </c>
      <c r="K1071" s="5" t="inlineStr">
        <is>
          <t>2025 Panini Prizm FIFA Club World Cup OUSSAMA IDRISSI #147 Orange Seismic /199</t>
        </is>
      </c>
    </row>
    <row r="1072">
      <c r="A1072" s="5" t="inlineStr">
        <is>
          <t>GABED-0001-00006-93499</t>
        </is>
      </c>
      <c r="B1072" s="5" t="inlineStr">
        <is>
          <t>2021 Topps Chrome Bundesliga YUYA OSAKO #26 Pulsar /199</t>
        </is>
      </c>
      <c r="C1072" s="6" t="n">
        <v>5.49</v>
      </c>
      <c r="D1072" s="6" t="n">
        <v>6.29</v>
      </c>
      <c r="E1072" s="6" t="n">
        <v>0.8</v>
      </c>
      <c r="F1072" s="7" t="n">
        <v>14.6</v>
      </c>
      <c r="G1072" s="5" t="inlineStr">
        <is>
          <t>⬆ Price Up</t>
        </is>
      </c>
      <c r="H1072" s="5" t="inlineStr">
        <is>
          <t>100%</t>
        </is>
      </c>
      <c r="I1072" s="5">
        <f>HYPERLINK("https://www.ebay.com/sch/261328/i.html?_dcat=261328&amp;_fsrp=1&amp;rt=nc&amp;_from=R40&amp;_nkw=2021%20Topps%20Chrome%20Bundesliga%20YUYA%20OSAKO%20%2326%20Pulsar%20%2F199&amp;_sacat=0&amp;_sop=15&amp;rt=nc&amp;LH_BIN=1", "Active")</f>
        <v/>
      </c>
      <c r="J1072" s="5">
        <f>HYPERLINK("https://www.ebay.com/sch/261328/i.html?_from=R40&amp;_nkw=2021%20Topps%20Chrome%20Bundesliga%20YUYA%20OSAKO%20%2326%20Pulsar%20%2F199&amp;_sacat=0&amp;LH_Sold=1&amp;LH_Complete=1&amp;_sop=13", "Completed")</f>
        <v/>
      </c>
      <c r="K1072" s="5" t="inlineStr">
        <is>
          <t>2021 Topps Chrome Bundesliga YUYA OSAKO #26 Pulsar /199</t>
        </is>
      </c>
    </row>
    <row r="1073">
      <c r="A1073" s="5" t="inlineStr">
        <is>
          <t>GABED-0001-00001-56200</t>
        </is>
      </c>
      <c r="B1073" s="5" t="inlineStr">
        <is>
          <t>2025 Panini Prizm FIFA Club World Cup GERARD GARRIGA #29 Blue Seismic /275 Spain</t>
        </is>
      </c>
      <c r="C1073" s="6" t="n">
        <v>12.99</v>
      </c>
      <c r="D1073" s="6" t="n">
        <v>13.59</v>
      </c>
      <c r="E1073" s="6" t="n">
        <v>0.6</v>
      </c>
      <c r="F1073" s="7" t="n">
        <v>4.6</v>
      </c>
      <c r="G1073" s="5" t="inlineStr">
        <is>
          <t>⬆ Price Up</t>
        </is>
      </c>
      <c r="H1073" s="5" t="inlineStr">
        <is>
          <t>100%</t>
        </is>
      </c>
      <c r="I1073" s="5">
        <f>HYPERLINK("https://www.ebay.com/sch/261328/i.html?_dcat=261328&amp;_fsrp=1&amp;rt=nc&amp;_from=R40&amp;_nkw=2025%20Panini%20Prizm%20FIFA%20Club%20World%20Cup%20GERARD%20GARRIGA%20%2329%20Blue%20Seismic%20%2F275%20Spain&amp;_sacat=0&amp;_sop=15&amp;rt=nc&amp;LH_BIN=1", "Active")</f>
        <v/>
      </c>
      <c r="J1073" s="5">
        <f>HYPERLINK("https://www.ebay.com/sch/261328/i.html?_from=R40&amp;_nkw=2025%20Panini%20Prizm%20FIFA%20Club%20World%20Cup%20GERARD%20GARRIGA%20%2329%20Blue%20Seismic%20%2F275%20Spain&amp;_sacat=0&amp;LH_Sold=1&amp;LH_Complete=1&amp;_sop=13", "Completed")</f>
        <v/>
      </c>
      <c r="K1073" s="5" t="inlineStr">
        <is>
          <t>2025 Panini Prizm FIFA Club World Cup GERARD GARRIGA #29 Blue Seismic /275 Spain</t>
        </is>
      </c>
    </row>
    <row r="1074">
      <c r="A1074" s="5" t="inlineStr">
        <is>
          <t>GABED-0001-00003-01693</t>
        </is>
      </c>
      <c r="B1074" s="5" t="inlineStr">
        <is>
          <t>2020 Topps Chrome UEFA Champions League DODO #74 Blue Wave /75 RC Rookie</t>
        </is>
      </c>
      <c r="C1074" s="6" t="n">
        <v>4</v>
      </c>
      <c r="D1074" s="6" t="n">
        <v>4.79</v>
      </c>
      <c r="E1074" s="6" t="n">
        <v>0.79</v>
      </c>
      <c r="F1074" s="7" t="n">
        <v>19.8</v>
      </c>
      <c r="G1074" s="5" t="inlineStr">
        <is>
          <t>⬆ Price Up</t>
        </is>
      </c>
      <c r="H1074" s="5" t="inlineStr">
        <is>
          <t>100%</t>
        </is>
      </c>
      <c r="I1074" s="5">
        <f>HYPERLINK("https://www.ebay.com/sch/261328/i.html?_dcat=261328&amp;_fsrp=1&amp;rt=nc&amp;_from=R40&amp;_nkw=2020%20Topps%20Chrome%20UEFA%20Champions%20League%20DODO%20%2374%20Blue%20Wave%20%2F75%20RC%20Rookie&amp;_sacat=0&amp;_sop=15&amp;rt=nc&amp;LH_BIN=1", "Active")</f>
        <v/>
      </c>
      <c r="J1074" s="5">
        <f>HYPERLINK("https://www.ebay.com/sch/261328/i.html?_from=R40&amp;_nkw=2020%20Topps%20Chrome%20UEFA%20Champions%20League%20DODO%20%2374%20Blue%20Wave%20%2F75%20RC%20Rookie&amp;_sacat=0&amp;LH_Sold=1&amp;LH_Complete=1&amp;_sop=13", "Completed")</f>
        <v/>
      </c>
      <c r="K1074" s="5" t="inlineStr">
        <is>
          <t>2020 Topps Chrome UEFA Champions League DODO #74 Blue Wave /75 RC Rookie</t>
        </is>
      </c>
    </row>
    <row r="1075">
      <c r="A1075" s="2" t="inlineStr">
        <is>
          <t>TMWHT-0001-00005-30294</t>
        </is>
      </c>
      <c r="B1075" s="2" t="inlineStr">
        <is>
          <t>2025 Topps Chrome JAYDEN DANIELS #295 Commanders Football</t>
        </is>
      </c>
      <c r="C1075" s="3" t="n">
        <v>3.99</v>
      </c>
      <c r="D1075" s="3" t="n">
        <v>2.49</v>
      </c>
      <c r="E1075" s="3" t="n">
        <v>-1.5</v>
      </c>
      <c r="F1075" s="4" t="n">
        <v>-37.6</v>
      </c>
      <c r="G1075" s="2" t="inlineStr">
        <is>
          <t>🔵 Floored $2.49 — free ship or $0.99 ship?</t>
        </is>
      </c>
      <c r="H1075" s="2" t="inlineStr">
        <is>
          <t>64%</t>
        </is>
      </c>
      <c r="I1075" s="2">
        <f>HYPERLINK("https://www.ebay.com/sch/261328/i.html?_dcat=261328&amp;_fsrp=1&amp;rt=nc&amp;_from=R40&amp;_nkw=2025%20Topps%20Chrome%20JAYDEN%20DANIELS%20%23295%20Commanders%20Football&amp;_sacat=0&amp;_sop=15&amp;rt=nc&amp;LH_BIN=1", "Active")</f>
        <v/>
      </c>
      <c r="J1075" s="2">
        <f>HYPERLINK("https://www.ebay.com/sch/261328/i.html?_from=R40&amp;_nkw=2025%20Topps%20Chrome%20JAYDEN%20DANIELS%20%23295%20Commanders%20Football&amp;_sacat=0&amp;LH_Sold=1&amp;LH_Complete=1&amp;_sop=13", "Completed")</f>
        <v/>
      </c>
      <c r="K1075" s="2" t="inlineStr">
        <is>
          <t>2025 Topps Chrome Football Base Vets You Pick Complete Your Set #201-300</t>
        </is>
      </c>
    </row>
    <row r="1076">
      <c r="A1076" s="5" t="inlineStr">
        <is>
          <t>TMWHT-0001-00003-85573</t>
        </is>
      </c>
      <c r="B1076" s="5" t="inlineStr">
        <is>
          <t>2025 Topps Chrome RHAMONDRE STEVENSON #210 Prism Refractor Patriots Football</t>
        </is>
      </c>
      <c r="C1076" s="6" t="n">
        <v>3.49</v>
      </c>
      <c r="D1076" s="6" t="n">
        <v>4.39</v>
      </c>
      <c r="E1076" s="6" t="n">
        <v>0.9</v>
      </c>
      <c r="F1076" s="7" t="n">
        <v>25.8</v>
      </c>
      <c r="G1076" s="5" t="inlineStr">
        <is>
          <t>⬆ Price Up</t>
        </is>
      </c>
      <c r="H1076" s="5" t="inlineStr">
        <is>
          <t>100%</t>
        </is>
      </c>
      <c r="I1076" s="5">
        <f>HYPERLINK("https://www.ebay.com/sch/261328/i.html?_dcat=261328&amp;_fsrp=1&amp;rt=nc&amp;_from=R40&amp;_nkw=2025%20Topps%20Chrome%20RHAMONDRE%20STEVENSON%20%23210%20Prism%20Refractor%20Patriots%20Football&amp;_sacat=0&amp;_sop=15&amp;rt=nc&amp;LH_BIN=1", "Active")</f>
        <v/>
      </c>
      <c r="J1076" s="5">
        <f>HYPERLINK("https://www.ebay.com/sch/261328/i.html?_from=R40&amp;_nkw=2025%20Topps%20Chrome%20RHAMONDRE%20STEVENSON%20%23210%20Prism%20Refractor%20Patriots%20Football&amp;_sacat=0&amp;LH_Sold=1&amp;LH_Complete=1&amp;_sop=13", "Completed")</f>
        <v/>
      </c>
      <c r="K1076" s="5" t="inlineStr">
        <is>
          <t>2025 Topps Chrome RHAMONDRE STEVENSON #210 Prism Refractor Patriots Football</t>
        </is>
      </c>
    </row>
    <row r="1077">
      <c r="A1077" s="5" t="inlineStr">
        <is>
          <t>TMWHT-0001-00010-91733</t>
        </is>
      </c>
      <c r="B1077" s="5" t="inlineStr">
        <is>
          <t>2025 Topps Chrome ZACK BAUN #ACT-22 All Team Eagles Football</t>
        </is>
      </c>
      <c r="C1077" s="6" t="n">
        <v>1.99</v>
      </c>
      <c r="D1077" s="6" t="n">
        <v>2.49</v>
      </c>
      <c r="E1077" s="6" t="n">
        <v>0.5</v>
      </c>
      <c r="F1077" s="7" t="n">
        <v>25.1</v>
      </c>
      <c r="G1077" s="5" t="inlineStr">
        <is>
          <t>⬆ Price Up</t>
        </is>
      </c>
      <c r="H1077" s="5" t="inlineStr">
        <is>
          <t>84%</t>
        </is>
      </c>
      <c r="I1077" s="5">
        <f>HYPERLINK("https://www.ebay.com/sch/261328/i.html?_dcat=261328&amp;_fsrp=1&amp;rt=nc&amp;_from=R40&amp;_nkw=2025%20Topps%20Chrome%20ZACK%20BAUN%20%23ACT-22%20All%20Team%20Eagles%20Football&amp;_sacat=0&amp;_sop=15&amp;rt=nc&amp;LH_BIN=1", "Active")</f>
        <v/>
      </c>
      <c r="J1077" s="5">
        <f>HYPERLINK("https://www.ebay.com/sch/261328/i.html?_from=R40&amp;_nkw=2025%20Topps%20Chrome%20ZACK%20BAUN%20%23ACT-22%20All%20Team%20Eagles%20Football&amp;_sacat=0&amp;LH_Sold=1&amp;LH_Complete=1&amp;_sop=13", "Completed")</f>
        <v/>
      </c>
      <c r="K1077" s="5" t="inlineStr">
        <is>
          <t>2025 Topps Chrome Zack Baun All Chrome Team #ACT-22 Philadelphia Eagles</t>
        </is>
      </c>
    </row>
    <row r="1078">
      <c r="A1078" s="5" t="inlineStr">
        <is>
          <t>TMWHT-0001-00007-78347</t>
        </is>
      </c>
      <c r="B1078" s="5" t="inlineStr">
        <is>
          <t>2025 Topps Chrome JAYDEN DANIELS #PP-3 Power Players Ref Commanders Football</t>
        </is>
      </c>
      <c r="C1078" s="6" t="n">
        <v>5.99</v>
      </c>
      <c r="D1078" s="6" t="n">
        <v>6.79</v>
      </c>
      <c r="E1078" s="6" t="n">
        <v>0.8</v>
      </c>
      <c r="F1078" s="7" t="n">
        <v>13.4</v>
      </c>
      <c r="G1078" s="5" t="inlineStr">
        <is>
          <t>⬆ Price Up</t>
        </is>
      </c>
      <c r="H1078" s="5" t="inlineStr">
        <is>
          <t>100%</t>
        </is>
      </c>
      <c r="I1078" s="5">
        <f>HYPERLINK("https://www.ebay.com/sch/261328/i.html?_dcat=261328&amp;_fsrp=1&amp;rt=nc&amp;_from=R40&amp;_nkw=2025%20Topps%20Chrome%20JAYDEN%20DANIELS%20%23PP-3%20Power%20Players%20Ref%20Commanders%20Football&amp;_sacat=0&amp;_sop=15&amp;rt=nc&amp;LH_BIN=1", "Active")</f>
        <v/>
      </c>
      <c r="J1078" s="5">
        <f>HYPERLINK("https://www.ebay.com/sch/261328/i.html?_from=R40&amp;_nkw=2025%20Topps%20Chrome%20JAYDEN%20DANIELS%20%23PP-3%20Power%20Players%20Ref%20Commanders%20Football&amp;_sacat=0&amp;LH_Sold=1&amp;LH_Complete=1&amp;_sop=13", "Completed")</f>
        <v/>
      </c>
      <c r="K1078" s="5" t="inlineStr">
        <is>
          <t>2025 Topps Chrome JAYDEN DANIELS #PP-3 Power Players Ref Commanders Football</t>
        </is>
      </c>
    </row>
    <row r="1079">
      <c r="A1079" s="8" t="inlineStr">
        <is>
          <t>TMWHT-0001-00004-87184</t>
        </is>
      </c>
      <c r="B1079" s="8" t="inlineStr">
        <is>
          <t>2025 Topps Chrome ROB GRONKOWSKI #LOG-29 Legends of the Gridiron Patriots</t>
        </is>
      </c>
      <c r="C1079" s="9" t="n">
        <v>2.49</v>
      </c>
      <c r="D1079" s="9" t="n">
        <v>2.49</v>
      </c>
      <c r="E1079" s="9" t="n">
        <v>0</v>
      </c>
      <c r="F1079" s="10" t="n">
        <v>0</v>
      </c>
      <c r="G1079" s="8" t="inlineStr">
        <is>
          <t>— No Change</t>
        </is>
      </c>
      <c r="H1079" s="8" t="inlineStr">
        <is>
          <t>90%</t>
        </is>
      </c>
      <c r="I1079" s="8">
        <f>HYPERLINK("https://www.ebay.com/sch/261328/i.html?_dcat=261328&amp;_fsrp=1&amp;rt=nc&amp;_from=R40&amp;_nkw=2025%20Topps%20Chrome%20ROB%20GRONKOWSKI%20%23LOG-29%20Legends%20of%20the%20Gridiron%20Patriots&amp;_sacat=0&amp;_sop=15&amp;rt=nc&amp;LH_BIN=1", "Active")</f>
        <v/>
      </c>
      <c r="J1079" s="8">
        <f>HYPERLINK("https://www.ebay.com/sch/261328/i.html?_from=R40&amp;_nkw=2025%20Topps%20Chrome%20ROB%20GRONKOWSKI%20%23LOG-29%20Legends%20of%20the%20Gridiron%20Patriots&amp;_sacat=0&amp;LH_Sold=1&amp;LH_Complete=1&amp;_sop=13", "Completed")</f>
        <v/>
      </c>
      <c r="K1079" s="8" t="inlineStr">
        <is>
          <t>2025 Topps Chrome Rob Gronkowski Legends Of The Gridiron #LOG-29 Patriots</t>
        </is>
      </c>
    </row>
    <row r="1080">
      <c r="A1080" s="2" t="inlineStr">
        <is>
          <t>TMWHT-0001-00001-41333</t>
        </is>
      </c>
      <c r="B1080" s="2" t="inlineStr">
        <is>
          <t>2025 Topps Chrome JAYLEN REED #374 Rookie RC Texans Football</t>
        </is>
      </c>
      <c r="C1080" s="3" t="n">
        <v>2.99</v>
      </c>
      <c r="D1080" s="3" t="n">
        <v>2.49</v>
      </c>
      <c r="E1080" s="3" t="n">
        <v>-0.5</v>
      </c>
      <c r="F1080" s="4" t="n">
        <v>-16.7</v>
      </c>
      <c r="G1080" s="2" t="inlineStr">
        <is>
          <t>🔵 Floored $2.49 — free ship or $0.99 ship?</t>
        </is>
      </c>
      <c r="H1080" s="2" t="inlineStr">
        <is>
          <t>65%</t>
        </is>
      </c>
      <c r="I1080" s="2">
        <f>HYPERLINK("https://www.ebay.com/sch/261328/i.html?_dcat=261328&amp;_fsrp=1&amp;rt=nc&amp;_from=R40&amp;_nkw=2025%20Topps%20Chrome%20JAYLEN%20REED%20%23374%20Rookie%20RC%20Texans%20Football&amp;_sacat=0&amp;_sop=15&amp;rt=nc&amp;LH_BIN=1", "Active")</f>
        <v/>
      </c>
      <c r="J1080" s="2">
        <f>HYPERLINK("https://www.ebay.com/sch/261328/i.html?_from=R40&amp;_nkw=2025%20Topps%20Chrome%20JAYLEN%20REED%20%23374%20Rookie%20RC%20Texans%20Football&amp;_sacat=0&amp;LH_Sold=1&amp;LH_Complete=1&amp;_sop=13", "Completed")</f>
        <v/>
      </c>
      <c r="K1080" s="2" t="inlineStr">
        <is>
          <t>2025 Topps Chrome Football Base &amp; Refractors ROOKIES 301-400 - YOU PICK THE CARD</t>
        </is>
      </c>
    </row>
    <row r="1081">
      <c r="A1081" s="2" t="inlineStr">
        <is>
          <t>TMWHT-0001-00011-06626</t>
        </is>
      </c>
      <c r="B1081" s="2" t="inlineStr">
        <is>
          <t>2025 Topps Chrome COOPER DEJEAN #252 Pulsar Refractor Eagles Football</t>
        </is>
      </c>
      <c r="C1081" s="3" t="n">
        <v>4.49</v>
      </c>
      <c r="D1081" s="3" t="n">
        <v>2.49</v>
      </c>
      <c r="E1081" s="3" t="n">
        <v>-2</v>
      </c>
      <c r="F1081" s="4" t="n">
        <v>-44.5</v>
      </c>
      <c r="G1081" s="2" t="inlineStr">
        <is>
          <t>🔵 Floored $2.49 — free ship or $0.99 ship?</t>
        </is>
      </c>
      <c r="H1081" s="2" t="inlineStr">
        <is>
          <t>85%</t>
        </is>
      </c>
      <c r="I1081" s="2">
        <f>HYPERLINK("https://www.ebay.com/sch/261328/i.html?_dcat=261328&amp;_fsrp=1&amp;rt=nc&amp;_from=R40&amp;_nkw=2025%20Topps%20Chrome%20COOPER%20DEJEAN%20%23252%20Pulsar%20Refractor%20Eagles%20Football&amp;_sacat=0&amp;_sop=15&amp;rt=nc&amp;LH_BIN=1", "Active")</f>
        <v/>
      </c>
      <c r="J1081" s="2">
        <f>HYPERLINK("https://www.ebay.com/sch/261328/i.html?_from=R40&amp;_nkw=2025%20Topps%20Chrome%20COOPER%20DEJEAN%20%23252%20Pulsar%20Refractor%20Eagles%20Football&amp;_sacat=0&amp;LH_Sold=1&amp;LH_Complete=1&amp;_sop=13", "Completed")</f>
        <v/>
      </c>
      <c r="K1081" s="2" t="inlineStr">
        <is>
          <t>2025 Topps Chrome - Cooper DeJean Pulsar Refractor - #252 Philadelphia Eagles</t>
        </is>
      </c>
    </row>
    <row r="1082">
      <c r="A1082" s="2" t="inlineStr">
        <is>
          <t>TMWHT-0001-00006-14003</t>
        </is>
      </c>
      <c r="B1082" s="2" t="inlineStr">
        <is>
          <t>2025 Topps Chrome TREVEYON HENDERSON #F15-26 Fortune 15 RC Patriots Rookie</t>
        </is>
      </c>
      <c r="C1082" s="3" t="n">
        <v>5.99</v>
      </c>
      <c r="D1082" s="3" t="n">
        <v>2.49</v>
      </c>
      <c r="E1082" s="3" t="n">
        <v>-3.5</v>
      </c>
      <c r="F1082" s="4" t="n">
        <v>-58.4</v>
      </c>
      <c r="G1082" s="2" t="inlineStr">
        <is>
          <t>🔵 Floored $2.49 — free ship or $0.99 ship?</t>
        </is>
      </c>
      <c r="H1082" s="2" t="inlineStr">
        <is>
          <t>86%</t>
        </is>
      </c>
      <c r="I1082" s="2">
        <f>HYPERLINK("https://www.ebay.com/sch/261328/i.html?_dcat=261328&amp;_fsrp=1&amp;rt=nc&amp;_from=R40&amp;_nkw=2025%20Topps%20Chrome%20TREVEYON%20HENDERSON%20%23F15-26%20Fortune%2015%20RC%20Patriots%20Rookie&amp;_sacat=0&amp;_sop=15&amp;rt=nc&amp;LH_BIN=1", "Active")</f>
        <v/>
      </c>
      <c r="J1082" s="2">
        <f>HYPERLINK("https://www.ebay.com/sch/261328/i.html?_from=R40&amp;_nkw=2025%20Topps%20Chrome%20TREVEYON%20HENDERSON%20%23F15-26%20Fortune%2015%20RC%20Patriots%20Rookie&amp;_sacat=0&amp;LH_Sold=1&amp;LH_Complete=1&amp;_sop=13", "Completed")</f>
        <v/>
      </c>
      <c r="K1082" s="2" t="inlineStr">
        <is>
          <t>2025 Topps Chrome Fortune 15 TreVeyon Henderson #F15-26 RC New England Patriots</t>
        </is>
      </c>
    </row>
    <row r="1083">
      <c r="A1083" s="2" t="inlineStr">
        <is>
          <t>TMWHT-0001-00012-69697</t>
        </is>
      </c>
      <c r="B1083" s="2" t="inlineStr">
        <is>
          <t>2025 Topps Chrome LANE JOHNSON #246 Refractor Eagles Football</t>
        </is>
      </c>
      <c r="C1083" s="3" t="n">
        <v>2.99</v>
      </c>
      <c r="D1083" s="3" t="n">
        <v>2.49</v>
      </c>
      <c r="E1083" s="3" t="n">
        <v>-0.5</v>
      </c>
      <c r="F1083" s="4" t="n">
        <v>-16.7</v>
      </c>
      <c r="G1083" s="2" t="inlineStr">
        <is>
          <t>🔵 Floored $2.49 — free ship or $0.99 ship?</t>
        </is>
      </c>
      <c r="H1083" s="2" t="inlineStr">
        <is>
          <t>86%</t>
        </is>
      </c>
      <c r="I1083" s="2">
        <f>HYPERLINK("https://www.ebay.com/sch/261328/i.html?_dcat=261328&amp;_fsrp=1&amp;rt=nc&amp;_from=R40&amp;_nkw=2025%20Topps%20Chrome%20LANE%20JOHNSON%20%23246%20Refractor%20Eagles%20Football&amp;_sacat=0&amp;_sop=15&amp;rt=nc&amp;LH_BIN=1", "Active")</f>
        <v/>
      </c>
      <c r="J1083" s="2">
        <f>HYPERLINK("https://www.ebay.com/sch/261328/i.html?_from=R40&amp;_nkw=2025%20Topps%20Chrome%20LANE%20JOHNSON%20%23246%20Refractor%20Eagles%20Football&amp;_sacat=0&amp;LH_Sold=1&amp;LH_Complete=1&amp;_sop=13", "Completed")</f>
        <v/>
      </c>
      <c r="K1083" s="2" t="inlineStr">
        <is>
          <t>2025 Topps Chrome Lane Johnson Refractor #246 Philadelphia Eagles</t>
        </is>
      </c>
    </row>
    <row r="1084">
      <c r="A1084" s="2" t="inlineStr">
        <is>
          <t>TMWHT-0001-00008-26111</t>
        </is>
      </c>
      <c r="B1084" s="2" t="inlineStr">
        <is>
          <t>2025 Topps Chrome JAYDEN DANIELS #1975-34 1975 Refractor Commanders Football</t>
        </is>
      </c>
      <c r="C1084" s="3" t="n">
        <v>4.99</v>
      </c>
      <c r="D1084" s="3" t="n">
        <v>2.49</v>
      </c>
      <c r="E1084" s="3" t="n">
        <v>-2.5</v>
      </c>
      <c r="F1084" s="4" t="n">
        <v>-50.1</v>
      </c>
      <c r="G1084" s="2" t="inlineStr">
        <is>
          <t>🔵 Floored $2.49 — free ship or $0.99 ship?</t>
        </is>
      </c>
      <c r="H1084" s="2" t="inlineStr">
        <is>
          <t>75%</t>
        </is>
      </c>
      <c r="I1084" s="2">
        <f>HYPERLINK("https://www.ebay.com/sch/261328/i.html?_dcat=261328&amp;_fsrp=1&amp;rt=nc&amp;_from=R40&amp;_nkw=2025%20Topps%20Chrome%20JAYDEN%20DANIELS%20%231975-34%201975%20Refractor%20Commanders%20Football&amp;_sacat=0&amp;_sop=15&amp;rt=nc&amp;LH_BIN=1", "Active")</f>
        <v/>
      </c>
      <c r="J1084" s="2">
        <f>HYPERLINK("https://www.ebay.com/sch/261328/i.html?_from=R40&amp;_nkw=2025%20Topps%20Chrome%20JAYDEN%20DANIELS%20%231975-34%201975%20Refractor%20Commanders%20Football&amp;_sacat=0&amp;LH_Sold=1&amp;LH_Complete=1&amp;_sop=13", "Completed")</f>
        <v/>
      </c>
      <c r="K1084" s="2" t="inlineStr">
        <is>
          <t>Jayden Daniels 2025 Topps Chrome Rookie #1975-34 1975 Topps Commanders M9</t>
        </is>
      </c>
    </row>
    <row r="1085">
      <c r="A1085" s="2" t="inlineStr">
        <is>
          <t>TMWHT-0001-00002-93050</t>
        </is>
      </c>
      <c r="B1085" s="2" t="inlineStr">
        <is>
          <t>2025 Topps Chrome SHEMAR STEWART #363 Rookie RC Bengals Football</t>
        </is>
      </c>
      <c r="C1085" s="3" t="n">
        <v>2.99</v>
      </c>
      <c r="D1085" s="3" t="n">
        <v>2.49</v>
      </c>
      <c r="E1085" s="3" t="n">
        <v>-0.5</v>
      </c>
      <c r="F1085" s="4" t="n">
        <v>-16.7</v>
      </c>
      <c r="G1085" s="2" t="inlineStr">
        <is>
          <t>🔵 Floored $2.49 — free ship or $0.99 ship?</t>
        </is>
      </c>
      <c r="H1085" s="2" t="inlineStr">
        <is>
          <t>64%</t>
        </is>
      </c>
      <c r="I1085" s="2">
        <f>HYPERLINK("https://www.ebay.com/sch/261328/i.html?_dcat=261328&amp;_fsrp=1&amp;rt=nc&amp;_from=R40&amp;_nkw=2025%20Topps%20Chrome%20SHEMAR%20STEWART%20%23363%20Rookie%20RC%20Bengals%20Football&amp;_sacat=0&amp;_sop=15&amp;rt=nc&amp;LH_BIN=1", "Active")</f>
        <v/>
      </c>
      <c r="J1085" s="2">
        <f>HYPERLINK("https://www.ebay.com/sch/261328/i.html?_from=R40&amp;_nkw=2025%20Topps%20Chrome%20SHEMAR%20STEWART%20%23363%20Rookie%20RC%20Bengals%20Football&amp;_sacat=0&amp;LH_Sold=1&amp;LH_Complete=1&amp;_sop=13", "Completed")</f>
        <v/>
      </c>
      <c r="K1085" s="2" t="inlineStr">
        <is>
          <t>2025 Topps Chrome Football - Rookies - You Pick - Complete Your Set: #301-400</t>
        </is>
      </c>
    </row>
    <row r="1086">
      <c r="A1086" s="2" t="inlineStr">
        <is>
          <t>TMWHT-0001-00013-48021</t>
        </is>
      </c>
      <c r="B1086" s="2" t="inlineStr">
        <is>
          <t>2025 Topps Chrome CAM SKATTEBO #331 Rookie Refractor RC Giants Football</t>
        </is>
      </c>
      <c r="C1086" s="3" t="n">
        <v>10.99</v>
      </c>
      <c r="D1086" s="3" t="n">
        <v>2.49</v>
      </c>
      <c r="E1086" s="3" t="n">
        <v>-8.5</v>
      </c>
      <c r="F1086" s="4" t="n">
        <v>-77.3</v>
      </c>
      <c r="G1086" s="2" t="inlineStr">
        <is>
          <t>🔵 Floored $2.49 — free ship or $0.99 ship?</t>
        </is>
      </c>
      <c r="H1086" s="2" t="inlineStr">
        <is>
          <t>84%</t>
        </is>
      </c>
      <c r="I1086" s="2">
        <f>HYPERLINK("https://www.ebay.com/sch/261328/i.html?_dcat=261328&amp;_fsrp=1&amp;rt=nc&amp;_from=R40&amp;_nkw=2025%20Topps%20Chrome%20CAM%20SKATTEBO%20%23331%20Rookie%20Refractor%20RC%20Giants%20Football&amp;_sacat=0&amp;_sop=15&amp;rt=nc&amp;LH_BIN=1", "Active")</f>
        <v/>
      </c>
      <c r="J1086" s="2">
        <f>HYPERLINK("https://www.ebay.com/sch/261328/i.html?_from=R40&amp;_nkw=2025%20Topps%20Chrome%20CAM%20SKATTEBO%20%23331%20Rookie%20Refractor%20RC%20Giants%20Football&amp;_sacat=0&amp;LH_Sold=1&amp;LH_Complete=1&amp;_sop=13", "Completed")</f>
        <v/>
      </c>
      <c r="K1086" s="2" t="inlineStr">
        <is>
          <t>2025 Topps Chrome - Rookies Cam Skattebo #331  (RC) Giants</t>
        </is>
      </c>
    </row>
    <row r="1087">
      <c r="A1087" s="5" t="inlineStr">
        <is>
          <t>DREAMRP-0001-00017-02082</t>
        </is>
      </c>
      <c r="B1087" s="5" t="inlineStr">
        <is>
          <t>2025 Topps HOLIDAY KYLE TUCKER #HC26 Chrome Purple Ref 60/299 Cubs Football</t>
        </is>
      </c>
      <c r="C1087" s="6" t="n">
        <v>3.99</v>
      </c>
      <c r="D1087" s="6" t="n">
        <v>4.79</v>
      </c>
      <c r="E1087" s="6" t="n">
        <v>0.8</v>
      </c>
      <c r="F1087" s="7" t="n">
        <v>20.1</v>
      </c>
      <c r="G1087" s="5" t="inlineStr">
        <is>
          <t>⬆ Price Up</t>
        </is>
      </c>
      <c r="H1087" s="5" t="inlineStr">
        <is>
          <t>100%</t>
        </is>
      </c>
      <c r="I1087" s="5">
        <f>HYPERLINK("https://www.ebay.com/sch/261328/i.html?_dcat=261328&amp;_fsrp=1&amp;rt=nc&amp;_from=R40&amp;_nkw=2025%20Topps%20HOLIDAY%20KYLE%20TUCKER%20%23HC26%20Chrome%20Purple%20Ref%2060%2F299%20Cubs%20Football&amp;_sacat=0&amp;_sop=15&amp;rt=nc&amp;LH_BIN=1", "Active")</f>
        <v/>
      </c>
      <c r="J1087" s="5">
        <f>HYPERLINK("https://www.ebay.com/sch/261328/i.html?_from=R40&amp;_nkw=2025%20Topps%20HOLIDAY%20KYLE%20TUCKER%20%23HC26%20Chrome%20Purple%20Ref%2060%2F299%20Cubs%20Football&amp;_sacat=0&amp;LH_Sold=1&amp;LH_Complete=1&amp;_sop=13", "Completed")</f>
        <v/>
      </c>
      <c r="K1087" s="5" t="inlineStr">
        <is>
          <t>2025 Topps HOLIDAY KYLE TUCKER #HC26 Chrome Purple Ref 60/299 Cubs Football</t>
        </is>
      </c>
    </row>
    <row r="1088">
      <c r="A1088" s="5" t="inlineStr">
        <is>
          <t>DREAMRP-0001-00010-54639</t>
        </is>
      </c>
      <c r="B1088" s="5" t="inlineStr">
        <is>
          <t>2011 Bowman BRYCE HARPER #BCP1 Chrome Prospects Nationals</t>
        </is>
      </c>
      <c r="C1088" s="6" t="n">
        <v>11.59</v>
      </c>
      <c r="D1088" s="6" t="n">
        <v>12.19</v>
      </c>
      <c r="E1088" s="6" t="n">
        <v>0.6</v>
      </c>
      <c r="F1088" s="7" t="n">
        <v>5.2</v>
      </c>
      <c r="G1088" s="5" t="inlineStr">
        <is>
          <t>⬆ Price Up</t>
        </is>
      </c>
      <c r="H1088" s="5" t="inlineStr">
        <is>
          <t>100%</t>
        </is>
      </c>
      <c r="I1088" s="5">
        <f>HYPERLINK("https://www.ebay.com/sch/261328/i.html?_dcat=261328&amp;_fsrp=1&amp;rt=nc&amp;_from=R40&amp;_nkw=2011%20Bowman%20BRYCE%20HARPER%20%23BCP1%20Chrome%20Prospects%20Nationals&amp;_sacat=0&amp;_sop=15&amp;rt=nc&amp;LH_BIN=1", "Active")</f>
        <v/>
      </c>
      <c r="J1088" s="5">
        <f>HYPERLINK("https://www.ebay.com/sch/261328/i.html?_from=R40&amp;_nkw=2011%20Bowman%20BRYCE%20HARPER%20%23BCP1%20Chrome%20Prospects%20Nationals&amp;_sacat=0&amp;LH_Sold=1&amp;LH_Complete=1&amp;_sop=13", "Completed")</f>
        <v/>
      </c>
      <c r="K1088" s="5" t="inlineStr">
        <is>
          <t>2011 Bowman BRYCE HARPER #BCP1 Chrome Prospects Nationals</t>
        </is>
      </c>
    </row>
    <row r="1089">
      <c r="A1089" s="5" t="inlineStr">
        <is>
          <t>DREAMRP-0001-00019-62373</t>
        </is>
      </c>
      <c r="B1089" s="5" t="inlineStr">
        <is>
          <t>2025 Topps Update KEN GRIFFEY JR. #U90-47 1990 Holo Foil Mariners</t>
        </is>
      </c>
      <c r="C1089" s="6" t="n">
        <v>2.99</v>
      </c>
      <c r="D1089" s="6" t="n">
        <v>3.89</v>
      </c>
      <c r="E1089" s="6" t="n">
        <v>0.9</v>
      </c>
      <c r="F1089" s="7" t="n">
        <v>30.1</v>
      </c>
      <c r="G1089" s="5" t="inlineStr">
        <is>
          <t>⬆ Price Up</t>
        </is>
      </c>
      <c r="H1089" s="5" t="inlineStr">
        <is>
          <t>100%</t>
        </is>
      </c>
      <c r="I1089" s="5">
        <f>HYPERLINK("https://www.ebay.com/sch/261328/i.html?_dcat=261328&amp;_fsrp=1&amp;rt=nc&amp;_from=R40&amp;_nkw=2025%20Topps%20Update%20KEN%20GRIFFEY%20JR.%20%23U90-47%201990%20Holo%20Foil%20Mariners&amp;_sacat=0&amp;_sop=15&amp;rt=nc&amp;LH_BIN=1", "Active")</f>
        <v/>
      </c>
      <c r="J1089" s="5">
        <f>HYPERLINK("https://www.ebay.com/sch/261328/i.html?_from=R40&amp;_nkw=2025%20Topps%20Update%20KEN%20GRIFFEY%20JR.%20%23U90-47%201990%20Holo%20Foil%20Mariners&amp;_sacat=0&amp;LH_Sold=1&amp;LH_Complete=1&amp;_sop=13", "Completed")</f>
        <v/>
      </c>
      <c r="K1089" s="5" t="inlineStr">
        <is>
          <t>2025 Topps Update KEN GRIFFEY JR. #U90-47 1990 Holo Foil Mariners</t>
        </is>
      </c>
    </row>
    <row r="1090">
      <c r="A1090" s="5" t="inlineStr">
        <is>
          <t>DREAMRP-0001-00004-48195</t>
        </is>
      </c>
      <c r="B1090" s="5" t="inlineStr">
        <is>
          <t>2025 Topps Chrome ANTHONY EDWARDS Yellow Basketball Refractor /275 SSP</t>
        </is>
      </c>
      <c r="C1090" s="6" t="n">
        <v>29.19</v>
      </c>
      <c r="D1090" s="6" t="n">
        <v>37.19</v>
      </c>
      <c r="E1090" s="6" t="n">
        <v>8</v>
      </c>
      <c r="F1090" s="7" t="n">
        <v>27.4</v>
      </c>
      <c r="G1090" s="5" t="inlineStr">
        <is>
          <t>⬆ Price Up</t>
        </is>
      </c>
      <c r="H1090" s="5" t="inlineStr">
        <is>
          <t>100%</t>
        </is>
      </c>
      <c r="I1090" s="5">
        <f>HYPERLINK("https://www.ebay.com/sch/261328/i.html?_dcat=261328&amp;_fsrp=1&amp;rt=nc&amp;_from=R40&amp;_nkw=2025%20Topps%20Chrome%20ANTHONY%20EDWARDS%20Yellow%20Basketball%20Refractor%20%2F275%20SSP&amp;_sacat=0&amp;_sop=15&amp;rt=nc&amp;LH_BIN=1", "Active")</f>
        <v/>
      </c>
      <c r="J1090" s="5">
        <f>HYPERLINK("https://www.ebay.com/sch/261328/i.html?_from=R40&amp;_nkw=2025%20Topps%20Chrome%20ANTHONY%20EDWARDS%20Yellow%20Basketball%20Refractor%20%2F275%20SSP&amp;_sacat=0&amp;LH_Sold=1&amp;LH_Complete=1&amp;_sop=13", "Completed")</f>
        <v/>
      </c>
      <c r="K1090" s="5" t="inlineStr">
        <is>
          <t>2025 Topps Chrome ANTHONY EDWARDS Yellow Basketball Refractor /275 SSP</t>
        </is>
      </c>
    </row>
    <row r="1091">
      <c r="A1091" s="11" t="inlineStr">
        <is>
          <t>DREAMRP-0001-00013-35212</t>
        </is>
      </c>
      <c r="B1091" s="11" t="inlineStr">
        <is>
          <t>2025 Topps Chrome YOSHINOBU YAMAMOTO #179 X-Fractor Dodgers</t>
        </is>
      </c>
      <c r="C1091" s="12" t="n">
        <v>8.99</v>
      </c>
      <c r="D1091" s="12" t="n">
        <v>3.49</v>
      </c>
      <c r="E1091" s="12" t="n">
        <v>-5.5</v>
      </c>
      <c r="F1091" s="13" t="n">
        <v>-61.2</v>
      </c>
      <c r="G1091" s="11" t="inlineStr">
        <is>
          <t>⬇ Price Down</t>
        </is>
      </c>
      <c r="H1091" s="11" t="inlineStr">
        <is>
          <t>86%</t>
        </is>
      </c>
      <c r="I1091" s="11">
        <f>HYPERLINK("https://www.ebay.com/sch/261328/i.html?_dcat=261328&amp;_fsrp=1&amp;rt=nc&amp;_from=R40&amp;_nkw=2025%20Topps%20Chrome%20YOSHINOBU%20YAMAMOTO%20%23179%20X-Fractor%20Dodgers&amp;_sacat=0&amp;_sop=15&amp;rt=nc&amp;LH_BIN=1", "Active")</f>
        <v/>
      </c>
      <c r="J1091" s="11">
        <f>HYPERLINK("https://www.ebay.com/sch/261328/i.html?_from=R40&amp;_nkw=2025%20Topps%20Chrome%20YOSHINOBU%20YAMAMOTO%20%23179%20X-Fractor%20Dodgers&amp;_sacat=0&amp;LH_Sold=1&amp;LH_Complete=1&amp;_sop=13", "Completed")</f>
        <v/>
      </c>
      <c r="K1091" s="11" t="inlineStr">
        <is>
          <t>2025 Topps Chrome - Yoshinobu Yamamoto #179 X-Fractor Los Angeles Dodgers</t>
        </is>
      </c>
    </row>
    <row r="1092">
      <c r="A1092" s="2" t="inlineStr">
        <is>
          <t>DREAMRP-0001-00020-78905</t>
        </is>
      </c>
      <c r="B1092" s="2" t="inlineStr">
        <is>
          <t>2025 Bowman Chrome Mega Box TARIK SKUBAL #95 Mojo Refractor Tigers</t>
        </is>
      </c>
      <c r="C1092" s="3" t="n">
        <v>4.99</v>
      </c>
      <c r="D1092" s="3" t="n">
        <v>2.49</v>
      </c>
      <c r="E1092" s="3" t="n">
        <v>-2.5</v>
      </c>
      <c r="F1092" s="4" t="n">
        <v>-50.1</v>
      </c>
      <c r="G1092" s="2" t="inlineStr">
        <is>
          <t>🔵 Floored $2.49 — free ship or $0.99 ship?</t>
        </is>
      </c>
      <c r="H1092" s="2" t="inlineStr">
        <is>
          <t>87%</t>
        </is>
      </c>
      <c r="I1092" s="2">
        <f>HYPERLINK("https://www.ebay.com/sch/261328/i.html?_dcat=261328&amp;_fsrp=1&amp;rt=nc&amp;_from=R40&amp;_nkw=2025%20Bowman%20Chrome%20Mega%20Box%20TARIK%20SKUBAL%20%2395%20Mojo%20Refractor%20Tigers&amp;_sacat=0&amp;_sop=15&amp;rt=nc&amp;LH_BIN=1", "Active")</f>
        <v/>
      </c>
      <c r="J1092" s="2">
        <f>HYPERLINK("https://www.ebay.com/sch/261328/i.html?_from=R40&amp;_nkw=2025%20Bowman%20Chrome%20Mega%20Box%20TARIK%20SKUBAL%20%2395%20Mojo%20Refractor%20Tigers&amp;_sacat=0&amp;LH_Sold=1&amp;LH_Complete=1&amp;_sop=13", "Completed")</f>
        <v/>
      </c>
      <c r="K1092" s="2" t="inlineStr">
        <is>
          <t>2025 Bowman Chrome #95 Tarik Skubal MOJO REFRACTOR Mega Box Exclusive - Tigers</t>
        </is>
      </c>
    </row>
    <row r="1093">
      <c r="A1093" s="11" t="inlineStr">
        <is>
          <t>DREAMRP-0001-00007-28754</t>
        </is>
      </c>
      <c r="B1093" s="11" t="inlineStr">
        <is>
          <t>2024-25 Panini Donruss VICTOR WEMBANYAMA #6 Holo Green Laser Spurs Basketball</t>
        </is>
      </c>
      <c r="C1093" s="12" t="n">
        <v>12.59</v>
      </c>
      <c r="D1093" s="12" t="n">
        <v>11.49</v>
      </c>
      <c r="E1093" s="12" t="n">
        <v>-1.1</v>
      </c>
      <c r="F1093" s="13" t="n">
        <v>-8.699999999999999</v>
      </c>
      <c r="G1093" s="11" t="inlineStr">
        <is>
          <t>⬇ Price Down</t>
        </is>
      </c>
      <c r="H1093" s="11" t="inlineStr">
        <is>
          <t>79%</t>
        </is>
      </c>
      <c r="I1093" s="11">
        <f>HYPERLINK("https://www.ebay.com/sch/261328/i.html?_dcat=261328&amp;_fsrp=1&amp;rt=nc&amp;_from=R40&amp;_nkw=2024-25%20Panini%20Donruss%20VICTOR%20WEMBANYAMA%20%236%20Holo%20Green%20Laser%20Spurs%20Basketball&amp;_sacat=0&amp;_sop=15&amp;rt=nc&amp;LH_BIN=1", "Active")</f>
        <v/>
      </c>
      <c r="J1093" s="11">
        <f>HYPERLINK("https://www.ebay.com/sch/261328/i.html?_from=R40&amp;_nkw=2024-25%20Panini%20Donruss%20VICTOR%20WEMBANYAMA%20%236%20Holo%20Green%20Laser%20Spurs%20Basketball&amp;_sacat=0&amp;LH_Sold=1&amp;LH_Complete=1&amp;_sop=13", "Completed")</f>
        <v/>
      </c>
      <c r="K1093" s="11" t="inlineStr">
        <is>
          <t>Victor Wembanyama 2024-25 Panini Donruss #6 Green Holo Laser - Spurs</t>
        </is>
      </c>
    </row>
    <row r="1094">
      <c r="A1094" s="11" t="inlineStr">
        <is>
          <t>DREAMRP-0001-00006-70303</t>
        </is>
      </c>
      <c r="B1094" s="11" t="inlineStr">
        <is>
          <t>1999-00 HOOPS KOBE BRYANT #27 Lakers Basketball</t>
        </is>
      </c>
      <c r="C1094" s="12" t="n">
        <v>6.49</v>
      </c>
      <c r="D1094" s="12" t="n">
        <v>4.59</v>
      </c>
      <c r="E1094" s="12" t="n">
        <v>-1.9</v>
      </c>
      <c r="F1094" s="13" t="n">
        <v>-29.3</v>
      </c>
      <c r="G1094" s="11" t="inlineStr">
        <is>
          <t>⬇ Price Down</t>
        </is>
      </c>
      <c r="H1094" s="11" t="inlineStr">
        <is>
          <t>74%</t>
        </is>
      </c>
      <c r="I1094" s="11">
        <f>HYPERLINK("https://www.ebay.com/sch/261328/i.html?_dcat=261328&amp;_fsrp=1&amp;rt=nc&amp;_from=R40&amp;_nkw=1999-00%20HOOPS%20KOBE%20BRYANT%20%2327%20Lakers%20Basketball&amp;_sacat=0&amp;_sop=15&amp;rt=nc&amp;LH_BIN=1", "Active")</f>
        <v/>
      </c>
      <c r="J1094" s="11">
        <f>HYPERLINK("https://www.ebay.com/sch/261328/i.html?_from=R40&amp;_nkw=1999-00%20HOOPS%20KOBE%20BRYANT%20%2327%20Lakers%20Basketball&amp;_sacat=0&amp;LH_Sold=1&amp;LH_Complete=1&amp;_sop=13", "Completed")</f>
        <v/>
      </c>
      <c r="K1094" s="11" t="inlineStr">
        <is>
          <t>Kobe Bryant 🟡 1999-00 Hoops #27 Los Angeles Lakers</t>
        </is>
      </c>
    </row>
    <row r="1095">
      <c r="A1095" s="2" t="inlineStr">
        <is>
          <t>DREAMRP-0001-00022-23600</t>
        </is>
      </c>
      <c r="B1095" s="2" t="inlineStr">
        <is>
          <t>2025-26 Topps VICTOR WEMBANYAMA #195 Season Tip-Off Spurs Basketball</t>
        </is>
      </c>
      <c r="C1095" s="3" t="n">
        <v>8.99</v>
      </c>
      <c r="D1095" s="3" t="n">
        <v>2.49</v>
      </c>
      <c r="E1095" s="3" t="n">
        <v>-6.5</v>
      </c>
      <c r="F1095" s="4" t="n">
        <v>-72.3</v>
      </c>
      <c r="G1095" s="2" t="inlineStr">
        <is>
          <t>🔵 Floored $2.49 — free ship or $0.99 ship?</t>
        </is>
      </c>
      <c r="H1095" s="2" t="inlineStr">
        <is>
          <t>68%</t>
        </is>
      </c>
      <c r="I1095" s="2">
        <f>HYPERLINK("https://www.ebay.com/sch/261328/i.html?_dcat=261328&amp;_fsrp=1&amp;rt=nc&amp;_from=R40&amp;_nkw=2025-26%20Topps%20VICTOR%20WEMBANYAMA%20%23195%20Season%20Tip-Off%20Spurs%20Basketball&amp;_sacat=0&amp;_sop=15&amp;rt=nc&amp;LH_BIN=1", "Active")</f>
        <v/>
      </c>
      <c r="J1095" s="2">
        <f>HYPERLINK("https://www.ebay.com/sch/261328/i.html?_from=R40&amp;_nkw=2025-26%20Topps%20VICTOR%20WEMBANYAMA%20%23195%20Season%20Tip-Off%20Spurs%20Basketball&amp;_sacat=0&amp;LH_Sold=1&amp;LH_Complete=1&amp;_sop=13", "Completed")</f>
        <v/>
      </c>
      <c r="K1095" s="2" t="inlineStr">
        <is>
          <t>BUY 6 GET 9 FREE 2025 Topps Basketball Base #1-200 SEASON TIP OFF You Pick Card</t>
        </is>
      </c>
    </row>
    <row r="1096">
      <c r="A1096" s="5" t="inlineStr">
        <is>
          <t>DREAMRP-0001-00021-22968</t>
        </is>
      </c>
      <c r="B1096" s="5" t="inlineStr">
        <is>
          <t>2025 Panini Donruss OMARION HAMPTON #303 Optic Rated Rookie Preview Red Wave RC</t>
        </is>
      </c>
      <c r="C1096" s="6" t="n">
        <v>2.99</v>
      </c>
      <c r="D1096" s="6" t="n">
        <v>3.39</v>
      </c>
      <c r="E1096" s="6" t="n">
        <v>0.4</v>
      </c>
      <c r="F1096" s="7" t="n">
        <v>13.4</v>
      </c>
      <c r="G1096" s="5" t="inlineStr">
        <is>
          <t>⬆ Price Up</t>
        </is>
      </c>
      <c r="H1096" s="5" t="inlineStr">
        <is>
          <t>87%</t>
        </is>
      </c>
      <c r="I1096" s="5">
        <f>HYPERLINK("https://www.ebay.com/sch/261328/i.html?_dcat=261328&amp;_fsrp=1&amp;rt=nc&amp;_from=R40&amp;_nkw=2025%20Panini%20Donruss%20OMARION%20HAMPTON%20%23303%20Optic%20Rated%20Rookie%20Preview%20Red%20Wave%20RC&amp;_sacat=0&amp;_sop=15&amp;rt=nc&amp;LH_BIN=1", "Active")</f>
        <v/>
      </c>
      <c r="J1096" s="5">
        <f>HYPERLINK("https://www.ebay.com/sch/261328/i.html?_from=R40&amp;_nkw=2025%20Panini%20Donruss%20OMARION%20HAMPTON%20%23303%20Optic%20Rated%20Rookie%20Preview%20Red%20Wave%20RC&amp;_sacat=0&amp;LH_Sold=1&amp;LH_Complete=1&amp;_sop=13", "Completed")</f>
        <v/>
      </c>
      <c r="K1096" s="5" t="inlineStr">
        <is>
          <t>2025 Panini Donruss Omarion Hampton RC #303 Optic Red Wave Preview Chargers RB</t>
        </is>
      </c>
    </row>
    <row r="1097">
      <c r="A1097" s="5" t="inlineStr">
        <is>
          <t>DREAMRP-0001-00003-04829</t>
        </is>
      </c>
      <c r="B1097" s="5" t="inlineStr">
        <is>
          <t>2024 Topps Triple THREADS NOLAN RYAN #25 Amber 46/199 Angels</t>
        </is>
      </c>
      <c r="C1097" s="6" t="n">
        <v>9.19</v>
      </c>
      <c r="D1097" s="6" t="n">
        <v>9.890000000000001</v>
      </c>
      <c r="E1097" s="6" t="n">
        <v>0.7</v>
      </c>
      <c r="F1097" s="7" t="n">
        <v>7.6</v>
      </c>
      <c r="G1097" s="5" t="inlineStr">
        <is>
          <t>⬆ Price Up</t>
        </is>
      </c>
      <c r="H1097" s="5" t="inlineStr">
        <is>
          <t>100%</t>
        </is>
      </c>
      <c r="I1097" s="5">
        <f>HYPERLINK("https://www.ebay.com/sch/261328/i.html?_dcat=261328&amp;_fsrp=1&amp;rt=nc&amp;_from=R40&amp;_nkw=2024%20Topps%20Triple%20THREADS%20NOLAN%20RYAN%20%2325%20Amber%2046%2F199%20Angels&amp;_sacat=0&amp;_sop=15&amp;rt=nc&amp;LH_BIN=1", "Active")</f>
        <v/>
      </c>
      <c r="J1097" s="5">
        <f>HYPERLINK("https://www.ebay.com/sch/261328/i.html?_from=R40&amp;_nkw=2024%20Topps%20Triple%20THREADS%20NOLAN%20RYAN%20%2325%20Amber%2046%2F199%20Angels&amp;_sacat=0&amp;LH_Sold=1&amp;LH_Complete=1&amp;_sop=13", "Completed")</f>
        <v/>
      </c>
      <c r="K1097" s="5" t="inlineStr">
        <is>
          <t>2024 Topps Triple THREADS NOLAN RYAN #25 Amber 46/199 Angels</t>
        </is>
      </c>
    </row>
    <row r="1098">
      <c r="A1098" s="8" t="inlineStr">
        <is>
          <t>Chromebox-0001-00016-66075</t>
        </is>
      </c>
      <c r="B1098" s="8" t="inlineStr">
        <is>
          <t>2025-26 Bowman ALIJAH MARTIN #BCV-40 Chrome RC Raptors Rookie Basketball</t>
        </is>
      </c>
      <c r="C1098" s="9" t="n">
        <v>2.49</v>
      </c>
      <c r="D1098" s="9" t="n">
        <v>2.49</v>
      </c>
      <c r="E1098" s="9" t="n">
        <v>0</v>
      </c>
      <c r="F1098" s="10" t="n">
        <v>0</v>
      </c>
      <c r="G1098" s="8" t="inlineStr">
        <is>
          <t>— No Change</t>
        </is>
      </c>
      <c r="H1098" s="8" t="inlineStr">
        <is>
          <t>69%</t>
        </is>
      </c>
      <c r="I1098" s="8">
        <f>HYPERLINK("https://www.ebay.com/sch/261328/i.html?_dcat=261328&amp;_fsrp=1&amp;rt=nc&amp;_from=R40&amp;_nkw=2025-26%20Bowman%20ALIJAH%20MARTIN%20%23BCV-40%20Chrome%20RC%20Raptors%20Rookie%20Basketball&amp;_sacat=0&amp;_sop=15&amp;rt=nc&amp;LH_BIN=1", "Active")</f>
        <v/>
      </c>
      <c r="J1098" s="8">
        <f>HYPERLINK("https://www.ebay.com/sch/261328/i.html?_from=R40&amp;_nkw=2025-26%20Bowman%20ALIJAH%20MARTIN%20%23BCV-40%20Chrome%20RC%20Raptors%20Rookie%20Basketball&amp;_sacat=0&amp;LH_Sold=1&amp;LH_Complete=1&amp;_sop=13", "Completed")</f>
        <v/>
      </c>
      <c r="K1098" s="8" t="inlineStr">
        <is>
          <t>2025-26 Bowman Basketball Chrome Veterans and Rookies You Pick - 2 Card Minimum</t>
        </is>
      </c>
    </row>
    <row r="1099">
      <c r="A1099" s="8" t="inlineStr">
        <is>
          <t>Chromebox-0001-00017-51428</t>
        </is>
      </c>
      <c r="B1099" s="8" t="inlineStr">
        <is>
          <t>2025-26 Bowman EMILEE SKINNER #BCP-85 Chrome 1st Prospect Blue Devils</t>
        </is>
      </c>
      <c r="C1099" s="9" t="n">
        <v>2.49</v>
      </c>
      <c r="D1099" s="9" t="n">
        <v>2.49</v>
      </c>
      <c r="E1099" s="9" t="n">
        <v>0</v>
      </c>
      <c r="F1099" s="10" t="n">
        <v>0</v>
      </c>
      <c r="G1099" s="8" t="inlineStr">
        <is>
          <t>— No Change</t>
        </is>
      </c>
      <c r="H1099" s="8" t="inlineStr">
        <is>
          <t>86%</t>
        </is>
      </c>
      <c r="I1099" s="8">
        <f>HYPERLINK("https://www.ebay.com/sch/261328/i.html?_dcat=261328&amp;_fsrp=1&amp;rt=nc&amp;_from=R40&amp;_nkw=2025-26%20Bowman%20EMILEE%20SKINNER%20%23BCP-85%20Chrome%201st%20Prospect%20Blue%20Devils&amp;_sacat=0&amp;_sop=15&amp;rt=nc&amp;LH_BIN=1", "Active")</f>
        <v/>
      </c>
      <c r="J1099" s="8">
        <f>HYPERLINK("https://www.ebay.com/sch/261328/i.html?_from=R40&amp;_nkw=2025-26%20Bowman%20EMILEE%20SKINNER%20%23BCP-85%20Chrome%201st%20Prospect%20Blue%20Devils&amp;_sacat=0&amp;LH_Sold=1&amp;LH_Complete=1&amp;_sop=13", "Completed")</f>
        <v/>
      </c>
      <c r="K1099" s="8" t="inlineStr">
        <is>
          <t>2025 Bowman Chrome Prospect Emilee Skinner #BCP-85 1st Bowman Duke Blue Devils</t>
        </is>
      </c>
    </row>
    <row r="1100">
      <c r="A1100" s="5" t="inlineStr">
        <is>
          <t>Chromebox-0001-00001-14880</t>
        </is>
      </c>
      <c r="B1100" s="5" t="inlineStr">
        <is>
          <t>2025-26 Bowman ACE FLAGG #BCP-91 Chrome Reptilian Refractor 1st Prospect Bears</t>
        </is>
      </c>
      <c r="C1100" s="6" t="n">
        <v>3.39</v>
      </c>
      <c r="D1100" s="6" t="n">
        <v>3.49</v>
      </c>
      <c r="E1100" s="6" t="n">
        <v>0.1</v>
      </c>
      <c r="F1100" s="7" t="n">
        <v>2.9</v>
      </c>
      <c r="G1100" s="5" t="inlineStr">
        <is>
          <t>⬆ Price Up</t>
        </is>
      </c>
      <c r="H1100" s="5" t="inlineStr">
        <is>
          <t>88%</t>
        </is>
      </c>
      <c r="I1100" s="5">
        <f>HYPERLINK("https://www.ebay.com/sch/261328/i.html?_dcat=261328&amp;_fsrp=1&amp;rt=nc&amp;_from=R40&amp;_nkw=2025-26%20Bowman%20ACE%20FLAGG%20%23BCP-91%20Chrome%20Reptilian%20Refractor%201st%20Prospect%20Bears&amp;_sacat=0&amp;_sop=15&amp;rt=nc&amp;LH_BIN=1", "Active")</f>
        <v/>
      </c>
      <c r="J1100" s="5">
        <f>HYPERLINK("https://www.ebay.com/sch/261328/i.html?_from=R40&amp;_nkw=2025-26%20Bowman%20ACE%20FLAGG%20%23BCP-91%20Chrome%20Reptilian%20Refractor%201st%20Prospect%20Bears&amp;_sacat=0&amp;LH_Sold=1&amp;LH_Complete=1&amp;_sop=13", "Completed")</f>
        <v/>
      </c>
      <c r="K1100" s="5" t="inlineStr">
        <is>
          <t>2025-26 Bowman Ace Flagg Chrome Reptilian Refractor 1st Prospect #BCP-91 Bears</t>
        </is>
      </c>
    </row>
    <row r="1101">
      <c r="A1101" s="2" t="inlineStr">
        <is>
          <t>Chromebox-0001-00003-52786</t>
        </is>
      </c>
      <c r="B1101" s="2" t="inlineStr">
        <is>
          <t>2025-26 Bowman RYAN KALKBRENNER #BCV-34 Chrome RC Hornets Rookie Basketball</t>
        </is>
      </c>
      <c r="C1101" s="3" t="n">
        <v>3.99</v>
      </c>
      <c r="D1101" s="3" t="n">
        <v>2.49</v>
      </c>
      <c r="E1101" s="3" t="n">
        <v>-1.5</v>
      </c>
      <c r="F1101" s="4" t="n">
        <v>-37.6</v>
      </c>
      <c r="G1101" s="2" t="inlineStr">
        <is>
          <t>🔵 Floored $2.49 — free ship or $0.99 ship?</t>
        </is>
      </c>
      <c r="H1101" s="2" t="inlineStr">
        <is>
          <t>70%</t>
        </is>
      </c>
      <c r="I1101" s="2">
        <f>HYPERLINK("https://www.ebay.com/sch/261328/i.html?_dcat=261328&amp;_fsrp=1&amp;rt=nc&amp;_from=R40&amp;_nkw=2025-26%20Bowman%20RYAN%20KALKBRENNER%20%23BCV-34%20Chrome%20RC%20Hornets%20Rookie%20Basketball&amp;_sacat=0&amp;_sop=15&amp;rt=nc&amp;LH_BIN=1", "Active")</f>
        <v/>
      </c>
      <c r="J1101" s="2">
        <f>HYPERLINK("https://www.ebay.com/sch/261328/i.html?_from=R40&amp;_nkw=2025-26%20Bowman%20RYAN%20KALKBRENNER%20%23BCV-34%20Chrome%20RC%20Hornets%20Rookie%20Basketball&amp;_sacat=0&amp;LH_Sold=1&amp;LH_Complete=1&amp;_sop=13", "Completed")</f>
        <v/>
      </c>
      <c r="K1101" s="2" t="inlineStr">
        <is>
          <t>2025-26 Bowman Basketball Chrome Veterans and Rookies You Pick - 2 Card Minimum</t>
        </is>
      </c>
    </row>
    <row r="1102">
      <c r="A1102" s="2" t="inlineStr">
        <is>
          <t>Chromebox-0001-00019-81084</t>
        </is>
      </c>
      <c r="B1102" s="2" t="inlineStr">
        <is>
          <t>2025-26 Bowman TYRESE MAXEY #BCV-66 Chrome 76ers Basketball</t>
        </is>
      </c>
      <c r="C1102" s="3" t="n">
        <v>3.99</v>
      </c>
      <c r="D1102" s="3" t="n">
        <v>2.49</v>
      </c>
      <c r="E1102" s="3" t="n">
        <v>-1.5</v>
      </c>
      <c r="F1102" s="4" t="n">
        <v>-37.6</v>
      </c>
      <c r="G1102" s="2" t="inlineStr">
        <is>
          <t>🔵 Floored $2.49 — free ship or $0.99 ship?</t>
        </is>
      </c>
      <c r="H1102" s="2" t="inlineStr">
        <is>
          <t>66%</t>
        </is>
      </c>
      <c r="I1102" s="2">
        <f>HYPERLINK("https://www.ebay.com/sch/261328/i.html?_dcat=261328&amp;_fsrp=1&amp;rt=nc&amp;_from=R40&amp;_nkw=2025-26%20Bowman%20TYRESE%20MAXEY%20%23BCV-66%20Chrome%2076ers%20Basketball&amp;_sacat=0&amp;_sop=15&amp;rt=nc&amp;LH_BIN=1", "Active")</f>
        <v/>
      </c>
      <c r="J1102" s="2">
        <f>HYPERLINK("https://www.ebay.com/sch/261328/i.html?_from=R40&amp;_nkw=2025-26%20Bowman%20TYRESE%20MAXEY%20%23BCV-66%20Chrome%2076ers%20Basketball&amp;_sacat=0&amp;LH_Sold=1&amp;LH_Complete=1&amp;_sop=13", "Completed")</f>
        <v/>
      </c>
      <c r="K1102" s="2" t="inlineStr">
        <is>
          <t>2025-26 Bowman Basketball Chrome Veterans and Rookies You Pick - 2 Card Minimum</t>
        </is>
      </c>
    </row>
    <row r="1103">
      <c r="A1103" s="11" t="inlineStr">
        <is>
          <t>Chromebox-0001-00002-60219</t>
        </is>
      </c>
      <c r="B1103" s="11" t="inlineStr">
        <is>
          <t>2025-26 Bowman CALEB WILSON #BCP-83 Chrome 1st Prospect Tar Heels</t>
        </is>
      </c>
      <c r="C1103" s="12" t="n">
        <v>5.49</v>
      </c>
      <c r="D1103" s="12" t="n">
        <v>4.99</v>
      </c>
      <c r="E1103" s="12" t="n">
        <v>-0.5</v>
      </c>
      <c r="F1103" s="13" t="n">
        <v>-9.1</v>
      </c>
      <c r="G1103" s="11" t="inlineStr">
        <is>
          <t>⬇ Price Down</t>
        </is>
      </c>
      <c r="H1103" s="11" t="inlineStr">
        <is>
          <t>73%</t>
        </is>
      </c>
      <c r="I1103" s="11">
        <f>HYPERLINK("https://www.ebay.com/sch/261328/i.html?_dcat=261328&amp;_fsrp=1&amp;rt=nc&amp;_from=R40&amp;_nkw=2025-26%20Bowman%20CALEB%20WILSON%20%23BCP-83%20Chrome%201st%20Prospect%20Tar%20Heels&amp;_sacat=0&amp;_sop=15&amp;rt=nc&amp;LH_BIN=1", "Active")</f>
        <v/>
      </c>
      <c r="J1103" s="11">
        <f>HYPERLINK("https://www.ebay.com/sch/261328/i.html?_from=R40&amp;_nkw=2025-26%20Bowman%20CALEB%20WILSON%20%23BCP-83%20Chrome%201st%20Prospect%20Tar%20Heels&amp;_sacat=0&amp;LH_Sold=1&amp;LH_Complete=1&amp;_sop=13", "Completed")</f>
        <v/>
      </c>
      <c r="K1103" s="11" t="inlineStr">
        <is>
          <t>Topps Bowman U Chrome Prospects 1st Bowman Caleb Wilson #BCP-83 Tar Heels</t>
        </is>
      </c>
    </row>
    <row r="1104">
      <c r="A1104" s="8" t="inlineStr">
        <is>
          <t>Chromebox-0001-00008-80129</t>
        </is>
      </c>
      <c r="B1104" s="8" t="inlineStr">
        <is>
          <t>2025-26 Bowman NICK MARTINELLI #BCP-62 Chrome 1st Prospect Wildcats</t>
        </is>
      </c>
      <c r="C1104" s="9" t="n">
        <v>2.49</v>
      </c>
      <c r="D1104" s="9" t="n">
        <v>2.49</v>
      </c>
      <c r="E1104" s="9" t="n">
        <v>0</v>
      </c>
      <c r="F1104" s="10" t="n">
        <v>0</v>
      </c>
      <c r="G1104" s="8" t="inlineStr">
        <is>
          <t>— No Change</t>
        </is>
      </c>
      <c r="H1104" s="8" t="inlineStr">
        <is>
          <t>81%</t>
        </is>
      </c>
      <c r="I1104" s="8">
        <f>HYPERLINK("https://www.ebay.com/sch/261328/i.html?_dcat=261328&amp;_fsrp=1&amp;rt=nc&amp;_from=R40&amp;_nkw=2025-26%20Bowman%20NICK%20MARTINELLI%20%23BCP-62%20Chrome%201st%20Prospect%20Wildcats&amp;_sacat=0&amp;_sop=15&amp;rt=nc&amp;LH_BIN=1", "Active")</f>
        <v/>
      </c>
      <c r="J1104" s="8">
        <f>HYPERLINK("https://www.ebay.com/sch/261328/i.html?_from=R40&amp;_nkw=2025-26%20Bowman%20NICK%20MARTINELLI%20%23BCP-62%20Chrome%201st%20Prospect%20Wildcats&amp;_sacat=0&amp;LH_Sold=1&amp;LH_Complete=1&amp;_sop=13", "Completed")</f>
        <v/>
      </c>
      <c r="K1104" s="8" t="inlineStr">
        <is>
          <t>Topps 2025-26 Bowman Chrome Nick Martinelli #BCP-62 1st Prospect Wildcats</t>
        </is>
      </c>
    </row>
    <row r="1105">
      <c r="A1105" s="2" t="inlineStr">
        <is>
          <t>Chromebox-0001-00011-70215</t>
        </is>
      </c>
      <c r="B1105" s="2" t="inlineStr">
        <is>
          <t>2025-26 Bowman JARED MCCAIN #BCV-65 Chrome Reptilian Refractor 76ers Basketball</t>
        </is>
      </c>
      <c r="C1105" s="3" t="n">
        <v>3.49</v>
      </c>
      <c r="D1105" s="3" t="n">
        <v>2.49</v>
      </c>
      <c r="E1105" s="3" t="n">
        <v>-1</v>
      </c>
      <c r="F1105" s="4" t="n">
        <v>-28.7</v>
      </c>
      <c r="G1105" s="2" t="inlineStr">
        <is>
          <t>🔵 Floored $2.49 — free ship or $0.99 ship?</t>
        </is>
      </c>
      <c r="H1105" s="2" t="inlineStr">
        <is>
          <t>87%</t>
        </is>
      </c>
      <c r="I1105" s="2">
        <f>HYPERLINK("https://www.ebay.com/sch/261328/i.html?_dcat=261328&amp;_fsrp=1&amp;rt=nc&amp;_from=R40&amp;_nkw=2025-26%20Bowman%20JARED%20MCCAIN%20%23BCV-65%20Chrome%20Reptilian%20Refractor%2076ers%20Basketball&amp;_sacat=0&amp;_sop=15&amp;rt=nc&amp;LH_BIN=1", "Active")</f>
        <v/>
      </c>
      <c r="J1105" s="2">
        <f>HYPERLINK("https://www.ebay.com/sch/261328/i.html?_from=R40&amp;_nkw=2025-26%20Bowman%20JARED%20MCCAIN%20%23BCV-65%20Chrome%20Reptilian%20Refractor%2076ers%20Basketball&amp;_sacat=0&amp;LH_Sold=1&amp;LH_Complete=1&amp;_sop=13", "Completed")</f>
        <v/>
      </c>
      <c r="K1105" s="2" t="inlineStr">
        <is>
          <t>2025-26 Bowman Chrome Reptilian Refractor Jared McCain #BCV65 Philadelphia 76ers</t>
        </is>
      </c>
    </row>
    <row r="1106">
      <c r="A1106" s="5" t="inlineStr">
        <is>
          <t>Chromebox-0001-00005-56793</t>
        </is>
      </c>
      <c r="B1106" s="5" t="inlineStr">
        <is>
          <t>2025-26 Bowman ALEXANDRA ESCHMEYER #BCP-75 Chrome 1st Prospect Cardinal</t>
        </is>
      </c>
      <c r="C1106" s="6" t="n">
        <v>2.49</v>
      </c>
      <c r="D1106" s="6" t="n">
        <v>3.39</v>
      </c>
      <c r="E1106" s="6" t="n">
        <v>0.9</v>
      </c>
      <c r="F1106" s="7" t="n">
        <v>36.1</v>
      </c>
      <c r="G1106" s="5" t="inlineStr">
        <is>
          <t>⬆ Price Up</t>
        </is>
      </c>
      <c r="H1106" s="5" t="inlineStr">
        <is>
          <t>100%</t>
        </is>
      </c>
      <c r="I1106" s="5">
        <f>HYPERLINK("https://www.ebay.com/sch/261328/i.html?_dcat=261328&amp;_fsrp=1&amp;rt=nc&amp;_from=R40&amp;_nkw=2025-26%20Bowman%20ALEXANDRA%20ESCHMEYER%20%23BCP-75%20Chrome%201st%20Prospect%20Cardinal&amp;_sacat=0&amp;_sop=15&amp;rt=nc&amp;LH_BIN=1", "Active")</f>
        <v/>
      </c>
      <c r="J1106" s="5">
        <f>HYPERLINK("https://www.ebay.com/sch/261328/i.html?_from=R40&amp;_nkw=2025-26%20Bowman%20ALEXANDRA%20ESCHMEYER%20%23BCP-75%20Chrome%201st%20Prospect%20Cardinal&amp;_sacat=0&amp;LH_Sold=1&amp;LH_Complete=1&amp;_sop=13", "Completed")</f>
        <v/>
      </c>
      <c r="K1106" s="5" t="inlineStr">
        <is>
          <t>2025-26 Bowman ALEXANDRA ESCHMEYER #BCP-75 Chrome 1st Prospect Cardinal</t>
        </is>
      </c>
    </row>
    <row r="1107">
      <c r="A1107" s="8" t="inlineStr">
        <is>
          <t>Chromebox-0001-00025-62477</t>
        </is>
      </c>
      <c r="B1107" s="8" t="inlineStr">
        <is>
          <t>2025-26 Bowman KEVIN DURANT #YK-14 Young Kings Thunder Basketball</t>
        </is>
      </c>
      <c r="C1107" s="9" t="n">
        <v>2.49</v>
      </c>
      <c r="D1107" s="9" t="n">
        <v>2.49</v>
      </c>
      <c r="E1107" s="9" t="n">
        <v>0</v>
      </c>
      <c r="F1107" s="10" t="n">
        <v>0</v>
      </c>
      <c r="G1107" s="8" t="inlineStr">
        <is>
          <t>— No Change</t>
        </is>
      </c>
      <c r="H1107" s="8" t="inlineStr">
        <is>
          <t>85%</t>
        </is>
      </c>
      <c r="I1107" s="8">
        <f>HYPERLINK("https://www.ebay.com/sch/261328/i.html?_dcat=261328&amp;_fsrp=1&amp;rt=nc&amp;_from=R40&amp;_nkw=2025-26%20Bowman%20KEVIN%20DURANT%20%23YK-14%20Young%20Kings%20Thunder%20Basketball&amp;_sacat=0&amp;_sop=15&amp;rt=nc&amp;LH_BIN=1", "Active")</f>
        <v/>
      </c>
      <c r="J1107" s="8">
        <f>HYPERLINK("https://www.ebay.com/sch/261328/i.html?_from=R40&amp;_nkw=2025-26%20Bowman%20KEVIN%20DURANT%20%23YK-14%20Young%20Kings%20Thunder%20Basketball&amp;_sacat=0&amp;LH_Sold=1&amp;LH_Complete=1&amp;_sop=13", "Completed")</f>
        <v/>
      </c>
      <c r="K1107" s="8" t="inlineStr">
        <is>
          <t>2025-26 Bowman Chrome Young Kings #YK-14 KEVIN DURANT Thunder Insert</t>
        </is>
      </c>
    </row>
    <row r="1108">
      <c r="A1108" s="5" t="inlineStr">
        <is>
          <t>Chromebox-0001-00009-25803</t>
        </is>
      </c>
      <c r="B1108" s="5" t="inlineStr">
        <is>
          <t>2025-26 Bowman TA'NIYA LATSON #VIP-22 Very Important Prospects Gamecocks</t>
        </is>
      </c>
      <c r="C1108" s="6" t="n">
        <v>1.99</v>
      </c>
      <c r="D1108" s="6" t="n">
        <v>2.89</v>
      </c>
      <c r="E1108" s="6" t="n">
        <v>0.9</v>
      </c>
      <c r="F1108" s="7" t="n">
        <v>45.2</v>
      </c>
      <c r="G1108" s="5" t="inlineStr">
        <is>
          <t>⬆ Price Up</t>
        </is>
      </c>
      <c r="H1108" s="5" t="inlineStr">
        <is>
          <t>100%</t>
        </is>
      </c>
      <c r="I1108" s="5">
        <f>HYPERLINK("https://www.ebay.com/sch/261328/i.html?_dcat=261328&amp;_fsrp=1&amp;rt=nc&amp;_from=R40&amp;_nkw=2025-26%20Bowman%20TA'NIYA%20LATSON%20%23VIP-22%20Very%20Important%20Prospects%20Gamecocks&amp;_sacat=0&amp;_sop=15&amp;rt=nc&amp;LH_BIN=1", "Active")</f>
        <v/>
      </c>
      <c r="J1108" s="5">
        <f>HYPERLINK("https://www.ebay.com/sch/261328/i.html?_from=R40&amp;_nkw=2025-26%20Bowman%20TA'NIYA%20LATSON%20%23VIP-22%20Very%20Important%20Prospects%20Gamecocks&amp;_sacat=0&amp;LH_Sold=1&amp;LH_Complete=1&amp;_sop=13", "Completed")</f>
        <v/>
      </c>
      <c r="K1108" s="5" t="inlineStr">
        <is>
          <t>2025-26 Bowman TA'NIYA LATSON #VIP-22 Very Important Prospects Gamecocks</t>
        </is>
      </c>
    </row>
    <row r="1109">
      <c r="A1109" s="5" t="inlineStr">
        <is>
          <t>Chromebox-0001-00014-40831</t>
        </is>
      </c>
      <c r="B1109" s="5" t="inlineStr">
        <is>
          <t>2025-26 Bowman TOUNDE YESSOUFOU #BCP-11 Chrome 1st Prospect Bears Football</t>
        </is>
      </c>
      <c r="C1109" s="6" t="n">
        <v>2.99</v>
      </c>
      <c r="D1109" s="6" t="n">
        <v>3.89</v>
      </c>
      <c r="E1109" s="6" t="n">
        <v>0.9</v>
      </c>
      <c r="F1109" s="7" t="n">
        <v>30.1</v>
      </c>
      <c r="G1109" s="5" t="inlineStr">
        <is>
          <t>⬆ Price Up</t>
        </is>
      </c>
      <c r="H1109" s="5" t="inlineStr">
        <is>
          <t>100%</t>
        </is>
      </c>
      <c r="I1109" s="5">
        <f>HYPERLINK("https://www.ebay.com/sch/261328/i.html?_dcat=261328&amp;_fsrp=1&amp;rt=nc&amp;_from=R40&amp;_nkw=2025-26%20Bowman%20TOUNDE%20YESSOUFOU%20%23BCP-11%20Chrome%201st%20Prospect%20Bears%20Football&amp;_sacat=0&amp;_sop=15&amp;rt=nc&amp;LH_BIN=1", "Active")</f>
        <v/>
      </c>
      <c r="J1109" s="5">
        <f>HYPERLINK("https://www.ebay.com/sch/261328/i.html?_from=R40&amp;_nkw=2025-26%20Bowman%20TOUNDE%20YESSOUFOU%20%23BCP-11%20Chrome%201st%20Prospect%20Bears%20Football&amp;_sacat=0&amp;LH_Sold=1&amp;LH_Complete=1&amp;_sop=13", "Completed")</f>
        <v/>
      </c>
      <c r="K1109" s="5" t="inlineStr">
        <is>
          <t>2025-26 Bowman TOUNDE YESSOUFOU #BCP-11 Chrome 1st Prospect Bears Football</t>
        </is>
      </c>
    </row>
    <row r="1110">
      <c r="A1110" s="5" t="inlineStr">
        <is>
          <t>Chromebox-0001-00006-65759</t>
        </is>
      </c>
      <c r="B1110" s="5" t="inlineStr">
        <is>
          <t>2025 Bowman BRAYDEN BURRIES #BCP-51 Chrome Reptilian Refractor 1st Prospect</t>
        </is>
      </c>
      <c r="C1110" s="6" t="n">
        <v>5.09</v>
      </c>
      <c r="D1110" s="6" t="n">
        <v>5.79</v>
      </c>
      <c r="E1110" s="6" t="n">
        <v>0.7</v>
      </c>
      <c r="F1110" s="7" t="n">
        <v>13.8</v>
      </c>
      <c r="G1110" s="5" t="inlineStr">
        <is>
          <t>⬆ Price Up</t>
        </is>
      </c>
      <c r="H1110" s="5" t="inlineStr">
        <is>
          <t>89%</t>
        </is>
      </c>
      <c r="I1110" s="5">
        <f>HYPERLINK("https://www.ebay.com/sch/261328/i.html?_dcat=261328&amp;_fsrp=1&amp;rt=nc&amp;_from=R40&amp;_nkw=2025%20Bowman%20BRAYDEN%20BURRIES%20%23BCP-51%20Chrome%20Reptilian%20Refractor%201st%20Prospect&amp;_sacat=0&amp;_sop=15&amp;rt=nc&amp;LH_BIN=1", "Active")</f>
        <v/>
      </c>
      <c r="J1110" s="5">
        <f>HYPERLINK("https://www.ebay.com/sch/261328/i.html?_from=R40&amp;_nkw=2025%20Bowman%20BRAYDEN%20BURRIES%20%23BCP-51%20Chrome%20Reptilian%20Refractor%201st%20Prospect&amp;_sacat=0&amp;LH_Sold=1&amp;LH_Complete=1&amp;_sop=13", "Completed")</f>
        <v/>
      </c>
      <c r="K1110" s="5" t="inlineStr">
        <is>
          <t>2025-26 Bowman Chrome 1st Prospects Brayden Burries #BCP-51 Reptilian Refractor</t>
        </is>
      </c>
    </row>
    <row r="1111">
      <c r="A1111" s="5" t="inlineStr">
        <is>
          <t>Chromebox-0001-00012-88781</t>
        </is>
      </c>
      <c r="B1111" s="5" t="inlineStr">
        <is>
          <t>2025-26 Bowman KAM JONES #BCV-39 Chrome RC Pacers Rookie Basketball</t>
        </is>
      </c>
      <c r="C1111" s="6" t="n">
        <v>1.99</v>
      </c>
      <c r="D1111" s="6" t="n">
        <v>2.49</v>
      </c>
      <c r="E1111" s="6" t="n">
        <v>0.5</v>
      </c>
      <c r="F1111" s="7" t="n">
        <v>25.1</v>
      </c>
      <c r="G1111" s="5" t="inlineStr">
        <is>
          <t>⬆ Price Up</t>
        </is>
      </c>
      <c r="H1111" s="5" t="inlineStr">
        <is>
          <t>84%</t>
        </is>
      </c>
      <c r="I1111" s="5">
        <f>HYPERLINK("https://www.ebay.com/sch/261328/i.html?_dcat=261328&amp;_fsrp=1&amp;rt=nc&amp;_from=R40&amp;_nkw=2025-26%20Bowman%20KAM%20JONES%20%23BCV-39%20Chrome%20RC%20Pacers%20Rookie%20Basketball&amp;_sacat=0&amp;_sop=15&amp;rt=nc&amp;LH_BIN=1", "Active")</f>
        <v/>
      </c>
      <c r="J1111" s="5">
        <f>HYPERLINK("https://www.ebay.com/sch/261328/i.html?_from=R40&amp;_nkw=2025-26%20Bowman%20KAM%20JONES%20%23BCV-39%20Chrome%20RC%20Pacers%20Rookie%20Basketball&amp;_sacat=0&amp;LH_Sold=1&amp;LH_Complete=1&amp;_sop=13", "Completed")</f>
        <v/>
      </c>
      <c r="K1111" s="5" t="inlineStr">
        <is>
          <t>2025-26 Bowman #BCV-39 Kam Jones Chrome Mojo Refractors RC Indiana Pacers Rookie</t>
        </is>
      </c>
    </row>
    <row r="1112">
      <c r="A1112" t="inlineStr">
        <is>
          <t>Chromebox-0001-00013-07191</t>
        </is>
      </c>
      <c r="B1112" t="inlineStr">
        <is>
          <t>2025 Bowman JOSH DIX #BCP-17 Chrome Base Creighton</t>
        </is>
      </c>
      <c r="C1112" s="14" t="n">
        <v>1.99</v>
      </c>
      <c r="D1112" s="14" t="n"/>
      <c r="E1112" s="14" t="inlineStr"/>
      <c r="F1112" s="15" t="inlineStr"/>
      <c r="G1112" t="inlineStr">
        <is>
          <t>? No price data</t>
        </is>
      </c>
      <c r="H1112" t="inlineStr">
        <is>
          <t>59%</t>
        </is>
      </c>
      <c r="I1112">
        <f>HYPERLINK("https://www.ebay.com/sch/261328/i.html?_dcat=261328&amp;_fsrp=1&amp;rt=nc&amp;_from=R40&amp;_nkw=2025%20Bowman%20JOSH%20DIX%20%23BCP-17%20Chrome%20Base%20Creighton&amp;_sacat=0&amp;_sop=15&amp;rt=nc&amp;LH_BIN=1", "Active")</f>
        <v/>
      </c>
      <c r="J1112">
        <f>HYPERLINK("https://www.ebay.com/sch/261328/i.html?_from=R40&amp;_nkw=2025%20Bowman%20JOSH%20DIX%20%23BCP-17%20Chrome%20Base%20Creighton&amp;_sacat=0&amp;LH_Sold=1&amp;LH_Complete=1&amp;_sop=13", "Completed")</f>
        <v/>
      </c>
      <c r="K1112" t="inlineStr">
        <is>
          <t>2025-26 Bowman Basketball Chrome Prospects You Pick Complete Your Set #BCP1-100</t>
        </is>
      </c>
    </row>
    <row r="1113">
      <c r="A1113" s="11" t="inlineStr">
        <is>
          <t>Chromebox-0001-00022-81040</t>
        </is>
      </c>
      <c r="B1113" s="11" t="inlineStr">
        <is>
          <t>2025-26 Bowman KON KNUEPPEL #GL-4 Greatness Loading RC Hornets Rookie Basketball</t>
        </is>
      </c>
      <c r="C1113" s="12" t="n">
        <v>8.99</v>
      </c>
      <c r="D1113" s="12" t="n">
        <v>2.89</v>
      </c>
      <c r="E1113" s="12" t="n">
        <v>-6.1</v>
      </c>
      <c r="F1113" s="13" t="n">
        <v>-67.90000000000001</v>
      </c>
      <c r="G1113" s="11" t="inlineStr">
        <is>
          <t>⬇ Price Down</t>
        </is>
      </c>
      <c r="H1113" s="11" t="inlineStr">
        <is>
          <t>82%</t>
        </is>
      </c>
      <c r="I1113" s="11">
        <f>HYPERLINK("https://www.ebay.com/sch/261328/i.html?_dcat=261328&amp;_fsrp=1&amp;rt=nc&amp;_from=R40&amp;_nkw=2025-26%20Bowman%20KON%20KNUEPPEL%20%23GL-4%20Greatness%20Loading%20RC%20Hornets%20Rookie%20Basketball&amp;_sacat=0&amp;_sop=15&amp;rt=nc&amp;LH_BIN=1", "Active")</f>
        <v/>
      </c>
      <c r="J1113" s="11">
        <f>HYPERLINK("https://www.ebay.com/sch/261328/i.html?_from=R40&amp;_nkw=2025-26%20Bowman%20KON%20KNUEPPEL%20%23GL-4%20Greatness%20Loading%20RC%20Hornets%20Rookie%20Basketball&amp;_sacat=0&amp;LH_Sold=1&amp;LH_Complete=1&amp;_sop=13", "Completed")</f>
        <v/>
      </c>
      <c r="K1113" s="11" t="inlineStr">
        <is>
          <t>2025-26 BOWMAN CHROME GREATNESS LOADING RC CARD HORNETS KON KNUEPPEL #GL-4</t>
        </is>
      </c>
    </row>
    <row r="1114">
      <c r="A1114" s="2" t="inlineStr">
        <is>
          <t>Chromebox-0001-00015-45694</t>
        </is>
      </c>
      <c r="B1114" s="2" t="inlineStr">
        <is>
          <t>2025-26 Bowman ACE BAILEY #HS-9 Hobby Stars RC Jazz Rookie Basketball</t>
        </is>
      </c>
      <c r="C1114" s="3" t="n">
        <v>3.99</v>
      </c>
      <c r="D1114" s="3" t="n">
        <v>2.49</v>
      </c>
      <c r="E1114" s="3" t="n">
        <v>-1.5</v>
      </c>
      <c r="F1114" s="4" t="n">
        <v>-37.6</v>
      </c>
      <c r="G1114" s="2" t="inlineStr">
        <is>
          <t>🔵 Floored $2.49 — free ship or $0.99 ship?</t>
        </is>
      </c>
      <c r="H1114" s="2" t="inlineStr">
        <is>
          <t>85%</t>
        </is>
      </c>
      <c r="I1114" s="2">
        <f>HYPERLINK("https://www.ebay.com/sch/261328/i.html?_dcat=261328&amp;_fsrp=1&amp;rt=nc&amp;_from=R40&amp;_nkw=2025-26%20Bowman%20ACE%20BAILEY%20%23HS-9%20Hobby%20Stars%20RC%20Jazz%20Rookie%20Basketball&amp;_sacat=0&amp;_sop=15&amp;rt=nc&amp;LH_BIN=1", "Active")</f>
        <v/>
      </c>
      <c r="J1114" s="2">
        <f>HYPERLINK("https://www.ebay.com/sch/261328/i.html?_from=R40&amp;_nkw=2025-26%20Bowman%20ACE%20BAILEY%20%23HS-9%20Hobby%20Stars%20RC%20Jazz%20Rookie%20Basketball&amp;_sacat=0&amp;LH_Sold=1&amp;LH_Complete=1&amp;_sop=13", "Completed")</f>
        <v/>
      </c>
      <c r="K1114" s="2" t="inlineStr">
        <is>
          <t>2025-26 Bowman Chrome - Ace Bailey RC #HS-9 Hobby Stars Utah Jazz</t>
        </is>
      </c>
    </row>
    <row r="1115">
      <c r="A1115" s="2" t="inlineStr">
        <is>
          <t>Chromebox-0001-00023-49210</t>
        </is>
      </c>
      <c r="B1115" s="2" t="inlineStr">
        <is>
          <t>2025-26 Bowman ACE FLAGG #BPP-91 1st Prospect Bears Basketball</t>
        </is>
      </c>
      <c r="C1115" s="3" t="n">
        <v>2.99</v>
      </c>
      <c r="D1115" s="3" t="n">
        <v>2.49</v>
      </c>
      <c r="E1115" s="3" t="n">
        <v>-0.5</v>
      </c>
      <c r="F1115" s="4" t="n">
        <v>-16.7</v>
      </c>
      <c r="G1115" s="2" t="inlineStr">
        <is>
          <t>🔵 Floored $2.49 — free ship or $0.99 ship?</t>
        </is>
      </c>
      <c r="H1115" s="2" t="inlineStr">
        <is>
          <t>72%</t>
        </is>
      </c>
      <c r="I1115" s="2">
        <f>HYPERLINK("https://www.ebay.com/sch/261328/i.html?_dcat=261328&amp;_fsrp=1&amp;rt=nc&amp;_from=R40&amp;_nkw=2025-26%20Bowman%20ACE%20FLAGG%20%23BPP-91%201st%20Prospect%20Bears%20Basketball&amp;_sacat=0&amp;_sop=15&amp;rt=nc&amp;LH_BIN=1", "Active")</f>
        <v/>
      </c>
      <c r="J1115" s="2">
        <f>HYPERLINK("https://www.ebay.com/sch/261328/i.html?_from=R40&amp;_nkw=2025-26%20Bowman%20ACE%20FLAGG%20%23BPP-91%201st%20Prospect%20Bears%20Basketball&amp;_sacat=0&amp;LH_Sold=1&amp;LH_Complete=1&amp;_sop=13", "Completed")</f>
        <v/>
      </c>
      <c r="K1115" s="2" t="inlineStr">
        <is>
          <t>Ace Flagg 1st Prospect Rookie RC 2025-26 Bowman U Card #BPP-91 Maine Black Bears</t>
        </is>
      </c>
    </row>
    <row r="1116">
      <c r="A1116" s="8" t="inlineStr">
        <is>
          <t>Chromebox-0001-00010-71069</t>
        </is>
      </c>
      <c r="B1116" s="8" t="inlineStr">
        <is>
          <t>2025-26 Bowman HERBERT JONES #BCV-140 Chrome Pelicans Basketball</t>
        </is>
      </c>
      <c r="C1116" s="9" t="n">
        <v>2.49</v>
      </c>
      <c r="D1116" s="9" t="n">
        <v>2.49</v>
      </c>
      <c r="E1116" s="9" t="n">
        <v>0</v>
      </c>
      <c r="F1116" s="10" t="n">
        <v>0</v>
      </c>
      <c r="G1116" s="8" t="inlineStr">
        <is>
          <t>— No Change</t>
        </is>
      </c>
      <c r="H1116" s="8" t="inlineStr">
        <is>
          <t>68%</t>
        </is>
      </c>
      <c r="I1116" s="8">
        <f>HYPERLINK("https://www.ebay.com/sch/261328/i.html?_dcat=261328&amp;_fsrp=1&amp;rt=nc&amp;_from=R40&amp;_nkw=2025-26%20Bowman%20HERBERT%20JONES%20%23BCV-140%20Chrome%20Pelicans%20Basketball&amp;_sacat=0&amp;_sop=15&amp;rt=nc&amp;LH_BIN=1", "Active")</f>
        <v/>
      </c>
      <c r="J1116" s="8">
        <f>HYPERLINK("https://www.ebay.com/sch/261328/i.html?_from=R40&amp;_nkw=2025-26%20Bowman%20HERBERT%20JONES%20%23BCV-140%20Chrome%20Pelicans%20Basketball&amp;_sacat=0&amp;LH_Sold=1&amp;LH_Complete=1&amp;_sop=13", "Completed")</f>
        <v/>
      </c>
      <c r="K1116" s="8" t="inlineStr">
        <is>
          <t>2025-26 Bowman Basketball Chrome Veterans and Rookies You Pick - 2 Card Minimum</t>
        </is>
      </c>
    </row>
    <row r="1117">
      <c r="A1117" s="2" t="inlineStr">
        <is>
          <t>Chromebox-0001-00007-62977</t>
        </is>
      </c>
      <c r="B1117" s="2" t="inlineStr">
        <is>
          <t>2025-26 Bowman ZACH EDEY #BCV-139 Chrome Grizzlies Basketball</t>
        </is>
      </c>
      <c r="C1117" s="3" t="n">
        <v>2.99</v>
      </c>
      <c r="D1117" s="3" t="n">
        <v>2.49</v>
      </c>
      <c r="E1117" s="3" t="n">
        <v>-0.5</v>
      </c>
      <c r="F1117" s="4" t="n">
        <v>-16.7</v>
      </c>
      <c r="G1117" s="2" t="inlineStr">
        <is>
          <t>🔵 Floored $2.49 — free ship or $0.99 ship?</t>
        </is>
      </c>
      <c r="H1117" s="2" t="inlineStr">
        <is>
          <t>67%</t>
        </is>
      </c>
      <c r="I1117" s="2">
        <f>HYPERLINK("https://www.ebay.com/sch/261328/i.html?_dcat=261328&amp;_fsrp=1&amp;rt=nc&amp;_from=R40&amp;_nkw=2025-26%20Bowman%20ZACH%20EDEY%20%23BCV-139%20Chrome%20Grizzlies%20Basketball&amp;_sacat=0&amp;_sop=15&amp;rt=nc&amp;LH_BIN=1", "Active")</f>
        <v/>
      </c>
      <c r="J1117" s="2">
        <f>HYPERLINK("https://www.ebay.com/sch/261328/i.html?_from=R40&amp;_nkw=2025-26%20Bowman%20ZACH%20EDEY%20%23BCV-139%20Chrome%20Grizzlies%20Basketball&amp;_sacat=0&amp;LH_Sold=1&amp;LH_Complete=1&amp;_sop=13", "Completed")</f>
        <v/>
      </c>
      <c r="K1117" s="2" t="inlineStr">
        <is>
          <t>2025-26 Bowman Basketball Base Chrome 1-200 You Pick Complete Your Set</t>
        </is>
      </c>
    </row>
    <row r="1118">
      <c r="A1118" s="5" t="inlineStr">
        <is>
          <t>Chromebox-0001-00024-61795</t>
        </is>
      </c>
      <c r="B1118" s="5" t="inlineStr">
        <is>
          <t>2025-26 Bowman AJ Green #164 Border 17/99 Bucks Basketball</t>
        </is>
      </c>
      <c r="C1118" s="6" t="n">
        <v>11.09</v>
      </c>
      <c r="D1118" s="6" t="n">
        <v>11.69</v>
      </c>
      <c r="E1118" s="6" t="n">
        <v>0.6</v>
      </c>
      <c r="F1118" s="7" t="n">
        <v>5.4</v>
      </c>
      <c r="G1118" s="5" t="inlineStr">
        <is>
          <t>⬆ Price Up</t>
        </is>
      </c>
      <c r="H1118" s="5" t="inlineStr">
        <is>
          <t>100%</t>
        </is>
      </c>
      <c r="I1118" s="5">
        <f>HYPERLINK("https://www.ebay.com/sch/261328/i.html?_dcat=261328&amp;_fsrp=1&amp;rt=nc&amp;_from=R40&amp;_nkw=2025-26%20Bowman%20AJ%20Green%20%23164%20Border%2017%2F99%20Bucks%20Basketball&amp;_sacat=0&amp;_sop=15&amp;rt=nc&amp;LH_BIN=1", "Active")</f>
        <v/>
      </c>
      <c r="J1118" s="5">
        <f>HYPERLINK("https://www.ebay.com/sch/261328/i.html?_from=R40&amp;_nkw=2025-26%20Bowman%20AJ%20Green%20%23164%20Border%2017%2F99%20Bucks%20Basketball&amp;_sacat=0&amp;LH_Sold=1&amp;LH_Complete=1&amp;_sop=13", "Completed")</f>
        <v/>
      </c>
      <c r="K1118" s="5" t="inlineStr">
        <is>
          <t>2025-26 Bowman AJ Green #164 Border 17/99 Bucks Basketball</t>
        </is>
      </c>
    </row>
    <row r="1119">
      <c r="A1119" s="2" t="inlineStr">
        <is>
          <t>Chromebox-0001-00004-17271</t>
        </is>
      </c>
      <c r="B1119" s="2" t="inlineStr">
        <is>
          <t>2025-26 Bowman KASPARAS JAKUCIONIS #RR-20 Rockstar Rookies RC Heat Basketball</t>
        </is>
      </c>
      <c r="C1119" s="3" t="n">
        <v>3.49</v>
      </c>
      <c r="D1119" s="3" t="n">
        <v>2.49</v>
      </c>
      <c r="E1119" s="3" t="n">
        <v>-1</v>
      </c>
      <c r="F1119" s="4" t="n">
        <v>-28.7</v>
      </c>
      <c r="G1119" s="2" t="inlineStr">
        <is>
          <t>🔵 Floored $2.49 — free ship or $0.99 ship?</t>
        </is>
      </c>
      <c r="H1119" s="2" t="inlineStr">
        <is>
          <t>86%</t>
        </is>
      </c>
      <c r="I1119" s="2">
        <f>HYPERLINK("https://www.ebay.com/sch/261328/i.html?_dcat=261328&amp;_fsrp=1&amp;rt=nc&amp;_from=R40&amp;_nkw=2025-26%20Bowman%20KASPARAS%20JAKUCIONIS%20%23RR-20%20Rockstar%20Rookies%20RC%20Heat%20Basketball&amp;_sacat=0&amp;_sop=15&amp;rt=nc&amp;LH_BIN=1", "Active")</f>
        <v/>
      </c>
      <c r="J1119" s="2">
        <f>HYPERLINK("https://www.ebay.com/sch/261328/i.html?_from=R40&amp;_nkw=2025-26%20Bowman%20KASPARAS%20JAKUCIONIS%20%23RR-20%20Rockstar%20Rookies%20RC%20Heat%20Basketball&amp;_sacat=0&amp;LH_Sold=1&amp;LH_Complete=1&amp;_sop=13", "Completed")</f>
        <v/>
      </c>
      <c r="K1119" s="2" t="inlineStr">
        <is>
          <t>2025-26 Topps Bowman Rockstar Rookies Kasparas Jakucionis (RC) #RR-20 Miami Heat</t>
        </is>
      </c>
    </row>
    <row r="1120">
      <c r="A1120" s="5" t="inlineStr">
        <is>
          <t>Chromebox-0001-00020-24166</t>
        </is>
      </c>
      <c r="B1120" s="5" t="inlineStr">
        <is>
          <t>2025 Bowman CHET HOLMGREN #BCV-108 Chrome Reptilian Green Ref /99 Basketball</t>
        </is>
      </c>
      <c r="C1120" s="6" t="n">
        <v>55.39</v>
      </c>
      <c r="D1120" s="6" t="n">
        <v>62.59</v>
      </c>
      <c r="E1120" s="6" t="n">
        <v>7.2</v>
      </c>
      <c r="F1120" s="7" t="n">
        <v>13</v>
      </c>
      <c r="G1120" s="5" t="inlineStr">
        <is>
          <t>⬆ Price Up</t>
        </is>
      </c>
      <c r="H1120" s="5" t="inlineStr">
        <is>
          <t>100%</t>
        </is>
      </c>
      <c r="I1120" s="5">
        <f>HYPERLINK("https://www.ebay.com/sch/261328/i.html?_dcat=261328&amp;_fsrp=1&amp;rt=nc&amp;_from=R40&amp;_nkw=2025%20Bowman%20CHET%20HOLMGREN%20%23BCV-108%20Chrome%20Reptilian%20Green%20Ref%20%2F99%20Basketball&amp;_sacat=0&amp;_sop=15&amp;rt=nc&amp;LH_BIN=1", "Active")</f>
        <v/>
      </c>
      <c r="J1120" s="5">
        <f>HYPERLINK("https://www.ebay.com/sch/261328/i.html?_from=R40&amp;_nkw=2025%20Bowman%20CHET%20HOLMGREN%20%23BCV-108%20Chrome%20Reptilian%20Green%20Ref%20%2F99%20Basketball&amp;_sacat=0&amp;LH_Sold=1&amp;LH_Complete=1&amp;_sop=13", "Completed")</f>
        <v/>
      </c>
      <c r="K1120" s="5" t="inlineStr">
        <is>
          <t>2025 Bowman CHET HOLMGREN #BCV-108 Chrome Reptilian Green Ref /99 Basketball</t>
        </is>
      </c>
    </row>
    <row r="1121">
      <c r="A1121" s="2" t="inlineStr">
        <is>
          <t>Chromebox-0001-00018-081004</t>
        </is>
      </c>
      <c r="B1121" s="2" t="inlineStr">
        <is>
          <t>2025-26 Bowman CADE CUNNINGHAM #YK-12 Young Kings Pistons Basketball</t>
        </is>
      </c>
      <c r="C1121" s="3" t="n">
        <v>3.99</v>
      </c>
      <c r="D1121" s="3" t="n">
        <v>2.49</v>
      </c>
      <c r="E1121" s="3" t="n">
        <v>-1.5</v>
      </c>
      <c r="F1121" s="4" t="n">
        <v>-37.6</v>
      </c>
      <c r="G1121" s="2" t="inlineStr">
        <is>
          <t>🔵 Floored $2.49 — free ship or $0.99 ship?</t>
        </is>
      </c>
      <c r="H1121" s="2" t="inlineStr">
        <is>
          <t>77%</t>
        </is>
      </c>
      <c r="I1121" s="2">
        <f>HYPERLINK("https://www.ebay.com/sch/261328/i.html?_dcat=261328&amp;_fsrp=1&amp;rt=nc&amp;_from=R40&amp;_nkw=2025-26%20Bowman%20CADE%20CUNNINGHAM%20%23YK-12%20Young%20Kings%20Pistons%20Basketball&amp;_sacat=0&amp;_sop=15&amp;rt=nc&amp;LH_BIN=1", "Active")</f>
        <v/>
      </c>
      <c r="J1121" s="2">
        <f>HYPERLINK("https://www.ebay.com/sch/261328/i.html?_from=R40&amp;_nkw=2025-26%20Bowman%20CADE%20CUNNINGHAM%20%23YK-12%20Young%20Kings%20Pistons%20Basketball&amp;_sacat=0&amp;LH_Sold=1&amp;LH_Complete=1&amp;_sop=13", "Completed")</f>
        <v/>
      </c>
      <c r="K1121" s="2" t="inlineStr">
        <is>
          <t>Cade Cunningham 2025-26 Bowman Young Kings Detroit Pistons #YK-12</t>
        </is>
      </c>
    </row>
    <row r="1122">
      <c r="A1122" s="2" t="inlineStr">
        <is>
          <t>Ebayrefresh-0002-00017-14561</t>
        </is>
      </c>
      <c r="B1122" s="2" t="inlineStr">
        <is>
          <t>2024 Bowman Mega Box CEDDANNE RAFAELA #84 Mojo Refractor Red Sox</t>
        </is>
      </c>
      <c r="C1122" s="3" t="n">
        <v>3.49</v>
      </c>
      <c r="D1122" s="3" t="n">
        <v>2.49</v>
      </c>
      <c r="E1122" s="3" t="n">
        <v>-1</v>
      </c>
      <c r="F1122" s="4" t="n">
        <v>-28.7</v>
      </c>
      <c r="G1122" s="2" t="inlineStr">
        <is>
          <t>🔵 Floored $2.49 — free ship or $0.99 ship?</t>
        </is>
      </c>
      <c r="H1122" s="2" t="inlineStr">
        <is>
          <t>63%</t>
        </is>
      </c>
      <c r="I1122" s="2">
        <f>HYPERLINK("https://www.ebay.com/sch/261328/i.html?_dcat=261328&amp;_fsrp=1&amp;rt=nc&amp;_from=R40&amp;_nkw=2024%20Bowman%20Mega%20Box%20CEDDANNE%20RAFAELA%20%2384%20Mojo%20Refractor%20Red%20Sox&amp;_sacat=0&amp;_sop=15&amp;rt=nc&amp;LH_BIN=1", "Active")</f>
        <v/>
      </c>
      <c r="J1122" s="2">
        <f>HYPERLINK("https://www.ebay.com/sch/261328/i.html?_from=R40&amp;_nkw=2024%20Bowman%20Mega%20Box%20CEDDANNE%20RAFAELA%20%2384%20Mojo%20Refractor%20Red%20Sox&amp;_sacat=0&amp;LH_Sold=1&amp;LH_Complete=1&amp;_sop=13", "Completed")</f>
        <v/>
      </c>
      <c r="K1122" s="2" t="inlineStr">
        <is>
          <t>2024 Bowman Mega Box Mojo #1-100 You Pick Complete Your Set</t>
        </is>
      </c>
    </row>
    <row r="1123">
      <c r="A1123" s="2" t="inlineStr">
        <is>
          <t>Ebayrefresh-0002-00022-21180</t>
        </is>
      </c>
      <c r="B1123" s="2" t="inlineStr">
        <is>
          <t>2024 Topps Update ANDY PAGES #US108 RC Dodgers Rookie</t>
        </is>
      </c>
      <c r="C1123" s="3" t="n">
        <v>3.49</v>
      </c>
      <c r="D1123" s="3" t="n">
        <v>2.49</v>
      </c>
      <c r="E1123" s="3" t="n">
        <v>-1</v>
      </c>
      <c r="F1123" s="4" t="n">
        <v>-28.7</v>
      </c>
      <c r="G1123" s="2" t="inlineStr">
        <is>
          <t>🔵 Floored $2.49 — free ship or $0.99 ship?</t>
        </is>
      </c>
      <c r="H1123" s="2" t="inlineStr">
        <is>
          <t>82%</t>
        </is>
      </c>
      <c r="I1123" s="2">
        <f>HYPERLINK("https://www.ebay.com/sch/261328/i.html?_dcat=261328&amp;_fsrp=1&amp;rt=nc&amp;_from=R40&amp;_nkw=2024%20Topps%20Update%20ANDY%20PAGES%20%23US108%20RC%20Dodgers%20Rookie&amp;_sacat=0&amp;_sop=15&amp;rt=nc&amp;LH_BIN=1", "Active")</f>
        <v/>
      </c>
      <c r="J1123" s="2">
        <f>HYPERLINK("https://www.ebay.com/sch/261328/i.html?_from=R40&amp;_nkw=2024%20Topps%20Update%20ANDY%20PAGES%20%23US108%20RC%20Dodgers%20Rookie&amp;_sacat=0&amp;LH_Sold=1&amp;LH_Complete=1&amp;_sop=13", "Completed")</f>
        <v/>
      </c>
      <c r="K1123" s="2" t="inlineStr">
        <is>
          <t>2024 Andy Pages Topps Update Rookie Debut RC Los Angeles Dodgers US108</t>
        </is>
      </c>
    </row>
    <row r="1124">
      <c r="A1124" s="5" t="inlineStr">
        <is>
          <t>Ebayrefresh-0002-00002-01100</t>
        </is>
      </c>
      <c r="B1124" s="5" t="inlineStr">
        <is>
          <t>2024 Bowman Draft JAMES TIBBS III #PP-6 Plasma Power Giants Football</t>
        </is>
      </c>
      <c r="C1124" s="6" t="n">
        <v>3.49</v>
      </c>
      <c r="D1124" s="6" t="n">
        <v>4.39</v>
      </c>
      <c r="E1124" s="6" t="n">
        <v>0.9</v>
      </c>
      <c r="F1124" s="7" t="n">
        <v>25.8</v>
      </c>
      <c r="G1124" s="5" t="inlineStr">
        <is>
          <t>⬆ Price Up</t>
        </is>
      </c>
      <c r="H1124" s="5" t="inlineStr">
        <is>
          <t>100%</t>
        </is>
      </c>
      <c r="I1124" s="5">
        <f>HYPERLINK("https://www.ebay.com/sch/261328/i.html?_dcat=261328&amp;_fsrp=1&amp;rt=nc&amp;_from=R40&amp;_nkw=2024%20Bowman%20Draft%20JAMES%20TIBBS%20III%20%23PP-6%20Plasma%20Power%20Giants%20Football&amp;_sacat=0&amp;_sop=15&amp;rt=nc&amp;LH_BIN=1", "Active")</f>
        <v/>
      </c>
      <c r="J1124" s="5">
        <f>HYPERLINK("https://www.ebay.com/sch/261328/i.html?_from=R40&amp;_nkw=2024%20Bowman%20Draft%20JAMES%20TIBBS%20III%20%23PP-6%20Plasma%20Power%20Giants%20Football&amp;_sacat=0&amp;LH_Sold=1&amp;LH_Complete=1&amp;_sop=13", "Completed")</f>
        <v/>
      </c>
      <c r="K1124" s="5" t="inlineStr">
        <is>
          <t>2024 Bowman Draft JAMES TIBBS III #PP-6 Plasma Power Giants Football</t>
        </is>
      </c>
    </row>
    <row r="1125">
      <c r="A1125" s="11" t="inlineStr">
        <is>
          <t>Ebayrefresh-0002-00014-26737</t>
        </is>
      </c>
      <c r="B1125" s="11" t="inlineStr">
        <is>
          <t>2021 Bowman's Best ANDREW PAINTER #85 Phillies</t>
        </is>
      </c>
      <c r="C1125" s="12" t="n">
        <v>5.49</v>
      </c>
      <c r="D1125" s="12" t="n">
        <v>3.89</v>
      </c>
      <c r="E1125" s="12" t="n">
        <v>-1.6</v>
      </c>
      <c r="F1125" s="13" t="n">
        <v>-29.1</v>
      </c>
      <c r="G1125" s="11" t="inlineStr">
        <is>
          <t>⬇ Price Down</t>
        </is>
      </c>
      <c r="H1125" s="11" t="inlineStr">
        <is>
          <t>85%</t>
        </is>
      </c>
      <c r="I1125" s="11">
        <f>HYPERLINK("https://www.ebay.com/sch/261328/i.html?_dcat=261328&amp;_fsrp=1&amp;rt=nc&amp;_from=R40&amp;_nkw=2021%20Bowman's%20Best%20ANDREW%20PAINTER%20%2385%20Phillies&amp;_sacat=0&amp;_sop=15&amp;rt=nc&amp;LH_BIN=1", "Active")</f>
        <v/>
      </c>
      <c r="J1125" s="11">
        <f>HYPERLINK("https://www.ebay.com/sch/261328/i.html?_from=R40&amp;_nkw=2021%20Bowman's%20Best%20ANDREW%20PAINTER%20%2385%20Phillies&amp;_sacat=0&amp;LH_Sold=1&amp;LH_Complete=1&amp;_sop=13", "Completed")</f>
        <v/>
      </c>
      <c r="K1125" s="11" t="inlineStr">
        <is>
          <t>2021 Bowman's Best Andrew Painter Philadelphia Phillies #85 (2)</t>
        </is>
      </c>
    </row>
    <row r="1126">
      <c r="A1126" s="5" t="inlineStr">
        <is>
          <t>Ebayrefresh-0002-00006-22774</t>
        </is>
      </c>
      <c r="B1126" s="5" t="inlineStr">
        <is>
          <t>2025 Bowman Draft JOSUAR GONZALEZ #BDC-182 Chrome Mojo Refractor Giants Football</t>
        </is>
      </c>
      <c r="C1126" s="6" t="n">
        <v>2.99</v>
      </c>
      <c r="D1126" s="6" t="n">
        <v>3.89</v>
      </c>
      <c r="E1126" s="6" t="n">
        <v>0.9</v>
      </c>
      <c r="F1126" s="7" t="n">
        <v>30.1</v>
      </c>
      <c r="G1126" s="5" t="inlineStr">
        <is>
          <t>⬆ Price Up</t>
        </is>
      </c>
      <c r="H1126" s="5" t="inlineStr">
        <is>
          <t>100%</t>
        </is>
      </c>
      <c r="I1126" s="5">
        <f>HYPERLINK("https://www.ebay.com/sch/261328/i.html?_dcat=261328&amp;_fsrp=1&amp;rt=nc&amp;_from=R40&amp;_nkw=2025%20Bowman%20Draft%20JOSUAR%20GONZALEZ%20%23BDC-182%20Chrome%20Mojo%20Refractor%20Giants%20Football&amp;_sacat=0&amp;_sop=15&amp;rt=nc&amp;LH_BIN=1", "Active")</f>
        <v/>
      </c>
      <c r="J1126" s="5">
        <f>HYPERLINK("https://www.ebay.com/sch/261328/i.html?_from=R40&amp;_nkw=2025%20Bowman%20Draft%20JOSUAR%20GONZALEZ%20%23BDC-182%20Chrome%20Mojo%20Refractor%20Giants%20Football&amp;_sacat=0&amp;LH_Sold=1&amp;LH_Complete=1&amp;_sop=13", "Completed")</f>
        <v/>
      </c>
      <c r="K1126" s="5" t="inlineStr">
        <is>
          <t>2025 Bowman Draft JOSUAR GONZALEZ #BDC-182 Chrome Mojo Refractor Giants Football</t>
        </is>
      </c>
    </row>
    <row r="1127">
      <c r="A1127" s="11" t="inlineStr">
        <is>
          <t>Ebayrefresh-0002-00001-67750</t>
        </is>
      </c>
      <c r="B1127" s="11" t="inlineStr">
        <is>
          <t>2022 Bowman Draft DALTON RUSHING #BDC-84 Chrome Black &amp; White RayWave Refractor</t>
        </is>
      </c>
      <c r="C1127" s="12" t="n">
        <v>13.89</v>
      </c>
      <c r="D1127" s="12" t="n">
        <v>11.19</v>
      </c>
      <c r="E1127" s="12" t="n">
        <v>-2.7</v>
      </c>
      <c r="F1127" s="13" t="n">
        <v>-19.4</v>
      </c>
      <c r="G1127" s="11" t="inlineStr">
        <is>
          <t>⬇ Price Down</t>
        </is>
      </c>
      <c r="H1127" s="11" t="inlineStr">
        <is>
          <t>87%</t>
        </is>
      </c>
      <c r="I1127" s="11">
        <f>HYPERLINK("https://www.ebay.com/sch/261328/i.html?_dcat=261328&amp;_fsrp=1&amp;rt=nc&amp;_from=R40&amp;_nkw=2022%20Bowman%20Draft%20DALTON%20RUSHING%20%23BDC-84%20Chrome%20Black%20%26%20White%20RayWave%20Refractor&amp;_sacat=0&amp;_sop=15&amp;rt=nc&amp;LH_BIN=1", "Active")</f>
        <v/>
      </c>
      <c r="J1127" s="11">
        <f>HYPERLINK("https://www.ebay.com/sch/261328/i.html?_from=R40&amp;_nkw=2022%20Bowman%20Draft%20DALTON%20RUSHING%20%23BDC-84%20Chrome%20Black%20%26%20White%20RayWave%20Refractor&amp;_sacat=0&amp;LH_Sold=1&amp;LH_Complete=1&amp;_sop=13", "Completed")</f>
        <v/>
      </c>
      <c r="K1127" s="11" t="inlineStr">
        <is>
          <t>2022 Bowman Draft - Chrome Dalton Rushing #BDC-84 Black &amp; White RayWave 1st (RC)</t>
        </is>
      </c>
    </row>
    <row r="1128">
      <c r="A1128" s="2" t="inlineStr">
        <is>
          <t>Ebayrefresh-0002-00015-13689</t>
        </is>
      </c>
      <c r="B1128" s="2" t="inlineStr">
        <is>
          <t>2024 Bowman's Best CHASE BURNS #TP-28 Prospects Reds</t>
        </is>
      </c>
      <c r="C1128" s="3" t="n">
        <v>3.99</v>
      </c>
      <c r="D1128" s="3" t="n">
        <v>2.49</v>
      </c>
      <c r="E1128" s="3" t="n">
        <v>-1.5</v>
      </c>
      <c r="F1128" s="4" t="n">
        <v>-37.6</v>
      </c>
      <c r="G1128" s="2" t="inlineStr">
        <is>
          <t>🔵 Floored $2.49 — free ship or $0.99 ship?</t>
        </is>
      </c>
      <c r="H1128" s="2" t="inlineStr">
        <is>
          <t>67%</t>
        </is>
      </c>
      <c r="I1128" s="2">
        <f>HYPERLINK("https://www.ebay.com/sch/261328/i.html?_dcat=261328&amp;_fsrp=1&amp;rt=nc&amp;_from=R40&amp;_nkw=2024%20Bowman's%20Best%20CHASE%20BURNS%20%23TP-28%20Prospects%20Reds&amp;_sacat=0&amp;_sop=15&amp;rt=nc&amp;LH_BIN=1", "Active")</f>
        <v/>
      </c>
      <c r="J1128" s="2">
        <f>HYPERLINK("https://www.ebay.com/sch/261328/i.html?_from=R40&amp;_nkw=2024%20Bowman's%20Best%20CHASE%20BURNS%20%23TP-28%20Prospects%20Reds&amp;_sacat=0&amp;LH_Sold=1&amp;LH_Complete=1&amp;_sop=13", "Completed")</f>
        <v/>
      </c>
      <c r="K1128" s="2" t="inlineStr">
        <is>
          <t>Topps Chase Burns Cincinnati Reds 2024 Bowman's Best Top Prospects Rookie #TP-28</t>
        </is>
      </c>
    </row>
    <row r="1129">
      <c r="A1129" s="2" t="inlineStr">
        <is>
          <t>Ebayrefresh-0002-00009-49453</t>
        </is>
      </c>
      <c r="B1129" s="2" t="inlineStr">
        <is>
          <t>2025 Bowman CAM SMITH #BCP-48 Chrome Prospects Mega Box Refractor Astros</t>
        </is>
      </c>
      <c r="C1129" s="3" t="n">
        <v>2.99</v>
      </c>
      <c r="D1129" s="3" t="n">
        <v>2.49</v>
      </c>
      <c r="E1129" s="3" t="n">
        <v>-0.5</v>
      </c>
      <c r="F1129" s="4" t="n">
        <v>-16.7</v>
      </c>
      <c r="G1129" s="2" t="inlineStr">
        <is>
          <t>🔵 Floored $2.49 — free ship or $0.99 ship?</t>
        </is>
      </c>
      <c r="H1129" s="2" t="inlineStr">
        <is>
          <t>67%</t>
        </is>
      </c>
      <c r="I1129" s="2">
        <f>HYPERLINK("https://www.ebay.com/sch/261328/i.html?_dcat=261328&amp;_fsrp=1&amp;rt=nc&amp;_from=R40&amp;_nkw=2025%20Bowman%20CAM%20SMITH%20%23BCP-48%20Chrome%20Prospects%20Mega%20Box%20Refractor%20Astros&amp;_sacat=0&amp;_sop=15&amp;rt=nc&amp;LH_BIN=1", "Active")</f>
        <v/>
      </c>
      <c r="J1129" s="2">
        <f>HYPERLINK("https://www.ebay.com/sch/261328/i.html?_from=R40&amp;_nkw=2025%20Bowman%20CAM%20SMITH%20%23BCP-48%20Chrome%20Prospects%20Mega%20Box%20Refractor%20Astros&amp;_sacat=0&amp;LH_Sold=1&amp;LH_Complete=1&amp;_sop=13", "Completed")</f>
        <v/>
      </c>
      <c r="K1129" s="2" t="inlineStr">
        <is>
          <t>2025 Bowman Mega Box Chrome MOJO REFRACTORS You Pick  - 2 Card Minimum</t>
        </is>
      </c>
    </row>
    <row r="1130">
      <c r="A1130" s="2" t="inlineStr">
        <is>
          <t>Ebayrefresh-0002-00021-32773</t>
        </is>
      </c>
      <c r="B1130" s="2" t="inlineStr">
        <is>
          <t>2024 Panini Prospect Edition GEORGE LOMBARD JR. #36 Ticket Yankees</t>
        </is>
      </c>
      <c r="C1130" s="3" t="n">
        <v>4.49</v>
      </c>
      <c r="D1130" s="3" t="n">
        <v>2.49</v>
      </c>
      <c r="E1130" s="3" t="n">
        <v>-2</v>
      </c>
      <c r="F1130" s="4" t="n">
        <v>-44.5</v>
      </c>
      <c r="G1130" s="2" t="inlineStr">
        <is>
          <t>🔵 Floored $2.49 — free ship or $0.99 ship?</t>
        </is>
      </c>
      <c r="H1130" s="2" t="inlineStr">
        <is>
          <t>87%</t>
        </is>
      </c>
      <c r="I1130" s="2">
        <f>HYPERLINK("https://www.ebay.com/sch/261328/i.html?_dcat=261328&amp;_fsrp=1&amp;rt=nc&amp;_from=R40&amp;_nkw=2024%20Panini%20Prospect%20Edition%20GEORGE%20LOMBARD%20JR.%20%2336%20Ticket%20Yankees&amp;_sacat=0&amp;_sop=15&amp;rt=nc&amp;LH_BIN=1", "Active")</f>
        <v/>
      </c>
      <c r="J1130" s="2">
        <f>HYPERLINK("https://www.ebay.com/sch/261328/i.html?_from=R40&amp;_nkw=2024%20Panini%20Prospect%20Edition%20GEORGE%20LOMBARD%20JR.%20%2336%20Ticket%20Yankees&amp;_sacat=0&amp;LH_Sold=1&amp;LH_Complete=1&amp;_sop=13", "Completed")</f>
        <v/>
      </c>
      <c r="K1130" s="2" t="inlineStr">
        <is>
          <t>2024 Panini Prospect Edition George Lombard Jr. Prospect Ticket #36 Yankees</t>
        </is>
      </c>
    </row>
    <row r="1131">
      <c r="A1131" s="11" t="inlineStr">
        <is>
          <t>Ebayrefresh-0002-00013-00121</t>
        </is>
      </c>
      <c r="B1131" s="11" t="inlineStr">
        <is>
          <t>2022 Bowman Draft ANDREW PINTAR #BDC-138 Chrome Black &amp; White RayWave Refractor</t>
        </is>
      </c>
      <c r="C1131" s="12" t="n">
        <v>4.49</v>
      </c>
      <c r="D1131" s="12" t="n">
        <v>2.69</v>
      </c>
      <c r="E1131" s="12" t="n">
        <v>-1.8</v>
      </c>
      <c r="F1131" s="13" t="n">
        <v>-40.1</v>
      </c>
      <c r="G1131" s="11" t="inlineStr">
        <is>
          <t>⬇ Price Down</t>
        </is>
      </c>
      <c r="H1131" s="11" t="inlineStr">
        <is>
          <t>78%</t>
        </is>
      </c>
      <c r="I1131" s="11">
        <f>HYPERLINK("https://www.ebay.com/sch/261328/i.html?_dcat=261328&amp;_fsrp=1&amp;rt=nc&amp;_from=R40&amp;_nkw=2022%20Bowman%20Draft%20ANDREW%20PINTAR%20%23BDC-138%20Chrome%20Black%20%26%20White%20RayWave%20Refractor&amp;_sacat=0&amp;_sop=15&amp;rt=nc&amp;LH_BIN=1", "Active")</f>
        <v/>
      </c>
      <c r="J1131" s="11">
        <f>HYPERLINK("https://www.ebay.com/sch/261328/i.html?_from=R40&amp;_nkw=2022%20Bowman%20Draft%20ANDREW%20PINTAR%20%23BDC-138%20Chrome%20Black%20%26%20White%20RayWave%20Refractor&amp;_sacat=0&amp;LH_Sold=1&amp;LH_Complete=1&amp;_sop=13", "Completed")</f>
        <v/>
      </c>
      <c r="K1131" s="11" t="inlineStr">
        <is>
          <t>Andrew Pintar 2022 Bowman Draft Chrome Black &amp; White Raywave Refractor #BDC-138</t>
        </is>
      </c>
    </row>
    <row r="1132">
      <c r="A1132" s="5" t="inlineStr">
        <is>
          <t>Ebayrefresh-0002-00026-02339</t>
        </is>
      </c>
      <c r="B1132" s="5" t="inlineStr">
        <is>
          <t>2024 Topps Chrome KYLE TUCKER #112 Purple Refractor 24/250 Astros Football</t>
        </is>
      </c>
      <c r="C1132" s="6" t="n">
        <v>4.49</v>
      </c>
      <c r="D1132" s="6" t="n">
        <v>5.29</v>
      </c>
      <c r="E1132" s="6" t="n">
        <v>0.8</v>
      </c>
      <c r="F1132" s="7" t="n">
        <v>17.8</v>
      </c>
      <c r="G1132" s="5" t="inlineStr">
        <is>
          <t>⬆ Price Up</t>
        </is>
      </c>
      <c r="H1132" s="5" t="inlineStr">
        <is>
          <t>100%</t>
        </is>
      </c>
      <c r="I1132" s="5">
        <f>HYPERLINK("https://www.ebay.com/sch/261328/i.html?_dcat=261328&amp;_fsrp=1&amp;rt=nc&amp;_from=R40&amp;_nkw=2024%20Topps%20Chrome%20KYLE%20TUCKER%20%23112%20Purple%20Refractor%2024%2F250%20Astros%20Football&amp;_sacat=0&amp;_sop=15&amp;rt=nc&amp;LH_BIN=1", "Active")</f>
        <v/>
      </c>
      <c r="J1132" s="5">
        <f>HYPERLINK("https://www.ebay.com/sch/261328/i.html?_from=R40&amp;_nkw=2024%20Topps%20Chrome%20KYLE%20TUCKER%20%23112%20Purple%20Refractor%2024%2F250%20Astros%20Football&amp;_sacat=0&amp;LH_Sold=1&amp;LH_Complete=1&amp;_sop=13", "Completed")</f>
        <v/>
      </c>
      <c r="K1132" s="5" t="inlineStr">
        <is>
          <t>2024 Topps Chrome KYLE TUCKER #112 Purple Refractor 24/250 Astros Football</t>
        </is>
      </c>
    </row>
    <row r="1133">
      <c r="A1133" s="5" t="inlineStr">
        <is>
          <t>Ebayrefresh-0002-00035-54294</t>
        </is>
      </c>
      <c r="B1133" s="5" t="inlineStr">
        <is>
          <t>2019 Topps ARCHIVES SNAPSHOTS KYLE TUCKER #AS-KT RC Astros Rookie Football</t>
        </is>
      </c>
      <c r="C1133" s="6" t="n">
        <v>4.99</v>
      </c>
      <c r="D1133" s="6" t="n">
        <v>5.79</v>
      </c>
      <c r="E1133" s="6" t="n">
        <v>0.8</v>
      </c>
      <c r="F1133" s="7" t="n">
        <v>16</v>
      </c>
      <c r="G1133" s="5" t="inlineStr">
        <is>
          <t>⬆ Price Up</t>
        </is>
      </c>
      <c r="H1133" s="5" t="inlineStr">
        <is>
          <t>100%</t>
        </is>
      </c>
      <c r="I1133" s="5">
        <f>HYPERLINK("https://www.ebay.com/sch/261328/i.html?_dcat=261328&amp;_fsrp=1&amp;rt=nc&amp;_from=R40&amp;_nkw=2019%20Topps%20ARCHIVES%20SNAPSHOTS%20KYLE%20TUCKER%20%23AS-KT%20RC%20Astros%20Rookie%20Football&amp;_sacat=0&amp;_sop=15&amp;rt=nc&amp;LH_BIN=1", "Active")</f>
        <v/>
      </c>
      <c r="J1133" s="5">
        <f>HYPERLINK("https://www.ebay.com/sch/261328/i.html?_from=R40&amp;_nkw=2019%20Topps%20ARCHIVES%20SNAPSHOTS%20KYLE%20TUCKER%20%23AS-KT%20RC%20Astros%20Rookie%20Football&amp;_sacat=0&amp;LH_Sold=1&amp;LH_Complete=1&amp;_sop=13", "Completed")</f>
        <v/>
      </c>
      <c r="K1133" s="5" t="inlineStr">
        <is>
          <t>2019 Topps ARCHIVES SNAPSHOTS KYLE TUCKER #AS-KT RC Astros Rookie Football</t>
        </is>
      </c>
    </row>
    <row r="1134">
      <c r="A1134" s="2" t="inlineStr">
        <is>
          <t>Ebayrefresh-0002-00016-70749</t>
        </is>
      </c>
      <c r="B1134" s="2" t="inlineStr">
        <is>
          <t>2022 Topps Update MIKE TROUT #BG-3 Black Gold Angels</t>
        </is>
      </c>
      <c r="C1134" s="3" t="n">
        <v>3.49</v>
      </c>
      <c r="D1134" s="3" t="n">
        <v>2.49</v>
      </c>
      <c r="E1134" s="3" t="n">
        <v>-1</v>
      </c>
      <c r="F1134" s="4" t="n">
        <v>-28.7</v>
      </c>
      <c r="G1134" s="2" t="inlineStr">
        <is>
          <t>🔵 Floored $2.49 — free ship or $0.99 ship?</t>
        </is>
      </c>
      <c r="H1134" s="2" t="inlineStr">
        <is>
          <t>100%</t>
        </is>
      </c>
      <c r="I1134" s="2">
        <f>HYPERLINK("https://www.ebay.com/sch/261328/i.html?_dcat=261328&amp;_fsrp=1&amp;rt=nc&amp;_from=R40&amp;_nkw=2022%20Topps%20Update%20MIKE%20TROUT%20%23BG-3%20Black%20Gold%20Angels&amp;_sacat=0&amp;_sop=15&amp;rt=nc&amp;LH_BIN=1", "Active")</f>
        <v/>
      </c>
      <c r="J1134" s="2">
        <f>HYPERLINK("https://www.ebay.com/sch/261328/i.html?_from=R40&amp;_nkw=2022%20Topps%20Update%20MIKE%20TROUT%20%23BG-3%20Black%20Gold%20Angels&amp;_sacat=0&amp;LH_Sold=1&amp;LH_Complete=1&amp;_sop=13", "Completed")</f>
        <v/>
      </c>
      <c r="K1134" s="2" t="inlineStr">
        <is>
          <t>2022 Topps Update Mike Trout #BG-3 Black Gold Angels</t>
        </is>
      </c>
    </row>
    <row r="1135">
      <c r="A1135" s="5" t="inlineStr">
        <is>
          <t>Ebayrefresh-0002-00008-09965</t>
        </is>
      </c>
      <c r="B1135" s="5" t="inlineStr">
        <is>
          <t>2022 Topps MARK MCGWIRE #T87C-80 1987 Baseball 35th Anniversary Chrome A's</t>
        </is>
      </c>
      <c r="C1135" s="6" t="n">
        <v>3.99</v>
      </c>
      <c r="D1135" s="6" t="n">
        <v>4.79</v>
      </c>
      <c r="E1135" s="6" t="n">
        <v>0.8</v>
      </c>
      <c r="F1135" s="7" t="n">
        <v>20.1</v>
      </c>
      <c r="G1135" s="5" t="inlineStr">
        <is>
          <t>⬆ Price Up</t>
        </is>
      </c>
      <c r="H1135" s="5" t="inlineStr">
        <is>
          <t>100%</t>
        </is>
      </c>
      <c r="I1135" s="5">
        <f>HYPERLINK("https://www.ebay.com/sch/261328/i.html?_dcat=261328&amp;_fsrp=1&amp;rt=nc&amp;_from=R40&amp;_nkw=2022%20Topps%20MARK%20MCGWIRE%20%23T87C-80%201987%20Baseball%2035th%20Anniversary%20Chrome%20A's&amp;_sacat=0&amp;_sop=15&amp;rt=nc&amp;LH_BIN=1", "Active")</f>
        <v/>
      </c>
      <c r="J1135" s="5">
        <f>HYPERLINK("https://www.ebay.com/sch/261328/i.html?_from=R40&amp;_nkw=2022%20Topps%20MARK%20MCGWIRE%20%23T87C-80%201987%20Baseball%2035th%20Anniversary%20Chrome%20A's&amp;_sacat=0&amp;LH_Sold=1&amp;LH_Complete=1&amp;_sop=13", "Completed")</f>
        <v/>
      </c>
      <c r="K1135" s="5" t="inlineStr">
        <is>
          <t>2022 Topps MARK MCGWIRE #T87C-80 1987 Baseball 35th Anniversary Chrome A's</t>
        </is>
      </c>
    </row>
    <row r="1136">
      <c r="A1136" s="2" t="inlineStr">
        <is>
          <t>Ebayrefresh-0002-00027-64309</t>
        </is>
      </c>
      <c r="B1136" s="2" t="inlineStr">
        <is>
          <t>2024 Bowman Chrome AUSTIN WELLS #15 RC Yankees Rookie</t>
        </is>
      </c>
      <c r="C1136" s="3" t="n">
        <v>3.49</v>
      </c>
      <c r="D1136" s="3" t="n">
        <v>2.49</v>
      </c>
      <c r="E1136" s="3" t="n">
        <v>-1</v>
      </c>
      <c r="F1136" s="4" t="n">
        <v>-28.7</v>
      </c>
      <c r="G1136" s="2" t="inlineStr">
        <is>
          <t>🔵 Floored $2.49 — free ship or $0.99 ship?</t>
        </is>
      </c>
      <c r="H1136" s="2" t="inlineStr">
        <is>
          <t>88%</t>
        </is>
      </c>
      <c r="I1136" s="2">
        <f>HYPERLINK("https://www.ebay.com/sch/261328/i.html?_dcat=261328&amp;_fsrp=1&amp;rt=nc&amp;_from=R40&amp;_nkw=2024%20Bowman%20Chrome%20AUSTIN%20WELLS%20%2315%20RC%20Yankees%20Rookie&amp;_sacat=0&amp;_sop=15&amp;rt=nc&amp;LH_BIN=1", "Active")</f>
        <v/>
      </c>
      <c r="J1136" s="2">
        <f>HYPERLINK("https://www.ebay.com/sch/261328/i.html?_from=R40&amp;_nkw=2024%20Bowman%20Chrome%20AUSTIN%20WELLS%20%2315%20RC%20Yankees%20Rookie&amp;_sacat=0&amp;LH_Sold=1&amp;LH_Complete=1&amp;_sop=13", "Completed")</f>
        <v/>
      </c>
      <c r="K1136" s="2" t="inlineStr">
        <is>
          <t>2024 Bowman Chrome Austin Wells #15 RC New York Yankees</t>
        </is>
      </c>
    </row>
    <row r="1137">
      <c r="A1137" s="2" t="inlineStr">
        <is>
          <t>Ebayrefresh-0002-00031-70300</t>
        </is>
      </c>
      <c r="B1137" s="2" t="inlineStr">
        <is>
          <t>2024 Topps Update HANK AARON #BG-22 Black Gold Braves</t>
        </is>
      </c>
      <c r="C1137" s="3" t="n">
        <v>3.49</v>
      </c>
      <c r="D1137" s="3" t="n">
        <v>2.49</v>
      </c>
      <c r="E1137" s="3" t="n">
        <v>-1</v>
      </c>
      <c r="F1137" s="4" t="n">
        <v>-28.7</v>
      </c>
      <c r="G1137" s="2" t="inlineStr">
        <is>
          <t>🔵 Floored $2.49 — free ship or $0.99 ship?</t>
        </is>
      </c>
      <c r="H1137" s="2" t="inlineStr">
        <is>
          <t>76%</t>
        </is>
      </c>
      <c r="I1137" s="2">
        <f>HYPERLINK("https://www.ebay.com/sch/261328/i.html?_dcat=261328&amp;_fsrp=1&amp;rt=nc&amp;_from=R40&amp;_nkw=2024%20Topps%20Update%20HANK%20AARON%20%23BG-22%20Black%20Gold%20Braves&amp;_sacat=0&amp;_sop=15&amp;rt=nc&amp;LH_BIN=1", "Active")</f>
        <v/>
      </c>
      <c r="J1137" s="2">
        <f>HYPERLINK("https://www.ebay.com/sch/261328/i.html?_from=R40&amp;_nkw=2024%20Topps%20Update%20HANK%20AARON%20%23BG-22%20Black%20Gold%20Braves&amp;_sacat=0&amp;LH_Sold=1&amp;LH_Complete=1&amp;_sop=13", "Completed")</f>
        <v/>
      </c>
      <c r="K1137" s="2" t="inlineStr">
        <is>
          <t>Hank Aaron 2024 Topps Update Series - Topps Black Gold #BG-22 Braves</t>
        </is>
      </c>
    </row>
    <row r="1138">
      <c r="A1138" s="2" t="inlineStr">
        <is>
          <t>Ebayrefresh-0002-00028-82943</t>
        </is>
      </c>
      <c r="B1138" s="2" t="inlineStr">
        <is>
          <t>2025 Topps CORBIN CARROLL #T90C-80 1990 Baseball Chrome Silver Pack Diamondbacks</t>
        </is>
      </c>
      <c r="C1138" s="3" t="n">
        <v>2.99</v>
      </c>
      <c r="D1138" s="3" t="n">
        <v>2.49</v>
      </c>
      <c r="E1138" s="3" t="n">
        <v>-0.5</v>
      </c>
      <c r="F1138" s="4" t="n">
        <v>-16.7</v>
      </c>
      <c r="G1138" s="2" t="inlineStr">
        <is>
          <t>🔵 Floored $2.49 — free ship or $0.99 ship?</t>
        </is>
      </c>
      <c r="H1138" s="2" t="inlineStr">
        <is>
          <t>64%</t>
        </is>
      </c>
      <c r="I1138" s="2">
        <f>HYPERLINK("https://www.ebay.com/sch/261328/i.html?_dcat=261328&amp;_fsrp=1&amp;rt=nc&amp;_from=R40&amp;_nkw=2025%20Topps%20CORBIN%20CARROLL%20%23T90C-80%201990%20Baseball%20Chrome%20Silver%20Pack%20Diamondbacks&amp;_sacat=0&amp;_sop=15&amp;rt=nc&amp;LH_BIN=1", "Active")</f>
        <v/>
      </c>
      <c r="J1138" s="2">
        <f>HYPERLINK("https://www.ebay.com/sch/261328/i.html?_from=R40&amp;_nkw=2025%20Topps%20CORBIN%20CARROLL%20%23T90C-80%201990%20Baseball%20Chrome%20Silver%20Pack%20Diamondbacks&amp;_sacat=0&amp;LH_Sold=1&amp;LH_Complete=1&amp;_sop=13", "Completed")</f>
        <v/>
      </c>
      <c r="K1138" s="2" t="inlineStr">
        <is>
          <t>2025 Topps Series 1  1990 Topps Baseball Chrome Silver Pack Singles- FREE SHIP!</t>
        </is>
      </c>
    </row>
    <row r="1139">
      <c r="A1139" s="11" t="inlineStr">
        <is>
          <t>Ebayrefresh-0002-00018-46451</t>
        </is>
      </c>
      <c r="B1139" s="11" t="inlineStr">
        <is>
          <t>2020 Topps TOTAL BRYCE HARPER #1 Phillies</t>
        </is>
      </c>
      <c r="C1139" s="12" t="n">
        <v>9.890000000000001</v>
      </c>
      <c r="D1139" s="12" t="n">
        <v>7.69</v>
      </c>
      <c r="E1139" s="12" t="n">
        <v>-2.2</v>
      </c>
      <c r="F1139" s="13" t="n">
        <v>-22.2</v>
      </c>
      <c r="G1139" s="11" t="inlineStr">
        <is>
          <t>⬇ Price Down</t>
        </is>
      </c>
      <c r="H1139" s="11" t="inlineStr">
        <is>
          <t>63%</t>
        </is>
      </c>
      <c r="I1139" s="11">
        <f>HYPERLINK("https://www.ebay.com/sch/261328/i.html?_dcat=261328&amp;_fsrp=1&amp;rt=nc&amp;_from=R40&amp;_nkw=2020%20Topps%20TOTAL%20BRYCE%20HARPER%20%231%20Phillies&amp;_sacat=0&amp;_sop=15&amp;rt=nc&amp;LH_BIN=1", "Active")</f>
        <v/>
      </c>
      <c r="J1139" s="11">
        <f>HYPERLINK("https://www.ebay.com/sch/261328/i.html?_from=R40&amp;_nkw=2020%20Topps%20TOTAL%20BRYCE%20HARPER%20%231%20Phillies&amp;_sacat=0&amp;LH_Sold=1&amp;LH_Complete=1&amp;_sop=13", "Completed")</f>
        <v/>
      </c>
      <c r="K1139" s="11" t="inlineStr">
        <is>
          <t>2020 Topps Total Baseball - Pick A Card - Cards 1-100</t>
        </is>
      </c>
    </row>
    <row r="1140">
      <c r="A1140" t="inlineStr">
        <is>
          <t>Ebayrefresh-0002-00005-29363</t>
        </is>
      </c>
      <c r="B1140" t="inlineStr">
        <is>
          <t>2024 Bowman Draft GEORGE LOMBARD JR. #BD-118 Yankees</t>
        </is>
      </c>
      <c r="C1140" s="14" t="n">
        <v>3.49</v>
      </c>
      <c r="D1140" s="14" t="n"/>
      <c r="E1140" s="14" t="inlineStr"/>
      <c r="F1140" s="15" t="inlineStr"/>
      <c r="G1140" t="inlineStr">
        <is>
          <t>? No price data</t>
        </is>
      </c>
      <c r="H1140" t="inlineStr">
        <is>
          <t>58%</t>
        </is>
      </c>
      <c r="I1140">
        <f>HYPERLINK("https://www.ebay.com/sch/261328/i.html?_dcat=261328&amp;_fsrp=1&amp;rt=nc&amp;_from=R40&amp;_nkw=2024%20Bowman%20Draft%20GEORGE%20LOMBARD%20JR.%20%23BD-118%20Yankees&amp;_sacat=0&amp;_sop=15&amp;rt=nc&amp;LH_BIN=1", "Active")</f>
        <v/>
      </c>
      <c r="J1140">
        <f>HYPERLINK("https://www.ebay.com/sch/261328/i.html?_from=R40&amp;_nkw=2024%20Bowman%20Draft%20GEORGE%20LOMBARD%20JR.%20%23BD-118%20Yankees&amp;_sacat=0&amp;LH_Sold=1&amp;LH_Complete=1&amp;_sop=13", "Completed")</f>
        <v/>
      </c>
      <c r="K1140" t="inlineStr">
        <is>
          <t>🔥2024 Bowman Draft Paper Prospects - You Pick - Free Ship - Buy More &amp; Save!!🔥</t>
        </is>
      </c>
    </row>
    <row r="1141">
      <c r="A1141" s="2" t="inlineStr">
        <is>
          <t>Ebayrefresh-0002-00032-81186</t>
        </is>
      </c>
      <c r="B1141" s="2" t="inlineStr">
        <is>
          <t>2018 Topps BRYCE HARPER #351 Nationals</t>
        </is>
      </c>
      <c r="C1141" s="3" t="n">
        <v>3.49</v>
      </c>
      <c r="D1141" s="3" t="n">
        <v>2.49</v>
      </c>
      <c r="E1141" s="3" t="n">
        <v>-1</v>
      </c>
      <c r="F1141" s="4" t="n">
        <v>-28.7</v>
      </c>
      <c r="G1141" s="2" t="inlineStr">
        <is>
          <t>🔵 Floored $2.49 — free ship or $0.99 ship?</t>
        </is>
      </c>
      <c r="H1141" s="2" t="inlineStr">
        <is>
          <t>63%</t>
        </is>
      </c>
      <c r="I1141" s="2">
        <f>HYPERLINK("https://www.ebay.com/sch/261328/i.html?_dcat=261328&amp;_fsrp=1&amp;rt=nc&amp;_from=R40&amp;_nkw=2018%20Topps%20BRYCE%20HARPER%20%23351%20Nationals&amp;_sacat=0&amp;_sop=15&amp;rt=nc&amp;LH_BIN=1", "Active")</f>
        <v/>
      </c>
      <c r="J1141" s="2">
        <f>HYPERLINK("https://www.ebay.com/sch/261328/i.html?_from=R40&amp;_nkw=2018%20Topps%20BRYCE%20HARPER%20%23351%20Nationals&amp;_sacat=0&amp;LH_Sold=1&amp;LH_Complete=1&amp;_sop=13", "Completed")</f>
        <v/>
      </c>
      <c r="K1141" s="2" t="inlineStr">
        <is>
          <t>2018 TOPPS SERIES 2 CARD #s 351-525 PICK YOUR CARDS</t>
        </is>
      </c>
    </row>
    <row r="1142">
      <c r="A1142" s="5" t="inlineStr">
        <is>
          <t>Ebayrefresh-0002-00003-65867</t>
        </is>
      </c>
      <c r="B1142" s="5" t="inlineStr">
        <is>
          <t>2024 Bowman Draft MAX CLARK #BDC-104 Chrome Refractor Tigers</t>
        </is>
      </c>
      <c r="C1142" s="6" t="n">
        <v>2.19</v>
      </c>
      <c r="D1142" s="6" t="n">
        <v>2.49</v>
      </c>
      <c r="E1142" s="6" t="n">
        <v>0.3</v>
      </c>
      <c r="F1142" s="7" t="n">
        <v>13.7</v>
      </c>
      <c r="G1142" s="5" t="inlineStr">
        <is>
          <t>⬆ Price Up</t>
        </is>
      </c>
      <c r="H1142" s="5" t="inlineStr">
        <is>
          <t>86%</t>
        </is>
      </c>
      <c r="I1142" s="5">
        <f>HYPERLINK("https://www.ebay.com/sch/261328/i.html?_dcat=261328&amp;_fsrp=1&amp;rt=nc&amp;_from=R40&amp;_nkw=2024%20Bowman%20Draft%20MAX%20CLARK%20%23BDC-104%20Chrome%20Refractor%20Tigers&amp;_sacat=0&amp;_sop=15&amp;rt=nc&amp;LH_BIN=1", "Active")</f>
        <v/>
      </c>
      <c r="J1142" s="5">
        <f>HYPERLINK("https://www.ebay.com/sch/261328/i.html?_from=R40&amp;_nkw=2024%20Bowman%20Draft%20MAX%20CLARK%20%23BDC-104%20Chrome%20Refractor%20Tigers&amp;_sacat=0&amp;LH_Sold=1&amp;LH_Complete=1&amp;_sop=13", "Completed")</f>
        <v/>
      </c>
      <c r="K1142" s="5" t="inlineStr">
        <is>
          <t>2024 Bowman Draft - Chrome Max Clark #BDC-104 Refractor (RC) Detroit Tigers</t>
        </is>
      </c>
    </row>
    <row r="1143">
      <c r="A1143" s="2" t="inlineStr">
        <is>
          <t>Ebayrefresh-0002-00011-58267</t>
        </is>
      </c>
      <c r="B1143" s="2" t="inlineStr">
        <is>
          <t>2023 Topps BOBBY WITT JR. #SMLB-17 Stars of MLB Royals</t>
        </is>
      </c>
      <c r="C1143" s="3" t="n">
        <v>3.49</v>
      </c>
      <c r="D1143" s="3" t="n">
        <v>2.49</v>
      </c>
      <c r="E1143" s="3" t="n">
        <v>-1</v>
      </c>
      <c r="F1143" s="4" t="n">
        <v>-28.7</v>
      </c>
      <c r="G1143" s="2" t="inlineStr">
        <is>
          <t>🔵 Floored $2.49 — free ship or $0.99 ship?</t>
        </is>
      </c>
      <c r="H1143" s="2" t="inlineStr">
        <is>
          <t>72%</t>
        </is>
      </c>
      <c r="I1143" s="2">
        <f>HYPERLINK("https://www.ebay.com/sch/261328/i.html?_dcat=261328&amp;_fsrp=1&amp;rt=nc&amp;_from=R40&amp;_nkw=2023%20Topps%20BOBBY%20WITT%20JR.%20%23SMLB-17%20Stars%20of%20MLB%20Royals&amp;_sacat=0&amp;_sop=15&amp;rt=nc&amp;LH_BIN=1", "Active")</f>
        <v/>
      </c>
      <c r="J1143" s="2">
        <f>HYPERLINK("https://www.ebay.com/sch/261328/i.html?_from=R40&amp;_nkw=2023%20Topps%20BOBBY%20WITT%20JR.%20%23SMLB-17%20Stars%20of%20MLB%20Royals&amp;_sacat=0&amp;LH_Sold=1&amp;LH_Complete=1&amp;_sop=13", "Completed")</f>
        <v/>
      </c>
      <c r="K1143" s="2" t="inlineStr">
        <is>
          <t>Topps 2023 Chrome Stars of MLB Insert Bobby Witt Jr. Royals #SMLB-17</t>
        </is>
      </c>
    </row>
    <row r="1144">
      <c r="A1144" s="5" t="inlineStr">
        <is>
          <t>Ebayrefresh-0002-00029-44172</t>
        </is>
      </c>
      <c r="B1144" s="5" t="inlineStr">
        <is>
          <t>2025 Bowman Draft JOSWA LUGO #BDC-24 Chrome Lazer Refractor Angels</t>
        </is>
      </c>
      <c r="C1144" s="6" t="n">
        <v>3.99</v>
      </c>
      <c r="D1144" s="6" t="n">
        <v>4.79</v>
      </c>
      <c r="E1144" s="6" t="n">
        <v>0.8</v>
      </c>
      <c r="F1144" s="7" t="n">
        <v>20.1</v>
      </c>
      <c r="G1144" s="5" t="inlineStr">
        <is>
          <t>⬆ Price Up</t>
        </is>
      </c>
      <c r="H1144" s="5" t="inlineStr">
        <is>
          <t>100%</t>
        </is>
      </c>
      <c r="I1144" s="5">
        <f>HYPERLINK("https://www.ebay.com/sch/261328/i.html?_dcat=261328&amp;_fsrp=1&amp;rt=nc&amp;_from=R40&amp;_nkw=2025%20Bowman%20Draft%20JOSWA%20LUGO%20%23BDC-24%20Chrome%20Lazer%20Refractor%20Angels&amp;_sacat=0&amp;_sop=15&amp;rt=nc&amp;LH_BIN=1", "Active")</f>
        <v/>
      </c>
      <c r="J1144" s="5">
        <f>HYPERLINK("https://www.ebay.com/sch/261328/i.html?_from=R40&amp;_nkw=2025%20Bowman%20Draft%20JOSWA%20LUGO%20%23BDC-24%20Chrome%20Lazer%20Refractor%20Angels&amp;_sacat=0&amp;LH_Sold=1&amp;LH_Complete=1&amp;_sop=13", "Completed")</f>
        <v/>
      </c>
      <c r="K1144" s="5" t="inlineStr">
        <is>
          <t>2025 Bowman Draft JOSWA LUGO #BDC-24 Chrome Lazer Refractor Angels</t>
        </is>
      </c>
    </row>
    <row r="1145">
      <c r="A1145" s="2" t="inlineStr">
        <is>
          <t>Ebayrefresh-0002-00012-98623</t>
        </is>
      </c>
      <c r="B1145" s="2" t="inlineStr">
        <is>
          <t>2025 Topps Heritage BOBBY WITT JR. #92 Royals</t>
        </is>
      </c>
      <c r="C1145" s="3" t="n">
        <v>2.99</v>
      </c>
      <c r="D1145" s="3" t="n">
        <v>2.49</v>
      </c>
      <c r="E1145" s="3" t="n">
        <v>-0.5</v>
      </c>
      <c r="F1145" s="4" t="n">
        <v>-16.7</v>
      </c>
      <c r="G1145" s="2" t="inlineStr">
        <is>
          <t>🔵 Floored $2.49 — free ship or $0.99 ship?</t>
        </is>
      </c>
      <c r="H1145" s="2" t="inlineStr">
        <is>
          <t>88%</t>
        </is>
      </c>
      <c r="I1145" s="2">
        <f>HYPERLINK("https://www.ebay.com/sch/261328/i.html?_dcat=261328&amp;_fsrp=1&amp;rt=nc&amp;_from=R40&amp;_nkw=2025%20Topps%20Heritage%20BOBBY%20WITT%20JR.%20%2392%20Royals&amp;_sacat=0&amp;_sop=15&amp;rt=nc&amp;LH_BIN=1", "Active")</f>
        <v/>
      </c>
      <c r="J1145" s="2">
        <f>HYPERLINK("https://www.ebay.com/sch/261328/i.html?_from=R40&amp;_nkw=2025%20Topps%20Heritage%20BOBBY%20WITT%20JR.%20%2392%20Royals&amp;_sacat=0&amp;LH_Sold=1&amp;LH_Complete=1&amp;_sop=13", "Completed")</f>
        <v/>
      </c>
      <c r="K1145" s="2" t="inlineStr">
        <is>
          <t>2025 Topps Heritage #92b Bobby Witt Jr. - KC Royals</t>
        </is>
      </c>
    </row>
    <row r="1146">
      <c r="A1146" s="2" t="inlineStr">
        <is>
          <t>Ebayrefresh-0002-00023-71661</t>
        </is>
      </c>
      <c r="B1146" s="2" t="inlineStr">
        <is>
          <t>2025 Bowman TSUNG-CHE CHENG #BP-95 Prospects Pirates</t>
        </is>
      </c>
      <c r="C1146" s="3" t="n">
        <v>2.99</v>
      </c>
      <c r="D1146" s="3" t="n">
        <v>2.49</v>
      </c>
      <c r="E1146" s="3" t="n">
        <v>-0.5</v>
      </c>
      <c r="F1146" s="4" t="n">
        <v>-16.7</v>
      </c>
      <c r="G1146" s="2" t="inlineStr">
        <is>
          <t>🔵 Floored $2.49 — free ship or $0.99 ship?</t>
        </is>
      </c>
      <c r="H1146" s="2" t="inlineStr">
        <is>
          <t>64%</t>
        </is>
      </c>
      <c r="I1146" s="2">
        <f>HYPERLINK("https://www.ebay.com/sch/261328/i.html?_dcat=261328&amp;_fsrp=1&amp;rt=nc&amp;_from=R40&amp;_nkw=2025%20Bowman%20TSUNG-CHE%20CHENG%20%23BP-95%20Prospects%20Pirates&amp;_sacat=0&amp;_sop=15&amp;rt=nc&amp;LH_BIN=1", "Active")</f>
        <v/>
      </c>
      <c r="J1146" s="2">
        <f>HYPERLINK("https://www.ebay.com/sch/261328/i.html?_from=R40&amp;_nkw=2025%20Bowman%20TSUNG-CHE%20CHENG%20%23BP-95%20Prospects%20Pirates&amp;_sacat=0&amp;LH_Sold=1&amp;LH_Complete=1&amp;_sop=13", "Completed")</f>
        <v/>
      </c>
      <c r="K1146" s="2" t="inlineStr">
        <is>
          <t>*CHEAP! *2025 Bowman Baseball Paper Prospects #1-150 You Pick- Complete Your Set</t>
        </is>
      </c>
    </row>
    <row r="1147">
      <c r="A1147" s="5" t="inlineStr">
        <is>
          <t>Ebayrefresh-0002-00034-90872</t>
        </is>
      </c>
      <c r="B1147" s="5" t="inlineStr">
        <is>
          <t>2015 Topps Update ALBERT PUJOLS #RS-21 Rookie Sensations Cardinals RC Football</t>
        </is>
      </c>
      <c r="C1147" s="6" t="n">
        <v>3.49</v>
      </c>
      <c r="D1147" s="6" t="n">
        <v>4.39</v>
      </c>
      <c r="E1147" s="6" t="n">
        <v>0.9</v>
      </c>
      <c r="F1147" s="7" t="n">
        <v>25.8</v>
      </c>
      <c r="G1147" s="5" t="inlineStr">
        <is>
          <t>⬆ Price Up</t>
        </is>
      </c>
      <c r="H1147" s="5" t="inlineStr">
        <is>
          <t>100%</t>
        </is>
      </c>
      <c r="I1147" s="5">
        <f>HYPERLINK("https://www.ebay.com/sch/261328/i.html?_dcat=261328&amp;_fsrp=1&amp;rt=nc&amp;_from=R40&amp;_nkw=2015%20Topps%20Update%20ALBERT%20PUJOLS%20%23RS-21%20Rookie%20Sensations%20Cardinals%20RC%20Football&amp;_sacat=0&amp;_sop=15&amp;rt=nc&amp;LH_BIN=1", "Active")</f>
        <v/>
      </c>
      <c r="J1147" s="5">
        <f>HYPERLINK("https://www.ebay.com/sch/261328/i.html?_from=R40&amp;_nkw=2015%20Topps%20Update%20ALBERT%20PUJOLS%20%23RS-21%20Rookie%20Sensations%20Cardinals%20RC%20Football&amp;_sacat=0&amp;LH_Sold=1&amp;LH_Complete=1&amp;_sop=13", "Completed")</f>
        <v/>
      </c>
      <c r="K1147" s="5" t="inlineStr">
        <is>
          <t>2015 Topps Update ALBERT PUJOLS #RS-21 Rookie Sensations Cardinals RC Football</t>
        </is>
      </c>
    </row>
    <row r="1148">
      <c r="A1148" s="2" t="inlineStr">
        <is>
          <t>Ebayrefresh-0002-00004-99777</t>
        </is>
      </c>
      <c r="B1148" s="2" t="inlineStr">
        <is>
          <t>2024 Bowman Draft LEO DE VRIES #PP-19 Plasma Power Padres</t>
        </is>
      </c>
      <c r="C1148" s="3" t="n">
        <v>3.49</v>
      </c>
      <c r="D1148" s="3" t="n">
        <v>2.49</v>
      </c>
      <c r="E1148" s="3" t="n">
        <v>-1</v>
      </c>
      <c r="F1148" s="4" t="n">
        <v>-28.7</v>
      </c>
      <c r="G1148" s="2" t="inlineStr">
        <is>
          <t>🔵 Floored $2.49 — free ship or $0.99 ship?</t>
        </is>
      </c>
      <c r="H1148" s="2" t="inlineStr">
        <is>
          <t>85%</t>
        </is>
      </c>
      <c r="I1148" s="2">
        <f>HYPERLINK("https://www.ebay.com/sch/261328/i.html?_dcat=261328&amp;_fsrp=1&amp;rt=nc&amp;_from=R40&amp;_nkw=2024%20Bowman%20Draft%20LEO%20DE%20VRIES%20%23PP-19%20Plasma%20Power%20Padres&amp;_sacat=0&amp;_sop=15&amp;rt=nc&amp;LH_BIN=1", "Active")</f>
        <v/>
      </c>
      <c r="J1148" s="2">
        <f>HYPERLINK("https://www.ebay.com/sch/261328/i.html?_from=R40&amp;_nkw=2024%20Bowman%20Draft%20LEO%20DE%20VRIES%20%23PP-19%20Plasma%20Power%20Padres&amp;_sacat=0&amp;LH_Sold=1&amp;LH_Complete=1&amp;_sop=13", "Completed")</f>
        <v/>
      </c>
      <c r="K1148" s="2" t="inlineStr">
        <is>
          <t>2024 Bowman Draft Leo De Vries Plasma Power Insert PP-19 San Diego Padres</t>
        </is>
      </c>
    </row>
    <row r="1149">
      <c r="A1149" s="5" t="inlineStr">
        <is>
          <t>Ebayrefresh-0002-00033-48324</t>
        </is>
      </c>
      <c r="B1149" s="5" t="inlineStr">
        <is>
          <t>2019 Bowman KYLE TUCKER #94 RC Astros Rookie Football</t>
        </is>
      </c>
      <c r="C1149" s="6" t="n">
        <v>3.49</v>
      </c>
      <c r="D1149" s="6" t="n">
        <v>4.39</v>
      </c>
      <c r="E1149" s="6" t="n">
        <v>0.9</v>
      </c>
      <c r="F1149" s="7" t="n">
        <v>25.8</v>
      </c>
      <c r="G1149" s="5" t="inlineStr">
        <is>
          <t>⬆ Price Up</t>
        </is>
      </c>
      <c r="H1149" s="5" t="inlineStr">
        <is>
          <t>100%</t>
        </is>
      </c>
      <c r="I1149" s="5">
        <f>HYPERLINK("https://www.ebay.com/sch/261328/i.html?_dcat=261328&amp;_fsrp=1&amp;rt=nc&amp;_from=R40&amp;_nkw=2019%20Bowman%20KYLE%20TUCKER%20%2394%20RC%20Astros%20Rookie%20Football&amp;_sacat=0&amp;_sop=15&amp;rt=nc&amp;LH_BIN=1", "Active")</f>
        <v/>
      </c>
      <c r="J1149" s="5">
        <f>HYPERLINK("https://www.ebay.com/sch/261328/i.html?_from=R40&amp;_nkw=2019%20Bowman%20KYLE%20TUCKER%20%2394%20RC%20Astros%20Rookie%20Football&amp;_sacat=0&amp;LH_Sold=1&amp;LH_Complete=1&amp;_sop=13", "Completed")</f>
        <v/>
      </c>
      <c r="K1149" s="5" t="inlineStr">
        <is>
          <t>2019 Bowman KYLE TUCKER #94 RC Astros Rookie Football</t>
        </is>
      </c>
    </row>
    <row r="1150">
      <c r="A1150" s="5" t="inlineStr">
        <is>
          <t>KKSC-0001-00014-42870</t>
        </is>
      </c>
      <c r="B1150" s="5" t="inlineStr">
        <is>
          <t>2025 Topps Chrome MCDONALD'S ALL-AMERICAN JORDAN SPEISER #75 Purple /150</t>
        </is>
      </c>
      <c r="C1150" s="6" t="n">
        <v>7.59</v>
      </c>
      <c r="D1150" s="6" t="n">
        <v>8.289999999999999</v>
      </c>
      <c r="E1150" s="6" t="n">
        <v>0.7</v>
      </c>
      <c r="F1150" s="7" t="n">
        <v>9.199999999999999</v>
      </c>
      <c r="G1150" s="5" t="inlineStr">
        <is>
          <t>⬆ Price Up</t>
        </is>
      </c>
      <c r="H1150" s="5" t="inlineStr">
        <is>
          <t>100%</t>
        </is>
      </c>
      <c r="I1150" s="5">
        <f>HYPERLINK("https://www.ebay.com/sch/261328/i.html?_dcat=261328&amp;_fsrp=1&amp;rt=nc&amp;_from=R40&amp;_nkw=2025%20Topps%20Chrome%20MCDONALD'S%20ALL-AMERICAN%20JORDAN%20SPEISER%20%2375%20Purple%20%2F150&amp;_sacat=0&amp;_sop=15&amp;rt=nc&amp;LH_BIN=1", "Active")</f>
        <v/>
      </c>
      <c r="J1150" s="5">
        <f>HYPERLINK("https://www.ebay.com/sch/261328/i.html?_from=R40&amp;_nkw=2025%20Topps%20Chrome%20MCDONALD'S%20ALL-AMERICAN%20JORDAN%20SPEISER%20%2375%20Purple%20%2F150&amp;_sacat=0&amp;LH_Sold=1&amp;LH_Complete=1&amp;_sop=13", "Completed")</f>
        <v/>
      </c>
      <c r="K1150" s="5" t="inlineStr">
        <is>
          <t>2025 Topps Chrome MCDONALD'S ALL-AMERICAN JORDAN SPEISER #75 Purple /150</t>
        </is>
      </c>
    </row>
    <row r="1151">
      <c r="A1151" s="5" t="inlineStr">
        <is>
          <t>KKSC-0001-00005-89064</t>
        </is>
      </c>
      <c r="B1151" s="5" t="inlineStr">
        <is>
          <t>2025 Topps Chrome MCDONALD'S ALL-AMERICAN CHRIS CENAC JR. #11 Aqua Wave /199</t>
        </is>
      </c>
      <c r="C1151" s="6" t="n">
        <v>5.99</v>
      </c>
      <c r="D1151" s="6" t="n">
        <v>6.79</v>
      </c>
      <c r="E1151" s="6" t="n">
        <v>0.8</v>
      </c>
      <c r="F1151" s="7" t="n">
        <v>13.4</v>
      </c>
      <c r="G1151" s="5" t="inlineStr">
        <is>
          <t>⬆ Price Up</t>
        </is>
      </c>
      <c r="H1151" s="5" t="inlineStr">
        <is>
          <t>100%</t>
        </is>
      </c>
      <c r="I1151" s="5">
        <f>HYPERLINK("https://www.ebay.com/sch/261328/i.html?_dcat=261328&amp;_fsrp=1&amp;rt=nc&amp;_from=R40&amp;_nkw=2025%20Topps%20Chrome%20MCDONALD'S%20ALL-AMERICAN%20CHRIS%20CENAC%20JR.%20%2311%20Aqua%20Wave%20%2F199&amp;_sacat=0&amp;_sop=15&amp;rt=nc&amp;LH_BIN=1", "Active")</f>
        <v/>
      </c>
      <c r="J1151" s="5">
        <f>HYPERLINK("https://www.ebay.com/sch/261328/i.html?_from=R40&amp;_nkw=2025%20Topps%20Chrome%20MCDONALD'S%20ALL-AMERICAN%20CHRIS%20CENAC%20JR.%20%2311%20Aqua%20Wave%20%2F199&amp;_sacat=0&amp;LH_Sold=1&amp;LH_Complete=1&amp;_sop=13", "Completed")</f>
        <v/>
      </c>
      <c r="K1151" s="5" t="inlineStr">
        <is>
          <t>2025 Topps Chrome MCDONALD'S ALL-AMERICAN CHRIS CENAC JR. #11 Aqua Wave /199</t>
        </is>
      </c>
    </row>
    <row r="1152">
      <c r="A1152" s="5" t="inlineStr">
        <is>
          <t>KKSC-0001-00007-65226</t>
        </is>
      </c>
      <c r="B1152" s="5" t="inlineStr">
        <is>
          <t>2025 Upper Deck Series 1 JEREMY LAUZON #93 Clear Cut Predators</t>
        </is>
      </c>
      <c r="C1152" s="6" t="n">
        <v>2.49</v>
      </c>
      <c r="D1152" s="6" t="n">
        <v>2.89</v>
      </c>
      <c r="E1152" s="6" t="n">
        <v>0.4</v>
      </c>
      <c r="F1152" s="7" t="n">
        <v>16.1</v>
      </c>
      <c r="G1152" s="5" t="inlineStr">
        <is>
          <t>⬆ Price Up</t>
        </is>
      </c>
      <c r="H1152" s="5" t="inlineStr">
        <is>
          <t>87%</t>
        </is>
      </c>
      <c r="I1152" s="5">
        <f>HYPERLINK("https://www.ebay.com/sch/261328/i.html?_dcat=261328&amp;_fsrp=1&amp;rt=nc&amp;_from=R40&amp;_nkw=2025%20Upper%20Deck%20Series%201%20JEREMY%20LAUZON%20%2393%20Clear%20Cut%20Predators&amp;_sacat=0&amp;_sop=15&amp;rt=nc&amp;LH_BIN=1", "Active")</f>
        <v/>
      </c>
      <c r="J1152" s="5">
        <f>HYPERLINK("https://www.ebay.com/sch/261328/i.html?_from=R40&amp;_nkw=2025%20Upper%20Deck%20Series%201%20JEREMY%20LAUZON%20%2393%20Clear%20Cut%20Predators&amp;_sacat=0&amp;LH_Sold=1&amp;LH_Complete=1&amp;_sop=13", "Completed")</f>
        <v/>
      </c>
      <c r="K1152" s="5" t="inlineStr">
        <is>
          <t>2025-26 Upper Deck Series 1 #93 Jeremy Lauzon Clear Cut Nashville Predators</t>
        </is>
      </c>
    </row>
    <row r="1153">
      <c r="A1153" s="11" t="inlineStr">
        <is>
          <t>KKSC-0001-00011-75904</t>
        </is>
      </c>
      <c r="B1153" s="11" t="inlineStr">
        <is>
          <t>2025 Topps Chrome MCDONALD'S ALL-AMERICAN ZAI HARWELL #5 Aqua Wave /199</t>
        </is>
      </c>
      <c r="C1153" s="12" t="n">
        <v>4.99</v>
      </c>
      <c r="D1153" s="12" t="n">
        <v>2.89</v>
      </c>
      <c r="E1153" s="12" t="n">
        <v>-2.1</v>
      </c>
      <c r="F1153" s="13" t="n">
        <v>-42.1</v>
      </c>
      <c r="G1153" s="11" t="inlineStr">
        <is>
          <t>⬇ Price Down</t>
        </is>
      </c>
      <c r="H1153" s="11" t="inlineStr">
        <is>
          <t>89%</t>
        </is>
      </c>
      <c r="I1153" s="11">
        <f>HYPERLINK("https://www.ebay.com/sch/261328/i.html?_dcat=261328&amp;_fsrp=1&amp;rt=nc&amp;_from=R40&amp;_nkw=2025%20Topps%20Chrome%20MCDONALD'S%20ALL-AMERICAN%20ZAI%20HARWELL%20%235%20Aqua%20Wave%20%2F199&amp;_sacat=0&amp;_sop=15&amp;rt=nc&amp;LH_BIN=1", "Active")</f>
        <v/>
      </c>
      <c r="J1153" s="11">
        <f>HYPERLINK("https://www.ebay.com/sch/261328/i.html?_from=R40&amp;_nkw=2025%20Topps%20Chrome%20MCDONALD'S%20ALL-AMERICAN%20ZAI%20HARWELL%20%235%20Aqua%20Wave%20%2F199&amp;_sacat=0&amp;LH_Sold=1&amp;LH_Complete=1&amp;_sop=13", "Completed")</f>
        <v/>
      </c>
      <c r="K1153" s="11" t="inlineStr">
        <is>
          <t>2025 Topps Chrome McDonald's All American #5 Zai Harwell Aqua Wave /199</t>
        </is>
      </c>
    </row>
    <row r="1154">
      <c r="A1154" s="5" t="inlineStr">
        <is>
          <t>KKSC-0001-00004-62290</t>
        </is>
      </c>
      <c r="B1154" s="5" t="inlineStr">
        <is>
          <t>2025 Topps Chrome MCDONALD'S ALL-AMERICAN ERIC REIBE #44 Aqua Wave Ref /199</t>
        </is>
      </c>
      <c r="C1154" s="6" t="n">
        <v>1.99</v>
      </c>
      <c r="D1154" s="6" t="n">
        <v>2.89</v>
      </c>
      <c r="E1154" s="6" t="n">
        <v>0.9</v>
      </c>
      <c r="F1154" s="7" t="n">
        <v>45.2</v>
      </c>
      <c r="G1154" s="5" t="inlineStr">
        <is>
          <t>⬆ Price Up</t>
        </is>
      </c>
      <c r="H1154" s="5" t="inlineStr">
        <is>
          <t>100%</t>
        </is>
      </c>
      <c r="I1154" s="5">
        <f>HYPERLINK("https://www.ebay.com/sch/261328/i.html?_dcat=261328&amp;_fsrp=1&amp;rt=nc&amp;_from=R40&amp;_nkw=2025%20Topps%20Chrome%20MCDONALD'S%20ALL-AMERICAN%20ERIC%20REIBE%20%2344%20Aqua%20Wave%20Ref%20%2F199&amp;_sacat=0&amp;_sop=15&amp;rt=nc&amp;LH_BIN=1", "Active")</f>
        <v/>
      </c>
      <c r="J1154" s="5">
        <f>HYPERLINK("https://www.ebay.com/sch/261328/i.html?_from=R40&amp;_nkw=2025%20Topps%20Chrome%20MCDONALD'S%20ALL-AMERICAN%20ERIC%20REIBE%20%2344%20Aqua%20Wave%20Ref%20%2F199&amp;_sacat=0&amp;LH_Sold=1&amp;LH_Complete=1&amp;_sop=13", "Completed")</f>
        <v/>
      </c>
      <c r="K1154" s="5" t="inlineStr">
        <is>
          <t>2025 Topps Chrome MCDONALD'S ALL-AMERICAN ERIC REIBE #44 Aqua Wave Ref /199</t>
        </is>
      </c>
    </row>
    <row r="1155">
      <c r="A1155" s="5" t="inlineStr">
        <is>
          <t>KKSC-0001-00012-03782</t>
        </is>
      </c>
      <c r="B1155" s="5" t="inlineStr">
        <is>
          <t>2025 Topps Chrome MCDONALD'S ALL-AMERICAN JAREN JACKSON JR. #95 Logo Refractor</t>
        </is>
      </c>
      <c r="C1155" s="6" t="n">
        <v>5.99</v>
      </c>
      <c r="D1155" s="6" t="n">
        <v>6.79</v>
      </c>
      <c r="E1155" s="6" t="n">
        <v>0.8</v>
      </c>
      <c r="F1155" s="7" t="n">
        <v>13.4</v>
      </c>
      <c r="G1155" s="5" t="inlineStr">
        <is>
          <t>⬆ Price Up</t>
        </is>
      </c>
      <c r="H1155" s="5" t="inlineStr">
        <is>
          <t>100%</t>
        </is>
      </c>
      <c r="I1155" s="5">
        <f>HYPERLINK("https://www.ebay.com/sch/261328/i.html?_dcat=261328&amp;_fsrp=1&amp;rt=nc&amp;_from=R40&amp;_nkw=2025%20Topps%20Chrome%20MCDONALD'S%20ALL-AMERICAN%20JAREN%20JACKSON%20JR.%20%2395%20Logo%20Refractor&amp;_sacat=0&amp;_sop=15&amp;rt=nc&amp;LH_BIN=1", "Active")</f>
        <v/>
      </c>
      <c r="J1155" s="5">
        <f>HYPERLINK("https://www.ebay.com/sch/261328/i.html?_from=R40&amp;_nkw=2025%20Topps%20Chrome%20MCDONALD'S%20ALL-AMERICAN%20JAREN%20JACKSON%20JR.%20%2395%20Logo%20Refractor&amp;_sacat=0&amp;LH_Sold=1&amp;LH_Complete=1&amp;_sop=13", "Completed")</f>
        <v/>
      </c>
      <c r="K1155" s="5" t="inlineStr">
        <is>
          <t>2025 Topps Chrome MCDONALD'S ALL-AMERICAN JAREN JACKSON JR. #95 Logo Refractor</t>
        </is>
      </c>
    </row>
    <row r="1156">
      <c r="A1156" s="2" t="inlineStr">
        <is>
          <t>KKSC-0001-00006-81442</t>
        </is>
      </c>
      <c r="B1156" s="2" t="inlineStr">
        <is>
          <t>2024-25 Upper Deck ALLURE SERGEI BOBROVSKY #PI-7 Protectors of the Ice Panthers</t>
        </is>
      </c>
      <c r="C1156" s="3" t="n">
        <v>3.49</v>
      </c>
      <c r="D1156" s="3" t="n">
        <v>2.49</v>
      </c>
      <c r="E1156" s="3" t="n">
        <v>-1</v>
      </c>
      <c r="F1156" s="4" t="n">
        <v>-28.7</v>
      </c>
      <c r="G1156" s="2" t="inlineStr">
        <is>
          <t>🔵 Floored $2.49 — free ship or $0.99 ship?</t>
        </is>
      </c>
      <c r="H1156" s="2" t="inlineStr">
        <is>
          <t>90%</t>
        </is>
      </c>
      <c r="I1156" s="2">
        <f>HYPERLINK("https://www.ebay.com/sch/261328/i.html?_dcat=261328&amp;_fsrp=1&amp;rt=nc&amp;_from=R40&amp;_nkw=2024-25%20Upper%20Deck%20ALLURE%20SERGEI%20BOBROVSKY%20%23PI-7%20Protectors%20of%20the%20Ice%20Panthers&amp;_sacat=0&amp;_sop=15&amp;rt=nc&amp;LH_BIN=1", "Active")</f>
        <v/>
      </c>
      <c r="J1156" s="2">
        <f>HYPERLINK("https://www.ebay.com/sch/261328/i.html?_from=R40&amp;_nkw=2024-25%20Upper%20Deck%20ALLURE%20SERGEI%20BOBROVSKY%20%23PI-7%20Protectors%20of%20the%20Ice%20Panthers&amp;_sacat=0&amp;LH_Sold=1&amp;LH_Complete=1&amp;_sop=13", "Completed")</f>
        <v/>
      </c>
      <c r="K1156" s="2" t="inlineStr">
        <is>
          <t>2024-25 Upper Deck Allure Protectors of the Ice Sergei Bobrovsky #PI-7 Panthers</t>
        </is>
      </c>
    </row>
    <row r="1157">
      <c r="A1157" s="2" t="inlineStr">
        <is>
          <t>KKSC-0001-00009-69291</t>
        </is>
      </c>
      <c r="B1157" s="2" t="inlineStr">
        <is>
          <t>2024-25 Upper Deck ALLURE EMIL LILLEBERG #116 RC Lightning Rookie</t>
        </is>
      </c>
      <c r="C1157" s="3" t="n">
        <v>2.99</v>
      </c>
      <c r="D1157" s="3" t="n">
        <v>2.49</v>
      </c>
      <c r="E1157" s="3" t="n">
        <v>-0.5</v>
      </c>
      <c r="F1157" s="4" t="n">
        <v>-16.7</v>
      </c>
      <c r="G1157" s="2" t="inlineStr">
        <is>
          <t>🔵 Floored $2.49 — free ship or $0.99 ship?</t>
        </is>
      </c>
      <c r="H1157" s="2" t="inlineStr">
        <is>
          <t>88%</t>
        </is>
      </c>
      <c r="I1157" s="2">
        <f>HYPERLINK("https://www.ebay.com/sch/261328/i.html?_dcat=261328&amp;_fsrp=1&amp;rt=nc&amp;_from=R40&amp;_nkw=2024-25%20Upper%20Deck%20ALLURE%20EMIL%20LILLEBERG%20%23116%20RC%20Lightning%20Rookie&amp;_sacat=0&amp;_sop=15&amp;rt=nc&amp;LH_BIN=1", "Active")</f>
        <v/>
      </c>
      <c r="J1157" s="2">
        <f>HYPERLINK("https://www.ebay.com/sch/261328/i.html?_from=R40&amp;_nkw=2024-25%20Upper%20Deck%20ALLURE%20EMIL%20LILLEBERG%20%23116%20RC%20Lightning%20Rookie&amp;_sacat=0&amp;LH_Sold=1&amp;LH_Complete=1&amp;_sop=13", "Completed")</f>
        <v/>
      </c>
      <c r="K1157" s="2" t="inlineStr">
        <is>
          <t>2024-25 Upper Deck Allure - Rookies Emil Lilleberg #116 (RC) - Lightning</t>
        </is>
      </c>
    </row>
    <row r="1158">
      <c r="A1158" s="5" t="inlineStr">
        <is>
          <t>KKSC-0001-00002-58312</t>
        </is>
      </c>
      <c r="B1158" s="5" t="inlineStr">
        <is>
          <t>2025 Topps Chrome MCDONALD'S ALL-AMERICAN JALIYA DAVIS #59 Aqua Wave Ref /199</t>
        </is>
      </c>
      <c r="C1158" s="6" t="n">
        <v>2.99</v>
      </c>
      <c r="D1158" s="6" t="n">
        <v>3.89</v>
      </c>
      <c r="E1158" s="6" t="n">
        <v>0.9</v>
      </c>
      <c r="F1158" s="7" t="n">
        <v>30.1</v>
      </c>
      <c r="G1158" s="5" t="inlineStr">
        <is>
          <t>⬆ Price Up</t>
        </is>
      </c>
      <c r="H1158" s="5" t="inlineStr">
        <is>
          <t>100%</t>
        </is>
      </c>
      <c r="I1158" s="5">
        <f>HYPERLINK("https://www.ebay.com/sch/261328/i.html?_dcat=261328&amp;_fsrp=1&amp;rt=nc&amp;_from=R40&amp;_nkw=2025%20Topps%20Chrome%20MCDONALD'S%20ALL-AMERICAN%20JALIYA%20DAVIS%20%2359%20Aqua%20Wave%20Ref%20%2F199&amp;_sacat=0&amp;_sop=15&amp;rt=nc&amp;LH_BIN=1", "Active")</f>
        <v/>
      </c>
      <c r="J1158" s="5">
        <f>HYPERLINK("https://www.ebay.com/sch/261328/i.html?_from=R40&amp;_nkw=2025%20Topps%20Chrome%20MCDONALD'S%20ALL-AMERICAN%20JALIYA%20DAVIS%20%2359%20Aqua%20Wave%20Ref%20%2F199&amp;_sacat=0&amp;LH_Sold=1&amp;LH_Complete=1&amp;_sop=13", "Completed")</f>
        <v/>
      </c>
      <c r="K1158" s="5" t="inlineStr">
        <is>
          <t>2025 Topps Chrome MCDONALD'S ALL-AMERICAN JALIYA DAVIS #59 Aqua Wave Ref /199</t>
        </is>
      </c>
    </row>
    <row r="1159">
      <c r="A1159" s="2" t="inlineStr">
        <is>
          <t>KKSC-0001-00013-15723</t>
        </is>
      </c>
      <c r="B1159" s="2" t="inlineStr">
        <is>
          <t>2025 Panini Prizm TREY AMOS #400 Orange 169/249 RC Commanders Rookie Football</t>
        </is>
      </c>
      <c r="C1159" s="3" t="n">
        <v>3.99</v>
      </c>
      <c r="D1159" s="3" t="n">
        <v>2.49</v>
      </c>
      <c r="E1159" s="3" t="n">
        <v>-1.5</v>
      </c>
      <c r="F1159" s="4" t="n">
        <v>-37.6</v>
      </c>
      <c r="G1159" s="2" t="inlineStr">
        <is>
          <t>🔵 Floored $2.49 — free ship or $0.99 ship?</t>
        </is>
      </c>
      <c r="H1159" s="2" t="inlineStr"/>
      <c r="I1159" s="2">
        <f>HYPERLINK("https://www.ebay.com/sch/261328/i.html?_dcat=261328&amp;_fsrp=1&amp;rt=nc&amp;_from=R40&amp;_nkw=2025%20Panini%20Prizm%20TREY%20AMOS%20%23400%20Orange%20169%2F249%20RC%20Commanders%20Rookie%20Football&amp;_sacat=0&amp;_sop=15&amp;rt=nc&amp;LH_BIN=1", "Active")</f>
        <v/>
      </c>
      <c r="J1159" s="2">
        <f>HYPERLINK("https://www.ebay.com/sch/261328/i.html?_from=R40&amp;_nkw=2025%20Panini%20Prizm%20TREY%20AMOS%20%23400%20Orange%20169%2F249%20RC%20Commanders%20Rookie%20Football&amp;_sacat=0&amp;LH_Sold=1&amp;LH_Complete=1&amp;_sop=13", "Completed")</f>
        <v/>
      </c>
      <c r="K1159" s="2" t="inlineStr">
        <is>
          <t>No Close Result Found</t>
        </is>
      </c>
    </row>
    <row r="1160">
      <c r="A1160" s="11" t="inlineStr">
        <is>
          <t>KKSC-0001-00008-39136</t>
        </is>
      </c>
      <c r="B1160" s="11" t="inlineStr">
        <is>
          <t>2024-25 Upper Deck ALLURE MARCO ROSSI #CFL-31 Color Flow Red-Orange Wild</t>
        </is>
      </c>
      <c r="C1160" s="12" t="n">
        <v>3.49</v>
      </c>
      <c r="D1160" s="12" t="n">
        <v>2.69</v>
      </c>
      <c r="E1160" s="12" t="n">
        <v>-0.8</v>
      </c>
      <c r="F1160" s="13" t="n">
        <v>-22.9</v>
      </c>
      <c r="G1160" s="11" t="inlineStr">
        <is>
          <t>⬇ Price Down</t>
        </is>
      </c>
      <c r="H1160" s="11" t="inlineStr">
        <is>
          <t>82%</t>
        </is>
      </c>
      <c r="I1160" s="11">
        <f>HYPERLINK("https://www.ebay.com/sch/261328/i.html?_dcat=261328&amp;_fsrp=1&amp;rt=nc&amp;_from=R40&amp;_nkw=2024-25%20Upper%20Deck%20ALLURE%20MARCO%20ROSSI%20%23CFL-31%20Color%20Flow%20Red-Orange%20Wild&amp;_sacat=0&amp;_sop=15&amp;rt=nc&amp;LH_BIN=1", "Active")</f>
        <v/>
      </c>
      <c r="J1160" s="11">
        <f>HYPERLINK("https://www.ebay.com/sch/261328/i.html?_from=R40&amp;_nkw=2024-25%20Upper%20Deck%20ALLURE%20MARCO%20ROSSI%20%23CFL-31%20Color%20Flow%20Red-Orange%20Wild&amp;_sacat=0&amp;LH_Sold=1&amp;LH_Complete=1&amp;_sop=13", "Completed")</f>
        <v/>
      </c>
      <c r="K1160" s="11" t="inlineStr">
        <is>
          <t>Marco Rossi 2024-25 Upper Deck Allure Color Flow Red Orange #CFL-31 Wild</t>
        </is>
      </c>
    </row>
    <row r="1161">
      <c r="A1161" s="2" t="inlineStr">
        <is>
          <t>KKSC-0001-00003-64879</t>
        </is>
      </c>
      <c r="B1161" s="2" t="inlineStr">
        <is>
          <t>2023-24 Upper Deck MVP ALTERNATE THREADS BARZAL PELECH SOROKIN #AT-14 Islanders</t>
        </is>
      </c>
      <c r="C1161" s="3" t="n">
        <v>3.49</v>
      </c>
      <c r="D1161" s="3" t="n">
        <v>2.49</v>
      </c>
      <c r="E1161" s="3" t="n">
        <v>-1</v>
      </c>
      <c r="F1161" s="4" t="n">
        <v>-28.7</v>
      </c>
      <c r="G1161" s="2" t="inlineStr">
        <is>
          <t>🔵 Floored $2.49 — free ship or $0.99 ship?</t>
        </is>
      </c>
      <c r="H1161" s="2" t="inlineStr">
        <is>
          <t>87%</t>
        </is>
      </c>
      <c r="I1161" s="2">
        <f>HYPERLINK("https://www.ebay.com/sch/261328/i.html?_dcat=261328&amp;_fsrp=1&amp;rt=nc&amp;_from=R40&amp;_nkw=2023-24%20Upper%20Deck%20MVP%20ALTERNATE%20THREADS%20BARZAL%20PELECH%20SOROKIN%20%23AT-14%20Islanders&amp;_sacat=0&amp;_sop=15&amp;rt=nc&amp;LH_BIN=1", "Active")</f>
        <v/>
      </c>
      <c r="J1161" s="2">
        <f>HYPERLINK("https://www.ebay.com/sch/261328/i.html?_from=R40&amp;_nkw=2023-24%20Upper%20Deck%20MVP%20ALTERNATE%20THREADS%20BARZAL%20PELECH%20SOROKIN%20%23AT-14%20Islanders&amp;_sacat=0&amp;LH_Sold=1&amp;LH_Complete=1&amp;_sop=13", "Completed")</f>
        <v/>
      </c>
      <c r="K1161" s="2" t="inlineStr">
        <is>
          <t>2023-24 UD MVP Hockey Alternate Threads Barzal/Pelech/Sorokin AT-14 NY Islanders</t>
        </is>
      </c>
    </row>
    <row r="1162">
      <c r="A1162" s="11" t="inlineStr">
        <is>
          <t>KKSC-0001-00016-87372</t>
        </is>
      </c>
      <c r="B1162" s="11" t="inlineStr">
        <is>
          <t>2025-26 Topps Chrome KON KNUEPPEL #254 RC Hornets Rookie Basketball</t>
        </is>
      </c>
      <c r="C1162" s="12" t="n">
        <v>9</v>
      </c>
      <c r="D1162" s="12" t="n">
        <v>4.19</v>
      </c>
      <c r="E1162" s="12" t="n">
        <v>-4.81</v>
      </c>
      <c r="F1162" s="13" t="n">
        <v>-53.4</v>
      </c>
      <c r="G1162" s="11" t="inlineStr">
        <is>
          <t>⬇ Price Down</t>
        </is>
      </c>
      <c r="H1162" s="11" t="inlineStr">
        <is>
          <t>82%</t>
        </is>
      </c>
      <c r="I1162" s="11">
        <f>HYPERLINK("https://www.ebay.com/sch/261328/i.html?_dcat=261328&amp;_fsrp=1&amp;rt=nc&amp;_from=R40&amp;_nkw=2025-26%20Topps%20Chrome%20KON%20KNUEPPEL%20%23254%20RC%20Hornets%20Rookie%20Basketball&amp;_sacat=0&amp;_sop=15&amp;rt=nc&amp;LH_BIN=1", "Active")</f>
        <v/>
      </c>
      <c r="J1162" s="11">
        <f>HYPERLINK("https://www.ebay.com/sch/261328/i.html?_from=R40&amp;_nkw=2025-26%20Topps%20Chrome%20KON%20KNUEPPEL%20%23254%20RC%20Hornets%20Rookie%20Basketball&amp;_sacat=0&amp;LH_Sold=1&amp;LH_Complete=1&amp;_sop=13", "Completed")</f>
        <v/>
      </c>
      <c r="K1162" s="11" t="inlineStr">
        <is>
          <t>2025-26 Topps Basketball Kon Knueppel RC Hornets #254</t>
        </is>
      </c>
    </row>
    <row r="1163">
      <c r="A1163" s="5" t="inlineStr">
        <is>
          <t>EBAY-0002-00005-89882</t>
        </is>
      </c>
      <c r="B1163" s="5" t="inlineStr">
        <is>
          <t>2024 Bowman MAX CLARK #PP-12 Prospect Power Up Tigers</t>
        </is>
      </c>
      <c r="C1163" s="6" t="n">
        <v>2</v>
      </c>
      <c r="D1163" s="6" t="n">
        <v>2.49</v>
      </c>
      <c r="E1163" s="6" t="n">
        <v>0.49</v>
      </c>
      <c r="F1163" s="7" t="n">
        <v>24.5</v>
      </c>
      <c r="G1163" s="5" t="inlineStr">
        <is>
          <t>⬆ Price Up</t>
        </is>
      </c>
      <c r="H1163" s="5" t="inlineStr">
        <is>
          <t>84%</t>
        </is>
      </c>
      <c r="I1163" s="5">
        <f>HYPERLINK("https://www.ebay.com/sch/261328/i.html?_dcat=261328&amp;_fsrp=1&amp;rt=nc&amp;_from=R40&amp;_nkw=2024%20Bowman%20MAX%20CLARK%20%23PP-12%20Prospect%20Power%20Up%20Tigers&amp;_sacat=0&amp;_sop=15&amp;rt=nc&amp;LH_BIN=1", "Active")</f>
        <v/>
      </c>
      <c r="J1163" s="5">
        <f>HYPERLINK("https://www.ebay.com/sch/261328/i.html?_from=R40&amp;_nkw=2024%20Bowman%20MAX%20CLARK%20%23PP-12%20Prospect%20Power%20Up%20Tigers&amp;_sacat=0&amp;LH_Sold=1&amp;LH_Complete=1&amp;_sop=13", "Completed")</f>
        <v/>
      </c>
      <c r="K1163" s="5" t="inlineStr">
        <is>
          <t>2024 Bowman Max Clark Bowman Chrome Prospect Power-Up #PP-12 Detroit Tigers</t>
        </is>
      </c>
    </row>
    <row r="1164">
      <c r="A1164" s="11" t="inlineStr">
        <is>
          <t>EBAY-0002-00002-40631</t>
        </is>
      </c>
      <c r="B1164" s="11" t="inlineStr">
        <is>
          <t>2024 Topps Update RONALD ACUNA JR. #BG-3 Black Gold Braves</t>
        </is>
      </c>
      <c r="C1164" s="12" t="n">
        <v>3.99</v>
      </c>
      <c r="D1164" s="12" t="n">
        <v>2.69</v>
      </c>
      <c r="E1164" s="12" t="n">
        <v>-1.3</v>
      </c>
      <c r="F1164" s="13" t="n">
        <v>-32.6</v>
      </c>
      <c r="G1164" s="11" t="inlineStr">
        <is>
          <t>⬇ Price Down</t>
        </is>
      </c>
      <c r="H1164" s="11" t="inlineStr">
        <is>
          <t>76%</t>
        </is>
      </c>
      <c r="I1164" s="11">
        <f>HYPERLINK("https://www.ebay.com/sch/261328/i.html?_dcat=261328&amp;_fsrp=1&amp;rt=nc&amp;_from=R40&amp;_nkw=2024%20Topps%20Update%20RONALD%20ACUNA%20JR.%20%23BG-3%20Black%20Gold%20Braves&amp;_sacat=0&amp;_sop=15&amp;rt=nc&amp;LH_BIN=1", "Active")</f>
        <v/>
      </c>
      <c r="J1164" s="11">
        <f>HYPERLINK("https://www.ebay.com/sch/261328/i.html?_from=R40&amp;_nkw=2024%20Topps%20Update%20RONALD%20ACUNA%20JR.%20%23BG-3%20Black%20Gold%20Braves&amp;_sacat=0&amp;LH_Sold=1&amp;LH_Complete=1&amp;_sop=13", "Completed")</f>
        <v/>
      </c>
      <c r="K1164" s="11" t="inlineStr">
        <is>
          <t>Ronald Acuna Jr - 2024 Topps Update - Black Gold #BG-3 - Atlanta Braves</t>
        </is>
      </c>
    </row>
    <row r="1165">
      <c r="A1165" s="2" t="inlineStr">
        <is>
          <t>EBAY-0002-00006-57493</t>
        </is>
      </c>
      <c r="B1165" s="2" t="inlineStr">
        <is>
          <t>2024 Bowman Mega Box JACKSON HOLLIDAY #BCP-47 Chrome Prospects Mojo Refractor</t>
        </is>
      </c>
      <c r="C1165" s="3" t="n">
        <v>3.49</v>
      </c>
      <c r="D1165" s="3" t="n">
        <v>2.49</v>
      </c>
      <c r="E1165" s="3" t="n">
        <v>-1</v>
      </c>
      <c r="F1165" s="4" t="n">
        <v>-28.7</v>
      </c>
      <c r="G1165" s="2" t="inlineStr">
        <is>
          <t>🔵 Floored $2.49 — free ship or $0.99 ship?</t>
        </is>
      </c>
      <c r="H1165" s="2" t="inlineStr">
        <is>
          <t>70%</t>
        </is>
      </c>
      <c r="I1165" s="2">
        <f>HYPERLINK("https://www.ebay.com/sch/261328/i.html?_dcat=261328&amp;_fsrp=1&amp;rt=nc&amp;_from=R40&amp;_nkw=2024%20Bowman%20Mega%20Box%20JACKSON%20HOLLIDAY%20%23BCP-47%20Chrome%20Prospects%20Mojo%20Refractor&amp;_sacat=0&amp;_sop=15&amp;rt=nc&amp;LH_BIN=1", "Active")</f>
        <v/>
      </c>
      <c r="J1165" s="2">
        <f>HYPERLINK("https://www.ebay.com/sch/261328/i.html?_from=R40&amp;_nkw=2024%20Bowman%20Mega%20Box%20JACKSON%20HOLLIDAY%20%23BCP-47%20Chrome%20Prospects%20Mojo%20Refractor&amp;_sacat=0&amp;LH_Sold=1&amp;LH_Complete=1&amp;_sop=13", "Completed")</f>
        <v/>
      </c>
      <c r="K1165" s="2" t="inlineStr">
        <is>
          <t>2024 Mega Box Mojo Bowman/Bowman Chrome - Pick your Card!</t>
        </is>
      </c>
    </row>
    <row r="1166">
      <c r="A1166" s="5" t="inlineStr">
        <is>
          <t>EBAY-0002-00009-80603</t>
        </is>
      </c>
      <c r="B1166" s="5" t="inlineStr">
        <is>
          <t>2023 Topps MICHAEL HARRIS II #226 Silver Pattern Foilboard RC All-Star Braves</t>
        </is>
      </c>
      <c r="C1166" s="6" t="n">
        <v>4.99</v>
      </c>
      <c r="D1166" s="6" t="n">
        <v>5.79</v>
      </c>
      <c r="E1166" s="6" t="n">
        <v>0.8</v>
      </c>
      <c r="F1166" s="7" t="n">
        <v>16</v>
      </c>
      <c r="G1166" s="5" t="inlineStr">
        <is>
          <t>⬆ Price Up</t>
        </is>
      </c>
      <c r="H1166" s="5" t="inlineStr">
        <is>
          <t>100%</t>
        </is>
      </c>
      <c r="I1166" s="5">
        <f>HYPERLINK("https://www.ebay.com/sch/261328/i.html?_dcat=261328&amp;_fsrp=1&amp;rt=nc&amp;_from=R40&amp;_nkw=2023%20Topps%20MICHAEL%20HARRIS%20II%20%23226%20Silver%20Pattern%20Foilboard%20RC%20All-Star%20Braves&amp;_sacat=0&amp;_sop=15&amp;rt=nc&amp;LH_BIN=1", "Active")</f>
        <v/>
      </c>
      <c r="J1166" s="5">
        <f>HYPERLINK("https://www.ebay.com/sch/261328/i.html?_from=R40&amp;_nkw=2023%20Topps%20MICHAEL%20HARRIS%20II%20%23226%20Silver%20Pattern%20Foilboard%20RC%20All-Star%20Braves&amp;_sacat=0&amp;LH_Sold=1&amp;LH_Complete=1&amp;_sop=13", "Completed")</f>
        <v/>
      </c>
      <c r="K1166" s="5" t="inlineStr">
        <is>
          <t>2023 Topps MICHAEL HARRIS II #226 Silver Pattern Foilboard RC All-Star Braves</t>
        </is>
      </c>
    </row>
    <row r="1167">
      <c r="A1167" s="8" t="inlineStr">
        <is>
          <t>EBAY-0002-00011-24640</t>
        </is>
      </c>
      <c r="B1167" s="8" t="inlineStr">
        <is>
          <t>2022 Panini USA Baseball Stars &amp; Stripes KYLE TEEL #34</t>
        </is>
      </c>
      <c r="C1167" s="9" t="n">
        <v>2.49</v>
      </c>
      <c r="D1167" s="9" t="n">
        <v>2.49</v>
      </c>
      <c r="E1167" s="9" t="n">
        <v>0</v>
      </c>
      <c r="F1167" s="10" t="n">
        <v>0</v>
      </c>
      <c r="G1167" s="8" t="inlineStr">
        <is>
          <t>— No Change</t>
        </is>
      </c>
      <c r="H1167" s="8" t="inlineStr">
        <is>
          <t>100%</t>
        </is>
      </c>
      <c r="I1167" s="8">
        <f>HYPERLINK("https://www.ebay.com/sch/261328/i.html?_dcat=261328&amp;_fsrp=1&amp;rt=nc&amp;_from=R40&amp;_nkw=2022%20Panini%20USA%20Baseball%20Stars%20%26%20Stripes%20KYLE%20TEEL%20%2334&amp;_sacat=0&amp;_sop=15&amp;rt=nc&amp;LH_BIN=1", "Active")</f>
        <v/>
      </c>
      <c r="J1167" s="8">
        <f>HYPERLINK("https://www.ebay.com/sch/261328/i.html?_from=R40&amp;_nkw=2022%20Panini%20USA%20Baseball%20Stars%20%26%20Stripes%20KYLE%20TEEL%20%2334&amp;_sacat=0&amp;LH_Sold=1&amp;LH_Complete=1&amp;_sop=13", "Completed")</f>
        <v/>
      </c>
      <c r="K1167" s="8" t="inlineStr">
        <is>
          <t>2022 Panini USA Baseball Stars &amp; Stripes Kyle Teel #34</t>
        </is>
      </c>
    </row>
    <row r="1168">
      <c r="A1168" s="5" t="inlineStr">
        <is>
          <t>EBAY-0002-00022-80961</t>
        </is>
      </c>
      <c r="B1168" s="5" t="inlineStr">
        <is>
          <t>2021 Topps GREG MADDUX #86BC-25 1986 Baseball 35th Anniversary Chrome Series One</t>
        </is>
      </c>
      <c r="C1168" s="6" t="n">
        <v>3.49</v>
      </c>
      <c r="D1168" s="6" t="n">
        <v>4.39</v>
      </c>
      <c r="E1168" s="6" t="n">
        <v>0.9</v>
      </c>
      <c r="F1168" s="7" t="n">
        <v>25.8</v>
      </c>
      <c r="G1168" s="5" t="inlineStr">
        <is>
          <t>⬆ Price Up</t>
        </is>
      </c>
      <c r="H1168" s="5" t="inlineStr">
        <is>
          <t>100%</t>
        </is>
      </c>
      <c r="I1168" s="5">
        <f>HYPERLINK("https://www.ebay.com/sch/261328/i.html?_dcat=261328&amp;_fsrp=1&amp;rt=nc&amp;_from=R40&amp;_nkw=2021%20Topps%20GREG%20MADDUX%20%2386BC-25%201986%20Baseball%2035th%20Anniversary%20Chrome%20Series%20One&amp;_sacat=0&amp;_sop=15&amp;rt=nc&amp;LH_BIN=1", "Active")</f>
        <v/>
      </c>
      <c r="J1168" s="5">
        <f>HYPERLINK("https://www.ebay.com/sch/261328/i.html?_from=R40&amp;_nkw=2021%20Topps%20GREG%20MADDUX%20%2386BC-25%201986%20Baseball%2035th%20Anniversary%20Chrome%20Series%20One&amp;_sacat=0&amp;LH_Sold=1&amp;LH_Complete=1&amp;_sop=13", "Completed")</f>
        <v/>
      </c>
      <c r="K1168" s="5" t="inlineStr">
        <is>
          <t>2021 Topps GREG MADDUX #86BC-25 1986 Baseball 35th Anniversary Chrome Series One</t>
        </is>
      </c>
    </row>
    <row r="1169">
      <c r="A1169" s="8" t="inlineStr">
        <is>
          <t>EBAY-0002-00025-93307</t>
        </is>
      </c>
      <c r="B1169" s="8" t="inlineStr">
        <is>
          <t>2025 Bowman CHARLES MCADOO #BCP-150 Chrome 1st Prospect Blue Jays</t>
        </is>
      </c>
      <c r="C1169" s="9" t="n">
        <v>2.49</v>
      </c>
      <c r="D1169" s="9" t="n">
        <v>2.49</v>
      </c>
      <c r="E1169" s="9" t="n">
        <v>0</v>
      </c>
      <c r="F1169" s="10" t="n">
        <v>0</v>
      </c>
      <c r="G1169" s="8" t="inlineStr">
        <is>
          <t>— No Change</t>
        </is>
      </c>
      <c r="H1169" s="8" t="inlineStr">
        <is>
          <t>65%</t>
        </is>
      </c>
      <c r="I1169" s="8">
        <f>HYPERLINK("https://www.ebay.com/sch/261328/i.html?_dcat=261328&amp;_fsrp=1&amp;rt=nc&amp;_from=R40&amp;_nkw=2025%20Bowman%20CHARLES%20MCADOO%20%23BCP-150%20Chrome%201st%20Prospect%20Blue%20Jays&amp;_sacat=0&amp;_sop=15&amp;rt=nc&amp;LH_BIN=1", "Active")</f>
        <v/>
      </c>
      <c r="J1169" s="8">
        <f>HYPERLINK("https://www.ebay.com/sch/261328/i.html?_from=R40&amp;_nkw=2025%20Bowman%20CHARLES%20MCADOO%20%23BCP-150%20Chrome%201st%20Prospect%20Blue%20Jays&amp;_sacat=0&amp;LH_Sold=1&amp;LH_Complete=1&amp;_sop=13", "Completed")</f>
        <v/>
      </c>
      <c r="K1169" s="8" t="inlineStr">
        <is>
          <t>2025 Bowman Chrome Prospects BCP1 - BCP150 - You Pick - $2.00 or 2 Card Minimum</t>
        </is>
      </c>
    </row>
    <row r="1170">
      <c r="A1170" s="11" t="inlineStr">
        <is>
          <t>EBAY-0002-00008-84544</t>
        </is>
      </c>
      <c r="B1170" s="11" t="inlineStr">
        <is>
          <t>2024 Topps Chrome KRIS BRYANT #179 Purple Sonar Refractor /275 Rockies</t>
        </is>
      </c>
      <c r="C1170" s="12" t="n">
        <v>3.99</v>
      </c>
      <c r="D1170" s="12" t="n">
        <v>3.79</v>
      </c>
      <c r="E1170" s="12" t="n">
        <v>-0.2</v>
      </c>
      <c r="F1170" s="13" t="n">
        <v>-5</v>
      </c>
      <c r="G1170" s="11" t="inlineStr">
        <is>
          <t>⬇ Price Down</t>
        </is>
      </c>
      <c r="H1170" s="11" t="inlineStr">
        <is>
          <t>90%</t>
        </is>
      </c>
      <c r="I1170" s="11">
        <f>HYPERLINK("https://www.ebay.com/sch/261328/i.html?_dcat=261328&amp;_fsrp=1&amp;rt=nc&amp;_from=R40&amp;_nkw=2024%20Topps%20Chrome%20KRIS%20BRYANT%20%23179%20Purple%20Sonar%20Refractor%20%2F275%20Rockies&amp;_sacat=0&amp;_sop=15&amp;rt=nc&amp;LH_BIN=1", "Active")</f>
        <v/>
      </c>
      <c r="J1170" s="11">
        <f>HYPERLINK("https://www.ebay.com/sch/261328/i.html?_from=R40&amp;_nkw=2024%20Topps%20Chrome%20KRIS%20BRYANT%20%23179%20Purple%20Sonar%20Refractor%20%2F275%20Rockies&amp;_sacat=0&amp;LH_Sold=1&amp;LH_Complete=1&amp;_sop=13", "Completed")</f>
        <v/>
      </c>
      <c r="K1170" s="11" t="inlineStr">
        <is>
          <t>2024 Topps Chrome Sonar Purple Refractor #179 Kris Bryant /275 Rockies</t>
        </is>
      </c>
    </row>
    <row r="1171">
      <c r="A1171" s="5" t="inlineStr">
        <is>
          <t>EBAY-0002-00023-40726</t>
        </is>
      </c>
      <c r="B1171" s="5" t="inlineStr">
        <is>
          <t>2021 Topps FRANK THOMAS #86BC-50 35th Anniversary Chrome Series One White Sox</t>
        </is>
      </c>
      <c r="C1171" s="6" t="n">
        <v>4.49</v>
      </c>
      <c r="D1171" s="6" t="n">
        <v>5.29</v>
      </c>
      <c r="E1171" s="6" t="n">
        <v>0.8</v>
      </c>
      <c r="F1171" s="7" t="n">
        <v>17.8</v>
      </c>
      <c r="G1171" s="5" t="inlineStr">
        <is>
          <t>⬆ Price Up</t>
        </is>
      </c>
      <c r="H1171" s="5" t="inlineStr">
        <is>
          <t>100%</t>
        </is>
      </c>
      <c r="I1171" s="5">
        <f>HYPERLINK("https://www.ebay.com/sch/261328/i.html?_dcat=261328&amp;_fsrp=1&amp;rt=nc&amp;_from=R40&amp;_nkw=2021%20Topps%20FRANK%20THOMAS%20%2386BC-50%2035th%20Anniversary%20Chrome%20Series%20One%20White%20Sox&amp;_sacat=0&amp;_sop=15&amp;rt=nc&amp;LH_BIN=1", "Active")</f>
        <v/>
      </c>
      <c r="J1171" s="5">
        <f>HYPERLINK("https://www.ebay.com/sch/261328/i.html?_from=R40&amp;_nkw=2021%20Topps%20FRANK%20THOMAS%20%2386BC-50%2035th%20Anniversary%20Chrome%20Series%20One%20White%20Sox&amp;_sacat=0&amp;LH_Sold=1&amp;LH_Complete=1&amp;_sop=13", "Completed")</f>
        <v/>
      </c>
      <c r="K1171" s="5" t="inlineStr">
        <is>
          <t>2021 Topps FRANK THOMAS #86BC-50 35th Anniversary Chrome Series One White Sox</t>
        </is>
      </c>
    </row>
    <row r="1172">
      <c r="A1172" s="8" t="inlineStr">
        <is>
          <t>EBAY-0002-00027-85255</t>
        </is>
      </c>
      <c r="B1172" s="8" t="inlineStr">
        <is>
          <t>2025 Topps SHOTA IMANAGA #T90-85 1990 Baseball 35th Anniversary Series 1 Cubs</t>
        </is>
      </c>
      <c r="C1172" s="9" t="n">
        <v>2.49</v>
      </c>
      <c r="D1172" s="9" t="n">
        <v>2.49</v>
      </c>
      <c r="E1172" s="9" t="n">
        <v>0</v>
      </c>
      <c r="F1172" s="10" t="n">
        <v>0</v>
      </c>
      <c r="G1172" s="8" t="inlineStr">
        <is>
          <t>— No Change</t>
        </is>
      </c>
      <c r="H1172" s="8" t="inlineStr">
        <is>
          <t>65%</t>
        </is>
      </c>
      <c r="I1172" s="8">
        <f>HYPERLINK("https://www.ebay.com/sch/261328/i.html?_dcat=261328&amp;_fsrp=1&amp;rt=nc&amp;_from=R40&amp;_nkw=2025%20Topps%20SHOTA%20IMANAGA%20%23T90-85%201990%20Baseball%2035th%20Anniversary%20Series%201%20Cubs&amp;_sacat=0&amp;_sop=15&amp;rt=nc&amp;LH_BIN=1", "Active")</f>
        <v/>
      </c>
      <c r="J1172" s="8">
        <f>HYPERLINK("https://www.ebay.com/sch/261328/i.html?_from=R40&amp;_nkw=2025%20Topps%20SHOTA%20IMANAGA%20%23T90-85%201990%20Baseball%2035th%20Anniversary%20Series%201%20Cubs&amp;_sacat=0&amp;LH_Sold=1&amp;LH_Complete=1&amp;_sop=13", "Completed")</f>
        <v/>
      </c>
      <c r="K1172" s="8" t="inlineStr">
        <is>
          <t>2025 Topps Series 1 35th Anniversary 1990 - Pick Your Own - Complete Your Set</t>
        </is>
      </c>
    </row>
    <row r="1173">
      <c r="A1173" s="5" t="inlineStr">
        <is>
          <t>EBAY-0002-00015-46976</t>
        </is>
      </c>
      <c r="B1173" s="5" t="inlineStr">
        <is>
          <t>2025 Topps Heritage HIGH NUMBER JACKSON JOBE #RP-14 Rookie Performers Tigers RC</t>
        </is>
      </c>
      <c r="C1173" s="6" t="n">
        <v>2.99</v>
      </c>
      <c r="D1173" s="6" t="n">
        <v>3.89</v>
      </c>
      <c r="E1173" s="6" t="n">
        <v>0.9</v>
      </c>
      <c r="F1173" s="7" t="n">
        <v>30.1</v>
      </c>
      <c r="G1173" s="5" t="inlineStr">
        <is>
          <t>⬆ Price Up</t>
        </is>
      </c>
      <c r="H1173" s="5" t="inlineStr">
        <is>
          <t>100%</t>
        </is>
      </c>
      <c r="I1173" s="5">
        <f>HYPERLINK("https://www.ebay.com/sch/261328/i.html?_dcat=261328&amp;_fsrp=1&amp;rt=nc&amp;_from=R40&amp;_nkw=2025%20Topps%20Heritage%20HIGH%20NUMBER%20JACKSON%20JOBE%20%23RP-14%20Rookie%20Performers%20Tigers%20RC&amp;_sacat=0&amp;_sop=15&amp;rt=nc&amp;LH_BIN=1", "Active")</f>
        <v/>
      </c>
      <c r="J1173" s="5">
        <f>HYPERLINK("https://www.ebay.com/sch/261328/i.html?_from=R40&amp;_nkw=2025%20Topps%20Heritage%20HIGH%20NUMBER%20JACKSON%20JOBE%20%23RP-14%20Rookie%20Performers%20Tigers%20RC&amp;_sacat=0&amp;LH_Sold=1&amp;LH_Complete=1&amp;_sop=13", "Completed")</f>
        <v/>
      </c>
      <c r="K1173" s="5" t="inlineStr">
        <is>
          <t>2025 Topps Heritage HIGH NUMBER JACKSON JOBE #RP-14 Rookie Performers Tigers RC</t>
        </is>
      </c>
    </row>
    <row r="1174">
      <c r="A1174" s="11" t="inlineStr">
        <is>
          <t>EBAY-0002-00010-53390</t>
        </is>
      </c>
      <c r="B1174" s="11" t="inlineStr">
        <is>
          <t>2024 Topps Chrome CEDDANNE RAFAELA #118 Raywave Refractor RC Red Sox Rookie</t>
        </is>
      </c>
      <c r="C1174" s="12" t="n">
        <v>5.49</v>
      </c>
      <c r="D1174" s="12" t="n">
        <v>3.69</v>
      </c>
      <c r="E1174" s="12" t="n">
        <v>-1.8</v>
      </c>
      <c r="F1174" s="13" t="n">
        <v>-32.8</v>
      </c>
      <c r="G1174" s="11" t="inlineStr">
        <is>
          <t>⬇ Price Down</t>
        </is>
      </c>
      <c r="H1174" s="11" t="inlineStr">
        <is>
          <t>87%</t>
        </is>
      </c>
      <c r="I1174" s="11">
        <f>HYPERLINK("https://www.ebay.com/sch/261328/i.html?_dcat=261328&amp;_fsrp=1&amp;rt=nc&amp;_from=R40&amp;_nkw=2024%20Topps%20Chrome%20CEDDANNE%20RAFAELA%20%23118%20Raywave%20Refractor%20RC%20Red%20Sox%20Rookie&amp;_sacat=0&amp;_sop=15&amp;rt=nc&amp;LH_BIN=1", "Active")</f>
        <v/>
      </c>
      <c r="J1174" s="11">
        <f>HYPERLINK("https://www.ebay.com/sch/261328/i.html?_from=R40&amp;_nkw=2024%20Topps%20Chrome%20CEDDANNE%20RAFAELA%20%23118%20Raywave%20Refractor%20RC%20Red%20Sox%20Rookie&amp;_sacat=0&amp;LH_Sold=1&amp;LH_Complete=1&amp;_sop=13", "Completed")</f>
        <v/>
      </c>
      <c r="K1174" s="11" t="inlineStr">
        <is>
          <t>2024 Topps Chrome - Ceddanne Rafaela #118 RayWave Refractor (RC) Boston Red Sox</t>
        </is>
      </c>
    </row>
    <row r="1175">
      <c r="A1175" s="2" t="inlineStr">
        <is>
          <t>EBAY-0002-00016-64828</t>
        </is>
      </c>
      <c r="B1175" s="2" t="inlineStr">
        <is>
          <t>2024 Bowman Draft JONNY FARMELO #BDC-193 Chrome Refractor Mariners</t>
        </is>
      </c>
      <c r="C1175" s="3" t="n">
        <v>3.49</v>
      </c>
      <c r="D1175" s="3" t="n">
        <v>2.49</v>
      </c>
      <c r="E1175" s="3" t="n">
        <v>-1</v>
      </c>
      <c r="F1175" s="4" t="n">
        <v>-28.7</v>
      </c>
      <c r="G1175" s="2" t="inlineStr">
        <is>
          <t>🔵 Floored $2.49 — free ship or $0.99 ship?</t>
        </is>
      </c>
      <c r="H1175" s="2" t="inlineStr">
        <is>
          <t>66%</t>
        </is>
      </c>
      <c r="I1175" s="2">
        <f>HYPERLINK("https://www.ebay.com/sch/261328/i.html?_dcat=261328&amp;_fsrp=1&amp;rt=nc&amp;_from=R40&amp;_nkw=2024%20Bowman%20Draft%20JONNY%20FARMELO%20%23BDC-193%20Chrome%20Refractor%20Mariners&amp;_sacat=0&amp;_sop=15&amp;rt=nc&amp;LH_BIN=1", "Active")</f>
        <v/>
      </c>
      <c r="J1175" s="2">
        <f>HYPERLINK("https://www.ebay.com/sch/261328/i.html?_from=R40&amp;_nkw=2024%20Bowman%20Draft%20JONNY%20FARMELO%20%23BDC-193%20Chrome%20Refractor%20Mariners&amp;_sacat=0&amp;LH_Sold=1&amp;LH_Complete=1&amp;_sop=13", "Completed")</f>
        <v/>
      </c>
      <c r="K1175" s="2" t="inlineStr">
        <is>
          <t>UPDATED 🔥2024 Bowman Draft Chrome REFRACTOR - Complete Your Set - QTY SAVINGS🔥</t>
        </is>
      </c>
    </row>
    <row r="1176">
      <c r="A1176" s="11" t="inlineStr">
        <is>
          <t>EBAY-0002-00018-32544</t>
        </is>
      </c>
      <c r="B1176" s="11" t="inlineStr">
        <is>
          <t>2021 Topps Update BRYCE HARPER #86C-3 1986 Chrome Silver Pack Promotion Phillies</t>
        </is>
      </c>
      <c r="C1176" s="12" t="n">
        <v>3.99</v>
      </c>
      <c r="D1176" s="12" t="n">
        <v>3.69</v>
      </c>
      <c r="E1176" s="12" t="n">
        <v>-0.3</v>
      </c>
      <c r="F1176" s="13" t="n">
        <v>-7.5</v>
      </c>
      <c r="G1176" s="11" t="inlineStr">
        <is>
          <t>⬇ Price Down</t>
        </is>
      </c>
      <c r="H1176" s="11" t="inlineStr">
        <is>
          <t>90%</t>
        </is>
      </c>
      <c r="I1176" s="11">
        <f>HYPERLINK("https://www.ebay.com/sch/261328/i.html?_dcat=261328&amp;_fsrp=1&amp;rt=nc&amp;_from=R40&amp;_nkw=2021%20Topps%20Update%20BRYCE%20HARPER%20%2386C-3%201986%20Chrome%20Silver%20Pack%20Promotion%20Phillies&amp;_sacat=0&amp;_sop=15&amp;rt=nc&amp;LH_BIN=1", "Active")</f>
        <v/>
      </c>
      <c r="J1176" s="11">
        <f>HYPERLINK("https://www.ebay.com/sch/261328/i.html?_from=R40&amp;_nkw=2021%20Topps%20Update%20BRYCE%20HARPER%20%2386C-3%201986%20Chrome%20Silver%20Pack%20Promotion%20Phillies&amp;_sacat=0&amp;LH_Sold=1&amp;LH_Complete=1&amp;_sop=13", "Completed")</f>
        <v/>
      </c>
      <c r="K1176" s="11" t="inlineStr">
        <is>
          <t>2021 Topps Update Bryce Harper 1986 Chrome Silver Pack Promotion #86C-3 Phillies</t>
        </is>
      </c>
    </row>
    <row r="1177">
      <c r="A1177" t="inlineStr">
        <is>
          <t>EBAY-0002-00026-76831</t>
        </is>
      </c>
      <c r="B1177" t="inlineStr">
        <is>
          <t>2025 Bowman GEORGE KLASSEN #BCP-63 Chrome 1st Prospect Angels</t>
        </is>
      </c>
      <c r="C1177" s="14" t="n">
        <v>2.49</v>
      </c>
      <c r="D1177" s="14" t="n"/>
      <c r="E1177" s="14" t="inlineStr"/>
      <c r="F1177" s="15" t="inlineStr"/>
      <c r="G1177" t="inlineStr">
        <is>
          <t>? No price data</t>
        </is>
      </c>
      <c r="H1177" t="inlineStr">
        <is>
          <t>58%</t>
        </is>
      </c>
      <c r="I1177">
        <f>HYPERLINK("https://www.ebay.com/sch/261328/i.html?_dcat=261328&amp;_fsrp=1&amp;rt=nc&amp;_from=R40&amp;_nkw=2025%20Bowman%20GEORGE%20KLASSEN%20%23BCP-63%20Chrome%201st%20Prospect%20Angels&amp;_sacat=0&amp;_sop=15&amp;rt=nc&amp;LH_BIN=1", "Active")</f>
        <v/>
      </c>
      <c r="J1177">
        <f>HYPERLINK("https://www.ebay.com/sch/261328/i.html?_from=R40&amp;_nkw=2025%20Bowman%20GEORGE%20KLASSEN%20%23BCP-63%20Chrome%201st%20Prospect%20Angels&amp;_sacat=0&amp;LH_Sold=1&amp;LH_Complete=1&amp;_sop=13", "Completed")</f>
        <v/>
      </c>
      <c r="K1177" t="inlineStr">
        <is>
          <t>2025 Bowman Chrome Prospects BCP1 - BCP150 - You Pick - $2.00 or 2 Card Minimum</t>
        </is>
      </c>
    </row>
    <row r="1178">
      <c r="A1178" s="2" t="inlineStr">
        <is>
          <t>EBAY-0002-00013-51458</t>
        </is>
      </c>
      <c r="B1178" s="2" t="inlineStr">
        <is>
          <t>2024 Topps ALLEN &amp; Ginter JACKSON MERRILL #275 Silver Portrait RC Padres Rookie</t>
        </is>
      </c>
      <c r="C1178" s="3" t="n">
        <v>3.49</v>
      </c>
      <c r="D1178" s="3" t="n">
        <v>2.49</v>
      </c>
      <c r="E1178" s="3" t="n">
        <v>-1</v>
      </c>
      <c r="F1178" s="4" t="n">
        <v>-28.7</v>
      </c>
      <c r="G1178" s="2" t="inlineStr">
        <is>
          <t>🔵 Floored $2.49 — free ship or $0.99 ship?</t>
        </is>
      </c>
      <c r="H1178" s="2" t="inlineStr">
        <is>
          <t>77%</t>
        </is>
      </c>
      <c r="I1178" s="2">
        <f>HYPERLINK("https://www.ebay.com/sch/261328/i.html?_dcat=261328&amp;_fsrp=1&amp;rt=nc&amp;_from=R40&amp;_nkw=2024%20Topps%20ALLEN%20%26%20Ginter%20JACKSON%20MERRILL%20%23275%20Silver%20Portrait%20RC%20Padres%20Rookie&amp;_sacat=0&amp;_sop=15&amp;rt=nc&amp;LH_BIN=1", "Active")</f>
        <v/>
      </c>
      <c r="J1178" s="2">
        <f>HYPERLINK("https://www.ebay.com/sch/261328/i.html?_from=R40&amp;_nkw=2024%20Topps%20ALLEN%20%26%20Ginter%20JACKSON%20MERRILL%20%23275%20Silver%20Portrait%20RC%20Padres%20Rookie&amp;_sacat=0&amp;LH_Sold=1&amp;LH_Complete=1&amp;_sop=13", "Completed")</f>
        <v/>
      </c>
      <c r="K1178" s="2" t="inlineStr">
        <is>
          <t>Jackson Merrill 2024 Topps Allen &amp; Ginter Silver Portrait RC. San Diego Padres</t>
        </is>
      </c>
    </row>
    <row r="1179">
      <c r="A1179" s="5" t="inlineStr">
        <is>
          <t>EBAY-0002-00003-65985</t>
        </is>
      </c>
      <c r="B1179" s="5" t="inlineStr">
        <is>
          <t>2024 Topps Chrome Update COLTON COWSER #USC154 Aqua Ref /199 RC Orioles Rookie</t>
        </is>
      </c>
      <c r="C1179" s="6" t="n">
        <v>9.19</v>
      </c>
      <c r="D1179" s="6" t="n">
        <v>9.890000000000001</v>
      </c>
      <c r="E1179" s="6" t="n">
        <v>0.7</v>
      </c>
      <c r="F1179" s="7" t="n">
        <v>7.6</v>
      </c>
      <c r="G1179" s="5" t="inlineStr">
        <is>
          <t>⬆ Price Up</t>
        </is>
      </c>
      <c r="H1179" s="5" t="inlineStr">
        <is>
          <t>100%</t>
        </is>
      </c>
      <c r="I1179" s="5">
        <f>HYPERLINK("https://www.ebay.com/sch/261328/i.html?_dcat=261328&amp;_fsrp=1&amp;rt=nc&amp;_from=R40&amp;_nkw=2024%20Topps%20Chrome%20Update%20COLTON%20COWSER%20%23USC154%20Aqua%20Ref%20%2F199%20RC%20Orioles%20Rookie&amp;_sacat=0&amp;_sop=15&amp;rt=nc&amp;LH_BIN=1", "Active")</f>
        <v/>
      </c>
      <c r="J1179" s="5">
        <f>HYPERLINK("https://www.ebay.com/sch/261328/i.html?_from=R40&amp;_nkw=2024%20Topps%20Chrome%20Update%20COLTON%20COWSER%20%23USC154%20Aqua%20Ref%20%2F199%20RC%20Orioles%20Rookie&amp;_sacat=0&amp;LH_Sold=1&amp;LH_Complete=1&amp;_sop=13", "Completed")</f>
        <v/>
      </c>
      <c r="K1179" s="5" t="inlineStr">
        <is>
          <t>2024 Topps Chrome Update COLTON COWSER #USC154 Aqua Ref /199 RC Orioles Rookie</t>
        </is>
      </c>
    </row>
    <row r="1180">
      <c r="A1180" s="2" t="inlineStr">
        <is>
          <t>EBAY-0002-00019-94951</t>
        </is>
      </c>
      <c r="B1180" s="2" t="inlineStr">
        <is>
          <t>2024 Bowman Chrome BRALYN BRAZOBAN #BCP-224 Mega Box Mojo Refractor 1st Prospect</t>
        </is>
      </c>
      <c r="C1180" s="3" t="n">
        <v>3.49</v>
      </c>
      <c r="D1180" s="3" t="n">
        <v>2.49</v>
      </c>
      <c r="E1180" s="3" t="n">
        <v>-1</v>
      </c>
      <c r="F1180" s="4" t="n">
        <v>-28.7</v>
      </c>
      <c r="G1180" s="2" t="inlineStr">
        <is>
          <t>🔵 Floored $2.49 — free ship or $0.99 ship?</t>
        </is>
      </c>
      <c r="H1180" s="2" t="inlineStr">
        <is>
          <t>66%</t>
        </is>
      </c>
      <c r="I1180" s="2">
        <f>HYPERLINK("https://www.ebay.com/sch/261328/i.html?_dcat=261328&amp;_fsrp=1&amp;rt=nc&amp;_from=R40&amp;_nkw=2024%20Bowman%20Chrome%20BRALYN%20BRAZOBAN%20%23BCP-224%20Mega%20Box%20Mojo%20Refractor%201st%20Prospect&amp;_sacat=0&amp;_sop=15&amp;rt=nc&amp;LH_BIN=1", "Active")</f>
        <v/>
      </c>
      <c r="J1180" s="2">
        <f>HYPERLINK("https://www.ebay.com/sch/261328/i.html?_from=R40&amp;_nkw=2024%20Bowman%20Chrome%20BRALYN%20BRAZOBAN%20%23BCP-224%20Mega%20Box%20Mojo%20Refractor%201st%20Prospect&amp;_sacat=0&amp;LH_Sold=1&amp;LH_Complete=1&amp;_sop=13", "Completed")</f>
        <v/>
      </c>
      <c r="K1180" s="2" t="inlineStr">
        <is>
          <t>2024 Bowman Chrome Mega Box - Vets, Rookies &amp; Prospects (You Pick)</t>
        </is>
      </c>
    </row>
    <row r="1181">
      <c r="A1181" s="2" t="inlineStr">
        <is>
          <t>EBAY-0002-00014-11117</t>
        </is>
      </c>
      <c r="B1181" s="2" t="inlineStr">
        <is>
          <t>2024 Topps ALLEN &amp; Ginter FREDDIE FREEMAN #62 Silver Portrait Dodgers</t>
        </is>
      </c>
      <c r="C1181" s="3" t="n">
        <v>3.49</v>
      </c>
      <c r="D1181" s="3" t="n">
        <v>2.49</v>
      </c>
      <c r="E1181" s="3" t="n">
        <v>-1</v>
      </c>
      <c r="F1181" s="4" t="n">
        <v>-28.7</v>
      </c>
      <c r="G1181" s="2" t="inlineStr">
        <is>
          <t>🔵 Floored $2.49 — free ship or $0.99 ship?</t>
        </is>
      </c>
      <c r="H1181" s="2" t="inlineStr">
        <is>
          <t>88%</t>
        </is>
      </c>
      <c r="I1181" s="2">
        <f>HYPERLINK("https://www.ebay.com/sch/261328/i.html?_dcat=261328&amp;_fsrp=1&amp;rt=nc&amp;_from=R40&amp;_nkw=2024%20Topps%20ALLEN%20%26%20Ginter%20FREDDIE%20FREEMAN%20%2362%20Silver%20Portrait%20Dodgers&amp;_sacat=0&amp;_sop=15&amp;rt=nc&amp;LH_BIN=1", "Active")</f>
        <v/>
      </c>
      <c r="J1181" s="2">
        <f>HYPERLINK("https://www.ebay.com/sch/261328/i.html?_from=R40&amp;_nkw=2024%20Topps%20ALLEN%20%26%20Ginter%20FREDDIE%20FREEMAN%20%2362%20Silver%20Portrait%20Dodgers&amp;_sacat=0&amp;LH_Sold=1&amp;LH_Complete=1&amp;_sop=13", "Completed")</f>
        <v/>
      </c>
      <c r="K1181" s="2" t="inlineStr">
        <is>
          <t>2024 Topps Allen &amp; Ginter Chrome Freddie Freeman Silver Portrait #62 Dodgers</t>
        </is>
      </c>
    </row>
    <row r="1182">
      <c r="A1182" s="2" t="inlineStr">
        <is>
          <t>EBAY-0002-00020-34334</t>
        </is>
      </c>
      <c r="B1182" s="2" t="inlineStr">
        <is>
          <t>2025 Topps DAVID FESTA #T90C-90 1990 Baseball Chrome Silver Pack RC Twins Rookie</t>
        </is>
      </c>
      <c r="C1182" s="3" t="n">
        <v>3.99</v>
      </c>
      <c r="D1182" s="3" t="n">
        <v>2.49</v>
      </c>
      <c r="E1182" s="3" t="n">
        <v>-1.5</v>
      </c>
      <c r="F1182" s="4" t="n">
        <v>-37.6</v>
      </c>
      <c r="G1182" s="2" t="inlineStr">
        <is>
          <t>🔵 Floored $2.49 — free ship or $0.99 ship?</t>
        </is>
      </c>
      <c r="H1182" s="2" t="inlineStr">
        <is>
          <t>86%</t>
        </is>
      </c>
      <c r="I1182" s="2">
        <f>HYPERLINK("https://www.ebay.com/sch/261328/i.html?_dcat=261328&amp;_fsrp=1&amp;rt=nc&amp;_from=R40&amp;_nkw=2025%20Topps%20DAVID%20FESTA%20%23T90C-90%201990%20Baseball%20Chrome%20Silver%20Pack%20RC%20Twins%20Rookie&amp;_sacat=0&amp;_sop=15&amp;rt=nc&amp;LH_BIN=1", "Active")</f>
        <v/>
      </c>
      <c r="J1182" s="2">
        <f>HYPERLINK("https://www.ebay.com/sch/261328/i.html?_from=R40&amp;_nkw=2025%20Topps%20DAVID%20FESTA%20%23T90C-90%201990%20Baseball%20Chrome%20Silver%20Pack%20RC%20Twins%20Rookie&amp;_sacat=0&amp;LH_Sold=1&amp;LH_Complete=1&amp;_sop=13", "Completed")</f>
        <v/>
      </c>
      <c r="K1182" s="2" t="inlineStr">
        <is>
          <t>2025 Topps David Festa RC 1990 Topps Silver Pack Mojo #T90C-90 Twins Rookie</t>
        </is>
      </c>
    </row>
    <row r="1183">
      <c r="A1183" s="11" t="inlineStr">
        <is>
          <t>EBAY-0002-00007-66481</t>
        </is>
      </c>
      <c r="B1183" s="11" t="inlineStr">
        <is>
          <t>2024 Bowman Mega Box JUNIOR CAMINERO #20 Mojo Refractor Rays</t>
        </is>
      </c>
      <c r="C1183" s="12" t="n">
        <v>4.49</v>
      </c>
      <c r="D1183" s="12" t="n">
        <v>3.69</v>
      </c>
      <c r="E1183" s="12" t="n">
        <v>-0.8</v>
      </c>
      <c r="F1183" s="13" t="n">
        <v>-17.8</v>
      </c>
      <c r="G1183" s="11" t="inlineStr">
        <is>
          <t>⬇ Price Down</t>
        </is>
      </c>
      <c r="H1183" s="11" t="inlineStr">
        <is>
          <t>85%</t>
        </is>
      </c>
      <c r="I1183" s="11">
        <f>HYPERLINK("https://www.ebay.com/sch/261328/i.html?_dcat=261328&amp;_fsrp=1&amp;rt=nc&amp;_from=R40&amp;_nkw=2024%20Bowman%20Mega%20Box%20JUNIOR%20CAMINERO%20%2320%20Mojo%20Refractor%20Rays&amp;_sacat=0&amp;_sop=15&amp;rt=nc&amp;LH_BIN=1", "Active")</f>
        <v/>
      </c>
      <c r="J1183" s="11">
        <f>HYPERLINK("https://www.ebay.com/sch/261328/i.html?_from=R40&amp;_nkw=2024%20Bowman%20Mega%20Box%20JUNIOR%20CAMINERO%20%2320%20Mojo%20Refractor%20Rays&amp;_sacat=0&amp;LH_Sold=1&amp;LH_Complete=1&amp;_sop=13", "Completed")</f>
        <v/>
      </c>
      <c r="K1183" s="11" t="inlineStr">
        <is>
          <t>2024 Bowman Chrome Mega Box Junior Caminero Mojo Refractor Rookie RC Rays 20</t>
        </is>
      </c>
    </row>
    <row r="1184">
      <c r="A1184" s="11" t="inlineStr">
        <is>
          <t>EBAY-0002-00017-69417</t>
        </is>
      </c>
      <c r="B1184" s="11" t="inlineStr">
        <is>
          <t>2025 Topps BRYCE HARPER #T90C-14 1990 Baseball Chrome Silver Pack Phillies</t>
        </is>
      </c>
      <c r="C1184" s="12" t="n">
        <v>3.49</v>
      </c>
      <c r="D1184" s="12" t="n">
        <v>3.09</v>
      </c>
      <c r="E1184" s="12" t="n">
        <v>-0.4</v>
      </c>
      <c r="F1184" s="13" t="n">
        <v>-11.5</v>
      </c>
      <c r="G1184" s="11" t="inlineStr">
        <is>
          <t>⬇ Price Down</t>
        </is>
      </c>
      <c r="H1184" s="11" t="inlineStr">
        <is>
          <t>69%</t>
        </is>
      </c>
      <c r="I1184" s="11">
        <f>HYPERLINK("https://www.ebay.com/sch/261328/i.html?_dcat=261328&amp;_fsrp=1&amp;rt=nc&amp;_from=R40&amp;_nkw=2025%20Topps%20BRYCE%20HARPER%20%23T90C-14%201990%20Baseball%20Chrome%20Silver%20Pack%20Phillies&amp;_sacat=0&amp;_sop=15&amp;rt=nc&amp;LH_BIN=1", "Active")</f>
        <v/>
      </c>
      <c r="J1184" s="11">
        <f>HYPERLINK("https://www.ebay.com/sch/261328/i.html?_from=R40&amp;_nkw=2025%20Topps%20BRYCE%20HARPER%20%23T90C-14%201990%20Baseball%20Chrome%20Silver%20Pack%20Phillies&amp;_sacat=0&amp;LH_Sold=1&amp;LH_Complete=1&amp;_sop=13", "Completed")</f>
        <v/>
      </c>
      <c r="K1184" s="11" t="inlineStr">
        <is>
          <t>2025 Topps Series 1 - 1990 Topps Chrome Silver Pack ~ Choose Your Card</t>
        </is>
      </c>
    </row>
    <row r="1185">
      <c r="A1185" s="2" t="inlineStr">
        <is>
          <t>EBAY-0002-00012-85224</t>
        </is>
      </c>
      <c r="B1185" s="2" t="inlineStr">
        <is>
          <t>2020 Topps ARCHIVES RONALD ACUNA JR. #241 Braves</t>
        </is>
      </c>
      <c r="C1185" s="3" t="n">
        <v>3.49</v>
      </c>
      <c r="D1185" s="3" t="n">
        <v>2.49</v>
      </c>
      <c r="E1185" s="3" t="n">
        <v>-1</v>
      </c>
      <c r="F1185" s="4" t="n">
        <v>-28.7</v>
      </c>
      <c r="G1185" s="2" t="inlineStr">
        <is>
          <t>🔵 Floored $2.49 — free ship or $0.99 ship?</t>
        </is>
      </c>
      <c r="H1185" s="2" t="inlineStr">
        <is>
          <t>86%</t>
        </is>
      </c>
      <c r="I1185" s="2">
        <f>HYPERLINK("https://www.ebay.com/sch/261328/i.html?_dcat=261328&amp;_fsrp=1&amp;rt=nc&amp;_from=R40&amp;_nkw=2020%20Topps%20ARCHIVES%20RONALD%20ACUNA%20JR.%20%23241%20Braves&amp;_sacat=0&amp;_sop=15&amp;rt=nc&amp;LH_BIN=1", "Active")</f>
        <v/>
      </c>
      <c r="J1185" s="2">
        <f>HYPERLINK("https://www.ebay.com/sch/261328/i.html?_from=R40&amp;_nkw=2020%20Topps%20ARCHIVES%20RONALD%20ACUNA%20JR.%20%23241%20Braves&amp;_sacat=0&amp;LH_Sold=1&amp;LH_Complete=1&amp;_sop=13", "Completed")</f>
        <v/>
      </c>
      <c r="K1185" s="2" t="inlineStr">
        <is>
          <t>2020 Topps Archives Ronald Acuna Jr. 241 | Atlanta Braves</t>
        </is>
      </c>
    </row>
    <row r="1186">
      <c r="A1186" s="2" t="inlineStr">
        <is>
          <t>EBAY-0002-00004-43276</t>
        </is>
      </c>
      <c r="B1186" s="2" t="inlineStr">
        <is>
          <t>2020 Bowman CLAYTON KERSHAW #90B-CK 1990 Chrome Dodgers</t>
        </is>
      </c>
      <c r="C1186" s="3" t="n">
        <v>3.49</v>
      </c>
      <c r="D1186" s="3" t="n">
        <v>2.49</v>
      </c>
      <c r="E1186" s="3" t="n">
        <v>-1</v>
      </c>
      <c r="F1186" s="4" t="n">
        <v>-28.7</v>
      </c>
      <c r="G1186" s="2" t="inlineStr">
        <is>
          <t>🔵 Floored $2.49 — free ship or $0.99 ship?</t>
        </is>
      </c>
      <c r="H1186" s="2" t="inlineStr">
        <is>
          <t>85%</t>
        </is>
      </c>
      <c r="I1186" s="2">
        <f>HYPERLINK("https://www.ebay.com/sch/261328/i.html?_dcat=261328&amp;_fsrp=1&amp;rt=nc&amp;_from=R40&amp;_nkw=2020%20Bowman%20CLAYTON%20KERSHAW%20%2390B-CK%201990%20Chrome%20Dodgers&amp;_sacat=0&amp;_sop=15&amp;rt=nc&amp;LH_BIN=1", "Active")</f>
        <v/>
      </c>
      <c r="J1186" s="2">
        <f>HYPERLINK("https://www.ebay.com/sch/261328/i.html?_from=R40&amp;_nkw=2020%20Bowman%20CLAYTON%20KERSHAW%20%2390B-CK%201990%20Chrome%20Dodgers&amp;_sacat=0&amp;LH_Sold=1&amp;LH_Complete=1&amp;_sop=13", "Completed")</f>
        <v/>
      </c>
      <c r="K1186" s="2" t="inlineStr">
        <is>
          <t>2020 Bowman Chrome Retro 1990 Bowman Clayton Kershaw #90B-CK Dodgers JW 13A</t>
        </is>
      </c>
    </row>
    <row r="1187">
      <c r="A1187" s="5" t="inlineStr">
        <is>
          <t>EBAY-0002-00021-52213</t>
        </is>
      </c>
      <c r="B1187" s="5" t="inlineStr">
        <is>
          <t>2025 Bowman SEBASTIAN WALCOTT #BCP-133 Chrome Prospects Rangers</t>
        </is>
      </c>
      <c r="C1187" s="6" t="n">
        <v>1.99</v>
      </c>
      <c r="D1187" s="6" t="n">
        <v>2.49</v>
      </c>
      <c r="E1187" s="6" t="n">
        <v>0.5</v>
      </c>
      <c r="F1187" s="7" t="n">
        <v>25.1</v>
      </c>
      <c r="G1187" s="5" t="inlineStr">
        <is>
          <t>⬆ Price Up</t>
        </is>
      </c>
      <c r="H1187" s="5" t="inlineStr">
        <is>
          <t>65%</t>
        </is>
      </c>
      <c r="I1187" s="5">
        <f>HYPERLINK("https://www.ebay.com/sch/261328/i.html?_dcat=261328&amp;_fsrp=1&amp;rt=nc&amp;_from=R40&amp;_nkw=2025%20Bowman%20SEBASTIAN%20WALCOTT%20%23BCP-133%20Chrome%20Prospects%20Rangers&amp;_sacat=0&amp;_sop=15&amp;rt=nc&amp;LH_BIN=1", "Active")</f>
        <v/>
      </c>
      <c r="J1187" s="5">
        <f>HYPERLINK("https://www.ebay.com/sch/261328/i.html?_from=R40&amp;_nkw=2025%20Bowman%20SEBASTIAN%20WALCOTT%20%23BCP-133%20Chrome%20Prospects%20Rangers&amp;_sacat=0&amp;LH_Sold=1&amp;LH_Complete=1&amp;_sop=13", "Completed")</f>
        <v/>
      </c>
      <c r="K1187" s="5" t="inlineStr">
        <is>
          <t>2025 Bowman Chrome Prospects *YOU PICK* 1st RC Base BCP 1-150 *BUY 2+ &amp; SAVE*</t>
        </is>
      </c>
    </row>
    <row r="1188">
      <c r="A1188" s="8" t="inlineStr">
        <is>
          <t>EBAY-0002-00001-17151</t>
        </is>
      </c>
      <c r="B1188" s="8" t="inlineStr">
        <is>
          <t>2025 Bowman Draft TAITN GRAY #BDC-7 Chrome 1st Prospect Rays</t>
        </is>
      </c>
      <c r="C1188" s="9" t="n">
        <v>2.49</v>
      </c>
      <c r="D1188" s="9" t="n">
        <v>2.49</v>
      </c>
      <c r="E1188" s="9" t="n">
        <v>0</v>
      </c>
      <c r="F1188" s="10" t="n">
        <v>0</v>
      </c>
      <c r="G1188" s="8" t="inlineStr">
        <is>
          <t>— No Change</t>
        </is>
      </c>
      <c r="H1188" s="8" t="inlineStr">
        <is>
          <t>64%</t>
        </is>
      </c>
      <c r="I1188" s="8">
        <f>HYPERLINK("https://www.ebay.com/sch/261328/i.html?_dcat=261328&amp;_fsrp=1&amp;rt=nc&amp;_from=R40&amp;_nkw=2025%20Bowman%20Draft%20TAITN%20GRAY%20%23BDC-7%20Chrome%201st%20Prospect%20Rays&amp;_sacat=0&amp;_sop=15&amp;rt=nc&amp;LH_BIN=1", "Active")</f>
        <v/>
      </c>
      <c r="J1188" s="8">
        <f>HYPERLINK("https://www.ebay.com/sch/261328/i.html?_from=R40&amp;_nkw=2025%20Bowman%20Draft%20TAITN%20GRAY%20%23BDC-7%20Chrome%201st%20Prospect%20Rays&amp;_sacat=0&amp;LH_Sold=1&amp;LH_Complete=1&amp;_sop=13", "Completed")</f>
        <v/>
      </c>
      <c r="K1188" s="8" t="inlineStr">
        <is>
          <t>🔥2025 Bowman Draft Chrome Prospects - U Pick - Free Ship - Buy More &amp; Save!🔥</t>
        </is>
      </c>
    </row>
    <row r="1189">
      <c r="A1189" s="5" t="inlineStr">
        <is>
          <t>RBM-0001-00017-63721</t>
        </is>
      </c>
      <c r="B1189" s="5" t="inlineStr">
        <is>
          <t>2025 Bowman's Best JULIO RODRIGUEZ #59 Purple Refractor 197/250 Mariners</t>
        </is>
      </c>
      <c r="C1189" s="6" t="n">
        <v>6.69</v>
      </c>
      <c r="D1189" s="6" t="n">
        <v>7.49</v>
      </c>
      <c r="E1189" s="6" t="n">
        <v>0.8</v>
      </c>
      <c r="F1189" s="7" t="n">
        <v>12</v>
      </c>
      <c r="G1189" s="5" t="inlineStr">
        <is>
          <t>⬆ Price Up</t>
        </is>
      </c>
      <c r="H1189" s="5" t="inlineStr">
        <is>
          <t>100%</t>
        </is>
      </c>
      <c r="I1189" s="5">
        <f>HYPERLINK("https://www.ebay.com/sch/261328/i.html?_dcat=261328&amp;_fsrp=1&amp;rt=nc&amp;_from=R40&amp;_nkw=2025%20Bowman's%20Best%20JULIO%20RODRIGUEZ%20%2359%20Purple%20Refractor%20197%2F250%20Mariners&amp;_sacat=0&amp;_sop=15&amp;rt=nc&amp;LH_BIN=1", "Active")</f>
        <v/>
      </c>
      <c r="J1189" s="5">
        <f>HYPERLINK("https://www.ebay.com/sch/261328/i.html?_from=R40&amp;_nkw=2025%20Bowman's%20Best%20JULIO%20RODRIGUEZ%20%2359%20Purple%20Refractor%20197%2F250%20Mariners&amp;_sacat=0&amp;LH_Sold=1&amp;LH_Complete=1&amp;_sop=13", "Completed")</f>
        <v/>
      </c>
      <c r="K1189" s="5" t="inlineStr">
        <is>
          <t>2025 Bowman's Best JULIO RODRIGUEZ #59 Purple Refractor 197/250 Mariners</t>
        </is>
      </c>
    </row>
    <row r="1190">
      <c r="A1190" s="2" t="inlineStr">
        <is>
          <t>jpm0k</t>
        </is>
      </c>
      <c r="B1190" s="2" t="inlineStr">
        <is>
          <t>JACKSON MERRILL 2024 Topps Allen &amp; Ginter #275 Chrome San Diego Padres</t>
        </is>
      </c>
      <c r="C1190" s="3" t="n">
        <v>2.99</v>
      </c>
      <c r="D1190" s="3" t="n">
        <v>2.49</v>
      </c>
      <c r="E1190" s="3" t="n">
        <v>-0.5</v>
      </c>
      <c r="F1190" s="4" t="n">
        <v>-16.7</v>
      </c>
      <c r="G1190" s="2" t="inlineStr">
        <is>
          <t>🔵 Floored $2.49 — free ship or $0.99 ship?</t>
        </is>
      </c>
      <c r="H1190" s="2" t="inlineStr">
        <is>
          <t>75%</t>
        </is>
      </c>
      <c r="I1190" s="2">
        <f>HYPERLINK("https://www.ebay.com/sch/261328/i.html?_dcat=261328&amp;_fsrp=1&amp;rt=nc&amp;_from=R40&amp;_nkw=JACKSON%20MERRILL%202024%20Topps%20Allen%20%26%20Ginter%20%23275%20Chrome%20San%20Diego%20Padres&amp;_sacat=0&amp;_sop=15&amp;rt=nc&amp;LH_BIN=1", "Active")</f>
        <v/>
      </c>
      <c r="J1190" s="2">
        <f>HYPERLINK("https://www.ebay.com/sch/261328/i.html?_from=R40&amp;_nkw=JACKSON%20MERRILL%202024%20Topps%20Allen%20%26%20Ginter%20%23275%20Chrome%20San%20Diego%20Padres&amp;_sacat=0&amp;LH_Sold=1&amp;LH_Complete=1&amp;_sop=13", "Completed")</f>
        <v/>
      </c>
      <c r="K1190" s="2" t="inlineStr">
        <is>
          <t>2024 Topps Allen &amp; Ginter - Jackson Merrill #275 (RC) Padres</t>
        </is>
      </c>
    </row>
    <row r="1191">
      <c r="A1191" s="8" t="inlineStr">
        <is>
          <t>BA-000188-r8m0i</t>
        </is>
      </c>
      <c r="B1191" s="8" t="inlineStr">
        <is>
          <t>2025 Bowman Chrome LUKE KEASCHALL #61 Minnesota Twins</t>
        </is>
      </c>
      <c r="C1191" s="9" t="n">
        <v>2.49</v>
      </c>
      <c r="D1191" s="9" t="n">
        <v>2.49</v>
      </c>
      <c r="E1191" s="9" t="n">
        <v>0</v>
      </c>
      <c r="F1191" s="10" t="n">
        <v>0</v>
      </c>
      <c r="G1191" s="8" t="inlineStr">
        <is>
          <t>— No Change</t>
        </is>
      </c>
      <c r="H1191" s="8" t="inlineStr">
        <is>
          <t>64%</t>
        </is>
      </c>
      <c r="I1191" s="8">
        <f>HYPERLINK("https://www.ebay.com/sch/261328/i.html?_dcat=261328&amp;_fsrp=1&amp;rt=nc&amp;_from=R40&amp;_nkw=2025%20Bowman%20Chrome%20LUKE%20KEASCHALL%20%2361%20Minnesota%20Twins&amp;_sacat=0&amp;_sop=15&amp;rt=nc&amp;LH_BIN=1", "Active")</f>
        <v/>
      </c>
      <c r="J1191" s="8">
        <f>HYPERLINK("https://www.ebay.com/sch/261328/i.html?_from=R40&amp;_nkw=2025%20Bowman%20Chrome%20LUKE%20KEASCHALL%20%2361%20Minnesota%20Twins&amp;_sacat=0&amp;LH_Sold=1&amp;LH_Complete=1&amp;_sop=13", "Completed")</f>
        <v/>
      </c>
      <c r="K1191" s="8" t="inlineStr">
        <is>
          <t>2025 Bowman Chrome Singles - You Pick! - No Minimums!</t>
        </is>
      </c>
    </row>
    <row r="1192">
      <c r="A1192" s="11" t="inlineStr">
        <is>
          <t>EBAY-0002-00004-78160</t>
        </is>
      </c>
      <c r="B1192" s="11" t="inlineStr">
        <is>
          <t>2025 Bowman Chrome NICK KURTZ #MV-11 Max Volume RC Athletics Rookie</t>
        </is>
      </c>
      <c r="C1192" s="12" t="n">
        <v>4.99</v>
      </c>
      <c r="D1192" s="12" t="n">
        <v>3.29</v>
      </c>
      <c r="E1192" s="12" t="n">
        <v>-1.7</v>
      </c>
      <c r="F1192" s="13" t="n">
        <v>-34.1</v>
      </c>
      <c r="G1192" s="11" t="inlineStr">
        <is>
          <t>⬇ Price Down</t>
        </is>
      </c>
      <c r="H1192" s="11" t="inlineStr">
        <is>
          <t>90%</t>
        </is>
      </c>
      <c r="I1192" s="11">
        <f>HYPERLINK("https://www.ebay.com/sch/261328/i.html?_dcat=261328&amp;_fsrp=1&amp;rt=nc&amp;_from=R40&amp;_nkw=2025%20Bowman%20Chrome%20NICK%20KURTZ%20%23MV-11%20Max%20Volume%20RC%20Athletics%20Rookie&amp;_sacat=0&amp;_sop=15&amp;rt=nc&amp;LH_BIN=1", "Active")</f>
        <v/>
      </c>
      <c r="J1192" s="11">
        <f>HYPERLINK("https://www.ebay.com/sch/261328/i.html?_from=R40&amp;_nkw=2025%20Bowman%20Chrome%20NICK%20KURTZ%20%23MV-11%20Max%20Volume%20RC%20Athletics%20Rookie&amp;_sacat=0&amp;LH_Sold=1&amp;LH_Complete=1&amp;_sop=13", "Completed")</f>
        <v/>
      </c>
      <c r="K1192" s="11" t="inlineStr">
        <is>
          <t>2025 Bowman Chrome Nick Kurtz Max Volume RC Rookie #MV-11 Athletics</t>
        </is>
      </c>
    </row>
    <row r="1193">
      <c r="A1193" s="8" t="inlineStr">
        <is>
          <t>EBAY-0002-00017-07483</t>
        </is>
      </c>
      <c r="B1193" s="8" t="inlineStr">
        <is>
          <t>2025 Bowman Draft NATE SNEAD #BDC-38 Chrome Refractor 1st Prospect Angels</t>
        </is>
      </c>
      <c r="C1193" s="9" t="n">
        <v>2.49</v>
      </c>
      <c r="D1193" s="9" t="n">
        <v>2.49</v>
      </c>
      <c r="E1193" s="9" t="n">
        <v>0</v>
      </c>
      <c r="F1193" s="10" t="n">
        <v>0</v>
      </c>
      <c r="G1193" s="8" t="inlineStr">
        <is>
          <t>— No Change</t>
        </is>
      </c>
      <c r="H1193" s="8" t="inlineStr">
        <is>
          <t>74%</t>
        </is>
      </c>
      <c r="I1193" s="8">
        <f>HYPERLINK("https://www.ebay.com/sch/261328/i.html?_dcat=261328&amp;_fsrp=1&amp;rt=nc&amp;_from=R40&amp;_nkw=2025%20Bowman%20Draft%20NATE%20SNEAD%20%23BDC-38%20Chrome%20Refractor%201st%20Prospect%20Angels&amp;_sacat=0&amp;_sop=15&amp;rt=nc&amp;LH_BIN=1", "Active")</f>
        <v/>
      </c>
      <c r="J1193" s="8">
        <f>HYPERLINK("https://www.ebay.com/sch/261328/i.html?_from=R40&amp;_nkw=2025%20Bowman%20Draft%20NATE%20SNEAD%20%23BDC-38%20Chrome%20Refractor%201st%20Prospect%20Angels&amp;_sacat=0&amp;LH_Sold=1&amp;LH_Complete=1&amp;_sop=13", "Completed")</f>
        <v/>
      </c>
      <c r="K1193" s="8" t="inlineStr">
        <is>
          <t>Topps 2025 Bowman Draft Nate Snead Mojo Refractor 1st Bowman BDC-38 Angels</t>
        </is>
      </c>
    </row>
    <row r="1194">
      <c r="A1194" s="5" t="inlineStr">
        <is>
          <t>EBAY-0002-00041-37909</t>
        </is>
      </c>
      <c r="B1194" s="5" t="inlineStr">
        <is>
          <t>2025 Topps COSMIC Chrome DYLAN CREWS #LIO-33 Launched Into Orbit RC Nationals</t>
        </is>
      </c>
      <c r="C1194" s="6" t="n">
        <v>6.69</v>
      </c>
      <c r="D1194" s="6" t="n">
        <v>7.49</v>
      </c>
      <c r="E1194" s="6" t="n">
        <v>0.8</v>
      </c>
      <c r="F1194" s="7" t="n">
        <v>12</v>
      </c>
      <c r="G1194" s="5" t="inlineStr">
        <is>
          <t>⬆ Price Up</t>
        </is>
      </c>
      <c r="H1194" s="5" t="inlineStr">
        <is>
          <t>100%</t>
        </is>
      </c>
      <c r="I1194" s="5">
        <f>HYPERLINK("https://www.ebay.com/sch/261328/i.html?_dcat=261328&amp;_fsrp=1&amp;rt=nc&amp;_from=R40&amp;_nkw=2025%20Topps%20COSMIC%20Chrome%20DYLAN%20CREWS%20%23LIO-33%20Launched%20Into%20Orbit%20RC%20Nationals&amp;_sacat=0&amp;_sop=15&amp;rt=nc&amp;LH_BIN=1", "Active")</f>
        <v/>
      </c>
      <c r="J1194" s="5">
        <f>HYPERLINK("https://www.ebay.com/sch/261328/i.html?_from=R40&amp;_nkw=2025%20Topps%20COSMIC%20Chrome%20DYLAN%20CREWS%20%23LIO-33%20Launched%20Into%20Orbit%20RC%20Nationals&amp;_sacat=0&amp;LH_Sold=1&amp;LH_Complete=1&amp;_sop=13", "Completed")</f>
        <v/>
      </c>
      <c r="K1194" s="5" t="inlineStr">
        <is>
          <t>2025 Topps COSMIC Chrome DYLAN CREWS #LIO-33 Launched Into Orbit RC Nationals</t>
        </is>
      </c>
    </row>
    <row r="1195">
      <c r="A1195" s="2" t="inlineStr">
        <is>
          <t>EBAY-0002-00029-56619</t>
        </is>
      </c>
      <c r="B1195" s="2" t="inlineStr">
        <is>
          <t>2025 Bowman Chrome MAX CLARK #MM-18 Melt Mashers Tigers</t>
        </is>
      </c>
      <c r="C1195" s="3" t="n">
        <v>3.99</v>
      </c>
      <c r="D1195" s="3" t="n">
        <v>2.49</v>
      </c>
      <c r="E1195" s="3" t="n">
        <v>-1.5</v>
      </c>
      <c r="F1195" s="4" t="n">
        <v>-37.6</v>
      </c>
      <c r="G1195" s="2" t="inlineStr">
        <is>
          <t>🔵 Floored $2.49 — free ship or $0.99 ship?</t>
        </is>
      </c>
      <c r="H1195" s="2" t="inlineStr">
        <is>
          <t>85%</t>
        </is>
      </c>
      <c r="I1195" s="2">
        <f>HYPERLINK("https://www.ebay.com/sch/261328/i.html?_dcat=261328&amp;_fsrp=1&amp;rt=nc&amp;_from=R40&amp;_nkw=2025%20Bowman%20Chrome%20MAX%20CLARK%20%23MM-18%20Melt%20Mashers%20Tigers&amp;_sacat=0&amp;_sop=15&amp;rt=nc&amp;LH_BIN=1", "Active")</f>
        <v/>
      </c>
      <c r="J1195" s="2">
        <f>HYPERLINK("https://www.ebay.com/sch/261328/i.html?_from=R40&amp;_nkw=2025%20Bowman%20Chrome%20MAX%20CLARK%20%23MM-18%20Melt%20Mashers%20Tigers&amp;_sacat=0&amp;LH_Sold=1&amp;LH_Complete=1&amp;_sop=13", "Completed")</f>
        <v/>
      </c>
      <c r="K1195" s="2" t="inlineStr">
        <is>
          <t>2025 Bowman Chrome Max Clark Melt Mashers Insert MM-18 - Detroit Tigers</t>
        </is>
      </c>
    </row>
    <row r="1196">
      <c r="A1196" s="5" t="inlineStr">
        <is>
          <t>EBAY-0002-00015-52200</t>
        </is>
      </c>
      <c r="B1196" s="5" t="inlineStr">
        <is>
          <t>2025 Bowman Draft BRYCE CUNNINGHAM #BDC-155 Chrome Refractor Yankees Basketball</t>
        </is>
      </c>
      <c r="C1196" s="6" t="n">
        <v>2.99</v>
      </c>
      <c r="D1196" s="6" t="n">
        <v>3.89</v>
      </c>
      <c r="E1196" s="6" t="n">
        <v>0.9</v>
      </c>
      <c r="F1196" s="7" t="n">
        <v>30.1</v>
      </c>
      <c r="G1196" s="5" t="inlineStr">
        <is>
          <t>⬆ Price Up</t>
        </is>
      </c>
      <c r="H1196" s="5" t="inlineStr">
        <is>
          <t>100%</t>
        </is>
      </c>
      <c r="I1196" s="5">
        <f>HYPERLINK("https://www.ebay.com/sch/261328/i.html?_dcat=261328&amp;_fsrp=1&amp;rt=nc&amp;_from=R40&amp;_nkw=2025%20Bowman%20Draft%20BRYCE%20CUNNINGHAM%20%23BDC-155%20Chrome%20Refractor%20Yankees%20Basketball&amp;_sacat=0&amp;_sop=15&amp;rt=nc&amp;LH_BIN=1", "Active")</f>
        <v/>
      </c>
      <c r="J1196" s="5">
        <f>HYPERLINK("https://www.ebay.com/sch/261328/i.html?_from=R40&amp;_nkw=2025%20Bowman%20Draft%20BRYCE%20CUNNINGHAM%20%23BDC-155%20Chrome%20Refractor%20Yankees%20Basketball&amp;_sacat=0&amp;LH_Sold=1&amp;LH_Complete=1&amp;_sop=13", "Completed")</f>
        <v/>
      </c>
      <c r="K1196" s="5" t="inlineStr">
        <is>
          <t>2025 Bowman Draft BRYCE CUNNINGHAM #BDC-155 Chrome Refractor Yankees Basketball</t>
        </is>
      </c>
    </row>
    <row r="1197">
      <c r="A1197" s="2" t="inlineStr">
        <is>
          <t>EBAY-0002-00024-42318</t>
        </is>
      </c>
      <c r="B1197" s="2" t="inlineStr">
        <is>
          <t>2025 Bowman's Best PAUL SKENES #40 Refractor Pirates</t>
        </is>
      </c>
      <c r="C1197" s="3" t="n">
        <v>4.99</v>
      </c>
      <c r="D1197" s="3" t="n">
        <v>2.49</v>
      </c>
      <c r="E1197" s="3" t="n">
        <v>-2.5</v>
      </c>
      <c r="F1197" s="4" t="n">
        <v>-50.1</v>
      </c>
      <c r="G1197" s="2" t="inlineStr">
        <is>
          <t>🔵 Floored $2.49 — free ship or $0.99 ship?</t>
        </is>
      </c>
      <c r="H1197" s="2" t="inlineStr">
        <is>
          <t>68%</t>
        </is>
      </c>
      <c r="I1197" s="2">
        <f>HYPERLINK("https://www.ebay.com/sch/261328/i.html?_dcat=261328&amp;_fsrp=1&amp;rt=nc&amp;_from=R40&amp;_nkw=2025%20Bowman's%20Best%20PAUL%20SKENES%20%2340%20Refractor%20Pirates&amp;_sacat=0&amp;_sop=15&amp;rt=nc&amp;LH_BIN=1", "Active")</f>
        <v/>
      </c>
      <c r="J1197" s="2">
        <f>HYPERLINK("https://www.ebay.com/sch/261328/i.html?_from=R40&amp;_nkw=2025%20Bowman's%20Best%20PAUL%20SKENES%20%2340%20Refractor%20Pirates&amp;_sacat=0&amp;LH_Sold=1&amp;LH_Complete=1&amp;_sop=13", "Completed")</f>
        <v/>
      </c>
      <c r="K1197" s="2" t="inlineStr">
        <is>
          <t>2025 Bowman Best Baseball - Base, Refractors, Inserts - Pick From List</t>
        </is>
      </c>
    </row>
    <row r="1198">
      <c r="A1198" s="11" t="inlineStr">
        <is>
          <t>EBAY-0002-00018-82396</t>
        </is>
      </c>
      <c r="B1198" s="11" t="inlineStr">
        <is>
          <t>2025 Bowman Draft JAMIE ARNOLD #BDC-30 Chrome Refractor 1st Prospect Athletics</t>
        </is>
      </c>
      <c r="C1198" s="12" t="n">
        <v>5.99</v>
      </c>
      <c r="D1198" s="12" t="n">
        <v>3.29</v>
      </c>
      <c r="E1198" s="12" t="n">
        <v>-2.7</v>
      </c>
      <c r="F1198" s="13" t="n">
        <v>-45.1</v>
      </c>
      <c r="G1198" s="11" t="inlineStr">
        <is>
          <t>⬇ Price Down</t>
        </is>
      </c>
      <c r="H1198" s="11" t="inlineStr">
        <is>
          <t>90%</t>
        </is>
      </c>
      <c r="I1198" s="11">
        <f>HYPERLINK("https://www.ebay.com/sch/261328/i.html?_dcat=261328&amp;_fsrp=1&amp;rt=nc&amp;_from=R40&amp;_nkw=2025%20Bowman%20Draft%20JAMIE%20ARNOLD%20%23BDC-30%20Chrome%20Refractor%201st%20Prospect%20Athletics&amp;_sacat=0&amp;_sop=15&amp;rt=nc&amp;LH_BIN=1", "Active")</f>
        <v/>
      </c>
      <c r="J1198" s="11">
        <f>HYPERLINK("https://www.ebay.com/sch/261328/i.html?_from=R40&amp;_nkw=2025%20Bowman%20Draft%20JAMIE%20ARNOLD%20%23BDC-30%20Chrome%20Refractor%201st%20Prospect%20Athletics&amp;_sacat=0&amp;LH_Sold=1&amp;LH_Complete=1&amp;_sop=13", "Completed")</f>
        <v/>
      </c>
      <c r="K1198" s="11" t="inlineStr">
        <is>
          <t>2025 Bowman Draft Jamie Arnold Chrome Refractor 1st Prospect #BDC-30 Athletics</t>
        </is>
      </c>
    </row>
    <row r="1199">
      <c r="A1199" s="5" t="inlineStr">
        <is>
          <t>EBAY-0002-00027-36223</t>
        </is>
      </c>
      <c r="B1199" s="5" t="inlineStr">
        <is>
          <t>2025 Bowman's Best MAX CLARK #FG-16 MLB All-Star Futures Game AL</t>
        </is>
      </c>
      <c r="C1199" s="6" t="n">
        <v>1.99</v>
      </c>
      <c r="D1199" s="6" t="n">
        <v>2.89</v>
      </c>
      <c r="E1199" s="6" t="n">
        <v>0.9</v>
      </c>
      <c r="F1199" s="7" t="n">
        <v>45.2</v>
      </c>
      <c r="G1199" s="5" t="inlineStr">
        <is>
          <t>⬆ Price Up</t>
        </is>
      </c>
      <c r="H1199" s="5" t="inlineStr">
        <is>
          <t>100%</t>
        </is>
      </c>
      <c r="I1199" s="5">
        <f>HYPERLINK("https://www.ebay.com/sch/261328/i.html?_dcat=261328&amp;_fsrp=1&amp;rt=nc&amp;_from=R40&amp;_nkw=2025%20Bowman's%20Best%20MAX%20CLARK%20%23FG-16%20MLB%20All-Star%20Futures%20Game%20AL&amp;_sacat=0&amp;_sop=15&amp;rt=nc&amp;LH_BIN=1", "Active")</f>
        <v/>
      </c>
      <c r="J1199" s="5">
        <f>HYPERLINK("https://www.ebay.com/sch/261328/i.html?_from=R40&amp;_nkw=2025%20Bowman's%20Best%20MAX%20CLARK%20%23FG-16%20MLB%20All-Star%20Futures%20Game%20AL&amp;_sacat=0&amp;LH_Sold=1&amp;LH_Complete=1&amp;_sop=13", "Completed")</f>
        <v/>
      </c>
      <c r="K1199" s="5" t="inlineStr">
        <is>
          <t>2025 Bowman's Best MAX CLARK #FG-16 MLB All-Star Futures Game AL</t>
        </is>
      </c>
    </row>
    <row r="1200">
      <c r="A1200" s="11" t="inlineStr">
        <is>
          <t>EBAY-0002-00020-75164</t>
        </is>
      </c>
      <c r="B1200" s="11" t="inlineStr">
        <is>
          <t>2025 Bowman Draft JESUS MADE #BIA-5 In Action Brewers</t>
        </is>
      </c>
      <c r="C1200" s="12" t="n">
        <v>5.99</v>
      </c>
      <c r="D1200" s="12" t="n">
        <v>4.19</v>
      </c>
      <c r="E1200" s="12" t="n">
        <v>-1.8</v>
      </c>
      <c r="F1200" s="13" t="n">
        <v>-30.1</v>
      </c>
      <c r="G1200" s="11" t="inlineStr">
        <is>
          <t>⬇ Price Down</t>
        </is>
      </c>
      <c r="H1200" s="11" t="inlineStr">
        <is>
          <t>88%</t>
        </is>
      </c>
      <c r="I1200" s="11">
        <f>HYPERLINK("https://www.ebay.com/sch/261328/i.html?_dcat=261328&amp;_fsrp=1&amp;rt=nc&amp;_from=R40&amp;_nkw=2025%20Bowman%20Draft%20JESUS%20MADE%20%23BIA-5%20In%20Action%20Brewers&amp;_sacat=0&amp;_sop=15&amp;rt=nc&amp;LH_BIN=1", "Active")</f>
        <v/>
      </c>
      <c r="J1200" s="11">
        <f>HYPERLINK("https://www.ebay.com/sch/261328/i.html?_from=R40&amp;_nkw=2025%20Bowman%20Draft%20JESUS%20MADE%20%23BIA-5%20In%20Action%20Brewers&amp;_sacat=0&amp;LH_Sold=1&amp;LH_Complete=1&amp;_sop=13", "Completed")</f>
        <v/>
      </c>
      <c r="K1200" s="11" t="inlineStr">
        <is>
          <t>2025 Bowman Draft Jesus Made In Action #BIA-5 Brewers A126</t>
        </is>
      </c>
    </row>
    <row r="1201">
      <c r="A1201" s="2" t="inlineStr">
        <is>
          <t>EBAY-0002-00002-84383</t>
        </is>
      </c>
      <c r="B1201" s="2" t="inlineStr">
        <is>
          <t>2025 Bowman Draft JT QUINN #BDC-85 Chrome Refractor 1st Prospect Orioles</t>
        </is>
      </c>
      <c r="C1201" s="3" t="n">
        <v>3.49</v>
      </c>
      <c r="D1201" s="3" t="n">
        <v>2.49</v>
      </c>
      <c r="E1201" s="3" t="n">
        <v>-1</v>
      </c>
      <c r="F1201" s="4" t="n">
        <v>-28.7</v>
      </c>
      <c r="G1201" s="2" t="inlineStr">
        <is>
          <t>🔵 Floored $2.49 — free ship or $0.99 ship?</t>
        </is>
      </c>
      <c r="H1201" s="2" t="inlineStr">
        <is>
          <t>86%</t>
        </is>
      </c>
      <c r="I1201" s="2">
        <f>HYPERLINK("https://www.ebay.com/sch/261328/i.html?_dcat=261328&amp;_fsrp=1&amp;rt=nc&amp;_from=R40&amp;_nkw=2025%20Bowman%20Draft%20JT%20QUINN%20%23BDC-85%20Chrome%20Refractor%201st%20Prospect%20Orioles&amp;_sacat=0&amp;_sop=15&amp;rt=nc&amp;LH_BIN=1", "Active")</f>
        <v/>
      </c>
      <c r="J1201" s="2">
        <f>HYPERLINK("https://www.ebay.com/sch/261328/i.html?_from=R40&amp;_nkw=2025%20Bowman%20Draft%20JT%20QUINN%20%23BDC-85%20Chrome%20Refractor%201st%20Prospect%20Orioles&amp;_sacat=0&amp;LH_Sold=1&amp;LH_Complete=1&amp;_sop=13", "Completed")</f>
        <v/>
      </c>
      <c r="K1201" s="2" t="inlineStr">
        <is>
          <t>2025 Bowman Draft Chrome JT Quinn #BDC-85 Refractor 1st Bowman Baltimore Orioles</t>
        </is>
      </c>
    </row>
    <row r="1202">
      <c r="A1202" s="5" t="inlineStr">
        <is>
          <t>EBAY-0002-00008-94704</t>
        </is>
      </c>
      <c r="B1202" s="5" t="inlineStr">
        <is>
          <t>2025 Bowman's Best NICK KURTZ #BS-2 Showpieces RC Athletics Rookie</t>
        </is>
      </c>
      <c r="C1202" s="6" t="n">
        <v>6.59</v>
      </c>
      <c r="D1202" s="6" t="n">
        <v>7.39</v>
      </c>
      <c r="E1202" s="6" t="n">
        <v>0.8</v>
      </c>
      <c r="F1202" s="7" t="n">
        <v>12.1</v>
      </c>
      <c r="G1202" s="5" t="inlineStr">
        <is>
          <t>⬆ Price Up</t>
        </is>
      </c>
      <c r="H1202" s="5" t="inlineStr">
        <is>
          <t>100%</t>
        </is>
      </c>
      <c r="I1202" s="5">
        <f>HYPERLINK("https://www.ebay.com/sch/261328/i.html?_dcat=261328&amp;_fsrp=1&amp;rt=nc&amp;_from=R40&amp;_nkw=2025%20Bowman's%20Best%20NICK%20KURTZ%20%23BS-2%20Showpieces%20RC%20Athletics%20Rookie&amp;_sacat=0&amp;_sop=15&amp;rt=nc&amp;LH_BIN=1", "Active")</f>
        <v/>
      </c>
      <c r="J1202" s="5">
        <f>HYPERLINK("https://www.ebay.com/sch/261328/i.html?_from=R40&amp;_nkw=2025%20Bowman's%20Best%20NICK%20KURTZ%20%23BS-2%20Showpieces%20RC%20Athletics%20Rookie&amp;_sacat=0&amp;LH_Sold=1&amp;LH_Complete=1&amp;_sop=13", "Completed")</f>
        <v/>
      </c>
      <c r="K1202" s="5" t="inlineStr">
        <is>
          <t>2025 Bowman's Best NICK KURTZ #BS-2 Showpieces RC Athletics Rookie</t>
        </is>
      </c>
    </row>
    <row r="1203">
      <c r="A1203" s="2" t="inlineStr">
        <is>
          <t>EBAY-0002-00034-04084</t>
        </is>
      </c>
      <c r="B1203" s="2" t="inlineStr">
        <is>
          <t>2025 Bowman Chrome CAM SMITH #77 Red RC Variation Astros Rookie</t>
        </is>
      </c>
      <c r="C1203" s="3" t="n">
        <v>2.99</v>
      </c>
      <c r="D1203" s="3" t="n">
        <v>2.49</v>
      </c>
      <c r="E1203" s="3" t="n">
        <v>-0.5</v>
      </c>
      <c r="F1203" s="4" t="n">
        <v>-16.7</v>
      </c>
      <c r="G1203" s="2" t="inlineStr">
        <is>
          <t>🔵 Floored $2.49 — free ship or $0.99 ship?</t>
        </is>
      </c>
      <c r="H1203" s="2" t="inlineStr">
        <is>
          <t>69%</t>
        </is>
      </c>
      <c r="I1203" s="2">
        <f>HYPERLINK("https://www.ebay.com/sch/261328/i.html?_dcat=261328&amp;_fsrp=1&amp;rt=nc&amp;_from=R40&amp;_nkw=2025%20Bowman%20Chrome%20CAM%20SMITH%20%2377%20Red%20RC%20Variation%20Astros%20Rookie&amp;_sacat=0&amp;_sop=15&amp;rt=nc&amp;LH_BIN=1", "Active")</f>
        <v/>
      </c>
      <c r="J1203" s="2">
        <f>HYPERLINK("https://www.ebay.com/sch/261328/i.html?_from=R40&amp;_nkw=2025%20Bowman%20Chrome%20CAM%20SMITH%20%2377%20Red%20RC%20Variation%20Astros%20Rookie&amp;_sacat=0&amp;LH_Sold=1&amp;LH_Complete=1&amp;_sop=13", "Completed")</f>
        <v/>
      </c>
      <c r="K1203" s="2" t="inlineStr">
        <is>
          <t>2025 Bowman Chrome BASE with RED Rookie Variations You Pick - 2 Card Minimum</t>
        </is>
      </c>
    </row>
    <row r="1204">
      <c r="A1204" s="2" t="inlineStr">
        <is>
          <t>EBAY-0002-00011-04199</t>
        </is>
      </c>
      <c r="B1204" s="2" t="inlineStr">
        <is>
          <t>2025 Bowman Draft MASON MORRIS #BDC-66 Chrome Refractor 1st Prospect Reds</t>
        </is>
      </c>
      <c r="C1204" s="3" t="n">
        <v>3.49</v>
      </c>
      <c r="D1204" s="3" t="n">
        <v>2.49</v>
      </c>
      <c r="E1204" s="3" t="n">
        <v>-1</v>
      </c>
      <c r="F1204" s="4" t="n">
        <v>-28.7</v>
      </c>
      <c r="G1204" s="2" t="inlineStr">
        <is>
          <t>🔵 Floored $2.49 — free ship or $0.99 ship?</t>
        </is>
      </c>
      <c r="H1204" s="2" t="inlineStr">
        <is>
          <t>90%</t>
        </is>
      </c>
      <c r="I1204" s="2">
        <f>HYPERLINK("https://www.ebay.com/sch/261328/i.html?_dcat=261328&amp;_fsrp=1&amp;rt=nc&amp;_from=R40&amp;_nkw=2025%20Bowman%20Draft%20MASON%20MORRIS%20%23BDC-66%20Chrome%20Refractor%201st%20Prospect%20Reds&amp;_sacat=0&amp;_sop=15&amp;rt=nc&amp;LH_BIN=1", "Active")</f>
        <v/>
      </c>
      <c r="J1204" s="2">
        <f>HYPERLINK("https://www.ebay.com/sch/261328/i.html?_from=R40&amp;_nkw=2025%20Bowman%20Draft%20MASON%20MORRIS%20%23BDC-66%20Chrome%20Refractor%201st%20Prospect%20Reds&amp;_sacat=0&amp;LH_Sold=1&amp;LH_Complete=1&amp;_sop=13", "Completed")</f>
        <v/>
      </c>
      <c r="K1204" s="2" t="inlineStr">
        <is>
          <t>2025 Bowman Draft MASON MORRIS 1st Chrome Refractor Prospect #BDC-66 Reds</t>
        </is>
      </c>
    </row>
    <row r="1205">
      <c r="A1205" s="11" t="inlineStr">
        <is>
          <t>EBAY-0002-00014-07440</t>
        </is>
      </c>
      <c r="B1205" s="11" t="inlineStr">
        <is>
          <t>2025 Bowman Chrome ROMAN ANTHONY #BCP-167 Prospects Mini Diamond Refractor</t>
        </is>
      </c>
      <c r="C1205" s="12" t="n">
        <v>12.59</v>
      </c>
      <c r="D1205" s="12" t="n">
        <v>10.99</v>
      </c>
      <c r="E1205" s="12" t="n">
        <v>-1.6</v>
      </c>
      <c r="F1205" s="13" t="n">
        <v>-12.7</v>
      </c>
      <c r="G1205" s="11" t="inlineStr">
        <is>
          <t>⬇ Price Down</t>
        </is>
      </c>
      <c r="H1205" s="11" t="inlineStr">
        <is>
          <t>89%</t>
        </is>
      </c>
      <c r="I1205" s="11">
        <f>HYPERLINK("https://www.ebay.com/sch/261328/i.html?_dcat=261328&amp;_fsrp=1&amp;rt=nc&amp;_from=R40&amp;_nkw=2025%20Bowman%20Chrome%20ROMAN%20ANTHONY%20%23BCP-167%20Prospects%20Mini%20Diamond%20Refractor&amp;_sacat=0&amp;_sop=15&amp;rt=nc&amp;LH_BIN=1", "Active")</f>
        <v/>
      </c>
      <c r="J1205" s="11">
        <f>HYPERLINK("https://www.ebay.com/sch/261328/i.html?_from=R40&amp;_nkw=2025%20Bowman%20Chrome%20ROMAN%20ANTHONY%20%23BCP-167%20Prospects%20Mini%20Diamond%20Refractor&amp;_sacat=0&amp;LH_Sold=1&amp;LH_Complete=1&amp;_sop=13", "Completed")</f>
        <v/>
      </c>
      <c r="K1205" s="11" t="inlineStr">
        <is>
          <t>2025 Bowman Chrome - Prospects Roman Anthony #BCP-167 Mini-Diamond Refractor...</t>
        </is>
      </c>
    </row>
    <row r="1206">
      <c r="A1206" s="8" t="inlineStr">
        <is>
          <t>EBAY-0002-00035-94645</t>
        </is>
      </c>
      <c r="B1206" s="8" t="inlineStr">
        <is>
          <t>2025 Bowman Chrome ANDREW SALAS #MM-17 Melt Mashers Marlins</t>
        </is>
      </c>
      <c r="C1206" s="9" t="n">
        <v>2.49</v>
      </c>
      <c r="D1206" s="9" t="n">
        <v>2.49</v>
      </c>
      <c r="E1206" s="9" t="n">
        <v>0</v>
      </c>
      <c r="F1206" s="10" t="n">
        <v>0</v>
      </c>
      <c r="G1206" s="8" t="inlineStr">
        <is>
          <t>— No Change</t>
        </is>
      </c>
      <c r="H1206" s="8" t="inlineStr">
        <is>
          <t>69%</t>
        </is>
      </c>
      <c r="I1206" s="8">
        <f>HYPERLINK("https://www.ebay.com/sch/261328/i.html?_dcat=261328&amp;_fsrp=1&amp;rt=nc&amp;_from=R40&amp;_nkw=2025%20Bowman%20Chrome%20ANDREW%20SALAS%20%23MM-17%20Melt%20Mashers%20Marlins&amp;_sacat=0&amp;_sop=15&amp;rt=nc&amp;LH_BIN=1", "Active")</f>
        <v/>
      </c>
      <c r="J1206" s="8">
        <f>HYPERLINK("https://www.ebay.com/sch/261328/i.html?_from=R40&amp;_nkw=2025%20Bowman%20Chrome%20ANDREW%20SALAS%20%23MM-17%20Melt%20Mashers%20Marlins&amp;_sacat=0&amp;LH_Sold=1&amp;LH_Complete=1&amp;_sop=13", "Completed")</f>
        <v/>
      </c>
      <c r="K1206" s="8" t="inlineStr">
        <is>
          <t>Andrew Salas Melt Mashers Refractor Rookie 2025 Bowman Chrome Card MM-17 Marlins</t>
        </is>
      </c>
    </row>
    <row r="1207">
      <c r="A1207" s="11" t="inlineStr">
        <is>
          <t>EBAY-0002-00007-38513</t>
        </is>
      </c>
      <c r="B1207" s="11" t="inlineStr">
        <is>
          <t>2025 Bowman Chrome JACOB WILSON #MM-7 Melt Mashers RC Athletics Rookie</t>
        </is>
      </c>
      <c r="C1207" s="12" t="n">
        <v>3.99</v>
      </c>
      <c r="D1207" s="12" t="n">
        <v>2.79</v>
      </c>
      <c r="E1207" s="12" t="n">
        <v>-1.2</v>
      </c>
      <c r="F1207" s="13" t="n">
        <v>-30.1</v>
      </c>
      <c r="G1207" s="11" t="inlineStr">
        <is>
          <t>⬇ Price Down</t>
        </is>
      </c>
      <c r="H1207" s="11" t="inlineStr">
        <is>
          <t>79%</t>
        </is>
      </c>
      <c r="I1207" s="11">
        <f>HYPERLINK("https://www.ebay.com/sch/261328/i.html?_dcat=261328&amp;_fsrp=1&amp;rt=nc&amp;_from=R40&amp;_nkw=2025%20Bowman%20Chrome%20JACOB%20WILSON%20%23MM-7%20Melt%20Mashers%20RC%20Athletics%20Rookie&amp;_sacat=0&amp;_sop=15&amp;rt=nc&amp;LH_BIN=1", "Active")</f>
        <v/>
      </c>
      <c r="J1207" s="11">
        <f>HYPERLINK("https://www.ebay.com/sch/261328/i.html?_from=R40&amp;_nkw=2025%20Bowman%20Chrome%20JACOB%20WILSON%20%23MM-7%20Melt%20Mashers%20RC%20Athletics%20Rookie&amp;_sacat=0&amp;LH_Sold=1&amp;LH_Complete=1&amp;_sop=13", "Completed")</f>
        <v/>
      </c>
      <c r="K1207" s="11" t="inlineStr">
        <is>
          <t>Jacob Wilson 2025 Bowman Chrome Melt Mashers #MM-7 RC Las Vegas Athletics Rookie</t>
        </is>
      </c>
    </row>
    <row r="1208">
      <c r="A1208" s="2" t="inlineStr">
        <is>
          <t>EBAY-0002-00012-07962</t>
        </is>
      </c>
      <c r="B1208" s="2" t="inlineStr">
        <is>
          <t>2025 Bowman Draft CALEB BONEMER #BDC-184 Chrome Refractor White Sox</t>
        </is>
      </c>
      <c r="C1208" s="3" t="n">
        <v>3.99</v>
      </c>
      <c r="D1208" s="3" t="n">
        <v>2.49</v>
      </c>
      <c r="E1208" s="3" t="n">
        <v>-1.5</v>
      </c>
      <c r="F1208" s="4" t="n">
        <v>-37.6</v>
      </c>
      <c r="G1208" s="2" t="inlineStr">
        <is>
          <t>🔵 Floored $2.49 — free ship or $0.99 ship?</t>
        </is>
      </c>
      <c r="H1208" s="2" t="inlineStr">
        <is>
          <t>88%</t>
        </is>
      </c>
      <c r="I1208" s="2">
        <f>HYPERLINK("https://www.ebay.com/sch/261328/i.html?_dcat=261328&amp;_fsrp=1&amp;rt=nc&amp;_from=R40&amp;_nkw=2025%20Bowman%20Draft%20CALEB%20BONEMER%20%23BDC-184%20Chrome%20Refractor%20White%20Sox&amp;_sacat=0&amp;_sop=15&amp;rt=nc&amp;LH_BIN=1", "Active")</f>
        <v/>
      </c>
      <c r="J1208" s="2">
        <f>HYPERLINK("https://www.ebay.com/sch/261328/i.html?_from=R40&amp;_nkw=2025%20Bowman%20Draft%20CALEB%20BONEMER%20%23BDC-184%20Chrome%20Refractor%20White%20Sox&amp;_sacat=0&amp;LH_Sold=1&amp;LH_Complete=1&amp;_sop=13", "Completed")</f>
        <v/>
      </c>
      <c r="K1208" s="2" t="inlineStr">
        <is>
          <t>2025 Bowman Draft Chrome Refractor Caleb Bonemer #BDC-184 Chicago White Sox</t>
        </is>
      </c>
    </row>
    <row r="1209">
      <c r="A1209" s="5" t="inlineStr">
        <is>
          <t>EBAY-0002-00025-25331</t>
        </is>
      </c>
      <c r="B1209" s="5" t="inlineStr">
        <is>
          <t>2025 Bowman Draft JACOB MORRISON #BDC-42 Chrome Refractor 1st Prospect Brewers</t>
        </is>
      </c>
      <c r="C1209" s="6" t="n">
        <v>2.49</v>
      </c>
      <c r="D1209" s="6" t="n">
        <v>3.39</v>
      </c>
      <c r="E1209" s="6" t="n">
        <v>0.9</v>
      </c>
      <c r="F1209" s="7" t="n">
        <v>36.1</v>
      </c>
      <c r="G1209" s="5" t="inlineStr">
        <is>
          <t>⬆ Price Up</t>
        </is>
      </c>
      <c r="H1209" s="5" t="inlineStr">
        <is>
          <t>100%</t>
        </is>
      </c>
      <c r="I1209" s="5">
        <f>HYPERLINK("https://www.ebay.com/sch/261328/i.html?_dcat=261328&amp;_fsrp=1&amp;rt=nc&amp;_from=R40&amp;_nkw=2025%20Bowman%20Draft%20JACOB%20MORRISON%20%23BDC-42%20Chrome%20Refractor%201st%20Prospect%20Brewers&amp;_sacat=0&amp;_sop=15&amp;rt=nc&amp;LH_BIN=1", "Active")</f>
        <v/>
      </c>
      <c r="J1209" s="5">
        <f>HYPERLINK("https://www.ebay.com/sch/261328/i.html?_from=R40&amp;_nkw=2025%20Bowman%20Draft%20JACOB%20MORRISON%20%23BDC-42%20Chrome%20Refractor%201st%20Prospect%20Brewers&amp;_sacat=0&amp;LH_Sold=1&amp;LH_Complete=1&amp;_sop=13", "Completed")</f>
        <v/>
      </c>
      <c r="K1209" s="5" t="inlineStr">
        <is>
          <t>2025 Bowman Draft JACOB MORRISON #BDC-42 Chrome Refractor 1st Prospect Brewers</t>
        </is>
      </c>
    </row>
    <row r="1210">
      <c r="A1210" s="11" t="inlineStr">
        <is>
          <t>EBAY-0002-00044-01080</t>
        </is>
      </c>
      <c r="B1210" s="11" t="inlineStr">
        <is>
          <t>2025 Bowman Draft SETH HERNANDEZ #BDN-5 Night Chrome Pirates</t>
        </is>
      </c>
      <c r="C1210" s="12" t="n">
        <v>4.99</v>
      </c>
      <c r="D1210" s="12" t="n">
        <v>3.69</v>
      </c>
      <c r="E1210" s="12" t="n">
        <v>-1.3</v>
      </c>
      <c r="F1210" s="13" t="n">
        <v>-26.1</v>
      </c>
      <c r="G1210" s="11" t="inlineStr">
        <is>
          <t>⬇ Price Down</t>
        </is>
      </c>
      <c r="H1210" s="11" t="inlineStr">
        <is>
          <t>88%</t>
        </is>
      </c>
      <c r="I1210" s="11">
        <f>HYPERLINK("https://www.ebay.com/sch/261328/i.html?_dcat=261328&amp;_fsrp=1&amp;rt=nc&amp;_from=R40&amp;_nkw=2025%20Bowman%20Draft%20SETH%20HERNANDEZ%20%23BDN-5%20Night%20Chrome%20Pirates&amp;_sacat=0&amp;_sop=15&amp;rt=nc&amp;LH_BIN=1", "Active")</f>
        <v/>
      </c>
      <c r="J1210" s="11">
        <f>HYPERLINK("https://www.ebay.com/sch/261328/i.html?_from=R40&amp;_nkw=2025%20Bowman%20Draft%20SETH%20HERNANDEZ%20%23BDN-5%20Night%20Chrome%20Pirates&amp;_sacat=0&amp;LH_Sold=1&amp;LH_Complete=1&amp;_sop=13", "Completed")</f>
        <v/>
      </c>
      <c r="K1210" s="11" t="inlineStr">
        <is>
          <t>2025 Bowman Chrome Draft Night BDN-5 Seth Hernandez Pirates</t>
        </is>
      </c>
    </row>
    <row r="1211">
      <c r="A1211" s="2" t="inlineStr">
        <is>
          <t>EBAY-0002-00023-08639</t>
        </is>
      </c>
      <c r="B1211" s="2" t="inlineStr">
        <is>
          <t>2025 Bowman Chrome NESTOR MIRANDA #BCP-217 Shimmer Refractor 1st Prospect Tigers</t>
        </is>
      </c>
      <c r="C1211" s="3" t="n">
        <v>2.99</v>
      </c>
      <c r="D1211" s="3" t="n">
        <v>2.49</v>
      </c>
      <c r="E1211" s="3" t="n">
        <v>-0.5</v>
      </c>
      <c r="F1211" s="4" t="n">
        <v>-16.7</v>
      </c>
      <c r="G1211" s="2" t="inlineStr">
        <is>
          <t>🔵 Floored $2.49 — free ship or $0.99 ship?</t>
        </is>
      </c>
      <c r="H1211" s="2" t="inlineStr">
        <is>
          <t>88%</t>
        </is>
      </c>
      <c r="I1211" s="2">
        <f>HYPERLINK("https://www.ebay.com/sch/261328/i.html?_dcat=261328&amp;_fsrp=1&amp;rt=nc&amp;_from=R40&amp;_nkw=2025%20Bowman%20Chrome%20NESTOR%20MIRANDA%20%23BCP-217%20Shimmer%20Refractor%201st%20Prospect%20Tigers&amp;_sacat=0&amp;_sop=15&amp;rt=nc&amp;LH_BIN=1", "Active")</f>
        <v/>
      </c>
      <c r="J1211" s="2">
        <f>HYPERLINK("https://www.ebay.com/sch/261328/i.html?_from=R40&amp;_nkw=2025%20Bowman%20Chrome%20NESTOR%20MIRANDA%20%23BCP-217%20Shimmer%20Refractor%201st%20Prospect%20Tigers&amp;_sacat=0&amp;LH_Sold=1&amp;LH_Complete=1&amp;_sop=13", "Completed")</f>
        <v/>
      </c>
      <c r="K1211" s="2" t="inlineStr">
        <is>
          <t>2025 Bowman Chrome Nestor Miranda Shimmer Refractor 1st Chrome Tigers BCP-217</t>
        </is>
      </c>
    </row>
    <row r="1212">
      <c r="A1212" s="2" t="inlineStr">
        <is>
          <t>RBBB5-0001-00048-62486</t>
        </is>
      </c>
      <c r="B1212" s="2" t="inlineStr">
        <is>
          <t>2025 Bowman Draft CADE OBERMUELLER #CPA-CO Chrome Auto Aqua Lava /199 Phillies</t>
        </is>
      </c>
      <c r="C1212" s="3" t="n">
        <v>34.19</v>
      </c>
      <c r="D1212" s="3" t="n">
        <v>2.49</v>
      </c>
      <c r="E1212" s="3" t="n">
        <v>-31.7</v>
      </c>
      <c r="F1212" s="4" t="n">
        <v>-92.7</v>
      </c>
      <c r="G1212" s="2" t="inlineStr">
        <is>
          <t>🔵 Floored $2.49 — free ship or $0.99 ship?</t>
        </is>
      </c>
      <c r="H1212" s="2" t="inlineStr"/>
      <c r="I1212" s="2">
        <f>HYPERLINK("https://www.ebay.com/sch/261328/i.html?_dcat=261328&amp;_fsrp=1&amp;rt=nc&amp;_from=R40&amp;_nkw=2025%20Bowman%20Draft%20CADE%20OBERMUELLER%20%23CPA-CO%20Chrome%20Auto%20Aqua%20Lava%20%2F199%20Phillies&amp;_sacat=0&amp;_sop=15&amp;rt=nc&amp;LH_BIN=1", "Active")</f>
        <v/>
      </c>
      <c r="J1212" s="2">
        <f>HYPERLINK("https://www.ebay.com/sch/261328/i.html?_from=R40&amp;_nkw=2025%20Bowman%20Draft%20CADE%20OBERMUELLER%20%23CPA-CO%20Chrome%20Auto%20Aqua%20Lava%20%2F199%20Phillies&amp;_sacat=0&amp;LH_Sold=1&amp;LH_Complete=1&amp;_sop=13", "Completed")</f>
        <v/>
      </c>
      <c r="K1212" s="2" t="inlineStr">
        <is>
          <t>No Close Result Found</t>
        </is>
      </c>
    </row>
    <row r="1213">
      <c r="A1213" s="2" t="inlineStr">
        <is>
          <t>RBBB5-0001-00079-01870</t>
        </is>
      </c>
      <c r="B1213" s="2" t="inlineStr">
        <is>
          <t>2025 Bowman Draft CAMERON NELSON #BDC-130 Chrome 1st Prospect Rockies</t>
        </is>
      </c>
      <c r="C1213" s="3" t="n">
        <v>2.99</v>
      </c>
      <c r="D1213" s="3" t="n">
        <v>2.49</v>
      </c>
      <c r="E1213" s="3" t="n">
        <v>-0.5</v>
      </c>
      <c r="F1213" s="4" t="n">
        <v>-16.7</v>
      </c>
      <c r="G1213" s="2" t="inlineStr">
        <is>
          <t>🔵 Floored $2.49 — free ship or $0.99 ship?</t>
        </is>
      </c>
      <c r="H1213" s="2" t="inlineStr">
        <is>
          <t>71%</t>
        </is>
      </c>
      <c r="I1213" s="2">
        <f>HYPERLINK("https://www.ebay.com/sch/261328/i.html?_dcat=261328&amp;_fsrp=1&amp;rt=nc&amp;_from=R40&amp;_nkw=2025%20Bowman%20Draft%20CAMERON%20NELSON%20%23BDC-130%20Chrome%201st%20Prospect%20Rockies&amp;_sacat=0&amp;_sop=15&amp;rt=nc&amp;LH_BIN=1", "Active")</f>
        <v/>
      </c>
      <c r="J1213" s="2">
        <f>HYPERLINK("https://www.ebay.com/sch/261328/i.html?_from=R40&amp;_nkw=2025%20Bowman%20Draft%20CAMERON%20NELSON%20%23BDC-130%20Chrome%201st%20Prospect%20Rockies&amp;_sacat=0&amp;LH_Sold=1&amp;LH_Complete=1&amp;_sop=13", "Completed")</f>
        <v/>
      </c>
      <c r="K1213" s="2" t="inlineStr">
        <is>
          <t>Cameron Nelson 1st Chrome Prospect Rookie RC 2025 Bowman Draft #BDC-130 Rockies</t>
        </is>
      </c>
    </row>
    <row r="1214">
      <c r="A1214" s="8" t="inlineStr">
        <is>
          <t>RBBB5-0001-00081-32391</t>
        </is>
      </c>
      <c r="B1214" s="8" t="inlineStr">
        <is>
          <t>2025 Bowman Draft JOSH HAMMOND #BDC-185 Chrome 1st Prospect Royals</t>
        </is>
      </c>
      <c r="C1214" s="9" t="n">
        <v>2.49</v>
      </c>
      <c r="D1214" s="9" t="n">
        <v>2.49</v>
      </c>
      <c r="E1214" s="9" t="n">
        <v>0</v>
      </c>
      <c r="F1214" s="10" t="n">
        <v>0</v>
      </c>
      <c r="G1214" s="8" t="inlineStr">
        <is>
          <t>— No Change</t>
        </is>
      </c>
      <c r="H1214" s="8" t="inlineStr">
        <is>
          <t>63%</t>
        </is>
      </c>
      <c r="I1214" s="8">
        <f>HYPERLINK("https://www.ebay.com/sch/261328/i.html?_dcat=261328&amp;_fsrp=1&amp;rt=nc&amp;_from=R40&amp;_nkw=2025%20Bowman%20Draft%20JOSH%20HAMMOND%20%23BDC-185%20Chrome%201st%20Prospect%20Royals&amp;_sacat=0&amp;_sop=15&amp;rt=nc&amp;LH_BIN=1", "Active")</f>
        <v/>
      </c>
      <c r="J1214" s="8">
        <f>HYPERLINK("https://www.ebay.com/sch/261328/i.html?_from=R40&amp;_nkw=2025%20Bowman%20Draft%20JOSH%20HAMMOND%20%23BDC-185%20Chrome%201st%20Prospect%20Royals&amp;_sacat=0&amp;LH_Sold=1&amp;LH_Complete=1&amp;_sop=13", "Completed")</f>
        <v/>
      </c>
      <c r="K1214" s="8" t="inlineStr">
        <is>
          <t>🔥2025 Bowman Draft Chrome Prospects - U Pick - Free Ship - Buy More &amp; Save!🔥</t>
        </is>
      </c>
    </row>
    <row r="1215">
      <c r="A1215" s="5" t="inlineStr">
        <is>
          <t>RBBB5-0001-00063-63794</t>
        </is>
      </c>
      <c r="B1215" s="5" t="inlineStr">
        <is>
          <t>2025 Topps Chrome DILLON GABRIEL #317 Rookie RayWave Ref RC Browns Football</t>
        </is>
      </c>
      <c r="C1215" s="6" t="n">
        <v>3.49</v>
      </c>
      <c r="D1215" s="6" t="n">
        <v>4.39</v>
      </c>
      <c r="E1215" s="6" t="n">
        <v>0.9</v>
      </c>
      <c r="F1215" s="7" t="n">
        <v>25.8</v>
      </c>
      <c r="G1215" s="5" t="inlineStr">
        <is>
          <t>⬆ Price Up</t>
        </is>
      </c>
      <c r="H1215" s="5" t="inlineStr">
        <is>
          <t>100%</t>
        </is>
      </c>
      <c r="I1215" s="5">
        <f>HYPERLINK("https://www.ebay.com/sch/261328/i.html?_dcat=261328&amp;_fsrp=1&amp;rt=nc&amp;_from=R40&amp;_nkw=2025%20Topps%20Chrome%20DILLON%20GABRIEL%20%23317%20Rookie%20RayWave%20Ref%20RC%20Browns%20Football&amp;_sacat=0&amp;_sop=15&amp;rt=nc&amp;LH_BIN=1", "Active")</f>
        <v/>
      </c>
      <c r="J1215" s="5">
        <f>HYPERLINK("https://www.ebay.com/sch/261328/i.html?_from=R40&amp;_nkw=2025%20Topps%20Chrome%20DILLON%20GABRIEL%20%23317%20Rookie%20RayWave%20Ref%20RC%20Browns%20Football&amp;_sacat=0&amp;LH_Sold=1&amp;LH_Complete=1&amp;_sop=13", "Completed")</f>
        <v/>
      </c>
      <c r="K1215" s="5" t="inlineStr">
        <is>
          <t>2025 Topps Chrome DILLON GABRIEL #317 Rookie RayWave Ref RC Browns Football</t>
        </is>
      </c>
    </row>
    <row r="1216">
      <c r="A1216" s="8" t="inlineStr">
        <is>
          <t>RBBB5-0001-00074-18201</t>
        </is>
      </c>
      <c r="B1216" s="8" t="inlineStr">
        <is>
          <t>2025 Bowman Draft JACOB MORRISON #BDC-42 Chrome 1st Prospect Brewers</t>
        </is>
      </c>
      <c r="C1216" s="9" t="n">
        <v>2.49</v>
      </c>
      <c r="D1216" s="9" t="n">
        <v>2.49</v>
      </c>
      <c r="E1216" s="9" t="n">
        <v>0</v>
      </c>
      <c r="F1216" s="10" t="n">
        <v>0</v>
      </c>
      <c r="G1216" s="8" t="inlineStr">
        <is>
          <t>— No Change</t>
        </is>
      </c>
      <c r="H1216" s="8" t="inlineStr">
        <is>
          <t>63%</t>
        </is>
      </c>
      <c r="I1216" s="8">
        <f>HYPERLINK("https://www.ebay.com/sch/261328/i.html?_dcat=261328&amp;_fsrp=1&amp;rt=nc&amp;_from=R40&amp;_nkw=2025%20Bowman%20Draft%20JACOB%20MORRISON%20%23BDC-42%20Chrome%201st%20Prospect%20Brewers&amp;_sacat=0&amp;_sop=15&amp;rt=nc&amp;LH_BIN=1", "Active")</f>
        <v/>
      </c>
      <c r="J1216" s="8">
        <f>HYPERLINK("https://www.ebay.com/sch/261328/i.html?_from=R40&amp;_nkw=2025%20Bowman%20Draft%20JACOB%20MORRISON%20%23BDC-42%20Chrome%201st%20Prospect%20Brewers&amp;_sacat=0&amp;LH_Sold=1&amp;LH_Complete=1&amp;_sop=13", "Completed")</f>
        <v/>
      </c>
      <c r="K1216" s="8" t="inlineStr">
        <is>
          <t>🔥2025 Bowman Draft Chrome Prospects - U Pick - Free Ship - Buy More &amp; Save!🔥</t>
        </is>
      </c>
    </row>
    <row r="1217">
      <c r="A1217" s="2" t="inlineStr">
        <is>
          <t>RBBB5-0001-00068-98158</t>
        </is>
      </c>
      <c r="B1217" s="2" t="inlineStr">
        <is>
          <t>2025 Topps Chrome CAM WARD #314 Rookie RC Titans Football</t>
        </is>
      </c>
      <c r="C1217" s="3" t="n">
        <v>3.99</v>
      </c>
      <c r="D1217" s="3" t="n">
        <v>2.49</v>
      </c>
      <c r="E1217" s="3" t="n">
        <v>-1.5</v>
      </c>
      <c r="F1217" s="4" t="n">
        <v>-37.6</v>
      </c>
      <c r="G1217" s="2" t="inlineStr">
        <is>
          <t>🔵 Floored $2.49 — free ship or $0.99 ship?</t>
        </is>
      </c>
      <c r="H1217" s="2" t="inlineStr">
        <is>
          <t>69%</t>
        </is>
      </c>
      <c r="I1217" s="2">
        <f>HYPERLINK("https://www.ebay.com/sch/261328/i.html?_dcat=261328&amp;_fsrp=1&amp;rt=nc&amp;_from=R40&amp;_nkw=2025%20Topps%20Chrome%20CAM%20WARD%20%23314%20Rookie%20RC%20Titans%20Football&amp;_sacat=0&amp;_sop=15&amp;rt=nc&amp;LH_BIN=1", "Active")</f>
        <v/>
      </c>
      <c r="J1217" s="2">
        <f>HYPERLINK("https://www.ebay.com/sch/261328/i.html?_from=R40&amp;_nkw=2025%20Topps%20Chrome%20CAM%20WARD%20%23314%20Rookie%20RC%20Titans%20Football&amp;_sacat=0&amp;LH_Sold=1&amp;LH_Complete=1&amp;_sop=13", "Completed")</f>
        <v/>
      </c>
      <c r="K1217" s="2" t="inlineStr">
        <is>
          <t>2025 Topps Chrome NFL Cam Ward True Base Rookie Tennessee Titans RC #314</t>
        </is>
      </c>
    </row>
    <row r="1218">
      <c r="A1218" s="2" t="inlineStr">
        <is>
          <t>RBBB5-0001-00054-03436</t>
        </is>
      </c>
      <c r="B1218" s="2" t="inlineStr">
        <is>
          <t>2025 Topps Chrome Update GAGE WORKMAN #USC21 Refractor RC Tigers Rookie</t>
        </is>
      </c>
      <c r="C1218" s="3" t="n">
        <v>2.99</v>
      </c>
      <c r="D1218" s="3" t="n">
        <v>2.49</v>
      </c>
      <c r="E1218" s="3" t="n">
        <v>-0.5</v>
      </c>
      <c r="F1218" s="4" t="n">
        <v>-16.7</v>
      </c>
      <c r="G1218" s="2" t="inlineStr">
        <is>
          <t>🔵 Floored $2.49 — free ship or $0.99 ship?</t>
        </is>
      </c>
      <c r="H1218" s="2" t="inlineStr">
        <is>
          <t>82%</t>
        </is>
      </c>
      <c r="I1218" s="2">
        <f>HYPERLINK("https://www.ebay.com/sch/261328/i.html?_dcat=261328&amp;_fsrp=1&amp;rt=nc&amp;_from=R40&amp;_nkw=2025%20Topps%20Chrome%20Update%20GAGE%20WORKMAN%20%23USC21%20Refractor%20RC%20Tigers%20Rookie&amp;_sacat=0&amp;_sop=15&amp;rt=nc&amp;LH_BIN=1", "Active")</f>
        <v/>
      </c>
      <c r="J1218" s="2">
        <f>HYPERLINK("https://www.ebay.com/sch/261328/i.html?_from=R40&amp;_nkw=2025%20Topps%20Chrome%20Update%20GAGE%20WORKMAN%20%23USC21%20Refractor%20RC%20Tigers%20Rookie&amp;_sacat=0&amp;LH_Sold=1&amp;LH_Complete=1&amp;_sop=13", "Completed")</f>
        <v/>
      </c>
      <c r="K1218" s="2" t="inlineStr">
        <is>
          <t>2025 Topps Chrome Update REFRACTORS You Pick - 2 Card Minimum</t>
        </is>
      </c>
    </row>
    <row r="1219">
      <c r="A1219" s="8" t="inlineStr">
        <is>
          <t>RBBB5-0001-00057-06225</t>
        </is>
      </c>
      <c r="B1219" s="8" t="inlineStr">
        <is>
          <t>2025 Topps Chrome Update ISAAC PAREDES #USC29 X-Fractor Astros</t>
        </is>
      </c>
      <c r="C1219" s="9" t="n">
        <v>2.49</v>
      </c>
      <c r="D1219" s="9" t="n">
        <v>2.49</v>
      </c>
      <c r="E1219" s="9" t="n">
        <v>0</v>
      </c>
      <c r="F1219" s="10" t="n">
        <v>0</v>
      </c>
      <c r="G1219" s="8" t="inlineStr">
        <is>
          <t>— No Change</t>
        </is>
      </c>
      <c r="H1219" s="8" t="inlineStr">
        <is>
          <t>82%</t>
        </is>
      </c>
      <c r="I1219" s="8">
        <f>HYPERLINK("https://www.ebay.com/sch/261328/i.html?_dcat=261328&amp;_fsrp=1&amp;rt=nc&amp;_from=R40&amp;_nkw=2025%20Topps%20Chrome%20Update%20ISAAC%20PAREDES%20%23USC29%20X-Fractor%20Astros&amp;_sacat=0&amp;_sop=15&amp;rt=nc&amp;LH_BIN=1", "Active")</f>
        <v/>
      </c>
      <c r="J1219" s="8">
        <f>HYPERLINK("https://www.ebay.com/sch/261328/i.html?_from=R40&amp;_nkw=2025%20Topps%20Chrome%20Update%20ISAAC%20PAREDES%20%23USC29%20X-Fractor%20Astros&amp;_sacat=0&amp;LH_Sold=1&amp;LH_Complete=1&amp;_sop=13", "Completed")</f>
        <v/>
      </c>
      <c r="K1219" s="8" t="inlineStr">
        <is>
          <t>2025 Topps Chrome Update X-FRACTOR REFRACTORS You Pick - 2 Card Minimum</t>
        </is>
      </c>
    </row>
    <row r="1220">
      <c r="A1220" s="5" t="inlineStr">
        <is>
          <t>RBBB5-0001-00064-25263</t>
        </is>
      </c>
      <c r="B1220" s="5" t="inlineStr">
        <is>
          <t>2025 Topps Chrome WILL REICHARD #203 Orange Geometric Refractor 6/25 Vikings</t>
        </is>
      </c>
      <c r="C1220" s="6" t="n">
        <v>63.99</v>
      </c>
      <c r="D1220" s="6" t="n">
        <v>70.79000000000001</v>
      </c>
      <c r="E1220" s="6" t="n">
        <v>6.8</v>
      </c>
      <c r="F1220" s="7" t="n">
        <v>10.6</v>
      </c>
      <c r="G1220" s="5" t="inlineStr">
        <is>
          <t>⬆ Price Up</t>
        </is>
      </c>
      <c r="H1220" s="5" t="inlineStr">
        <is>
          <t>100%</t>
        </is>
      </c>
      <c r="I1220" s="5">
        <f>HYPERLINK("https://www.ebay.com/sch/261328/i.html?_dcat=261328&amp;_fsrp=1&amp;rt=nc&amp;_from=R40&amp;_nkw=2025%20Topps%20Chrome%20WILL%20REICHARD%20%23203%20Orange%20Geometric%20Refractor%206%2F25%20Vikings&amp;_sacat=0&amp;_sop=15&amp;rt=nc&amp;LH_BIN=1", "Active")</f>
        <v/>
      </c>
      <c r="J1220" s="5">
        <f>HYPERLINK("https://www.ebay.com/sch/261328/i.html?_from=R40&amp;_nkw=2025%20Topps%20Chrome%20WILL%20REICHARD%20%23203%20Orange%20Geometric%20Refractor%206%2F25%20Vikings&amp;_sacat=0&amp;LH_Sold=1&amp;LH_Complete=1&amp;_sop=13", "Completed")</f>
        <v/>
      </c>
      <c r="K1220" s="5" t="inlineStr">
        <is>
          <t>2025 Topps Chrome WILL REICHARD #203 Orange Geometric Refractor 6/25 Vikings</t>
        </is>
      </c>
    </row>
    <row r="1221">
      <c r="A1221" s="11" t="inlineStr">
        <is>
          <t>RBBB5-0001-00076-28925</t>
        </is>
      </c>
      <c r="B1221" s="11" t="inlineStr">
        <is>
          <t>2025 Bowman's Best KEVIN MCGONIGLE #TP-28 Top Prospects Wave Refractor Tigers</t>
        </is>
      </c>
      <c r="C1221" s="12" t="n">
        <v>8.19</v>
      </c>
      <c r="D1221" s="12" t="n">
        <v>7.79</v>
      </c>
      <c r="E1221" s="12" t="n">
        <v>-0.4</v>
      </c>
      <c r="F1221" s="13" t="n">
        <v>-4.9</v>
      </c>
      <c r="G1221" s="11" t="inlineStr">
        <is>
          <t>⬇ Price Down</t>
        </is>
      </c>
      <c r="H1221" s="11" t="inlineStr">
        <is>
          <t>90%</t>
        </is>
      </c>
      <c r="I1221" s="11">
        <f>HYPERLINK("https://www.ebay.com/sch/261328/i.html?_dcat=261328&amp;_fsrp=1&amp;rt=nc&amp;_from=R40&amp;_nkw=2025%20Bowman's%20Best%20KEVIN%20MCGONIGLE%20%23TP-28%20Top%20Prospects%20Wave%20Refractor%20Tigers&amp;_sacat=0&amp;_sop=15&amp;rt=nc&amp;LH_BIN=1", "Active")</f>
        <v/>
      </c>
      <c r="J1221" s="11">
        <f>HYPERLINK("https://www.ebay.com/sch/261328/i.html?_from=R40&amp;_nkw=2025%20Bowman's%20Best%20KEVIN%20MCGONIGLE%20%23TP-28%20Top%20Prospects%20Wave%20Refractor%20Tigers&amp;_sacat=0&amp;LH_Sold=1&amp;LH_Complete=1&amp;_sop=13", "Completed")</f>
        <v/>
      </c>
      <c r="K1221" s="11" t="inlineStr">
        <is>
          <t>2025 Bowman's Best Kevin McGonigle Top Prospects Wave Refractor #TP-28 Tigers</t>
        </is>
      </c>
    </row>
    <row r="1222">
      <c r="A1222" s="2" t="inlineStr">
        <is>
          <t>RBBB5-0001-00073-03736</t>
        </is>
      </c>
      <c r="B1222" s="2" t="inlineStr">
        <is>
          <t>2025 Topps Chrome TYRONE TRACY JR. #228 Refractor Giants Football</t>
        </is>
      </c>
      <c r="C1222" s="3" t="n">
        <v>2.99</v>
      </c>
      <c r="D1222" s="3" t="n">
        <v>2.49</v>
      </c>
      <c r="E1222" s="3" t="n">
        <v>-0.5</v>
      </c>
      <c r="F1222" s="4" t="n">
        <v>-16.7</v>
      </c>
      <c r="G1222" s="2" t="inlineStr">
        <is>
          <t>🔵 Floored $2.49 — free ship or $0.99 ship?</t>
        </is>
      </c>
      <c r="H1222" s="2" t="inlineStr">
        <is>
          <t>65%</t>
        </is>
      </c>
      <c r="I1222" s="2">
        <f>HYPERLINK("https://www.ebay.com/sch/261328/i.html?_dcat=261328&amp;_fsrp=1&amp;rt=nc&amp;_from=R40&amp;_nkw=2025%20Topps%20Chrome%20TYRONE%20TRACY%20JR.%20%23228%20Refractor%20Giants%20Football&amp;_sacat=0&amp;_sop=15&amp;rt=nc&amp;LH_BIN=1", "Active")</f>
        <v/>
      </c>
      <c r="J1222" s="2">
        <f>HYPERLINK("https://www.ebay.com/sch/261328/i.html?_from=R40&amp;_nkw=2025%20Topps%20Chrome%20TYRONE%20TRACY%20JR.%20%23228%20Refractor%20Giants%20Football&amp;_sacat=0&amp;LH_Sold=1&amp;LH_Complete=1&amp;_sop=13", "Completed")</f>
        <v/>
      </c>
      <c r="K1222" s="2" t="inlineStr">
        <is>
          <t>30% off! 2025 Topps Chrome Football - Base Refractor - You pick! Free Shipping</t>
        </is>
      </c>
    </row>
    <row r="1223">
      <c r="A1223" s="2" t="inlineStr">
        <is>
          <t>RBBB5-0001-00075-53652</t>
        </is>
      </c>
      <c r="B1223" s="2" t="inlineStr">
        <is>
          <t>2025 Topps Chrome Update JAVIER BAEZ #ASGC-7 All-Star Game Tigers</t>
        </is>
      </c>
      <c r="C1223" s="3" t="n">
        <v>2.99</v>
      </c>
      <c r="D1223" s="3" t="n">
        <v>2.49</v>
      </c>
      <c r="E1223" s="3" t="n">
        <v>-0.5</v>
      </c>
      <c r="F1223" s="4" t="n">
        <v>-16.7</v>
      </c>
      <c r="G1223" s="2" t="inlineStr">
        <is>
          <t>🔵 Floored $2.49 — free ship or $0.99 ship?</t>
        </is>
      </c>
      <c r="H1223" s="2" t="inlineStr">
        <is>
          <t>83%</t>
        </is>
      </c>
      <c r="I1223" s="2">
        <f>HYPERLINK("https://www.ebay.com/sch/261328/i.html?_dcat=261328&amp;_fsrp=1&amp;rt=nc&amp;_from=R40&amp;_nkw=2025%20Topps%20Chrome%20Update%20JAVIER%20BAEZ%20%23ASGC-7%20All-Star%20Game%20Tigers&amp;_sacat=0&amp;_sop=15&amp;rt=nc&amp;LH_BIN=1", "Active")</f>
        <v/>
      </c>
      <c r="J1223" s="2">
        <f>HYPERLINK("https://www.ebay.com/sch/261328/i.html?_from=R40&amp;_nkw=2025%20Topps%20Chrome%20Update%20JAVIER%20BAEZ%20%23ASGC-7%20All-Star%20Game%20Tigers&amp;_sacat=0&amp;LH_Sold=1&amp;LH_Complete=1&amp;_sop=13", "Completed")</f>
        <v/>
      </c>
      <c r="K1223" s="2" t="inlineStr">
        <is>
          <t>2025 Topps Chrome Update ASG All Star Game Refractor Singles - FREE SHIPPING</t>
        </is>
      </c>
    </row>
    <row r="1224">
      <c r="A1224" s="2" t="inlineStr">
        <is>
          <t>RBBB5-0001-00094-37492</t>
        </is>
      </c>
      <c r="B1224" s="2" t="inlineStr">
        <is>
          <t>2025 Topps Chrome EMEKA EGBUKA #312 Rookie RC Buccaneers Football</t>
        </is>
      </c>
      <c r="C1224" s="3" t="n">
        <v>3.99</v>
      </c>
      <c r="D1224" s="3" t="n">
        <v>2.49</v>
      </c>
      <c r="E1224" s="3" t="n">
        <v>-1.5</v>
      </c>
      <c r="F1224" s="4" t="n">
        <v>-37.6</v>
      </c>
      <c r="G1224" s="2" t="inlineStr">
        <is>
          <t>🔵 Floored $2.49 — free ship or $0.99 ship?</t>
        </is>
      </c>
      <c r="H1224" s="2" t="inlineStr">
        <is>
          <t>87%</t>
        </is>
      </c>
      <c r="I1224" s="2">
        <f>HYPERLINK("https://www.ebay.com/sch/261328/i.html?_dcat=261328&amp;_fsrp=1&amp;rt=nc&amp;_from=R40&amp;_nkw=2025%20Topps%20Chrome%20EMEKA%20EGBUKA%20%23312%20Rookie%20RC%20Buccaneers%20Football&amp;_sacat=0&amp;_sop=15&amp;rt=nc&amp;LH_BIN=1", "Active")</f>
        <v/>
      </c>
      <c r="J1224" s="2">
        <f>HYPERLINK("https://www.ebay.com/sch/261328/i.html?_from=R40&amp;_nkw=2025%20Topps%20Chrome%20EMEKA%20EGBUKA%20%23312%20Rookie%20RC%20Buccaneers%20Football&amp;_sacat=0&amp;LH_Sold=1&amp;LH_Complete=1&amp;_sop=13", "Completed")</f>
        <v/>
      </c>
      <c r="K1224" s="2" t="inlineStr">
        <is>
          <t>2025 Topps Chrome #312 Emeka Egbuka Rookie Tampa Bay Buccaneers RC</t>
        </is>
      </c>
    </row>
    <row r="1225">
      <c r="A1225" s="2" t="inlineStr">
        <is>
          <t>RBBB5-0001-00062-05471</t>
        </is>
      </c>
      <c r="B1225" s="2" t="inlineStr">
        <is>
          <t>2025 Topps Chrome GUNNAR HELM #305 Rookie Football Leather Refractor RC Titans</t>
        </is>
      </c>
      <c r="C1225" s="3" t="n">
        <v>3.49</v>
      </c>
      <c r="D1225" s="3" t="n">
        <v>2.49</v>
      </c>
      <c r="E1225" s="3" t="n">
        <v>-1</v>
      </c>
      <c r="F1225" s="4" t="n">
        <v>-28.7</v>
      </c>
      <c r="G1225" s="2" t="inlineStr">
        <is>
          <t>🔵 Floored $2.49 — free ship or $0.99 ship?</t>
        </is>
      </c>
      <c r="H1225" s="2" t="inlineStr">
        <is>
          <t>87%</t>
        </is>
      </c>
      <c r="I1225" s="2">
        <f>HYPERLINK("https://www.ebay.com/sch/261328/i.html?_dcat=261328&amp;_fsrp=1&amp;rt=nc&amp;_from=R40&amp;_nkw=2025%20Topps%20Chrome%20GUNNAR%20HELM%20%23305%20Rookie%20Football%20Leather%20Refractor%20RC%20Titans&amp;_sacat=0&amp;_sop=15&amp;rt=nc&amp;LH_BIN=1", "Active")</f>
        <v/>
      </c>
      <c r="J1225" s="2">
        <f>HYPERLINK("https://www.ebay.com/sch/261328/i.html?_from=R40&amp;_nkw=2025%20Topps%20Chrome%20GUNNAR%20HELM%20%23305%20Rookie%20Football%20Leather%20Refractor%20RC%20Titans&amp;_sacat=0&amp;LH_Sold=1&amp;LH_Complete=1&amp;_sop=13", "Completed")</f>
        <v/>
      </c>
      <c r="K1225" s="2" t="inlineStr">
        <is>
          <t>2025 Topps Chrome - Gunnar Helm Rookie Leather Refractor (RC) #305 Titans</t>
        </is>
      </c>
    </row>
    <row r="1226">
      <c r="A1226" s="2" t="inlineStr">
        <is>
          <t>RBBB5-0001-00089-10664</t>
        </is>
      </c>
      <c r="B1226" s="2" t="inlineStr">
        <is>
          <t>2025 Topps Chrome JACORY CROSKEY-MERRITT #F15-29 Fortune 15 RC Commanders Rookie</t>
        </is>
      </c>
      <c r="C1226" s="3" t="n">
        <v>5.99</v>
      </c>
      <c r="D1226" s="3" t="n">
        <v>2.49</v>
      </c>
      <c r="E1226" s="3" t="n">
        <v>-3.5</v>
      </c>
      <c r="F1226" s="4" t="n">
        <v>-58.4</v>
      </c>
      <c r="G1226" s="2" t="inlineStr">
        <is>
          <t>🔵 Floored $2.49 — free ship or $0.99 ship?</t>
        </is>
      </c>
      <c r="H1226" s="2" t="inlineStr">
        <is>
          <t>78%</t>
        </is>
      </c>
      <c r="I1226" s="2">
        <f>HYPERLINK("https://www.ebay.com/sch/261328/i.html?_dcat=261328&amp;_fsrp=1&amp;rt=nc&amp;_from=R40&amp;_nkw=2025%20Topps%20Chrome%20JACORY%20CROSKEY-MERRITT%20%23F15-29%20Fortune%2015%20RC%20Commanders%20Rookie&amp;_sacat=0&amp;_sop=15&amp;rt=nc&amp;LH_BIN=1", "Active")</f>
        <v/>
      </c>
      <c r="J1226" s="2">
        <f>HYPERLINK("https://www.ebay.com/sch/261328/i.html?_from=R40&amp;_nkw=2025%20Topps%20Chrome%20JACORY%20CROSKEY-MERRITT%20%23F15-29%20Fortune%2015%20RC%20Commanders%20Rookie&amp;_sacat=0&amp;LH_Sold=1&amp;LH_Complete=1&amp;_sop=13", "Completed")</f>
        <v/>
      </c>
      <c r="K1226" s="2" t="inlineStr">
        <is>
          <t>Jacory Croskey-Merritt Fortune 16 RC Rookie 2025 Topps Chrome #F15-29 Commanders</t>
        </is>
      </c>
    </row>
    <row r="1227">
      <c r="A1227" s="2" t="inlineStr">
        <is>
          <t>RBBB5-0001-00092-53023</t>
        </is>
      </c>
      <c r="B1227" s="2" t="inlineStr">
        <is>
          <t>2025 Topps Chrome TEZ JOHNSON #342 Rookie Refractor RC Buccaneers Football</t>
        </is>
      </c>
      <c r="C1227" s="3" t="n">
        <v>3.49</v>
      </c>
      <c r="D1227" s="3" t="n">
        <v>2.49</v>
      </c>
      <c r="E1227" s="3" t="n">
        <v>-1</v>
      </c>
      <c r="F1227" s="4" t="n">
        <v>-28.7</v>
      </c>
      <c r="G1227" s="2" t="inlineStr">
        <is>
          <t>🔵 Floored $2.49 — free ship or $0.99 ship?</t>
        </is>
      </c>
      <c r="H1227" s="2" t="inlineStr">
        <is>
          <t>88%</t>
        </is>
      </c>
      <c r="I1227" s="2">
        <f>HYPERLINK("https://www.ebay.com/sch/261328/i.html?_dcat=261328&amp;_fsrp=1&amp;rt=nc&amp;_from=R40&amp;_nkw=2025%20Topps%20Chrome%20TEZ%20JOHNSON%20%23342%20Rookie%20Refractor%20RC%20Buccaneers%20Football&amp;_sacat=0&amp;_sop=15&amp;rt=nc&amp;LH_BIN=1", "Active")</f>
        <v/>
      </c>
      <c r="J1227" s="2">
        <f>HYPERLINK("https://www.ebay.com/sch/261328/i.html?_from=R40&amp;_nkw=2025%20Topps%20Chrome%20TEZ%20JOHNSON%20%23342%20Rookie%20Refractor%20RC%20Buccaneers%20Football&amp;_sacat=0&amp;LH_Sold=1&amp;LH_Complete=1&amp;_sop=13", "Completed")</f>
        <v/>
      </c>
      <c r="K1227" s="2" t="inlineStr">
        <is>
          <t>2025 Topps Chrome Football Tez Johnson (RC) #342 Refractor Buccaneers Rookie</t>
        </is>
      </c>
    </row>
    <row r="1228">
      <c r="A1228" s="5" t="inlineStr">
        <is>
          <t>RBBB5-0001-00088-21547</t>
        </is>
      </c>
      <c r="B1228" s="5" t="inlineStr">
        <is>
          <t>2025 Bowman Draft EDUARDO QUINTERO #BDC-111 Chrome X-Fractor Dodgers</t>
        </is>
      </c>
      <c r="C1228" s="6" t="n">
        <v>3.49</v>
      </c>
      <c r="D1228" s="6" t="n">
        <v>4.39</v>
      </c>
      <c r="E1228" s="6" t="n">
        <v>0.9</v>
      </c>
      <c r="F1228" s="7" t="n">
        <v>25.8</v>
      </c>
      <c r="G1228" s="5" t="inlineStr">
        <is>
          <t>⬆ Price Up</t>
        </is>
      </c>
      <c r="H1228" s="5" t="inlineStr">
        <is>
          <t>100%</t>
        </is>
      </c>
      <c r="I1228" s="5">
        <f>HYPERLINK("https://www.ebay.com/sch/261328/i.html?_dcat=261328&amp;_fsrp=1&amp;rt=nc&amp;_from=R40&amp;_nkw=2025%20Bowman%20Draft%20EDUARDO%20QUINTERO%20%23BDC-111%20Chrome%20X-Fractor%20Dodgers&amp;_sacat=0&amp;_sop=15&amp;rt=nc&amp;LH_BIN=1", "Active")</f>
        <v/>
      </c>
      <c r="J1228" s="5">
        <f>HYPERLINK("https://www.ebay.com/sch/261328/i.html?_from=R40&amp;_nkw=2025%20Bowman%20Draft%20EDUARDO%20QUINTERO%20%23BDC-111%20Chrome%20X-Fractor%20Dodgers&amp;_sacat=0&amp;LH_Sold=1&amp;LH_Complete=1&amp;_sop=13", "Completed")</f>
        <v/>
      </c>
      <c r="K1228" s="5" t="inlineStr">
        <is>
          <t>2025 Bowman Draft EDUARDO QUINTERO #BDC-111 Chrome X-Fractor Dodgers</t>
        </is>
      </c>
    </row>
    <row r="1229">
      <c r="A1229" s="8" t="inlineStr">
        <is>
          <t>RBBB5-0001-00067-65535</t>
        </is>
      </c>
      <c r="B1229" s="8" t="inlineStr">
        <is>
          <t>2025 Bowman Chrome MARCELO MAYER #AD-2 ADIOS! RC Red Sox Rookie</t>
        </is>
      </c>
      <c r="C1229" s="9" t="n">
        <v>2.49</v>
      </c>
      <c r="D1229" s="9" t="n">
        <v>2.49</v>
      </c>
      <c r="E1229" s="9" t="n">
        <v>0</v>
      </c>
      <c r="F1229" s="10" t="n">
        <v>0</v>
      </c>
      <c r="G1229" s="8" t="inlineStr">
        <is>
          <t>— No Change</t>
        </is>
      </c>
      <c r="H1229" s="8" t="inlineStr">
        <is>
          <t>78%</t>
        </is>
      </c>
      <c r="I1229" s="8">
        <f>HYPERLINK("https://www.ebay.com/sch/261328/i.html?_dcat=261328&amp;_fsrp=1&amp;rt=nc&amp;_from=R40&amp;_nkw=2025%20Bowman%20Chrome%20MARCELO%20MAYER%20%23AD-2%20ADIOS!%20RC%20Red%20Sox%20Rookie&amp;_sacat=0&amp;_sop=15&amp;rt=nc&amp;LH_BIN=1", "Active")</f>
        <v/>
      </c>
      <c r="J1229" s="8">
        <f>HYPERLINK("https://www.ebay.com/sch/261328/i.html?_from=R40&amp;_nkw=2025%20Bowman%20Chrome%20MARCELO%20MAYER%20%23AD-2%20ADIOS!%20RC%20Red%20Sox%20Rookie&amp;_sacat=0&amp;LH_Sold=1&amp;LH_Complete=1&amp;_sop=13", "Completed")</f>
        <v/>
      </c>
      <c r="K1229" s="8" t="inlineStr">
        <is>
          <t>Marcelo Mayer Rookie RC Adios! 2025 Bowman Chrome #AD-2 Boston Red Sox</t>
        </is>
      </c>
    </row>
    <row r="1230">
      <c r="A1230" s="5" t="inlineStr">
        <is>
          <t>RBBB5-0001-00085-42777</t>
        </is>
      </c>
      <c r="B1230" s="5" t="inlineStr">
        <is>
          <t>2025 Topps Chrome BILLY Bowman Jr. #344 Rookie Blue Wave Refractor /150 RC</t>
        </is>
      </c>
      <c r="C1230" s="6" t="n">
        <v>10.09</v>
      </c>
      <c r="D1230" s="6" t="n">
        <v>10.79</v>
      </c>
      <c r="E1230" s="6" t="n">
        <v>0.7</v>
      </c>
      <c r="F1230" s="7" t="n">
        <v>6.9</v>
      </c>
      <c r="G1230" s="5" t="inlineStr">
        <is>
          <t>⬆ Price Up</t>
        </is>
      </c>
      <c r="H1230" s="5" t="inlineStr">
        <is>
          <t>100%</t>
        </is>
      </c>
      <c r="I1230" s="5">
        <f>HYPERLINK("https://www.ebay.com/sch/261328/i.html?_dcat=261328&amp;_fsrp=1&amp;rt=nc&amp;_from=R40&amp;_nkw=2025%20Topps%20Chrome%20BILLY%20Bowman%20Jr.%20%23344%20Rookie%20Blue%20Wave%20Refractor%20%2F150%20RC&amp;_sacat=0&amp;_sop=15&amp;rt=nc&amp;LH_BIN=1", "Active")</f>
        <v/>
      </c>
      <c r="J1230" s="5">
        <f>HYPERLINK("https://www.ebay.com/sch/261328/i.html?_from=R40&amp;_nkw=2025%20Topps%20Chrome%20BILLY%20Bowman%20Jr.%20%23344%20Rookie%20Blue%20Wave%20Refractor%20%2F150%20RC&amp;_sacat=0&amp;LH_Sold=1&amp;LH_Complete=1&amp;_sop=13", "Completed")</f>
        <v/>
      </c>
      <c r="K1230" s="5" t="inlineStr">
        <is>
          <t>2025 Topps Chrome BILLY Bowman Jr. #344 Rookie Blue Wave Refractor /150 RC</t>
        </is>
      </c>
    </row>
    <row r="1231">
      <c r="A1231" s="5" t="inlineStr">
        <is>
          <t>RBBB5-0001-00071-21998</t>
        </is>
      </c>
      <c r="B1231" s="5" t="inlineStr">
        <is>
          <t>2025 Topps Chrome Update WILL SMITH #USC196 Negative Refractor Dodgers</t>
        </is>
      </c>
      <c r="C1231" s="6" t="n">
        <v>9.69</v>
      </c>
      <c r="D1231" s="6" t="n">
        <v>10.39</v>
      </c>
      <c r="E1231" s="6" t="n">
        <v>0.7</v>
      </c>
      <c r="F1231" s="7" t="n">
        <v>7.2</v>
      </c>
      <c r="G1231" s="5" t="inlineStr">
        <is>
          <t>⬆ Price Up</t>
        </is>
      </c>
      <c r="H1231" s="5" t="inlineStr">
        <is>
          <t>100%</t>
        </is>
      </c>
      <c r="I1231" s="5">
        <f>HYPERLINK("https://www.ebay.com/sch/261328/i.html?_dcat=261328&amp;_fsrp=1&amp;rt=nc&amp;_from=R40&amp;_nkw=2025%20Topps%20Chrome%20Update%20WILL%20SMITH%20%23USC196%20Negative%20Refractor%20Dodgers&amp;_sacat=0&amp;_sop=15&amp;rt=nc&amp;LH_BIN=1", "Active")</f>
        <v/>
      </c>
      <c r="J1231" s="5">
        <f>HYPERLINK("https://www.ebay.com/sch/261328/i.html?_from=R40&amp;_nkw=2025%20Topps%20Chrome%20Update%20WILL%20SMITH%20%23USC196%20Negative%20Refractor%20Dodgers&amp;_sacat=0&amp;LH_Sold=1&amp;LH_Complete=1&amp;_sop=13", "Completed")</f>
        <v/>
      </c>
      <c r="K1231" s="5" t="inlineStr">
        <is>
          <t>2025 Topps Chrome Update WILL SMITH #USC196 Negative Refractor Dodgers</t>
        </is>
      </c>
    </row>
    <row r="1232">
      <c r="A1232" s="2" t="inlineStr">
        <is>
          <t>RBBB5-0001-00091-02146</t>
        </is>
      </c>
      <c r="B1232" s="2" t="inlineStr">
        <is>
          <t>2025 Topps Chrome DONOVAN EDWARDS #392 Rookie Football Leather Refractor RC Jets</t>
        </is>
      </c>
      <c r="C1232" s="3" t="n">
        <v>4.99</v>
      </c>
      <c r="D1232" s="3" t="n">
        <v>2.49</v>
      </c>
      <c r="E1232" s="3" t="n">
        <v>-2.5</v>
      </c>
      <c r="F1232" s="4" t="n">
        <v>-50.1</v>
      </c>
      <c r="G1232" s="2" t="inlineStr">
        <is>
          <t>🔵 Floored $2.49 — free ship or $0.99 ship?</t>
        </is>
      </c>
      <c r="H1232" s="2" t="inlineStr">
        <is>
          <t>90%</t>
        </is>
      </c>
      <c r="I1232" s="2">
        <f>HYPERLINK("https://www.ebay.com/sch/261328/i.html?_dcat=261328&amp;_fsrp=1&amp;rt=nc&amp;_from=R40&amp;_nkw=2025%20Topps%20Chrome%20DONOVAN%20EDWARDS%20%23392%20Rookie%20Football%20Leather%20Refractor%20RC%20Jets&amp;_sacat=0&amp;_sop=15&amp;rt=nc&amp;LH_BIN=1", "Active")</f>
        <v/>
      </c>
      <c r="J1232" s="2">
        <f>HYPERLINK("https://www.ebay.com/sch/261328/i.html?_from=R40&amp;_nkw=2025%20Topps%20Chrome%20DONOVAN%20EDWARDS%20%23392%20Rookie%20Football%20Leather%20Refractor%20RC%20Jets&amp;_sacat=0&amp;LH_Sold=1&amp;LH_Complete=1&amp;_sop=13", "Completed")</f>
        <v/>
      </c>
      <c r="K1232" s="2" t="inlineStr">
        <is>
          <t>2025 Topps Chrome Donovan Edwards #392 RC Football Leather Refractor Rookie Jets</t>
        </is>
      </c>
    </row>
    <row r="1233">
      <c r="A1233" s="2" t="inlineStr">
        <is>
          <t>RBBB5-0001-00086-38098</t>
        </is>
      </c>
      <c r="B1233" s="2" t="inlineStr">
        <is>
          <t>2025 Topps Chrome DARIEN PORTER #367 Rookie Refractor RC Raiders Football</t>
        </is>
      </c>
      <c r="C1233" s="3" t="n">
        <v>2.99</v>
      </c>
      <c r="D1233" s="3" t="n">
        <v>2.49</v>
      </c>
      <c r="E1233" s="3" t="n">
        <v>-0.5</v>
      </c>
      <c r="F1233" s="4" t="n">
        <v>-16.7</v>
      </c>
      <c r="G1233" s="2" t="inlineStr">
        <is>
          <t>🔵 Floored $2.49 — free ship or $0.99 ship?</t>
        </is>
      </c>
      <c r="H1233" s="2" t="inlineStr">
        <is>
          <t>85%</t>
        </is>
      </c>
      <c r="I1233" s="2">
        <f>HYPERLINK("https://www.ebay.com/sch/261328/i.html?_dcat=261328&amp;_fsrp=1&amp;rt=nc&amp;_from=R40&amp;_nkw=2025%20Topps%20Chrome%20DARIEN%20PORTER%20%23367%20Rookie%20Refractor%20RC%20Raiders%20Football&amp;_sacat=0&amp;_sop=15&amp;rt=nc&amp;LH_BIN=1", "Active")</f>
        <v/>
      </c>
      <c r="J1233" s="2">
        <f>HYPERLINK("https://www.ebay.com/sch/261328/i.html?_from=R40&amp;_nkw=2025%20Topps%20Chrome%20DARIEN%20PORTER%20%23367%20Rookie%20Refractor%20RC%20Raiders%20Football&amp;_sacat=0&amp;LH_Sold=1&amp;LH_Complete=1&amp;_sop=13", "Completed")</f>
        <v/>
      </c>
      <c r="K1233" s="2" t="inlineStr">
        <is>
          <t>2025 Topps Chrome #367 DARIEN PORTER 'REFRACTOR' RC! RAIDERS</t>
        </is>
      </c>
    </row>
    <row r="1234">
      <c r="A1234" s="5" t="inlineStr">
        <is>
          <t>RBBB5-0001-00093-26831</t>
        </is>
      </c>
      <c r="B1234" s="5" t="inlineStr">
        <is>
          <t>2025 Topps Chrome BRYCE YOUNG #FS-17 Future Stars Refractor SP Panthers</t>
        </is>
      </c>
      <c r="C1234" s="6" t="n">
        <v>2.99</v>
      </c>
      <c r="D1234" s="6" t="n">
        <v>3.89</v>
      </c>
      <c r="E1234" s="6" t="n">
        <v>0.9</v>
      </c>
      <c r="F1234" s="7" t="n">
        <v>30.1</v>
      </c>
      <c r="G1234" s="5" t="inlineStr">
        <is>
          <t>⬆ Price Up</t>
        </is>
      </c>
      <c r="H1234" s="5" t="inlineStr">
        <is>
          <t>100%</t>
        </is>
      </c>
      <c r="I1234" s="5">
        <f>HYPERLINK("https://www.ebay.com/sch/261328/i.html?_dcat=261328&amp;_fsrp=1&amp;rt=nc&amp;_from=R40&amp;_nkw=2025%20Topps%20Chrome%20BRYCE%20YOUNG%20%23FS-17%20Future%20Stars%20Refractor%20SP%20Panthers&amp;_sacat=0&amp;_sop=15&amp;rt=nc&amp;LH_BIN=1", "Active")</f>
        <v/>
      </c>
      <c r="J1234" s="5">
        <f>HYPERLINK("https://www.ebay.com/sch/261328/i.html?_from=R40&amp;_nkw=2025%20Topps%20Chrome%20BRYCE%20YOUNG%20%23FS-17%20Future%20Stars%20Refractor%20SP%20Panthers&amp;_sacat=0&amp;LH_Sold=1&amp;LH_Complete=1&amp;_sop=13", "Completed")</f>
        <v/>
      </c>
      <c r="K1234" s="5" t="inlineStr">
        <is>
          <t>2025 Topps Chrome BRYCE YOUNG #FS-17 Future Stars Refractor SP Panthers</t>
        </is>
      </c>
    </row>
    <row r="1235">
      <c r="A1235" s="5" t="inlineStr">
        <is>
          <t>RBBB5-0001-00082-80037</t>
        </is>
      </c>
      <c r="B1235" s="5" t="inlineStr">
        <is>
          <t>2025 Topps Chrome TUTU ATWELL #167 Pink Refractor 164/250 Rams Football</t>
        </is>
      </c>
      <c r="C1235" s="6" t="n">
        <v>2.99</v>
      </c>
      <c r="D1235" s="6" t="n">
        <v>3.89</v>
      </c>
      <c r="E1235" s="6" t="n">
        <v>0.9</v>
      </c>
      <c r="F1235" s="7" t="n">
        <v>30.1</v>
      </c>
      <c r="G1235" s="5" t="inlineStr">
        <is>
          <t>⬆ Price Up</t>
        </is>
      </c>
      <c r="H1235" s="5" t="inlineStr">
        <is>
          <t>100%</t>
        </is>
      </c>
      <c r="I1235" s="5">
        <f>HYPERLINK("https://www.ebay.com/sch/261328/i.html?_dcat=261328&amp;_fsrp=1&amp;rt=nc&amp;_from=R40&amp;_nkw=2025%20Topps%20Chrome%20TUTU%20ATWELL%20%23167%20Pink%20Refractor%20164%2F250%20Rams%20Football&amp;_sacat=0&amp;_sop=15&amp;rt=nc&amp;LH_BIN=1", "Active")</f>
        <v/>
      </c>
      <c r="J1235" s="5">
        <f>HYPERLINK("https://www.ebay.com/sch/261328/i.html?_from=R40&amp;_nkw=2025%20Topps%20Chrome%20TUTU%20ATWELL%20%23167%20Pink%20Refractor%20164%2F250%20Rams%20Football&amp;_sacat=0&amp;LH_Sold=1&amp;LH_Complete=1&amp;_sop=13", "Completed")</f>
        <v/>
      </c>
      <c r="K1235" s="5" t="inlineStr">
        <is>
          <t>2025 Topps Chrome TUTU ATWELL #167 Pink Refractor 164/250 Rams Football</t>
        </is>
      </c>
    </row>
    <row r="1236">
      <c r="A1236" s="8" t="inlineStr">
        <is>
          <t>RBBB5-0001-00084-17180</t>
        </is>
      </c>
      <c r="B1236" s="8" t="inlineStr">
        <is>
          <t>2025 Topps Chrome QUINCY RILEY #369 Rookie Blue Geometric Refractor /150 RC</t>
        </is>
      </c>
      <c r="C1236" s="9" t="n">
        <v>3.49</v>
      </c>
      <c r="D1236" s="9" t="n">
        <v>3.49</v>
      </c>
      <c r="E1236" s="9" t="n">
        <v>0</v>
      </c>
      <c r="F1236" s="10" t="n">
        <v>0</v>
      </c>
      <c r="G1236" s="8" t="inlineStr">
        <is>
          <t>— No Change</t>
        </is>
      </c>
      <c r="H1236" s="8" t="inlineStr">
        <is>
          <t>90%</t>
        </is>
      </c>
      <c r="I1236" s="8">
        <f>HYPERLINK("https://www.ebay.com/sch/261328/i.html?_dcat=261328&amp;_fsrp=1&amp;rt=nc&amp;_from=R40&amp;_nkw=2025%20Topps%20Chrome%20QUINCY%20RILEY%20%23369%20Rookie%20Blue%20Geometric%20Refractor%20%2F150%20RC&amp;_sacat=0&amp;_sop=15&amp;rt=nc&amp;LH_BIN=1", "Active")</f>
        <v/>
      </c>
      <c r="J1236" s="8">
        <f>HYPERLINK("https://www.ebay.com/sch/261328/i.html?_from=R40&amp;_nkw=2025%20Topps%20Chrome%20QUINCY%20RILEY%20%23369%20Rookie%20Blue%20Geometric%20Refractor%20%2F150%20RC&amp;_sacat=0&amp;LH_Sold=1&amp;LH_Complete=1&amp;_sop=13", "Completed")</f>
        <v/>
      </c>
      <c r="K1236" s="8" t="inlineStr">
        <is>
          <t>2025 Topps Chrome #369 Quincy Riley Blue Geometric Refractor #/150 RC Rookie</t>
        </is>
      </c>
    </row>
    <row r="1237">
      <c r="A1237" s="2" t="inlineStr">
        <is>
          <t>RBBB5-0001-00070-89905</t>
        </is>
      </c>
      <c r="B1237" s="2" t="inlineStr">
        <is>
          <t>2025 Bowman Draft TYLER BREMNER #BIA-12 In Action Angels</t>
        </is>
      </c>
      <c r="C1237" s="3" t="n">
        <v>3.99</v>
      </c>
      <c r="D1237" s="3" t="n">
        <v>2.49</v>
      </c>
      <c r="E1237" s="3" t="n">
        <v>-1.5</v>
      </c>
      <c r="F1237" s="4" t="n">
        <v>-37.6</v>
      </c>
      <c r="G1237" s="2" t="inlineStr">
        <is>
          <t>🔵 Floored $2.49 — free ship or $0.99 ship?</t>
        </is>
      </c>
      <c r="H1237" s="2" t="inlineStr">
        <is>
          <t>84%</t>
        </is>
      </c>
      <c r="I1237" s="2">
        <f>HYPERLINK("https://www.ebay.com/sch/261328/i.html?_dcat=261328&amp;_fsrp=1&amp;rt=nc&amp;_from=R40&amp;_nkw=2025%20Bowman%20Draft%20TYLER%20BREMNER%20%23BIA-12%20In%20Action%20Angels&amp;_sacat=0&amp;_sop=15&amp;rt=nc&amp;LH_BIN=1", "Active")</f>
        <v/>
      </c>
      <c r="J1237" s="2">
        <f>HYPERLINK("https://www.ebay.com/sch/261328/i.html?_from=R40&amp;_nkw=2025%20Bowman%20Draft%20TYLER%20BREMNER%20%23BIA-12%20In%20Action%20Angels&amp;_sacat=0&amp;LH_Sold=1&amp;LH_Complete=1&amp;_sop=13", "Completed")</f>
        <v/>
      </c>
      <c r="K1237" s="2" t="inlineStr">
        <is>
          <t>2025 Bowman Draft Chrome - In Action #BIA-12 Tyler Bremner Mojo Refractor Angels</t>
        </is>
      </c>
    </row>
    <row r="1238">
      <c r="A1238" s="5" t="inlineStr">
        <is>
          <t>RBBB5-0001-00060-27732</t>
        </is>
      </c>
      <c r="B1238" s="5" t="inlineStr">
        <is>
          <t>2025 Bowman Chrome COBY MAYO #83 Red RC Variation Orioles Rookie</t>
        </is>
      </c>
      <c r="C1238" s="6" t="n">
        <v>2.49</v>
      </c>
      <c r="D1238" s="6" t="n">
        <v>2.59</v>
      </c>
      <c r="E1238" s="6" t="n">
        <v>0.1</v>
      </c>
      <c r="F1238" s="7" t="n">
        <v>4</v>
      </c>
      <c r="G1238" s="5" t="inlineStr">
        <is>
          <t>⬆ Price Up</t>
        </is>
      </c>
      <c r="H1238" s="5" t="inlineStr">
        <is>
          <t>86%</t>
        </is>
      </c>
      <c r="I1238" s="5">
        <f>HYPERLINK("https://www.ebay.com/sch/261328/i.html?_dcat=261328&amp;_fsrp=1&amp;rt=nc&amp;_from=R40&amp;_nkw=2025%20Bowman%20Chrome%20COBY%20MAYO%20%2383%20Red%20RC%20Variation%20Orioles%20Rookie&amp;_sacat=0&amp;_sop=15&amp;rt=nc&amp;LH_BIN=1", "Active")</f>
        <v/>
      </c>
      <c r="J1238" s="5">
        <f>HYPERLINK("https://www.ebay.com/sch/261328/i.html?_from=R40&amp;_nkw=2025%20Bowman%20Chrome%20COBY%20MAYO%20%2383%20Red%20RC%20Variation%20Orioles%20Rookie&amp;_sacat=0&amp;LH_Sold=1&amp;LH_Complete=1&amp;_sop=13", "Completed")</f>
        <v/>
      </c>
      <c r="K1238" s="5" t="inlineStr">
        <is>
          <t>2025 Bowman Chrome SP Rookie Red RC Variation Coby Mayo #83 Baltimore Orioles</t>
        </is>
      </c>
    </row>
    <row r="1239">
      <c r="A1239" s="2" t="inlineStr">
        <is>
          <t>RBBB5-0001-00090-38373</t>
        </is>
      </c>
      <c r="B1239" s="2" t="inlineStr">
        <is>
          <t>2025 Topps Chrome TREY AMOS #371 Rookie Refractor RC Commanders Football</t>
        </is>
      </c>
      <c r="C1239" s="3" t="n">
        <v>3.99</v>
      </c>
      <c r="D1239" s="3" t="n">
        <v>2.49</v>
      </c>
      <c r="E1239" s="3" t="n">
        <v>-1.5</v>
      </c>
      <c r="F1239" s="4" t="n">
        <v>-37.6</v>
      </c>
      <c r="G1239" s="2" t="inlineStr">
        <is>
          <t>🔵 Floored $2.49 — free ship or $0.99 ship?</t>
        </is>
      </c>
      <c r="H1239" s="2" t="inlineStr">
        <is>
          <t>75%</t>
        </is>
      </c>
      <c r="I1239" s="2">
        <f>HYPERLINK("https://www.ebay.com/sch/261328/i.html?_dcat=261328&amp;_fsrp=1&amp;rt=nc&amp;_from=R40&amp;_nkw=2025%20Topps%20Chrome%20TREY%20AMOS%20%23371%20Rookie%20Refractor%20RC%20Commanders%20Football&amp;_sacat=0&amp;_sop=15&amp;rt=nc&amp;LH_BIN=1", "Active")</f>
        <v/>
      </c>
      <c r="J1239" s="2">
        <f>HYPERLINK("https://www.ebay.com/sch/261328/i.html?_from=R40&amp;_nkw=2025%20Topps%20Chrome%20TREY%20AMOS%20%23371%20Rookie%20Refractor%20RC%20Commanders%20Football&amp;_sacat=0&amp;LH_Sold=1&amp;LH_Complete=1&amp;_sop=13", "Completed")</f>
        <v/>
      </c>
      <c r="K1239" s="2" t="inlineStr">
        <is>
          <t>Trey Amos | 2025 Topps Chrome | 371 Rookie Refractor RC | Washington Commanders</t>
        </is>
      </c>
    </row>
    <row r="1240">
      <c r="A1240" s="2" t="inlineStr">
        <is>
          <t>RBBB5-0001-00069-56123</t>
        </is>
      </c>
      <c r="B1240" s="2" t="inlineStr">
        <is>
          <t>2025 Bowman Chrome TREY SWEENEY #25 Red RC Variation Tigers Rookie</t>
        </is>
      </c>
      <c r="C1240" s="3" t="n">
        <v>5.99</v>
      </c>
      <c r="D1240" s="3" t="n">
        <v>2.49</v>
      </c>
      <c r="E1240" s="3" t="n">
        <v>-3.5</v>
      </c>
      <c r="F1240" s="4" t="n">
        <v>-58.4</v>
      </c>
      <c r="G1240" s="2" t="inlineStr">
        <is>
          <t>🔵 Floored $2.49 — free ship or $0.99 ship?</t>
        </is>
      </c>
      <c r="H1240" s="2" t="inlineStr">
        <is>
          <t>69%</t>
        </is>
      </c>
      <c r="I1240" s="2">
        <f>HYPERLINK("https://www.ebay.com/sch/261328/i.html?_dcat=261328&amp;_fsrp=1&amp;rt=nc&amp;_from=R40&amp;_nkw=2025%20Bowman%20Chrome%20TREY%20SWEENEY%20%2325%20Red%20RC%20Variation%20Tigers%20Rookie&amp;_sacat=0&amp;_sop=15&amp;rt=nc&amp;LH_BIN=1", "Active")</f>
        <v/>
      </c>
      <c r="J1240" s="2">
        <f>HYPERLINK("https://www.ebay.com/sch/261328/i.html?_from=R40&amp;_nkw=2025%20Bowman%20Chrome%20TREY%20SWEENEY%20%2325%20Red%20RC%20Variation%20Tigers%20Rookie&amp;_sacat=0&amp;LH_Sold=1&amp;LH_Complete=1&amp;_sop=13", "Completed")</f>
        <v/>
      </c>
      <c r="K1240" s="2" t="inlineStr">
        <is>
          <t>2025 Bowman Chrome BASE with RED Rookie Variations You Pick - 2 Card Minimum</t>
        </is>
      </c>
    </row>
    <row r="1241">
      <c r="A1241" s="2" t="inlineStr">
        <is>
          <t>RBBB5-0001-00095-83648</t>
        </is>
      </c>
      <c r="B1241" s="2" t="inlineStr">
        <is>
          <t>2025 Topps Chrome LAMAR JACKSON #24 RayWave Refractor Ravens Football</t>
        </is>
      </c>
      <c r="C1241" s="3" t="n">
        <v>5.99</v>
      </c>
      <c r="D1241" s="3" t="n">
        <v>2.49</v>
      </c>
      <c r="E1241" s="3" t="n">
        <v>-3.5</v>
      </c>
      <c r="F1241" s="4" t="n">
        <v>-58.4</v>
      </c>
      <c r="G1241" s="2" t="inlineStr">
        <is>
          <t>🔵 Floored $2.49 — free ship or $0.99 ship?</t>
        </is>
      </c>
      <c r="H1241" s="2" t="inlineStr">
        <is>
          <t>88%</t>
        </is>
      </c>
      <c r="I1241" s="2">
        <f>HYPERLINK("https://www.ebay.com/sch/261328/i.html?_dcat=261328&amp;_fsrp=1&amp;rt=nc&amp;_from=R40&amp;_nkw=2025%20Topps%20Chrome%20LAMAR%20JACKSON%20%2324%20RayWave%20Refractor%20Ravens%20Football&amp;_sacat=0&amp;_sop=15&amp;rt=nc&amp;LH_BIN=1", "Active")</f>
        <v/>
      </c>
      <c r="J1241" s="2">
        <f>HYPERLINK("https://www.ebay.com/sch/261328/i.html?_from=R40&amp;_nkw=2025%20Topps%20Chrome%20LAMAR%20JACKSON%20%2324%20RayWave%20Refractor%20Ravens%20Football&amp;_sacat=0&amp;LH_Sold=1&amp;LH_Complete=1&amp;_sop=13", "Completed")</f>
        <v/>
      </c>
      <c r="K1241" s="2" t="inlineStr">
        <is>
          <t>2025 Topps Chrome Lamar Jackson RayWave Refractor #24 Baltimore Ravens</t>
        </is>
      </c>
    </row>
    <row r="1242">
      <c r="A1242" s="2" t="inlineStr">
        <is>
          <t>RBBB5-0001-00053-77555</t>
        </is>
      </c>
      <c r="B1242" s="2" t="inlineStr">
        <is>
          <t>2025 Bowman Draft KAEDEN KENT #BDC-65 Chrome 1st Prospect Yankees</t>
        </is>
      </c>
      <c r="C1242" s="3" t="n">
        <v>2.99</v>
      </c>
      <c r="D1242" s="3" t="n">
        <v>2.49</v>
      </c>
      <c r="E1242" s="3" t="n">
        <v>-0.5</v>
      </c>
      <c r="F1242" s="4" t="n">
        <v>-16.7</v>
      </c>
      <c r="G1242" s="2" t="inlineStr">
        <is>
          <t>🔵 Floored $2.49 — free ship or $0.99 ship?</t>
        </is>
      </c>
      <c r="H1242" s="2" t="inlineStr">
        <is>
          <t>73%</t>
        </is>
      </c>
      <c r="I1242" s="2">
        <f>HYPERLINK("https://www.ebay.com/sch/261328/i.html?_dcat=261328&amp;_fsrp=1&amp;rt=nc&amp;_from=R40&amp;_nkw=2025%20Bowman%20Draft%20KAEDEN%20KENT%20%23BDC-65%20Chrome%201st%20Prospect%20Yankees&amp;_sacat=0&amp;_sop=15&amp;rt=nc&amp;LH_BIN=1", "Active")</f>
        <v/>
      </c>
      <c r="J1242" s="2">
        <f>HYPERLINK("https://www.ebay.com/sch/261328/i.html?_from=R40&amp;_nkw=2025%20Bowman%20Draft%20KAEDEN%20KENT%20%23BDC-65%20Chrome%201st%20Prospect%20Yankees&amp;_sacat=0&amp;LH_Sold=1&amp;LH_Complete=1&amp;_sop=13", "Completed")</f>
        <v/>
      </c>
      <c r="K1242" s="2" t="inlineStr">
        <is>
          <t>Kaeden Kent 2025 Bowman 1st Draft Base Chrome Prospects New York Yankees BDC-65</t>
        </is>
      </c>
    </row>
    <row r="1243">
      <c r="A1243" s="5" t="inlineStr">
        <is>
          <t>RBBB5-0001-00058-38083</t>
        </is>
      </c>
      <c r="B1243" s="5" t="inlineStr">
        <is>
          <t>2025 Bowman Chrome KEVIN DEFRANK #BCP-205 Mini Diamond Refractor 1st Prospect</t>
        </is>
      </c>
      <c r="C1243" s="6" t="n">
        <v>7.19</v>
      </c>
      <c r="D1243" s="6" t="n">
        <v>7.89</v>
      </c>
      <c r="E1243" s="6" t="n">
        <v>0.7</v>
      </c>
      <c r="F1243" s="7" t="n">
        <v>9.699999999999999</v>
      </c>
      <c r="G1243" s="5" t="inlineStr">
        <is>
          <t>⬆ Price Up</t>
        </is>
      </c>
      <c r="H1243" s="5" t="inlineStr">
        <is>
          <t>100%</t>
        </is>
      </c>
      <c r="I1243" s="5">
        <f>HYPERLINK("https://www.ebay.com/sch/261328/i.html?_dcat=261328&amp;_fsrp=1&amp;rt=nc&amp;_from=R40&amp;_nkw=2025%20Bowman%20Chrome%20KEVIN%20DEFRANK%20%23BCP-205%20Mini%20Diamond%20Refractor%201st%20Prospect&amp;_sacat=0&amp;_sop=15&amp;rt=nc&amp;LH_BIN=1", "Active")</f>
        <v/>
      </c>
      <c r="J1243" s="5">
        <f>HYPERLINK("https://www.ebay.com/sch/261328/i.html?_from=R40&amp;_nkw=2025%20Bowman%20Chrome%20KEVIN%20DEFRANK%20%23BCP-205%20Mini%20Diamond%20Refractor%201st%20Prospect&amp;_sacat=0&amp;LH_Sold=1&amp;LH_Complete=1&amp;_sop=13", "Completed")</f>
        <v/>
      </c>
      <c r="K1243" s="5" t="inlineStr">
        <is>
          <t>2025 Bowman Chrome KEVIN DEFRANK #BCP-205 Mini Diamond Refractor 1st Prospect</t>
        </is>
      </c>
    </row>
    <row r="1244">
      <c r="A1244" s="11" t="inlineStr">
        <is>
          <t>RBBB5-0001-00078-68915</t>
        </is>
      </c>
      <c r="B1244" s="11" t="inlineStr">
        <is>
          <t>2025 Bowman Draft XAVIER NEYENS #BIA-14 In Action Astros</t>
        </is>
      </c>
      <c r="C1244" s="12" t="n">
        <v>3.99</v>
      </c>
      <c r="D1244" s="12" t="n">
        <v>2.69</v>
      </c>
      <c r="E1244" s="12" t="n">
        <v>-1.3</v>
      </c>
      <c r="F1244" s="13" t="n">
        <v>-32.6</v>
      </c>
      <c r="G1244" s="11" t="inlineStr">
        <is>
          <t>⬇ Price Down</t>
        </is>
      </c>
      <c r="H1244" s="11" t="inlineStr">
        <is>
          <t>86%</t>
        </is>
      </c>
      <c r="I1244" s="11">
        <f>HYPERLINK("https://www.ebay.com/sch/261328/i.html?_dcat=261328&amp;_fsrp=1&amp;rt=nc&amp;_from=R40&amp;_nkw=2025%20Bowman%20Draft%20XAVIER%20NEYENS%20%23BIA-14%20In%20Action%20Astros&amp;_sacat=0&amp;_sop=15&amp;rt=nc&amp;LH_BIN=1", "Active")</f>
        <v/>
      </c>
      <c r="J1244" s="11">
        <f>HYPERLINK("https://www.ebay.com/sch/261328/i.html?_from=R40&amp;_nkw=2025%20Bowman%20Draft%20XAVIER%20NEYENS%20%23BIA-14%20In%20Action%20Astros&amp;_sacat=0&amp;LH_Sold=1&amp;LH_Complete=1&amp;_sop=13", "Completed")</f>
        <v/>
      </c>
      <c r="K1244" s="11" t="inlineStr">
        <is>
          <t>2025 Bowman Draft #BIA-14 Xavier Neyens Bowman In Action Mojo REF Astros</t>
        </is>
      </c>
    </row>
    <row r="1245">
      <c r="A1245" s="5" t="inlineStr">
        <is>
          <t>RBBB5-0001-00066-60187</t>
        </is>
      </c>
      <c r="B1245" s="5" t="inlineStr">
        <is>
          <t>2025 Topps Chrome Update BRAD LORD #USC77 Geometric Ref RC Nationals Rookie</t>
        </is>
      </c>
      <c r="C1245" s="6" t="n">
        <v>2.99</v>
      </c>
      <c r="D1245" s="6" t="n">
        <v>3.89</v>
      </c>
      <c r="E1245" s="6" t="n">
        <v>0.9</v>
      </c>
      <c r="F1245" s="7" t="n">
        <v>30.1</v>
      </c>
      <c r="G1245" s="5" t="inlineStr">
        <is>
          <t>⬆ Price Up</t>
        </is>
      </c>
      <c r="H1245" s="5" t="inlineStr">
        <is>
          <t>100%</t>
        </is>
      </c>
      <c r="I1245" s="5">
        <f>HYPERLINK("https://www.ebay.com/sch/261328/i.html?_dcat=261328&amp;_fsrp=1&amp;rt=nc&amp;_from=R40&amp;_nkw=2025%20Topps%20Chrome%20Update%20BRAD%20LORD%20%23USC77%20Geometric%20Ref%20RC%20Nationals%20Rookie&amp;_sacat=0&amp;_sop=15&amp;rt=nc&amp;LH_BIN=1", "Active")</f>
        <v/>
      </c>
      <c r="J1245" s="5">
        <f>HYPERLINK("https://www.ebay.com/sch/261328/i.html?_from=R40&amp;_nkw=2025%20Topps%20Chrome%20Update%20BRAD%20LORD%20%23USC77%20Geometric%20Ref%20RC%20Nationals%20Rookie&amp;_sacat=0&amp;LH_Sold=1&amp;LH_Complete=1&amp;_sop=13", "Completed")</f>
        <v/>
      </c>
      <c r="K1245" s="5" t="inlineStr">
        <is>
          <t>2025 Topps Chrome Update BRAD LORD #USC77 Geometric Ref RC Nationals Rookie</t>
        </is>
      </c>
    </row>
    <row r="1246">
      <c r="A1246" s="2" t="inlineStr">
        <is>
          <t>RBBB5-0001-00065-39461</t>
        </is>
      </c>
      <c r="B1246" s="2" t="inlineStr">
        <is>
          <t>2025 Bowman Chrome KEVIN DEFRANK #BCP-205 1st Prospect Marlins</t>
        </is>
      </c>
      <c r="C1246" s="3" t="n">
        <v>3.99</v>
      </c>
      <c r="D1246" s="3" t="n">
        <v>2.49</v>
      </c>
      <c r="E1246" s="3" t="n">
        <v>-1.5</v>
      </c>
      <c r="F1246" s="4" t="n">
        <v>-37.6</v>
      </c>
      <c r="G1246" s="2" t="inlineStr">
        <is>
          <t>🔵 Floored $2.49 — free ship or $0.99 ship?</t>
        </is>
      </c>
      <c r="H1246" s="2" t="inlineStr">
        <is>
          <t>85%</t>
        </is>
      </c>
      <c r="I1246" s="2">
        <f>HYPERLINK("https://www.ebay.com/sch/261328/i.html?_dcat=261328&amp;_fsrp=1&amp;rt=nc&amp;_from=R40&amp;_nkw=2025%20Bowman%20Chrome%20KEVIN%20DEFRANK%20%23BCP-205%201st%20Prospect%20Marlins&amp;_sacat=0&amp;_sop=15&amp;rt=nc&amp;LH_BIN=1", "Active")</f>
        <v/>
      </c>
      <c r="J1246" s="2">
        <f>HYPERLINK("https://www.ebay.com/sch/261328/i.html?_from=R40&amp;_nkw=2025%20Bowman%20Chrome%20KEVIN%20DEFRANK%20%23BCP-205%201st%20Prospect%20Marlins&amp;_sacat=0&amp;LH_Sold=1&amp;LH_Complete=1&amp;_sop=13", "Completed")</f>
        <v/>
      </c>
      <c r="K1246" s="2" t="inlineStr">
        <is>
          <t>2025 Bowman Chrome Kevin Defrank #BCP-205 Chrome 1st Bowman Miami Marlins</t>
        </is>
      </c>
    </row>
    <row r="1247">
      <c r="A1247" s="2" t="inlineStr">
        <is>
          <t>BD-000084-skhxz</t>
        </is>
      </c>
      <c r="B1247" s="2" t="inlineStr">
        <is>
          <t>2025 Bowman Draft SEAN GAMBLE #BDC-178 Chrome Refractor Kansas City Royals</t>
        </is>
      </c>
      <c r="C1247" s="3" t="n">
        <v>3.49</v>
      </c>
      <c r="D1247" s="3" t="n">
        <v>2.49</v>
      </c>
      <c r="E1247" s="3" t="n">
        <v>-1</v>
      </c>
      <c r="F1247" s="4" t="n">
        <v>-28.7</v>
      </c>
      <c r="G1247" s="2" t="inlineStr">
        <is>
          <t>🔵 Floored $2.49 — free ship or $0.99 ship?</t>
        </is>
      </c>
      <c r="H1247" s="2" t="inlineStr">
        <is>
          <t>84%</t>
        </is>
      </c>
      <c r="I1247" s="2">
        <f>HYPERLINK("https://www.ebay.com/sch/261328/i.html?_dcat=261328&amp;_fsrp=1&amp;rt=nc&amp;_from=R40&amp;_nkw=2025%20Bowman%20Draft%20SEAN%20GAMBLE%20%23BDC-178%20Chrome%20Refractor%20Kansas%20City%20Royals&amp;_sacat=0&amp;_sop=15&amp;rt=nc&amp;LH_BIN=1", "Active")</f>
        <v/>
      </c>
      <c r="J1247" s="2">
        <f>HYPERLINK("https://www.ebay.com/sch/261328/i.html?_from=R40&amp;_nkw=2025%20Bowman%20Draft%20SEAN%20GAMBLE%20%23BDC-178%20Chrome%20Refractor%20Kansas%20City%20Royals&amp;_sacat=0&amp;LH_Sold=1&amp;LH_Complete=1&amp;_sop=13", "Completed")</f>
        <v/>
      </c>
      <c r="K1247" s="2" t="inlineStr">
        <is>
          <t>2025 Bowman Draft #BDC-178 Sean Gamble Chrome Mojo Refractor</t>
        </is>
      </c>
    </row>
    <row r="1248">
      <c r="A1248" s="8" t="inlineStr">
        <is>
          <t>RBBB5-0001-00107-89994</t>
        </is>
      </c>
      <c r="B1248" s="8" t="inlineStr">
        <is>
          <t>2025 Topps Chrome QUINCY RILEY #369 Rookie Refractor RC Saints Football</t>
        </is>
      </c>
      <c r="C1248" s="9" t="n">
        <v>2.49</v>
      </c>
      <c r="D1248" s="9" t="n">
        <v>2.49</v>
      </c>
      <c r="E1248" s="9" t="n">
        <v>0</v>
      </c>
      <c r="F1248" s="10" t="n">
        <v>0</v>
      </c>
      <c r="G1248" s="8" t="inlineStr">
        <is>
          <t>— No Change</t>
        </is>
      </c>
      <c r="H1248" s="8" t="inlineStr">
        <is>
          <t>70%</t>
        </is>
      </c>
      <c r="I1248" s="8">
        <f>HYPERLINK("https://www.ebay.com/sch/261328/i.html?_dcat=261328&amp;_fsrp=1&amp;rt=nc&amp;_from=R40&amp;_nkw=2025%20Topps%20Chrome%20QUINCY%20RILEY%20%23369%20Rookie%20Refractor%20RC%20Saints%20Football&amp;_sacat=0&amp;_sop=15&amp;rt=nc&amp;LH_BIN=1", "Active")</f>
        <v/>
      </c>
      <c r="J1248" s="8">
        <f>HYPERLINK("https://www.ebay.com/sch/261328/i.html?_from=R40&amp;_nkw=2025%20Topps%20Chrome%20QUINCY%20RILEY%20%23369%20Rookie%20Refractor%20RC%20Saints%20Football&amp;_sacat=0&amp;LH_Sold=1&amp;LH_Complete=1&amp;_sop=13", "Completed")</f>
        <v/>
      </c>
      <c r="K1248" s="8" t="inlineStr">
        <is>
          <t>2025 Topps Chrome Football REFRACTORS ONLY (BUY 3 GET 1 FREE) You Pick/Choose</t>
        </is>
      </c>
    </row>
    <row r="1249">
      <c r="A1249" s="11" t="inlineStr">
        <is>
          <t>RBBB5-0001-00141-91287</t>
        </is>
      </c>
      <c r="B1249" s="11" t="inlineStr">
        <is>
          <t>2025 Bowman Draft JOJO PARKER #BDC-8 Chrome 1st Prospect Blue Jays</t>
        </is>
      </c>
      <c r="C1249" s="12" t="n">
        <v>4.49</v>
      </c>
      <c r="D1249" s="12" t="n">
        <v>3.89</v>
      </c>
      <c r="E1249" s="12" t="n">
        <v>-0.6</v>
      </c>
      <c r="F1249" s="13" t="n">
        <v>-13.4</v>
      </c>
      <c r="G1249" s="11" t="inlineStr">
        <is>
          <t>⬇ Price Down</t>
        </is>
      </c>
      <c r="H1249" s="11" t="inlineStr">
        <is>
          <t>81%</t>
        </is>
      </c>
      <c r="I1249" s="11">
        <f>HYPERLINK("https://www.ebay.com/sch/261328/i.html?_dcat=261328&amp;_fsrp=1&amp;rt=nc&amp;_from=R40&amp;_nkw=2025%20Bowman%20Draft%20JOJO%20PARKER%20%23BDC-8%20Chrome%201st%20Prospect%20Blue%20Jays&amp;_sacat=0&amp;_sop=15&amp;rt=nc&amp;LH_BIN=1", "Active")</f>
        <v/>
      </c>
      <c r="J1249" s="11">
        <f>HYPERLINK("https://www.ebay.com/sch/261328/i.html?_from=R40&amp;_nkw=2025%20Bowman%20Draft%20JOJO%20PARKER%20%23BDC-8%20Chrome%201st%20Prospect%20Blue%20Jays&amp;_sacat=0&amp;LH_Sold=1&amp;LH_Complete=1&amp;_sop=13", "Completed")</f>
        <v/>
      </c>
      <c r="K1249" s="11" t="inlineStr">
        <is>
          <t>JoJo Parker 1st Chrome 2025 Bowman Draft #BDC-8 Blue Jays Prospect First</t>
        </is>
      </c>
    </row>
    <row r="1250">
      <c r="A1250" s="8" t="inlineStr">
        <is>
          <t>RBBB5-0001-00130-21052</t>
        </is>
      </c>
      <c r="B1250" s="8" t="inlineStr">
        <is>
          <t>2025 Topps Chrome BRYCE YOUNG #40 Refractor Panthers</t>
        </is>
      </c>
      <c r="C1250" s="9" t="n">
        <v>2.49</v>
      </c>
      <c r="D1250" s="9" t="n">
        <v>2.49</v>
      </c>
      <c r="E1250" s="9" t="n">
        <v>0</v>
      </c>
      <c r="F1250" s="10" t="n">
        <v>0</v>
      </c>
      <c r="G1250" s="8" t="inlineStr">
        <is>
          <t>— No Change</t>
        </is>
      </c>
      <c r="H1250" s="8" t="inlineStr">
        <is>
          <t>66%</t>
        </is>
      </c>
      <c r="I1250" s="8">
        <f>HYPERLINK("https://www.ebay.com/sch/261328/i.html?_dcat=261328&amp;_fsrp=1&amp;rt=nc&amp;_from=R40&amp;_nkw=2025%20Topps%20Chrome%20BRYCE%20YOUNG%20%2340%20Refractor%20Panthers&amp;_sacat=0&amp;_sop=15&amp;rt=nc&amp;LH_BIN=1", "Active")</f>
        <v/>
      </c>
      <c r="J1250" s="8">
        <f>HYPERLINK("https://www.ebay.com/sch/261328/i.html?_from=R40&amp;_nkw=2025%20Topps%20Chrome%20BRYCE%20YOUNG%20%2340%20Refractor%20Panthers&amp;_sacat=0&amp;LH_Sold=1&amp;LH_Complete=1&amp;_sop=13", "Completed")</f>
        <v/>
      </c>
      <c r="K1250" s="8" t="inlineStr">
        <is>
          <t>30% off! 2025 Topps Chrome Football - Base Refractor - You pick! Free Shipping</t>
        </is>
      </c>
    </row>
    <row r="1251">
      <c r="A1251" s="8" t="inlineStr">
        <is>
          <t>RBBB5-0001-00147-50717</t>
        </is>
      </c>
      <c r="B1251" s="8" t="inlineStr">
        <is>
          <t>2025 Topps Chrome Update JACOB WILSON #USC150 RC Athletics Rookie</t>
        </is>
      </c>
      <c r="C1251" s="9" t="n">
        <v>2.49</v>
      </c>
      <c r="D1251" s="9" t="n">
        <v>2.49</v>
      </c>
      <c r="E1251" s="9" t="n">
        <v>0</v>
      </c>
      <c r="F1251" s="10" t="n">
        <v>0</v>
      </c>
      <c r="G1251" s="8" t="inlineStr">
        <is>
          <t>— No Change</t>
        </is>
      </c>
      <c r="H1251" s="8" t="inlineStr">
        <is>
          <t>85%</t>
        </is>
      </c>
      <c r="I1251" s="8">
        <f>HYPERLINK("https://www.ebay.com/sch/261328/i.html?_dcat=261328&amp;_fsrp=1&amp;rt=nc&amp;_from=R40&amp;_nkw=2025%20Topps%20Chrome%20Update%20JACOB%20WILSON%20%23USC150%20RC%20Athletics%20Rookie&amp;_sacat=0&amp;_sop=15&amp;rt=nc&amp;LH_BIN=1", "Active")</f>
        <v/>
      </c>
      <c r="J1251" s="8">
        <f>HYPERLINK("https://www.ebay.com/sch/261328/i.html?_from=R40&amp;_nkw=2025%20Topps%20Chrome%20Update%20JACOB%20WILSON%20%23USC150%20RC%20Athletics%20Rookie&amp;_sacat=0&amp;LH_Sold=1&amp;LH_Complete=1&amp;_sop=13", "Completed")</f>
        <v/>
      </c>
      <c r="K1251" s="8" t="inlineStr">
        <is>
          <t>2025 Topps Chrome Update #USC150 Jacob Wilson RC</t>
        </is>
      </c>
    </row>
    <row r="1252">
      <c r="A1252" s="11" t="inlineStr">
        <is>
          <t>RBBB5-0001-00120-95232</t>
        </is>
      </c>
      <c r="B1252" s="11" t="inlineStr">
        <is>
          <t>2025 Topps Chrome CAM WARD #314 Rookie Refractor RC Titans Football</t>
        </is>
      </c>
      <c r="C1252" s="12" t="n">
        <v>25</v>
      </c>
      <c r="D1252" s="12" t="n">
        <v>2.89</v>
      </c>
      <c r="E1252" s="12" t="n">
        <v>-22.11</v>
      </c>
      <c r="F1252" s="13" t="n">
        <v>-88.40000000000001</v>
      </c>
      <c r="G1252" s="11" t="inlineStr">
        <is>
          <t>⬇ Price Down</t>
        </is>
      </c>
      <c r="H1252" s="11" t="inlineStr">
        <is>
          <t>83%</t>
        </is>
      </c>
      <c r="I1252" s="11">
        <f>HYPERLINK("https://www.ebay.com/sch/261328/i.html?_dcat=261328&amp;_fsrp=1&amp;rt=nc&amp;_from=R40&amp;_nkw=2025%20Topps%20Chrome%20CAM%20WARD%20%23314%20Rookie%20Refractor%20RC%20Titans%20Football&amp;_sacat=0&amp;_sop=15&amp;rt=nc&amp;LH_BIN=1", "Active")</f>
        <v/>
      </c>
      <c r="J1252" s="11">
        <f>HYPERLINK("https://www.ebay.com/sch/261328/i.html?_from=R40&amp;_nkw=2025%20Topps%20Chrome%20CAM%20WARD%20%23314%20Rookie%20Refractor%20RC%20Titans%20Football&amp;_sacat=0&amp;LH_Sold=1&amp;LH_Complete=1&amp;_sop=13", "Completed")</f>
        <v/>
      </c>
      <c r="K1252" s="11" t="inlineStr">
        <is>
          <t>2025 Topps Chrome Football Cam Ward #314 RC Titans</t>
        </is>
      </c>
    </row>
    <row r="1253">
      <c r="A1253" s="2" t="inlineStr">
        <is>
          <t>RBBB5-0001-00133-96977</t>
        </is>
      </c>
      <c r="B1253" s="2" t="inlineStr">
        <is>
          <t>2025 Bowman Draft EDUARDO QUINTERO #BDC-111 Chrome Refractor Dodgers</t>
        </is>
      </c>
      <c r="C1253" s="3" t="n">
        <v>4.49</v>
      </c>
      <c r="D1253" s="3" t="n">
        <v>2.49</v>
      </c>
      <c r="E1253" s="3" t="n">
        <v>-2</v>
      </c>
      <c r="F1253" s="4" t="n">
        <v>-44.5</v>
      </c>
      <c r="G1253" s="2" t="inlineStr">
        <is>
          <t>🔵 Floored $2.49 — free ship or $0.99 ship?</t>
        </is>
      </c>
      <c r="H1253" s="2" t="inlineStr">
        <is>
          <t>79%</t>
        </is>
      </c>
      <c r="I1253" s="2">
        <f>HYPERLINK("https://www.ebay.com/sch/261328/i.html?_dcat=261328&amp;_fsrp=1&amp;rt=nc&amp;_from=R40&amp;_nkw=2025%20Bowman%20Draft%20EDUARDO%20QUINTERO%20%23BDC-111%20Chrome%20Refractor%20Dodgers&amp;_sacat=0&amp;_sop=15&amp;rt=nc&amp;LH_BIN=1", "Active")</f>
        <v/>
      </c>
      <c r="J1253" s="2">
        <f>HYPERLINK("https://www.ebay.com/sch/261328/i.html?_from=R40&amp;_nkw=2025%20Bowman%20Draft%20EDUARDO%20QUINTERO%20%23BDC-111%20Chrome%20Refractor%20Dodgers&amp;_sacat=0&amp;LH_Sold=1&amp;LH_Complete=1&amp;_sop=13", "Completed")</f>
        <v/>
      </c>
      <c r="K1253" s="2" t="inlineStr">
        <is>
          <t>Eduardo Quintero 2025 Bowman Draft #BDC-111 Chrome LA Dodgers Prospect</t>
        </is>
      </c>
    </row>
    <row r="1254">
      <c r="A1254" s="2" t="inlineStr">
        <is>
          <t>RBBB5-0001-00114-71391</t>
        </is>
      </c>
      <c r="B1254" s="2" t="inlineStr">
        <is>
          <t>2025 Topps Chrome Update NICK KURTZ #USC178 RC Athletics Rookie</t>
        </is>
      </c>
      <c r="C1254" s="3" t="n">
        <v>5.99</v>
      </c>
      <c r="D1254" s="3" t="n">
        <v>2.49</v>
      </c>
      <c r="E1254" s="3" t="n">
        <v>-3.5</v>
      </c>
      <c r="F1254" s="4" t="n">
        <v>-58.4</v>
      </c>
      <c r="G1254" s="2" t="inlineStr">
        <is>
          <t>🔵 Floored $2.49 — free ship or $0.99 ship?</t>
        </is>
      </c>
      <c r="H1254" s="2" t="inlineStr">
        <is>
          <t>88%</t>
        </is>
      </c>
      <c r="I1254" s="2">
        <f>HYPERLINK("https://www.ebay.com/sch/261328/i.html?_dcat=261328&amp;_fsrp=1&amp;rt=nc&amp;_from=R40&amp;_nkw=2025%20Topps%20Chrome%20Update%20NICK%20KURTZ%20%23USC178%20RC%20Athletics%20Rookie&amp;_sacat=0&amp;_sop=15&amp;rt=nc&amp;LH_BIN=1", "Active")</f>
        <v/>
      </c>
      <c r="J1254" s="2">
        <f>HYPERLINK("https://www.ebay.com/sch/261328/i.html?_from=R40&amp;_nkw=2025%20Topps%20Chrome%20Update%20NICK%20KURTZ%20%23USC178%20RC%20Athletics%20Rookie&amp;_sacat=0&amp;LH_Sold=1&amp;LH_Complete=1&amp;_sop=13", "Completed")</f>
        <v/>
      </c>
      <c r="K1254" s="2" t="inlineStr">
        <is>
          <t>2025 Topps Chrome Update Series Nick Kurtz #USC178 Rookie RC Athletics</t>
        </is>
      </c>
    </row>
    <row r="1255">
      <c r="A1255" s="2" t="inlineStr">
        <is>
          <t>RBBB5-0001-00129-89763</t>
        </is>
      </c>
      <c r="B1255" s="2" t="inlineStr">
        <is>
          <t>2025 Topps Chrome MAASON SMITH #140 Refractor Jaguars Football</t>
        </is>
      </c>
      <c r="C1255" s="3" t="n">
        <v>2.99</v>
      </c>
      <c r="D1255" s="3" t="n">
        <v>2.49</v>
      </c>
      <c r="E1255" s="3" t="n">
        <v>-0.5</v>
      </c>
      <c r="F1255" s="4" t="n">
        <v>-16.7</v>
      </c>
      <c r="G1255" s="2" t="inlineStr">
        <is>
          <t>🔵 Floored $2.49 — free ship or $0.99 ship?</t>
        </is>
      </c>
      <c r="H1255" s="2" t="inlineStr">
        <is>
          <t>64%</t>
        </is>
      </c>
      <c r="I1255" s="2">
        <f>HYPERLINK("https://www.ebay.com/sch/261328/i.html?_dcat=261328&amp;_fsrp=1&amp;rt=nc&amp;_from=R40&amp;_nkw=2025%20Topps%20Chrome%20MAASON%20SMITH%20%23140%20Refractor%20Jaguars%20Football&amp;_sacat=0&amp;_sop=15&amp;rt=nc&amp;LH_BIN=1", "Active")</f>
        <v/>
      </c>
      <c r="J1255" s="2">
        <f>HYPERLINK("https://www.ebay.com/sch/261328/i.html?_from=R40&amp;_nkw=2025%20Topps%20Chrome%20MAASON%20SMITH%20%23140%20Refractor%20Jaguars%20Football&amp;_sacat=0&amp;LH_Sold=1&amp;LH_Complete=1&amp;_sop=13", "Completed")</f>
        <v/>
      </c>
      <c r="K1255" s="2" t="inlineStr">
        <is>
          <t>2025 Topps Chrome Football REFRACTORS ONLY (BUY 3 GET 1 FREE) You Pick/Choose</t>
        </is>
      </c>
    </row>
    <row r="1256">
      <c r="A1256" s="2" t="inlineStr">
        <is>
          <t>RBBB5-0001-00121-21847</t>
        </is>
      </c>
      <c r="B1256" s="2" t="inlineStr">
        <is>
          <t>2025 Bowman Chrome JACOB WILSON #1 RC Athletics Rookie</t>
        </is>
      </c>
      <c r="C1256" s="3" t="n">
        <v>2.99</v>
      </c>
      <c r="D1256" s="3" t="n">
        <v>2.49</v>
      </c>
      <c r="E1256" s="3" t="n">
        <v>-0.5</v>
      </c>
      <c r="F1256" s="4" t="n">
        <v>-16.7</v>
      </c>
      <c r="G1256" s="2" t="inlineStr">
        <is>
          <t>🔵 Floored $2.49 — free ship or $0.99 ship?</t>
        </is>
      </c>
      <c r="H1256" s="2" t="inlineStr">
        <is>
          <t>67%</t>
        </is>
      </c>
      <c r="I1256" s="2">
        <f>HYPERLINK("https://www.ebay.com/sch/261328/i.html?_dcat=261328&amp;_fsrp=1&amp;rt=nc&amp;_from=R40&amp;_nkw=2025%20Bowman%20Chrome%20JACOB%20WILSON%20%231%20RC%20Athletics%20Rookie&amp;_sacat=0&amp;_sop=15&amp;rt=nc&amp;LH_BIN=1", "Active")</f>
        <v/>
      </c>
      <c r="J1256" s="2">
        <f>HYPERLINK("https://www.ebay.com/sch/261328/i.html?_from=R40&amp;_nkw=2025%20Bowman%20Chrome%20JACOB%20WILSON%20%231%20RC%20Athletics%20Rookie&amp;_sacat=0&amp;LH_Sold=1&amp;LH_Complete=1&amp;_sop=13", "Completed")</f>
        <v/>
      </c>
      <c r="K1256" s="2" t="inlineStr">
        <is>
          <t>2025 Bowman Chrome BASE with RED Rookie Variations You Pick - 2 Card Minimum</t>
        </is>
      </c>
    </row>
    <row r="1257">
      <c r="A1257" s="2" t="inlineStr">
        <is>
          <t>RBBB5-0001-00134-16195</t>
        </is>
      </c>
      <c r="B1257" s="2" t="inlineStr">
        <is>
          <t>2025 Bowman Chrome KRISTIAN CAMPBELL #MM-2 Melt Mashers RC Red Sox Rookie</t>
        </is>
      </c>
      <c r="C1257" s="3" t="n">
        <v>2.99</v>
      </c>
      <c r="D1257" s="3" t="n">
        <v>2.49</v>
      </c>
      <c r="E1257" s="3" t="n">
        <v>-0.5</v>
      </c>
      <c r="F1257" s="4" t="n">
        <v>-16.7</v>
      </c>
      <c r="G1257" s="2" t="inlineStr">
        <is>
          <t>🔵 Floored $2.49 — free ship or $0.99 ship?</t>
        </is>
      </c>
      <c r="H1257" s="2" t="inlineStr">
        <is>
          <t>90%</t>
        </is>
      </c>
      <c r="I1257" s="2">
        <f>HYPERLINK("https://www.ebay.com/sch/261328/i.html?_dcat=261328&amp;_fsrp=1&amp;rt=nc&amp;_from=R40&amp;_nkw=2025%20Bowman%20Chrome%20KRISTIAN%20CAMPBELL%20%23MM-2%20Melt%20Mashers%20RC%20Red%20Sox%20Rookie&amp;_sacat=0&amp;_sop=15&amp;rt=nc&amp;LH_BIN=1", "Active")</f>
        <v/>
      </c>
      <c r="J1257" s="2">
        <f>HYPERLINK("https://www.ebay.com/sch/261328/i.html?_from=R40&amp;_nkw=2025%20Bowman%20Chrome%20KRISTIAN%20CAMPBELL%20%23MM-2%20Melt%20Mashers%20RC%20Red%20Sox%20Rookie&amp;_sacat=0&amp;LH_Sold=1&amp;LH_Complete=1&amp;_sop=13", "Completed")</f>
        <v/>
      </c>
      <c r="K1257" s="2" t="inlineStr">
        <is>
          <t>2025 Bowman Chrome Kristian Campbell Melt Mashers RC Rookie #MM-2 Red Sox</t>
        </is>
      </c>
    </row>
    <row r="1258">
      <c r="A1258" s="8" t="inlineStr">
        <is>
          <t>RBBB5-0001-00132-98069</t>
        </is>
      </c>
      <c r="B1258" s="8" t="inlineStr">
        <is>
          <t>2025 Topps Chrome Update CARLOS CORREA #USC164 Astros</t>
        </is>
      </c>
      <c r="C1258" s="9" t="n">
        <v>2.49</v>
      </c>
      <c r="D1258" s="9" t="n">
        <v>2.49</v>
      </c>
      <c r="E1258" s="9" t="n">
        <v>0</v>
      </c>
      <c r="F1258" s="10" t="n">
        <v>0</v>
      </c>
      <c r="G1258" s="8" t="inlineStr">
        <is>
          <t>— No Change</t>
        </is>
      </c>
      <c r="H1258" s="8" t="inlineStr">
        <is>
          <t>67%</t>
        </is>
      </c>
      <c r="I1258" s="8">
        <f>HYPERLINK("https://www.ebay.com/sch/261328/i.html?_dcat=261328&amp;_fsrp=1&amp;rt=nc&amp;_from=R40&amp;_nkw=2025%20Topps%20Chrome%20Update%20CARLOS%20CORREA%20%23USC164%20Astros&amp;_sacat=0&amp;_sop=15&amp;rt=nc&amp;LH_BIN=1", "Active")</f>
        <v/>
      </c>
      <c r="J1258" s="8">
        <f>HYPERLINK("https://www.ebay.com/sch/261328/i.html?_from=R40&amp;_nkw=2025%20Topps%20Chrome%20Update%20CARLOS%20CORREA%20%23USC164%20Astros&amp;_sacat=0&amp;LH_Sold=1&amp;LH_Complete=1&amp;_sop=13", "Completed")</f>
        <v/>
      </c>
      <c r="K1258" s="8" t="inlineStr">
        <is>
          <t>2025 Topps Chrome Update Baseball #USC1-#USC200: You Pick Complete Your Set</t>
        </is>
      </c>
    </row>
    <row r="1259">
      <c r="A1259" s="2" t="inlineStr">
        <is>
          <t>RBBB5-0001-00128-57232</t>
        </is>
      </c>
      <c r="B1259" s="2" t="inlineStr">
        <is>
          <t>2025 Topps Chrome KALEB JOHNSON #323 Rookie RC Steelers Football</t>
        </is>
      </c>
      <c r="C1259" s="3" t="n">
        <v>2.99</v>
      </c>
      <c r="D1259" s="3" t="n">
        <v>2.49</v>
      </c>
      <c r="E1259" s="3" t="n">
        <v>-0.5</v>
      </c>
      <c r="F1259" s="4" t="n">
        <v>-16.7</v>
      </c>
      <c r="G1259" s="2" t="inlineStr">
        <is>
          <t>🔵 Floored $2.49 — free ship or $0.99 ship?</t>
        </is>
      </c>
      <c r="H1259" s="2" t="inlineStr">
        <is>
          <t>64%</t>
        </is>
      </c>
      <c r="I1259" s="2">
        <f>HYPERLINK("https://www.ebay.com/sch/261328/i.html?_dcat=261328&amp;_fsrp=1&amp;rt=nc&amp;_from=R40&amp;_nkw=2025%20Topps%20Chrome%20KALEB%20JOHNSON%20%23323%20Rookie%20RC%20Steelers%20Football&amp;_sacat=0&amp;_sop=15&amp;rt=nc&amp;LH_BIN=1", "Active")</f>
        <v/>
      </c>
      <c r="J1259" s="2">
        <f>HYPERLINK("https://www.ebay.com/sch/261328/i.html?_from=R40&amp;_nkw=2025%20Topps%20Chrome%20KALEB%20JOHNSON%20%23323%20Rookie%20RC%20Steelers%20Football&amp;_sacat=0&amp;LH_Sold=1&amp;LH_Complete=1&amp;_sop=13", "Completed")</f>
        <v/>
      </c>
      <c r="K1259" s="2" t="inlineStr">
        <is>
          <t>2025 Topps Chrome Football BASE 251-400 with Rookies You Pick - 2 Card Minimum</t>
        </is>
      </c>
    </row>
    <row r="1260">
      <c r="A1260" s="8" t="inlineStr">
        <is>
          <t>RBBB5-0001-00106-85937</t>
        </is>
      </c>
      <c r="B1260" s="8" t="inlineStr">
        <is>
          <t>2025 Topps Chrome SAQUON BARKLEY #F15-3 Fortune 15 Refractor Eagles Football</t>
        </is>
      </c>
      <c r="C1260" s="9" t="n">
        <v>2.49</v>
      </c>
      <c r="D1260" s="9" t="n">
        <v>2.49</v>
      </c>
      <c r="E1260" s="9" t="n">
        <v>0</v>
      </c>
      <c r="F1260" s="10" t="n">
        <v>0</v>
      </c>
      <c r="G1260" s="8" t="inlineStr">
        <is>
          <t>— No Change</t>
        </is>
      </c>
      <c r="H1260" s="8" t="inlineStr">
        <is>
          <t>88%</t>
        </is>
      </c>
      <c r="I1260" s="8">
        <f>HYPERLINK("https://www.ebay.com/sch/261328/i.html?_dcat=261328&amp;_fsrp=1&amp;rt=nc&amp;_from=R40&amp;_nkw=2025%20Topps%20Chrome%20SAQUON%20BARKLEY%20%23F15-3%20Fortune%2015%20Refractor%20Eagles%20Football&amp;_sacat=0&amp;_sop=15&amp;rt=nc&amp;LH_BIN=1", "Active")</f>
        <v/>
      </c>
      <c r="J1260" s="8">
        <f>HYPERLINK("https://www.ebay.com/sch/261328/i.html?_from=R40&amp;_nkw=2025%20Topps%20Chrome%20SAQUON%20BARKLEY%20%23F15-3%20Fortune%2015%20Refractor%20Eagles%20Football&amp;_sacat=0&amp;LH_Sold=1&amp;LH_Complete=1&amp;_sop=13", "Completed")</f>
        <v/>
      </c>
      <c r="K1260" s="8" t="inlineStr">
        <is>
          <t>2025 Topps Chrome Saquon Barkley #F15-3 Fortune 15 Refractor - Eagles</t>
        </is>
      </c>
    </row>
    <row r="1261">
      <c r="A1261" s="2" t="inlineStr">
        <is>
          <t>RBBB5-0001-00102-34827</t>
        </is>
      </c>
      <c r="B1261" s="2" t="inlineStr">
        <is>
          <t>2025 Bowman Draft WALKER JENKINS #BDC-159 Chrome Refractor Twins</t>
        </is>
      </c>
      <c r="C1261" s="3" t="n">
        <v>3.49</v>
      </c>
      <c r="D1261" s="3" t="n">
        <v>2.49</v>
      </c>
      <c r="E1261" s="3" t="n">
        <v>-1</v>
      </c>
      <c r="F1261" s="4" t="n">
        <v>-28.7</v>
      </c>
      <c r="G1261" s="2" t="inlineStr">
        <is>
          <t>🔵 Floored $2.49 — free ship or $0.99 ship?</t>
        </is>
      </c>
      <c r="H1261" s="2" t="inlineStr">
        <is>
          <t>87%</t>
        </is>
      </c>
      <c r="I1261" s="2">
        <f>HYPERLINK("https://www.ebay.com/sch/261328/i.html?_dcat=261328&amp;_fsrp=1&amp;rt=nc&amp;_from=R40&amp;_nkw=2025%20Bowman%20Draft%20WALKER%20JENKINS%20%23BDC-159%20Chrome%20Refractor%20Twins&amp;_sacat=0&amp;_sop=15&amp;rt=nc&amp;LH_BIN=1", "Active")</f>
        <v/>
      </c>
      <c r="J1261" s="2">
        <f>HYPERLINK("https://www.ebay.com/sch/261328/i.html?_from=R40&amp;_nkw=2025%20Bowman%20Draft%20WALKER%20JENKINS%20%23BDC-159%20Chrome%20Refractor%20Twins&amp;_sacat=0&amp;LH_Sold=1&amp;LH_Complete=1&amp;_sop=13", "Completed")</f>
        <v/>
      </c>
      <c r="K1261" s="2" t="inlineStr">
        <is>
          <t>2025 Bowman Draft Chrome Refractor Walker Jenkins #BDC-159 Minnesota Twins</t>
        </is>
      </c>
    </row>
    <row r="1262">
      <c r="A1262" s="2" t="inlineStr">
        <is>
          <t>RBBB5-0001-00145-18484</t>
        </is>
      </c>
      <c r="B1262" s="2" t="inlineStr">
        <is>
          <t>2025 Bowman Draft JJ WETHERHOLT #BDC-145 Chrome Cardinals</t>
        </is>
      </c>
      <c r="C1262" s="3" t="n">
        <v>3.49</v>
      </c>
      <c r="D1262" s="3" t="n">
        <v>2.49</v>
      </c>
      <c r="E1262" s="3" t="n">
        <v>-1</v>
      </c>
      <c r="F1262" s="4" t="n">
        <v>-28.7</v>
      </c>
      <c r="G1262" s="2" t="inlineStr">
        <is>
          <t>🔵 Floored $2.49 — free ship or $0.99 ship?</t>
        </is>
      </c>
      <c r="H1262" s="2" t="inlineStr">
        <is>
          <t>85%</t>
        </is>
      </c>
      <c r="I1262" s="2">
        <f>HYPERLINK("https://www.ebay.com/sch/261328/i.html?_dcat=261328&amp;_fsrp=1&amp;rt=nc&amp;_from=R40&amp;_nkw=2025%20Bowman%20Draft%20JJ%20WETHERHOLT%20%23BDC-145%20Chrome%20Cardinals&amp;_sacat=0&amp;_sop=15&amp;rt=nc&amp;LH_BIN=1", "Active")</f>
        <v/>
      </c>
      <c r="J1262" s="2">
        <f>HYPERLINK("https://www.ebay.com/sch/261328/i.html?_from=R40&amp;_nkw=2025%20Bowman%20Draft%20JJ%20WETHERHOLT%20%23BDC-145%20Chrome%20Cardinals&amp;_sacat=0&amp;LH_Sold=1&amp;LH_Complete=1&amp;_sop=13", "Completed")</f>
        <v/>
      </c>
      <c r="K1262" s="2" t="inlineStr">
        <is>
          <t>2025 Bowman Draft Chrome JJ Wetherholt Chrome #BDC-145 St. Louis Cardinals</t>
        </is>
      </c>
    </row>
    <row r="1263">
      <c r="A1263" s="2" t="inlineStr">
        <is>
          <t>RBBB5-0001-00109-58964</t>
        </is>
      </c>
      <c r="B1263" s="2" t="inlineStr">
        <is>
          <t>2025 Topps Chrome Update LOGAN VANWEY #USC141 Refractor RC Astros Rookie</t>
        </is>
      </c>
      <c r="C1263" s="3" t="n">
        <v>2.99</v>
      </c>
      <c r="D1263" s="3" t="n">
        <v>2.49</v>
      </c>
      <c r="E1263" s="3" t="n">
        <v>-0.5</v>
      </c>
      <c r="F1263" s="4" t="n">
        <v>-16.7</v>
      </c>
      <c r="G1263" s="2" t="inlineStr">
        <is>
          <t>🔵 Floored $2.49 — free ship or $0.99 ship?</t>
        </is>
      </c>
      <c r="H1263" s="2" t="inlineStr">
        <is>
          <t>82%</t>
        </is>
      </c>
      <c r="I1263" s="2">
        <f>HYPERLINK("https://www.ebay.com/sch/261328/i.html?_dcat=261328&amp;_fsrp=1&amp;rt=nc&amp;_from=R40&amp;_nkw=2025%20Topps%20Chrome%20Update%20LOGAN%20VANWEY%20%23USC141%20Refractor%20RC%20Astros%20Rookie&amp;_sacat=0&amp;_sop=15&amp;rt=nc&amp;LH_BIN=1", "Active")</f>
        <v/>
      </c>
      <c r="J1263" s="2">
        <f>HYPERLINK("https://www.ebay.com/sch/261328/i.html?_from=R40&amp;_nkw=2025%20Topps%20Chrome%20Update%20LOGAN%20VANWEY%20%23USC141%20Refractor%20RC%20Astros%20Rookie&amp;_sacat=0&amp;LH_Sold=1&amp;LH_Complete=1&amp;_sop=13", "Completed")</f>
        <v/>
      </c>
      <c r="K1263" s="2" t="inlineStr">
        <is>
          <t>2025 Topps Chrome Update RAYWAVE REFRACTORS You Pick - 2 Card Minimum</t>
        </is>
      </c>
    </row>
    <row r="1264">
      <c r="A1264" s="5" t="inlineStr">
        <is>
          <t>RBBB5-0001-00139-26471</t>
        </is>
      </c>
      <c r="B1264" s="5" t="inlineStr">
        <is>
          <t>2025 Topps Chrome Update YORDAN ALVAREZ #90CU-7 1990 Geometric Refractor Astros</t>
        </is>
      </c>
      <c r="C1264" s="6" t="n">
        <v>2.99</v>
      </c>
      <c r="D1264" s="6" t="n">
        <v>3.89</v>
      </c>
      <c r="E1264" s="6" t="n">
        <v>0.9</v>
      </c>
      <c r="F1264" s="7" t="n">
        <v>30.1</v>
      </c>
      <c r="G1264" s="5" t="inlineStr">
        <is>
          <t>⬆ Price Up</t>
        </is>
      </c>
      <c r="H1264" s="5" t="inlineStr">
        <is>
          <t>100%</t>
        </is>
      </c>
      <c r="I1264" s="5">
        <f>HYPERLINK("https://www.ebay.com/sch/261328/i.html?_dcat=261328&amp;_fsrp=1&amp;rt=nc&amp;_from=R40&amp;_nkw=2025%20Topps%20Chrome%20Update%20YORDAN%20ALVAREZ%20%2390CU-7%201990%20Geometric%20Refractor%20Astros&amp;_sacat=0&amp;_sop=15&amp;rt=nc&amp;LH_BIN=1", "Active")</f>
        <v/>
      </c>
      <c r="J1264" s="5">
        <f>HYPERLINK("https://www.ebay.com/sch/261328/i.html?_from=R40&amp;_nkw=2025%20Topps%20Chrome%20Update%20YORDAN%20ALVAREZ%20%2390CU-7%201990%20Geometric%20Refractor%20Astros&amp;_sacat=0&amp;LH_Sold=1&amp;LH_Complete=1&amp;_sop=13", "Completed")</f>
        <v/>
      </c>
      <c r="K1264" s="5" t="inlineStr">
        <is>
          <t>2025 Topps Chrome Update YORDAN ALVAREZ #90CU-7 1990 Geometric Refractor Astros</t>
        </is>
      </c>
    </row>
    <row r="1265">
      <c r="A1265" s="8" t="inlineStr">
        <is>
          <t>RBBB5-0001-00127-62689</t>
        </is>
      </c>
      <c r="B1265" s="8" t="inlineStr">
        <is>
          <t>2025 Topps Chrome JAHDAE BARRON #359 Rookie RC Broncos Football</t>
        </is>
      </c>
      <c r="C1265" s="9" t="n">
        <v>2.49</v>
      </c>
      <c r="D1265" s="9" t="n">
        <v>2.49</v>
      </c>
      <c r="E1265" s="9" t="n">
        <v>0</v>
      </c>
      <c r="F1265" s="10" t="n">
        <v>0</v>
      </c>
      <c r="G1265" s="8" t="inlineStr">
        <is>
          <t>— No Change</t>
        </is>
      </c>
      <c r="H1265" s="8" t="inlineStr">
        <is>
          <t>63%</t>
        </is>
      </c>
      <c r="I1265" s="8">
        <f>HYPERLINK("https://www.ebay.com/sch/261328/i.html?_dcat=261328&amp;_fsrp=1&amp;rt=nc&amp;_from=R40&amp;_nkw=2025%20Topps%20Chrome%20JAHDAE%20BARRON%20%23359%20Rookie%20RC%20Broncos%20Football&amp;_sacat=0&amp;_sop=15&amp;rt=nc&amp;LH_BIN=1", "Active")</f>
        <v/>
      </c>
      <c r="J1265" s="8">
        <f>HYPERLINK("https://www.ebay.com/sch/261328/i.html?_from=R40&amp;_nkw=2025%20Topps%20Chrome%20JAHDAE%20BARRON%20%23359%20Rookie%20RC%20Broncos%20Football&amp;_sacat=0&amp;LH_Sold=1&amp;LH_Complete=1&amp;_sop=13", "Completed")</f>
        <v/>
      </c>
      <c r="K1265" s="8" t="inlineStr">
        <is>
          <t>2025 Topps Chrome Football - Rookies - You Pick - Complete Your Set: #301-400</t>
        </is>
      </c>
    </row>
    <row r="1266">
      <c r="A1266" s="2" t="inlineStr">
        <is>
          <t>RBBB5-0001-00119-75839</t>
        </is>
      </c>
      <c r="B1266" s="2" t="inlineStr">
        <is>
          <t>2025 Topps Chrome Update NICK KURTZ #USC180 RC Athletics Rookie</t>
        </is>
      </c>
      <c r="C1266" s="3" t="n">
        <v>2.99</v>
      </c>
      <c r="D1266" s="3" t="n">
        <v>2.49</v>
      </c>
      <c r="E1266" s="3" t="n">
        <v>-0.5</v>
      </c>
      <c r="F1266" s="4" t="n">
        <v>-16.7</v>
      </c>
      <c r="G1266" s="2" t="inlineStr">
        <is>
          <t>🔵 Floored $2.49 — free ship or $0.99 ship?</t>
        </is>
      </c>
      <c r="H1266" s="2" t="inlineStr">
        <is>
          <t>86%</t>
        </is>
      </c>
      <c r="I1266" s="2">
        <f>HYPERLINK("https://www.ebay.com/sch/261328/i.html?_dcat=261328&amp;_fsrp=1&amp;rt=nc&amp;_from=R40&amp;_nkw=2025%20Topps%20Chrome%20Update%20NICK%20KURTZ%20%23USC180%20RC%20Athletics%20Rookie&amp;_sacat=0&amp;_sop=15&amp;rt=nc&amp;LH_BIN=1", "Active")</f>
        <v/>
      </c>
      <c r="J1266" s="2">
        <f>HYPERLINK("https://www.ebay.com/sch/261328/i.html?_from=R40&amp;_nkw=2025%20Topps%20Chrome%20Update%20NICK%20KURTZ%20%23USC180%20RC%20Athletics%20Rookie&amp;_sacat=0&amp;LH_Sold=1&amp;LH_Complete=1&amp;_sop=13", "Completed")</f>
        <v/>
      </c>
      <c r="K1266" s="2" t="inlineStr">
        <is>
          <t>2025 Topps Chrome Update Nick Kurtz #USC180 (RC) Rookie Debut</t>
        </is>
      </c>
    </row>
    <row r="1267">
      <c r="A1267" s="11" t="inlineStr">
        <is>
          <t>RBBB5-0001-00137-97309</t>
        </is>
      </c>
      <c r="B1267" s="11" t="inlineStr">
        <is>
          <t>2025 Bowman's Best NICK KURTZ #C-16 Circuitry RC Athletics Rookie</t>
        </is>
      </c>
      <c r="C1267" s="12" t="n">
        <v>5.99</v>
      </c>
      <c r="D1267" s="12" t="n">
        <v>3.59</v>
      </c>
      <c r="E1267" s="12" t="n">
        <v>-2.4</v>
      </c>
      <c r="F1267" s="13" t="n">
        <v>-40.1</v>
      </c>
      <c r="G1267" s="11" t="inlineStr">
        <is>
          <t>⬇ Price Down</t>
        </is>
      </c>
      <c r="H1267" s="11" t="inlineStr">
        <is>
          <t>83%</t>
        </is>
      </c>
      <c r="I1267" s="11">
        <f>HYPERLINK("https://www.ebay.com/sch/261328/i.html?_dcat=261328&amp;_fsrp=1&amp;rt=nc&amp;_from=R40&amp;_nkw=2025%20Bowman's%20Best%20NICK%20KURTZ%20%23C-16%20Circuitry%20RC%20Athletics%20Rookie&amp;_sacat=0&amp;_sop=15&amp;rt=nc&amp;LH_BIN=1", "Active")</f>
        <v/>
      </c>
      <c r="J1267" s="11">
        <f>HYPERLINK("https://www.ebay.com/sch/261328/i.html?_from=R40&amp;_nkw=2025%20Bowman's%20Best%20NICK%20KURTZ%20%23C-16%20Circuitry%20RC%20Athletics%20Rookie&amp;_sacat=0&amp;LH_Sold=1&amp;LH_Complete=1&amp;_sop=13", "Completed")</f>
        <v/>
      </c>
      <c r="K1267" s="11" t="inlineStr">
        <is>
          <t>2025 Bowman’s Best - Nick Kurtz (RC) - Circuitry - #C-16</t>
        </is>
      </c>
    </row>
    <row r="1268">
      <c r="A1268" s="5" t="inlineStr">
        <is>
          <t>RBBB5-0001-00131-02855</t>
        </is>
      </c>
      <c r="B1268" s="5" t="inlineStr">
        <is>
          <t>2025 Bowman Chrome Sapphire COBY MAYO #83 RC Orioles Rookie</t>
        </is>
      </c>
      <c r="C1268" s="6" t="n">
        <v>2.99</v>
      </c>
      <c r="D1268" s="6" t="n">
        <v>3.39</v>
      </c>
      <c r="E1268" s="6" t="n">
        <v>0.4</v>
      </c>
      <c r="F1268" s="7" t="n">
        <v>13.4</v>
      </c>
      <c r="G1268" s="5" t="inlineStr">
        <is>
          <t>⬆ Price Up</t>
        </is>
      </c>
      <c r="H1268" s="5" t="inlineStr">
        <is>
          <t>86%</t>
        </is>
      </c>
      <c r="I1268" s="5">
        <f>HYPERLINK("https://www.ebay.com/sch/261328/i.html?_dcat=261328&amp;_fsrp=1&amp;rt=nc&amp;_from=R40&amp;_nkw=2025%20Bowman%20Chrome%20Sapphire%20COBY%20MAYO%20%2383%20RC%20Orioles%20Rookie&amp;_sacat=0&amp;_sop=15&amp;rt=nc&amp;LH_BIN=1", "Active")</f>
        <v/>
      </c>
      <c r="J1268" s="5">
        <f>HYPERLINK("https://www.ebay.com/sch/261328/i.html?_from=R40&amp;_nkw=2025%20Bowman%20Chrome%20Sapphire%20COBY%20MAYO%20%2383%20RC%20Orioles%20Rookie&amp;_sacat=0&amp;LH_Sold=1&amp;LH_Complete=1&amp;_sop=13", "Completed")</f>
        <v/>
      </c>
      <c r="K1268" s="5" t="inlineStr">
        <is>
          <t>2025 Bowman Chrome Sapphire - Coby Mayo #83 - Baltimore Orioles (RC)</t>
        </is>
      </c>
    </row>
    <row r="1269">
      <c r="A1269" s="8" t="inlineStr">
        <is>
          <t>RBBB5-0001-00116-56818</t>
        </is>
      </c>
      <c r="B1269" s="8" t="inlineStr">
        <is>
          <t>2025 Topps Chrome JOSH SIMMONS #304 Rookie RC Chiefs Football</t>
        </is>
      </c>
      <c r="C1269" s="9" t="n">
        <v>2.49</v>
      </c>
      <c r="D1269" s="9" t="n">
        <v>2.49</v>
      </c>
      <c r="E1269" s="9" t="n">
        <v>0</v>
      </c>
      <c r="F1269" s="10" t="n">
        <v>0</v>
      </c>
      <c r="G1269" s="8" t="inlineStr">
        <is>
          <t>— No Change</t>
        </is>
      </c>
      <c r="H1269" s="8" t="inlineStr">
        <is>
          <t>65%</t>
        </is>
      </c>
      <c r="I1269" s="8">
        <f>HYPERLINK("https://www.ebay.com/sch/261328/i.html?_dcat=261328&amp;_fsrp=1&amp;rt=nc&amp;_from=R40&amp;_nkw=2025%20Topps%20Chrome%20JOSH%20SIMMONS%20%23304%20Rookie%20RC%20Chiefs%20Football&amp;_sacat=0&amp;_sop=15&amp;rt=nc&amp;LH_BIN=1", "Active")</f>
        <v/>
      </c>
      <c r="J1269" s="8">
        <f>HYPERLINK("https://www.ebay.com/sch/261328/i.html?_from=R40&amp;_nkw=2025%20Topps%20Chrome%20JOSH%20SIMMONS%20%23304%20Rookie%20RC%20Chiefs%20Football&amp;_sacat=0&amp;LH_Sold=1&amp;LH_Complete=1&amp;_sop=13", "Completed")</f>
        <v/>
      </c>
      <c r="K1269" s="8" t="inlineStr">
        <is>
          <t>2025 Topps Chrome Football BASE 251-400 with Rookies You Pick - 2 Card Minimum</t>
        </is>
      </c>
    </row>
    <row r="1270">
      <c r="A1270" s="11" t="inlineStr">
        <is>
          <t>RBBB5-0001-00103-42031</t>
        </is>
      </c>
      <c r="B1270" s="11" t="inlineStr">
        <is>
          <t>2025 Bowman Draft ETHAN FREY #BDC-67 Chrome Refractor 1st Prospect Astros</t>
        </is>
      </c>
      <c r="C1270" s="12" t="n">
        <v>5.99</v>
      </c>
      <c r="D1270" s="12" t="n">
        <v>4.19</v>
      </c>
      <c r="E1270" s="12" t="n">
        <v>-1.8</v>
      </c>
      <c r="F1270" s="13" t="n">
        <v>-30.1</v>
      </c>
      <c r="G1270" s="11" t="inlineStr">
        <is>
          <t>⬇ Price Down</t>
        </is>
      </c>
      <c r="H1270" s="11" t="inlineStr">
        <is>
          <t>90%</t>
        </is>
      </c>
      <c r="I1270" s="11">
        <f>HYPERLINK("https://www.ebay.com/sch/261328/i.html?_dcat=261328&amp;_fsrp=1&amp;rt=nc&amp;_from=R40&amp;_nkw=2025%20Bowman%20Draft%20ETHAN%20FREY%20%23BDC-67%20Chrome%20Refractor%201st%20Prospect%20Astros&amp;_sacat=0&amp;_sop=15&amp;rt=nc&amp;LH_BIN=1", "Active")</f>
        <v/>
      </c>
      <c r="J1270" s="11">
        <f>HYPERLINK("https://www.ebay.com/sch/261328/i.html?_from=R40&amp;_nkw=2025%20Bowman%20Draft%20ETHAN%20FREY%20%23BDC-67%20Chrome%20Refractor%201st%20Prospect%20Astros&amp;_sacat=0&amp;LH_Sold=1&amp;LH_Complete=1&amp;_sop=13", "Completed")</f>
        <v/>
      </c>
      <c r="K1270" s="11" t="inlineStr">
        <is>
          <t>2025 Bowman Draft Ethan Frey Chrome Refractor #BDC-67 1st Prospect Astros</t>
        </is>
      </c>
    </row>
    <row r="1271">
      <c r="A1271" s="8" t="inlineStr">
        <is>
          <t>RBBB5-0001-00097-61096</t>
        </is>
      </c>
      <c r="B1271" s="8" t="inlineStr">
        <is>
          <t>2025 Bowman Draft ELI WILLITS #A-1 Axis Chrome Nationals</t>
        </is>
      </c>
      <c r="C1271" s="9" t="n">
        <v>2.49</v>
      </c>
      <c r="D1271" s="9" t="n">
        <v>2.49</v>
      </c>
      <c r="E1271" s="9" t="n">
        <v>0</v>
      </c>
      <c r="F1271" s="10" t="n">
        <v>0</v>
      </c>
      <c r="G1271" s="8" t="inlineStr">
        <is>
          <t>— No Change</t>
        </is>
      </c>
      <c r="H1271" s="8" t="inlineStr">
        <is>
          <t>87%</t>
        </is>
      </c>
      <c r="I1271" s="8">
        <f>HYPERLINK("https://www.ebay.com/sch/261328/i.html?_dcat=261328&amp;_fsrp=1&amp;rt=nc&amp;_from=R40&amp;_nkw=2025%20Bowman%20Draft%20ELI%20WILLITS%20%23A-1%20Axis%20Chrome%20Nationals&amp;_sacat=0&amp;_sop=15&amp;rt=nc&amp;LH_BIN=1", "Active")</f>
        <v/>
      </c>
      <c r="J1271" s="8">
        <f>HYPERLINK("https://www.ebay.com/sch/261328/i.html?_from=R40&amp;_nkw=2025%20Bowman%20Draft%20ELI%20WILLITS%20%23A-1%20Axis%20Chrome%20Nationals&amp;_sacat=0&amp;LH_Sold=1&amp;LH_Complete=1&amp;_sop=13", "Completed")</f>
        <v/>
      </c>
      <c r="K1271" s="8" t="inlineStr">
        <is>
          <t>2025 Bowman Draft Chrome Insert Eli Willits Axis A-1 Nationals</t>
        </is>
      </c>
    </row>
    <row r="1272">
      <c r="A1272" s="5" t="inlineStr">
        <is>
          <t>RBBB5-0001-00143-68890</t>
        </is>
      </c>
      <c r="B1272" s="5" t="inlineStr">
        <is>
          <t>2025 Bowman Draft GAVIN KILEN #PP-14 Chrome Prized Prospects Giants Football</t>
        </is>
      </c>
      <c r="C1272" s="6" t="n">
        <v>2.49</v>
      </c>
      <c r="D1272" s="6" t="n">
        <v>3.39</v>
      </c>
      <c r="E1272" s="6" t="n">
        <v>0.9</v>
      </c>
      <c r="F1272" s="7" t="n">
        <v>36.1</v>
      </c>
      <c r="G1272" s="5" t="inlineStr">
        <is>
          <t>⬆ Price Up</t>
        </is>
      </c>
      <c r="H1272" s="5" t="inlineStr">
        <is>
          <t>100%</t>
        </is>
      </c>
      <c r="I1272" s="5">
        <f>HYPERLINK("https://www.ebay.com/sch/261328/i.html?_dcat=261328&amp;_fsrp=1&amp;rt=nc&amp;_from=R40&amp;_nkw=2025%20Bowman%20Draft%20GAVIN%20KILEN%20%23PP-14%20Chrome%20Prized%20Prospects%20Giants%20Football&amp;_sacat=0&amp;_sop=15&amp;rt=nc&amp;LH_BIN=1", "Active")</f>
        <v/>
      </c>
      <c r="J1272" s="5">
        <f>HYPERLINK("https://www.ebay.com/sch/261328/i.html?_from=R40&amp;_nkw=2025%20Bowman%20Draft%20GAVIN%20KILEN%20%23PP-14%20Chrome%20Prized%20Prospects%20Giants%20Football&amp;_sacat=0&amp;LH_Sold=1&amp;LH_Complete=1&amp;_sop=13", "Completed")</f>
        <v/>
      </c>
      <c r="K1272" s="5" t="inlineStr">
        <is>
          <t>2025 Bowman Draft GAVIN KILEN #PP-14 Chrome Prized Prospects Giants Football</t>
        </is>
      </c>
    </row>
    <row r="1273">
      <c r="A1273" s="5" t="inlineStr">
        <is>
          <t>RBBB5-0001-00105-51543</t>
        </is>
      </c>
      <c r="B1273" s="5" t="inlineStr">
        <is>
          <t>2025 Bowman Draft Sapphire GRIFFIN HUGUS #BDC-101 Chrome 1st Prospect Mariners</t>
        </is>
      </c>
      <c r="C1273" s="6" t="n">
        <v>2.99</v>
      </c>
      <c r="D1273" s="6" t="n">
        <v>3.89</v>
      </c>
      <c r="E1273" s="6" t="n">
        <v>0.9</v>
      </c>
      <c r="F1273" s="7" t="n">
        <v>30.1</v>
      </c>
      <c r="G1273" s="5" t="inlineStr">
        <is>
          <t>⬆ Price Up</t>
        </is>
      </c>
      <c r="H1273" s="5" t="inlineStr">
        <is>
          <t>100%</t>
        </is>
      </c>
      <c r="I1273" s="5">
        <f>HYPERLINK("https://www.ebay.com/sch/261328/i.html?_dcat=261328&amp;_fsrp=1&amp;rt=nc&amp;_from=R40&amp;_nkw=2025%20Bowman%20Draft%20Sapphire%20GRIFFIN%20HUGUS%20%23BDC-101%20Chrome%201st%20Prospect%20Mariners&amp;_sacat=0&amp;_sop=15&amp;rt=nc&amp;LH_BIN=1", "Active")</f>
        <v/>
      </c>
      <c r="J1273" s="5">
        <f>HYPERLINK("https://www.ebay.com/sch/261328/i.html?_from=R40&amp;_nkw=2025%20Bowman%20Draft%20Sapphire%20GRIFFIN%20HUGUS%20%23BDC-101%20Chrome%201st%20Prospect%20Mariners&amp;_sacat=0&amp;LH_Sold=1&amp;LH_Complete=1&amp;_sop=13", "Completed")</f>
        <v/>
      </c>
      <c r="K1273" s="5" t="inlineStr">
        <is>
          <t>2025 Bowman Draft Sapphire GRIFFIN HUGUS #BDC-101 Chrome 1st Prospect Mariners</t>
        </is>
      </c>
    </row>
    <row r="1274">
      <c r="A1274" s="5" t="inlineStr">
        <is>
          <t>RBBB5-0001-00108-69232</t>
        </is>
      </c>
      <c r="B1274" s="5" t="inlineStr">
        <is>
          <t>2025 Topps Chrome TRENT MCDUFFIE #154 Geometric Refractor Chiefs Football</t>
        </is>
      </c>
      <c r="C1274" s="6" t="n">
        <v>5.99</v>
      </c>
      <c r="D1274" s="6" t="n">
        <v>6.79</v>
      </c>
      <c r="E1274" s="6" t="n">
        <v>0.8</v>
      </c>
      <c r="F1274" s="7" t="n">
        <v>13.4</v>
      </c>
      <c r="G1274" s="5" t="inlineStr">
        <is>
          <t>⬆ Price Up</t>
        </is>
      </c>
      <c r="H1274" s="5" t="inlineStr">
        <is>
          <t>100%</t>
        </is>
      </c>
      <c r="I1274" s="5">
        <f>HYPERLINK("https://www.ebay.com/sch/261328/i.html?_dcat=261328&amp;_fsrp=1&amp;rt=nc&amp;_from=R40&amp;_nkw=2025%20Topps%20Chrome%20TRENT%20MCDUFFIE%20%23154%20Geometric%20Refractor%20Chiefs%20Football&amp;_sacat=0&amp;_sop=15&amp;rt=nc&amp;LH_BIN=1", "Active")</f>
        <v/>
      </c>
      <c r="J1274" s="5">
        <f>HYPERLINK("https://www.ebay.com/sch/261328/i.html?_from=R40&amp;_nkw=2025%20Topps%20Chrome%20TRENT%20MCDUFFIE%20%23154%20Geometric%20Refractor%20Chiefs%20Football&amp;_sacat=0&amp;LH_Sold=1&amp;LH_Complete=1&amp;_sop=13", "Completed")</f>
        <v/>
      </c>
      <c r="K1274" s="5" t="inlineStr">
        <is>
          <t>2025 Topps Chrome TRENT MCDUFFIE #154 Geometric Refractor Chiefs Football</t>
        </is>
      </c>
    </row>
    <row r="1275">
      <c r="A1275" s="5" t="inlineStr">
        <is>
          <t>RBBB5-0001-00118-09658</t>
        </is>
      </c>
      <c r="B1275" s="5" t="inlineStr">
        <is>
          <t>2025 Topps Chrome Update DENZEL CLARKE #USC15 Prism Ref RC Athletics Rookie</t>
        </is>
      </c>
      <c r="C1275" s="6" t="n">
        <v>2.49</v>
      </c>
      <c r="D1275" s="6" t="n">
        <v>3.39</v>
      </c>
      <c r="E1275" s="6" t="n">
        <v>0.9</v>
      </c>
      <c r="F1275" s="7" t="n">
        <v>36.1</v>
      </c>
      <c r="G1275" s="5" t="inlineStr">
        <is>
          <t>⬆ Price Up</t>
        </is>
      </c>
      <c r="H1275" s="5" t="inlineStr">
        <is>
          <t>100%</t>
        </is>
      </c>
      <c r="I1275" s="5">
        <f>HYPERLINK("https://www.ebay.com/sch/261328/i.html?_dcat=261328&amp;_fsrp=1&amp;rt=nc&amp;_from=R40&amp;_nkw=2025%20Topps%20Chrome%20Update%20DENZEL%20CLARKE%20%23USC15%20Prism%20Ref%20RC%20Athletics%20Rookie&amp;_sacat=0&amp;_sop=15&amp;rt=nc&amp;LH_BIN=1", "Active")</f>
        <v/>
      </c>
      <c r="J1275" s="5">
        <f>HYPERLINK("https://www.ebay.com/sch/261328/i.html?_from=R40&amp;_nkw=2025%20Topps%20Chrome%20Update%20DENZEL%20CLARKE%20%23USC15%20Prism%20Ref%20RC%20Athletics%20Rookie&amp;_sacat=0&amp;LH_Sold=1&amp;LH_Complete=1&amp;_sop=13", "Completed")</f>
        <v/>
      </c>
      <c r="K1275" s="5" t="inlineStr">
        <is>
          <t>2025 Topps Chrome Update DENZEL CLARKE #USC15 Prism Ref RC Athletics Rookie</t>
        </is>
      </c>
    </row>
    <row r="1276">
      <c r="A1276" s="5" t="inlineStr">
        <is>
          <t>RBBB5-0001-00111-21837</t>
        </is>
      </c>
      <c r="B1276" s="5" t="inlineStr">
        <is>
          <t>2025 Topps Chrome Update COLE HENRY #USC72 Geometric Ref RC Nationals Rookie</t>
        </is>
      </c>
      <c r="C1276" s="6" t="n">
        <v>2.49</v>
      </c>
      <c r="D1276" s="6" t="n">
        <v>3.39</v>
      </c>
      <c r="E1276" s="6" t="n">
        <v>0.9</v>
      </c>
      <c r="F1276" s="7" t="n">
        <v>36.1</v>
      </c>
      <c r="G1276" s="5" t="inlineStr">
        <is>
          <t>⬆ Price Up</t>
        </is>
      </c>
      <c r="H1276" s="5" t="inlineStr">
        <is>
          <t>100%</t>
        </is>
      </c>
      <c r="I1276" s="5">
        <f>HYPERLINK("https://www.ebay.com/sch/261328/i.html?_dcat=261328&amp;_fsrp=1&amp;rt=nc&amp;_from=R40&amp;_nkw=2025%20Topps%20Chrome%20Update%20COLE%20HENRY%20%23USC72%20Geometric%20Ref%20RC%20Nationals%20Rookie&amp;_sacat=0&amp;_sop=15&amp;rt=nc&amp;LH_BIN=1", "Active")</f>
        <v/>
      </c>
      <c r="J1276" s="5">
        <f>HYPERLINK("https://www.ebay.com/sch/261328/i.html?_from=R40&amp;_nkw=2025%20Topps%20Chrome%20Update%20COLE%20HENRY%20%23USC72%20Geometric%20Ref%20RC%20Nationals%20Rookie&amp;_sacat=0&amp;LH_Sold=1&amp;LH_Complete=1&amp;_sop=13", "Completed")</f>
        <v/>
      </c>
      <c r="K1276" s="5" t="inlineStr">
        <is>
          <t>2025 Topps Chrome Update COLE HENRY #USC72 Geometric Ref RC Nationals Rookie</t>
        </is>
      </c>
    </row>
    <row r="1277">
      <c r="A1277" s="8" t="inlineStr">
        <is>
          <t>RBBB5-0001-00135-70424</t>
        </is>
      </c>
      <c r="B1277" s="8" t="inlineStr">
        <is>
          <t>2025 Topps Chrome Update ISAAC PAREDES #USC29 Refractor Astros</t>
        </is>
      </c>
      <c r="C1277" s="9" t="n">
        <v>2.49</v>
      </c>
      <c r="D1277" s="9" t="n">
        <v>2.49</v>
      </c>
      <c r="E1277" s="9" t="n">
        <v>0</v>
      </c>
      <c r="F1277" s="10" t="n">
        <v>0</v>
      </c>
      <c r="G1277" s="8" t="inlineStr">
        <is>
          <t>— No Change</t>
        </is>
      </c>
      <c r="H1277" s="8" t="inlineStr">
        <is>
          <t>70%</t>
        </is>
      </c>
      <c r="I1277" s="8">
        <f>HYPERLINK("https://www.ebay.com/sch/261328/i.html?_dcat=261328&amp;_fsrp=1&amp;rt=nc&amp;_from=R40&amp;_nkw=2025%20Topps%20Chrome%20Update%20ISAAC%20PAREDES%20%23USC29%20Refractor%20Astros&amp;_sacat=0&amp;_sop=15&amp;rt=nc&amp;LH_BIN=1", "Active")</f>
        <v/>
      </c>
      <c r="J1277" s="8">
        <f>HYPERLINK("https://www.ebay.com/sch/261328/i.html?_from=R40&amp;_nkw=2025%20Topps%20Chrome%20Update%20ISAAC%20PAREDES%20%23USC29%20Refractor%20Astros&amp;_sacat=0&amp;LH_Sold=1&amp;LH_Complete=1&amp;_sop=13", "Completed")</f>
        <v/>
      </c>
      <c r="K1277" s="8" t="inlineStr">
        <is>
          <t>2025 Topps Chrome Update REFRACTORS You Pick - 2 Card Minimum</t>
        </is>
      </c>
    </row>
    <row r="1278">
      <c r="A1278" s="11" t="inlineStr">
        <is>
          <t>RBBB5-0001-00006-34515</t>
        </is>
      </c>
      <c r="B1278" s="11" t="inlineStr">
        <is>
          <t>2025 Bowman Draft JESUS MADE #BDC-196 Chrome Refractor Brewers</t>
        </is>
      </c>
      <c r="C1278" s="12" t="n">
        <v>4.99</v>
      </c>
      <c r="D1278" s="12" t="n">
        <v>3.19</v>
      </c>
      <c r="E1278" s="12" t="n">
        <v>-1.8</v>
      </c>
      <c r="F1278" s="13" t="n">
        <v>-36.1</v>
      </c>
      <c r="G1278" s="11" t="inlineStr">
        <is>
          <t>⬇ Price Down</t>
        </is>
      </c>
      <c r="H1278" s="11" t="inlineStr">
        <is>
          <t>78%</t>
        </is>
      </c>
      <c r="I1278" s="11">
        <f>HYPERLINK("https://www.ebay.com/sch/261328/i.html?_dcat=261328&amp;_fsrp=1&amp;rt=nc&amp;_from=R40&amp;_nkw=2025%20Bowman%20Draft%20JESUS%20MADE%20%23BDC-196%20Chrome%20Refractor%20Brewers&amp;_sacat=0&amp;_sop=15&amp;rt=nc&amp;LH_BIN=1", "Active")</f>
        <v/>
      </c>
      <c r="J1278" s="11">
        <f>HYPERLINK("https://www.ebay.com/sch/261328/i.html?_from=R40&amp;_nkw=2025%20Bowman%20Draft%20JESUS%20MADE%20%23BDC-196%20Chrome%20Refractor%20Brewers&amp;_sacat=0&amp;LH_Sold=1&amp;LH_Complete=1&amp;_sop=13", "Completed")</f>
        <v/>
      </c>
      <c r="K1278" s="11" t="inlineStr">
        <is>
          <t>Jesus Made Chrome Refractor 2025 Bowman Draft BDC-196 Milwaukee Brewers</t>
        </is>
      </c>
    </row>
    <row r="1279">
      <c r="A1279" s="2" t="inlineStr">
        <is>
          <t>RBBB5-0001-00012-24697</t>
        </is>
      </c>
      <c r="B1279" s="2" t="inlineStr">
        <is>
          <t>2025 Bowman Draft COLIN YEAMAN #CPA-CY Chrome Auto 1st Prospect Orioles</t>
        </is>
      </c>
      <c r="C1279" s="3" t="n">
        <v>8.19</v>
      </c>
      <c r="D1279" s="3" t="n">
        <v>2.49</v>
      </c>
      <c r="E1279" s="3" t="n">
        <v>-5.7</v>
      </c>
      <c r="F1279" s="4" t="n">
        <v>-69.59999999999999</v>
      </c>
      <c r="G1279" s="2" t="inlineStr">
        <is>
          <t>🔵 Floored $2.49 — free ship or $0.99 ship?</t>
        </is>
      </c>
      <c r="H1279" s="2" t="inlineStr"/>
      <c r="I1279" s="2">
        <f>HYPERLINK("https://www.ebay.com/sch/261328/i.html?_dcat=261328&amp;_fsrp=1&amp;rt=nc&amp;_from=R40&amp;_nkw=2025%20Bowman%20Draft%20COLIN%20YEAMAN%20%23CPA-CY%20Chrome%20Auto%201st%20Prospect%20Orioles&amp;_sacat=0&amp;_sop=15&amp;rt=nc&amp;LH_BIN=1", "Active")</f>
        <v/>
      </c>
      <c r="J1279" s="2">
        <f>HYPERLINK("https://www.ebay.com/sch/261328/i.html?_from=R40&amp;_nkw=2025%20Bowman%20Draft%20COLIN%20YEAMAN%20%23CPA-CY%20Chrome%20Auto%201st%20Prospect%20Orioles&amp;_sacat=0&amp;LH_Sold=1&amp;LH_Complete=1&amp;_sop=13", "Completed")</f>
        <v/>
      </c>
      <c r="K1279" s="2" t="inlineStr">
        <is>
          <t>No Close Result Found</t>
        </is>
      </c>
    </row>
    <row r="1280">
      <c r="A1280" s="11" t="inlineStr">
        <is>
          <t>RBBB5-0001-00001-99588</t>
        </is>
      </c>
      <c r="B1280" s="11" t="inlineStr">
        <is>
          <t>2025 Bowman Draft DEVIN TAYLOR #BDC-135 Chrome Refractor 1st Prospect Athletics</t>
        </is>
      </c>
      <c r="C1280" s="12" t="n">
        <v>2.99</v>
      </c>
      <c r="D1280" s="12" t="n">
        <v>2.89</v>
      </c>
      <c r="E1280" s="12" t="n">
        <v>-0.1</v>
      </c>
      <c r="F1280" s="13" t="n">
        <v>-3.3</v>
      </c>
      <c r="G1280" s="11" t="inlineStr">
        <is>
          <t>⬇ Price Down</t>
        </is>
      </c>
      <c r="H1280" s="11" t="inlineStr">
        <is>
          <t>87%</t>
        </is>
      </c>
      <c r="I1280" s="11">
        <f>HYPERLINK("https://www.ebay.com/sch/261328/i.html?_dcat=261328&amp;_fsrp=1&amp;rt=nc&amp;_from=R40&amp;_nkw=2025%20Bowman%20Draft%20DEVIN%20TAYLOR%20%23BDC-135%20Chrome%20Refractor%201st%20Prospect%20Athletics&amp;_sacat=0&amp;_sop=15&amp;rt=nc&amp;LH_BIN=1", "Active")</f>
        <v/>
      </c>
      <c r="J1280" s="11">
        <f>HYPERLINK("https://www.ebay.com/sch/261328/i.html?_from=R40&amp;_nkw=2025%20Bowman%20Draft%20DEVIN%20TAYLOR%20%23BDC-135%20Chrome%20Refractor%201st%20Prospect%20Athletics&amp;_sacat=0&amp;LH_Sold=1&amp;LH_Complete=1&amp;_sop=13", "Completed")</f>
        <v/>
      </c>
      <c r="K1280" s="11" t="inlineStr">
        <is>
          <t>2025 Bowman Draft Devin Taylor #BDC-135 Chrome Mojo Refractor 1st Prospect</t>
        </is>
      </c>
    </row>
    <row r="1281">
      <c r="A1281" s="5" t="inlineStr">
        <is>
          <t>RBBB5-0001-00040-52745</t>
        </is>
      </c>
      <c r="B1281" s="5" t="inlineStr">
        <is>
          <t>2025 Bowman Draft RAINIEL RODRIGUEZ #BDC-72 Chrome Refractor Cardinals Football</t>
        </is>
      </c>
      <c r="C1281" s="6" t="n">
        <v>3.99</v>
      </c>
      <c r="D1281" s="6" t="n">
        <v>4.79</v>
      </c>
      <c r="E1281" s="6" t="n">
        <v>0.8</v>
      </c>
      <c r="F1281" s="7" t="n">
        <v>20.1</v>
      </c>
      <c r="G1281" s="5" t="inlineStr">
        <is>
          <t>⬆ Price Up</t>
        </is>
      </c>
      <c r="H1281" s="5" t="inlineStr">
        <is>
          <t>100%</t>
        </is>
      </c>
      <c r="I1281" s="5">
        <f>HYPERLINK("https://www.ebay.com/sch/261328/i.html?_dcat=261328&amp;_fsrp=1&amp;rt=nc&amp;_from=R40&amp;_nkw=2025%20Bowman%20Draft%20RAINIEL%20RODRIGUEZ%20%23BDC-72%20Chrome%20Refractor%20Cardinals%20Football&amp;_sacat=0&amp;_sop=15&amp;rt=nc&amp;LH_BIN=1", "Active")</f>
        <v/>
      </c>
      <c r="J1281" s="5">
        <f>HYPERLINK("https://www.ebay.com/sch/261328/i.html?_from=R40&amp;_nkw=2025%20Bowman%20Draft%20RAINIEL%20RODRIGUEZ%20%23BDC-72%20Chrome%20Refractor%20Cardinals%20Football&amp;_sacat=0&amp;LH_Sold=1&amp;LH_Complete=1&amp;_sop=13", "Completed")</f>
        <v/>
      </c>
      <c r="K1281" s="5" t="inlineStr">
        <is>
          <t>2025 Bowman Draft RAINIEL RODRIGUEZ #BDC-72 Chrome Refractor Cardinals Football</t>
        </is>
      </c>
    </row>
    <row r="1282">
      <c r="A1282" s="5" t="inlineStr">
        <is>
          <t>RBBB5-0001-00019-14127</t>
        </is>
      </c>
      <c r="B1282" s="5" t="inlineStr">
        <is>
          <t>2025 Bowman Chrome HAYDEN BIRDSONG #63 Red RC Variation Giants Rookie Football</t>
        </is>
      </c>
      <c r="C1282" s="6" t="n">
        <v>4.49</v>
      </c>
      <c r="D1282" s="6" t="n">
        <v>5.29</v>
      </c>
      <c r="E1282" s="6" t="n">
        <v>0.8</v>
      </c>
      <c r="F1282" s="7" t="n">
        <v>17.8</v>
      </c>
      <c r="G1282" s="5" t="inlineStr">
        <is>
          <t>⬆ Price Up</t>
        </is>
      </c>
      <c r="H1282" s="5" t="inlineStr">
        <is>
          <t>100%</t>
        </is>
      </c>
      <c r="I1282" s="5">
        <f>HYPERLINK("https://www.ebay.com/sch/261328/i.html?_dcat=261328&amp;_fsrp=1&amp;rt=nc&amp;_from=R40&amp;_nkw=2025%20Bowman%20Chrome%20HAYDEN%20BIRDSONG%20%2363%20Red%20RC%20Variation%20Giants%20Rookie%20Football&amp;_sacat=0&amp;_sop=15&amp;rt=nc&amp;LH_BIN=1", "Active")</f>
        <v/>
      </c>
      <c r="J1282" s="5">
        <f>HYPERLINK("https://www.ebay.com/sch/261328/i.html?_from=R40&amp;_nkw=2025%20Bowman%20Chrome%20HAYDEN%20BIRDSONG%20%2363%20Red%20RC%20Variation%20Giants%20Rookie%20Football&amp;_sacat=0&amp;LH_Sold=1&amp;LH_Complete=1&amp;_sop=13", "Completed")</f>
        <v/>
      </c>
      <c r="K1282" s="5" t="inlineStr">
        <is>
          <t>2025 Bowman Chrome HAYDEN BIRDSONG #63 Red RC Variation Giants Rookie Football</t>
        </is>
      </c>
    </row>
    <row r="1283">
      <c r="A1283" s="8" t="inlineStr">
        <is>
          <t>RBBB5-0001-00020-57984</t>
        </is>
      </c>
      <c r="B1283" s="8" t="inlineStr">
        <is>
          <t>2025 Bowman Draft MITCH VOIT #PP-10 Chrome Prized Prospects Mets</t>
        </is>
      </c>
      <c r="C1283" s="9" t="n">
        <v>2.49</v>
      </c>
      <c r="D1283" s="9" t="n">
        <v>2.49</v>
      </c>
      <c r="E1283" s="9" t="n">
        <v>0</v>
      </c>
      <c r="F1283" s="10" t="n">
        <v>0</v>
      </c>
      <c r="G1283" s="8" t="inlineStr">
        <is>
          <t>— No Change</t>
        </is>
      </c>
      <c r="H1283" s="8" t="inlineStr">
        <is>
          <t>100%</t>
        </is>
      </c>
      <c r="I1283" s="8">
        <f>HYPERLINK("https://www.ebay.com/sch/261328/i.html?_dcat=261328&amp;_fsrp=1&amp;rt=nc&amp;_from=R40&amp;_nkw=2025%20Bowman%20Draft%20MITCH%20VOIT%20%23PP-10%20Chrome%20Prized%20Prospects%20Mets&amp;_sacat=0&amp;_sop=15&amp;rt=nc&amp;LH_BIN=1", "Active")</f>
        <v/>
      </c>
      <c r="J1283" s="8">
        <f>HYPERLINK("https://www.ebay.com/sch/261328/i.html?_from=R40&amp;_nkw=2025%20Bowman%20Draft%20MITCH%20VOIT%20%23PP-10%20Chrome%20Prized%20Prospects%20Mets&amp;_sacat=0&amp;LH_Sold=1&amp;LH_Complete=1&amp;_sop=13", "Completed")</f>
        <v/>
      </c>
      <c r="K1283" s="8" t="inlineStr">
        <is>
          <t>2025 Bowman Draft Mitch Voit #PP-10 Chrome Prized Prospects Mets</t>
        </is>
      </c>
    </row>
    <row r="1284">
      <c r="A1284" s="5" t="inlineStr">
        <is>
          <t>RBBB5-0001-00027-04839</t>
        </is>
      </c>
      <c r="B1284" s="5" t="inlineStr">
        <is>
          <t>2025 Bowman Draft CAMERON MILLAR #BDC-176 Chrome Blue Geometric Refractor /150</t>
        </is>
      </c>
      <c r="C1284" s="6" t="n">
        <v>8.19</v>
      </c>
      <c r="D1284" s="6" t="n">
        <v>8.890000000000001</v>
      </c>
      <c r="E1284" s="6" t="n">
        <v>0.7</v>
      </c>
      <c r="F1284" s="7" t="n">
        <v>8.5</v>
      </c>
      <c r="G1284" s="5" t="inlineStr">
        <is>
          <t>⬆ Price Up</t>
        </is>
      </c>
      <c r="H1284" s="5" t="inlineStr">
        <is>
          <t>100%</t>
        </is>
      </c>
      <c r="I1284" s="5">
        <f>HYPERLINK("https://www.ebay.com/sch/261328/i.html?_dcat=261328&amp;_fsrp=1&amp;rt=nc&amp;_from=R40&amp;_nkw=2025%20Bowman%20Draft%20CAMERON%20MILLAR%20%23BDC-176%20Chrome%20Blue%20Geometric%20Refractor%20%2F150&amp;_sacat=0&amp;_sop=15&amp;rt=nc&amp;LH_BIN=1", "Active")</f>
        <v/>
      </c>
      <c r="J1284" s="5">
        <f>HYPERLINK("https://www.ebay.com/sch/261328/i.html?_from=R40&amp;_nkw=2025%20Bowman%20Draft%20CAMERON%20MILLAR%20%23BDC-176%20Chrome%20Blue%20Geometric%20Refractor%20%2F150&amp;_sacat=0&amp;LH_Sold=1&amp;LH_Complete=1&amp;_sop=13", "Completed")</f>
        <v/>
      </c>
      <c r="K1284" s="5" t="inlineStr">
        <is>
          <t>2025 Bowman Draft CAMERON MILLAR #BDC-176 Chrome Blue Geometric Refractor /150</t>
        </is>
      </c>
    </row>
    <row r="1285">
      <c r="A1285" s="2" t="inlineStr">
        <is>
          <t>RBBB5-0001-00018-54863</t>
        </is>
      </c>
      <c r="B1285" s="2" t="inlineStr">
        <is>
          <t>2025 Bowman Draft MITCH VOIT #BDN-4 Night Chrome Mets</t>
        </is>
      </c>
      <c r="C1285" s="3" t="n">
        <v>2.99</v>
      </c>
      <c r="D1285" s="3" t="n">
        <v>2.49</v>
      </c>
      <c r="E1285" s="3" t="n">
        <v>-0.5</v>
      </c>
      <c r="F1285" s="4" t="n">
        <v>-16.7</v>
      </c>
      <c r="G1285" s="2" t="inlineStr">
        <is>
          <t>🔵 Floored $2.49 — free ship or $0.99 ship?</t>
        </is>
      </c>
      <c r="H1285" s="2" t="inlineStr">
        <is>
          <t>75%</t>
        </is>
      </c>
      <c r="I1285" s="2">
        <f>HYPERLINK("https://www.ebay.com/sch/261328/i.html?_dcat=261328&amp;_fsrp=1&amp;rt=nc&amp;_from=R40&amp;_nkw=2025%20Bowman%20Draft%20MITCH%20VOIT%20%23BDN-4%20Night%20Chrome%20Mets&amp;_sacat=0&amp;_sop=15&amp;rt=nc&amp;LH_BIN=1", "Active")</f>
        <v/>
      </c>
      <c r="J1285" s="2">
        <f>HYPERLINK("https://www.ebay.com/sch/261328/i.html?_from=R40&amp;_nkw=2025%20Bowman%20Draft%20MITCH%20VOIT%20%23BDN-4%20Night%20Chrome%20Mets&amp;_sacat=0&amp;LH_Sold=1&amp;LH_Complete=1&amp;_sop=13", "Completed")</f>
        <v/>
      </c>
      <c r="K1285" s="2" t="inlineStr">
        <is>
          <t>Mitch Voit  2025 Bowman Draft Chrome Draft Night BDN-4 | NY Mets #38</t>
        </is>
      </c>
    </row>
    <row r="1286">
      <c r="A1286" s="2" t="inlineStr">
        <is>
          <t>RBBB5-0001-00014-26818</t>
        </is>
      </c>
      <c r="B1286" s="2" t="inlineStr">
        <is>
          <t>2025 Bowman Chrome YULIAN BARRETO #CPA-YU Auto Refractor /499 1st Prospect</t>
        </is>
      </c>
      <c r="C1286" s="3" t="n">
        <v>12.89</v>
      </c>
      <c r="D1286" s="3" t="n">
        <v>2.49</v>
      </c>
      <c r="E1286" s="3" t="n">
        <v>-10.4</v>
      </c>
      <c r="F1286" s="4" t="n">
        <v>-80.7</v>
      </c>
      <c r="G1286" s="2" t="inlineStr">
        <is>
          <t>🔵 Floored $2.49 — free ship or $0.99 ship?</t>
        </is>
      </c>
      <c r="H1286" s="2" t="inlineStr"/>
      <c r="I1286" s="2">
        <f>HYPERLINK("https://www.ebay.com/sch/261328/i.html?_dcat=261328&amp;_fsrp=1&amp;rt=nc&amp;_from=R40&amp;_nkw=2025%20Bowman%20Chrome%20YULIAN%20BARRETO%20%23CPA-YU%20Auto%20Refractor%20%2F499%201st%20Prospect&amp;_sacat=0&amp;_sop=15&amp;rt=nc&amp;LH_BIN=1", "Active")</f>
        <v/>
      </c>
      <c r="J1286" s="2">
        <f>HYPERLINK("https://www.ebay.com/sch/261328/i.html?_from=R40&amp;_nkw=2025%20Bowman%20Chrome%20YULIAN%20BARRETO%20%23CPA-YU%20Auto%20Refractor%20%2F499%201st%20Prospect&amp;_sacat=0&amp;LH_Sold=1&amp;LH_Complete=1&amp;_sop=13", "Completed")</f>
        <v/>
      </c>
      <c r="K1286" s="2" t="inlineStr">
        <is>
          <t>No Close Result Found</t>
        </is>
      </c>
    </row>
    <row r="1287">
      <c r="A1287" s="5" t="inlineStr">
        <is>
          <t>RBBB5-0001-00003-19004</t>
        </is>
      </c>
      <c r="B1287" s="5" t="inlineStr">
        <is>
          <t>2025 Bowman Draft SEAN GAMBLE #BDC-178 Chrome Sky Blue Refractor 1st Prospect</t>
        </is>
      </c>
      <c r="C1287" s="6" t="n">
        <v>11.09</v>
      </c>
      <c r="D1287" s="6" t="n">
        <v>11.69</v>
      </c>
      <c r="E1287" s="6" t="n">
        <v>0.6</v>
      </c>
      <c r="F1287" s="7" t="n">
        <v>5.4</v>
      </c>
      <c r="G1287" s="5" t="inlineStr">
        <is>
          <t>⬆ Price Up</t>
        </is>
      </c>
      <c r="H1287" s="5" t="inlineStr">
        <is>
          <t>100%</t>
        </is>
      </c>
      <c r="I1287" s="5">
        <f>HYPERLINK("https://www.ebay.com/sch/261328/i.html?_dcat=261328&amp;_fsrp=1&amp;rt=nc&amp;_from=R40&amp;_nkw=2025%20Bowman%20Draft%20SEAN%20GAMBLE%20%23BDC-178%20Chrome%20Sky%20Blue%20Refractor%201st%20Prospect&amp;_sacat=0&amp;_sop=15&amp;rt=nc&amp;LH_BIN=1", "Active")</f>
        <v/>
      </c>
      <c r="J1287" s="5">
        <f>HYPERLINK("https://www.ebay.com/sch/261328/i.html?_from=R40&amp;_nkw=2025%20Bowman%20Draft%20SEAN%20GAMBLE%20%23BDC-178%20Chrome%20Sky%20Blue%20Refractor%201st%20Prospect&amp;_sacat=0&amp;LH_Sold=1&amp;LH_Complete=1&amp;_sop=13", "Completed")</f>
        <v/>
      </c>
      <c r="K1287" s="5" t="inlineStr">
        <is>
          <t>2025 Bowman Draft SEAN GAMBLE #BDC-178 Chrome Sky Blue Refractor 1st Prospect</t>
        </is>
      </c>
    </row>
    <row r="1288">
      <c r="A1288" s="8" t="inlineStr">
        <is>
          <t>RBBB5-0001-00029-07369</t>
        </is>
      </c>
      <c r="B1288" s="8" t="inlineStr">
        <is>
          <t>2025 Bowman Draft KEVIN MCGONIGLE #BIA-10 In Action Tigers</t>
        </is>
      </c>
      <c r="C1288" s="9" t="n">
        <v>8.09</v>
      </c>
      <c r="D1288" s="9" t="n">
        <v>8.09</v>
      </c>
      <c r="E1288" s="9" t="n">
        <v>0</v>
      </c>
      <c r="F1288" s="10" t="n">
        <v>0</v>
      </c>
      <c r="G1288" s="8" t="inlineStr">
        <is>
          <t>— No Change</t>
        </is>
      </c>
      <c r="H1288" s="8" t="inlineStr">
        <is>
          <t>88%</t>
        </is>
      </c>
      <c r="I1288" s="8">
        <f>HYPERLINK("https://www.ebay.com/sch/261328/i.html?_dcat=261328&amp;_fsrp=1&amp;rt=nc&amp;_from=R40&amp;_nkw=2025%20Bowman%20Draft%20KEVIN%20MCGONIGLE%20%23BIA-10%20In%20Action%20Tigers&amp;_sacat=0&amp;_sop=15&amp;rt=nc&amp;LH_BIN=1", "Active")</f>
        <v/>
      </c>
      <c r="J1288" s="8">
        <f>HYPERLINK("https://www.ebay.com/sch/261328/i.html?_from=R40&amp;_nkw=2025%20Bowman%20Draft%20KEVIN%20MCGONIGLE%20%23BIA-10%20In%20Action%20Tigers&amp;_sacat=0&amp;LH_Sold=1&amp;LH_Complete=1&amp;_sop=13", "Completed")</f>
        <v/>
      </c>
      <c r="K1288" s="8" t="inlineStr">
        <is>
          <t>2025 Bowman Draft In Action Kevin McGonigle Detroit Tigers #BIA-10</t>
        </is>
      </c>
    </row>
    <row r="1289">
      <c r="A1289" s="5" t="inlineStr">
        <is>
          <t>RBBB5-0001-00035-48472</t>
        </is>
      </c>
      <c r="B1289" s="5" t="inlineStr">
        <is>
          <t>2025 Bowman Draft Sapphire JONNY FARMELO #BDC-163 Chrome Mariners</t>
        </is>
      </c>
      <c r="C1289" s="6" t="n">
        <v>3.99</v>
      </c>
      <c r="D1289" s="6" t="n">
        <v>4.19</v>
      </c>
      <c r="E1289" s="6" t="n">
        <v>0.2</v>
      </c>
      <c r="F1289" s="7" t="n">
        <v>5</v>
      </c>
      <c r="G1289" s="5" t="inlineStr">
        <is>
          <t>⬆ Price Up</t>
        </is>
      </c>
      <c r="H1289" s="5" t="inlineStr">
        <is>
          <t>90%</t>
        </is>
      </c>
      <c r="I1289" s="5">
        <f>HYPERLINK("https://www.ebay.com/sch/261328/i.html?_dcat=261328&amp;_fsrp=1&amp;rt=nc&amp;_from=R40&amp;_nkw=2025%20Bowman%20Draft%20Sapphire%20JONNY%20FARMELO%20%23BDC-163%20Chrome%20Mariners&amp;_sacat=0&amp;_sop=15&amp;rt=nc&amp;LH_BIN=1", "Active")</f>
        <v/>
      </c>
      <c r="J1289" s="5">
        <f>HYPERLINK("https://www.ebay.com/sch/261328/i.html?_from=R40&amp;_nkw=2025%20Bowman%20Draft%20Sapphire%20JONNY%20FARMELO%20%23BDC-163%20Chrome%20Mariners&amp;_sacat=0&amp;LH_Sold=1&amp;LH_Complete=1&amp;_sop=13", "Completed")</f>
        <v/>
      </c>
      <c r="K1289" s="5" t="inlineStr">
        <is>
          <t>2025 Bowman Draft Sapphire Jonny Farmelo Chrome #BDC-163 Mariners</t>
        </is>
      </c>
    </row>
    <row r="1290">
      <c r="A1290" s="5" t="inlineStr">
        <is>
          <t>RBBB5-0001-00021-46502</t>
        </is>
      </c>
      <c r="B1290" s="5" t="inlineStr">
        <is>
          <t>2025 Bowman Draft Sapphire SLADE CALDWELL #BDC-152 Chrome Diamondbacks</t>
        </is>
      </c>
      <c r="C1290" s="6" t="n">
        <v>3.49</v>
      </c>
      <c r="D1290" s="6" t="n">
        <v>4.39</v>
      </c>
      <c r="E1290" s="6" t="n">
        <v>0.9</v>
      </c>
      <c r="F1290" s="7" t="n">
        <v>25.8</v>
      </c>
      <c r="G1290" s="5" t="inlineStr">
        <is>
          <t>⬆ Price Up</t>
        </is>
      </c>
      <c r="H1290" s="5" t="inlineStr">
        <is>
          <t>100%</t>
        </is>
      </c>
      <c r="I1290" s="5">
        <f>HYPERLINK("https://www.ebay.com/sch/261328/i.html?_dcat=261328&amp;_fsrp=1&amp;rt=nc&amp;_from=R40&amp;_nkw=2025%20Bowman%20Draft%20Sapphire%20SLADE%20CALDWELL%20%23BDC-152%20Chrome%20Diamondbacks&amp;_sacat=0&amp;_sop=15&amp;rt=nc&amp;LH_BIN=1", "Active")</f>
        <v/>
      </c>
      <c r="J1290" s="5">
        <f>HYPERLINK("https://www.ebay.com/sch/261328/i.html?_from=R40&amp;_nkw=2025%20Bowman%20Draft%20Sapphire%20SLADE%20CALDWELL%20%23BDC-152%20Chrome%20Diamondbacks&amp;_sacat=0&amp;LH_Sold=1&amp;LH_Complete=1&amp;_sop=13", "Completed")</f>
        <v/>
      </c>
      <c r="K1290" s="5" t="inlineStr">
        <is>
          <t>2025 Bowman Draft Sapphire SLADE CALDWELL #BDC-152 Chrome Diamondbacks</t>
        </is>
      </c>
    </row>
    <row r="1291">
      <c r="A1291" s="5" t="inlineStr">
        <is>
          <t>RBBB5-0001-00024-02465</t>
        </is>
      </c>
      <c r="B1291" s="5" t="inlineStr">
        <is>
          <t>2025 Bowman Draft Sapphire LUKE DICKERSON #BDC-61 Chrome Nationals</t>
        </is>
      </c>
      <c r="C1291" s="6" t="n">
        <v>3.49</v>
      </c>
      <c r="D1291" s="6" t="n">
        <v>4.39</v>
      </c>
      <c r="E1291" s="6" t="n">
        <v>0.9</v>
      </c>
      <c r="F1291" s="7" t="n">
        <v>25.8</v>
      </c>
      <c r="G1291" s="5" t="inlineStr">
        <is>
          <t>⬆ Price Up</t>
        </is>
      </c>
      <c r="H1291" s="5" t="inlineStr">
        <is>
          <t>100%</t>
        </is>
      </c>
      <c r="I1291" s="5">
        <f>HYPERLINK("https://www.ebay.com/sch/261328/i.html?_dcat=261328&amp;_fsrp=1&amp;rt=nc&amp;_from=R40&amp;_nkw=2025%20Bowman%20Draft%20Sapphire%20LUKE%20DICKERSON%20%23BDC-61%20Chrome%20Nationals&amp;_sacat=0&amp;_sop=15&amp;rt=nc&amp;LH_BIN=1", "Active")</f>
        <v/>
      </c>
      <c r="J1291" s="5">
        <f>HYPERLINK("https://www.ebay.com/sch/261328/i.html?_from=R40&amp;_nkw=2025%20Bowman%20Draft%20Sapphire%20LUKE%20DICKERSON%20%23BDC-61%20Chrome%20Nationals&amp;_sacat=0&amp;LH_Sold=1&amp;LH_Complete=1&amp;_sop=13", "Completed")</f>
        <v/>
      </c>
      <c r="K1291" s="5" t="inlineStr">
        <is>
          <t>2025 Bowman Draft Sapphire LUKE DICKERSON #BDC-61 Chrome Nationals</t>
        </is>
      </c>
    </row>
    <row r="1292">
      <c r="A1292" s="8" t="inlineStr">
        <is>
          <t>RBBB5-0001-00017-30522</t>
        </is>
      </c>
      <c r="B1292" s="8" t="inlineStr">
        <is>
          <t>2025 Bowman Draft RYAN MITCHELL #BDC-77 Chrome Refractor 1st Prospect Cardinals</t>
        </is>
      </c>
      <c r="C1292" s="9" t="n">
        <v>3.99</v>
      </c>
      <c r="D1292" s="9" t="n">
        <v>3.99</v>
      </c>
      <c r="E1292" s="9" t="n">
        <v>0</v>
      </c>
      <c r="F1292" s="10" t="n">
        <v>0</v>
      </c>
      <c r="G1292" s="8" t="inlineStr">
        <is>
          <t>— No Change</t>
        </is>
      </c>
      <c r="H1292" s="8" t="inlineStr">
        <is>
          <t>84%</t>
        </is>
      </c>
      <c r="I1292" s="8">
        <f>HYPERLINK("https://www.ebay.com/sch/261328/i.html?_dcat=261328&amp;_fsrp=1&amp;rt=nc&amp;_from=R40&amp;_nkw=2025%20Bowman%20Draft%20RYAN%20MITCHELL%20%23BDC-77%20Chrome%20Refractor%201st%20Prospect%20Cardinals&amp;_sacat=0&amp;_sop=15&amp;rt=nc&amp;LH_BIN=1", "Active")</f>
        <v/>
      </c>
      <c r="J1292" s="8">
        <f>HYPERLINK("https://www.ebay.com/sch/261328/i.html?_from=R40&amp;_nkw=2025%20Bowman%20Draft%20RYAN%20MITCHELL%20%23BDC-77%20Chrome%20Refractor%201st%20Prospect%20Cardinals&amp;_sacat=0&amp;LH_Sold=1&amp;LH_Complete=1&amp;_sop=13", "Completed")</f>
        <v/>
      </c>
      <c r="K1292" s="8" t="inlineStr">
        <is>
          <t>2025 Bowman Draft Chrome Mojo Refractor 1st Bowman BDC-77 Ryan Mitchell Cardinal</t>
        </is>
      </c>
    </row>
    <row r="1293">
      <c r="A1293" s="5" t="inlineStr">
        <is>
          <t>RBBB5-0001-00031-53527</t>
        </is>
      </c>
      <c r="B1293" s="5" t="inlineStr">
        <is>
          <t>2025 Bowman Draft JOSH HAMMOND #BDC-185 Chrome Purple Refractor /250 Royals</t>
        </is>
      </c>
      <c r="C1293" s="6" t="n">
        <v>26.29</v>
      </c>
      <c r="D1293" s="6" t="n">
        <v>26.49</v>
      </c>
      <c r="E1293" s="6" t="n">
        <v>0.2</v>
      </c>
      <c r="F1293" s="7" t="n">
        <v>0.8</v>
      </c>
      <c r="G1293" s="5" t="inlineStr">
        <is>
          <t>⬆ Price Up</t>
        </is>
      </c>
      <c r="H1293" s="5" t="inlineStr">
        <is>
          <t>100%</t>
        </is>
      </c>
      <c r="I1293" s="5">
        <f>HYPERLINK("https://www.ebay.com/sch/261328/i.html?_dcat=261328&amp;_fsrp=1&amp;rt=nc&amp;_from=R40&amp;_nkw=2025%20Bowman%20Draft%20JOSH%20HAMMOND%20%23BDC-185%20Chrome%20Purple%20Refractor%20%2F250%20Royals&amp;_sacat=0&amp;_sop=15&amp;rt=nc&amp;LH_BIN=1", "Active")</f>
        <v/>
      </c>
      <c r="J1293" s="5">
        <f>HYPERLINK("https://www.ebay.com/sch/261328/i.html?_from=R40&amp;_nkw=2025%20Bowman%20Draft%20JOSH%20HAMMOND%20%23BDC-185%20Chrome%20Purple%20Refractor%20%2F250%20Royals&amp;_sacat=0&amp;LH_Sold=1&amp;LH_Complete=1&amp;_sop=13", "Completed")</f>
        <v/>
      </c>
      <c r="K1293" s="5" t="inlineStr">
        <is>
          <t>2025 Bowman Draft JOSH HAMMOND #BDC-185 Chrome Purple Refractor /250 Royals</t>
        </is>
      </c>
    </row>
    <row r="1294">
      <c r="A1294" s="11" t="inlineStr">
        <is>
          <t>RBBB5-0001-00007-89957</t>
        </is>
      </c>
      <c r="B1294" s="11" t="inlineStr">
        <is>
          <t>2025 Bowman Draft AARON WATSON #BDC-193 Chrome Refractor 1st Prospect Reds</t>
        </is>
      </c>
      <c r="C1294" s="12" t="n">
        <v>2.99</v>
      </c>
      <c r="D1294" s="12" t="n">
        <v>2.89</v>
      </c>
      <c r="E1294" s="12" t="n">
        <v>-0.1</v>
      </c>
      <c r="F1294" s="13" t="n">
        <v>-3.3</v>
      </c>
      <c r="G1294" s="11" t="inlineStr">
        <is>
          <t>⬇ Price Down</t>
        </is>
      </c>
      <c r="H1294" s="11" t="inlineStr">
        <is>
          <t>89%</t>
        </is>
      </c>
      <c r="I1294" s="11">
        <f>HYPERLINK("https://www.ebay.com/sch/261328/i.html?_dcat=261328&amp;_fsrp=1&amp;rt=nc&amp;_from=R40&amp;_nkw=2025%20Bowman%20Draft%20AARON%20WATSON%20%23BDC-193%20Chrome%20Refractor%201st%20Prospect%20Reds&amp;_sacat=0&amp;_sop=15&amp;rt=nc&amp;LH_BIN=1", "Active")</f>
        <v/>
      </c>
      <c r="J1294" s="11">
        <f>HYPERLINK("https://www.ebay.com/sch/261328/i.html?_from=R40&amp;_nkw=2025%20Bowman%20Draft%20AARON%20WATSON%20%23BDC-193%20Chrome%20Refractor%201st%20Prospect%20Reds&amp;_sacat=0&amp;LH_Sold=1&amp;LH_Complete=1&amp;_sop=13", "Completed")</f>
        <v/>
      </c>
      <c r="K1294" s="11" t="inlineStr">
        <is>
          <t>2025 Bowman Draft Aaron Watson #BDC-193 Chrome Mojo Refractor 1st Prospect Reds</t>
        </is>
      </c>
    </row>
    <row r="1295">
      <c r="A1295" s="2" t="inlineStr">
        <is>
          <t>RBBB5-0002-00070-02515</t>
        </is>
      </c>
      <c r="B1295" s="2" t="inlineStr">
        <is>
          <t>2025 Bowman Draft MICHAEL OLIVETO #BDC-156 Chrome 1st Prospect Tigers</t>
        </is>
      </c>
      <c r="C1295" s="3" t="n">
        <v>3.49</v>
      </c>
      <c r="D1295" s="3" t="n">
        <v>2.49</v>
      </c>
      <c r="E1295" s="3" t="n">
        <v>-1</v>
      </c>
      <c r="F1295" s="4" t="n">
        <v>-28.7</v>
      </c>
      <c r="G1295" s="2" t="inlineStr">
        <is>
          <t>🔵 Floored $2.49 — free ship or $0.99 ship?</t>
        </is>
      </c>
      <c r="H1295" s="2" t="inlineStr">
        <is>
          <t>83%</t>
        </is>
      </c>
      <c r="I1295" s="2">
        <f>HYPERLINK("https://www.ebay.com/sch/261328/i.html?_dcat=261328&amp;_fsrp=1&amp;rt=nc&amp;_from=R40&amp;_nkw=2025%20Bowman%20Draft%20MICHAEL%20OLIVETO%20%23BDC-156%20Chrome%201st%20Prospect%20Tigers&amp;_sacat=0&amp;_sop=15&amp;rt=nc&amp;LH_BIN=1", "Active")</f>
        <v/>
      </c>
      <c r="J1295" s="2">
        <f>HYPERLINK("https://www.ebay.com/sch/261328/i.html?_from=R40&amp;_nkw=2025%20Bowman%20Draft%20MICHAEL%20OLIVETO%20%23BDC-156%20Chrome%201st%20Prospect%20Tigers&amp;_sacat=0&amp;LH_Sold=1&amp;LH_Complete=1&amp;_sop=13", "Completed")</f>
        <v/>
      </c>
      <c r="K1295" s="2" t="inlineStr">
        <is>
          <t>MICHAEL OLIVETO 2025 Bowman Draft Chrome #BDC-156 1st Prospect Tigers</t>
        </is>
      </c>
    </row>
    <row r="1296">
      <c r="A1296" s="5" t="inlineStr">
        <is>
          <t>RBBB5-0002-00056-58260</t>
        </is>
      </c>
      <c r="B1296" s="5" t="inlineStr">
        <is>
          <t>2025 Bowman Draft Sapphire ARJUN NIMMALA #BDC-35 Chrome Blue Jays</t>
        </is>
      </c>
      <c r="C1296" s="6" t="n">
        <v>2.99</v>
      </c>
      <c r="D1296" s="6" t="n">
        <v>3.89</v>
      </c>
      <c r="E1296" s="6" t="n">
        <v>0.9</v>
      </c>
      <c r="F1296" s="7" t="n">
        <v>30.1</v>
      </c>
      <c r="G1296" s="5" t="inlineStr">
        <is>
          <t>⬆ Price Up</t>
        </is>
      </c>
      <c r="H1296" s="5" t="inlineStr">
        <is>
          <t>100%</t>
        </is>
      </c>
      <c r="I1296" s="5">
        <f>HYPERLINK("https://www.ebay.com/sch/261328/i.html?_dcat=261328&amp;_fsrp=1&amp;rt=nc&amp;_from=R40&amp;_nkw=2025%20Bowman%20Draft%20Sapphire%20ARJUN%20NIMMALA%20%23BDC-35%20Chrome%20Blue%20Jays&amp;_sacat=0&amp;_sop=15&amp;rt=nc&amp;LH_BIN=1", "Active")</f>
        <v/>
      </c>
      <c r="J1296" s="5">
        <f>HYPERLINK("https://www.ebay.com/sch/261328/i.html?_from=R40&amp;_nkw=2025%20Bowman%20Draft%20Sapphire%20ARJUN%20NIMMALA%20%23BDC-35%20Chrome%20Blue%20Jays&amp;_sacat=0&amp;LH_Sold=1&amp;LH_Complete=1&amp;_sop=13", "Completed")</f>
        <v/>
      </c>
      <c r="K1296" s="5" t="inlineStr">
        <is>
          <t>2025 Bowman Draft Sapphire ARJUN NIMMALA #BDC-35 Chrome Blue Jays</t>
        </is>
      </c>
    </row>
    <row r="1297">
      <c r="A1297" s="5" t="inlineStr">
        <is>
          <t>RBBB5-0002-00077-78830</t>
        </is>
      </c>
      <c r="B1297" s="5" t="inlineStr">
        <is>
          <t>2025 Bowman Draft CALEB LEYS #BDC-195 Chrome Sparkle Refractor 1st Prospect</t>
        </is>
      </c>
      <c r="C1297" s="6" t="n">
        <v>6.49</v>
      </c>
      <c r="D1297" s="6" t="n">
        <v>7.29</v>
      </c>
      <c r="E1297" s="6" t="n">
        <v>0.8</v>
      </c>
      <c r="F1297" s="7" t="n">
        <v>12.3</v>
      </c>
      <c r="G1297" s="5" t="inlineStr">
        <is>
          <t>⬆ Price Up</t>
        </is>
      </c>
      <c r="H1297" s="5" t="inlineStr">
        <is>
          <t>100%</t>
        </is>
      </c>
      <c r="I1297" s="5">
        <f>HYPERLINK("https://www.ebay.com/sch/261328/i.html?_dcat=261328&amp;_fsrp=1&amp;rt=nc&amp;_from=R40&amp;_nkw=2025%20Bowman%20Draft%20CALEB%20LEYS%20%23BDC-195%20Chrome%20Sparkle%20Refractor%201st%20Prospect&amp;_sacat=0&amp;_sop=15&amp;rt=nc&amp;LH_BIN=1", "Active")</f>
        <v/>
      </c>
      <c r="J1297" s="5">
        <f>HYPERLINK("https://www.ebay.com/sch/261328/i.html?_from=R40&amp;_nkw=2025%20Bowman%20Draft%20CALEB%20LEYS%20%23BDC-195%20Chrome%20Sparkle%20Refractor%201st%20Prospect&amp;_sacat=0&amp;LH_Sold=1&amp;LH_Complete=1&amp;_sop=13", "Completed")</f>
        <v/>
      </c>
      <c r="K1297" s="5" t="inlineStr">
        <is>
          <t>2025 Bowman Draft CALEB LEYS #BDC-195 Chrome Sparkle Refractor 1st Prospect</t>
        </is>
      </c>
    </row>
    <row r="1298">
      <c r="A1298" s="5" t="inlineStr">
        <is>
          <t>RBBB5-0002-00060-61636</t>
        </is>
      </c>
      <c r="B1298" s="5" t="inlineStr">
        <is>
          <t>2025 Bowman Draft JHONNY LEVEL #BDC-55 Chrome Refractor Giants Football</t>
        </is>
      </c>
      <c r="C1298" s="6" t="n">
        <v>2</v>
      </c>
      <c r="D1298" s="6" t="n">
        <v>2.89</v>
      </c>
      <c r="E1298" s="6" t="n">
        <v>0.89</v>
      </c>
      <c r="F1298" s="7" t="n">
        <v>44.5</v>
      </c>
      <c r="G1298" s="5" t="inlineStr">
        <is>
          <t>⬆ Price Up</t>
        </is>
      </c>
      <c r="H1298" s="5" t="inlineStr">
        <is>
          <t>100%</t>
        </is>
      </c>
      <c r="I1298" s="5">
        <f>HYPERLINK("https://www.ebay.com/sch/261328/i.html?_dcat=261328&amp;_fsrp=1&amp;rt=nc&amp;_from=R40&amp;_nkw=2025%20Bowman%20Draft%20JHONNY%20LEVEL%20%23BDC-55%20Chrome%20Refractor%20Giants%20Football&amp;_sacat=0&amp;_sop=15&amp;rt=nc&amp;LH_BIN=1", "Active")</f>
        <v/>
      </c>
      <c r="J1298" s="5">
        <f>HYPERLINK("https://www.ebay.com/sch/261328/i.html?_from=R40&amp;_nkw=2025%20Bowman%20Draft%20JHONNY%20LEVEL%20%23BDC-55%20Chrome%20Refractor%20Giants%20Football&amp;_sacat=0&amp;LH_Sold=1&amp;LH_Complete=1&amp;_sop=13", "Completed")</f>
        <v/>
      </c>
      <c r="K1298" s="5" t="inlineStr">
        <is>
          <t>2025 Bowman Draft JHONNY LEVEL #BDC-55 Chrome Refractor Giants Football</t>
        </is>
      </c>
    </row>
    <row r="1299">
      <c r="A1299" s="8" t="inlineStr">
        <is>
          <t>RBBB5-0002-00063-64672</t>
        </is>
      </c>
      <c r="B1299" s="8" t="inlineStr">
        <is>
          <t>2025 Bowman Draft COOPER PRATT #BDC-157 Chrome Refractor Brewers</t>
        </is>
      </c>
      <c r="C1299" s="9" t="n">
        <v>2.49</v>
      </c>
      <c r="D1299" s="9" t="n">
        <v>2.49</v>
      </c>
      <c r="E1299" s="9" t="n">
        <v>0</v>
      </c>
      <c r="F1299" s="10" t="n">
        <v>0</v>
      </c>
      <c r="G1299" s="8" t="inlineStr">
        <is>
          <t>— No Change</t>
        </is>
      </c>
      <c r="H1299" s="8" t="inlineStr">
        <is>
          <t>88%</t>
        </is>
      </c>
      <c r="I1299" s="8">
        <f>HYPERLINK("https://www.ebay.com/sch/261328/i.html?_dcat=261328&amp;_fsrp=1&amp;rt=nc&amp;_from=R40&amp;_nkw=2025%20Bowman%20Draft%20COOPER%20PRATT%20%23BDC-157%20Chrome%20Refractor%20Brewers&amp;_sacat=0&amp;_sop=15&amp;rt=nc&amp;LH_BIN=1", "Active")</f>
        <v/>
      </c>
      <c r="J1299" s="8">
        <f>HYPERLINK("https://www.ebay.com/sch/261328/i.html?_from=R40&amp;_nkw=2025%20Bowman%20Draft%20COOPER%20PRATT%20%23BDC-157%20Chrome%20Refractor%20Brewers&amp;_sacat=0&amp;LH_Sold=1&amp;LH_Complete=1&amp;_sop=13", "Completed")</f>
        <v/>
      </c>
      <c r="K1299" s="8" t="inlineStr">
        <is>
          <t>2025 Bowman Draft Cooper Pratt Chrome Refractor #BDC-157 Brewers BASEBALL</t>
        </is>
      </c>
    </row>
    <row r="1300">
      <c r="A1300" s="2" t="inlineStr">
        <is>
          <t>RBBB5-0002-00048-43492</t>
        </is>
      </c>
      <c r="B1300" s="2" t="inlineStr">
        <is>
          <t>2025 Bowman Draft GEORGE LOMBARD JR. #BDC-43 Chrome Refractor Yankees</t>
        </is>
      </c>
      <c r="C1300" s="3" t="n">
        <v>3.99</v>
      </c>
      <c r="D1300" s="3" t="n">
        <v>2.49</v>
      </c>
      <c r="E1300" s="3" t="n">
        <v>-1.5</v>
      </c>
      <c r="F1300" s="4" t="n">
        <v>-37.6</v>
      </c>
      <c r="G1300" s="2" t="inlineStr">
        <is>
          <t>🔵 Floored $2.49 — free ship or $0.99 ship?</t>
        </is>
      </c>
      <c r="H1300" s="2" t="inlineStr">
        <is>
          <t>89%</t>
        </is>
      </c>
      <c r="I1300" s="2">
        <f>HYPERLINK("https://www.ebay.com/sch/261328/i.html?_dcat=261328&amp;_fsrp=1&amp;rt=nc&amp;_from=R40&amp;_nkw=2025%20Bowman%20Draft%20GEORGE%20LOMBARD%20JR.%20%23BDC-43%20Chrome%20Refractor%20Yankees&amp;_sacat=0&amp;_sop=15&amp;rt=nc&amp;LH_BIN=1", "Active")</f>
        <v/>
      </c>
      <c r="J1300" s="2">
        <f>HYPERLINK("https://www.ebay.com/sch/261328/i.html?_from=R40&amp;_nkw=2025%20Bowman%20Draft%20GEORGE%20LOMBARD%20JR.%20%23BDC-43%20Chrome%20Refractor%20Yankees&amp;_sacat=0&amp;LH_Sold=1&amp;LH_Complete=1&amp;_sop=13", "Completed")</f>
        <v/>
      </c>
      <c r="K1300" s="2" t="inlineStr">
        <is>
          <t>2025 Bowman Draft George Lombard Jr. Chrome Refractor BDC-43 - Yankees</t>
        </is>
      </c>
    </row>
    <row r="1301">
      <c r="A1301" s="5" t="inlineStr">
        <is>
          <t>RBBB5-0002-00052-89291</t>
        </is>
      </c>
      <c r="B1301" s="5" t="inlineStr">
        <is>
          <t>2025 Bowman Chrome BRYCE ELDRIDGE #BCP-180 Prospects Shimmer Ref Giants Football</t>
        </is>
      </c>
      <c r="C1301" s="6" t="n">
        <v>3.99</v>
      </c>
      <c r="D1301" s="6" t="n">
        <v>4.79</v>
      </c>
      <c r="E1301" s="6" t="n">
        <v>0.8</v>
      </c>
      <c r="F1301" s="7" t="n">
        <v>20.1</v>
      </c>
      <c r="G1301" s="5" t="inlineStr">
        <is>
          <t>⬆ Price Up</t>
        </is>
      </c>
      <c r="H1301" s="5" t="inlineStr">
        <is>
          <t>100%</t>
        </is>
      </c>
      <c r="I1301" s="5">
        <f>HYPERLINK("https://www.ebay.com/sch/261328/i.html?_dcat=261328&amp;_fsrp=1&amp;rt=nc&amp;_from=R40&amp;_nkw=2025%20Bowman%20Chrome%20BRYCE%20ELDRIDGE%20%23BCP-180%20Prospects%20Shimmer%20Ref%20Giants%20Football&amp;_sacat=0&amp;_sop=15&amp;rt=nc&amp;LH_BIN=1", "Active")</f>
        <v/>
      </c>
      <c r="J1301" s="5">
        <f>HYPERLINK("https://www.ebay.com/sch/261328/i.html?_from=R40&amp;_nkw=2025%20Bowman%20Chrome%20BRYCE%20ELDRIDGE%20%23BCP-180%20Prospects%20Shimmer%20Ref%20Giants%20Football&amp;_sacat=0&amp;LH_Sold=1&amp;LH_Complete=1&amp;_sop=13", "Completed")</f>
        <v/>
      </c>
      <c r="K1301" s="5" t="inlineStr">
        <is>
          <t>2025 Bowman Chrome BRYCE ELDRIDGE #BCP-180 Prospects Shimmer Ref Giants Football</t>
        </is>
      </c>
    </row>
    <row r="1302">
      <c r="A1302" s="11" t="inlineStr">
        <is>
          <t>RBBB5-0002-00061-46273</t>
        </is>
      </c>
      <c r="B1302" s="11" t="inlineStr">
        <is>
          <t>2025 Bowman Draft QUENTIN YOUNG #BDC-92 Chrome Refractor 1st Prospect Twins</t>
        </is>
      </c>
      <c r="C1302" s="12" t="n">
        <v>2.99</v>
      </c>
      <c r="D1302" s="12" t="n">
        <v>2.79</v>
      </c>
      <c r="E1302" s="12" t="n">
        <v>-0.2</v>
      </c>
      <c r="F1302" s="13" t="n">
        <v>-6.7</v>
      </c>
      <c r="G1302" s="11" t="inlineStr">
        <is>
          <t>⬇ Price Down</t>
        </is>
      </c>
      <c r="H1302" s="11" t="inlineStr">
        <is>
          <t>86%</t>
        </is>
      </c>
      <c r="I1302" s="11">
        <f>HYPERLINK("https://www.ebay.com/sch/261328/i.html?_dcat=261328&amp;_fsrp=1&amp;rt=nc&amp;_from=R40&amp;_nkw=2025%20Bowman%20Draft%20QUENTIN%20YOUNG%20%23BDC-92%20Chrome%20Refractor%201st%20Prospect%20Twins&amp;_sacat=0&amp;_sop=15&amp;rt=nc&amp;LH_BIN=1", "Active")</f>
        <v/>
      </c>
      <c r="J1302" s="11">
        <f>HYPERLINK("https://www.ebay.com/sch/261328/i.html?_from=R40&amp;_nkw=2025%20Bowman%20Draft%20QUENTIN%20YOUNG%20%23BDC-92%20Chrome%20Refractor%201st%20Prospect%20Twins&amp;_sacat=0&amp;LH_Sold=1&amp;LH_Complete=1&amp;_sop=13", "Completed")</f>
        <v/>
      </c>
      <c r="K1302" s="11" t="inlineStr">
        <is>
          <t>2025 Bowman Draft #BDC-92 Quentin Young Chrome Mojo Refractor Twins 1st Bowman</t>
        </is>
      </c>
    </row>
    <row r="1303">
      <c r="A1303" s="11" t="inlineStr">
        <is>
          <t>RBBB5-0002-00049-12013</t>
        </is>
      </c>
      <c r="B1303" s="11" t="inlineStr">
        <is>
          <t>2025 Bowman's Best ELI WILLITS #TP-20 Top Prospects Refractor Nationals</t>
        </is>
      </c>
      <c r="C1303" s="12" t="n">
        <v>5.99</v>
      </c>
      <c r="D1303" s="12" t="n">
        <v>2.89</v>
      </c>
      <c r="E1303" s="12" t="n">
        <v>-3.1</v>
      </c>
      <c r="F1303" s="13" t="n">
        <v>-51.8</v>
      </c>
      <c r="G1303" s="11" t="inlineStr">
        <is>
          <t>⬇ Price Down</t>
        </is>
      </c>
      <c r="H1303" s="11" t="inlineStr">
        <is>
          <t>87%</t>
        </is>
      </c>
      <c r="I1303" s="11">
        <f>HYPERLINK("https://www.ebay.com/sch/261328/i.html?_dcat=261328&amp;_fsrp=1&amp;rt=nc&amp;_from=R40&amp;_nkw=2025%20Bowman's%20Best%20ELI%20WILLITS%20%23TP-20%20Top%20Prospects%20Refractor%20Nationals&amp;_sacat=0&amp;_sop=15&amp;rt=nc&amp;LH_BIN=1", "Active")</f>
        <v/>
      </c>
      <c r="J1303" s="11">
        <f>HYPERLINK("https://www.ebay.com/sch/261328/i.html?_from=R40&amp;_nkw=2025%20Bowman's%20Best%20ELI%20WILLITS%20%23TP-20%20Top%20Prospects%20Refractor%20Nationals&amp;_sacat=0&amp;LH_Sold=1&amp;LH_Complete=1&amp;_sop=13", "Completed")</f>
        <v/>
      </c>
      <c r="K1303" s="11" t="inlineStr">
        <is>
          <t>2025 Bowman's Best Eli Willits Top Prospects #TP-20 Nationals</t>
        </is>
      </c>
    </row>
    <row r="1304">
      <c r="A1304" s="11" t="inlineStr">
        <is>
          <t>RBBB5-0002-00064-78051</t>
        </is>
      </c>
      <c r="B1304" s="11" t="inlineStr">
        <is>
          <t>2025 Bowman Draft CARLOS LAGRANGE #BDC-132 Chrome Refractor Yankees</t>
        </is>
      </c>
      <c r="C1304" s="12" t="n">
        <v>4.99</v>
      </c>
      <c r="D1304" s="12" t="n">
        <v>3.39</v>
      </c>
      <c r="E1304" s="12" t="n">
        <v>-1.6</v>
      </c>
      <c r="F1304" s="13" t="n">
        <v>-32.1</v>
      </c>
      <c r="G1304" s="11" t="inlineStr">
        <is>
          <t>⬇ Price Down</t>
        </is>
      </c>
      <c r="H1304" s="11" t="inlineStr">
        <is>
          <t>90%</t>
        </is>
      </c>
      <c r="I1304" s="11">
        <f>HYPERLINK("https://www.ebay.com/sch/261328/i.html?_dcat=261328&amp;_fsrp=1&amp;rt=nc&amp;_from=R40&amp;_nkw=2025%20Bowman%20Draft%20CARLOS%20LAGRANGE%20%23BDC-132%20Chrome%20Refractor%20Yankees&amp;_sacat=0&amp;_sop=15&amp;rt=nc&amp;LH_BIN=1", "Active")</f>
        <v/>
      </c>
      <c r="J1304" s="11">
        <f>HYPERLINK("https://www.ebay.com/sch/261328/i.html?_from=R40&amp;_nkw=2025%20Bowman%20Draft%20CARLOS%20LAGRANGE%20%23BDC-132%20Chrome%20Refractor%20Yankees&amp;_sacat=0&amp;LH_Sold=1&amp;LH_Complete=1&amp;_sop=13", "Completed")</f>
        <v/>
      </c>
      <c r="K1304" s="11" t="inlineStr">
        <is>
          <t>2025 Bowman Draft #BDC-132 Carlos Lagrange Chrome Refractor. Yankees</t>
        </is>
      </c>
    </row>
    <row r="1305">
      <c r="A1305" s="8" t="inlineStr">
        <is>
          <t>RBBB5-0002-00057-43226</t>
        </is>
      </c>
      <c r="B1305" s="8" t="inlineStr">
        <is>
          <t>2025 Bowman Draft AIDAN WEST #BDC-6 Chrome Refractor 1st Prospect Dodgers</t>
        </is>
      </c>
      <c r="C1305" s="9" t="n">
        <v>2.49</v>
      </c>
      <c r="D1305" s="9" t="n">
        <v>2.49</v>
      </c>
      <c r="E1305" s="9" t="n">
        <v>0</v>
      </c>
      <c r="F1305" s="10" t="n">
        <v>0</v>
      </c>
      <c r="G1305" s="8" t="inlineStr">
        <is>
          <t>— No Change</t>
        </is>
      </c>
      <c r="H1305" s="8" t="inlineStr">
        <is>
          <t>83%</t>
        </is>
      </c>
      <c r="I1305" s="8">
        <f>HYPERLINK("https://www.ebay.com/sch/261328/i.html?_dcat=261328&amp;_fsrp=1&amp;rt=nc&amp;_from=R40&amp;_nkw=2025%20Bowman%20Draft%20AIDAN%20WEST%20%23BDC-6%20Chrome%20Refractor%201st%20Prospect%20Dodgers&amp;_sacat=0&amp;_sop=15&amp;rt=nc&amp;LH_BIN=1", "Active")</f>
        <v/>
      </c>
      <c r="J1305" s="8">
        <f>HYPERLINK("https://www.ebay.com/sch/261328/i.html?_from=R40&amp;_nkw=2025%20Bowman%20Draft%20AIDAN%20WEST%20%23BDC-6%20Chrome%20Refractor%201st%20Prospect%20Dodgers&amp;_sacat=0&amp;LH_Sold=1&amp;LH_Complete=1&amp;_sop=13", "Completed")</f>
        <v/>
      </c>
      <c r="K1305" s="8" t="inlineStr">
        <is>
          <t>2025 BOWMAN DRAFT CHROME MOJO REFRACTOR 1st CARD LA DODGERS AIDAN WEST #BDC-6</t>
        </is>
      </c>
    </row>
    <row r="1306">
      <c r="A1306" s="11" t="inlineStr">
        <is>
          <t>RBBB5-0002-00053-33598</t>
        </is>
      </c>
      <c r="B1306" s="11" t="inlineStr">
        <is>
          <t>2025 Bowman Draft KEVIN MCGONIGLE #BDC-59 Chrome Refractor Tigers</t>
        </is>
      </c>
      <c r="C1306" s="12" t="n">
        <v>6.99</v>
      </c>
      <c r="D1306" s="12" t="n">
        <v>6.49</v>
      </c>
      <c r="E1306" s="12" t="n">
        <v>-0.5</v>
      </c>
      <c r="F1306" s="13" t="n">
        <v>-7.2</v>
      </c>
      <c r="G1306" s="11" t="inlineStr">
        <is>
          <t>⬇ Price Down</t>
        </is>
      </c>
      <c r="H1306" s="11" t="inlineStr">
        <is>
          <t>87%</t>
        </is>
      </c>
      <c r="I1306" s="11">
        <f>HYPERLINK("https://www.ebay.com/sch/261328/i.html?_dcat=261328&amp;_fsrp=1&amp;rt=nc&amp;_from=R40&amp;_nkw=2025%20Bowman%20Draft%20KEVIN%20MCGONIGLE%20%23BDC-59%20Chrome%20Refractor%20Tigers&amp;_sacat=0&amp;_sop=15&amp;rt=nc&amp;LH_BIN=1", "Active")</f>
        <v/>
      </c>
      <c r="J1306" s="11">
        <f>HYPERLINK("https://www.ebay.com/sch/261328/i.html?_from=R40&amp;_nkw=2025%20Bowman%20Draft%20KEVIN%20MCGONIGLE%20%23BDC-59%20Chrome%20Refractor%20Tigers&amp;_sacat=0&amp;LH_Sold=1&amp;LH_Complete=1&amp;_sop=13", "Completed")</f>
        <v/>
      </c>
      <c r="K1306" s="11" t="inlineStr">
        <is>
          <t>2025 Bowman Draft Kevin McGonigle Chrome Refractor BDC-59 - Detroit Tigers</t>
        </is>
      </c>
    </row>
    <row r="1307">
      <c r="A1307" s="5" t="inlineStr">
        <is>
          <t>RBBB5-0002-00062-59153</t>
        </is>
      </c>
      <c r="B1307" s="5" t="inlineStr">
        <is>
          <t>2025 Bowman Draft DAKOTA JORDAN #BDC-139 Chrome Refractor Giants Football</t>
        </is>
      </c>
      <c r="C1307" s="6" t="n">
        <v>2.49</v>
      </c>
      <c r="D1307" s="6" t="n">
        <v>3.39</v>
      </c>
      <c r="E1307" s="6" t="n">
        <v>0.9</v>
      </c>
      <c r="F1307" s="7" t="n">
        <v>36.1</v>
      </c>
      <c r="G1307" s="5" t="inlineStr">
        <is>
          <t>⬆ Price Up</t>
        </is>
      </c>
      <c r="H1307" s="5" t="inlineStr">
        <is>
          <t>100%</t>
        </is>
      </c>
      <c r="I1307" s="5">
        <f>HYPERLINK("https://www.ebay.com/sch/261328/i.html?_dcat=261328&amp;_fsrp=1&amp;rt=nc&amp;_from=R40&amp;_nkw=2025%20Bowman%20Draft%20DAKOTA%20JORDAN%20%23BDC-139%20Chrome%20Refractor%20Giants%20Football&amp;_sacat=0&amp;_sop=15&amp;rt=nc&amp;LH_BIN=1", "Active")</f>
        <v/>
      </c>
      <c r="J1307" s="5">
        <f>HYPERLINK("https://www.ebay.com/sch/261328/i.html?_from=R40&amp;_nkw=2025%20Bowman%20Draft%20DAKOTA%20JORDAN%20%23BDC-139%20Chrome%20Refractor%20Giants%20Football&amp;_sacat=0&amp;LH_Sold=1&amp;LH_Complete=1&amp;_sop=13", "Completed")</f>
        <v/>
      </c>
      <c r="K1307" s="5" t="inlineStr">
        <is>
          <t>2025 Bowman Draft DAKOTA JORDAN #BDC-139 Chrome Refractor Giants Football</t>
        </is>
      </c>
    </row>
    <row r="1308">
      <c r="A1308" s="5" t="inlineStr">
        <is>
          <t>RBBB5-0002-00042-31699</t>
        </is>
      </c>
      <c r="B1308" s="5" t="inlineStr">
        <is>
          <t>2025-26 Bowman ANTHONY DAVIS #131 Orange Border /25 Mavericks Basketball</t>
        </is>
      </c>
      <c r="C1308" s="6" t="n">
        <v>15.79</v>
      </c>
      <c r="D1308" s="6" t="n">
        <v>15.89</v>
      </c>
      <c r="E1308" s="6" t="n">
        <v>0.1</v>
      </c>
      <c r="F1308" s="7" t="n">
        <v>0.6</v>
      </c>
      <c r="G1308" s="5" t="inlineStr">
        <is>
          <t>⬆ Price Up</t>
        </is>
      </c>
      <c r="H1308" s="5" t="inlineStr">
        <is>
          <t>85%</t>
        </is>
      </c>
      <c r="I1308" s="5">
        <f>HYPERLINK("https://www.ebay.com/sch/261328/i.html?_dcat=261328&amp;_fsrp=1&amp;rt=nc&amp;_from=R40&amp;_nkw=2025-26%20Bowman%20ANTHONY%20DAVIS%20%23131%20Orange%20Border%20%2F25%20Mavericks%20Basketball&amp;_sacat=0&amp;_sop=15&amp;rt=nc&amp;LH_BIN=1", "Active")</f>
        <v/>
      </c>
      <c r="J1308" s="5">
        <f>HYPERLINK("https://www.ebay.com/sch/261328/i.html?_from=R40&amp;_nkw=2025-26%20Bowman%20ANTHONY%20DAVIS%20%23131%20Orange%20Border%20%2F25%20Mavericks%20Basketball&amp;_sacat=0&amp;LH_Sold=1&amp;LH_Complete=1&amp;_sop=13", "Completed")</f>
        <v/>
      </c>
      <c r="K1308" s="5" t="inlineStr">
        <is>
          <t>2025-26 Bowman Anthony Davis #d /25 True Orange SP Insert Dallas Mavericks</t>
        </is>
      </c>
    </row>
    <row r="1309">
      <c r="A1309" s="5" t="inlineStr">
        <is>
          <t>RBBB5-0002-00074-62272</t>
        </is>
      </c>
      <c r="B1309" s="5" t="inlineStr">
        <is>
          <t>2025 Bowman Draft Sapphire CODY BOWKER #BDC-140 Chrome 1st Prospect Phillies</t>
        </is>
      </c>
      <c r="C1309" s="6" t="n">
        <v>2.99</v>
      </c>
      <c r="D1309" s="6" t="n">
        <v>3.89</v>
      </c>
      <c r="E1309" s="6" t="n">
        <v>0.9</v>
      </c>
      <c r="F1309" s="7" t="n">
        <v>30.1</v>
      </c>
      <c r="G1309" s="5" t="inlineStr">
        <is>
          <t>⬆ Price Up</t>
        </is>
      </c>
      <c r="H1309" s="5" t="inlineStr">
        <is>
          <t>100%</t>
        </is>
      </c>
      <c r="I1309" s="5">
        <f>HYPERLINK("https://www.ebay.com/sch/261328/i.html?_dcat=261328&amp;_fsrp=1&amp;rt=nc&amp;_from=R40&amp;_nkw=2025%20Bowman%20Draft%20Sapphire%20CODY%20BOWKER%20%23BDC-140%20Chrome%201st%20Prospect%20Phillies&amp;_sacat=0&amp;_sop=15&amp;rt=nc&amp;LH_BIN=1", "Active")</f>
        <v/>
      </c>
      <c r="J1309" s="5">
        <f>HYPERLINK("https://www.ebay.com/sch/261328/i.html?_from=R40&amp;_nkw=2025%20Bowman%20Draft%20Sapphire%20CODY%20BOWKER%20%23BDC-140%20Chrome%201st%20Prospect%20Phillies&amp;_sacat=0&amp;LH_Sold=1&amp;LH_Complete=1&amp;_sop=13", "Completed")</f>
        <v/>
      </c>
      <c r="K1309" s="5" t="inlineStr">
        <is>
          <t>2025 Bowman Draft Sapphire CODY BOWKER #BDC-140 Chrome 1st Prospect Phillies</t>
        </is>
      </c>
    </row>
    <row r="1310">
      <c r="A1310" s="5" t="inlineStr">
        <is>
          <t>RBBB5-0002-00044-75707</t>
        </is>
      </c>
      <c r="B1310" s="5" t="inlineStr">
        <is>
          <t>2025 Bowman Draft MICHAEL OLIVETO #BD-156 Green Border /99 1st Prospect Tigers</t>
        </is>
      </c>
      <c r="C1310" s="6" t="n">
        <v>8.19</v>
      </c>
      <c r="D1310" s="6" t="n">
        <v>8.890000000000001</v>
      </c>
      <c r="E1310" s="6" t="n">
        <v>0.7</v>
      </c>
      <c r="F1310" s="7" t="n">
        <v>8.5</v>
      </c>
      <c r="G1310" s="5" t="inlineStr">
        <is>
          <t>⬆ Price Up</t>
        </is>
      </c>
      <c r="H1310" s="5" t="inlineStr">
        <is>
          <t>100%</t>
        </is>
      </c>
      <c r="I1310" s="5">
        <f>HYPERLINK("https://www.ebay.com/sch/261328/i.html?_dcat=261328&amp;_fsrp=1&amp;rt=nc&amp;_from=R40&amp;_nkw=2025%20Bowman%20Draft%20MICHAEL%20OLIVETO%20%23BD-156%20Green%20Border%20%2F99%201st%20Prospect%20Tigers&amp;_sacat=0&amp;_sop=15&amp;rt=nc&amp;LH_BIN=1", "Active")</f>
        <v/>
      </c>
      <c r="J1310" s="5">
        <f>HYPERLINK("https://www.ebay.com/sch/261328/i.html?_from=R40&amp;_nkw=2025%20Bowman%20Draft%20MICHAEL%20OLIVETO%20%23BD-156%20Green%20Border%20%2F99%201st%20Prospect%20Tigers&amp;_sacat=0&amp;LH_Sold=1&amp;LH_Complete=1&amp;_sop=13", "Completed")</f>
        <v/>
      </c>
      <c r="K1310" s="5" t="inlineStr">
        <is>
          <t>2025 Bowman Draft MICHAEL OLIVETO #BD-156 Green Border /99 1st Prospect Tigers</t>
        </is>
      </c>
    </row>
    <row r="1311">
      <c r="A1311" s="5" t="inlineStr">
        <is>
          <t>RBBB5-0002-00071-72087</t>
        </is>
      </c>
      <c r="B1311" s="5" t="inlineStr">
        <is>
          <t>2025 Bowman Draft Sapphire TOMMY TROY #BDC-36 Chrome Diamondbacks</t>
        </is>
      </c>
      <c r="C1311" s="6" t="n">
        <v>3.99</v>
      </c>
      <c r="D1311" s="6" t="n">
        <v>4.19</v>
      </c>
      <c r="E1311" s="6" t="n">
        <v>0.2</v>
      </c>
      <c r="F1311" s="7" t="n">
        <v>5</v>
      </c>
      <c r="G1311" s="5" t="inlineStr">
        <is>
          <t>⬆ Price Up</t>
        </is>
      </c>
      <c r="H1311" s="5" t="inlineStr">
        <is>
          <t>87%</t>
        </is>
      </c>
      <c r="I1311" s="5">
        <f>HYPERLINK("https://www.ebay.com/sch/261328/i.html?_dcat=261328&amp;_fsrp=1&amp;rt=nc&amp;_from=R40&amp;_nkw=2025%20Bowman%20Draft%20Sapphire%20TOMMY%20TROY%20%23BDC-36%20Chrome%20Diamondbacks&amp;_sacat=0&amp;_sop=15&amp;rt=nc&amp;LH_BIN=1", "Active")</f>
        <v/>
      </c>
      <c r="J1311" s="5">
        <f>HYPERLINK("https://www.ebay.com/sch/261328/i.html?_from=R40&amp;_nkw=2025%20Bowman%20Draft%20Sapphire%20TOMMY%20TROY%20%23BDC-36%20Chrome%20Diamondbacks&amp;_sacat=0&amp;LH_Sold=1&amp;LH_Complete=1&amp;_sop=13", "Completed")</f>
        <v/>
      </c>
      <c r="K1311" s="5" t="inlineStr">
        <is>
          <t>2025 Bowman Chrome Draft Sapphire Edition - Tommy Troy #BDC-36 AZ Diamondbacks</t>
        </is>
      </c>
    </row>
    <row r="1312">
      <c r="A1312" s="2" t="inlineStr">
        <is>
          <t>RBBB5-0004-00002-09389</t>
        </is>
      </c>
      <c r="B1312" s="2" t="inlineStr">
        <is>
          <t>2025-26 Bowman SHAI GILGEOUS-ALEXANDER #YK-1 Chrome Young Kings Clippers</t>
        </is>
      </c>
      <c r="C1312" s="3" t="n">
        <v>2.99</v>
      </c>
      <c r="D1312" s="3" t="n">
        <v>2.49</v>
      </c>
      <c r="E1312" s="3" t="n">
        <v>-0.5</v>
      </c>
      <c r="F1312" s="4" t="n">
        <v>-16.7</v>
      </c>
      <c r="G1312" s="2" t="inlineStr">
        <is>
          <t>🔵 Floored $2.49 — free ship or $0.99 ship?</t>
        </is>
      </c>
      <c r="H1312" s="2" t="inlineStr">
        <is>
          <t>90%</t>
        </is>
      </c>
      <c r="I1312" s="2">
        <f>HYPERLINK("https://www.ebay.com/sch/261328/i.html?_dcat=261328&amp;_fsrp=1&amp;rt=nc&amp;_from=R40&amp;_nkw=2025-26%20Bowman%20SHAI%20GILGEOUS-ALEXANDER%20%23YK-1%20Chrome%20Young%20Kings%20Clippers&amp;_sacat=0&amp;_sop=15&amp;rt=nc&amp;LH_BIN=1", "Active")</f>
        <v/>
      </c>
      <c r="J1312" s="2">
        <f>HYPERLINK("https://www.ebay.com/sch/261328/i.html?_from=R40&amp;_nkw=2025-26%20Bowman%20SHAI%20GILGEOUS-ALEXANDER%20%23YK-1%20Chrome%20Young%20Kings%20Clippers&amp;_sacat=0&amp;LH_Sold=1&amp;LH_Complete=1&amp;_sop=13", "Completed")</f>
        <v/>
      </c>
      <c r="K1312" s="2" t="inlineStr">
        <is>
          <t>2025-26 Bowman Chrome Young Kings Shai Gilgeous-Alexander #YK-1 Clippers</t>
        </is>
      </c>
    </row>
    <row r="1313">
      <c r="A1313" s="11" t="inlineStr">
        <is>
          <t>RBBB5-0004-00017-77507</t>
        </is>
      </c>
      <c r="B1313" s="11" t="inlineStr">
        <is>
          <t>2025-26 Bowman KON KNUEPPEL #RY-4 ROY Favorites Chrome RC Hornets Rookie</t>
        </is>
      </c>
      <c r="C1313" s="12" t="n">
        <v>5.99</v>
      </c>
      <c r="D1313" s="12" t="n">
        <v>4.19</v>
      </c>
      <c r="E1313" s="12" t="n">
        <v>-1.8</v>
      </c>
      <c r="F1313" s="13" t="n">
        <v>-30.1</v>
      </c>
      <c r="G1313" s="11" t="inlineStr">
        <is>
          <t>⬇ Price Down</t>
        </is>
      </c>
      <c r="H1313" s="11" t="inlineStr">
        <is>
          <t>90%</t>
        </is>
      </c>
      <c r="I1313" s="11">
        <f>HYPERLINK("https://www.ebay.com/sch/261328/i.html?_dcat=261328&amp;_fsrp=1&amp;rt=nc&amp;_from=R40&amp;_nkw=2025-26%20Bowman%20KON%20KNUEPPEL%20%23RY-4%20ROY%20Favorites%20Chrome%20RC%20Hornets%20Rookie&amp;_sacat=0&amp;_sop=15&amp;rt=nc&amp;LH_BIN=1", "Active")</f>
        <v/>
      </c>
      <c r="J1313" s="11">
        <f>HYPERLINK("https://www.ebay.com/sch/261328/i.html?_from=R40&amp;_nkw=2025-26%20Bowman%20KON%20KNUEPPEL%20%23RY-4%20ROY%20Favorites%20Chrome%20RC%20Hornets%20Rookie&amp;_sacat=0&amp;LH_Sold=1&amp;LH_Complete=1&amp;_sop=13", "Completed")</f>
        <v/>
      </c>
      <c r="K1313" s="11" t="inlineStr">
        <is>
          <t>2025-26 Bowman Kon Knueppel ROY Favorites Chrome RC Rookie #RY-4 Hornets</t>
        </is>
      </c>
    </row>
    <row r="1314">
      <c r="A1314" s="5" t="inlineStr">
        <is>
          <t>RBBB5-0004-00003-79280</t>
        </is>
      </c>
      <c r="B1314" s="5" t="inlineStr">
        <is>
          <t>2025-26 Bowman KON KNUEPPEL #HS-7 Chrome Hobby Stars RC Hornets Rookie</t>
        </is>
      </c>
      <c r="C1314" s="6" t="n">
        <v>3.89</v>
      </c>
      <c r="D1314" s="6" t="n">
        <v>4.19</v>
      </c>
      <c r="E1314" s="6" t="n">
        <v>0.3</v>
      </c>
      <c r="F1314" s="7" t="n">
        <v>7.7</v>
      </c>
      <c r="G1314" s="5" t="inlineStr">
        <is>
          <t>⬆ Price Up</t>
        </is>
      </c>
      <c r="H1314" s="5" t="inlineStr">
        <is>
          <t>74%</t>
        </is>
      </c>
      <c r="I1314" s="5">
        <f>HYPERLINK("https://www.ebay.com/sch/261328/i.html?_dcat=261328&amp;_fsrp=1&amp;rt=nc&amp;_from=R40&amp;_nkw=2025-26%20Bowman%20KON%20KNUEPPEL%20%23HS-7%20Chrome%20Hobby%20Stars%20RC%20Hornets%20Rookie&amp;_sacat=0&amp;_sop=15&amp;rt=nc&amp;LH_BIN=1", "Active")</f>
        <v/>
      </c>
      <c r="J1314" s="5">
        <f>HYPERLINK("https://www.ebay.com/sch/261328/i.html?_from=R40&amp;_nkw=2025-26%20Bowman%20KON%20KNUEPPEL%20%23HS-7%20Chrome%20Hobby%20Stars%20RC%20Hornets%20Rookie&amp;_sacat=0&amp;LH_Sold=1&amp;LH_Complete=1&amp;_sop=13", "Completed")</f>
        <v/>
      </c>
      <c r="K1314" s="5" t="inlineStr">
        <is>
          <t>Topps Bowman Chrome Hobby Stars Kon Knueppel #HS-7 Rookie RC Charlotte Hornets</t>
        </is>
      </c>
    </row>
    <row r="1315">
      <c r="A1315" s="2" t="inlineStr">
        <is>
          <t>RBBB5-0004-00001-89641</t>
        </is>
      </c>
      <c r="B1315" s="2" t="inlineStr">
        <is>
          <t>2025-26 Bowman SHAI GILGEOUS-ALEXANDER #BCV-106 Chrome Thunder Basketball</t>
        </is>
      </c>
      <c r="C1315" s="3" t="n">
        <v>3.99</v>
      </c>
      <c r="D1315" s="3" t="n">
        <v>2.49</v>
      </c>
      <c r="E1315" s="3" t="n">
        <v>-1.5</v>
      </c>
      <c r="F1315" s="4" t="n">
        <v>-37.6</v>
      </c>
      <c r="G1315" s="2" t="inlineStr">
        <is>
          <t>🔵 Floored $2.49 — free ship or $0.99 ship?</t>
        </is>
      </c>
      <c r="H1315" s="2" t="inlineStr">
        <is>
          <t>87%</t>
        </is>
      </c>
      <c r="I1315" s="2">
        <f>HYPERLINK("https://www.ebay.com/sch/261328/i.html?_dcat=261328&amp;_fsrp=1&amp;rt=nc&amp;_from=R40&amp;_nkw=2025-26%20Bowman%20SHAI%20GILGEOUS-ALEXANDER%20%23BCV-106%20Chrome%20Thunder%20Basketball&amp;_sacat=0&amp;_sop=15&amp;rt=nc&amp;LH_BIN=1", "Active")</f>
        <v/>
      </c>
      <c r="J1315" s="2">
        <f>HYPERLINK("https://www.ebay.com/sch/261328/i.html?_from=R40&amp;_nkw=2025-26%20Bowman%20SHAI%20GILGEOUS-ALEXANDER%20%23BCV-106%20Chrome%20Thunder%20Basketball&amp;_sacat=0&amp;LH_Sold=1&amp;LH_Complete=1&amp;_sop=13", "Completed")</f>
        <v/>
      </c>
      <c r="K1315" s="2" t="inlineStr">
        <is>
          <t>2025-26 Bowman Chrome #BCV-106 Shai Gilgeous-Alexander Oklahoma City Thunder</t>
        </is>
      </c>
    </row>
    <row r="1316">
      <c r="A1316" s="8" t="inlineStr">
        <is>
          <t>RBBB5-0004-00013-62538</t>
        </is>
      </c>
      <c r="B1316" s="8" t="inlineStr">
        <is>
          <t>2025 Bowman Draft GAVIN FIEN #BDN-10 Night Chrome Rangers</t>
        </is>
      </c>
      <c r="C1316" s="9" t="n">
        <v>2.49</v>
      </c>
      <c r="D1316" s="9" t="n">
        <v>2.49</v>
      </c>
      <c r="E1316" s="9" t="n">
        <v>0</v>
      </c>
      <c r="F1316" s="10" t="n">
        <v>0</v>
      </c>
      <c r="G1316" s="8" t="inlineStr">
        <is>
          <t>— No Change</t>
        </is>
      </c>
      <c r="H1316" s="8" t="inlineStr">
        <is>
          <t>80%</t>
        </is>
      </c>
      <c r="I1316" s="8">
        <f>HYPERLINK("https://www.ebay.com/sch/261328/i.html?_dcat=261328&amp;_fsrp=1&amp;rt=nc&amp;_from=R40&amp;_nkw=2025%20Bowman%20Draft%20GAVIN%20FIEN%20%23BDN-10%20Night%20Chrome%20Rangers&amp;_sacat=0&amp;_sop=15&amp;rt=nc&amp;LH_BIN=1", "Active")</f>
        <v/>
      </c>
      <c r="J1316" s="8">
        <f>HYPERLINK("https://www.ebay.com/sch/261328/i.html?_from=R40&amp;_nkw=2025%20Bowman%20Draft%20GAVIN%20FIEN%20%23BDN-10%20Night%20Chrome%20Rangers&amp;_sacat=0&amp;LH_Sold=1&amp;LH_Complete=1&amp;_sop=13", "Completed")</f>
        <v/>
      </c>
      <c r="K1316" s="8" t="inlineStr">
        <is>
          <t>Gavin Fien  2025 Bowman Draft Chrome Night Texas Rangers #BDN-10</t>
        </is>
      </c>
    </row>
    <row r="1317">
      <c r="A1317" s="11" t="inlineStr">
        <is>
          <t>RBBB5-0004-00010-69994</t>
        </is>
      </c>
      <c r="B1317" s="11" t="inlineStr">
        <is>
          <t>2025-26 Bowman KON KNUEPPEL #GL-4 Chrome Greatness Loading RC Hornets Rookie</t>
        </is>
      </c>
      <c r="C1317" s="12" t="n">
        <v>6.99</v>
      </c>
      <c r="D1317" s="12" t="n">
        <v>2.89</v>
      </c>
      <c r="E1317" s="12" t="n">
        <v>-4.1</v>
      </c>
      <c r="F1317" s="13" t="n">
        <v>-58.7</v>
      </c>
      <c r="G1317" s="11" t="inlineStr">
        <is>
          <t>⬇ Price Down</t>
        </is>
      </c>
      <c r="H1317" s="11" t="inlineStr">
        <is>
          <t>85%</t>
        </is>
      </c>
      <c r="I1317" s="11">
        <f>HYPERLINK("https://www.ebay.com/sch/261328/i.html?_dcat=261328&amp;_fsrp=1&amp;rt=nc&amp;_from=R40&amp;_nkw=2025-26%20Bowman%20KON%20KNUEPPEL%20%23GL-4%20Chrome%20Greatness%20Loading%20RC%20Hornets%20Rookie&amp;_sacat=0&amp;_sop=15&amp;rt=nc&amp;LH_BIN=1", "Active")</f>
        <v/>
      </c>
      <c r="J1317" s="11">
        <f>HYPERLINK("https://www.ebay.com/sch/261328/i.html?_from=R40&amp;_nkw=2025-26%20Bowman%20KON%20KNUEPPEL%20%23GL-4%20Chrome%20Greatness%20Loading%20RC%20Hornets%20Rookie&amp;_sacat=0&amp;LH_Sold=1&amp;LH_Complete=1&amp;_sop=13", "Completed")</f>
        <v/>
      </c>
      <c r="K1317" s="11" t="inlineStr">
        <is>
          <t>2025-26 BOWMAN CHROME GREATNESS LOADING RC CARD HORNETS KON KNUEPPEL #GL-4</t>
        </is>
      </c>
    </row>
    <row r="1318">
      <c r="A1318" s="2" t="inlineStr">
        <is>
          <t>RBBB5-0004-00008-92674</t>
        </is>
      </c>
      <c r="B1318" s="2" t="inlineStr">
        <is>
          <t>2025 Bowman Draft GAVIN FIEN #BIA-16 In Action Rangers</t>
        </is>
      </c>
      <c r="C1318" s="3" t="n">
        <v>2.99</v>
      </c>
      <c r="D1318" s="3" t="n">
        <v>2.49</v>
      </c>
      <c r="E1318" s="3" t="n">
        <v>-0.5</v>
      </c>
      <c r="F1318" s="4" t="n">
        <v>-16.7</v>
      </c>
      <c r="G1318" s="2" t="inlineStr">
        <is>
          <t>🔵 Floored $2.49 — free ship or $0.99 ship?</t>
        </is>
      </c>
      <c r="H1318" s="2" t="inlineStr">
        <is>
          <t>84%</t>
        </is>
      </c>
      <c r="I1318" s="2">
        <f>HYPERLINK("https://www.ebay.com/sch/261328/i.html?_dcat=261328&amp;_fsrp=1&amp;rt=nc&amp;_from=R40&amp;_nkw=2025%20Bowman%20Draft%20GAVIN%20FIEN%20%23BIA-16%20In%20Action%20Rangers&amp;_sacat=0&amp;_sop=15&amp;rt=nc&amp;LH_BIN=1", "Active")</f>
        <v/>
      </c>
      <c r="J1318" s="2">
        <f>HYPERLINK("https://www.ebay.com/sch/261328/i.html?_from=R40&amp;_nkw=2025%20Bowman%20Draft%20GAVIN%20FIEN%20%23BIA-16%20In%20Action%20Rangers&amp;_sacat=0&amp;LH_Sold=1&amp;LH_Complete=1&amp;_sop=13", "Completed")</f>
        <v/>
      </c>
      <c r="K1318" s="2" t="inlineStr">
        <is>
          <t>2025 Bowman Chrome Draft Baseball Gavin Fien In Action Refractor #BIA-16 RANGERS</t>
        </is>
      </c>
    </row>
    <row r="1319">
      <c r="A1319" s="2" t="inlineStr">
        <is>
          <t>RBBB5-0004-00020-10509</t>
        </is>
      </c>
      <c r="B1319" s="2" t="inlineStr">
        <is>
          <t>2025 Bowman LEAH MACY #CPA-LM Chrome Auto Refractor /499 1st Prospect</t>
        </is>
      </c>
      <c r="C1319" s="3" t="n">
        <v>15</v>
      </c>
      <c r="D1319" s="3" t="n">
        <v>2.49</v>
      </c>
      <c r="E1319" s="3" t="n">
        <v>-12.51</v>
      </c>
      <c r="F1319" s="4" t="n">
        <v>-83.40000000000001</v>
      </c>
      <c r="G1319" s="2" t="inlineStr">
        <is>
          <t>🔵 Floored $2.49 — free ship or $0.99 ship?</t>
        </is>
      </c>
      <c r="H1319" s="2" t="inlineStr"/>
      <c r="I1319" s="2">
        <f>HYPERLINK("https://www.ebay.com/sch/261328/i.html?_dcat=261328&amp;_fsrp=1&amp;rt=nc&amp;_from=R40&amp;_nkw=2025%20Bowman%20LEAH%20MACY%20%23CPA-LM%20Chrome%20Auto%20Refractor%20%2F499%201st%20Prospect&amp;_sacat=0&amp;_sop=15&amp;rt=nc&amp;LH_BIN=1", "Active")</f>
        <v/>
      </c>
      <c r="J1319" s="2">
        <f>HYPERLINK("https://www.ebay.com/sch/261328/i.html?_from=R40&amp;_nkw=2025%20Bowman%20LEAH%20MACY%20%23CPA-LM%20Chrome%20Auto%20Refractor%20%2F499%201st%20Prospect&amp;_sacat=0&amp;LH_Sold=1&amp;LH_Complete=1&amp;_sop=13", "Completed")</f>
        <v/>
      </c>
      <c r="K1319" s="2" t="inlineStr">
        <is>
          <t>No Close Result Found</t>
        </is>
      </c>
    </row>
    <row r="1320">
      <c r="A1320" s="11" t="inlineStr">
        <is>
          <t>RBBB5-0004-00012-95993</t>
        </is>
      </c>
      <c r="B1320" s="11" t="inlineStr">
        <is>
          <t>2025-26 Bowman KON KNUEPPEL #BCV-4 Chrome RC Hornets Rookie Basketball</t>
        </is>
      </c>
      <c r="C1320" s="12" t="n">
        <v>6</v>
      </c>
      <c r="D1320" s="12" t="n">
        <v>2.99</v>
      </c>
      <c r="E1320" s="12" t="n">
        <v>-3.01</v>
      </c>
      <c r="F1320" s="13" t="n">
        <v>-50.2</v>
      </c>
      <c r="G1320" s="11" t="inlineStr">
        <is>
          <t>⬇ Price Down</t>
        </is>
      </c>
      <c r="H1320" s="11" t="inlineStr">
        <is>
          <t>87%</t>
        </is>
      </c>
      <c r="I1320" s="11">
        <f>HYPERLINK("https://www.ebay.com/sch/261328/i.html?_dcat=261328&amp;_fsrp=1&amp;rt=nc&amp;_from=R40&amp;_nkw=2025-26%20Bowman%20KON%20KNUEPPEL%20%23BCV-4%20Chrome%20RC%20Hornets%20Rookie%20Basketball&amp;_sacat=0&amp;_sop=15&amp;rt=nc&amp;LH_BIN=1", "Active")</f>
        <v/>
      </c>
      <c r="J1320" s="11">
        <f>HYPERLINK("https://www.ebay.com/sch/261328/i.html?_from=R40&amp;_nkw=2025-26%20Bowman%20KON%20KNUEPPEL%20%23BCV-4%20Chrome%20RC%20Hornets%20Rookie%20Basketball&amp;_sacat=0&amp;LH_Sold=1&amp;LH_Complete=1&amp;_sop=13", "Completed")</f>
        <v/>
      </c>
      <c r="K1320" s="11" t="inlineStr">
        <is>
          <t>2025-26 Bowman Kon Knueppel Chrome RC Rookie #BCV-4 Hornets</t>
        </is>
      </c>
    </row>
    <row r="1321">
      <c r="A1321" s="5" t="inlineStr">
        <is>
          <t>RBBB5-0004-00018-23517</t>
        </is>
      </c>
      <c r="B1321" s="5" t="inlineStr">
        <is>
          <t>2025 Bowman SHELTON HENDERSON #BCP-10 Chrome Purple Refractor /250 1st Prospect</t>
        </is>
      </c>
      <c r="C1321" s="6" t="n">
        <v>7.19</v>
      </c>
      <c r="D1321" s="6" t="n">
        <v>7.89</v>
      </c>
      <c r="E1321" s="6" t="n">
        <v>0.7</v>
      </c>
      <c r="F1321" s="7" t="n">
        <v>9.699999999999999</v>
      </c>
      <c r="G1321" s="5" t="inlineStr">
        <is>
          <t>⬆ Price Up</t>
        </is>
      </c>
      <c r="H1321" s="5" t="inlineStr">
        <is>
          <t>100%</t>
        </is>
      </c>
      <c r="I1321" s="5">
        <f>HYPERLINK("https://www.ebay.com/sch/261328/i.html?_dcat=261328&amp;_fsrp=1&amp;rt=nc&amp;_from=R40&amp;_nkw=2025%20Bowman%20SHELTON%20HENDERSON%20%23BCP-10%20Chrome%20Purple%20Refractor%20%2F250%201st%20Prospect&amp;_sacat=0&amp;_sop=15&amp;rt=nc&amp;LH_BIN=1", "Active")</f>
        <v/>
      </c>
      <c r="J1321" s="5">
        <f>HYPERLINK("https://www.ebay.com/sch/261328/i.html?_from=R40&amp;_nkw=2025%20Bowman%20SHELTON%20HENDERSON%20%23BCP-10%20Chrome%20Purple%20Refractor%20%2F250%201st%20Prospect&amp;_sacat=0&amp;LH_Sold=1&amp;LH_Complete=1&amp;_sop=13", "Completed")</f>
        <v/>
      </c>
      <c r="K1321" s="5" t="inlineStr">
        <is>
          <t>2025 Bowman SHELTON HENDERSON #BCP-10 Chrome Purple Refractor /250 1st Prospect</t>
        </is>
      </c>
    </row>
    <row r="1322">
      <c r="A1322" s="11" t="inlineStr">
        <is>
          <t>RBBB5-0002-00011-69349</t>
        </is>
      </c>
      <c r="B1322" s="11" t="inlineStr">
        <is>
          <t>2025-26 Bowman KON KNUEPPEL #RR-4 Chrome Rockstar Rookies RC Hornets Basketball</t>
        </is>
      </c>
      <c r="C1322" s="12" t="n">
        <v>5.99</v>
      </c>
      <c r="D1322" s="12" t="n">
        <v>2.89</v>
      </c>
      <c r="E1322" s="12" t="n">
        <v>-3.1</v>
      </c>
      <c r="F1322" s="13" t="n">
        <v>-51.8</v>
      </c>
      <c r="G1322" s="11" t="inlineStr">
        <is>
          <t>⬇ Price Down</t>
        </is>
      </c>
      <c r="H1322" s="11" t="inlineStr">
        <is>
          <t>78%</t>
        </is>
      </c>
      <c r="I1322" s="11">
        <f>HYPERLINK("https://www.ebay.com/sch/261328/i.html?_dcat=261328&amp;_fsrp=1&amp;rt=nc&amp;_from=R40&amp;_nkw=2025-26%20Bowman%20KON%20KNUEPPEL%20%23RR-4%20Chrome%20Rockstar%20Rookies%20RC%20Hornets%20Basketball&amp;_sacat=0&amp;_sop=15&amp;rt=nc&amp;LH_BIN=1", "Active")</f>
        <v/>
      </c>
      <c r="J1322" s="11">
        <f>HYPERLINK("https://www.ebay.com/sch/261328/i.html?_from=R40&amp;_nkw=2025-26%20Bowman%20KON%20KNUEPPEL%20%23RR-4%20Chrome%20Rockstar%20Rookies%20RC%20Hornets%20Basketball&amp;_sacat=0&amp;LH_Sold=1&amp;LH_Complete=1&amp;_sop=13", "Completed")</f>
        <v/>
      </c>
      <c r="K1322" s="11" t="inlineStr">
        <is>
          <t>KON KNUEPPEL 2025-26 BOWMAN CHROME #RR-4 ROCKSTAR ROOKIE RC CHARLOTTE HORNETS</t>
        </is>
      </c>
    </row>
    <row r="1323">
      <c r="A1323" s="2" t="inlineStr">
        <is>
          <t>RBBB5-0004-00019-87265</t>
        </is>
      </c>
      <c r="B1323" s="2" t="inlineStr">
        <is>
          <t>2025 Bowman JAMIER JONES #CPA-JO Chrome Auto Refractor /499 1st Prospect</t>
        </is>
      </c>
      <c r="C1323" s="3" t="n">
        <v>20</v>
      </c>
      <c r="D1323" s="3" t="n">
        <v>2.49</v>
      </c>
      <c r="E1323" s="3" t="n">
        <v>-17.51</v>
      </c>
      <c r="F1323" s="4" t="n">
        <v>-87.59999999999999</v>
      </c>
      <c r="G1323" s="2" t="inlineStr">
        <is>
          <t>🔵 Floored $2.49 — free ship or $0.99 ship?</t>
        </is>
      </c>
      <c r="H1323" s="2" t="inlineStr"/>
      <c r="I1323" s="2">
        <f>HYPERLINK("https://www.ebay.com/sch/261328/i.html?_dcat=261328&amp;_fsrp=1&amp;rt=nc&amp;_from=R40&amp;_nkw=2025%20Bowman%20JAMIER%20JONES%20%23CPA-JO%20Chrome%20Auto%20Refractor%20%2F499%201st%20Prospect&amp;_sacat=0&amp;_sop=15&amp;rt=nc&amp;LH_BIN=1", "Active")</f>
        <v/>
      </c>
      <c r="J1323" s="2">
        <f>HYPERLINK("https://www.ebay.com/sch/261328/i.html?_from=R40&amp;_nkw=2025%20Bowman%20JAMIER%20JONES%20%23CPA-JO%20Chrome%20Auto%20Refractor%20%2F499%201st%20Prospect&amp;_sacat=0&amp;LH_Sold=1&amp;LH_Complete=1&amp;_sop=13", "Completed")</f>
        <v/>
      </c>
      <c r="K1323" s="2" t="inlineStr">
        <is>
          <t>No Close Result Found</t>
        </is>
      </c>
    </row>
    <row r="1324">
      <c r="A1324" s="2" t="inlineStr">
        <is>
          <t>RBBB5-0004-00004-33506</t>
        </is>
      </c>
      <c r="B1324" s="2" t="inlineStr">
        <is>
          <t>2025 Bowman OTEGA OWEH #CPA-OO Chrome Auto Refractor /499 1st Prospect</t>
        </is>
      </c>
      <c r="C1324" s="3" t="n">
        <v>50</v>
      </c>
      <c r="D1324" s="3" t="n">
        <v>2.49</v>
      </c>
      <c r="E1324" s="3" t="n">
        <v>-47.51</v>
      </c>
      <c r="F1324" s="4" t="n">
        <v>-95</v>
      </c>
      <c r="G1324" s="2" t="inlineStr">
        <is>
          <t>🔵 Floored $2.49 — free ship or $0.99 ship?</t>
        </is>
      </c>
      <c r="H1324" s="2" t="inlineStr"/>
      <c r="I1324" s="2">
        <f>HYPERLINK("https://www.ebay.com/sch/261328/i.html?_dcat=261328&amp;_fsrp=1&amp;rt=nc&amp;_from=R40&amp;_nkw=2025%20Bowman%20OTEGA%20OWEH%20%23CPA-OO%20Chrome%20Auto%20Refractor%20%2F499%201st%20Prospect&amp;_sacat=0&amp;_sop=15&amp;rt=nc&amp;LH_BIN=1", "Active")</f>
        <v/>
      </c>
      <c r="J1324" s="2">
        <f>HYPERLINK("https://www.ebay.com/sch/261328/i.html?_from=R40&amp;_nkw=2025%20Bowman%20OTEGA%20OWEH%20%23CPA-OO%20Chrome%20Auto%20Refractor%20%2F499%201st%20Prospect&amp;_sacat=0&amp;LH_Sold=1&amp;LH_Complete=1&amp;_sop=13", "Completed")</f>
        <v/>
      </c>
      <c r="K1324" s="2" t="inlineStr">
        <is>
          <t>No Close Result Found</t>
        </is>
      </c>
    </row>
    <row r="1325">
      <c r="A1325" s="5" t="inlineStr">
        <is>
          <t>RBBB5-0004-00006-04236</t>
        </is>
      </c>
      <c r="B1325" s="5" t="inlineStr">
        <is>
          <t>2025 Bowman YANG HANSEN #BRR-16 Chrome Red Rookie Variation SP RC</t>
        </is>
      </c>
      <c r="C1325" s="6" t="n">
        <v>4.99</v>
      </c>
      <c r="D1325" s="6" t="n">
        <v>5.79</v>
      </c>
      <c r="E1325" s="6" t="n">
        <v>0.8</v>
      </c>
      <c r="F1325" s="7" t="n">
        <v>16</v>
      </c>
      <c r="G1325" s="5" t="inlineStr">
        <is>
          <t>⬆ Price Up</t>
        </is>
      </c>
      <c r="H1325" s="5" t="inlineStr">
        <is>
          <t>100%</t>
        </is>
      </c>
      <c r="I1325" s="5">
        <f>HYPERLINK("https://www.ebay.com/sch/261328/i.html?_dcat=261328&amp;_fsrp=1&amp;rt=nc&amp;_from=R40&amp;_nkw=2025%20Bowman%20YANG%20HANSEN%20%23BRR-16%20Chrome%20Red%20Rookie%20Variation%20SP%20RC&amp;_sacat=0&amp;_sop=15&amp;rt=nc&amp;LH_BIN=1", "Active")</f>
        <v/>
      </c>
      <c r="J1325" s="5">
        <f>HYPERLINK("https://www.ebay.com/sch/261328/i.html?_from=R40&amp;_nkw=2025%20Bowman%20YANG%20HANSEN%20%23BRR-16%20Chrome%20Red%20Rookie%20Variation%20SP%20RC&amp;_sacat=0&amp;LH_Sold=1&amp;LH_Complete=1&amp;_sop=13", "Completed")</f>
        <v/>
      </c>
      <c r="K1325" s="5" t="inlineStr">
        <is>
          <t>2025 Bowman YANG HANSEN #BRR-16 Chrome Red Rookie Variation SP RC</t>
        </is>
      </c>
    </row>
    <row r="1326">
      <c r="A1326" s="8" t="inlineStr">
        <is>
          <t>RBBB5-0001-00112-26249</t>
        </is>
      </c>
      <c r="B1326" s="8" t="inlineStr">
        <is>
          <t>2025 Bowman's Best PAUL SKENES #P-14 Pixel Portraits Pirates</t>
        </is>
      </c>
      <c r="C1326" s="9" t="n">
        <v>9.69</v>
      </c>
      <c r="D1326" s="9" t="n">
        <v>9.69</v>
      </c>
      <c r="E1326" s="9" t="n">
        <v>0</v>
      </c>
      <c r="F1326" s="10" t="n">
        <v>0</v>
      </c>
      <c r="G1326" s="8" t="inlineStr">
        <is>
          <t>— No Change</t>
        </is>
      </c>
      <c r="H1326" s="8" t="inlineStr">
        <is>
          <t>87%</t>
        </is>
      </c>
      <c r="I1326" s="8">
        <f>HYPERLINK("https://www.ebay.com/sch/261328/i.html?_dcat=261328&amp;_fsrp=1&amp;rt=nc&amp;_from=R40&amp;_nkw=2025%20Bowman's%20Best%20PAUL%20SKENES%20%23P-14%20Pixel%20Portraits%20Pirates&amp;_sacat=0&amp;_sop=15&amp;rt=nc&amp;LH_BIN=1", "Active")</f>
        <v/>
      </c>
      <c r="J1326" s="8">
        <f>HYPERLINK("https://www.ebay.com/sch/261328/i.html?_from=R40&amp;_nkw=2025%20Bowman's%20Best%20PAUL%20SKENES%20%23P-14%20Pixel%20Portraits%20Pirates&amp;_sacat=0&amp;LH_Sold=1&amp;LH_Complete=1&amp;_sop=13", "Completed")</f>
        <v/>
      </c>
      <c r="K1326" s="8" t="inlineStr">
        <is>
          <t>2025 Bowman's Best Paul Skenes Pixel Portraits #P-14 Pittsburgh Pirates</t>
        </is>
      </c>
    </row>
    <row r="1327">
      <c r="A1327" s="2" t="inlineStr">
        <is>
          <t>RBBB5-0004-00043-69805</t>
        </is>
      </c>
      <c r="B1327" s="2" t="inlineStr">
        <is>
          <t>2025 Bowman Chrome NICK KURTZ #93 RC Athletics Rookie</t>
        </is>
      </c>
      <c r="C1327" s="3" t="n">
        <v>2.99</v>
      </c>
      <c r="D1327" s="3" t="n">
        <v>2.49</v>
      </c>
      <c r="E1327" s="3" t="n">
        <v>-0.5</v>
      </c>
      <c r="F1327" s="4" t="n">
        <v>-16.7</v>
      </c>
      <c r="G1327" s="2" t="inlineStr">
        <is>
          <t>🔵 Floored $2.49 — free ship or $0.99 ship?</t>
        </is>
      </c>
      <c r="H1327" s="2" t="inlineStr">
        <is>
          <t>85%</t>
        </is>
      </c>
      <c r="I1327" s="2">
        <f>HYPERLINK("https://www.ebay.com/sch/261328/i.html?_dcat=261328&amp;_fsrp=1&amp;rt=nc&amp;_from=R40&amp;_nkw=2025%20Bowman%20Chrome%20NICK%20KURTZ%20%2393%20RC%20Athletics%20Rookie&amp;_sacat=0&amp;_sop=15&amp;rt=nc&amp;LH_BIN=1", "Active")</f>
        <v/>
      </c>
      <c r="J1327" s="2">
        <f>HYPERLINK("https://www.ebay.com/sch/261328/i.html?_from=R40&amp;_nkw=2025%20Bowman%20Chrome%20NICK%20KURTZ%20%2393%20RC%20Athletics%20Rookie&amp;_sacat=0&amp;LH_Sold=1&amp;LH_Complete=1&amp;_sop=13", "Completed")</f>
        <v/>
      </c>
      <c r="K1327" s="2" t="inlineStr">
        <is>
          <t>2025 Bowman Chrome Nick Kurtz #93 RC Rookie Card Oakland Athletics A’s</t>
        </is>
      </c>
    </row>
    <row r="1328">
      <c r="A1328" s="5" t="inlineStr">
        <is>
          <t>RBBB5-0004-00042-99756</t>
        </is>
      </c>
      <c r="B1328" s="5" t="inlineStr">
        <is>
          <t>2025 Bowman Chrome MAX MUNCY #90 Red RC Variation Athletics Rookie</t>
        </is>
      </c>
      <c r="C1328" s="6" t="n">
        <v>2</v>
      </c>
      <c r="D1328" s="6" t="n">
        <v>2.49</v>
      </c>
      <c r="E1328" s="6" t="n">
        <v>0.49</v>
      </c>
      <c r="F1328" s="7" t="n">
        <v>24.5</v>
      </c>
      <c r="G1328" s="5" t="inlineStr">
        <is>
          <t>⬆ Price Up</t>
        </is>
      </c>
      <c r="H1328" s="5" t="inlineStr">
        <is>
          <t>90%</t>
        </is>
      </c>
      <c r="I1328" s="5">
        <f>HYPERLINK("https://www.ebay.com/sch/261328/i.html?_dcat=261328&amp;_fsrp=1&amp;rt=nc&amp;_from=R40&amp;_nkw=2025%20Bowman%20Chrome%20MAX%20MUNCY%20%2390%20Red%20RC%20Variation%20Athletics%20Rookie&amp;_sacat=0&amp;_sop=15&amp;rt=nc&amp;LH_BIN=1", "Active")</f>
        <v/>
      </c>
      <c r="J1328" s="5">
        <f>HYPERLINK("https://www.ebay.com/sch/261328/i.html?_from=R40&amp;_nkw=2025%20Bowman%20Chrome%20MAX%20MUNCY%20%2390%20Red%20RC%20Variation%20Athletics%20Rookie&amp;_sacat=0&amp;LH_Sold=1&amp;LH_Complete=1&amp;_sop=13", "Completed")</f>
        <v/>
      </c>
      <c r="K1328" s="5" t="inlineStr">
        <is>
          <t>2025 Bowman Chrome Max Muncy Red RC Variation Rookie #90 Athletics</t>
        </is>
      </c>
    </row>
    <row r="1329">
      <c r="A1329" s="2" t="inlineStr">
        <is>
          <t>RBBB5-0004-00022-38355</t>
        </is>
      </c>
      <c r="B1329" s="2" t="inlineStr">
        <is>
          <t>2025 Bowman's Best KONNOR GRIFFIN #B25-KG Best of Auto Purple Refractor /75 RC</t>
        </is>
      </c>
      <c r="C1329" s="3" t="n">
        <v>389.99</v>
      </c>
      <c r="D1329" s="3" t="n">
        <v>2.49</v>
      </c>
      <c r="E1329" s="3" t="n">
        <v>-387.5</v>
      </c>
      <c r="F1329" s="4" t="n">
        <v>-99.40000000000001</v>
      </c>
      <c r="G1329" s="2" t="inlineStr">
        <is>
          <t>🔵 Floored $2.49 — free ship or $0.99 ship?</t>
        </is>
      </c>
      <c r="H1329" s="2" t="inlineStr"/>
      <c r="I1329" s="2">
        <f>HYPERLINK("https://www.ebay.com/sch/261328/i.html?_dcat=261328&amp;_fsrp=1&amp;rt=nc&amp;_from=R40&amp;_nkw=2025%20Bowman's%20Best%20KONNOR%20GRIFFIN%20%23B25-KG%20Best%20of%20Auto%20Purple%20Refractor%20%2F75%20RC&amp;_sacat=0&amp;_sop=15&amp;rt=nc&amp;LH_BIN=1", "Active")</f>
        <v/>
      </c>
      <c r="J1329" s="2">
        <f>HYPERLINK("https://www.ebay.com/sch/261328/i.html?_from=R40&amp;_nkw=2025%20Bowman's%20Best%20KONNOR%20GRIFFIN%20%23B25-KG%20Best%20of%20Auto%20Purple%20Refractor%20%2F75%20RC&amp;_sacat=0&amp;LH_Sold=1&amp;LH_Complete=1&amp;_sop=13", "Completed")</f>
        <v/>
      </c>
      <c r="K1329" s="2" t="inlineStr">
        <is>
          <t>No Close Result Found</t>
        </is>
      </c>
    </row>
    <row r="1330">
      <c r="A1330" s="5" t="inlineStr">
        <is>
          <t>RBBB5-0004-00045-65535</t>
        </is>
      </c>
      <c r="B1330" s="5" t="inlineStr">
        <is>
          <t>2025 Bowman Draft GAVIN KILEN #BDC-40 Chrome Ref 1st Prospect Giants Football</t>
        </is>
      </c>
      <c r="C1330" s="6" t="n">
        <v>3.49</v>
      </c>
      <c r="D1330" s="6" t="n">
        <v>4.39</v>
      </c>
      <c r="E1330" s="6" t="n">
        <v>0.9</v>
      </c>
      <c r="F1330" s="7" t="n">
        <v>25.8</v>
      </c>
      <c r="G1330" s="5" t="inlineStr">
        <is>
          <t>⬆ Price Up</t>
        </is>
      </c>
      <c r="H1330" s="5" t="inlineStr">
        <is>
          <t>100%</t>
        </is>
      </c>
      <c r="I1330" s="5">
        <f>HYPERLINK("https://www.ebay.com/sch/261328/i.html?_dcat=261328&amp;_fsrp=1&amp;rt=nc&amp;_from=R40&amp;_nkw=2025%20Bowman%20Draft%20GAVIN%20KILEN%20%23BDC-40%20Chrome%20Ref%201st%20Prospect%20Giants%20Football&amp;_sacat=0&amp;_sop=15&amp;rt=nc&amp;LH_BIN=1", "Active")</f>
        <v/>
      </c>
      <c r="J1330" s="5">
        <f>HYPERLINK("https://www.ebay.com/sch/261328/i.html?_from=R40&amp;_nkw=2025%20Bowman%20Draft%20GAVIN%20KILEN%20%23BDC-40%20Chrome%20Ref%201st%20Prospect%20Giants%20Football&amp;_sacat=0&amp;LH_Sold=1&amp;LH_Complete=1&amp;_sop=13", "Completed")</f>
        <v/>
      </c>
      <c r="K1330" s="5" t="inlineStr">
        <is>
          <t>2025 Bowman Draft GAVIN KILEN #BDC-40 Chrome Ref 1st Prospect Giants Football</t>
        </is>
      </c>
    </row>
    <row r="1331">
      <c r="A1331" s="2" t="inlineStr">
        <is>
          <t>RBBB5-0004-00040-08525</t>
        </is>
      </c>
      <c r="B1331" s="2" t="inlineStr">
        <is>
          <t>2025 Bowman Chrome AYDEN JOHNSON #BCP-197 1st Prospect Athletics</t>
        </is>
      </c>
      <c r="C1331" s="3" t="n">
        <v>2.99</v>
      </c>
      <c r="D1331" s="3" t="n">
        <v>2.49</v>
      </c>
      <c r="E1331" s="3" t="n">
        <v>-0.5</v>
      </c>
      <c r="F1331" s="4" t="n">
        <v>-16.7</v>
      </c>
      <c r="G1331" s="2" t="inlineStr">
        <is>
          <t>🔵 Floored $2.49 — free ship or $0.99 ship?</t>
        </is>
      </c>
      <c r="H1331" s="2" t="inlineStr">
        <is>
          <t>65%</t>
        </is>
      </c>
      <c r="I1331" s="2">
        <f>HYPERLINK("https://www.ebay.com/sch/261328/i.html?_dcat=261328&amp;_fsrp=1&amp;rt=nc&amp;_from=R40&amp;_nkw=2025%20Bowman%20Chrome%20AYDEN%20JOHNSON%20%23BCP-197%201st%20Prospect%20Athletics&amp;_sacat=0&amp;_sop=15&amp;rt=nc&amp;LH_BIN=1", "Active")</f>
        <v/>
      </c>
      <c r="J1331" s="2">
        <f>HYPERLINK("https://www.ebay.com/sch/261328/i.html?_from=R40&amp;_nkw=2025%20Bowman%20Chrome%20AYDEN%20JOHNSON%20%23BCP-197%201st%20Prospect%20Athletics&amp;_sacat=0&amp;LH_Sold=1&amp;LH_Complete=1&amp;_sop=13", "Completed")</f>
        <v/>
      </c>
      <c r="K1331" s="2" t="inlineStr">
        <is>
          <t>2025 Bowman Baseball 1st Bowman Prospects - Base  Chrome - Pick Your Player</t>
        </is>
      </c>
    </row>
    <row r="1332">
      <c r="A1332" s="2" t="inlineStr">
        <is>
          <t>RBBB5-0004-00032-31085</t>
        </is>
      </c>
      <c r="B1332" s="2" t="inlineStr">
        <is>
          <t>2025 Bowman Draft CAMERON MALDONADO #BDC-99 Chrome Refractor 1st Prospect Giants</t>
        </is>
      </c>
      <c r="C1332" s="3" t="n">
        <v>3.99</v>
      </c>
      <c r="D1332" s="3" t="n">
        <v>2.49</v>
      </c>
      <c r="E1332" s="3" t="n">
        <v>-1.5</v>
      </c>
      <c r="F1332" s="4" t="n">
        <v>-37.6</v>
      </c>
      <c r="G1332" s="2" t="inlineStr">
        <is>
          <t>🔵 Floored $2.49 — free ship or $0.99 ship?</t>
        </is>
      </c>
      <c r="H1332" s="2" t="inlineStr">
        <is>
          <t>90%</t>
        </is>
      </c>
      <c r="I1332" s="2">
        <f>HYPERLINK("https://www.ebay.com/sch/261328/i.html?_dcat=261328&amp;_fsrp=1&amp;rt=nc&amp;_from=R40&amp;_nkw=2025%20Bowman%20Draft%20CAMERON%20MALDONADO%20%23BDC-99%20Chrome%20Refractor%201st%20Prospect%20Giants&amp;_sacat=0&amp;_sop=15&amp;rt=nc&amp;LH_BIN=1", "Active")</f>
        <v/>
      </c>
      <c r="J1332" s="2">
        <f>HYPERLINK("https://www.ebay.com/sch/261328/i.html?_from=R40&amp;_nkw=2025%20Bowman%20Draft%20CAMERON%20MALDONADO%20%23BDC-99%20Chrome%20Refractor%201st%20Prospect%20Giants&amp;_sacat=0&amp;LH_Sold=1&amp;LH_Complete=1&amp;_sop=13", "Completed")</f>
        <v/>
      </c>
      <c r="K1332" s="2" t="inlineStr">
        <is>
          <t>2025 Bowman Draft Cameron Maldonado Chrome Refractor 1st Prospect #BDC-99 Giants</t>
        </is>
      </c>
    </row>
    <row r="1333">
      <c r="A1333" s="2" t="inlineStr">
        <is>
          <t>RBBB5-0004-00030-95175</t>
        </is>
      </c>
      <c r="B1333" s="2" t="inlineStr">
        <is>
          <t>2023 Bowman SHEA LANGELIERS #ROYF-10 Rookie of the Year Favorites Chrome RC</t>
        </is>
      </c>
      <c r="C1333" s="3" t="n">
        <v>4.49</v>
      </c>
      <c r="D1333" s="3" t="n">
        <v>2.49</v>
      </c>
      <c r="E1333" s="3" t="n">
        <v>-2</v>
      </c>
      <c r="F1333" s="4" t="n">
        <v>-44.5</v>
      </c>
      <c r="G1333" s="2" t="inlineStr">
        <is>
          <t>🔵 Floored $2.49 — free ship or $0.99 ship?</t>
        </is>
      </c>
      <c r="H1333" s="2" t="inlineStr">
        <is>
          <t>89%</t>
        </is>
      </c>
      <c r="I1333" s="2">
        <f>HYPERLINK("https://www.ebay.com/sch/261328/i.html?_dcat=261328&amp;_fsrp=1&amp;rt=nc&amp;_from=R40&amp;_nkw=2023%20Bowman%20SHEA%20LANGELIERS%20%23ROYF-10%20Rookie%20of%20the%20Year%20Favorites%20Chrome%20RC&amp;_sacat=0&amp;_sop=15&amp;rt=nc&amp;LH_BIN=1", "Active")</f>
        <v/>
      </c>
      <c r="J1333" s="2">
        <f>HYPERLINK("https://www.ebay.com/sch/261328/i.html?_from=R40&amp;_nkw=2023%20Bowman%20SHEA%20LANGELIERS%20%23ROYF-10%20Rookie%20of%20the%20Year%20Favorites%20Chrome%20RC&amp;_sacat=0&amp;LH_Sold=1&amp;LH_Complete=1&amp;_sop=13", "Completed")</f>
        <v/>
      </c>
      <c r="K1333" s="2" t="inlineStr">
        <is>
          <t>2023 Bowman Chrome #ROYF-10 Shea Langeliers Rookie of the Year Favorites RC</t>
        </is>
      </c>
    </row>
    <row r="1334">
      <c r="A1334" s="2" t="inlineStr">
        <is>
          <t>RBBB5-0004-00025-30205</t>
        </is>
      </c>
      <c r="B1334" s="2" t="inlineStr">
        <is>
          <t>2025 Bowman Draft GRANT RICHARDSON #BDC-171 Chrome 1st Prospect Athletics</t>
        </is>
      </c>
      <c r="C1334" s="3" t="n">
        <v>2.99</v>
      </c>
      <c r="D1334" s="3" t="n">
        <v>2.49</v>
      </c>
      <c r="E1334" s="3" t="n">
        <v>-0.5</v>
      </c>
      <c r="F1334" s="4" t="n">
        <v>-16.7</v>
      </c>
      <c r="G1334" s="2" t="inlineStr">
        <is>
          <t>🔵 Floored $2.49 — free ship or $0.99 ship?</t>
        </is>
      </c>
      <c r="H1334" s="2" t="inlineStr">
        <is>
          <t>65%</t>
        </is>
      </c>
      <c r="I1334" s="2">
        <f>HYPERLINK("https://www.ebay.com/sch/261328/i.html?_dcat=261328&amp;_fsrp=1&amp;rt=nc&amp;_from=R40&amp;_nkw=2025%20Bowman%20Draft%20GRANT%20RICHARDSON%20%23BDC-171%20Chrome%201st%20Prospect%20Athletics&amp;_sacat=0&amp;_sop=15&amp;rt=nc&amp;LH_BIN=1", "Active")</f>
        <v/>
      </c>
      <c r="J1334" s="2">
        <f>HYPERLINK("https://www.ebay.com/sch/261328/i.html?_from=R40&amp;_nkw=2025%20Bowman%20Draft%20GRANT%20RICHARDSON%20%23BDC-171%20Chrome%201st%20Prospect%20Athletics&amp;_sacat=0&amp;LH_Sold=1&amp;LH_Complete=1&amp;_sop=13", "Completed")</f>
        <v/>
      </c>
      <c r="K1334" s="2" t="inlineStr">
        <is>
          <t>2025 Bowman Draft CHROME Prospects #BDC-1-200 -  Complete your set - YOU PICK!</t>
        </is>
      </c>
    </row>
    <row r="1335">
      <c r="A1335" s="8" t="inlineStr">
        <is>
          <t>RBBB5-0004-00034-10626</t>
        </is>
      </c>
      <c r="B1335" s="8" t="inlineStr">
        <is>
          <t>2025 Bowman Draft NOLAN SCHUBART #BDC-192 Chrome 1st Prospect Guardians</t>
        </is>
      </c>
      <c r="C1335" s="9" t="n">
        <v>2.49</v>
      </c>
      <c r="D1335" s="9" t="n">
        <v>2.49</v>
      </c>
      <c r="E1335" s="9" t="n">
        <v>0</v>
      </c>
      <c r="F1335" s="10" t="n">
        <v>0</v>
      </c>
      <c r="G1335" s="8" t="inlineStr">
        <is>
          <t>— No Change</t>
        </is>
      </c>
      <c r="H1335" s="8" t="inlineStr">
        <is>
          <t>90%</t>
        </is>
      </c>
      <c r="I1335" s="8">
        <f>HYPERLINK("https://www.ebay.com/sch/261328/i.html?_dcat=261328&amp;_fsrp=1&amp;rt=nc&amp;_from=R40&amp;_nkw=2025%20Bowman%20Draft%20NOLAN%20SCHUBART%20%23BDC-192%20Chrome%201st%20Prospect%20Guardians&amp;_sacat=0&amp;_sop=15&amp;rt=nc&amp;LH_BIN=1", "Active")</f>
        <v/>
      </c>
      <c r="J1335" s="8">
        <f>HYPERLINK("https://www.ebay.com/sch/261328/i.html?_from=R40&amp;_nkw=2025%20Bowman%20Draft%20NOLAN%20SCHUBART%20%23BDC-192%20Chrome%201st%20Prospect%20Guardians&amp;_sacat=0&amp;LH_Sold=1&amp;LH_Complete=1&amp;_sop=13", "Completed")</f>
        <v/>
      </c>
      <c r="K1335" s="8" t="inlineStr">
        <is>
          <t>2025 Bowman Draft Chrome #BDC-192 Nolan Schubart 1st Prospect Guardians</t>
        </is>
      </c>
    </row>
    <row r="1336">
      <c r="A1336" s="2" t="inlineStr">
        <is>
          <t>RBBB5-0004-00047-85291</t>
        </is>
      </c>
      <c r="B1336" s="2" t="inlineStr">
        <is>
          <t>2025 Bowman Draft NATE GEORGE #BDC-113 Chrome Refractor Orioles</t>
        </is>
      </c>
      <c r="C1336" s="3" t="n">
        <v>5.99</v>
      </c>
      <c r="D1336" s="3" t="n">
        <v>2.49</v>
      </c>
      <c r="E1336" s="3" t="n">
        <v>-3.5</v>
      </c>
      <c r="F1336" s="4" t="n">
        <v>-58.4</v>
      </c>
      <c r="G1336" s="2" t="inlineStr">
        <is>
          <t>🔵 Floored $2.49 — free ship or $0.99 ship?</t>
        </is>
      </c>
      <c r="H1336" s="2" t="inlineStr">
        <is>
          <t>87%</t>
        </is>
      </c>
      <c r="I1336" s="2">
        <f>HYPERLINK("https://www.ebay.com/sch/261328/i.html?_dcat=261328&amp;_fsrp=1&amp;rt=nc&amp;_from=R40&amp;_nkw=2025%20Bowman%20Draft%20NATE%20GEORGE%20%23BDC-113%20Chrome%20Refractor%20Orioles&amp;_sacat=0&amp;_sop=15&amp;rt=nc&amp;LH_BIN=1", "Active")</f>
        <v/>
      </c>
      <c r="J1336" s="2">
        <f>HYPERLINK("https://www.ebay.com/sch/261328/i.html?_from=R40&amp;_nkw=2025%20Bowman%20Draft%20NATE%20GEORGE%20%23BDC-113%20Chrome%20Refractor%20Orioles&amp;_sacat=0&amp;LH_Sold=1&amp;LH_Complete=1&amp;_sop=13", "Completed")</f>
        <v/>
      </c>
      <c r="K1336" s="2" t="inlineStr">
        <is>
          <t>2025 Bowman Draft Chrome Refractor Nate George #BDC-113 Baltimore Orioles</t>
        </is>
      </c>
    </row>
    <row r="1337">
      <c r="A1337" s="11" t="inlineStr">
        <is>
          <t>RBBB5-0004-00037-06747</t>
        </is>
      </c>
      <c r="B1337" s="11" t="inlineStr">
        <is>
          <t>2025 Bowman Draft DAX KILBY #BDC-146 Chrome Refractor 1st Prospect Yankees</t>
        </is>
      </c>
      <c r="C1337" s="12" t="n">
        <v>11</v>
      </c>
      <c r="D1337" s="12" t="n">
        <v>7.09</v>
      </c>
      <c r="E1337" s="12" t="n">
        <v>-3.91</v>
      </c>
      <c r="F1337" s="13" t="n">
        <v>-35.5</v>
      </c>
      <c r="G1337" s="11" t="inlineStr">
        <is>
          <t>⬇ Price Down</t>
        </is>
      </c>
      <c r="H1337" s="11" t="inlineStr">
        <is>
          <t>90%</t>
        </is>
      </c>
      <c r="I1337" s="11">
        <f>HYPERLINK("https://www.ebay.com/sch/261328/i.html?_dcat=261328&amp;_fsrp=1&amp;rt=nc&amp;_from=R40&amp;_nkw=2025%20Bowman%20Draft%20DAX%20KILBY%20%23BDC-146%20Chrome%20Refractor%201st%20Prospect%20Yankees&amp;_sacat=0&amp;_sop=15&amp;rt=nc&amp;LH_BIN=1", "Active")</f>
        <v/>
      </c>
      <c r="J1337" s="11">
        <f>HYPERLINK("https://www.ebay.com/sch/261328/i.html?_from=R40&amp;_nkw=2025%20Bowman%20Draft%20DAX%20KILBY%20%23BDC-146%20Chrome%20Refractor%201st%20Prospect%20Yankees&amp;_sacat=0&amp;LH_Sold=1&amp;LH_Complete=1&amp;_sop=13", "Completed")</f>
        <v/>
      </c>
      <c r="K1337" s="11" t="inlineStr">
        <is>
          <t>2025 Bowman Draft Dax Kilby Chrome Refractor 1st Prospect #BDC-146 Yankees</t>
        </is>
      </c>
    </row>
    <row r="1338">
      <c r="A1338" s="2" t="inlineStr">
        <is>
          <t>RBBB5-0004-00031-93970</t>
        </is>
      </c>
      <c r="B1338" s="2" t="inlineStr">
        <is>
          <t>2025 Bowman's Best JACOB WILSON #C-4 Circuitry RC Athletics Rookie</t>
        </is>
      </c>
      <c r="C1338" s="3" t="n">
        <v>4.49</v>
      </c>
      <c r="D1338" s="3" t="n">
        <v>2.49</v>
      </c>
      <c r="E1338" s="3" t="n">
        <v>-2</v>
      </c>
      <c r="F1338" s="4" t="n">
        <v>-44.5</v>
      </c>
      <c r="G1338" s="2" t="inlineStr">
        <is>
          <t>🔵 Floored $2.49 — free ship or $0.99 ship?</t>
        </is>
      </c>
      <c r="H1338" s="2" t="inlineStr">
        <is>
          <t>88%</t>
        </is>
      </c>
      <c r="I1338" s="2">
        <f>HYPERLINK("https://www.ebay.com/sch/261328/i.html?_dcat=261328&amp;_fsrp=1&amp;rt=nc&amp;_from=R40&amp;_nkw=2025%20Bowman's%20Best%20JACOB%20WILSON%20%23C-4%20Circuitry%20RC%20Athletics%20Rookie&amp;_sacat=0&amp;_sop=15&amp;rt=nc&amp;LH_BIN=1", "Active")</f>
        <v/>
      </c>
      <c r="J1338" s="2">
        <f>HYPERLINK("https://www.ebay.com/sch/261328/i.html?_from=R40&amp;_nkw=2025%20Bowman's%20Best%20JACOB%20WILSON%20%23C-4%20Circuitry%20RC%20Athletics%20Rookie&amp;_sacat=0&amp;LH_Sold=1&amp;LH_Complete=1&amp;_sop=13", "Completed")</f>
        <v/>
      </c>
      <c r="K1338" s="2" t="inlineStr">
        <is>
          <t>2025 Bowman's Best JACOB WILSON Circuitry RC C-4 Athletics</t>
        </is>
      </c>
    </row>
    <row r="1339">
      <c r="A1339" s="2" t="inlineStr">
        <is>
          <t>RBBB5-0004-00035-16785</t>
        </is>
      </c>
      <c r="B1339" s="2" t="inlineStr">
        <is>
          <t>2025 Bowman's Best JOSE RAMIREZ #14 Refractor Guardians</t>
        </is>
      </c>
      <c r="C1339" s="3" t="n">
        <v>9.99</v>
      </c>
      <c r="D1339" s="3" t="n">
        <v>2.49</v>
      </c>
      <c r="E1339" s="3" t="n">
        <v>-7.5</v>
      </c>
      <c r="F1339" s="4" t="n">
        <v>-75.09999999999999</v>
      </c>
      <c r="G1339" s="2" t="inlineStr">
        <is>
          <t>🔵 Floored $2.49 — free ship or $0.99 ship?</t>
        </is>
      </c>
      <c r="H1339" s="2" t="inlineStr">
        <is>
          <t>74%</t>
        </is>
      </c>
      <c r="I1339" s="2">
        <f>HYPERLINK("https://www.ebay.com/sch/261328/i.html?_dcat=261328&amp;_fsrp=1&amp;rt=nc&amp;_from=R40&amp;_nkw=2025%20Bowman's%20Best%20JOSE%20RAMIREZ%20%2314%20Refractor%20Guardians&amp;_sacat=0&amp;_sop=15&amp;rt=nc&amp;LH_BIN=1", "Active")</f>
        <v/>
      </c>
      <c r="J1339" s="2">
        <f>HYPERLINK("https://www.ebay.com/sch/261328/i.html?_from=R40&amp;_nkw=2025%20Bowman's%20Best%20JOSE%20RAMIREZ%20%2314%20Refractor%20Guardians&amp;_sacat=0&amp;LH_Sold=1&amp;LH_Complete=1&amp;_sop=13", "Completed")</f>
        <v/>
      </c>
      <c r="K1339" s="2" t="inlineStr">
        <is>
          <t>Jose Ramirez Chrome Refractor 2025 Bowman's Best Card #14 Cleveland Guardians</t>
        </is>
      </c>
    </row>
    <row r="1340">
      <c r="A1340" s="11" t="inlineStr">
        <is>
          <t>RBBB5-0004-00044-57429</t>
        </is>
      </c>
      <c r="B1340" s="11" t="inlineStr">
        <is>
          <t>2025 Bowman Draft ELI WILLITS #BDN-1 Night Chrome Nationals</t>
        </is>
      </c>
      <c r="C1340" s="12" t="n">
        <v>2.99</v>
      </c>
      <c r="D1340" s="12" t="n">
        <v>2.89</v>
      </c>
      <c r="E1340" s="12" t="n">
        <v>-0.1</v>
      </c>
      <c r="F1340" s="13" t="n">
        <v>-3.3</v>
      </c>
      <c r="G1340" s="11" t="inlineStr">
        <is>
          <t>⬇ Price Down</t>
        </is>
      </c>
      <c r="H1340" s="11" t="inlineStr">
        <is>
          <t>87%</t>
        </is>
      </c>
      <c r="I1340" s="11">
        <f>HYPERLINK("https://www.ebay.com/sch/261328/i.html?_dcat=261328&amp;_fsrp=1&amp;rt=nc&amp;_from=R40&amp;_nkw=2025%20Bowman%20Draft%20ELI%20WILLITS%20%23BDN-1%20Night%20Chrome%20Nationals&amp;_sacat=0&amp;_sop=15&amp;rt=nc&amp;LH_BIN=1", "Active")</f>
        <v/>
      </c>
      <c r="J1340" s="11">
        <f>HYPERLINK("https://www.ebay.com/sch/261328/i.html?_from=R40&amp;_nkw=2025%20Bowman%20Draft%20ELI%20WILLITS%20%23BDN-1%20Night%20Chrome%20Nationals&amp;_sacat=0&amp;LH_Sold=1&amp;LH_Complete=1&amp;_sop=13", "Completed")</f>
        <v/>
      </c>
      <c r="K1340" s="11" t="inlineStr">
        <is>
          <t>2025 Bowman Draft Eli Willits Night Chrome Washington Nationals #BDN-1</t>
        </is>
      </c>
    </row>
    <row r="1341">
      <c r="A1341" s="5" t="inlineStr">
        <is>
          <t>RBBB5-0004-00029-13509</t>
        </is>
      </c>
      <c r="B1341" s="5" t="inlineStr">
        <is>
          <t>2023 Bowman TYLER SODERSTROM #BTP-34 Scouts Top 100 Chrome RC Athletics Rookie</t>
        </is>
      </c>
      <c r="C1341" s="6" t="n">
        <v>2.99</v>
      </c>
      <c r="D1341" s="6" t="n">
        <v>3.89</v>
      </c>
      <c r="E1341" s="6" t="n">
        <v>0.9</v>
      </c>
      <c r="F1341" s="7" t="n">
        <v>30.1</v>
      </c>
      <c r="G1341" s="5" t="inlineStr">
        <is>
          <t>⬆ Price Up</t>
        </is>
      </c>
      <c r="H1341" s="5" t="inlineStr">
        <is>
          <t>100%</t>
        </is>
      </c>
      <c r="I1341" s="5">
        <f>HYPERLINK("https://www.ebay.com/sch/261328/i.html?_dcat=261328&amp;_fsrp=1&amp;rt=nc&amp;_from=R40&amp;_nkw=2023%20Bowman%20TYLER%20SODERSTROM%20%23BTP-34%20Scouts%20Top%20100%20Chrome%20RC%20Athletics%20Rookie&amp;_sacat=0&amp;_sop=15&amp;rt=nc&amp;LH_BIN=1", "Active")</f>
        <v/>
      </c>
      <c r="J1341" s="5">
        <f>HYPERLINK("https://www.ebay.com/sch/261328/i.html?_from=R40&amp;_nkw=2023%20Bowman%20TYLER%20SODERSTROM%20%23BTP-34%20Scouts%20Top%20100%20Chrome%20RC%20Athletics%20Rookie&amp;_sacat=0&amp;LH_Sold=1&amp;LH_Complete=1&amp;_sop=13", "Completed")</f>
        <v/>
      </c>
      <c r="K1341" s="5" t="inlineStr">
        <is>
          <t>2023 Bowman TYLER SODERSTROM #BTP-34 Scouts Top 100 Chrome RC Athletics Rookie</t>
        </is>
      </c>
    </row>
    <row r="1342">
      <c r="A1342" s="5" t="inlineStr">
        <is>
          <t>RBBB5-0004-00024-58893</t>
        </is>
      </c>
      <c r="B1342" s="5" t="inlineStr">
        <is>
          <t>2025 Bowman Chrome MAX MUNCY #90 RC Athletics Rookie</t>
        </is>
      </c>
      <c r="C1342" s="6" t="n">
        <v>2.45</v>
      </c>
      <c r="D1342" s="6" t="n">
        <v>2.49</v>
      </c>
      <c r="E1342" s="6" t="n">
        <v>0.04</v>
      </c>
      <c r="F1342" s="7" t="n">
        <v>1.6</v>
      </c>
      <c r="G1342" s="5" t="inlineStr">
        <is>
          <t>⬆ Price Up</t>
        </is>
      </c>
      <c r="H1342" s="5" t="inlineStr">
        <is>
          <t>87%</t>
        </is>
      </c>
      <c r="I1342" s="5">
        <f>HYPERLINK("https://www.ebay.com/sch/261328/i.html?_dcat=261328&amp;_fsrp=1&amp;rt=nc&amp;_from=R40&amp;_nkw=2025%20Bowman%20Chrome%20MAX%20MUNCY%20%2390%20RC%20Athletics%20Rookie&amp;_sacat=0&amp;_sop=15&amp;rt=nc&amp;LH_BIN=1", "Active")</f>
        <v/>
      </c>
      <c r="J1342" s="5">
        <f>HYPERLINK("https://www.ebay.com/sch/261328/i.html?_from=R40&amp;_nkw=2025%20Bowman%20Chrome%20MAX%20MUNCY%20%2390%20RC%20Athletics%20Rookie&amp;_sacat=0&amp;LH_Sold=1&amp;LH_Complete=1&amp;_sop=13", "Completed")</f>
        <v/>
      </c>
      <c r="K1342" s="5" t="inlineStr">
        <is>
          <t>2025 Bowman Chrome #90 Max Muncy, Athletics RC</t>
        </is>
      </c>
    </row>
    <row r="1343">
      <c r="A1343" s="11" t="inlineStr">
        <is>
          <t>RBBB5-0004-00049-51379</t>
        </is>
      </c>
      <c r="B1343" s="11" t="inlineStr">
        <is>
          <t>2025 Bowman Draft SHOTARO MORII #BDC-174 Chrome Refractor Athletics</t>
        </is>
      </c>
      <c r="C1343" s="12" t="n">
        <v>7</v>
      </c>
      <c r="D1343" s="12" t="n">
        <v>2.69</v>
      </c>
      <c r="E1343" s="12" t="n">
        <v>-4.31</v>
      </c>
      <c r="F1343" s="13" t="n">
        <v>-61.6</v>
      </c>
      <c r="G1343" s="11" t="inlineStr">
        <is>
          <t>⬇ Price Down</t>
        </is>
      </c>
      <c r="H1343" s="11" t="inlineStr">
        <is>
          <t>68%</t>
        </is>
      </c>
      <c r="I1343" s="11">
        <f>HYPERLINK("https://www.ebay.com/sch/261328/i.html?_dcat=261328&amp;_fsrp=1&amp;rt=nc&amp;_from=R40&amp;_nkw=2025%20Bowman%20Draft%20SHOTARO%20MORII%20%23BDC-174%20Chrome%20Refractor%20Athletics&amp;_sacat=0&amp;_sop=15&amp;rt=nc&amp;LH_BIN=1", "Active")</f>
        <v/>
      </c>
      <c r="J1343" s="11">
        <f>HYPERLINK("https://www.ebay.com/sch/261328/i.html?_from=R40&amp;_nkw=2025%20Bowman%20Draft%20SHOTARO%20MORII%20%23BDC-174%20Chrome%20Refractor%20Athletics&amp;_sacat=0&amp;LH_Sold=1&amp;LH_Complete=1&amp;_sop=13", "Completed")</f>
        <v/>
      </c>
      <c r="K1343" s="11" t="inlineStr">
        <is>
          <t>2025 Bowman Draft CHROME, PARALLEL/VARIETY, MOJO or INSERT - YOU PICK</t>
        </is>
      </c>
    </row>
    <row r="1344">
      <c r="A1344" s="8" t="inlineStr">
        <is>
          <t>RBBB5-0004-00028-84368</t>
        </is>
      </c>
      <c r="B1344" s="8" t="inlineStr">
        <is>
          <t>2025 Bowman Draft DEVIN TAYLOR #BDC-135 Chrome 1st Prospect Athletics</t>
        </is>
      </c>
      <c r="C1344" s="9" t="n">
        <v>2.49</v>
      </c>
      <c r="D1344" s="9" t="n">
        <v>2.49</v>
      </c>
      <c r="E1344" s="9" t="n">
        <v>0</v>
      </c>
      <c r="F1344" s="10" t="n">
        <v>0</v>
      </c>
      <c r="G1344" s="8" t="inlineStr">
        <is>
          <t>— No Change</t>
        </is>
      </c>
      <c r="H1344" s="8" t="inlineStr">
        <is>
          <t>64%</t>
        </is>
      </c>
      <c r="I1344" s="8">
        <f>HYPERLINK("https://www.ebay.com/sch/261328/i.html?_dcat=261328&amp;_fsrp=1&amp;rt=nc&amp;_from=R40&amp;_nkw=2025%20Bowman%20Draft%20DEVIN%20TAYLOR%20%23BDC-135%20Chrome%201st%20Prospect%20Athletics&amp;_sacat=0&amp;_sop=15&amp;rt=nc&amp;LH_BIN=1", "Active")</f>
        <v/>
      </c>
      <c r="J1344" s="8">
        <f>HYPERLINK("https://www.ebay.com/sch/261328/i.html?_from=R40&amp;_nkw=2025%20Bowman%20Draft%20DEVIN%20TAYLOR%20%23BDC-135%20Chrome%201st%20Prospect%20Athletics&amp;_sacat=0&amp;LH_Sold=1&amp;LH_Complete=1&amp;_sop=13", "Completed")</f>
        <v/>
      </c>
      <c r="K1344" s="8" t="inlineStr">
        <is>
          <t>🔥2025 Bowman Draft Chrome Prospects - U Pick - Free Ship - Buy More &amp; Save!🔥</t>
        </is>
      </c>
    </row>
    <row r="1345">
      <c r="A1345" s="2" t="inlineStr">
        <is>
          <t>RBBB5-0004-00048-77678</t>
        </is>
      </c>
      <c r="B1345" s="2" t="inlineStr">
        <is>
          <t>2025 Bowman Draft LUIS PENA #BDC-105 Chrome Refractor Brewers</t>
        </is>
      </c>
      <c r="C1345" s="3" t="n">
        <v>2.99</v>
      </c>
      <c r="D1345" s="3" t="n">
        <v>2.49</v>
      </c>
      <c r="E1345" s="3" t="n">
        <v>-0.5</v>
      </c>
      <c r="F1345" s="4" t="n">
        <v>-16.7</v>
      </c>
      <c r="G1345" s="2" t="inlineStr">
        <is>
          <t>🔵 Floored $2.49 — free ship or $0.99 ship?</t>
        </is>
      </c>
      <c r="H1345" s="2" t="inlineStr">
        <is>
          <t>87%</t>
        </is>
      </c>
      <c r="I1345" s="2">
        <f>HYPERLINK("https://www.ebay.com/sch/261328/i.html?_dcat=261328&amp;_fsrp=1&amp;rt=nc&amp;_from=R40&amp;_nkw=2025%20Bowman%20Draft%20LUIS%20PENA%20%23BDC-105%20Chrome%20Refractor%20Brewers&amp;_sacat=0&amp;_sop=15&amp;rt=nc&amp;LH_BIN=1", "Active")</f>
        <v/>
      </c>
      <c r="J1345" s="2">
        <f>HYPERLINK("https://www.ebay.com/sch/261328/i.html?_from=R40&amp;_nkw=2025%20Bowman%20Draft%20LUIS%20PENA%20%23BDC-105%20Chrome%20Refractor%20Brewers&amp;_sacat=0&amp;LH_Sold=1&amp;LH_Complete=1&amp;_sop=13", "Completed")</f>
        <v/>
      </c>
      <c r="K1345" s="2" t="inlineStr">
        <is>
          <t>2025 Bowman Draft Chrome Refractor Luis Pena #BDC-105 Milwaukee Brewers</t>
        </is>
      </c>
    </row>
    <row r="1346">
      <c r="A1346" s="2" t="inlineStr">
        <is>
          <t>RBBB5-0004-00027-45450</t>
        </is>
      </c>
      <c r="B1346" s="2" t="inlineStr">
        <is>
          <t>2025 Bowman Draft SHOTARO MORII #A-18 Axis Chrome Athletics</t>
        </is>
      </c>
      <c r="C1346" s="3" t="n">
        <v>2.99</v>
      </c>
      <c r="D1346" s="3" t="n">
        <v>2.49</v>
      </c>
      <c r="E1346" s="3" t="n">
        <v>-0.5</v>
      </c>
      <c r="F1346" s="4" t="n">
        <v>-16.7</v>
      </c>
      <c r="G1346" s="2" t="inlineStr">
        <is>
          <t>🔵 Floored $2.49 — free ship or $0.99 ship?</t>
        </is>
      </c>
      <c r="H1346" s="2" t="inlineStr">
        <is>
          <t>87%</t>
        </is>
      </c>
      <c r="I1346" s="2">
        <f>HYPERLINK("https://www.ebay.com/sch/261328/i.html?_dcat=261328&amp;_fsrp=1&amp;rt=nc&amp;_from=R40&amp;_nkw=2025%20Bowman%20Draft%20SHOTARO%20MORII%20%23A-18%20Axis%20Chrome%20Athletics&amp;_sacat=0&amp;_sop=15&amp;rt=nc&amp;LH_BIN=1", "Active")</f>
        <v/>
      </c>
      <c r="J1346" s="2">
        <f>HYPERLINK("https://www.ebay.com/sch/261328/i.html?_from=R40&amp;_nkw=2025%20Bowman%20Draft%20SHOTARO%20MORII%20%23A-18%20Axis%20Chrome%20Athletics&amp;_sacat=0&amp;LH_Sold=1&amp;LH_Complete=1&amp;_sop=13", "Completed")</f>
        <v/>
      </c>
      <c r="K1346" s="2" t="inlineStr">
        <is>
          <t>2025 Bowman Draft Chrome  SHOTARO MORII  Axis  #A-18 Oakland Athletics</t>
        </is>
      </c>
    </row>
    <row r="1347">
      <c r="A1347" s="5" t="inlineStr">
        <is>
          <t>RBBB5-0004-00036-48124</t>
        </is>
      </c>
      <c r="B1347" s="5" t="inlineStr">
        <is>
          <t>2025 Bowman's Best LEO DE VRIES #FG-3 MLB All-Star Futures Game NL</t>
        </is>
      </c>
      <c r="C1347" s="6" t="n">
        <v>2.49</v>
      </c>
      <c r="D1347" s="6" t="n">
        <v>3.39</v>
      </c>
      <c r="E1347" s="6" t="n">
        <v>0.9</v>
      </c>
      <c r="F1347" s="7" t="n">
        <v>36.1</v>
      </c>
      <c r="G1347" s="5" t="inlineStr">
        <is>
          <t>⬆ Price Up</t>
        </is>
      </c>
      <c r="H1347" s="5" t="inlineStr">
        <is>
          <t>100%</t>
        </is>
      </c>
      <c r="I1347" s="5">
        <f>HYPERLINK("https://www.ebay.com/sch/261328/i.html?_dcat=261328&amp;_fsrp=1&amp;rt=nc&amp;_from=R40&amp;_nkw=2025%20Bowman's%20Best%20LEO%20DE%20VRIES%20%23FG-3%20MLB%20All-Star%20Futures%20Game%20NL&amp;_sacat=0&amp;_sop=15&amp;rt=nc&amp;LH_BIN=1", "Active")</f>
        <v/>
      </c>
      <c r="J1347" s="5">
        <f>HYPERLINK("https://www.ebay.com/sch/261328/i.html?_from=R40&amp;_nkw=2025%20Bowman's%20Best%20LEO%20DE%20VRIES%20%23FG-3%20MLB%20All-Star%20Futures%20Game%20NL&amp;_sacat=0&amp;LH_Sold=1&amp;LH_Complete=1&amp;_sop=13", "Completed")</f>
        <v/>
      </c>
      <c r="K1347" s="5" t="inlineStr">
        <is>
          <t>2025 Bowman's Best LEO DE VRIES #FG-3 MLB All-Star Futures Game NL</t>
        </is>
      </c>
    </row>
    <row r="1348">
      <c r="A1348" s="8" t="inlineStr">
        <is>
          <t>RBBB5-0004-00026-15090</t>
        </is>
      </c>
      <c r="B1348" s="8" t="inlineStr">
        <is>
          <t>2025 Bowman Draft GAVIN TURLEY #BDC-28 Chrome 1st Prospect Athletics</t>
        </is>
      </c>
      <c r="C1348" s="9" t="n">
        <v>2.49</v>
      </c>
      <c r="D1348" s="9" t="n">
        <v>2.49</v>
      </c>
      <c r="E1348" s="9" t="n">
        <v>0</v>
      </c>
      <c r="F1348" s="10" t="n">
        <v>0</v>
      </c>
      <c r="G1348" s="8" t="inlineStr">
        <is>
          <t>— No Change</t>
        </is>
      </c>
      <c r="H1348" s="8" t="inlineStr">
        <is>
          <t>64%</t>
        </is>
      </c>
      <c r="I1348" s="8">
        <f>HYPERLINK("https://www.ebay.com/sch/261328/i.html?_dcat=261328&amp;_fsrp=1&amp;rt=nc&amp;_from=R40&amp;_nkw=2025%20Bowman%20Draft%20GAVIN%20TURLEY%20%23BDC-28%20Chrome%201st%20Prospect%20Athletics&amp;_sacat=0&amp;_sop=15&amp;rt=nc&amp;LH_BIN=1", "Active")</f>
        <v/>
      </c>
      <c r="J1348" s="8">
        <f>HYPERLINK("https://www.ebay.com/sch/261328/i.html?_from=R40&amp;_nkw=2025%20Bowman%20Draft%20GAVIN%20TURLEY%20%23BDC-28%20Chrome%201st%20Prospect%20Athletics&amp;_sacat=0&amp;LH_Sold=1&amp;LH_Complete=1&amp;_sop=13", "Completed")</f>
        <v/>
      </c>
      <c r="K1348" s="8" t="inlineStr">
        <is>
          <t>🔥2025 Bowman Draft Chrome Prospects - U Pick - Free Ship - Buy More &amp; Save!🔥</t>
        </is>
      </c>
    </row>
    <row r="1349">
      <c r="A1349" s="2" t="inlineStr">
        <is>
          <t>RBBB5-0001-00025-80828</t>
        </is>
      </c>
      <c r="B1349" s="2" t="inlineStr">
        <is>
          <t>2025 Bowman Draft Sapphire LUKE LACOURSE #BDC-123 Chrome 1st Prospect Angels</t>
        </is>
      </c>
      <c r="C1349" s="3" t="n">
        <v>2.99</v>
      </c>
      <c r="D1349" s="3" t="n">
        <v>2.49</v>
      </c>
      <c r="E1349" s="3" t="n">
        <v>-0.5</v>
      </c>
      <c r="F1349" s="4" t="n">
        <v>-16.7</v>
      </c>
      <c r="G1349" s="2" t="inlineStr">
        <is>
          <t>🔵 Floored $2.49 — free ship or $0.99 ship?</t>
        </is>
      </c>
      <c r="H1349" s="2" t="inlineStr">
        <is>
          <t>100%</t>
        </is>
      </c>
      <c r="I1349" s="2">
        <f>HYPERLINK("https://www.ebay.com/sch/261328/i.html?_dcat=261328&amp;_fsrp=1&amp;rt=nc&amp;_from=R40&amp;_nkw=2025%20Bowman%20Draft%20Sapphire%20LUKE%20LACOURSE%20%23BDC-123%20Chrome%201st%20Prospect%20Angels&amp;_sacat=0&amp;_sop=15&amp;rt=nc&amp;LH_BIN=1", "Active")</f>
        <v/>
      </c>
      <c r="J1349" s="2">
        <f>HYPERLINK("https://www.ebay.com/sch/261328/i.html?_from=R40&amp;_nkw=2025%20Bowman%20Draft%20Sapphire%20LUKE%20LACOURSE%20%23BDC-123%20Chrome%201st%20Prospect%20Angels&amp;_sacat=0&amp;LH_Sold=1&amp;LH_Complete=1&amp;_sop=13", "Completed")</f>
        <v/>
      </c>
      <c r="K1349" s="2" t="inlineStr">
        <is>
          <t>2025 Bowman Draft Sapphire LUKE LACOURSE #BDC-123 Chrome 1st Prospect Angels</t>
        </is>
      </c>
    </row>
    <row r="1350">
      <c r="A1350" s="5" t="inlineStr">
        <is>
          <t>MISC-0002-00018-31239</t>
        </is>
      </c>
      <c r="B1350" s="5" t="inlineStr">
        <is>
          <t>2025 Bowman Draft IKE IRISH #BDC-16 Chrome Refractor 1st Prospect Orioles</t>
        </is>
      </c>
      <c r="C1350" s="6" t="n">
        <v>4.49</v>
      </c>
      <c r="D1350" s="6" t="n">
        <v>5.29</v>
      </c>
      <c r="E1350" s="6" t="n">
        <v>0.8</v>
      </c>
      <c r="F1350" s="7" t="n">
        <v>17.8</v>
      </c>
      <c r="G1350" s="5" t="inlineStr">
        <is>
          <t>⬆ Price Up</t>
        </is>
      </c>
      <c r="H1350" s="5" t="inlineStr">
        <is>
          <t>100%</t>
        </is>
      </c>
      <c r="I1350" s="5">
        <f>HYPERLINK("https://www.ebay.com/sch/261328/i.html?_dcat=261328&amp;_fsrp=1&amp;rt=nc&amp;_from=R40&amp;_nkw=2025%20Bowman%20Draft%20IKE%20IRISH%20%23BDC-16%20Chrome%20Refractor%201st%20Prospect%20Orioles&amp;_sacat=0&amp;_sop=15&amp;rt=nc&amp;LH_BIN=1", "Active")</f>
        <v/>
      </c>
      <c r="J1350" s="5">
        <f>HYPERLINK("https://www.ebay.com/sch/261328/i.html?_from=R40&amp;_nkw=2025%20Bowman%20Draft%20IKE%20IRISH%20%23BDC-16%20Chrome%20Refractor%201st%20Prospect%20Orioles&amp;_sacat=0&amp;LH_Sold=1&amp;LH_Complete=1&amp;_sop=13", "Completed")</f>
        <v/>
      </c>
      <c r="K1350" s="5" t="inlineStr">
        <is>
          <t>2025 Bowman Draft IKE IRISH #BDC-16 Chrome Refractor 1st Prospect Orioles</t>
        </is>
      </c>
    </row>
    <row r="1351">
      <c r="A1351" s="8" t="inlineStr">
        <is>
          <t>RB-0007-00002-55169</t>
        </is>
      </c>
      <c r="B1351" s="8" t="inlineStr">
        <is>
          <t>2025-26 Topps Finest ACE BAILEY #5 Common RC Jazz Rookie Basketball</t>
        </is>
      </c>
      <c r="C1351" s="9" t="n">
        <v>2.49</v>
      </c>
      <c r="D1351" s="9" t="n">
        <v>2.49</v>
      </c>
      <c r="E1351" s="9" t="n">
        <v>0</v>
      </c>
      <c r="F1351" s="10" t="n">
        <v>0</v>
      </c>
      <c r="G1351" s="8" t="inlineStr">
        <is>
          <t>— No Change</t>
        </is>
      </c>
      <c r="H1351" s="8" t="inlineStr">
        <is>
          <t>72%</t>
        </is>
      </c>
      <c r="I1351" s="8">
        <f>HYPERLINK("https://www.ebay.com/sch/261328/i.html?_dcat=261328&amp;_fsrp=1&amp;rt=nc&amp;_from=R40&amp;_nkw=2025-26%20Topps%20Finest%20ACE%20BAILEY%20%235%20Common%20RC%20Jazz%20Rookie%20Basketball&amp;_sacat=0&amp;_sop=15&amp;rt=nc&amp;LH_BIN=1", "Active")</f>
        <v/>
      </c>
      <c r="J1351" s="8">
        <f>HYPERLINK("https://www.ebay.com/sch/261328/i.html?_from=R40&amp;_nkw=2025-26%20Topps%20Finest%20ACE%20BAILEY%20%235%20Common%20RC%20Jazz%20Rookie%20Basketball&amp;_sacat=0&amp;LH_Sold=1&amp;LH_Complete=1&amp;_sop=13", "Completed")</f>
        <v/>
      </c>
      <c r="K1351" s="8" t="inlineStr">
        <is>
          <t>Ace Bailey RC Rookie 2025-26 Topps Finest #5 Utah Jazz</t>
        </is>
      </c>
    </row>
    <row r="1352">
      <c r="A1352" s="11" t="inlineStr">
        <is>
          <t>POOKIEWHT-0001-00029-43928</t>
        </is>
      </c>
      <c r="B1352" s="11" t="inlineStr">
        <is>
          <t>2025 Bowman Draft Sapphire YOLFRAN CASTILLO #BDC-107 Chrome Rangers</t>
        </is>
      </c>
      <c r="C1352" s="12" t="n">
        <v>3.49</v>
      </c>
      <c r="D1352" s="12" t="n">
        <v>2.69</v>
      </c>
      <c r="E1352" s="12" t="n">
        <v>-0.8</v>
      </c>
      <c r="F1352" s="13" t="n">
        <v>-22.9</v>
      </c>
      <c r="G1352" s="11" t="inlineStr">
        <is>
          <t>⬇ Price Down</t>
        </is>
      </c>
      <c r="H1352" s="11" t="inlineStr">
        <is>
          <t>90%</t>
        </is>
      </c>
      <c r="I1352" s="11">
        <f>HYPERLINK("https://www.ebay.com/sch/261328/i.html?_dcat=261328&amp;_fsrp=1&amp;rt=nc&amp;_from=R40&amp;_nkw=2025%20Bowman%20Draft%20Sapphire%20YOLFRAN%20CASTILLO%20%23BDC-107%20Chrome%20Rangers&amp;_sacat=0&amp;_sop=15&amp;rt=nc&amp;LH_BIN=1", "Active")</f>
        <v/>
      </c>
      <c r="J1352" s="11">
        <f>HYPERLINK("https://www.ebay.com/sch/261328/i.html?_from=R40&amp;_nkw=2025%20Bowman%20Draft%20Sapphire%20YOLFRAN%20CASTILLO%20%23BDC-107%20Chrome%20Rangers&amp;_sacat=0&amp;LH_Sold=1&amp;LH_Complete=1&amp;_sop=13", "Completed")</f>
        <v/>
      </c>
      <c r="K1352" s="11" t="inlineStr">
        <is>
          <t>2025 Bowman Draft Sapphire Yolfran Castillo Chrome #BDC-107 Rangers</t>
        </is>
      </c>
    </row>
    <row r="1353">
      <c r="A1353" s="5" t="inlineStr">
        <is>
          <t>POOKIEWHT-0001-00026-42273</t>
        </is>
      </c>
      <c r="B1353" s="5" t="inlineStr">
        <is>
          <t>2025 Bowman Chrome DYLAN CREWS #3 Geometric Refractor /499 RC Nationals Rookie</t>
        </is>
      </c>
      <c r="C1353" s="6" t="n">
        <v>5.99</v>
      </c>
      <c r="D1353" s="6" t="n">
        <v>6.79</v>
      </c>
      <c r="E1353" s="6" t="n">
        <v>0.8</v>
      </c>
      <c r="F1353" s="7" t="n">
        <v>13.4</v>
      </c>
      <c r="G1353" s="5" t="inlineStr">
        <is>
          <t>⬆ Price Up</t>
        </is>
      </c>
      <c r="H1353" s="5" t="inlineStr">
        <is>
          <t>100%</t>
        </is>
      </c>
      <c r="I1353" s="5">
        <f>HYPERLINK("https://www.ebay.com/sch/261328/i.html?_dcat=261328&amp;_fsrp=1&amp;rt=nc&amp;_from=R40&amp;_nkw=2025%20Bowman%20Chrome%20DYLAN%20CREWS%20%233%20Geometric%20Refractor%20%2F499%20RC%20Nationals%20Rookie&amp;_sacat=0&amp;_sop=15&amp;rt=nc&amp;LH_BIN=1", "Active")</f>
        <v/>
      </c>
      <c r="J1353" s="5">
        <f>HYPERLINK("https://www.ebay.com/sch/261328/i.html?_from=R40&amp;_nkw=2025%20Bowman%20Chrome%20DYLAN%20CREWS%20%233%20Geometric%20Refractor%20%2F499%20RC%20Nationals%20Rookie&amp;_sacat=0&amp;LH_Sold=1&amp;LH_Complete=1&amp;_sop=13", "Completed")</f>
        <v/>
      </c>
      <c r="K1353" s="5" t="inlineStr">
        <is>
          <t>2025 Bowman Chrome DYLAN CREWS #3 Geometric Refractor /499 RC Nationals Rookie</t>
        </is>
      </c>
    </row>
    <row r="1354">
      <c r="A1354" s="2" t="inlineStr">
        <is>
          <t>POOKIEWHT-0001-00007-43100</t>
        </is>
      </c>
      <c r="B1354" s="2" t="inlineStr">
        <is>
          <t>2025 Bowman Draft Sapphire JARED THOMAS #BDC-147 Chrome Rockies</t>
        </is>
      </c>
      <c r="C1354" s="3" t="n">
        <v>3.99</v>
      </c>
      <c r="D1354" s="3" t="n">
        <v>2.49</v>
      </c>
      <c r="E1354" s="3" t="n">
        <v>-1.5</v>
      </c>
      <c r="F1354" s="4" t="n">
        <v>-37.6</v>
      </c>
      <c r="G1354" s="2" t="inlineStr">
        <is>
          <t>🔵 Floored $2.49 — free ship or $0.99 ship?</t>
        </is>
      </c>
      <c r="H1354" s="2" t="inlineStr">
        <is>
          <t>86%</t>
        </is>
      </c>
      <c r="I1354" s="2">
        <f>HYPERLINK("https://www.ebay.com/sch/261328/i.html?_dcat=261328&amp;_fsrp=1&amp;rt=nc&amp;_from=R40&amp;_nkw=2025%20Bowman%20Draft%20Sapphire%20JARED%20THOMAS%20%23BDC-147%20Chrome%20Rockies&amp;_sacat=0&amp;_sop=15&amp;rt=nc&amp;LH_BIN=1", "Active")</f>
        <v/>
      </c>
      <c r="J1354" s="2">
        <f>HYPERLINK("https://www.ebay.com/sch/261328/i.html?_from=R40&amp;_nkw=2025%20Bowman%20Draft%20Sapphire%20JARED%20THOMAS%20%23BDC-147%20Chrome%20Rockies&amp;_sacat=0&amp;LH_Sold=1&amp;LH_Complete=1&amp;_sop=13", "Completed")</f>
        <v/>
      </c>
      <c r="K1354" s="2" t="inlineStr">
        <is>
          <t>2025 1st Bowman Chrome Draft Sapphire Edition Jared Thomas Rockies #BDC-147 (RC)</t>
        </is>
      </c>
    </row>
    <row r="1355">
      <c r="A1355" s="5" t="inlineStr">
        <is>
          <t>POOKIEWHT-0001-00009-30465</t>
        </is>
      </c>
      <c r="B1355" s="5" t="inlineStr">
        <is>
          <t>2025 Bowman Draft Sapphire DEAN MOSS #BDC-114 Chrome Rays</t>
        </is>
      </c>
      <c r="C1355" s="6" t="n">
        <v>3.99</v>
      </c>
      <c r="D1355" s="6" t="n">
        <v>4.69</v>
      </c>
      <c r="E1355" s="6" t="n">
        <v>0.7</v>
      </c>
      <c r="F1355" s="7" t="n">
        <v>17.5</v>
      </c>
      <c r="G1355" s="5" t="inlineStr">
        <is>
          <t>⬆ Price Up</t>
        </is>
      </c>
      <c r="H1355" s="5" t="inlineStr">
        <is>
          <t>72%</t>
        </is>
      </c>
      <c r="I1355" s="5">
        <f>HYPERLINK("https://www.ebay.com/sch/261328/i.html?_dcat=261328&amp;_fsrp=1&amp;rt=nc&amp;_from=R40&amp;_nkw=2025%20Bowman%20Draft%20Sapphire%20DEAN%20MOSS%20%23BDC-114%20Chrome%20Rays&amp;_sacat=0&amp;_sop=15&amp;rt=nc&amp;LH_BIN=1", "Active")</f>
        <v/>
      </c>
      <c r="J1355" s="5">
        <f>HYPERLINK("https://www.ebay.com/sch/261328/i.html?_from=R40&amp;_nkw=2025%20Bowman%20Draft%20Sapphire%20DEAN%20MOSS%20%23BDC-114%20Chrome%20Rays&amp;_sacat=0&amp;LH_Sold=1&amp;LH_Complete=1&amp;_sop=13", "Completed")</f>
        <v/>
      </c>
      <c r="K1355" s="5" t="inlineStr">
        <is>
          <t>Dean Moss 1st Bowman Sapphire Draft Chrome BDC-114 Tampa Bay Rays 2025</t>
        </is>
      </c>
    </row>
    <row r="1356">
      <c r="A1356" s="11" t="inlineStr">
        <is>
          <t>POOKIEWHT-0001-00006-26635</t>
        </is>
      </c>
      <c r="B1356" s="11" t="inlineStr">
        <is>
          <t>2025 Bowman Draft Sapphire MICHAEL OLIVETO #BDC-156 Chrome 1st Prospect Tigers</t>
        </is>
      </c>
      <c r="C1356" s="12" t="n">
        <v>6.09</v>
      </c>
      <c r="D1356" s="12" t="n">
        <v>4.89</v>
      </c>
      <c r="E1356" s="12" t="n">
        <v>-1.2</v>
      </c>
      <c r="F1356" s="13" t="n">
        <v>-19.7</v>
      </c>
      <c r="G1356" s="11" t="inlineStr">
        <is>
          <t>⬇ Price Down</t>
        </is>
      </c>
      <c r="H1356" s="11" t="inlineStr">
        <is>
          <t>78%</t>
        </is>
      </c>
      <c r="I1356" s="11">
        <f>HYPERLINK("https://www.ebay.com/sch/261328/i.html?_dcat=261328&amp;_fsrp=1&amp;rt=nc&amp;_from=R40&amp;_nkw=2025%20Bowman%20Draft%20Sapphire%20MICHAEL%20OLIVETO%20%23BDC-156%20Chrome%201st%20Prospect%20Tigers&amp;_sacat=0&amp;_sop=15&amp;rt=nc&amp;LH_BIN=1", "Active")</f>
        <v/>
      </c>
      <c r="J1356" s="11">
        <f>HYPERLINK("https://www.ebay.com/sch/261328/i.html?_from=R40&amp;_nkw=2025%20Bowman%20Draft%20Sapphire%20MICHAEL%20OLIVETO%20%23BDC-156%20Chrome%201st%20Prospect%20Tigers&amp;_sacat=0&amp;LH_Sold=1&amp;LH_Complete=1&amp;_sop=13", "Completed")</f>
        <v/>
      </c>
      <c r="K1356" s="11" t="inlineStr">
        <is>
          <t>Bowman 2025 Chrome Draft Sapphire Michael Oliveto 1st Bowman #BDC-156 Tigers</t>
        </is>
      </c>
    </row>
    <row r="1357">
      <c r="A1357" s="5" t="inlineStr">
        <is>
          <t>POOKIEWHT-0001-00002-42708</t>
        </is>
      </c>
      <c r="B1357" s="5" t="inlineStr">
        <is>
          <t>2025 Bowman Draft Sapphire KANE KEPLEY #BDC-200 Chrome 1st Prospect Cubs</t>
        </is>
      </c>
      <c r="C1357" s="6" t="n">
        <v>8.19</v>
      </c>
      <c r="D1357" s="6" t="n">
        <v>8.890000000000001</v>
      </c>
      <c r="E1357" s="6" t="n">
        <v>0.7</v>
      </c>
      <c r="F1357" s="7" t="n">
        <v>8.5</v>
      </c>
      <c r="G1357" s="5" t="inlineStr">
        <is>
          <t>⬆ Price Up</t>
        </is>
      </c>
      <c r="H1357" s="5" t="inlineStr">
        <is>
          <t>100%</t>
        </is>
      </c>
      <c r="I1357" s="5">
        <f>HYPERLINK("https://www.ebay.com/sch/261328/i.html?_dcat=261328&amp;_fsrp=1&amp;rt=nc&amp;_from=R40&amp;_nkw=2025%20Bowman%20Draft%20Sapphire%20KANE%20KEPLEY%20%23BDC-200%20Chrome%201st%20Prospect%20Cubs&amp;_sacat=0&amp;_sop=15&amp;rt=nc&amp;LH_BIN=1", "Active")</f>
        <v/>
      </c>
      <c r="J1357" s="5">
        <f>HYPERLINK("https://www.ebay.com/sch/261328/i.html?_from=R40&amp;_nkw=2025%20Bowman%20Draft%20Sapphire%20KANE%20KEPLEY%20%23BDC-200%20Chrome%201st%20Prospect%20Cubs&amp;_sacat=0&amp;LH_Sold=1&amp;LH_Complete=1&amp;_sop=13", "Completed")</f>
        <v/>
      </c>
      <c r="K1357" s="5" t="inlineStr">
        <is>
          <t>2025 Bowman Draft Sapphire KANE KEPLEY #BDC-200 Chrome 1st Prospect Cubs</t>
        </is>
      </c>
    </row>
    <row r="1358">
      <c r="A1358" s="2" t="inlineStr">
        <is>
          <t>POOKIEWHT-0001-00021-59118</t>
        </is>
      </c>
      <c r="B1358" s="2" t="inlineStr">
        <is>
          <t>2025 Bowman Draft THOMAS WHITE #BDC-26 Chrome Sparkle Refractor Marlins</t>
        </is>
      </c>
      <c r="C1358" s="3" t="n">
        <v>2.99</v>
      </c>
      <c r="D1358" s="3" t="n">
        <v>2.49</v>
      </c>
      <c r="E1358" s="3" t="n">
        <v>-0.5</v>
      </c>
      <c r="F1358" s="4" t="n">
        <v>-16.7</v>
      </c>
      <c r="G1358" s="2" t="inlineStr">
        <is>
          <t>🔵 Floored $2.49 — free ship or $0.99 ship?</t>
        </is>
      </c>
      <c r="H1358" s="2" t="inlineStr">
        <is>
          <t>88%</t>
        </is>
      </c>
      <c r="I1358" s="2">
        <f>HYPERLINK("https://www.ebay.com/sch/261328/i.html?_dcat=261328&amp;_fsrp=1&amp;rt=nc&amp;_from=R40&amp;_nkw=2025%20Bowman%20Draft%20THOMAS%20WHITE%20%23BDC-26%20Chrome%20Sparkle%20Refractor%20Marlins&amp;_sacat=0&amp;_sop=15&amp;rt=nc&amp;LH_BIN=1", "Active")</f>
        <v/>
      </c>
      <c r="J1358" s="2">
        <f>HYPERLINK("https://www.ebay.com/sch/261328/i.html?_from=R40&amp;_nkw=2025%20Bowman%20Draft%20THOMAS%20WHITE%20%23BDC-26%20Chrome%20Sparkle%20Refractor%20Marlins&amp;_sacat=0&amp;LH_Sold=1&amp;LH_Complete=1&amp;_sop=13", "Completed")</f>
        <v/>
      </c>
      <c r="K1358" s="2" t="inlineStr">
        <is>
          <t>2025 Bowman Draft Thomas White Chrome Sparkle Refractor #BDC-26 Marlins Miscut!</t>
        </is>
      </c>
    </row>
    <row r="1359">
      <c r="A1359" s="5" t="inlineStr">
        <is>
          <t>POOKIEWHT-0001-00018-04041</t>
        </is>
      </c>
      <c r="B1359" s="5" t="inlineStr">
        <is>
          <t>2025 Bowman Draft Sapphire MASON MCCONNAUGHEY #BDC-117 Chrome 1st Prospect</t>
        </is>
      </c>
      <c r="C1359" s="6" t="n">
        <v>2.99</v>
      </c>
      <c r="D1359" s="6" t="n">
        <v>3.89</v>
      </c>
      <c r="E1359" s="6" t="n">
        <v>0.9</v>
      </c>
      <c r="F1359" s="7" t="n">
        <v>30.1</v>
      </c>
      <c r="G1359" s="5" t="inlineStr">
        <is>
          <t>⬆ Price Up</t>
        </is>
      </c>
      <c r="H1359" s="5" t="inlineStr">
        <is>
          <t>100%</t>
        </is>
      </c>
      <c r="I1359" s="5">
        <f>HYPERLINK("https://www.ebay.com/sch/261328/i.html?_dcat=261328&amp;_fsrp=1&amp;rt=nc&amp;_from=R40&amp;_nkw=2025%20Bowman%20Draft%20Sapphire%20MASON%20MCCONNAUGHEY%20%23BDC-117%20Chrome%201st%20Prospect&amp;_sacat=0&amp;_sop=15&amp;rt=nc&amp;LH_BIN=1", "Active")</f>
        <v/>
      </c>
      <c r="J1359" s="5">
        <f>HYPERLINK("https://www.ebay.com/sch/261328/i.html?_from=R40&amp;_nkw=2025%20Bowman%20Draft%20Sapphire%20MASON%20MCCONNAUGHEY%20%23BDC-117%20Chrome%201st%20Prospect&amp;_sacat=0&amp;LH_Sold=1&amp;LH_Complete=1&amp;_sop=13", "Completed")</f>
        <v/>
      </c>
      <c r="K1359" s="5" t="inlineStr">
        <is>
          <t>2025 Bowman Draft Sapphire MASON MCCONNAUGHEY #BDC-117 Chrome 1st Prospect</t>
        </is>
      </c>
    </row>
    <row r="1360">
      <c r="A1360" s="2" t="inlineStr">
        <is>
          <t>POOKIEWHT-0001-00012-89690</t>
        </is>
      </c>
      <c r="B1360" s="2" t="inlineStr">
        <is>
          <t>2025 Bowman Draft Sapphire JAMES ELLWANGER #BDC-164 Chrome 1st Prospect Twins</t>
        </is>
      </c>
      <c r="C1360" s="3" t="n">
        <v>3.49</v>
      </c>
      <c r="D1360" s="3" t="n">
        <v>2.49</v>
      </c>
      <c r="E1360" s="3" t="n">
        <v>-1</v>
      </c>
      <c r="F1360" s="4" t="n">
        <v>-28.7</v>
      </c>
      <c r="G1360" s="2" t="inlineStr">
        <is>
          <t>🔵 Floored $2.49 — free ship or $0.99 ship?</t>
        </is>
      </c>
      <c r="H1360" s="2" t="inlineStr">
        <is>
          <t>100%</t>
        </is>
      </c>
      <c r="I1360" s="2">
        <f>HYPERLINK("https://www.ebay.com/sch/261328/i.html?_dcat=261328&amp;_fsrp=1&amp;rt=nc&amp;_from=R40&amp;_nkw=2025%20Bowman%20Draft%20Sapphire%20JAMES%20ELLWANGER%20%23BDC-164%20Chrome%201st%20Prospect%20Twins&amp;_sacat=0&amp;_sop=15&amp;rt=nc&amp;LH_BIN=1", "Active")</f>
        <v/>
      </c>
      <c r="J1360" s="2">
        <f>HYPERLINK("https://www.ebay.com/sch/261328/i.html?_from=R40&amp;_nkw=2025%20Bowman%20Draft%20Sapphire%20JAMES%20ELLWANGER%20%23BDC-164%20Chrome%201st%20Prospect%20Twins&amp;_sacat=0&amp;LH_Sold=1&amp;LH_Complete=1&amp;_sop=13", "Completed")</f>
        <v/>
      </c>
      <c r="K1360" s="2" t="inlineStr">
        <is>
          <t>2025 Bowman Draft Sapphire JAMES ELLWANGER #BDC-164 Chrome 1st Prospect Twins</t>
        </is>
      </c>
    </row>
    <row r="1361">
      <c r="A1361" s="5" t="inlineStr">
        <is>
          <t>POOKIEWHT-0001-00001-53167</t>
        </is>
      </c>
      <c r="B1361" s="5" t="inlineStr">
        <is>
          <t>2025 Bowman Draft Sapphire MICHAEL SALINA #BDC-76 Chrome 1st Prospect Padres</t>
        </is>
      </c>
      <c r="C1361" s="6" t="n">
        <v>3.99</v>
      </c>
      <c r="D1361" s="6" t="n">
        <v>4.79</v>
      </c>
      <c r="E1361" s="6" t="n">
        <v>0.8</v>
      </c>
      <c r="F1361" s="7" t="n">
        <v>20.1</v>
      </c>
      <c r="G1361" s="5" t="inlineStr">
        <is>
          <t>⬆ Price Up</t>
        </is>
      </c>
      <c r="H1361" s="5" t="inlineStr">
        <is>
          <t>100%</t>
        </is>
      </c>
      <c r="I1361" s="5">
        <f>HYPERLINK("https://www.ebay.com/sch/261328/i.html?_dcat=261328&amp;_fsrp=1&amp;rt=nc&amp;_from=R40&amp;_nkw=2025%20Bowman%20Draft%20Sapphire%20MICHAEL%20SALINA%20%23BDC-76%20Chrome%201st%20Prospect%20Padres&amp;_sacat=0&amp;_sop=15&amp;rt=nc&amp;LH_BIN=1", "Active")</f>
        <v/>
      </c>
      <c r="J1361" s="5">
        <f>HYPERLINK("https://www.ebay.com/sch/261328/i.html?_from=R40&amp;_nkw=2025%20Bowman%20Draft%20Sapphire%20MICHAEL%20SALINA%20%23BDC-76%20Chrome%201st%20Prospect%20Padres&amp;_sacat=0&amp;LH_Sold=1&amp;LH_Complete=1&amp;_sop=13", "Completed")</f>
        <v/>
      </c>
      <c r="K1361" s="5" t="inlineStr">
        <is>
          <t>2025 Bowman Draft Sapphire MICHAEL SALINA #BDC-76 Chrome 1st Prospect Padres</t>
        </is>
      </c>
    </row>
    <row r="1362">
      <c r="A1362" s="5" t="inlineStr">
        <is>
          <t>POOKIEWHT-0001-00004-33569</t>
        </is>
      </c>
      <c r="B1362" s="5" t="inlineStr">
        <is>
          <t>2025 Bowman Draft Sapphire ETHAN FREY #BDC-67 Chrome 1st Prospect Astros</t>
        </is>
      </c>
      <c r="C1362" s="6" t="n">
        <v>5.99</v>
      </c>
      <c r="D1362" s="6" t="n">
        <v>6.79</v>
      </c>
      <c r="E1362" s="6" t="n">
        <v>0.8</v>
      </c>
      <c r="F1362" s="7" t="n">
        <v>13.4</v>
      </c>
      <c r="G1362" s="5" t="inlineStr">
        <is>
          <t>⬆ Price Up</t>
        </is>
      </c>
      <c r="H1362" s="5" t="inlineStr">
        <is>
          <t>100%</t>
        </is>
      </c>
      <c r="I1362" s="5">
        <f>HYPERLINK("https://www.ebay.com/sch/261328/i.html?_dcat=261328&amp;_fsrp=1&amp;rt=nc&amp;_from=R40&amp;_nkw=2025%20Bowman%20Draft%20Sapphire%20ETHAN%20FREY%20%23BDC-67%20Chrome%201st%20Prospect%20Astros&amp;_sacat=0&amp;_sop=15&amp;rt=nc&amp;LH_BIN=1", "Active")</f>
        <v/>
      </c>
      <c r="J1362" s="5">
        <f>HYPERLINK("https://www.ebay.com/sch/261328/i.html?_from=R40&amp;_nkw=2025%20Bowman%20Draft%20Sapphire%20ETHAN%20FREY%20%23BDC-67%20Chrome%201st%20Prospect%20Astros&amp;_sacat=0&amp;LH_Sold=1&amp;LH_Complete=1&amp;_sop=13", "Completed")</f>
        <v/>
      </c>
      <c r="K1362" s="5" t="inlineStr">
        <is>
          <t>2025 Bowman Draft Sapphire ETHAN FREY #BDC-67 Chrome 1st Prospect Astros</t>
        </is>
      </c>
    </row>
    <row r="1363">
      <c r="A1363" s="8" t="inlineStr">
        <is>
          <t>POOKIEWHT-0001-00022-15164</t>
        </is>
      </c>
      <c r="B1363" s="8" t="inlineStr">
        <is>
          <t>2025 Bowman Draft LANDON HODGE #BDC-93 Chrome Refractor 1st Prospect White Sox</t>
        </is>
      </c>
      <c r="C1363" s="9" t="n">
        <v>2.49</v>
      </c>
      <c r="D1363" s="9" t="n">
        <v>2.49</v>
      </c>
      <c r="E1363" s="9" t="n">
        <v>0</v>
      </c>
      <c r="F1363" s="10" t="n">
        <v>0</v>
      </c>
      <c r="G1363" s="8" t="inlineStr">
        <is>
          <t>— No Change</t>
        </is>
      </c>
      <c r="H1363" s="8" t="inlineStr">
        <is>
          <t>90%</t>
        </is>
      </c>
      <c r="I1363" s="8">
        <f>HYPERLINK("https://www.ebay.com/sch/261328/i.html?_dcat=261328&amp;_fsrp=1&amp;rt=nc&amp;_from=R40&amp;_nkw=2025%20Bowman%20Draft%20LANDON%20HODGE%20%23BDC-93%20Chrome%20Refractor%201st%20Prospect%20White%20Sox&amp;_sacat=0&amp;_sop=15&amp;rt=nc&amp;LH_BIN=1", "Active")</f>
        <v/>
      </c>
      <c r="J1363" s="8">
        <f>HYPERLINK("https://www.ebay.com/sch/261328/i.html?_from=R40&amp;_nkw=2025%20Bowman%20Draft%20LANDON%20HODGE%20%23BDC-93%20Chrome%20Refractor%201st%20Prospect%20White%20Sox&amp;_sacat=0&amp;LH_Sold=1&amp;LH_Complete=1&amp;_sop=13", "Completed")</f>
        <v/>
      </c>
      <c r="K1363" s="8" t="inlineStr">
        <is>
          <t>2025 Bowman Draft Landon Hodge Chrome Refractor 1st Prospect #BDC-93 White Sox</t>
        </is>
      </c>
    </row>
    <row r="1364">
      <c r="A1364" s="11" t="inlineStr">
        <is>
          <t>POOKIEWHT-0001-00019-06075</t>
        </is>
      </c>
      <c r="B1364" s="11" t="inlineStr">
        <is>
          <t>2025 Bowman Draft Sapphire JEFFERSON ROJAS #BDC-75 Chrome Cubs</t>
        </is>
      </c>
      <c r="C1364" s="12" t="n">
        <v>4.49</v>
      </c>
      <c r="D1364" s="12" t="n">
        <v>3.89</v>
      </c>
      <c r="E1364" s="12" t="n">
        <v>-0.6</v>
      </c>
      <c r="F1364" s="13" t="n">
        <v>-13.4</v>
      </c>
      <c r="G1364" s="11" t="inlineStr">
        <is>
          <t>⬇ Price Down</t>
        </is>
      </c>
      <c r="H1364" s="11" t="inlineStr">
        <is>
          <t>78%</t>
        </is>
      </c>
      <c r="I1364" s="11">
        <f>HYPERLINK("https://www.ebay.com/sch/261328/i.html?_dcat=261328&amp;_fsrp=1&amp;rt=nc&amp;_from=R40&amp;_nkw=2025%20Bowman%20Draft%20Sapphire%20JEFFERSON%20ROJAS%20%23BDC-75%20Chrome%20Cubs&amp;_sacat=0&amp;_sop=15&amp;rt=nc&amp;LH_BIN=1", "Active")</f>
        <v/>
      </c>
      <c r="J1364" s="11">
        <f>HYPERLINK("https://www.ebay.com/sch/261328/i.html?_from=R40&amp;_nkw=2025%20Bowman%20Draft%20Sapphire%20JEFFERSON%20ROJAS%20%23BDC-75%20Chrome%20Cubs&amp;_sacat=0&amp;LH_Sold=1&amp;LH_Complete=1&amp;_sop=13", "Completed")</f>
        <v/>
      </c>
      <c r="K1364" s="11" t="inlineStr">
        <is>
          <t>Jefferson Rojas 2025 Bowman Chrome Draft Sapphire Edition #BDC-75 (RC) CUBS</t>
        </is>
      </c>
    </row>
    <row r="1365">
      <c r="A1365" s="5" t="inlineStr">
        <is>
          <t>POOKIEWHT-0001-00010-41001</t>
        </is>
      </c>
      <c r="B1365" s="5" t="inlineStr">
        <is>
          <t>2025 Bowman Draft AARON WATSON #BDC-193 Chrome Steel Metal Refractor /100 Reds</t>
        </is>
      </c>
      <c r="C1365" s="6" t="n">
        <v>12.09</v>
      </c>
      <c r="D1365" s="6" t="n">
        <v>12.69</v>
      </c>
      <c r="E1365" s="6" t="n">
        <v>0.6</v>
      </c>
      <c r="F1365" s="7" t="n">
        <v>5</v>
      </c>
      <c r="G1365" s="5" t="inlineStr">
        <is>
          <t>⬆ Price Up</t>
        </is>
      </c>
      <c r="H1365" s="5" t="inlineStr">
        <is>
          <t>100%</t>
        </is>
      </c>
      <c r="I1365" s="5">
        <f>HYPERLINK("https://www.ebay.com/sch/261328/i.html?_dcat=261328&amp;_fsrp=1&amp;rt=nc&amp;_from=R40&amp;_nkw=2025%20Bowman%20Draft%20AARON%20WATSON%20%23BDC-193%20Chrome%20Steel%20Metal%20Refractor%20%2F100%20Reds&amp;_sacat=0&amp;_sop=15&amp;rt=nc&amp;LH_BIN=1", "Active")</f>
        <v/>
      </c>
      <c r="J1365" s="5">
        <f>HYPERLINK("https://www.ebay.com/sch/261328/i.html?_from=R40&amp;_nkw=2025%20Bowman%20Draft%20AARON%20WATSON%20%23BDC-193%20Chrome%20Steel%20Metal%20Refractor%20%2F100%20Reds&amp;_sacat=0&amp;LH_Sold=1&amp;LH_Complete=1&amp;_sop=13", "Completed")</f>
        <v/>
      </c>
      <c r="K1365" s="5" t="inlineStr">
        <is>
          <t>2025 Bowman Draft AARON WATSON #BDC-193 Chrome Steel Metal Refractor /100 Reds</t>
        </is>
      </c>
    </row>
    <row r="1366">
      <c r="A1366" s="5" t="inlineStr">
        <is>
          <t>POOKIEWHT-0001-00034-00487</t>
        </is>
      </c>
      <c r="B1366" s="5" t="inlineStr">
        <is>
          <t>2025 Bowman Draft Sapphire DOMINICK REID #BDC-53 Chrome 1st Prospect Cubs</t>
        </is>
      </c>
      <c r="C1366" s="6" t="n">
        <v>2.99</v>
      </c>
      <c r="D1366" s="6" t="n">
        <v>3.89</v>
      </c>
      <c r="E1366" s="6" t="n">
        <v>0.9</v>
      </c>
      <c r="F1366" s="7" t="n">
        <v>30.1</v>
      </c>
      <c r="G1366" s="5" t="inlineStr">
        <is>
          <t>⬆ Price Up</t>
        </is>
      </c>
      <c r="H1366" s="5" t="inlineStr">
        <is>
          <t>100%</t>
        </is>
      </c>
      <c r="I1366" s="5">
        <f>HYPERLINK("https://www.ebay.com/sch/261328/i.html?_dcat=261328&amp;_fsrp=1&amp;rt=nc&amp;_from=R40&amp;_nkw=2025%20Bowman%20Draft%20Sapphire%20DOMINICK%20REID%20%23BDC-53%20Chrome%201st%20Prospect%20Cubs&amp;_sacat=0&amp;_sop=15&amp;rt=nc&amp;LH_BIN=1", "Active")</f>
        <v/>
      </c>
      <c r="J1366" s="5">
        <f>HYPERLINK("https://www.ebay.com/sch/261328/i.html?_from=R40&amp;_nkw=2025%20Bowman%20Draft%20Sapphire%20DOMINICK%20REID%20%23BDC-53%20Chrome%201st%20Prospect%20Cubs&amp;_sacat=0&amp;LH_Sold=1&amp;LH_Complete=1&amp;_sop=13", "Completed")</f>
        <v/>
      </c>
      <c r="K1366" s="5" t="inlineStr">
        <is>
          <t>2025 Bowman Draft Sapphire DOMINICK REID #BDC-53 Chrome 1st Prospect Cubs</t>
        </is>
      </c>
    </row>
    <row r="1367">
      <c r="A1367" s="5" t="inlineStr">
        <is>
          <t>POOKIEWHT-0001-00035-30416</t>
        </is>
      </c>
      <c r="B1367" s="5" t="inlineStr">
        <is>
          <t>2025 Bowman Draft Sapphire JOSH OWENS #BDC-119 Chrome 1st Prospect Rangers</t>
        </is>
      </c>
      <c r="C1367" s="6" t="n">
        <v>7.19</v>
      </c>
      <c r="D1367" s="6" t="n">
        <v>7.89</v>
      </c>
      <c r="E1367" s="6" t="n">
        <v>0.7</v>
      </c>
      <c r="F1367" s="7" t="n">
        <v>9.699999999999999</v>
      </c>
      <c r="G1367" s="5" t="inlineStr">
        <is>
          <t>⬆ Price Up</t>
        </is>
      </c>
      <c r="H1367" s="5" t="inlineStr">
        <is>
          <t>100%</t>
        </is>
      </c>
      <c r="I1367" s="5">
        <f>HYPERLINK("https://www.ebay.com/sch/261328/i.html?_dcat=261328&amp;_fsrp=1&amp;rt=nc&amp;_from=R40&amp;_nkw=2025%20Bowman%20Draft%20Sapphire%20JOSH%20OWENS%20%23BDC-119%20Chrome%201st%20Prospect%20Rangers&amp;_sacat=0&amp;_sop=15&amp;rt=nc&amp;LH_BIN=1", "Active")</f>
        <v/>
      </c>
      <c r="J1367" s="5">
        <f>HYPERLINK("https://www.ebay.com/sch/261328/i.html?_from=R40&amp;_nkw=2025%20Bowman%20Draft%20Sapphire%20JOSH%20OWENS%20%23BDC-119%20Chrome%201st%20Prospect%20Rangers&amp;_sacat=0&amp;LH_Sold=1&amp;LH_Complete=1&amp;_sop=13", "Completed")</f>
        <v/>
      </c>
      <c r="K1367" s="5" t="inlineStr">
        <is>
          <t>2025 Bowman Draft Sapphire JOSH OWENS #BDC-119 Chrome 1st Prospect Rangers</t>
        </is>
      </c>
    </row>
    <row r="1368">
      <c r="A1368" s="5" t="inlineStr">
        <is>
          <t>POOKIEWHT-0001-00033-99197</t>
        </is>
      </c>
      <c r="B1368" s="5" t="inlineStr">
        <is>
          <t>2025 Bowman Draft Sapphire GRANT RICHARDSON #BDC-171 Chrome 1st Prospect</t>
        </is>
      </c>
      <c r="C1368" s="6" t="n">
        <v>3.49</v>
      </c>
      <c r="D1368" s="6" t="n">
        <v>4.39</v>
      </c>
      <c r="E1368" s="6" t="n">
        <v>0.9</v>
      </c>
      <c r="F1368" s="7" t="n">
        <v>25.8</v>
      </c>
      <c r="G1368" s="5" t="inlineStr">
        <is>
          <t>⬆ Price Up</t>
        </is>
      </c>
      <c r="H1368" s="5" t="inlineStr">
        <is>
          <t>100%</t>
        </is>
      </c>
      <c r="I1368" s="5">
        <f>HYPERLINK("https://www.ebay.com/sch/261328/i.html?_dcat=261328&amp;_fsrp=1&amp;rt=nc&amp;_from=R40&amp;_nkw=2025%20Bowman%20Draft%20Sapphire%20GRANT%20RICHARDSON%20%23BDC-171%20Chrome%201st%20Prospect&amp;_sacat=0&amp;_sop=15&amp;rt=nc&amp;LH_BIN=1", "Active")</f>
        <v/>
      </c>
      <c r="J1368" s="5">
        <f>HYPERLINK("https://www.ebay.com/sch/261328/i.html?_from=R40&amp;_nkw=2025%20Bowman%20Draft%20Sapphire%20GRANT%20RICHARDSON%20%23BDC-171%20Chrome%201st%20Prospect&amp;_sacat=0&amp;LH_Sold=1&amp;LH_Complete=1&amp;_sop=13", "Completed")</f>
        <v/>
      </c>
      <c r="K1368" s="5" t="inlineStr">
        <is>
          <t>2025 Bowman Draft Sapphire GRANT RICHARDSON #BDC-171 Chrome 1st Prospect</t>
        </is>
      </c>
    </row>
    <row r="1369">
      <c r="A1369" s="5" t="inlineStr">
        <is>
          <t>POOKIEWHT-0001-00036-32822</t>
        </is>
      </c>
      <c r="B1369" s="5" t="inlineStr">
        <is>
          <t>2025 Bowman Chrome Sapphire HEINS BRITO #BCP-203 1st Prospect Guardians</t>
        </is>
      </c>
      <c r="C1369" s="6" t="n">
        <v>2.49</v>
      </c>
      <c r="D1369" s="6" t="n">
        <v>2.89</v>
      </c>
      <c r="E1369" s="6" t="n">
        <v>0.4</v>
      </c>
      <c r="F1369" s="7" t="n">
        <v>16.1</v>
      </c>
      <c r="G1369" s="5" t="inlineStr">
        <is>
          <t>⬆ Price Up</t>
        </is>
      </c>
      <c r="H1369" s="5" t="inlineStr">
        <is>
          <t>81%</t>
        </is>
      </c>
      <c r="I1369" s="5">
        <f>HYPERLINK("https://www.ebay.com/sch/261328/i.html?_dcat=261328&amp;_fsrp=1&amp;rt=nc&amp;_from=R40&amp;_nkw=2025%20Bowman%20Chrome%20Sapphire%20HEINS%20BRITO%20%23BCP-203%201st%20Prospect%20Guardians&amp;_sacat=0&amp;_sop=15&amp;rt=nc&amp;LH_BIN=1", "Active")</f>
        <v/>
      </c>
      <c r="J1369" s="5">
        <f>HYPERLINK("https://www.ebay.com/sch/261328/i.html?_from=R40&amp;_nkw=2025%20Bowman%20Chrome%20Sapphire%20HEINS%20BRITO%20%23BCP-203%201st%20Prospect%20Guardians&amp;_sacat=0&amp;LH_Sold=1&amp;LH_Complete=1&amp;_sop=13", "Completed")</f>
        <v/>
      </c>
      <c r="K1369" s="5" t="inlineStr">
        <is>
          <t>Heins Brito 2025 Bowman Chrome 1st Sapphire Prospects #BCP-203 QTY Guardians</t>
        </is>
      </c>
    </row>
    <row r="1370">
      <c r="A1370" s="8" t="inlineStr">
        <is>
          <t>POOKIEWHT-0001-00037-06825</t>
        </is>
      </c>
      <c r="B1370" s="8" t="inlineStr">
        <is>
          <t>2025 Bowman Chrome Sapphire ARJUN NIMMALA #BCP-228 Prospects Blue Jays</t>
        </is>
      </c>
      <c r="C1370" s="9" t="n">
        <v>5.19</v>
      </c>
      <c r="D1370" s="9" t="n">
        <v>5.19</v>
      </c>
      <c r="E1370" s="9" t="n">
        <v>0</v>
      </c>
      <c r="F1370" s="10" t="n">
        <v>0</v>
      </c>
      <c r="G1370" s="8" t="inlineStr">
        <is>
          <t>— No Change</t>
        </is>
      </c>
      <c r="H1370" s="8" t="inlineStr">
        <is>
          <t>89%</t>
        </is>
      </c>
      <c r="I1370" s="8">
        <f>HYPERLINK("https://www.ebay.com/sch/261328/i.html?_dcat=261328&amp;_fsrp=1&amp;rt=nc&amp;_from=R40&amp;_nkw=2025%20Bowman%20Chrome%20Sapphire%20ARJUN%20NIMMALA%20%23BCP-228%20Prospects%20Blue%20Jays&amp;_sacat=0&amp;_sop=15&amp;rt=nc&amp;LH_BIN=1", "Active")</f>
        <v/>
      </c>
      <c r="J1370" s="8">
        <f>HYPERLINK("https://www.ebay.com/sch/261328/i.html?_from=R40&amp;_nkw=2025%20Bowman%20Chrome%20Sapphire%20ARJUN%20NIMMALA%20%23BCP-228%20Prospects%20Blue%20Jays&amp;_sacat=0&amp;LH_Sold=1&amp;LH_Complete=1&amp;_sop=13", "Completed")</f>
        <v/>
      </c>
      <c r="K1370" s="8" t="inlineStr">
        <is>
          <t>2025 Bowman Chrome Sapphire Arjun Nimmala Prospects #BCP-228 Blue Jays B278</t>
        </is>
      </c>
    </row>
    <row r="1371">
      <c r="A1371" s="2" t="inlineStr">
        <is>
          <t>CARDSHQBK-0001-00010-48549</t>
        </is>
      </c>
      <c r="B1371" s="2" t="inlineStr">
        <is>
          <t>2026 Bowman JOJO PARKER #BCP-147 Chrome Prospects Blue Jays</t>
        </is>
      </c>
      <c r="C1371" s="3" t="n">
        <v>3.49</v>
      </c>
      <c r="D1371" s="3" t="n">
        <v>2.49</v>
      </c>
      <c r="E1371" s="3" t="n">
        <v>-1</v>
      </c>
      <c r="F1371" s="4" t="n">
        <v>-28.7</v>
      </c>
      <c r="G1371" s="2" t="inlineStr">
        <is>
          <t>🔵 Floored $2.49 — free ship or $0.99 ship?</t>
        </is>
      </c>
      <c r="H1371" s="2" t="inlineStr">
        <is>
          <t>88%</t>
        </is>
      </c>
      <c r="I1371" s="2">
        <f>HYPERLINK("https://www.ebay.com/sch/261328/i.html?_dcat=261328&amp;_fsrp=1&amp;rt=nc&amp;_from=R40&amp;_nkw=2026%20Bowman%20JOJO%20PARKER%20%23BCP-147%20Chrome%20Prospects%20Blue%20Jays&amp;_sacat=0&amp;_sop=15&amp;rt=nc&amp;LH_BIN=1", "Active")</f>
        <v/>
      </c>
      <c r="J1371" s="2">
        <f>HYPERLINK("https://www.ebay.com/sch/261328/i.html?_from=R40&amp;_nkw=2026%20Bowman%20JOJO%20PARKER%20%23BCP-147%20Chrome%20Prospects%20Blue%20Jays&amp;_sacat=0&amp;LH_Sold=1&amp;LH_Complete=1&amp;_sop=13", "Completed")</f>
        <v/>
      </c>
      <c r="K1371" s="2" t="inlineStr">
        <is>
          <t>2026 Bowman JoJo Parker Chrome Prospects #BCP-147 Toronto Blue Jays</t>
        </is>
      </c>
    </row>
    <row r="1372">
      <c r="A1372" s="2" t="inlineStr">
        <is>
          <t>CARDSHQBK-0001-00026-17063</t>
        </is>
      </c>
      <c r="B1372" s="2" t="inlineStr">
        <is>
          <t>2026 Bowman NICK MONISTERE #BCP-103 Chrome 1st Prospect Astros</t>
        </is>
      </c>
      <c r="C1372" s="3" t="n">
        <v>3.49</v>
      </c>
      <c r="D1372" s="3" t="n">
        <v>2.49</v>
      </c>
      <c r="E1372" s="3" t="n">
        <v>-1</v>
      </c>
      <c r="F1372" s="4" t="n">
        <v>-28.7</v>
      </c>
      <c r="G1372" s="2" t="inlineStr">
        <is>
          <t>🔵 Floored $2.49 — free ship or $0.99 ship?</t>
        </is>
      </c>
      <c r="H1372" s="2" t="inlineStr">
        <is>
          <t>66%</t>
        </is>
      </c>
      <c r="I1372" s="2">
        <f>HYPERLINK("https://www.ebay.com/sch/261328/i.html?_dcat=261328&amp;_fsrp=1&amp;rt=nc&amp;_from=R40&amp;_nkw=2026%20Bowman%20NICK%20MONISTERE%20%23BCP-103%20Chrome%201st%20Prospect%20Astros&amp;_sacat=0&amp;_sop=15&amp;rt=nc&amp;LH_BIN=1", "Active")</f>
        <v/>
      </c>
      <c r="J1372" s="2">
        <f>HYPERLINK("https://www.ebay.com/sch/261328/i.html?_from=R40&amp;_nkw=2026%20Bowman%20NICK%20MONISTERE%20%23BCP-103%20Chrome%201st%20Prospect%20Astros&amp;_sacat=0&amp;LH_Sold=1&amp;LH_Complete=1&amp;_sop=13", "Completed")</f>
        <v/>
      </c>
      <c r="K1372" s="2" t="inlineStr">
        <is>
          <t>2026 Bowman Chrome Prospects W/1st Bowmans ⚾You Pick⚾ 🔥2-Card Minimum🔥</t>
        </is>
      </c>
    </row>
    <row r="1373">
      <c r="A1373" s="2" t="inlineStr">
        <is>
          <t>CARDSHQBK-0001-00029-06664</t>
        </is>
      </c>
      <c r="B1373" s="2" t="inlineStr">
        <is>
          <t>2026 Bowman KONNOR GRIFFIN #ES-17 Electric Sluggers Chrome Pirates</t>
        </is>
      </c>
      <c r="C1373" s="3" t="n">
        <v>4.49</v>
      </c>
      <c r="D1373" s="3" t="n">
        <v>2.49</v>
      </c>
      <c r="E1373" s="3" t="n">
        <v>-2</v>
      </c>
      <c r="F1373" s="4" t="n">
        <v>-44.5</v>
      </c>
      <c r="G1373" s="2" t="inlineStr">
        <is>
          <t>🔵 Floored $2.49 — free ship or $0.99 ship?</t>
        </is>
      </c>
      <c r="H1373" s="2" t="inlineStr">
        <is>
          <t>87%</t>
        </is>
      </c>
      <c r="I1373" s="2">
        <f>HYPERLINK("https://www.ebay.com/sch/261328/i.html?_dcat=261328&amp;_fsrp=1&amp;rt=nc&amp;_from=R40&amp;_nkw=2026%20Bowman%20KONNOR%20GRIFFIN%20%23ES-17%20Electric%20Sluggers%20Chrome%20Pirates&amp;_sacat=0&amp;_sop=15&amp;rt=nc&amp;LH_BIN=1", "Active")</f>
        <v/>
      </c>
      <c r="J1373" s="2">
        <f>HYPERLINK("https://www.ebay.com/sch/261328/i.html?_from=R40&amp;_nkw=2026%20Bowman%20KONNOR%20GRIFFIN%20%23ES-17%20Electric%20Sluggers%20Chrome%20Pirates&amp;_sacat=0&amp;LH_Sold=1&amp;LH_Complete=1&amp;_sop=13", "Completed")</f>
        <v/>
      </c>
      <c r="K1373" s="2" t="inlineStr">
        <is>
          <t>2026 Bowman Chrome Electric Sluggers Konnor Griffin #ES-17 Pittsburgh Pirates</t>
        </is>
      </c>
    </row>
    <row r="1374">
      <c r="A1374" s="2" t="inlineStr">
        <is>
          <t>CARDSHQBK-0001-00017-13475</t>
        </is>
      </c>
      <c r="B1374" s="2" t="inlineStr">
        <is>
          <t>2026 Bowman LEO DE VRIES #BCP-63 Chrome Prospects Athletics</t>
        </is>
      </c>
      <c r="C1374" s="3" t="n">
        <v>3.49</v>
      </c>
      <c r="D1374" s="3" t="n">
        <v>2.49</v>
      </c>
      <c r="E1374" s="3" t="n">
        <v>-1</v>
      </c>
      <c r="F1374" s="4" t="n">
        <v>-28.7</v>
      </c>
      <c r="G1374" s="2" t="inlineStr">
        <is>
          <t>🔵 Floored $2.49 — free ship or $0.99 ship?</t>
        </is>
      </c>
      <c r="H1374" s="2" t="inlineStr">
        <is>
          <t>68%</t>
        </is>
      </c>
      <c r="I1374" s="2">
        <f>HYPERLINK("https://www.ebay.com/sch/261328/i.html?_dcat=261328&amp;_fsrp=1&amp;rt=nc&amp;_from=R40&amp;_nkw=2026%20Bowman%20LEO%20DE%20VRIES%20%23BCP-63%20Chrome%20Prospects%20Athletics&amp;_sacat=0&amp;_sop=15&amp;rt=nc&amp;LH_BIN=1", "Active")</f>
        <v/>
      </c>
      <c r="J1374" s="2">
        <f>HYPERLINK("https://www.ebay.com/sch/261328/i.html?_from=R40&amp;_nkw=2026%20Bowman%20LEO%20DE%20VRIES%20%23BCP-63%20Chrome%20Prospects%20Athletics&amp;_sacat=0&amp;LH_Sold=1&amp;LH_Complete=1&amp;_sop=13", "Completed")</f>
        <v/>
      </c>
      <c r="K1374" s="2" t="inlineStr">
        <is>
          <t>2026 Bowman Chrome Prospects BCP 1-150 You Pick Complete Your Set</t>
        </is>
      </c>
    </row>
    <row r="1375">
      <c r="A1375" s="2" t="inlineStr">
        <is>
          <t>CARDSHQBK-0001-00004-69249</t>
        </is>
      </c>
      <c r="B1375" s="2" t="inlineStr">
        <is>
          <t>2026 Bowman JUDE WARWICK #BCP-58 Chrome 1st Prospect Tigers</t>
        </is>
      </c>
      <c r="C1375" s="3" t="n">
        <v>3.49</v>
      </c>
      <c r="D1375" s="3" t="n">
        <v>2.49</v>
      </c>
      <c r="E1375" s="3" t="n">
        <v>-1</v>
      </c>
      <c r="F1375" s="4" t="n">
        <v>-28.7</v>
      </c>
      <c r="G1375" s="2" t="inlineStr">
        <is>
          <t>🔵 Floored $2.49 — free ship or $0.99 ship?</t>
        </is>
      </c>
      <c r="H1375" s="2" t="inlineStr">
        <is>
          <t>79%</t>
        </is>
      </c>
      <c r="I1375" s="2">
        <f>HYPERLINK("https://www.ebay.com/sch/261328/i.html?_dcat=261328&amp;_fsrp=1&amp;rt=nc&amp;_from=R40&amp;_nkw=2026%20Bowman%20JUDE%20WARWICK%20%23BCP-58%20Chrome%201st%20Prospect%20Tigers&amp;_sacat=0&amp;_sop=15&amp;rt=nc&amp;LH_BIN=1", "Active")</f>
        <v/>
      </c>
      <c r="J1375" s="2">
        <f>HYPERLINK("https://www.ebay.com/sch/261328/i.html?_from=R40&amp;_nkw=2026%20Bowman%20JUDE%20WARWICK%20%23BCP-58%20Chrome%201st%20Prospect%20Tigers&amp;_sacat=0&amp;LH_Sold=1&amp;LH_Complete=1&amp;_sop=13", "Completed")</f>
        <v/>
      </c>
      <c r="K1375" s="2" t="inlineStr">
        <is>
          <t>Jude Warwick 2026 Bowman Chrome 1st Prospect #BCP-58 Detroit Tigers</t>
        </is>
      </c>
    </row>
    <row r="1376">
      <c r="A1376" s="2" t="inlineStr">
        <is>
          <t>CARDSHQBK-0001-00012-85571</t>
        </is>
      </c>
      <c r="B1376" s="2" t="inlineStr">
        <is>
          <t>2026 Bowman BRYCE RAINER #BCP-99 Chrome Prospects Tigers</t>
        </is>
      </c>
      <c r="C1376" s="3" t="n">
        <v>2.99</v>
      </c>
      <c r="D1376" s="3" t="n">
        <v>2.49</v>
      </c>
      <c r="E1376" s="3" t="n">
        <v>-0.5</v>
      </c>
      <c r="F1376" s="4" t="n">
        <v>-16.7</v>
      </c>
      <c r="G1376" s="2" t="inlineStr">
        <is>
          <t>🔵 Floored $2.49 — free ship or $0.99 ship?</t>
        </is>
      </c>
      <c r="H1376" s="2" t="inlineStr">
        <is>
          <t>68%</t>
        </is>
      </c>
      <c r="I1376" s="2">
        <f>HYPERLINK("https://www.ebay.com/sch/261328/i.html?_dcat=261328&amp;_fsrp=1&amp;rt=nc&amp;_from=R40&amp;_nkw=2026%20Bowman%20BRYCE%20RAINER%20%23BCP-99%20Chrome%20Prospects%20Tigers&amp;_sacat=0&amp;_sop=15&amp;rt=nc&amp;LH_BIN=1", "Active")</f>
        <v/>
      </c>
      <c r="J1376" s="2">
        <f>HYPERLINK("https://www.ebay.com/sch/261328/i.html?_from=R40&amp;_nkw=2026%20Bowman%20BRYCE%20RAINER%20%23BCP-99%20Chrome%20Prospects%20Tigers&amp;_sacat=0&amp;LH_Sold=1&amp;LH_Complete=1&amp;_sop=13", "Completed")</f>
        <v/>
      </c>
      <c r="K1376" s="2" t="inlineStr">
        <is>
          <t>2026 Bowman Baseball - Chrome Prospect Singles - Free Shipping!</t>
        </is>
      </c>
    </row>
    <row r="1377">
      <c r="A1377" s="2" t="inlineStr">
        <is>
          <t>CARDSHQBK-0001-00032-26766</t>
        </is>
      </c>
      <c r="B1377" s="2" t="inlineStr">
        <is>
          <t>2026 Bowman WYATT SANFORD #BCP-66 Chrome 1st Prospect Pirates</t>
        </is>
      </c>
      <c r="C1377" s="3" t="n">
        <v>3.49</v>
      </c>
      <c r="D1377" s="3" t="n">
        <v>2.49</v>
      </c>
      <c r="E1377" s="3" t="n">
        <v>-1</v>
      </c>
      <c r="F1377" s="4" t="n">
        <v>-28.7</v>
      </c>
      <c r="G1377" s="2" t="inlineStr">
        <is>
          <t>🔵 Floored $2.49 — free ship or $0.99 ship?</t>
        </is>
      </c>
      <c r="H1377" s="2" t="inlineStr">
        <is>
          <t>66%</t>
        </is>
      </c>
      <c r="I1377" s="2">
        <f>HYPERLINK("https://www.ebay.com/sch/261328/i.html?_dcat=261328&amp;_fsrp=1&amp;rt=nc&amp;_from=R40&amp;_nkw=2026%20Bowman%20WYATT%20SANFORD%20%23BCP-66%20Chrome%201st%20Prospect%20Pirates&amp;_sacat=0&amp;_sop=15&amp;rt=nc&amp;LH_BIN=1", "Active")</f>
        <v/>
      </c>
      <c r="J1377" s="2">
        <f>HYPERLINK("https://www.ebay.com/sch/261328/i.html?_from=R40&amp;_nkw=2026%20Bowman%20WYATT%20SANFORD%20%23BCP-66%20Chrome%201st%20Prospect%20Pirates&amp;_sacat=0&amp;LH_Sold=1&amp;LH_Complete=1&amp;_sop=13", "Completed")</f>
        <v/>
      </c>
      <c r="K1377" s="2" t="inlineStr">
        <is>
          <t>2026 Bowman Chrome Prospects W/1st Bowmans ⚾You Pick⚾ 🔥2-Card Minimum🔥</t>
        </is>
      </c>
    </row>
    <row r="1378">
      <c r="A1378" s="2" t="inlineStr">
        <is>
          <t>CARDSHQBK-0001-00019-55729</t>
        </is>
      </c>
      <c r="B1378" s="2" t="inlineStr">
        <is>
          <t>2026 Bowman DANIEL PIERCE #BCP-77 Chrome 1st Prospect Rays</t>
        </is>
      </c>
      <c r="C1378" s="3" t="n">
        <v>3.49</v>
      </c>
      <c r="D1378" s="3" t="n">
        <v>2.49</v>
      </c>
      <c r="E1378" s="3" t="n">
        <v>-1</v>
      </c>
      <c r="F1378" s="4" t="n">
        <v>-28.7</v>
      </c>
      <c r="G1378" s="2" t="inlineStr">
        <is>
          <t>🔵 Floored $2.49 — free ship or $0.99 ship?</t>
        </is>
      </c>
      <c r="H1378" s="2" t="inlineStr">
        <is>
          <t>65%</t>
        </is>
      </c>
      <c r="I1378" s="2">
        <f>HYPERLINK("https://www.ebay.com/sch/261328/i.html?_dcat=261328&amp;_fsrp=1&amp;rt=nc&amp;_from=R40&amp;_nkw=2026%20Bowman%20DANIEL%20PIERCE%20%23BCP-77%20Chrome%201st%20Prospect%20Rays&amp;_sacat=0&amp;_sop=15&amp;rt=nc&amp;LH_BIN=1", "Active")</f>
        <v/>
      </c>
      <c r="J1378" s="2">
        <f>HYPERLINK("https://www.ebay.com/sch/261328/i.html?_from=R40&amp;_nkw=2026%20Bowman%20DANIEL%20PIERCE%20%23BCP-77%20Chrome%201st%20Prospect%20Rays&amp;_sacat=0&amp;LH_Sold=1&amp;LH_Complete=1&amp;_sop=13", "Completed")</f>
        <v/>
      </c>
      <c r="K1378" s="2" t="inlineStr">
        <is>
          <t>2026 Bowman Chrome Prospects W/1st Bowmans ⚾You Pick⚾ 🔥2-Card Minimum🔥</t>
        </is>
      </c>
    </row>
    <row r="1379">
      <c r="A1379" s="2" t="inlineStr">
        <is>
          <t>CARDSHQBK-0001-00022-01529</t>
        </is>
      </c>
      <c r="B1379" s="2" t="inlineStr">
        <is>
          <t>2026 Bowman CARSON WILLIAMS #39 Rookie Red RC Variation Rays</t>
        </is>
      </c>
      <c r="C1379" s="3" t="n">
        <v>4.49</v>
      </c>
      <c r="D1379" s="3" t="n">
        <v>2.49</v>
      </c>
      <c r="E1379" s="3" t="n">
        <v>-2</v>
      </c>
      <c r="F1379" s="4" t="n">
        <v>-44.5</v>
      </c>
      <c r="G1379" s="2" t="inlineStr">
        <is>
          <t>🔵 Floored $2.49 — free ship or $0.99 ship?</t>
        </is>
      </c>
      <c r="H1379" s="2" t="inlineStr">
        <is>
          <t>84%</t>
        </is>
      </c>
      <c r="I1379" s="2">
        <f>HYPERLINK("https://www.ebay.com/sch/261328/i.html?_dcat=261328&amp;_fsrp=1&amp;rt=nc&amp;_from=R40&amp;_nkw=2026%20Bowman%20CARSON%20WILLIAMS%20%2339%20Rookie%20Red%20RC%20Variation%20Rays&amp;_sacat=0&amp;_sop=15&amp;rt=nc&amp;LH_BIN=1", "Active")</f>
        <v/>
      </c>
      <c r="J1379" s="2">
        <f>HYPERLINK("https://www.ebay.com/sch/261328/i.html?_from=R40&amp;_nkw=2026%20Bowman%20CARSON%20WILLIAMS%20%2339%20Rookie%20Red%20RC%20Variation%20Rays&amp;_sacat=0&amp;LH_Sold=1&amp;LH_Complete=1&amp;_sop=13", "Completed")</f>
        <v/>
      </c>
      <c r="K1379" s="2" t="inlineStr">
        <is>
          <t>2026 Bowman CARSON WILLIAMS Red RC Variation Refractor #39 Tampa Bay Rays Rookie</t>
        </is>
      </c>
    </row>
    <row r="1380">
      <c r="A1380" s="5" t="inlineStr">
        <is>
          <t>CARDSHQBK-0001-00011-72401</t>
        </is>
      </c>
      <c r="B1380" s="5" t="inlineStr">
        <is>
          <t>2026 Bowman MAX CLARK #BCP-2 Chrome Prospects Tigers</t>
        </is>
      </c>
      <c r="C1380" s="6" t="n">
        <v>1.49</v>
      </c>
      <c r="D1380" s="6" t="n">
        <v>2.49</v>
      </c>
      <c r="E1380" s="6" t="n">
        <v>1</v>
      </c>
      <c r="F1380" s="7" t="n">
        <v>67.09999999999999</v>
      </c>
      <c r="G1380" s="5" t="inlineStr">
        <is>
          <t>⬆ Price Up</t>
        </is>
      </c>
      <c r="H1380" s="5" t="inlineStr">
        <is>
          <t>67%</t>
        </is>
      </c>
      <c r="I1380" s="5">
        <f>HYPERLINK("https://www.ebay.com/sch/261328/i.html?_dcat=261328&amp;_fsrp=1&amp;rt=nc&amp;_from=R40&amp;_nkw=2026%20Bowman%20MAX%20CLARK%20%23BCP-2%20Chrome%20Prospects%20Tigers&amp;_sacat=0&amp;_sop=15&amp;rt=nc&amp;LH_BIN=1", "Active")</f>
        <v/>
      </c>
      <c r="J1380" s="5">
        <f>HYPERLINK("https://www.ebay.com/sch/261328/i.html?_from=R40&amp;_nkw=2026%20Bowman%20MAX%20CLARK%20%23BCP-2%20Chrome%20Prospects%20Tigers&amp;_sacat=0&amp;LH_Sold=1&amp;LH_Complete=1&amp;_sop=13", "Completed")</f>
        <v/>
      </c>
      <c r="K1380" s="5" t="inlineStr">
        <is>
          <t>2026 Bowman Baseball - Chrome Prospect Singles - Free Shipping!</t>
        </is>
      </c>
    </row>
    <row r="1381">
      <c r="A1381" s="2" t="inlineStr">
        <is>
          <t>CARDSHQBK-0001-00005-01729</t>
        </is>
      </c>
      <c r="B1381" s="2" t="inlineStr">
        <is>
          <t>2026 Bowman MAX CLARK #BST-5 Sterling Chrome Tigers</t>
        </is>
      </c>
      <c r="C1381" s="3" t="n">
        <v>2.99</v>
      </c>
      <c r="D1381" s="3" t="n">
        <v>2.49</v>
      </c>
      <c r="E1381" s="3" t="n">
        <v>-0.5</v>
      </c>
      <c r="F1381" s="4" t="n">
        <v>-16.7</v>
      </c>
      <c r="G1381" s="2" t="inlineStr">
        <is>
          <t>🔵 Floored $2.49 — free ship or $0.99 ship?</t>
        </is>
      </c>
      <c r="H1381" s="2" t="inlineStr">
        <is>
          <t>86%</t>
        </is>
      </c>
      <c r="I1381" s="2">
        <f>HYPERLINK("https://www.ebay.com/sch/261328/i.html?_dcat=261328&amp;_fsrp=1&amp;rt=nc&amp;_from=R40&amp;_nkw=2026%20Bowman%20MAX%20CLARK%20%23BST-5%20Sterling%20Chrome%20Tigers&amp;_sacat=0&amp;_sop=15&amp;rt=nc&amp;LH_BIN=1", "Active")</f>
        <v/>
      </c>
      <c r="J1381" s="2">
        <f>HYPERLINK("https://www.ebay.com/sch/261328/i.html?_from=R40&amp;_nkw=2026%20Bowman%20MAX%20CLARK%20%23BST-5%20Sterling%20Chrome%20Tigers&amp;_sacat=0&amp;LH_Sold=1&amp;LH_Complete=1&amp;_sop=13", "Completed")</f>
        <v/>
      </c>
      <c r="K1381" s="2" t="inlineStr">
        <is>
          <t>2026 Bowman MAX CLARK Bowman Sterling Chrome Insert #BST-5 Tigers</t>
        </is>
      </c>
    </row>
    <row r="1382">
      <c r="A1382" s="2" t="inlineStr">
        <is>
          <t>CARDSHQBK-0001-00003-72478</t>
        </is>
      </c>
      <c r="B1382" s="2" t="inlineStr">
        <is>
          <t>2026 Bowman EDWARD DURAN #BCP-24 Chrome 1st Prospect Blue Jays</t>
        </is>
      </c>
      <c r="C1382" s="3" t="n">
        <v>3.49</v>
      </c>
      <c r="D1382" s="3" t="n">
        <v>2.49</v>
      </c>
      <c r="E1382" s="3" t="n">
        <v>-1</v>
      </c>
      <c r="F1382" s="4" t="n">
        <v>-28.7</v>
      </c>
      <c r="G1382" s="2" t="inlineStr">
        <is>
          <t>🔵 Floored $2.49 — free ship or $0.99 ship?</t>
        </is>
      </c>
      <c r="H1382" s="2" t="inlineStr">
        <is>
          <t>67%</t>
        </is>
      </c>
      <c r="I1382" s="2">
        <f>HYPERLINK("https://www.ebay.com/sch/261328/i.html?_dcat=261328&amp;_fsrp=1&amp;rt=nc&amp;_from=R40&amp;_nkw=2026%20Bowman%20EDWARD%20DURAN%20%23BCP-24%20Chrome%201st%20Prospect%20Blue%20Jays&amp;_sacat=0&amp;_sop=15&amp;rt=nc&amp;LH_BIN=1", "Active")</f>
        <v/>
      </c>
      <c r="J1382" s="2">
        <f>HYPERLINK("https://www.ebay.com/sch/261328/i.html?_from=R40&amp;_nkw=2026%20Bowman%20EDWARD%20DURAN%20%23BCP-24%20Chrome%201st%20Prospect%20Blue%20Jays&amp;_sacat=0&amp;LH_Sold=1&amp;LH_Complete=1&amp;_sop=13", "Completed")</f>
        <v/>
      </c>
      <c r="K1382" s="2" t="inlineStr">
        <is>
          <t>2026 Bowman *YOU PICK* Base Chrome Prospects w/ 1st #BCP 1-150 *BUY 2+ &amp; SAVE*</t>
        </is>
      </c>
    </row>
    <row r="1383">
      <c r="A1383" s="2" t="inlineStr">
        <is>
          <t>CARDSHQBK-0001-00035-49003</t>
        </is>
      </c>
      <c r="B1383" s="2" t="inlineStr">
        <is>
          <t>2026 Bowman ARJUN NIMMALA #BTP-32 Scouts Top 100 Chrome Blue Jays</t>
        </is>
      </c>
      <c r="C1383" s="3" t="n">
        <v>3.99</v>
      </c>
      <c r="D1383" s="3" t="n">
        <v>2.49</v>
      </c>
      <c r="E1383" s="3" t="n">
        <v>-1.5</v>
      </c>
      <c r="F1383" s="4" t="n">
        <v>-37.6</v>
      </c>
      <c r="G1383" s="2" t="inlineStr">
        <is>
          <t>🔵 Floored $2.49 — free ship or $0.99 ship?</t>
        </is>
      </c>
      <c r="H1383" s="2" t="inlineStr">
        <is>
          <t>86%</t>
        </is>
      </c>
      <c r="I1383" s="2">
        <f>HYPERLINK("https://www.ebay.com/sch/261328/i.html?_dcat=261328&amp;_fsrp=1&amp;rt=nc&amp;_from=R40&amp;_nkw=2026%20Bowman%20ARJUN%20NIMMALA%20%23BTP-32%20Scouts%20Top%20100%20Chrome%20Blue%20Jays&amp;_sacat=0&amp;_sop=15&amp;rt=nc&amp;LH_BIN=1", "Active")</f>
        <v/>
      </c>
      <c r="J1383" s="2">
        <f>HYPERLINK("https://www.ebay.com/sch/261328/i.html?_from=R40&amp;_nkw=2026%20Bowman%20ARJUN%20NIMMALA%20%23BTP-32%20Scouts%20Top%20100%20Chrome%20Blue%20Jays&amp;_sacat=0&amp;LH_Sold=1&amp;LH_Complete=1&amp;_sop=13", "Completed")</f>
        <v/>
      </c>
      <c r="K1383" s="2" t="inlineStr">
        <is>
          <t>2026 Bowman Arjun Nimmala Bowman Scouts Top 100 BTP-32 Toronto Blue Jays</t>
        </is>
      </c>
    </row>
    <row r="1384">
      <c r="A1384" s="2" t="inlineStr">
        <is>
          <t>CARDSHQBK-0001-00007-05705</t>
        </is>
      </c>
      <c r="B1384" s="2" t="inlineStr">
        <is>
          <t>2026 Bowman TYLER BREMNER #BCP-9 Chrome Prospects Angels</t>
        </is>
      </c>
      <c r="C1384" s="3" t="n">
        <v>3.49</v>
      </c>
      <c r="D1384" s="3" t="n">
        <v>2.49</v>
      </c>
      <c r="E1384" s="3" t="n">
        <v>-1</v>
      </c>
      <c r="F1384" s="4" t="n">
        <v>-28.7</v>
      </c>
      <c r="G1384" s="2" t="inlineStr">
        <is>
          <t>🔵 Floored $2.49 — free ship or $0.99 ship?</t>
        </is>
      </c>
      <c r="H1384" s="2" t="inlineStr">
        <is>
          <t>63%</t>
        </is>
      </c>
      <c r="I1384" s="2">
        <f>HYPERLINK("https://www.ebay.com/sch/261328/i.html?_dcat=261328&amp;_fsrp=1&amp;rt=nc&amp;_from=R40&amp;_nkw=2026%20Bowman%20TYLER%20BREMNER%20%23BCP-9%20Chrome%20Prospects%20Angels&amp;_sacat=0&amp;_sop=15&amp;rt=nc&amp;LH_BIN=1", "Active")</f>
        <v/>
      </c>
      <c r="J1384" s="2">
        <f>HYPERLINK("https://www.ebay.com/sch/261328/i.html?_from=R40&amp;_nkw=2026%20Bowman%20TYLER%20BREMNER%20%23BCP-9%20Chrome%20Prospects%20Angels&amp;_sacat=0&amp;LH_Sold=1&amp;LH_Complete=1&amp;_sop=13", "Completed")</f>
        <v/>
      </c>
      <c r="K1384" s="2" t="inlineStr">
        <is>
          <t>2026 Bowman Chrome Prospects W/1st Bowmans ⚾You Pick⚾ 🔥2-Card Minimum🔥</t>
        </is>
      </c>
    </row>
    <row r="1385">
      <c r="A1385" s="2" t="inlineStr">
        <is>
          <t>CARDSHQBK-0001-00001-41213</t>
        </is>
      </c>
      <c r="B1385" s="2" t="inlineStr">
        <is>
          <t>2026 Bowman VLADIMIR GUERRERO JR. #PC-9 Power Chords Chrome Blue Jays</t>
        </is>
      </c>
      <c r="C1385" s="3" t="n">
        <v>4.49</v>
      </c>
      <c r="D1385" s="3" t="n">
        <v>2.49</v>
      </c>
      <c r="E1385" s="3" t="n">
        <v>-2</v>
      </c>
      <c r="F1385" s="4" t="n">
        <v>-44.5</v>
      </c>
      <c r="G1385" s="2" t="inlineStr">
        <is>
          <t>🔵 Floored $2.49 — free ship or $0.99 ship?</t>
        </is>
      </c>
      <c r="H1385" s="2" t="inlineStr">
        <is>
          <t>80%</t>
        </is>
      </c>
      <c r="I1385" s="2">
        <f>HYPERLINK("https://www.ebay.com/sch/261328/i.html?_dcat=261328&amp;_fsrp=1&amp;rt=nc&amp;_from=R40&amp;_nkw=2026%20Bowman%20VLADIMIR%20GUERRERO%20JR.%20%23PC-9%20Power%20Chords%20Chrome%20Blue%20Jays&amp;_sacat=0&amp;_sop=15&amp;rt=nc&amp;LH_BIN=1", "Active")</f>
        <v/>
      </c>
      <c r="J1385" s="2">
        <f>HYPERLINK("https://www.ebay.com/sch/261328/i.html?_from=R40&amp;_nkw=2026%20Bowman%20VLADIMIR%20GUERRERO%20JR.%20%23PC-9%20Power%20Chords%20Chrome%20Blue%20Jays&amp;_sacat=0&amp;LH_Sold=1&amp;LH_Complete=1&amp;_sop=13", "Completed")</f>
        <v/>
      </c>
      <c r="K1385" s="2" t="inlineStr">
        <is>
          <t>Topps 2026 Bowman Chrome Power Chords Vladimir Guerrero Jr Blue Jays #PC-9</t>
        </is>
      </c>
    </row>
    <row r="1386">
      <c r="A1386" s="2" t="inlineStr">
        <is>
          <t>CARDSHQBK-0001-00031-82854</t>
        </is>
      </c>
      <c r="B1386" s="2" t="inlineStr">
        <is>
          <t>2026 Bowman EDWARD FLORENTINO #PC-10 Power Chords Chrome Pirates</t>
        </is>
      </c>
      <c r="C1386" s="3" t="n">
        <v>5.49</v>
      </c>
      <c r="D1386" s="3" t="n">
        <v>2.49</v>
      </c>
      <c r="E1386" s="3" t="n">
        <v>-3</v>
      </c>
      <c r="F1386" s="4" t="n">
        <v>-54.6</v>
      </c>
      <c r="G1386" s="2" t="inlineStr">
        <is>
          <t>🔵 Floored $2.49 — free ship or $0.99 ship?</t>
        </is>
      </c>
      <c r="H1386" s="2" t="inlineStr">
        <is>
          <t>79%</t>
        </is>
      </c>
      <c r="I1386" s="2">
        <f>HYPERLINK("https://www.ebay.com/sch/261328/i.html?_dcat=261328&amp;_fsrp=1&amp;rt=nc&amp;_from=R40&amp;_nkw=2026%20Bowman%20EDWARD%20FLORENTINO%20%23PC-10%20Power%20Chords%20Chrome%20Pirates&amp;_sacat=0&amp;_sop=15&amp;rt=nc&amp;LH_BIN=1", "Active")</f>
        <v/>
      </c>
      <c r="J1386" s="2">
        <f>HYPERLINK("https://www.ebay.com/sch/261328/i.html?_from=R40&amp;_nkw=2026%20Bowman%20EDWARD%20FLORENTINO%20%23PC-10%20Power%20Chords%20Chrome%20Pirates&amp;_sacat=0&amp;LH_Sold=1&amp;LH_Complete=1&amp;_sop=13", "Completed")</f>
        <v/>
      </c>
      <c r="K1386" s="2" t="inlineStr">
        <is>
          <t>Edward Florentino 2026 Bowman Chrome Power Chords Refractor #PC-10 Pirates</t>
        </is>
      </c>
    </row>
    <row r="1387">
      <c r="A1387" s="2" t="inlineStr">
        <is>
          <t>CARDSHQBK-0001-00018-73818</t>
        </is>
      </c>
      <c r="B1387" s="2" t="inlineStr">
        <is>
          <t>2026 Bowman SHOTARO MORII #BCP-48 Chrome Prospects Athletics</t>
        </is>
      </c>
      <c r="C1387" s="3" t="n">
        <v>3.49</v>
      </c>
      <c r="D1387" s="3" t="n">
        <v>2.49</v>
      </c>
      <c r="E1387" s="3" t="n">
        <v>-1</v>
      </c>
      <c r="F1387" s="4" t="n">
        <v>-28.7</v>
      </c>
      <c r="G1387" s="2" t="inlineStr">
        <is>
          <t>🔵 Floored $2.49 — free ship or $0.99 ship?</t>
        </is>
      </c>
      <c r="H1387" s="2" t="inlineStr">
        <is>
          <t>63%</t>
        </is>
      </c>
      <c r="I1387" s="2">
        <f>HYPERLINK("https://www.ebay.com/sch/261328/i.html?_dcat=261328&amp;_fsrp=1&amp;rt=nc&amp;_from=R40&amp;_nkw=2026%20Bowman%20SHOTARO%20MORII%20%23BCP-48%20Chrome%20Prospects%20Athletics&amp;_sacat=0&amp;_sop=15&amp;rt=nc&amp;LH_BIN=1", "Active")</f>
        <v/>
      </c>
      <c r="J1387" s="2">
        <f>HYPERLINK("https://www.ebay.com/sch/261328/i.html?_from=R40&amp;_nkw=2026%20Bowman%20SHOTARO%20MORII%20%23BCP-48%20Chrome%20Prospects%20Athletics&amp;_sacat=0&amp;LH_Sold=1&amp;LH_Complete=1&amp;_sop=13", "Completed")</f>
        <v/>
      </c>
      <c r="K1387" s="2" t="inlineStr">
        <is>
          <t>2026 Bowman Chrome Prospects BCP-1 to BCP-150 You Pick - 2 Card Minimum</t>
        </is>
      </c>
    </row>
    <row r="1388">
      <c r="A1388" s="2" t="inlineStr">
        <is>
          <t>CARDSHQBK-0001-00033-33900</t>
        </is>
      </c>
      <c r="B1388" s="2" t="inlineStr">
        <is>
          <t>2026 Bowman RONALD ACUNA JR. #ES-8 Electric Sluggers Chrome Braves</t>
        </is>
      </c>
      <c r="C1388" s="3" t="n">
        <v>3.49</v>
      </c>
      <c r="D1388" s="3" t="n">
        <v>2.49</v>
      </c>
      <c r="E1388" s="3" t="n">
        <v>-1</v>
      </c>
      <c r="F1388" s="4" t="n">
        <v>-28.7</v>
      </c>
      <c r="G1388" s="2" t="inlineStr">
        <is>
          <t>🔵 Floored $2.49 — free ship or $0.99 ship?</t>
        </is>
      </c>
      <c r="H1388" s="2" t="inlineStr">
        <is>
          <t>66%</t>
        </is>
      </c>
      <c r="I1388" s="2">
        <f>HYPERLINK("https://www.ebay.com/sch/261328/i.html?_dcat=261328&amp;_fsrp=1&amp;rt=nc&amp;_from=R40&amp;_nkw=2026%20Bowman%20RONALD%20ACUNA%20JR.%20%23ES-8%20Electric%20Sluggers%20Chrome%20Braves&amp;_sacat=0&amp;_sop=15&amp;rt=nc&amp;LH_BIN=1", "Active")</f>
        <v/>
      </c>
      <c r="J1388" s="2">
        <f>HYPERLINK("https://www.ebay.com/sch/261328/i.html?_from=R40&amp;_nkw=2026%20Bowman%20RONALD%20ACUNA%20JR.%20%23ES-8%20Electric%20Sluggers%20Chrome%20Braves&amp;_sacat=0&amp;LH_Sold=1&amp;LH_Complete=1&amp;_sop=13", "Completed")</f>
        <v/>
      </c>
      <c r="K1388" s="2" t="inlineStr">
        <is>
          <t>2026 Topps Bowman Chrome - Electric Sluggers Inserts Pick &amp; Complete Your Set !!</t>
        </is>
      </c>
    </row>
    <row r="1389">
      <c r="A1389" s="2" t="inlineStr">
        <is>
          <t>CARDSHQBK-0001-00009-21670</t>
        </is>
      </c>
      <c r="B1389" s="2" t="inlineStr">
        <is>
          <t>2026 Bowman CRISTOPHER POLANCO #BCP-34 Chrome Prospects Blue Jays</t>
        </is>
      </c>
      <c r="C1389" s="3" t="n">
        <v>3.49</v>
      </c>
      <c r="D1389" s="3" t="n">
        <v>2.49</v>
      </c>
      <c r="E1389" s="3" t="n">
        <v>-1</v>
      </c>
      <c r="F1389" s="4" t="n">
        <v>-28.7</v>
      </c>
      <c r="G1389" s="2" t="inlineStr">
        <is>
          <t>🔵 Floored $2.49 — free ship or $0.99 ship?</t>
        </is>
      </c>
      <c r="H1389" s="2" t="inlineStr">
        <is>
          <t>89%</t>
        </is>
      </c>
      <c r="I1389" s="2">
        <f>HYPERLINK("https://www.ebay.com/sch/261328/i.html?_dcat=261328&amp;_fsrp=1&amp;rt=nc&amp;_from=R40&amp;_nkw=2026%20Bowman%20CRISTOPHER%20POLANCO%20%23BCP-34%20Chrome%20Prospects%20Blue%20Jays&amp;_sacat=0&amp;_sop=15&amp;rt=nc&amp;LH_BIN=1", "Active")</f>
        <v/>
      </c>
      <c r="J1389" s="2">
        <f>HYPERLINK("https://www.ebay.com/sch/261328/i.html?_from=R40&amp;_nkw=2026%20Bowman%20CRISTOPHER%20POLANCO%20%23BCP-34%20Chrome%20Prospects%20Blue%20Jays&amp;_sacat=0&amp;LH_Sold=1&amp;LH_Complete=1&amp;_sop=13", "Completed")</f>
        <v/>
      </c>
      <c r="K1389" s="2" t="inlineStr">
        <is>
          <t>2026 Bowman Chrome Prospects - Cristopher Polanco #BCP-34 Blue Jays</t>
        </is>
      </c>
    </row>
    <row r="1390">
      <c r="A1390" s="5" t="inlineStr">
        <is>
          <t>CARDSHQBK-0001-00006-81082</t>
        </is>
      </c>
      <c r="B1390" s="5" t="inlineStr">
        <is>
          <t>2026 Bowman MAX CLARK #BTP-7 Scouts Top 100 Chrome Tigers</t>
        </is>
      </c>
      <c r="C1390" s="6" t="n">
        <v>1.99</v>
      </c>
      <c r="D1390" s="6" t="n">
        <v>2.49</v>
      </c>
      <c r="E1390" s="6" t="n">
        <v>0.5</v>
      </c>
      <c r="F1390" s="7" t="n">
        <v>25.1</v>
      </c>
      <c r="G1390" s="5" t="inlineStr">
        <is>
          <t>⬆ Price Up</t>
        </is>
      </c>
      <c r="H1390" s="5" t="inlineStr">
        <is>
          <t>70%</t>
        </is>
      </c>
      <c r="I1390" s="5">
        <f>HYPERLINK("https://www.ebay.com/sch/261328/i.html?_dcat=261328&amp;_fsrp=1&amp;rt=nc&amp;_from=R40&amp;_nkw=2026%20Bowman%20MAX%20CLARK%20%23BTP-7%20Scouts%20Top%20100%20Chrome%20Tigers&amp;_sacat=0&amp;_sop=15&amp;rt=nc&amp;LH_BIN=1", "Active")</f>
        <v/>
      </c>
      <c r="J1390" s="5">
        <f>HYPERLINK("https://www.ebay.com/sch/261328/i.html?_from=R40&amp;_nkw=2026%20Bowman%20MAX%20CLARK%20%23BTP-7%20Scouts%20Top%20100%20Chrome%20Tigers&amp;_sacat=0&amp;LH_Sold=1&amp;LH_Complete=1&amp;_sop=13", "Completed")</f>
        <v/>
      </c>
      <c r="K1390" s="5" t="inlineStr">
        <is>
          <t>2026 Bowman Chrome Scouts Tops 100 Prospects - Max Clark #BTP-7 Tigers</t>
        </is>
      </c>
    </row>
    <row r="1391">
      <c r="A1391" s="2" t="inlineStr">
        <is>
          <t>CARDSHQBK-0001-00030-75179</t>
        </is>
      </c>
      <c r="B1391" s="2" t="inlineStr">
        <is>
          <t>2026 Bowman BRENT IREDALE #BCP-31 Chrome 1st Prospect Pirates</t>
        </is>
      </c>
      <c r="C1391" s="3" t="n">
        <v>3.49</v>
      </c>
      <c r="D1391" s="3" t="n">
        <v>2.49</v>
      </c>
      <c r="E1391" s="3" t="n">
        <v>-1</v>
      </c>
      <c r="F1391" s="4" t="n">
        <v>-28.7</v>
      </c>
      <c r="G1391" s="2" t="inlineStr">
        <is>
          <t>🔵 Floored $2.49 — free ship or $0.99 ship?</t>
        </is>
      </c>
      <c r="H1391" s="2" t="inlineStr">
        <is>
          <t>64%</t>
        </is>
      </c>
      <c r="I1391" s="2">
        <f>HYPERLINK("https://www.ebay.com/sch/261328/i.html?_dcat=261328&amp;_fsrp=1&amp;rt=nc&amp;_from=R40&amp;_nkw=2026%20Bowman%20BRENT%20IREDALE%20%23BCP-31%20Chrome%201st%20Prospect%20Pirates&amp;_sacat=0&amp;_sop=15&amp;rt=nc&amp;LH_BIN=1", "Active")</f>
        <v/>
      </c>
      <c r="J1391" s="2">
        <f>HYPERLINK("https://www.ebay.com/sch/261328/i.html?_from=R40&amp;_nkw=2026%20Bowman%20BRENT%20IREDALE%20%23BCP-31%20Chrome%201st%20Prospect%20Pirates&amp;_sacat=0&amp;LH_Sold=1&amp;LH_Complete=1&amp;_sop=13", "Completed")</f>
        <v/>
      </c>
      <c r="K1391" s="2" t="inlineStr">
        <is>
          <t>2026 Bowman *YOU PICK* Base Chrome Prospects w/ 1st #BCP 1-150 *BUY 2+ &amp; SAVE*</t>
        </is>
      </c>
    </row>
    <row r="1392">
      <c r="A1392" s="2" t="inlineStr">
        <is>
          <t>CARDSHQBK-0001-00015-54424</t>
        </is>
      </c>
      <c r="B1392" s="2" t="inlineStr">
        <is>
          <t>2026 Bowman KONNOR GRIFFIN #BCP-92 Chrome Prospects Pirates</t>
        </is>
      </c>
      <c r="C1392" s="3" t="n">
        <v>4.49</v>
      </c>
      <c r="D1392" s="3" t="n">
        <v>2.49</v>
      </c>
      <c r="E1392" s="3" t="n">
        <v>-2</v>
      </c>
      <c r="F1392" s="4" t="n">
        <v>-44.5</v>
      </c>
      <c r="G1392" s="2" t="inlineStr">
        <is>
          <t>🔵 Floored $2.49 — free ship or $0.99 ship?</t>
        </is>
      </c>
      <c r="H1392" s="2" t="inlineStr">
        <is>
          <t>64%</t>
        </is>
      </c>
      <c r="I1392" s="2">
        <f>HYPERLINK("https://www.ebay.com/sch/261328/i.html?_dcat=261328&amp;_fsrp=1&amp;rt=nc&amp;_from=R40&amp;_nkw=2026%20Bowman%20KONNOR%20GRIFFIN%20%23BCP-92%20Chrome%20Prospects%20Pirates&amp;_sacat=0&amp;_sop=15&amp;rt=nc&amp;LH_BIN=1", "Active")</f>
        <v/>
      </c>
      <c r="J1392" s="2">
        <f>HYPERLINK("https://www.ebay.com/sch/261328/i.html?_from=R40&amp;_nkw=2026%20Bowman%20KONNOR%20GRIFFIN%20%23BCP-92%20Chrome%20Prospects%20Pirates&amp;_sacat=0&amp;LH_Sold=1&amp;LH_Complete=1&amp;_sop=13", "Completed")</f>
        <v/>
      </c>
      <c r="K1392" s="2" t="inlineStr">
        <is>
          <t>2026 Bowman Baseball Pick Your Chrome Prospect BCP1-150 - Buy More &amp; Save</t>
        </is>
      </c>
    </row>
    <row r="1393">
      <c r="A1393" s="2" t="inlineStr">
        <is>
          <t>CARDSHQBK-0001-00013-94910</t>
        </is>
      </c>
      <c r="B1393" s="2" t="inlineStr">
        <is>
          <t>2026 Bowman JR RITCHIE #BCP-123 Chrome Prospects Braves</t>
        </is>
      </c>
      <c r="C1393" s="3" t="n">
        <v>3.49</v>
      </c>
      <c r="D1393" s="3" t="n">
        <v>2.49</v>
      </c>
      <c r="E1393" s="3" t="n">
        <v>-1</v>
      </c>
      <c r="F1393" s="4" t="n">
        <v>-28.7</v>
      </c>
      <c r="G1393" s="2" t="inlineStr">
        <is>
          <t>🔵 Floored $2.49 — free ship or $0.99 ship?</t>
        </is>
      </c>
      <c r="H1393" s="2" t="inlineStr">
        <is>
          <t>64%</t>
        </is>
      </c>
      <c r="I1393" s="2">
        <f>HYPERLINK("https://www.ebay.com/sch/261328/i.html?_dcat=261328&amp;_fsrp=1&amp;rt=nc&amp;_from=R40&amp;_nkw=2026%20Bowman%20JR%20RITCHIE%20%23BCP-123%20Chrome%20Prospects%20Braves&amp;_sacat=0&amp;_sop=15&amp;rt=nc&amp;LH_BIN=1", "Active")</f>
        <v/>
      </c>
      <c r="J1393" s="2">
        <f>HYPERLINK("https://www.ebay.com/sch/261328/i.html?_from=R40&amp;_nkw=2026%20Bowman%20JR%20RITCHIE%20%23BCP-123%20Chrome%20Prospects%20Braves&amp;_sacat=0&amp;LH_Sold=1&amp;LH_Complete=1&amp;_sop=13", "Completed")</f>
        <v/>
      </c>
      <c r="K1393" s="2" t="inlineStr">
        <is>
          <t>2026 Bowman Chrome Prospects BCP-1 to BCP-150 You Pick - 2 Card Minimum</t>
        </is>
      </c>
    </row>
    <row r="1394">
      <c r="A1394" s="2" t="inlineStr">
        <is>
          <t>CARDSHQBK-0001-00008-23642</t>
        </is>
      </c>
      <c r="B1394" s="2" t="inlineStr">
        <is>
          <t>2026 Bowman ARJUN NIMMALA #BCP-67 Chrome Prospects Blue Jays</t>
        </is>
      </c>
      <c r="C1394" s="3" t="n">
        <v>3.49</v>
      </c>
      <c r="D1394" s="3" t="n">
        <v>2.49</v>
      </c>
      <c r="E1394" s="3" t="n">
        <v>-1</v>
      </c>
      <c r="F1394" s="4" t="n">
        <v>-28.7</v>
      </c>
      <c r="G1394" s="2" t="inlineStr">
        <is>
          <t>🔵 Floored $2.49 — free ship or $0.99 ship?</t>
        </is>
      </c>
      <c r="H1394" s="2" t="inlineStr">
        <is>
          <t>65%</t>
        </is>
      </c>
      <c r="I1394" s="2">
        <f>HYPERLINK("https://www.ebay.com/sch/261328/i.html?_dcat=261328&amp;_fsrp=1&amp;rt=nc&amp;_from=R40&amp;_nkw=2026%20Bowman%20ARJUN%20NIMMALA%20%23BCP-67%20Chrome%20Prospects%20Blue%20Jays&amp;_sacat=0&amp;_sop=15&amp;rt=nc&amp;LH_BIN=1", "Active")</f>
        <v/>
      </c>
      <c r="J1394" s="2">
        <f>HYPERLINK("https://www.ebay.com/sch/261328/i.html?_from=R40&amp;_nkw=2026%20Bowman%20ARJUN%20NIMMALA%20%23BCP-67%20Chrome%20Prospects%20Blue%20Jays&amp;_sacat=0&amp;LH_Sold=1&amp;LH_Complete=1&amp;_sop=13", "Completed")</f>
        <v/>
      </c>
      <c r="K1394" s="2" t="inlineStr">
        <is>
          <t>2026 Bowman Baseball - Chrome Prospect Singles - Free Shipping!</t>
        </is>
      </c>
    </row>
    <row r="1395">
      <c r="A1395" s="2" t="inlineStr">
        <is>
          <t>CARDSHQBK-0001-00016-07019</t>
        </is>
      </c>
      <c r="B1395" s="2" t="inlineStr">
        <is>
          <t>2026 Bowman JAMIE ARNOLD #BCP-112 Chrome Prospects Athletics</t>
        </is>
      </c>
      <c r="C1395" s="3" t="n">
        <v>3.49</v>
      </c>
      <c r="D1395" s="3" t="n">
        <v>2.49</v>
      </c>
      <c r="E1395" s="3" t="n">
        <v>-1</v>
      </c>
      <c r="F1395" s="4" t="n">
        <v>-28.7</v>
      </c>
      <c r="G1395" s="2" t="inlineStr">
        <is>
          <t>🔵 Floored $2.49 — free ship or $0.99 ship?</t>
        </is>
      </c>
      <c r="H1395" s="2" t="inlineStr">
        <is>
          <t>68%</t>
        </is>
      </c>
      <c r="I1395" s="2">
        <f>HYPERLINK("https://www.ebay.com/sch/261328/i.html?_dcat=261328&amp;_fsrp=1&amp;rt=nc&amp;_from=R40&amp;_nkw=2026%20Bowman%20JAMIE%20ARNOLD%20%23BCP-112%20Chrome%20Prospects%20Athletics&amp;_sacat=0&amp;_sop=15&amp;rt=nc&amp;LH_BIN=1", "Active")</f>
        <v/>
      </c>
      <c r="J1395" s="2">
        <f>HYPERLINK("https://www.ebay.com/sch/261328/i.html?_from=R40&amp;_nkw=2026%20Bowman%20JAMIE%20ARNOLD%20%23BCP-112%20Chrome%20Prospects%20Athletics&amp;_sacat=0&amp;LH_Sold=1&amp;LH_Complete=1&amp;_sop=13", "Completed")</f>
        <v/>
      </c>
      <c r="K1395" s="2" t="inlineStr">
        <is>
          <t>2026 Bowman Baseball - Chrome Prospect Singles - Free Shipping!</t>
        </is>
      </c>
    </row>
    <row r="1396">
      <c r="A1396" s="2" t="inlineStr">
        <is>
          <t>CARDSHQBK-0001-00021-07611</t>
        </is>
      </c>
      <c r="B1396" s="2" t="inlineStr">
        <is>
          <t>2026 Bowman JUNIOR CAMINERO #ES-4 Electric Sluggers Chrome Rays</t>
        </is>
      </c>
      <c r="C1396" s="3" t="n">
        <v>2.99</v>
      </c>
      <c r="D1396" s="3" t="n">
        <v>2.49</v>
      </c>
      <c r="E1396" s="3" t="n">
        <v>-0.5</v>
      </c>
      <c r="F1396" s="4" t="n">
        <v>-16.7</v>
      </c>
      <c r="G1396" s="2" t="inlineStr">
        <is>
          <t>🔵 Floored $2.49 — free ship or $0.99 ship?</t>
        </is>
      </c>
      <c r="H1396" s="2" t="inlineStr">
        <is>
          <t>86%</t>
        </is>
      </c>
      <c r="I1396" s="2">
        <f>HYPERLINK("https://www.ebay.com/sch/261328/i.html?_dcat=261328&amp;_fsrp=1&amp;rt=nc&amp;_from=R40&amp;_nkw=2026%20Bowman%20JUNIOR%20CAMINERO%20%23ES-4%20Electric%20Sluggers%20Chrome%20Rays&amp;_sacat=0&amp;_sop=15&amp;rt=nc&amp;LH_BIN=1", "Active")</f>
        <v/>
      </c>
      <c r="J1396" s="2">
        <f>HYPERLINK("https://www.ebay.com/sch/261328/i.html?_from=R40&amp;_nkw=2026%20Bowman%20JUNIOR%20CAMINERO%20%23ES-4%20Electric%20Sluggers%20Chrome%20Rays&amp;_sacat=0&amp;LH_Sold=1&amp;LH_Complete=1&amp;_sop=13", "Completed")</f>
        <v/>
      </c>
      <c r="K1396" s="2" t="inlineStr">
        <is>
          <t>2026 Bowman Chrome Junior Caminero Electric Sluggers #ES-4 Tampa Bay Rays (A)</t>
        </is>
      </c>
    </row>
    <row r="1397">
      <c r="A1397" s="2" t="inlineStr">
        <is>
          <t>CARDSHQBK-0001-00014-78035</t>
        </is>
      </c>
      <c r="B1397" s="2" t="inlineStr">
        <is>
          <t>2026 Bowman ESMERLYN VALDEZ #BCP-76 Chrome Prospects Pirates</t>
        </is>
      </c>
      <c r="C1397" s="3" t="n">
        <v>3.49</v>
      </c>
      <c r="D1397" s="3" t="n">
        <v>2.49</v>
      </c>
      <c r="E1397" s="3" t="n">
        <v>-1</v>
      </c>
      <c r="F1397" s="4" t="n">
        <v>-28.7</v>
      </c>
      <c r="G1397" s="2" t="inlineStr">
        <is>
          <t>🔵 Floored $2.49 — free ship or $0.99 ship?</t>
        </is>
      </c>
      <c r="H1397" s="2" t="inlineStr">
        <is>
          <t>63%</t>
        </is>
      </c>
      <c r="I1397" s="2">
        <f>HYPERLINK("https://www.ebay.com/sch/261328/i.html?_dcat=261328&amp;_fsrp=1&amp;rt=nc&amp;_from=R40&amp;_nkw=2026%20Bowman%20ESMERLYN%20VALDEZ%20%23BCP-76%20Chrome%20Prospects%20Pirates&amp;_sacat=0&amp;_sop=15&amp;rt=nc&amp;LH_BIN=1", "Active")</f>
        <v/>
      </c>
      <c r="J1397" s="2">
        <f>HYPERLINK("https://www.ebay.com/sch/261328/i.html?_from=R40&amp;_nkw=2026%20Bowman%20ESMERLYN%20VALDEZ%20%23BCP-76%20Chrome%20Prospects%20Pirates&amp;_sacat=0&amp;LH_Sold=1&amp;LH_Complete=1&amp;_sop=13", "Completed")</f>
        <v/>
      </c>
      <c r="K1397" s="2" t="inlineStr">
        <is>
          <t>2026 Bowman • Chrome Prospects BCP-1–BCP-150 • YOU PICK ALL $1 OR LESS</t>
        </is>
      </c>
    </row>
    <row r="1398">
      <c r="A1398" s="2" t="inlineStr">
        <is>
          <t>CARDSHQBK-0001-00025-63688</t>
        </is>
      </c>
      <c r="B1398" s="2" t="inlineStr">
        <is>
          <t>2026 Bowman WALKER JANEK #BCP-131 Chrome Prospects Astros</t>
        </is>
      </c>
      <c r="C1398" s="3" t="n">
        <v>7.99</v>
      </c>
      <c r="D1398" s="3" t="n">
        <v>2.49</v>
      </c>
      <c r="E1398" s="3" t="n">
        <v>-5.5</v>
      </c>
      <c r="F1398" s="4" t="n">
        <v>-68.8</v>
      </c>
      <c r="G1398" s="2" t="inlineStr">
        <is>
          <t>🔵 Floored $2.49 — free ship or $0.99 ship?</t>
        </is>
      </c>
      <c r="H1398" s="2" t="inlineStr">
        <is>
          <t>66%</t>
        </is>
      </c>
      <c r="I1398" s="2">
        <f>HYPERLINK("https://www.ebay.com/sch/261328/i.html?_dcat=261328&amp;_fsrp=1&amp;rt=nc&amp;_from=R40&amp;_nkw=2026%20Bowman%20WALKER%20JANEK%20%23BCP-131%20Chrome%20Prospects%20Astros&amp;_sacat=0&amp;_sop=15&amp;rt=nc&amp;LH_BIN=1", "Active")</f>
        <v/>
      </c>
      <c r="J1398" s="2">
        <f>HYPERLINK("https://www.ebay.com/sch/261328/i.html?_from=R40&amp;_nkw=2026%20Bowman%20WALKER%20JANEK%20%23BCP-131%20Chrome%20Prospects%20Astros&amp;_sacat=0&amp;LH_Sold=1&amp;LH_Complete=1&amp;_sop=13", "Completed")</f>
        <v/>
      </c>
      <c r="K1398" s="2" t="inlineStr">
        <is>
          <t>2026 Bowman Baseball - Chrome Prospect Singles - Free Shipping!</t>
        </is>
      </c>
    </row>
    <row r="1399">
      <c r="A1399" s="11" t="inlineStr">
        <is>
          <t>CARDSHQBK-0001-00024-62903</t>
        </is>
      </c>
      <c r="B1399" s="11" t="inlineStr">
        <is>
          <t>2026 Bowman WALKER JANEK #BCP-131 Chrome Prospects Wave Refractor /350 Astros</t>
        </is>
      </c>
      <c r="C1399" s="12" t="n">
        <v>6.49</v>
      </c>
      <c r="D1399" s="12" t="n">
        <v>4.09</v>
      </c>
      <c r="E1399" s="12" t="n">
        <v>-2.4</v>
      </c>
      <c r="F1399" s="13" t="n">
        <v>-37</v>
      </c>
      <c r="G1399" s="11" t="inlineStr">
        <is>
          <t>⬇ Price Down</t>
        </is>
      </c>
      <c r="H1399" s="11" t="inlineStr">
        <is>
          <t>100%</t>
        </is>
      </c>
      <c r="I1399" s="11">
        <f>HYPERLINK("https://www.ebay.com/sch/261328/i.html?_dcat=261328&amp;_fsrp=1&amp;rt=nc&amp;_from=R40&amp;_nkw=2026%20Bowman%20WALKER%20JANEK%20%23BCP-131%20Chrome%20Prospects%20Wave%20Refractor%20%2F350%20Astros&amp;_sacat=0&amp;_sop=15&amp;rt=nc&amp;LH_BIN=1", "Active")</f>
        <v/>
      </c>
      <c r="J1399" s="11">
        <f>HYPERLINK("https://www.ebay.com/sch/261328/i.html?_from=R40&amp;_nkw=2026%20Bowman%20WALKER%20JANEK%20%23BCP-131%20Chrome%20Prospects%20Wave%20Refractor%20%2F350%20Astros&amp;_sacat=0&amp;LH_Sold=1&amp;LH_Complete=1&amp;_sop=13", "Completed")</f>
        <v/>
      </c>
      <c r="K1399" s="11" t="inlineStr">
        <is>
          <t>2026 Bowman Walker Janek #BCP-131 Chrome Prospects Wave Refractor /350 Astros</t>
        </is>
      </c>
    </row>
    <row r="1400">
      <c r="A1400" s="2" t="inlineStr">
        <is>
          <t>CARDSHQBK-0001-00020-73377</t>
        </is>
      </c>
      <c r="B1400" s="2" t="inlineStr">
        <is>
          <t>2026 Bowman JOSE URBINA #BCP-81 Chrome 1st Prospect Rays</t>
        </is>
      </c>
      <c r="C1400" s="3" t="n">
        <v>3.49</v>
      </c>
      <c r="D1400" s="3" t="n">
        <v>2.49</v>
      </c>
      <c r="E1400" s="3" t="n">
        <v>-1</v>
      </c>
      <c r="F1400" s="4" t="n">
        <v>-28.7</v>
      </c>
      <c r="G1400" s="2" t="inlineStr">
        <is>
          <t>🔵 Floored $2.49 — free ship or $0.99 ship?</t>
        </is>
      </c>
      <c r="H1400" s="2" t="inlineStr">
        <is>
          <t>69%</t>
        </is>
      </c>
      <c r="I1400" s="2">
        <f>HYPERLINK("https://www.ebay.com/sch/261328/i.html?_dcat=261328&amp;_fsrp=1&amp;rt=nc&amp;_from=R40&amp;_nkw=2026%20Bowman%20JOSE%20URBINA%20%23BCP-81%20Chrome%201st%20Prospect%20Rays&amp;_sacat=0&amp;_sop=15&amp;rt=nc&amp;LH_BIN=1", "Active")</f>
        <v/>
      </c>
      <c r="J1400" s="2">
        <f>HYPERLINK("https://www.ebay.com/sch/261328/i.html?_from=R40&amp;_nkw=2026%20Bowman%20JOSE%20URBINA%20%23BCP-81%20Chrome%201st%20Prospect%20Rays&amp;_sacat=0&amp;LH_Sold=1&amp;LH_Complete=1&amp;_sop=13", "Completed")</f>
        <v/>
      </c>
      <c r="K1400" s="2" t="inlineStr">
        <is>
          <t>2026 Bowman Chrome Prospects W/1st Bowmans ⚾You Pick⚾ 🔥2-Card Minimum🔥</t>
        </is>
      </c>
    </row>
    <row r="1401">
      <c r="A1401" s="5" t="inlineStr">
        <is>
          <t>CARDSHQBK-0001-00002-56632</t>
        </is>
      </c>
      <c r="B1401" s="5" t="inlineStr">
        <is>
          <t>2025 Bowman 1st LANDON HODGE #BDC-93 Chrome Steel Metal Refractor /100 White Sox</t>
        </is>
      </c>
      <c r="C1401" s="6" t="n">
        <v>8.19</v>
      </c>
      <c r="D1401" s="6" t="n">
        <v>9.390000000000001</v>
      </c>
      <c r="E1401" s="6" t="n">
        <v>1.2</v>
      </c>
      <c r="F1401" s="7" t="n">
        <v>14.7</v>
      </c>
      <c r="G1401" s="5" t="inlineStr">
        <is>
          <t>⬆ Price Up</t>
        </is>
      </c>
      <c r="H1401" s="5" t="inlineStr">
        <is>
          <t>100%</t>
        </is>
      </c>
      <c r="I1401" s="5">
        <f>HYPERLINK("https://www.ebay.com/sch/261328/i.html?_dcat=261328&amp;_fsrp=1&amp;rt=nc&amp;_from=R40&amp;_nkw=2025%20Bowman%201st%20LANDON%20HODGE%20%23BDC-93%20Chrome%20Steel%20Metal%20Refractor%20%2F100%20White%20Sox&amp;_sacat=0&amp;_sop=15&amp;rt=nc&amp;LH_BIN=1", "Active")</f>
        <v/>
      </c>
      <c r="J1401" s="5">
        <f>HYPERLINK("https://www.ebay.com/sch/261328/i.html?_from=R40&amp;_nkw=2025%20Bowman%201st%20LANDON%20HODGE%20%23BDC-93%20Chrome%20Steel%20Metal%20Refractor%20%2F100%20White%20Sox&amp;_sacat=0&amp;LH_Sold=1&amp;LH_Complete=1&amp;_sop=13", "Completed")</f>
        <v/>
      </c>
      <c r="K1401" s="5" t="inlineStr">
        <is>
          <t>2025 Bowman 1st LANDON HODGE #BDC-93 Chrome Steel Metal Refractor /100 White Sox</t>
        </is>
      </c>
    </row>
    <row r="1402">
      <c r="A1402" s="2" t="inlineStr">
        <is>
          <t>CARDSHQBK-0001-00005-87032</t>
        </is>
      </c>
      <c r="B1402" s="2" t="inlineStr">
        <is>
          <t>2025 Bowman Draft CODY MILLER #CPA-CM Chrome Auto Blue Refractor /150 Braves</t>
        </is>
      </c>
      <c r="C1402" s="3" t="n">
        <v>54.49</v>
      </c>
      <c r="D1402" s="3" t="n">
        <v>2.49</v>
      </c>
      <c r="E1402" s="3" t="n">
        <v>-52</v>
      </c>
      <c r="F1402" s="4" t="n">
        <v>-95.40000000000001</v>
      </c>
      <c r="G1402" s="2" t="inlineStr">
        <is>
          <t>🔵 Floored $2.49 — free ship or $0.99 ship?</t>
        </is>
      </c>
      <c r="H1402" s="2" t="inlineStr"/>
      <c r="I1402" s="2">
        <f>HYPERLINK("https://www.ebay.com/sch/261328/i.html?_dcat=261328&amp;_fsrp=1&amp;rt=nc&amp;_from=R40&amp;_nkw=2025%20Bowman%20Draft%20CODY%20MILLER%20%23CPA-CM%20Chrome%20Auto%20Blue%20Refractor%20%2F150%20Braves&amp;_sacat=0&amp;_sop=15&amp;rt=nc&amp;LH_BIN=1", "Active")</f>
        <v/>
      </c>
      <c r="J1402" s="2">
        <f>HYPERLINK("https://www.ebay.com/sch/261328/i.html?_from=R40&amp;_nkw=2025%20Bowman%20Draft%20CODY%20MILLER%20%23CPA-CM%20Chrome%20Auto%20Blue%20Refractor%20%2F150%20Braves&amp;_sacat=0&amp;LH_Sold=1&amp;LH_Complete=1&amp;_sop=13", "Completed")</f>
        <v/>
      </c>
      <c r="K1402" s="2" t="inlineStr">
        <is>
          <t>No Close Result Found</t>
        </is>
      </c>
    </row>
    <row r="1403">
      <c r="A1403" s="2" t="inlineStr">
        <is>
          <t>CARDSHQBK-0001-00009-26749</t>
        </is>
      </c>
      <c r="B1403" s="2" t="inlineStr">
        <is>
          <t>2025 Bowman 1st JAVIER VAZ #CPA-JVA Chrome Auto Gold Refractor /50 KC Royals</t>
        </is>
      </c>
      <c r="C1403" s="3" t="n">
        <v>54.39</v>
      </c>
      <c r="D1403" s="3" t="n">
        <v>2.49</v>
      </c>
      <c r="E1403" s="3" t="n">
        <v>-51.9</v>
      </c>
      <c r="F1403" s="4" t="n">
        <v>-95.40000000000001</v>
      </c>
      <c r="G1403" s="2" t="inlineStr">
        <is>
          <t>🔵 Floored $2.49 — free ship or $0.99 ship?</t>
        </is>
      </c>
      <c r="H1403" s="2" t="inlineStr"/>
      <c r="I1403" s="2">
        <f>HYPERLINK("https://www.ebay.com/sch/261328/i.html?_dcat=261328&amp;_fsrp=1&amp;rt=nc&amp;_from=R40&amp;_nkw=2025%20Bowman%201st%20JAVIER%20VAZ%20%23CPA-JVA%20Chrome%20Auto%20Gold%20Refractor%20%2F50%20KC%20Royals&amp;_sacat=0&amp;_sop=15&amp;rt=nc&amp;LH_BIN=1", "Active")</f>
        <v/>
      </c>
      <c r="J1403" s="2">
        <f>HYPERLINK("https://www.ebay.com/sch/261328/i.html?_from=R40&amp;_nkw=2025%20Bowman%201st%20JAVIER%20VAZ%20%23CPA-JVA%20Chrome%20Auto%20Gold%20Refractor%20%2F50%20KC%20Royals&amp;_sacat=0&amp;LH_Sold=1&amp;LH_Complete=1&amp;_sop=13", "Completed")</f>
        <v/>
      </c>
      <c r="K1403" s="2" t="inlineStr">
        <is>
          <t>No Close Result Found</t>
        </is>
      </c>
    </row>
    <row r="1404">
      <c r="A1404" s="5" t="inlineStr">
        <is>
          <t>CARDSHQBK-0001-00011-49790</t>
        </is>
      </c>
      <c r="B1404" s="5" t="inlineStr">
        <is>
          <t>2025 Bowman Draft MASON MORRIS #BDC-66 Chrome Purple Geometric Refractor /250</t>
        </is>
      </c>
      <c r="C1404" s="6" t="n">
        <v>9.19</v>
      </c>
      <c r="D1404" s="6" t="n">
        <v>10.39</v>
      </c>
      <c r="E1404" s="6" t="n">
        <v>1.2</v>
      </c>
      <c r="F1404" s="7" t="n">
        <v>13.1</v>
      </c>
      <c r="G1404" s="5" t="inlineStr">
        <is>
          <t>⬆ Price Up</t>
        </is>
      </c>
      <c r="H1404" s="5" t="inlineStr">
        <is>
          <t>100%</t>
        </is>
      </c>
      <c r="I1404" s="5">
        <f>HYPERLINK("https://www.ebay.com/sch/261328/i.html?_dcat=261328&amp;_fsrp=1&amp;rt=nc&amp;_from=R40&amp;_nkw=2025%20Bowman%20Draft%20MASON%20MORRIS%20%23BDC-66%20Chrome%20Purple%20Geometric%20Refractor%20%2F250&amp;_sacat=0&amp;_sop=15&amp;rt=nc&amp;LH_BIN=1", "Active")</f>
        <v/>
      </c>
      <c r="J1404" s="5">
        <f>HYPERLINK("https://www.ebay.com/sch/261328/i.html?_from=R40&amp;_nkw=2025%20Bowman%20Draft%20MASON%20MORRIS%20%23BDC-66%20Chrome%20Purple%20Geometric%20Refractor%20%2F250&amp;_sacat=0&amp;LH_Sold=1&amp;LH_Complete=1&amp;_sop=13", "Completed")</f>
        <v/>
      </c>
      <c r="K1404" s="5" t="inlineStr">
        <is>
          <t>2025 Bowman Draft MASON MORRIS #BDC-66 Chrome Purple Geometric Refractor /250</t>
        </is>
      </c>
    </row>
    <row r="1405">
      <c r="A1405" s="5" t="inlineStr">
        <is>
          <t>CARDSHQBK-0001-00010-06216</t>
        </is>
      </c>
      <c r="B1405" s="5" t="inlineStr">
        <is>
          <t>2025 Bowman Draft KAYSON CUNNINGHAM #BDC-84 Chrome Aqua Wave Refractor /125</t>
        </is>
      </c>
      <c r="C1405" s="6" t="n">
        <v>25.79</v>
      </c>
      <c r="D1405" s="6" t="n">
        <v>33.89</v>
      </c>
      <c r="E1405" s="6" t="n">
        <v>8.1</v>
      </c>
      <c r="F1405" s="7" t="n">
        <v>31.4</v>
      </c>
      <c r="G1405" s="5" t="inlineStr">
        <is>
          <t>⬆ Price Up</t>
        </is>
      </c>
      <c r="H1405" s="5" t="inlineStr">
        <is>
          <t>100%</t>
        </is>
      </c>
      <c r="I1405" s="5">
        <f>HYPERLINK("https://www.ebay.com/sch/261328/i.html?_dcat=261328&amp;_fsrp=1&amp;rt=nc&amp;_from=R40&amp;_nkw=2025%20Bowman%20Draft%20KAYSON%20CUNNINGHAM%20%23BDC-84%20Chrome%20Aqua%20Wave%20Refractor%20%2F125&amp;_sacat=0&amp;_sop=15&amp;rt=nc&amp;LH_BIN=1", "Active")</f>
        <v/>
      </c>
      <c r="J1405" s="5">
        <f>HYPERLINK("https://www.ebay.com/sch/261328/i.html?_from=R40&amp;_nkw=2025%20Bowman%20Draft%20KAYSON%20CUNNINGHAM%20%23BDC-84%20Chrome%20Aqua%20Wave%20Refractor%20%2F125&amp;_sacat=0&amp;LH_Sold=1&amp;LH_Complete=1&amp;_sop=13", "Completed")</f>
        <v/>
      </c>
      <c r="K1405" s="5" t="inlineStr">
        <is>
          <t>2025 Bowman Draft KAYSON CUNNINGHAM #BDC-84 Chrome Aqua Wave Refractor /125</t>
        </is>
      </c>
    </row>
    <row r="1406">
      <c r="A1406" s="11" t="inlineStr">
        <is>
          <t>CARDSHQBK-0001-00014-74302</t>
        </is>
      </c>
      <c r="B1406" s="11" t="inlineStr">
        <is>
          <t>2024-25 Panini Select DE'AARON FOX #150 Premier Light Blue Prizm /299 Spurs</t>
        </is>
      </c>
      <c r="C1406" s="12" t="n">
        <v>5.49</v>
      </c>
      <c r="D1406" s="12" t="n">
        <v>5.19</v>
      </c>
      <c r="E1406" s="12" t="n">
        <v>-0.3</v>
      </c>
      <c r="F1406" s="13" t="n">
        <v>-5.5</v>
      </c>
      <c r="G1406" s="11" t="inlineStr">
        <is>
          <t>⬇ Price Down</t>
        </is>
      </c>
      <c r="H1406" s="11" t="inlineStr">
        <is>
          <t>86%</t>
        </is>
      </c>
      <c r="I1406" s="11">
        <f>HYPERLINK("https://www.ebay.com/sch/261328/i.html?_dcat=261328&amp;_fsrp=1&amp;rt=nc&amp;_from=R40&amp;_nkw=2024-25%20Panini%20Select%20DE'AARON%20FOX%20%23150%20Premier%20Light%20Blue%20Prizm%20%2F299%20Spurs&amp;_sacat=0&amp;_sop=15&amp;rt=nc&amp;LH_BIN=1", "Active")</f>
        <v/>
      </c>
      <c r="J1406" s="11">
        <f>HYPERLINK("https://www.ebay.com/sch/261328/i.html?_from=R40&amp;_nkw=2024-25%20Panini%20Select%20DE'AARON%20FOX%20%23150%20Premier%20Light%20Blue%20Prizm%20%2F299%20Spurs&amp;_sacat=0&amp;LH_Sold=1&amp;LH_Complete=1&amp;_sop=13", "Completed")</f>
        <v/>
      </c>
      <c r="K1406" s="11" t="inlineStr">
        <is>
          <t>2024-25 Panini Select - Premier Level De'Aaron Fox Blue Prizm /299 Kings/Spurs</t>
        </is>
      </c>
    </row>
    <row r="1407">
      <c r="A1407" s="11" t="inlineStr">
        <is>
          <t>RBM-0001-00028-44139</t>
        </is>
      </c>
      <c r="B1407" s="11" t="inlineStr">
        <is>
          <t>2024-25 Panini REVOLUTION VICTOR WEMBANYAMA #79 Spurs Basketball</t>
        </is>
      </c>
      <c r="C1407" s="12" t="n">
        <v>4.99</v>
      </c>
      <c r="D1407" s="12" t="n">
        <v>3.69</v>
      </c>
      <c r="E1407" s="12" t="n">
        <v>-1.3</v>
      </c>
      <c r="F1407" s="13" t="n">
        <v>-26.1</v>
      </c>
      <c r="G1407" s="11" t="inlineStr">
        <is>
          <t>⬇ Price Down</t>
        </is>
      </c>
      <c r="H1407" s="11" t="inlineStr">
        <is>
          <t>63%</t>
        </is>
      </c>
      <c r="I1407" s="11">
        <f>HYPERLINK("https://www.ebay.com/sch/261328/i.html?_dcat=261328&amp;_fsrp=1&amp;rt=nc&amp;_from=R40&amp;_nkw=2024-25%20Panini%20REVOLUTION%20VICTOR%20WEMBANYAMA%20%2379%20Spurs%20Basketball&amp;_sacat=0&amp;_sop=15&amp;rt=nc&amp;LH_BIN=1", "Active")</f>
        <v/>
      </c>
      <c r="J1407" s="11">
        <f>HYPERLINK("https://www.ebay.com/sch/261328/i.html?_from=R40&amp;_nkw=2024-25%20Panini%20REVOLUTION%20VICTOR%20WEMBANYAMA%20%2379%20Spurs%20Basketball&amp;_sacat=0&amp;LH_Sold=1&amp;LH_Complete=1&amp;_sop=13", "Completed")</f>
        <v/>
      </c>
      <c r="K1407" s="11" t="inlineStr">
        <is>
          <t>2024-25 Revolution - NBA Base cards (You Choose - Complete Your Set!)</t>
        </is>
      </c>
    </row>
    <row r="1408">
      <c r="A1408" s="8" t="inlineStr">
        <is>
          <t>WHATNOT-0003-00012-30882</t>
        </is>
      </c>
      <c r="B1408" s="8" t="inlineStr">
        <is>
          <t>2015 Topps Chrome MIGUEL CABRERA #162 Tigers</t>
        </is>
      </c>
      <c r="C1408" s="9" t="n">
        <v>2.49</v>
      </c>
      <c r="D1408" s="9" t="n">
        <v>2.49</v>
      </c>
      <c r="E1408" s="9" t="n">
        <v>0</v>
      </c>
      <c r="F1408" s="10" t="n">
        <v>0</v>
      </c>
      <c r="G1408" s="8" t="inlineStr">
        <is>
          <t>— No Change</t>
        </is>
      </c>
      <c r="H1408" s="8" t="inlineStr">
        <is>
          <t>84%</t>
        </is>
      </c>
      <c r="I1408" s="8">
        <f>HYPERLINK("https://www.ebay.com/sch/261328/i.html?_dcat=261328&amp;_fsrp=1&amp;rt=nc&amp;_from=R40&amp;_nkw=2015%20Topps%20Chrome%20MIGUEL%20CABRERA%20%23162%20Tigers&amp;_sacat=0&amp;_sop=15&amp;rt=nc&amp;LH_BIN=1", "Active")</f>
        <v/>
      </c>
      <c r="J1408" s="8">
        <f>HYPERLINK("https://www.ebay.com/sch/261328/i.html?_from=R40&amp;_nkw=2015%20Topps%20Chrome%20MIGUEL%20CABRERA%20%23162%20Tigers&amp;_sacat=0&amp;LH_Sold=1&amp;LH_Complete=1&amp;_sop=13", "Completed")</f>
        <v/>
      </c>
      <c r="K1408" s="8" t="inlineStr">
        <is>
          <t>2015  Topps   Chrome    Miguel Cabrera   #162   Detroit Tigers</t>
        </is>
      </c>
    </row>
    <row r="1409">
      <c r="A1409" s="2" t="inlineStr">
        <is>
          <t>WHATNOT-0003-00016-05667</t>
        </is>
      </c>
      <c r="B1409" s="2" t="inlineStr">
        <is>
          <t>2025 Bowman's Best CHARLIE CONDON #B25-CC Best of Auto Purple Refractor /75</t>
        </is>
      </c>
      <c r="C1409" s="3" t="n">
        <v>96.48999999999999</v>
      </c>
      <c r="D1409" s="3" t="n">
        <v>2.49</v>
      </c>
      <c r="E1409" s="3" t="n">
        <v>-94</v>
      </c>
      <c r="F1409" s="4" t="n">
        <v>-97.40000000000001</v>
      </c>
      <c r="G1409" s="2" t="inlineStr">
        <is>
          <t>🔵 Floored $2.49 — free ship or $0.99 ship?</t>
        </is>
      </c>
      <c r="H1409" s="2" t="inlineStr"/>
      <c r="I1409" s="2">
        <f>HYPERLINK("https://www.ebay.com/sch/261328/i.html?_dcat=261328&amp;_fsrp=1&amp;rt=nc&amp;_from=R40&amp;_nkw=2025%20Bowman's%20Best%20CHARLIE%20CONDON%20%23B25-CC%20Best%20of%20Auto%20Purple%20Refractor%20%2F75&amp;_sacat=0&amp;_sop=15&amp;rt=nc&amp;LH_BIN=1", "Active")</f>
        <v/>
      </c>
      <c r="J1409" s="2">
        <f>HYPERLINK("https://www.ebay.com/sch/261328/i.html?_from=R40&amp;_nkw=2025%20Bowman's%20Best%20CHARLIE%20CONDON%20%23B25-CC%20Best%20of%20Auto%20Purple%20Refractor%20%2F75&amp;_sacat=0&amp;LH_Sold=1&amp;LH_Complete=1&amp;_sop=13", "Completed")</f>
        <v/>
      </c>
      <c r="K1409" s="2" t="inlineStr">
        <is>
          <t>No Close Result Found</t>
        </is>
      </c>
    </row>
    <row r="1410">
      <c r="A1410" s="5" t="inlineStr">
        <is>
          <t>WHATNOT-0003-00008-34538</t>
        </is>
      </c>
      <c r="B1410" s="5" t="inlineStr">
        <is>
          <t>2025 Bowman Draft KANE KEPLEY #BDC-200 Chrome Refractor 1st Prospect Cubs</t>
        </is>
      </c>
      <c r="C1410" s="6" t="n">
        <v>2.99</v>
      </c>
      <c r="D1410" s="6" t="n">
        <v>3.59</v>
      </c>
      <c r="E1410" s="6" t="n">
        <v>0.6</v>
      </c>
      <c r="F1410" s="7" t="n">
        <v>20.1</v>
      </c>
      <c r="G1410" s="5" t="inlineStr">
        <is>
          <t>⬆ Price Up</t>
        </is>
      </c>
      <c r="H1410" s="5" t="inlineStr">
        <is>
          <t>86%</t>
        </is>
      </c>
      <c r="I1410" s="5">
        <f>HYPERLINK("https://www.ebay.com/sch/261328/i.html?_dcat=261328&amp;_fsrp=1&amp;rt=nc&amp;_from=R40&amp;_nkw=2025%20Bowman%20Draft%20KANE%20KEPLEY%20%23BDC-200%20Chrome%20Refractor%201st%20Prospect%20Cubs&amp;_sacat=0&amp;_sop=15&amp;rt=nc&amp;LH_BIN=1", "Active")</f>
        <v/>
      </c>
      <c r="J1410" s="5">
        <f>HYPERLINK("https://www.ebay.com/sch/261328/i.html?_from=R40&amp;_nkw=2025%20Bowman%20Draft%20KANE%20KEPLEY%20%23BDC-200%20Chrome%20Refractor%201st%20Prospect%20Cubs&amp;_sacat=0&amp;LH_Sold=1&amp;LH_Complete=1&amp;_sop=13", "Completed")</f>
        <v/>
      </c>
      <c r="K1410" s="5" t="inlineStr">
        <is>
          <t>2025 Bowman Draft Kane Kepley 1st Refractor #BDC-200 Chicago Cubs</t>
        </is>
      </c>
    </row>
    <row r="1411">
      <c r="A1411" s="8" t="inlineStr">
        <is>
          <t>WHATNOT-0003-00011-48960</t>
        </is>
      </c>
      <c r="B1411" s="8" t="inlineStr">
        <is>
          <t>2025 Topps COSMIC Chrome LUKE KEASCHALL #153 RC Twins Rookie</t>
        </is>
      </c>
      <c r="C1411" s="9" t="n">
        <v>2.49</v>
      </c>
      <c r="D1411" s="9" t="n">
        <v>2.49</v>
      </c>
      <c r="E1411" s="9" t="n">
        <v>0</v>
      </c>
      <c r="F1411" s="10" t="n">
        <v>0</v>
      </c>
      <c r="G1411" s="8" t="inlineStr">
        <is>
          <t>— No Change</t>
        </is>
      </c>
      <c r="H1411" s="8" t="inlineStr">
        <is>
          <t>86%</t>
        </is>
      </c>
      <c r="I1411" s="8">
        <f>HYPERLINK("https://www.ebay.com/sch/261328/i.html?_dcat=261328&amp;_fsrp=1&amp;rt=nc&amp;_from=R40&amp;_nkw=2025%20Topps%20COSMIC%20Chrome%20LUKE%20KEASCHALL%20%23153%20RC%20Twins%20Rookie&amp;_sacat=0&amp;_sop=15&amp;rt=nc&amp;LH_BIN=1", "Active")</f>
        <v/>
      </c>
      <c r="J1411" s="8">
        <f>HYPERLINK("https://www.ebay.com/sch/261328/i.html?_from=R40&amp;_nkw=2025%20Topps%20COSMIC%20Chrome%20LUKE%20KEASCHALL%20%23153%20RC%20Twins%20Rookie&amp;_sacat=0&amp;LH_Sold=1&amp;LH_Complete=1&amp;_sop=13", "Completed")</f>
        <v/>
      </c>
      <c r="K1411" s="8" t="inlineStr">
        <is>
          <t>2025 Topps Cosmic Chrome Luke Keaschall RC #153 Twins Base Card</t>
        </is>
      </c>
    </row>
    <row r="1412">
      <c r="A1412" s="2" t="inlineStr">
        <is>
          <t>WHATNOT-0003-00026-87696</t>
        </is>
      </c>
      <c r="B1412" s="2" t="inlineStr">
        <is>
          <t>2025 Bowman Draft STEELE HALL #BIA-SH In Action Auto /99 Reds</t>
        </is>
      </c>
      <c r="C1412" s="3" t="n">
        <v>60.99</v>
      </c>
      <c r="D1412" s="3" t="n">
        <v>2.49</v>
      </c>
      <c r="E1412" s="3" t="n">
        <v>-58.5</v>
      </c>
      <c r="F1412" s="4" t="n">
        <v>-95.90000000000001</v>
      </c>
      <c r="G1412" s="2" t="inlineStr">
        <is>
          <t>🔵 Floored $2.49 — free ship or $0.99 ship?</t>
        </is>
      </c>
      <c r="H1412" s="2" t="inlineStr"/>
      <c r="I1412" s="2">
        <f>HYPERLINK("https://www.ebay.com/sch/261328/i.html?_dcat=261328&amp;_fsrp=1&amp;rt=nc&amp;_from=R40&amp;_nkw=2025%20Bowman%20Draft%20STEELE%20HALL%20%23BIA-SH%20In%20Action%20Auto%20%2F99%20Reds&amp;_sacat=0&amp;_sop=15&amp;rt=nc&amp;LH_BIN=1", "Active")</f>
        <v/>
      </c>
      <c r="J1412" s="2">
        <f>HYPERLINK("https://www.ebay.com/sch/261328/i.html?_from=R40&amp;_nkw=2025%20Bowman%20Draft%20STEELE%20HALL%20%23BIA-SH%20In%20Action%20Auto%20%2F99%20Reds&amp;_sacat=0&amp;LH_Sold=1&amp;LH_Complete=1&amp;_sop=13", "Completed")</f>
        <v/>
      </c>
      <c r="K1412" s="2" t="inlineStr">
        <is>
          <t>No Close Result Found</t>
        </is>
      </c>
    </row>
    <row r="1413">
      <c r="A1413" s="5" t="inlineStr">
        <is>
          <t>WHATNOT-0003-00021-31608</t>
        </is>
      </c>
      <c r="B1413" s="5" t="inlineStr">
        <is>
          <t>2025 Bowman Draft STEELE HALL #BIA-2 In Action Gold Refractor /50 Reds</t>
        </is>
      </c>
      <c r="C1413" s="6" t="n">
        <v>40.19</v>
      </c>
      <c r="D1413" s="6" t="n">
        <v>40.39</v>
      </c>
      <c r="E1413" s="6" t="n">
        <v>0.2</v>
      </c>
      <c r="F1413" s="7" t="n">
        <v>0.5</v>
      </c>
      <c r="G1413" s="5" t="inlineStr">
        <is>
          <t>⬆ Price Up</t>
        </is>
      </c>
      <c r="H1413" s="5" t="inlineStr">
        <is>
          <t>100%</t>
        </is>
      </c>
      <c r="I1413" s="5">
        <f>HYPERLINK("https://www.ebay.com/sch/261328/i.html?_dcat=261328&amp;_fsrp=1&amp;rt=nc&amp;_from=R40&amp;_nkw=2025%20Bowman%20Draft%20STEELE%20HALL%20%23BIA-2%20In%20Action%20Gold%20Refractor%20%2F50%20Reds&amp;_sacat=0&amp;_sop=15&amp;rt=nc&amp;LH_BIN=1", "Active")</f>
        <v/>
      </c>
      <c r="J1413" s="5">
        <f>HYPERLINK("https://www.ebay.com/sch/261328/i.html?_from=R40&amp;_nkw=2025%20Bowman%20Draft%20STEELE%20HALL%20%23BIA-2%20In%20Action%20Gold%20Refractor%20%2F50%20Reds&amp;_sacat=0&amp;LH_Sold=1&amp;LH_Complete=1&amp;_sop=13", "Completed")</f>
        <v/>
      </c>
      <c r="K1413" s="5" t="inlineStr">
        <is>
          <t>2025 Bowman Draft STEELE HALL #BIA-2 In Action Gold Refractor /50 Reds</t>
        </is>
      </c>
    </row>
    <row r="1414">
      <c r="A1414" s="11" t="inlineStr">
        <is>
          <t>WHATNOT-0003-00005-08831</t>
        </is>
      </c>
      <c r="B1414" s="11" t="inlineStr">
        <is>
          <t>2025 Bowman Draft KAEDEN KENT #BDC-65 Chrome Refractor 1st Prospect Yankees</t>
        </is>
      </c>
      <c r="C1414" s="12" t="n">
        <v>5.99</v>
      </c>
      <c r="D1414" s="12" t="n">
        <v>3.29</v>
      </c>
      <c r="E1414" s="12" t="n">
        <v>-2.7</v>
      </c>
      <c r="F1414" s="13" t="n">
        <v>-45.1</v>
      </c>
      <c r="G1414" s="11" t="inlineStr">
        <is>
          <t>⬇ Price Down</t>
        </is>
      </c>
      <c r="H1414" s="11" t="inlineStr">
        <is>
          <t>90%</t>
        </is>
      </c>
      <c r="I1414" s="11">
        <f>HYPERLINK("https://www.ebay.com/sch/261328/i.html?_dcat=261328&amp;_fsrp=1&amp;rt=nc&amp;_from=R40&amp;_nkw=2025%20Bowman%20Draft%20KAEDEN%20KENT%20%23BDC-65%20Chrome%20Refractor%201st%20Prospect%20Yankees&amp;_sacat=0&amp;_sop=15&amp;rt=nc&amp;LH_BIN=1", "Active")</f>
        <v/>
      </c>
      <c r="J1414" s="11">
        <f>HYPERLINK("https://www.ebay.com/sch/261328/i.html?_from=R40&amp;_nkw=2025%20Bowman%20Draft%20KAEDEN%20KENT%20%23BDC-65%20Chrome%20Refractor%201st%20Prospect%20Yankees&amp;_sacat=0&amp;LH_Sold=1&amp;LH_Complete=1&amp;_sop=13", "Completed")</f>
        <v/>
      </c>
      <c r="K1414" s="11" t="inlineStr">
        <is>
          <t>2025 Bowman Draft Kaeden Kent Chrome Refractor 1st Prospect #BDC-65 Yankees</t>
        </is>
      </c>
    </row>
    <row r="1415">
      <c r="A1415" s="2" t="inlineStr">
        <is>
          <t>WHATNOT-0003-00006-09180</t>
        </is>
      </c>
      <c r="B1415" s="2" t="inlineStr">
        <is>
          <t>2025 Bowman Draft RILEY QUICK #BDC-23 Chrome X-Fractor 1st Prospect Twins</t>
        </is>
      </c>
      <c r="C1415" s="3" t="n">
        <v>2.99</v>
      </c>
      <c r="D1415" s="3" t="n">
        <v>2.49</v>
      </c>
      <c r="E1415" s="3" t="n">
        <v>-0.5</v>
      </c>
      <c r="F1415" s="4" t="n">
        <v>-16.7</v>
      </c>
      <c r="G1415" s="2" t="inlineStr">
        <is>
          <t>🔵 Floored $2.49 — free ship or $0.99 ship?</t>
        </is>
      </c>
      <c r="H1415" s="2" t="inlineStr"/>
      <c r="I1415" s="2">
        <f>HYPERLINK("https://www.ebay.com/sch/261328/i.html?_dcat=261328&amp;_fsrp=1&amp;rt=nc&amp;_from=R40&amp;_nkw=2025%20Bowman%20Draft%20RILEY%20QUICK%20%23BDC-23%20Chrome%20X-Fractor%201st%20Prospect%20Twins&amp;_sacat=0&amp;_sop=15&amp;rt=nc&amp;LH_BIN=1", "Active")</f>
        <v/>
      </c>
      <c r="J1415" s="2">
        <f>HYPERLINK("https://www.ebay.com/sch/261328/i.html?_from=R40&amp;_nkw=2025%20Bowman%20Draft%20RILEY%20QUICK%20%23BDC-23%20Chrome%20X-Fractor%201st%20Prospect%20Twins&amp;_sacat=0&amp;LH_Sold=1&amp;LH_Complete=1&amp;_sop=13", "Completed")</f>
        <v/>
      </c>
      <c r="K1415" s="2" t="inlineStr">
        <is>
          <t>No Close Result Found</t>
        </is>
      </c>
    </row>
    <row r="1416">
      <c r="A1416" s="2" t="inlineStr">
        <is>
          <t>WHATNOT-0003-00001-17156</t>
        </is>
      </c>
      <c r="B1416" s="2" t="inlineStr">
        <is>
          <t>2025 Topps Chrome MASON MILLER #142 Sepia Refractor Athletics</t>
        </is>
      </c>
      <c r="C1416" s="3" t="n">
        <v>4.49</v>
      </c>
      <c r="D1416" s="3" t="n">
        <v>2.49</v>
      </c>
      <c r="E1416" s="3" t="n">
        <v>-2</v>
      </c>
      <c r="F1416" s="4" t="n">
        <v>-44.5</v>
      </c>
      <c r="G1416" s="2" t="inlineStr">
        <is>
          <t>🔵 Floored $2.49 — free ship or $0.99 ship?</t>
        </is>
      </c>
      <c r="H1416" s="2" t="inlineStr">
        <is>
          <t>75%</t>
        </is>
      </c>
      <c r="I1416" s="2">
        <f>HYPERLINK("https://www.ebay.com/sch/261328/i.html?_dcat=261328&amp;_fsrp=1&amp;rt=nc&amp;_from=R40&amp;_nkw=2025%20Topps%20Chrome%20MASON%20MILLER%20%23142%20Sepia%20Refractor%20Athletics&amp;_sacat=0&amp;_sop=15&amp;rt=nc&amp;LH_BIN=1", "Active")</f>
        <v/>
      </c>
      <c r="J1416" s="2">
        <f>HYPERLINK("https://www.ebay.com/sch/261328/i.html?_from=R40&amp;_nkw=2025%20Topps%20Chrome%20MASON%20MILLER%20%23142%20Sepia%20Refractor%20Athletics&amp;_sacat=0&amp;LH_Sold=1&amp;LH_Complete=1&amp;_sop=13", "Completed")</f>
        <v/>
      </c>
      <c r="K1416" s="2" t="inlineStr">
        <is>
          <t>2 CARD MINIMUM 2025 Topps Chrome Baseball Refractor/RC/Insert COMPLETE YOUR SET</t>
        </is>
      </c>
    </row>
    <row r="1417">
      <c r="A1417" s="5" t="inlineStr">
        <is>
          <t>WHATNOT-0003-00013-94114</t>
        </is>
      </c>
      <c r="B1417" s="5" t="inlineStr">
        <is>
          <t>2024 Bowman Sapphire GABRIEL GONZALEZ #BCP-35 Chrome Gold /50 Mariners</t>
        </is>
      </c>
      <c r="C1417" s="6" t="n">
        <v>15.99</v>
      </c>
      <c r="D1417" s="6" t="n">
        <v>16.99</v>
      </c>
      <c r="E1417" s="6" t="n">
        <v>1</v>
      </c>
      <c r="F1417" s="7" t="n">
        <v>6.3</v>
      </c>
      <c r="G1417" s="5" t="inlineStr">
        <is>
          <t>⬆ Price Up</t>
        </is>
      </c>
      <c r="H1417" s="5" t="inlineStr">
        <is>
          <t>100%</t>
        </is>
      </c>
      <c r="I1417" s="5">
        <f>HYPERLINK("https://www.ebay.com/sch/261328/i.html?_dcat=261328&amp;_fsrp=1&amp;rt=nc&amp;_from=R40&amp;_nkw=2024%20Bowman%20Sapphire%20GABRIEL%20GONZALEZ%20%23BCP-35%20Chrome%20Gold%20%2F50%20Mariners&amp;_sacat=0&amp;_sop=15&amp;rt=nc&amp;LH_BIN=1", "Active")</f>
        <v/>
      </c>
      <c r="J1417" s="5">
        <f>HYPERLINK("https://www.ebay.com/sch/261328/i.html?_from=R40&amp;_nkw=2024%20Bowman%20Sapphire%20GABRIEL%20GONZALEZ%20%23BCP-35%20Chrome%20Gold%20%2F50%20Mariners&amp;_sacat=0&amp;LH_Sold=1&amp;LH_Complete=1&amp;_sop=13", "Completed")</f>
        <v/>
      </c>
      <c r="K1417" s="5" t="inlineStr">
        <is>
          <t>2024 Bowman Sapphire GABRIEL GONZALEZ #BCP-35 Chrome Gold /50 Mariners</t>
        </is>
      </c>
    </row>
    <row r="1418">
      <c r="A1418" s="5" t="inlineStr">
        <is>
          <t>WHATNOT-0003-00023-93735</t>
        </is>
      </c>
      <c r="B1418" s="5" t="inlineStr">
        <is>
          <t>2023 Bowman TONY BLANCO JR. #BCP-134 Chrome Fuchsia Refractor /199 1st Prospect</t>
        </is>
      </c>
      <c r="C1418" s="6" t="n">
        <v>24.39</v>
      </c>
      <c r="D1418" s="6" t="n">
        <v>32.59</v>
      </c>
      <c r="E1418" s="6" t="n">
        <v>8.199999999999999</v>
      </c>
      <c r="F1418" s="7" t="n">
        <v>33.6</v>
      </c>
      <c r="G1418" s="5" t="inlineStr">
        <is>
          <t>⬆ Price Up</t>
        </is>
      </c>
      <c r="H1418" s="5" t="inlineStr">
        <is>
          <t>100%</t>
        </is>
      </c>
      <c r="I1418" s="5">
        <f>HYPERLINK("https://www.ebay.com/sch/261328/i.html?_dcat=261328&amp;_fsrp=1&amp;rt=nc&amp;_from=R40&amp;_nkw=2023%20Bowman%20TONY%20BLANCO%20JR.%20%23BCP-134%20Chrome%20Fuchsia%20Refractor%20%2F199%201st%20Prospect&amp;_sacat=0&amp;_sop=15&amp;rt=nc&amp;LH_BIN=1", "Active")</f>
        <v/>
      </c>
      <c r="J1418" s="5">
        <f>HYPERLINK("https://www.ebay.com/sch/261328/i.html?_from=R40&amp;_nkw=2023%20Bowman%20TONY%20BLANCO%20JR.%20%23BCP-134%20Chrome%20Fuchsia%20Refractor%20%2F199%201st%20Prospect&amp;_sacat=0&amp;LH_Sold=1&amp;LH_Complete=1&amp;_sop=13", "Completed")</f>
        <v/>
      </c>
      <c r="K1418" s="5" t="inlineStr">
        <is>
          <t>2023 Bowman TONY BLANCO JR. #BCP-134 Chrome Fuchsia Refractor /199 1st Prospect</t>
        </is>
      </c>
    </row>
    <row r="1419">
      <c r="A1419" s="5" t="inlineStr">
        <is>
          <t>WHATNOT-0003-00025-28079</t>
        </is>
      </c>
      <c r="B1419" s="5" t="inlineStr">
        <is>
          <t>2025 Bowman Chrome LUISANGEL ACUNA #32 Green Wave Refractor /99 RC Mets Rookie</t>
        </is>
      </c>
      <c r="C1419" s="6" t="n">
        <v>9.19</v>
      </c>
      <c r="D1419" s="6" t="n">
        <v>10.39</v>
      </c>
      <c r="E1419" s="6" t="n">
        <v>1.2</v>
      </c>
      <c r="F1419" s="7" t="n">
        <v>13.1</v>
      </c>
      <c r="G1419" s="5" t="inlineStr">
        <is>
          <t>⬆ Price Up</t>
        </is>
      </c>
      <c r="H1419" s="5" t="inlineStr">
        <is>
          <t>100%</t>
        </is>
      </c>
      <c r="I1419" s="5">
        <f>HYPERLINK("https://www.ebay.com/sch/261328/i.html?_dcat=261328&amp;_fsrp=1&amp;rt=nc&amp;_from=R40&amp;_nkw=2025%20Bowman%20Chrome%20LUISANGEL%20ACUNA%20%2332%20Green%20Wave%20Refractor%20%2F99%20RC%20Mets%20Rookie&amp;_sacat=0&amp;_sop=15&amp;rt=nc&amp;LH_BIN=1", "Active")</f>
        <v/>
      </c>
      <c r="J1419" s="5">
        <f>HYPERLINK("https://www.ebay.com/sch/261328/i.html?_from=R40&amp;_nkw=2025%20Bowman%20Chrome%20LUISANGEL%20ACUNA%20%2332%20Green%20Wave%20Refractor%20%2F99%20RC%20Mets%20Rookie&amp;_sacat=0&amp;LH_Sold=1&amp;LH_Complete=1&amp;_sop=13", "Completed")</f>
        <v/>
      </c>
      <c r="K1419" s="5" t="inlineStr">
        <is>
          <t>2025 Bowman Chrome LUISANGEL ACUNA #32 Green Wave Refractor /99 RC Mets Rookie</t>
        </is>
      </c>
    </row>
    <row r="1420">
      <c r="A1420" s="5" t="inlineStr">
        <is>
          <t>WHATNOT-0003-00022-10257</t>
        </is>
      </c>
      <c r="B1420" s="5" t="inlineStr">
        <is>
          <t>2025 Bowman Draft STEELE HALL #BS-15 Spotlights Chrome Reds</t>
        </is>
      </c>
      <c r="C1420" s="6" t="n">
        <v>74.09</v>
      </c>
      <c r="D1420" s="6" t="n">
        <v>81.48999999999999</v>
      </c>
      <c r="E1420" s="6" t="n">
        <v>7.4</v>
      </c>
      <c r="F1420" s="7" t="n">
        <v>10</v>
      </c>
      <c r="G1420" s="5" t="inlineStr">
        <is>
          <t>⬆ Price Up</t>
        </is>
      </c>
      <c r="H1420" s="5" t="inlineStr">
        <is>
          <t>100%</t>
        </is>
      </c>
      <c r="I1420" s="5">
        <f>HYPERLINK("https://www.ebay.com/sch/261328/i.html?_dcat=261328&amp;_fsrp=1&amp;rt=nc&amp;_from=R40&amp;_nkw=2025%20Bowman%20Draft%20STEELE%20HALL%20%23BS-15%20Spotlights%20Chrome%20Reds&amp;_sacat=0&amp;_sop=15&amp;rt=nc&amp;LH_BIN=1", "Active")</f>
        <v/>
      </c>
      <c r="J1420" s="5">
        <f>HYPERLINK("https://www.ebay.com/sch/261328/i.html?_from=R40&amp;_nkw=2025%20Bowman%20Draft%20STEELE%20HALL%20%23BS-15%20Spotlights%20Chrome%20Reds&amp;_sacat=0&amp;LH_Sold=1&amp;LH_Complete=1&amp;_sop=13", "Completed")</f>
        <v/>
      </c>
      <c r="K1420" s="5" t="inlineStr">
        <is>
          <t>2025 Bowman Draft STEELE HALL #BS-15 Spotlights Chrome Reds</t>
        </is>
      </c>
    </row>
    <row r="1421">
      <c r="A1421" s="8" t="inlineStr">
        <is>
          <t>WHATNOT-0003-00061-99837</t>
        </is>
      </c>
      <c r="B1421" s="8" t="inlineStr">
        <is>
          <t>2026 Bowman Mega Box CAM SCHLITTLER #53 Chrome Mojo Refractor RC Yankees Rookie</t>
        </is>
      </c>
      <c r="C1421" s="9" t="n">
        <v>4.79</v>
      </c>
      <c r="D1421" s="9" t="n">
        <v>4.79</v>
      </c>
      <c r="E1421" s="9" t="n">
        <v>0</v>
      </c>
      <c r="F1421" s="10" t="n">
        <v>0</v>
      </c>
      <c r="G1421" s="8" t="inlineStr">
        <is>
          <t>— No Change</t>
        </is>
      </c>
      <c r="H1421" s="8" t="inlineStr">
        <is>
          <t>90%</t>
        </is>
      </c>
      <c r="I1421" s="8">
        <f>HYPERLINK("https://www.ebay.com/sch/261328/i.html?_dcat=261328&amp;_fsrp=1&amp;rt=nc&amp;_from=R40&amp;_nkw=2026%20Bowman%20Mega%20Box%20CAM%20SCHLITTLER%20%2353%20Chrome%20Mojo%20Refractor%20RC%20Yankees%20Rookie&amp;_sacat=0&amp;_sop=15&amp;rt=nc&amp;LH_BIN=1", "Active")</f>
        <v/>
      </c>
      <c r="J1421" s="8">
        <f>HYPERLINK("https://www.ebay.com/sch/261328/i.html?_from=R40&amp;_nkw=2026%20Bowman%20Mega%20Box%20CAM%20SCHLITTLER%20%2353%20Chrome%20Mojo%20Refractor%20RC%20Yankees%20Rookie&amp;_sacat=0&amp;LH_Sold=1&amp;LH_Complete=1&amp;_sop=13", "Completed")</f>
        <v/>
      </c>
      <c r="K1421" s="8" t="inlineStr">
        <is>
          <t>2026 Bowman Chrome Mega Box Cam Schlittler #53 Mojo Refractor RC Rookie Yankees</t>
        </is>
      </c>
    </row>
    <row r="1422">
      <c r="A1422" s="2" t="inlineStr">
        <is>
          <t>WHATNOT-0003-00032-12820</t>
        </is>
      </c>
      <c r="B1422" s="2" t="inlineStr">
        <is>
          <t>2025 Bowman's Best CHASE DOLLANDER #30 Mini Diamond Ref /299 RC Rockies Rookie</t>
        </is>
      </c>
      <c r="C1422" s="3" t="n">
        <v>2.99</v>
      </c>
      <c r="D1422" s="3" t="n">
        <v>2.49</v>
      </c>
      <c r="E1422" s="3" t="n">
        <v>-0.5</v>
      </c>
      <c r="F1422" s="4" t="n">
        <v>-16.7</v>
      </c>
      <c r="G1422" s="2" t="inlineStr">
        <is>
          <t>🔵 Floored $2.49 — free ship or $0.99 ship?</t>
        </is>
      </c>
      <c r="H1422" s="2" t="inlineStr"/>
      <c r="I1422" s="2">
        <f>HYPERLINK("https://www.ebay.com/sch/261328/i.html?_dcat=261328&amp;_fsrp=1&amp;rt=nc&amp;_from=R40&amp;_nkw=2025%20Bowman's%20Best%20CHASE%20DOLLANDER%20%2330%20Mini%20Diamond%20Ref%20%2F299%20RC%20Rockies%20Rookie&amp;_sacat=0&amp;_sop=15&amp;rt=nc&amp;LH_BIN=1", "Active")</f>
        <v/>
      </c>
      <c r="J1422" s="2">
        <f>HYPERLINK("https://www.ebay.com/sch/261328/i.html?_from=R40&amp;_nkw=2025%20Bowman's%20Best%20CHASE%20DOLLANDER%20%2330%20Mini%20Diamond%20Ref%20%2F299%20RC%20Rockies%20Rookie&amp;_sacat=0&amp;LH_Sold=1&amp;LH_Complete=1&amp;_sop=13", "Completed")</f>
        <v/>
      </c>
      <c r="K1422" s="2" t="inlineStr">
        <is>
          <t>No Close Result Found</t>
        </is>
      </c>
    </row>
    <row r="1423">
      <c r="A1423" s="8" t="inlineStr">
        <is>
          <t>WHATNOT-0003-00036-06219</t>
        </is>
      </c>
      <c r="B1423" s="8" t="inlineStr">
        <is>
          <t>2025 Bowman Chrome JHOAN DE LA CRUZ #BCP-223 Wave Refractor /100 1st Prospect</t>
        </is>
      </c>
      <c r="C1423" s="9" t="n">
        <v>8.59</v>
      </c>
      <c r="D1423" s="9" t="n">
        <v>8.59</v>
      </c>
      <c r="E1423" s="9" t="n">
        <v>0</v>
      </c>
      <c r="F1423" s="10" t="n">
        <v>0</v>
      </c>
      <c r="G1423" s="8" t="inlineStr">
        <is>
          <t>— No Change</t>
        </is>
      </c>
      <c r="H1423" s="8" t="inlineStr">
        <is>
          <t>87%</t>
        </is>
      </c>
      <c r="I1423" s="8">
        <f>HYPERLINK("https://www.ebay.com/sch/261328/i.html?_dcat=261328&amp;_fsrp=1&amp;rt=nc&amp;_from=R40&amp;_nkw=2025%20Bowman%20Chrome%20JHOAN%20DE%20LA%20CRUZ%20%23BCP-223%20Wave%20Refractor%20%2F100%201st%20Prospect&amp;_sacat=0&amp;_sop=15&amp;rt=nc&amp;LH_BIN=1", "Active")</f>
        <v/>
      </c>
      <c r="J1423" s="8">
        <f>HYPERLINK("https://www.ebay.com/sch/261328/i.html?_from=R40&amp;_nkw=2025%20Bowman%20Chrome%20JHOAN%20DE%20LA%20CRUZ%20%23BCP-223%20Wave%20Refractor%20%2F100%201st%20Prospect&amp;_sacat=0&amp;LH_Sold=1&amp;LH_Complete=1&amp;_sop=13", "Completed")</f>
        <v/>
      </c>
      <c r="K1423" s="8" t="inlineStr">
        <is>
          <t>2025 Bowman Chrome - Jhoan De La Cruz #BCP-223 - 1st Silver Wave Refractor /100</t>
        </is>
      </c>
    </row>
    <row r="1424">
      <c r="A1424" s="5" t="inlineStr">
        <is>
          <t>WHATNOT-0003-00030-08352</t>
        </is>
      </c>
      <c r="B1424" s="5" t="inlineStr">
        <is>
          <t>2025 Bowman's Best NICK KURTZ #42 Purple Lazer Ref /250 RC Athletics Rookie</t>
        </is>
      </c>
      <c r="C1424" s="6" t="n">
        <v>26.29</v>
      </c>
      <c r="D1424" s="6" t="n">
        <v>34.39</v>
      </c>
      <c r="E1424" s="6" t="n">
        <v>8.1</v>
      </c>
      <c r="F1424" s="7" t="n">
        <v>30.8</v>
      </c>
      <c r="G1424" s="5" t="inlineStr">
        <is>
          <t>⬆ Price Up</t>
        </is>
      </c>
      <c r="H1424" s="5" t="inlineStr">
        <is>
          <t>100%</t>
        </is>
      </c>
      <c r="I1424" s="5">
        <f>HYPERLINK("https://www.ebay.com/sch/261328/i.html?_dcat=261328&amp;_fsrp=1&amp;rt=nc&amp;_from=R40&amp;_nkw=2025%20Bowman's%20Best%20NICK%20KURTZ%20%2342%20Purple%20Lazer%20Ref%20%2F250%20RC%20Athletics%20Rookie&amp;_sacat=0&amp;_sop=15&amp;rt=nc&amp;LH_BIN=1", "Active")</f>
        <v/>
      </c>
      <c r="J1424" s="5">
        <f>HYPERLINK("https://www.ebay.com/sch/261328/i.html?_from=R40&amp;_nkw=2025%20Bowman's%20Best%20NICK%20KURTZ%20%2342%20Purple%20Lazer%20Ref%20%2F250%20RC%20Athletics%20Rookie&amp;_sacat=0&amp;LH_Sold=1&amp;LH_Complete=1&amp;_sop=13", "Completed")</f>
        <v/>
      </c>
      <c r="K1424" s="5" t="inlineStr">
        <is>
          <t>2025 Bowman's Best NICK KURTZ #42 Purple Lazer Ref /250 RC Athletics Rookie</t>
        </is>
      </c>
    </row>
    <row r="1425">
      <c r="A1425" s="5" t="inlineStr">
        <is>
          <t>WHATNOT-0003-00052-89012</t>
        </is>
      </c>
      <c r="B1425" s="5" t="inlineStr">
        <is>
          <t>2023 Bowman Draft TRE MORGAN #BDC-199 Chrome 1st Prospect Rays</t>
        </is>
      </c>
      <c r="C1425" s="6" t="n">
        <v>2.49</v>
      </c>
      <c r="D1425" s="6" t="n">
        <v>2.69</v>
      </c>
      <c r="E1425" s="6" t="n">
        <v>0.2</v>
      </c>
      <c r="F1425" s="7" t="n">
        <v>8</v>
      </c>
      <c r="G1425" s="5" t="inlineStr">
        <is>
          <t>⬆ Price Up</t>
        </is>
      </c>
      <c r="H1425" s="5" t="inlineStr">
        <is>
          <t>87%</t>
        </is>
      </c>
      <c r="I1425" s="5">
        <f>HYPERLINK("https://www.ebay.com/sch/261328/i.html?_dcat=261328&amp;_fsrp=1&amp;rt=nc&amp;_from=R40&amp;_nkw=2023%20Bowman%20Draft%20TRE%20MORGAN%20%23BDC-199%20Chrome%201st%20Prospect%20Rays&amp;_sacat=0&amp;_sop=15&amp;rt=nc&amp;LH_BIN=1", "Active")</f>
        <v/>
      </c>
      <c r="J1425" s="5">
        <f>HYPERLINK("https://www.ebay.com/sch/261328/i.html?_from=R40&amp;_nkw=2023%20Bowman%20Draft%20TRE%20MORGAN%20%23BDC-199%20Chrome%201st%20Prospect%20Rays&amp;_sacat=0&amp;LH_Sold=1&amp;LH_Complete=1&amp;_sop=13", "Completed")</f>
        <v/>
      </c>
      <c r="K1425" s="5" t="inlineStr">
        <is>
          <t>2023 Bowman Draft - Tre' Morgan Chrome 1st Bowman #BDC-199 Rays Prospect</t>
        </is>
      </c>
    </row>
    <row r="1426">
      <c r="A1426" s="5" t="inlineStr">
        <is>
          <t>WHATNOT-0003-00038-91459</t>
        </is>
      </c>
      <c r="B1426" s="5" t="inlineStr">
        <is>
          <t>2025 Bowman Draft AJ RUSSELL #BDC-51 Chrome Green Grass Refractor /99</t>
        </is>
      </c>
      <c r="C1426" s="6" t="n">
        <v>8.19</v>
      </c>
      <c r="D1426" s="6" t="n">
        <v>9.390000000000001</v>
      </c>
      <c r="E1426" s="6" t="n">
        <v>1.2</v>
      </c>
      <c r="F1426" s="7" t="n">
        <v>14.7</v>
      </c>
      <c r="G1426" s="5" t="inlineStr">
        <is>
          <t>⬆ Price Up</t>
        </is>
      </c>
      <c r="H1426" s="5" t="inlineStr">
        <is>
          <t>100%</t>
        </is>
      </c>
      <c r="I1426" s="5">
        <f>HYPERLINK("https://www.ebay.com/sch/261328/i.html?_dcat=261328&amp;_fsrp=1&amp;rt=nc&amp;_from=R40&amp;_nkw=2025%20Bowman%20Draft%20AJ%20RUSSELL%20%23BDC-51%20Chrome%20Green%20Grass%20Refractor%20%2F99&amp;_sacat=0&amp;_sop=15&amp;rt=nc&amp;LH_BIN=1", "Active")</f>
        <v/>
      </c>
      <c r="J1426" s="5">
        <f>HYPERLINK("https://www.ebay.com/sch/261328/i.html?_from=R40&amp;_nkw=2025%20Bowman%20Draft%20AJ%20RUSSELL%20%23BDC-51%20Chrome%20Green%20Grass%20Refractor%20%2F99&amp;_sacat=0&amp;LH_Sold=1&amp;LH_Complete=1&amp;_sop=13", "Completed")</f>
        <v/>
      </c>
      <c r="K1426" s="5" t="inlineStr">
        <is>
          <t>2025 Bowman Draft AJ RUSSELL #BDC-51 Chrome Green Grass Refractor /99</t>
        </is>
      </c>
    </row>
    <row r="1427">
      <c r="A1427" s="2" t="inlineStr">
        <is>
          <t>WHATNOT-0003-00051-43157</t>
        </is>
      </c>
      <c r="B1427" s="2" t="inlineStr">
        <is>
          <t>2026 Bowman NOLAN MCLEAN #BST-8 Sterling Chrome RC Mets Rookie</t>
        </is>
      </c>
      <c r="C1427" s="3" t="n">
        <v>2.99</v>
      </c>
      <c r="D1427" s="3" t="n">
        <v>2.49</v>
      </c>
      <c r="E1427" s="3" t="n">
        <v>-0.5</v>
      </c>
      <c r="F1427" s="4" t="n">
        <v>-16.7</v>
      </c>
      <c r="G1427" s="2" t="inlineStr">
        <is>
          <t>🔵 Floored $2.49 — free ship or $0.99 ship?</t>
        </is>
      </c>
      <c r="H1427" s="2" t="inlineStr">
        <is>
          <t>86%</t>
        </is>
      </c>
      <c r="I1427" s="2">
        <f>HYPERLINK("https://www.ebay.com/sch/261328/i.html?_dcat=261328&amp;_fsrp=1&amp;rt=nc&amp;_from=R40&amp;_nkw=2026%20Bowman%20NOLAN%20MCLEAN%20%23BST-8%20Sterling%20Chrome%20RC%20Mets%20Rookie&amp;_sacat=0&amp;_sop=15&amp;rt=nc&amp;LH_BIN=1", "Active")</f>
        <v/>
      </c>
      <c r="J1427" s="2">
        <f>HYPERLINK("https://www.ebay.com/sch/261328/i.html?_from=R40&amp;_nkw=2026%20Bowman%20NOLAN%20MCLEAN%20%23BST-8%20Sterling%20Chrome%20RC%20Mets%20Rookie&amp;_sacat=0&amp;LH_Sold=1&amp;LH_Complete=1&amp;_sop=13", "Completed")</f>
        <v/>
      </c>
      <c r="K1427" s="2" t="inlineStr">
        <is>
          <t>2026 Bowman Chrome Nolan McLean Rookie Bowman Sterling #BST-8 New York Mets RC A</t>
        </is>
      </c>
    </row>
    <row r="1428">
      <c r="A1428" s="2" t="inlineStr">
        <is>
          <t>WHATNOT-0003-00033-76795</t>
        </is>
      </c>
      <c r="B1428" s="2" t="inlineStr">
        <is>
          <t>2025 Bowman's Best QUINN MATHEWS #B25-QM Best of Auto Blue Refractor /150</t>
        </is>
      </c>
      <c r="C1428" s="3" t="n">
        <v>22.59</v>
      </c>
      <c r="D1428" s="3" t="n">
        <v>2.49</v>
      </c>
      <c r="E1428" s="3" t="n">
        <v>-20.1</v>
      </c>
      <c r="F1428" s="4" t="n">
        <v>-89</v>
      </c>
      <c r="G1428" s="2" t="inlineStr">
        <is>
          <t>🔵 Floored $2.49 — free ship or $0.99 ship?</t>
        </is>
      </c>
      <c r="H1428" s="2" t="inlineStr"/>
      <c r="I1428" s="2">
        <f>HYPERLINK("https://www.ebay.com/sch/261328/i.html?_dcat=261328&amp;_fsrp=1&amp;rt=nc&amp;_from=R40&amp;_nkw=2025%20Bowman's%20Best%20QUINN%20MATHEWS%20%23B25-QM%20Best%20of%20Auto%20Blue%20Refractor%20%2F150&amp;_sacat=0&amp;_sop=15&amp;rt=nc&amp;LH_BIN=1", "Active")</f>
        <v/>
      </c>
      <c r="J1428" s="2">
        <f>HYPERLINK("https://www.ebay.com/sch/261328/i.html?_from=R40&amp;_nkw=2025%20Bowman's%20Best%20QUINN%20MATHEWS%20%23B25-QM%20Best%20of%20Auto%20Blue%20Refractor%20%2F150&amp;_sacat=0&amp;LH_Sold=1&amp;LH_Complete=1&amp;_sop=13", "Completed")</f>
        <v/>
      </c>
      <c r="K1428" s="2" t="inlineStr">
        <is>
          <t>No Close Result Found</t>
        </is>
      </c>
    </row>
    <row r="1429">
      <c r="A1429" s="2" t="inlineStr">
        <is>
          <t>WHATNOT-0003-00065-59294</t>
        </is>
      </c>
      <c r="B1429" s="2" t="inlineStr">
        <is>
          <t>2025 Bowman's Best JOSUAR GONZALEZ #B25-JG Best of Auto Ref Giants Football</t>
        </is>
      </c>
      <c r="C1429" s="3" t="n">
        <v>30.19</v>
      </c>
      <c r="D1429" s="3" t="n">
        <v>2.49</v>
      </c>
      <c r="E1429" s="3" t="n">
        <v>-27.7</v>
      </c>
      <c r="F1429" s="4" t="n">
        <v>-91.8</v>
      </c>
      <c r="G1429" s="2" t="inlineStr">
        <is>
          <t>🔵 Floored $2.49 — free ship or $0.99 ship?</t>
        </is>
      </c>
      <c r="H1429" s="2" t="inlineStr"/>
      <c r="I1429" s="2">
        <f>HYPERLINK("https://www.ebay.com/sch/261328/i.html?_dcat=261328&amp;_fsrp=1&amp;rt=nc&amp;_from=R40&amp;_nkw=2025%20Bowman's%20Best%20JOSUAR%20GONZALEZ%20%23B25-JG%20Best%20of%20Auto%20Ref%20Giants%20Football&amp;_sacat=0&amp;_sop=15&amp;rt=nc&amp;LH_BIN=1", "Active")</f>
        <v/>
      </c>
      <c r="J1429" s="2">
        <f>HYPERLINK("https://www.ebay.com/sch/261328/i.html?_from=R40&amp;_nkw=2025%20Bowman's%20Best%20JOSUAR%20GONZALEZ%20%23B25-JG%20Best%20of%20Auto%20Ref%20Giants%20Football&amp;_sacat=0&amp;LH_Sold=1&amp;LH_Complete=1&amp;_sop=13", "Completed")</f>
        <v/>
      </c>
      <c r="K1429" s="2" t="inlineStr">
        <is>
          <t>No Close Result Found</t>
        </is>
      </c>
    </row>
    <row r="1430">
      <c r="A1430" s="2" t="inlineStr">
        <is>
          <t>WHATNOT-0003-00045-24442</t>
        </is>
      </c>
      <c r="B1430" s="2" t="inlineStr">
        <is>
          <t>2024 Topps National NSCC WRAPPER REDEMPTION BLAKE MITCHELL #TP-7 Bowman Chrome\</t>
        </is>
      </c>
      <c r="C1430" s="3" t="n">
        <v>3.49</v>
      </c>
      <c r="D1430" s="3" t="n">
        <v>2.49</v>
      </c>
      <c r="E1430" s="3" t="n">
        <v>-1</v>
      </c>
      <c r="F1430" s="4" t="n">
        <v>-28.7</v>
      </c>
      <c r="G1430" s="2" t="inlineStr">
        <is>
          <t>🔵 Floored $2.49 — free ship or $0.99 ship?</t>
        </is>
      </c>
      <c r="H1430" s="2" t="inlineStr"/>
      <c r="I1430" s="2">
        <f>HYPERLINK("https://www.ebay.com/sch/261328/i.html?_dcat=261328&amp;_fsrp=1&amp;rt=nc&amp;_from=R40&amp;_nkw=2024%20Topps%20National%20NSCC%20WRAPPER%20REDEMPTION%20BLAKE%20MITCHELL%20%23TP-7%20Bowman%20Chrome%5C&amp;_sacat=0&amp;_sop=15&amp;rt=nc&amp;LH_BIN=1", "Active")</f>
        <v/>
      </c>
      <c r="J1430" s="2">
        <f>HYPERLINK("https://www.ebay.com/sch/261328/i.html?_from=R40&amp;_nkw=2024%20Topps%20National%20NSCC%20WRAPPER%20REDEMPTION%20BLAKE%20MITCHELL%20%23TP-7%20Bowman%20Chrome%5C&amp;_sacat=0&amp;LH_Sold=1&amp;LH_Complete=1&amp;_sop=13", "Completed")</f>
        <v/>
      </c>
      <c r="K1430" s="2" t="inlineStr">
        <is>
          <t>No Close Result Found</t>
        </is>
      </c>
    </row>
    <row r="1431">
      <c r="A1431" s="11" t="inlineStr">
        <is>
          <t>WHATNOT-0003-00054-14654</t>
        </is>
      </c>
      <c r="B1431" s="11" t="inlineStr">
        <is>
          <t>2026 Bowman KADE ANDERSON #BCP-19 Chrome Prospects Reptilian Refractor Mariners</t>
        </is>
      </c>
      <c r="C1431" s="12" t="n">
        <v>5.99</v>
      </c>
      <c r="D1431" s="12" t="n">
        <v>3.39</v>
      </c>
      <c r="E1431" s="12" t="n">
        <v>-2.6</v>
      </c>
      <c r="F1431" s="13" t="n">
        <v>-43.4</v>
      </c>
      <c r="G1431" s="11" t="inlineStr">
        <is>
          <t>⬇ Price Down</t>
        </is>
      </c>
      <c r="H1431" s="11" t="inlineStr">
        <is>
          <t>69%</t>
        </is>
      </c>
      <c r="I1431" s="11">
        <f>HYPERLINK("https://www.ebay.com/sch/261328/i.html?_dcat=261328&amp;_fsrp=1&amp;rt=nc&amp;_from=R40&amp;_nkw=2026%20Bowman%20KADE%20ANDERSON%20%23BCP-19%20Chrome%20Prospects%20Reptilian%20Refractor%20Mariners&amp;_sacat=0&amp;_sop=15&amp;rt=nc&amp;LH_BIN=1", "Active")</f>
        <v/>
      </c>
      <c r="J1431" s="11">
        <f>HYPERLINK("https://www.ebay.com/sch/261328/i.html?_from=R40&amp;_nkw=2026%20Bowman%20KADE%20ANDERSON%20%23BCP-19%20Chrome%20Prospects%20Reptilian%20Refractor%20Mariners&amp;_sacat=0&amp;LH_Sold=1&amp;LH_Complete=1&amp;_sop=13", "Completed")</f>
        <v/>
      </c>
      <c r="K1431" s="11" t="inlineStr">
        <is>
          <t>2026 Bowman Chrome Prospects Reptilian Refractors You Pick/Complete Your Set!!!!</t>
        </is>
      </c>
    </row>
    <row r="1432">
      <c r="A1432" s="2" t="inlineStr">
        <is>
          <t>WHATNOT-0003-00042-51647</t>
        </is>
      </c>
      <c r="B1432" s="2" t="inlineStr">
        <is>
          <t>2025 Bowman Draft JOJO PARKER #PP-9 Chrome Prized Prospects Blue Jays</t>
        </is>
      </c>
      <c r="C1432" s="3" t="n">
        <v>3.49</v>
      </c>
      <c r="D1432" s="3" t="n">
        <v>2.49</v>
      </c>
      <c r="E1432" s="3" t="n">
        <v>-1</v>
      </c>
      <c r="F1432" s="4" t="n">
        <v>-28.7</v>
      </c>
      <c r="G1432" s="2" t="inlineStr">
        <is>
          <t>🔵 Floored $2.49 — free ship or $0.99 ship?</t>
        </is>
      </c>
      <c r="H1432" s="2" t="inlineStr">
        <is>
          <t>87%</t>
        </is>
      </c>
      <c r="I1432" s="2">
        <f>HYPERLINK("https://www.ebay.com/sch/261328/i.html?_dcat=261328&amp;_fsrp=1&amp;rt=nc&amp;_from=R40&amp;_nkw=2025%20Bowman%20Draft%20JOJO%20PARKER%20%23PP-9%20Chrome%20Prized%20Prospects%20Blue%20Jays&amp;_sacat=0&amp;_sop=15&amp;rt=nc&amp;LH_BIN=1", "Active")</f>
        <v/>
      </c>
      <c r="J1432" s="2">
        <f>HYPERLINK("https://www.ebay.com/sch/261328/i.html?_from=R40&amp;_nkw=2025%20Bowman%20Draft%20JOJO%20PARKER%20%23PP-9%20Chrome%20Prized%20Prospects%20Blue%20Jays&amp;_sacat=0&amp;LH_Sold=1&amp;LH_Complete=1&amp;_sop=13", "Completed")</f>
        <v/>
      </c>
      <c r="K1432" s="2" t="inlineStr">
        <is>
          <t>2025 Bowman Draft JOJO PARKER Chrome Prized Prospects #PP-9 Blue Jays QTY AVAIL</t>
        </is>
      </c>
    </row>
    <row r="1433">
      <c r="A1433" s="5" t="inlineStr">
        <is>
          <t>WHATNOT-0003-00059-00577</t>
        </is>
      </c>
      <c r="B1433" s="5" t="inlineStr">
        <is>
          <t>2026 Bowman GAGE JUMP #BP-15 Neon Green Border /399 1st Prospect Athletics</t>
        </is>
      </c>
      <c r="C1433" s="6" t="n">
        <v>11.95</v>
      </c>
      <c r="D1433" s="6" t="n">
        <v>12.99</v>
      </c>
      <c r="E1433" s="6" t="n">
        <v>1.04</v>
      </c>
      <c r="F1433" s="7" t="n">
        <v>8.699999999999999</v>
      </c>
      <c r="G1433" s="5" t="inlineStr">
        <is>
          <t>⬆ Price Up</t>
        </is>
      </c>
      <c r="H1433" s="5" t="inlineStr">
        <is>
          <t>100%</t>
        </is>
      </c>
      <c r="I1433" s="5">
        <f>HYPERLINK("https://www.ebay.com/sch/261328/i.html?_dcat=261328&amp;_fsrp=1&amp;rt=nc&amp;_from=R40&amp;_nkw=2026%20Bowman%20GAGE%20JUMP%20%23BP-15%20Neon%20Green%20Border%20%2F399%201st%20Prospect%20Athletics&amp;_sacat=0&amp;_sop=15&amp;rt=nc&amp;LH_BIN=1", "Active")</f>
        <v/>
      </c>
      <c r="J1433" s="5">
        <f>HYPERLINK("https://www.ebay.com/sch/261328/i.html?_from=R40&amp;_nkw=2026%20Bowman%20GAGE%20JUMP%20%23BP-15%20Neon%20Green%20Border%20%2F399%201st%20Prospect%20Athletics&amp;_sacat=0&amp;LH_Sold=1&amp;LH_Complete=1&amp;_sop=13", "Completed")</f>
        <v/>
      </c>
      <c r="K1433" s="5" t="inlineStr">
        <is>
          <t>2026 Bowman GAGE JUMP #BP-15 Neon Green Border /399 1st Prospect Athletics</t>
        </is>
      </c>
    </row>
    <row r="1434">
      <c r="A1434" s="2" t="inlineStr">
        <is>
          <t>WHATNOT-0003-00048-23812</t>
        </is>
      </c>
      <c r="B1434" s="2" t="inlineStr">
        <is>
          <t>2024 Bowman SAMUEL BASALLO #PP-8 Prospect Power Up Orioles</t>
        </is>
      </c>
      <c r="C1434" s="3" t="n">
        <v>2.99</v>
      </c>
      <c r="D1434" s="3" t="n">
        <v>2.49</v>
      </c>
      <c r="E1434" s="3" t="n">
        <v>-0.5</v>
      </c>
      <c r="F1434" s="4" t="n">
        <v>-16.7</v>
      </c>
      <c r="G1434" s="2" t="inlineStr">
        <is>
          <t>🔵 Floored $2.49 — free ship or $0.99 ship?</t>
        </is>
      </c>
      <c r="H1434" s="2" t="inlineStr">
        <is>
          <t>87%</t>
        </is>
      </c>
      <c r="I1434" s="2">
        <f>HYPERLINK("https://www.ebay.com/sch/261328/i.html?_dcat=261328&amp;_fsrp=1&amp;rt=nc&amp;_from=R40&amp;_nkw=2024%20Bowman%20SAMUEL%20BASALLO%20%23PP-8%20Prospect%20Power%20Up%20Orioles&amp;_sacat=0&amp;_sop=15&amp;rt=nc&amp;LH_BIN=1", "Active")</f>
        <v/>
      </c>
      <c r="J1434" s="2">
        <f>HYPERLINK("https://www.ebay.com/sch/261328/i.html?_from=R40&amp;_nkw=2024%20Bowman%20SAMUEL%20BASALLO%20%23PP-8%20Prospect%20Power%20Up%20Orioles&amp;_sacat=0&amp;LH_Sold=1&amp;LH_Complete=1&amp;_sop=13", "Completed")</f>
        <v/>
      </c>
      <c r="K1434" s="2" t="inlineStr">
        <is>
          <t>2024 Bowman Prospect Power-Up #PP-8 Samuel Basallo Baltimore Orioles</t>
        </is>
      </c>
    </row>
    <row r="1435">
      <c r="A1435" s="5" t="inlineStr">
        <is>
          <t>WHATNOT-0003-00066-59516</t>
        </is>
      </c>
      <c r="B1435" s="5" t="inlineStr">
        <is>
          <t>2025 Bowman CARLOS LAGRANGE #BDC-132 Chrome Fuchsia Reptilian Refractor /199</t>
        </is>
      </c>
      <c r="C1435" s="6" t="n">
        <v>34.99</v>
      </c>
      <c r="D1435" s="6" t="n">
        <v>35.79</v>
      </c>
      <c r="E1435" s="6" t="n">
        <v>0.8</v>
      </c>
      <c r="F1435" s="7" t="n">
        <v>2.3</v>
      </c>
      <c r="G1435" s="5" t="inlineStr">
        <is>
          <t>⬆ Price Up</t>
        </is>
      </c>
      <c r="H1435" s="5" t="inlineStr">
        <is>
          <t>87%</t>
        </is>
      </c>
      <c r="I1435" s="5">
        <f>HYPERLINK("https://www.ebay.com/sch/261328/i.html?_dcat=261328&amp;_fsrp=1&amp;rt=nc&amp;_from=R40&amp;_nkw=2025%20Bowman%20CARLOS%20LAGRANGE%20%23BDC-132%20Chrome%20Fuchsia%20Reptilian%20Refractor%20%2F199&amp;_sacat=0&amp;_sop=15&amp;rt=nc&amp;LH_BIN=1", "Active")</f>
        <v/>
      </c>
      <c r="J1435" s="5">
        <f>HYPERLINK("https://www.ebay.com/sch/261328/i.html?_from=R40&amp;_nkw=2025%20Bowman%20CARLOS%20LAGRANGE%20%23BDC-132%20Chrome%20Fuchsia%20Reptilian%20Refractor%20%2F199&amp;_sacat=0&amp;LH_Sold=1&amp;LH_Complete=1&amp;_sop=13", "Completed")</f>
        <v/>
      </c>
      <c r="K1435" s="5" t="inlineStr">
        <is>
          <t>2025 Bowman Draft #BDC-132 Carlos Lagrange Fuchsia Reptilian Refractor #/199</t>
        </is>
      </c>
    </row>
    <row r="1436">
      <c r="A1436" s="2" t="inlineStr">
        <is>
          <t>WHATNOT-0003-00050-32649</t>
        </is>
      </c>
      <c r="B1436" s="2" t="inlineStr">
        <is>
          <t>2023 Bowman Mega Box DEYVISON DE LOS SANTOS #BCP-116 Prospects Mojo Refractor</t>
        </is>
      </c>
      <c r="C1436" s="3" t="n">
        <v>2.99</v>
      </c>
      <c r="D1436" s="3" t="n">
        <v>2.49</v>
      </c>
      <c r="E1436" s="3" t="n">
        <v>-0.5</v>
      </c>
      <c r="F1436" s="4" t="n">
        <v>-16.7</v>
      </c>
      <c r="G1436" s="2" t="inlineStr">
        <is>
          <t>🔵 Floored $2.49 — free ship or $0.99 ship?</t>
        </is>
      </c>
      <c r="H1436" s="2" t="inlineStr">
        <is>
          <t>78%</t>
        </is>
      </c>
      <c r="I1436" s="2">
        <f>HYPERLINK("https://www.ebay.com/sch/261328/i.html?_dcat=261328&amp;_fsrp=1&amp;rt=nc&amp;_from=R40&amp;_nkw=2023%20Bowman%20Mega%20Box%20DEYVISON%20DE%20LOS%20SANTOS%20%23BCP-116%20Prospects%20Mojo%20Refractor&amp;_sacat=0&amp;_sop=15&amp;rt=nc&amp;LH_BIN=1", "Active")</f>
        <v/>
      </c>
      <c r="J1436" s="2">
        <f>HYPERLINK("https://www.ebay.com/sch/261328/i.html?_from=R40&amp;_nkw=2023%20Bowman%20Mega%20Box%20DEYVISON%20DE%20LOS%20SANTOS%20%23BCP-116%20Prospects%20Mojo%20Refractor&amp;_sacat=0&amp;LH_Sold=1&amp;LH_Complete=1&amp;_sop=13", "Completed")</f>
        <v/>
      </c>
      <c r="K1436" s="2" t="inlineStr">
        <is>
          <t>Deyvison De Los Santos 2023 1st Bowman Chrome BCP-116 Prospect Mojo Mega Box</t>
        </is>
      </c>
    </row>
    <row r="1437">
      <c r="A1437" s="2" t="inlineStr">
        <is>
          <t>WHATNOT-0003-00039-37776</t>
        </is>
      </c>
      <c r="B1437" s="2" t="inlineStr">
        <is>
          <t>2026 Bowman EDWARD FLORENTINO #UR-9 Under the Radar Chrome Pirates</t>
        </is>
      </c>
      <c r="C1437" s="3" t="n">
        <v>2.99</v>
      </c>
      <c r="D1437" s="3" t="n">
        <v>2.49</v>
      </c>
      <c r="E1437" s="3" t="n">
        <v>-0.5</v>
      </c>
      <c r="F1437" s="4" t="n">
        <v>-16.7</v>
      </c>
      <c r="G1437" s="2" t="inlineStr">
        <is>
          <t>🔵 Floored $2.49 — free ship or $0.99 ship?</t>
        </is>
      </c>
      <c r="H1437" s="2" t="inlineStr">
        <is>
          <t>88%</t>
        </is>
      </c>
      <c r="I1437" s="2">
        <f>HYPERLINK("https://www.ebay.com/sch/261328/i.html?_dcat=261328&amp;_fsrp=1&amp;rt=nc&amp;_from=R40&amp;_nkw=2026%20Bowman%20EDWARD%20FLORENTINO%20%23UR-9%20Under%20the%20Radar%20Chrome%20Pirates&amp;_sacat=0&amp;_sop=15&amp;rt=nc&amp;LH_BIN=1", "Active")</f>
        <v/>
      </c>
      <c r="J1437" s="2">
        <f>HYPERLINK("https://www.ebay.com/sch/261328/i.html?_from=R40&amp;_nkw=2026%20Bowman%20EDWARD%20FLORENTINO%20%23UR-9%20Under%20the%20Radar%20Chrome%20Pirates&amp;_sacat=0&amp;LH_Sold=1&amp;LH_Complete=1&amp;_sop=13", "Completed")</f>
        <v/>
      </c>
      <c r="K1437" s="2" t="inlineStr">
        <is>
          <t>2026 Bowman Chrome - Under the Radar Edward Florentino #UR-9 Pirates</t>
        </is>
      </c>
    </row>
    <row r="1438">
      <c r="A1438" s="2" t="inlineStr">
        <is>
          <t>WHATNOT-0003-00029-07297</t>
        </is>
      </c>
      <c r="B1438" s="2" t="inlineStr">
        <is>
          <t>2025 Bowman Chrome SAMMY HERNANDEZ #CPA-SH Prospect Auto Cardinals Football</t>
        </is>
      </c>
      <c r="C1438" s="3" t="n">
        <v>7.49</v>
      </c>
      <c r="D1438" s="3" t="n">
        <v>2.49</v>
      </c>
      <c r="E1438" s="3" t="n">
        <v>-5</v>
      </c>
      <c r="F1438" s="4" t="n">
        <v>-66.8</v>
      </c>
      <c r="G1438" s="2" t="inlineStr">
        <is>
          <t>🔵 Floored $2.49 — free ship or $0.99 ship?</t>
        </is>
      </c>
      <c r="H1438" s="2" t="inlineStr"/>
      <c r="I1438" s="2">
        <f>HYPERLINK("https://www.ebay.com/sch/261328/i.html?_dcat=261328&amp;_fsrp=1&amp;rt=nc&amp;_from=R40&amp;_nkw=2025%20Bowman%20Chrome%20SAMMY%20HERNANDEZ%20%23CPA-SH%20Prospect%20Auto%20Cardinals%20Football&amp;_sacat=0&amp;_sop=15&amp;rt=nc&amp;LH_BIN=1", "Active")</f>
        <v/>
      </c>
      <c r="J1438" s="2">
        <f>HYPERLINK("https://www.ebay.com/sch/261328/i.html?_from=R40&amp;_nkw=2025%20Bowman%20Chrome%20SAMMY%20HERNANDEZ%20%23CPA-SH%20Prospect%20Auto%20Cardinals%20Football&amp;_sacat=0&amp;LH_Sold=1&amp;LH_Complete=1&amp;_sop=13", "Completed")</f>
        <v/>
      </c>
      <c r="K1438" s="2" t="inlineStr">
        <is>
          <t>No Close Result Found</t>
        </is>
      </c>
    </row>
    <row r="1439">
      <c r="A1439" s="2" t="inlineStr">
        <is>
          <t>WHATNOT-0003-00055-12703</t>
        </is>
      </c>
      <c r="B1439" s="2" t="inlineStr">
        <is>
          <t>2026 Bowman CARLOS GUTIERREZ #CPA-CGU Chrome Auto 1st Prospect Giants Football</t>
        </is>
      </c>
      <c r="C1439" s="3" t="n">
        <v>8.99</v>
      </c>
      <c r="D1439" s="3" t="n">
        <v>2.49</v>
      </c>
      <c r="E1439" s="3" t="n">
        <v>-6.5</v>
      </c>
      <c r="F1439" s="4" t="n">
        <v>-72.3</v>
      </c>
      <c r="G1439" s="2" t="inlineStr">
        <is>
          <t>🔵 Floored $2.49 — free ship or $0.99 ship?</t>
        </is>
      </c>
      <c r="H1439" s="2" t="inlineStr"/>
      <c r="I1439" s="2">
        <f>HYPERLINK("https://www.ebay.com/sch/261328/i.html?_dcat=261328&amp;_fsrp=1&amp;rt=nc&amp;_from=R40&amp;_nkw=2026%20Bowman%20CARLOS%20GUTIERREZ%20%23CPA-CGU%20Chrome%20Auto%201st%20Prospect%20Giants%20Football&amp;_sacat=0&amp;_sop=15&amp;rt=nc&amp;LH_BIN=1", "Active")</f>
        <v/>
      </c>
      <c r="J1439" s="2">
        <f>HYPERLINK("https://www.ebay.com/sch/261328/i.html?_from=R40&amp;_nkw=2026%20Bowman%20CARLOS%20GUTIERREZ%20%23CPA-CGU%20Chrome%20Auto%201st%20Prospect%20Giants%20Football&amp;_sacat=0&amp;LH_Sold=1&amp;LH_Complete=1&amp;_sop=13", "Completed")</f>
        <v/>
      </c>
      <c r="K1439" s="2" t="inlineStr">
        <is>
          <t>No Close Result Found</t>
        </is>
      </c>
    </row>
    <row r="1440">
      <c r="A1440" s="5" t="inlineStr">
        <is>
          <t>WHATNOT-0003-00043-50338</t>
        </is>
      </c>
      <c r="B1440" s="5" t="inlineStr">
        <is>
          <t>2023 Bowman Chrome ADLEY RUTSCHMAN #CFL-5 It Came to the League RC Orioles</t>
        </is>
      </c>
      <c r="C1440" s="6" t="n">
        <v>2.99</v>
      </c>
      <c r="D1440" s="6" t="n">
        <v>3.29</v>
      </c>
      <c r="E1440" s="6" t="n">
        <v>0.3</v>
      </c>
      <c r="F1440" s="7" t="n">
        <v>10</v>
      </c>
      <c r="G1440" s="5" t="inlineStr">
        <is>
          <t>⬆ Price Up</t>
        </is>
      </c>
      <c r="H1440" s="5" t="inlineStr">
        <is>
          <t>89%</t>
        </is>
      </c>
      <c r="I1440" s="5">
        <f>HYPERLINK("https://www.ebay.com/sch/261328/i.html?_dcat=261328&amp;_fsrp=1&amp;rt=nc&amp;_from=R40&amp;_nkw=2023%20Bowman%20Chrome%20ADLEY%20RUTSCHMAN%20%23CFL-5%20It%20Came%20to%20the%20League%20RC%20Orioles&amp;_sacat=0&amp;_sop=15&amp;rt=nc&amp;LH_BIN=1", "Active")</f>
        <v/>
      </c>
      <c r="J1440" s="5">
        <f>HYPERLINK("https://www.ebay.com/sch/261328/i.html?_from=R40&amp;_nkw=2023%20Bowman%20Chrome%20ADLEY%20RUTSCHMAN%20%23CFL-5%20It%20Came%20to%20the%20League%20RC%20Orioles&amp;_sacat=0&amp;LH_Sold=1&amp;LH_Complete=1&amp;_sop=13", "Completed")</f>
        <v/>
      </c>
      <c r="K1440" s="5" t="inlineStr">
        <is>
          <t>2023 Bowman Chrome Adley Rutschman It Came To The League RC Orioles #CFL-5</t>
        </is>
      </c>
    </row>
    <row r="1441">
      <c r="A1441" s="11" t="inlineStr">
        <is>
          <t>WHATNOT-0003-00047-15056</t>
        </is>
      </c>
      <c r="B1441" s="11" t="inlineStr">
        <is>
          <t>2023 Bowman's Best JOSH JUNG #AP-28 Astral Projections RC Rangers Rookie</t>
        </is>
      </c>
      <c r="C1441" s="12" t="n">
        <v>4.99</v>
      </c>
      <c r="D1441" s="12" t="n">
        <v>2.89</v>
      </c>
      <c r="E1441" s="12" t="n">
        <v>-2.1</v>
      </c>
      <c r="F1441" s="13" t="n">
        <v>-42.1</v>
      </c>
      <c r="G1441" s="11" t="inlineStr">
        <is>
          <t>⬇ Price Down</t>
        </is>
      </c>
      <c r="H1441" s="11" t="inlineStr">
        <is>
          <t>79%</t>
        </is>
      </c>
      <c r="I1441" s="11">
        <f>HYPERLINK("https://www.ebay.com/sch/261328/i.html?_dcat=261328&amp;_fsrp=1&amp;rt=nc&amp;_from=R40&amp;_nkw=2023%20Bowman's%20Best%20JOSH%20JUNG%20%23AP-28%20Astral%20Projections%20RC%20Rangers%20Rookie&amp;_sacat=0&amp;_sop=15&amp;rt=nc&amp;LH_BIN=1", "Active")</f>
        <v/>
      </c>
      <c r="J1441" s="11">
        <f>HYPERLINK("https://www.ebay.com/sch/261328/i.html?_from=R40&amp;_nkw=2023%20Bowman's%20Best%20JOSH%20JUNG%20%23AP-28%20Astral%20Projections%20RC%20Rangers%20Rookie&amp;_sacat=0&amp;LH_Sold=1&amp;LH_Complete=1&amp;_sop=13", "Completed")</f>
        <v/>
      </c>
      <c r="K1441" s="11" t="inlineStr">
        <is>
          <t>Josh Jung 2023 Bowman's Best Astral Projections RC #AP-28 Texas Rangers</t>
        </is>
      </c>
    </row>
    <row r="1442">
      <c r="A1442" s="8" t="inlineStr">
        <is>
          <t>WHATNOT-0003-00044-48044</t>
        </is>
      </c>
      <c r="B1442" s="8" t="inlineStr">
        <is>
          <t>2025 Bowman Draft MIKE SIROTA #BDC-11 Chrome Dodgers</t>
        </is>
      </c>
      <c r="C1442" s="9" t="n">
        <v>2.49</v>
      </c>
      <c r="D1442" s="9" t="n">
        <v>2.49</v>
      </c>
      <c r="E1442" s="9" t="n">
        <v>0</v>
      </c>
      <c r="F1442" s="10" t="n">
        <v>0</v>
      </c>
      <c r="G1442" s="8" t="inlineStr">
        <is>
          <t>— No Change</t>
        </is>
      </c>
      <c r="H1442" s="8" t="inlineStr">
        <is>
          <t>67%</t>
        </is>
      </c>
      <c r="I1442" s="8">
        <f>HYPERLINK("https://www.ebay.com/sch/261328/i.html?_dcat=261328&amp;_fsrp=1&amp;rt=nc&amp;_from=R40&amp;_nkw=2025%20Bowman%20Draft%20MIKE%20SIROTA%20%23BDC-11%20Chrome%20Dodgers&amp;_sacat=0&amp;_sop=15&amp;rt=nc&amp;LH_BIN=1", "Active")</f>
        <v/>
      </c>
      <c r="J1442" s="8">
        <f>HYPERLINK("https://www.ebay.com/sch/261328/i.html?_from=R40&amp;_nkw=2025%20Bowman%20Draft%20MIKE%20SIROTA%20%23BDC-11%20Chrome%20Dodgers&amp;_sacat=0&amp;LH_Sold=1&amp;LH_Complete=1&amp;_sop=13", "Completed")</f>
        <v/>
      </c>
      <c r="K1442" s="8" t="inlineStr">
        <is>
          <t>2025 Bowman Draft Chrome Base, Inserts, Refractors - Pick Your Card</t>
        </is>
      </c>
    </row>
    <row r="1443">
      <c r="A1443" s="2" t="inlineStr">
        <is>
          <t>WHATNOT-0003-00053-00804</t>
        </is>
      </c>
      <c r="B1443" s="2" t="inlineStr">
        <is>
          <t>2026 Bowman COLT EMERSON #UR-4 Under the Radar Chrome Mariners</t>
        </is>
      </c>
      <c r="C1443" s="3" t="n">
        <v>2.99</v>
      </c>
      <c r="D1443" s="3" t="n">
        <v>2.49</v>
      </c>
      <c r="E1443" s="3" t="n">
        <v>-0.5</v>
      </c>
      <c r="F1443" s="4" t="n">
        <v>-16.7</v>
      </c>
      <c r="G1443" s="2" t="inlineStr">
        <is>
          <t>🔵 Floored $2.49 — free ship or $0.99 ship?</t>
        </is>
      </c>
      <c r="H1443" s="2" t="inlineStr">
        <is>
          <t>89%</t>
        </is>
      </c>
      <c r="I1443" s="2">
        <f>HYPERLINK("https://www.ebay.com/sch/261328/i.html?_dcat=261328&amp;_fsrp=1&amp;rt=nc&amp;_from=R40&amp;_nkw=2026%20Bowman%20COLT%20EMERSON%20%23UR-4%20Under%20the%20Radar%20Chrome%20Mariners&amp;_sacat=0&amp;_sop=15&amp;rt=nc&amp;LH_BIN=1", "Active")</f>
        <v/>
      </c>
      <c r="J1443" s="2">
        <f>HYPERLINK("https://www.ebay.com/sch/261328/i.html?_from=R40&amp;_nkw=2026%20Bowman%20COLT%20EMERSON%20%23UR-4%20Under%20the%20Radar%20Chrome%20Mariners&amp;_sacat=0&amp;LH_Sold=1&amp;LH_Complete=1&amp;_sop=13", "Completed")</f>
        <v/>
      </c>
      <c r="K1443" s="2" t="inlineStr">
        <is>
          <t>2026 Bowman Chrome Under the Radar - Colt Emerson #UR-4 Mariners</t>
        </is>
      </c>
    </row>
    <row r="1444">
      <c r="A1444" s="5" t="inlineStr">
        <is>
          <t>WHATNOT-0003-00046-75516</t>
        </is>
      </c>
      <c r="B1444" s="5" t="inlineStr">
        <is>
          <t>2025 Bowman Draft RAINIEL RODRIGUEZ #BDC-72 Chrome Cardinals Football</t>
        </is>
      </c>
      <c r="C1444" s="6" t="n">
        <v>2.99</v>
      </c>
      <c r="D1444" s="6" t="n">
        <v>4.79</v>
      </c>
      <c r="E1444" s="6" t="n">
        <v>1.8</v>
      </c>
      <c r="F1444" s="7" t="n">
        <v>60.2</v>
      </c>
      <c r="G1444" s="5" t="inlineStr">
        <is>
          <t>⬆ Price Up</t>
        </is>
      </c>
      <c r="H1444" s="5" t="inlineStr">
        <is>
          <t>87%</t>
        </is>
      </c>
      <c r="I1444" s="5">
        <f>HYPERLINK("https://www.ebay.com/sch/261328/i.html?_dcat=261328&amp;_fsrp=1&amp;rt=nc&amp;_from=R40&amp;_nkw=2025%20Bowman%20Draft%20RAINIEL%20RODRIGUEZ%20%23BDC-72%20Chrome%20Cardinals%20Football&amp;_sacat=0&amp;_sop=15&amp;rt=nc&amp;LH_BIN=1", "Active")</f>
        <v/>
      </c>
      <c r="J1444" s="5">
        <f>HYPERLINK("https://www.ebay.com/sch/261328/i.html?_from=R40&amp;_nkw=2025%20Bowman%20Draft%20RAINIEL%20RODRIGUEZ%20%23BDC-72%20Chrome%20Cardinals%20Football&amp;_sacat=0&amp;LH_Sold=1&amp;LH_Complete=1&amp;_sop=13", "Completed")</f>
        <v/>
      </c>
      <c r="K1444" s="5" t="inlineStr">
        <is>
          <t>2025 Bowman Draft RAINIEL RODRIGUEZ #BDC-72 Chrome Refractor Cardinals Football</t>
        </is>
      </c>
    </row>
    <row r="1445">
      <c r="A1445" s="5" t="inlineStr">
        <is>
          <t>WHATNOT-0003-00018-58326</t>
        </is>
      </c>
      <c r="B1445" s="5" t="inlineStr">
        <is>
          <t>2026 Topps Series 1 MIKE TROUT #91C-42 1991 Chrome Silver Orange Mojo Refr /25</t>
        </is>
      </c>
      <c r="C1445" s="6" t="n">
        <v>179.99</v>
      </c>
      <c r="D1445" s="6" t="n">
        <v>186.79</v>
      </c>
      <c r="E1445" s="6" t="n">
        <v>6.8</v>
      </c>
      <c r="F1445" s="7" t="n">
        <v>3.8</v>
      </c>
      <c r="G1445" s="5" t="inlineStr">
        <is>
          <t>⬆ Price Up</t>
        </is>
      </c>
      <c r="H1445" s="5" t="inlineStr">
        <is>
          <t>100%</t>
        </is>
      </c>
      <c r="I1445" s="5">
        <f>HYPERLINK("https://www.ebay.com/sch/261328/i.html?_dcat=261328&amp;_fsrp=1&amp;rt=nc&amp;_from=R40&amp;_nkw=2026%20Topps%20Series%201%20MIKE%20TROUT%20%2391C-42%201991%20Chrome%20Silver%20Orange%20Mojo%20Refr%20%2F25&amp;_sacat=0&amp;_sop=15&amp;rt=nc&amp;LH_BIN=1", "Active")</f>
        <v/>
      </c>
      <c r="J1445" s="5">
        <f>HYPERLINK("https://www.ebay.com/sch/261328/i.html?_from=R40&amp;_nkw=2026%20Topps%20Series%201%20MIKE%20TROUT%20%2391C-42%201991%20Chrome%20Silver%20Orange%20Mojo%20Refr%20%2F25&amp;_sacat=0&amp;LH_Sold=1&amp;LH_Complete=1&amp;_sop=13", "Completed")</f>
        <v/>
      </c>
      <c r="K1445" s="5" t="inlineStr">
        <is>
          <t>2026 Topps Series 1 MIKE TROUT #91C-42 1991 Chrome Silver Orange Mojo Refr /25</t>
        </is>
      </c>
    </row>
    <row r="1446">
      <c r="A1446" s="5" t="inlineStr">
        <is>
          <t>WHATNOT-0003-00062-93409</t>
        </is>
      </c>
      <c r="B1446" s="5" t="inlineStr">
        <is>
          <t>2022 Topps Update 100 CAREER HOME RUNS CL, #US92 Royal Blue Angels</t>
        </is>
      </c>
      <c r="C1446" s="6" t="n">
        <v>10.09</v>
      </c>
      <c r="D1446" s="6" t="n">
        <v>11.19</v>
      </c>
      <c r="E1446" s="6" t="n">
        <v>1.1</v>
      </c>
      <c r="F1446" s="7" t="n">
        <v>10.9</v>
      </c>
      <c r="G1446" s="5" t="inlineStr">
        <is>
          <t>⬆ Price Up</t>
        </is>
      </c>
      <c r="H1446" s="5" t="inlineStr">
        <is>
          <t>100%</t>
        </is>
      </c>
      <c r="I1446" s="5">
        <f>HYPERLINK("https://www.ebay.com/sch/261328/i.html?_dcat=261328&amp;_fsrp=1&amp;rt=nc&amp;_from=R40&amp;_nkw=2022%20Topps%20Update%20100%20CAREER%20HOME%20RUNS%20CL%2C%20%23US92%20Royal%20Blue%20Angels&amp;_sacat=0&amp;_sop=15&amp;rt=nc&amp;LH_BIN=1", "Active")</f>
        <v/>
      </c>
      <c r="J1446" s="5">
        <f>HYPERLINK("https://www.ebay.com/sch/261328/i.html?_from=R40&amp;_nkw=2022%20Topps%20Update%20100%20CAREER%20HOME%20RUNS%20CL%2C%20%23US92%20Royal%20Blue%20Angels&amp;_sacat=0&amp;LH_Sold=1&amp;LH_Complete=1&amp;_sop=13", "Completed")</f>
        <v/>
      </c>
      <c r="K1446" s="5" t="inlineStr">
        <is>
          <t>2022 Topps Update 100 CAREER HOME RUNS CL, #US92 Royal Blue Angels</t>
        </is>
      </c>
    </row>
    <row r="1447">
      <c r="A1447" s="2" t="inlineStr">
        <is>
          <t>WHATNOT-0003-00060-25114</t>
        </is>
      </c>
      <c r="B1447" s="2" t="inlineStr">
        <is>
          <t>2026 Bowman Mega Box SEOJUN MOON #BCP-45 Chrome Mojo Refractor 1st Prospect</t>
        </is>
      </c>
      <c r="C1447" s="3" t="n">
        <v>3.49</v>
      </c>
      <c r="D1447" s="3" t="n">
        <v>2.49</v>
      </c>
      <c r="E1447" s="3" t="n">
        <v>-1</v>
      </c>
      <c r="F1447" s="4" t="n">
        <v>-28.7</v>
      </c>
      <c r="G1447" s="2" t="inlineStr">
        <is>
          <t>🔵 Floored $2.49 — free ship or $0.99 ship?</t>
        </is>
      </c>
      <c r="H1447" s="2" t="inlineStr">
        <is>
          <t>100%</t>
        </is>
      </c>
      <c r="I1447" s="2">
        <f>HYPERLINK("https://www.ebay.com/sch/261328/i.html?_dcat=261328&amp;_fsrp=1&amp;rt=nc&amp;_from=R40&amp;_nkw=2026%20Bowman%20Mega%20Box%20SEOJUN%20MOON%20%23BCP-45%20Chrome%20Mojo%20Refractor%201st%20Prospect&amp;_sacat=0&amp;_sop=15&amp;rt=nc&amp;LH_BIN=1", "Active")</f>
        <v/>
      </c>
      <c r="J1447" s="2">
        <f>HYPERLINK("https://www.ebay.com/sch/261328/i.html?_from=R40&amp;_nkw=2026%20Bowman%20Mega%20Box%20SEOJUN%20MOON%20%23BCP-45%20Chrome%20Mojo%20Refractor%201st%20Prospect&amp;_sacat=0&amp;LH_Sold=1&amp;LH_Complete=1&amp;_sop=13", "Completed")</f>
        <v/>
      </c>
      <c r="K1447" s="2" t="inlineStr">
        <is>
          <t>2026 Bowman Mega Box Seojun Moon #BCP-45 Chrome Mojo Refractor 1st Prospect</t>
        </is>
      </c>
    </row>
    <row r="1448">
      <c r="A1448" s="5" t="inlineStr">
        <is>
          <t>WHATNOT-0003-00049-10647</t>
        </is>
      </c>
      <c r="B1448" s="5" t="inlineStr">
        <is>
          <t>2022 Bowman's Best ELLY DE LA CRUZ #TP-17 Top Prospects Refractor Reds</t>
        </is>
      </c>
      <c r="C1448" s="6" t="n">
        <v>4.39</v>
      </c>
      <c r="D1448" s="6" t="n">
        <v>5.59</v>
      </c>
      <c r="E1448" s="6" t="n">
        <v>1.2</v>
      </c>
      <c r="F1448" s="7" t="n">
        <v>27.3</v>
      </c>
      <c r="G1448" s="5" t="inlineStr">
        <is>
          <t>⬆ Price Up</t>
        </is>
      </c>
      <c r="H1448" s="5" t="inlineStr">
        <is>
          <t>84%</t>
        </is>
      </c>
      <c r="I1448" s="5">
        <f>HYPERLINK("https://www.ebay.com/sch/261328/i.html?_dcat=261328&amp;_fsrp=1&amp;rt=nc&amp;_from=R40&amp;_nkw=2022%20Bowman's%20Best%20ELLY%20DE%20LA%20CRUZ%20%23TP-17%20Top%20Prospects%20Refractor%20Reds&amp;_sacat=0&amp;_sop=15&amp;rt=nc&amp;LH_BIN=1", "Active")</f>
        <v/>
      </c>
      <c r="J1448" s="5">
        <f>HYPERLINK("https://www.ebay.com/sch/261328/i.html?_from=R40&amp;_nkw=2022%20Bowman's%20Best%20ELLY%20DE%20LA%20CRUZ%20%23TP-17%20Top%20Prospects%20Refractor%20Reds&amp;_sacat=0&amp;LH_Sold=1&amp;LH_Complete=1&amp;_sop=13", "Completed")</f>
        <v/>
      </c>
      <c r="K1448" s="5" t="inlineStr">
        <is>
          <t>2022 Bowman's Best Elly De La Cruz #TP-17 Refractor Cincinnati Reds</t>
        </is>
      </c>
    </row>
    <row r="1449">
      <c r="A1449" s="5" t="inlineStr">
        <is>
          <t>WHATNOT-0003-00034-44013</t>
        </is>
      </c>
      <c r="B1449" s="5" t="inlineStr">
        <is>
          <t>2025 Bowman's Best ROKI SASAKI #P-7 Pixel Portraits RC Dodgers Rookie</t>
        </is>
      </c>
      <c r="C1449" s="6" t="n">
        <v>5.99</v>
      </c>
      <c r="D1449" s="6" t="n">
        <v>6.19</v>
      </c>
      <c r="E1449" s="6" t="n">
        <v>0.2</v>
      </c>
      <c r="F1449" s="7" t="n">
        <v>3.3</v>
      </c>
      <c r="G1449" s="5" t="inlineStr">
        <is>
          <t>⬆ Price Up</t>
        </is>
      </c>
      <c r="H1449" s="5" t="inlineStr">
        <is>
          <t>82%</t>
        </is>
      </c>
      <c r="I1449" s="5">
        <f>HYPERLINK("https://www.ebay.com/sch/261328/i.html?_dcat=261328&amp;_fsrp=1&amp;rt=nc&amp;_from=R40&amp;_nkw=2025%20Bowman's%20Best%20ROKI%20SASAKI%20%23P-7%20Pixel%20Portraits%20RC%20Dodgers%20Rookie&amp;_sacat=0&amp;_sop=15&amp;rt=nc&amp;LH_BIN=1", "Active")</f>
        <v/>
      </c>
      <c r="J1449" s="5">
        <f>HYPERLINK("https://www.ebay.com/sch/261328/i.html?_from=R40&amp;_nkw=2025%20Bowman's%20Best%20ROKI%20SASAKI%20%23P-7%20Pixel%20Portraits%20RC%20Dodgers%20Rookie&amp;_sacat=0&amp;LH_Sold=1&amp;LH_Complete=1&amp;_sop=13", "Completed")</f>
        <v/>
      </c>
      <c r="K1449" s="5" t="inlineStr">
        <is>
          <t>Roki Sasaki 2025 Bowman's Best - Pixel Portraits #P-7 (RC) Dodgers Rookie</t>
        </is>
      </c>
    </row>
    <row r="1450">
      <c r="A1450" s="5" t="inlineStr">
        <is>
          <t>WHATNOT-0003-00037-87616</t>
        </is>
      </c>
      <c r="B1450" s="5" t="inlineStr">
        <is>
          <t>2025 Bowman WEN-HUI PAN #BCP-6 Chrome Orange Shimmer Refractor /25 1st Prospect</t>
        </is>
      </c>
      <c r="C1450" s="6" t="n">
        <v>50.59</v>
      </c>
      <c r="D1450" s="6" t="n">
        <v>57.99</v>
      </c>
      <c r="E1450" s="6" t="n">
        <v>7.4</v>
      </c>
      <c r="F1450" s="7" t="n">
        <v>14.6</v>
      </c>
      <c r="G1450" s="5" t="inlineStr">
        <is>
          <t>⬆ Price Up</t>
        </is>
      </c>
      <c r="H1450" s="5" t="inlineStr">
        <is>
          <t>100%</t>
        </is>
      </c>
      <c r="I1450" s="5">
        <f>HYPERLINK("https://www.ebay.com/sch/261328/i.html?_dcat=261328&amp;_fsrp=1&amp;rt=nc&amp;_from=R40&amp;_nkw=2025%20Bowman%20WEN-HUI%20PAN%20%23BCP-6%20Chrome%20Orange%20Shimmer%20Refractor%20%2F25%201st%20Prospect&amp;_sacat=0&amp;_sop=15&amp;rt=nc&amp;LH_BIN=1", "Active")</f>
        <v/>
      </c>
      <c r="J1450" s="5">
        <f>HYPERLINK("https://www.ebay.com/sch/261328/i.html?_from=R40&amp;_nkw=2025%20Bowman%20WEN-HUI%20PAN%20%23BCP-6%20Chrome%20Orange%20Shimmer%20Refractor%20%2F25%201st%20Prospect&amp;_sacat=0&amp;LH_Sold=1&amp;LH_Complete=1&amp;_sop=13", "Completed")</f>
        <v/>
      </c>
      <c r="K1450" s="5" t="inlineStr">
        <is>
          <t>2025 Bowman WEN-HUI PAN #BCP-6 Chrome Orange Shimmer Refractor /25 1st Prospect</t>
        </is>
      </c>
    </row>
    <row r="1451">
      <c r="A1451" s="5" t="inlineStr">
        <is>
          <t>WHATNOT-0003-00024-60741</t>
        </is>
      </c>
      <c r="B1451" s="5" t="inlineStr">
        <is>
          <t>2023 Bowman Chrome JUNIOR CAMINERO #BCP-162 Prospects Fuchsia Shimmer /199</t>
        </is>
      </c>
      <c r="C1451" s="6" t="n">
        <v>50.59</v>
      </c>
      <c r="D1451" s="6" t="n">
        <v>57.99</v>
      </c>
      <c r="E1451" s="6" t="n">
        <v>7.4</v>
      </c>
      <c r="F1451" s="7" t="n">
        <v>14.6</v>
      </c>
      <c r="G1451" s="5" t="inlineStr">
        <is>
          <t>⬆ Price Up</t>
        </is>
      </c>
      <c r="H1451" s="5" t="inlineStr">
        <is>
          <t>100%</t>
        </is>
      </c>
      <c r="I1451" s="5">
        <f>HYPERLINK("https://www.ebay.com/sch/261328/i.html?_dcat=261328&amp;_fsrp=1&amp;rt=nc&amp;_from=R40&amp;_nkw=2023%20Bowman%20Chrome%20JUNIOR%20CAMINERO%20%23BCP-162%20Prospects%20Fuchsia%20Shimmer%20%2F199&amp;_sacat=0&amp;_sop=15&amp;rt=nc&amp;LH_BIN=1", "Active")</f>
        <v/>
      </c>
      <c r="J1451" s="5">
        <f>HYPERLINK("https://www.ebay.com/sch/261328/i.html?_from=R40&amp;_nkw=2023%20Bowman%20Chrome%20JUNIOR%20CAMINERO%20%23BCP-162%20Prospects%20Fuchsia%20Shimmer%20%2F199&amp;_sacat=0&amp;LH_Sold=1&amp;LH_Complete=1&amp;_sop=13", "Completed")</f>
        <v/>
      </c>
      <c r="K1451" s="5" t="inlineStr">
        <is>
          <t>2023 Bowman Chrome JUNIOR CAMINERO #BCP-162 Prospects Fuchsia Shimmer /199</t>
        </is>
      </c>
    </row>
    <row r="1452">
      <c r="A1452" s="2" t="inlineStr">
        <is>
          <t>WHATNOT-0003-00040-72935</t>
        </is>
      </c>
      <c r="B1452" s="2" t="inlineStr">
        <is>
          <t>2026 Bowman CHARLES DAVALAN #BP-73 Prospects Fuchsia Border /299 Dodgers</t>
        </is>
      </c>
      <c r="C1452" s="3" t="n">
        <v>4.99</v>
      </c>
      <c r="D1452" s="3" t="n">
        <v>2.49</v>
      </c>
      <c r="E1452" s="3" t="n">
        <v>-2.5</v>
      </c>
      <c r="F1452" s="4" t="n">
        <v>-50.1</v>
      </c>
      <c r="G1452" s="2" t="inlineStr">
        <is>
          <t>🔵 Floored $2.49 — free ship or $0.99 ship?</t>
        </is>
      </c>
      <c r="H1452" s="2" t="inlineStr"/>
      <c r="I1452" s="2">
        <f>HYPERLINK("https://www.ebay.com/sch/261328/i.html?_dcat=261328&amp;_fsrp=1&amp;rt=nc&amp;_from=R40&amp;_nkw=2026%20Bowman%20CHARLES%20DAVALAN%20%23BP-73%20Prospects%20Fuchsia%20Border%20%2F299%20Dodgers&amp;_sacat=0&amp;_sop=15&amp;rt=nc&amp;LH_BIN=1", "Active")</f>
        <v/>
      </c>
      <c r="J1452" s="2">
        <f>HYPERLINK("https://www.ebay.com/sch/261328/i.html?_from=R40&amp;_nkw=2026%20Bowman%20CHARLES%20DAVALAN%20%23BP-73%20Prospects%20Fuchsia%20Border%20%2F299%20Dodgers&amp;_sacat=0&amp;LH_Sold=1&amp;LH_Complete=1&amp;_sop=13", "Completed")</f>
        <v/>
      </c>
      <c r="K1452" s="2" t="inlineStr">
        <is>
          <t>No Close Result Found</t>
        </is>
      </c>
    </row>
    <row r="1453">
      <c r="A1453" s="11" t="inlineStr">
        <is>
          <t>WHATNOT-0003-00016-04342</t>
        </is>
      </c>
      <c r="B1453" s="11" t="inlineStr">
        <is>
          <t>2025 Bowman Draft BRYCE CUNNINGHAM #BDC-155 Chrome Orange Refractor /25 Yankees</t>
        </is>
      </c>
      <c r="C1453" s="12" t="n">
        <v>44.89</v>
      </c>
      <c r="D1453" s="12" t="n">
        <v>27.49</v>
      </c>
      <c r="E1453" s="12" t="n">
        <v>-17.4</v>
      </c>
      <c r="F1453" s="13" t="n">
        <v>-38.8</v>
      </c>
      <c r="G1453" s="11" t="inlineStr">
        <is>
          <t>⬇ Price Down</t>
        </is>
      </c>
      <c r="H1453" s="11" t="inlineStr">
        <is>
          <t>83%</t>
        </is>
      </c>
      <c r="I1453" s="11">
        <f>HYPERLINK("https://www.ebay.com/sch/261328/i.html?_dcat=261328&amp;_fsrp=1&amp;rt=nc&amp;_from=R40&amp;_nkw=2025%20Bowman%20Draft%20BRYCE%20CUNNINGHAM%20%23BDC-155%20Chrome%20Orange%20Refractor%20%2F25%20Yankees&amp;_sacat=0&amp;_sop=15&amp;rt=nc&amp;LH_BIN=1", "Active")</f>
        <v/>
      </c>
      <c r="J1453" s="11">
        <f>HYPERLINK("https://www.ebay.com/sch/261328/i.html?_from=R40&amp;_nkw=2025%20Bowman%20Draft%20BRYCE%20CUNNINGHAM%20%23BDC-155%20Chrome%20Orange%20Refractor%20%2F25%20Yankees&amp;_sacat=0&amp;LH_Sold=1&amp;LH_Complete=1&amp;_sop=13", "Completed")</f>
        <v/>
      </c>
      <c r="K1453" s="11" t="inlineStr">
        <is>
          <t>Bryce Cunningham 2025 Bowman Draft Chrome Orange Refractor /25 Yankees BDC-155</t>
        </is>
      </c>
    </row>
    <row r="1454">
      <c r="A1454" s="2" t="inlineStr">
        <is>
          <t>WHATNOT-0003-00003-52020</t>
        </is>
      </c>
      <c r="B1454" s="2" t="inlineStr">
        <is>
          <t>2025 Bowman's Best TYLER BREMNER #B25-TBR Best of Auto Gold Refractor /50 Angels</t>
        </is>
      </c>
      <c r="C1454" s="3" t="n">
        <v>82.59</v>
      </c>
      <c r="D1454" s="3" t="n">
        <v>2.49</v>
      </c>
      <c r="E1454" s="3" t="n">
        <v>-80.09999999999999</v>
      </c>
      <c r="F1454" s="4" t="n">
        <v>-97</v>
      </c>
      <c r="G1454" s="2" t="inlineStr">
        <is>
          <t>🔵 Floored $2.49 — free ship or $0.99 ship?</t>
        </is>
      </c>
      <c r="H1454" s="2" t="inlineStr"/>
      <c r="I1454" s="2">
        <f>HYPERLINK("https://www.ebay.com/sch/261328/i.html?_dcat=261328&amp;_fsrp=1&amp;rt=nc&amp;_from=R40&amp;_nkw=2025%20Bowman's%20Best%20TYLER%20BREMNER%20%23B25-TBR%20Best%20of%20Auto%20Gold%20Refractor%20%2F50%20Angels&amp;_sacat=0&amp;_sop=15&amp;rt=nc&amp;LH_BIN=1", "Active")</f>
        <v/>
      </c>
      <c r="J1454" s="2">
        <f>HYPERLINK("https://www.ebay.com/sch/261328/i.html?_from=R40&amp;_nkw=2025%20Bowman's%20Best%20TYLER%20BREMNER%20%23B25-TBR%20Best%20of%20Auto%20Gold%20Refractor%20%2F50%20Angels&amp;_sacat=0&amp;LH_Sold=1&amp;LH_Complete=1&amp;_sop=13", "Completed")</f>
        <v/>
      </c>
      <c r="K1454" s="2" t="inlineStr">
        <is>
          <t>No Close Result Found</t>
        </is>
      </c>
    </row>
    <row r="1455">
      <c r="A1455" s="2" t="inlineStr">
        <is>
          <t>WHATNOT-0003-00015-85552</t>
        </is>
      </c>
      <c r="B1455" s="2" t="inlineStr">
        <is>
          <t>2026 Bowman LEO DE VRIES #BTP-3 Scouts Top 100 Chrome Athletics</t>
        </is>
      </c>
      <c r="C1455" s="3" t="n">
        <v>2.99</v>
      </c>
      <c r="D1455" s="3" t="n">
        <v>2.49</v>
      </c>
      <c r="E1455" s="3" t="n">
        <v>-0.5</v>
      </c>
      <c r="F1455" s="4" t="n">
        <v>-16.7</v>
      </c>
      <c r="G1455" s="2" t="inlineStr">
        <is>
          <t>🔵 Floored $2.49 — free ship or $0.99 ship?</t>
        </is>
      </c>
      <c r="H1455" s="2" t="inlineStr">
        <is>
          <t>78%</t>
        </is>
      </c>
      <c r="I1455" s="2">
        <f>HYPERLINK("https://www.ebay.com/sch/261328/i.html?_dcat=261328&amp;_fsrp=1&amp;rt=nc&amp;_from=R40&amp;_nkw=2026%20Bowman%20LEO%20DE%20VRIES%20%23BTP-3%20Scouts%20Top%20100%20Chrome%20Athletics&amp;_sacat=0&amp;_sop=15&amp;rt=nc&amp;LH_BIN=1", "Active")</f>
        <v/>
      </c>
      <c r="J1455" s="2">
        <f>HYPERLINK("https://www.ebay.com/sch/261328/i.html?_from=R40&amp;_nkw=2026%20Bowman%20LEO%20DE%20VRIES%20%23BTP-3%20Scouts%20Top%20100%20Chrome%20Athletics&amp;_sacat=0&amp;LH_Sold=1&amp;LH_Complete=1&amp;_sop=13", "Completed")</f>
        <v/>
      </c>
      <c r="K1455" s="2" t="inlineStr">
        <is>
          <t>Leo De Vries 2026 Bowman Chrome #BTP-3 Scouts Top 100</t>
        </is>
      </c>
    </row>
    <row r="1456">
      <c r="A1456" s="2" t="inlineStr">
        <is>
          <t>WHATNOT-0003-00009-29985</t>
        </is>
      </c>
      <c r="B1456" s="2" t="inlineStr">
        <is>
          <t>2026 Bowman SHOTARO MORII #BTP-75 Scouts Top 100 Chrome Athletics</t>
        </is>
      </c>
      <c r="C1456" s="3" t="n">
        <v>2.99</v>
      </c>
      <c r="D1456" s="3" t="n">
        <v>2.49</v>
      </c>
      <c r="E1456" s="3" t="n">
        <v>-0.5</v>
      </c>
      <c r="F1456" s="4" t="n">
        <v>-16.7</v>
      </c>
      <c r="G1456" s="2" t="inlineStr">
        <is>
          <t>🔵 Floored $2.49 — free ship or $0.99 ship?</t>
        </is>
      </c>
      <c r="H1456" s="2" t="inlineStr">
        <is>
          <t>78%</t>
        </is>
      </c>
      <c r="I1456" s="2">
        <f>HYPERLINK("https://www.ebay.com/sch/261328/i.html?_dcat=261328&amp;_fsrp=1&amp;rt=nc&amp;_from=R40&amp;_nkw=2026%20Bowman%20SHOTARO%20MORII%20%23BTP-75%20Scouts%20Top%20100%20Chrome%20Athletics&amp;_sacat=0&amp;_sop=15&amp;rt=nc&amp;LH_BIN=1", "Active")</f>
        <v/>
      </c>
      <c r="J1456" s="2">
        <f>HYPERLINK("https://www.ebay.com/sch/261328/i.html?_from=R40&amp;_nkw=2026%20Bowman%20SHOTARO%20MORII%20%23BTP-75%20Scouts%20Top%20100%20Chrome%20Athletics&amp;_sacat=0&amp;LH_Sold=1&amp;LH_Complete=1&amp;_sop=13", "Completed")</f>
        <v/>
      </c>
      <c r="K1456" s="2" t="inlineStr">
        <is>
          <t>Shotaro Morii 2026 Bowman #BTP-75 Scouts Top 100 Chrome</t>
        </is>
      </c>
    </row>
    <row r="1457">
      <c r="A1457" s="11" t="inlineStr">
        <is>
          <t>WHATNOT-0003-00010-21308</t>
        </is>
      </c>
      <c r="B1457" s="11" t="inlineStr">
        <is>
          <t>2026 Bowman SHOTARO MORII #BCP-48 Chrome Prospects Reptilian Refractor Athletics</t>
        </is>
      </c>
      <c r="C1457" s="12" t="n">
        <v>3.99</v>
      </c>
      <c r="D1457" s="12" t="n">
        <v>2.89</v>
      </c>
      <c r="E1457" s="12" t="n">
        <v>-1.1</v>
      </c>
      <c r="F1457" s="13" t="n">
        <v>-27.6</v>
      </c>
      <c r="G1457" s="11" t="inlineStr">
        <is>
          <t>⬇ Price Down</t>
        </is>
      </c>
      <c r="H1457" s="11" t="inlineStr">
        <is>
          <t>88%</t>
        </is>
      </c>
      <c r="I1457" s="11">
        <f>HYPERLINK("https://www.ebay.com/sch/261328/i.html?_dcat=261328&amp;_fsrp=1&amp;rt=nc&amp;_from=R40&amp;_nkw=2026%20Bowman%20SHOTARO%20MORII%20%23BCP-48%20Chrome%20Prospects%20Reptilian%20Refractor%20Athletics&amp;_sacat=0&amp;_sop=15&amp;rt=nc&amp;LH_BIN=1", "Active")</f>
        <v/>
      </c>
      <c r="J1457" s="11">
        <f>HYPERLINK("https://www.ebay.com/sch/261328/i.html?_from=R40&amp;_nkw=2026%20Bowman%20SHOTARO%20MORII%20%23BCP-48%20Chrome%20Prospects%20Reptilian%20Refractor%20Athletics&amp;_sacat=0&amp;LH_Sold=1&amp;LH_Complete=1&amp;_sop=13", "Completed")</f>
        <v/>
      </c>
      <c r="K1457" s="11" t="inlineStr">
        <is>
          <t>2026 Bowman #BCP-48 Shotaro Morii Chrome Prospects Reptilian Refractor</t>
        </is>
      </c>
    </row>
    <row r="1458">
      <c r="A1458" s="5" t="inlineStr">
        <is>
          <t>WHATNOT-0003-00001-62219</t>
        </is>
      </c>
      <c r="B1458" s="5" t="inlineStr">
        <is>
          <t>2025 Bowman's Best DALTON RUSHING #33 Purple Mojo Ref /250 RC Dodgers Rookie</t>
        </is>
      </c>
      <c r="C1458" s="6" t="n">
        <v>7.19</v>
      </c>
      <c r="D1458" s="6" t="n">
        <v>8.390000000000001</v>
      </c>
      <c r="E1458" s="6" t="n">
        <v>1.2</v>
      </c>
      <c r="F1458" s="7" t="n">
        <v>16.7</v>
      </c>
      <c r="G1458" s="5" t="inlineStr">
        <is>
          <t>⬆ Price Up</t>
        </is>
      </c>
      <c r="H1458" s="5" t="inlineStr">
        <is>
          <t>100%</t>
        </is>
      </c>
      <c r="I1458" s="5">
        <f>HYPERLINK("https://www.ebay.com/sch/261328/i.html?_dcat=261328&amp;_fsrp=1&amp;rt=nc&amp;_from=R40&amp;_nkw=2025%20Bowman's%20Best%20DALTON%20RUSHING%20%2333%20Purple%20Mojo%20Ref%20%2F250%20RC%20Dodgers%20Rookie&amp;_sacat=0&amp;_sop=15&amp;rt=nc&amp;LH_BIN=1", "Active")</f>
        <v/>
      </c>
      <c r="J1458" s="5">
        <f>HYPERLINK("https://www.ebay.com/sch/261328/i.html?_from=R40&amp;_nkw=2025%20Bowman's%20Best%20DALTON%20RUSHING%20%2333%20Purple%20Mojo%20Ref%20%2F250%20RC%20Dodgers%20Rookie&amp;_sacat=0&amp;LH_Sold=1&amp;LH_Complete=1&amp;_sop=13", "Completed")</f>
        <v/>
      </c>
      <c r="K1458" s="5" t="inlineStr">
        <is>
          <t>2025 Bowman's Best DALTON RUSHING #33 Purple Mojo Ref /250 RC Dodgers Rookie</t>
        </is>
      </c>
    </row>
    <row r="1459">
      <c r="A1459" s="2" t="inlineStr">
        <is>
          <t>WHATNOT-0003-00002-18053</t>
        </is>
      </c>
      <c r="B1459" s="2" t="inlineStr">
        <is>
          <t>2024 Topps FERNANDO TATIS JR. #89BA-FT 35th Anniversary Auto Gold /50</t>
        </is>
      </c>
      <c r="C1459" s="3" t="n">
        <v>136.29</v>
      </c>
      <c r="D1459" s="3" t="n">
        <v>2.49</v>
      </c>
      <c r="E1459" s="3" t="n">
        <v>-133.8</v>
      </c>
      <c r="F1459" s="4" t="n">
        <v>-98.2</v>
      </c>
      <c r="G1459" s="2" t="inlineStr">
        <is>
          <t>🔵 Floored $2.49 — free ship or $0.99 ship?</t>
        </is>
      </c>
      <c r="H1459" s="2" t="inlineStr"/>
      <c r="I1459" s="2">
        <f>HYPERLINK("https://www.ebay.com/sch/261328/i.html?_dcat=261328&amp;_fsrp=1&amp;rt=nc&amp;_from=R40&amp;_nkw=2024%20Topps%20FERNANDO%20TATIS%20JR.%20%2389BA-FT%2035th%20Anniversary%20Auto%20Gold%20%2F50&amp;_sacat=0&amp;_sop=15&amp;rt=nc&amp;LH_BIN=1", "Active")</f>
        <v/>
      </c>
      <c r="J1459" s="2">
        <f>HYPERLINK("https://www.ebay.com/sch/261328/i.html?_from=R40&amp;_nkw=2024%20Topps%20FERNANDO%20TATIS%20JR.%20%2389BA-FT%2035th%20Anniversary%20Auto%20Gold%20%2F50&amp;_sacat=0&amp;LH_Sold=1&amp;LH_Complete=1&amp;_sop=13", "Completed")</f>
        <v/>
      </c>
      <c r="K1459" s="2" t="inlineStr">
        <is>
          <t>No Close Result Found</t>
        </is>
      </c>
    </row>
    <row r="1460">
      <c r="A1460" s="2" t="inlineStr">
        <is>
          <t>WHATNOT-0003-00007-15627</t>
        </is>
      </c>
      <c r="B1460" s="2" t="inlineStr">
        <is>
          <t>2026 Bowman KAYSON CUNNINGHAM #BTP-79 Scouts Top 100 Chrome Diamondbacks</t>
        </is>
      </c>
      <c r="C1460" s="3" t="n">
        <v>2.99</v>
      </c>
      <c r="D1460" s="3" t="n">
        <v>2.49</v>
      </c>
      <c r="E1460" s="3" t="n">
        <v>-0.5</v>
      </c>
      <c r="F1460" s="4" t="n">
        <v>-16.7</v>
      </c>
      <c r="G1460" s="2" t="inlineStr">
        <is>
          <t>🔵 Floored $2.49 — free ship or $0.99 ship?</t>
        </is>
      </c>
      <c r="H1460" s="2" t="inlineStr">
        <is>
          <t>85%</t>
        </is>
      </c>
      <c r="I1460" s="2">
        <f>HYPERLINK("https://www.ebay.com/sch/261328/i.html?_dcat=261328&amp;_fsrp=1&amp;rt=nc&amp;_from=R40&amp;_nkw=2026%20Bowman%20KAYSON%20CUNNINGHAM%20%23BTP-79%20Scouts%20Top%20100%20Chrome%20Diamondbacks&amp;_sacat=0&amp;_sop=15&amp;rt=nc&amp;LH_BIN=1", "Active")</f>
        <v/>
      </c>
      <c r="J1460" s="2">
        <f>HYPERLINK("https://www.ebay.com/sch/261328/i.html?_from=R40&amp;_nkw=2026%20Bowman%20KAYSON%20CUNNINGHAM%20%23BTP-79%20Scouts%20Top%20100%20Chrome%20Diamondbacks&amp;_sacat=0&amp;LH_Sold=1&amp;LH_Complete=1&amp;_sop=13", "Completed")</f>
        <v/>
      </c>
      <c r="K1460" s="2" t="inlineStr">
        <is>
          <t>2026 Bowman Chrome-Kayson Cunningham Bowman Scouts' Top 100 Diamondbacks #BTP-79</t>
        </is>
      </c>
    </row>
    <row r="1461">
      <c r="A1461" s="2" t="inlineStr">
        <is>
          <t>WHATNOT-0003-00022-18060</t>
        </is>
      </c>
      <c r="B1461" s="2" t="inlineStr">
        <is>
          <t>2026 Bowman AARON JUDGE #ES-15 Electric Sluggers Chrome Yankees</t>
        </is>
      </c>
      <c r="C1461" s="3" t="n">
        <v>3.49</v>
      </c>
      <c r="D1461" s="3" t="n">
        <v>2.49</v>
      </c>
      <c r="E1461" s="3" t="n">
        <v>-1</v>
      </c>
      <c r="F1461" s="4" t="n">
        <v>-28.7</v>
      </c>
      <c r="G1461" s="2" t="inlineStr">
        <is>
          <t>🔵 Floored $2.49 — free ship or $0.99 ship?</t>
        </is>
      </c>
      <c r="H1461" s="2" t="inlineStr">
        <is>
          <t>86%</t>
        </is>
      </c>
      <c r="I1461" s="2">
        <f>HYPERLINK("https://www.ebay.com/sch/261328/i.html?_dcat=261328&amp;_fsrp=1&amp;rt=nc&amp;_from=R40&amp;_nkw=2026%20Bowman%20AARON%20JUDGE%20%23ES-15%20Electric%20Sluggers%20Chrome%20Yankees&amp;_sacat=0&amp;_sop=15&amp;rt=nc&amp;LH_BIN=1", "Active")</f>
        <v/>
      </c>
      <c r="J1461" s="2">
        <f>HYPERLINK("https://www.ebay.com/sch/261328/i.html?_from=R40&amp;_nkw=2026%20Bowman%20AARON%20JUDGE%20%23ES-15%20Electric%20Sluggers%20Chrome%20Yankees&amp;_sacat=0&amp;LH_Sold=1&amp;LH_Complete=1&amp;_sop=13", "Completed")</f>
        <v/>
      </c>
      <c r="K1461" s="2" t="inlineStr">
        <is>
          <t>2026 Bowman CHROME Electric Sluggers ES-15 Aaron Judge, New York Yankees</t>
        </is>
      </c>
    </row>
    <row r="1462">
      <c r="A1462" s="2" t="inlineStr">
        <is>
          <t>WHATNOT-0003-00019-49382</t>
        </is>
      </c>
      <c r="B1462" s="2" t="inlineStr">
        <is>
          <t>2026 Bowman JOSUE DE PAULA #UR-14 Under the Radar Chrome Dodgers</t>
        </is>
      </c>
      <c r="C1462" s="3" t="n">
        <v>2.99</v>
      </c>
      <c r="D1462" s="3" t="n">
        <v>2.49</v>
      </c>
      <c r="E1462" s="3" t="n">
        <v>-0.5</v>
      </c>
      <c r="F1462" s="4" t="n">
        <v>-16.7</v>
      </c>
      <c r="G1462" s="2" t="inlineStr">
        <is>
          <t>🔵 Floored $2.49 — free ship or $0.99 ship?</t>
        </is>
      </c>
      <c r="H1462" s="2" t="inlineStr">
        <is>
          <t>88%</t>
        </is>
      </c>
      <c r="I1462" s="2">
        <f>HYPERLINK("https://www.ebay.com/sch/261328/i.html?_dcat=261328&amp;_fsrp=1&amp;rt=nc&amp;_from=R40&amp;_nkw=2026%20Bowman%20JOSUE%20DE%20PAULA%20%23UR-14%20Under%20the%20Radar%20Chrome%20Dodgers&amp;_sacat=0&amp;_sop=15&amp;rt=nc&amp;LH_BIN=1", "Active")</f>
        <v/>
      </c>
      <c r="J1462" s="2">
        <f>HYPERLINK("https://www.ebay.com/sch/261328/i.html?_from=R40&amp;_nkw=2026%20Bowman%20JOSUE%20DE%20PAULA%20%23UR-14%20Under%20the%20Radar%20Chrome%20Dodgers&amp;_sacat=0&amp;LH_Sold=1&amp;LH_Complete=1&amp;_sop=13", "Completed")</f>
        <v/>
      </c>
      <c r="K1462" s="2" t="inlineStr">
        <is>
          <t>2026 Bowman Chrome Under the Radar - Josue De Paula #UR-14 Dodgers</t>
        </is>
      </c>
    </row>
    <row r="1463">
      <c r="A1463" s="5" t="inlineStr">
        <is>
          <t>WHATNOT-0003-00020-08436</t>
        </is>
      </c>
      <c r="B1463" s="5" t="inlineStr">
        <is>
          <t>2026 Bowman KADE ANDERSON #BCP-19 Chrome Prospects Fuchsia Refractor /199</t>
        </is>
      </c>
      <c r="C1463" s="6" t="n">
        <v>18.19</v>
      </c>
      <c r="D1463" s="6" t="n">
        <v>18.89</v>
      </c>
      <c r="E1463" s="6" t="n">
        <v>0.7</v>
      </c>
      <c r="F1463" s="7" t="n">
        <v>3.8</v>
      </c>
      <c r="G1463" s="5" t="inlineStr">
        <is>
          <t>⬆ Price Up</t>
        </is>
      </c>
      <c r="H1463" s="5" t="inlineStr">
        <is>
          <t>88%</t>
        </is>
      </c>
      <c r="I1463" s="5">
        <f>HYPERLINK("https://www.ebay.com/sch/261328/i.html?_dcat=261328&amp;_fsrp=1&amp;rt=nc&amp;_from=R40&amp;_nkw=2026%20Bowman%20KADE%20ANDERSON%20%23BCP-19%20Chrome%20Prospects%20Fuchsia%20Refractor%20%2F199&amp;_sacat=0&amp;_sop=15&amp;rt=nc&amp;LH_BIN=1", "Active")</f>
        <v/>
      </c>
      <c r="J1463" s="5">
        <f>HYPERLINK("https://www.ebay.com/sch/261328/i.html?_from=R40&amp;_nkw=2026%20Bowman%20KADE%20ANDERSON%20%23BCP-19%20Chrome%20Prospects%20Fuchsia%20Refractor%20%2F199&amp;_sacat=0&amp;LH_Sold=1&amp;LH_Complete=1&amp;_sop=13", "Completed")</f>
        <v/>
      </c>
      <c r="K1463" s="5" t="inlineStr">
        <is>
          <t>2026 Bowman - Chrome Prospects Kade Anderson #BCP-19 Fuchsia Refractor /199 (RC)</t>
        </is>
      </c>
    </row>
    <row r="1464">
      <c r="A1464" s="2" t="inlineStr">
        <is>
          <t>WHATNOT-0003-00013-20799</t>
        </is>
      </c>
      <c r="B1464" s="2" t="inlineStr">
        <is>
          <t>2026 Bowman JAC CAGLIANONE #BST-14 Sterling Chrome RC Royals Rookie</t>
        </is>
      </c>
      <c r="C1464" s="3" t="n">
        <v>2.99</v>
      </c>
      <c r="D1464" s="3" t="n">
        <v>2.49</v>
      </c>
      <c r="E1464" s="3" t="n">
        <v>-0.5</v>
      </c>
      <c r="F1464" s="4" t="n">
        <v>-16.7</v>
      </c>
      <c r="G1464" s="2" t="inlineStr">
        <is>
          <t>🔵 Floored $2.49 — free ship or $0.99 ship?</t>
        </is>
      </c>
      <c r="H1464" s="2" t="inlineStr">
        <is>
          <t>86%</t>
        </is>
      </c>
      <c r="I1464" s="2">
        <f>HYPERLINK("https://www.ebay.com/sch/261328/i.html?_dcat=261328&amp;_fsrp=1&amp;rt=nc&amp;_from=R40&amp;_nkw=2026%20Bowman%20JAC%20CAGLIANONE%20%23BST-14%20Sterling%20Chrome%20RC%20Royals%20Rookie&amp;_sacat=0&amp;_sop=15&amp;rt=nc&amp;LH_BIN=1", "Active")</f>
        <v/>
      </c>
      <c r="J1464" s="2">
        <f>HYPERLINK("https://www.ebay.com/sch/261328/i.html?_from=R40&amp;_nkw=2026%20Bowman%20JAC%20CAGLIANONE%20%23BST-14%20Sterling%20Chrome%20RC%20Royals%20Rookie&amp;_sacat=0&amp;LH_Sold=1&amp;LH_Complete=1&amp;_sop=13", "Completed")</f>
        <v/>
      </c>
      <c r="K1464" s="2" t="inlineStr">
        <is>
          <t>2026 Bowman Chrome Sterling Jac Caglianone RC #BST-14 Kansas City Royals</t>
        </is>
      </c>
    </row>
    <row r="1465">
      <c r="A1465" s="11" t="inlineStr">
        <is>
          <t>WHATNOT-0003-00017-86373</t>
        </is>
      </c>
      <c r="B1465" s="11" t="inlineStr">
        <is>
          <t>2026 Bowman YOJANCEL CABRERA #BP-3 Gold Border /50 1st Prospect Angels</t>
        </is>
      </c>
      <c r="C1465" s="12" t="n">
        <v>44.95</v>
      </c>
      <c r="D1465" s="12" t="n">
        <v>11.89</v>
      </c>
      <c r="E1465" s="12" t="n">
        <v>-33.06</v>
      </c>
      <c r="F1465" s="13" t="n">
        <v>-73.5</v>
      </c>
      <c r="G1465" s="11" t="inlineStr">
        <is>
          <t>⬇ Price Down</t>
        </is>
      </c>
      <c r="H1465" s="11" t="inlineStr">
        <is>
          <t>85%</t>
        </is>
      </c>
      <c r="I1465" s="11">
        <f>HYPERLINK("https://www.ebay.com/sch/261328/i.html?_dcat=261328&amp;_fsrp=1&amp;rt=nc&amp;_from=R40&amp;_nkw=2026%20Bowman%20YOJANCEL%20CABRERA%20%23BP-3%20Gold%20Border%20%2F50%201st%20Prospect%20Angels&amp;_sacat=0&amp;_sop=15&amp;rt=nc&amp;LH_BIN=1", "Active")</f>
        <v/>
      </c>
      <c r="J1465" s="11">
        <f>HYPERLINK("https://www.ebay.com/sch/261328/i.html?_from=R40&amp;_nkw=2026%20Bowman%20YOJANCEL%20CABRERA%20%23BP-3%20Gold%20Border%20%2F50%201st%20Prospect%20Angels&amp;_sacat=0&amp;LH_Sold=1&amp;LH_Complete=1&amp;_sop=13", "Completed")</f>
        <v/>
      </c>
      <c r="K1465" s="11" t="inlineStr">
        <is>
          <t>2026 Bowman YOJANCEL CABRERA #/50 GOLD Parallel LA Angels 1st Prospect BP-3</t>
        </is>
      </c>
    </row>
    <row r="1466">
      <c r="A1466" s="2" t="inlineStr">
        <is>
          <t>WHATNOT-0003-00008-14897</t>
        </is>
      </c>
      <c r="B1466" s="2" t="inlineStr">
        <is>
          <t>2026 Bowman MIKE TROUT #ES-25 Electric Sluggers Chrome Angels</t>
        </is>
      </c>
      <c r="C1466" s="3" t="n">
        <v>2.99</v>
      </c>
      <c r="D1466" s="3" t="n">
        <v>2.49</v>
      </c>
      <c r="E1466" s="3" t="n">
        <v>-0.5</v>
      </c>
      <c r="F1466" s="4" t="n">
        <v>-16.7</v>
      </c>
      <c r="G1466" s="2" t="inlineStr">
        <is>
          <t>🔵 Floored $2.49 — free ship or $0.99 ship?</t>
        </is>
      </c>
      <c r="H1466" s="2" t="inlineStr">
        <is>
          <t>83%</t>
        </is>
      </c>
      <c r="I1466" s="2">
        <f>HYPERLINK("https://www.ebay.com/sch/261328/i.html?_dcat=261328&amp;_fsrp=1&amp;rt=nc&amp;_from=R40&amp;_nkw=2026%20Bowman%20MIKE%20TROUT%20%23ES-25%20Electric%20Sluggers%20Chrome%20Angels&amp;_sacat=0&amp;_sop=15&amp;rt=nc&amp;LH_BIN=1", "Active")</f>
        <v/>
      </c>
      <c r="J1466" s="2">
        <f>HYPERLINK("https://www.ebay.com/sch/261328/i.html?_from=R40&amp;_nkw=2026%20Bowman%20MIKE%20TROUT%20%23ES-25%20Electric%20Sluggers%20Chrome%20Angels&amp;_sacat=0&amp;LH_Sold=1&amp;LH_Complete=1&amp;_sop=13", "Completed")</f>
        <v/>
      </c>
      <c r="K1466" s="2" t="inlineStr">
        <is>
          <t>Mike Trout 2026 Bowman Chrome Electric Sluggers #ES-25 Angels</t>
        </is>
      </c>
    </row>
    <row r="1467">
      <c r="A1467" s="2" t="inlineStr">
        <is>
          <t>WHATNOT-0003-00021-23650</t>
        </is>
      </c>
      <c r="B1467" s="2" t="inlineStr">
        <is>
          <t>2026 Bowman CAM SCHLITTLER #UR-2 Under the Radar Chrome RC Yankees Rookie</t>
        </is>
      </c>
      <c r="C1467" s="3" t="n">
        <v>2.99</v>
      </c>
      <c r="D1467" s="3" t="n">
        <v>2.49</v>
      </c>
      <c r="E1467" s="3" t="n">
        <v>-0.5</v>
      </c>
      <c r="F1467" s="4" t="n">
        <v>-16.7</v>
      </c>
      <c r="G1467" s="2" t="inlineStr">
        <is>
          <t>🔵 Floored $2.49 — free ship or $0.99 ship?</t>
        </is>
      </c>
      <c r="H1467" s="2" t="inlineStr">
        <is>
          <t>89%</t>
        </is>
      </c>
      <c r="I1467" s="2">
        <f>HYPERLINK("https://www.ebay.com/sch/261328/i.html?_dcat=261328&amp;_fsrp=1&amp;rt=nc&amp;_from=R40&amp;_nkw=2026%20Bowman%20CAM%20SCHLITTLER%20%23UR-2%20Under%20the%20Radar%20Chrome%20RC%20Yankees%20Rookie&amp;_sacat=0&amp;_sop=15&amp;rt=nc&amp;LH_BIN=1", "Active")</f>
        <v/>
      </c>
      <c r="J1467" s="2">
        <f>HYPERLINK("https://www.ebay.com/sch/261328/i.html?_from=R40&amp;_nkw=2026%20Bowman%20CAM%20SCHLITTLER%20%23UR-2%20Under%20the%20Radar%20Chrome%20RC%20Yankees%20Rookie&amp;_sacat=0&amp;LH_Sold=1&amp;LH_Complete=1&amp;_sop=13", "Completed")</f>
        <v/>
      </c>
      <c r="K1467" s="2" t="inlineStr">
        <is>
          <t>2026 Bowman Chrome Cam Schlittler Under The Radar Rookie RC #UR-2 YANKEES</t>
        </is>
      </c>
    </row>
    <row r="1468">
      <c r="A1468" s="11" t="inlineStr">
        <is>
          <t>WHATNOT-0003-00011-27168</t>
        </is>
      </c>
      <c r="B1468" s="11" t="inlineStr">
        <is>
          <t>2025 Bowman's Best JOSUAR GONZALEZ #TP-13 Mini Diamond Refractor /299</t>
        </is>
      </c>
      <c r="C1468" s="12" t="n">
        <v>7.99</v>
      </c>
      <c r="D1468" s="12" t="n">
        <v>4.89</v>
      </c>
      <c r="E1468" s="12" t="n">
        <v>-3.1</v>
      </c>
      <c r="F1468" s="13" t="n">
        <v>-38.8</v>
      </c>
      <c r="G1468" s="11" t="inlineStr">
        <is>
          <t>⬇ Price Down</t>
        </is>
      </c>
      <c r="H1468" s="11" t="inlineStr">
        <is>
          <t>89%</t>
        </is>
      </c>
      <c r="I1468" s="11">
        <f>HYPERLINK("https://www.ebay.com/sch/261328/i.html?_dcat=261328&amp;_fsrp=1&amp;rt=nc&amp;_from=R40&amp;_nkw=2025%20Bowman's%20Best%20JOSUAR%20GONZALEZ%20%23TP-13%20Mini%20Diamond%20Refractor%20%2F299&amp;_sacat=0&amp;_sop=15&amp;rt=nc&amp;LH_BIN=1", "Active")</f>
        <v/>
      </c>
      <c r="J1468" s="11">
        <f>HYPERLINK("https://www.ebay.com/sch/261328/i.html?_from=R40&amp;_nkw=2025%20Bowman's%20Best%20JOSUAR%20GONZALEZ%20%23TP-13%20Mini%20Diamond%20Refractor%20%2F299&amp;_sacat=0&amp;LH_Sold=1&amp;LH_Complete=1&amp;_sop=13", "Completed")</f>
        <v/>
      </c>
      <c r="K1468" s="11" t="inlineStr">
        <is>
          <t>2025 Bowman's Best #TP-13 Josuar Gonzalez Mini-Diamond Refractors #/299</t>
        </is>
      </c>
    </row>
    <row r="1469">
      <c r="A1469" s="5" t="inlineStr">
        <is>
          <t>WHATNOT-0003-00012-14864</t>
        </is>
      </c>
      <c r="B1469" s="5" t="inlineStr">
        <is>
          <t>2025 Bowman's Best JOSUAR GONZALEZ #TP-13 Top Prospects Aqua Refractor /199</t>
        </is>
      </c>
      <c r="C1469" s="6" t="n">
        <v>6.09</v>
      </c>
      <c r="D1469" s="6" t="n">
        <v>6.19</v>
      </c>
      <c r="E1469" s="6" t="n">
        <v>0.1</v>
      </c>
      <c r="F1469" s="7" t="n">
        <v>1.6</v>
      </c>
      <c r="G1469" s="5" t="inlineStr">
        <is>
          <t>⬆ Price Up</t>
        </is>
      </c>
      <c r="H1469" s="5" t="inlineStr">
        <is>
          <t>86%</t>
        </is>
      </c>
      <c r="I1469" s="5">
        <f>HYPERLINK("https://www.ebay.com/sch/261328/i.html?_dcat=261328&amp;_fsrp=1&amp;rt=nc&amp;_from=R40&amp;_nkw=2025%20Bowman's%20Best%20JOSUAR%20GONZALEZ%20%23TP-13%20Top%20Prospects%20Aqua%20Refractor%20%2F199&amp;_sacat=0&amp;_sop=15&amp;rt=nc&amp;LH_BIN=1", "Active")</f>
        <v/>
      </c>
      <c r="J1469" s="5">
        <f>HYPERLINK("https://www.ebay.com/sch/261328/i.html?_from=R40&amp;_nkw=2025%20Bowman's%20Best%20JOSUAR%20GONZALEZ%20%23TP-13%20Top%20Prospects%20Aqua%20Refractor%20%2F199&amp;_sacat=0&amp;LH_Sold=1&amp;LH_Complete=1&amp;_sop=13", "Completed")</f>
        <v/>
      </c>
      <c r="K1469" s="5" t="inlineStr">
        <is>
          <t>2025 Bowman's Best #TP-13 Josuar Gonzalez Aqua Refractor /199 Giants</t>
        </is>
      </c>
    </row>
    <row r="1470">
      <c r="A1470" s="2" t="inlineStr">
        <is>
          <t>WHATNOT-0003-00004-57356</t>
        </is>
      </c>
      <c r="B1470" s="2" t="inlineStr">
        <is>
          <t>2025 Bowman's Best TYLER BREMNER #B25-TBR Best of Auto Orange X-Fractor /25</t>
        </is>
      </c>
      <c r="C1470" s="3" t="n">
        <v>110</v>
      </c>
      <c r="D1470" s="3" t="n">
        <v>2.49</v>
      </c>
      <c r="E1470" s="3" t="n">
        <v>-107.51</v>
      </c>
      <c r="F1470" s="4" t="n">
        <v>-97.7</v>
      </c>
      <c r="G1470" s="2" t="inlineStr">
        <is>
          <t>🔵 Floored $2.49 — free ship or $0.99 ship?</t>
        </is>
      </c>
      <c r="H1470" s="2" t="inlineStr"/>
      <c r="I1470" s="2">
        <f>HYPERLINK("https://www.ebay.com/sch/261328/i.html?_dcat=261328&amp;_fsrp=1&amp;rt=nc&amp;_from=R40&amp;_nkw=2025%20Bowman's%20Best%20TYLER%20BREMNER%20%23B25-TBR%20Best%20of%20Auto%20Orange%20X-Fractor%20%2F25&amp;_sacat=0&amp;_sop=15&amp;rt=nc&amp;LH_BIN=1", "Active")</f>
        <v/>
      </c>
      <c r="J1470" s="2">
        <f>HYPERLINK("https://www.ebay.com/sch/261328/i.html?_from=R40&amp;_nkw=2025%20Bowman's%20Best%20TYLER%20BREMNER%20%23B25-TBR%20Best%20of%20Auto%20Orange%20X-Fractor%20%2F25&amp;_sacat=0&amp;LH_Sold=1&amp;LH_Complete=1&amp;_sop=13", "Completed")</f>
        <v/>
      </c>
      <c r="K1470" s="2" t="inlineStr">
        <is>
          <t>No Close Result Found</t>
        </is>
      </c>
    </row>
    <row r="1471">
      <c r="A1471" s="2" t="inlineStr">
        <is>
          <t>WHATNOT-0003-00023-92905</t>
        </is>
      </c>
      <c r="B1471" s="2" t="inlineStr">
        <is>
          <t>2026 Bowman ROMAN ANTHONY #BST-12 Sterling Chrome RC Red Sox Rookie</t>
        </is>
      </c>
      <c r="C1471" s="3" t="n">
        <v>2.99</v>
      </c>
      <c r="D1471" s="3" t="n">
        <v>2.49</v>
      </c>
      <c r="E1471" s="3" t="n">
        <v>-0.5</v>
      </c>
      <c r="F1471" s="4" t="n">
        <v>-16.7</v>
      </c>
      <c r="G1471" s="2" t="inlineStr">
        <is>
          <t>🔵 Floored $2.49 — free ship or $0.99 ship?</t>
        </is>
      </c>
      <c r="H1471" s="2" t="inlineStr">
        <is>
          <t>77%</t>
        </is>
      </c>
      <c r="I1471" s="2">
        <f>HYPERLINK("https://www.ebay.com/sch/261328/i.html?_dcat=261328&amp;_fsrp=1&amp;rt=nc&amp;_from=R40&amp;_nkw=2026%20Bowman%20ROMAN%20ANTHONY%20%23BST-12%20Sterling%20Chrome%20RC%20Red%20Sox%20Rookie&amp;_sacat=0&amp;_sop=15&amp;rt=nc&amp;LH_BIN=1", "Active")</f>
        <v/>
      </c>
      <c r="J1471" s="2">
        <f>HYPERLINK("https://www.ebay.com/sch/261328/i.html?_from=R40&amp;_nkw=2026%20Bowman%20ROMAN%20ANTHONY%20%23BST-12%20Sterling%20Chrome%20RC%20Red%20Sox%20Rookie&amp;_sacat=0&amp;LH_Sold=1&amp;LH_Complete=1&amp;_sop=13", "Completed")</f>
        <v/>
      </c>
      <c r="K1471" s="2" t="inlineStr">
        <is>
          <t>Roman Anthony 2026 Bowman #BST-12 Bowman Sterling Chrome Refractor RC Red Sox</t>
        </is>
      </c>
    </row>
    <row r="1472">
      <c r="A1472" s="2" t="inlineStr">
        <is>
          <t>WHATNOT-0003-00006-97578</t>
        </is>
      </c>
      <c r="B1472" s="2" t="inlineStr">
        <is>
          <t>2026 Bowman LUIS MORALES #49 Chrome Rookie Red RC Variation Athletics</t>
        </is>
      </c>
      <c r="C1472" s="3" t="n">
        <v>3.49</v>
      </c>
      <c r="D1472" s="3" t="n">
        <v>2.49</v>
      </c>
      <c r="E1472" s="3" t="n">
        <v>-1</v>
      </c>
      <c r="F1472" s="4" t="n">
        <v>-28.7</v>
      </c>
      <c r="G1472" s="2" t="inlineStr">
        <is>
          <t>🔵 Floored $2.49 — free ship or $0.99 ship?</t>
        </is>
      </c>
      <c r="H1472" s="2" t="inlineStr">
        <is>
          <t>88%</t>
        </is>
      </c>
      <c r="I1472" s="2">
        <f>HYPERLINK("https://www.ebay.com/sch/261328/i.html?_dcat=261328&amp;_fsrp=1&amp;rt=nc&amp;_from=R40&amp;_nkw=2026%20Bowman%20LUIS%20MORALES%20%2349%20Chrome%20Rookie%20Red%20RC%20Variation%20Athletics&amp;_sacat=0&amp;_sop=15&amp;rt=nc&amp;LH_BIN=1", "Active")</f>
        <v/>
      </c>
      <c r="J1472" s="2">
        <f>HYPERLINK("https://www.ebay.com/sch/261328/i.html?_from=R40&amp;_nkw=2026%20Bowman%20LUIS%20MORALES%20%2349%20Chrome%20Rookie%20Red%20RC%20Variation%20Athletics&amp;_sacat=0&amp;LH_Sold=1&amp;LH_Complete=1&amp;_sop=13", "Completed")</f>
        <v/>
      </c>
      <c r="K1472" s="2" t="inlineStr">
        <is>
          <t>2026 Bowman Chrome-Luis Morales Red Rookie Variation Athletics #49 RC</t>
        </is>
      </c>
    </row>
    <row r="1473">
      <c r="A1473" s="2" t="inlineStr">
        <is>
          <t>WHATNOT-0003-00018-60748</t>
        </is>
      </c>
      <c r="B1473" s="2" t="inlineStr">
        <is>
          <t>2025 Bowman Draft DEAN CURLEY #BDC-129 Chrome Purple Refractor /250 1st Prospect</t>
        </is>
      </c>
      <c r="C1473" s="3" t="n">
        <v>3.99</v>
      </c>
      <c r="D1473" s="3" t="n">
        <v>2.49</v>
      </c>
      <c r="E1473" s="3" t="n">
        <v>-1.5</v>
      </c>
      <c r="F1473" s="4" t="n">
        <v>-37.6</v>
      </c>
      <c r="G1473" s="2" t="inlineStr">
        <is>
          <t>🔵 Floored $2.49 — free ship or $0.99 ship?</t>
        </is>
      </c>
      <c r="H1473" s="2" t="inlineStr"/>
      <c r="I1473" s="2">
        <f>HYPERLINK("https://www.ebay.com/sch/261328/i.html?_dcat=261328&amp;_fsrp=1&amp;rt=nc&amp;_from=R40&amp;_nkw=2025%20Bowman%20Draft%20DEAN%20CURLEY%20%23BDC-129%20Chrome%20Purple%20Refractor%20%2F250%201st%20Prospect&amp;_sacat=0&amp;_sop=15&amp;rt=nc&amp;LH_BIN=1", "Active")</f>
        <v/>
      </c>
      <c r="J1473" s="2">
        <f>HYPERLINK("https://www.ebay.com/sch/261328/i.html?_from=R40&amp;_nkw=2025%20Bowman%20Draft%20DEAN%20CURLEY%20%23BDC-129%20Chrome%20Purple%20Refractor%20%2F250%201st%20Prospect&amp;_sacat=0&amp;LH_Sold=1&amp;LH_Complete=1&amp;_sop=13", "Completed")</f>
        <v/>
      </c>
      <c r="K1473" s="2" t="inlineStr">
        <is>
          <t>No Close Result Found</t>
        </is>
      </c>
    </row>
    <row r="1474">
      <c r="A1474" s="5" t="inlineStr">
        <is>
          <t>WHATNOT-0003-00026-32424</t>
        </is>
      </c>
      <c r="B1474" s="5" t="inlineStr">
        <is>
          <t>2026 Bowman Mega Box KONNOR GRIFFIN #ES-17 Electric Sluggers Chrome Mojo Pirates</t>
        </is>
      </c>
      <c r="C1474" s="6" t="n">
        <v>4.49</v>
      </c>
      <c r="D1474" s="6" t="n">
        <v>6.29</v>
      </c>
      <c r="E1474" s="6" t="n">
        <v>1.8</v>
      </c>
      <c r="F1474" s="7" t="n">
        <v>40.1</v>
      </c>
      <c r="G1474" s="5" t="inlineStr">
        <is>
          <t>⬆ Price Up</t>
        </is>
      </c>
      <c r="H1474" s="5" t="inlineStr">
        <is>
          <t>83%</t>
        </is>
      </c>
      <c r="I1474" s="5">
        <f>HYPERLINK("https://www.ebay.com/sch/261328/i.html?_dcat=261328&amp;_fsrp=1&amp;rt=nc&amp;_from=R40&amp;_nkw=2026%20Bowman%20Mega%20Box%20KONNOR%20GRIFFIN%20%23ES-17%20Electric%20Sluggers%20Chrome%20Mojo%20Pirates&amp;_sacat=0&amp;_sop=15&amp;rt=nc&amp;LH_BIN=1", "Active")</f>
        <v/>
      </c>
      <c r="J1474" s="5">
        <f>HYPERLINK("https://www.ebay.com/sch/261328/i.html?_from=R40&amp;_nkw=2026%20Bowman%20Mega%20Box%20KONNOR%20GRIFFIN%20%23ES-17%20Electric%20Sluggers%20Chrome%20Mojo%20Pirates&amp;_sacat=0&amp;LH_Sold=1&amp;LH_Complete=1&amp;_sop=13", "Completed")</f>
        <v/>
      </c>
      <c r="K1474" s="5" t="inlineStr">
        <is>
          <t>2026 Bowman Mega Box MOJO Chrome Electric Sluggers - Pick your Card</t>
        </is>
      </c>
    </row>
    <row r="1475">
      <c r="A1475" s="5" t="inlineStr">
        <is>
          <t>WHATNOT-0003-00024-01521</t>
        </is>
      </c>
      <c r="B1475" s="5" t="inlineStr">
        <is>
          <t>2023 Bowman Draft NELSON RADA #BDC-81 Chrome Yellow Lunar Crater Refractor /75</t>
        </is>
      </c>
      <c r="C1475" s="6" t="n">
        <v>7.19</v>
      </c>
      <c r="D1475" s="6" t="n">
        <v>8.390000000000001</v>
      </c>
      <c r="E1475" s="6" t="n">
        <v>1.2</v>
      </c>
      <c r="F1475" s="7" t="n">
        <v>16.7</v>
      </c>
      <c r="G1475" s="5" t="inlineStr">
        <is>
          <t>⬆ Price Up</t>
        </is>
      </c>
      <c r="H1475" s="5" t="inlineStr">
        <is>
          <t>100%</t>
        </is>
      </c>
      <c r="I1475" s="5">
        <f>HYPERLINK("https://www.ebay.com/sch/261328/i.html?_dcat=261328&amp;_fsrp=1&amp;rt=nc&amp;_from=R40&amp;_nkw=2023%20Bowman%20Draft%20NELSON%20RADA%20%23BDC-81%20Chrome%20Yellow%20Lunar%20Crater%20Refractor%20%2F75&amp;_sacat=0&amp;_sop=15&amp;rt=nc&amp;LH_BIN=1", "Active")</f>
        <v/>
      </c>
      <c r="J1475" s="5">
        <f>HYPERLINK("https://www.ebay.com/sch/261328/i.html?_from=R40&amp;_nkw=2023%20Bowman%20Draft%20NELSON%20RADA%20%23BDC-81%20Chrome%20Yellow%20Lunar%20Crater%20Refractor%20%2F75&amp;_sacat=0&amp;LH_Sold=1&amp;LH_Complete=1&amp;_sop=13", "Completed")</f>
        <v/>
      </c>
      <c r="K1475" s="5" t="inlineStr">
        <is>
          <t>2023 Bowman Draft NELSON RADA #BDC-81 Chrome Yellow Lunar Crater Refractor /75</t>
        </is>
      </c>
    </row>
    <row r="1476">
      <c r="A1476" s="8" t="inlineStr">
        <is>
          <t>WHATNOT-0003-00017-54815</t>
        </is>
      </c>
      <c r="B1476" s="8" t="inlineStr">
        <is>
          <t>2025 Bowman Chrome ETHAN SALAS #BCP-169 Purple Pulsar Refractor /250 Padres</t>
        </is>
      </c>
      <c r="C1476" s="9" t="n">
        <v>5.29</v>
      </c>
      <c r="D1476" s="9" t="n">
        <v>5.29</v>
      </c>
      <c r="E1476" s="9" t="n">
        <v>0</v>
      </c>
      <c r="F1476" s="10" t="n">
        <v>0</v>
      </c>
      <c r="G1476" s="8" t="inlineStr">
        <is>
          <t>— No Change</t>
        </is>
      </c>
      <c r="H1476" s="8" t="inlineStr">
        <is>
          <t>90%</t>
        </is>
      </c>
      <c r="I1476" s="8">
        <f>HYPERLINK("https://www.ebay.com/sch/261328/i.html?_dcat=261328&amp;_fsrp=1&amp;rt=nc&amp;_from=R40&amp;_nkw=2025%20Bowman%20Chrome%20ETHAN%20SALAS%20%23BCP-169%20Purple%20Pulsar%20Refractor%20%2F250%20Padres&amp;_sacat=0&amp;_sop=15&amp;rt=nc&amp;LH_BIN=1", "Active")</f>
        <v/>
      </c>
      <c r="J1476" s="8">
        <f>HYPERLINK("https://www.ebay.com/sch/261328/i.html?_from=R40&amp;_nkw=2025%20Bowman%20Chrome%20ETHAN%20SALAS%20%23BCP-169%20Purple%20Pulsar%20Refractor%20%2F250%20Padres&amp;_sacat=0&amp;LH_Sold=1&amp;LH_Complete=1&amp;_sop=13", "Completed")</f>
        <v/>
      </c>
      <c r="K1476" s="8" t="inlineStr">
        <is>
          <t>2025 Bowman Chrome Ethan Salas Purple Pulsar Refractor /250 Padres BCP-169</t>
        </is>
      </c>
    </row>
    <row r="1477">
      <c r="A1477" s="11" t="inlineStr">
        <is>
          <t>WHATNOT-0003-00023-95664</t>
        </is>
      </c>
      <c r="B1477" s="11" t="inlineStr">
        <is>
          <t>2026 Bowman Mega Box ETHAN HOLLIDAY #ES-13 Electric Sluggers Chrome Mojo Rockies</t>
        </is>
      </c>
      <c r="C1477" s="12" t="n">
        <v>5.49</v>
      </c>
      <c r="D1477" s="12" t="n">
        <v>5.39</v>
      </c>
      <c r="E1477" s="12" t="n">
        <v>-0.1</v>
      </c>
      <c r="F1477" s="13" t="n">
        <v>-1.8</v>
      </c>
      <c r="G1477" s="11" t="inlineStr">
        <is>
          <t>⬇ Price Down</t>
        </is>
      </c>
      <c r="H1477" s="11" t="inlineStr">
        <is>
          <t>83%</t>
        </is>
      </c>
      <c r="I1477" s="11">
        <f>HYPERLINK("https://www.ebay.com/sch/261328/i.html?_dcat=261328&amp;_fsrp=1&amp;rt=nc&amp;_from=R40&amp;_nkw=2026%20Bowman%20Mega%20Box%20ETHAN%20HOLLIDAY%20%23ES-13%20Electric%20Sluggers%20Chrome%20Mojo%20Rockies&amp;_sacat=0&amp;_sop=15&amp;rt=nc&amp;LH_BIN=1", "Active")</f>
        <v/>
      </c>
      <c r="J1477" s="11">
        <f>HYPERLINK("https://www.ebay.com/sch/261328/i.html?_from=R40&amp;_nkw=2026%20Bowman%20Mega%20Box%20ETHAN%20HOLLIDAY%20%23ES-13%20Electric%20Sluggers%20Chrome%20Mojo%20Rockies&amp;_sacat=0&amp;LH_Sold=1&amp;LH_Complete=1&amp;_sop=13", "Completed")</f>
        <v/>
      </c>
      <c r="K1477" s="11" t="inlineStr">
        <is>
          <t>2026 Bowman Mega Box MOJO Chrome Electric Sluggers - Pick your Card</t>
        </is>
      </c>
    </row>
    <row r="1478">
      <c r="A1478" s="8" t="inlineStr">
        <is>
          <t>WHATNOT-0003-00027-75414</t>
        </is>
      </c>
      <c r="B1478" s="8" t="inlineStr">
        <is>
          <t>2025 Bowman Chrome ELLY DE LA CRUZ #BA-18 Ascensions Reds SSP</t>
        </is>
      </c>
      <c r="C1478" s="9" t="n">
        <v>102.79</v>
      </c>
      <c r="D1478" s="9" t="n">
        <v>102.79</v>
      </c>
      <c r="E1478" s="9" t="n">
        <v>0</v>
      </c>
      <c r="F1478" s="10" t="n">
        <v>0</v>
      </c>
      <c r="G1478" s="8" t="inlineStr">
        <is>
          <t>— No Change</t>
        </is>
      </c>
      <c r="H1478" s="8" t="inlineStr">
        <is>
          <t>85%</t>
        </is>
      </c>
      <c r="I1478" s="8">
        <f>HYPERLINK("https://www.ebay.com/sch/261328/i.html?_dcat=261328&amp;_fsrp=1&amp;rt=nc&amp;_from=R40&amp;_nkw=2025%20Bowman%20Chrome%20ELLY%20DE%20LA%20CRUZ%20%23BA-18%20Ascensions%20Reds%20SSP&amp;_sacat=0&amp;_sop=15&amp;rt=nc&amp;LH_BIN=1", "Active")</f>
        <v/>
      </c>
      <c r="J1478" s="8">
        <f>HYPERLINK("https://www.ebay.com/sch/261328/i.html?_from=R40&amp;_nkw=2025%20Bowman%20Chrome%20ELLY%20DE%20LA%20CRUZ%20%23BA-18%20Ascensions%20Reds%20SSP&amp;_sacat=0&amp;LH_Sold=1&amp;LH_Complete=1&amp;_sop=13", "Completed")</f>
        <v/>
      </c>
      <c r="K1478" s="8" t="inlineStr">
        <is>
          <t>2025 Bowman Chrome Mega Box Mojo Ascensions SSP BA-18 ELLY DE LA CRUZ - Reds</t>
        </is>
      </c>
    </row>
    <row r="1479">
      <c r="A1479" s="5" t="inlineStr">
        <is>
          <t>WHATNOT-0003-00016-24580</t>
        </is>
      </c>
      <c r="B1479" s="5" t="inlineStr">
        <is>
          <t>2025 Bowman Draft IKE IRISH #PP-8 Chrome Prized Prospects Gold Refractor /50</t>
        </is>
      </c>
      <c r="C1479" s="6" t="n">
        <v>25.39</v>
      </c>
      <c r="D1479" s="6" t="n">
        <v>33.49</v>
      </c>
      <c r="E1479" s="6" t="n">
        <v>8.1</v>
      </c>
      <c r="F1479" s="7" t="n">
        <v>31.9</v>
      </c>
      <c r="G1479" s="5" t="inlineStr">
        <is>
          <t>⬆ Price Up</t>
        </is>
      </c>
      <c r="H1479" s="5" t="inlineStr">
        <is>
          <t>100%</t>
        </is>
      </c>
      <c r="I1479" s="5">
        <f>HYPERLINK("https://www.ebay.com/sch/261328/i.html?_dcat=261328&amp;_fsrp=1&amp;rt=nc&amp;_from=R40&amp;_nkw=2025%20Bowman%20Draft%20IKE%20IRISH%20%23PP-8%20Chrome%20Prized%20Prospects%20Gold%20Refractor%20%2F50&amp;_sacat=0&amp;_sop=15&amp;rt=nc&amp;LH_BIN=1", "Active")</f>
        <v/>
      </c>
      <c r="J1479" s="5">
        <f>HYPERLINK("https://www.ebay.com/sch/261328/i.html?_from=R40&amp;_nkw=2025%20Bowman%20Draft%20IKE%20IRISH%20%23PP-8%20Chrome%20Prized%20Prospects%20Gold%20Refractor%20%2F50&amp;_sacat=0&amp;LH_Sold=1&amp;LH_Complete=1&amp;_sop=13", "Completed")</f>
        <v/>
      </c>
      <c r="K1479" s="5" t="inlineStr">
        <is>
          <t>2025 Bowman Draft IKE IRISH #PP-8 Chrome Prized Prospects Gold Refractor /50</t>
        </is>
      </c>
    </row>
    <row r="1480">
      <c r="A1480" s="5" t="inlineStr">
        <is>
          <t>WHATNOT-0003-00018-45103</t>
        </is>
      </c>
      <c r="B1480" s="5" t="inlineStr">
        <is>
          <t>2026 Bowman GEORGE LOMBARD JR. #BCP-64 Chrome Prospects Mini-Diamond Refractor</t>
        </is>
      </c>
      <c r="C1480" s="6" t="n">
        <v>5.19</v>
      </c>
      <c r="D1480" s="6" t="n">
        <v>10.99</v>
      </c>
      <c r="E1480" s="6" t="n">
        <v>5.8</v>
      </c>
      <c r="F1480" s="7" t="n">
        <v>111.8</v>
      </c>
      <c r="G1480" s="5" t="inlineStr">
        <is>
          <t>⬆ Price Up</t>
        </is>
      </c>
      <c r="H1480" s="5" t="inlineStr">
        <is>
          <t>83%</t>
        </is>
      </c>
      <c r="I1480" s="5">
        <f>HYPERLINK("https://www.ebay.com/sch/261328/i.html?_dcat=261328&amp;_fsrp=1&amp;rt=nc&amp;_from=R40&amp;_nkw=2026%20Bowman%20GEORGE%20LOMBARD%20JR.%20%23BCP-64%20Chrome%20Prospects%20Mini-Diamond%20Refractor&amp;_sacat=0&amp;_sop=15&amp;rt=nc&amp;LH_BIN=1", "Active")</f>
        <v/>
      </c>
      <c r="J1480" s="5">
        <f>HYPERLINK("https://www.ebay.com/sch/261328/i.html?_from=R40&amp;_nkw=2026%20Bowman%20GEORGE%20LOMBARD%20JR.%20%23BCP-64%20Chrome%20Prospects%20Mini-Diamond%20Refractor&amp;_sacat=0&amp;LH_Sold=1&amp;LH_Complete=1&amp;_sop=13", "Completed")</f>
        <v/>
      </c>
      <c r="K1480" s="5" t="inlineStr">
        <is>
          <t>2026 Bowman Chrome George Lombard Jr Mini Diamond Refractor NY Yankees #BCP-64</t>
        </is>
      </c>
    </row>
    <row r="1481">
      <c r="A1481" s="5" t="inlineStr">
        <is>
          <t>WHATNOT-0003-00020-40424</t>
        </is>
      </c>
      <c r="B1481" s="5" t="inlineStr">
        <is>
          <t>2025 Bowman JHOSTYNXON GARCIA #BCP-43 Chrome Yellow Refractor /75 1st Prospect</t>
        </is>
      </c>
      <c r="C1481" s="6" t="n">
        <v>55.39</v>
      </c>
      <c r="D1481" s="6" t="n">
        <v>62.59</v>
      </c>
      <c r="E1481" s="6" t="n">
        <v>7.2</v>
      </c>
      <c r="F1481" s="7" t="n">
        <v>13</v>
      </c>
      <c r="G1481" s="5" t="inlineStr">
        <is>
          <t>⬆ Price Up</t>
        </is>
      </c>
      <c r="H1481" s="5" t="inlineStr">
        <is>
          <t>100%</t>
        </is>
      </c>
      <c r="I1481" s="5">
        <f>HYPERLINK("https://www.ebay.com/sch/261328/i.html?_dcat=261328&amp;_fsrp=1&amp;rt=nc&amp;_from=R40&amp;_nkw=2025%20Bowman%20JHOSTYNXON%20GARCIA%20%23BCP-43%20Chrome%20Yellow%20Refractor%20%2F75%201st%20Prospect&amp;_sacat=0&amp;_sop=15&amp;rt=nc&amp;LH_BIN=1", "Active")</f>
        <v/>
      </c>
      <c r="J1481" s="5">
        <f>HYPERLINK("https://www.ebay.com/sch/261328/i.html?_from=R40&amp;_nkw=2025%20Bowman%20JHOSTYNXON%20GARCIA%20%23BCP-43%20Chrome%20Yellow%20Refractor%20%2F75%201st%20Prospect&amp;_sacat=0&amp;LH_Sold=1&amp;LH_Complete=1&amp;_sop=13", "Completed")</f>
        <v/>
      </c>
      <c r="K1481" s="5" t="inlineStr">
        <is>
          <t>2025 Bowman JHOSTYNXON GARCIA #BCP-43 Chrome Yellow Refractor /75 1st Prospect</t>
        </is>
      </c>
    </row>
    <row r="1482">
      <c r="A1482" s="11" t="inlineStr">
        <is>
          <t>WHATNOT-0003-00019-05100</t>
        </is>
      </c>
      <c r="B1482" s="11" t="inlineStr">
        <is>
          <t>2025 Bowman Draft BRODY BRECHT #BDC-143 Chrome Yellow Refractor /75 Rockies</t>
        </is>
      </c>
      <c r="C1482" s="12" t="n">
        <v>5.99</v>
      </c>
      <c r="D1482" s="12" t="n">
        <v>5.49</v>
      </c>
      <c r="E1482" s="12" t="n">
        <v>-0.5</v>
      </c>
      <c r="F1482" s="13" t="n">
        <v>-8.300000000000001</v>
      </c>
      <c r="G1482" s="11" t="inlineStr">
        <is>
          <t>⬇ Price Down</t>
        </is>
      </c>
      <c r="H1482" s="11" t="inlineStr">
        <is>
          <t>88%</t>
        </is>
      </c>
      <c r="I1482" s="11">
        <f>HYPERLINK("https://www.ebay.com/sch/261328/i.html?_dcat=261328&amp;_fsrp=1&amp;rt=nc&amp;_from=R40&amp;_nkw=2025%20Bowman%20Draft%20BRODY%20BRECHT%20%23BDC-143%20Chrome%20Yellow%20Refractor%20%2F75%20Rockies&amp;_sacat=0&amp;_sop=15&amp;rt=nc&amp;LH_BIN=1", "Active")</f>
        <v/>
      </c>
      <c r="J1482" s="11">
        <f>HYPERLINK("https://www.ebay.com/sch/261328/i.html?_from=R40&amp;_nkw=2025%20Bowman%20Draft%20BRODY%20BRECHT%20%23BDC-143%20Chrome%20Yellow%20Refractor%20%2F75%20Rockies&amp;_sacat=0&amp;LH_Sold=1&amp;LH_Complete=1&amp;_sop=13", "Completed")</f>
        <v/>
      </c>
      <c r="K1482" s="11" t="inlineStr">
        <is>
          <t>2025 Bowman Draft Chrome BRODY BRECHT #BDC-143 YELLOW REFRACTOR /75</t>
        </is>
      </c>
    </row>
    <row r="1483">
      <c r="A1483" s="5" t="inlineStr">
        <is>
          <t>Whatnot_06_-_06-18-26-00036-832765</t>
        </is>
      </c>
      <c r="B1483" s="5" t="inlineStr">
        <is>
          <t>2026 Bowman Mega Box FERNANDO TATIS JR. #ES-3 Electric Sluggers Chrome Mojo</t>
        </is>
      </c>
      <c r="C1483" s="6" t="n">
        <v>2.99</v>
      </c>
      <c r="D1483" s="6" t="n">
        <v>15.99</v>
      </c>
      <c r="E1483" s="6" t="n">
        <v>13</v>
      </c>
      <c r="F1483" s="7" t="n">
        <v>434.8</v>
      </c>
      <c r="G1483" s="5" t="inlineStr">
        <is>
          <t>⬆ Price Up</t>
        </is>
      </c>
      <c r="H1483" s="5" t="inlineStr">
        <is>
          <t>70%</t>
        </is>
      </c>
      <c r="I1483" s="5">
        <f>HYPERLINK("https://www.ebay.com/sch/261328/i.html?_dcat=261328&amp;_fsrp=1&amp;rt=nc&amp;_from=R40&amp;_nkw=2026%20Bowman%20Mega%20Box%20FERNANDO%20TATIS%20JR.%20%23ES-3%20Electric%20Sluggers%20Chrome%20Mojo&amp;_sacat=0&amp;_sop=15&amp;rt=nc&amp;LH_BIN=1", "Active")</f>
        <v/>
      </c>
      <c r="J1483" s="5">
        <f>HYPERLINK("https://www.ebay.com/sch/261328/i.html?_from=R40&amp;_nkw=2026%20Bowman%20Mega%20Box%20FERNANDO%20TATIS%20JR.%20%23ES-3%20Electric%20Sluggers%20Chrome%20Mojo&amp;_sacat=0&amp;LH_Sold=1&amp;LH_Complete=1&amp;_sop=13", "Completed")</f>
        <v/>
      </c>
      <c r="K1483" s="5" t="inlineStr">
        <is>
          <t>2026 Bowman Chrome Mega Box Electric Sluggers Mojo Refractors - Pick Your Card</t>
        </is>
      </c>
    </row>
    <row r="1484">
      <c r="A1484" s="2" t="inlineStr">
        <is>
          <t>Whatnot_06_-_06-18-26-00034-030714</t>
        </is>
      </c>
      <c r="B1484" s="2" t="inlineStr">
        <is>
          <t>2026 Bowman XAVIER NEYENS #BCP-133 Chrome Prospects Lazer Refractor Astros</t>
        </is>
      </c>
      <c r="C1484" s="3" t="n">
        <v>3.49</v>
      </c>
      <c r="D1484" s="3" t="n">
        <v>2.49</v>
      </c>
      <c r="E1484" s="3" t="n">
        <v>-1</v>
      </c>
      <c r="F1484" s="4" t="n">
        <v>-28.7</v>
      </c>
      <c r="G1484" s="2" t="inlineStr">
        <is>
          <t>🔵 Floored $2.49 — free ship or $0.99 ship?</t>
        </is>
      </c>
      <c r="H1484" s="2" t="inlineStr">
        <is>
          <t>87%</t>
        </is>
      </c>
      <c r="I1484" s="2">
        <f>HYPERLINK("https://www.ebay.com/sch/261328/i.html?_dcat=261328&amp;_fsrp=1&amp;rt=nc&amp;_from=R40&amp;_nkw=2026%20Bowman%20XAVIER%20NEYENS%20%23BCP-133%20Chrome%20Prospects%20Lazer%20Refractor%20Astros&amp;_sacat=0&amp;_sop=15&amp;rt=nc&amp;LH_BIN=1", "Active")</f>
        <v/>
      </c>
      <c r="J1484" s="2">
        <f>HYPERLINK("https://www.ebay.com/sch/261328/i.html?_from=R40&amp;_nkw=2026%20Bowman%20XAVIER%20NEYENS%20%23BCP-133%20Chrome%20Prospects%20Lazer%20Refractor%20Astros&amp;_sacat=0&amp;LH_Sold=1&amp;LH_Complete=1&amp;_sop=13", "Completed")</f>
        <v/>
      </c>
      <c r="K1484" s="2" t="inlineStr">
        <is>
          <t>2026 Bowman Xavier Neyens #BCP-133 Lazer Refractor Houston Astros</t>
        </is>
      </c>
    </row>
    <row r="1485">
      <c r="A1485" s="2" t="inlineStr">
        <is>
          <t>Whatnot_06_-_06-18-26-00015-665394</t>
        </is>
      </c>
      <c r="B1485" s="2" t="inlineStr">
        <is>
          <t>2025 Topps ELLY DE LA CRUZ #SMLB-13 Stars of MLB Reds</t>
        </is>
      </c>
      <c r="C1485" s="3" t="n">
        <v>2.99</v>
      </c>
      <c r="D1485" s="3" t="n">
        <v>2.49</v>
      </c>
      <c r="E1485" s="3" t="n">
        <v>-0.5</v>
      </c>
      <c r="F1485" s="4" t="n">
        <v>-16.7</v>
      </c>
      <c r="G1485" s="2" t="inlineStr">
        <is>
          <t>🔵 Floored $2.49 — free ship or $0.99 ship?</t>
        </is>
      </c>
      <c r="H1485" s="2" t="inlineStr">
        <is>
          <t>66%</t>
        </is>
      </c>
      <c r="I1485" s="2">
        <f>HYPERLINK("https://www.ebay.com/sch/261328/i.html?_dcat=261328&amp;_fsrp=1&amp;rt=nc&amp;_from=R40&amp;_nkw=2025%20Topps%20ELLY%20DE%20LA%20CRUZ%20%23SMLB-13%20Stars%20of%20MLB%20Reds&amp;_sacat=0&amp;_sop=15&amp;rt=nc&amp;LH_BIN=1", "Active")</f>
        <v/>
      </c>
      <c r="J1485" s="2">
        <f>HYPERLINK("https://www.ebay.com/sch/261328/i.html?_from=R40&amp;_nkw=2025%20Topps%20ELLY%20DE%20LA%20CRUZ%20%23SMLB-13%20Stars%20of%20MLB%20Reds&amp;_sacat=0&amp;LH_Sold=1&amp;LH_Complete=1&amp;_sop=13", "Completed")</f>
        <v/>
      </c>
      <c r="K1485" s="2" t="inlineStr">
        <is>
          <t>2025 Topps Stars of MLB SMLB #1-85 You Pick 2+ Cards Free Ship Baseball Insert</t>
        </is>
      </c>
    </row>
    <row r="1486">
      <c r="A1486" s="2" t="inlineStr">
        <is>
          <t>Whatnot_06_-_06-18-26-00029-365338</t>
        </is>
      </c>
      <c r="B1486" s="2" t="inlineStr">
        <is>
          <t>2026 Bowman SEOJUN MOON #BCP-127 Chrome 1st Prospect Blue Jays</t>
        </is>
      </c>
      <c r="C1486" s="3" t="n">
        <v>2.99</v>
      </c>
      <c r="D1486" s="3" t="n">
        <v>2.49</v>
      </c>
      <c r="E1486" s="3" t="n">
        <v>-0.5</v>
      </c>
      <c r="F1486" s="4" t="n">
        <v>-16.7</v>
      </c>
      <c r="G1486" s="2" t="inlineStr">
        <is>
          <t>🔵 Floored $2.49 — free ship or $0.99 ship?</t>
        </is>
      </c>
      <c r="H1486" s="2" t="inlineStr">
        <is>
          <t>86%</t>
        </is>
      </c>
      <c r="I1486" s="2">
        <f>HYPERLINK("https://www.ebay.com/sch/261328/i.html?_dcat=261328&amp;_fsrp=1&amp;rt=nc&amp;_from=R40&amp;_nkw=2026%20Bowman%20SEOJUN%20MOON%20%23BCP-127%20Chrome%201st%20Prospect%20Blue%20Jays&amp;_sacat=0&amp;_sop=15&amp;rt=nc&amp;LH_BIN=1", "Active")</f>
        <v/>
      </c>
      <c r="J1486" s="2">
        <f>HYPERLINK("https://www.ebay.com/sch/261328/i.html?_from=R40&amp;_nkw=2026%20Bowman%20SEOJUN%20MOON%20%23BCP-127%20Chrome%201st%20Prospect%20Blue%20Jays&amp;_sacat=0&amp;LH_Sold=1&amp;LH_Complete=1&amp;_sop=13", "Completed")</f>
        <v/>
      </c>
      <c r="K1486" s="2" t="inlineStr">
        <is>
          <t>2026 Bowman Chrome - #BCP-127 Seojun Moon - Toronto Blue Jays - 1st Prospect</t>
        </is>
      </c>
    </row>
    <row r="1487">
      <c r="A1487" s="2" t="inlineStr">
        <is>
          <t>Whatnot_06_-_06-18-26-00016-910223</t>
        </is>
      </c>
      <c r="B1487" s="2" t="inlineStr">
        <is>
          <t>2026 Topps Series 1 ROMAN ANTHONY #189 RC Red Sox Rookie</t>
        </is>
      </c>
      <c r="C1487" s="3" t="n">
        <v>2.99</v>
      </c>
      <c r="D1487" s="3" t="n">
        <v>2.49</v>
      </c>
      <c r="E1487" s="3" t="n">
        <v>-0.5</v>
      </c>
      <c r="F1487" s="4" t="n">
        <v>-16.7</v>
      </c>
      <c r="G1487" s="2" t="inlineStr">
        <is>
          <t>🔵 Floored $2.49 — free ship or $0.99 ship?</t>
        </is>
      </c>
      <c r="H1487" s="2" t="inlineStr">
        <is>
          <t>75%</t>
        </is>
      </c>
      <c r="I1487" s="2">
        <f>HYPERLINK("https://www.ebay.com/sch/261328/i.html?_dcat=261328&amp;_fsrp=1&amp;rt=nc&amp;_from=R40&amp;_nkw=2026%20Topps%20Series%201%20ROMAN%20ANTHONY%20%23189%20RC%20Red%20Sox%20Rookie&amp;_sacat=0&amp;_sop=15&amp;rt=nc&amp;LH_BIN=1", "Active")</f>
        <v/>
      </c>
      <c r="J1487" s="2">
        <f>HYPERLINK("https://www.ebay.com/sch/261328/i.html?_from=R40&amp;_nkw=2026%20Topps%20Series%201%20ROMAN%20ANTHONY%20%23189%20RC%20Red%20Sox%20Rookie&amp;_sacat=0&amp;LH_Sold=1&amp;LH_Complete=1&amp;_sop=13", "Completed")</f>
        <v/>
      </c>
      <c r="K1487" s="2" t="inlineStr">
        <is>
          <t>Topps 2026 Series 1 Roman Anthony RC #189 Rookie Gold Cup - Boston Red Sox</t>
        </is>
      </c>
    </row>
    <row r="1488">
      <c r="A1488" s="2" t="inlineStr">
        <is>
          <t>Whatnot_06_-_06-18-26-00033-775006</t>
        </is>
      </c>
      <c r="B1488" s="2" t="inlineStr">
        <is>
          <t>2026 Bowman Mega Box JONAH TONG #65 Chrome Mojo Refractor RC Mets Rookie</t>
        </is>
      </c>
      <c r="C1488" s="3" t="n">
        <v>3.99</v>
      </c>
      <c r="D1488" s="3" t="n">
        <v>2.49</v>
      </c>
      <c r="E1488" s="3" t="n">
        <v>-1.5</v>
      </c>
      <c r="F1488" s="4" t="n">
        <v>-37.6</v>
      </c>
      <c r="G1488" s="2" t="inlineStr">
        <is>
          <t>🔵 Floored $2.49 — free ship or $0.99 ship?</t>
        </is>
      </c>
      <c r="H1488" s="2" t="inlineStr">
        <is>
          <t>83%</t>
        </is>
      </c>
      <c r="I1488" s="2">
        <f>HYPERLINK("https://www.ebay.com/sch/261328/i.html?_dcat=261328&amp;_fsrp=1&amp;rt=nc&amp;_from=R40&amp;_nkw=2026%20Bowman%20Mega%20Box%20JONAH%20TONG%20%2365%20Chrome%20Mojo%20Refractor%20RC%20Mets%20Rookie&amp;_sacat=0&amp;_sop=15&amp;rt=nc&amp;LH_BIN=1", "Active")</f>
        <v/>
      </c>
      <c r="J1488" s="2">
        <f>HYPERLINK("https://www.ebay.com/sch/261328/i.html?_from=R40&amp;_nkw=2026%20Bowman%20Mega%20Box%20JONAH%20TONG%20%2365%20Chrome%20Mojo%20Refractor%20RC%20Mets%20Rookie&amp;_sacat=0&amp;LH_Sold=1&amp;LH_Complete=1&amp;_sop=13", "Completed")</f>
        <v/>
      </c>
      <c r="K1488" s="2" t="inlineStr">
        <is>
          <t>2026 Bowman Chrome Rookies and Veterans Mega Box Mojo Refractors **You Pick**</t>
        </is>
      </c>
    </row>
    <row r="1489">
      <c r="A1489" s="2" t="inlineStr">
        <is>
          <t>Whatnot_06_-_06-18-26-00013-634039</t>
        </is>
      </c>
      <c r="B1489" s="2" t="inlineStr">
        <is>
          <t>2026 Bowman PARKS HARBER #BCP-43 Chrome 1st Prospect Giants Football</t>
        </is>
      </c>
      <c r="C1489" s="3" t="n">
        <v>2.99</v>
      </c>
      <c r="D1489" s="3" t="n">
        <v>2.49</v>
      </c>
      <c r="E1489" s="3" t="n">
        <v>-0.5</v>
      </c>
      <c r="F1489" s="4" t="n">
        <v>-16.7</v>
      </c>
      <c r="G1489" s="2" t="inlineStr">
        <is>
          <t>🔵 Floored $2.49 — free ship or $0.99 ship?</t>
        </is>
      </c>
      <c r="H1489" s="2" t="inlineStr"/>
      <c r="I1489" s="2">
        <f>HYPERLINK("https://www.ebay.com/sch/261328/i.html?_dcat=261328&amp;_fsrp=1&amp;rt=nc&amp;_from=R40&amp;_nkw=2026%20Bowman%20PARKS%20HARBER%20%23BCP-43%20Chrome%201st%20Prospect%20Giants%20Football&amp;_sacat=0&amp;_sop=15&amp;rt=nc&amp;LH_BIN=1", "Active")</f>
        <v/>
      </c>
      <c r="J1489" s="2">
        <f>HYPERLINK("https://www.ebay.com/sch/261328/i.html?_from=R40&amp;_nkw=2026%20Bowman%20PARKS%20HARBER%20%23BCP-43%20Chrome%201st%20Prospect%20Giants%20Football&amp;_sacat=0&amp;LH_Sold=1&amp;LH_Complete=1&amp;_sop=13", "Completed")</f>
        <v/>
      </c>
      <c r="K1489" s="2" t="inlineStr">
        <is>
          <t>No Close Result Found</t>
        </is>
      </c>
    </row>
    <row r="1490">
      <c r="A1490" s="2" t="inlineStr">
        <is>
          <t>Whatnot_06_-_06-18-26-00017-798979</t>
        </is>
      </c>
      <c r="B1490" s="2" t="inlineStr">
        <is>
          <t>2026 Bowman JONNY FARMELO #BTP-48 Scouts Top 100 Chrome Mariners</t>
        </is>
      </c>
      <c r="C1490" s="3" t="n">
        <v>3.49</v>
      </c>
      <c r="D1490" s="3" t="n">
        <v>2.49</v>
      </c>
      <c r="E1490" s="3" t="n">
        <v>-1</v>
      </c>
      <c r="F1490" s="4" t="n">
        <v>-28.7</v>
      </c>
      <c r="G1490" s="2" t="inlineStr">
        <is>
          <t>🔵 Floored $2.49 — free ship or $0.99 ship?</t>
        </is>
      </c>
      <c r="H1490" s="2" t="inlineStr">
        <is>
          <t>85%</t>
        </is>
      </c>
      <c r="I1490" s="2">
        <f>HYPERLINK("https://www.ebay.com/sch/261328/i.html?_dcat=261328&amp;_fsrp=1&amp;rt=nc&amp;_from=R40&amp;_nkw=2026%20Bowman%20JONNY%20FARMELO%20%23BTP-48%20Scouts%20Top%20100%20Chrome%20Mariners&amp;_sacat=0&amp;_sop=15&amp;rt=nc&amp;LH_BIN=1", "Active")</f>
        <v/>
      </c>
      <c r="J1490" s="2">
        <f>HYPERLINK("https://www.ebay.com/sch/261328/i.html?_from=R40&amp;_nkw=2026%20Bowman%20JONNY%20FARMELO%20%23BTP-48%20Scouts%20Top%20100%20Chrome%20Mariners&amp;_sacat=0&amp;LH_Sold=1&amp;LH_Complete=1&amp;_sop=13", "Completed")</f>
        <v/>
      </c>
      <c r="K1490" s="2" t="inlineStr">
        <is>
          <t>2026 Bowman #BTP-48 Jonny Farmelo Scouts Top 100 Seattle Mariners - BK421</t>
        </is>
      </c>
    </row>
    <row r="1491">
      <c r="A1491" s="5" t="inlineStr">
        <is>
          <t>Whatnot_06_-_06-18-26-00021-979525</t>
        </is>
      </c>
      <c r="B1491" s="5" t="inlineStr">
        <is>
          <t>2025 Topps Chrome MLS Sapphire LEONARDO BARROSO #182 Orange Ref /25 RC Rookie</t>
        </is>
      </c>
      <c r="C1491" s="6" t="n">
        <v>10.09</v>
      </c>
      <c r="D1491" s="6" t="n">
        <v>11.19</v>
      </c>
      <c r="E1491" s="6" t="n">
        <v>1.1</v>
      </c>
      <c r="F1491" s="7" t="n">
        <v>10.9</v>
      </c>
      <c r="G1491" s="5" t="inlineStr">
        <is>
          <t>⬆ Price Up</t>
        </is>
      </c>
      <c r="H1491" s="5" t="inlineStr">
        <is>
          <t>100%</t>
        </is>
      </c>
      <c r="I1491" s="5">
        <f>HYPERLINK("https://www.ebay.com/sch/261328/i.html?_dcat=261328&amp;_fsrp=1&amp;rt=nc&amp;_from=R40&amp;_nkw=2025%20Topps%20Chrome%20MLS%20Sapphire%20LEONARDO%20BARROSO%20%23182%20Orange%20Ref%20%2F25%20RC%20Rookie&amp;_sacat=0&amp;_sop=15&amp;rt=nc&amp;LH_BIN=1", "Active")</f>
        <v/>
      </c>
      <c r="J1491" s="5">
        <f>HYPERLINK("https://www.ebay.com/sch/261328/i.html?_from=R40&amp;_nkw=2025%20Topps%20Chrome%20MLS%20Sapphire%20LEONARDO%20BARROSO%20%23182%20Orange%20Ref%20%2F25%20RC%20Rookie&amp;_sacat=0&amp;LH_Sold=1&amp;LH_Complete=1&amp;_sop=13", "Completed")</f>
        <v/>
      </c>
      <c r="K1491" s="5" t="inlineStr">
        <is>
          <t>2025 Topps Chrome MLS Sapphire LEONARDO BARROSO #182 Orange Ref /25 RC Rookie</t>
        </is>
      </c>
    </row>
    <row r="1492">
      <c r="A1492" s="2" t="inlineStr">
        <is>
          <t>Whatnot_06_-_06-18-26-00026-709353</t>
        </is>
      </c>
      <c r="B1492" s="2" t="inlineStr">
        <is>
          <t>2026 Bowman HECTOR RAMOS #BCP-128 Chrome 1st Prospect Red Sox</t>
        </is>
      </c>
      <c r="C1492" s="3" t="n">
        <v>2.99</v>
      </c>
      <c r="D1492" s="3" t="n">
        <v>2.49</v>
      </c>
      <c r="E1492" s="3" t="n">
        <v>-0.5</v>
      </c>
      <c r="F1492" s="4" t="n">
        <v>-16.7</v>
      </c>
      <c r="G1492" s="2" t="inlineStr">
        <is>
          <t>🔵 Floored $2.49 — free ship or $0.99 ship?</t>
        </is>
      </c>
      <c r="H1492" s="2" t="inlineStr">
        <is>
          <t>80%</t>
        </is>
      </c>
      <c r="I1492" s="2">
        <f>HYPERLINK("https://www.ebay.com/sch/261328/i.html?_dcat=261328&amp;_fsrp=1&amp;rt=nc&amp;_from=R40&amp;_nkw=2026%20Bowman%20HECTOR%20RAMOS%20%23BCP-128%20Chrome%201st%20Prospect%20Red%20Sox&amp;_sacat=0&amp;_sop=15&amp;rt=nc&amp;LH_BIN=1", "Active")</f>
        <v/>
      </c>
      <c r="J1492" s="2">
        <f>HYPERLINK("https://www.ebay.com/sch/261328/i.html?_from=R40&amp;_nkw=2026%20Bowman%20HECTOR%20RAMOS%20%23BCP-128%20Chrome%201st%20Prospect%20Red%20Sox&amp;_sacat=0&amp;LH_Sold=1&amp;LH_Complete=1&amp;_sop=13", "Completed")</f>
        <v/>
      </c>
      <c r="K1492" s="2" t="inlineStr">
        <is>
          <t>Hector Ramos 2026 Bowman Chrome 1st Prospect #BCP-128 Boston Red Sox</t>
        </is>
      </c>
    </row>
    <row r="1493">
      <c r="A1493" s="8" t="inlineStr">
        <is>
          <t>Whatnot_06_-_06-18-26-00030-899330</t>
        </is>
      </c>
      <c r="B1493" s="8" t="inlineStr">
        <is>
          <t>2026 Bowman RAINIEL RODRIGUEZ #UR-7 Under the Radar Chrome Cardinals Football</t>
        </is>
      </c>
      <c r="C1493" s="9" t="n">
        <v>2.49</v>
      </c>
      <c r="D1493" s="9" t="n">
        <v>2.49</v>
      </c>
      <c r="E1493" s="9" t="n">
        <v>0</v>
      </c>
      <c r="F1493" s="10" t="n">
        <v>0</v>
      </c>
      <c r="G1493" s="8" t="inlineStr">
        <is>
          <t>— No Change</t>
        </is>
      </c>
      <c r="H1493" s="8" t="inlineStr"/>
      <c r="I1493" s="8">
        <f>HYPERLINK("https://www.ebay.com/sch/261328/i.html?_dcat=261328&amp;_fsrp=1&amp;rt=nc&amp;_from=R40&amp;_nkw=2026%20Bowman%20RAINIEL%20RODRIGUEZ%20%23UR-7%20Under%20the%20Radar%20Chrome%20Cardinals%20Football&amp;_sacat=0&amp;_sop=15&amp;rt=nc&amp;LH_BIN=1", "Active")</f>
        <v/>
      </c>
      <c r="J1493" s="8">
        <f>HYPERLINK("https://www.ebay.com/sch/261328/i.html?_from=R40&amp;_nkw=2026%20Bowman%20RAINIEL%20RODRIGUEZ%20%23UR-7%20Under%20the%20Radar%20Chrome%20Cardinals%20Football&amp;_sacat=0&amp;LH_Sold=1&amp;LH_Complete=1&amp;_sop=13", "Completed")</f>
        <v/>
      </c>
      <c r="K1493" s="8" t="inlineStr">
        <is>
          <t>No Close Result Found</t>
        </is>
      </c>
    </row>
    <row r="1494">
      <c r="A1494" s="5" t="inlineStr">
        <is>
          <t>Whatnot_06_-_06-18-26-00010-932404</t>
        </is>
      </c>
      <c r="B1494" s="5" t="inlineStr">
        <is>
          <t>2026 Bowman JHONNY LEVEL #BTP-76 Scouts Top 100 Chrome Mini-Diamond /150</t>
        </is>
      </c>
      <c r="C1494" s="6" t="n">
        <v>8.59</v>
      </c>
      <c r="D1494" s="6" t="n">
        <v>8.69</v>
      </c>
      <c r="E1494" s="6" t="n">
        <v>0.1</v>
      </c>
      <c r="F1494" s="7" t="n">
        <v>1.2</v>
      </c>
      <c r="G1494" s="5" t="inlineStr">
        <is>
          <t>⬆ Price Up</t>
        </is>
      </c>
      <c r="H1494" s="5" t="inlineStr">
        <is>
          <t>80%</t>
        </is>
      </c>
      <c r="I1494" s="5">
        <f>HYPERLINK("https://www.ebay.com/sch/261328/i.html?_dcat=261328&amp;_fsrp=1&amp;rt=nc&amp;_from=R40&amp;_nkw=2026%20Bowman%20JHONNY%20LEVEL%20%23BTP-76%20Scouts%20Top%20100%20Chrome%20Mini-Diamond%20%2F150&amp;_sacat=0&amp;_sop=15&amp;rt=nc&amp;LH_BIN=1", "Active")</f>
        <v/>
      </c>
      <c r="J1494" s="5">
        <f>HYPERLINK("https://www.ebay.com/sch/261328/i.html?_from=R40&amp;_nkw=2026%20Bowman%20JHONNY%20LEVEL%20%23BTP-76%20Scouts%20Top%20100%20Chrome%20Mini-Diamond%20%2F150&amp;_sacat=0&amp;LH_Sold=1&amp;LH_Complete=1&amp;_sop=13", "Completed")</f>
        <v/>
      </c>
      <c r="K1494" s="5" t="inlineStr">
        <is>
          <t>26 Bowman Jhonny Level #BTP-76 Scouts Top 100 Chrome Mini-Diamond Refractor /150</t>
        </is>
      </c>
    </row>
    <row r="1495">
      <c r="A1495" s="5" t="inlineStr">
        <is>
          <t>Whatnot_06_-_06-18-26-00032-931352</t>
        </is>
      </c>
      <c r="B1495" s="5" t="inlineStr">
        <is>
          <t>2026 Bowman MAX CLARK #BCP-2 Chrome Prospects Lazer Refractor Tigers</t>
        </is>
      </c>
      <c r="C1495" s="6" t="n">
        <v>1.99</v>
      </c>
      <c r="D1495" s="6" t="n">
        <v>2.49</v>
      </c>
      <c r="E1495" s="6" t="n">
        <v>0.5</v>
      </c>
      <c r="F1495" s="7" t="n">
        <v>25.1</v>
      </c>
      <c r="G1495" s="5" t="inlineStr">
        <is>
          <t>⬆ Price Up</t>
        </is>
      </c>
      <c r="H1495" s="5" t="inlineStr">
        <is>
          <t>78%</t>
        </is>
      </c>
      <c r="I1495" s="5">
        <f>HYPERLINK("https://www.ebay.com/sch/261328/i.html?_dcat=261328&amp;_fsrp=1&amp;rt=nc&amp;_from=R40&amp;_nkw=2026%20Bowman%20MAX%20CLARK%20%23BCP-2%20Chrome%20Prospects%20Lazer%20Refractor%20Tigers&amp;_sacat=0&amp;_sop=15&amp;rt=nc&amp;LH_BIN=1", "Active")</f>
        <v/>
      </c>
      <c r="J1495" s="5">
        <f>HYPERLINK("https://www.ebay.com/sch/261328/i.html?_from=R40&amp;_nkw=2026%20Bowman%20MAX%20CLARK%20%23BCP-2%20Chrome%20Prospects%20Lazer%20Refractor%20Tigers&amp;_sacat=0&amp;LH_Sold=1&amp;LH_Complete=1&amp;_sop=13", "Completed")</f>
        <v/>
      </c>
      <c r="K1495" s="5" t="inlineStr">
        <is>
          <t>Max Clark 2026 Bowman Chrome Lazer Refractor #BCP-2 Tigers</t>
        </is>
      </c>
    </row>
    <row r="1496">
      <c r="A1496" s="8" t="inlineStr">
        <is>
          <t>Whatnot_06_-_06-18-26-00019-861066</t>
        </is>
      </c>
      <c r="B1496" s="8" t="inlineStr">
        <is>
          <t>2026 Bowman AIVA ARQUETTE #ES-21 Electric Sluggers Chrome Marlins</t>
        </is>
      </c>
      <c r="C1496" s="9" t="n">
        <v>2.49</v>
      </c>
      <c r="D1496" s="9" t="n">
        <v>2.49</v>
      </c>
      <c r="E1496" s="9" t="n">
        <v>0</v>
      </c>
      <c r="F1496" s="10" t="n">
        <v>0</v>
      </c>
      <c r="G1496" s="8" t="inlineStr">
        <is>
          <t>— No Change</t>
        </is>
      </c>
      <c r="H1496" s="8" t="inlineStr">
        <is>
          <t>67%</t>
        </is>
      </c>
      <c r="I1496" s="8">
        <f>HYPERLINK("https://www.ebay.com/sch/261328/i.html?_dcat=261328&amp;_fsrp=1&amp;rt=nc&amp;_from=R40&amp;_nkw=2026%20Bowman%20AIVA%20ARQUETTE%20%23ES-21%20Electric%20Sluggers%20Chrome%20Marlins&amp;_sacat=0&amp;_sop=15&amp;rt=nc&amp;LH_BIN=1", "Active")</f>
        <v/>
      </c>
      <c r="J1496" s="8">
        <f>HYPERLINK("https://www.ebay.com/sch/261328/i.html?_from=R40&amp;_nkw=2026%20Bowman%20AIVA%20ARQUETTE%20%23ES-21%20Electric%20Sluggers%20Chrome%20Marlins&amp;_sacat=0&amp;LH_Sold=1&amp;LH_Complete=1&amp;_sop=13", "Completed")</f>
        <v/>
      </c>
      <c r="K1496" s="8" t="inlineStr">
        <is>
          <t>2026 Bowman Chrome Electric Sluggers Insert Pick Your Card MLB Baseball Singles</t>
        </is>
      </c>
    </row>
    <row r="1497">
      <c r="A1497" s="2" t="inlineStr">
        <is>
          <t>Whatnot_06_-_06-18-26-00024-198637</t>
        </is>
      </c>
      <c r="B1497" s="2" t="inlineStr">
        <is>
          <t>2026 Bowman AIVA ARQUETTE #BTP-18 Scouts Top 100 Chrome Marlins</t>
        </is>
      </c>
      <c r="C1497" s="3" t="n">
        <v>2.99</v>
      </c>
      <c r="D1497" s="3" t="n">
        <v>2.49</v>
      </c>
      <c r="E1497" s="3" t="n">
        <v>-0.5</v>
      </c>
      <c r="F1497" s="4" t="n">
        <v>-16.7</v>
      </c>
      <c r="G1497" s="2" t="inlineStr">
        <is>
          <t>🔵 Floored $2.49 — free ship or $0.99 ship?</t>
        </is>
      </c>
      <c r="H1497" s="2" t="inlineStr">
        <is>
          <t>68%</t>
        </is>
      </c>
      <c r="I1497" s="2">
        <f>HYPERLINK("https://www.ebay.com/sch/261328/i.html?_dcat=261328&amp;_fsrp=1&amp;rt=nc&amp;_from=R40&amp;_nkw=2026%20Bowman%20AIVA%20ARQUETTE%20%23BTP-18%20Scouts%20Top%20100%20Chrome%20Marlins&amp;_sacat=0&amp;_sop=15&amp;rt=nc&amp;LH_BIN=1", "Active")</f>
        <v/>
      </c>
      <c r="J1497" s="2">
        <f>HYPERLINK("https://www.ebay.com/sch/261328/i.html?_from=R40&amp;_nkw=2026%20Bowman%20AIVA%20ARQUETTE%20%23BTP-18%20Scouts%20Top%20100%20Chrome%20Marlins&amp;_sacat=0&amp;LH_Sold=1&amp;LH_Complete=1&amp;_sop=13", "Completed")</f>
        <v/>
      </c>
      <c r="K1497" s="2" t="inlineStr">
        <is>
          <t>2026 Bowman Scouts Top 100 Insert Cards You Pick, Complete Your Master Set!</t>
        </is>
      </c>
    </row>
    <row r="1498">
      <c r="A1498" s="8" t="inlineStr">
        <is>
          <t>Whatnot_06_-_06-18-26-00028-774331</t>
        </is>
      </c>
      <c r="B1498" s="8" t="inlineStr">
        <is>
          <t>2026 Bowman GAGE STANIFER #BCP-37 Chrome 1st Prospect Blue Jays</t>
        </is>
      </c>
      <c r="C1498" s="9" t="n">
        <v>2.49</v>
      </c>
      <c r="D1498" s="9" t="n">
        <v>2.49</v>
      </c>
      <c r="E1498" s="9" t="n">
        <v>0</v>
      </c>
      <c r="F1498" s="10" t="n">
        <v>0</v>
      </c>
      <c r="G1498" s="8" t="inlineStr">
        <is>
          <t>— No Change</t>
        </is>
      </c>
      <c r="H1498" s="8" t="inlineStr">
        <is>
          <t>65%</t>
        </is>
      </c>
      <c r="I1498" s="8">
        <f>HYPERLINK("https://www.ebay.com/sch/261328/i.html?_dcat=261328&amp;_fsrp=1&amp;rt=nc&amp;_from=R40&amp;_nkw=2026%20Bowman%20GAGE%20STANIFER%20%23BCP-37%20Chrome%201st%20Prospect%20Blue%20Jays&amp;_sacat=0&amp;_sop=15&amp;rt=nc&amp;LH_BIN=1", "Active")</f>
        <v/>
      </c>
      <c r="J1498" s="8">
        <f>HYPERLINK("https://www.ebay.com/sch/261328/i.html?_from=R40&amp;_nkw=2026%20Bowman%20GAGE%20STANIFER%20%23BCP-37%20Chrome%201st%20Prospect%20Blue%20Jays&amp;_sacat=0&amp;LH_Sold=1&amp;LH_Complete=1&amp;_sop=13", "Completed")</f>
        <v/>
      </c>
      <c r="K1498" s="8" t="inlineStr">
        <is>
          <t>2026 Bowman *YOU PICK* Base Chrome Prospects w/ 1st #BCP 1-150 *BUY 2+ &amp; SAVE*</t>
        </is>
      </c>
    </row>
    <row r="1499">
      <c r="A1499" s="2" t="inlineStr">
        <is>
          <t>Whatnot_06_-_06-18-26-00012-030267</t>
        </is>
      </c>
      <c r="B1499" s="2" t="inlineStr">
        <is>
          <t>2026 Bowman CARLOS GUTIERREZ #BCP-14 Chrome 1st Prospect Giants Football</t>
        </is>
      </c>
      <c r="C1499" s="3" t="n">
        <v>2.99</v>
      </c>
      <c r="D1499" s="3" t="n">
        <v>2.49</v>
      </c>
      <c r="E1499" s="3" t="n">
        <v>-0.5</v>
      </c>
      <c r="F1499" s="4" t="n">
        <v>-16.7</v>
      </c>
      <c r="G1499" s="2" t="inlineStr">
        <is>
          <t>🔵 Floored $2.49 — free ship or $0.99 ship?</t>
        </is>
      </c>
      <c r="H1499" s="2" t="inlineStr"/>
      <c r="I1499" s="2">
        <f>HYPERLINK("https://www.ebay.com/sch/261328/i.html?_dcat=261328&amp;_fsrp=1&amp;rt=nc&amp;_from=R40&amp;_nkw=2026%20Bowman%20CARLOS%20GUTIERREZ%20%23BCP-14%20Chrome%201st%20Prospect%20Giants%20Football&amp;_sacat=0&amp;_sop=15&amp;rt=nc&amp;LH_BIN=1", "Active")</f>
        <v/>
      </c>
      <c r="J1499" s="2">
        <f>HYPERLINK("https://www.ebay.com/sch/261328/i.html?_from=R40&amp;_nkw=2026%20Bowman%20CARLOS%20GUTIERREZ%20%23BCP-14%20Chrome%201st%20Prospect%20Giants%20Football&amp;_sacat=0&amp;LH_Sold=1&amp;LH_Complete=1&amp;_sop=13", "Completed")</f>
        <v/>
      </c>
      <c r="K1499" s="2" t="inlineStr">
        <is>
          <t>No Close Result Found</t>
        </is>
      </c>
    </row>
    <row r="1500">
      <c r="A1500" s="2" t="inlineStr">
        <is>
          <t>Whatnot_06_-_06-18-26-00002-037750</t>
        </is>
      </c>
      <c r="B1500" s="2" t="inlineStr">
        <is>
          <t>2024-25 TOPPS MERLIN CHROME UEFA CLUB COMPETITIONS LAMINE YAMAL BARCELONA</t>
        </is>
      </c>
      <c r="C1500" s="3" t="n">
        <v>5.99</v>
      </c>
      <c r="D1500" s="3" t="n">
        <v>2.49</v>
      </c>
      <c r="E1500" s="3" t="n">
        <v>-3.5</v>
      </c>
      <c r="F1500" s="4" t="n">
        <v>-58.4</v>
      </c>
      <c r="G1500" s="2" t="inlineStr">
        <is>
          <t>🔵 Floored $2.49 — free ship or $0.99 ship?</t>
        </is>
      </c>
      <c r="H1500" s="2" t="inlineStr">
        <is>
          <t>83%</t>
        </is>
      </c>
      <c r="I1500" s="2">
        <f>HYPERLINK("https://www.ebay.com/sch/261328/i.html?_dcat=261328&amp;_fsrp=1&amp;rt=nc&amp;_from=R40&amp;_nkw=2024-25%20TOPPS%20MERLIN%20CHROME%20UEFA%20CLUB%20COMPETITIONS%20LAMINE%20YAMAL%20BARCELONA&amp;_sacat=0&amp;_sop=15&amp;rt=nc&amp;LH_BIN=1", "Active")</f>
        <v/>
      </c>
      <c r="J1500" s="2">
        <f>HYPERLINK("https://www.ebay.com/sch/261328/i.html?_from=R40&amp;_nkw=2024-25%20TOPPS%20MERLIN%20CHROME%20UEFA%20CLUB%20COMPETITIONS%20LAMINE%20YAMAL%20BARCELONA&amp;_sacat=0&amp;LH_Sold=1&amp;LH_Complete=1&amp;_sop=13", "Completed")</f>
        <v/>
      </c>
      <c r="K1500" s="2" t="inlineStr">
        <is>
          <t>2024-25 Topps Chrome Merlin UEFA Club Competitions Base, Rookies PICK YOUR CARD</t>
        </is>
      </c>
    </row>
    <row r="1501">
      <c r="A1501" s="5" t="inlineStr">
        <is>
          <t>Whatnot_06_-_06-18-26-00020-067923</t>
        </is>
      </c>
      <c r="B1501" s="5" t="inlineStr">
        <is>
          <t>2023 Topps UEFA LIONEL MESSI #SD-10 Starball Debuts Aqua Mini Diamond /199</t>
        </is>
      </c>
      <c r="C1501" s="6" t="n">
        <v>85.19</v>
      </c>
      <c r="D1501" s="6" t="n">
        <v>92.29000000000001</v>
      </c>
      <c r="E1501" s="6" t="n">
        <v>7.1</v>
      </c>
      <c r="F1501" s="7" t="n">
        <v>8.300000000000001</v>
      </c>
      <c r="G1501" s="5" t="inlineStr">
        <is>
          <t>⬆ Price Up</t>
        </is>
      </c>
      <c r="H1501" s="5" t="inlineStr">
        <is>
          <t>100%</t>
        </is>
      </c>
      <c r="I1501" s="5">
        <f>HYPERLINK("https://www.ebay.com/sch/261328/i.html?_dcat=261328&amp;_fsrp=1&amp;rt=nc&amp;_from=R40&amp;_nkw=2023%20Topps%20UEFA%20LIONEL%20MESSI%20%23SD-10%20Starball%20Debuts%20Aqua%20Mini%20Diamond%20%2F199&amp;_sacat=0&amp;_sop=15&amp;rt=nc&amp;LH_BIN=1", "Active")</f>
        <v/>
      </c>
      <c r="J1501" s="5">
        <f>HYPERLINK("https://www.ebay.com/sch/261328/i.html?_from=R40&amp;_nkw=2023%20Topps%20UEFA%20LIONEL%20MESSI%20%23SD-10%20Starball%20Debuts%20Aqua%20Mini%20Diamond%20%2F199&amp;_sacat=0&amp;LH_Sold=1&amp;LH_Complete=1&amp;_sop=13", "Completed")</f>
        <v/>
      </c>
      <c r="K1501" s="5" t="inlineStr">
        <is>
          <t>2023 Topps UEFA LIONEL MESSI #SD-10 Starball Debuts Aqua Mini Diamond /199</t>
        </is>
      </c>
    </row>
    <row r="1502">
      <c r="A1502" s="5" t="inlineStr">
        <is>
          <t>Whatnot_06_-_06-18-26-00037-695917</t>
        </is>
      </c>
      <c r="B1502" s="5" t="inlineStr">
        <is>
          <t>2026 Bowman Mega Box FRANCISCO LINDOR #ES-1 Electric Sluggers Chrome Mojo</t>
        </is>
      </c>
      <c r="C1502" s="6" t="n">
        <v>2.99</v>
      </c>
      <c r="D1502" s="6" t="n">
        <v>3.29</v>
      </c>
      <c r="E1502" s="6" t="n">
        <v>0.3</v>
      </c>
      <c r="F1502" s="7" t="n">
        <v>10</v>
      </c>
      <c r="G1502" s="5" t="inlineStr">
        <is>
          <t>⬆ Price Up</t>
        </is>
      </c>
      <c r="H1502" s="5" t="inlineStr">
        <is>
          <t>89%</t>
        </is>
      </c>
      <c r="I1502" s="5">
        <f>HYPERLINK("https://www.ebay.com/sch/261328/i.html?_dcat=261328&amp;_fsrp=1&amp;rt=nc&amp;_from=R40&amp;_nkw=2026%20Bowman%20Mega%20Box%20FRANCISCO%20LINDOR%20%23ES-1%20Electric%20Sluggers%20Chrome%20Mojo&amp;_sacat=0&amp;_sop=15&amp;rt=nc&amp;LH_BIN=1", "Active")</f>
        <v/>
      </c>
      <c r="J1502" s="5">
        <f>HYPERLINK("https://www.ebay.com/sch/261328/i.html?_from=R40&amp;_nkw=2026%20Bowman%20Mega%20Box%20FRANCISCO%20LINDOR%20%23ES-1%20Electric%20Sluggers%20Chrome%20Mojo&amp;_sacat=0&amp;LH_Sold=1&amp;LH_Complete=1&amp;_sop=13", "Completed")</f>
        <v/>
      </c>
      <c r="K1502" s="5" t="inlineStr">
        <is>
          <t>2026 Francisco Lindor Bowman Chrome Electric Sluggers Mega Box Mojo ES-1</t>
        </is>
      </c>
    </row>
    <row r="1503">
      <c r="A1503" s="5" t="inlineStr">
        <is>
          <t>Whatnot_06_-_06-18-26-00003-231819</t>
        </is>
      </c>
      <c r="B1503" s="5" t="inlineStr">
        <is>
          <t>2025 Topps Now MLS LIONEL MESSI #23 Inter Miami World Cup</t>
        </is>
      </c>
      <c r="C1503" s="6" t="n">
        <v>14.99</v>
      </c>
      <c r="D1503" s="6" t="n">
        <v>15.99</v>
      </c>
      <c r="E1503" s="6" t="n">
        <v>1</v>
      </c>
      <c r="F1503" s="7" t="n">
        <v>6.7</v>
      </c>
      <c r="G1503" s="5" t="inlineStr">
        <is>
          <t>⬆ Price Up</t>
        </is>
      </c>
      <c r="H1503" s="5" t="inlineStr">
        <is>
          <t>100%</t>
        </is>
      </c>
      <c r="I1503" s="5">
        <f>HYPERLINK("https://www.ebay.com/sch/261328/i.html?_dcat=261328&amp;_fsrp=1&amp;rt=nc&amp;_from=R40&amp;_nkw=2025%20Topps%20Now%20MLS%20LIONEL%20MESSI%20%2323%20Inter%20Miami%20World%20Cup&amp;_sacat=0&amp;_sop=15&amp;rt=nc&amp;LH_BIN=1", "Active")</f>
        <v/>
      </c>
      <c r="J1503" s="5">
        <f>HYPERLINK("https://www.ebay.com/sch/261328/i.html?_from=R40&amp;_nkw=2025%20Topps%20Now%20MLS%20LIONEL%20MESSI%20%2323%20Inter%20Miami%20World%20Cup&amp;_sacat=0&amp;LH_Sold=1&amp;LH_Complete=1&amp;_sop=13", "Completed")</f>
        <v/>
      </c>
      <c r="K1503" s="5" t="inlineStr">
        <is>
          <t>2025 Topps Now MLS LIONEL MESSI #23 Inter Miami World Cup</t>
        </is>
      </c>
    </row>
    <row r="1504">
      <c r="A1504" s="2" t="inlineStr">
        <is>
          <t>Whatnot_06_-_06-18-26-00014-161086</t>
        </is>
      </c>
      <c r="B1504" s="2" t="inlineStr">
        <is>
          <t>2026 Bowman XAVIER NEYENS #BTP-50 Scouts Top 100 Chrome Astros</t>
        </is>
      </c>
      <c r="C1504" s="3" t="n">
        <v>2.99</v>
      </c>
      <c r="D1504" s="3" t="n">
        <v>2.49</v>
      </c>
      <c r="E1504" s="3" t="n">
        <v>-0.5</v>
      </c>
      <c r="F1504" s="4" t="n">
        <v>-16.7</v>
      </c>
      <c r="G1504" s="2" t="inlineStr">
        <is>
          <t>🔵 Floored $2.49 — free ship or $0.99 ship?</t>
        </is>
      </c>
      <c r="H1504" s="2" t="inlineStr">
        <is>
          <t>87%</t>
        </is>
      </c>
      <c r="I1504" s="2">
        <f>HYPERLINK("https://www.ebay.com/sch/261328/i.html?_dcat=261328&amp;_fsrp=1&amp;rt=nc&amp;_from=R40&amp;_nkw=2026%20Bowman%20XAVIER%20NEYENS%20%23BTP-50%20Scouts%20Top%20100%20Chrome%20Astros&amp;_sacat=0&amp;_sop=15&amp;rt=nc&amp;LH_BIN=1", "Active")</f>
        <v/>
      </c>
      <c r="J1504" s="2">
        <f>HYPERLINK("https://www.ebay.com/sch/261328/i.html?_from=R40&amp;_nkw=2026%20Bowman%20XAVIER%20NEYENS%20%23BTP-50%20Scouts%20Top%20100%20Chrome%20Astros&amp;_sacat=0&amp;LH_Sold=1&amp;LH_Complete=1&amp;_sop=13", "Completed")</f>
        <v/>
      </c>
      <c r="K1504" s="2" t="inlineStr">
        <is>
          <t>2026 Bowman Chrome Xavier Neyens #BTP-50 Bowman Scouts Top 100 Astros</t>
        </is>
      </c>
    </row>
    <row r="1505">
      <c r="A1505" s="5" t="inlineStr">
        <is>
          <t>Whatnot_06_-_06-18-26-00005-949576</t>
        </is>
      </c>
      <c r="B1505" s="5" t="inlineStr">
        <is>
          <t>2024 Topps MERLIN Chrome UEFA Club Competitions Kylian Mbappe #9 Mojo Refractor</t>
        </is>
      </c>
      <c r="C1505" s="6" t="n">
        <v>11.09</v>
      </c>
      <c r="D1505" s="6" t="n">
        <v>12.19</v>
      </c>
      <c r="E1505" s="6" t="n">
        <v>1.1</v>
      </c>
      <c r="F1505" s="7" t="n">
        <v>9.9</v>
      </c>
      <c r="G1505" s="5" t="inlineStr">
        <is>
          <t>⬆ Price Up</t>
        </is>
      </c>
      <c r="H1505" s="5" t="inlineStr">
        <is>
          <t>100%</t>
        </is>
      </c>
      <c r="I1505" s="5">
        <f>HYPERLINK("https://www.ebay.com/sch/261328/i.html?_dcat=261328&amp;_fsrp=1&amp;rt=nc&amp;_from=R40&amp;_nkw=2024%20Topps%20MERLIN%20Chrome%20UEFA%20Club%20Competitions%20Kylian%20Mbappe%20%239%20Mojo%20Refractor&amp;_sacat=0&amp;_sop=15&amp;rt=nc&amp;LH_BIN=1", "Active")</f>
        <v/>
      </c>
      <c r="J1505" s="5">
        <f>HYPERLINK("https://www.ebay.com/sch/261328/i.html?_from=R40&amp;_nkw=2024%20Topps%20MERLIN%20Chrome%20UEFA%20Club%20Competitions%20Kylian%20Mbappe%20%239%20Mojo%20Refractor&amp;_sacat=0&amp;LH_Sold=1&amp;LH_Complete=1&amp;_sop=13", "Completed")</f>
        <v/>
      </c>
      <c r="K1505" s="5" t="inlineStr">
        <is>
          <t>2024 Topps MERLIN Chrome UEFA Club Competitions Kylian Mbappe #9 Mojo Refractor</t>
        </is>
      </c>
    </row>
    <row r="1506">
      <c r="A1506" s="2" t="inlineStr">
        <is>
          <t>Whatnot_06_-_06-18-26-00004-580214</t>
        </is>
      </c>
      <c r="B1506" s="2" t="inlineStr">
        <is>
          <t>2025 TOPPS CHROME MLS KELVIN YEBOAH AUTO GREEN WAVE REFRACTOR /99 UNITED</t>
        </is>
      </c>
      <c r="C1506" s="3" t="n">
        <v>15.99</v>
      </c>
      <c r="D1506" s="3" t="n">
        <v>2.49</v>
      </c>
      <c r="E1506" s="3" t="n">
        <v>-13.5</v>
      </c>
      <c r="F1506" s="4" t="n">
        <v>-84.40000000000001</v>
      </c>
      <c r="G1506" s="2" t="inlineStr">
        <is>
          <t>🔵 Floored $2.49 — free ship or $0.99 ship?</t>
        </is>
      </c>
      <c r="H1506" s="2" t="inlineStr"/>
      <c r="I1506" s="2">
        <f>HYPERLINK("https://www.ebay.com/sch/261328/i.html?_dcat=261328&amp;_fsrp=1&amp;rt=nc&amp;_from=R40&amp;_nkw=2025%20TOPPS%20CHROME%20MLS%20KELVIN%20YEBOAH%20AUTO%20GREEN%20WAVE%20REFRACTOR%20%2F99%20UNITED&amp;_sacat=0&amp;_sop=15&amp;rt=nc&amp;LH_BIN=1", "Active")</f>
        <v/>
      </c>
      <c r="J1506" s="2">
        <f>HYPERLINK("https://www.ebay.com/sch/261328/i.html?_from=R40&amp;_nkw=2025%20TOPPS%20CHROME%20MLS%20KELVIN%20YEBOAH%20AUTO%20GREEN%20WAVE%20REFRACTOR%20%2F99%20UNITED&amp;_sacat=0&amp;LH_Sold=1&amp;LH_Complete=1&amp;_sop=13", "Completed")</f>
        <v/>
      </c>
      <c r="K1506" s="2" t="inlineStr">
        <is>
          <t>No Close Result Found</t>
        </is>
      </c>
    </row>
    <row r="1507">
      <c r="A1507" s="5" t="inlineStr">
        <is>
          <t>Whatnot_06_-_06-18-26-00007-126434</t>
        </is>
      </c>
      <c r="B1507" s="5" t="inlineStr">
        <is>
          <t>2021 TOPPS NOW UEFA CHAMPIONS LEAGUE CRISTIANO RONALDO MAN U Portugal</t>
        </is>
      </c>
      <c r="C1507" s="6" t="n">
        <v>8.19</v>
      </c>
      <c r="D1507" s="6" t="n">
        <v>9.390000000000001</v>
      </c>
      <c r="E1507" s="6" t="n">
        <v>1.2</v>
      </c>
      <c r="F1507" s="7" t="n">
        <v>14.7</v>
      </c>
      <c r="G1507" s="5" t="inlineStr">
        <is>
          <t>⬆ Price Up</t>
        </is>
      </c>
      <c r="H1507" s="5" t="inlineStr">
        <is>
          <t>100%</t>
        </is>
      </c>
      <c r="I1507" s="5">
        <f>HYPERLINK("https://www.ebay.com/sch/261328/i.html?_dcat=261328&amp;_fsrp=1&amp;rt=nc&amp;_from=R40&amp;_nkw=2021%20TOPPS%20NOW%20UEFA%20CHAMPIONS%20LEAGUE%20CRISTIANO%20RONALDO%20MAN%20U%20Portugal&amp;_sacat=0&amp;_sop=15&amp;rt=nc&amp;LH_BIN=1", "Active")</f>
        <v/>
      </c>
      <c r="J1507" s="5">
        <f>HYPERLINK("https://www.ebay.com/sch/261328/i.html?_from=R40&amp;_nkw=2021%20TOPPS%20NOW%20UEFA%20CHAMPIONS%20LEAGUE%20CRISTIANO%20RONALDO%20MAN%20U%20Portugal&amp;_sacat=0&amp;LH_Sold=1&amp;LH_Complete=1&amp;_sop=13", "Completed")</f>
        <v/>
      </c>
      <c r="K1507" s="5" t="inlineStr">
        <is>
          <t>2021 TOPPS NOW UEFA CHAMPIONS LEAGUE CRISTIANO RONALDO MAN U Portugal</t>
        </is>
      </c>
    </row>
    <row r="1508">
      <c r="A1508" s="2" t="inlineStr">
        <is>
          <t>Whatnot_06_-_06-18-26-00025-813115</t>
        </is>
      </c>
      <c r="B1508" s="2" t="inlineStr">
        <is>
          <t>2026 Bowman KYSON WITHERSPOON #BTP-63 Scouts Top 100 Chrome Red Sox</t>
        </is>
      </c>
      <c r="C1508" s="3" t="n">
        <v>3.49</v>
      </c>
      <c r="D1508" s="3" t="n">
        <v>2.49</v>
      </c>
      <c r="E1508" s="3" t="n">
        <v>-1</v>
      </c>
      <c r="F1508" s="4" t="n">
        <v>-28.7</v>
      </c>
      <c r="G1508" s="2" t="inlineStr">
        <is>
          <t>🔵 Floored $2.49 — free ship or $0.99 ship?</t>
        </is>
      </c>
      <c r="H1508" s="2" t="inlineStr">
        <is>
          <t>74%</t>
        </is>
      </c>
      <c r="I1508" s="2">
        <f>HYPERLINK("https://www.ebay.com/sch/261328/i.html?_dcat=261328&amp;_fsrp=1&amp;rt=nc&amp;_from=R40&amp;_nkw=2026%20Bowman%20KYSON%20WITHERSPOON%20%23BTP-63%20Scouts%20Top%20100%20Chrome%20Red%20Sox&amp;_sacat=0&amp;_sop=15&amp;rt=nc&amp;LH_BIN=1", "Active")</f>
        <v/>
      </c>
      <c r="J1508" s="2">
        <f>HYPERLINK("https://www.ebay.com/sch/261328/i.html?_from=R40&amp;_nkw=2026%20Bowman%20KYSON%20WITHERSPOON%20%23BTP-63%20Scouts%20Top%20100%20Chrome%20Red%20Sox&amp;_sacat=0&amp;LH_Sold=1&amp;LH_Complete=1&amp;_sop=13", "Completed")</f>
        <v/>
      </c>
      <c r="K1508" s="2" t="inlineStr">
        <is>
          <t>Kyson Witherspoon Bowman Scouts Top 100 2026 Bowman #BTP-63 Boston Red Sox</t>
        </is>
      </c>
    </row>
    <row r="1509">
      <c r="A1509" s="5" t="inlineStr">
        <is>
          <t>Whatnot_06_-_06-18-26-00022-591961</t>
        </is>
      </c>
      <c r="B1509" s="5" t="inlineStr">
        <is>
          <t>2023 Topps UEFA Club Competitions LIONEL MESSI #USC-15 Ultimate Stage Chrome</t>
        </is>
      </c>
      <c r="C1509" s="6" t="n">
        <v>34.09</v>
      </c>
      <c r="D1509" s="6" t="n">
        <v>41.99</v>
      </c>
      <c r="E1509" s="6" t="n">
        <v>7.9</v>
      </c>
      <c r="F1509" s="7" t="n">
        <v>23.2</v>
      </c>
      <c r="G1509" s="5" t="inlineStr">
        <is>
          <t>⬆ Price Up</t>
        </is>
      </c>
      <c r="H1509" s="5" t="inlineStr">
        <is>
          <t>100%</t>
        </is>
      </c>
      <c r="I1509" s="5">
        <f>HYPERLINK("https://www.ebay.com/sch/261328/i.html?_dcat=261328&amp;_fsrp=1&amp;rt=nc&amp;_from=R40&amp;_nkw=2023%20Topps%20UEFA%20Club%20Competitions%20LIONEL%20MESSI%20%23USC-15%20Ultimate%20Stage%20Chrome&amp;_sacat=0&amp;_sop=15&amp;rt=nc&amp;LH_BIN=1", "Active")</f>
        <v/>
      </c>
      <c r="J1509" s="5">
        <f>HYPERLINK("https://www.ebay.com/sch/261328/i.html?_from=R40&amp;_nkw=2023%20Topps%20UEFA%20Club%20Competitions%20LIONEL%20MESSI%20%23USC-15%20Ultimate%20Stage%20Chrome&amp;_sacat=0&amp;LH_Sold=1&amp;LH_Complete=1&amp;_sop=13", "Completed")</f>
        <v/>
      </c>
      <c r="K1509" s="5" t="inlineStr">
        <is>
          <t>2023 Topps UEFA Club Competitions LIONEL MESSI #USC-15 Ultimate Stage Chrome</t>
        </is>
      </c>
    </row>
    <row r="1510">
      <c r="A1510" s="8" t="inlineStr">
        <is>
          <t>Whatnot_06_-_06-18-26-00006-250628</t>
        </is>
      </c>
      <c r="B1510" s="8" t="inlineStr">
        <is>
          <t>2024-25 PANINI SELECT PREMIER LEAGUE DIOGO JOTA MEZZANINE RED WAVE /88 LIVERPOOL</t>
        </is>
      </c>
      <c r="C1510" s="9" t="n">
        <v>16.79</v>
      </c>
      <c r="D1510" s="9" t="n">
        <v>16.79</v>
      </c>
      <c r="E1510" s="9" t="n">
        <v>0</v>
      </c>
      <c r="F1510" s="10" t="n">
        <v>0</v>
      </c>
      <c r="G1510" s="8" t="inlineStr">
        <is>
          <t>— No Change</t>
        </is>
      </c>
      <c r="H1510" s="8" t="inlineStr">
        <is>
          <t>87%</t>
        </is>
      </c>
      <c r="I1510" s="8">
        <f>HYPERLINK("https://www.ebay.com/sch/261328/i.html?_dcat=261328&amp;_fsrp=1&amp;rt=nc&amp;_from=R40&amp;_nkw=2024-25%20PANINI%20SELECT%20PREMIER%20LEAGUE%20DIOGO%20JOTA%20MEZZANINE%20RED%20WAVE%20%2F88%20LIVERPOOL&amp;_sacat=0&amp;_sop=15&amp;rt=nc&amp;LH_BIN=1", "Active")</f>
        <v/>
      </c>
      <c r="J1510" s="8">
        <f>HYPERLINK("https://www.ebay.com/sch/261328/i.html?_from=R40&amp;_nkw=2024-25%20PANINI%20SELECT%20PREMIER%20LEAGUE%20DIOGO%20JOTA%20MEZZANINE%20RED%20WAVE%20%2F88%20LIVERPOOL&amp;_sacat=0&amp;LH_Sold=1&amp;LH_Complete=1&amp;_sop=13", "Completed")</f>
        <v/>
      </c>
      <c r="K1510" s="8" t="inlineStr">
        <is>
          <t>2024-25 Panini Select Premier League - Mezzanine Diogo Jota Red Wave Prizm /88</t>
        </is>
      </c>
    </row>
    <row r="1511">
      <c r="A1511" s="2" t="inlineStr">
        <is>
          <t>Whatnot_06_-_06-18-26-00011-212522</t>
        </is>
      </c>
      <c r="B1511" s="2" t="inlineStr">
        <is>
          <t>2026 Bowman ARGENIS CAYAMA #BCP-114 Chrome 1st Prospect Giants Football</t>
        </is>
      </c>
      <c r="C1511" s="3" t="n">
        <v>2.99</v>
      </c>
      <c r="D1511" s="3" t="n">
        <v>2.49</v>
      </c>
      <c r="E1511" s="3" t="n">
        <v>-0.5</v>
      </c>
      <c r="F1511" s="4" t="n">
        <v>-16.7</v>
      </c>
      <c r="G1511" s="2" t="inlineStr">
        <is>
          <t>🔵 Floored $2.49 — free ship or $0.99 ship?</t>
        </is>
      </c>
      <c r="H1511" s="2" t="inlineStr"/>
      <c r="I1511" s="2">
        <f>HYPERLINK("https://www.ebay.com/sch/261328/i.html?_dcat=261328&amp;_fsrp=1&amp;rt=nc&amp;_from=R40&amp;_nkw=2026%20Bowman%20ARGENIS%20CAYAMA%20%23BCP-114%20Chrome%201st%20Prospect%20Giants%20Football&amp;_sacat=0&amp;_sop=15&amp;rt=nc&amp;LH_BIN=1", "Active")</f>
        <v/>
      </c>
      <c r="J1511" s="2">
        <f>HYPERLINK("https://www.ebay.com/sch/261328/i.html?_from=R40&amp;_nkw=2026%20Bowman%20ARGENIS%20CAYAMA%20%23BCP-114%20Chrome%201st%20Prospect%20Giants%20Football&amp;_sacat=0&amp;LH_Sold=1&amp;LH_Complete=1&amp;_sop=13", "Completed")</f>
        <v/>
      </c>
      <c r="K1511" s="2" t="inlineStr">
        <is>
          <t>No Close Result Found</t>
        </is>
      </c>
    </row>
    <row r="1512">
      <c r="A1512" s="2" t="inlineStr">
        <is>
          <t>Whatnot_06_-_06-18-26-00027-756820</t>
        </is>
      </c>
      <c r="B1512" s="2" t="inlineStr">
        <is>
          <t>2026 Bowman LEONARDO BERNAL #BTP-97 Scouts Top 100 Chrome Cardinals Football</t>
        </is>
      </c>
      <c r="C1512" s="3" t="n">
        <v>3.49</v>
      </c>
      <c r="D1512" s="3" t="n">
        <v>2.49</v>
      </c>
      <c r="E1512" s="3" t="n">
        <v>-1</v>
      </c>
      <c r="F1512" s="4" t="n">
        <v>-28.7</v>
      </c>
      <c r="G1512" s="2" t="inlineStr">
        <is>
          <t>🔵 Floored $2.49 — free ship or $0.99 ship?</t>
        </is>
      </c>
      <c r="H1512" s="2" t="inlineStr"/>
      <c r="I1512" s="2">
        <f>HYPERLINK("https://www.ebay.com/sch/261328/i.html?_dcat=261328&amp;_fsrp=1&amp;rt=nc&amp;_from=R40&amp;_nkw=2026%20Bowman%20LEONARDO%20BERNAL%20%23BTP-97%20Scouts%20Top%20100%20Chrome%20Cardinals%20Football&amp;_sacat=0&amp;_sop=15&amp;rt=nc&amp;LH_BIN=1", "Active")</f>
        <v/>
      </c>
      <c r="J1512" s="2">
        <f>HYPERLINK("https://www.ebay.com/sch/261328/i.html?_from=R40&amp;_nkw=2026%20Bowman%20LEONARDO%20BERNAL%20%23BTP-97%20Scouts%20Top%20100%20Chrome%20Cardinals%20Football&amp;_sacat=0&amp;LH_Sold=1&amp;LH_Complete=1&amp;_sop=13", "Completed")</f>
        <v/>
      </c>
      <c r="K1512" s="2" t="inlineStr">
        <is>
          <t>No Close Result Found</t>
        </is>
      </c>
    </row>
    <row r="1513">
      <c r="A1513" s="2" t="inlineStr">
        <is>
          <t>Whatnot_07_multi_-_06-23-26-00010-085764</t>
        </is>
      </c>
      <c r="B1513" s="2" t="inlineStr">
        <is>
          <t>2026 Bowman GEORGE LOMBARD JR. #BTP-17 Scouts Top 100 Chrome Yankees</t>
        </is>
      </c>
      <c r="C1513" s="3" t="n">
        <v>3.49</v>
      </c>
      <c r="D1513" s="3" t="n">
        <v>2.49</v>
      </c>
      <c r="E1513" s="3" t="n">
        <v>-1</v>
      </c>
      <c r="F1513" s="4" t="n">
        <v>-28.7</v>
      </c>
      <c r="G1513" s="2" t="inlineStr">
        <is>
          <t>🔵 Floored $2.49 — free ship or $0.99 ship?</t>
        </is>
      </c>
      <c r="H1513" s="2" t="inlineStr">
        <is>
          <t>74%</t>
        </is>
      </c>
      <c r="I1513" s="2">
        <f>HYPERLINK("https://www.ebay.com/sch/261328/i.html?_dcat=261328&amp;_fsrp=1&amp;rt=nc&amp;_from=R40&amp;_nkw=2026%20Bowman%20GEORGE%20LOMBARD%20JR.%20%23BTP-17%20Scouts%20Top%20100%20Chrome%20Yankees&amp;_sacat=0&amp;_sop=15&amp;rt=nc&amp;LH_BIN=1", "Active")</f>
        <v/>
      </c>
      <c r="J1513" s="2">
        <f>HYPERLINK("https://www.ebay.com/sch/261328/i.html?_from=R40&amp;_nkw=2026%20Bowman%20GEORGE%20LOMBARD%20JR.%20%23BTP-17%20Scouts%20Top%20100%20Chrome%20Yankees&amp;_sacat=0&amp;LH_Sold=1&amp;LH_Complete=1&amp;_sop=13", "Completed")</f>
        <v/>
      </c>
      <c r="K1513" s="2" t="inlineStr">
        <is>
          <t>GEORGE LOMBARD JR BOWMAN CHROME ROOKIE SCOUT'S TOP 100 RC YANKEES #BTP-17 2026</t>
        </is>
      </c>
    </row>
    <row r="1514">
      <c r="A1514" s="2" t="inlineStr">
        <is>
          <t>Whatnot_07_multi_-_06-23-26-00011-660004</t>
        </is>
      </c>
      <c r="B1514" s="2" t="inlineStr">
        <is>
          <t>2026 Bowman ALIMBER SANTA #BCP-30 Chrome 1st Prospect Astros</t>
        </is>
      </c>
      <c r="C1514" s="3" t="n">
        <v>3.49</v>
      </c>
      <c r="D1514" s="3" t="n">
        <v>2.49</v>
      </c>
      <c r="E1514" s="3" t="n">
        <v>-1</v>
      </c>
      <c r="F1514" s="4" t="n">
        <v>-28.7</v>
      </c>
      <c r="G1514" s="2" t="inlineStr">
        <is>
          <t>🔵 Floored $2.49 — free ship or $0.99 ship?</t>
        </is>
      </c>
      <c r="H1514" s="2" t="inlineStr">
        <is>
          <t>66%</t>
        </is>
      </c>
      <c r="I1514" s="2">
        <f>HYPERLINK("https://www.ebay.com/sch/261328/i.html?_dcat=261328&amp;_fsrp=1&amp;rt=nc&amp;_from=R40&amp;_nkw=2026%20Bowman%20ALIMBER%20SANTA%20%23BCP-30%20Chrome%201st%20Prospect%20Astros&amp;_sacat=0&amp;_sop=15&amp;rt=nc&amp;LH_BIN=1", "Active")</f>
        <v/>
      </c>
      <c r="J1514" s="2">
        <f>HYPERLINK("https://www.ebay.com/sch/261328/i.html?_from=R40&amp;_nkw=2026%20Bowman%20ALIMBER%20SANTA%20%23BCP-30%20Chrome%201st%20Prospect%20Astros&amp;_sacat=0&amp;LH_Sold=1&amp;LH_Complete=1&amp;_sop=13", "Completed")</f>
        <v/>
      </c>
      <c r="K1514" s="2" t="inlineStr">
        <is>
          <t>2026 Bowman *YOU PICK* Base Chrome Prospects w/ 1st #BCP 1-150 *BUY 2+ &amp; SAVE*</t>
        </is>
      </c>
    </row>
    <row r="1515">
      <c r="A1515" s="8" t="inlineStr">
        <is>
          <t>Whatnot_07_multi_-_06-23-26-00016-128346</t>
        </is>
      </c>
      <c r="B1515" s="8" t="inlineStr">
        <is>
          <t>2025 Panini Donruss CAM SKATTEBO #302 Optic Rated Rookie Preview Pink RC Giants</t>
        </is>
      </c>
      <c r="C1515" s="9" t="n">
        <v>4.79</v>
      </c>
      <c r="D1515" s="9" t="n">
        <v>4.79</v>
      </c>
      <c r="E1515" s="9" t="n">
        <v>0</v>
      </c>
      <c r="F1515" s="10" t="n">
        <v>0</v>
      </c>
      <c r="G1515" s="8" t="inlineStr">
        <is>
          <t>— No Change</t>
        </is>
      </c>
      <c r="H1515" s="8" t="inlineStr">
        <is>
          <t>90%</t>
        </is>
      </c>
      <c r="I1515" s="8">
        <f>HYPERLINK("https://www.ebay.com/sch/261328/i.html?_dcat=261328&amp;_fsrp=1&amp;rt=nc&amp;_from=R40&amp;_nkw=2025%20Panini%20Donruss%20CAM%20SKATTEBO%20%23302%20Optic%20Rated%20Rookie%20Preview%20Pink%20RC%20Giants&amp;_sacat=0&amp;_sop=15&amp;rt=nc&amp;LH_BIN=1", "Active")</f>
        <v/>
      </c>
      <c r="J1515" s="8">
        <f>HYPERLINK("https://www.ebay.com/sch/261328/i.html?_from=R40&amp;_nkw=2025%20Panini%20Donruss%20CAM%20SKATTEBO%20%23302%20Optic%20Rated%20Rookie%20Preview%20Pink%20RC%20Giants&amp;_sacat=0&amp;LH_Sold=1&amp;LH_Complete=1&amp;_sop=13", "Completed")</f>
        <v/>
      </c>
      <c r="K1515" s="8" t="inlineStr">
        <is>
          <t>2025 Panini Donruss Cam Skattebo Optic Rated Rookie Preview Pink #302 Giants RC</t>
        </is>
      </c>
    </row>
    <row r="1516">
      <c r="A1516" s="2" t="inlineStr">
        <is>
          <t>Whatnot_07_multi_-_06-23-26-00012-934532</t>
        </is>
      </c>
      <c r="B1516" s="2" t="inlineStr">
        <is>
          <t>2026 Bowman TYLER BREMNER #BTP-66 Scouts Top 100 Chrome Angels</t>
        </is>
      </c>
      <c r="C1516" s="3" t="n">
        <v>3.49</v>
      </c>
      <c r="D1516" s="3" t="n">
        <v>2.49</v>
      </c>
      <c r="E1516" s="3" t="n">
        <v>-1</v>
      </c>
      <c r="F1516" s="4" t="n">
        <v>-28.7</v>
      </c>
      <c r="G1516" s="2" t="inlineStr">
        <is>
          <t>🔵 Floored $2.49 — free ship or $0.99 ship?</t>
        </is>
      </c>
      <c r="H1516" s="2" t="inlineStr">
        <is>
          <t>87%</t>
        </is>
      </c>
      <c r="I1516" s="2">
        <f>HYPERLINK("https://www.ebay.com/sch/261328/i.html?_dcat=261328&amp;_fsrp=1&amp;rt=nc&amp;_from=R40&amp;_nkw=2026%20Bowman%20TYLER%20BREMNER%20%23BTP-66%20Scouts%20Top%20100%20Chrome%20Angels&amp;_sacat=0&amp;_sop=15&amp;rt=nc&amp;LH_BIN=1", "Active")</f>
        <v/>
      </c>
      <c r="J1516" s="2">
        <f>HYPERLINK("https://www.ebay.com/sch/261328/i.html?_from=R40&amp;_nkw=2026%20Bowman%20TYLER%20BREMNER%20%23BTP-66%20Scouts%20Top%20100%20Chrome%20Angels&amp;_sacat=0&amp;LH_Sold=1&amp;LH_Complete=1&amp;_sop=13", "Completed")</f>
        <v/>
      </c>
      <c r="K1516" s="2" t="inlineStr">
        <is>
          <t>2026 Bowman Chrome Tyler Bremner Bowman Scouts Top 100 #BTP-66 Angels</t>
        </is>
      </c>
    </row>
    <row r="1517">
      <c r="A1517" s="11" t="inlineStr">
        <is>
          <t>Whatnot_07_multi_-_06-23-26-00015-430601</t>
        </is>
      </c>
      <c r="B1517" s="11" t="inlineStr">
        <is>
          <t>2026 PANINI PRIZM MONOPOLY WORLD CUP FEDERICO VALVERDE RED URUGUAY</t>
        </is>
      </c>
      <c r="C1517" s="12" t="n">
        <v>4.49</v>
      </c>
      <c r="D1517" s="12" t="n">
        <v>3.39</v>
      </c>
      <c r="E1517" s="12" t="n">
        <v>-1.1</v>
      </c>
      <c r="F1517" s="13" t="n">
        <v>-24.5</v>
      </c>
      <c r="G1517" s="11" t="inlineStr">
        <is>
          <t>⬇ Price Down</t>
        </is>
      </c>
      <c r="H1517" s="11" t="inlineStr">
        <is>
          <t>67%</t>
        </is>
      </c>
      <c r="I1517" s="11">
        <f>HYPERLINK("https://www.ebay.com/sch/261328/i.html?_dcat=261328&amp;_fsrp=1&amp;rt=nc&amp;_from=R40&amp;_nkw=2026%20PANINI%20PRIZM%20MONOPOLY%20WORLD%20CUP%20FEDERICO%20VALVERDE%20RED%20URUGUAY&amp;_sacat=0&amp;_sop=15&amp;rt=nc&amp;LH_BIN=1", "Active")</f>
        <v/>
      </c>
      <c r="J1517" s="11">
        <f>HYPERLINK("https://www.ebay.com/sch/261328/i.html?_from=R40&amp;_nkw=2026%20PANINI%20PRIZM%20MONOPOLY%20WORLD%20CUP%20FEDERICO%20VALVERDE%20RED%20URUGUAY&amp;_sacat=0&amp;LH_Sold=1&amp;LH_Complete=1&amp;_sop=13", "Completed")</f>
        <v/>
      </c>
      <c r="K1517" s="11" t="inlineStr">
        <is>
          <t>2026 Panini Prizm World Cup Monopoly - Select Your Parallel - Up to 20% OFF!!</t>
        </is>
      </c>
    </row>
    <row r="1518">
      <c r="A1518" s="2" t="inlineStr">
        <is>
          <t>Whatnot_07_multi_-_06-23-26-00014-986283</t>
        </is>
      </c>
      <c r="B1518" s="2" t="inlineStr">
        <is>
          <t>2026 Topps Series 1 JACOB MISIOROWSKI #10 RC Brewers Rookie</t>
        </is>
      </c>
      <c r="C1518" s="3" t="n">
        <v>3.49</v>
      </c>
      <c r="D1518" s="3" t="n">
        <v>2.49</v>
      </c>
      <c r="E1518" s="3" t="n">
        <v>-1</v>
      </c>
      <c r="F1518" s="4" t="n">
        <v>-28.7</v>
      </c>
      <c r="G1518" s="2" t="inlineStr">
        <is>
          <t>🔵 Floored $2.49 — free ship or $0.99 ship?</t>
        </is>
      </c>
      <c r="H1518" s="2" t="inlineStr">
        <is>
          <t>85%</t>
        </is>
      </c>
      <c r="I1518" s="2">
        <f>HYPERLINK("https://www.ebay.com/sch/261328/i.html?_dcat=261328&amp;_fsrp=1&amp;rt=nc&amp;_from=R40&amp;_nkw=2026%20Topps%20Series%201%20JACOB%20MISIOROWSKI%20%2310%20RC%20Brewers%20Rookie&amp;_sacat=0&amp;_sop=15&amp;rt=nc&amp;LH_BIN=1", "Active")</f>
        <v/>
      </c>
      <c r="J1518" s="2">
        <f>HYPERLINK("https://www.ebay.com/sch/261328/i.html?_from=R40&amp;_nkw=2026%20Topps%20Series%201%20JACOB%20MISIOROWSKI%20%2310%20RC%20Brewers%20Rookie&amp;_sacat=0&amp;LH_Sold=1&amp;LH_Complete=1&amp;_sop=13", "Completed")</f>
        <v/>
      </c>
      <c r="K1518" s="2" t="inlineStr">
        <is>
          <t>2026 Series 1 Baseball Jacob Misiorowski Base Rookie (RC) Brewers #10</t>
        </is>
      </c>
    </row>
    <row r="1519">
      <c r="A1519" s="2" t="inlineStr">
        <is>
          <t>Whatnot_07_multi_-_06-23-26-00013-744619</t>
        </is>
      </c>
      <c r="B1519" s="2" t="inlineStr">
        <is>
          <t>2026 Bowman JACKSON CHOURIO #BST-1 Sterling Chrome Brewers</t>
        </is>
      </c>
      <c r="C1519" s="3" t="n">
        <v>3.49</v>
      </c>
      <c r="D1519" s="3" t="n">
        <v>2.49</v>
      </c>
      <c r="E1519" s="3" t="n">
        <v>-1</v>
      </c>
      <c r="F1519" s="4" t="n">
        <v>-28.7</v>
      </c>
      <c r="G1519" s="2" t="inlineStr">
        <is>
          <t>🔵 Floored $2.49 — free ship or $0.99 ship?</t>
        </is>
      </c>
      <c r="H1519" s="2" t="inlineStr">
        <is>
          <t>87%</t>
        </is>
      </c>
      <c r="I1519" s="2">
        <f>HYPERLINK("https://www.ebay.com/sch/261328/i.html?_dcat=261328&amp;_fsrp=1&amp;rt=nc&amp;_from=R40&amp;_nkw=2026%20Bowman%20JACKSON%20CHOURIO%20%23BST-1%20Sterling%20Chrome%20Brewers&amp;_sacat=0&amp;_sop=15&amp;rt=nc&amp;LH_BIN=1", "Active")</f>
        <v/>
      </c>
      <c r="J1519" s="2">
        <f>HYPERLINK("https://www.ebay.com/sch/261328/i.html?_from=R40&amp;_nkw=2026%20Bowman%20JACKSON%20CHOURIO%20%23BST-1%20Sterling%20Chrome%20Brewers&amp;_sacat=0&amp;LH_Sold=1&amp;LH_Complete=1&amp;_sop=13", "Completed")</f>
        <v/>
      </c>
      <c r="K1519" s="2" t="inlineStr">
        <is>
          <t>2026 Bowman Jackson Chourio Chrome Sterling #BST-1 Milwaukee Brewers</t>
        </is>
      </c>
    </row>
    <row r="1520">
      <c r="A1520" s="8" t="inlineStr">
        <is>
          <t>Whatnot_07_multi_-_06-23-26-00002-623332</t>
        </is>
      </c>
      <c r="B1520" s="8" t="inlineStr">
        <is>
          <t>2026 Bowman DAX KILBY #BP-78 Prospects Sky Blue Border /499 Yankees</t>
        </is>
      </c>
      <c r="C1520" s="9" t="n">
        <v>8.99</v>
      </c>
      <c r="D1520" s="9" t="n">
        <v>8.99</v>
      </c>
      <c r="E1520" s="9" t="n">
        <v>0</v>
      </c>
      <c r="F1520" s="10" t="n">
        <v>0</v>
      </c>
      <c r="G1520" s="8" t="inlineStr">
        <is>
          <t>— No Change</t>
        </is>
      </c>
      <c r="H1520" s="8" t="inlineStr">
        <is>
          <t>75%</t>
        </is>
      </c>
      <c r="I1520" s="8">
        <f>HYPERLINK("https://www.ebay.com/sch/261328/i.html?_dcat=261328&amp;_fsrp=1&amp;rt=nc&amp;_from=R40&amp;_nkw=2026%20Bowman%20DAX%20KILBY%20%23BP-78%20Prospects%20Sky%20Blue%20Border%20%2F499%20Yankees&amp;_sacat=0&amp;_sop=15&amp;rt=nc&amp;LH_BIN=1", "Active")</f>
        <v/>
      </c>
      <c r="J1520" s="8">
        <f>HYPERLINK("https://www.ebay.com/sch/261328/i.html?_from=R40&amp;_nkw=2026%20Bowman%20DAX%20KILBY%20%23BP-78%20Prospects%20Sky%20Blue%20Border%20%2F499%20Yankees&amp;_sacat=0&amp;LH_Sold=1&amp;LH_Complete=1&amp;_sop=13", "Completed")</f>
        <v/>
      </c>
      <c r="K1520" s="8" t="inlineStr">
        <is>
          <t>Dax Kilby - 2026 Bowman - Bowman Prospect Sky Blue Border /499 #BP-78 - Yankees</t>
        </is>
      </c>
    </row>
    <row r="1521">
      <c r="A1521" s="2" t="inlineStr">
        <is>
          <t>Whatnot_07_multi_-_06-23-26-00003-116872</t>
        </is>
      </c>
      <c r="B1521" s="2" t="inlineStr">
        <is>
          <t>2026 Bowman COLT EMERSON #BTP-12 Scouts Top 100 Chrome Mariners</t>
        </is>
      </c>
      <c r="C1521" s="3" t="n">
        <v>3.49</v>
      </c>
      <c r="D1521" s="3" t="n">
        <v>2.49</v>
      </c>
      <c r="E1521" s="3" t="n">
        <v>-1</v>
      </c>
      <c r="F1521" s="4" t="n">
        <v>-28.7</v>
      </c>
      <c r="G1521" s="2" t="inlineStr">
        <is>
          <t>🔵 Floored $2.49 — free ship or $0.99 ship?</t>
        </is>
      </c>
      <c r="H1521" s="2" t="inlineStr">
        <is>
          <t>75%</t>
        </is>
      </c>
      <c r="I1521" s="2">
        <f>HYPERLINK("https://www.ebay.com/sch/261328/i.html?_dcat=261328&amp;_fsrp=1&amp;rt=nc&amp;_from=R40&amp;_nkw=2026%20Bowman%20COLT%20EMERSON%20%23BTP-12%20Scouts%20Top%20100%20Chrome%20Mariners&amp;_sacat=0&amp;_sop=15&amp;rt=nc&amp;LH_BIN=1", "Active")</f>
        <v/>
      </c>
      <c r="J1521" s="2">
        <f>HYPERLINK("https://www.ebay.com/sch/261328/i.html?_from=R40&amp;_nkw=2026%20Bowman%20COLT%20EMERSON%20%23BTP-12%20Scouts%20Top%20100%20Chrome%20Mariners&amp;_sacat=0&amp;LH_Sold=1&amp;LH_Complete=1&amp;_sop=13", "Completed")</f>
        <v/>
      </c>
      <c r="K1521" s="2" t="inlineStr">
        <is>
          <t>2026 Bowman Chrome Scouts Top 100 Colt Emerson Seattle Mariners #BTP-12</t>
        </is>
      </c>
    </row>
    <row r="1522">
      <c r="A1522" s="11" t="inlineStr">
        <is>
          <t>Whatnot_07_multi_-_06-23-26-00018-773952</t>
        </is>
      </c>
      <c r="B1522" s="11" t="inlineStr">
        <is>
          <t>2026 Topps Series 1 BRYCE MILLER #331 Yellow Rainbow Foil /399 Mariners</t>
        </is>
      </c>
      <c r="C1522" s="12" t="n">
        <v>5.59</v>
      </c>
      <c r="D1522" s="12" t="n">
        <v>5.09</v>
      </c>
      <c r="E1522" s="12" t="n">
        <v>-0.5</v>
      </c>
      <c r="F1522" s="13" t="n">
        <v>-8.9</v>
      </c>
      <c r="G1522" s="11" t="inlineStr">
        <is>
          <t>⬇ Price Down</t>
        </is>
      </c>
      <c r="H1522" s="11" t="inlineStr">
        <is>
          <t>80%</t>
        </is>
      </c>
      <c r="I1522" s="11">
        <f>HYPERLINK("https://www.ebay.com/sch/261328/i.html?_dcat=261328&amp;_fsrp=1&amp;rt=nc&amp;_from=R40&amp;_nkw=2026%20Topps%20Series%201%20BRYCE%20MILLER%20%23331%20Yellow%20Rainbow%20Foil%20%2F399%20Mariners&amp;_sacat=0&amp;_sop=15&amp;rt=nc&amp;LH_BIN=1", "Active")</f>
        <v/>
      </c>
      <c r="J1522" s="11">
        <f>HYPERLINK("https://www.ebay.com/sch/261328/i.html?_from=R40&amp;_nkw=2026%20Topps%20Series%201%20BRYCE%20MILLER%20%23331%20Yellow%20Rainbow%20Foil%20%2F399%20Mariners&amp;_sacat=0&amp;LH_Sold=1&amp;LH_Complete=1&amp;_sop=13", "Completed")</f>
        <v/>
      </c>
      <c r="K1522" s="11" t="inlineStr">
        <is>
          <t>Bryce Miller 2026 Topps Series 1 #331 Yellow Rainbow Foil /399 Seattle Mariners</t>
        </is>
      </c>
    </row>
    <row r="1523">
      <c r="A1523" s="2" t="inlineStr">
        <is>
          <t>Whatnot_07_multi_-_06-23-26-00008-382105</t>
        </is>
      </c>
      <c r="B1523" s="2" t="inlineStr">
        <is>
          <t>2026 Bowman KADE ANDERSON #BTP-21 Scouts Top 100 Chrome Mariners</t>
        </is>
      </c>
      <c r="C1523" s="3" t="n">
        <v>3.49</v>
      </c>
      <c r="D1523" s="3" t="n">
        <v>2.49</v>
      </c>
      <c r="E1523" s="3" t="n">
        <v>-1</v>
      </c>
      <c r="F1523" s="4" t="n">
        <v>-28.7</v>
      </c>
      <c r="G1523" s="2" t="inlineStr">
        <is>
          <t>🔵 Floored $2.49 — free ship or $0.99 ship?</t>
        </is>
      </c>
      <c r="H1523" s="2" t="inlineStr">
        <is>
          <t>87%</t>
        </is>
      </c>
      <c r="I1523" s="2">
        <f>HYPERLINK("https://www.ebay.com/sch/261328/i.html?_dcat=261328&amp;_fsrp=1&amp;rt=nc&amp;_from=R40&amp;_nkw=2026%20Bowman%20KADE%20ANDERSON%20%23BTP-21%20Scouts%20Top%20100%20Chrome%20Mariners&amp;_sacat=0&amp;_sop=15&amp;rt=nc&amp;LH_BIN=1", "Active")</f>
        <v/>
      </c>
      <c r="J1523" s="2">
        <f>HYPERLINK("https://www.ebay.com/sch/261328/i.html?_from=R40&amp;_nkw=2026%20Bowman%20KADE%20ANDERSON%20%23BTP-21%20Scouts%20Top%20100%20Chrome%20Mariners&amp;_sacat=0&amp;LH_Sold=1&amp;LH_Complete=1&amp;_sop=13", "Completed")</f>
        <v/>
      </c>
      <c r="K1523" s="2" t="inlineStr">
        <is>
          <t>2026 Bowman Chrome Kade Anderson #BTP-21 Bowman Scouts Top 100 Mariners</t>
        </is>
      </c>
    </row>
    <row r="1524">
      <c r="A1524" s="2" t="inlineStr">
        <is>
          <t>Whatnot_07_multi_-_06-23-26-00023-750722</t>
        </is>
      </c>
      <c r="B1524" s="2" t="inlineStr">
        <is>
          <t>2026 Bowman EDGAR MONTERO #BCP-139 Chrome 1st Prospect Athletics</t>
        </is>
      </c>
      <c r="C1524" s="3" t="n">
        <v>3.49</v>
      </c>
      <c r="D1524" s="3" t="n">
        <v>2.49</v>
      </c>
      <c r="E1524" s="3" t="n">
        <v>-1</v>
      </c>
      <c r="F1524" s="4" t="n">
        <v>-28.7</v>
      </c>
      <c r="G1524" s="2" t="inlineStr">
        <is>
          <t>🔵 Floored $2.49 — free ship or $0.99 ship?</t>
        </is>
      </c>
      <c r="H1524" s="2" t="inlineStr">
        <is>
          <t>67%</t>
        </is>
      </c>
      <c r="I1524" s="2">
        <f>HYPERLINK("https://www.ebay.com/sch/261328/i.html?_dcat=261328&amp;_fsrp=1&amp;rt=nc&amp;_from=R40&amp;_nkw=2026%20Bowman%20EDGAR%20MONTERO%20%23BCP-139%20Chrome%201st%20Prospect%20Athletics&amp;_sacat=0&amp;_sop=15&amp;rt=nc&amp;LH_BIN=1", "Active")</f>
        <v/>
      </c>
      <c r="J1524" s="2">
        <f>HYPERLINK("https://www.ebay.com/sch/261328/i.html?_from=R40&amp;_nkw=2026%20Bowman%20EDGAR%20MONTERO%20%23BCP-139%20Chrome%201st%20Prospect%20Athletics&amp;_sacat=0&amp;LH_Sold=1&amp;LH_Complete=1&amp;_sop=13", "Completed")</f>
        <v/>
      </c>
      <c r="K1524" s="2" t="inlineStr">
        <is>
          <t>2026 Bowman - Chrome Prospects! Pick Your Card, SHIPS FREE! Updated 7/14!</t>
        </is>
      </c>
    </row>
    <row r="1525">
      <c r="A1525" s="2" t="inlineStr">
        <is>
          <t>Whatnot_07_multi_-_06-23-26-00025-641120</t>
        </is>
      </c>
      <c r="B1525" s="2" t="inlineStr">
        <is>
          <t>2026 Bowman Mega Box FREDDIE FREEMAN #BST-2 Sterling Chrome Mojo Refractor</t>
        </is>
      </c>
      <c r="C1525" s="3" t="n">
        <v>3.49</v>
      </c>
      <c r="D1525" s="3" t="n">
        <v>2.49</v>
      </c>
      <c r="E1525" s="3" t="n">
        <v>-1</v>
      </c>
      <c r="F1525" s="4" t="n">
        <v>-28.7</v>
      </c>
      <c r="G1525" s="2" t="inlineStr">
        <is>
          <t>🔵 Floored $2.49 — free ship or $0.99 ship?</t>
        </is>
      </c>
      <c r="H1525" s="2" t="inlineStr">
        <is>
          <t>68%</t>
        </is>
      </c>
      <c r="I1525" s="2">
        <f>HYPERLINK("https://www.ebay.com/sch/261328/i.html?_dcat=261328&amp;_fsrp=1&amp;rt=nc&amp;_from=R40&amp;_nkw=2026%20Bowman%20Mega%20Box%20FREDDIE%20FREEMAN%20%23BST-2%20Sterling%20Chrome%20Mojo%20Refractor&amp;_sacat=0&amp;_sop=15&amp;rt=nc&amp;LH_BIN=1", "Active")</f>
        <v/>
      </c>
      <c r="J1525" s="2">
        <f>HYPERLINK("https://www.ebay.com/sch/261328/i.html?_from=R40&amp;_nkw=2026%20Bowman%20Mega%20Box%20FREDDIE%20FREEMAN%20%23BST-2%20Sterling%20Chrome%20Mojo%20Refractor&amp;_sacat=0&amp;LH_Sold=1&amp;LH_Complete=1&amp;_sop=13", "Completed")</f>
        <v/>
      </c>
      <c r="K1525" s="2" t="inlineStr">
        <is>
          <t>2026 Bowman Chrome Baseball Mega Box Mojo Refractors (BUY 3 GET 1 FREE) You Pick</t>
        </is>
      </c>
    </row>
    <row r="1526">
      <c r="A1526" s="2" t="inlineStr">
        <is>
          <t>Whatnot_07_multi_-_06-23-26-00019-634108</t>
        </is>
      </c>
      <c r="B1526" s="2" t="inlineStr">
        <is>
          <t>2025 Bowman Draft JOSH HAMMOND #BIA-9 In Action Royals</t>
        </is>
      </c>
      <c r="C1526" s="3" t="n">
        <v>3.49</v>
      </c>
      <c r="D1526" s="3" t="n">
        <v>2.49</v>
      </c>
      <c r="E1526" s="3" t="n">
        <v>-1</v>
      </c>
      <c r="F1526" s="4" t="n">
        <v>-28.7</v>
      </c>
      <c r="G1526" s="2" t="inlineStr">
        <is>
          <t>🔵 Floored $2.49 — free ship or $0.99 ship?</t>
        </is>
      </c>
      <c r="H1526" s="2" t="inlineStr">
        <is>
          <t>84%</t>
        </is>
      </c>
      <c r="I1526" s="2">
        <f>HYPERLINK("https://www.ebay.com/sch/261328/i.html?_dcat=261328&amp;_fsrp=1&amp;rt=nc&amp;_from=R40&amp;_nkw=2025%20Bowman%20Draft%20JOSH%20HAMMOND%20%23BIA-9%20In%20Action%20Royals&amp;_sacat=0&amp;_sop=15&amp;rt=nc&amp;LH_BIN=1", "Active")</f>
        <v/>
      </c>
      <c r="J1526" s="2">
        <f>HYPERLINK("https://www.ebay.com/sch/261328/i.html?_from=R40&amp;_nkw=2025%20Bowman%20Draft%20JOSH%20HAMMOND%20%23BIA-9%20In%20Action%20Royals&amp;_sacat=0&amp;LH_Sold=1&amp;LH_Complete=1&amp;_sop=13", "Completed")</f>
        <v/>
      </c>
      <c r="K1526" s="2" t="inlineStr">
        <is>
          <t>2025 Bowman Draft JOSH HAMMOND In Action #BIA-9 Kansas City Royals Qty Avail</t>
        </is>
      </c>
    </row>
    <row r="1527">
      <c r="A1527" s="2" t="inlineStr">
        <is>
          <t>Whatnot_07_multi_-_06-23-26-00009-981525</t>
        </is>
      </c>
      <c r="B1527" s="2" t="inlineStr">
        <is>
          <t>2026 Bowman NELLY TAYLOR #BCP-65 Chrome 1st Prospect Red Sox</t>
        </is>
      </c>
      <c r="C1527" s="3" t="n">
        <v>3.49</v>
      </c>
      <c r="D1527" s="3" t="n">
        <v>2.49</v>
      </c>
      <c r="E1527" s="3" t="n">
        <v>-1</v>
      </c>
      <c r="F1527" s="4" t="n">
        <v>-28.7</v>
      </c>
      <c r="G1527" s="2" t="inlineStr">
        <is>
          <t>🔵 Floored $2.49 — free ship or $0.99 ship?</t>
        </is>
      </c>
      <c r="H1527" s="2" t="inlineStr">
        <is>
          <t>64%</t>
        </is>
      </c>
      <c r="I1527" s="2">
        <f>HYPERLINK("https://www.ebay.com/sch/261328/i.html?_dcat=261328&amp;_fsrp=1&amp;rt=nc&amp;_from=R40&amp;_nkw=2026%20Bowman%20NELLY%20TAYLOR%20%23BCP-65%20Chrome%201st%20Prospect%20Red%20Sox&amp;_sacat=0&amp;_sop=15&amp;rt=nc&amp;LH_BIN=1", "Active")</f>
        <v/>
      </c>
      <c r="J1527" s="2">
        <f>HYPERLINK("https://www.ebay.com/sch/261328/i.html?_from=R40&amp;_nkw=2026%20Bowman%20NELLY%20TAYLOR%20%23BCP-65%20Chrome%201st%20Prospect%20Red%20Sox&amp;_sacat=0&amp;LH_Sold=1&amp;LH_Complete=1&amp;_sop=13", "Completed")</f>
        <v/>
      </c>
      <c r="K1527" s="2" t="inlineStr">
        <is>
          <t>2026 Bowman *YOU PICK* Base Chrome Prospects w/ 1st #BCP 1-150 *BUY 2+ &amp; SAVE*</t>
        </is>
      </c>
    </row>
    <row r="1528">
      <c r="A1528" s="2" t="inlineStr">
        <is>
          <t>Whatnot_07_multi_-_06-23-26-00024-657749</t>
        </is>
      </c>
      <c r="B1528" s="2" t="inlineStr">
        <is>
          <t>2026 Bowman GAGE JUMP #BTP-89 Scouts Top 100 Chrome Athletics</t>
        </is>
      </c>
      <c r="C1528" s="3" t="n">
        <v>3.49</v>
      </c>
      <c r="D1528" s="3" t="n">
        <v>2.49</v>
      </c>
      <c r="E1528" s="3" t="n">
        <v>-1</v>
      </c>
      <c r="F1528" s="4" t="n">
        <v>-28.7</v>
      </c>
      <c r="G1528" s="2" t="inlineStr">
        <is>
          <t>🔵 Floored $2.49 — free ship or $0.99 ship?</t>
        </is>
      </c>
      <c r="H1528" s="2" t="inlineStr">
        <is>
          <t>87%</t>
        </is>
      </c>
      <c r="I1528" s="2">
        <f>HYPERLINK("https://www.ebay.com/sch/261328/i.html?_dcat=261328&amp;_fsrp=1&amp;rt=nc&amp;_from=R40&amp;_nkw=2026%20Bowman%20GAGE%20JUMP%20%23BTP-89%20Scouts%20Top%20100%20Chrome%20Athletics&amp;_sacat=0&amp;_sop=15&amp;rt=nc&amp;LH_BIN=1", "Active")</f>
        <v/>
      </c>
      <c r="J1528" s="2">
        <f>HYPERLINK("https://www.ebay.com/sch/261328/i.html?_from=R40&amp;_nkw=2026%20Bowman%20GAGE%20JUMP%20%23BTP-89%20Scouts%20Top%20100%20Chrome%20Athletics&amp;_sacat=0&amp;LH_Sold=1&amp;LH_Complete=1&amp;_sop=13", "Completed")</f>
        <v/>
      </c>
      <c r="K1528" s="2" t="inlineStr">
        <is>
          <t>2026 Bowman - GAGE JUMP Chrome Bowman Scouts Top 100 #BTP-89 🔥 Athletics</t>
        </is>
      </c>
    </row>
    <row r="1529">
      <c r="A1529" s="2" t="inlineStr">
        <is>
          <t>Whatnot_07_multi_-_06-23-26-00007-837833</t>
        </is>
      </c>
      <c r="B1529" s="2" t="inlineStr">
        <is>
          <t>2021 Panini Contenders Draft PICKS JOSHUAH BLEDSOE #255 Auto Tigers</t>
        </is>
      </c>
      <c r="C1529" s="3" t="n">
        <v>3.99</v>
      </c>
      <c r="D1529" s="3" t="n">
        <v>2.49</v>
      </c>
      <c r="E1529" s="3" t="n">
        <v>-1.5</v>
      </c>
      <c r="F1529" s="4" t="n">
        <v>-37.6</v>
      </c>
      <c r="G1529" s="2" t="inlineStr">
        <is>
          <t>🔵 Floored $2.49 — free ship or $0.99 ship?</t>
        </is>
      </c>
      <c r="H1529" s="2" t="inlineStr"/>
      <c r="I1529" s="2">
        <f>HYPERLINK("https://www.ebay.com/sch/261328/i.html?_dcat=261328&amp;_fsrp=1&amp;rt=nc&amp;_from=R40&amp;_nkw=2021%20Panini%20Contenders%20Draft%20PICKS%20JOSHUAH%20BLEDSOE%20%23255%20Auto%20Tigers&amp;_sacat=0&amp;_sop=15&amp;rt=nc&amp;LH_BIN=1", "Active")</f>
        <v/>
      </c>
      <c r="J1529" s="2">
        <f>HYPERLINK("https://www.ebay.com/sch/261328/i.html?_from=R40&amp;_nkw=2021%20Panini%20Contenders%20Draft%20PICKS%20JOSHUAH%20BLEDSOE%20%23255%20Auto%20Tigers&amp;_sacat=0&amp;LH_Sold=1&amp;LH_Complete=1&amp;_sop=13", "Completed")</f>
        <v/>
      </c>
      <c r="K1529" s="2" t="inlineStr">
        <is>
          <t>No Close Result Found</t>
        </is>
      </c>
    </row>
    <row r="1530">
      <c r="A1530" s="2" t="inlineStr">
        <is>
          <t>Whatnot_07_multi_-_06-23-26-00020-885761</t>
        </is>
      </c>
      <c r="B1530" s="2" t="inlineStr">
        <is>
          <t>2026 Bowman KENDRY CHOURIO #BCP-7 Chrome 1st Prospect Royals</t>
        </is>
      </c>
      <c r="C1530" s="3" t="n">
        <v>3.49</v>
      </c>
      <c r="D1530" s="3" t="n">
        <v>2.49</v>
      </c>
      <c r="E1530" s="3" t="n">
        <v>-1</v>
      </c>
      <c r="F1530" s="4" t="n">
        <v>-28.7</v>
      </c>
      <c r="G1530" s="2" t="inlineStr">
        <is>
          <t>🔵 Floored $2.49 — free ship or $0.99 ship?</t>
        </is>
      </c>
      <c r="H1530" s="2" t="inlineStr">
        <is>
          <t>81%</t>
        </is>
      </c>
      <c r="I1530" s="2">
        <f>HYPERLINK("https://www.ebay.com/sch/261328/i.html?_dcat=261328&amp;_fsrp=1&amp;rt=nc&amp;_from=R40&amp;_nkw=2026%20Bowman%20KENDRY%20CHOURIO%20%23BCP-7%20Chrome%201st%20Prospect%20Royals&amp;_sacat=0&amp;_sop=15&amp;rt=nc&amp;LH_BIN=1", "Active")</f>
        <v/>
      </c>
      <c r="J1530" s="2">
        <f>HYPERLINK("https://www.ebay.com/sch/261328/i.html?_from=R40&amp;_nkw=2026%20Bowman%20KENDRY%20CHOURIO%20%23BCP-7%20Chrome%201st%20Prospect%20Royals&amp;_sacat=0&amp;LH_Sold=1&amp;LH_Complete=1&amp;_sop=13", "Completed")</f>
        <v/>
      </c>
      <c r="K1530" s="2" t="inlineStr">
        <is>
          <t>Kendry Chourio 2026 Bowman Chrome Prospects 1st RC #BCP-7 Royals</t>
        </is>
      </c>
    </row>
    <row r="1531">
      <c r="A1531" s="2" t="inlineStr">
        <is>
          <t>Whatnot_07_multi_-_06-23-26-00021-964914</t>
        </is>
      </c>
      <c r="B1531" s="2" t="inlineStr">
        <is>
          <t>2026 Bowman T.J. RUMFIELD #BCP-134 Chrome 1st Prospect Yankees</t>
        </is>
      </c>
      <c r="C1531" s="3" t="n">
        <v>3.49</v>
      </c>
      <c r="D1531" s="3" t="n">
        <v>2.49</v>
      </c>
      <c r="E1531" s="3" t="n">
        <v>-1</v>
      </c>
      <c r="F1531" s="4" t="n">
        <v>-28.7</v>
      </c>
      <c r="G1531" s="2" t="inlineStr">
        <is>
          <t>🔵 Floored $2.49 — free ship or $0.99 ship?</t>
        </is>
      </c>
      <c r="H1531" s="2" t="inlineStr">
        <is>
          <t>65%</t>
        </is>
      </c>
      <c r="I1531" s="2">
        <f>HYPERLINK("https://www.ebay.com/sch/261328/i.html?_dcat=261328&amp;_fsrp=1&amp;rt=nc&amp;_from=R40&amp;_nkw=2026%20Bowman%20T.J.%20RUMFIELD%20%23BCP-134%20Chrome%201st%20Prospect%20Yankees&amp;_sacat=0&amp;_sop=15&amp;rt=nc&amp;LH_BIN=1", "Active")</f>
        <v/>
      </c>
      <c r="J1531" s="2">
        <f>HYPERLINK("https://www.ebay.com/sch/261328/i.html?_from=R40&amp;_nkw=2026%20Bowman%20T.J.%20RUMFIELD%20%23BCP-134%20Chrome%201st%20Prospect%20Yankees&amp;_sacat=0&amp;LH_Sold=1&amp;LH_Complete=1&amp;_sop=13", "Completed")</f>
        <v/>
      </c>
      <c r="K1531" s="2" t="inlineStr">
        <is>
          <t>2026 Bowman Chrome Prospects W/1st Bowmans ⚾You Pick⚾ 🔥2-Card Minimum🔥</t>
        </is>
      </c>
    </row>
    <row r="1532">
      <c r="A1532" s="5" t="inlineStr">
        <is>
          <t>Whatnot_07_multi_-_06-23-26-00001-712326</t>
        </is>
      </c>
      <c r="B1532" s="5" t="inlineStr">
        <is>
          <t>2025 Bowman SEAVER King #BCP-93 Chrome Prospects Reptilian Gold Refractor /50</t>
        </is>
      </c>
      <c r="C1532" s="6" t="n">
        <v>14.49</v>
      </c>
      <c r="D1532" s="6" t="n">
        <v>15.49</v>
      </c>
      <c r="E1532" s="6" t="n">
        <v>1</v>
      </c>
      <c r="F1532" s="7" t="n">
        <v>6.9</v>
      </c>
      <c r="G1532" s="5" t="inlineStr">
        <is>
          <t>⬆ Price Up</t>
        </is>
      </c>
      <c r="H1532" s="5" t="inlineStr">
        <is>
          <t>100%</t>
        </is>
      </c>
      <c r="I1532" s="5">
        <f>HYPERLINK("https://www.ebay.com/sch/261328/i.html?_dcat=261328&amp;_fsrp=1&amp;rt=nc&amp;_from=R40&amp;_nkw=2025%20Bowman%20SEAVER%20King%20%23BCP-93%20Chrome%20Prospects%20Reptilian%20Gold%20Refractor%20%2F50&amp;_sacat=0&amp;_sop=15&amp;rt=nc&amp;LH_BIN=1", "Active")</f>
        <v/>
      </c>
      <c r="J1532" s="5">
        <f>HYPERLINK("https://www.ebay.com/sch/261328/i.html?_from=R40&amp;_nkw=2025%20Bowman%20SEAVER%20King%20%23BCP-93%20Chrome%20Prospects%20Reptilian%20Gold%20Refractor%20%2F50&amp;_sacat=0&amp;LH_Sold=1&amp;LH_Complete=1&amp;_sop=13", "Completed")</f>
        <v/>
      </c>
      <c r="K1532" s="5" t="inlineStr">
        <is>
          <t>2025 Bowman SEAVER King #BCP-93 Chrome Prospects Reptilian Gold Refractor /50</t>
        </is>
      </c>
    </row>
    <row r="1533">
      <c r="A1533" s="5" t="inlineStr">
        <is>
          <t>Whatnot_07_multi_-_06-23-26-00006-388408</t>
        </is>
      </c>
      <c r="B1533" s="5" t="inlineStr">
        <is>
          <t>2021 Wild Card ALUMINATION DAYO ODEYINGBO #ABC-36 Pink Holo Lux /99 RC Rookie</t>
        </is>
      </c>
      <c r="C1533" s="6" t="n">
        <v>7.29</v>
      </c>
      <c r="D1533" s="6" t="n">
        <v>8.49</v>
      </c>
      <c r="E1533" s="6" t="n">
        <v>1.2</v>
      </c>
      <c r="F1533" s="7" t="n">
        <v>16.5</v>
      </c>
      <c r="G1533" s="5" t="inlineStr">
        <is>
          <t>⬆ Price Up</t>
        </is>
      </c>
      <c r="H1533" s="5" t="inlineStr">
        <is>
          <t>100%</t>
        </is>
      </c>
      <c r="I1533" s="5">
        <f>HYPERLINK("https://www.ebay.com/sch/261328/i.html?_dcat=261328&amp;_fsrp=1&amp;rt=nc&amp;_from=R40&amp;_nkw=2021%20Wild%20Card%20ALUMINATION%20DAYO%20ODEYINGBO%20%23ABC-36%20Pink%20Holo%20Lux%20%2F99%20RC%20Rookie&amp;_sacat=0&amp;_sop=15&amp;rt=nc&amp;LH_BIN=1", "Active")</f>
        <v/>
      </c>
      <c r="J1533" s="5">
        <f>HYPERLINK("https://www.ebay.com/sch/261328/i.html?_from=R40&amp;_nkw=2021%20Wild%20Card%20ALUMINATION%20DAYO%20ODEYINGBO%20%23ABC-36%20Pink%20Holo%20Lux%20%2F99%20RC%20Rookie&amp;_sacat=0&amp;LH_Sold=1&amp;LH_Complete=1&amp;_sop=13", "Completed")</f>
        <v/>
      </c>
      <c r="K1533" s="5" t="inlineStr">
        <is>
          <t>2021 Wild Card ALUMINATION DAYO ODEYINGBO #ABC-36 Pink Holo Lux /99 RC Rookie</t>
        </is>
      </c>
    </row>
    <row r="1534">
      <c r="A1534" s="2" t="inlineStr">
        <is>
          <t>Whatnot_07_multi_-_06-23-26-00022-421480</t>
        </is>
      </c>
      <c r="B1534" s="2" t="inlineStr">
        <is>
          <t>2026 Bowman JUAN SANCHEZ #BCP-25 Chrome 1st Prospect Blue Jays</t>
        </is>
      </c>
      <c r="C1534" s="3" t="n">
        <v>3.49</v>
      </c>
      <c r="D1534" s="3" t="n">
        <v>2.49</v>
      </c>
      <c r="E1534" s="3" t="n">
        <v>-1</v>
      </c>
      <c r="F1534" s="4" t="n">
        <v>-28.7</v>
      </c>
      <c r="G1534" s="2" t="inlineStr">
        <is>
          <t>🔵 Floored $2.49 — free ship or $0.99 ship?</t>
        </is>
      </c>
      <c r="H1534" s="2" t="inlineStr">
        <is>
          <t>69%</t>
        </is>
      </c>
      <c r="I1534" s="2">
        <f>HYPERLINK("https://www.ebay.com/sch/261328/i.html?_dcat=261328&amp;_fsrp=1&amp;rt=nc&amp;_from=R40&amp;_nkw=2026%20Bowman%20JUAN%20SANCHEZ%20%23BCP-25%20Chrome%201st%20Prospect%20Blue%20Jays&amp;_sacat=0&amp;_sop=15&amp;rt=nc&amp;LH_BIN=1", "Active")</f>
        <v/>
      </c>
      <c r="J1534" s="2">
        <f>HYPERLINK("https://www.ebay.com/sch/261328/i.html?_from=R40&amp;_nkw=2026%20Bowman%20JUAN%20SANCHEZ%20%23BCP-25%20Chrome%201st%20Prospect%20Blue%20Jays&amp;_sacat=0&amp;LH_Sold=1&amp;LH_Complete=1&amp;_sop=13", "Completed")</f>
        <v/>
      </c>
      <c r="K1534" s="2" t="inlineStr">
        <is>
          <t>2026 Bowman *YOU PICK* Base Chrome Prospects w/ 1st #BCP 1-150 *BUY 2+ &amp; SAVE*</t>
        </is>
      </c>
    </row>
    <row r="1535">
      <c r="A1535" s="11" t="inlineStr">
        <is>
          <t>Whatnot_07_multi_-_06-23-26-00017-461415</t>
        </is>
      </c>
      <c r="B1535" s="11" t="inlineStr">
        <is>
          <t>2025 Bowman Draft ELI WILLITS #BIA-1 In Action Mojo Refractor Nationals</t>
        </is>
      </c>
      <c r="C1535" s="12" t="n">
        <v>5.49</v>
      </c>
      <c r="D1535" s="12" t="n">
        <v>4.69</v>
      </c>
      <c r="E1535" s="12" t="n">
        <v>-0.8</v>
      </c>
      <c r="F1535" s="13" t="n">
        <v>-14.6</v>
      </c>
      <c r="G1535" s="11" t="inlineStr">
        <is>
          <t>⬇ Price Down</t>
        </is>
      </c>
      <c r="H1535" s="11" t="inlineStr">
        <is>
          <t>88%</t>
        </is>
      </c>
      <c r="I1535" s="11">
        <f>HYPERLINK("https://www.ebay.com/sch/261328/i.html?_dcat=261328&amp;_fsrp=1&amp;rt=nc&amp;_from=R40&amp;_nkw=2025%20Bowman%20Draft%20ELI%20WILLITS%20%23BIA-1%20In%20Action%20Mojo%20Refractor%20Nationals&amp;_sacat=0&amp;_sop=15&amp;rt=nc&amp;LH_BIN=1", "Active")</f>
        <v/>
      </c>
      <c r="J1535" s="11">
        <f>HYPERLINK("https://www.ebay.com/sch/261328/i.html?_from=R40&amp;_nkw=2025%20Bowman%20Draft%20ELI%20WILLITS%20%23BIA-1%20In%20Action%20Mojo%20Refractor%20Nationals&amp;_sacat=0&amp;LH_Sold=1&amp;LH_Complete=1&amp;_sop=13", "Completed")</f>
        <v/>
      </c>
      <c r="K1535" s="11" t="inlineStr">
        <is>
          <t>2025 Bowman Draft Chrome Eli Willits In Action Mojo Refractor #BIA-1 Nationals</t>
        </is>
      </c>
    </row>
    <row r="1536">
      <c r="A1536" s="5" t="inlineStr">
        <is>
          <t>Whatnot_07_multi_-_06-23-26-00026-903093</t>
        </is>
      </c>
      <c r="B1536" s="5" t="inlineStr">
        <is>
          <t>2025 Bowman Draft BRANDON COMPTON #BD-64 Gold Border /50 1st Prospect Marlins</t>
        </is>
      </c>
      <c r="C1536" s="6" t="n">
        <v>12.99</v>
      </c>
      <c r="D1536" s="6" t="n">
        <v>13.99</v>
      </c>
      <c r="E1536" s="6" t="n">
        <v>1</v>
      </c>
      <c r="F1536" s="7" t="n">
        <v>7.7</v>
      </c>
      <c r="G1536" s="5" t="inlineStr">
        <is>
          <t>⬆ Price Up</t>
        </is>
      </c>
      <c r="H1536" s="5" t="inlineStr">
        <is>
          <t>100%</t>
        </is>
      </c>
      <c r="I1536" s="5">
        <f>HYPERLINK("https://www.ebay.com/sch/261328/i.html?_dcat=261328&amp;_fsrp=1&amp;rt=nc&amp;_from=R40&amp;_nkw=2025%20Bowman%20Draft%20BRANDON%20COMPTON%20%23BD-64%20Gold%20Border%20%2F50%201st%20Prospect%20Marlins&amp;_sacat=0&amp;_sop=15&amp;rt=nc&amp;LH_BIN=1", "Active")</f>
        <v/>
      </c>
      <c r="J1536" s="5">
        <f>HYPERLINK("https://www.ebay.com/sch/261328/i.html?_from=R40&amp;_nkw=2025%20Bowman%20Draft%20BRANDON%20COMPTON%20%23BD-64%20Gold%20Border%20%2F50%201st%20Prospect%20Marlins&amp;_sacat=0&amp;LH_Sold=1&amp;LH_Complete=1&amp;_sop=13", "Completed")</f>
        <v/>
      </c>
      <c r="K1536" s="5" t="inlineStr">
        <is>
          <t>2025 Bowman Draft BRANDON COMPTON #BD-64 Gold Border /50 1st Prospect Marlins</t>
        </is>
      </c>
    </row>
    <row r="1537">
      <c r="A1537" s="2" t="inlineStr">
        <is>
          <t>Whatnot_07_multi_-_06-23-26-00028-531852</t>
        </is>
      </c>
      <c r="B1537" s="2" t="inlineStr">
        <is>
          <t>2025 Bowman Draft RILEY KELLY #CPA-RK Chrome Auto Aqua Lava Refractor /199</t>
        </is>
      </c>
      <c r="C1537" s="3" t="n">
        <v>15.79</v>
      </c>
      <c r="D1537" s="3" t="n">
        <v>2.49</v>
      </c>
      <c r="E1537" s="3" t="n">
        <v>-13.3</v>
      </c>
      <c r="F1537" s="4" t="n">
        <v>-84.2</v>
      </c>
      <c r="G1537" s="2" t="inlineStr">
        <is>
          <t>🔵 Floored $2.49 — free ship or $0.99 ship?</t>
        </is>
      </c>
      <c r="H1537" s="2" t="inlineStr"/>
      <c r="I1537" s="2">
        <f>HYPERLINK("https://www.ebay.com/sch/261328/i.html?_dcat=261328&amp;_fsrp=1&amp;rt=nc&amp;_from=R40&amp;_nkw=2025%20Bowman%20Draft%20RILEY%20KELLY%20%23CPA-RK%20Chrome%20Auto%20Aqua%20Lava%20Refractor%20%2F199&amp;_sacat=0&amp;_sop=15&amp;rt=nc&amp;LH_BIN=1", "Active")</f>
        <v/>
      </c>
      <c r="J1537" s="2">
        <f>HYPERLINK("https://www.ebay.com/sch/261328/i.html?_from=R40&amp;_nkw=2025%20Bowman%20Draft%20RILEY%20KELLY%20%23CPA-RK%20Chrome%20Auto%20Aqua%20Lava%20Refractor%20%2F199&amp;_sacat=0&amp;LH_Sold=1&amp;LH_Complete=1&amp;_sop=13", "Completed")</f>
        <v/>
      </c>
      <c r="K1537" s="2" t="inlineStr">
        <is>
          <t>No Close Result Found</t>
        </is>
      </c>
    </row>
    <row r="1538">
      <c r="A1538" s="2" t="inlineStr">
        <is>
          <t>Gameday-wn-06-24-26-00005-694315</t>
        </is>
      </c>
      <c r="B1538" s="2" t="inlineStr">
        <is>
          <t>2025 Bowman's Best JACOB REIMER #B25-JR Best of Auto Refractor Mets</t>
        </is>
      </c>
      <c r="C1538" s="3" t="n">
        <v>15.79</v>
      </c>
      <c r="D1538" s="3" t="n">
        <v>2.49</v>
      </c>
      <c r="E1538" s="3" t="n">
        <v>-13.3</v>
      </c>
      <c r="F1538" s="4" t="n">
        <v>-84.2</v>
      </c>
      <c r="G1538" s="2" t="inlineStr">
        <is>
          <t>🔵 Floored $2.49 — free ship or $0.99 ship?</t>
        </is>
      </c>
      <c r="H1538" s="2" t="inlineStr"/>
      <c r="I1538" s="2">
        <f>HYPERLINK("https://www.ebay.com/sch/261328/i.html?_dcat=261328&amp;_fsrp=1&amp;rt=nc&amp;_from=R40&amp;_nkw=2025%20Bowman's%20Best%20JACOB%20REIMER%20%23B25-JR%20Best%20of%20Auto%20Refractor%20Mets&amp;_sacat=0&amp;_sop=15&amp;rt=nc&amp;LH_BIN=1", "Active")</f>
        <v/>
      </c>
      <c r="J1538" s="2">
        <f>HYPERLINK("https://www.ebay.com/sch/261328/i.html?_from=R40&amp;_nkw=2025%20Bowman's%20Best%20JACOB%20REIMER%20%23B25-JR%20Best%20of%20Auto%20Refractor%20Mets&amp;_sacat=0&amp;LH_Sold=1&amp;LH_Complete=1&amp;_sop=13", "Completed")</f>
        <v/>
      </c>
      <c r="K1538" s="2" t="inlineStr">
        <is>
          <t>No Close Result Found</t>
        </is>
      </c>
    </row>
    <row r="1539">
      <c r="A1539" s="2" t="inlineStr">
        <is>
          <t>Gameday-wn-06-24-26-00002-176819</t>
        </is>
      </c>
      <c r="B1539" s="2" t="inlineStr">
        <is>
          <t>2025 Bowman Chrome BLAKE WOLTERS #CPA-BW Prospect Auto Refractor /499 Royals</t>
        </is>
      </c>
      <c r="C1539" s="3" t="n">
        <v>15.89</v>
      </c>
      <c r="D1539" s="3" t="n">
        <v>2.49</v>
      </c>
      <c r="E1539" s="3" t="n">
        <v>-13.4</v>
      </c>
      <c r="F1539" s="4" t="n">
        <v>-84.3</v>
      </c>
      <c r="G1539" s="2" t="inlineStr">
        <is>
          <t>🔵 Floored $2.49 — free ship or $0.99 ship?</t>
        </is>
      </c>
      <c r="H1539" s="2" t="inlineStr"/>
      <c r="I1539" s="2">
        <f>HYPERLINK("https://www.ebay.com/sch/261328/i.html?_dcat=261328&amp;_fsrp=1&amp;rt=nc&amp;_from=R40&amp;_nkw=2025%20Bowman%20Chrome%20BLAKE%20WOLTERS%20%23CPA-BW%20Prospect%20Auto%20Refractor%20%2F499%20Royals&amp;_sacat=0&amp;_sop=15&amp;rt=nc&amp;LH_BIN=1", "Active")</f>
        <v/>
      </c>
      <c r="J1539" s="2">
        <f>HYPERLINK("https://www.ebay.com/sch/261328/i.html?_from=R40&amp;_nkw=2025%20Bowman%20Chrome%20BLAKE%20WOLTERS%20%23CPA-BW%20Prospect%20Auto%20Refractor%20%2F499%20Royals&amp;_sacat=0&amp;LH_Sold=1&amp;LH_Complete=1&amp;_sop=13", "Completed")</f>
        <v/>
      </c>
      <c r="K1539" s="2" t="inlineStr">
        <is>
          <t>No Close Result Found</t>
        </is>
      </c>
    </row>
    <row r="1540">
      <c r="A1540" s="2" t="inlineStr">
        <is>
          <t>Cruz-wn-06-24-26-00001-645103</t>
        </is>
      </c>
      <c r="B1540" s="2" t="inlineStr">
        <is>
          <t>2026 Bowman KAELEN CULPEPPER #UR-20 Under the Radar Chrome Auto Gold Ref /50</t>
        </is>
      </c>
      <c r="C1540" s="3" t="n">
        <v>63.19</v>
      </c>
      <c r="D1540" s="3" t="n">
        <v>2.49</v>
      </c>
      <c r="E1540" s="3" t="n">
        <v>-60.7</v>
      </c>
      <c r="F1540" s="4" t="n">
        <v>-96.09999999999999</v>
      </c>
      <c r="G1540" s="2" t="inlineStr">
        <is>
          <t>🔵 Floored $2.49 — free ship or $0.99 ship?</t>
        </is>
      </c>
      <c r="H1540" s="2" t="inlineStr"/>
      <c r="I1540" s="2">
        <f>HYPERLINK("https://www.ebay.com/sch/261328/i.html?_dcat=261328&amp;_fsrp=1&amp;rt=nc&amp;_from=R40&amp;_nkw=2026%20Bowman%20KAELEN%20CULPEPPER%20%23UR-20%20Under%20the%20Radar%20Chrome%20Auto%20Gold%20Ref%20%2F50&amp;_sacat=0&amp;_sop=15&amp;rt=nc&amp;LH_BIN=1", "Active")</f>
        <v/>
      </c>
      <c r="J1540" s="2">
        <f>HYPERLINK("https://www.ebay.com/sch/261328/i.html?_from=R40&amp;_nkw=2026%20Bowman%20KAELEN%20CULPEPPER%20%23UR-20%20Under%20the%20Radar%20Chrome%20Auto%20Gold%20Ref%20%2F50&amp;_sacat=0&amp;LH_Sold=1&amp;LH_Complete=1&amp;_sop=13", "Completed")</f>
        <v/>
      </c>
      <c r="K1540" s="2" t="inlineStr">
        <is>
          <t>No Close Result Found</t>
        </is>
      </c>
    </row>
    <row r="1541">
      <c r="A1541" s="11" t="inlineStr">
        <is>
          <t>RBM-0001-00015-10174</t>
        </is>
      </c>
      <c r="B1541" s="11" t="inlineStr">
        <is>
          <t>2025 Bowman Draft JOSH HAMMOND #BDC-185 Chrome Refractor 1st Prospect Royals</t>
        </is>
      </c>
      <c r="C1541" s="12" t="n">
        <v>3.99</v>
      </c>
      <c r="D1541" s="12" t="n">
        <v>3.89</v>
      </c>
      <c r="E1541" s="12" t="n">
        <v>-0.1</v>
      </c>
      <c r="F1541" s="13" t="n">
        <v>-2.5</v>
      </c>
      <c r="G1541" s="11" t="inlineStr">
        <is>
          <t>⬇ Price Down</t>
        </is>
      </c>
      <c r="H1541" s="11" t="inlineStr">
        <is>
          <t>100%</t>
        </is>
      </c>
      <c r="I1541" s="11">
        <f>HYPERLINK("https://www.ebay.com/sch/261328/i.html?_dcat=261328&amp;_fsrp=1&amp;rt=nc&amp;_from=R40&amp;_nkw=2025%20Bowman%20Draft%20JOSH%20HAMMOND%20%23BDC-185%20Chrome%20Refractor%201st%20Prospect%20Royals&amp;_sacat=0&amp;_sop=15&amp;rt=nc&amp;LH_BIN=1", "Active")</f>
        <v/>
      </c>
      <c r="J1541" s="11">
        <f>HYPERLINK("https://www.ebay.com/sch/261328/i.html?_from=R40&amp;_nkw=2025%20Bowman%20Draft%20JOSH%20HAMMOND%20%23BDC-185%20Chrome%20Refractor%201st%20Prospect%20Royals&amp;_sacat=0&amp;LH_Sold=1&amp;LH_Complete=1&amp;_sop=13", "Completed")</f>
        <v/>
      </c>
      <c r="K1541" s="11" t="inlineStr">
        <is>
          <t>2025 Bowman Draft JOSH HAMMOND #BDC-185 Chrome Refractor 1st Prospect Royals</t>
        </is>
      </c>
    </row>
    <row r="1542">
      <c r="A1542" s="5" t="inlineStr">
        <is>
          <t>Girks_BB_-_06-27-26-00007-298179</t>
        </is>
      </c>
      <c r="B1542" s="5" t="inlineStr">
        <is>
          <t>2025 Bowman 1st Chrome CHARLES MCADOO #BCP-150 Reptilian Green Refractor /99</t>
        </is>
      </c>
      <c r="C1542" s="6" t="n">
        <v>9.99</v>
      </c>
      <c r="D1542" s="6" t="n">
        <v>11.09</v>
      </c>
      <c r="E1542" s="6" t="n">
        <v>1.1</v>
      </c>
      <c r="F1542" s="7" t="n">
        <v>11</v>
      </c>
      <c r="G1542" s="5" t="inlineStr">
        <is>
          <t>⬆ Price Up</t>
        </is>
      </c>
      <c r="H1542" s="5" t="inlineStr">
        <is>
          <t>100%</t>
        </is>
      </c>
      <c r="I1542" s="5">
        <f>HYPERLINK("https://www.ebay.com/sch/261328/i.html?_dcat=261328&amp;_fsrp=1&amp;rt=nc&amp;_from=R40&amp;_nkw=2025%20Bowman%201st%20Chrome%20CHARLES%20MCADOO%20%23BCP-150%20Reptilian%20Green%20Refractor%20%2F99&amp;_sacat=0&amp;_sop=15&amp;rt=nc&amp;LH_BIN=1", "Active")</f>
        <v/>
      </c>
      <c r="J1542" s="5">
        <f>HYPERLINK("https://www.ebay.com/sch/261328/i.html?_from=R40&amp;_nkw=2025%20Bowman%201st%20Chrome%20CHARLES%20MCADOO%20%23BCP-150%20Reptilian%20Green%20Refractor%20%2F99&amp;_sacat=0&amp;LH_Sold=1&amp;LH_Complete=1&amp;_sop=13", "Completed")</f>
        <v/>
      </c>
      <c r="K1542" s="5" t="inlineStr">
        <is>
          <t>2025 Bowman 1st Chrome CHARLES MCADOO #BCP-150 Reptilian Green Refractor /99</t>
        </is>
      </c>
    </row>
    <row r="1543">
      <c r="A1543" s="5" t="inlineStr">
        <is>
          <t>Girks_BB_-_06-27-26-00001-596754</t>
        </is>
      </c>
      <c r="B1543" s="5" t="inlineStr">
        <is>
          <t>2026 Bowman TYLER BREMNER #BCP-9 Chrome Prospects Aqua Shimmer Refractor /125</t>
        </is>
      </c>
      <c r="C1543" s="6" t="n">
        <v>5.99</v>
      </c>
      <c r="D1543" s="6" t="n">
        <v>7.29</v>
      </c>
      <c r="E1543" s="6" t="n">
        <v>1.3</v>
      </c>
      <c r="F1543" s="7" t="n">
        <v>21.7</v>
      </c>
      <c r="G1543" s="5" t="inlineStr">
        <is>
          <t>⬆ Price Up</t>
        </is>
      </c>
      <c r="H1543" s="5" t="inlineStr">
        <is>
          <t>100%</t>
        </is>
      </c>
      <c r="I1543" s="5">
        <f>HYPERLINK("https://www.ebay.com/sch/261328/i.html?_dcat=261328&amp;_fsrp=1&amp;rt=nc&amp;_from=R40&amp;_nkw=2026%20Bowman%20TYLER%20BREMNER%20%23BCP-9%20Chrome%20Prospects%20Aqua%20Shimmer%20Refractor%20%2F125&amp;_sacat=0&amp;_sop=15&amp;rt=nc&amp;LH_BIN=1", "Active")</f>
        <v/>
      </c>
      <c r="J1543" s="5">
        <f>HYPERLINK("https://www.ebay.com/sch/261328/i.html?_from=R40&amp;_nkw=2026%20Bowman%20TYLER%20BREMNER%20%23BCP-9%20Chrome%20Prospects%20Aqua%20Shimmer%20Refractor%20%2F125&amp;_sacat=0&amp;LH_Sold=1&amp;LH_Complete=1&amp;_sop=13", "Completed")</f>
        <v/>
      </c>
      <c r="K1543" s="5" t="inlineStr">
        <is>
          <t>2026 Bowman TYLER BREMNER #BCP-9 Chrome Prospects Aqua Shimmer Refractor /125</t>
        </is>
      </c>
    </row>
    <row r="1544">
      <c r="A1544" s="5" t="inlineStr">
        <is>
          <t>Girks_BB_-_06-27-26-00008-889287</t>
        </is>
      </c>
      <c r="B1544" s="5" t="inlineStr">
        <is>
          <t>2025 Bowman's Best PETE CROW-ARMSTRONG #35 Blue Lazer Refractor /150 Cubs</t>
        </is>
      </c>
      <c r="C1544" s="6" t="n">
        <v>18.99</v>
      </c>
      <c r="D1544" s="6" t="n">
        <v>20.29</v>
      </c>
      <c r="E1544" s="6" t="n">
        <v>1.3</v>
      </c>
      <c r="F1544" s="7" t="n">
        <v>6.8</v>
      </c>
      <c r="G1544" s="5" t="inlineStr">
        <is>
          <t>⬆ Price Up</t>
        </is>
      </c>
      <c r="H1544" s="5" t="inlineStr">
        <is>
          <t>89%</t>
        </is>
      </c>
      <c r="I1544" s="5">
        <f>HYPERLINK("https://www.ebay.com/sch/261328/i.html?_dcat=261328&amp;_fsrp=1&amp;rt=nc&amp;_from=R40&amp;_nkw=2025%20Bowman's%20Best%20PETE%20CROW-ARMSTRONG%20%2335%20Blue%20Lazer%20Refractor%20%2F150%20Cubs&amp;_sacat=0&amp;_sop=15&amp;rt=nc&amp;LH_BIN=1", "Active")</f>
        <v/>
      </c>
      <c r="J1544" s="5">
        <f>HYPERLINK("https://www.ebay.com/sch/261328/i.html?_from=R40&amp;_nkw=2025%20Bowman's%20Best%20PETE%20CROW-ARMSTRONG%20%2335%20Blue%20Lazer%20Refractor%20%2F150%20Cubs&amp;_sacat=0&amp;LH_Sold=1&amp;LH_Complete=1&amp;_sop=13", "Completed")</f>
        <v/>
      </c>
      <c r="K1544" s="5" t="inlineStr">
        <is>
          <t>2025 Bowman's Best Pete Crow-Armstrong Blue Lazer Refractor /150 Cubs</t>
        </is>
      </c>
    </row>
    <row r="1545">
      <c r="A1545" s="5" t="inlineStr">
        <is>
          <t>Girks_BB_-_06-27-26-00003-391884</t>
        </is>
      </c>
      <c r="B1545" s="5" t="inlineStr">
        <is>
          <t>2026 Bowman Sapphire SHOTARO MORII #BCP-48 Chrome Prospects Athletics</t>
        </is>
      </c>
      <c r="C1545" s="6" t="n">
        <v>7.19</v>
      </c>
      <c r="D1545" s="6" t="n">
        <v>8.390000000000001</v>
      </c>
      <c r="E1545" s="6" t="n">
        <v>1.2</v>
      </c>
      <c r="F1545" s="7" t="n">
        <v>16.7</v>
      </c>
      <c r="G1545" s="5" t="inlineStr">
        <is>
          <t>⬆ Price Up</t>
        </is>
      </c>
      <c r="H1545" s="5" t="inlineStr">
        <is>
          <t>100%</t>
        </is>
      </c>
      <c r="I1545" s="5">
        <f>HYPERLINK("https://www.ebay.com/sch/261328/i.html?_dcat=261328&amp;_fsrp=1&amp;rt=nc&amp;_from=R40&amp;_nkw=2026%20Bowman%20Sapphire%20SHOTARO%20MORII%20%23BCP-48%20Chrome%20Prospects%20Athletics&amp;_sacat=0&amp;_sop=15&amp;rt=nc&amp;LH_BIN=1", "Active")</f>
        <v/>
      </c>
      <c r="J1545" s="5">
        <f>HYPERLINK("https://www.ebay.com/sch/261328/i.html?_from=R40&amp;_nkw=2026%20Bowman%20Sapphire%20SHOTARO%20MORII%20%23BCP-48%20Chrome%20Prospects%20Athletics&amp;_sacat=0&amp;LH_Sold=1&amp;LH_Complete=1&amp;_sop=13", "Completed")</f>
        <v/>
      </c>
      <c r="K1545" s="5" t="inlineStr">
        <is>
          <t>2026 Bowman Sapphire SHOTARO MORII #BCP-48 Chrome Prospects Athletics</t>
        </is>
      </c>
    </row>
    <row r="1546">
      <c r="A1546" s="5" t="inlineStr">
        <is>
          <t>Girks_BB_-_06-27-26-00002-870917</t>
        </is>
      </c>
      <c r="B1546" s="5" t="inlineStr">
        <is>
          <t>2026 Bowman Mega Box JAC CAGLIANONE #75 Chrome Purple Mojo Ref /250 RC Rookie</t>
        </is>
      </c>
      <c r="C1546" s="6" t="n">
        <v>17.99</v>
      </c>
      <c r="D1546" s="6" t="n">
        <v>26.39</v>
      </c>
      <c r="E1546" s="6" t="n">
        <v>8.4</v>
      </c>
      <c r="F1546" s="7" t="n">
        <v>46.7</v>
      </c>
      <c r="G1546" s="5" t="inlineStr">
        <is>
          <t>⬆ Price Up</t>
        </is>
      </c>
      <c r="H1546" s="5" t="inlineStr">
        <is>
          <t>100%</t>
        </is>
      </c>
      <c r="I1546" s="5">
        <f>HYPERLINK("https://www.ebay.com/sch/261328/i.html?_dcat=261328&amp;_fsrp=1&amp;rt=nc&amp;_from=R40&amp;_nkw=2026%20Bowman%20Mega%20Box%20JAC%20CAGLIANONE%20%2375%20Chrome%20Purple%20Mojo%20Ref%20%2F250%20RC%20Rookie&amp;_sacat=0&amp;_sop=15&amp;rt=nc&amp;LH_BIN=1", "Active")</f>
        <v/>
      </c>
      <c r="J1546" s="5">
        <f>HYPERLINK("https://www.ebay.com/sch/261328/i.html?_from=R40&amp;_nkw=2026%20Bowman%20Mega%20Box%20JAC%20CAGLIANONE%20%2375%20Chrome%20Purple%20Mojo%20Ref%20%2F250%20RC%20Rookie&amp;_sacat=0&amp;LH_Sold=1&amp;LH_Complete=1&amp;_sop=13", "Completed")</f>
        <v/>
      </c>
      <c r="K1546" s="5" t="inlineStr">
        <is>
          <t>2026 Bowman Mega Box JAC CAGLIANONE #75 Chrome Purple Mojo Ref /250 RC Rookie</t>
        </is>
      </c>
    </row>
    <row r="1547">
      <c r="A1547" s="11" t="inlineStr">
        <is>
          <t>Girks_BB_-_06-27-26-00006-881021</t>
        </is>
      </c>
      <c r="B1547" s="11" t="inlineStr">
        <is>
          <t>2026 Bowman FELNIN CELESTEN #BCP-57 Chrome Reptilian Blue Refractor /150</t>
        </is>
      </c>
      <c r="C1547" s="12" t="n">
        <v>5.99</v>
      </c>
      <c r="D1547" s="12" t="n">
        <v>5.19</v>
      </c>
      <c r="E1547" s="12" t="n">
        <v>-0.8</v>
      </c>
      <c r="F1547" s="13" t="n">
        <v>-13.4</v>
      </c>
      <c r="G1547" s="11" t="inlineStr">
        <is>
          <t>⬇ Price Down</t>
        </is>
      </c>
      <c r="H1547" s="11" t="inlineStr">
        <is>
          <t>89%</t>
        </is>
      </c>
      <c r="I1547" s="11">
        <f>HYPERLINK("https://www.ebay.com/sch/261328/i.html?_dcat=261328&amp;_fsrp=1&amp;rt=nc&amp;_from=R40&amp;_nkw=2026%20Bowman%20FELNIN%20CELESTEN%20%23BCP-57%20Chrome%20Reptilian%20Blue%20Refractor%20%2F150&amp;_sacat=0&amp;_sop=15&amp;rt=nc&amp;LH_BIN=1", "Active")</f>
        <v/>
      </c>
      <c r="J1547" s="11">
        <f>HYPERLINK("https://www.ebay.com/sch/261328/i.html?_from=R40&amp;_nkw=2026%20Bowman%20FELNIN%20CELESTEN%20%23BCP-57%20Chrome%20Reptilian%20Blue%20Refractor%20%2F150&amp;_sacat=0&amp;LH_Sold=1&amp;LH_Complete=1&amp;_sop=13", "Completed")</f>
        <v/>
      </c>
      <c r="K1547" s="11" t="inlineStr">
        <is>
          <t>2026 Bowman Chrome Felnin Celesten Blue Reptilian Refractor /150 BCP-57</t>
        </is>
      </c>
    </row>
    <row r="1548">
      <c r="A1548" s="11" t="inlineStr">
        <is>
          <t>Girks_BB_-_06-27-26-00004-035421</t>
        </is>
      </c>
      <c r="B1548" s="11" t="inlineStr">
        <is>
          <t>2026 Bowman Sapphire LEO DE VRIES #BCP-63 Chrome Prospects Athletics</t>
        </is>
      </c>
      <c r="C1548" s="12" t="n">
        <v>32</v>
      </c>
      <c r="D1548" s="12" t="n">
        <v>13.59</v>
      </c>
      <c r="E1548" s="12" t="n">
        <v>-18.41</v>
      </c>
      <c r="F1548" s="13" t="n">
        <v>-57.5</v>
      </c>
      <c r="G1548" s="11" t="inlineStr">
        <is>
          <t>⬇ Price Down</t>
        </is>
      </c>
      <c r="H1548" s="11" t="inlineStr">
        <is>
          <t>76%</t>
        </is>
      </c>
      <c r="I1548" s="11">
        <f>HYPERLINK("https://www.ebay.com/sch/261328/i.html?_dcat=261328&amp;_fsrp=1&amp;rt=nc&amp;_from=R40&amp;_nkw=2026%20Bowman%20Sapphire%20LEO%20DE%20VRIES%20%23BCP-63%20Chrome%20Prospects%20Athletics&amp;_sacat=0&amp;_sop=15&amp;rt=nc&amp;LH_BIN=1", "Active")</f>
        <v/>
      </c>
      <c r="J1548" s="11">
        <f>HYPERLINK("https://www.ebay.com/sch/261328/i.html?_from=R40&amp;_nkw=2026%20Bowman%20Sapphire%20LEO%20DE%20VRIES%20%23BCP-63%20Chrome%20Prospects%20Athletics&amp;_sacat=0&amp;LH_Sold=1&amp;LH_Complete=1&amp;_sop=13", "Completed")</f>
        <v/>
      </c>
      <c r="K1548" s="11" t="inlineStr">
        <is>
          <t>LEO DE VRIES 2026 BOWMAN CHROME SAPPHIRE REFRACTOR #BCP-63  TOP PROSPECT A’s</t>
        </is>
      </c>
    </row>
    <row r="1549">
      <c r="A1549" s="11" t="inlineStr">
        <is>
          <t>Girks_BB_-_06-27-26-00010-835631</t>
        </is>
      </c>
      <c r="B1549" s="11" t="inlineStr">
        <is>
          <t>2026 TOPPS COLLECTOR'S KIT EXCLUSIVE SHOHEI OHTANI WAVE FOIL</t>
        </is>
      </c>
      <c r="C1549" s="12" t="n">
        <v>18</v>
      </c>
      <c r="D1549" s="12" t="n">
        <v>3.69</v>
      </c>
      <c r="E1549" s="12" t="n">
        <v>-14.31</v>
      </c>
      <c r="F1549" s="13" t="n">
        <v>-79.5</v>
      </c>
      <c r="G1549" s="11" t="inlineStr">
        <is>
          <t>⬇ Price Down</t>
        </is>
      </c>
      <c r="H1549" s="11" t="inlineStr">
        <is>
          <t>67%</t>
        </is>
      </c>
      <c r="I1549" s="11">
        <f>HYPERLINK("https://www.ebay.com/sch/261328/i.html?_dcat=261328&amp;_fsrp=1&amp;rt=nc&amp;_from=R40&amp;_nkw=2026%20TOPPS%20COLLECTOR'S%20KIT%20EXCLUSIVE%20SHOHEI%20OHTANI%20WAVE%20FOIL&amp;_sacat=0&amp;_sop=15&amp;rt=nc&amp;LH_BIN=1", "Active")</f>
        <v/>
      </c>
      <c r="J1549" s="11">
        <f>HYPERLINK("https://www.ebay.com/sch/261328/i.html?_from=R40&amp;_nkw=2026%20TOPPS%20COLLECTOR'S%20KIT%20EXCLUSIVE%20SHOHEI%20OHTANI%20WAVE%20FOIL&amp;_sacat=0&amp;LH_Sold=1&amp;LH_Complete=1&amp;_sop=13", "Completed")</f>
        <v/>
      </c>
      <c r="K1549" s="11" t="inlineStr">
        <is>
          <t>2026 Topps Collector's Kit Exclusive Cards NBA MLB *PICK YOUR PLAYER*</t>
        </is>
      </c>
    </row>
    <row r="1550">
      <c r="A1550" s="11" t="inlineStr">
        <is>
          <t>Clint_multi_-06-27-26-00001-861149</t>
        </is>
      </c>
      <c r="B1550" s="11" t="inlineStr">
        <is>
          <t>2025-26 Topps SIGNATURE Class DYLAN HARPER #AF-2 After Image RC Spurs Rookie</t>
        </is>
      </c>
      <c r="C1550" s="12" t="n">
        <v>5.59</v>
      </c>
      <c r="D1550" s="12" t="n">
        <v>5.19</v>
      </c>
      <c r="E1550" s="12" t="n">
        <v>-0.4</v>
      </c>
      <c r="F1550" s="13" t="n">
        <v>-7.2</v>
      </c>
      <c r="G1550" s="11" t="inlineStr">
        <is>
          <t>⬇ Price Down</t>
        </is>
      </c>
      <c r="H1550" s="11" t="inlineStr">
        <is>
          <t>90%</t>
        </is>
      </c>
      <c r="I1550" s="11">
        <f>HYPERLINK("https://www.ebay.com/sch/261328/i.html?_dcat=261328&amp;_fsrp=1&amp;rt=nc&amp;_from=R40&amp;_nkw=2025-26%20Topps%20SIGNATURE%20Class%20DYLAN%20HARPER%20%23AF-2%20After%20Image%20RC%20Spurs%20Rookie&amp;_sacat=0&amp;_sop=15&amp;rt=nc&amp;LH_BIN=1", "Active")</f>
        <v/>
      </c>
      <c r="J1550" s="11">
        <f>HYPERLINK("https://www.ebay.com/sch/261328/i.html?_from=R40&amp;_nkw=2025-26%20Topps%20SIGNATURE%20Class%20DYLAN%20HARPER%20%23AF-2%20After%20Image%20RC%20Spurs%20Rookie&amp;_sacat=0&amp;LH_Sold=1&amp;LH_Complete=1&amp;_sop=13", "Completed")</f>
        <v/>
      </c>
      <c r="K1550" s="11" t="inlineStr">
        <is>
          <t>2025-26 Topps Signature Class After Image Dylan Harper #AF-2 Rookie RC Spurs</t>
        </is>
      </c>
    </row>
    <row r="1551">
      <c r="A1551" s="11" t="inlineStr">
        <is>
          <t>Clint_multi_-06-27-26-00003-139647</t>
        </is>
      </c>
      <c r="B1551" s="11" t="inlineStr">
        <is>
          <t>2025 Topps Chrome BRIAN THOMAS JR. #135 Gold Geometric Ref /50 Jaguars Football</t>
        </is>
      </c>
      <c r="C1551" s="12" t="n">
        <v>69.29000000000001</v>
      </c>
      <c r="D1551" s="12" t="n">
        <v>68.69</v>
      </c>
      <c r="E1551" s="12" t="n">
        <v>-0.6</v>
      </c>
      <c r="F1551" s="13" t="n">
        <v>-0.9</v>
      </c>
      <c r="G1551" s="11" t="inlineStr">
        <is>
          <t>⬇ Price Down</t>
        </is>
      </c>
      <c r="H1551" s="11" t="inlineStr">
        <is>
          <t>100%</t>
        </is>
      </c>
      <c r="I1551" s="11">
        <f>HYPERLINK("https://www.ebay.com/sch/261328/i.html?_dcat=261328&amp;_fsrp=1&amp;rt=nc&amp;_from=R40&amp;_nkw=2025%20Topps%20Chrome%20BRIAN%20THOMAS%20JR.%20%23135%20Gold%20Geometric%20Ref%20%2F50%20Jaguars%20Football&amp;_sacat=0&amp;_sop=15&amp;rt=nc&amp;LH_BIN=1", "Active")</f>
        <v/>
      </c>
      <c r="J1551" s="11">
        <f>HYPERLINK("https://www.ebay.com/sch/261328/i.html?_from=R40&amp;_nkw=2025%20Topps%20Chrome%20BRIAN%20THOMAS%20JR.%20%23135%20Gold%20Geometric%20Ref%20%2F50%20Jaguars%20Football&amp;_sacat=0&amp;LH_Sold=1&amp;LH_Complete=1&amp;_sop=13", "Completed")</f>
        <v/>
      </c>
      <c r="K1551" s="11" t="inlineStr">
        <is>
          <t>2025 Topps Chrome BRIAN THOMAS JR. #135 Gold Geometric Ref /50 Jaguars Football</t>
        </is>
      </c>
    </row>
    <row r="1552">
      <c r="A1552" s="2" t="inlineStr">
        <is>
          <t>FB_Drake_Maye_-06-27-26-00008-777299</t>
        </is>
      </c>
      <c r="B1552" s="2" t="inlineStr">
        <is>
          <t>2025 Panini Score DRAKE MAYE #3 Throwbacks Patriots Football</t>
        </is>
      </c>
      <c r="C1552" s="3" t="n">
        <v>2.99</v>
      </c>
      <c r="D1552" s="3" t="n">
        <v>2.49</v>
      </c>
      <c r="E1552" s="3" t="n">
        <v>-0.5</v>
      </c>
      <c r="F1552" s="4" t="n">
        <v>-16.7</v>
      </c>
      <c r="G1552" s="2" t="inlineStr">
        <is>
          <t>🔵 Floored $2.49 — free ship or $0.99 ship?</t>
        </is>
      </c>
      <c r="H1552" s="2" t="inlineStr">
        <is>
          <t>69%</t>
        </is>
      </c>
      <c r="I1552" s="2">
        <f>HYPERLINK("https://www.ebay.com/sch/261328/i.html?_dcat=261328&amp;_fsrp=1&amp;rt=nc&amp;_from=R40&amp;_nkw=2025%20Panini%20Score%20DRAKE%20MAYE%20%233%20Throwbacks%20Patriots%20Football&amp;_sacat=0&amp;_sop=15&amp;rt=nc&amp;LH_BIN=1", "Active")</f>
        <v/>
      </c>
      <c r="J1552" s="2">
        <f>HYPERLINK("https://www.ebay.com/sch/261328/i.html?_from=R40&amp;_nkw=2025%20Panini%20Score%20DRAKE%20MAYE%20%233%20Throwbacks%20Patriots%20Football&amp;_sacat=0&amp;LH_Sold=1&amp;LH_Complete=1&amp;_sop=13", "Completed")</f>
        <v/>
      </c>
      <c r="K1552" s="2" t="inlineStr">
        <is>
          <t>2025 Score - Throwbacks - Drake Maye #3 - New England Patriots</t>
        </is>
      </c>
    </row>
    <row r="1553">
      <c r="A1553" s="11" t="inlineStr">
        <is>
          <t>FB_Drake_Maye_-06-27-26-00002-336757</t>
        </is>
      </c>
      <c r="B1553" s="11" t="inlineStr">
        <is>
          <t>2024 Panini ROOKIES &amp; Stars DRAKE MAYE #RR-DME Rookie Rush RC Patriots Football</t>
        </is>
      </c>
      <c r="C1553" s="12" t="n">
        <v>3.99</v>
      </c>
      <c r="D1553" s="12" t="n">
        <v>3.89</v>
      </c>
      <c r="E1553" s="12" t="n">
        <v>-0.1</v>
      </c>
      <c r="F1553" s="13" t="n">
        <v>-2.5</v>
      </c>
      <c r="G1553" s="11" t="inlineStr">
        <is>
          <t>⬇ Price Down</t>
        </is>
      </c>
      <c r="H1553" s="11" t="inlineStr">
        <is>
          <t>87%</t>
        </is>
      </c>
      <c r="I1553" s="11">
        <f>HYPERLINK("https://www.ebay.com/sch/261328/i.html?_dcat=261328&amp;_fsrp=1&amp;rt=nc&amp;_from=R40&amp;_nkw=2024%20Panini%20ROOKIES%20%26%20Stars%20DRAKE%20MAYE%20%23RR-DME%20Rookie%20Rush%20RC%20Patriots%20Football&amp;_sacat=0&amp;_sop=15&amp;rt=nc&amp;LH_BIN=1", "Active")</f>
        <v/>
      </c>
      <c r="J1553" s="11">
        <f>HYPERLINK("https://www.ebay.com/sch/261328/i.html?_from=R40&amp;_nkw=2024%20Panini%20ROOKIES%20%26%20Stars%20DRAKE%20MAYE%20%23RR-DME%20Rookie%20Rush%20RC%20Patriots%20Football&amp;_sacat=0&amp;LH_Sold=1&amp;LH_Complete=1&amp;_sop=13", "Completed")</f>
        <v/>
      </c>
      <c r="K1553" s="11" t="inlineStr">
        <is>
          <t>2024 Panini Rookies &amp; Stars - Rookie Rush Drake Maye #RR-DME (RC) Patriots</t>
        </is>
      </c>
    </row>
    <row r="1554">
      <c r="A1554" s="2" t="inlineStr">
        <is>
          <t>FB_Drake_Maye_-06-27-26-00001-845762</t>
        </is>
      </c>
      <c r="B1554" s="2" t="inlineStr">
        <is>
          <t>2025 Panini MOSAIC DRAKE MAYE #258 International Games Patriots Football</t>
        </is>
      </c>
      <c r="C1554" s="3" t="n">
        <v>2.99</v>
      </c>
      <c r="D1554" s="3" t="n">
        <v>2.49</v>
      </c>
      <c r="E1554" s="3" t="n">
        <v>-0.5</v>
      </c>
      <c r="F1554" s="4" t="n">
        <v>-16.7</v>
      </c>
      <c r="G1554" s="2" t="inlineStr">
        <is>
          <t>🔵 Floored $2.49 — free ship or $0.99 ship?</t>
        </is>
      </c>
      <c r="H1554" s="2" t="inlineStr">
        <is>
          <t>69%</t>
        </is>
      </c>
      <c r="I1554" s="2">
        <f>HYPERLINK("https://www.ebay.com/sch/261328/i.html?_dcat=261328&amp;_fsrp=1&amp;rt=nc&amp;_from=R40&amp;_nkw=2025%20Panini%20MOSAIC%20DRAKE%20MAYE%20%23258%20International%20Games%20Patriots%20Football&amp;_sacat=0&amp;_sop=15&amp;rt=nc&amp;LH_BIN=1", "Active")</f>
        <v/>
      </c>
      <c r="J1554" s="2">
        <f>HYPERLINK("https://www.ebay.com/sch/261328/i.html?_from=R40&amp;_nkw=2025%20Panini%20MOSAIC%20DRAKE%20MAYE%20%23258%20International%20Games%20Patriots%20Football&amp;_sacat=0&amp;LH_Sold=1&amp;LH_Complete=1&amp;_sop=13", "Completed")</f>
        <v/>
      </c>
      <c r="K1554" s="2" t="inlineStr">
        <is>
          <t>NFL 2025 Mosaic Drake Maye ~England Games~ #258 New England Patriots</t>
        </is>
      </c>
    </row>
    <row r="1555">
      <c r="A1555" s="2" t="inlineStr">
        <is>
          <t>FB_Drake_Maye_-06-27-26-00007-724697</t>
        </is>
      </c>
      <c r="B1555" s="2" t="inlineStr">
        <is>
          <t>2025 Panini REVOLUTION DRAKE MAYE #48 Patriots Football</t>
        </is>
      </c>
      <c r="C1555" s="3" t="n">
        <v>2.99</v>
      </c>
      <c r="D1555" s="3" t="n">
        <v>2.49</v>
      </c>
      <c r="E1555" s="3" t="n">
        <v>-0.5</v>
      </c>
      <c r="F1555" s="4" t="n">
        <v>-16.7</v>
      </c>
      <c r="G1555" s="2" t="inlineStr">
        <is>
          <t>🔵 Floored $2.49 — free ship or $0.99 ship?</t>
        </is>
      </c>
      <c r="H1555" s="2" t="inlineStr">
        <is>
          <t>86%</t>
        </is>
      </c>
      <c r="I1555" s="2">
        <f>HYPERLINK("https://www.ebay.com/sch/261328/i.html?_dcat=261328&amp;_fsrp=1&amp;rt=nc&amp;_from=R40&amp;_nkw=2025%20Panini%20REVOLUTION%20DRAKE%20MAYE%20%2348%20Patriots%20Football&amp;_sacat=0&amp;_sop=15&amp;rt=nc&amp;LH_BIN=1", "Active")</f>
        <v/>
      </c>
      <c r="J1555" s="2">
        <f>HYPERLINK("https://www.ebay.com/sch/261328/i.html?_from=R40&amp;_nkw=2025%20Panini%20REVOLUTION%20DRAKE%20MAYE%20%2348%20Patriots%20Football&amp;_sacat=0&amp;LH_Sold=1&amp;LH_Complete=1&amp;_sop=13", "Completed")</f>
        <v/>
      </c>
      <c r="K1555" s="2" t="inlineStr">
        <is>
          <t>2025 Panini Revolution Drake Maye No. 48 Patriots</t>
        </is>
      </c>
    </row>
    <row r="1556">
      <c r="A1556" s="11" t="inlineStr">
        <is>
          <t>FB_Drake_Maye_-06-27-26-00009-025417</t>
        </is>
      </c>
      <c r="B1556" s="11" t="inlineStr">
        <is>
          <t>2024 Panini Select DRAKE MAYE #24 Turbocharged RC Patriots Rookie Football</t>
        </is>
      </c>
      <c r="C1556" s="12" t="n">
        <v>4.49</v>
      </c>
      <c r="D1556" s="12" t="n">
        <v>2.69</v>
      </c>
      <c r="E1556" s="12" t="n">
        <v>-1.8</v>
      </c>
      <c r="F1556" s="13" t="n">
        <v>-40.1</v>
      </c>
      <c r="G1556" s="11" t="inlineStr">
        <is>
          <t>⬇ Price Down</t>
        </is>
      </c>
      <c r="H1556" s="11" t="inlineStr">
        <is>
          <t>85%</t>
        </is>
      </c>
      <c r="I1556" s="11">
        <f>HYPERLINK("https://www.ebay.com/sch/261328/i.html?_dcat=261328&amp;_fsrp=1&amp;rt=nc&amp;_from=R40&amp;_nkw=2024%20Panini%20Select%20DRAKE%20MAYE%20%2324%20Turbocharged%20RC%20Patriots%20Rookie%20Football&amp;_sacat=0&amp;_sop=15&amp;rt=nc&amp;LH_BIN=1", "Active")</f>
        <v/>
      </c>
      <c r="J1556" s="11">
        <f>HYPERLINK("https://www.ebay.com/sch/261328/i.html?_from=R40&amp;_nkw=2024%20Panini%20Select%20DRAKE%20MAYE%20%2324%20Turbocharged%20RC%20Patriots%20Rookie%20Football&amp;_sacat=0&amp;LH_Sold=1&amp;LH_Complete=1&amp;_sop=13", "Completed")</f>
        <v/>
      </c>
      <c r="K1556" s="11" t="inlineStr">
        <is>
          <t>2024 Panini Select #24 Drake Maye RC Turbocharged New England Patriots</t>
        </is>
      </c>
    </row>
    <row r="1557">
      <c r="A1557" s="11" t="inlineStr">
        <is>
          <t>FB_Drake_Maye_-06-27-26-00004-687281</t>
        </is>
      </c>
      <c r="B1557" s="11" t="inlineStr">
        <is>
          <t>2024 Panini Select DRAKE MAYE #27 Concourse RC Patriots Rookie Football</t>
        </is>
      </c>
      <c r="C1557" s="12" t="n">
        <v>2.99</v>
      </c>
      <c r="D1557" s="12" t="n">
        <v>2.89</v>
      </c>
      <c r="E1557" s="12" t="n">
        <v>-0.1</v>
      </c>
      <c r="F1557" s="13" t="n">
        <v>-3.3</v>
      </c>
      <c r="G1557" s="11" t="inlineStr">
        <is>
          <t>⬇ Price Down</t>
        </is>
      </c>
      <c r="H1557" s="11" t="inlineStr">
        <is>
          <t>74%</t>
        </is>
      </c>
      <c r="I1557" s="11">
        <f>HYPERLINK("https://www.ebay.com/sch/261328/i.html?_dcat=261328&amp;_fsrp=1&amp;rt=nc&amp;_from=R40&amp;_nkw=2024%20Panini%20Select%20DRAKE%20MAYE%20%2327%20Concourse%20RC%20Patriots%20Rookie%20Football&amp;_sacat=0&amp;_sop=15&amp;rt=nc&amp;LH_BIN=1", "Active")</f>
        <v/>
      </c>
      <c r="J1557" s="11">
        <f>HYPERLINK("https://www.ebay.com/sch/261328/i.html?_from=R40&amp;_nkw=2024%20Panini%20Select%20DRAKE%20MAYE%20%2327%20Concourse%20RC%20Patriots%20Rookie%20Football&amp;_sacat=0&amp;LH_Sold=1&amp;LH_Complete=1&amp;_sop=13", "Completed")</f>
        <v/>
      </c>
      <c r="K1557" s="11" t="inlineStr">
        <is>
          <t>Drake Maye RC 2024 Panini Select - Concourse Level #27 (Base) NE Patriots</t>
        </is>
      </c>
    </row>
    <row r="1558">
      <c r="A1558" s="11" t="inlineStr">
        <is>
          <t>FB_Drake_Maye_-06-27-26-00014-036253</t>
        </is>
      </c>
      <c r="B1558" s="11" t="inlineStr">
        <is>
          <t>2024 Panini Absolute DRAKE MAYE #RO-DME Rock Out RC Patriots Rookie Football</t>
        </is>
      </c>
      <c r="C1558" s="12" t="n">
        <v>3.99</v>
      </c>
      <c r="D1558" s="12" t="n">
        <v>3.29</v>
      </c>
      <c r="E1558" s="12" t="n">
        <v>-0.7</v>
      </c>
      <c r="F1558" s="13" t="n">
        <v>-17.5</v>
      </c>
      <c r="G1558" s="11" t="inlineStr">
        <is>
          <t>⬇ Price Down</t>
        </is>
      </c>
      <c r="H1558" s="11" t="inlineStr">
        <is>
          <t>84%</t>
        </is>
      </c>
      <c r="I1558" s="11">
        <f>HYPERLINK("https://www.ebay.com/sch/261328/i.html?_dcat=261328&amp;_fsrp=1&amp;rt=nc&amp;_from=R40&amp;_nkw=2024%20Panini%20Absolute%20DRAKE%20MAYE%20%23RO-DME%20Rock%20Out%20RC%20Patriots%20Rookie%20Football&amp;_sacat=0&amp;_sop=15&amp;rt=nc&amp;LH_BIN=1", "Active")</f>
        <v/>
      </c>
      <c r="J1558" s="11">
        <f>HYPERLINK("https://www.ebay.com/sch/261328/i.html?_from=R40&amp;_nkw=2024%20Panini%20Absolute%20DRAKE%20MAYE%20%23RO-DME%20Rock%20Out%20RC%20Patriots%20Rookie%20Football&amp;_sacat=0&amp;LH_Sold=1&amp;LH_Complete=1&amp;_sop=13", "Completed")</f>
        <v/>
      </c>
      <c r="K1558" s="11" t="inlineStr">
        <is>
          <t>2024 Panini Absolute - Drake Maye "Rock Out" (RC) #RO-DME New England Patriots</t>
        </is>
      </c>
    </row>
    <row r="1559">
      <c r="A1559" s="2" t="inlineStr">
        <is>
          <t>FB_Drake_Maye_-06-27-26-00006-122078</t>
        </is>
      </c>
      <c r="B1559" s="2" t="inlineStr">
        <is>
          <t>2025 Panini REVOLUTION DRAKE MAYE #6 Futures Patriots Football</t>
        </is>
      </c>
      <c r="C1559" s="3" t="n">
        <v>2.99</v>
      </c>
      <c r="D1559" s="3" t="n">
        <v>2.49</v>
      </c>
      <c r="E1559" s="3" t="n">
        <v>-0.5</v>
      </c>
      <c r="F1559" s="4" t="n">
        <v>-16.7</v>
      </c>
      <c r="G1559" s="2" t="inlineStr">
        <is>
          <t>🔵 Floored $2.49 — free ship or $0.99 ship?</t>
        </is>
      </c>
      <c r="H1559" s="2" t="inlineStr">
        <is>
          <t>85%</t>
        </is>
      </c>
      <c r="I1559" s="2">
        <f>HYPERLINK("https://www.ebay.com/sch/261328/i.html?_dcat=261328&amp;_fsrp=1&amp;rt=nc&amp;_from=R40&amp;_nkw=2025%20Panini%20REVOLUTION%20DRAKE%20MAYE%20%236%20Futures%20Patriots%20Football&amp;_sacat=0&amp;_sop=15&amp;rt=nc&amp;LH_BIN=1", "Active")</f>
        <v/>
      </c>
      <c r="J1559" s="2">
        <f>HYPERLINK("https://www.ebay.com/sch/261328/i.html?_from=R40&amp;_nkw=2025%20Panini%20REVOLUTION%20DRAKE%20MAYE%20%236%20Futures%20Patriots%20Football&amp;_sacat=0&amp;LH_Sold=1&amp;LH_Complete=1&amp;_sop=13", "Completed")</f>
        <v/>
      </c>
      <c r="K1559" s="2" t="inlineStr">
        <is>
          <t>2025 Panini Revolution Futures Drake Maye #6 New England Patriots</t>
        </is>
      </c>
    </row>
    <row r="1560">
      <c r="A1560" s="11" t="inlineStr">
        <is>
          <t>FB_Drake_Maye_-06-27-26-00010-959570</t>
        </is>
      </c>
      <c r="B1560" s="11" t="inlineStr">
        <is>
          <t>2024 Panini Select DRAKE MAYE #5 Future RC Patriots Rookie Football</t>
        </is>
      </c>
      <c r="C1560" s="12" t="n">
        <v>4.99</v>
      </c>
      <c r="D1560" s="12" t="n">
        <v>2.79</v>
      </c>
      <c r="E1560" s="12" t="n">
        <v>-2.2</v>
      </c>
      <c r="F1560" s="13" t="n">
        <v>-44.1</v>
      </c>
      <c r="G1560" s="11" t="inlineStr">
        <is>
          <t>⬇ Price Down</t>
        </is>
      </c>
      <c r="H1560" s="11" t="inlineStr">
        <is>
          <t>74%</t>
        </is>
      </c>
      <c r="I1560" s="11">
        <f>HYPERLINK("https://www.ebay.com/sch/261328/i.html?_dcat=261328&amp;_fsrp=1&amp;rt=nc&amp;_from=R40&amp;_nkw=2024%20Panini%20Select%20DRAKE%20MAYE%20%235%20Future%20RC%20Patriots%20Rookie%20Football&amp;_sacat=0&amp;_sop=15&amp;rt=nc&amp;LH_BIN=1", "Active")</f>
        <v/>
      </c>
      <c r="J1560" s="11">
        <f>HYPERLINK("https://www.ebay.com/sch/261328/i.html?_from=R40&amp;_nkw=2024%20Panini%20Select%20DRAKE%20MAYE%20%235%20Future%20RC%20Patriots%20Rookie%20Football&amp;_sacat=0&amp;LH_Sold=1&amp;LH_Complete=1&amp;_sop=13", "Completed")</f>
        <v/>
      </c>
      <c r="K1560" s="11" t="inlineStr">
        <is>
          <t>Drake Maye 2024 Panini Select #5 Future RC New England Patriots</t>
        </is>
      </c>
    </row>
    <row r="1561">
      <c r="A1561" s="2" t="inlineStr">
        <is>
          <t>FB_Drake_Maye_-06-27-26-00011-880577</t>
        </is>
      </c>
      <c r="B1561" s="2" t="inlineStr">
        <is>
          <t>2024 Panini Absolute DRAKE MAYE #103 Rookies RC Patriots Football</t>
        </is>
      </c>
      <c r="C1561" s="3" t="n">
        <v>3.99</v>
      </c>
      <c r="D1561" s="3" t="n">
        <v>2.49</v>
      </c>
      <c r="E1561" s="3" t="n">
        <v>-1.5</v>
      </c>
      <c r="F1561" s="4" t="n">
        <v>-37.6</v>
      </c>
      <c r="G1561" s="2" t="inlineStr">
        <is>
          <t>🔵 Floored $2.49 — free ship or $0.99 ship?</t>
        </is>
      </c>
      <c r="H1561" s="2" t="inlineStr">
        <is>
          <t>84%</t>
        </is>
      </c>
      <c r="I1561" s="2">
        <f>HYPERLINK("https://www.ebay.com/sch/261328/i.html?_dcat=261328&amp;_fsrp=1&amp;rt=nc&amp;_from=R40&amp;_nkw=2024%20Panini%20Absolute%20DRAKE%20MAYE%20%23103%20Rookies%20RC%20Patriots%20Football&amp;_sacat=0&amp;_sop=15&amp;rt=nc&amp;LH_BIN=1", "Active")</f>
        <v/>
      </c>
      <c r="J1561" s="2">
        <f>HYPERLINK("https://www.ebay.com/sch/261328/i.html?_from=R40&amp;_nkw=2024%20Panini%20Absolute%20DRAKE%20MAYE%20%23103%20Rookies%20RC%20Patriots%20Football&amp;_sacat=0&amp;LH_Sold=1&amp;LH_Complete=1&amp;_sop=13", "Completed")</f>
        <v/>
      </c>
      <c r="K1561" s="2" t="inlineStr">
        <is>
          <t>2024 Panini Absolute Drake Maye #103 RC New England Patriots</t>
        </is>
      </c>
    </row>
    <row r="1562">
      <c r="A1562" s="11" t="inlineStr">
        <is>
          <t>FB_Drake_Maye_-06-27-26-00013-856821</t>
        </is>
      </c>
      <c r="B1562" s="11" t="inlineStr">
        <is>
          <t>2024 Topps Chrome DRAKE MAYE #203 RC Patriots Rookie Football</t>
        </is>
      </c>
      <c r="C1562" s="12" t="n">
        <v>5.99</v>
      </c>
      <c r="D1562" s="12" t="n">
        <v>5.19</v>
      </c>
      <c r="E1562" s="12" t="n">
        <v>-0.8</v>
      </c>
      <c r="F1562" s="13" t="n">
        <v>-13.4</v>
      </c>
      <c r="G1562" s="11" t="inlineStr">
        <is>
          <t>⬇ Price Down</t>
        </is>
      </c>
      <c r="H1562" s="11" t="inlineStr">
        <is>
          <t>86%</t>
        </is>
      </c>
      <c r="I1562" s="11">
        <f>HYPERLINK("https://www.ebay.com/sch/261328/i.html?_dcat=261328&amp;_fsrp=1&amp;rt=nc&amp;_from=R40&amp;_nkw=2024%20Topps%20Chrome%20DRAKE%20MAYE%20%23203%20RC%20Patriots%20Rookie%20Football&amp;_sacat=0&amp;_sop=15&amp;rt=nc&amp;LH_BIN=1", "Active")</f>
        <v/>
      </c>
      <c r="J1562" s="11">
        <f>HYPERLINK("https://www.ebay.com/sch/261328/i.html?_from=R40&amp;_nkw=2024%20Topps%20Chrome%20DRAKE%20MAYE%20%23203%20RC%20Patriots%20Rookie%20Football&amp;_sacat=0&amp;LH_Sold=1&amp;LH_Complete=1&amp;_sop=13", "Completed")</f>
        <v/>
      </c>
      <c r="K1562" s="11" t="inlineStr">
        <is>
          <t>2024 Topps Chrome - Rookies Drake Maye #203 (RC) Patriots</t>
        </is>
      </c>
    </row>
    <row r="1563">
      <c r="A1563" s="5" t="inlineStr">
        <is>
          <t>Slabs_06-27-26-00001-353751</t>
        </is>
      </c>
      <c r="B1563" s="5" t="inlineStr">
        <is>
          <t>2022 Topps Chrome RONALD ACUNA JR. #165 Blue Wave Refractor /75 Braves PSA 9</t>
        </is>
      </c>
      <c r="C1563" s="6" t="n">
        <v>65</v>
      </c>
      <c r="D1563" s="6" t="n">
        <v>71.98999999999999</v>
      </c>
      <c r="E1563" s="6" t="n">
        <v>6.99</v>
      </c>
      <c r="F1563" s="7" t="n">
        <v>10.8</v>
      </c>
      <c r="G1563" s="5" t="inlineStr">
        <is>
          <t>⬆ Price Up</t>
        </is>
      </c>
      <c r="H1563" s="5" t="inlineStr">
        <is>
          <t>100%</t>
        </is>
      </c>
      <c r="I1563" s="5">
        <f>HYPERLINK("https://www.ebay.com/sch/261328/i.html?_dcat=261328&amp;_fsrp=1&amp;rt=nc&amp;_from=R40&amp;_nkw=2022%20Topps%20Chrome%20RONALD%20ACUNA%20JR.%20%23165%20Blue%20Wave%20Refractor%20%2F75%20Braves%20PSA%209&amp;_sacat=0&amp;_sop=15&amp;rt=nc&amp;LH_BIN=1", "Active")</f>
        <v/>
      </c>
      <c r="J1563" s="5">
        <f>HYPERLINK("https://www.ebay.com/sch/261328/i.html?_from=R40&amp;_nkw=2022%20Topps%20Chrome%20RONALD%20ACUNA%20JR.%20%23165%20Blue%20Wave%20Refractor%20%2F75%20Braves%20PSA%209&amp;_sacat=0&amp;LH_Sold=1&amp;LH_Complete=1&amp;_sop=13", "Completed")</f>
        <v/>
      </c>
      <c r="K1563" s="5" t="inlineStr">
        <is>
          <t>2022 Topps Chrome RONALD ACUNA JR. #165 Blue Wave Refractor /75 Braves PSA 9</t>
        </is>
      </c>
    </row>
    <row r="1564">
      <c r="A1564" s="11" t="inlineStr">
        <is>
          <t>Slabs_06-27-26-00003-826811</t>
        </is>
      </c>
      <c r="B1564" s="11" t="inlineStr">
        <is>
          <t>2024-25 PANINI DONRUSS LIONEL MESSI PITCH KINGS RED ARGENTINA PSA 9</t>
        </is>
      </c>
      <c r="C1564" s="12" t="n">
        <v>125</v>
      </c>
      <c r="D1564" s="12" t="n">
        <v>78.59</v>
      </c>
      <c r="E1564" s="12" t="n">
        <v>-46.41</v>
      </c>
      <c r="F1564" s="13" t="n">
        <v>-37.1</v>
      </c>
      <c r="G1564" s="11" t="inlineStr">
        <is>
          <t>⬇ Price Down</t>
        </is>
      </c>
      <c r="H1564" s="11" t="inlineStr">
        <is>
          <t>89%</t>
        </is>
      </c>
      <c r="I1564" s="11">
        <f>HYPERLINK("https://www.ebay.com/sch/261328/i.html?_dcat=261328&amp;_fsrp=1&amp;rt=nc&amp;_from=R40&amp;_nkw=2024-25%20PANINI%20DONRUSS%20LIONEL%20MESSI%20PITCH%20KINGS%20RED%20ARGENTINA%20PSA%209&amp;_sacat=0&amp;_sop=15&amp;rt=nc&amp;LH_BIN=1", "Active")</f>
        <v/>
      </c>
      <c r="J1564" s="11">
        <f>HYPERLINK("https://www.ebay.com/sch/261328/i.html?_from=R40&amp;_nkw=2024-25%20PANINI%20DONRUSS%20LIONEL%20MESSI%20PITCH%20KINGS%20RED%20ARGENTINA%20PSA%209&amp;_sacat=0&amp;LH_Sold=1&amp;LH_Complete=1&amp;_sop=13", "Completed")</f>
        <v/>
      </c>
      <c r="K1564" s="11" t="inlineStr">
        <is>
          <t>2024-25 Panini Donruss Lionel Messi #10 Pitch Kings Red Argentina PSA 9</t>
        </is>
      </c>
    </row>
    <row r="1565">
      <c r="A1565" s="5" t="inlineStr">
        <is>
          <t>Slabs_06-27-26-00002-098812</t>
        </is>
      </c>
      <c r="B1565" s="5" t="inlineStr">
        <is>
          <t>2022 Panini Prizm MIKE TROUT #IL-10 Illumination Blue Mojo /199 Angels PSA 9</t>
        </is>
      </c>
      <c r="C1565" s="6" t="n">
        <v>47.99</v>
      </c>
      <c r="D1565" s="6" t="n">
        <v>55.49</v>
      </c>
      <c r="E1565" s="6" t="n">
        <v>7.5</v>
      </c>
      <c r="F1565" s="7" t="n">
        <v>15.6</v>
      </c>
      <c r="G1565" s="5" t="inlineStr">
        <is>
          <t>⬆ Price Up</t>
        </is>
      </c>
      <c r="H1565" s="5" t="inlineStr">
        <is>
          <t>100%</t>
        </is>
      </c>
      <c r="I1565" s="5">
        <f>HYPERLINK("https://www.ebay.com/sch/261328/i.html?_dcat=261328&amp;_fsrp=1&amp;rt=nc&amp;_from=R40&amp;_nkw=2022%20Panini%20Prizm%20MIKE%20TROUT%20%23IL-10%20Illumination%20Blue%20Mojo%20%2F199%20Angels%20PSA%209&amp;_sacat=0&amp;_sop=15&amp;rt=nc&amp;LH_BIN=1", "Active")</f>
        <v/>
      </c>
      <c r="J1565" s="5">
        <f>HYPERLINK("https://www.ebay.com/sch/261328/i.html?_from=R40&amp;_nkw=2022%20Panini%20Prizm%20MIKE%20TROUT%20%23IL-10%20Illumination%20Blue%20Mojo%20%2F199%20Angels%20PSA%209&amp;_sacat=0&amp;LH_Sold=1&amp;LH_Complete=1&amp;_sop=13", "Completed")</f>
        <v/>
      </c>
      <c r="K1565" s="5" t="inlineStr">
        <is>
          <t>2022 Panini Prizm MIKE TROUT #IL-10 Illumination Blue Mojo /199 Angels PSA 9</t>
        </is>
      </c>
    </row>
    <row r="1566">
      <c r="A1566" s="5" t="inlineStr">
        <is>
          <t>WHATNOT-0003-00032-97661</t>
        </is>
      </c>
      <c r="B1566" s="5" t="inlineStr">
        <is>
          <t>2022 Topps Chrome JUDE BELLINGHAM UEFA Club Competitions #59-5 1959 Topps PSA 10</t>
        </is>
      </c>
      <c r="C1566" s="6" t="n">
        <v>155.69</v>
      </c>
      <c r="D1566" s="6" t="n">
        <v>163.19</v>
      </c>
      <c r="E1566" s="6" t="n">
        <v>7.5</v>
      </c>
      <c r="F1566" s="7" t="n">
        <v>4.8</v>
      </c>
      <c r="G1566" s="5" t="inlineStr">
        <is>
          <t>⬆ Price Up</t>
        </is>
      </c>
      <c r="H1566" s="5" t="inlineStr">
        <is>
          <t>100%</t>
        </is>
      </c>
      <c r="I1566" s="5">
        <f>HYPERLINK("https://www.ebay.com/sch/261328/i.html?_dcat=261328&amp;_fsrp=1&amp;rt=nc&amp;_from=R40&amp;_nkw=2022%20Topps%20Chrome%20JUDE%20BELLINGHAM%20UEFA%20Club%20Competitions%20%2359-5%201959%20Topps%20PSA%2010&amp;_sacat=0&amp;_sop=15&amp;rt=nc&amp;LH_BIN=1", "Active")</f>
        <v/>
      </c>
      <c r="J1566" s="5">
        <f>HYPERLINK("https://www.ebay.com/sch/261328/i.html?_from=R40&amp;_nkw=2022%20Topps%20Chrome%20JUDE%20BELLINGHAM%20UEFA%20Club%20Competitions%20%2359-5%201959%20Topps%20PSA%2010&amp;_sacat=0&amp;LH_Sold=1&amp;LH_Complete=1&amp;_sop=13", "Completed")</f>
        <v/>
      </c>
      <c r="K1566" s="5" t="inlineStr">
        <is>
          <t>2022 Topps Chrome JUDE BELLINGHAM UEFA Club Competitions #59-5 1959 Topps PSA 10</t>
        </is>
      </c>
    </row>
    <row r="1567">
      <c r="A1567" s="5" t="inlineStr">
        <is>
          <t>Whatnot_08_multi_06-28-26-00004-358593</t>
        </is>
      </c>
      <c r="B1567" s="5" t="inlineStr">
        <is>
          <t>2025 Panini PHOENIX CAM WARD #194 Silver Pyramids Prizm RC Titans Rookie</t>
        </is>
      </c>
      <c r="C1567" s="6" t="n">
        <v>4.49</v>
      </c>
      <c r="D1567" s="6" t="n">
        <v>5.29</v>
      </c>
      <c r="E1567" s="6" t="n">
        <v>0.8</v>
      </c>
      <c r="F1567" s="7" t="n">
        <v>17.8</v>
      </c>
      <c r="G1567" s="5" t="inlineStr">
        <is>
          <t>⬆ Price Up</t>
        </is>
      </c>
      <c r="H1567" s="5" t="inlineStr">
        <is>
          <t>100%</t>
        </is>
      </c>
      <c r="I1567" s="5">
        <f>HYPERLINK("https://www.ebay.com/sch/261328/i.html?_dcat=261328&amp;_fsrp=1&amp;rt=nc&amp;_from=R40&amp;_nkw=2025%20Panini%20PHOENIX%20CAM%20WARD%20%23194%20Silver%20Pyramids%20Prizm%20RC%20Titans%20Rookie&amp;_sacat=0&amp;_sop=15&amp;rt=nc&amp;LH_BIN=1", "Active")</f>
        <v/>
      </c>
      <c r="J1567" s="5">
        <f>HYPERLINK("https://www.ebay.com/sch/261328/i.html?_from=R40&amp;_nkw=2025%20Panini%20PHOENIX%20CAM%20WARD%20%23194%20Silver%20Pyramids%20Prizm%20RC%20Titans%20Rookie&amp;_sacat=0&amp;LH_Sold=1&amp;LH_Complete=1&amp;_sop=13", "Completed")</f>
        <v/>
      </c>
      <c r="K1567" s="5" t="inlineStr">
        <is>
          <t>2025 Panini PHOENIX CAM WARD #194 Silver Pyramids Prizm RC Titans Rookie</t>
        </is>
      </c>
    </row>
    <row r="1568">
      <c r="A1568" t="inlineStr">
        <is>
          <t>Whatnot_08_multi_06-28-26-00001-595397</t>
        </is>
      </c>
      <c r="B1568" t="inlineStr">
        <is>
          <t>2026 Topps Now MUNETAKA MURAKAMI #52 White Sox</t>
        </is>
      </c>
      <c r="C1568" s="14" t="n">
        <v>25.99</v>
      </c>
      <c r="D1568" s="14" t="n"/>
      <c r="E1568" s="14" t="inlineStr"/>
      <c r="F1568" s="15" t="inlineStr"/>
      <c r="G1568" t="inlineStr">
        <is>
          <t>? No price data</t>
        </is>
      </c>
      <c r="H1568" t="inlineStr">
        <is>
          <t>59%</t>
        </is>
      </c>
      <c r="I1568">
        <f>HYPERLINK("https://www.ebay.com/sch/261328/i.html?_dcat=261328&amp;_fsrp=1&amp;rt=nc&amp;_from=R40&amp;_nkw=2026%20Topps%20Now%20MUNETAKA%20MURAKAMI%20%2352%20White%20Sox&amp;_sacat=0&amp;_sop=15&amp;rt=nc&amp;LH_BIN=1", "Active")</f>
        <v/>
      </c>
      <c r="J1568">
        <f>HYPERLINK("https://www.ebay.com/sch/261328/i.html?_from=R40&amp;_nkw=2026%20Topps%20Now%20MUNETAKA%20MURAKAMI%20%2352%20White%20Sox&amp;_sacat=0&amp;LH_Sold=1&amp;LH_Complete=1&amp;_sop=13", "Completed")</f>
        <v/>
      </c>
      <c r="K1568" t="inlineStr">
        <is>
          <t>Munetaka Murakami White Sox 1st MLB Gand Slam vsAthletic 2026 Topps NOW #94 RC</t>
        </is>
      </c>
    </row>
    <row r="1569">
      <c r="A1569" s="2" t="inlineStr">
        <is>
          <t>Whatnot_08_multi_06-28-26-00006-556521</t>
        </is>
      </c>
      <c r="B1569" s="2" t="inlineStr">
        <is>
          <t>2024 Wild Card AUTOMANIA AFB Eagle Taulia Tagovailoa ROOKIE Auto 1/1 Atlanta RC</t>
        </is>
      </c>
      <c r="C1569" s="3" t="n">
        <v>25</v>
      </c>
      <c r="D1569" s="3" t="n">
        <v>2.49</v>
      </c>
      <c r="E1569" s="3" t="n">
        <v>-22.51</v>
      </c>
      <c r="F1569" s="4" t="n">
        <v>-90</v>
      </c>
      <c r="G1569" s="2" t="inlineStr">
        <is>
          <t>🔵 Floored $2.49 — free ship or $0.99 ship?</t>
        </is>
      </c>
      <c r="H1569" s="2" t="inlineStr"/>
      <c r="I1569" s="2">
        <f>HYPERLINK("https://www.ebay.com/sch/261328/i.html?_dcat=261328&amp;_fsrp=1&amp;rt=nc&amp;_from=R40&amp;_nkw=2024%20Wild%20Card%20AUTOMANIA%20AFB%20Eagle%20Taulia%20Tagovailoa%20ROOKIE%20Auto%201%2F1%20Atlanta%20RC&amp;_sacat=0&amp;_sop=15&amp;rt=nc&amp;LH_BIN=1", "Active")</f>
        <v/>
      </c>
      <c r="J1569" s="2">
        <f>HYPERLINK("https://www.ebay.com/sch/261328/i.html?_from=R40&amp;_nkw=2024%20Wild%20Card%20AUTOMANIA%20AFB%20Eagle%20Taulia%20Tagovailoa%20ROOKIE%20Auto%201%2F1%20Atlanta%20RC&amp;_sacat=0&amp;LH_Sold=1&amp;LH_Complete=1&amp;_sop=13", "Completed")</f>
        <v/>
      </c>
      <c r="K1569" s="2" t="inlineStr">
        <is>
          <t>No Close Result Found</t>
        </is>
      </c>
    </row>
    <row r="1570">
      <c r="A1570" s="11" t="inlineStr">
        <is>
          <t>Whatnot_08_multi_06-28-26-00005-955149</t>
        </is>
      </c>
      <c r="B1570" s="11" t="inlineStr">
        <is>
          <t>2024 Panini Select PATRICK MAHOMES II #33 Concourse Silver Prizm Die-Cut Chiefs</t>
        </is>
      </c>
      <c r="C1570" s="12" t="n">
        <v>4.99</v>
      </c>
      <c r="D1570" s="12" t="n">
        <v>3.39</v>
      </c>
      <c r="E1570" s="12" t="n">
        <v>-1.6</v>
      </c>
      <c r="F1570" s="13" t="n">
        <v>-32.1</v>
      </c>
      <c r="G1570" s="11" t="inlineStr">
        <is>
          <t>⬇ Price Down</t>
        </is>
      </c>
      <c r="H1570" s="11" t="inlineStr">
        <is>
          <t>85%</t>
        </is>
      </c>
      <c r="I1570" s="11">
        <f>HYPERLINK("https://www.ebay.com/sch/261328/i.html?_dcat=261328&amp;_fsrp=1&amp;rt=nc&amp;_from=R40&amp;_nkw=2024%20Panini%20Select%20PATRICK%20MAHOMES%20II%20%2333%20Concourse%20Silver%20Prizm%20Die-Cut%20Chiefs&amp;_sacat=0&amp;_sop=15&amp;rt=nc&amp;LH_BIN=1", "Active")</f>
        <v/>
      </c>
      <c r="J1570" s="11">
        <f>HYPERLINK("https://www.ebay.com/sch/261328/i.html?_from=R40&amp;_nkw=2024%20Panini%20Select%20PATRICK%20MAHOMES%20II%20%2333%20Concourse%20Silver%20Prizm%20Die-Cut%20Chiefs&amp;_sacat=0&amp;LH_Sold=1&amp;LH_Complete=1&amp;_sop=13", "Completed")</f>
        <v/>
      </c>
      <c r="K1570" s="11" t="inlineStr">
        <is>
          <t>2024 Panini Select Premier Patrick Mahomes II  #120 Silver Prizm Die Cut Chiefs</t>
        </is>
      </c>
    </row>
    <row r="1571">
      <c r="A1571" s="2" t="inlineStr">
        <is>
          <t>Whatnot_08_multi_06-28-26-00002-941619</t>
        </is>
      </c>
      <c r="B1571" s="2" t="inlineStr">
        <is>
          <t>2025 Panini PHOENIX TETAIROA MCMILLAN #5 Contours RC Panthers Rookie Football</t>
        </is>
      </c>
      <c r="C1571" s="3" t="n">
        <v>5.99</v>
      </c>
      <c r="D1571" s="3" t="n">
        <v>2.49</v>
      </c>
      <c r="E1571" s="3" t="n">
        <v>-3.5</v>
      </c>
      <c r="F1571" s="4" t="n">
        <v>-58.4</v>
      </c>
      <c r="G1571" s="2" t="inlineStr">
        <is>
          <t>🔵 Floored $2.49 — free ship or $0.99 ship?</t>
        </is>
      </c>
      <c r="H1571" s="2" t="inlineStr">
        <is>
          <t>85%</t>
        </is>
      </c>
      <c r="I1571" s="2">
        <f>HYPERLINK("https://www.ebay.com/sch/261328/i.html?_dcat=261328&amp;_fsrp=1&amp;rt=nc&amp;_from=R40&amp;_nkw=2025%20Panini%20PHOENIX%20TETAIROA%20MCMILLAN%20%235%20Contours%20RC%20Panthers%20Rookie%20Football&amp;_sacat=0&amp;_sop=15&amp;rt=nc&amp;LH_BIN=1", "Active")</f>
        <v/>
      </c>
      <c r="J1571" s="2">
        <f>HYPERLINK("https://www.ebay.com/sch/261328/i.html?_from=R40&amp;_nkw=2025%20Panini%20PHOENIX%20TETAIROA%20MCMILLAN%20%235%20Contours%20RC%20Panthers%20Rookie%20Football&amp;_sacat=0&amp;LH_Sold=1&amp;LH_Complete=1&amp;_sop=13", "Completed")</f>
        <v/>
      </c>
      <c r="K1571" s="2" t="inlineStr">
        <is>
          <t>2025 Panini Phoenix - TETAIROA McMILLAN RC - Contours - Panthers - BOGO HALF OFF</t>
        </is>
      </c>
    </row>
    <row r="1572">
      <c r="A1572" s="5" t="inlineStr">
        <is>
          <t>Clint_multi_-06-27-26-00002-036634</t>
        </is>
      </c>
      <c r="B1572" s="5" t="inlineStr">
        <is>
          <t>2025 Topps Finest TYLER SHOUGH #3 Green Refractor /75 RC Saints Rookie Football</t>
        </is>
      </c>
      <c r="C1572" s="6" t="n">
        <v>65.09</v>
      </c>
      <c r="D1572" s="6" t="n">
        <v>70.79000000000001</v>
      </c>
      <c r="E1572" s="6" t="n">
        <v>5.7</v>
      </c>
      <c r="F1572" s="7" t="n">
        <v>8.800000000000001</v>
      </c>
      <c r="G1572" s="5" t="inlineStr">
        <is>
          <t>⬆ Price Up</t>
        </is>
      </c>
      <c r="H1572" s="5" t="inlineStr">
        <is>
          <t>83%</t>
        </is>
      </c>
      <c r="I1572" s="5">
        <f>HYPERLINK("https://www.ebay.com/sch/261328/i.html?_dcat=261328&amp;_fsrp=1&amp;rt=nc&amp;_from=R40&amp;_nkw=2025%20Topps%20Finest%20TYLER%20SHOUGH%20%233%20Green%20Refractor%20%2F75%20RC%20Saints%20Rookie%20Football&amp;_sacat=0&amp;_sop=15&amp;rt=nc&amp;LH_BIN=1", "Active")</f>
        <v/>
      </c>
      <c r="J1572" s="5">
        <f>HYPERLINK("https://www.ebay.com/sch/261328/i.html?_from=R40&amp;_nkw=2025%20Topps%20Finest%20TYLER%20SHOUGH%20%233%20Green%20Refractor%20%2F75%20RC%20Saints%20Rookie%20Football&amp;_sacat=0&amp;LH_Sold=1&amp;LH_Complete=1&amp;_sop=13", "Completed")</f>
        <v/>
      </c>
      <c r="K1572" s="5" t="inlineStr">
        <is>
          <t>2025 Topps Finest Tyler Shough #3 Green /75 Saints (RC)</t>
        </is>
      </c>
    </row>
    <row r="1573">
      <c r="A1573" s="5" t="inlineStr">
        <is>
          <t>BBA-000100-00012-14198</t>
        </is>
      </c>
      <c r="B1573" s="5" t="inlineStr">
        <is>
          <t>2025 Topps Chrome STEPHEN CURRY #SF-1 Sleek Finishers Blue Ref /150 Basketball</t>
        </is>
      </c>
      <c r="C1573" s="6" t="n">
        <v>60.99</v>
      </c>
      <c r="D1573" s="6" t="n">
        <v>68.79000000000001</v>
      </c>
      <c r="E1573" s="6" t="n">
        <v>7.8</v>
      </c>
      <c r="F1573" s="7" t="n">
        <v>12.8</v>
      </c>
      <c r="G1573" s="5" t="inlineStr">
        <is>
          <t>⬆ Price Up</t>
        </is>
      </c>
      <c r="H1573" s="5" t="inlineStr">
        <is>
          <t>100%</t>
        </is>
      </c>
      <c r="I1573" s="5">
        <f>HYPERLINK("https://www.ebay.com/sch/261328/i.html?_dcat=261328&amp;_fsrp=1&amp;rt=nc&amp;_from=R40&amp;_nkw=2025%20Topps%20Chrome%20STEPHEN%20CURRY%20%23SF-1%20Sleek%20Finishers%20Blue%20Ref%20%2F150%20Basketball&amp;_sacat=0&amp;_sop=15&amp;rt=nc&amp;LH_BIN=1", "Active")</f>
        <v/>
      </c>
      <c r="J1573" s="5">
        <f>HYPERLINK("https://www.ebay.com/sch/261328/i.html?_from=R40&amp;_nkw=2025%20Topps%20Chrome%20STEPHEN%20CURRY%20%23SF-1%20Sleek%20Finishers%20Blue%20Ref%20%2F150%20Basketball&amp;_sacat=0&amp;LH_Sold=1&amp;LH_Complete=1&amp;_sop=13", "Completed")</f>
        <v/>
      </c>
      <c r="K1573" s="5" t="inlineStr">
        <is>
          <t>2025 Topps Chrome STEPHEN CURRY #SF-1 Sleek Finishers Blue Ref /150 Basketball</t>
        </is>
      </c>
    </row>
    <row r="1574">
      <c r="A1574" s="5" t="inlineStr">
        <is>
          <t>BB_Anthony_Marks_Whatnot_06-30-26-00004-235752</t>
        </is>
      </c>
      <c r="B1574" s="5" t="inlineStr">
        <is>
          <t>2023 Bowman Chrome Sapphire FRANCISCO ALVAREZ #35 Aqua /99 RC Mets Rookie</t>
        </is>
      </c>
      <c r="C1574" s="6" t="n">
        <v>9.99</v>
      </c>
      <c r="D1574" s="6" t="n">
        <v>11.09</v>
      </c>
      <c r="E1574" s="6" t="n">
        <v>1.1</v>
      </c>
      <c r="F1574" s="7" t="n">
        <v>11</v>
      </c>
      <c r="G1574" s="5" t="inlineStr">
        <is>
          <t>⬆ Price Up</t>
        </is>
      </c>
      <c r="H1574" s="5" t="inlineStr">
        <is>
          <t>100%</t>
        </is>
      </c>
      <c r="I1574" s="5">
        <f>HYPERLINK("https://www.ebay.com/sch/261328/i.html?_dcat=261328&amp;_fsrp=1&amp;rt=nc&amp;_from=R40&amp;_nkw=2023%20Bowman%20Chrome%20Sapphire%20FRANCISCO%20ALVAREZ%20%2335%20Aqua%20%2F99%20RC%20Mets%20Rookie&amp;_sacat=0&amp;_sop=15&amp;rt=nc&amp;LH_BIN=1", "Active")</f>
        <v/>
      </c>
      <c r="J1574" s="5">
        <f>HYPERLINK("https://www.ebay.com/sch/261328/i.html?_from=R40&amp;_nkw=2023%20Bowman%20Chrome%20Sapphire%20FRANCISCO%20ALVAREZ%20%2335%20Aqua%20%2F99%20RC%20Mets%20Rookie&amp;_sacat=0&amp;LH_Sold=1&amp;LH_Complete=1&amp;_sop=13", "Completed")</f>
        <v/>
      </c>
      <c r="K1574" s="5" t="inlineStr">
        <is>
          <t>2023 Bowman Chrome Sapphire FRANCISCO ALVAREZ #35 Aqua /99 RC Mets Rookie</t>
        </is>
      </c>
    </row>
    <row r="1575">
      <c r="A1575" s="5" t="inlineStr">
        <is>
          <t>BB_Anthony_Marks_Whatnot_06-30-26-00005-853276</t>
        </is>
      </c>
      <c r="B1575" s="5" t="inlineStr">
        <is>
          <t>2025 Bowman CHARLES MCADOO #BCP-150 Chrome Aqua X-Fractor /125 1st Prospect</t>
        </is>
      </c>
      <c r="C1575" s="6" t="n">
        <v>8</v>
      </c>
      <c r="D1575" s="6" t="n">
        <v>9.19</v>
      </c>
      <c r="E1575" s="6" t="n">
        <v>1.19</v>
      </c>
      <c r="F1575" s="7" t="n">
        <v>14.9</v>
      </c>
      <c r="G1575" s="5" t="inlineStr">
        <is>
          <t>⬆ Price Up</t>
        </is>
      </c>
      <c r="H1575" s="5" t="inlineStr">
        <is>
          <t>100%</t>
        </is>
      </c>
      <c r="I1575" s="5">
        <f>HYPERLINK("https://www.ebay.com/sch/261328/i.html?_dcat=261328&amp;_fsrp=1&amp;rt=nc&amp;_from=R40&amp;_nkw=2025%20Bowman%20CHARLES%20MCADOO%20%23BCP-150%20Chrome%20Aqua%20X-Fractor%20%2F125%201st%20Prospect&amp;_sacat=0&amp;_sop=15&amp;rt=nc&amp;LH_BIN=1", "Active")</f>
        <v/>
      </c>
      <c r="J1575" s="5">
        <f>HYPERLINK("https://www.ebay.com/sch/261328/i.html?_from=R40&amp;_nkw=2025%20Bowman%20CHARLES%20MCADOO%20%23BCP-150%20Chrome%20Aqua%20X-Fractor%20%2F125%201st%20Prospect&amp;_sacat=0&amp;LH_Sold=1&amp;LH_Complete=1&amp;_sop=13", "Completed")</f>
        <v/>
      </c>
      <c r="K1575" s="5" t="inlineStr">
        <is>
          <t>2025 Bowman CHARLES MCADOO #BCP-150 Chrome Aqua X-Fractor /125 1st Prospect</t>
        </is>
      </c>
    </row>
    <row r="1576">
      <c r="A1576" s="5" t="inlineStr">
        <is>
          <t>BB_Anthony_Marks_Whatnot_06-30-26-00003-607712</t>
        </is>
      </c>
      <c r="B1576" s="5" t="inlineStr">
        <is>
          <t>2025 Bowman Chrome MARCELO MAYER #39 Fuchsia Wave Ref /299 RC Red Sox Rookie</t>
        </is>
      </c>
      <c r="C1576" s="6" t="n">
        <v>9.99</v>
      </c>
      <c r="D1576" s="6" t="n">
        <v>11.09</v>
      </c>
      <c r="E1576" s="6" t="n">
        <v>1.1</v>
      </c>
      <c r="F1576" s="7" t="n">
        <v>11</v>
      </c>
      <c r="G1576" s="5" t="inlineStr">
        <is>
          <t>⬆ Price Up</t>
        </is>
      </c>
      <c r="H1576" s="5" t="inlineStr">
        <is>
          <t>100%</t>
        </is>
      </c>
      <c r="I1576" s="5">
        <f>HYPERLINK("https://www.ebay.com/sch/261328/i.html?_dcat=261328&amp;_fsrp=1&amp;rt=nc&amp;_from=R40&amp;_nkw=2025%20Bowman%20Chrome%20MARCELO%20MAYER%20%2339%20Fuchsia%20Wave%20Ref%20%2F299%20RC%20Red%20Sox%20Rookie&amp;_sacat=0&amp;_sop=15&amp;rt=nc&amp;LH_BIN=1", "Active")</f>
        <v/>
      </c>
      <c r="J1576" s="5">
        <f>HYPERLINK("https://www.ebay.com/sch/261328/i.html?_from=R40&amp;_nkw=2025%20Bowman%20Chrome%20MARCELO%20MAYER%20%2339%20Fuchsia%20Wave%20Ref%20%2F299%20RC%20Red%20Sox%20Rookie&amp;_sacat=0&amp;LH_Sold=1&amp;LH_Complete=1&amp;_sop=13", "Completed")</f>
        <v/>
      </c>
      <c r="K1576" s="5" t="inlineStr">
        <is>
          <t>2025 Bowman Chrome MARCELO MAYER #39 Fuchsia Wave Ref /299 RC Red Sox Rookie</t>
        </is>
      </c>
    </row>
    <row r="1577">
      <c r="A1577" s="5" t="inlineStr">
        <is>
          <t>BB_Anthony_Marks_Whatnot_06-30-26-00006-733999</t>
        </is>
      </c>
      <c r="B1577" s="5" t="inlineStr">
        <is>
          <t>2026 Topps Series 1 CAM SCHLITTLER #91R-CSC 1991 Relic RC Yankees Rookie</t>
        </is>
      </c>
      <c r="C1577" s="6" t="n">
        <v>35.29</v>
      </c>
      <c r="D1577" s="6" t="n">
        <v>37.19</v>
      </c>
      <c r="E1577" s="6" t="n">
        <v>1.9</v>
      </c>
      <c r="F1577" s="7" t="n">
        <v>5.4</v>
      </c>
      <c r="G1577" s="5" t="inlineStr">
        <is>
          <t>⬆ Price Up</t>
        </is>
      </c>
      <c r="H1577" s="5" t="inlineStr">
        <is>
          <t>76%</t>
        </is>
      </c>
      <c r="I1577" s="5">
        <f>HYPERLINK("https://www.ebay.com/sch/261328/i.html?_dcat=261328&amp;_fsrp=1&amp;rt=nc&amp;_from=R40&amp;_nkw=2026%20Topps%20Series%201%20CAM%20SCHLITTLER%20%2391R-CSC%201991%20Relic%20RC%20Yankees%20Rookie&amp;_sacat=0&amp;_sop=15&amp;rt=nc&amp;LH_BIN=1", "Active")</f>
        <v/>
      </c>
      <c r="J1577" s="5">
        <f>HYPERLINK("https://www.ebay.com/sch/261328/i.html?_from=R40&amp;_nkw=2026%20Topps%20Series%201%20CAM%20SCHLITTLER%20%2391R-CSC%201991%20Relic%20RC%20Yankees%20Rookie&amp;_sacat=0&amp;LH_Sold=1&amp;LH_Complete=1&amp;_sop=13", "Completed")</f>
        <v/>
      </c>
      <c r="K1577" s="5" t="inlineStr">
        <is>
          <t>Topps 2026 1991 Relics Cam Schlittler RC Memorabilia Pin Stripe Yankees #91R-CSC</t>
        </is>
      </c>
    </row>
    <row r="1578">
      <c r="A1578" s="5" t="inlineStr">
        <is>
          <t>BAS-002269-ng98r</t>
        </is>
      </c>
      <c r="B1578" s="5" t="inlineStr">
        <is>
          <t>2024 Topps Now BOBBY WITT JR. #778 Kansas City Royals</t>
        </is>
      </c>
      <c r="C1578" s="6" t="n">
        <v>3.99</v>
      </c>
      <c r="D1578" s="6" t="n">
        <v>5.19</v>
      </c>
      <c r="E1578" s="6" t="n">
        <v>1.2</v>
      </c>
      <c r="F1578" s="7" t="n">
        <v>30.1</v>
      </c>
      <c r="G1578" s="5" t="inlineStr">
        <is>
          <t>⬆ Price Up</t>
        </is>
      </c>
      <c r="H1578" s="5" t="inlineStr">
        <is>
          <t>83%</t>
        </is>
      </c>
      <c r="I1578" s="5">
        <f>HYPERLINK("https://www.ebay.com/sch/261328/i.html?_dcat=261328&amp;_fsrp=1&amp;rt=nc&amp;_from=R40&amp;_nkw=2024%20Topps%20Now%20BOBBY%20WITT%20JR.%20%23778%20Kansas%20City%20Royals&amp;_sacat=0&amp;_sop=15&amp;rt=nc&amp;LH_BIN=1", "Active")</f>
        <v/>
      </c>
      <c r="J1578" s="5">
        <f>HYPERLINK("https://www.ebay.com/sch/261328/i.html?_from=R40&amp;_nkw=2024%20Topps%20Now%20BOBBY%20WITT%20JR.%20%23778%20Kansas%20City%20Royals&amp;_sacat=0&amp;LH_Sold=1&amp;LH_Complete=1&amp;_sop=13", "Completed")</f>
        <v/>
      </c>
      <c r="K1578" s="5" t="inlineStr">
        <is>
          <t>2024 Topps Now #778 Bobby Witt Jr.</t>
        </is>
      </c>
    </row>
    <row r="1579">
      <c r="A1579" s="11" t="inlineStr">
        <is>
          <t>Baseball_-_Rip_-_07-02-26-00001-677212</t>
        </is>
      </c>
      <c r="B1579" s="11" t="inlineStr">
        <is>
          <t>2025 Bowman's Best Leo De Vries #TP-26 Top Prospects Purple Lazer Refractor /250</t>
        </is>
      </c>
      <c r="C1579" s="12" t="n">
        <v>10.89</v>
      </c>
      <c r="D1579" s="12" t="n">
        <v>8.09</v>
      </c>
      <c r="E1579" s="12" t="n">
        <v>-2.8</v>
      </c>
      <c r="F1579" s="13" t="n">
        <v>-25.7</v>
      </c>
      <c r="G1579" s="11" t="inlineStr">
        <is>
          <t>⬇ Price Down</t>
        </is>
      </c>
      <c r="H1579" s="11" t="inlineStr">
        <is>
          <t>88%</t>
        </is>
      </c>
      <c r="I1579" s="11">
        <f>HYPERLINK("https://www.ebay.com/sch/261328/i.html?_dcat=261328&amp;_fsrp=1&amp;rt=nc&amp;_from=R40&amp;_nkw=2025%20Bowman's%20Best%20Leo%20De%20Vries%20%23TP-26%20Top%20Prospects%20Purple%20Lazer%20Refractor%20%2F250&amp;_sacat=0&amp;_sop=15&amp;rt=nc&amp;LH_BIN=1", "Active")</f>
        <v/>
      </c>
      <c r="J1579" s="11">
        <f>HYPERLINK("https://www.ebay.com/sch/261328/i.html?_from=R40&amp;_nkw=2025%20Bowman's%20Best%20Leo%20De%20Vries%20%23TP-26%20Top%20Prospects%20Purple%20Lazer%20Refractor%20%2F250&amp;_sacat=0&amp;LH_Sold=1&amp;LH_Complete=1&amp;_sop=13", "Completed")</f>
        <v/>
      </c>
      <c r="K1579" s="11" t="inlineStr">
        <is>
          <t>2025 Bowman's Best - Top Prospects Leo De Vries #TP-26 Purple Lazer Refractor...</t>
        </is>
      </c>
    </row>
    <row r="1580">
      <c r="A1580" s="2" t="inlineStr">
        <is>
          <t>RBBB5-0001-00142-25202</t>
        </is>
      </c>
      <c r="B1580" s="2" t="inlineStr">
        <is>
          <t>2025 Bowman Chrome CRIS RODRIGUEZ #BCP-250 1st Prospect Tigers</t>
        </is>
      </c>
      <c r="C1580" s="3" t="n">
        <v>2.99</v>
      </c>
      <c r="D1580" s="3" t="n">
        <v>2.49</v>
      </c>
      <c r="E1580" s="3" t="n">
        <v>-0.5</v>
      </c>
      <c r="F1580" s="4" t="n">
        <v>-16.7</v>
      </c>
      <c r="G1580" s="2" t="inlineStr">
        <is>
          <t>🔵 Floored $2.49 — free ship or $0.99 ship?</t>
        </is>
      </c>
      <c r="H1580" s="2" t="inlineStr">
        <is>
          <t>87%</t>
        </is>
      </c>
      <c r="I1580" s="2">
        <f>HYPERLINK("https://www.ebay.com/sch/261328/i.html?_dcat=261328&amp;_fsrp=1&amp;rt=nc&amp;_from=R40&amp;_nkw=2025%20Bowman%20Chrome%20CRIS%20RODRIGUEZ%20%23BCP-250%201st%20Prospect%20Tigers&amp;_sacat=0&amp;_sop=15&amp;rt=nc&amp;LH_BIN=1", "Active")</f>
        <v/>
      </c>
      <c r="J1580" s="2">
        <f>HYPERLINK("https://www.ebay.com/sch/261328/i.html?_from=R40&amp;_nkw=2025%20Bowman%20Chrome%20CRIS%20RODRIGUEZ%20%23BCP-250%201st%20Prospect%20Tigers&amp;_sacat=0&amp;LH_Sold=1&amp;LH_Complete=1&amp;_sop=13", "Completed")</f>
        <v/>
      </c>
      <c r="K1580" s="2" t="inlineStr">
        <is>
          <t>2025 Bowman Chrome - Cris Rodriguez 1st Bowman #BCP-250 Tigers Prospect</t>
        </is>
      </c>
    </row>
    <row r="1581">
      <c r="A1581" s="5" t="inlineStr">
        <is>
          <t>EBAYRE-0001-00047-00801</t>
        </is>
      </c>
      <c r="B1581" s="5" t="inlineStr">
        <is>
          <t>PETE CROW-ARMSTRONG 2026 Topps Titans Of The Game #TOG-13 Cubs Baseball MLB</t>
        </is>
      </c>
      <c r="C1581" s="6" t="n">
        <v>1.99</v>
      </c>
      <c r="D1581" s="6" t="n">
        <v>2.49</v>
      </c>
      <c r="E1581" s="6" t="n">
        <v>0.5</v>
      </c>
      <c r="F1581" s="7" t="n">
        <v>25.1</v>
      </c>
      <c r="G1581" s="5" t="inlineStr">
        <is>
          <t>⬆ Price Up</t>
        </is>
      </c>
      <c r="H1581" s="5" t="inlineStr">
        <is>
          <t>69%</t>
        </is>
      </c>
      <c r="I1581" s="5">
        <f>HYPERLINK("https://www.ebay.com/sch/261328/i.html?_dcat=261328&amp;_fsrp=1&amp;rt=nc&amp;_from=R40&amp;_nkw=PETE%20CROW-ARMSTRONG%202026%20Topps%20Titans%20Of%20The%20Game%20%23TOG-13%20Cubs%20Baseball%20MLB&amp;_sacat=0&amp;_sop=15&amp;rt=nc&amp;LH_BIN=1", "Active")</f>
        <v/>
      </c>
      <c r="J1581" s="5">
        <f>HYPERLINK("https://www.ebay.com/sch/261328/i.html?_from=R40&amp;_nkw=PETE%20CROW-ARMSTRONG%202026%20Topps%20Titans%20Of%20The%20Game%20%23TOG-13%20Cubs%20Baseball%20MLB&amp;_sacat=0&amp;LH_Sold=1&amp;LH_Complete=1&amp;_sop=13", "Completed")</f>
        <v/>
      </c>
      <c r="K1581" s="5" t="inlineStr">
        <is>
          <t>2026 Topps Series 1 Titans of the Game TOG Pick Your Card MLB Complete Your Set</t>
        </is>
      </c>
    </row>
    <row r="1582">
      <c r="A1582" s="5" t="inlineStr">
        <is>
          <t>BA-000243-rck47</t>
        </is>
      </c>
      <c r="B1582" s="5" t="inlineStr">
        <is>
          <t>PETE CROW-ARMSTRONG 2024 Topps Stars of MLB Chrome #CSMLB-25 Cubs Baseball MLB</t>
        </is>
      </c>
      <c r="C1582" s="6" t="n">
        <v>1.99</v>
      </c>
      <c r="D1582" s="6" t="n">
        <v>2.49</v>
      </c>
      <c r="E1582" s="6" t="n">
        <v>0.5</v>
      </c>
      <c r="F1582" s="7" t="n">
        <v>25.1</v>
      </c>
      <c r="G1582" s="5" t="inlineStr">
        <is>
          <t>⬆ Price Up</t>
        </is>
      </c>
      <c r="H1582" s="5" t="inlineStr">
        <is>
          <t>73%</t>
        </is>
      </c>
      <c r="I1582" s="5">
        <f>HYPERLINK("https://www.ebay.com/sch/261328/i.html?_dcat=261328&amp;_fsrp=1&amp;rt=nc&amp;_from=R40&amp;_nkw=PETE%20CROW-ARMSTRONG%202024%20Topps%20Stars%20of%20MLB%20Chrome%20%23CSMLB-25%20Cubs%20Baseball%20MLB&amp;_sacat=0&amp;_sop=15&amp;rt=nc&amp;LH_BIN=1", "Active")</f>
        <v/>
      </c>
      <c r="J1582" s="5">
        <f>HYPERLINK("https://www.ebay.com/sch/261328/i.html?_from=R40&amp;_nkw=PETE%20CROW-ARMSTRONG%202024%20Topps%20Stars%20of%20MLB%20Chrome%20%23CSMLB-25%20Cubs%20Baseball%20MLB&amp;_sacat=0&amp;LH_Sold=1&amp;LH_Complete=1&amp;_sop=13", "Completed")</f>
        <v/>
      </c>
      <c r="K1582" s="5" t="inlineStr">
        <is>
          <t>2024 Topps Chrome Stars of MLB #CSMLB-25 Pete Crow-Armstrong RC Chicago Cubs</t>
        </is>
      </c>
    </row>
    <row r="1583">
      <c r="A1583" s="11" t="inlineStr">
        <is>
          <t>TY-KS000297-kamrv</t>
        </is>
      </c>
      <c r="B1583" s="11" t="inlineStr">
        <is>
          <t>PETE CROW-ARMSTRONG 2024 Bowman #RI-4 Rising Infernos Cubs RC Rookie Baseball</t>
        </is>
      </c>
      <c r="C1583" s="12" t="n">
        <v>10.99</v>
      </c>
      <c r="D1583" s="12" t="n">
        <v>6.19</v>
      </c>
      <c r="E1583" s="12" t="n">
        <v>-4.8</v>
      </c>
      <c r="F1583" s="13" t="n">
        <v>-43.7</v>
      </c>
      <c r="G1583" s="11" t="inlineStr">
        <is>
          <t>⬇ Price Down</t>
        </is>
      </c>
      <c r="H1583" s="11" t="inlineStr">
        <is>
          <t>78%</t>
        </is>
      </c>
      <c r="I1583" s="11">
        <f>HYPERLINK("https://www.ebay.com/sch/261328/i.html?_dcat=261328&amp;_fsrp=1&amp;rt=nc&amp;_from=R40&amp;_nkw=PETE%20CROW-ARMSTRONG%202024%20Bowman%20%23RI-4%20Rising%20Infernos%20Cubs%20RC%20Rookie%20Baseball&amp;_sacat=0&amp;_sop=15&amp;rt=nc&amp;LH_BIN=1", "Active")</f>
        <v/>
      </c>
      <c r="J1583" s="11">
        <f>HYPERLINK("https://www.ebay.com/sch/261328/i.html?_from=R40&amp;_nkw=PETE%20CROW-ARMSTRONG%202024%20Bowman%20%23RI-4%20Rising%20Infernos%20Cubs%20RC%20Rookie%20Baseball&amp;_sacat=0&amp;LH_Sold=1&amp;LH_Complete=1&amp;_sop=13", "Completed")</f>
        <v/>
      </c>
      <c r="K1583" s="11" t="inlineStr">
        <is>
          <t>2024 Bowman Chrome Rising Infernos Pete Crow-Armstrong RC Rookie #RI-4 Cubs</t>
        </is>
      </c>
    </row>
    <row r="1584">
      <c r="A1584" s="5" t="inlineStr">
        <is>
          <t>BC-000097-rrqk0</t>
        </is>
      </c>
      <c r="B1584" s="5" t="inlineStr">
        <is>
          <t>PETE CROW-ARMSTRONG SEIYA SUZUKI 2026 Topps BFFS #126 Cubs Baseball MLB</t>
        </is>
      </c>
      <c r="C1584" s="6" t="n">
        <v>1.99</v>
      </c>
      <c r="D1584" s="6" t="n">
        <v>2.49</v>
      </c>
      <c r="E1584" s="6" t="n">
        <v>0.5</v>
      </c>
      <c r="F1584" s="7" t="n">
        <v>25.1</v>
      </c>
      <c r="G1584" s="5" t="inlineStr">
        <is>
          <t>⬆ Price Up</t>
        </is>
      </c>
      <c r="H1584" s="5" t="inlineStr">
        <is>
          <t>64%</t>
        </is>
      </c>
      <c r="I1584" s="5">
        <f>HYPERLINK("https://www.ebay.com/sch/261328/i.html?_dcat=261328&amp;_fsrp=1&amp;rt=nc&amp;_from=R40&amp;_nkw=PETE%20CROW-ARMSTRONG%20SEIYA%20SUZUKI%202026%20Topps%20BFFS%20%23126%20Cubs%20Baseball%20MLB&amp;_sacat=0&amp;_sop=15&amp;rt=nc&amp;LH_BIN=1", "Active")</f>
        <v/>
      </c>
      <c r="J1584" s="5">
        <f>HYPERLINK("https://www.ebay.com/sch/261328/i.html?_from=R40&amp;_nkw=PETE%20CROW-ARMSTRONG%20SEIYA%20SUZUKI%202026%20Topps%20BFFS%20%23126%20Cubs%20Baseball%20MLB&amp;_sacat=0&amp;LH_Sold=1&amp;LH_Complete=1&amp;_sop=13", "Completed")</f>
        <v/>
      </c>
      <c r="K1584" s="5" t="inlineStr">
        <is>
          <t>2026 Topps #126 Baseball BFFs Chicago Cubs MLB Baseball</t>
        </is>
      </c>
    </row>
    <row r="1585">
      <c r="A1585" s="5" t="inlineStr">
        <is>
          <t>BC-000088-rrqjr</t>
        </is>
      </c>
      <c r="B1585" s="5" t="inlineStr">
        <is>
          <t>PETE CROW-ARMSTRONG 2026 Topps #196 Diamante Foil Chicago Cubs Baseball MLB</t>
        </is>
      </c>
      <c r="C1585" s="6" t="n">
        <v>2.99</v>
      </c>
      <c r="D1585" s="6" t="n">
        <v>4.29</v>
      </c>
      <c r="E1585" s="6" t="n">
        <v>1.3</v>
      </c>
      <c r="F1585" s="7" t="n">
        <v>43.5</v>
      </c>
      <c r="G1585" s="5" t="inlineStr">
        <is>
          <t>⬆ Price Up</t>
        </is>
      </c>
      <c r="H1585" s="5" t="inlineStr">
        <is>
          <t>86%</t>
        </is>
      </c>
      <c r="I1585" s="5">
        <f>HYPERLINK("https://www.ebay.com/sch/261328/i.html?_dcat=261328&amp;_fsrp=1&amp;rt=nc&amp;_from=R40&amp;_nkw=PETE%20CROW-ARMSTRONG%202026%20Topps%20%23196%20Diamante%20Foil%20Chicago%20Cubs%20Baseball%20MLB&amp;_sacat=0&amp;_sop=15&amp;rt=nc&amp;LH_BIN=1", "Active")</f>
        <v/>
      </c>
      <c r="J1585" s="5">
        <f>HYPERLINK("https://www.ebay.com/sch/261328/i.html?_from=R40&amp;_nkw=PETE%20CROW-ARMSTRONG%202026%20Topps%20%23196%20Diamante%20Foil%20Chicago%20Cubs%20Baseball%20MLB&amp;_sacat=0&amp;LH_Sold=1&amp;LH_Complete=1&amp;_sop=13", "Completed")</f>
        <v/>
      </c>
      <c r="K1585" s="5" t="inlineStr">
        <is>
          <t>Pete Crow Armstrong 2026 Topps Series 1 Diamante Foil Chicago Cubs #196 Card MLB</t>
        </is>
      </c>
    </row>
    <row r="1586">
      <c r="A1586" s="2" t="inlineStr">
        <is>
          <t>BB-Corbin_-07-03-26_$145-00001-960242</t>
        </is>
      </c>
      <c r="B1586" s="2" t="inlineStr">
        <is>
          <t>2025 Bowman Chrome JJ Wetherholt #VIP-18 VIP Mini Diamond /150 Cardinals RC</t>
        </is>
      </c>
      <c r="C1586" s="3" t="n">
        <v>42.99</v>
      </c>
      <c r="D1586" s="3" t="n">
        <v>2.49</v>
      </c>
      <c r="E1586" s="3" t="n">
        <v>-40.5</v>
      </c>
      <c r="F1586" s="4" t="n">
        <v>-94.2</v>
      </c>
      <c r="G1586" s="2" t="inlineStr">
        <is>
          <t>🔵 Floored $2.49 — free ship or $0.99 ship?</t>
        </is>
      </c>
      <c r="H1586" s="2" t="inlineStr"/>
      <c r="I1586" s="2">
        <f>HYPERLINK("https://www.ebay.com/sch/261328/i.html?_dcat=261328&amp;_fsrp=1&amp;rt=nc&amp;_from=R40&amp;_nkw=2025%20Bowman%20Chrome%20JJ%20Wetherholt%20%23VIP-18%20VIP%20Mini%20Diamond%20%2F150%20Cardinals%20RC&amp;_sacat=0&amp;_sop=15&amp;rt=nc&amp;LH_BIN=1", "Active")</f>
        <v/>
      </c>
      <c r="J1586" s="2">
        <f>HYPERLINK("https://www.ebay.com/sch/261328/i.html?_from=R40&amp;_nkw=2025%20Bowman%20Chrome%20JJ%20Wetherholt%20%23VIP-18%20VIP%20Mini%20Diamond%20%2F150%20Cardinals%20RC&amp;_sacat=0&amp;LH_Sold=1&amp;LH_Complete=1&amp;_sop=13", "Completed")</f>
        <v/>
      </c>
      <c r="K1586" s="2" t="inlineStr">
        <is>
          <t>No Close Result Found</t>
        </is>
      </c>
    </row>
    <row r="1587">
      <c r="A1587" s="11" t="inlineStr">
        <is>
          <t>BB-Corbin_-07-03-26_$145-00002-717337</t>
        </is>
      </c>
      <c r="B1587" s="11" t="inlineStr">
        <is>
          <t>2022 Panini Prizm Draft Picks Jacob Misiorowski #PDP63 Neon Pink Velocity</t>
        </is>
      </c>
      <c r="C1587" s="12" t="n">
        <v>22.99</v>
      </c>
      <c r="D1587" s="12" t="n">
        <v>16.79</v>
      </c>
      <c r="E1587" s="12" t="n">
        <v>-6.2</v>
      </c>
      <c r="F1587" s="13" t="n">
        <v>-27</v>
      </c>
      <c r="G1587" s="11" t="inlineStr">
        <is>
          <t>⬇ Price Down</t>
        </is>
      </c>
      <c r="H1587" s="11" t="inlineStr">
        <is>
          <t>89%</t>
        </is>
      </c>
      <c r="I1587" s="11">
        <f>HYPERLINK("https://www.ebay.com/sch/261328/i.html?_dcat=261328&amp;_fsrp=1&amp;rt=nc&amp;_from=R40&amp;_nkw=2022%20Panini%20Prizm%20Draft%20Picks%20Jacob%20Misiorowski%20%23PDP63%20Neon%20Pink%20Velocity&amp;_sacat=0&amp;_sop=15&amp;rt=nc&amp;LH_BIN=1", "Active")</f>
        <v/>
      </c>
      <c r="J1587" s="11">
        <f>HYPERLINK("https://www.ebay.com/sch/261328/i.html?_from=R40&amp;_nkw=2022%20Panini%20Prizm%20Draft%20Picks%20Jacob%20Misiorowski%20%23PDP63%20Neon%20Pink%20Velocity&amp;_sacat=0&amp;LH_Sold=1&amp;LH_Complete=1&amp;_sop=13", "Completed")</f>
        <v/>
      </c>
      <c r="K1587" s="11" t="inlineStr">
        <is>
          <t>2022 Panini Prizm Draft Picks - Jacob Misiorowski #PDP63 Neon Pink Velocity</t>
        </is>
      </c>
    </row>
    <row r="1588">
      <c r="A1588" s="11" t="inlineStr">
        <is>
          <t>BB-Corbin_-07-03-26_$145-00005-488888</t>
        </is>
      </c>
      <c r="B1588" s="11" t="inlineStr">
        <is>
          <t>2026 Bowman SHOHEI OHTANI #BST-6 Sterling Chrome Dodgers</t>
        </is>
      </c>
      <c r="C1588" s="12" t="n">
        <v>13.99</v>
      </c>
      <c r="D1588" s="12" t="n">
        <v>6.59</v>
      </c>
      <c r="E1588" s="12" t="n">
        <v>-7.4</v>
      </c>
      <c r="F1588" s="13" t="n">
        <v>-52.9</v>
      </c>
      <c r="G1588" s="11" t="inlineStr">
        <is>
          <t>⬇ Price Down</t>
        </is>
      </c>
      <c r="H1588" s="11" t="inlineStr">
        <is>
          <t>66%</t>
        </is>
      </c>
      <c r="I1588" s="11">
        <f>HYPERLINK("https://www.ebay.com/sch/261328/i.html?_dcat=261328&amp;_fsrp=1&amp;rt=nc&amp;_from=R40&amp;_nkw=2026%20Bowman%20SHOHEI%20OHTANI%20%23BST-6%20Sterling%20Chrome%20Dodgers&amp;_sacat=0&amp;_sop=15&amp;rt=nc&amp;LH_BIN=1", "Active")</f>
        <v/>
      </c>
      <c r="J1588" s="11">
        <f>HYPERLINK("https://www.ebay.com/sch/261328/i.html?_from=R40&amp;_nkw=2026%20Bowman%20SHOHEI%20OHTANI%20%23BST-6%20Sterling%20Chrome%20Dodgers&amp;_sacat=0&amp;LH_Sold=1&amp;LH_Complete=1&amp;_sop=13", "Completed")</f>
        <v/>
      </c>
      <c r="K1588" s="11" t="inlineStr">
        <is>
          <t>2026 Bowman Sterling Chrome Insert PICK YOUR CARD / COMPLETE YOUR SET</t>
        </is>
      </c>
    </row>
    <row r="1589">
      <c r="A1589" s="11" t="inlineStr">
        <is>
          <t>BB-070326-0001-00001-93182</t>
        </is>
      </c>
      <c r="B1589" s="11" t="inlineStr">
        <is>
          <t>2025 Panini Donruss Optic Jaxson Dart #273 Rated Rookie Purple Shock Prizm</t>
        </is>
      </c>
      <c r="C1589" s="12" t="n">
        <v>14.99</v>
      </c>
      <c r="D1589" s="12" t="n">
        <v>12.49</v>
      </c>
      <c r="E1589" s="12" t="n">
        <v>-2.5</v>
      </c>
      <c r="F1589" s="13" t="n">
        <v>-16.7</v>
      </c>
      <c r="G1589" s="11" t="inlineStr">
        <is>
          <t>⬇ Price Down</t>
        </is>
      </c>
      <c r="H1589" s="11" t="inlineStr">
        <is>
          <t>89%</t>
        </is>
      </c>
      <c r="I1589" s="11">
        <f>HYPERLINK("https://www.ebay.com/sch/261328/i.html?_dcat=261328&amp;_fsrp=1&amp;rt=nc&amp;_from=R40&amp;_nkw=2025%20Panini%20Donruss%20Optic%20Jaxson%20Dart%20%23273%20Rated%20Rookie%20Purple%20Shock%20Prizm&amp;_sacat=0&amp;_sop=15&amp;rt=nc&amp;LH_BIN=1", "Active")</f>
        <v/>
      </c>
      <c r="J1589" s="11">
        <f>HYPERLINK("https://www.ebay.com/sch/261328/i.html?_from=R40&amp;_nkw=2025%20Panini%20Donruss%20Optic%20Jaxson%20Dart%20%23273%20Rated%20Rookie%20Purple%20Shock%20Prizm&amp;_sacat=0&amp;LH_Sold=1&amp;LH_Complete=1&amp;_sop=13", "Completed")</f>
        <v/>
      </c>
      <c r="K1589" s="11" t="inlineStr">
        <is>
          <t>2025 Panini Donruss Optic - Rated Rookie Jaxson Dart #273 Purple Shock Prizm(RC)</t>
        </is>
      </c>
    </row>
    <row r="1590">
      <c r="A1590" s="11" t="inlineStr">
        <is>
          <t>BB-070326-0002</t>
        </is>
      </c>
      <c r="B1590" s="11" t="inlineStr">
        <is>
          <t>2020 Topps Chrome Update SHOHEI OHTANI #DNC-18 Decade's Next Angels</t>
        </is>
      </c>
      <c r="C1590" s="12" t="n">
        <v>24.99</v>
      </c>
      <c r="D1590" s="12" t="n">
        <v>19.19</v>
      </c>
      <c r="E1590" s="12" t="n">
        <v>-5.8</v>
      </c>
      <c r="F1590" s="13" t="n">
        <v>-23.2</v>
      </c>
      <c r="G1590" s="11" t="inlineStr">
        <is>
          <t>⬇ Price Down</t>
        </is>
      </c>
      <c r="H1590" s="11" t="inlineStr">
        <is>
          <t>90%</t>
        </is>
      </c>
      <c r="I1590" s="11">
        <f>HYPERLINK("https://www.ebay.com/sch/261328/i.html?_dcat=261328&amp;_fsrp=1&amp;rt=nc&amp;_from=R40&amp;_nkw=2020%20Topps%20Chrome%20Update%20SHOHEI%20OHTANI%20%23DNC-18%20Decade's%20Next%20Angels&amp;_sacat=0&amp;_sop=15&amp;rt=nc&amp;LH_BIN=1", "Active")</f>
        <v/>
      </c>
      <c r="J1590" s="11">
        <f>HYPERLINK("https://www.ebay.com/sch/261328/i.html?_from=R40&amp;_nkw=2020%20Topps%20Chrome%20Update%20SHOHEI%20OHTANI%20%23DNC-18%20Decade's%20Next%20Angels&amp;_sacat=0&amp;LH_Sold=1&amp;LH_Complete=1&amp;_sop=13", "Completed")</f>
        <v/>
      </c>
      <c r="K1590" s="11" t="inlineStr">
        <is>
          <t>2020 Topps Chrome Update Shohei Ohtani Decade's Next Angels DNC-18</t>
        </is>
      </c>
    </row>
    <row r="1591">
      <c r="A1591" s="11" t="inlineStr">
        <is>
          <t>BB-070326-0004</t>
        </is>
      </c>
      <c r="B1591" s="11" t="inlineStr">
        <is>
          <t>2025-26 Bowman VICTOR WEMBANYAMA #BCV-143 Chrome Mojo Refractor Spurs</t>
        </is>
      </c>
      <c r="C1591" s="12" t="n">
        <v>23.99</v>
      </c>
      <c r="D1591" s="12" t="n">
        <v>10.99</v>
      </c>
      <c r="E1591" s="12" t="n">
        <v>-13</v>
      </c>
      <c r="F1591" s="13" t="n">
        <v>-54.2</v>
      </c>
      <c r="G1591" s="11" t="inlineStr">
        <is>
          <t>⬇ Price Down</t>
        </is>
      </c>
      <c r="H1591" s="11" t="inlineStr">
        <is>
          <t>90%</t>
        </is>
      </c>
      <c r="I1591" s="11">
        <f>HYPERLINK("https://www.ebay.com/sch/261328/i.html?_dcat=261328&amp;_fsrp=1&amp;rt=nc&amp;_from=R40&amp;_nkw=2025-26%20Bowman%20VICTOR%20WEMBANYAMA%20%23BCV-143%20Chrome%20Mojo%20Refractor%20Spurs&amp;_sacat=0&amp;_sop=15&amp;rt=nc&amp;LH_BIN=1", "Active")</f>
        <v/>
      </c>
      <c r="J1591" s="11">
        <f>HYPERLINK("https://www.ebay.com/sch/261328/i.html?_from=R40&amp;_nkw=2025-26%20Bowman%20VICTOR%20WEMBANYAMA%20%23BCV-143%20Chrome%20Mojo%20Refractor%20Spurs&amp;_sacat=0&amp;LH_Sold=1&amp;LH_Complete=1&amp;_sop=13", "Completed")</f>
        <v/>
      </c>
      <c r="K1591" s="11" t="inlineStr">
        <is>
          <t>2025-26 Bowman Chrome #BCV-143 Victor Wembanyama Mojo Refractor Spurs</t>
        </is>
      </c>
    </row>
    <row r="1592">
      <c r="A1592" s="11" t="inlineStr">
        <is>
          <t>BB-070326-0001</t>
        </is>
      </c>
      <c r="B1592" s="11" t="inlineStr">
        <is>
          <t>2024-25 Panini Prizm STEPHEN CURRY #134 Silver Warriors</t>
        </is>
      </c>
      <c r="C1592" s="12" t="n">
        <v>8.99</v>
      </c>
      <c r="D1592" s="12" t="n">
        <v>2.89</v>
      </c>
      <c r="E1592" s="12" t="n">
        <v>-6.1</v>
      </c>
      <c r="F1592" s="13" t="n">
        <v>-67.90000000000001</v>
      </c>
      <c r="G1592" s="11" t="inlineStr">
        <is>
          <t>⬇ Price Down</t>
        </is>
      </c>
      <c r="H1592" s="11" t="inlineStr">
        <is>
          <t>83%</t>
        </is>
      </c>
      <c r="I1592" s="11">
        <f>HYPERLINK("https://www.ebay.com/sch/261328/i.html?_dcat=261328&amp;_fsrp=1&amp;rt=nc&amp;_from=R40&amp;_nkw=2024-25%20Panini%20Prizm%20STEPHEN%20CURRY%20%23134%20Silver%20Warriors&amp;_sacat=0&amp;_sop=15&amp;rt=nc&amp;LH_BIN=1", "Active")</f>
        <v/>
      </c>
      <c r="J1592" s="11">
        <f>HYPERLINK("https://www.ebay.com/sch/261328/i.html?_from=R40&amp;_nkw=2024-25%20Panini%20Prizm%20STEPHEN%20CURRY%20%23134%20Silver%20Warriors&amp;_sacat=0&amp;LH_Sold=1&amp;LH_Complete=1&amp;_sop=13", "Completed")</f>
        <v/>
      </c>
      <c r="K1592" s="11" t="inlineStr">
        <is>
          <t>2024 Steph Curry Panini Prizm Silver Holofoil #134 Golden State Warriors</t>
        </is>
      </c>
    </row>
    <row r="1593">
      <c r="A1593" s="11" t="inlineStr">
        <is>
          <t>BB-070326-0003</t>
        </is>
      </c>
      <c r="B1593" s="11" t="inlineStr">
        <is>
          <t>2024-25 Topps Chrome VICTOR WEMBANYAMA #193 Pink Refractor Spurs</t>
        </is>
      </c>
      <c r="C1593" s="12" t="n">
        <v>35.99</v>
      </c>
      <c r="D1593" s="12" t="n">
        <v>15.59</v>
      </c>
      <c r="E1593" s="12" t="n">
        <v>-20.4</v>
      </c>
      <c r="F1593" s="13" t="n">
        <v>-56.7</v>
      </c>
      <c r="G1593" s="11" t="inlineStr">
        <is>
          <t>⬇ Price Down</t>
        </is>
      </c>
      <c r="H1593" s="11" t="inlineStr">
        <is>
          <t>90%</t>
        </is>
      </c>
      <c r="I1593" s="11">
        <f>HYPERLINK("https://www.ebay.com/sch/261328/i.html?_dcat=261328&amp;_fsrp=1&amp;rt=nc&amp;_from=R40&amp;_nkw=2024-25%20Topps%20Chrome%20VICTOR%20WEMBANYAMA%20%23193%20Pink%20Refractor%20Spurs&amp;_sacat=0&amp;_sop=15&amp;rt=nc&amp;LH_BIN=1", "Active")</f>
        <v/>
      </c>
      <c r="J1593" s="11">
        <f>HYPERLINK("https://www.ebay.com/sch/261328/i.html?_from=R40&amp;_nkw=2024-25%20Topps%20Chrome%20VICTOR%20WEMBANYAMA%20%23193%20Pink%20Refractor%20Spurs&amp;_sacat=0&amp;LH_Sold=1&amp;LH_Complete=1&amp;_sop=13", "Completed")</f>
        <v/>
      </c>
      <c r="K1593" s="11" t="inlineStr">
        <is>
          <t>2024-25 Topps Chrome Victor Wembanyama Pink Refractor #193 Spurs</t>
        </is>
      </c>
    </row>
    <row r="1594">
      <c r="A1594" s="11" t="inlineStr">
        <is>
          <t>FB-070326-00003-48163</t>
        </is>
      </c>
      <c r="B1594" s="11" t="inlineStr">
        <is>
          <t>2025 Panini Phoenix JAXSON DART #200 Silver Hyper Prizm RC Giants</t>
        </is>
      </c>
      <c r="C1594" s="12" t="n">
        <v>15.99</v>
      </c>
      <c r="D1594" s="12" t="n">
        <v>13.89</v>
      </c>
      <c r="E1594" s="12" t="n">
        <v>-2.1</v>
      </c>
      <c r="F1594" s="13" t="n">
        <v>-13.1</v>
      </c>
      <c r="G1594" s="11" t="inlineStr">
        <is>
          <t>⬇ Price Down</t>
        </is>
      </c>
      <c r="H1594" s="11" t="inlineStr">
        <is>
          <t>88%</t>
        </is>
      </c>
      <c r="I1594" s="11">
        <f>HYPERLINK("https://www.ebay.com/sch/261328/i.html?_dcat=261328&amp;_fsrp=1&amp;rt=nc&amp;_from=R40&amp;_nkw=2025%20Panini%20Phoenix%20JAXSON%20DART%20%23200%20Silver%20Hyper%20Prizm%20RC%20Giants&amp;_sacat=0&amp;_sop=15&amp;rt=nc&amp;LH_BIN=1", "Active")</f>
        <v/>
      </c>
      <c r="J1594" s="11">
        <f>HYPERLINK("https://www.ebay.com/sch/261328/i.html?_from=R40&amp;_nkw=2025%20Panini%20Phoenix%20JAXSON%20DART%20%23200%20Silver%20Hyper%20Prizm%20RC%20Giants&amp;_sacat=0&amp;LH_Sold=1&amp;LH_Complete=1&amp;_sop=13", "Completed")</f>
        <v/>
      </c>
      <c r="K1594" s="11" t="inlineStr">
        <is>
          <t>2025 Panini Phoenix Jaxson Dart RC #200 Silver Hyper Prizm Rookie Giants</t>
        </is>
      </c>
    </row>
    <row r="1595">
      <c r="A1595" s="11" t="inlineStr">
        <is>
          <t>FB-070326-00005-03642</t>
        </is>
      </c>
      <c r="B1595" s="11" t="inlineStr">
        <is>
          <t>2024 Panini Totally Certified Drake Maye #16 Franchise Foundations Mirror</t>
        </is>
      </c>
      <c r="C1595" s="12" t="n">
        <v>6.99</v>
      </c>
      <c r="D1595" s="12" t="n">
        <v>6.19</v>
      </c>
      <c r="E1595" s="12" t="n">
        <v>-0.8</v>
      </c>
      <c r="F1595" s="13" t="n">
        <v>-11.4</v>
      </c>
      <c r="G1595" s="11" t="inlineStr">
        <is>
          <t>⬇ Price Down</t>
        </is>
      </c>
      <c r="H1595" s="11" t="inlineStr">
        <is>
          <t>88%</t>
        </is>
      </c>
      <c r="I1595" s="11">
        <f>HYPERLINK("https://www.ebay.com/sch/261328/i.html?_dcat=261328&amp;_fsrp=1&amp;rt=nc&amp;_from=R40&amp;_nkw=2024%20Panini%20Totally%20Certified%20Drake%20Maye%20%2316%20Franchise%20Foundations%20Mirror&amp;_sacat=0&amp;_sop=15&amp;rt=nc&amp;LH_BIN=1", "Active")</f>
        <v/>
      </c>
      <c r="J1595" s="11">
        <f>HYPERLINK("https://www.ebay.com/sch/261328/i.html?_from=R40&amp;_nkw=2024%20Panini%20Totally%20Certified%20Drake%20Maye%20%2316%20Franchise%20Foundations%20Mirror&amp;_sacat=0&amp;LH_Sold=1&amp;LH_Complete=1&amp;_sop=13", "Completed")</f>
        <v/>
      </c>
      <c r="K1595" s="11" t="inlineStr">
        <is>
          <t>2024 Panini Totally Certified - Franchise Foundations Drake Maye #16 Mirror (RC)</t>
        </is>
      </c>
    </row>
    <row r="1596">
      <c r="A1596" s="11" t="inlineStr">
        <is>
          <t>FB-070326-00002-59833</t>
        </is>
      </c>
      <c r="B1596" s="11" t="inlineStr">
        <is>
          <t>2025 Panini Prizm CAM SKATTEBO #363 Green Wave</t>
        </is>
      </c>
      <c r="C1596" s="12" t="n">
        <v>9.99</v>
      </c>
      <c r="D1596" s="12" t="n">
        <v>9.09</v>
      </c>
      <c r="E1596" s="12" t="n">
        <v>-0.9</v>
      </c>
      <c r="F1596" s="13" t="n">
        <v>-9</v>
      </c>
      <c r="G1596" s="11" t="inlineStr">
        <is>
          <t>⬇ Price Down</t>
        </is>
      </c>
      <c r="H1596" s="11" t="inlineStr">
        <is>
          <t>72%</t>
        </is>
      </c>
      <c r="I1596" s="11">
        <f>HYPERLINK("https://www.ebay.com/sch/261328/i.html?_dcat=261328&amp;_fsrp=1&amp;rt=nc&amp;_from=R40&amp;_nkw=2025%20Panini%20Prizm%20CAM%20SKATTEBO%20%23363%20Green%20Wave&amp;_sacat=0&amp;_sop=15&amp;rt=nc&amp;LH_BIN=1", "Active")</f>
        <v/>
      </c>
      <c r="J1596" s="11">
        <f>HYPERLINK("https://www.ebay.com/sch/261328/i.html?_from=R40&amp;_nkw=2025%20Panini%20Prizm%20CAM%20SKATTEBO%20%23363%20Green%20Wave&amp;_sacat=0&amp;LH_Sold=1&amp;LH_Complete=1&amp;_sop=13", "Completed")</f>
        <v/>
      </c>
      <c r="K1596" s="11" t="inlineStr">
        <is>
          <t>Cam Skattebo 2025 Prizm #363 Green Wave Prizm RC Rookie Giants</t>
        </is>
      </c>
    </row>
    <row r="1597">
      <c r="A1597" s="11" t="inlineStr">
        <is>
          <t>FB-070326-00001-18494</t>
        </is>
      </c>
      <c r="B1597" s="11" t="inlineStr">
        <is>
          <t>2002 Upper Deck Honor Roll TOM BRADY #34 Patriots</t>
        </is>
      </c>
      <c r="C1597" s="12" t="n">
        <v>6.99</v>
      </c>
      <c r="D1597" s="12" t="n">
        <v>6.59</v>
      </c>
      <c r="E1597" s="12" t="n">
        <v>-0.4</v>
      </c>
      <c r="F1597" s="13" t="n">
        <v>-5.7</v>
      </c>
      <c r="G1597" s="11" t="inlineStr">
        <is>
          <t>⬇ Price Down</t>
        </is>
      </c>
      <c r="H1597" s="11" t="inlineStr">
        <is>
          <t>76%</t>
        </is>
      </c>
      <c r="I1597" s="11">
        <f>HYPERLINK("https://www.ebay.com/sch/261328/i.html?_dcat=261328&amp;_fsrp=1&amp;rt=nc&amp;_from=R40&amp;_nkw=2002%20Upper%20Deck%20Honor%20Roll%20TOM%20BRADY%20%2334%20Patriots&amp;_sacat=0&amp;_sop=15&amp;rt=nc&amp;LH_BIN=1", "Active")</f>
        <v/>
      </c>
      <c r="J1597" s="11">
        <f>HYPERLINK("https://www.ebay.com/sch/261328/i.html?_from=R40&amp;_nkw=2002%20Upper%20Deck%20Honor%20Roll%20TOM%20BRADY%20%2334%20Patriots&amp;_sacat=0&amp;LH_Sold=1&amp;LH_Complete=1&amp;_sop=13", "Completed")</f>
        <v/>
      </c>
      <c r="K1597" s="11" t="inlineStr">
        <is>
          <t>TOM BRADY 2002 Upper Deck Honor Roll #34 Patriots NM</t>
        </is>
      </c>
    </row>
    <row r="1598">
      <c r="A1598" t="inlineStr"/>
      <c r="B1598" t="inlineStr">
        <is>
          <t>2023 Panini Prizm - Andy Dalton #38 Pink Prizm</t>
        </is>
      </c>
      <c r="C1598" s="14" t="n"/>
      <c r="D1598" s="14" t="n">
        <v>2.49</v>
      </c>
      <c r="E1598" s="14" t="inlineStr"/>
      <c r="F1598" s="15" t="inlineStr"/>
      <c r="G1598" t="inlineStr">
        <is>
          <t>? No price data</t>
        </is>
      </c>
      <c r="H1598" t="inlineStr">
        <is>
          <t>89%</t>
        </is>
      </c>
      <c r="I1598">
        <f>HYPERLINK("https://www.ebay.com/sch/261328/i.html?_dcat=261328&amp;_fsrp=1&amp;rt=nc&amp;_from=R40&amp;_nkw=2023%20Panini%20Prizm%20-%20Andy%20Dalton%20%2338%20Pink%20Prizm&amp;_sacat=0&amp;_sop=15&amp;rt=nc&amp;LH_BIN=1", "Active")</f>
        <v/>
      </c>
      <c r="J1598">
        <f>HYPERLINK("https://www.ebay.com/sch/261328/i.html?_from=R40&amp;_nkw=2023%20Panini%20Prizm%20-%20Andy%20Dalton%20%2338%20Pink%20Prizm&amp;_sacat=0&amp;LH_Sold=1&amp;LH_Complete=1&amp;_sop=13", "Completed")</f>
        <v/>
      </c>
      <c r="K1598" t="inlineStr">
        <is>
          <t>2023 Andy Dalton Panini Prizm #38 Pink Prizm</t>
        </is>
      </c>
    </row>
    <row r="1599">
      <c r="A1599" s="2" t="inlineStr">
        <is>
          <t>Multi-07-07-26-00001-87419</t>
        </is>
      </c>
      <c r="B1599" s="2" t="inlineStr">
        <is>
          <t>2025-26 Bowman COOPER FLAGG #1 RC Mavericks</t>
        </is>
      </c>
      <c r="C1599" s="3" t="n">
        <v>4.5</v>
      </c>
      <c r="D1599" s="3" t="n">
        <v>2.49</v>
      </c>
      <c r="E1599" s="3" t="n">
        <v>-2.01</v>
      </c>
      <c r="F1599" s="4" t="n">
        <v>-44.7</v>
      </c>
      <c r="G1599" s="2" t="inlineStr">
        <is>
          <t>🔵 Floored $2.49 — free ship or $0.99 ship?</t>
        </is>
      </c>
      <c r="H1599" s="2" t="inlineStr">
        <is>
          <t>65%</t>
        </is>
      </c>
      <c r="I1599" s="2">
        <f>HYPERLINK("https://www.ebay.com/sch/261328/i.html?_dcat=261328&amp;_fsrp=1&amp;rt=nc&amp;_from=R40&amp;_nkw=2025-26%20Bowman%20COOPER%20FLAGG%20%231%20RC%20Mavericks&amp;_sacat=0&amp;_sop=15&amp;rt=nc&amp;LH_BIN=1", "Active")</f>
        <v/>
      </c>
      <c r="J1599" s="2">
        <f>HYPERLINK("https://www.ebay.com/sch/261328/i.html?_from=R40&amp;_nkw=2025-26%20Bowman%20COOPER%20FLAGG%20%231%20RC%20Mavericks&amp;_sacat=0&amp;LH_Sold=1&amp;LH_Complete=1&amp;_sop=13", "Completed")</f>
        <v/>
      </c>
      <c r="K1599" s="2" t="inlineStr">
        <is>
          <t>2025-26 Bowman Chrome Basketball RC's &amp; Vets #1-200 YOU PICK COMPLETE YOUR SET</t>
        </is>
      </c>
    </row>
    <row r="1600">
      <c r="A1600" s="11" t="inlineStr">
        <is>
          <t>Multi-07-07-26-00002-49971</t>
        </is>
      </c>
      <c r="B1600" s="11" t="inlineStr">
        <is>
          <t>2025-26 Topps Flagship #201 Cooper Flagg Rainbow Holo Foil Rookie RC</t>
        </is>
      </c>
      <c r="C1600" s="12" t="n">
        <v>75</v>
      </c>
      <c r="D1600" s="12" t="n">
        <v>58.19</v>
      </c>
      <c r="E1600" s="12" t="n">
        <v>-16.81</v>
      </c>
      <c r="F1600" s="13" t="n">
        <v>-22.4</v>
      </c>
      <c r="G1600" s="11" t="inlineStr">
        <is>
          <t>⬇ Price Down</t>
        </is>
      </c>
      <c r="H1600" s="11" t="inlineStr">
        <is>
          <t>100%</t>
        </is>
      </c>
      <c r="I1600" s="11">
        <f>HYPERLINK("https://www.ebay.com/sch/261328/i.html?_dcat=261328&amp;_fsrp=1&amp;rt=nc&amp;_from=R40&amp;_nkw=2025-26%20Topps%20Flagship%20%23201%20Cooper%20Flagg%20Rainbow%20Holo%20Foil%20Rookie%20RC&amp;_sacat=0&amp;_sop=15&amp;rt=nc&amp;LH_BIN=1", "Active")</f>
        <v/>
      </c>
      <c r="J1600" s="11">
        <f>HYPERLINK("https://www.ebay.com/sch/261328/i.html?_from=R40&amp;_nkw=2025-26%20Topps%20Flagship%20%23201%20Cooper%20Flagg%20Rainbow%20Holo%20Foil%20Rookie%20RC&amp;_sacat=0&amp;LH_Sold=1&amp;LH_Complete=1&amp;_sop=13", "Completed")</f>
        <v/>
      </c>
      <c r="K1600" s="11" t="inlineStr">
        <is>
          <t>2025-26 Topps Flagship #201 Cooper Flagg Rainbow Holo Foil Rookie RC</t>
        </is>
      </c>
    </row>
    <row r="1601">
      <c r="A1601" s="2" t="inlineStr">
        <is>
          <t>Multi-07-07-26-00011-52394</t>
        </is>
      </c>
      <c r="B1601" s="2" t="inlineStr">
        <is>
          <t>2025 Topps Chrome JAHMYR GIBBS #FS-10 Future Stars Refractor SP Lions</t>
        </is>
      </c>
      <c r="C1601" s="3" t="n">
        <v>2.99</v>
      </c>
      <c r="D1601" s="3" t="n">
        <v>2.49</v>
      </c>
      <c r="E1601" s="3" t="n">
        <v>-0.5</v>
      </c>
      <c r="F1601" s="4" t="n">
        <v>-16.7</v>
      </c>
      <c r="G1601" s="2" t="inlineStr">
        <is>
          <t>🔵 Floored $2.49 — free ship or $0.99 ship?</t>
        </is>
      </c>
      <c r="H1601" s="2" t="inlineStr">
        <is>
          <t>90%</t>
        </is>
      </c>
      <c r="I1601" s="2">
        <f>HYPERLINK("https://www.ebay.com/sch/261328/i.html?_dcat=261328&amp;_fsrp=1&amp;rt=nc&amp;_from=R40&amp;_nkw=2025%20Topps%20Chrome%20JAHMYR%20GIBBS%20%23FS-10%20Future%20Stars%20Refractor%20SP%20Lions&amp;_sacat=0&amp;_sop=15&amp;rt=nc&amp;LH_BIN=1", "Active")</f>
        <v/>
      </c>
      <c r="J1601" s="2">
        <f>HYPERLINK("https://www.ebay.com/sch/261328/i.html?_from=R40&amp;_nkw=2025%20Topps%20Chrome%20JAHMYR%20GIBBS%20%23FS-10%20Future%20Stars%20Refractor%20SP%20Lions&amp;_sacat=0&amp;LH_Sold=1&amp;LH_Complete=1&amp;_sop=13", "Completed")</f>
        <v/>
      </c>
      <c r="K1601" s="2" t="inlineStr">
        <is>
          <t>2025 Topps Chrome Jahmyr Gibbs Future Stars Refractor SP #FS-10 Lions</t>
        </is>
      </c>
    </row>
    <row r="1602">
      <c r="A1602" s="5" t="inlineStr">
        <is>
          <t>Multi-07-07-26-00010-04023</t>
        </is>
      </c>
      <c r="B1602" s="5" t="inlineStr">
        <is>
          <t>2026 BOWMAN GAGE JUMP #BCP-15 REPTILIAN GREEN REFRACTOR /99 1ST PROSPECT</t>
        </is>
      </c>
      <c r="C1602" s="6" t="n">
        <v>29.99</v>
      </c>
      <c r="D1602" s="6" t="n">
        <v>37.99</v>
      </c>
      <c r="E1602" s="6" t="n">
        <v>8</v>
      </c>
      <c r="F1602" s="7" t="n">
        <v>26.7</v>
      </c>
      <c r="G1602" s="5" t="inlineStr">
        <is>
          <t>⬆ Price Up</t>
        </is>
      </c>
      <c r="H1602" s="5" t="inlineStr">
        <is>
          <t>100%</t>
        </is>
      </c>
      <c r="I1602" s="5">
        <f>HYPERLINK("https://www.ebay.com/sch/261328/i.html?_dcat=261328&amp;_fsrp=1&amp;rt=nc&amp;_from=R40&amp;_nkw=2026%20BOWMAN%20GAGE%20JUMP%20%23BCP-15%20REPTILIAN%20GREEN%20REFRACTOR%20%2F99%201ST%20PROSPECT&amp;_sacat=0&amp;_sop=15&amp;rt=nc&amp;LH_BIN=1", "Active")</f>
        <v/>
      </c>
      <c r="J1602" s="5">
        <f>HYPERLINK("https://www.ebay.com/sch/261328/i.html?_from=R40&amp;_nkw=2026%20BOWMAN%20GAGE%20JUMP%20%23BCP-15%20REPTILIAN%20GREEN%20REFRACTOR%20%2F99%201ST%20PROSPECT&amp;_sacat=0&amp;LH_Sold=1&amp;LH_Complete=1&amp;_sop=13", "Completed")</f>
        <v/>
      </c>
      <c r="K1602" s="5" t="inlineStr">
        <is>
          <t>2026 BOWMAN GAGE JUMP #BCP-15 REPTILIAN GREEN REFRACTOR /99 1ST PROSPECT</t>
        </is>
      </c>
    </row>
    <row r="1603">
      <c r="A1603" s="8" t="inlineStr">
        <is>
          <t>Multi-07-07-26-00012-78127</t>
        </is>
      </c>
      <c r="B1603" s="8" t="inlineStr">
        <is>
          <t>2025 Topps Chrome TYLER WARREN #346 Rookie Refractor RC Colts</t>
        </is>
      </c>
      <c r="C1603" s="9" t="n">
        <v>2.49</v>
      </c>
      <c r="D1603" s="9" t="n">
        <v>2.49</v>
      </c>
      <c r="E1603" s="9" t="n">
        <v>0</v>
      </c>
      <c r="F1603" s="10" t="n">
        <v>0</v>
      </c>
      <c r="G1603" s="8" t="inlineStr">
        <is>
          <t>— No Change</t>
        </is>
      </c>
      <c r="H1603" s="8" t="inlineStr">
        <is>
          <t>68%</t>
        </is>
      </c>
      <c r="I1603" s="8">
        <f>HYPERLINK("https://www.ebay.com/sch/261328/i.html?_dcat=261328&amp;_fsrp=1&amp;rt=nc&amp;_from=R40&amp;_nkw=2025%20Topps%20Chrome%20TYLER%20WARREN%20%23346%20Rookie%20Refractor%20RC%20Colts&amp;_sacat=0&amp;_sop=15&amp;rt=nc&amp;LH_BIN=1", "Active")</f>
        <v/>
      </c>
      <c r="J1603" s="8">
        <f>HYPERLINK("https://www.ebay.com/sch/261328/i.html?_from=R40&amp;_nkw=2025%20Topps%20Chrome%20TYLER%20WARREN%20%23346%20Rookie%20Refractor%20RC%20Colts&amp;_sacat=0&amp;LH_Sold=1&amp;LH_Complete=1&amp;_sop=13", "Completed")</f>
        <v/>
      </c>
      <c r="K1603" s="8" t="inlineStr">
        <is>
          <t>2025 Topps Chrome Football - Color, Refractors, Inserts, RCs - You Pick</t>
        </is>
      </c>
    </row>
    <row r="1604">
      <c r="A1604" s="2" t="inlineStr">
        <is>
          <t>Multi-07-07-26-00007-89495</t>
        </is>
      </c>
      <c r="B1604" s="2" t="inlineStr">
        <is>
          <t>2025 TOPPS CHROME DERIK QUEEN #NS-DQ REFRACTOR RC AUTO</t>
        </is>
      </c>
      <c r="C1604" s="3" t="n">
        <v>31.99</v>
      </c>
      <c r="D1604" s="3" t="n">
        <v>2.49</v>
      </c>
      <c r="E1604" s="3" t="n">
        <v>-29.5</v>
      </c>
      <c r="F1604" s="4" t="n">
        <v>-92.2</v>
      </c>
      <c r="G1604" s="2" t="inlineStr">
        <is>
          <t>🔵 Floored $2.49 — free ship or $0.99 ship?</t>
        </is>
      </c>
      <c r="H1604" s="2" t="inlineStr"/>
      <c r="I1604" s="2">
        <f>HYPERLINK("https://www.ebay.com/sch/261328/i.html?_dcat=261328&amp;_fsrp=1&amp;rt=nc&amp;_from=R40&amp;_nkw=2025%20TOPPS%20CHROME%20DERIK%20QUEEN%20%23NS-DQ%20REFRACTOR%20RC%20AUTO&amp;_sacat=0&amp;_sop=15&amp;rt=nc&amp;LH_BIN=1", "Active")</f>
        <v/>
      </c>
      <c r="J1604" s="2">
        <f>HYPERLINK("https://www.ebay.com/sch/261328/i.html?_from=R40&amp;_nkw=2025%20TOPPS%20CHROME%20DERIK%20QUEEN%20%23NS-DQ%20REFRACTOR%20RC%20AUTO&amp;_sacat=0&amp;LH_Sold=1&amp;LH_Complete=1&amp;_sop=13", "Completed")</f>
        <v/>
      </c>
      <c r="K1604" s="2" t="inlineStr">
        <is>
          <t>No Close Result Found</t>
        </is>
      </c>
    </row>
    <row r="1605">
      <c r="A1605" s="11" t="inlineStr">
        <is>
          <t>Multi-07-07-26-00006-36495</t>
        </is>
      </c>
      <c r="B1605" s="11" t="inlineStr">
        <is>
          <t>2025 Topps Cosmic Chrome SHOHEI OHTANI #LS-15 Dodgers</t>
        </is>
      </c>
      <c r="C1605" s="12" t="n">
        <v>44.99</v>
      </c>
      <c r="D1605" s="12" t="n">
        <v>35.89</v>
      </c>
      <c r="E1605" s="12" t="n">
        <v>-9.1</v>
      </c>
      <c r="F1605" s="13" t="n">
        <v>-20.2</v>
      </c>
      <c r="G1605" s="11" t="inlineStr">
        <is>
          <t>⬇ Price Down</t>
        </is>
      </c>
      <c r="H1605" s="11" t="inlineStr">
        <is>
          <t>74%</t>
        </is>
      </c>
      <c r="I1605" s="11">
        <f>HYPERLINK("https://www.ebay.com/sch/261328/i.html?_dcat=261328&amp;_fsrp=1&amp;rt=nc&amp;_from=R40&amp;_nkw=2025%20Topps%20Cosmic%20Chrome%20SHOHEI%20OHTANI%20%23LS-15%20Dodgers&amp;_sacat=0&amp;_sop=15&amp;rt=nc&amp;LH_BIN=1", "Active")</f>
        <v/>
      </c>
      <c r="J1605" s="11">
        <f>HYPERLINK("https://www.ebay.com/sch/261328/i.html?_from=R40&amp;_nkw=2025%20Topps%20Cosmic%20Chrome%20SHOHEI%20OHTANI%20%23LS-15%20Dodgers&amp;_sacat=0&amp;LH_Sold=1&amp;LH_Complete=1&amp;_sop=13", "Completed")</f>
        <v/>
      </c>
      <c r="K1605" s="11" t="inlineStr">
        <is>
          <t>SHOHEI OHTANI 2025 TOPPS COSMIC CHROME LIGHT SPEED INSERT #LS-15 LA DODGERS</t>
        </is>
      </c>
    </row>
    <row r="1606">
      <c r="A1606" s="11" t="inlineStr">
        <is>
          <t>Multi-07-07-26-00005-77979</t>
        </is>
      </c>
      <c r="B1606" s="11" t="inlineStr">
        <is>
          <t>2025 BOWMAN COOPER FLAGG #GL-1 REFRACTOR RC</t>
        </is>
      </c>
      <c r="C1606" s="12" t="n">
        <v>23.99</v>
      </c>
      <c r="D1606" s="12" t="n">
        <v>7.99</v>
      </c>
      <c r="E1606" s="12" t="n">
        <v>-16</v>
      </c>
      <c r="F1606" s="13" t="n">
        <v>-66.7</v>
      </c>
      <c r="G1606" s="11" t="inlineStr">
        <is>
          <t>⬇ Price Down</t>
        </is>
      </c>
      <c r="H1606" s="11" t="inlineStr">
        <is>
          <t>68%</t>
        </is>
      </c>
      <c r="I1606" s="11">
        <f>HYPERLINK("https://www.ebay.com/sch/261328/i.html?_dcat=261328&amp;_fsrp=1&amp;rt=nc&amp;_from=R40&amp;_nkw=2025%20BOWMAN%20COOPER%20FLAGG%20%23GL-1%20REFRACTOR%20RC&amp;_sacat=0&amp;_sop=15&amp;rt=nc&amp;LH_BIN=1", "Active")</f>
        <v/>
      </c>
      <c r="J1606" s="11">
        <f>HYPERLINK("https://www.ebay.com/sch/261328/i.html?_from=R40&amp;_nkw=2025%20BOWMAN%20COOPER%20FLAGG%20%23GL-1%20REFRACTOR%20RC&amp;_sacat=0&amp;LH_Sold=1&amp;LH_Complete=1&amp;_sop=13", "Completed")</f>
        <v/>
      </c>
      <c r="K1606" s="11" t="inlineStr">
        <is>
          <t>2025-26 Bowman #GL-1 Cooper Flagg Greatness Loading (RC) Mavs</t>
        </is>
      </c>
    </row>
    <row r="1607">
      <c r="A1607" s="5" t="inlineStr">
        <is>
          <t>Multi-07-07-26-00004-21202</t>
        </is>
      </c>
      <c r="B1607" s="5" t="inlineStr">
        <is>
          <t>2025 Topps Chrome COOPER FLAGG #IP-18 Raywave Refractor RC Mavericks</t>
        </is>
      </c>
      <c r="C1607" s="6" t="n">
        <v>21</v>
      </c>
      <c r="D1607" s="6" t="n">
        <v>29.09</v>
      </c>
      <c r="E1607" s="6" t="n">
        <v>8.09</v>
      </c>
      <c r="F1607" s="7" t="n">
        <v>38.5</v>
      </c>
      <c r="G1607" s="5" t="inlineStr">
        <is>
          <t>⬆ Price Up</t>
        </is>
      </c>
      <c r="H1607" s="5" t="inlineStr">
        <is>
          <t>100%</t>
        </is>
      </c>
      <c r="I1607" s="5">
        <f>HYPERLINK("https://www.ebay.com/sch/261328/i.html?_dcat=261328&amp;_fsrp=1&amp;rt=nc&amp;_from=R40&amp;_nkw=2025%20Topps%20Chrome%20COOPER%20FLAGG%20%23IP-18%20Raywave%20Refractor%20RC%20Mavericks&amp;_sacat=0&amp;_sop=15&amp;rt=nc&amp;LH_BIN=1", "Active")</f>
        <v/>
      </c>
      <c r="J1607" s="5">
        <f>HYPERLINK("https://www.ebay.com/sch/261328/i.html?_from=R40&amp;_nkw=2025%20Topps%20Chrome%20COOPER%20FLAGG%20%23IP-18%20Raywave%20Refractor%20RC%20Mavericks&amp;_sacat=0&amp;LH_Sold=1&amp;LH_Complete=1&amp;_sop=13", "Completed")</f>
        <v/>
      </c>
      <c r="K1607" s="5" t="inlineStr">
        <is>
          <t>2025 Topps Chrome COOPER FLAGG #IP-18 Raywave Refractor RC Mavericks</t>
        </is>
      </c>
    </row>
    <row r="1608">
      <c r="A1608" s="5" t="inlineStr">
        <is>
          <t>WBNA-070826-00019-87085</t>
        </is>
      </c>
      <c r="B1608" s="5" t="inlineStr">
        <is>
          <t>2025 Topps Chrome McDonald's All-American KEL'EL WARE #96</t>
        </is>
      </c>
      <c r="C1608" s="6" t="n">
        <v>1</v>
      </c>
      <c r="D1608" s="6" t="n">
        <v>2.49</v>
      </c>
      <c r="E1608" s="6" t="n">
        <v>1.49</v>
      </c>
      <c r="F1608" s="7" t="n">
        <v>149</v>
      </c>
      <c r="G1608" s="5" t="inlineStr">
        <is>
          <t>⬆ Price Up</t>
        </is>
      </c>
      <c r="H1608" s="5" t="inlineStr">
        <is>
          <t>86%</t>
        </is>
      </c>
      <c r="I1608" s="5">
        <f>HYPERLINK("https://www.ebay.com/sch/261328/i.html?_dcat=261328&amp;_fsrp=1&amp;rt=nc&amp;_from=R40&amp;_nkw=2025%20Topps%20Chrome%20McDonald's%20All-American%20KEL'EL%20WARE%20%2396&amp;_sacat=0&amp;_sop=15&amp;rt=nc&amp;LH_BIN=1", "Active")</f>
        <v/>
      </c>
      <c r="J1608" s="5">
        <f>HYPERLINK("https://www.ebay.com/sch/261328/i.html?_from=R40&amp;_nkw=2025%20Topps%20Chrome%20McDonald's%20All-American%20KEL'EL%20WARE%20%2396&amp;_sacat=0&amp;LH_Sold=1&amp;LH_Complete=1&amp;_sop=13", "Completed")</f>
        <v/>
      </c>
      <c r="K1608" s="5" t="inlineStr">
        <is>
          <t>2025 Topps Chrome McDonald's All American #96 Kel'El Ware - Miami Heat</t>
        </is>
      </c>
    </row>
    <row r="1609">
      <c r="A1609" s="5" t="inlineStr">
        <is>
          <t>WBNA-070826-00017-46104</t>
        </is>
      </c>
      <c r="B1609" s="5" t="inlineStr">
        <is>
          <t>2025 Topps Chrome McDonald's All-American JALEN HARALSON #4 RayWave Refractor</t>
        </is>
      </c>
      <c r="C1609" s="6" t="n">
        <v>1.99</v>
      </c>
      <c r="D1609" s="6" t="n">
        <v>2.49</v>
      </c>
      <c r="E1609" s="6" t="n">
        <v>0.5</v>
      </c>
      <c r="F1609" s="7" t="n">
        <v>25.1</v>
      </c>
      <c r="G1609" s="5" t="inlineStr">
        <is>
          <t>⬆ Price Up</t>
        </is>
      </c>
      <c r="H1609" s="5" t="inlineStr">
        <is>
          <t>89%</t>
        </is>
      </c>
      <c r="I1609" s="5">
        <f>HYPERLINK("https://www.ebay.com/sch/261328/i.html?_dcat=261328&amp;_fsrp=1&amp;rt=nc&amp;_from=R40&amp;_nkw=2025%20Topps%20Chrome%20McDonald's%20All-American%20JALEN%20HARALSON%20%234%20RayWave%20Refractor&amp;_sacat=0&amp;_sop=15&amp;rt=nc&amp;LH_BIN=1", "Active")</f>
        <v/>
      </c>
      <c r="J1609" s="5">
        <f>HYPERLINK("https://www.ebay.com/sch/261328/i.html?_from=R40&amp;_nkw=2025%20Topps%20Chrome%20McDonald's%20All-American%20JALEN%20HARALSON%20%234%20RayWave%20Refractor&amp;_sacat=0&amp;LH_Sold=1&amp;LH_Complete=1&amp;_sop=13", "Completed")</f>
        <v/>
      </c>
      <c r="K1609" s="5" t="inlineStr">
        <is>
          <t>2025 Topps Chrome McDonald's All American #4 Jalen Haralson Raywave Refractor</t>
        </is>
      </c>
    </row>
    <row r="1610">
      <c r="A1610" s="5" t="inlineStr">
        <is>
          <t>WBNA-070826-00008-25492</t>
        </is>
      </c>
      <c r="B1610" s="5" t="inlineStr">
        <is>
          <t>2025 Topps Chrome McDonald's All-American CHRIS CENAC JR. #49</t>
        </is>
      </c>
      <c r="C1610" s="6" t="n">
        <v>1</v>
      </c>
      <c r="D1610" s="6" t="n">
        <v>2.49</v>
      </c>
      <c r="E1610" s="6" t="n">
        <v>1.49</v>
      </c>
      <c r="F1610" s="7" t="n">
        <v>149</v>
      </c>
      <c r="G1610" s="5" t="inlineStr">
        <is>
          <t>⬆ Price Up</t>
        </is>
      </c>
      <c r="H1610" s="5" t="inlineStr">
        <is>
          <t>67%</t>
        </is>
      </c>
      <c r="I1610" s="5">
        <f>HYPERLINK("https://www.ebay.com/sch/261328/i.html?_dcat=261328&amp;_fsrp=1&amp;rt=nc&amp;_from=R40&amp;_nkw=2025%20Topps%20Chrome%20McDonald's%20All-American%20CHRIS%20CENAC%20JR.%20%2349&amp;_sacat=0&amp;_sop=15&amp;rt=nc&amp;LH_BIN=1", "Active")</f>
        <v/>
      </c>
      <c r="J1610" s="5">
        <f>HYPERLINK("https://www.ebay.com/sch/261328/i.html?_from=R40&amp;_nkw=2025%20Topps%20Chrome%20McDonald's%20All-American%20CHRIS%20CENAC%20JR.%20%2349&amp;_sacat=0&amp;LH_Sold=1&amp;LH_Complete=1&amp;_sop=13", "Completed")</f>
        <v/>
      </c>
      <c r="K1610" s="5" t="inlineStr">
        <is>
          <t>2025 Topps Chrome McDonald’s All American Pick Your Card 1-100 - Buy More &amp; Save</t>
        </is>
      </c>
    </row>
    <row r="1611">
      <c r="A1611" s="2" t="inlineStr">
        <is>
          <t>WBNA-070826-00007-69189</t>
        </is>
      </c>
      <c r="B1611" s="2" t="inlineStr">
        <is>
          <t>2025 Topps Chrome McDonald's All-American AL HARRINGTON #79</t>
        </is>
      </c>
      <c r="C1611" s="3" t="n">
        <v>2.99</v>
      </c>
      <c r="D1611" s="3" t="n">
        <v>2.49</v>
      </c>
      <c r="E1611" s="3" t="n">
        <v>-0.5</v>
      </c>
      <c r="F1611" s="4" t="n">
        <v>-16.7</v>
      </c>
      <c r="G1611" s="2" t="inlineStr">
        <is>
          <t>🔵 Floored $2.49 — free ship or $0.99 ship?</t>
        </is>
      </c>
      <c r="H1611" s="2" t="inlineStr">
        <is>
          <t>85%</t>
        </is>
      </c>
      <c r="I1611" s="2">
        <f>HYPERLINK("https://www.ebay.com/sch/261328/i.html?_dcat=261328&amp;_fsrp=1&amp;rt=nc&amp;_from=R40&amp;_nkw=2025%20Topps%20Chrome%20McDonald's%20All-American%20AL%20HARRINGTON%20%2379&amp;_sacat=0&amp;_sop=15&amp;rt=nc&amp;LH_BIN=1", "Active")</f>
        <v/>
      </c>
      <c r="J1611" s="2">
        <f>HYPERLINK("https://www.ebay.com/sch/261328/i.html?_from=R40&amp;_nkw=2025%20Topps%20Chrome%20McDonald's%20All-American%20AL%20HARRINGTON%20%2379&amp;_sacat=0&amp;LH_Sold=1&amp;LH_Complete=1&amp;_sop=13", "Completed")</f>
        <v/>
      </c>
      <c r="K1611" s="2" t="inlineStr">
        <is>
          <t>2025 Topps Chrome McDonald's All American #79 Al Harrington  RC Prospect East</t>
        </is>
      </c>
    </row>
    <row r="1612">
      <c r="A1612" s="2" t="inlineStr">
        <is>
          <t>WBNA-070826-00021-53978</t>
        </is>
      </c>
      <c r="B1612" s="2" t="inlineStr">
        <is>
          <t>2025 Topps Chrome McDonald's All-American TOUNDE YESSOUFOU #15 RayWave Refractor</t>
        </is>
      </c>
      <c r="C1612" s="3" t="n">
        <v>2.99</v>
      </c>
      <c r="D1612" s="3" t="n">
        <v>2.49</v>
      </c>
      <c r="E1612" s="3" t="n">
        <v>-0.5</v>
      </c>
      <c r="F1612" s="4" t="n">
        <v>-16.7</v>
      </c>
      <c r="G1612" s="2" t="inlineStr">
        <is>
          <t>🔵 Floored $2.49 — free ship or $0.99 ship?</t>
        </is>
      </c>
      <c r="H1612" s="2" t="inlineStr">
        <is>
          <t>90%</t>
        </is>
      </c>
      <c r="I1612" s="2">
        <f>HYPERLINK("https://www.ebay.com/sch/261328/i.html?_dcat=261328&amp;_fsrp=1&amp;rt=nc&amp;_from=R40&amp;_nkw=2025%20Topps%20Chrome%20McDonald's%20All-American%20TOUNDE%20YESSOUFOU%20%2315%20RayWave%20Refractor&amp;_sacat=0&amp;_sop=15&amp;rt=nc&amp;LH_BIN=1", "Active")</f>
        <v/>
      </c>
      <c r="J1612" s="2">
        <f>HYPERLINK("https://www.ebay.com/sch/261328/i.html?_from=R40&amp;_nkw=2025%20Topps%20Chrome%20McDonald's%20All-American%20TOUNDE%20YESSOUFOU%20%2315%20RayWave%20Refractor&amp;_sacat=0&amp;LH_Sold=1&amp;LH_Complete=1&amp;_sop=13", "Completed")</f>
        <v/>
      </c>
      <c r="K1612" s="2" t="inlineStr">
        <is>
          <t>2025 Topps Chrome McDonald's All American #15 Tounde Yessoufou RayWave Refractor</t>
        </is>
      </c>
    </row>
    <row r="1613">
      <c r="A1613" s="5" t="inlineStr">
        <is>
          <t>WBNA-070826-00009-75711</t>
        </is>
      </c>
      <c r="B1613" s="5" t="inlineStr">
        <is>
          <t>2025 Topps Chrome McDonald's All-American JALEN HARALSON #4</t>
        </is>
      </c>
      <c r="C1613" s="6" t="n">
        <v>1</v>
      </c>
      <c r="D1613" s="6" t="n">
        <v>2.49</v>
      </c>
      <c r="E1613" s="6" t="n">
        <v>1.49</v>
      </c>
      <c r="F1613" s="7" t="n">
        <v>149</v>
      </c>
      <c r="G1613" s="5" t="inlineStr">
        <is>
          <t>⬆ Price Up</t>
        </is>
      </c>
      <c r="H1613" s="5" t="inlineStr">
        <is>
          <t>85%</t>
        </is>
      </c>
      <c r="I1613" s="5">
        <f>HYPERLINK("https://www.ebay.com/sch/261328/i.html?_dcat=261328&amp;_fsrp=1&amp;rt=nc&amp;_from=R40&amp;_nkw=2025%20Topps%20Chrome%20McDonald's%20All-American%20JALEN%20HARALSON%20%234&amp;_sacat=0&amp;_sop=15&amp;rt=nc&amp;LH_BIN=1", "Active")</f>
        <v/>
      </c>
      <c r="J1613" s="5">
        <f>HYPERLINK("https://www.ebay.com/sch/261328/i.html?_from=R40&amp;_nkw=2025%20Topps%20Chrome%20McDonald's%20All-American%20JALEN%20HARALSON%20%234&amp;_sacat=0&amp;LH_Sold=1&amp;LH_Complete=1&amp;_sop=13", "Completed")</f>
        <v/>
      </c>
      <c r="K1613" s="5" t="inlineStr">
        <is>
          <t>2025 Topps Chrome McDonald's All American #4 Jalen Haralson Raywave Refractor</t>
        </is>
      </c>
    </row>
    <row r="1614">
      <c r="A1614" s="5" t="inlineStr">
        <is>
          <t>WBNA-070826-00012-62593</t>
        </is>
      </c>
      <c r="B1614" s="5" t="inlineStr">
        <is>
          <t>2025 Topps Chrome McDonald's All-American AYLA MCDOWELL #70</t>
        </is>
      </c>
      <c r="C1614" s="6" t="n">
        <v>1</v>
      </c>
      <c r="D1614" s="6" t="n">
        <v>2.49</v>
      </c>
      <c r="E1614" s="6" t="n">
        <v>1.49</v>
      </c>
      <c r="F1614" s="7" t="n">
        <v>149</v>
      </c>
      <c r="G1614" s="5" t="inlineStr">
        <is>
          <t>⬆ Price Up</t>
        </is>
      </c>
      <c r="H1614" s="5" t="inlineStr">
        <is>
          <t>85%</t>
        </is>
      </c>
      <c r="I1614" s="5">
        <f>HYPERLINK("https://www.ebay.com/sch/261328/i.html?_dcat=261328&amp;_fsrp=1&amp;rt=nc&amp;_from=R40&amp;_nkw=2025%20Topps%20Chrome%20McDonald's%20All-American%20AYLA%20MCDOWELL%20%2370&amp;_sacat=0&amp;_sop=15&amp;rt=nc&amp;LH_BIN=1", "Active")</f>
        <v/>
      </c>
      <c r="J1614" s="5">
        <f>HYPERLINK("https://www.ebay.com/sch/261328/i.html?_from=R40&amp;_nkw=2025%20Topps%20Chrome%20McDonald's%20All-American%20AYLA%20MCDOWELL%20%2370&amp;_sacat=0&amp;LH_Sold=1&amp;LH_Complete=1&amp;_sop=13", "Completed")</f>
        <v/>
      </c>
      <c r="K1614" s="5" t="inlineStr">
        <is>
          <t>2025 Topps Chrome McDonald's All American #70 Ayla McDowell  RC Prospect West</t>
        </is>
      </c>
    </row>
    <row r="1615">
      <c r="A1615" s="5" t="inlineStr">
        <is>
          <t>WBNA-070826-00003-14747</t>
        </is>
      </c>
      <c r="B1615" s="5" t="inlineStr">
        <is>
          <t>2025 Panini WNBA Prizm SOPHIE CUNNINGHAM #63 White Seismic Fever</t>
        </is>
      </c>
      <c r="C1615" s="6" t="n">
        <v>7</v>
      </c>
      <c r="D1615" s="6" t="n">
        <v>7.09</v>
      </c>
      <c r="E1615" s="6" t="n">
        <v>0.09</v>
      </c>
      <c r="F1615" s="7" t="n">
        <v>1.3</v>
      </c>
      <c r="G1615" s="5" t="inlineStr">
        <is>
          <t>⬆ Price Up</t>
        </is>
      </c>
      <c r="H1615" s="5" t="inlineStr">
        <is>
          <t>88%</t>
        </is>
      </c>
      <c r="I1615" s="5">
        <f>HYPERLINK("https://www.ebay.com/sch/261328/i.html?_dcat=261328&amp;_fsrp=1&amp;rt=nc&amp;_from=R40&amp;_nkw=2025%20Panini%20WNBA%20Prizm%20SOPHIE%20CUNNINGHAM%20%2363%20White%20Seismic%20Fever&amp;_sacat=0&amp;_sop=15&amp;rt=nc&amp;LH_BIN=1", "Active")</f>
        <v/>
      </c>
      <c r="J1615" s="5">
        <f>HYPERLINK("https://www.ebay.com/sch/261328/i.html?_from=R40&amp;_nkw=2025%20Panini%20WNBA%20Prizm%20SOPHIE%20CUNNINGHAM%20%2363%20White%20Seismic%20Fever&amp;_sacat=0&amp;LH_Sold=1&amp;LH_Complete=1&amp;_sop=13", "Completed")</f>
        <v/>
      </c>
      <c r="K1615" s="5" t="inlineStr">
        <is>
          <t>2025 Panini Prizm WNBA Sophie Cunningham White Seismic Prizm #63 Fever</t>
        </is>
      </c>
    </row>
    <row r="1616">
      <c r="A1616" s="5" t="inlineStr">
        <is>
          <t>WBNA-070826-00011-01175</t>
        </is>
      </c>
      <c r="B1616" s="5" t="inlineStr">
        <is>
          <t>2025 Topps Chrome McDonald's All-American HAILEE SWAIN #57 RayWave Refractor</t>
        </is>
      </c>
      <c r="C1616" s="6" t="n">
        <v>1.99</v>
      </c>
      <c r="D1616" s="6" t="n">
        <v>2.49</v>
      </c>
      <c r="E1616" s="6" t="n">
        <v>0.5</v>
      </c>
      <c r="F1616" s="7" t="n">
        <v>25.1</v>
      </c>
      <c r="G1616" s="5" t="inlineStr">
        <is>
          <t>⬆ Price Up</t>
        </is>
      </c>
      <c r="H1616" s="5" t="inlineStr">
        <is>
          <t>89%</t>
        </is>
      </c>
      <c r="I1616" s="5">
        <f>HYPERLINK("https://www.ebay.com/sch/261328/i.html?_dcat=261328&amp;_fsrp=1&amp;rt=nc&amp;_from=R40&amp;_nkw=2025%20Topps%20Chrome%20McDonald's%20All-American%20HAILEE%20SWAIN%20%2357%20RayWave%20Refractor&amp;_sacat=0&amp;_sop=15&amp;rt=nc&amp;LH_BIN=1", "Active")</f>
        <v/>
      </c>
      <c r="J1616" s="5">
        <f>HYPERLINK("https://www.ebay.com/sch/261328/i.html?_from=R40&amp;_nkw=2025%20Topps%20Chrome%20McDonald's%20All-American%20HAILEE%20SWAIN%20%2357%20RayWave%20Refractor&amp;_sacat=0&amp;LH_Sold=1&amp;LH_Complete=1&amp;_sop=13", "Completed")</f>
        <v/>
      </c>
      <c r="K1616" s="5" t="inlineStr">
        <is>
          <t>2025 Topps Chrome McDonald's All American HAILEE SWAIN RayWave Refractor #57 NM</t>
        </is>
      </c>
    </row>
    <row r="1617">
      <c r="A1617" s="5" t="inlineStr">
        <is>
          <t>WBNA-070826-00006-42909</t>
        </is>
      </c>
      <c r="B1617" s="5" t="inlineStr">
        <is>
          <t>2025 Topps Chrome McDonald's All-American RON HOLLAND II #88</t>
        </is>
      </c>
      <c r="C1617" s="6" t="n">
        <v>1.99</v>
      </c>
      <c r="D1617" s="6" t="n">
        <v>2.49</v>
      </c>
      <c r="E1617" s="6" t="n">
        <v>0.5</v>
      </c>
      <c r="F1617" s="7" t="n">
        <v>25.1</v>
      </c>
      <c r="G1617" s="5" t="inlineStr">
        <is>
          <t>⬆ Price Up</t>
        </is>
      </c>
      <c r="H1617" s="5" t="inlineStr">
        <is>
          <t>85%</t>
        </is>
      </c>
      <c r="I1617" s="5">
        <f>HYPERLINK("https://www.ebay.com/sch/261328/i.html?_dcat=261328&amp;_fsrp=1&amp;rt=nc&amp;_from=R40&amp;_nkw=2025%20Topps%20Chrome%20McDonald's%20All-American%20RON%20HOLLAND%20II%20%2388&amp;_sacat=0&amp;_sop=15&amp;rt=nc&amp;LH_BIN=1", "Active")</f>
        <v/>
      </c>
      <c r="J1617" s="5">
        <f>HYPERLINK("https://www.ebay.com/sch/261328/i.html?_from=R40&amp;_nkw=2025%20Topps%20Chrome%20McDonald's%20All-American%20RON%20HOLLAND%20II%20%2388&amp;_sacat=0&amp;LH_Sold=1&amp;LH_Complete=1&amp;_sop=13", "Completed")</f>
        <v/>
      </c>
      <c r="K1617" s="5" t="inlineStr">
        <is>
          <t>2025 Topps Chrome McDonald's All American #88 Ron Holland II - Detroit Pistons</t>
        </is>
      </c>
    </row>
    <row r="1618">
      <c r="A1618" s="5" t="inlineStr">
        <is>
          <t>WBNA-070826-00010-86555</t>
        </is>
      </c>
      <c r="B1618" s="5" t="inlineStr">
        <is>
          <t>2025 Topps Chrome McDonald's All-American ALIYAHNA MORRIS #69</t>
        </is>
      </c>
      <c r="C1618" s="6" t="n">
        <v>1.5</v>
      </c>
      <c r="D1618" s="6" t="n">
        <v>2.49</v>
      </c>
      <c r="E1618" s="6" t="n">
        <v>0.99</v>
      </c>
      <c r="F1618" s="7" t="n">
        <v>66</v>
      </c>
      <c r="G1618" s="5" t="inlineStr">
        <is>
          <t>⬆ Price Up</t>
        </is>
      </c>
      <c r="H1618" s="5" t="inlineStr">
        <is>
          <t>67%</t>
        </is>
      </c>
      <c r="I1618" s="5">
        <f>HYPERLINK("https://www.ebay.com/sch/261328/i.html?_dcat=261328&amp;_fsrp=1&amp;rt=nc&amp;_from=R40&amp;_nkw=2025%20Topps%20Chrome%20McDonald's%20All-American%20ALIYAHNA%20MORRIS%20%2369&amp;_sacat=0&amp;_sop=15&amp;rt=nc&amp;LH_BIN=1", "Active")</f>
        <v/>
      </c>
      <c r="J1618" s="5">
        <f>HYPERLINK("https://www.ebay.com/sch/261328/i.html?_from=R40&amp;_nkw=2025%20Topps%20Chrome%20McDonald's%20All-American%20ALIYAHNA%20MORRIS%20%2369&amp;_sacat=0&amp;LH_Sold=1&amp;LH_Complete=1&amp;_sop=13", "Completed")</f>
        <v/>
      </c>
      <c r="K1618" s="5" t="inlineStr">
        <is>
          <t>2025 Topps Chrome McDonald’s All American Pick Your Card 1-100 - Buy More &amp; Save</t>
        </is>
      </c>
    </row>
    <row r="1619">
      <c r="A1619" s="5" t="inlineStr">
        <is>
          <t>WBNA-070826-00018-78061</t>
        </is>
      </c>
      <c r="B1619" s="5" t="inlineStr">
        <is>
          <t>2025 Topps Chrome McDonald's All-American ALIYAHNA MORRIS #69 RayWave Refractor</t>
        </is>
      </c>
      <c r="C1619" s="6" t="n">
        <v>1.99</v>
      </c>
      <c r="D1619" s="6" t="n">
        <v>2.49</v>
      </c>
      <c r="E1619" s="6" t="n">
        <v>0.5</v>
      </c>
      <c r="F1619" s="7" t="n">
        <v>25.1</v>
      </c>
      <c r="G1619" s="5" t="inlineStr">
        <is>
          <t>⬆ Price Up</t>
        </is>
      </c>
      <c r="H1619" s="5" t="inlineStr">
        <is>
          <t>88%</t>
        </is>
      </c>
      <c r="I1619" s="5">
        <f>HYPERLINK("https://www.ebay.com/sch/261328/i.html?_dcat=261328&amp;_fsrp=1&amp;rt=nc&amp;_from=R40&amp;_nkw=2025%20Topps%20Chrome%20McDonald's%20All-American%20ALIYAHNA%20MORRIS%20%2369%20RayWave%20Refractor&amp;_sacat=0&amp;_sop=15&amp;rt=nc&amp;LH_BIN=1", "Active")</f>
        <v/>
      </c>
      <c r="J1619" s="5">
        <f>HYPERLINK("https://www.ebay.com/sch/261328/i.html?_from=R40&amp;_nkw=2025%20Topps%20Chrome%20McDonald's%20All-American%20ALIYAHNA%20MORRIS%20%2369%20RayWave%20Refractor&amp;_sacat=0&amp;LH_Sold=1&amp;LH_Complete=1&amp;_sop=13", "Completed")</f>
        <v/>
      </c>
      <c r="K1619" s="5" t="inlineStr">
        <is>
          <t>2025 Topps Chrome McDonald's All American ALIYAHNA MORRIS RC RayWave Refractor #</t>
        </is>
      </c>
    </row>
    <row r="1620">
      <c r="A1620" s="5" t="inlineStr">
        <is>
          <t>WBNA-070826-00014-95772</t>
        </is>
      </c>
      <c r="B1620" s="5" t="inlineStr">
        <is>
          <t>2025 Topps Chrome McDonald's All-American TYRESE MAXEY #80 RayWave Refractor</t>
        </is>
      </c>
      <c r="C1620" s="6" t="n">
        <v>1.5</v>
      </c>
      <c r="D1620" s="6" t="n">
        <v>2.49</v>
      </c>
      <c r="E1620" s="6" t="n">
        <v>0.99</v>
      </c>
      <c r="F1620" s="7" t="n">
        <v>66</v>
      </c>
      <c r="G1620" s="5" t="inlineStr">
        <is>
          <t>⬆ Price Up</t>
        </is>
      </c>
      <c r="H1620" s="5" t="inlineStr">
        <is>
          <t>73%</t>
        </is>
      </c>
      <c r="I1620" s="5">
        <f>HYPERLINK("https://www.ebay.com/sch/261328/i.html?_dcat=261328&amp;_fsrp=1&amp;rt=nc&amp;_from=R40&amp;_nkw=2025%20Topps%20Chrome%20McDonald's%20All-American%20TYRESE%20MAXEY%20%2380%20RayWave%20Refractor&amp;_sacat=0&amp;_sop=15&amp;rt=nc&amp;LH_BIN=1", "Active")</f>
        <v/>
      </c>
      <c r="J1620" s="5">
        <f>HYPERLINK("https://www.ebay.com/sch/261328/i.html?_from=R40&amp;_nkw=2025%20Topps%20Chrome%20McDonald's%20All-American%20TYRESE%20MAXEY%20%2380%20RayWave%20Refractor&amp;_sacat=0&amp;LH_Sold=1&amp;LH_Complete=1&amp;_sop=13", "Completed")</f>
        <v/>
      </c>
      <c r="K1620" s="5" t="inlineStr">
        <is>
          <t>Tyrese Maxey Mcdonald's All American RayWave Refractor - 2025 Topps Chrome - #80</t>
        </is>
      </c>
    </row>
    <row r="1621">
      <c r="A1621" s="5" t="inlineStr">
        <is>
          <t>WBNA-070826-00005-92253</t>
        </is>
      </c>
      <c r="B1621" s="5" t="inlineStr">
        <is>
          <t>2025 Topps Chrome McDonald's All-American QUENTIN GRIMES #90</t>
        </is>
      </c>
      <c r="C1621" s="6" t="n">
        <v>1.49</v>
      </c>
      <c r="D1621" s="6" t="n">
        <v>2.49</v>
      </c>
      <c r="E1621" s="6" t="n">
        <v>1</v>
      </c>
      <c r="F1621" s="7" t="n">
        <v>67.09999999999999</v>
      </c>
      <c r="G1621" s="5" t="inlineStr">
        <is>
          <t>⬆ Price Up</t>
        </is>
      </c>
      <c r="H1621" s="5" t="inlineStr">
        <is>
          <t>88%</t>
        </is>
      </c>
      <c r="I1621" s="5">
        <f>HYPERLINK("https://www.ebay.com/sch/261328/i.html?_dcat=261328&amp;_fsrp=1&amp;rt=nc&amp;_from=R40&amp;_nkw=2025%20Topps%20Chrome%20McDonald's%20All-American%20QUENTIN%20GRIMES%20%2390&amp;_sacat=0&amp;_sop=15&amp;rt=nc&amp;LH_BIN=1", "Active")</f>
        <v/>
      </c>
      <c r="J1621" s="5">
        <f>HYPERLINK("https://www.ebay.com/sch/261328/i.html?_from=R40&amp;_nkw=2025%20Topps%20Chrome%20McDonald's%20All-American%20QUENTIN%20GRIMES%20%2390&amp;_sacat=0&amp;LH_Sold=1&amp;LH_Complete=1&amp;_sop=13", "Completed")</f>
        <v/>
      </c>
      <c r="K1621" s="5" t="inlineStr">
        <is>
          <t>2025 Topps Chrome McDonald’s All American - Quentin Grimes</t>
        </is>
      </c>
    </row>
    <row r="1622">
      <c r="A1622" s="2" t="inlineStr">
        <is>
          <t>WBNA-070826-00016-23044</t>
        </is>
      </c>
      <c r="B1622" s="2" t="inlineStr">
        <is>
          <t>2025 TOPPS MCDONALD'S ALL-AMERICAN MIA PAULDO #HR-25 BLUE RAYWAVE REFRACTOR</t>
        </is>
      </c>
      <c r="C1622" s="3" t="n">
        <v>2.99</v>
      </c>
      <c r="D1622" s="3" t="n">
        <v>2.49</v>
      </c>
      <c r="E1622" s="3" t="n">
        <v>-0.5</v>
      </c>
      <c r="F1622" s="4" t="n">
        <v>-16.7</v>
      </c>
      <c r="G1622" s="2" t="inlineStr">
        <is>
          <t>🔵 Floored $2.49 — free ship or $0.99 ship?</t>
        </is>
      </c>
      <c r="H1622" s="2" t="inlineStr">
        <is>
          <t>84%</t>
        </is>
      </c>
      <c r="I1622" s="2">
        <f>HYPERLINK("https://www.ebay.com/sch/261328/i.html?_dcat=261328&amp;_fsrp=1&amp;rt=nc&amp;_from=R40&amp;_nkw=2025%20TOPPS%20MCDONALD'S%20ALL-AMERICAN%20MIA%20PAULDO%20%23HR-25%20BLUE%20RAYWAVE%20REFRACTOR&amp;_sacat=0&amp;_sop=15&amp;rt=nc&amp;LH_BIN=1", "Active")</f>
        <v/>
      </c>
      <c r="J1622" s="2">
        <f>HYPERLINK("https://www.ebay.com/sch/261328/i.html?_from=R40&amp;_nkw=2025%20TOPPS%20MCDONALD'S%20ALL-AMERICAN%20MIA%20PAULDO%20%23HR-25%20BLUE%20RAYWAVE%20REFRACTOR&amp;_sacat=0&amp;LH_Sold=1&amp;LH_Complete=1&amp;_sop=13", "Completed")</f>
        <v/>
      </c>
      <c r="K1622" s="2" t="inlineStr">
        <is>
          <t>2025 Topps Chrome Mcdonald's All American - High Rises Mia Pauldo #HR-25 Blue...</t>
        </is>
      </c>
    </row>
    <row r="1623">
      <c r="A1623" s="5" t="inlineStr">
        <is>
          <t>WBNA-070826-00020-16160</t>
        </is>
      </c>
      <c r="B1623" s="5" t="inlineStr">
        <is>
          <t>2025 Topps Chrome McDonald's All-American JALIYA DAVIS #59</t>
        </is>
      </c>
      <c r="C1623" s="6" t="n">
        <v>1.5</v>
      </c>
      <c r="D1623" s="6" t="n">
        <v>2.49</v>
      </c>
      <c r="E1623" s="6" t="n">
        <v>0.99</v>
      </c>
      <c r="F1623" s="7" t="n">
        <v>66</v>
      </c>
      <c r="G1623" s="5" t="inlineStr">
        <is>
          <t>⬆ Price Up</t>
        </is>
      </c>
      <c r="H1623" s="5" t="inlineStr">
        <is>
          <t>85%</t>
        </is>
      </c>
      <c r="I1623" s="5">
        <f>HYPERLINK("https://www.ebay.com/sch/261328/i.html?_dcat=261328&amp;_fsrp=1&amp;rt=nc&amp;_from=R40&amp;_nkw=2025%20Topps%20Chrome%20McDonald's%20All-American%20JALIYA%20DAVIS%20%2359&amp;_sacat=0&amp;_sop=15&amp;rt=nc&amp;LH_BIN=1", "Active")</f>
        <v/>
      </c>
      <c r="J1623" s="5">
        <f>HYPERLINK("https://www.ebay.com/sch/261328/i.html?_from=R40&amp;_nkw=2025%20Topps%20Chrome%20McDonald's%20All-American%20JALIYA%20DAVIS%20%2359&amp;_sacat=0&amp;LH_Sold=1&amp;LH_Complete=1&amp;_sop=13", "Completed")</f>
        <v/>
      </c>
      <c r="K1623" s="5" t="inlineStr">
        <is>
          <t>2025 Topps Chrome McDonald's All American #59 Jaliya Davis Raywave Refractor</t>
        </is>
      </c>
    </row>
    <row r="1624">
      <c r="A1624" s="5" t="inlineStr">
        <is>
          <t>WBNA-070826-00013-76906</t>
        </is>
      </c>
      <c r="B1624" s="5" t="inlineStr">
        <is>
          <t>2025 TOPPS MCDONALD'S ALL-AMERICAN SHON ABAEV #39 GOLD RAYWAVE REFRACTOR /50</t>
        </is>
      </c>
      <c r="C1624" s="6" t="n">
        <v>9.99</v>
      </c>
      <c r="D1624" s="6" t="n">
        <v>11.09</v>
      </c>
      <c r="E1624" s="6" t="n">
        <v>1.1</v>
      </c>
      <c r="F1624" s="7" t="n">
        <v>11</v>
      </c>
      <c r="G1624" s="5" t="inlineStr">
        <is>
          <t>⬆ Price Up</t>
        </is>
      </c>
      <c r="H1624" s="5" t="inlineStr">
        <is>
          <t>100%</t>
        </is>
      </c>
      <c r="I1624" s="5">
        <f>HYPERLINK("https://www.ebay.com/sch/261328/i.html?_dcat=261328&amp;_fsrp=1&amp;rt=nc&amp;_from=R40&amp;_nkw=2025%20TOPPS%20MCDONALD'S%20ALL-AMERICAN%20SHON%20ABAEV%20%2339%20GOLD%20RAYWAVE%20REFRACTOR%20%2F50&amp;_sacat=0&amp;_sop=15&amp;rt=nc&amp;LH_BIN=1", "Active")</f>
        <v/>
      </c>
      <c r="J1624" s="5">
        <f>HYPERLINK("https://www.ebay.com/sch/261328/i.html?_from=R40&amp;_nkw=2025%20TOPPS%20MCDONALD'S%20ALL-AMERICAN%20SHON%20ABAEV%20%2339%20GOLD%20RAYWAVE%20REFRACTOR%20%2F50&amp;_sacat=0&amp;LH_Sold=1&amp;LH_Complete=1&amp;_sop=13", "Completed")</f>
        <v/>
      </c>
      <c r="K1624" s="5" t="inlineStr">
        <is>
          <t>2025 TOPPS MCDONALD'S ALL-AMERICAN SHON ABAEV #39 GOLD RAYWAVE REFRACTOR /50</t>
        </is>
      </c>
    </row>
    <row r="1625">
      <c r="A1625" s="5" t="inlineStr">
        <is>
          <t>WBNA-070826-00001-89215</t>
        </is>
      </c>
      <c r="B1625" s="5" t="inlineStr">
        <is>
          <t>2025 Panini Donruss WNBA SARAH ASHLEE BARKER #100 Rated Rookie RC Sparks</t>
        </is>
      </c>
      <c r="C1625" s="6" t="n">
        <v>1.5</v>
      </c>
      <c r="D1625" s="6" t="n">
        <v>2.49</v>
      </c>
      <c r="E1625" s="6" t="n">
        <v>0.99</v>
      </c>
      <c r="F1625" s="7" t="n">
        <v>66</v>
      </c>
      <c r="G1625" s="5" t="inlineStr">
        <is>
          <t>⬆ Price Up</t>
        </is>
      </c>
      <c r="H1625" s="5" t="inlineStr">
        <is>
          <t>65%</t>
        </is>
      </c>
      <c r="I1625" s="5">
        <f>HYPERLINK("https://www.ebay.com/sch/261328/i.html?_dcat=261328&amp;_fsrp=1&amp;rt=nc&amp;_from=R40&amp;_nkw=2025%20Panini%20Donruss%20WNBA%20SARAH%20ASHLEE%20BARKER%20%23100%20Rated%20Rookie%20RC%20Sparks&amp;_sacat=0&amp;_sop=15&amp;rt=nc&amp;LH_BIN=1", "Active")</f>
        <v/>
      </c>
      <c r="J1625" s="5">
        <f>HYPERLINK("https://www.ebay.com/sch/261328/i.html?_from=R40&amp;_nkw=2025%20Panini%20Donruss%20WNBA%20SARAH%20ASHLEE%20BARKER%20%23100%20Rated%20Rookie%20RC%20Sparks&amp;_sacat=0&amp;LH_Sold=1&amp;LH_Complete=1&amp;_sop=13", "Completed")</f>
        <v/>
      </c>
      <c r="K1625" s="5" t="inlineStr">
        <is>
          <t>2025 Donruss Panini WNBA - Base &amp; RC  - You Pick!</t>
        </is>
      </c>
    </row>
    <row r="1626">
      <c r="A1626" s="5" t="inlineStr">
        <is>
          <t>WBNA-070826-00015-54012</t>
        </is>
      </c>
      <c r="B1626" s="5" t="inlineStr">
        <is>
          <t>2025 TOPPS MCDONALD'S ALL-AMERICAN MIKEL BROWN JR. #47 BLUE RAYWAVE REFRACTOR</t>
        </is>
      </c>
      <c r="C1626" s="6" t="n">
        <v>2.99</v>
      </c>
      <c r="D1626" s="6" t="n">
        <v>4.39</v>
      </c>
      <c r="E1626" s="6" t="n">
        <v>1.4</v>
      </c>
      <c r="F1626" s="7" t="n">
        <v>46.8</v>
      </c>
      <c r="G1626" s="5" t="inlineStr">
        <is>
          <t>⬆ Price Up</t>
        </is>
      </c>
      <c r="H1626" s="5" t="inlineStr">
        <is>
          <t>100%</t>
        </is>
      </c>
      <c r="I1626" s="5">
        <f>HYPERLINK("https://www.ebay.com/sch/261328/i.html?_dcat=261328&amp;_fsrp=1&amp;rt=nc&amp;_from=R40&amp;_nkw=2025%20TOPPS%20MCDONALD'S%20ALL-AMERICAN%20MIKEL%20BROWN%20JR.%20%2347%20BLUE%20RAYWAVE%20REFRACTOR&amp;_sacat=0&amp;_sop=15&amp;rt=nc&amp;LH_BIN=1", "Active")</f>
        <v/>
      </c>
      <c r="J1626" s="5">
        <f>HYPERLINK("https://www.ebay.com/sch/261328/i.html?_from=R40&amp;_nkw=2025%20TOPPS%20MCDONALD'S%20ALL-AMERICAN%20MIKEL%20BROWN%20JR.%20%2347%20BLUE%20RAYWAVE%20REFRACTOR&amp;_sacat=0&amp;LH_Sold=1&amp;LH_Complete=1&amp;_sop=13", "Completed")</f>
        <v/>
      </c>
      <c r="K1626" s="5" t="inlineStr">
        <is>
          <t>2025 TOPPS MCDONALD'S ALL-AMERICAN MIKEL BROWN JR. #47 BLUE RAYWAVE REFRACTOR</t>
        </is>
      </c>
    </row>
    <row r="1627">
      <c r="A1627" s="11" t="inlineStr">
        <is>
          <t>MISC-070826-00004-30890</t>
        </is>
      </c>
      <c r="B1627" s="11" t="inlineStr">
        <is>
          <t>2026 Bowman GAGE JUMP #BP-15 Logo Pattern 1st Prospect Athletics</t>
        </is>
      </c>
      <c r="C1627" s="12" t="n">
        <v>29</v>
      </c>
      <c r="D1627" s="12" t="n">
        <v>27.19</v>
      </c>
      <c r="E1627" s="12" t="n">
        <v>-1.81</v>
      </c>
      <c r="F1627" s="13" t="n">
        <v>-6.2</v>
      </c>
      <c r="G1627" s="11" t="inlineStr">
        <is>
          <t>⬇ Price Down</t>
        </is>
      </c>
      <c r="H1627" s="11" t="inlineStr">
        <is>
          <t>87%</t>
        </is>
      </c>
      <c r="I1627" s="11">
        <f>HYPERLINK("https://www.ebay.com/sch/261328/i.html?_dcat=261328&amp;_fsrp=1&amp;rt=nc&amp;_from=R40&amp;_nkw=2026%20Bowman%20GAGE%20JUMP%20%23BP-15%20Logo%20Pattern%201st%20Prospect%20Athletics&amp;_sacat=0&amp;_sop=15&amp;rt=nc&amp;LH_BIN=1", "Active")</f>
        <v/>
      </c>
      <c r="J1627" s="11">
        <f>HYPERLINK("https://www.ebay.com/sch/261328/i.html?_from=R40&amp;_nkw=2026%20Bowman%20GAGE%20JUMP%20%23BP-15%20Logo%20Pattern%201st%20Prospect%20Athletics&amp;_sacat=0&amp;LH_Sold=1&amp;LH_Complete=1&amp;_sop=13", "Completed")</f>
        <v/>
      </c>
      <c r="K1627" s="11" t="inlineStr">
        <is>
          <t>2026 Bowman GAGE JUMP 1st Logo Pattern Variation #BP-15 Athletics Prospect SP</t>
        </is>
      </c>
    </row>
    <row r="1628">
      <c r="A1628" s="5" t="inlineStr">
        <is>
          <t>MISC-070826-00003-15164</t>
        </is>
      </c>
      <c r="B1628" s="5" t="inlineStr">
        <is>
          <t>2024-25 Panini Select DE'AARON FOX #150 Premier Light Blue Prizm /299 Spurs</t>
        </is>
      </c>
      <c r="C1628" s="6" t="n">
        <v>3.99</v>
      </c>
      <c r="D1628" s="6" t="n">
        <v>5.19</v>
      </c>
      <c r="E1628" s="6" t="n">
        <v>1.2</v>
      </c>
      <c r="F1628" s="7" t="n">
        <v>30.1</v>
      </c>
      <c r="G1628" s="5" t="inlineStr">
        <is>
          <t>⬆ Price Up</t>
        </is>
      </c>
      <c r="H1628" s="5" t="inlineStr">
        <is>
          <t>86%</t>
        </is>
      </c>
      <c r="I1628" s="5">
        <f>HYPERLINK("https://www.ebay.com/sch/261328/i.html?_dcat=261328&amp;_fsrp=1&amp;rt=nc&amp;_from=R40&amp;_nkw=2024-25%20Panini%20Select%20DE'AARON%20FOX%20%23150%20Premier%20Light%20Blue%20Prizm%20%2F299%20Spurs&amp;_sacat=0&amp;_sop=15&amp;rt=nc&amp;LH_BIN=1", "Active")</f>
        <v/>
      </c>
      <c r="J1628" s="5">
        <f>HYPERLINK("https://www.ebay.com/sch/261328/i.html?_from=R40&amp;_nkw=2024-25%20Panini%20Select%20DE'AARON%20FOX%20%23150%20Premier%20Light%20Blue%20Prizm%20%2F299%20Spurs&amp;_sacat=0&amp;LH_Sold=1&amp;LH_Complete=1&amp;_sop=13", "Completed")</f>
        <v/>
      </c>
      <c r="K1628" s="5" t="inlineStr">
        <is>
          <t>2024-25 Panini Select - Premier Level De'Aaron Fox Blue Prizm /299 Kings/Spurs</t>
        </is>
      </c>
    </row>
    <row r="1629">
      <c r="A1629" s="11" t="inlineStr">
        <is>
          <t>MISC-070826-00001-96668</t>
        </is>
      </c>
      <c r="B1629" s="11" t="inlineStr">
        <is>
          <t>1996-97 Fleer MICHAEL JORDAN #282 Bulls</t>
        </is>
      </c>
      <c r="C1629" s="12" t="n">
        <v>7.5</v>
      </c>
      <c r="D1629" s="12" t="n">
        <v>5.69</v>
      </c>
      <c r="E1629" s="12" t="n">
        <v>-1.81</v>
      </c>
      <c r="F1629" s="13" t="n">
        <v>-24.1</v>
      </c>
      <c r="G1629" s="11" t="inlineStr">
        <is>
          <t>⬇ Price Down</t>
        </is>
      </c>
      <c r="H1629" s="11" t="inlineStr">
        <is>
          <t>68%</t>
        </is>
      </c>
      <c r="I1629" s="11">
        <f>HYPERLINK("https://www.ebay.com/sch/261328/i.html?_dcat=261328&amp;_fsrp=1&amp;rt=nc&amp;_from=R40&amp;_nkw=1996-97%20Fleer%20MICHAEL%20JORDAN%20%23282%20Bulls&amp;_sacat=0&amp;_sop=15&amp;rt=nc&amp;LH_BIN=1", "Active")</f>
        <v/>
      </c>
      <c r="J1629" s="11">
        <f>HYPERLINK("https://www.ebay.com/sch/261328/i.html?_from=R40&amp;_nkw=1996-97%20Fleer%20MICHAEL%20JORDAN%20%23282%20Bulls&amp;_sacat=0&amp;LH_Sold=1&amp;LH_Complete=1&amp;_sop=13", "Completed")</f>
        <v/>
      </c>
      <c r="K1629" s="11" t="inlineStr">
        <is>
          <t>Fleer 1996-97 NBA All-Star Retro Michael Jordan #282 Bulls Basketball Card</t>
        </is>
      </c>
    </row>
    <row r="1630">
      <c r="A1630" s="2" t="inlineStr">
        <is>
          <t>RBBB5-0001-00115-29834</t>
        </is>
      </c>
      <c r="B1630" s="2" t="inlineStr">
        <is>
          <t>2025 Bowman's Best NICK KURTZ #42 RC Athletics Rookie</t>
        </is>
      </c>
      <c r="C1630" s="3" t="n">
        <v>2.99</v>
      </c>
      <c r="D1630" s="3" t="n">
        <v>2.49</v>
      </c>
      <c r="E1630" s="3" t="n">
        <v>-0.5</v>
      </c>
      <c r="F1630" s="4" t="n">
        <v>-16.7</v>
      </c>
      <c r="G1630" s="2" t="inlineStr">
        <is>
          <t>🔵 Floored $2.49 — free ship or $0.99 ship?</t>
        </is>
      </c>
      <c r="H1630" s="2" t="inlineStr">
        <is>
          <t>81%</t>
        </is>
      </c>
      <c r="I1630" s="2">
        <f>HYPERLINK("https://www.ebay.com/sch/261328/i.html?_dcat=261328&amp;_fsrp=1&amp;rt=nc&amp;_from=R40&amp;_nkw=2025%20Bowman's%20Best%20NICK%20KURTZ%20%2342%20RC%20Athletics%20Rookie&amp;_sacat=0&amp;_sop=15&amp;rt=nc&amp;LH_BIN=1", "Active")</f>
        <v/>
      </c>
      <c r="J1630" s="2">
        <f>HYPERLINK("https://www.ebay.com/sch/261328/i.html?_from=R40&amp;_nkw=2025%20Bowman's%20Best%20NICK%20KURTZ%20%2342%20RC%20Athletics%20Rookie&amp;_sacat=0&amp;LH_Sold=1&amp;LH_Complete=1&amp;_sop=13", "Completed")</f>
        <v/>
      </c>
      <c r="K1630" s="2" t="inlineStr">
        <is>
          <t>2026 Bowman's Best Nick Kurtz RC Rookie #42 Oakland Athletics All Star 2026</t>
        </is>
      </c>
    </row>
    <row r="1631">
      <c r="A1631" s="5" t="inlineStr">
        <is>
          <t>RBBB5-0001-00059-49897</t>
        </is>
      </c>
      <c r="B1631" s="5" t="inlineStr">
        <is>
          <t>2025 Bowman Draft Sapphire JT QUINN #BDC-85 Chrome 1st Prospect Orioles</t>
        </is>
      </c>
      <c r="C1631" s="6" t="n">
        <v>4.99</v>
      </c>
      <c r="D1631" s="6" t="n">
        <v>6.29</v>
      </c>
      <c r="E1631" s="6" t="n">
        <v>1.3</v>
      </c>
      <c r="F1631" s="7" t="n">
        <v>26.1</v>
      </c>
      <c r="G1631" s="5" t="inlineStr">
        <is>
          <t>⬆ Price Up</t>
        </is>
      </c>
      <c r="H1631" s="5" t="inlineStr">
        <is>
          <t>100%</t>
        </is>
      </c>
      <c r="I1631" s="5">
        <f>HYPERLINK("https://www.ebay.com/sch/261328/i.html?_dcat=261328&amp;_fsrp=1&amp;rt=nc&amp;_from=R40&amp;_nkw=2025%20Bowman%20Draft%20Sapphire%20JT%20QUINN%20%23BDC-85%20Chrome%201st%20Prospect%20Orioles&amp;_sacat=0&amp;_sop=15&amp;rt=nc&amp;LH_BIN=1", "Active")</f>
        <v/>
      </c>
      <c r="J1631" s="5">
        <f>HYPERLINK("https://www.ebay.com/sch/261328/i.html?_from=R40&amp;_nkw=2025%20Bowman%20Draft%20Sapphire%20JT%20QUINN%20%23BDC-85%20Chrome%201st%20Prospect%20Orioles&amp;_sacat=0&amp;LH_Sold=1&amp;LH_Complete=1&amp;_sop=13", "Completed")</f>
        <v/>
      </c>
      <c r="K1631" s="5" t="inlineStr">
        <is>
          <t>2025 Bowman Draft Sapphire JT QUINN #BDC-85 Chrome 1st Prospect Orioles</t>
        </is>
      </c>
    </row>
    <row r="1632">
      <c r="A1632" s="5" t="inlineStr">
        <is>
          <t>POOKIEWHT-0001-00005-89326</t>
        </is>
      </c>
      <c r="B1632" s="5" t="inlineStr">
        <is>
          <t>2025 Bowman Draft Sapphire COLIN YEAMAN #BDC-47 Chrome 1st Prospect Orioles</t>
        </is>
      </c>
      <c r="C1632" s="6" t="n">
        <v>2.99</v>
      </c>
      <c r="D1632" s="6" t="n">
        <v>4.39</v>
      </c>
      <c r="E1632" s="6" t="n">
        <v>1.4</v>
      </c>
      <c r="F1632" s="7" t="n">
        <v>46.8</v>
      </c>
      <c r="G1632" s="5" t="inlineStr">
        <is>
          <t>⬆ Price Up</t>
        </is>
      </c>
      <c r="H1632" s="5" t="inlineStr">
        <is>
          <t>100%</t>
        </is>
      </c>
      <c r="I1632" s="5">
        <f>HYPERLINK("https://www.ebay.com/sch/261328/i.html?_dcat=261328&amp;_fsrp=1&amp;rt=nc&amp;_from=R40&amp;_nkw=2025%20Bowman%20Draft%20Sapphire%20COLIN%20YEAMAN%20%23BDC-47%20Chrome%201st%20Prospect%20Orioles&amp;_sacat=0&amp;_sop=15&amp;rt=nc&amp;LH_BIN=1", "Active")</f>
        <v/>
      </c>
      <c r="J1632" s="5">
        <f>HYPERLINK("https://www.ebay.com/sch/261328/i.html?_from=R40&amp;_nkw=2025%20Bowman%20Draft%20Sapphire%20COLIN%20YEAMAN%20%23BDC-47%20Chrome%201st%20Prospect%20Orioles&amp;_sacat=0&amp;LH_Sold=1&amp;LH_Complete=1&amp;_sop=13", "Completed")</f>
        <v/>
      </c>
      <c r="K1632" s="5" t="inlineStr">
        <is>
          <t>2025 Bowman Draft Sapphire COLIN YEAMAN #BDC-47 Chrome 1st Prospect Orioles</t>
        </is>
      </c>
    </row>
    <row r="1633">
      <c r="A1633" s="5" t="inlineStr">
        <is>
          <t>MISC-070926-00003-85731</t>
        </is>
      </c>
      <c r="B1633" s="5" t="inlineStr">
        <is>
          <t>2025 Topps SPENCER BIVENS #537 Gold Holo Foil /50 RC Giants</t>
        </is>
      </c>
      <c r="C1633" s="6" t="n">
        <v>12.99</v>
      </c>
      <c r="D1633" s="6" t="n">
        <v>13.99</v>
      </c>
      <c r="E1633" s="6" t="n">
        <v>1</v>
      </c>
      <c r="F1633" s="7" t="n">
        <v>7.7</v>
      </c>
      <c r="G1633" s="5" t="inlineStr">
        <is>
          <t>⬆ Price Up</t>
        </is>
      </c>
      <c r="H1633" s="5" t="inlineStr">
        <is>
          <t>100%</t>
        </is>
      </c>
      <c r="I1633" s="5">
        <f>HYPERLINK("https://www.ebay.com/sch/261328/i.html?_dcat=261328&amp;_fsrp=1&amp;rt=nc&amp;_from=R40&amp;_nkw=2025%20Topps%20SPENCER%20BIVENS%20%23537%20Gold%20Holo%20Foil%20%2F50%20RC%20Giants&amp;_sacat=0&amp;_sop=15&amp;rt=nc&amp;LH_BIN=1", "Active")</f>
        <v/>
      </c>
      <c r="J1633" s="5">
        <f>HYPERLINK("https://www.ebay.com/sch/261328/i.html?_from=R40&amp;_nkw=2025%20Topps%20SPENCER%20BIVENS%20%23537%20Gold%20Holo%20Foil%20%2F50%20RC%20Giants&amp;_sacat=0&amp;LH_Sold=1&amp;LH_Complete=1&amp;_sop=13", "Completed")</f>
        <v/>
      </c>
      <c r="K1633" s="5" t="inlineStr">
        <is>
          <t>2025 Topps SPENCER BIVENS #537 Gold Holo Foil /50 RC Giants</t>
        </is>
      </c>
    </row>
    <row r="1634">
      <c r="A1634" s="5" t="inlineStr">
        <is>
          <t>BB-071126-00017-05690</t>
        </is>
      </c>
      <c r="B1634" s="5" t="inlineStr">
        <is>
          <t>2025 Bowman Draft JOJO PARKER #BDC-8 Refractor 1st Prospect Blue Jays</t>
        </is>
      </c>
      <c r="C1634" s="6" t="n">
        <v>4.99</v>
      </c>
      <c r="D1634" s="6" t="n">
        <v>5.89</v>
      </c>
      <c r="E1634" s="6" t="n">
        <v>0.9</v>
      </c>
      <c r="F1634" s="7" t="n">
        <v>18</v>
      </c>
      <c r="G1634" s="5" t="inlineStr">
        <is>
          <t>⬆ Price Up</t>
        </is>
      </c>
      <c r="H1634" s="5" t="inlineStr">
        <is>
          <t>87%</t>
        </is>
      </c>
      <c r="I1634" s="5">
        <f>HYPERLINK("https://www.ebay.com/sch/261328/i.html?_dcat=261328&amp;_fsrp=1&amp;rt=nc&amp;_from=R40&amp;_nkw=2025%20Bowman%20Draft%20JOJO%20PARKER%20%23BDC-8%20Refractor%201st%20Prospect%20Blue%20Jays&amp;_sacat=0&amp;_sop=15&amp;rt=nc&amp;LH_BIN=1", "Active")</f>
        <v/>
      </c>
      <c r="J1634" s="5">
        <f>HYPERLINK("https://www.ebay.com/sch/261328/i.html?_from=R40&amp;_nkw=2025%20Bowman%20Draft%20JOJO%20PARKER%20%23BDC-8%20Refractor%201st%20Prospect%20Blue%20Jays&amp;_sacat=0&amp;LH_Sold=1&amp;LH_Complete=1&amp;_sop=13", "Completed")</f>
        <v/>
      </c>
      <c r="K1634" s="5" t="inlineStr">
        <is>
          <t>2025 Bowman Draft Chrome 1st JoJo Parker Mojo Refractor #BDC-8 Blue Jays</t>
        </is>
      </c>
    </row>
    <row r="1635">
      <c r="A1635" s="5" t="inlineStr">
        <is>
          <t>BB-071126-00013-96877</t>
        </is>
      </c>
      <c r="B1635" s="5" t="inlineStr">
        <is>
          <t>2025 Bowman Draft CHARLES DAVALAN #BDC-96 Refractor 1st Prospect Dodgers</t>
        </is>
      </c>
      <c r="C1635" s="6" t="n">
        <v>2.99</v>
      </c>
      <c r="D1635" s="6" t="n">
        <v>3.09</v>
      </c>
      <c r="E1635" s="6" t="n">
        <v>0.1</v>
      </c>
      <c r="F1635" s="7" t="n">
        <v>3.3</v>
      </c>
      <c r="G1635" s="5" t="inlineStr">
        <is>
          <t>⬆ Price Up</t>
        </is>
      </c>
      <c r="H1635" s="5" t="inlineStr">
        <is>
          <t>88%</t>
        </is>
      </c>
      <c r="I1635" s="5">
        <f>HYPERLINK("https://www.ebay.com/sch/261328/i.html?_dcat=261328&amp;_fsrp=1&amp;rt=nc&amp;_from=R40&amp;_nkw=2025%20Bowman%20Draft%20CHARLES%20DAVALAN%20%23BDC-96%20Refractor%201st%20Prospect%20Dodgers&amp;_sacat=0&amp;_sop=15&amp;rt=nc&amp;LH_BIN=1", "Active")</f>
        <v/>
      </c>
      <c r="J1635" s="5">
        <f>HYPERLINK("https://www.ebay.com/sch/261328/i.html?_from=R40&amp;_nkw=2025%20Bowman%20Draft%20CHARLES%20DAVALAN%20%23BDC-96%20Refractor%201st%20Prospect%20Dodgers&amp;_sacat=0&amp;LH_Sold=1&amp;LH_Complete=1&amp;_sop=13", "Completed")</f>
        <v/>
      </c>
      <c r="K1635" s="5" t="inlineStr">
        <is>
          <t>2025 Bowman Draft Charles Davalan #BDC-96 Chrome Refractor 1st Prospect Dodgers</t>
        </is>
      </c>
    </row>
    <row r="1636">
      <c r="A1636" s="5" t="inlineStr">
        <is>
          <t>BB-071126-00043-77958</t>
        </is>
      </c>
      <c r="B1636" s="5" t="inlineStr">
        <is>
          <t>2025 Bowman Draft JACOB REIMER #BDC-188 Mets</t>
        </is>
      </c>
      <c r="C1636" s="6" t="n">
        <v>1</v>
      </c>
      <c r="D1636" s="6" t="n">
        <v>2.49</v>
      </c>
      <c r="E1636" s="6" t="n">
        <v>1.49</v>
      </c>
      <c r="F1636" s="7" t="n">
        <v>149</v>
      </c>
      <c r="G1636" s="5" t="inlineStr">
        <is>
          <t>⬆ Price Up</t>
        </is>
      </c>
      <c r="H1636" s="5" t="inlineStr">
        <is>
          <t>62%</t>
        </is>
      </c>
      <c r="I1636" s="5">
        <f>HYPERLINK("https://www.ebay.com/sch/261328/i.html?_dcat=261328&amp;_fsrp=1&amp;rt=nc&amp;_from=R40&amp;_nkw=2025%20Bowman%20Draft%20JACOB%20REIMER%20%23BDC-188%20Mets&amp;_sacat=0&amp;_sop=15&amp;rt=nc&amp;LH_BIN=1", "Active")</f>
        <v/>
      </c>
      <c r="J1636" s="5">
        <f>HYPERLINK("https://www.ebay.com/sch/261328/i.html?_from=R40&amp;_nkw=2025%20Bowman%20Draft%20JACOB%20REIMER%20%23BDC-188%20Mets&amp;_sacat=0&amp;LH_Sold=1&amp;LH_Complete=1&amp;_sop=13", "Completed")</f>
        <v/>
      </c>
      <c r="K1636" s="5" t="inlineStr">
        <is>
          <t>2025 Bowman Draft CHROME Propsects BCP-1 to BCP-200 You Pick - 2 Card Minimum</t>
        </is>
      </c>
    </row>
    <row r="1637">
      <c r="A1637" s="5" t="inlineStr">
        <is>
          <t>BB-071126-00011-34322</t>
        </is>
      </c>
      <c r="B1637" s="5" t="inlineStr">
        <is>
          <t>2025 Bowman Chrome CAM SMITH #AD-18 RC Astros</t>
        </is>
      </c>
      <c r="C1637" s="6" t="n">
        <v>1.99</v>
      </c>
      <c r="D1637" s="6" t="n">
        <v>2.49</v>
      </c>
      <c r="E1637" s="6" t="n">
        <v>0.5</v>
      </c>
      <c r="F1637" s="7" t="n">
        <v>25.1</v>
      </c>
      <c r="G1637" s="5" t="inlineStr">
        <is>
          <t>⬆ Price Up</t>
        </is>
      </c>
      <c r="H1637" s="5" t="inlineStr">
        <is>
          <t>83%</t>
        </is>
      </c>
      <c r="I1637" s="5">
        <f>HYPERLINK("https://www.ebay.com/sch/261328/i.html?_dcat=261328&amp;_fsrp=1&amp;rt=nc&amp;_from=R40&amp;_nkw=2025%20Bowman%20Chrome%20CAM%20SMITH%20%23AD-18%20RC%20Astros&amp;_sacat=0&amp;_sop=15&amp;rt=nc&amp;LH_BIN=1", "Active")</f>
        <v/>
      </c>
      <c r="J1637" s="5">
        <f>HYPERLINK("https://www.ebay.com/sch/261328/i.html?_from=R40&amp;_nkw=2025%20Bowman%20Chrome%20CAM%20SMITH%20%23AD-18%20RC%20Astros&amp;_sacat=0&amp;LH_Sold=1&amp;LH_Complete=1&amp;_sop=13", "Completed")</f>
        <v/>
      </c>
      <c r="K1637" s="5" t="inlineStr">
        <is>
          <t>2025 Bowman Chrome - Adios Cam Smith #AD-18 (RC) Houston Astros - 3c</t>
        </is>
      </c>
    </row>
    <row r="1638">
      <c r="A1638" s="5" t="inlineStr">
        <is>
          <t>BB-071126-00049-62577</t>
        </is>
      </c>
      <c r="B1638" s="5" t="inlineStr">
        <is>
          <t>2026 Bowman WEI-EN LIN #BCP-125 1st Prospect Athletics</t>
        </is>
      </c>
      <c r="C1638" s="6" t="n">
        <v>1</v>
      </c>
      <c r="D1638" s="6" t="n">
        <v>2.49</v>
      </c>
      <c r="E1638" s="6" t="n">
        <v>1.49</v>
      </c>
      <c r="F1638" s="7" t="n">
        <v>149</v>
      </c>
      <c r="G1638" s="5" t="inlineStr">
        <is>
          <t>⬆ Price Up</t>
        </is>
      </c>
      <c r="H1638" s="5" t="inlineStr">
        <is>
          <t>87%</t>
        </is>
      </c>
      <c r="I1638" s="5">
        <f>HYPERLINK("https://www.ebay.com/sch/261328/i.html?_dcat=261328&amp;_fsrp=1&amp;rt=nc&amp;_from=R40&amp;_nkw=2026%20Bowman%20WEI-EN%20LIN%20%23BCP-125%201st%20Prospect%20Athletics&amp;_sacat=0&amp;_sop=15&amp;rt=nc&amp;LH_BIN=1", "Active")</f>
        <v/>
      </c>
      <c r="J1638" s="5">
        <f>HYPERLINK("https://www.ebay.com/sch/261328/i.html?_from=R40&amp;_nkw=2026%20Bowman%20WEI-EN%20LIN%20%23BCP-125%201st%20Prospect%20Athletics&amp;_sacat=0&amp;LH_Sold=1&amp;LH_Complete=1&amp;_sop=13", "Completed")</f>
        <v/>
      </c>
      <c r="K1638" s="5" t="inlineStr">
        <is>
          <t>2026 Bowman Wei-En Lin Chrome Prospects 1st #BCP-125</t>
        </is>
      </c>
    </row>
    <row r="1639">
      <c r="A1639" s="5" t="inlineStr">
        <is>
          <t>BB-071126-00045-41068</t>
        </is>
      </c>
      <c r="B1639" s="5" t="inlineStr">
        <is>
          <t>2026 Bowman DAVID HAGAMAN #BCP-84 1st Prospect Diamondbacks</t>
        </is>
      </c>
      <c r="C1639" s="6" t="n">
        <v>1.99</v>
      </c>
      <c r="D1639" s="6" t="n">
        <v>2.49</v>
      </c>
      <c r="E1639" s="6" t="n">
        <v>0.5</v>
      </c>
      <c r="F1639" s="7" t="n">
        <v>25.1</v>
      </c>
      <c r="G1639" s="5" t="inlineStr">
        <is>
          <t>⬆ Price Up</t>
        </is>
      </c>
      <c r="H1639" s="5" t="inlineStr">
        <is>
          <t>64%</t>
        </is>
      </c>
      <c r="I1639" s="5">
        <f>HYPERLINK("https://www.ebay.com/sch/261328/i.html?_dcat=261328&amp;_fsrp=1&amp;rt=nc&amp;_from=R40&amp;_nkw=2026%20Bowman%20DAVID%20HAGAMAN%20%23BCP-84%201st%20Prospect%20Diamondbacks&amp;_sacat=0&amp;_sop=15&amp;rt=nc&amp;LH_BIN=1", "Active")</f>
        <v/>
      </c>
      <c r="J1639" s="5">
        <f>HYPERLINK("https://www.ebay.com/sch/261328/i.html?_from=R40&amp;_nkw=2026%20Bowman%20DAVID%20HAGAMAN%20%23BCP-84%201st%20Prospect%20Diamondbacks&amp;_sacat=0&amp;LH_Sold=1&amp;LH_Complete=1&amp;_sop=13", "Completed")</f>
        <v/>
      </c>
      <c r="K1639" s="5" t="inlineStr">
        <is>
          <t>2026 Bowman Chrome Prospects W/1st Bowmans ⚾You Pick⚾ 🔥2-Card Minimum🔥</t>
        </is>
      </c>
    </row>
    <row r="1640">
      <c r="A1640" s="5" t="inlineStr">
        <is>
          <t>BB-071126-00037-38064</t>
        </is>
      </c>
      <c r="B1640" s="5" t="inlineStr">
        <is>
          <t>2026 Bowman CARLOS VIRAHONDA #BCP-28 1st Prospect Diamondbacks</t>
        </is>
      </c>
      <c r="C1640" s="6" t="n">
        <v>1.5</v>
      </c>
      <c r="D1640" s="6" t="n">
        <v>2.49</v>
      </c>
      <c r="E1640" s="6" t="n">
        <v>0.99</v>
      </c>
      <c r="F1640" s="7" t="n">
        <v>66</v>
      </c>
      <c r="G1640" s="5" t="inlineStr">
        <is>
          <t>⬆ Price Up</t>
        </is>
      </c>
      <c r="H1640" s="5" t="inlineStr">
        <is>
          <t>69%</t>
        </is>
      </c>
      <c r="I1640" s="5">
        <f>HYPERLINK("https://www.ebay.com/sch/261328/i.html?_dcat=261328&amp;_fsrp=1&amp;rt=nc&amp;_from=R40&amp;_nkw=2026%20Bowman%20CARLOS%20VIRAHONDA%20%23BCP-28%201st%20Prospect%20Diamondbacks&amp;_sacat=0&amp;_sop=15&amp;rt=nc&amp;LH_BIN=1", "Active")</f>
        <v/>
      </c>
      <c r="J1640" s="5">
        <f>HYPERLINK("https://www.ebay.com/sch/261328/i.html?_from=R40&amp;_nkw=2026%20Bowman%20CARLOS%20VIRAHONDA%20%23BCP-28%201st%20Prospect%20Diamondbacks&amp;_sacat=0&amp;LH_Sold=1&amp;LH_Complete=1&amp;_sop=13", "Completed")</f>
        <v/>
      </c>
      <c r="K1640" s="5" t="inlineStr">
        <is>
          <t>2026 Bowman Chrome Prospects W/1st Bowmans ⚾You Pick⚾ 🔥2-Card Minimum🔥</t>
        </is>
      </c>
    </row>
    <row r="1641">
      <c r="A1641" s="5" t="inlineStr">
        <is>
          <t>BB-071126-00044-83559</t>
        </is>
      </c>
      <c r="B1641" s="5" t="inlineStr">
        <is>
          <t>2026 Bowman GAGE JUMP #BCP-15 1st Prospect Athletics</t>
        </is>
      </c>
      <c r="C1641" s="6" t="n">
        <v>1.99</v>
      </c>
      <c r="D1641" s="6" t="n">
        <v>2.49</v>
      </c>
      <c r="E1641" s="6" t="n">
        <v>0.5</v>
      </c>
      <c r="F1641" s="7" t="n">
        <v>25.1</v>
      </c>
      <c r="G1641" s="5" t="inlineStr">
        <is>
          <t>⬆ Price Up</t>
        </is>
      </c>
      <c r="H1641" s="5" t="inlineStr">
        <is>
          <t>79%</t>
        </is>
      </c>
      <c r="I1641" s="5">
        <f>HYPERLINK("https://www.ebay.com/sch/261328/i.html?_dcat=261328&amp;_fsrp=1&amp;rt=nc&amp;_from=R40&amp;_nkw=2026%20Bowman%20GAGE%20JUMP%20%23BCP-15%201st%20Prospect%20Athletics&amp;_sacat=0&amp;_sop=15&amp;rt=nc&amp;LH_BIN=1", "Active")</f>
        <v/>
      </c>
      <c r="J1641" s="5">
        <f>HYPERLINK("https://www.ebay.com/sch/261328/i.html?_from=R40&amp;_nkw=2026%20Bowman%20GAGE%20JUMP%20%23BCP-15%201st%20Prospect%20Athletics&amp;_sacat=0&amp;LH_Sold=1&amp;LH_Complete=1&amp;_sop=13", "Completed")</f>
        <v/>
      </c>
      <c r="K1641" s="5" t="inlineStr">
        <is>
          <t>Gage Jump 2026 Bowman Chrome 1st Prospects #BCP-15 Athletics</t>
        </is>
      </c>
    </row>
    <row r="1642">
      <c r="A1642" s="8" t="inlineStr">
        <is>
          <t>BB-071126-00001-56500</t>
        </is>
      </c>
      <c r="B1642" s="8" t="inlineStr">
        <is>
          <t>2025 Bowman Draft SPENCER JONES #BDC-9 Yankees</t>
        </is>
      </c>
      <c r="C1642" s="9" t="n">
        <v>2.49</v>
      </c>
      <c r="D1642" s="9" t="n">
        <v>2.49</v>
      </c>
      <c r="E1642" s="9" t="n">
        <v>0</v>
      </c>
      <c r="F1642" s="10" t="n">
        <v>0</v>
      </c>
      <c r="G1642" s="8" t="inlineStr">
        <is>
          <t>— No Change</t>
        </is>
      </c>
      <c r="H1642" s="8" t="inlineStr">
        <is>
          <t>61%</t>
        </is>
      </c>
      <c r="I1642" s="8">
        <f>HYPERLINK("https://www.ebay.com/sch/261328/i.html?_dcat=261328&amp;_fsrp=1&amp;rt=nc&amp;_from=R40&amp;_nkw=2025%20Bowman%20Draft%20SPENCER%20JONES%20%23BDC-9%20Yankees&amp;_sacat=0&amp;_sop=15&amp;rt=nc&amp;LH_BIN=1", "Active")</f>
        <v/>
      </c>
      <c r="J1642" s="8">
        <f>HYPERLINK("https://www.ebay.com/sch/261328/i.html?_from=R40&amp;_nkw=2025%20Bowman%20Draft%20SPENCER%20JONES%20%23BDC-9%20Yankees&amp;_sacat=0&amp;LH_Sold=1&amp;LH_Complete=1&amp;_sop=13", "Completed")</f>
        <v/>
      </c>
      <c r="K1642" s="8" t="inlineStr">
        <is>
          <t>2025 Bowman Draft Chrome Base &amp; Inserts - Complete Your Set - BUY 3 GET 1 FREE!!</t>
        </is>
      </c>
    </row>
    <row r="1643">
      <c r="A1643" s="5" t="inlineStr">
        <is>
          <t>BB-071126-00046-63874</t>
        </is>
      </c>
      <c r="B1643" s="5" t="inlineStr">
        <is>
          <t>2026 Bowman BLAKE MITCHELL #BCP-13 Royals</t>
        </is>
      </c>
      <c r="C1643" s="6" t="n">
        <v>1.59</v>
      </c>
      <c r="D1643" s="6" t="n">
        <v>2.49</v>
      </c>
      <c r="E1643" s="6" t="n">
        <v>0.9</v>
      </c>
      <c r="F1643" s="7" t="n">
        <v>56.6</v>
      </c>
      <c r="G1643" s="5" t="inlineStr">
        <is>
          <t>⬆ Price Up</t>
        </is>
      </c>
      <c r="H1643" s="5" t="inlineStr">
        <is>
          <t>67%</t>
        </is>
      </c>
      <c r="I1643" s="5">
        <f>HYPERLINK("https://www.ebay.com/sch/261328/i.html?_dcat=261328&amp;_fsrp=1&amp;rt=nc&amp;_from=R40&amp;_nkw=2026%20Bowman%20BLAKE%20MITCHELL%20%23BCP-13%20Royals&amp;_sacat=0&amp;_sop=15&amp;rt=nc&amp;LH_BIN=1", "Active")</f>
        <v/>
      </c>
      <c r="J1643" s="5">
        <f>HYPERLINK("https://www.ebay.com/sch/261328/i.html?_from=R40&amp;_nkw=2026%20Bowman%20BLAKE%20MITCHELL%20%23BCP-13%20Royals&amp;_sacat=0&amp;LH_Sold=1&amp;LH_Complete=1&amp;_sop=13", "Completed")</f>
        <v/>
      </c>
      <c r="K1643" s="5" t="inlineStr">
        <is>
          <t>2026 Bowman Baseball Blake Mitchell Chrome Prospects #BCP-13 Kansas City Royals</t>
        </is>
      </c>
    </row>
    <row r="1644">
      <c r="A1644" s="5" t="inlineStr">
        <is>
          <t>BB-071126-00032-67850</t>
        </is>
      </c>
      <c r="B1644" s="5" t="inlineStr">
        <is>
          <t>2026 Bowman RAINIEL RODRIGUEZ #BCP-54 Cardinals</t>
        </is>
      </c>
      <c r="C1644" s="6" t="n">
        <v>1.99</v>
      </c>
      <c r="D1644" s="6" t="n">
        <v>2.49</v>
      </c>
      <c r="E1644" s="6" t="n">
        <v>0.5</v>
      </c>
      <c r="F1644" s="7" t="n">
        <v>25.1</v>
      </c>
      <c r="G1644" s="5" t="inlineStr">
        <is>
          <t>⬆ Price Up</t>
        </is>
      </c>
      <c r="H1644" s="5" t="inlineStr">
        <is>
          <t>61%</t>
        </is>
      </c>
      <c r="I1644" s="5">
        <f>HYPERLINK("https://www.ebay.com/sch/261328/i.html?_dcat=261328&amp;_fsrp=1&amp;rt=nc&amp;_from=R40&amp;_nkw=2026%20Bowman%20RAINIEL%20RODRIGUEZ%20%23BCP-54%20Cardinals&amp;_sacat=0&amp;_sop=15&amp;rt=nc&amp;LH_BIN=1", "Active")</f>
        <v/>
      </c>
      <c r="J1644" s="5">
        <f>HYPERLINK("https://www.ebay.com/sch/261328/i.html?_from=R40&amp;_nkw=2026%20Bowman%20RAINIEL%20RODRIGUEZ%20%23BCP-54%20Cardinals&amp;_sacat=0&amp;LH_Sold=1&amp;LH_Complete=1&amp;_sop=13", "Completed")</f>
        <v/>
      </c>
      <c r="K1644" s="5" t="inlineStr">
        <is>
          <t>2026 Bowman Baseball - Chrome Prospect Singles - Free Shipping!</t>
        </is>
      </c>
    </row>
    <row r="1645">
      <c r="A1645" s="5" t="inlineStr">
        <is>
          <t>BB-071126-00003-08472</t>
        </is>
      </c>
      <c r="B1645" s="5" t="inlineStr">
        <is>
          <t>2025 Bowman Chrome ELIAN DE LA CRUZ #BCP-249 1st Prospect Diamondbacks</t>
        </is>
      </c>
      <c r="C1645" s="6" t="n">
        <v>1.99</v>
      </c>
      <c r="D1645" s="6" t="n">
        <v>2.49</v>
      </c>
      <c r="E1645" s="6" t="n">
        <v>0.5</v>
      </c>
      <c r="F1645" s="7" t="n">
        <v>25.1</v>
      </c>
      <c r="G1645" s="5" t="inlineStr">
        <is>
          <t>⬆ Price Up</t>
        </is>
      </c>
      <c r="H1645" s="5" t="inlineStr">
        <is>
          <t>80%</t>
        </is>
      </c>
      <c r="I1645" s="5">
        <f>HYPERLINK("https://www.ebay.com/sch/261328/i.html?_dcat=261328&amp;_fsrp=1&amp;rt=nc&amp;_from=R40&amp;_nkw=2025%20Bowman%20Chrome%20ELIAN%20DE%20LA%20CRUZ%20%23BCP-249%201st%20Prospect%20Diamondbacks&amp;_sacat=0&amp;_sop=15&amp;rt=nc&amp;LH_BIN=1", "Active")</f>
        <v/>
      </c>
      <c r="J1645" s="5">
        <f>HYPERLINK("https://www.ebay.com/sch/261328/i.html?_from=R40&amp;_nkw=2025%20Bowman%20Chrome%20ELIAN%20DE%20LA%20CRUZ%20%23BCP-249%201st%20Prospect%20Diamondbacks&amp;_sacat=0&amp;LH_Sold=1&amp;LH_Complete=1&amp;_sop=13", "Completed")</f>
        <v/>
      </c>
      <c r="K1645" s="5" t="inlineStr">
        <is>
          <t>Elian De La Cruz 2025 Bowman Chrome Prospects 1st #BCP-249 Arizona Diamondbacks</t>
        </is>
      </c>
    </row>
    <row r="1646">
      <c r="A1646" s="5" t="inlineStr">
        <is>
          <t>BB-071126-00031-90269</t>
        </is>
      </c>
      <c r="B1646" s="5" t="inlineStr">
        <is>
          <t>2026 Bowman EDGAR MONTERO #BCP-139 1st Prospect Athletics</t>
        </is>
      </c>
      <c r="C1646" s="6" t="n">
        <v>1</v>
      </c>
      <c r="D1646" s="6" t="n">
        <v>2.49</v>
      </c>
      <c r="E1646" s="6" t="n">
        <v>1.49</v>
      </c>
      <c r="F1646" s="7" t="n">
        <v>149</v>
      </c>
      <c r="G1646" s="5" t="inlineStr">
        <is>
          <t>⬆ Price Up</t>
        </is>
      </c>
      <c r="H1646" s="5" t="inlineStr">
        <is>
          <t>65%</t>
        </is>
      </c>
      <c r="I1646" s="5">
        <f>HYPERLINK("https://www.ebay.com/sch/261328/i.html?_dcat=261328&amp;_fsrp=1&amp;rt=nc&amp;_from=R40&amp;_nkw=2026%20Bowman%20EDGAR%20MONTERO%20%23BCP-139%201st%20Prospect%20Athletics&amp;_sacat=0&amp;_sop=15&amp;rt=nc&amp;LH_BIN=1", "Active")</f>
        <v/>
      </c>
      <c r="J1646" s="5">
        <f>HYPERLINK("https://www.ebay.com/sch/261328/i.html?_from=R40&amp;_nkw=2026%20Bowman%20EDGAR%20MONTERO%20%23BCP-139%201st%20Prospect%20Athletics&amp;_sacat=0&amp;LH_Sold=1&amp;LH_Complete=1&amp;_sop=13", "Completed")</f>
        <v/>
      </c>
      <c r="K1646" s="5" t="inlineStr">
        <is>
          <t>2026 Bowman - Chrome Prospects! Pick Your Card, SHIPS FREE! Updated 7/14!</t>
        </is>
      </c>
    </row>
    <row r="1647">
      <c r="A1647" s="5" t="inlineStr">
        <is>
          <t>BB-071126-00026-07979</t>
        </is>
      </c>
      <c r="B1647" s="5" t="inlineStr">
        <is>
          <t>2026 Bowman JASE MITCHELL #BCP-12 1st Prospect Astros</t>
        </is>
      </c>
      <c r="C1647" s="6" t="n">
        <v>1.59</v>
      </c>
      <c r="D1647" s="6" t="n">
        <v>2.49</v>
      </c>
      <c r="E1647" s="6" t="n">
        <v>0.9</v>
      </c>
      <c r="F1647" s="7" t="n">
        <v>56.6</v>
      </c>
      <c r="G1647" s="5" t="inlineStr">
        <is>
          <t>⬆ Price Up</t>
        </is>
      </c>
      <c r="H1647" s="5" t="inlineStr">
        <is>
          <t>65%</t>
        </is>
      </c>
      <c r="I1647" s="5">
        <f>HYPERLINK("https://www.ebay.com/sch/261328/i.html?_dcat=261328&amp;_fsrp=1&amp;rt=nc&amp;_from=R40&amp;_nkw=2026%20Bowman%20JASE%20MITCHELL%20%23BCP-12%201st%20Prospect%20Astros&amp;_sacat=0&amp;_sop=15&amp;rt=nc&amp;LH_BIN=1", "Active")</f>
        <v/>
      </c>
      <c r="J1647" s="5">
        <f>HYPERLINK("https://www.ebay.com/sch/261328/i.html?_from=R40&amp;_nkw=2026%20Bowman%20JASE%20MITCHELL%20%23BCP-12%201st%20Prospect%20Astros&amp;_sacat=0&amp;LH_Sold=1&amp;LH_Complete=1&amp;_sop=13", "Completed")</f>
        <v/>
      </c>
      <c r="K1647" s="5" t="inlineStr">
        <is>
          <t>(2 CARD MINIMUM) 2026 Bowman Chrome Prospects/1st COMPLETE YOUR SET FREE SHIP RC</t>
        </is>
      </c>
    </row>
    <row r="1648">
      <c r="A1648" s="5" t="inlineStr">
        <is>
          <t>BB-071126-00047-94560</t>
        </is>
      </c>
      <c r="B1648" s="5" t="inlineStr">
        <is>
          <t>2026 Bowman KENLY HUNTER #BCP-130 1st Prospect Cardinals</t>
        </is>
      </c>
      <c r="C1648" s="6" t="n">
        <v>1.5</v>
      </c>
      <c r="D1648" s="6" t="n">
        <v>2.49</v>
      </c>
      <c r="E1648" s="6" t="n">
        <v>0.99</v>
      </c>
      <c r="F1648" s="7" t="n">
        <v>66</v>
      </c>
      <c r="G1648" s="5" t="inlineStr">
        <is>
          <t>⬆ Price Up</t>
        </is>
      </c>
      <c r="H1648" s="5" t="inlineStr">
        <is>
          <t>65%</t>
        </is>
      </c>
      <c r="I1648" s="5">
        <f>HYPERLINK("https://www.ebay.com/sch/261328/i.html?_dcat=261328&amp;_fsrp=1&amp;rt=nc&amp;_from=R40&amp;_nkw=2026%20Bowman%20KENLY%20HUNTER%20%23BCP-130%201st%20Prospect%20Cardinals&amp;_sacat=0&amp;_sop=15&amp;rt=nc&amp;LH_BIN=1", "Active")</f>
        <v/>
      </c>
      <c r="J1648" s="5">
        <f>HYPERLINK("https://www.ebay.com/sch/261328/i.html?_from=R40&amp;_nkw=2026%20Bowman%20KENLY%20HUNTER%20%23BCP-130%201st%20Prospect%20Cardinals&amp;_sacat=0&amp;LH_Sold=1&amp;LH_Complete=1&amp;_sop=13", "Completed")</f>
        <v/>
      </c>
      <c r="K1648" s="5" t="inlineStr">
        <is>
          <t>2026 Bowman *YOU PICK* Base Chrome Prospects w/ 1st #BCP 1-150 *BUY 2+ &amp; SAVE*</t>
        </is>
      </c>
    </row>
    <row r="1649">
      <c r="A1649" s="5" t="inlineStr">
        <is>
          <t>BB-071126-00019-15318</t>
        </is>
      </c>
      <c r="B1649" s="5" t="inlineStr">
        <is>
          <t>2025 Bowman Draft ELIAN PENA #BDC-115 Mets</t>
        </is>
      </c>
      <c r="C1649" s="6" t="n">
        <v>1.99</v>
      </c>
      <c r="D1649" s="6" t="n">
        <v>2.49</v>
      </c>
      <c r="E1649" s="6" t="n">
        <v>0.5</v>
      </c>
      <c r="F1649" s="7" t="n">
        <v>25.1</v>
      </c>
      <c r="G1649" s="5" t="inlineStr">
        <is>
          <t>⬆ Price Up</t>
        </is>
      </c>
      <c r="H1649" s="5" t="inlineStr">
        <is>
          <t>86%</t>
        </is>
      </c>
      <c r="I1649" s="5">
        <f>HYPERLINK("https://www.ebay.com/sch/261328/i.html?_dcat=261328&amp;_fsrp=1&amp;rt=nc&amp;_from=R40&amp;_nkw=2025%20Bowman%20Draft%20ELIAN%20PENA%20%23BDC-115%20Mets&amp;_sacat=0&amp;_sop=15&amp;rt=nc&amp;LH_BIN=1", "Active")</f>
        <v/>
      </c>
      <c r="J1649" s="5">
        <f>HYPERLINK("https://www.ebay.com/sch/261328/i.html?_from=R40&amp;_nkw=2025%20Bowman%20Draft%20ELIAN%20PENA%20%23BDC-115%20Mets&amp;_sacat=0&amp;LH_Sold=1&amp;LH_Complete=1&amp;_sop=13", "Completed")</f>
        <v/>
      </c>
      <c r="K1649" s="5" t="inlineStr">
        <is>
          <t>2025 Bowman Draft Chrome - Elian Pena #BDC-115 Mets</t>
        </is>
      </c>
    </row>
    <row r="1650">
      <c r="A1650" s="5" t="inlineStr">
        <is>
          <t>BB-071126-00022-47458</t>
        </is>
      </c>
      <c r="B1650" s="5" t="inlineStr">
        <is>
          <t>2026 Bowman ELLY DE LA CRUZ #ES-9 Reds</t>
        </is>
      </c>
      <c r="C1650" s="6" t="n">
        <v>1.99</v>
      </c>
      <c r="D1650" s="6" t="n">
        <v>2.49</v>
      </c>
      <c r="E1650" s="6" t="n">
        <v>0.5</v>
      </c>
      <c r="F1650" s="7" t="n">
        <v>25.1</v>
      </c>
      <c r="G1650" s="5" t="inlineStr">
        <is>
          <t>⬆ Price Up</t>
        </is>
      </c>
      <c r="H1650" s="5" t="inlineStr">
        <is>
          <t>63%</t>
        </is>
      </c>
      <c r="I1650" s="5">
        <f>HYPERLINK("https://www.ebay.com/sch/261328/i.html?_dcat=261328&amp;_fsrp=1&amp;rt=nc&amp;_from=R40&amp;_nkw=2026%20Bowman%20ELLY%20DE%20LA%20CRUZ%20%23ES-9%20Reds&amp;_sacat=0&amp;_sop=15&amp;rt=nc&amp;LH_BIN=1", "Active")</f>
        <v/>
      </c>
      <c r="J1650" s="5">
        <f>HYPERLINK("https://www.ebay.com/sch/261328/i.html?_from=R40&amp;_nkw=2026%20Bowman%20ELLY%20DE%20LA%20CRUZ%20%23ES-9%20Reds&amp;_sacat=0&amp;LH_Sold=1&amp;LH_Complete=1&amp;_sop=13", "Completed")</f>
        <v/>
      </c>
      <c r="K1650" s="5" t="inlineStr">
        <is>
          <t>2026 Bowman Baseball INSERTS You Pick &amp; Complete Your Set!</t>
        </is>
      </c>
    </row>
    <row r="1651">
      <c r="A1651" s="5" t="inlineStr">
        <is>
          <t>BB-071126-00023-16567</t>
        </is>
      </c>
      <c r="B1651" s="5" t="inlineStr">
        <is>
          <t>2026 Bowman CHASE BURNS #BST-10 RC Reds</t>
        </is>
      </c>
      <c r="C1651" s="6" t="n">
        <v>1.99</v>
      </c>
      <c r="D1651" s="6" t="n">
        <v>2.49</v>
      </c>
      <c r="E1651" s="6" t="n">
        <v>0.5</v>
      </c>
      <c r="F1651" s="7" t="n">
        <v>25.1</v>
      </c>
      <c r="G1651" s="5" t="inlineStr">
        <is>
          <t>⬆ Price Up</t>
        </is>
      </c>
      <c r="H1651" s="5" t="inlineStr">
        <is>
          <t>68%</t>
        </is>
      </c>
      <c r="I1651" s="5">
        <f>HYPERLINK("https://www.ebay.com/sch/261328/i.html?_dcat=261328&amp;_fsrp=1&amp;rt=nc&amp;_from=R40&amp;_nkw=2026%20Bowman%20CHASE%20BURNS%20%23BST-10%20RC%20Reds&amp;_sacat=0&amp;_sop=15&amp;rt=nc&amp;LH_BIN=1", "Active")</f>
        <v/>
      </c>
      <c r="J1651" s="5">
        <f>HYPERLINK("https://www.ebay.com/sch/261328/i.html?_from=R40&amp;_nkw=2026%20Bowman%20CHASE%20BURNS%20%23BST-10%20RC%20Reds&amp;_sacat=0&amp;LH_Sold=1&amp;LH_Complete=1&amp;_sop=13", "Completed")</f>
        <v/>
      </c>
      <c r="K1651" s="5" t="inlineStr">
        <is>
          <t>2026 Bowman Chrome #BST-10 Chase Burns RC Bowman Sterling Cincinnati Reds</t>
        </is>
      </c>
    </row>
    <row r="1652">
      <c r="A1652" s="5" t="inlineStr">
        <is>
          <t>BB-071126-00012-77966</t>
        </is>
      </c>
      <c r="B1652" s="5" t="inlineStr">
        <is>
          <t>2025 Bowman Draft BRADY EBEL #BDC-194 Refractor 1st Prospect Brewers</t>
        </is>
      </c>
      <c r="C1652" s="6" t="n">
        <v>1.99</v>
      </c>
      <c r="D1652" s="6" t="n">
        <v>3.39</v>
      </c>
      <c r="E1652" s="6" t="n">
        <v>1.4</v>
      </c>
      <c r="F1652" s="7" t="n">
        <v>70.40000000000001</v>
      </c>
      <c r="G1652" s="5" t="inlineStr">
        <is>
          <t>⬆ Price Up</t>
        </is>
      </c>
      <c r="H1652" s="5" t="inlineStr">
        <is>
          <t>100%</t>
        </is>
      </c>
      <c r="I1652" s="5">
        <f>HYPERLINK("https://www.ebay.com/sch/261328/i.html?_dcat=261328&amp;_fsrp=1&amp;rt=nc&amp;_from=R40&amp;_nkw=2025%20Bowman%20Draft%20BRADY%20EBEL%20%23BDC-194%20Refractor%201st%20Prospect%20Brewers&amp;_sacat=0&amp;_sop=15&amp;rt=nc&amp;LH_BIN=1", "Active")</f>
        <v/>
      </c>
      <c r="J1652" s="5">
        <f>HYPERLINK("https://www.ebay.com/sch/261328/i.html?_from=R40&amp;_nkw=2025%20Bowman%20Draft%20BRADY%20EBEL%20%23BDC-194%20Refractor%201st%20Prospect%20Brewers&amp;_sacat=0&amp;LH_Sold=1&amp;LH_Complete=1&amp;_sop=13", "Completed")</f>
        <v/>
      </c>
      <c r="K1652" s="5" t="inlineStr">
        <is>
          <t>2025 Bowman Draft BRADY EBEL #BDC-194 Refractor 1st Prospect Brewers</t>
        </is>
      </c>
    </row>
    <row r="1653">
      <c r="A1653" s="5" t="inlineStr">
        <is>
          <t>BB-071126-00020-71864</t>
        </is>
      </c>
      <c r="B1653" s="5" t="inlineStr">
        <is>
          <t>2026 Bowman DANIEL DICKINSON #BCP-50 Mini-Diamond Refractor 1st Prospect Brewers</t>
        </is>
      </c>
      <c r="C1653" s="6" t="n">
        <v>2.29</v>
      </c>
      <c r="D1653" s="6" t="n">
        <v>3.69</v>
      </c>
      <c r="E1653" s="6" t="n">
        <v>1.4</v>
      </c>
      <c r="F1653" s="7" t="n">
        <v>61.1</v>
      </c>
      <c r="G1653" s="5" t="inlineStr">
        <is>
          <t>⬆ Price Up</t>
        </is>
      </c>
      <c r="H1653" s="5" t="inlineStr">
        <is>
          <t>100%</t>
        </is>
      </c>
      <c r="I1653" s="5">
        <f>HYPERLINK("https://www.ebay.com/sch/261328/i.html?_dcat=261328&amp;_fsrp=1&amp;rt=nc&amp;_from=R40&amp;_nkw=2026%20Bowman%20DANIEL%20DICKINSON%20%23BCP-50%20Mini-Diamond%20Refractor%201st%20Prospect%20Brewers&amp;_sacat=0&amp;_sop=15&amp;rt=nc&amp;LH_BIN=1", "Active")</f>
        <v/>
      </c>
      <c r="J1653" s="5">
        <f>HYPERLINK("https://www.ebay.com/sch/261328/i.html?_from=R40&amp;_nkw=2026%20Bowman%20DANIEL%20DICKINSON%20%23BCP-50%20Mini-Diamond%20Refractor%201st%20Prospect%20Brewers&amp;_sacat=0&amp;LH_Sold=1&amp;LH_Complete=1&amp;_sop=13", "Completed")</f>
        <v/>
      </c>
      <c r="K1653" s="5" t="inlineStr">
        <is>
          <t>2026 Bowman DANIEL DICKINSON #BCP-50 Mini-Diamond Refractor 1st Prospect Brewers</t>
        </is>
      </c>
    </row>
    <row r="1654">
      <c r="A1654" s="5" t="inlineStr">
        <is>
          <t>BB-071126-00027-63465</t>
        </is>
      </c>
      <c r="B1654" s="5" t="inlineStr">
        <is>
          <t>2026 Bowman ALIMBER SANTA #BCP-30 1st Prospect Astros</t>
        </is>
      </c>
      <c r="C1654" s="6" t="n">
        <v>1</v>
      </c>
      <c r="D1654" s="6" t="n">
        <v>2.49</v>
      </c>
      <c r="E1654" s="6" t="n">
        <v>1.49</v>
      </c>
      <c r="F1654" s="7" t="n">
        <v>149</v>
      </c>
      <c r="G1654" s="5" t="inlineStr">
        <is>
          <t>⬆ Price Up</t>
        </is>
      </c>
      <c r="H1654" s="5" t="inlineStr">
        <is>
          <t>64%</t>
        </is>
      </c>
      <c r="I1654" s="5">
        <f>HYPERLINK("https://www.ebay.com/sch/261328/i.html?_dcat=261328&amp;_fsrp=1&amp;rt=nc&amp;_from=R40&amp;_nkw=2026%20Bowman%20ALIMBER%20SANTA%20%23BCP-30%201st%20Prospect%20Astros&amp;_sacat=0&amp;_sop=15&amp;rt=nc&amp;LH_BIN=1", "Active")</f>
        <v/>
      </c>
      <c r="J1654" s="5">
        <f>HYPERLINK("https://www.ebay.com/sch/261328/i.html?_from=R40&amp;_nkw=2026%20Bowman%20ALIMBER%20SANTA%20%23BCP-30%201st%20Prospect%20Astros&amp;_sacat=0&amp;LH_Sold=1&amp;LH_Complete=1&amp;_sop=13", "Completed")</f>
        <v/>
      </c>
      <c r="K1654" s="5" t="inlineStr">
        <is>
          <t>2026 Bowman *YOU PICK* Base Chrome Prospects w/ 1st #BCP 1-150 *BUY 2+ &amp; SAVE*</t>
        </is>
      </c>
    </row>
    <row r="1655">
      <c r="A1655" s="5" t="inlineStr">
        <is>
          <t>BB-071126-00002-47431</t>
        </is>
      </c>
      <c r="B1655" s="5" t="inlineStr">
        <is>
          <t>2026 TOPPS COLLECTOR'S KIT EXCLUSIVE RONALD ACUNA JR. RAINBOW FOIL</t>
        </is>
      </c>
      <c r="C1655" s="6" t="n">
        <v>1.99</v>
      </c>
      <c r="D1655" s="6" t="n">
        <v>2.49</v>
      </c>
      <c r="E1655" s="6" t="n">
        <v>0.5</v>
      </c>
      <c r="F1655" s="7" t="n">
        <v>25.1</v>
      </c>
      <c r="G1655" s="5" t="inlineStr">
        <is>
          <t>⬆ Price Up</t>
        </is>
      </c>
      <c r="H1655" s="5" t="inlineStr">
        <is>
          <t>88%</t>
        </is>
      </c>
      <c r="I1655" s="5">
        <f>HYPERLINK("https://www.ebay.com/sch/261328/i.html?_dcat=261328&amp;_fsrp=1&amp;rt=nc&amp;_from=R40&amp;_nkw=2026%20TOPPS%20COLLECTOR'S%20KIT%20EXCLUSIVE%20RONALD%20ACUNA%20JR.%20RAINBOW%20FOIL&amp;_sacat=0&amp;_sop=15&amp;rt=nc&amp;LH_BIN=1", "Active")</f>
        <v/>
      </c>
      <c r="J1655" s="5">
        <f>HYPERLINK("https://www.ebay.com/sch/261328/i.html?_from=R40&amp;_nkw=2026%20TOPPS%20COLLECTOR'S%20KIT%20EXCLUSIVE%20RONALD%20ACUNA%20JR.%20RAINBOW%20FOIL&amp;_sacat=0&amp;LH_Sold=1&amp;LH_Complete=1&amp;_sop=13", "Completed")</f>
        <v/>
      </c>
      <c r="K1655" s="5" t="inlineStr">
        <is>
          <t>2026 Topps Collector's Kit Exclusive Ronald Acuna Jr. #MLB-5 (Rainbow Foil)</t>
        </is>
      </c>
    </row>
    <row r="1656">
      <c r="A1656" s="5" t="inlineStr">
        <is>
          <t>BB-071126-00010-45540</t>
        </is>
      </c>
      <c r="B1656" s="5" t="inlineStr">
        <is>
          <t>2025 Bowman Chrome CAM SMITH #IT-9 RC Astros</t>
        </is>
      </c>
      <c r="C1656" s="6" t="n">
        <v>1.99</v>
      </c>
      <c r="D1656" s="6" t="n">
        <v>2.49</v>
      </c>
      <c r="E1656" s="6" t="n">
        <v>0.5</v>
      </c>
      <c r="F1656" s="7" t="n">
        <v>25.1</v>
      </c>
      <c r="G1656" s="5" t="inlineStr">
        <is>
          <t>⬆ Price Up</t>
        </is>
      </c>
      <c r="H1656" s="5" t="inlineStr">
        <is>
          <t>83%</t>
        </is>
      </c>
      <c r="I1656" s="5">
        <f>HYPERLINK("https://www.ebay.com/sch/261328/i.html?_dcat=261328&amp;_fsrp=1&amp;rt=nc&amp;_from=R40&amp;_nkw=2025%20Bowman%20Chrome%20CAM%20SMITH%20%23IT-9%20RC%20Astros&amp;_sacat=0&amp;_sop=15&amp;rt=nc&amp;LH_BIN=1", "Active")</f>
        <v/>
      </c>
      <c r="J1656" s="5">
        <f>HYPERLINK("https://www.ebay.com/sch/261328/i.html?_from=R40&amp;_nkw=2025%20Bowman%20Chrome%20CAM%20SMITH%20%23IT-9%20RC%20Astros&amp;_sacat=0&amp;LH_Sold=1&amp;LH_Complete=1&amp;_sop=13", "Completed")</f>
        <v/>
      </c>
      <c r="K1656" s="5" t="inlineStr">
        <is>
          <t>2025 Bowman Chrome - It Came to the League Cam Smith #IT-9 (RC) Astros</t>
        </is>
      </c>
    </row>
    <row r="1657">
      <c r="A1657" s="5" t="inlineStr">
        <is>
          <t>BB-071126-00042-53219</t>
        </is>
      </c>
      <c r="B1657" s="5" t="inlineStr">
        <is>
          <t>2026 Bowman BRADEN NETT #BCP-137 Athletics</t>
        </is>
      </c>
      <c r="C1657" s="6" t="n">
        <v>1.5</v>
      </c>
      <c r="D1657" s="6" t="n">
        <v>2.49</v>
      </c>
      <c r="E1657" s="6" t="n">
        <v>0.99</v>
      </c>
      <c r="F1657" s="7" t="n">
        <v>66</v>
      </c>
      <c r="G1657" s="5" t="inlineStr">
        <is>
          <t>⬆ Price Up</t>
        </is>
      </c>
      <c r="H1657" s="5" t="inlineStr">
        <is>
          <t>60%</t>
        </is>
      </c>
      <c r="I1657" s="5">
        <f>HYPERLINK("https://www.ebay.com/sch/261328/i.html?_dcat=261328&amp;_fsrp=1&amp;rt=nc&amp;_from=R40&amp;_nkw=2026%20Bowman%20BRADEN%20NETT%20%23BCP-137%20Athletics&amp;_sacat=0&amp;_sop=15&amp;rt=nc&amp;LH_BIN=1", "Active")</f>
        <v/>
      </c>
      <c r="J1657" s="5">
        <f>HYPERLINK("https://www.ebay.com/sch/261328/i.html?_from=R40&amp;_nkw=2026%20Bowman%20BRADEN%20NETT%20%23BCP-137%20Athletics&amp;_sacat=0&amp;LH_Sold=1&amp;LH_Complete=1&amp;_sop=13", "Completed")</f>
        <v/>
      </c>
      <c r="K1657" s="5" t="inlineStr">
        <is>
          <t>2026 Bowman Baseball - Chrome Prospect Singles - Free Shipping!</t>
        </is>
      </c>
    </row>
    <row r="1658">
      <c r="A1658" s="5" t="inlineStr">
        <is>
          <t>BB-071126-00041-55774</t>
        </is>
      </c>
      <c r="B1658" s="5" t="inlineStr">
        <is>
          <t>2025 Bowman Draft CHING-HSIEN KO #BDC-165 Refractor Dodgers</t>
        </is>
      </c>
      <c r="C1658" s="6" t="n">
        <v>1.5</v>
      </c>
      <c r="D1658" s="6" t="n">
        <v>2.49</v>
      </c>
      <c r="E1658" s="6" t="n">
        <v>0.99</v>
      </c>
      <c r="F1658" s="7" t="n">
        <v>66</v>
      </c>
      <c r="G1658" s="5" t="inlineStr">
        <is>
          <t>⬆ Price Up</t>
        </is>
      </c>
      <c r="H1658" s="5" t="inlineStr">
        <is>
          <t>88%</t>
        </is>
      </c>
      <c r="I1658" s="5">
        <f>HYPERLINK("https://www.ebay.com/sch/261328/i.html?_dcat=261328&amp;_fsrp=1&amp;rt=nc&amp;_from=R40&amp;_nkw=2025%20Bowman%20Draft%20CHING-HSIEN%20KO%20%23BDC-165%20Refractor%20Dodgers&amp;_sacat=0&amp;_sop=15&amp;rt=nc&amp;LH_BIN=1", "Active")</f>
        <v/>
      </c>
      <c r="J1658" s="5">
        <f>HYPERLINK("https://www.ebay.com/sch/261328/i.html?_from=R40&amp;_nkw=2025%20Bowman%20Draft%20CHING-HSIEN%20KO%20%23BDC-165%20Refractor%20Dodgers&amp;_sacat=0&amp;LH_Sold=1&amp;LH_Complete=1&amp;_sop=13", "Completed")</f>
        <v/>
      </c>
      <c r="K1658" s="5" t="inlineStr">
        <is>
          <t>2025 Bowman Draft Ching-Hsien Ko #BDC-165 Chrome Refractor Dodgers</t>
        </is>
      </c>
    </row>
    <row r="1659">
      <c r="A1659" s="5" t="inlineStr">
        <is>
          <t>BB-071126-00007-90388</t>
        </is>
      </c>
      <c r="B1659" s="5" t="inlineStr">
        <is>
          <t>2025 Topps Stadium Club GUNNAR HENDERSON #96 Orioles</t>
        </is>
      </c>
      <c r="C1659" s="6" t="n">
        <v>1</v>
      </c>
      <c r="D1659" s="6" t="n">
        <v>2.49</v>
      </c>
      <c r="E1659" s="6" t="n">
        <v>1.49</v>
      </c>
      <c r="F1659" s="7" t="n">
        <v>149</v>
      </c>
      <c r="G1659" s="5" t="inlineStr">
        <is>
          <t>⬆ Price Up</t>
        </is>
      </c>
      <c r="H1659" s="5" t="inlineStr">
        <is>
          <t>63%</t>
        </is>
      </c>
      <c r="I1659" s="5">
        <f>HYPERLINK("https://www.ebay.com/sch/261328/i.html?_dcat=261328&amp;_fsrp=1&amp;rt=nc&amp;_from=R40&amp;_nkw=2025%20Topps%20Stadium%20Club%20GUNNAR%20HENDERSON%20%2396%20Orioles&amp;_sacat=0&amp;_sop=15&amp;rt=nc&amp;LH_BIN=1", "Active")</f>
        <v/>
      </c>
      <c r="J1659" s="5">
        <f>HYPERLINK("https://www.ebay.com/sch/261328/i.html?_from=R40&amp;_nkw=2025%20Topps%20Stadium%20Club%20GUNNAR%20HENDERSON%20%2396%20Orioles&amp;_sacat=0&amp;LH_Sold=1&amp;LH_Complete=1&amp;_sop=13", "Completed")</f>
        <v/>
      </c>
      <c r="K1659" s="5" t="inlineStr">
        <is>
          <t>2025 Topps Stadium Club BASE 1-200 with Rookies You Pick - 2 Card Minimum</t>
        </is>
      </c>
    </row>
    <row r="1660">
      <c r="A1660" s="5" t="inlineStr">
        <is>
          <t>BB-071126-00038-90103</t>
        </is>
      </c>
      <c r="B1660" s="5" t="inlineStr">
        <is>
          <t>2026 Bowman JJ WETHERHOLT #BCP-115 Cardinals</t>
        </is>
      </c>
      <c r="C1660" s="6" t="n">
        <v>1.99</v>
      </c>
      <c r="D1660" s="6" t="n">
        <v>2.49</v>
      </c>
      <c r="E1660" s="6" t="n">
        <v>0.5</v>
      </c>
      <c r="F1660" s="7" t="n">
        <v>25.1</v>
      </c>
      <c r="G1660" s="5" t="inlineStr">
        <is>
          <t>⬆ Price Up</t>
        </is>
      </c>
      <c r="H1660" s="5" t="inlineStr">
        <is>
          <t>61%</t>
        </is>
      </c>
      <c r="I1660" s="5">
        <f>HYPERLINK("https://www.ebay.com/sch/261328/i.html?_dcat=261328&amp;_fsrp=1&amp;rt=nc&amp;_from=R40&amp;_nkw=2026%20Bowman%20JJ%20WETHERHOLT%20%23BCP-115%20Cardinals&amp;_sacat=0&amp;_sop=15&amp;rt=nc&amp;LH_BIN=1", "Active")</f>
        <v/>
      </c>
      <c r="J1660" s="5">
        <f>HYPERLINK("https://www.ebay.com/sch/261328/i.html?_from=R40&amp;_nkw=2026%20Bowman%20JJ%20WETHERHOLT%20%23BCP-115%20Cardinals&amp;_sacat=0&amp;LH_Sold=1&amp;LH_Complete=1&amp;_sop=13", "Completed")</f>
        <v/>
      </c>
      <c r="K1660" s="5" t="inlineStr">
        <is>
          <t>2026 Bowman Chrome Prospects BCP-1 to BCP-150 You Pick - 2 Card Minimum</t>
        </is>
      </c>
    </row>
    <row r="1661">
      <c r="A1661" s="5" t="inlineStr">
        <is>
          <t>BB-071126-00024-25503</t>
        </is>
      </c>
      <c r="B1661" s="5" t="inlineStr">
        <is>
          <t>2026 Bowman LUIS PENA #BTP-14 Brewers</t>
        </is>
      </c>
      <c r="C1661" s="6" t="n">
        <v>1.5</v>
      </c>
      <c r="D1661" s="6" t="n">
        <v>2.49</v>
      </c>
      <c r="E1661" s="6" t="n">
        <v>0.99</v>
      </c>
      <c r="F1661" s="7" t="n">
        <v>66</v>
      </c>
      <c r="G1661" s="5" t="inlineStr">
        <is>
          <t>⬆ Price Up</t>
        </is>
      </c>
      <c r="H1661" s="5" t="inlineStr">
        <is>
          <t>62%</t>
        </is>
      </c>
      <c r="I1661" s="5">
        <f>HYPERLINK("https://www.ebay.com/sch/261328/i.html?_dcat=261328&amp;_fsrp=1&amp;rt=nc&amp;_from=R40&amp;_nkw=2026%20Bowman%20LUIS%20PENA%20%23BTP-14%20Brewers&amp;_sacat=0&amp;_sop=15&amp;rt=nc&amp;LH_BIN=1", "Active")</f>
        <v/>
      </c>
      <c r="J1661" s="5">
        <f>HYPERLINK("https://www.ebay.com/sch/261328/i.html?_from=R40&amp;_nkw=2026%20Bowman%20LUIS%20PENA%20%23BTP-14%20Brewers&amp;_sacat=0&amp;LH_Sold=1&amp;LH_Complete=1&amp;_sop=13", "Completed")</f>
        <v/>
      </c>
      <c r="K1661" s="5" t="inlineStr">
        <is>
          <t>2026 Bowman LUIS PENA Bowman Chrome Top 100 Parallel Milwaukee Brewers BTP-14</t>
        </is>
      </c>
    </row>
    <row r="1662">
      <c r="A1662" s="5" t="inlineStr">
        <is>
          <t>BB-071126-00039-14293</t>
        </is>
      </c>
      <c r="B1662" s="5" t="inlineStr">
        <is>
          <t>2026 Bowman BRAILYN ANTUNEZ #BCP-41 1st Prospect Brewers</t>
        </is>
      </c>
      <c r="C1662" s="6" t="n">
        <v>2</v>
      </c>
      <c r="D1662" s="6" t="n">
        <v>2.49</v>
      </c>
      <c r="E1662" s="6" t="n">
        <v>0.49</v>
      </c>
      <c r="F1662" s="7" t="n">
        <v>24.5</v>
      </c>
      <c r="G1662" s="5" t="inlineStr">
        <is>
          <t>⬆ Price Up</t>
        </is>
      </c>
      <c r="H1662" s="5" t="inlineStr">
        <is>
          <t>61%</t>
        </is>
      </c>
      <c r="I1662" s="5">
        <f>HYPERLINK("https://www.ebay.com/sch/261328/i.html?_dcat=261328&amp;_fsrp=1&amp;rt=nc&amp;_from=R40&amp;_nkw=2026%20Bowman%20BRAILYN%20ANTUNEZ%20%23BCP-41%201st%20Prospect%20Brewers&amp;_sacat=0&amp;_sop=15&amp;rt=nc&amp;LH_BIN=1", "Active")</f>
        <v/>
      </c>
      <c r="J1662" s="5">
        <f>HYPERLINK("https://www.ebay.com/sch/261328/i.html?_from=R40&amp;_nkw=2026%20Bowman%20BRAILYN%20ANTUNEZ%20%23BCP-41%201st%20Prospect%20Brewers&amp;_sacat=0&amp;LH_Sold=1&amp;LH_Complete=1&amp;_sop=13", "Completed")</f>
        <v/>
      </c>
      <c r="K1662" s="5" t="inlineStr">
        <is>
          <t>2026 Bowman Chrome Prospects W/1st Bowmans ⚾You Pick⚾ 🔥2-Card Minimum🔥</t>
        </is>
      </c>
    </row>
    <row r="1663">
      <c r="A1663" s="5" t="inlineStr">
        <is>
          <t>BB-071126-00006-33040</t>
        </is>
      </c>
      <c r="B1663" s="5" t="inlineStr">
        <is>
          <t>2025 Bowman Draft Sapphire GAVIN FIEN #BDC-15 1st Prospect Rangers</t>
        </is>
      </c>
      <c r="C1663" s="6" t="n">
        <v>5.5</v>
      </c>
      <c r="D1663" s="6" t="n">
        <v>6.79</v>
      </c>
      <c r="E1663" s="6" t="n">
        <v>1.29</v>
      </c>
      <c r="F1663" s="7" t="n">
        <v>23.5</v>
      </c>
      <c r="G1663" s="5" t="inlineStr">
        <is>
          <t>⬆ Price Up</t>
        </is>
      </c>
      <c r="H1663" s="5" t="inlineStr">
        <is>
          <t>100%</t>
        </is>
      </c>
      <c r="I1663" s="5">
        <f>HYPERLINK("https://www.ebay.com/sch/261328/i.html?_dcat=261328&amp;_fsrp=1&amp;rt=nc&amp;_from=R40&amp;_nkw=2025%20Bowman%20Draft%20Sapphire%20GAVIN%20FIEN%20%23BDC-15%201st%20Prospect%20Rangers&amp;_sacat=0&amp;_sop=15&amp;rt=nc&amp;LH_BIN=1", "Active")</f>
        <v/>
      </c>
      <c r="J1663" s="5">
        <f>HYPERLINK("https://www.ebay.com/sch/261328/i.html?_from=R40&amp;_nkw=2025%20Bowman%20Draft%20Sapphire%20GAVIN%20FIEN%20%23BDC-15%201st%20Prospect%20Rangers&amp;_sacat=0&amp;LH_Sold=1&amp;LH_Complete=1&amp;_sop=13", "Completed")</f>
        <v/>
      </c>
      <c r="K1663" s="5" t="inlineStr">
        <is>
          <t>2025 Bowman Draft Sapphire GAVIN FIEN #BDC-15 1st Prospect Rangers</t>
        </is>
      </c>
    </row>
    <row r="1664">
      <c r="A1664" s="5" t="inlineStr">
        <is>
          <t>BB-071126-00028-38201</t>
        </is>
      </c>
      <c r="B1664" s="5" t="inlineStr">
        <is>
          <t>2026 Bowman SHOTARO MORII #BCP-48 Athletics</t>
        </is>
      </c>
      <c r="C1664" s="6" t="n">
        <v>1.99</v>
      </c>
      <c r="D1664" s="6" t="n">
        <v>2.49</v>
      </c>
      <c r="E1664" s="6" t="n">
        <v>0.5</v>
      </c>
      <c r="F1664" s="7" t="n">
        <v>25.1</v>
      </c>
      <c r="G1664" s="5" t="inlineStr">
        <is>
          <t>⬆ Price Up</t>
        </is>
      </c>
      <c r="H1664" s="5" t="inlineStr">
        <is>
          <t>60%</t>
        </is>
      </c>
      <c r="I1664" s="5">
        <f>HYPERLINK("https://www.ebay.com/sch/261328/i.html?_dcat=261328&amp;_fsrp=1&amp;rt=nc&amp;_from=R40&amp;_nkw=2026%20Bowman%20SHOTARO%20MORII%20%23BCP-48%20Athletics&amp;_sacat=0&amp;_sop=15&amp;rt=nc&amp;LH_BIN=1", "Active")</f>
        <v/>
      </c>
      <c r="J1664" s="5">
        <f>HYPERLINK("https://www.ebay.com/sch/261328/i.html?_from=R40&amp;_nkw=2026%20Bowman%20SHOTARO%20MORII%20%23BCP-48%20Athletics&amp;_sacat=0&amp;LH_Sold=1&amp;LH_Complete=1&amp;_sop=13", "Completed")</f>
        <v/>
      </c>
      <c r="K1664" s="5" t="inlineStr">
        <is>
          <t>2026 Bowman Chrome Prospects BCP-1 to BCP-150 You Pick - 2 Card Minimum</t>
        </is>
      </c>
    </row>
    <row r="1665">
      <c r="A1665" t="inlineStr">
        <is>
          <t>BB-071126-00048-04778</t>
        </is>
      </c>
      <c r="B1665" t="inlineStr">
        <is>
          <t>2026 Bowman XAVIER NEYENS #BCP-133 Astros</t>
        </is>
      </c>
      <c r="C1665" s="14" t="n">
        <v>1.5</v>
      </c>
      <c r="D1665" s="14" t="n"/>
      <c r="E1665" s="14" t="inlineStr"/>
      <c r="F1665" s="15" t="inlineStr"/>
      <c r="G1665" t="inlineStr">
        <is>
          <t>? No price data</t>
        </is>
      </c>
      <c r="H1665" t="inlineStr">
        <is>
          <t>55%</t>
        </is>
      </c>
      <c r="I1665">
        <f>HYPERLINK("https://www.ebay.com/sch/261328/i.html?_dcat=261328&amp;_fsrp=1&amp;rt=nc&amp;_from=R40&amp;_nkw=2026%20Bowman%20XAVIER%20NEYENS%20%23BCP-133%20Astros&amp;_sacat=0&amp;_sop=15&amp;rt=nc&amp;LH_BIN=1", "Active")</f>
        <v/>
      </c>
      <c r="J1665">
        <f>HYPERLINK("https://www.ebay.com/sch/261328/i.html?_from=R40&amp;_nkw=2026%20Bowman%20XAVIER%20NEYENS%20%23BCP-133%20Astros&amp;_sacat=0&amp;LH_Sold=1&amp;LH_Complete=1&amp;_sop=13", "Completed")</f>
        <v/>
      </c>
      <c r="K1665" t="inlineStr">
        <is>
          <t>2026 Bowman Chrome Prospects BCP-1 to BCP-150 You Pick - 2 Card Minimum</t>
        </is>
      </c>
    </row>
    <row r="1666">
      <c r="A1666" s="5" t="inlineStr">
        <is>
          <t>BB-071126-00005-41724</t>
        </is>
      </c>
      <c r="B1666" s="5" t="inlineStr">
        <is>
          <t>2025 Bowman Draft GEORGE LOMBARD JR. #BDC-43 Mojo Refractor Yankees</t>
        </is>
      </c>
      <c r="C1666" s="6" t="n">
        <v>2.29</v>
      </c>
      <c r="D1666" s="6" t="n">
        <v>2.49</v>
      </c>
      <c r="E1666" s="6" t="n">
        <v>0.2</v>
      </c>
      <c r="F1666" s="7" t="n">
        <v>8.699999999999999</v>
      </c>
      <c r="G1666" s="5" t="inlineStr">
        <is>
          <t>⬆ Price Up</t>
        </is>
      </c>
      <c r="H1666" s="5" t="inlineStr">
        <is>
          <t>88%</t>
        </is>
      </c>
      <c r="I1666" s="5">
        <f>HYPERLINK("https://www.ebay.com/sch/261328/i.html?_dcat=261328&amp;_fsrp=1&amp;rt=nc&amp;_from=R40&amp;_nkw=2025%20Bowman%20Draft%20GEORGE%20LOMBARD%20JR.%20%23BDC-43%20Mojo%20Refractor%20Yankees&amp;_sacat=0&amp;_sop=15&amp;rt=nc&amp;LH_BIN=1", "Active")</f>
        <v/>
      </c>
      <c r="J1666" s="5">
        <f>HYPERLINK("https://www.ebay.com/sch/261328/i.html?_from=R40&amp;_nkw=2025%20Bowman%20Draft%20GEORGE%20LOMBARD%20JR.%20%23BDC-43%20Mojo%20Refractor%20Yankees&amp;_sacat=0&amp;LH_Sold=1&amp;LH_Complete=1&amp;_sop=13", "Completed")</f>
        <v/>
      </c>
      <c r="K1666" s="5" t="inlineStr">
        <is>
          <t>2025 Bowman Draft - George Lombards Jr #BDC-43 - Mojo Refractor - Yankees</t>
        </is>
      </c>
    </row>
    <row r="1667">
      <c r="A1667" s="5" t="inlineStr">
        <is>
          <t>BB-071126-00040-79409</t>
        </is>
      </c>
      <c r="B1667" s="5" t="inlineStr">
        <is>
          <t>2025 Bowman Chrome ELIAN PENA #BCP-155 1st Prospect Mets</t>
        </is>
      </c>
      <c r="C1667" s="6" t="n">
        <v>1.99</v>
      </c>
      <c r="D1667" s="6" t="n">
        <v>2.49</v>
      </c>
      <c r="E1667" s="6" t="n">
        <v>0.5</v>
      </c>
      <c r="F1667" s="7" t="n">
        <v>25.1</v>
      </c>
      <c r="G1667" s="5" t="inlineStr">
        <is>
          <t>⬆ Price Up</t>
        </is>
      </c>
      <c r="H1667" s="5" t="inlineStr">
        <is>
          <t>86%</t>
        </is>
      </c>
      <c r="I1667" s="5">
        <f>HYPERLINK("https://www.ebay.com/sch/261328/i.html?_dcat=261328&amp;_fsrp=1&amp;rt=nc&amp;_from=R40&amp;_nkw=2025%20Bowman%20Chrome%20ELIAN%20PENA%20%23BCP-155%201st%20Prospect%20Mets&amp;_sacat=0&amp;_sop=15&amp;rt=nc&amp;LH_BIN=1", "Active")</f>
        <v/>
      </c>
      <c r="J1667" s="5">
        <f>HYPERLINK("https://www.ebay.com/sch/261328/i.html?_from=R40&amp;_nkw=2025%20Bowman%20Chrome%20ELIAN%20PENA%20%23BCP-155%201st%20Prospect%20Mets&amp;_sacat=0&amp;LH_Sold=1&amp;LH_Complete=1&amp;_sop=13", "Completed")</f>
        <v/>
      </c>
      <c r="K1667" s="5" t="inlineStr">
        <is>
          <t>2025 Bowman Chrome Elian Pena 1st Bowman #BCP-155 Mets</t>
        </is>
      </c>
    </row>
    <row r="1668">
      <c r="A1668" s="5" t="inlineStr">
        <is>
          <t>BB-071126-00036-28955</t>
        </is>
      </c>
      <c r="B1668" s="5" t="inlineStr">
        <is>
          <t>2026 Bowman YOJANCEL CABRERA #BCP-3 1st Prospect Angels</t>
        </is>
      </c>
      <c r="C1668" s="6" t="n">
        <v>1</v>
      </c>
      <c r="D1668" s="6" t="n">
        <v>2.49</v>
      </c>
      <c r="E1668" s="6" t="n">
        <v>1.49</v>
      </c>
      <c r="F1668" s="7" t="n">
        <v>149</v>
      </c>
      <c r="G1668" s="5" t="inlineStr">
        <is>
          <t>⬆ Price Up</t>
        </is>
      </c>
      <c r="H1668" s="5" t="inlineStr">
        <is>
          <t>60%</t>
        </is>
      </c>
      <c r="I1668" s="5">
        <f>HYPERLINK("https://www.ebay.com/sch/261328/i.html?_dcat=261328&amp;_fsrp=1&amp;rt=nc&amp;_from=R40&amp;_nkw=2026%20Bowman%20YOJANCEL%20CABRERA%20%23BCP-3%201st%20Prospect%20Angels&amp;_sacat=0&amp;_sop=15&amp;rt=nc&amp;LH_BIN=1", "Active")</f>
        <v/>
      </c>
      <c r="J1668" s="5">
        <f>HYPERLINK("https://www.ebay.com/sch/261328/i.html?_from=R40&amp;_nkw=2026%20Bowman%20YOJANCEL%20CABRERA%20%23BCP-3%201st%20Prospect%20Angels&amp;_sacat=0&amp;LH_Sold=1&amp;LH_Complete=1&amp;_sop=13", "Completed")</f>
        <v/>
      </c>
      <c r="K1668" s="5" t="inlineStr">
        <is>
          <t>(2 CARD MINIMUM) 2026 Bowman Chrome Prospects/1st COMPLETE YOUR SET FREE SHIP RC</t>
        </is>
      </c>
    </row>
    <row r="1669">
      <c r="A1669" s="5" t="inlineStr">
        <is>
          <t>BB-071126-00033-60827</t>
        </is>
      </c>
      <c r="B1669" s="5" t="inlineStr">
        <is>
          <t>2026 Bowman KENDRY CHOURIO #BCP-7 1st Prospect Royals</t>
        </is>
      </c>
      <c r="C1669" s="6" t="n">
        <v>1.99</v>
      </c>
      <c r="D1669" s="6" t="n">
        <v>2.49</v>
      </c>
      <c r="E1669" s="6" t="n">
        <v>0.5</v>
      </c>
      <c r="F1669" s="7" t="n">
        <v>25.1</v>
      </c>
      <c r="G1669" s="5" t="inlineStr">
        <is>
          <t>⬆ Price Up</t>
        </is>
      </c>
      <c r="H1669" s="5" t="inlineStr">
        <is>
          <t>78%</t>
        </is>
      </c>
      <c r="I1669" s="5">
        <f>HYPERLINK("https://www.ebay.com/sch/261328/i.html?_dcat=261328&amp;_fsrp=1&amp;rt=nc&amp;_from=R40&amp;_nkw=2026%20Bowman%20KENDRY%20CHOURIO%20%23BCP-7%201st%20Prospect%20Royals&amp;_sacat=0&amp;_sop=15&amp;rt=nc&amp;LH_BIN=1", "Active")</f>
        <v/>
      </c>
      <c r="J1669" s="5">
        <f>HYPERLINK("https://www.ebay.com/sch/261328/i.html?_from=R40&amp;_nkw=2026%20Bowman%20KENDRY%20CHOURIO%20%23BCP-7%201st%20Prospect%20Royals&amp;_sacat=0&amp;LH_Sold=1&amp;LH_Complete=1&amp;_sop=13", "Completed")</f>
        <v/>
      </c>
      <c r="K1669" s="5" t="inlineStr">
        <is>
          <t>Kendry Chourio 2026 Bowman Chrome Prospects 1st RC #BCP-7 Royals</t>
        </is>
      </c>
    </row>
    <row r="1670">
      <c r="A1670" t="inlineStr">
        <is>
          <t>BB-071126-00021-25653</t>
        </is>
      </c>
      <c r="B1670" t="inlineStr">
        <is>
          <t>2026 Bowman SAL STEWART #UR-11 RC Reds</t>
        </is>
      </c>
      <c r="C1670" s="14" t="n">
        <v>1.99</v>
      </c>
      <c r="D1670" s="14" t="n"/>
      <c r="E1670" s="14" t="inlineStr"/>
      <c r="F1670" s="15" t="inlineStr"/>
      <c r="G1670" t="inlineStr">
        <is>
          <t>? No price data</t>
        </is>
      </c>
      <c r="H1670" t="inlineStr">
        <is>
          <t>57%</t>
        </is>
      </c>
      <c r="I1670">
        <f>HYPERLINK("https://www.ebay.com/sch/261328/i.html?_dcat=261328&amp;_fsrp=1&amp;rt=nc&amp;_from=R40&amp;_nkw=2026%20Bowman%20SAL%20STEWART%20%23UR-11%20RC%20Reds&amp;_sacat=0&amp;_sop=15&amp;rt=nc&amp;LH_BIN=1", "Active")</f>
        <v/>
      </c>
      <c r="J1670">
        <f>HYPERLINK("https://www.ebay.com/sch/261328/i.html?_from=R40&amp;_nkw=2026%20Bowman%20SAL%20STEWART%20%23UR-11%20RC%20Reds&amp;_sacat=0&amp;LH_Sold=1&amp;LH_Complete=1&amp;_sop=13", "Completed")</f>
        <v/>
      </c>
      <c r="K1670" t="inlineStr">
        <is>
          <t>2026 Bowman Chrome Under The Radar UR Insert Pick Your Card Baseball Prospect</t>
        </is>
      </c>
    </row>
    <row r="1671">
      <c r="A1671" s="5" t="inlineStr">
        <is>
          <t>BB-071126-00008-00126</t>
        </is>
      </c>
      <c r="B1671" s="5" t="inlineStr">
        <is>
          <t>2025 Topps Stadium Club DEREK JETER #172 Yankees</t>
        </is>
      </c>
      <c r="C1671" s="6" t="n">
        <v>1.99</v>
      </c>
      <c r="D1671" s="6" t="n">
        <v>2.49</v>
      </c>
      <c r="E1671" s="6" t="n">
        <v>0.5</v>
      </c>
      <c r="F1671" s="7" t="n">
        <v>25.1</v>
      </c>
      <c r="G1671" s="5" t="inlineStr">
        <is>
          <t>⬆ Price Up</t>
        </is>
      </c>
      <c r="H1671" s="5" t="inlineStr">
        <is>
          <t>64%</t>
        </is>
      </c>
      <c r="I1671" s="5">
        <f>HYPERLINK("https://www.ebay.com/sch/261328/i.html?_dcat=261328&amp;_fsrp=1&amp;rt=nc&amp;_from=R40&amp;_nkw=2025%20Topps%20Stadium%20Club%20DEREK%20JETER%20%23172%20Yankees&amp;_sacat=0&amp;_sop=15&amp;rt=nc&amp;LH_BIN=1", "Active")</f>
        <v/>
      </c>
      <c r="J1671" s="5">
        <f>HYPERLINK("https://www.ebay.com/sch/261328/i.html?_from=R40&amp;_nkw=2025%20Topps%20Stadium%20Club%20DEREK%20JETER%20%23172%20Yankees&amp;_sacat=0&amp;LH_Sold=1&amp;LH_Complete=1&amp;_sop=13", "Completed")</f>
        <v/>
      </c>
      <c r="K1671" s="5" t="inlineStr">
        <is>
          <t>2025 Stadium Club #1-200 RC &amp; VETS YOU PICK TO COMPLETE SET! FREE SHIP! CHEAP!!</t>
        </is>
      </c>
    </row>
    <row r="1672">
      <c r="A1672" s="5" t="inlineStr">
        <is>
          <t>BB-071126-00009-59661</t>
        </is>
      </c>
      <c r="B1672" s="5" t="inlineStr">
        <is>
          <t>2025 Bowman Draft TANNER FRANKLIN #BDC-90 Refractor 1st Prospect Cardinals</t>
        </is>
      </c>
      <c r="C1672" s="6" t="n">
        <v>1.99</v>
      </c>
      <c r="D1672" s="6" t="n">
        <v>3.29</v>
      </c>
      <c r="E1672" s="6" t="n">
        <v>1.3</v>
      </c>
      <c r="F1672" s="7" t="n">
        <v>65.3</v>
      </c>
      <c r="G1672" s="5" t="inlineStr">
        <is>
          <t>⬆ Price Up</t>
        </is>
      </c>
      <c r="H1672" s="5" t="inlineStr">
        <is>
          <t>87%</t>
        </is>
      </c>
      <c r="I1672" s="5">
        <f>HYPERLINK("https://www.ebay.com/sch/261328/i.html?_dcat=261328&amp;_fsrp=1&amp;rt=nc&amp;_from=R40&amp;_nkw=2025%20Bowman%20Draft%20TANNER%20FRANKLIN%20%23BDC-90%20Refractor%201st%20Prospect%20Cardinals&amp;_sacat=0&amp;_sop=15&amp;rt=nc&amp;LH_BIN=1", "Active")</f>
        <v/>
      </c>
      <c r="J1672" s="5">
        <f>HYPERLINK("https://www.ebay.com/sch/261328/i.html?_from=R40&amp;_nkw=2025%20Bowman%20Draft%20TANNER%20FRANKLIN%20%23BDC-90%20Refractor%201st%20Prospect%20Cardinals&amp;_sacat=0&amp;LH_Sold=1&amp;LH_Complete=1&amp;_sop=13", "Completed")</f>
        <v/>
      </c>
      <c r="K1672" s="5" t="inlineStr">
        <is>
          <t>2025 Bowman Draft Tanner Franklin 1st Bowman Chrome Refractor #BDC-90 Cardinals</t>
        </is>
      </c>
    </row>
    <row r="1673">
      <c r="A1673" s="5" t="inlineStr">
        <is>
          <t>BB-071126-00025-81538</t>
        </is>
      </c>
      <c r="B1673" s="5" t="inlineStr">
        <is>
          <t>2026 Bowman EDWARD FLORENTINO #UR-9 Pirates</t>
        </is>
      </c>
      <c r="C1673" s="6" t="n">
        <v>2.29</v>
      </c>
      <c r="D1673" s="6" t="n">
        <v>2.49</v>
      </c>
      <c r="E1673" s="6" t="n">
        <v>0.2</v>
      </c>
      <c r="F1673" s="7" t="n">
        <v>8.699999999999999</v>
      </c>
      <c r="G1673" s="5" t="inlineStr">
        <is>
          <t>⬆ Price Up</t>
        </is>
      </c>
      <c r="H1673" s="5" t="inlineStr">
        <is>
          <t>60%</t>
        </is>
      </c>
      <c r="I1673" s="5">
        <f>HYPERLINK("https://www.ebay.com/sch/261328/i.html?_dcat=261328&amp;_fsrp=1&amp;rt=nc&amp;_from=R40&amp;_nkw=2026%20Bowman%20EDWARD%20FLORENTINO%20%23UR-9%20Pirates&amp;_sacat=0&amp;_sop=15&amp;rt=nc&amp;LH_BIN=1", "Active")</f>
        <v/>
      </c>
      <c r="J1673" s="5">
        <f>HYPERLINK("https://www.ebay.com/sch/261328/i.html?_from=R40&amp;_nkw=2026%20Bowman%20EDWARD%20FLORENTINO%20%23UR-9%20Pirates&amp;_sacat=0&amp;LH_Sold=1&amp;LH_Complete=1&amp;_sop=13", "Completed")</f>
        <v/>
      </c>
      <c r="K1673" s="5" t="inlineStr">
        <is>
          <t>2026 BOWMAN INSERT YOU PICK | TOP 100, STERLING, UNDER RADAR, ELECTRIC SLUGGERS</t>
        </is>
      </c>
    </row>
    <row r="1674">
      <c r="A1674" s="5" t="inlineStr">
        <is>
          <t>BB-071126-00016-68350</t>
        </is>
      </c>
      <c r="B1674" s="5" t="inlineStr">
        <is>
          <t>2026 Bowman BREYSON GUEDEZ #BCP-32 1st Prospect Athletics</t>
        </is>
      </c>
      <c r="C1674" s="6" t="n">
        <v>1.5</v>
      </c>
      <c r="D1674" s="6" t="n">
        <v>2.49</v>
      </c>
      <c r="E1674" s="6" t="n">
        <v>0.99</v>
      </c>
      <c r="F1674" s="7" t="n">
        <v>66</v>
      </c>
      <c r="G1674" s="5" t="inlineStr">
        <is>
          <t>⬆ Price Up</t>
        </is>
      </c>
      <c r="H1674" s="5" t="inlineStr">
        <is>
          <t>65%</t>
        </is>
      </c>
      <c r="I1674" s="5">
        <f>HYPERLINK("https://www.ebay.com/sch/261328/i.html?_dcat=261328&amp;_fsrp=1&amp;rt=nc&amp;_from=R40&amp;_nkw=2026%20Bowman%20BREYSON%20GUEDEZ%20%23BCP-32%201st%20Prospect%20Athletics&amp;_sacat=0&amp;_sop=15&amp;rt=nc&amp;LH_BIN=1", "Active")</f>
        <v/>
      </c>
      <c r="J1674" s="5">
        <f>HYPERLINK("https://www.ebay.com/sch/261328/i.html?_from=R40&amp;_nkw=2026%20Bowman%20BREYSON%20GUEDEZ%20%23BCP-32%201st%20Prospect%20Athletics&amp;_sacat=0&amp;LH_Sold=1&amp;LH_Complete=1&amp;_sop=13", "Completed")</f>
        <v/>
      </c>
      <c r="K1674" s="5" t="inlineStr">
        <is>
          <t>2026 Bowman *YOU PICK* Base Chrome Prospects w/ 1st #BCP 1-150 *BUY 2+ &amp; SAVE*</t>
        </is>
      </c>
    </row>
    <row r="1675">
      <c r="A1675" s="5" t="inlineStr">
        <is>
          <t>BB-071126-00029-00565</t>
        </is>
      </c>
      <c r="B1675" s="5" t="inlineStr">
        <is>
          <t>2026 Bowman LEO DE VRIES #BCP-63 Athletics</t>
        </is>
      </c>
      <c r="C1675" s="6" t="n">
        <v>1.99</v>
      </c>
      <c r="D1675" s="6" t="n">
        <v>2.49</v>
      </c>
      <c r="E1675" s="6" t="n">
        <v>0.5</v>
      </c>
      <c r="F1675" s="7" t="n">
        <v>25.1</v>
      </c>
      <c r="G1675" s="5" t="inlineStr">
        <is>
          <t>⬆ Price Up</t>
        </is>
      </c>
      <c r="H1675" s="5" t="inlineStr">
        <is>
          <t>61%</t>
        </is>
      </c>
      <c r="I1675" s="5">
        <f>HYPERLINK("https://www.ebay.com/sch/261328/i.html?_dcat=261328&amp;_fsrp=1&amp;rt=nc&amp;_from=R40&amp;_nkw=2026%20Bowman%20LEO%20DE%20VRIES%20%23BCP-63%20Athletics&amp;_sacat=0&amp;_sop=15&amp;rt=nc&amp;LH_BIN=1", "Active")</f>
        <v/>
      </c>
      <c r="J1675" s="5">
        <f>HYPERLINK("https://www.ebay.com/sch/261328/i.html?_from=R40&amp;_nkw=2026%20Bowman%20LEO%20DE%20VRIES%20%23BCP-63%20Athletics&amp;_sacat=0&amp;LH_Sold=1&amp;LH_Complete=1&amp;_sop=13", "Completed")</f>
        <v/>
      </c>
      <c r="K1675" s="5" t="inlineStr">
        <is>
          <t>2026 Bowman Chrome Prospects BCP 1-150 You Pick Complete Your Set</t>
        </is>
      </c>
    </row>
    <row r="1676">
      <c r="A1676" s="5" t="inlineStr">
        <is>
          <t>BB-071126-00030-82354</t>
        </is>
      </c>
      <c r="B1676" s="5" t="inlineStr">
        <is>
          <t>2026 Bowman BREYSON GUEDEZ #BCP-32 1st Prospect Athletics</t>
        </is>
      </c>
      <c r="C1676" s="6" t="n">
        <v>1.5</v>
      </c>
      <c r="D1676" s="6" t="n">
        <v>2.49</v>
      </c>
      <c r="E1676" s="6" t="n">
        <v>0.99</v>
      </c>
      <c r="F1676" s="7" t="n">
        <v>66</v>
      </c>
      <c r="G1676" s="5" t="inlineStr">
        <is>
          <t>⬆ Price Up</t>
        </is>
      </c>
      <c r="H1676" s="5" t="inlineStr">
        <is>
          <t>65%</t>
        </is>
      </c>
      <c r="I1676" s="5">
        <f>HYPERLINK("https://www.ebay.com/sch/261328/i.html?_dcat=261328&amp;_fsrp=1&amp;rt=nc&amp;_from=R40&amp;_nkw=2026%20Bowman%20BREYSON%20GUEDEZ%20%23BCP-32%201st%20Prospect%20Athletics&amp;_sacat=0&amp;_sop=15&amp;rt=nc&amp;LH_BIN=1", "Active")</f>
        <v/>
      </c>
      <c r="J1676" s="5">
        <f>HYPERLINK("https://www.ebay.com/sch/261328/i.html?_from=R40&amp;_nkw=2026%20Bowman%20BREYSON%20GUEDEZ%20%23BCP-32%201st%20Prospect%20Athletics&amp;_sacat=0&amp;LH_Sold=1&amp;LH_Complete=1&amp;_sop=13", "Completed")</f>
        <v/>
      </c>
      <c r="K1676" s="5" t="inlineStr">
        <is>
          <t>2026 Bowman *YOU PICK* Base Chrome Prospects w/ 1st #BCP 1-150 *BUY 2+ &amp; SAVE*</t>
        </is>
      </c>
    </row>
    <row r="1677">
      <c r="A1677" s="5" t="inlineStr">
        <is>
          <t>BB-071126-00050-31033</t>
        </is>
      </c>
      <c r="B1677" s="5" t="inlineStr">
        <is>
          <t>2025 Bowman Draft ELIAN PENA #BDC-115 Mets</t>
        </is>
      </c>
      <c r="C1677" s="6" t="n">
        <v>1</v>
      </c>
      <c r="D1677" s="6" t="n">
        <v>2.49</v>
      </c>
      <c r="E1677" s="6" t="n">
        <v>1.49</v>
      </c>
      <c r="F1677" s="7" t="n">
        <v>149</v>
      </c>
      <c r="G1677" s="5" t="inlineStr">
        <is>
          <t>⬆ Price Up</t>
        </is>
      </c>
      <c r="H1677" s="5" t="inlineStr">
        <is>
          <t>86%</t>
        </is>
      </c>
      <c r="I1677" s="5">
        <f>HYPERLINK("https://www.ebay.com/sch/261328/i.html?_dcat=261328&amp;_fsrp=1&amp;rt=nc&amp;_from=R40&amp;_nkw=2025%20Bowman%20Draft%20ELIAN%20PENA%20%23BDC-115%20Mets&amp;_sacat=0&amp;_sop=15&amp;rt=nc&amp;LH_BIN=1", "Active")</f>
        <v/>
      </c>
      <c r="J1677" s="5">
        <f>HYPERLINK("https://www.ebay.com/sch/261328/i.html?_from=R40&amp;_nkw=2025%20Bowman%20Draft%20ELIAN%20PENA%20%23BDC-115%20Mets&amp;_sacat=0&amp;LH_Sold=1&amp;LH_Complete=1&amp;_sop=13", "Completed")</f>
        <v/>
      </c>
      <c r="K1677" s="5" t="inlineStr">
        <is>
          <t>2025 Bowman Draft Chrome - Elian Pena #BDC-115 Mets</t>
        </is>
      </c>
    </row>
    <row r="1678">
      <c r="A1678" s="5" t="inlineStr">
        <is>
          <t>BB-071126-00034-60097</t>
        </is>
      </c>
      <c r="B1678" s="5" t="inlineStr">
        <is>
          <t>2024 Panini Prospect Edition CARSON BENGE #6 Mets</t>
        </is>
      </c>
      <c r="C1678" s="6" t="n">
        <v>1.99</v>
      </c>
      <c r="D1678" s="6" t="n">
        <v>2.49</v>
      </c>
      <c r="E1678" s="6" t="n">
        <v>0.5</v>
      </c>
      <c r="F1678" s="7" t="n">
        <v>25.1</v>
      </c>
      <c r="G1678" s="5" t="inlineStr">
        <is>
          <t>⬆ Price Up</t>
        </is>
      </c>
      <c r="H1678" s="5" t="inlineStr">
        <is>
          <t>82%</t>
        </is>
      </c>
      <c r="I1678" s="5">
        <f>HYPERLINK("https://www.ebay.com/sch/261328/i.html?_dcat=261328&amp;_fsrp=1&amp;rt=nc&amp;_from=R40&amp;_nkw=2024%20Panini%20Prospect%20Edition%20CARSON%20BENGE%20%236%20Mets&amp;_sacat=0&amp;_sop=15&amp;rt=nc&amp;LH_BIN=1", "Active")</f>
        <v/>
      </c>
      <c r="J1678" s="5">
        <f>HYPERLINK("https://www.ebay.com/sch/261328/i.html?_from=R40&amp;_nkw=2024%20Panini%20Prospect%20Edition%20CARSON%20BENGE%20%236%20Mets&amp;_sacat=0&amp;LH_Sold=1&amp;LH_Complete=1&amp;_sop=13", "Completed")</f>
        <v/>
      </c>
      <c r="K1678" s="5" t="inlineStr">
        <is>
          <t>2024 Panini Prospect Edition Carson Benge New York Mets #6 Prepping for the Pros</t>
        </is>
      </c>
    </row>
    <row r="1679">
      <c r="A1679" s="2" t="inlineStr">
        <is>
          <t>BB-071126-00018-40806</t>
        </is>
      </c>
      <c r="B1679" s="2" t="inlineStr">
        <is>
          <t>2025 Bowman's Best MAX CLARK #TP-1 Refractor Tigers</t>
        </is>
      </c>
      <c r="C1679" s="3" t="n">
        <v>2.5</v>
      </c>
      <c r="D1679" s="3" t="n">
        <v>2.49</v>
      </c>
      <c r="E1679" s="3" t="n">
        <v>-0.01</v>
      </c>
      <c r="F1679" s="4" t="n">
        <v>-0.4</v>
      </c>
      <c r="G1679" s="2" t="inlineStr">
        <is>
          <t>🔵 Floored $2.49 — free ship or $0.99 ship?</t>
        </is>
      </c>
      <c r="H1679" s="2" t="inlineStr">
        <is>
          <t>71%</t>
        </is>
      </c>
      <c r="I1679" s="2">
        <f>HYPERLINK("https://www.ebay.com/sch/261328/i.html?_dcat=261328&amp;_fsrp=1&amp;rt=nc&amp;_from=R40&amp;_nkw=2025%20Bowman's%20Best%20MAX%20CLARK%20%23TP-1%20Refractor%20Tigers&amp;_sacat=0&amp;_sop=15&amp;rt=nc&amp;LH_BIN=1", "Active")</f>
        <v/>
      </c>
      <c r="J1679" s="2">
        <f>HYPERLINK("https://www.ebay.com/sch/261328/i.html?_from=R40&amp;_nkw=2025%20Bowman's%20Best%20MAX%20CLARK%20%23TP-1%20Refractor%20Tigers&amp;_sacat=0&amp;LH_Sold=1&amp;LH_Complete=1&amp;_sop=13", "Completed")</f>
        <v/>
      </c>
      <c r="K1679" s="2" t="inlineStr">
        <is>
          <t>Bowman's Best 2025 Top Prospects Max Clark TP-1 Detroit Tigers Refractor base</t>
        </is>
      </c>
    </row>
    <row r="1680">
      <c r="A1680" s="5" t="inlineStr">
        <is>
          <t>BB-071126-00015-18649</t>
        </is>
      </c>
      <c r="B1680" s="5" t="inlineStr">
        <is>
          <t>2025 Bowman Draft MASON MORRIS #BDC-66 1st Prospect Reds</t>
        </is>
      </c>
      <c r="C1680" s="6" t="n">
        <v>1</v>
      </c>
      <c r="D1680" s="6" t="n">
        <v>2.49</v>
      </c>
      <c r="E1680" s="6" t="n">
        <v>1.49</v>
      </c>
      <c r="F1680" s="7" t="n">
        <v>149</v>
      </c>
      <c r="G1680" s="5" t="inlineStr">
        <is>
          <t>⬆ Price Up</t>
        </is>
      </c>
      <c r="H1680" s="5" t="inlineStr">
        <is>
          <t>85%</t>
        </is>
      </c>
      <c r="I1680" s="5">
        <f>HYPERLINK("https://www.ebay.com/sch/261328/i.html?_dcat=261328&amp;_fsrp=1&amp;rt=nc&amp;_from=R40&amp;_nkw=2025%20Bowman%20Draft%20MASON%20MORRIS%20%23BDC-66%201st%20Prospect%20Reds&amp;_sacat=0&amp;_sop=15&amp;rt=nc&amp;LH_BIN=1", "Active")</f>
        <v/>
      </c>
      <c r="J1680" s="5">
        <f>HYPERLINK("https://www.ebay.com/sch/261328/i.html?_from=R40&amp;_nkw=2025%20Bowman%20Draft%20MASON%20MORRIS%20%23BDC-66%201st%20Prospect%20Reds&amp;_sacat=0&amp;LH_Sold=1&amp;LH_Complete=1&amp;_sop=13", "Completed")</f>
        <v/>
      </c>
      <c r="K1680" s="5" t="inlineStr">
        <is>
          <t>2025 Bowman Draft MASON MORRIS 1st Chrome Refractor Prospect #BDC-66 Reds</t>
        </is>
      </c>
    </row>
    <row r="1681">
      <c r="A1681" s="5" t="inlineStr">
        <is>
          <t>BB-071126-00004-09019</t>
        </is>
      </c>
      <c r="B1681" s="5" t="inlineStr">
        <is>
          <t>2025 Bowman Draft KAEDEN KENT #BDC-65 Refractor 1st Prospect Yankees</t>
        </is>
      </c>
      <c r="C1681" s="6" t="n">
        <v>2.99</v>
      </c>
      <c r="D1681" s="6" t="n">
        <v>3.29</v>
      </c>
      <c r="E1681" s="6" t="n">
        <v>0.3</v>
      </c>
      <c r="F1681" s="7" t="n">
        <v>10</v>
      </c>
      <c r="G1681" s="5" t="inlineStr">
        <is>
          <t>⬆ Price Up</t>
        </is>
      </c>
      <c r="H1681" s="5" t="inlineStr">
        <is>
          <t>88%</t>
        </is>
      </c>
      <c r="I1681" s="5">
        <f>HYPERLINK("https://www.ebay.com/sch/261328/i.html?_dcat=261328&amp;_fsrp=1&amp;rt=nc&amp;_from=R40&amp;_nkw=2025%20Bowman%20Draft%20KAEDEN%20KENT%20%23BDC-65%20Refractor%201st%20Prospect%20Yankees&amp;_sacat=0&amp;_sop=15&amp;rt=nc&amp;LH_BIN=1", "Active")</f>
        <v/>
      </c>
      <c r="J1681" s="5">
        <f>HYPERLINK("https://www.ebay.com/sch/261328/i.html?_from=R40&amp;_nkw=2025%20Bowman%20Draft%20KAEDEN%20KENT%20%23BDC-65%20Refractor%201st%20Prospect%20Yankees&amp;_sacat=0&amp;LH_Sold=1&amp;LH_Complete=1&amp;_sop=13", "Completed")</f>
        <v/>
      </c>
      <c r="K1681" s="5" t="inlineStr">
        <is>
          <t>2025 Bowman Draft Kaeden Kent Chrome Refractor 1st Prospect #BDC-65 Yankees</t>
        </is>
      </c>
    </row>
    <row r="1682">
      <c r="A1682" s="5" t="inlineStr">
        <is>
          <t>BB-071126-00035-77801</t>
        </is>
      </c>
      <c r="B1682" s="5" t="inlineStr">
        <is>
          <t>2026 Bowman DENIEL ORTIZ #BCP-22 1st Prospect Cardinals</t>
        </is>
      </c>
      <c r="C1682" s="6" t="n">
        <v>1.99</v>
      </c>
      <c r="D1682" s="6" t="n">
        <v>2.49</v>
      </c>
      <c r="E1682" s="6" t="n">
        <v>0.5</v>
      </c>
      <c r="F1682" s="7" t="n">
        <v>25.1</v>
      </c>
      <c r="G1682" s="5" t="inlineStr">
        <is>
          <t>⬆ Price Up</t>
        </is>
      </c>
      <c r="H1682" s="5" t="inlineStr">
        <is>
          <t>67%</t>
        </is>
      </c>
      <c r="I1682" s="5">
        <f>HYPERLINK("https://www.ebay.com/sch/261328/i.html?_dcat=261328&amp;_fsrp=1&amp;rt=nc&amp;_from=R40&amp;_nkw=2026%20Bowman%20DENIEL%20ORTIZ%20%23BCP-22%201st%20Prospect%20Cardinals&amp;_sacat=0&amp;_sop=15&amp;rt=nc&amp;LH_BIN=1", "Active")</f>
        <v/>
      </c>
      <c r="J1682" s="5">
        <f>HYPERLINK("https://www.ebay.com/sch/261328/i.html?_from=R40&amp;_nkw=2026%20Bowman%20DENIEL%20ORTIZ%20%23BCP-22%201st%20Prospect%20Cardinals&amp;_sacat=0&amp;LH_Sold=1&amp;LH_Complete=1&amp;_sop=13", "Completed")</f>
        <v/>
      </c>
      <c r="K1682" s="5" t="inlineStr">
        <is>
          <t>2026 Bowman Baseball Base, Prospects &amp; Inserts Pick From List</t>
        </is>
      </c>
    </row>
    <row r="1683">
      <c r="A1683" t="inlineStr"/>
      <c r="B1683" t="inlineStr">
        <is>
          <t>2020-21 Topps Chrome Uefa Champions League Sapphire Edition - Image Variation...</t>
        </is>
      </c>
      <c r="C1683" s="14" t="n"/>
      <c r="D1683" s="14" t="n">
        <v>14.49</v>
      </c>
      <c r="E1683" s="14" t="inlineStr"/>
      <c r="F1683" s="15" t="inlineStr"/>
      <c r="G1683" t="inlineStr">
        <is>
          <t>? No price data</t>
        </is>
      </c>
      <c r="H1683" t="inlineStr">
        <is>
          <t>68%</t>
        </is>
      </c>
      <c r="I1683">
        <f>HYPERLINK("https://www.ebay.com/sch/261328/i.html?_dcat=261328&amp;_fsrp=1&amp;rt=nc&amp;_from=R40&amp;_nkw=2020-21%20Topps%20Chrome%20Uefa%20Champions%20League%20Sapphire%20Edition%20-%20Image%20Variation...&amp;_sacat=0&amp;_sop=15&amp;rt=nc&amp;LH_BIN=1", "Active")</f>
        <v/>
      </c>
      <c r="J1683">
        <f>HYPERLINK("https://www.ebay.com/sch/261328/i.html?_from=R40&amp;_nkw=2020-21%20Topps%20Chrome%20Uefa%20Champions%20League%20Sapphire%20Edition%20-%20Image%20Variation...&amp;_sacat=0&amp;LH_Sold=1&amp;LH_Complete=1&amp;_sop=13", "Completed")</f>
        <v/>
      </c>
      <c r="K1683" t="inlineStr">
        <is>
          <t>2020-21 Topps Chrome UCL Sapphire Edition #93 Reinier Jesus RC PSA 10</t>
        </is>
      </c>
    </row>
    <row r="1684">
      <c r="A1684" s="5" t="inlineStr">
        <is>
          <t>Girkswhtnot-071226-00003-84049</t>
        </is>
      </c>
      <c r="B1684" s="5" t="inlineStr">
        <is>
          <t>2025 Bowman's Best TARIK SKUBAL #12 Lazer Refractor /350 Tigers</t>
        </is>
      </c>
      <c r="C1684" s="6" t="n">
        <v>4.5</v>
      </c>
      <c r="D1684" s="6" t="n">
        <v>5.29</v>
      </c>
      <c r="E1684" s="6" t="n">
        <v>0.79</v>
      </c>
      <c r="F1684" s="7" t="n">
        <v>17.6</v>
      </c>
      <c r="G1684" s="5" t="inlineStr">
        <is>
          <t>⬆ Price Up</t>
        </is>
      </c>
      <c r="H1684" s="5" t="inlineStr">
        <is>
          <t>88%</t>
        </is>
      </c>
      <c r="I1684" s="5">
        <f>HYPERLINK("https://www.ebay.com/sch/261328/i.html?_dcat=261328&amp;_fsrp=1&amp;rt=nc&amp;_from=R40&amp;_nkw=2025%20Bowman's%20Best%20TARIK%20SKUBAL%20%2312%20Lazer%20Refractor%20%2F350%20Tigers&amp;_sacat=0&amp;_sop=15&amp;rt=nc&amp;LH_BIN=1", "Active")</f>
        <v/>
      </c>
      <c r="J1684" s="5">
        <f>HYPERLINK("https://www.ebay.com/sch/261328/i.html?_from=R40&amp;_nkw=2025%20Bowman's%20Best%20TARIK%20SKUBAL%20%2312%20Lazer%20Refractor%20%2F350%20Tigers&amp;_sacat=0&amp;LH_Sold=1&amp;LH_Complete=1&amp;_sop=13", "Completed")</f>
        <v/>
      </c>
      <c r="K1684" s="5" t="inlineStr">
        <is>
          <t>2025 BOWMAN'S BEST TARIK SKUBAL #12 LAZER REFRACTOR /350 DETROIT TIGERS</t>
        </is>
      </c>
    </row>
    <row r="1685">
      <c r="A1685" s="5" t="inlineStr">
        <is>
          <t>Girkswhtnot-071226-00001-87719</t>
        </is>
      </c>
      <c r="B1685" s="5" t="inlineStr">
        <is>
          <t>2026 Bowman THOMAS WHITE #BCP-80 Aqua X-Fractor /125 Marlins</t>
        </is>
      </c>
      <c r="C1685" s="6" t="n">
        <v>6.99</v>
      </c>
      <c r="D1685" s="6" t="n">
        <v>8.19</v>
      </c>
      <c r="E1685" s="6" t="n">
        <v>1.2</v>
      </c>
      <c r="F1685" s="7" t="n">
        <v>17.2</v>
      </c>
      <c r="G1685" s="5" t="inlineStr">
        <is>
          <t>⬆ Price Up</t>
        </is>
      </c>
      <c r="H1685" s="5" t="inlineStr">
        <is>
          <t>100%</t>
        </is>
      </c>
      <c r="I1685" s="5">
        <f>HYPERLINK("https://www.ebay.com/sch/261328/i.html?_dcat=261328&amp;_fsrp=1&amp;rt=nc&amp;_from=R40&amp;_nkw=2026%20Bowman%20THOMAS%20WHITE%20%23BCP-80%20Aqua%20X-Fractor%20%2F125%20Marlins&amp;_sacat=0&amp;_sop=15&amp;rt=nc&amp;LH_BIN=1", "Active")</f>
        <v/>
      </c>
      <c r="J1685" s="5">
        <f>HYPERLINK("https://www.ebay.com/sch/261328/i.html?_from=R40&amp;_nkw=2026%20Bowman%20THOMAS%20WHITE%20%23BCP-80%20Aqua%20X-Fractor%20%2F125%20Marlins&amp;_sacat=0&amp;LH_Sold=1&amp;LH_Complete=1&amp;_sop=13", "Completed")</f>
        <v/>
      </c>
      <c r="K1685" s="5" t="inlineStr">
        <is>
          <t>2026 Bowman THOMAS WHITE #BCP-80 Aqua X-Fractor /125 Marlins</t>
        </is>
      </c>
    </row>
    <row r="1686">
      <c r="A1686" s="5" t="inlineStr">
        <is>
          <t>Girkswhtnot-071226-00004-18231</t>
        </is>
      </c>
      <c r="B1686" s="5" t="inlineStr">
        <is>
          <t>2026 Panini Donruss BO JACKSON #82 Red /99 Royals</t>
        </is>
      </c>
      <c r="C1686" s="6" t="n">
        <v>8.99</v>
      </c>
      <c r="D1686" s="6" t="n">
        <v>10.19</v>
      </c>
      <c r="E1686" s="6" t="n">
        <v>1.2</v>
      </c>
      <c r="F1686" s="7" t="n">
        <v>13.3</v>
      </c>
      <c r="G1686" s="5" t="inlineStr">
        <is>
          <t>⬆ Price Up</t>
        </is>
      </c>
      <c r="H1686" s="5" t="inlineStr">
        <is>
          <t>100%</t>
        </is>
      </c>
      <c r="I1686" s="5">
        <f>HYPERLINK("https://www.ebay.com/sch/261328/i.html?_dcat=261328&amp;_fsrp=1&amp;rt=nc&amp;_from=R40&amp;_nkw=2026%20Panini%20Donruss%20BO%20JACKSON%20%2382%20Red%20%2F99%20Royals&amp;_sacat=0&amp;_sop=15&amp;rt=nc&amp;LH_BIN=1", "Active")</f>
        <v/>
      </c>
      <c r="J1686" s="5">
        <f>HYPERLINK("https://www.ebay.com/sch/261328/i.html?_from=R40&amp;_nkw=2026%20Panini%20Donruss%20BO%20JACKSON%20%2382%20Red%20%2F99%20Royals&amp;_sacat=0&amp;LH_Sold=1&amp;LH_Complete=1&amp;_sop=13", "Completed")</f>
        <v/>
      </c>
      <c r="K1686" s="5" t="inlineStr">
        <is>
          <t>2026 Panini Donruss BO JACKSON #82 Red /99 Royals</t>
        </is>
      </c>
    </row>
    <row r="1687">
      <c r="A1687" s="2" t="inlineStr">
        <is>
          <t>Girkswhtnot-071226-00002-20003</t>
        </is>
      </c>
      <c r="B1687" s="2" t="inlineStr">
        <is>
          <t>2026 Topps Series 2 NOLAN MCLEAN #91C2-26 Mojo Refractor RC Mets</t>
        </is>
      </c>
      <c r="C1687" s="3" t="n">
        <v>8.99</v>
      </c>
      <c r="D1687" s="3" t="n">
        <v>2.49</v>
      </c>
      <c r="E1687" s="3" t="n">
        <v>-6.5</v>
      </c>
      <c r="F1687" s="4" t="n">
        <v>-72.3</v>
      </c>
      <c r="G1687" s="2" t="inlineStr">
        <is>
          <t>🔵 Floored $2.49 — free ship or $0.99 ship?</t>
        </is>
      </c>
      <c r="H1687" s="2" t="inlineStr">
        <is>
          <t>75%</t>
        </is>
      </c>
      <c r="I1687" s="2">
        <f>HYPERLINK("https://www.ebay.com/sch/261328/i.html?_dcat=261328&amp;_fsrp=1&amp;rt=nc&amp;_from=R40&amp;_nkw=2026%20Topps%20Series%202%20NOLAN%20MCLEAN%20%2391C2-26%20Mojo%20Refractor%20RC%20Mets&amp;_sacat=0&amp;_sop=15&amp;rt=nc&amp;LH_BIN=1", "Active")</f>
        <v/>
      </c>
      <c r="J1687" s="2">
        <f>HYPERLINK("https://www.ebay.com/sch/261328/i.html?_from=R40&amp;_nkw=2026%20Topps%20Series%202%20NOLAN%20MCLEAN%20%2391C2-26%20Mojo%20Refractor%20RC%20Mets&amp;_sacat=0&amp;LH_Sold=1&amp;LH_Complete=1&amp;_sop=13", "Completed")</f>
        <v/>
      </c>
      <c r="K1687" s="2" t="inlineStr">
        <is>
          <t>Nolan McLean 2026 Topps Series 2 #91C2-26 1991 Chrome Silver Pack Mojo RC Mets</t>
        </is>
      </c>
    </row>
    <row r="1688">
      <c r="A1688" s="5" t="inlineStr">
        <is>
          <t>Misc-071326-00003-68916</t>
        </is>
      </c>
      <c r="B1688" s="5" t="inlineStr">
        <is>
          <t>2025 PANINI NSCC VIP GOLD PACKS KYLIAN MBAPPE</t>
        </is>
      </c>
      <c r="C1688" s="6" t="n">
        <v>3</v>
      </c>
      <c r="D1688" s="6" t="n">
        <v>4.39</v>
      </c>
      <c r="E1688" s="6" t="n">
        <v>1.39</v>
      </c>
      <c r="F1688" s="7" t="n">
        <v>46.3</v>
      </c>
      <c r="G1688" s="5" t="inlineStr">
        <is>
          <t>⬆ Price Up</t>
        </is>
      </c>
      <c r="H1688" s="5" t="inlineStr">
        <is>
          <t>100%</t>
        </is>
      </c>
      <c r="I1688" s="5">
        <f>HYPERLINK("https://www.ebay.com/sch/261328/i.html?_dcat=261328&amp;_fsrp=1&amp;rt=nc&amp;_from=R40&amp;_nkw=2025%20PANINI%20NSCC%20VIP%20GOLD%20PACKS%20KYLIAN%20MBAPPE&amp;_sacat=0&amp;_sop=15&amp;rt=nc&amp;LH_BIN=1", "Active")</f>
        <v/>
      </c>
      <c r="J1688" s="5">
        <f>HYPERLINK("https://www.ebay.com/sch/261328/i.html?_from=R40&amp;_nkw=2025%20PANINI%20NSCC%20VIP%20GOLD%20PACKS%20KYLIAN%20MBAPPE&amp;_sacat=0&amp;LH_Sold=1&amp;LH_Complete=1&amp;_sop=13", "Completed")</f>
        <v/>
      </c>
      <c r="K1688" s="5" t="inlineStr">
        <is>
          <t>2025 PANINI NSCC VIP GOLD PACKS KYLIAN MBAPPE</t>
        </is>
      </c>
    </row>
    <row r="1689">
      <c r="A1689" s="5" t="inlineStr">
        <is>
          <t>Misc-071326-00007-43880</t>
        </is>
      </c>
      <c r="B1689" s="5" t="inlineStr">
        <is>
          <t>2024-25 TOPPS FINEST UEFA CLUB COMPETITIONS JUDE BELLINGHAM REAL MADRID</t>
        </is>
      </c>
      <c r="C1689" s="6" t="n">
        <v>2</v>
      </c>
      <c r="D1689" s="6" t="n">
        <v>2.49</v>
      </c>
      <c r="E1689" s="6" t="n">
        <v>0.49</v>
      </c>
      <c r="F1689" s="7" t="n">
        <v>24.5</v>
      </c>
      <c r="G1689" s="5" t="inlineStr">
        <is>
          <t>⬆ Price Up</t>
        </is>
      </c>
      <c r="H1689" s="5" t="inlineStr">
        <is>
          <t>66%</t>
        </is>
      </c>
      <c r="I1689" s="5">
        <f>HYPERLINK("https://www.ebay.com/sch/261328/i.html?_dcat=261328&amp;_fsrp=1&amp;rt=nc&amp;_from=R40&amp;_nkw=2024-25%20TOPPS%20FINEST%20UEFA%20CLUB%20COMPETITIONS%20JUDE%20BELLINGHAM%20REAL%20MADRID&amp;_sacat=0&amp;_sop=15&amp;rt=nc&amp;LH_BIN=1", "Active")</f>
        <v/>
      </c>
      <c r="J1689" s="5">
        <f>HYPERLINK("https://www.ebay.com/sch/261328/i.html?_from=R40&amp;_nkw=2024-25%20TOPPS%20FINEST%20UEFA%20CLUB%20COMPETITIONS%20JUDE%20BELLINGHAM%20REAL%20MADRID&amp;_sacat=0&amp;LH_Sold=1&amp;LH_Complete=1&amp;_sop=13", "Completed")</f>
        <v/>
      </c>
      <c r="K1689" s="5" t="inlineStr">
        <is>
          <t>2024-25 Topps Finest UEFA Club Competitions UCC - Set Builder #1-200 - You Pick!</t>
        </is>
      </c>
    </row>
    <row r="1690">
      <c r="A1690" s="5" t="inlineStr">
        <is>
          <t>Misc-071326-00005-43472</t>
        </is>
      </c>
      <c r="B1690" s="5" t="inlineStr">
        <is>
          <t>2024 LEAF EXCLUSIVE LEGENDS EDITION LIONEL MESSI ZLATAN IBRAHIMOVIC</t>
        </is>
      </c>
      <c r="C1690" s="6" t="n">
        <v>6</v>
      </c>
      <c r="D1690" s="6" t="n">
        <v>6.19</v>
      </c>
      <c r="E1690" s="6" t="n">
        <v>0.19</v>
      </c>
      <c r="F1690" s="7" t="n">
        <v>3.2</v>
      </c>
      <c r="G1690" s="5" t="inlineStr">
        <is>
          <t>⬆ Price Up</t>
        </is>
      </c>
      <c r="H1690" s="5" t="inlineStr">
        <is>
          <t>84%</t>
        </is>
      </c>
      <c r="I1690" s="5">
        <f>HYPERLINK("https://www.ebay.com/sch/261328/i.html?_dcat=261328&amp;_fsrp=1&amp;rt=nc&amp;_from=R40&amp;_nkw=2024%20LEAF%20EXCLUSIVE%20LEGENDS%20EDITION%20LIONEL%20MESSI%20ZLATAN%20IBRAHIMOVIC&amp;_sacat=0&amp;_sop=15&amp;rt=nc&amp;LH_BIN=1", "Active")</f>
        <v/>
      </c>
      <c r="J1690" s="5">
        <f>HYPERLINK("https://www.ebay.com/sch/261328/i.html?_from=R40&amp;_nkw=2024%20LEAF%20EXCLUSIVE%20LEGENDS%20EDITION%20LIONEL%20MESSI%20ZLATAN%20IBRAHIMOVIC&amp;_sacat=0&amp;LH_Sold=1&amp;LH_Complete=1&amp;_sop=13", "Completed")</f>
        <v/>
      </c>
      <c r="K1690" s="5" t="inlineStr">
        <is>
          <t>2024 Legends Edition Messi, Zidane &amp; Ibrahimovic - Triple Soccer Legend Leaf</t>
        </is>
      </c>
    </row>
    <row r="1691">
      <c r="A1691" s="5" t="inlineStr">
        <is>
          <t>Misc-071326-00011-24852</t>
        </is>
      </c>
      <c r="B1691" s="5" t="inlineStr">
        <is>
          <t>2019 Topps Chrome LIONEL MESSI Sapphire UEFA Champions League Image Var</t>
        </is>
      </c>
      <c r="C1691" s="6" t="n">
        <v>65</v>
      </c>
      <c r="D1691" s="6" t="n">
        <v>71.98999999999999</v>
      </c>
      <c r="E1691" s="6" t="n">
        <v>6.99</v>
      </c>
      <c r="F1691" s="7" t="n">
        <v>10.8</v>
      </c>
      <c r="G1691" s="5" t="inlineStr">
        <is>
          <t>⬆ Price Up</t>
        </is>
      </c>
      <c r="H1691" s="5" t="inlineStr">
        <is>
          <t>100%</t>
        </is>
      </c>
      <c r="I1691" s="5">
        <f>HYPERLINK("https://www.ebay.com/sch/261328/i.html?_dcat=261328&amp;_fsrp=1&amp;rt=nc&amp;_from=R40&amp;_nkw=2019%20Topps%20Chrome%20LIONEL%20MESSI%20Sapphire%20UEFA%20Champions%20League%20Image%20Var&amp;_sacat=0&amp;_sop=15&amp;rt=nc&amp;LH_BIN=1", "Active")</f>
        <v/>
      </c>
      <c r="J1691" s="5">
        <f>HYPERLINK("https://www.ebay.com/sch/261328/i.html?_from=R40&amp;_nkw=2019%20Topps%20Chrome%20LIONEL%20MESSI%20Sapphire%20UEFA%20Champions%20League%20Image%20Var&amp;_sacat=0&amp;LH_Sold=1&amp;LH_Complete=1&amp;_sop=13", "Completed")</f>
        <v/>
      </c>
      <c r="K1691" s="5" t="inlineStr">
        <is>
          <t>2019 Topps Chrome LIONEL MESSI Sapphire UEFA Champions League Image Var</t>
        </is>
      </c>
    </row>
    <row r="1692">
      <c r="A1692" s="11" t="inlineStr">
        <is>
          <t>Misc-071326-00001-20823</t>
        </is>
      </c>
      <c r="B1692" s="11" t="inlineStr">
        <is>
          <t>2023-24 PANINI DONRUSS ERLING HAALAND SILVER NORWAY</t>
        </is>
      </c>
      <c r="C1692" s="12" t="n">
        <v>7</v>
      </c>
      <c r="D1692" s="12" t="n">
        <v>3.29</v>
      </c>
      <c r="E1692" s="12" t="n">
        <v>-3.71</v>
      </c>
      <c r="F1692" s="13" t="n">
        <v>-53</v>
      </c>
      <c r="G1692" s="11" t="inlineStr">
        <is>
          <t>⬇ Price Down</t>
        </is>
      </c>
      <c r="H1692" s="11" t="inlineStr">
        <is>
          <t>70%</t>
        </is>
      </c>
      <c r="I1692" s="11">
        <f>HYPERLINK("https://www.ebay.com/sch/261328/i.html?_dcat=261328&amp;_fsrp=1&amp;rt=nc&amp;_from=R40&amp;_nkw=2023-24%20PANINI%20DONRUSS%20ERLING%20HAALAND%20SILVER%20NORWAY&amp;_sacat=0&amp;_sop=15&amp;rt=nc&amp;LH_BIN=1", "Active")</f>
        <v/>
      </c>
      <c r="J1692" s="11">
        <f>HYPERLINK("https://www.ebay.com/sch/261328/i.html?_from=R40&amp;_nkw=2023-24%20PANINI%20DONRUSS%20ERLING%20HAALAND%20SILVER%20NORWAY&amp;_sacat=0&amp;LH_Sold=1&amp;LH_Complete=1&amp;_sop=13", "Completed")</f>
        <v/>
      </c>
      <c r="K1692" s="11" t="inlineStr">
        <is>
          <t>Erling Haaland 2023-24 Panini Donruss Fifa Soccer #41 Norway - Manchester City</t>
        </is>
      </c>
    </row>
    <row r="1693">
      <c r="A1693" s="5" t="inlineStr">
        <is>
          <t>Misc-071326-00010-25062</t>
        </is>
      </c>
      <c r="B1693" s="5" t="inlineStr">
        <is>
          <t>2019 TOPPS CHROME SAPPHIRE CRISTIANO RONALDO UEFA CHAMPIONS LEAGUE IMG VAR</t>
        </is>
      </c>
      <c r="C1693" s="6" t="n">
        <v>60</v>
      </c>
      <c r="D1693" s="6" t="n">
        <v>67.09</v>
      </c>
      <c r="E1693" s="6" t="n">
        <v>7.09</v>
      </c>
      <c r="F1693" s="7" t="n">
        <v>11.8</v>
      </c>
      <c r="G1693" s="5" t="inlineStr">
        <is>
          <t>⬆ Price Up</t>
        </is>
      </c>
      <c r="H1693" s="5" t="inlineStr">
        <is>
          <t>100%</t>
        </is>
      </c>
      <c r="I1693" s="5">
        <f>HYPERLINK("https://www.ebay.com/sch/261328/i.html?_dcat=261328&amp;_fsrp=1&amp;rt=nc&amp;_from=R40&amp;_nkw=2019%20TOPPS%20CHROME%20SAPPHIRE%20CRISTIANO%20RONALDO%20UEFA%20CHAMPIONS%20LEAGUE%20IMG%20VAR&amp;_sacat=0&amp;_sop=15&amp;rt=nc&amp;LH_BIN=1", "Active")</f>
        <v/>
      </c>
      <c r="J1693" s="5">
        <f>HYPERLINK("https://www.ebay.com/sch/261328/i.html?_from=R40&amp;_nkw=2019%20TOPPS%20CHROME%20SAPPHIRE%20CRISTIANO%20RONALDO%20UEFA%20CHAMPIONS%20LEAGUE%20IMG%20VAR&amp;_sacat=0&amp;LH_Sold=1&amp;LH_Complete=1&amp;_sop=13", "Completed")</f>
        <v/>
      </c>
      <c r="K1693" s="5" t="inlineStr">
        <is>
          <t>2019 TOPPS CHROME SAPPHIRE CRISTIANO RONALDO UEFA CHAMPIONS LEAGUE IMG VAR</t>
        </is>
      </c>
    </row>
    <row r="1694">
      <c r="A1694" s="2" t="inlineStr">
        <is>
          <t>Misc-071326-00012-50151</t>
        </is>
      </c>
      <c r="B1694" s="2" t="inlineStr">
        <is>
          <t>2026 BOWMAN DAVID SHIELDS #CPA-DSH HTA CHOICE REFRACTOR /150 1ST PROSPECT AUTO</t>
        </is>
      </c>
      <c r="C1694" s="3" t="n">
        <v>70</v>
      </c>
      <c r="D1694" s="3" t="n">
        <v>2.49</v>
      </c>
      <c r="E1694" s="3" t="n">
        <v>-67.51000000000001</v>
      </c>
      <c r="F1694" s="4" t="n">
        <v>-96.40000000000001</v>
      </c>
      <c r="G1694" s="2" t="inlineStr">
        <is>
          <t>🔵 Floored $2.49 — free ship or $0.99 ship?</t>
        </is>
      </c>
      <c r="H1694" s="2" t="inlineStr"/>
      <c r="I1694" s="2">
        <f>HYPERLINK("https://www.ebay.com/sch/261328/i.html?_dcat=261328&amp;_fsrp=1&amp;rt=nc&amp;_from=R40&amp;_nkw=2026%20BOWMAN%20DAVID%20SHIELDS%20%23CPA-DSH%20HTA%20CHOICE%20REFRACTOR%20%2F150%201ST%20PROSPECT%20AUTO&amp;_sacat=0&amp;_sop=15&amp;rt=nc&amp;LH_BIN=1", "Active")</f>
        <v/>
      </c>
      <c r="J1694" s="2">
        <f>HYPERLINK("https://www.ebay.com/sch/261328/i.html?_from=R40&amp;_nkw=2026%20BOWMAN%20DAVID%20SHIELDS%20%23CPA-DSH%20HTA%20CHOICE%20REFRACTOR%20%2F150%201ST%20PROSPECT%20AUTO&amp;_sacat=0&amp;LH_Sold=1&amp;LH_Complete=1&amp;_sop=13", "Completed")</f>
        <v/>
      </c>
      <c r="K1694" s="2" t="inlineStr">
        <is>
          <t>No Close Result Found</t>
        </is>
      </c>
    </row>
    <row r="1695">
      <c r="A1695" s="11" t="inlineStr">
        <is>
          <t>Misc-071326-00002-51370</t>
        </is>
      </c>
      <c r="B1695" s="11" t="inlineStr">
        <is>
          <t>2023-24 PANINI DONRUSS ERLING HAALAND SILVER MAN CITY</t>
        </is>
      </c>
      <c r="C1695" s="12" t="n">
        <v>5</v>
      </c>
      <c r="D1695" s="12" t="n">
        <v>4.79</v>
      </c>
      <c r="E1695" s="12" t="n">
        <v>-0.21</v>
      </c>
      <c r="F1695" s="13" t="n">
        <v>-4.2</v>
      </c>
      <c r="G1695" s="11" t="inlineStr">
        <is>
          <t>⬇ Price Down</t>
        </is>
      </c>
      <c r="H1695" s="11" t="inlineStr">
        <is>
          <t>87%</t>
        </is>
      </c>
      <c r="I1695" s="11">
        <f>HYPERLINK("https://www.ebay.com/sch/261328/i.html?_dcat=261328&amp;_fsrp=1&amp;rt=nc&amp;_from=R40&amp;_nkw=2023-24%20PANINI%20DONRUSS%20ERLING%20HAALAND%20SILVER%20MAN%20CITY&amp;_sacat=0&amp;_sop=15&amp;rt=nc&amp;LH_BIN=1", "Active")</f>
        <v/>
      </c>
      <c r="J1695" s="11">
        <f>HYPERLINK("https://www.ebay.com/sch/261328/i.html?_from=R40&amp;_nkw=2023-24%20PANINI%20DONRUSS%20ERLING%20HAALAND%20SILVER%20MAN%20CITY&amp;_sacat=0&amp;LH_Sold=1&amp;LH_Complete=1&amp;_sop=13", "Completed")</f>
        <v/>
      </c>
      <c r="K1695" s="11" t="inlineStr">
        <is>
          <t>2023-24 Panini Donruss Soccer Erling Haaland Silver #89 Man City</t>
        </is>
      </c>
    </row>
    <row r="1696">
      <c r="A1696" s="5" t="inlineStr">
        <is>
          <t>Misc-071326-00008-94192</t>
        </is>
      </c>
      <c r="B1696" s="5" t="inlineStr">
        <is>
          <t>2025-26 ToppsLAMINE YAMAL FC Barcelona Team Set Blue Rainbow Foil /150</t>
        </is>
      </c>
      <c r="C1696" s="6" t="n">
        <v>50</v>
      </c>
      <c r="D1696" s="6" t="n">
        <v>57.39</v>
      </c>
      <c r="E1696" s="6" t="n">
        <v>7.39</v>
      </c>
      <c r="F1696" s="7" t="n">
        <v>14.8</v>
      </c>
      <c r="G1696" s="5" t="inlineStr">
        <is>
          <t>⬆ Price Up</t>
        </is>
      </c>
      <c r="H1696" s="5" t="inlineStr">
        <is>
          <t>100%</t>
        </is>
      </c>
      <c r="I1696" s="5">
        <f>HYPERLINK("https://www.ebay.com/sch/261328/i.html?_dcat=261328&amp;_fsrp=1&amp;rt=nc&amp;_from=R40&amp;_nkw=2025-26%20ToppsLAMINE%20YAMAL%20FC%20Barcelona%20Team%20Set%20Blue%20Rainbow%20Foil%20%2F150&amp;_sacat=0&amp;_sop=15&amp;rt=nc&amp;LH_BIN=1", "Active")</f>
        <v/>
      </c>
      <c r="J1696" s="5">
        <f>HYPERLINK("https://www.ebay.com/sch/261328/i.html?_from=R40&amp;_nkw=2025-26%20ToppsLAMINE%20YAMAL%20FC%20Barcelona%20Team%20Set%20Blue%20Rainbow%20Foil%20%2F150&amp;_sacat=0&amp;LH_Sold=1&amp;LH_Complete=1&amp;_sop=13", "Completed")</f>
        <v/>
      </c>
      <c r="K1696" s="5" t="inlineStr">
        <is>
          <t>2025-26 ToppsLAMINE YAMAL FC Barcelona Team Set Blue Rainbow Foil /150</t>
        </is>
      </c>
    </row>
    <row r="1697">
      <c r="A1697" s="11" t="inlineStr">
        <is>
          <t>Whatnot-071426-00007-17739</t>
        </is>
      </c>
      <c r="B1697" s="11" t="inlineStr">
        <is>
          <t>2026 Bowman THOMAS WHITE #BCP-80 Speckle Refractor /299 Marlins</t>
        </is>
      </c>
      <c r="C1697" s="12" t="n">
        <v>7.99</v>
      </c>
      <c r="D1697" s="12" t="n">
        <v>2.79</v>
      </c>
      <c r="E1697" s="12" t="n">
        <v>-5.2</v>
      </c>
      <c r="F1697" s="13" t="n">
        <v>-65.09999999999999</v>
      </c>
      <c r="G1697" s="11" t="inlineStr">
        <is>
          <t>⬇ Price Down</t>
        </is>
      </c>
      <c r="H1697" s="11" t="inlineStr">
        <is>
          <t>84%</t>
        </is>
      </c>
      <c r="I1697" s="11">
        <f>HYPERLINK("https://www.ebay.com/sch/261328/i.html?_dcat=261328&amp;_fsrp=1&amp;rt=nc&amp;_from=R40&amp;_nkw=2026%20Bowman%20THOMAS%20WHITE%20%23BCP-80%20Speckle%20Refractor%20%2F299%20Marlins&amp;_sacat=0&amp;_sop=15&amp;rt=nc&amp;LH_BIN=1", "Active")</f>
        <v/>
      </c>
      <c r="J1697" s="11">
        <f>HYPERLINK("https://www.ebay.com/sch/261328/i.html?_from=R40&amp;_nkw=2026%20Bowman%20THOMAS%20WHITE%20%23BCP-80%20Speckle%20Refractor%20%2F299%20Marlins&amp;_sacat=0&amp;LH_Sold=1&amp;LH_Complete=1&amp;_sop=13", "Completed")</f>
        <v/>
      </c>
      <c r="K1697" s="11" t="inlineStr">
        <is>
          <t>2026 Bowman Thomas White Chrome Speckle Refractor /299 Miami Marlins BCP -80</t>
        </is>
      </c>
    </row>
    <row r="1698">
      <c r="A1698" s="11" t="inlineStr">
        <is>
          <t>Whatnot-071426-00008-16066</t>
        </is>
      </c>
      <c r="B1698" s="11" t="inlineStr">
        <is>
          <t>2022 Bowman ELLY DE LA CRUZ #BCP-50 1st Prospect Reds PSA 9</t>
        </is>
      </c>
      <c r="C1698" s="12" t="n">
        <v>35</v>
      </c>
      <c r="D1698" s="12" t="n">
        <v>29.09</v>
      </c>
      <c r="E1698" s="12" t="n">
        <v>-5.91</v>
      </c>
      <c r="F1698" s="13" t="n">
        <v>-16.9</v>
      </c>
      <c r="G1698" s="11" t="inlineStr">
        <is>
          <t>⬇ Price Down</t>
        </is>
      </c>
      <c r="H1698" s="11" t="inlineStr">
        <is>
          <t>85%</t>
        </is>
      </c>
      <c r="I1698" s="11">
        <f>HYPERLINK("https://www.ebay.com/sch/261328/i.html?_dcat=261328&amp;_fsrp=1&amp;rt=nc&amp;_from=R40&amp;_nkw=2022%20Bowman%20ELLY%20DE%20LA%20CRUZ%20%23BCP-50%201st%20Prospect%20Reds%20PSA%209&amp;_sacat=0&amp;_sop=15&amp;rt=nc&amp;LH_BIN=1", "Active")</f>
        <v/>
      </c>
      <c r="J1698" s="11">
        <f>HYPERLINK("https://www.ebay.com/sch/261328/i.html?_from=R40&amp;_nkw=2022%20Bowman%20ELLY%20DE%20LA%20CRUZ%20%23BCP-50%201st%20Prospect%20Reds%20PSA%209&amp;_sacat=0&amp;LH_Sold=1&amp;LH_Complete=1&amp;_sop=13", "Completed")</f>
        <v/>
      </c>
      <c r="K1698" s="11" t="inlineStr">
        <is>
          <t>2022 Bowman Chrome 1st Prospect Elly De La Cruz BCP-50 PSA 9 Reds RC Mint RC</t>
        </is>
      </c>
    </row>
    <row r="1699">
      <c r="A1699" s="8" t="inlineStr">
        <is>
          <t>Whatnot-071426-00004-92045</t>
        </is>
      </c>
      <c r="B1699" s="8" t="inlineStr">
        <is>
          <t>2025 Panini Mosaic JAXSON DART #288 Rookie Variation RC Giants</t>
        </is>
      </c>
      <c r="C1699" s="9" t="n">
        <v>2.49</v>
      </c>
      <c r="D1699" s="9" t="n">
        <v>2.49</v>
      </c>
      <c r="E1699" s="9" t="n">
        <v>0</v>
      </c>
      <c r="F1699" s="10" t="n">
        <v>0</v>
      </c>
      <c r="G1699" s="8" t="inlineStr">
        <is>
          <t>— No Change</t>
        </is>
      </c>
      <c r="H1699" s="8" t="inlineStr">
        <is>
          <t>75%</t>
        </is>
      </c>
      <c r="I1699" s="8">
        <f>HYPERLINK("https://www.ebay.com/sch/261328/i.html?_dcat=261328&amp;_fsrp=1&amp;rt=nc&amp;_from=R40&amp;_nkw=2025%20Panini%20Mosaic%20JAXSON%20DART%20%23288%20Rookie%20Variation%20RC%20Giants&amp;_sacat=0&amp;_sop=15&amp;rt=nc&amp;LH_BIN=1", "Active")</f>
        <v/>
      </c>
      <c r="J1699" s="8">
        <f>HYPERLINK("https://www.ebay.com/sch/261328/i.html?_from=R40&amp;_nkw=2025%20Panini%20Mosaic%20JAXSON%20DART%20%23288%20Rookie%20Variation%20RC%20Giants&amp;_sacat=0&amp;LH_Sold=1&amp;LH_Complete=1&amp;_sop=13", "Completed")</f>
        <v/>
      </c>
      <c r="K1699" s="8" t="inlineStr">
        <is>
          <t>JAXSON DART 2025 MOSAIC ROOKIE RC VARIATION NEW YORK GIANTS #288 A Q4568</t>
        </is>
      </c>
    </row>
    <row r="1700">
      <c r="A1700" s="11" t="inlineStr">
        <is>
          <t>Whatnot-071426-00003-69347</t>
        </is>
      </c>
      <c r="B1700" s="11" t="inlineStr">
        <is>
          <t>2024 Bowman ETHAN SALAS #BCP-102 Mini Diamond Refractor Padres</t>
        </is>
      </c>
      <c r="C1700" s="12" t="n">
        <v>4.99</v>
      </c>
      <c r="D1700" s="12" t="n">
        <v>2.69</v>
      </c>
      <c r="E1700" s="12" t="n">
        <v>-2.3</v>
      </c>
      <c r="F1700" s="13" t="n">
        <v>-46.1</v>
      </c>
      <c r="G1700" s="11" t="inlineStr">
        <is>
          <t>⬇ Price Down</t>
        </is>
      </c>
      <c r="H1700" s="11" t="inlineStr">
        <is>
          <t>69%</t>
        </is>
      </c>
      <c r="I1700" s="11">
        <f>HYPERLINK("https://www.ebay.com/sch/261328/i.html?_dcat=261328&amp;_fsrp=1&amp;rt=nc&amp;_from=R40&amp;_nkw=2024%20Bowman%20ETHAN%20SALAS%20%23BCP-102%20Mini%20Diamond%20Refractor%20Padres&amp;_sacat=0&amp;_sop=15&amp;rt=nc&amp;LH_BIN=1", "Active")</f>
        <v/>
      </c>
      <c r="J1700" s="11">
        <f>HYPERLINK("https://www.ebay.com/sch/261328/i.html?_from=R40&amp;_nkw=2024%20Bowman%20ETHAN%20SALAS%20%23BCP-102%20Mini%20Diamond%20Refractor%20Padres&amp;_sacat=0&amp;LH_Sold=1&amp;LH_Complete=1&amp;_sop=13", "Completed")</f>
        <v/>
      </c>
      <c r="K1700" s="11" t="inlineStr">
        <is>
          <t>2024 Bowman Chrome Prospects Mini Diamond Refractor Ethan Salas #BCP-102 Padres</t>
        </is>
      </c>
    </row>
    <row r="1701">
      <c r="A1701" s="5" t="inlineStr">
        <is>
          <t>Whatnot-071426-00005-74858</t>
        </is>
      </c>
      <c r="B1701" s="5" t="inlineStr">
        <is>
          <t>2025 Panini Prizm TYLER WARREN #417 Rookie Variations Silver Colts</t>
        </is>
      </c>
      <c r="C1701" s="6" t="n">
        <v>4.99</v>
      </c>
      <c r="D1701" s="6" t="n">
        <v>5.19</v>
      </c>
      <c r="E1701" s="6" t="n">
        <v>0.2</v>
      </c>
      <c r="F1701" s="7" t="n">
        <v>4</v>
      </c>
      <c r="G1701" s="5" t="inlineStr">
        <is>
          <t>⬆ Price Up</t>
        </is>
      </c>
      <c r="H1701" s="5" t="inlineStr">
        <is>
          <t>86%</t>
        </is>
      </c>
      <c r="I1701" s="5">
        <f>HYPERLINK("https://www.ebay.com/sch/261328/i.html?_dcat=261328&amp;_fsrp=1&amp;rt=nc&amp;_from=R40&amp;_nkw=2025%20Panini%20Prizm%20TYLER%20WARREN%20%23417%20Rookie%20Variations%20Silver%20Colts&amp;_sacat=0&amp;_sop=15&amp;rt=nc&amp;LH_BIN=1", "Active")</f>
        <v/>
      </c>
      <c r="J1701" s="5">
        <f>HYPERLINK("https://www.ebay.com/sch/261328/i.html?_from=R40&amp;_nkw=2025%20Panini%20Prizm%20TYLER%20WARREN%20%23417%20Rookie%20Variations%20Silver%20Colts&amp;_sacat=0&amp;LH_Sold=1&amp;LH_Complete=1&amp;_sop=13", "Completed")</f>
        <v/>
      </c>
      <c r="K1701" s="5" t="inlineStr">
        <is>
          <t>2025 Panini Prizm Football Tyler Warren #417 Silver Prizm Variation RC Colts</t>
        </is>
      </c>
    </row>
    <row r="1702">
      <c r="A1702" s="5" t="inlineStr">
        <is>
          <t>Whatnot-071426-00006-70611</t>
        </is>
      </c>
      <c r="B1702" s="5" t="inlineStr">
        <is>
          <t>2025 Bowman HYUN-SEOK JANG #BCP-51 Reptilian Refractor 1st Prospect Dodgers</t>
        </is>
      </c>
      <c r="C1702" s="6" t="n">
        <v>2.99</v>
      </c>
      <c r="D1702" s="6" t="n">
        <v>4.39</v>
      </c>
      <c r="E1702" s="6" t="n">
        <v>1.4</v>
      </c>
      <c r="F1702" s="7" t="n">
        <v>46.8</v>
      </c>
      <c r="G1702" s="5" t="inlineStr">
        <is>
          <t>⬆ Price Up</t>
        </is>
      </c>
      <c r="H1702" s="5" t="inlineStr">
        <is>
          <t>100%</t>
        </is>
      </c>
      <c r="I1702" s="5">
        <f>HYPERLINK("https://www.ebay.com/sch/261328/i.html?_dcat=261328&amp;_fsrp=1&amp;rt=nc&amp;_from=R40&amp;_nkw=2025%20Bowman%20HYUN-SEOK%20JANG%20%23BCP-51%20Reptilian%20Refractor%201st%20Prospect%20Dodgers&amp;_sacat=0&amp;_sop=15&amp;rt=nc&amp;LH_BIN=1", "Active")</f>
        <v/>
      </c>
      <c r="J1702" s="5">
        <f>HYPERLINK("https://www.ebay.com/sch/261328/i.html?_from=R40&amp;_nkw=2025%20Bowman%20HYUN-SEOK%20JANG%20%23BCP-51%20Reptilian%20Refractor%201st%20Prospect%20Dodgers&amp;_sacat=0&amp;LH_Sold=1&amp;LH_Complete=1&amp;_sop=13", "Completed")</f>
        <v/>
      </c>
      <c r="K1702" s="5" t="inlineStr">
        <is>
          <t>2025 Bowman HYUN-SEOK JANG #BCP-51 Reptilian Refractor 1st Prospect Dodgers</t>
        </is>
      </c>
    </row>
    <row r="1703">
      <c r="A1703" s="5" t="inlineStr">
        <is>
          <t>Whatnot-071426-00001-66175</t>
        </is>
      </c>
      <c r="B1703" s="5" t="inlineStr">
        <is>
          <t>2025-26 Topps Chrome TYLER HERRO #188 Negative Refractor Heat</t>
        </is>
      </c>
      <c r="C1703" s="6" t="n">
        <v>3.99</v>
      </c>
      <c r="D1703" s="6" t="n">
        <v>5.29</v>
      </c>
      <c r="E1703" s="6" t="n">
        <v>1.3</v>
      </c>
      <c r="F1703" s="7" t="n">
        <v>32.6</v>
      </c>
      <c r="G1703" s="5" t="inlineStr">
        <is>
          <t>⬆ Price Up</t>
        </is>
      </c>
      <c r="H1703" s="5" t="inlineStr">
        <is>
          <t>100%</t>
        </is>
      </c>
      <c r="I1703" s="5">
        <f>HYPERLINK("https://www.ebay.com/sch/261328/i.html?_dcat=261328&amp;_fsrp=1&amp;rt=nc&amp;_from=R40&amp;_nkw=2025-26%20Topps%20Chrome%20TYLER%20HERRO%20%23188%20Negative%20Refractor%20Heat&amp;_sacat=0&amp;_sop=15&amp;rt=nc&amp;LH_BIN=1", "Active")</f>
        <v/>
      </c>
      <c r="J1703" s="5">
        <f>HYPERLINK("https://www.ebay.com/sch/261328/i.html?_from=R40&amp;_nkw=2025-26%20Topps%20Chrome%20TYLER%20HERRO%20%23188%20Negative%20Refractor%20Heat&amp;_sacat=0&amp;LH_Sold=1&amp;LH_Complete=1&amp;_sop=13", "Completed")</f>
        <v/>
      </c>
      <c r="K1703" s="5" t="inlineStr">
        <is>
          <t>2025-26 Topps Chrome TYLER HERRO #188 Negative Refractor Heat</t>
        </is>
      </c>
    </row>
    <row r="1704">
      <c r="A1704" s="5" t="inlineStr">
        <is>
          <t>Whatnot-071426-00002-18039</t>
        </is>
      </c>
      <c r="B1704" s="5" t="inlineStr">
        <is>
          <t>2025 Panini Prizm Draft Picks CAM SKATTEBO #9 Gold Ice RC Sun Devils</t>
        </is>
      </c>
      <c r="C1704" s="6" t="n">
        <v>4.99</v>
      </c>
      <c r="D1704" s="6" t="n">
        <v>6.29</v>
      </c>
      <c r="E1704" s="6" t="n">
        <v>1.3</v>
      </c>
      <c r="F1704" s="7" t="n">
        <v>26.1</v>
      </c>
      <c r="G1704" s="5" t="inlineStr">
        <is>
          <t>⬆ Price Up</t>
        </is>
      </c>
      <c r="H1704" s="5" t="inlineStr">
        <is>
          <t>100%</t>
        </is>
      </c>
      <c r="I1704" s="5">
        <f>HYPERLINK("https://www.ebay.com/sch/261328/i.html?_dcat=261328&amp;_fsrp=1&amp;rt=nc&amp;_from=R40&amp;_nkw=2025%20Panini%20Prizm%20Draft%20Picks%20CAM%20SKATTEBO%20%239%20Gold%20Ice%20RC%20Sun%20Devils&amp;_sacat=0&amp;_sop=15&amp;rt=nc&amp;LH_BIN=1", "Active")</f>
        <v/>
      </c>
      <c r="J1704" s="5">
        <f>HYPERLINK("https://www.ebay.com/sch/261328/i.html?_from=R40&amp;_nkw=2025%20Panini%20Prizm%20Draft%20Picks%20CAM%20SKATTEBO%20%239%20Gold%20Ice%20RC%20Sun%20Devils&amp;_sacat=0&amp;LH_Sold=1&amp;LH_Complete=1&amp;_sop=13", "Completed")</f>
        <v/>
      </c>
      <c r="K1704" s="5" t="inlineStr">
        <is>
          <t>2025 Panini Prizm Draft Picks CAM SKATTEBO #9 Gold Ice RC Sun Devils</t>
        </is>
      </c>
    </row>
    <row r="1705">
      <c r="A1705" s="5" t="inlineStr">
        <is>
          <t>RBM-0002-00051-74105</t>
        </is>
      </c>
      <c r="B1705" s="5" t="inlineStr">
        <is>
          <t>2025 Bowman's Best NICK KURTZ #42 Refractor RC Athletics Rookie</t>
        </is>
      </c>
      <c r="C1705" s="6" t="n">
        <v>4.5</v>
      </c>
      <c r="D1705" s="6" t="n">
        <v>5.29</v>
      </c>
      <c r="E1705" s="6" t="n">
        <v>0.79</v>
      </c>
      <c r="F1705" s="7" t="n">
        <v>17.6</v>
      </c>
      <c r="G1705" s="5" t="inlineStr">
        <is>
          <t>⬆ Price Up</t>
        </is>
      </c>
      <c r="H1705" s="5" t="inlineStr">
        <is>
          <t>100%</t>
        </is>
      </c>
      <c r="I1705" s="5">
        <f>HYPERLINK("https://www.ebay.com/sch/261328/i.html?_dcat=261328&amp;_fsrp=1&amp;rt=nc&amp;_from=R40&amp;_nkw=2025%20Bowman's%20Best%20NICK%20KURTZ%20%2342%20Refractor%20RC%20Athletics%20Rookie&amp;_sacat=0&amp;_sop=15&amp;rt=nc&amp;LH_BIN=1", "Active")</f>
        <v/>
      </c>
      <c r="J1705" s="5">
        <f>HYPERLINK("https://www.ebay.com/sch/261328/i.html?_from=R40&amp;_nkw=2025%20Bowman's%20Best%20NICK%20KURTZ%20%2342%20Refractor%20RC%20Athletics%20Rookie&amp;_sacat=0&amp;LH_Sold=1&amp;LH_Complete=1&amp;_sop=13", "Completed")</f>
        <v/>
      </c>
      <c r="K1705" s="5" t="inlineStr">
        <is>
          <t>2025 Bowman's Best NICK KURTZ #42 Refractor RC Athletics Rookie</t>
        </is>
      </c>
    </row>
    <row r="1706">
      <c r="A1706" s="5" t="inlineStr">
        <is>
          <t>BAS-002326-o0kjs</t>
        </is>
      </c>
      <c r="B1706" s="5" t="inlineStr">
        <is>
          <t>2025 Bowman Chrome - Meteoric Rise JESUS MADE #MR-3 Milwaukee Brewers</t>
        </is>
      </c>
      <c r="C1706" s="6" t="n">
        <v>2.99</v>
      </c>
      <c r="D1706" s="6" t="n">
        <v>3.19</v>
      </c>
      <c r="E1706" s="6" t="n">
        <v>0.2</v>
      </c>
      <c r="F1706" s="7" t="n">
        <v>6.7</v>
      </c>
      <c r="G1706" s="5" t="inlineStr">
        <is>
          <t>⬆ Price Up</t>
        </is>
      </c>
      <c r="H1706" s="5" t="inlineStr">
        <is>
          <t>68%</t>
        </is>
      </c>
      <c r="I1706" s="5">
        <f>HYPERLINK("https://www.ebay.com/sch/261328/i.html?_dcat=261328&amp;_fsrp=1&amp;rt=nc&amp;_from=R40&amp;_nkw=2025%20Bowman%20Chrome%20-%20Meteoric%20Rise%20JESUS%20MADE%20%23MR-3%20Milwaukee%20Brewers&amp;_sacat=0&amp;_sop=15&amp;rt=nc&amp;LH_BIN=1", "Active")</f>
        <v/>
      </c>
      <c r="J1706" s="5">
        <f>HYPERLINK("https://www.ebay.com/sch/261328/i.html?_from=R40&amp;_nkw=2025%20Bowman%20Chrome%20-%20Meteoric%20Rise%20JESUS%20MADE%20%23MR-3%20Milwaukee%20Brewers&amp;_sacat=0&amp;LH_Sold=1&amp;LH_Complete=1&amp;_sop=13", "Completed")</f>
        <v/>
      </c>
      <c r="K1706" s="5" t="inlineStr">
        <is>
          <t>2025 Bowman Chrome Mega Box Inserts -You Pick- **Buy More, Save More**</t>
        </is>
      </c>
    </row>
    <row r="1707">
      <c r="A1707" s="2" t="inlineStr">
        <is>
          <t>Misc-071726-00004-16432</t>
        </is>
      </c>
      <c r="B1707" s="2" t="inlineStr">
        <is>
          <t>2025 Topps Finest CONNOR NORBY #RAJR-CN /299 MEM RC Auto Marlins</t>
        </is>
      </c>
      <c r="C1707" s="3" t="n">
        <v>9.99</v>
      </c>
      <c r="D1707" s="3" t="n">
        <v>2.49</v>
      </c>
      <c r="E1707" s="3" t="n">
        <v>-7.5</v>
      </c>
      <c r="F1707" s="4" t="n">
        <v>-75.09999999999999</v>
      </c>
      <c r="G1707" s="2" t="inlineStr">
        <is>
          <t>🔵 Floored $2.49 — free ship or $0.99 ship?</t>
        </is>
      </c>
      <c r="H1707" s="2" t="inlineStr"/>
      <c r="I1707" s="2">
        <f>HYPERLINK("https://www.ebay.com/sch/261328/i.html?_dcat=261328&amp;_fsrp=1&amp;rt=nc&amp;_from=R40&amp;_nkw=2025%20Topps%20Finest%20CONNOR%20NORBY%20%23RAJR-CN%20%2F299%20MEM%20RC%20Auto%20Marlins&amp;_sacat=0&amp;_sop=15&amp;rt=nc&amp;LH_BIN=1", "Active")</f>
        <v/>
      </c>
      <c r="J1707" s="2">
        <f>HYPERLINK("https://www.ebay.com/sch/261328/i.html?_from=R40&amp;_nkw=2025%20Topps%20Finest%20CONNOR%20NORBY%20%23RAJR-CN%20%2F299%20MEM%20RC%20Auto%20Marlins&amp;_sacat=0&amp;LH_Sold=1&amp;LH_Complete=1&amp;_sop=13", "Completed")</f>
        <v/>
      </c>
      <c r="K1707" s="2" t="inlineStr">
        <is>
          <t>No Close Result Found</t>
        </is>
      </c>
    </row>
    <row r="1708">
      <c r="A1708" s="5" t="inlineStr">
        <is>
          <t>Misc-071726-00002-91937</t>
        </is>
      </c>
      <c r="B1708" s="5" t="inlineStr">
        <is>
          <t>2021 PANINI NATIONAL TREASURES CADE CUNNINGHAM #RMR-CCM MATERIALS /99 MEM RC</t>
        </is>
      </c>
      <c r="C1708" s="6" t="n">
        <v>110</v>
      </c>
      <c r="D1708" s="6" t="n">
        <v>116.29</v>
      </c>
      <c r="E1708" s="6" t="n">
        <v>6.29</v>
      </c>
      <c r="F1708" s="7" t="n">
        <v>5.7</v>
      </c>
      <c r="G1708" s="5" t="inlineStr">
        <is>
          <t>⬆ Price Up</t>
        </is>
      </c>
      <c r="H1708" s="5" t="inlineStr">
        <is>
          <t>100%</t>
        </is>
      </c>
      <c r="I1708" s="5">
        <f>HYPERLINK("https://www.ebay.com/sch/261328/i.html?_dcat=261328&amp;_fsrp=1&amp;rt=nc&amp;_from=R40&amp;_nkw=2021%20PANINI%20NATIONAL%20TREASURES%20CADE%20CUNNINGHAM%20%23RMR-CCM%20MATERIALS%20%2F99%20MEM%20RC&amp;_sacat=0&amp;_sop=15&amp;rt=nc&amp;LH_BIN=1", "Active")</f>
        <v/>
      </c>
      <c r="J1708" s="5">
        <f>HYPERLINK("https://www.ebay.com/sch/261328/i.html?_from=R40&amp;_nkw=2021%20PANINI%20NATIONAL%20TREASURES%20CADE%20CUNNINGHAM%20%23RMR-CCM%20MATERIALS%20%2F99%20MEM%20RC&amp;_sacat=0&amp;LH_Sold=1&amp;LH_Complete=1&amp;_sop=13", "Completed")</f>
        <v/>
      </c>
      <c r="K1708" s="5" t="inlineStr">
        <is>
          <t>2021 PANINI NATIONAL TREASURES CADE CUNNINGHAM #RMR-CCM MATERIALS /99 MEM RC</t>
        </is>
      </c>
    </row>
    <row r="1709">
      <c r="A1709" s="11" t="inlineStr">
        <is>
          <t>Misc-071726-00003-48557</t>
        </is>
      </c>
      <c r="B1709" s="11" t="inlineStr">
        <is>
          <t>2025 Bowman Draft ELI WILLITS #BDC-1 Refractor 1st Prospect Nationals</t>
        </is>
      </c>
      <c r="C1709" s="12" t="n">
        <v>15.5</v>
      </c>
      <c r="D1709" s="12" t="n">
        <v>10.79</v>
      </c>
      <c r="E1709" s="12" t="n">
        <v>-4.71</v>
      </c>
      <c r="F1709" s="13" t="n">
        <v>-30.4</v>
      </c>
      <c r="G1709" s="11" t="inlineStr">
        <is>
          <t>⬇ Price Down</t>
        </is>
      </c>
      <c r="H1709" s="11" t="inlineStr">
        <is>
          <t>88%</t>
        </is>
      </c>
      <c r="I1709" s="11">
        <f>HYPERLINK("https://www.ebay.com/sch/261328/i.html?_dcat=261328&amp;_fsrp=1&amp;rt=nc&amp;_from=R40&amp;_nkw=2025%20Bowman%20Draft%20ELI%20WILLITS%20%23BDC-1%20Refractor%201st%20Prospect%20Nationals&amp;_sacat=0&amp;_sop=15&amp;rt=nc&amp;LH_BIN=1", "Active")</f>
        <v/>
      </c>
      <c r="J1709" s="11">
        <f>HYPERLINK("https://www.ebay.com/sch/261328/i.html?_from=R40&amp;_nkw=2025%20Bowman%20Draft%20ELI%20WILLITS%20%23BDC-1%20Refractor%201st%20Prospect%20Nationals&amp;_sacat=0&amp;LH_Sold=1&amp;LH_Complete=1&amp;_sop=13", "Completed")</f>
        <v/>
      </c>
      <c r="K1709" s="11" t="inlineStr">
        <is>
          <t>2025 Bowman Draft Eli Willits Chrome 1st Prospect Refractor #BDC-1 Nationals</t>
        </is>
      </c>
    </row>
    <row r="1710">
      <c r="A1710" s="11" t="inlineStr">
        <is>
          <t>Misc-071726-00002-95708</t>
        </is>
      </c>
      <c r="B1710" s="11" t="inlineStr">
        <is>
          <t>2025-26 Topps COOPER FLAGG #201 RC Mavericks ROY</t>
        </is>
      </c>
      <c r="C1710" s="12" t="n">
        <v>6.99</v>
      </c>
      <c r="D1710" s="12" t="n">
        <v>6.19</v>
      </c>
      <c r="E1710" s="12" t="n">
        <v>-0.8</v>
      </c>
      <c r="F1710" s="13" t="n">
        <v>-11.4</v>
      </c>
      <c r="G1710" s="11" t="inlineStr">
        <is>
          <t>⬇ Price Down</t>
        </is>
      </c>
      <c r="H1710" s="11" t="inlineStr">
        <is>
          <t>86%</t>
        </is>
      </c>
      <c r="I1710" s="11">
        <f>HYPERLINK("https://www.ebay.com/sch/261328/i.html?_dcat=261328&amp;_fsrp=1&amp;rt=nc&amp;_from=R40&amp;_nkw=2025-26%20Topps%20COOPER%20FLAGG%20%23201%20RC%20Mavericks%20ROY&amp;_sacat=0&amp;_sop=15&amp;rt=nc&amp;LH_BIN=1", "Active")</f>
        <v/>
      </c>
      <c r="J1710" s="11">
        <f>HYPERLINK("https://www.ebay.com/sch/261328/i.html?_from=R40&amp;_nkw=2025-26%20Topps%20COOPER%20FLAGG%20%23201%20RC%20Mavericks%20ROY&amp;_sacat=0&amp;LH_Sold=1&amp;LH_Complete=1&amp;_sop=13", "Completed")</f>
        <v/>
      </c>
      <c r="K1710" s="11" t="inlineStr">
        <is>
          <t>2025-26 Topps - Cooper Flagg #201 (RC) Dallas Mavericks ROY</t>
        </is>
      </c>
    </row>
    <row r="1711">
      <c r="A1711" s="5" t="inlineStr">
        <is>
          <t>Misc-071726-00001-44008</t>
        </is>
      </c>
      <c r="B1711" s="5" t="inlineStr">
        <is>
          <t>2022 Panini Prizm SAQUON BARKLEY #218 Purple /125 Giants</t>
        </is>
      </c>
      <c r="C1711" s="6" t="n">
        <v>8</v>
      </c>
      <c r="D1711" s="6" t="n">
        <v>8.69</v>
      </c>
      <c r="E1711" s="6" t="n">
        <v>0.6899999999999999</v>
      </c>
      <c r="F1711" s="7" t="n">
        <v>8.6</v>
      </c>
      <c r="G1711" s="5" t="inlineStr">
        <is>
          <t>⬆ Price Up</t>
        </is>
      </c>
      <c r="H1711" s="5" t="inlineStr">
        <is>
          <t>100%</t>
        </is>
      </c>
      <c r="I1711" s="5">
        <f>HYPERLINK("https://www.ebay.com/sch/261328/i.html?_dcat=261328&amp;_fsrp=1&amp;rt=nc&amp;_from=R40&amp;_nkw=2022%20Panini%20Prizm%20SAQUON%20BARKLEY%20%23218%20Purple%20%2F125%20Giants&amp;_sacat=0&amp;_sop=15&amp;rt=nc&amp;LH_BIN=1", "Active")</f>
        <v/>
      </c>
      <c r="J1711" s="5">
        <f>HYPERLINK("https://www.ebay.com/sch/261328/i.html?_from=R40&amp;_nkw=2022%20Panini%20Prizm%20SAQUON%20BARKLEY%20%23218%20Purple%20%2F125%20Giants&amp;_sacat=0&amp;LH_Sold=1&amp;LH_Complete=1&amp;_sop=13", "Completed")</f>
        <v/>
      </c>
      <c r="K1711" s="5" t="inlineStr">
        <is>
          <t>2022 Panini Prizm SAQUON BARKLEY #218 Purple /125 Giants</t>
        </is>
      </c>
    </row>
    <row r="1712">
      <c r="A1712" s="2" t="inlineStr">
        <is>
          <t>Misc-071726-00006-19302</t>
        </is>
      </c>
      <c r="B1712" s="2" t="inlineStr">
        <is>
          <t>2026 Topps Perennial All-Stars SHOHEI OHTANI PAS-9 Los Angeles Dodgers</t>
        </is>
      </c>
      <c r="C1712" s="3" t="n">
        <v>2.69</v>
      </c>
      <c r="D1712" s="3" t="n">
        <v>2.49</v>
      </c>
      <c r="E1712" s="3" t="n">
        <v>-0.2</v>
      </c>
      <c r="F1712" s="4" t="n">
        <v>-7.4</v>
      </c>
      <c r="G1712" s="2" t="inlineStr">
        <is>
          <t>🔵 Floored $2.49 — free ship or $0.99 ship?</t>
        </is>
      </c>
      <c r="H1712" s="2" t="inlineStr">
        <is>
          <t>84%</t>
        </is>
      </c>
      <c r="I1712" s="2">
        <f>HYPERLINK("https://www.ebay.com/sch/261328/i.html?_dcat=261328&amp;_fsrp=1&amp;rt=nc&amp;_from=R40&amp;_nkw=2026%20Topps%20Perennial%20All-Stars%20SHOHEI%20OHTANI%20PAS-9%20Los%20Angeles%20Dodgers&amp;_sacat=0&amp;_sop=15&amp;rt=nc&amp;LH_BIN=1", "Active")</f>
        <v/>
      </c>
      <c r="J1712" s="2">
        <f>HYPERLINK("https://www.ebay.com/sch/261328/i.html?_from=R40&amp;_nkw=2026%20Topps%20Perennial%20All-Stars%20SHOHEI%20OHTANI%20PAS-9%20Los%20Angeles%20Dodgers&amp;_sacat=0&amp;LH_Sold=1&amp;LH_Complete=1&amp;_sop=13", "Completed")</f>
        <v/>
      </c>
      <c r="K1712" s="2" t="inlineStr">
        <is>
          <t>2026 Topps #PAS-9 Shohei Ohtani Perennial All Stars</t>
        </is>
      </c>
    </row>
    <row r="1713">
      <c r="A1713" s="2" t="inlineStr">
        <is>
          <t>Misc-071726-00004-28301</t>
        </is>
      </c>
      <c r="B1713" s="2" t="inlineStr">
        <is>
          <t>2023 Bowman Draft JACOB WILSON #CDA-JWI 1st Prospect Auto Athletics</t>
        </is>
      </c>
      <c r="C1713" s="3" t="n">
        <v>115</v>
      </c>
      <c r="D1713" s="3" t="n">
        <v>2.49</v>
      </c>
      <c r="E1713" s="3" t="n">
        <v>-112.51</v>
      </c>
      <c r="F1713" s="4" t="n">
        <v>-97.8</v>
      </c>
      <c r="G1713" s="2" t="inlineStr">
        <is>
          <t>🔵 Floored $2.49 — free ship or $0.99 ship?</t>
        </is>
      </c>
      <c r="H1713" s="2" t="inlineStr"/>
      <c r="I1713" s="2">
        <f>HYPERLINK("https://www.ebay.com/sch/261328/i.html?_dcat=261328&amp;_fsrp=1&amp;rt=nc&amp;_from=R40&amp;_nkw=2023%20Bowman%20Draft%20JACOB%20WILSON%20%23CDA-JWI%201st%20Prospect%20Auto%20Athletics&amp;_sacat=0&amp;_sop=15&amp;rt=nc&amp;LH_BIN=1", "Active")</f>
        <v/>
      </c>
      <c r="J1713" s="2">
        <f>HYPERLINK("https://www.ebay.com/sch/261328/i.html?_from=R40&amp;_nkw=2023%20Bowman%20Draft%20JACOB%20WILSON%20%23CDA-JWI%201st%20Prospect%20Auto%20Athletics&amp;_sacat=0&amp;LH_Sold=1&amp;LH_Complete=1&amp;_sop=13", "Completed")</f>
        <v/>
      </c>
      <c r="K1713" s="2" t="inlineStr">
        <is>
          <t>No Close Result Found</t>
        </is>
      </c>
    </row>
    <row r="1714">
      <c r="A1714" s="11" t="inlineStr">
        <is>
          <t>Misc-071726-00005-14855</t>
        </is>
      </c>
      <c r="B1714" s="11" t="inlineStr">
        <is>
          <t>2026 Topps Series 1 SHOHEI OHTANI 8-Bit Ballers #8B-7 Dodgers</t>
        </is>
      </c>
      <c r="C1714" s="12" t="n">
        <v>7.5</v>
      </c>
      <c r="D1714" s="12" t="n">
        <v>3.49</v>
      </c>
      <c r="E1714" s="12" t="n">
        <v>-4.01</v>
      </c>
      <c r="F1714" s="13" t="n">
        <v>-53.5</v>
      </c>
      <c r="G1714" s="11" t="inlineStr">
        <is>
          <t>⬇ Price Down</t>
        </is>
      </c>
      <c r="H1714" s="11" t="inlineStr">
        <is>
          <t>86%</t>
        </is>
      </c>
      <c r="I1714" s="11">
        <f>HYPERLINK("https://www.ebay.com/sch/261328/i.html?_dcat=261328&amp;_fsrp=1&amp;rt=nc&amp;_from=R40&amp;_nkw=2026%20Topps%20Series%201%20SHOHEI%20OHTANI%208-Bit%20Ballers%20%238B-7%20Dodgers&amp;_sacat=0&amp;_sop=15&amp;rt=nc&amp;LH_BIN=1", "Active")</f>
        <v/>
      </c>
      <c r="J1714" s="11">
        <f>HYPERLINK("https://www.ebay.com/sch/261328/i.html?_from=R40&amp;_nkw=2026%20Topps%20Series%201%20SHOHEI%20OHTANI%208-Bit%20Ballers%20%238B-7%20Dodgers&amp;_sacat=0&amp;LH_Sold=1&amp;LH_Complete=1&amp;_sop=13", "Completed")</f>
        <v/>
      </c>
      <c r="K1714" s="11" t="inlineStr">
        <is>
          <t>2026 Topps Shohei Ohtani 8 Bit Ballers Los Angeles Dodgers 8B-7 Insert</t>
        </is>
      </c>
    </row>
    <row r="1715">
      <c r="A1715" s="11" t="inlineStr">
        <is>
          <t>BBB-000098-trw87</t>
        </is>
      </c>
      <c r="B1715" s="11" t="inlineStr">
        <is>
          <t>2025 Bowman Chrome BLAKE SNELL #31 Pulsar Los Angeles Dodgers #/399</t>
        </is>
      </c>
      <c r="C1715" s="12" t="n">
        <v>4.49</v>
      </c>
      <c r="D1715" s="12" t="n">
        <v>3.19</v>
      </c>
      <c r="E1715" s="12" t="n">
        <v>-1.3</v>
      </c>
      <c r="F1715" s="13" t="n">
        <v>-29</v>
      </c>
      <c r="G1715" s="11" t="inlineStr">
        <is>
          <t>⬇ Price Down</t>
        </is>
      </c>
      <c r="H1715" s="11" t="inlineStr">
        <is>
          <t>87%</t>
        </is>
      </c>
      <c r="I1715" s="11">
        <f>HYPERLINK("https://www.ebay.com/sch/261328/i.html?_dcat=261328&amp;_fsrp=1&amp;rt=nc&amp;_from=R40&amp;_nkw=2025%20Bowman%20Chrome%20BLAKE%20SNELL%20%2331%20Pulsar%20Los%20Angeles%20Dodgers%20%23%2F399&amp;_sacat=0&amp;_sop=15&amp;rt=nc&amp;LH_BIN=1", "Active")</f>
        <v/>
      </c>
      <c r="J1715" s="11">
        <f>HYPERLINK("https://www.ebay.com/sch/261328/i.html?_from=R40&amp;_nkw=2025%20Bowman%20Chrome%20BLAKE%20SNELL%20%2331%20Pulsar%20Los%20Angeles%20Dodgers%20%23%2F399&amp;_sacat=0&amp;LH_Sold=1&amp;LH_Complete=1&amp;_sop=13", "Completed")</f>
        <v/>
      </c>
      <c r="K1715" s="11" t="inlineStr">
        <is>
          <t>2025 Bowman Chrome Blake Snell Pulsar Refractor /399 #31 Los Angeles Dodgers</t>
        </is>
      </c>
    </row>
    <row r="1716">
      <c r="A1716" s="5" t="inlineStr">
        <is>
          <t>Whatnot_06_-_06-18-26-00023-068127</t>
        </is>
      </c>
      <c r="B1716" s="5" t="inlineStr">
        <is>
          <t>2023 Topps Chrome MERLIN UEFA Club Lamine Yamal #MC-1 Merlin's Chosen One RC</t>
        </is>
      </c>
      <c r="C1716" s="6" t="n">
        <v>39.99</v>
      </c>
      <c r="D1716" s="6" t="n">
        <v>47.69</v>
      </c>
      <c r="E1716" s="6" t="n">
        <v>7.7</v>
      </c>
      <c r="F1716" s="7" t="n">
        <v>19.3</v>
      </c>
      <c r="G1716" s="5" t="inlineStr">
        <is>
          <t>⬆ Price Up</t>
        </is>
      </c>
      <c r="H1716" s="5" t="inlineStr">
        <is>
          <t>100%</t>
        </is>
      </c>
      <c r="I1716" s="5">
        <f>HYPERLINK("https://www.ebay.com/sch/261328/i.html?_dcat=261328&amp;_fsrp=1&amp;rt=nc&amp;_from=R40&amp;_nkw=2023%20Topps%20Chrome%20MERLIN%20UEFA%20Club%20Lamine%20Yamal%20%23MC-1%20Merlin's%20Chosen%20One%20RC&amp;_sacat=0&amp;_sop=15&amp;rt=nc&amp;LH_BIN=1", "Active")</f>
        <v/>
      </c>
      <c r="J1716" s="5">
        <f>HYPERLINK("https://www.ebay.com/sch/261328/i.html?_from=R40&amp;_nkw=2023%20Topps%20Chrome%20MERLIN%20UEFA%20Club%20Lamine%20Yamal%20%23MC-1%20Merlin's%20Chosen%20One%20RC&amp;_sacat=0&amp;LH_Sold=1&amp;LH_Complete=1&amp;_sop=13", "Completed")</f>
        <v/>
      </c>
      <c r="K1716" s="5" t="inlineStr">
        <is>
          <t>2023 Topps Chrome MERLIN UEFA Club Lamine Yamal #MC-1 Merlin's Chosen One RC</t>
        </is>
      </c>
    </row>
    <row r="1717">
      <c r="A1717" t="inlineStr"/>
      <c r="B1717" t="inlineStr">
        <is>
          <t>Leaf Exclusive Legends Double LAMINE YAMAL LIONEL MESSI Serial #7/20 SSP Soccer</t>
        </is>
      </c>
      <c r="C1717" s="14" t="n"/>
      <c r="D1717" s="14" t="n">
        <v>134.99</v>
      </c>
      <c r="E1717" s="14" t="inlineStr"/>
      <c r="F1717" s="15" t="inlineStr"/>
      <c r="G1717" t="inlineStr">
        <is>
          <t>? No price data</t>
        </is>
      </c>
      <c r="H1717" t="inlineStr">
        <is>
          <t>100%</t>
        </is>
      </c>
      <c r="I1717">
        <f>HYPERLINK("https://www.ebay.com/sch/261328/i.html?_dcat=261328&amp;_fsrp=1&amp;rt=nc&amp;_from=R40&amp;_nkw=Leaf%20Exclusive%20Legends%20Double%20LAMINE%20YAMAL%20LIONEL%20MESSI%20Serial%20%237%2F20%20SSP%20Soccer&amp;_sacat=0&amp;_sop=15&amp;rt=nc&amp;LH_BIN=1", "Active")</f>
        <v/>
      </c>
      <c r="J1717">
        <f>HYPERLINK("https://www.ebay.com/sch/261328/i.html?_from=R40&amp;_nkw=Leaf%20Exclusive%20Legends%20Double%20LAMINE%20YAMAL%20LIONEL%20MESSI%20Serial%20%237%2F20%20SSP%20Soccer&amp;_sacat=0&amp;LH_Sold=1&amp;LH_Complete=1&amp;_sop=13", "Completed")</f>
        <v/>
      </c>
      <c r="K1717" t="inlineStr">
        <is>
          <t>Leaf Exclusive Legends Double LAMINE YAMAL LIONEL MESSI Serial #7/20 SSP Soccer</t>
        </is>
      </c>
    </row>
    <row r="1718">
      <c r="A1718" s="11" t="inlineStr">
        <is>
          <t>Misc-071326-00004-30495</t>
        </is>
      </c>
      <c r="B1718" s="11" t="inlineStr">
        <is>
          <t>2026 PANINI LAMINE YAMAL PRIZM WORLD CUP  NEW ERA WAVE SPAIN</t>
        </is>
      </c>
      <c r="C1718" s="12" t="n">
        <v>35</v>
      </c>
      <c r="D1718" s="12" t="n">
        <v>2.89</v>
      </c>
      <c r="E1718" s="12" t="n">
        <v>-32.11</v>
      </c>
      <c r="F1718" s="13" t="n">
        <v>-91.7</v>
      </c>
      <c r="G1718" s="11" t="inlineStr">
        <is>
          <t>⬇ Price Down</t>
        </is>
      </c>
      <c r="H1718" s="11" t="inlineStr">
        <is>
          <t>67%</t>
        </is>
      </c>
      <c r="I1718" s="11">
        <f>HYPERLINK("https://www.ebay.com/sch/261328/i.html?_dcat=261328&amp;_fsrp=1&amp;rt=nc&amp;_from=R40&amp;_nkw=2026%20PANINI%20LAMINE%20YAMAL%20PRIZM%20WORLD%20CUP%20%20NEW%20ERA%20WAVE%20SPAIN&amp;_sacat=0&amp;_sop=15&amp;rt=nc&amp;LH_BIN=1", "Active")</f>
        <v/>
      </c>
      <c r="J1718" s="11">
        <f>HYPERLINK("https://www.ebay.com/sch/261328/i.html?_from=R40&amp;_nkw=2026%20PANINI%20LAMINE%20YAMAL%20PRIZM%20WORLD%20CUP%20%20NEW%20ERA%20WAVE%20SPAIN&amp;_sacat=0&amp;LH_Sold=1&amp;LH_Complete=1&amp;_sop=13", "Completed")</f>
        <v/>
      </c>
      <c r="K1718" s="11" t="inlineStr">
        <is>
          <t>2026 Prizm FIFA World Cup INSERTS SILVER &amp; WAVE PRIZM You Pick! ACES NEW ETA ETC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Metric</t>
        </is>
      </c>
      <c r="B1" t="inlineStr">
        <is>
          <t>Count</t>
        </is>
      </c>
    </row>
    <row r="2">
      <c r="A2" s="16" t="inlineStr">
        <is>
          <t>Total cards</t>
        </is>
      </c>
      <c r="B2" t="n">
        <v>1717</v>
      </c>
    </row>
    <row r="3">
      <c r="A3" s="16" t="inlineStr">
        <is>
          <t>Price went UP ⬆</t>
        </is>
      </c>
      <c r="B3" t="n">
        <v>545</v>
      </c>
    </row>
    <row r="4">
      <c r="A4" s="16" t="inlineStr">
        <is>
          <t>Price went DOWN ⬇</t>
        </is>
      </c>
      <c r="B4" t="n">
        <v>249</v>
      </c>
    </row>
    <row r="5">
      <c r="A5" s="16" t="inlineStr">
        <is>
          <t>No change —</t>
        </is>
      </c>
      <c r="B5" t="n">
        <v>137</v>
      </c>
    </row>
    <row r="6">
      <c r="A6" s="16" t="inlineStr">
        <is>
          <t>🔵 Floored to $2.49 (your decision)</t>
        </is>
      </c>
      <c r="B6" t="n">
        <v>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2026-07-20T21:49:16Z</dcterms:created>
  <dcterms:modified xsi:type="dcterms:W3CDTF">2026-07-20T21:49:17Z</dcterms:modified>
</cp:coreProperties>
</file>